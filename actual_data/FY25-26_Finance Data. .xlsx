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"/>
    </mc:Choice>
  </mc:AlternateContent>
  <xr:revisionPtr revIDLastSave="124" documentId="8_{011E4E74-AEDB-4BFD-AB39-261507138787}" xr6:coauthVersionLast="47" xr6:coauthVersionMax="47" xr10:uidLastSave="{941A324C-B806-4F30-9F20-4E6EAF835209}"/>
  <bookViews>
    <workbookView xWindow="-110" yWindow="-110" windowWidth="19420" windowHeight="11500" tabRatio="820" firstSheet="13" activeTab="19" xr2:uid="{00000000-000D-0000-FFFF-FFFF00000000}"/>
  </bookViews>
  <sheets>
    <sheet name="Revenue_Budget" sheetId="1" r:id="rId1"/>
    <sheet name="CM_Budget" sheetId="3" r:id="rId2"/>
    <sheet name="Target Rev Productivity" sheetId="4" r:id="rId3"/>
    <sheet name="Rev_Forecast" sheetId="2" r:id="rId4"/>
    <sheet name="CM_Forecast" sheetId="5" r:id="rId5"/>
    <sheet name="Mapping" sheetId="30" r:id="rId6"/>
    <sheet name="Revenue_Actual" sheetId="7" r:id="rId7"/>
    <sheet name="CM Actual" sheetId="9" r:id="rId8"/>
    <sheet name="Rev_Productivity_Actual" sheetId="32" r:id="rId9"/>
    <sheet name="Taggd_Source_Joiner" sheetId="14" r:id="rId10"/>
    <sheet name="Non Taggd_Source_Joiner" sheetId="15" r:id="rId11"/>
    <sheet name="Revenue_Adjustment" sheetId="17" r:id="rId12"/>
    <sheet name="Headcount_Overall" sheetId="19" r:id="rId13"/>
    <sheet name="Headcount_WL1" sheetId="20" r:id="rId14"/>
    <sheet name="Headcount_Approved" sheetId="21" r:id="rId15"/>
    <sheet name="PPC_Actual" sheetId="22" r:id="rId16"/>
    <sheet name="Unbilled" sheetId="23" r:id="rId17"/>
    <sheet name="Target_Collection" sheetId="25" r:id="rId18"/>
    <sheet name="Actual_Collection" sheetId="24" r:id="rId19"/>
    <sheet name="Bad Debt" sheetId="31" r:id="rId20"/>
  </sheets>
  <definedNames>
    <definedName name="_xlnm._FilterDatabase" localSheetId="18" hidden="1">Actual_Collection!$A$1:$AE$79</definedName>
    <definedName name="_xlnm._FilterDatabase" localSheetId="19" hidden="1">'Bad Debt'!$B$1:$S$79</definedName>
    <definedName name="_xlnm._FilterDatabase" localSheetId="7" hidden="1">'CM Actual'!$A$1:$T$87</definedName>
    <definedName name="_xlnm._FilterDatabase" localSheetId="1" hidden="1">CM_Budget!$B$1:$G$76</definedName>
    <definedName name="_xlnm._FilterDatabase" localSheetId="4" hidden="1">CM_Forecast!$B$1:$G$76</definedName>
    <definedName name="_xlnm._FilterDatabase" localSheetId="14" hidden="1">Headcount_Approved!$B$1:$S$76</definedName>
    <definedName name="_xlnm._FilterDatabase" localSheetId="12" hidden="1">Headcount_Overall!$A$2:$T$87</definedName>
    <definedName name="_xlnm._FilterDatabase" localSheetId="13" hidden="1">Headcount_WL1!$A$1:$T$85</definedName>
    <definedName name="_xlnm._FilterDatabase" localSheetId="5" hidden="1">Mapping!$A$1:$F$79</definedName>
    <definedName name="_xlnm._FilterDatabase" localSheetId="10" hidden="1">'Non Taggd_Source_Joiner'!$B$1:$S$76</definedName>
    <definedName name="_xlnm._FilterDatabase" localSheetId="15" hidden="1">PPC_Actual!$A$2:$T$86</definedName>
    <definedName name="_xlnm._FilterDatabase" localSheetId="3" hidden="1">Rev_Forecast!$A$1:$S$76</definedName>
    <definedName name="_xlnm._FilterDatabase" localSheetId="8" hidden="1">Rev_Productivity_Actual!$A$1:$S$76</definedName>
    <definedName name="_xlnm._FilterDatabase" localSheetId="6" hidden="1">Revenue_Actual!$A$1:$T$85</definedName>
    <definedName name="_xlnm._FilterDatabase" localSheetId="11" hidden="1">Revenue_Adjustment!$A$1:$T$77</definedName>
    <definedName name="_xlnm._FilterDatabase" localSheetId="0" hidden="1">Revenue_Budget!$B$1:$G$76</definedName>
    <definedName name="_xlnm._FilterDatabase" localSheetId="9" hidden="1">Taggd_Source_Joiner!$B$1:$S$76</definedName>
    <definedName name="_xlnm._FilterDatabase" localSheetId="2" hidden="1">'Target Rev Productivity'!$B$1:$S$76</definedName>
    <definedName name="_xlnm._FilterDatabase" localSheetId="17" hidden="1">Target_Collection!$A$1:$S$81</definedName>
    <definedName name="_xlnm._FilterDatabase" localSheetId="16" hidden="1">Unbilled!$A$1:$T$76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19" l="1"/>
  <c r="R1" i="19"/>
  <c r="P1" i="19"/>
  <c r="O1" i="19"/>
  <c r="N1" i="19"/>
  <c r="M1" i="19"/>
  <c r="L1" i="19"/>
  <c r="K1" i="19"/>
  <c r="J1" i="19"/>
  <c r="I1" i="19"/>
  <c r="H1" i="19"/>
  <c r="T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2" i="17"/>
  <c r="Q1" i="19" l="1"/>
  <c r="T3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2" i="9"/>
  <c r="P4" i="9"/>
  <c r="T4" i="9" s="1"/>
  <c r="T3" i="7" l="1"/>
  <c r="T4" i="7"/>
  <c r="T6" i="7"/>
  <c r="T15" i="7"/>
  <c r="T16" i="7"/>
  <c r="T22" i="7"/>
  <c r="T23" i="7"/>
  <c r="T24" i="7"/>
  <c r="T25" i="7"/>
  <c r="T26" i="7"/>
  <c r="T27" i="7"/>
  <c r="T28" i="7"/>
  <c r="T29" i="7"/>
  <c r="T30" i="7"/>
  <c r="T33" i="7"/>
  <c r="T34" i="7"/>
  <c r="T35" i="7"/>
  <c r="T36" i="7"/>
  <c r="T38" i="7"/>
  <c r="T39" i="7"/>
  <c r="T40" i="7"/>
  <c r="T41" i="7"/>
  <c r="T42" i="7"/>
  <c r="T43" i="7"/>
  <c r="T44" i="7"/>
  <c r="T47" i="7"/>
  <c r="T48" i="7"/>
  <c r="T50" i="7"/>
  <c r="T52" i="7"/>
  <c r="T53" i="7"/>
  <c r="T54" i="7"/>
  <c r="T55" i="7"/>
  <c r="T56" i="7"/>
  <c r="T57" i="7"/>
  <c r="T58" i="7"/>
  <c r="T61" i="7"/>
  <c r="T62" i="7"/>
  <c r="T63" i="7"/>
  <c r="T64" i="7"/>
  <c r="T65" i="7"/>
  <c r="T66" i="7"/>
  <c r="T67" i="7"/>
  <c r="T68" i="7"/>
  <c r="T69" i="7"/>
  <c r="T70" i="7"/>
  <c r="T71" i="7"/>
  <c r="T72" i="7"/>
  <c r="T79" i="7"/>
  <c r="T80" i="7"/>
  <c r="T81" i="7"/>
  <c r="T82" i="7"/>
  <c r="T83" i="7"/>
  <c r="T84" i="7"/>
  <c r="T85" i="7"/>
  <c r="T86" i="7"/>
  <c r="T18" i="7"/>
  <c r="T20" i="7"/>
  <c r="T76" i="7"/>
  <c r="T77" i="7"/>
  <c r="T78" i="7"/>
  <c r="T7" i="7"/>
  <c r="T8" i="7"/>
  <c r="T9" i="7"/>
  <c r="T10" i="7"/>
  <c r="T11" i="7"/>
  <c r="T12" i="7"/>
  <c r="T13" i="7"/>
  <c r="T14" i="7"/>
  <c r="T32" i="7"/>
  <c r="T37" i="7"/>
  <c r="T46" i="7"/>
  <c r="T49" i="7"/>
  <c r="T73" i="7"/>
  <c r="T74" i="7"/>
  <c r="T87" i="7"/>
  <c r="T21" i="7"/>
  <c r="T60" i="7"/>
  <c r="T5" i="7"/>
  <c r="T17" i="7"/>
  <c r="T19" i="7"/>
  <c r="T31" i="7"/>
  <c r="T45" i="7"/>
  <c r="T51" i="7"/>
  <c r="T59" i="7"/>
  <c r="T75" i="7"/>
  <c r="T2" i="7" l="1"/>
  <c r="G76" i="32"/>
  <c r="F76" i="32"/>
  <c r="E76" i="32"/>
  <c r="D76" i="32"/>
  <c r="C76" i="32"/>
  <c r="G75" i="32"/>
  <c r="F75" i="32"/>
  <c r="E75" i="32"/>
  <c r="D75" i="32"/>
  <c r="C75" i="32"/>
  <c r="G74" i="32"/>
  <c r="F74" i="32"/>
  <c r="E74" i="32"/>
  <c r="D74" i="32"/>
  <c r="C74" i="32"/>
  <c r="G73" i="32"/>
  <c r="F73" i="32"/>
  <c r="E73" i="32"/>
  <c r="D73" i="32"/>
  <c r="C73" i="32"/>
  <c r="G72" i="32"/>
  <c r="F72" i="32"/>
  <c r="E72" i="32"/>
  <c r="D72" i="32"/>
  <c r="C72" i="32"/>
  <c r="G71" i="32"/>
  <c r="F71" i="32"/>
  <c r="E71" i="32"/>
  <c r="D71" i="32"/>
  <c r="C71" i="32"/>
  <c r="G70" i="32"/>
  <c r="F70" i="32"/>
  <c r="E70" i="32"/>
  <c r="D70" i="32"/>
  <c r="C70" i="32"/>
  <c r="G69" i="32"/>
  <c r="F69" i="32"/>
  <c r="E69" i="32"/>
  <c r="D69" i="32"/>
  <c r="C69" i="32"/>
  <c r="G68" i="32"/>
  <c r="F68" i="32"/>
  <c r="E68" i="32"/>
  <c r="D68" i="32"/>
  <c r="C68" i="32"/>
  <c r="G67" i="32"/>
  <c r="F67" i="32"/>
  <c r="E67" i="32"/>
  <c r="D67" i="32"/>
  <c r="C67" i="32"/>
  <c r="G66" i="32"/>
  <c r="F66" i="32"/>
  <c r="E66" i="32"/>
  <c r="D66" i="32"/>
  <c r="C66" i="32"/>
  <c r="G65" i="32"/>
  <c r="F65" i="32"/>
  <c r="E65" i="32"/>
  <c r="D65" i="32"/>
  <c r="C65" i="32"/>
  <c r="G64" i="32"/>
  <c r="F64" i="32"/>
  <c r="E64" i="32"/>
  <c r="D64" i="32"/>
  <c r="C64" i="32"/>
  <c r="G63" i="32"/>
  <c r="F63" i="32"/>
  <c r="E63" i="32"/>
  <c r="D63" i="32"/>
  <c r="C63" i="32"/>
  <c r="G62" i="32"/>
  <c r="F62" i="32"/>
  <c r="E62" i="32"/>
  <c r="D62" i="32"/>
  <c r="C62" i="32"/>
  <c r="G61" i="32"/>
  <c r="F61" i="32"/>
  <c r="E61" i="32"/>
  <c r="D61" i="32"/>
  <c r="C61" i="32"/>
  <c r="G60" i="32"/>
  <c r="F60" i="32"/>
  <c r="E60" i="32"/>
  <c r="D60" i="32"/>
  <c r="C60" i="32"/>
  <c r="G59" i="32"/>
  <c r="F59" i="32"/>
  <c r="E59" i="32"/>
  <c r="D59" i="32"/>
  <c r="C59" i="32"/>
  <c r="G58" i="32"/>
  <c r="F58" i="32"/>
  <c r="E58" i="32"/>
  <c r="D58" i="32"/>
  <c r="C58" i="32"/>
  <c r="G57" i="32"/>
  <c r="F57" i="32"/>
  <c r="E57" i="32"/>
  <c r="D57" i="32"/>
  <c r="C57" i="32"/>
  <c r="G56" i="32"/>
  <c r="F56" i="32"/>
  <c r="E56" i="32"/>
  <c r="D56" i="32"/>
  <c r="C56" i="32"/>
  <c r="G55" i="32"/>
  <c r="F55" i="32"/>
  <c r="E55" i="32"/>
  <c r="D55" i="32"/>
  <c r="C55" i="32"/>
  <c r="G54" i="32"/>
  <c r="F54" i="32"/>
  <c r="E54" i="32"/>
  <c r="D54" i="32"/>
  <c r="C54" i="32"/>
  <c r="G53" i="32"/>
  <c r="F53" i="32"/>
  <c r="E53" i="32"/>
  <c r="D53" i="32"/>
  <c r="C53" i="32"/>
  <c r="G52" i="32"/>
  <c r="F52" i="32"/>
  <c r="E52" i="32"/>
  <c r="D52" i="32"/>
  <c r="C52" i="32"/>
  <c r="G51" i="32"/>
  <c r="F51" i="32"/>
  <c r="E51" i="32"/>
  <c r="D51" i="32"/>
  <c r="C51" i="32"/>
  <c r="G50" i="32"/>
  <c r="F50" i="32"/>
  <c r="E50" i="32"/>
  <c r="D50" i="32"/>
  <c r="C50" i="32"/>
  <c r="G49" i="32"/>
  <c r="F49" i="32"/>
  <c r="E49" i="32"/>
  <c r="D49" i="32"/>
  <c r="C49" i="32"/>
  <c r="G48" i="32"/>
  <c r="F48" i="32"/>
  <c r="E48" i="32"/>
  <c r="D48" i="32"/>
  <c r="C48" i="32"/>
  <c r="G47" i="32"/>
  <c r="F47" i="32"/>
  <c r="E47" i="32"/>
  <c r="D47" i="32"/>
  <c r="C47" i="32"/>
  <c r="G46" i="32"/>
  <c r="F46" i="32"/>
  <c r="E46" i="32"/>
  <c r="D46" i="32"/>
  <c r="C46" i="32"/>
  <c r="G45" i="32"/>
  <c r="F45" i="32"/>
  <c r="E45" i="32"/>
  <c r="D45" i="32"/>
  <c r="C45" i="32"/>
  <c r="G44" i="32"/>
  <c r="F44" i="32"/>
  <c r="E44" i="32"/>
  <c r="D44" i="32"/>
  <c r="C44" i="32"/>
  <c r="G43" i="32"/>
  <c r="F43" i="32"/>
  <c r="E43" i="32"/>
  <c r="D43" i="32"/>
  <c r="C43" i="32"/>
  <c r="G42" i="32"/>
  <c r="F42" i="32"/>
  <c r="E42" i="32"/>
  <c r="D42" i="32"/>
  <c r="C42" i="32"/>
  <c r="G41" i="32"/>
  <c r="F41" i="32"/>
  <c r="E41" i="32"/>
  <c r="D41" i="32"/>
  <c r="C41" i="32"/>
  <c r="G40" i="32"/>
  <c r="F40" i="32"/>
  <c r="E40" i="32"/>
  <c r="D40" i="32"/>
  <c r="C40" i="32"/>
  <c r="G39" i="32"/>
  <c r="F39" i="32"/>
  <c r="E39" i="32"/>
  <c r="D39" i="32"/>
  <c r="C39" i="32"/>
  <c r="G38" i="32"/>
  <c r="F38" i="32"/>
  <c r="E38" i="32"/>
  <c r="D38" i="32"/>
  <c r="C38" i="32"/>
  <c r="G37" i="32"/>
  <c r="F37" i="32"/>
  <c r="E37" i="32"/>
  <c r="D37" i="32"/>
  <c r="C37" i="32"/>
  <c r="G36" i="32"/>
  <c r="F36" i="32"/>
  <c r="E36" i="32"/>
  <c r="D36" i="32"/>
  <c r="C36" i="32"/>
  <c r="G35" i="32"/>
  <c r="F35" i="32"/>
  <c r="E35" i="32"/>
  <c r="D35" i="32"/>
  <c r="C35" i="32"/>
  <c r="G34" i="32"/>
  <c r="F34" i="32"/>
  <c r="E34" i="32"/>
  <c r="D34" i="32"/>
  <c r="C34" i="32"/>
  <c r="G33" i="32"/>
  <c r="F33" i="32"/>
  <c r="E33" i="32"/>
  <c r="D33" i="32"/>
  <c r="C33" i="32"/>
  <c r="G32" i="32"/>
  <c r="F32" i="32"/>
  <c r="E32" i="32"/>
  <c r="D32" i="32"/>
  <c r="C32" i="32"/>
  <c r="G31" i="32"/>
  <c r="F31" i="32"/>
  <c r="E31" i="32"/>
  <c r="D31" i="32"/>
  <c r="C31" i="32"/>
  <c r="G30" i="32"/>
  <c r="F30" i="32"/>
  <c r="E30" i="32"/>
  <c r="D30" i="32"/>
  <c r="C30" i="32"/>
  <c r="G29" i="32"/>
  <c r="F29" i="32"/>
  <c r="E29" i="32"/>
  <c r="D29" i="32"/>
  <c r="C29" i="32"/>
  <c r="G28" i="32"/>
  <c r="F28" i="32"/>
  <c r="E28" i="32"/>
  <c r="D28" i="32"/>
  <c r="C28" i="32"/>
  <c r="G27" i="32"/>
  <c r="F27" i="32"/>
  <c r="E27" i="32"/>
  <c r="D27" i="32"/>
  <c r="C27" i="32"/>
  <c r="G26" i="32"/>
  <c r="F26" i="32"/>
  <c r="E26" i="32"/>
  <c r="D26" i="32"/>
  <c r="C26" i="32"/>
  <c r="G25" i="32"/>
  <c r="F25" i="32"/>
  <c r="E25" i="32"/>
  <c r="D25" i="32"/>
  <c r="C25" i="32"/>
  <c r="G24" i="32"/>
  <c r="F24" i="32"/>
  <c r="E24" i="32"/>
  <c r="D24" i="32"/>
  <c r="C24" i="32"/>
  <c r="G23" i="32"/>
  <c r="F23" i="32"/>
  <c r="E23" i="32"/>
  <c r="D23" i="32"/>
  <c r="C23" i="32"/>
  <c r="G22" i="32"/>
  <c r="F22" i="32"/>
  <c r="E22" i="32"/>
  <c r="D22" i="32"/>
  <c r="C22" i="32"/>
  <c r="G21" i="32"/>
  <c r="F21" i="32"/>
  <c r="E21" i="32"/>
  <c r="D21" i="32"/>
  <c r="C21" i="32"/>
  <c r="G20" i="32"/>
  <c r="F20" i="32"/>
  <c r="E20" i="32"/>
  <c r="D20" i="32"/>
  <c r="C20" i="32"/>
  <c r="G19" i="32"/>
  <c r="F19" i="32"/>
  <c r="E19" i="32"/>
  <c r="D19" i="32"/>
  <c r="C19" i="32"/>
  <c r="G18" i="32"/>
  <c r="F18" i="32"/>
  <c r="E18" i="32"/>
  <c r="D18" i="32"/>
  <c r="C18" i="32"/>
  <c r="G17" i="32"/>
  <c r="F17" i="32"/>
  <c r="E17" i="32"/>
  <c r="D17" i="32"/>
  <c r="C17" i="32"/>
  <c r="G16" i="32"/>
  <c r="F16" i="32"/>
  <c r="E16" i="32"/>
  <c r="D16" i="32"/>
  <c r="C16" i="32"/>
  <c r="G15" i="32"/>
  <c r="F15" i="32"/>
  <c r="E15" i="32"/>
  <c r="D15" i="32"/>
  <c r="C15" i="32"/>
  <c r="G14" i="32"/>
  <c r="F14" i="32"/>
  <c r="E14" i="32"/>
  <c r="D14" i="32"/>
  <c r="C14" i="32"/>
  <c r="G13" i="32"/>
  <c r="F13" i="32"/>
  <c r="E13" i="32"/>
  <c r="D13" i="32"/>
  <c r="C13" i="32"/>
  <c r="G12" i="32"/>
  <c r="F12" i="32"/>
  <c r="E12" i="32"/>
  <c r="D12" i="32"/>
  <c r="C12" i="32"/>
  <c r="G11" i="32"/>
  <c r="F11" i="32"/>
  <c r="E11" i="32"/>
  <c r="D11" i="32"/>
  <c r="C11" i="32"/>
  <c r="G10" i="32"/>
  <c r="F10" i="32"/>
  <c r="E10" i="32"/>
  <c r="D10" i="32"/>
  <c r="C10" i="32"/>
  <c r="G9" i="32"/>
  <c r="F9" i="32"/>
  <c r="E9" i="32"/>
  <c r="D9" i="32"/>
  <c r="C9" i="32"/>
  <c r="G8" i="32"/>
  <c r="F8" i="32"/>
  <c r="E8" i="32"/>
  <c r="D8" i="32"/>
  <c r="C8" i="32"/>
  <c r="G7" i="32"/>
  <c r="F7" i="32"/>
  <c r="E7" i="32"/>
  <c r="D7" i="32"/>
  <c r="C7" i="32"/>
  <c r="G6" i="32"/>
  <c r="F6" i="32"/>
  <c r="E6" i="32"/>
  <c r="D6" i="32"/>
  <c r="C6" i="32"/>
  <c r="G5" i="32"/>
  <c r="F5" i="32"/>
  <c r="E5" i="32"/>
  <c r="D5" i="32"/>
  <c r="C5" i="32"/>
  <c r="G4" i="32"/>
  <c r="F4" i="32"/>
  <c r="E4" i="32"/>
  <c r="D4" i="32"/>
  <c r="C4" i="32"/>
  <c r="G3" i="32"/>
  <c r="F3" i="32"/>
  <c r="E3" i="32"/>
  <c r="D3" i="32"/>
  <c r="C3" i="32"/>
  <c r="G2" i="32"/>
  <c r="F2" i="32"/>
  <c r="E2" i="32"/>
  <c r="D2" i="32"/>
  <c r="C2" i="32"/>
  <c r="S1" i="32"/>
  <c r="R1" i="32"/>
  <c r="Q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1" i="32"/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C68" i="31"/>
  <c r="D68" i="31"/>
  <c r="E68" i="31"/>
  <c r="F68" i="31"/>
  <c r="G68" i="31"/>
  <c r="C69" i="31"/>
  <c r="D69" i="31"/>
  <c r="E69" i="31"/>
  <c r="F69" i="31"/>
  <c r="G69" i="31"/>
  <c r="C70" i="31"/>
  <c r="D70" i="31"/>
  <c r="E70" i="31"/>
  <c r="F70" i="31"/>
  <c r="G70" i="31"/>
  <c r="C71" i="31"/>
  <c r="D71" i="31"/>
  <c r="E71" i="31"/>
  <c r="F71" i="31"/>
  <c r="G71" i="31"/>
  <c r="C72" i="31"/>
  <c r="D72" i="31"/>
  <c r="E72" i="31"/>
  <c r="F72" i="31"/>
  <c r="G72" i="31"/>
  <c r="C73" i="31"/>
  <c r="D73" i="31"/>
  <c r="E73" i="31"/>
  <c r="F73" i="31"/>
  <c r="G73" i="31"/>
  <c r="C74" i="31"/>
  <c r="D74" i="31"/>
  <c r="E74" i="31"/>
  <c r="F74" i="31"/>
  <c r="G74" i="31"/>
  <c r="C75" i="31"/>
  <c r="D75" i="31"/>
  <c r="E75" i="31"/>
  <c r="F75" i="31"/>
  <c r="G75" i="31"/>
  <c r="C76" i="31"/>
  <c r="D76" i="31"/>
  <c r="E76" i="31"/>
  <c r="F76" i="31"/>
  <c r="G76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G2" i="31"/>
  <c r="F2" i="31"/>
  <c r="E2" i="31"/>
  <c r="D2" i="31"/>
  <c r="C2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A1" i="24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C59" i="24"/>
  <c r="D59" i="24"/>
  <c r="E59" i="24"/>
  <c r="F59" i="24"/>
  <c r="G59" i="24"/>
  <c r="C60" i="24"/>
  <c r="D60" i="24"/>
  <c r="E60" i="24"/>
  <c r="F60" i="24"/>
  <c r="G60" i="24"/>
  <c r="C61" i="24"/>
  <c r="D61" i="24"/>
  <c r="E61" i="24"/>
  <c r="F61" i="24"/>
  <c r="G61" i="24"/>
  <c r="C62" i="24"/>
  <c r="D62" i="24"/>
  <c r="E62" i="24"/>
  <c r="F62" i="24"/>
  <c r="G62" i="24"/>
  <c r="C63" i="24"/>
  <c r="D63" i="24"/>
  <c r="E63" i="24"/>
  <c r="F63" i="24"/>
  <c r="G63" i="24"/>
  <c r="C64" i="24"/>
  <c r="D64" i="24"/>
  <c r="E64" i="24"/>
  <c r="F64" i="24"/>
  <c r="G64" i="24"/>
  <c r="C65" i="24"/>
  <c r="D65" i="24"/>
  <c r="E65" i="24"/>
  <c r="F65" i="24"/>
  <c r="G65" i="24"/>
  <c r="C66" i="24"/>
  <c r="D66" i="24"/>
  <c r="E66" i="24"/>
  <c r="F66" i="24"/>
  <c r="G66" i="24"/>
  <c r="C67" i="24"/>
  <c r="D67" i="24"/>
  <c r="E67" i="24"/>
  <c r="F67" i="24"/>
  <c r="G67" i="24"/>
  <c r="C68" i="24"/>
  <c r="D68" i="24"/>
  <c r="E68" i="24"/>
  <c r="F68" i="24"/>
  <c r="G68" i="24"/>
  <c r="C69" i="24"/>
  <c r="D69" i="24"/>
  <c r="E69" i="24"/>
  <c r="F69" i="24"/>
  <c r="G69" i="24"/>
  <c r="C70" i="24"/>
  <c r="D70" i="24"/>
  <c r="E70" i="24"/>
  <c r="F70" i="24"/>
  <c r="G70" i="24"/>
  <c r="C71" i="24"/>
  <c r="D71" i="24"/>
  <c r="E71" i="24"/>
  <c r="F71" i="24"/>
  <c r="G71" i="24"/>
  <c r="C72" i="24"/>
  <c r="D72" i="24"/>
  <c r="E72" i="24"/>
  <c r="F72" i="24"/>
  <c r="G72" i="24"/>
  <c r="C73" i="24"/>
  <c r="D73" i="24"/>
  <c r="E73" i="24"/>
  <c r="F73" i="24"/>
  <c r="G73" i="24"/>
  <c r="C74" i="24"/>
  <c r="D74" i="24"/>
  <c r="E74" i="24"/>
  <c r="F74" i="24"/>
  <c r="G74" i="24"/>
  <c r="C75" i="24"/>
  <c r="D75" i="24"/>
  <c r="E75" i="24"/>
  <c r="F75" i="24"/>
  <c r="G75" i="24"/>
  <c r="C76" i="24"/>
  <c r="D76" i="24"/>
  <c r="E76" i="24"/>
  <c r="F76" i="24"/>
  <c r="G76" i="24"/>
  <c r="C77" i="24"/>
  <c r="D77" i="24"/>
  <c r="E77" i="24"/>
  <c r="F77" i="24"/>
  <c r="G77" i="24"/>
  <c r="C78" i="24"/>
  <c r="D78" i="24"/>
  <c r="E78" i="24"/>
  <c r="F78" i="24"/>
  <c r="G78" i="24"/>
  <c r="C79" i="24"/>
  <c r="D79" i="24"/>
  <c r="E79" i="24"/>
  <c r="F79" i="24"/>
  <c r="G79" i="24"/>
  <c r="G2" i="24"/>
  <c r="F2" i="24"/>
  <c r="E2" i="24"/>
  <c r="D2" i="24"/>
  <c r="C2" i="24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C59" i="25"/>
  <c r="D59" i="25"/>
  <c r="E59" i="25"/>
  <c r="F59" i="25"/>
  <c r="G59" i="25"/>
  <c r="C60" i="25"/>
  <c r="D60" i="25"/>
  <c r="E60" i="25"/>
  <c r="F60" i="25"/>
  <c r="G60" i="25"/>
  <c r="C61" i="25"/>
  <c r="D61" i="25"/>
  <c r="E61" i="25"/>
  <c r="F61" i="25"/>
  <c r="G61" i="25"/>
  <c r="C62" i="25"/>
  <c r="D62" i="25"/>
  <c r="E62" i="25"/>
  <c r="F62" i="25"/>
  <c r="G62" i="25"/>
  <c r="C63" i="25"/>
  <c r="D63" i="25"/>
  <c r="E63" i="25"/>
  <c r="F63" i="25"/>
  <c r="G63" i="25"/>
  <c r="C64" i="25"/>
  <c r="D64" i="25"/>
  <c r="E64" i="25"/>
  <c r="F64" i="25"/>
  <c r="G64" i="25"/>
  <c r="C65" i="25"/>
  <c r="D65" i="25"/>
  <c r="E65" i="25"/>
  <c r="F65" i="25"/>
  <c r="G65" i="25"/>
  <c r="C66" i="25"/>
  <c r="D66" i="25"/>
  <c r="E66" i="25"/>
  <c r="F66" i="25"/>
  <c r="G66" i="25"/>
  <c r="C67" i="25"/>
  <c r="D67" i="25"/>
  <c r="E67" i="25"/>
  <c r="F67" i="25"/>
  <c r="G67" i="25"/>
  <c r="C68" i="25"/>
  <c r="D68" i="25"/>
  <c r="E68" i="25"/>
  <c r="F68" i="25"/>
  <c r="G68" i="25"/>
  <c r="C69" i="25"/>
  <c r="D69" i="25"/>
  <c r="E69" i="25"/>
  <c r="F69" i="25"/>
  <c r="G69" i="25"/>
  <c r="C70" i="25"/>
  <c r="D70" i="25"/>
  <c r="E70" i="25"/>
  <c r="F70" i="25"/>
  <c r="G70" i="25"/>
  <c r="C71" i="25"/>
  <c r="D71" i="25"/>
  <c r="E71" i="25"/>
  <c r="F71" i="25"/>
  <c r="G71" i="25"/>
  <c r="C72" i="25"/>
  <c r="D72" i="25"/>
  <c r="E72" i="25"/>
  <c r="F72" i="25"/>
  <c r="G72" i="25"/>
  <c r="C73" i="25"/>
  <c r="D73" i="25"/>
  <c r="E73" i="25"/>
  <c r="F73" i="25"/>
  <c r="G73" i="25"/>
  <c r="C74" i="25"/>
  <c r="D74" i="25"/>
  <c r="E74" i="25"/>
  <c r="F74" i="25"/>
  <c r="G74" i="25"/>
  <c r="C75" i="25"/>
  <c r="D75" i="25"/>
  <c r="E75" i="25"/>
  <c r="F75" i="25"/>
  <c r="G75" i="25"/>
  <c r="C76" i="25"/>
  <c r="D76" i="25"/>
  <c r="E76" i="25"/>
  <c r="F76" i="25"/>
  <c r="G76" i="25"/>
  <c r="C77" i="25"/>
  <c r="D77" i="25"/>
  <c r="E77" i="25"/>
  <c r="F77" i="25"/>
  <c r="G77" i="25"/>
  <c r="C78" i="25"/>
  <c r="D78" i="25"/>
  <c r="E78" i="25"/>
  <c r="F78" i="25"/>
  <c r="G78" i="25"/>
  <c r="C79" i="25"/>
  <c r="D79" i="25"/>
  <c r="E79" i="25"/>
  <c r="F79" i="25"/>
  <c r="G79" i="25"/>
  <c r="G2" i="25"/>
  <c r="F2" i="25"/>
  <c r="E2" i="25"/>
  <c r="D2" i="25"/>
  <c r="C2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C58" i="23"/>
  <c r="D58" i="23"/>
  <c r="E58" i="23"/>
  <c r="F58" i="23"/>
  <c r="G58" i="23"/>
  <c r="C59" i="23"/>
  <c r="D59" i="23"/>
  <c r="E59" i="23"/>
  <c r="F59" i="23"/>
  <c r="G59" i="23"/>
  <c r="C60" i="23"/>
  <c r="D60" i="23"/>
  <c r="E60" i="23"/>
  <c r="F60" i="23"/>
  <c r="G60" i="23"/>
  <c r="C61" i="23"/>
  <c r="D61" i="23"/>
  <c r="E61" i="23"/>
  <c r="F61" i="23"/>
  <c r="G61" i="23"/>
  <c r="C62" i="23"/>
  <c r="D62" i="23"/>
  <c r="E62" i="23"/>
  <c r="F62" i="23"/>
  <c r="G62" i="23"/>
  <c r="C63" i="23"/>
  <c r="D63" i="23"/>
  <c r="E63" i="23"/>
  <c r="F63" i="23"/>
  <c r="G63" i="23"/>
  <c r="C64" i="23"/>
  <c r="D64" i="23"/>
  <c r="E64" i="23"/>
  <c r="F64" i="23"/>
  <c r="G64" i="23"/>
  <c r="C65" i="23"/>
  <c r="D65" i="23"/>
  <c r="E65" i="23"/>
  <c r="F65" i="23"/>
  <c r="G65" i="23"/>
  <c r="C66" i="23"/>
  <c r="D66" i="23"/>
  <c r="E66" i="23"/>
  <c r="F66" i="23"/>
  <c r="G66" i="23"/>
  <c r="C67" i="23"/>
  <c r="D67" i="23"/>
  <c r="E67" i="23"/>
  <c r="F67" i="23"/>
  <c r="G67" i="23"/>
  <c r="C68" i="23"/>
  <c r="D68" i="23"/>
  <c r="E68" i="23"/>
  <c r="F68" i="23"/>
  <c r="G68" i="23"/>
  <c r="C69" i="23"/>
  <c r="D69" i="23"/>
  <c r="E69" i="23"/>
  <c r="F69" i="23"/>
  <c r="G69" i="23"/>
  <c r="C70" i="23"/>
  <c r="D70" i="23"/>
  <c r="E70" i="23"/>
  <c r="F70" i="23"/>
  <c r="G70" i="23"/>
  <c r="C71" i="23"/>
  <c r="D71" i="23"/>
  <c r="E71" i="23"/>
  <c r="F71" i="23"/>
  <c r="G71" i="23"/>
  <c r="C72" i="23"/>
  <c r="D72" i="23"/>
  <c r="E72" i="23"/>
  <c r="F72" i="23"/>
  <c r="G72" i="23"/>
  <c r="C73" i="23"/>
  <c r="D73" i="23"/>
  <c r="E73" i="23"/>
  <c r="F73" i="23"/>
  <c r="G73" i="23"/>
  <c r="C74" i="23"/>
  <c r="D74" i="23"/>
  <c r="E74" i="23"/>
  <c r="F74" i="23"/>
  <c r="G74" i="23"/>
  <c r="C75" i="23"/>
  <c r="D75" i="23"/>
  <c r="E75" i="23"/>
  <c r="F75" i="23"/>
  <c r="G75" i="23"/>
  <c r="C76" i="23"/>
  <c r="D76" i="23"/>
  <c r="E76" i="23"/>
  <c r="F76" i="23"/>
  <c r="G76" i="23"/>
  <c r="G2" i="23"/>
  <c r="F2" i="23"/>
  <c r="E2" i="23"/>
  <c r="D2" i="23"/>
  <c r="C2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C58" i="22"/>
  <c r="D58" i="22"/>
  <c r="E58" i="22"/>
  <c r="F58" i="22"/>
  <c r="G58" i="22"/>
  <c r="C59" i="22"/>
  <c r="D59" i="22"/>
  <c r="E59" i="22"/>
  <c r="F59" i="22"/>
  <c r="G59" i="22"/>
  <c r="C60" i="22"/>
  <c r="D60" i="22"/>
  <c r="E60" i="22"/>
  <c r="F60" i="22"/>
  <c r="G60" i="22"/>
  <c r="C61" i="22"/>
  <c r="D61" i="22"/>
  <c r="E61" i="22"/>
  <c r="F61" i="22"/>
  <c r="G61" i="22"/>
  <c r="C62" i="22"/>
  <c r="D62" i="22"/>
  <c r="E62" i="22"/>
  <c r="F62" i="22"/>
  <c r="G62" i="22"/>
  <c r="C63" i="22"/>
  <c r="D63" i="22"/>
  <c r="E63" i="22"/>
  <c r="F63" i="22"/>
  <c r="G63" i="22"/>
  <c r="C64" i="22"/>
  <c r="D64" i="22"/>
  <c r="E64" i="22"/>
  <c r="F64" i="22"/>
  <c r="G64" i="22"/>
  <c r="C65" i="22"/>
  <c r="D65" i="22"/>
  <c r="E65" i="22"/>
  <c r="F65" i="22"/>
  <c r="G65" i="22"/>
  <c r="C66" i="22"/>
  <c r="D66" i="22"/>
  <c r="E66" i="22"/>
  <c r="F66" i="22"/>
  <c r="G66" i="22"/>
  <c r="C67" i="22"/>
  <c r="D67" i="22"/>
  <c r="E67" i="22"/>
  <c r="F67" i="22"/>
  <c r="G67" i="22"/>
  <c r="C68" i="22"/>
  <c r="D68" i="22"/>
  <c r="E68" i="22"/>
  <c r="F68" i="22"/>
  <c r="G68" i="22"/>
  <c r="C69" i="22"/>
  <c r="D69" i="22"/>
  <c r="E69" i="22"/>
  <c r="F69" i="22"/>
  <c r="G69" i="22"/>
  <c r="C70" i="22"/>
  <c r="D70" i="22"/>
  <c r="E70" i="22"/>
  <c r="F70" i="22"/>
  <c r="G70" i="22"/>
  <c r="C71" i="22"/>
  <c r="D71" i="22"/>
  <c r="E71" i="22"/>
  <c r="F71" i="22"/>
  <c r="G71" i="22"/>
  <c r="C72" i="22"/>
  <c r="D72" i="22"/>
  <c r="E72" i="22"/>
  <c r="F72" i="22"/>
  <c r="G72" i="22"/>
  <c r="C73" i="22"/>
  <c r="D73" i="22"/>
  <c r="E73" i="22"/>
  <c r="F73" i="22"/>
  <c r="G73" i="22"/>
  <c r="C74" i="22"/>
  <c r="D74" i="22"/>
  <c r="E74" i="22"/>
  <c r="F74" i="22"/>
  <c r="G74" i="22"/>
  <c r="C75" i="22"/>
  <c r="D75" i="22"/>
  <c r="E75" i="22"/>
  <c r="F75" i="22"/>
  <c r="G75" i="22"/>
  <c r="C76" i="22"/>
  <c r="D76" i="22"/>
  <c r="E76" i="22"/>
  <c r="F76" i="22"/>
  <c r="G76" i="22"/>
  <c r="C77" i="22"/>
  <c r="D77" i="22"/>
  <c r="E77" i="22"/>
  <c r="F77" i="22"/>
  <c r="G77" i="22"/>
  <c r="G3" i="22"/>
  <c r="F3" i="22"/>
  <c r="E3" i="22"/>
  <c r="D3" i="22"/>
  <c r="C3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A2" i="22"/>
  <c r="C3" i="21"/>
  <c r="D3" i="21"/>
  <c r="E3" i="21"/>
  <c r="F3" i="21"/>
  <c r="G3" i="21"/>
  <c r="C4" i="21"/>
  <c r="D4" i="21"/>
  <c r="E4" i="21"/>
  <c r="F4" i="21"/>
  <c r="G4" i="21"/>
  <c r="C5" i="21"/>
  <c r="D5" i="21"/>
  <c r="E5" i="21"/>
  <c r="F5" i="21"/>
  <c r="G5" i="21"/>
  <c r="C6" i="21"/>
  <c r="D6" i="21"/>
  <c r="E6" i="21"/>
  <c r="F6" i="21"/>
  <c r="G6" i="21"/>
  <c r="C7" i="21"/>
  <c r="D7" i="21"/>
  <c r="E7" i="21"/>
  <c r="F7" i="21"/>
  <c r="G7" i="21"/>
  <c r="C8" i="21"/>
  <c r="D8" i="21"/>
  <c r="E8" i="21"/>
  <c r="F8" i="21"/>
  <c r="G8" i="21"/>
  <c r="C9" i="21"/>
  <c r="D9" i="21"/>
  <c r="E9" i="21"/>
  <c r="F9" i="21"/>
  <c r="G9" i="21"/>
  <c r="C10" i="21"/>
  <c r="D10" i="21"/>
  <c r="E10" i="21"/>
  <c r="F10" i="21"/>
  <c r="G10" i="21"/>
  <c r="C11" i="21"/>
  <c r="D11" i="21"/>
  <c r="E11" i="21"/>
  <c r="F11" i="21"/>
  <c r="G11" i="21"/>
  <c r="C12" i="21"/>
  <c r="D12" i="21"/>
  <c r="E12" i="21"/>
  <c r="F12" i="21"/>
  <c r="G12" i="21"/>
  <c r="C13" i="21"/>
  <c r="D13" i="21"/>
  <c r="E13" i="21"/>
  <c r="F13" i="21"/>
  <c r="G13" i="21"/>
  <c r="C14" i="21"/>
  <c r="D14" i="21"/>
  <c r="E14" i="21"/>
  <c r="F14" i="21"/>
  <c r="G14" i="21"/>
  <c r="C15" i="21"/>
  <c r="D15" i="21"/>
  <c r="E15" i="21"/>
  <c r="F15" i="21"/>
  <c r="G15" i="21"/>
  <c r="C16" i="21"/>
  <c r="D16" i="21"/>
  <c r="E16" i="21"/>
  <c r="F16" i="21"/>
  <c r="G16" i="21"/>
  <c r="C17" i="21"/>
  <c r="D17" i="21"/>
  <c r="E17" i="21"/>
  <c r="F17" i="21"/>
  <c r="G17" i="21"/>
  <c r="C18" i="21"/>
  <c r="D18" i="21"/>
  <c r="E18" i="21"/>
  <c r="F18" i="21"/>
  <c r="G18" i="21"/>
  <c r="C19" i="21"/>
  <c r="D19" i="21"/>
  <c r="E19" i="21"/>
  <c r="F19" i="21"/>
  <c r="G19" i="21"/>
  <c r="C20" i="21"/>
  <c r="D20" i="21"/>
  <c r="E20" i="21"/>
  <c r="F20" i="21"/>
  <c r="G20" i="21"/>
  <c r="C21" i="21"/>
  <c r="D21" i="21"/>
  <c r="E21" i="21"/>
  <c r="F21" i="21"/>
  <c r="G21" i="21"/>
  <c r="C22" i="21"/>
  <c r="D22" i="21"/>
  <c r="E22" i="21"/>
  <c r="F22" i="21"/>
  <c r="G22" i="21"/>
  <c r="C23" i="21"/>
  <c r="D23" i="21"/>
  <c r="E23" i="21"/>
  <c r="F23" i="21"/>
  <c r="G23" i="21"/>
  <c r="C24" i="21"/>
  <c r="D24" i="21"/>
  <c r="E24" i="21"/>
  <c r="F24" i="21"/>
  <c r="G24" i="21"/>
  <c r="C25" i="21"/>
  <c r="D25" i="21"/>
  <c r="E25" i="21"/>
  <c r="F25" i="21"/>
  <c r="G25" i="21"/>
  <c r="C26" i="21"/>
  <c r="D26" i="21"/>
  <c r="E26" i="21"/>
  <c r="F26" i="21"/>
  <c r="G26" i="21"/>
  <c r="C27" i="21"/>
  <c r="D27" i="21"/>
  <c r="E27" i="21"/>
  <c r="F27" i="21"/>
  <c r="G27" i="21"/>
  <c r="C28" i="21"/>
  <c r="D28" i="21"/>
  <c r="E28" i="21"/>
  <c r="F28" i="21"/>
  <c r="G28" i="21"/>
  <c r="C29" i="21"/>
  <c r="D29" i="21"/>
  <c r="E29" i="21"/>
  <c r="F29" i="21"/>
  <c r="G29" i="21"/>
  <c r="C30" i="21"/>
  <c r="D30" i="21"/>
  <c r="E30" i="21"/>
  <c r="F30" i="21"/>
  <c r="G30" i="21"/>
  <c r="C31" i="21"/>
  <c r="D31" i="21"/>
  <c r="E31" i="21"/>
  <c r="F31" i="21"/>
  <c r="G31" i="21"/>
  <c r="C32" i="21"/>
  <c r="D32" i="21"/>
  <c r="E32" i="21"/>
  <c r="F32" i="21"/>
  <c r="G32" i="21"/>
  <c r="C33" i="21"/>
  <c r="D33" i="21"/>
  <c r="E33" i="21"/>
  <c r="F33" i="21"/>
  <c r="G33" i="21"/>
  <c r="C34" i="21"/>
  <c r="D34" i="21"/>
  <c r="E34" i="21"/>
  <c r="F34" i="21"/>
  <c r="G34" i="21"/>
  <c r="C35" i="21"/>
  <c r="D35" i="21"/>
  <c r="E35" i="21"/>
  <c r="F35" i="21"/>
  <c r="G35" i="21"/>
  <c r="C36" i="21"/>
  <c r="D36" i="21"/>
  <c r="E36" i="21"/>
  <c r="F36" i="21"/>
  <c r="G36" i="21"/>
  <c r="C37" i="21"/>
  <c r="D37" i="21"/>
  <c r="E37" i="21"/>
  <c r="F37" i="21"/>
  <c r="G37" i="21"/>
  <c r="C38" i="21"/>
  <c r="D38" i="21"/>
  <c r="E38" i="21"/>
  <c r="F38" i="21"/>
  <c r="G38" i="21"/>
  <c r="C39" i="21"/>
  <c r="D39" i="21"/>
  <c r="E39" i="21"/>
  <c r="F39" i="21"/>
  <c r="G39" i="21"/>
  <c r="C40" i="21"/>
  <c r="D40" i="21"/>
  <c r="E40" i="21"/>
  <c r="F40" i="21"/>
  <c r="G40" i="21"/>
  <c r="C41" i="21"/>
  <c r="D41" i="21"/>
  <c r="E41" i="21"/>
  <c r="F41" i="21"/>
  <c r="G41" i="21"/>
  <c r="C42" i="21"/>
  <c r="D42" i="21"/>
  <c r="E42" i="21"/>
  <c r="F42" i="21"/>
  <c r="G42" i="21"/>
  <c r="C43" i="21"/>
  <c r="D43" i="21"/>
  <c r="E43" i="21"/>
  <c r="F43" i="21"/>
  <c r="G43" i="21"/>
  <c r="C44" i="21"/>
  <c r="D44" i="21"/>
  <c r="E44" i="21"/>
  <c r="F44" i="21"/>
  <c r="G44" i="21"/>
  <c r="C45" i="21"/>
  <c r="D45" i="21"/>
  <c r="E45" i="21"/>
  <c r="F45" i="21"/>
  <c r="G45" i="21"/>
  <c r="C46" i="21"/>
  <c r="D46" i="21"/>
  <c r="E46" i="21"/>
  <c r="F46" i="21"/>
  <c r="G46" i="21"/>
  <c r="C47" i="21"/>
  <c r="D47" i="21"/>
  <c r="E47" i="21"/>
  <c r="F47" i="21"/>
  <c r="G47" i="21"/>
  <c r="C48" i="21"/>
  <c r="D48" i="21"/>
  <c r="E48" i="21"/>
  <c r="F48" i="21"/>
  <c r="G48" i="21"/>
  <c r="C49" i="21"/>
  <c r="D49" i="21"/>
  <c r="E49" i="21"/>
  <c r="F49" i="21"/>
  <c r="G49" i="21"/>
  <c r="C50" i="21"/>
  <c r="D50" i="21"/>
  <c r="E50" i="21"/>
  <c r="F50" i="21"/>
  <c r="G50" i="21"/>
  <c r="C51" i="21"/>
  <c r="D51" i="21"/>
  <c r="E51" i="21"/>
  <c r="F51" i="21"/>
  <c r="G51" i="21"/>
  <c r="C52" i="21"/>
  <c r="D52" i="21"/>
  <c r="E52" i="21"/>
  <c r="F52" i="21"/>
  <c r="G52" i="21"/>
  <c r="C53" i="21"/>
  <c r="D53" i="21"/>
  <c r="E53" i="21"/>
  <c r="F53" i="21"/>
  <c r="G53" i="21"/>
  <c r="C54" i="21"/>
  <c r="D54" i="21"/>
  <c r="E54" i="21"/>
  <c r="F54" i="21"/>
  <c r="G54" i="21"/>
  <c r="C55" i="21"/>
  <c r="D55" i="21"/>
  <c r="E55" i="21"/>
  <c r="F55" i="21"/>
  <c r="G55" i="21"/>
  <c r="C56" i="21"/>
  <c r="D56" i="21"/>
  <c r="E56" i="21"/>
  <c r="F56" i="21"/>
  <c r="G56" i="21"/>
  <c r="C57" i="21"/>
  <c r="D57" i="21"/>
  <c r="E57" i="21"/>
  <c r="F57" i="21"/>
  <c r="G57" i="21"/>
  <c r="C58" i="21"/>
  <c r="D58" i="21"/>
  <c r="E58" i="21"/>
  <c r="F58" i="21"/>
  <c r="G58" i="21"/>
  <c r="C59" i="21"/>
  <c r="D59" i="21"/>
  <c r="E59" i="21"/>
  <c r="F59" i="21"/>
  <c r="G59" i="21"/>
  <c r="C60" i="21"/>
  <c r="D60" i="21"/>
  <c r="E60" i="21"/>
  <c r="F60" i="21"/>
  <c r="G60" i="21"/>
  <c r="C61" i="21"/>
  <c r="D61" i="21"/>
  <c r="E61" i="21"/>
  <c r="F61" i="21"/>
  <c r="G61" i="21"/>
  <c r="C62" i="21"/>
  <c r="D62" i="21"/>
  <c r="E62" i="21"/>
  <c r="F62" i="21"/>
  <c r="G62" i="21"/>
  <c r="C63" i="21"/>
  <c r="D63" i="21"/>
  <c r="E63" i="21"/>
  <c r="F63" i="21"/>
  <c r="G63" i="21"/>
  <c r="C64" i="21"/>
  <c r="D64" i="21"/>
  <c r="E64" i="21"/>
  <c r="F64" i="21"/>
  <c r="G64" i="21"/>
  <c r="C65" i="21"/>
  <c r="D65" i="21"/>
  <c r="E65" i="21"/>
  <c r="F65" i="21"/>
  <c r="G65" i="21"/>
  <c r="C66" i="21"/>
  <c r="D66" i="21"/>
  <c r="E66" i="21"/>
  <c r="F66" i="21"/>
  <c r="G66" i="21"/>
  <c r="C67" i="21"/>
  <c r="D67" i="21"/>
  <c r="E67" i="21"/>
  <c r="F67" i="21"/>
  <c r="G67" i="21"/>
  <c r="C68" i="21"/>
  <c r="D68" i="21"/>
  <c r="E68" i="21"/>
  <c r="F68" i="21"/>
  <c r="G68" i="21"/>
  <c r="C69" i="21"/>
  <c r="D69" i="21"/>
  <c r="E69" i="21"/>
  <c r="F69" i="21"/>
  <c r="G69" i="21"/>
  <c r="C70" i="21"/>
  <c r="D70" i="21"/>
  <c r="E70" i="21"/>
  <c r="F70" i="21"/>
  <c r="G70" i="21"/>
  <c r="C71" i="21"/>
  <c r="D71" i="21"/>
  <c r="E71" i="21"/>
  <c r="F71" i="21"/>
  <c r="G71" i="21"/>
  <c r="C72" i="21"/>
  <c r="D72" i="21"/>
  <c r="E72" i="21"/>
  <c r="F72" i="21"/>
  <c r="G72" i="21"/>
  <c r="C73" i="21"/>
  <c r="D73" i="21"/>
  <c r="E73" i="21"/>
  <c r="F73" i="21"/>
  <c r="G73" i="21"/>
  <c r="C74" i="21"/>
  <c r="D74" i="21"/>
  <c r="E74" i="21"/>
  <c r="F74" i="21"/>
  <c r="G74" i="21"/>
  <c r="C75" i="21"/>
  <c r="D75" i="21"/>
  <c r="E75" i="21"/>
  <c r="F75" i="21"/>
  <c r="G75" i="21"/>
  <c r="C76" i="21"/>
  <c r="D76" i="21"/>
  <c r="E76" i="21"/>
  <c r="F76" i="21"/>
  <c r="G76" i="21"/>
  <c r="G2" i="21"/>
  <c r="F2" i="21"/>
  <c r="E2" i="21"/>
  <c r="D2" i="21"/>
  <c r="C2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C3" i="20"/>
  <c r="D3" i="20"/>
  <c r="E3" i="20"/>
  <c r="F3" i="20"/>
  <c r="G3" i="20"/>
  <c r="C4" i="20"/>
  <c r="D4" i="20"/>
  <c r="E4" i="20"/>
  <c r="F4" i="20"/>
  <c r="G4" i="20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C10" i="20"/>
  <c r="D10" i="20"/>
  <c r="E10" i="20"/>
  <c r="F10" i="20"/>
  <c r="G10" i="20"/>
  <c r="C11" i="20"/>
  <c r="D11" i="20"/>
  <c r="E11" i="20"/>
  <c r="F11" i="20"/>
  <c r="G11" i="20"/>
  <c r="C12" i="20"/>
  <c r="D12" i="20"/>
  <c r="E12" i="20"/>
  <c r="F12" i="20"/>
  <c r="G12" i="20"/>
  <c r="C13" i="20"/>
  <c r="D13" i="20"/>
  <c r="E13" i="20"/>
  <c r="F13" i="20"/>
  <c r="G13" i="20"/>
  <c r="C14" i="20"/>
  <c r="D14" i="20"/>
  <c r="E14" i="20"/>
  <c r="F14" i="20"/>
  <c r="G14" i="20"/>
  <c r="C15" i="20"/>
  <c r="D15" i="20"/>
  <c r="E15" i="20"/>
  <c r="F15" i="20"/>
  <c r="G15" i="20"/>
  <c r="C16" i="20"/>
  <c r="D16" i="20"/>
  <c r="E16" i="20"/>
  <c r="F16" i="20"/>
  <c r="G16" i="20"/>
  <c r="C17" i="20"/>
  <c r="D17" i="20"/>
  <c r="E17" i="20"/>
  <c r="F17" i="20"/>
  <c r="G17" i="20"/>
  <c r="C18" i="20"/>
  <c r="D18" i="20"/>
  <c r="E18" i="20"/>
  <c r="F18" i="20"/>
  <c r="G18" i="20"/>
  <c r="C19" i="20"/>
  <c r="D19" i="20"/>
  <c r="E19" i="20"/>
  <c r="F19" i="20"/>
  <c r="G19" i="20"/>
  <c r="C20" i="20"/>
  <c r="D20" i="20"/>
  <c r="E20" i="20"/>
  <c r="F20" i="20"/>
  <c r="G20" i="20"/>
  <c r="C21" i="20"/>
  <c r="D21" i="20"/>
  <c r="E21" i="20"/>
  <c r="F21" i="20"/>
  <c r="G21" i="20"/>
  <c r="C22" i="20"/>
  <c r="D22" i="20"/>
  <c r="E22" i="20"/>
  <c r="F22" i="20"/>
  <c r="G22" i="20"/>
  <c r="C23" i="20"/>
  <c r="D23" i="20"/>
  <c r="E23" i="20"/>
  <c r="F23" i="20"/>
  <c r="G23" i="20"/>
  <c r="C24" i="20"/>
  <c r="D24" i="20"/>
  <c r="E24" i="20"/>
  <c r="F24" i="20"/>
  <c r="G24" i="20"/>
  <c r="C25" i="20"/>
  <c r="D25" i="20"/>
  <c r="E25" i="20"/>
  <c r="F25" i="20"/>
  <c r="G25" i="20"/>
  <c r="C26" i="20"/>
  <c r="D26" i="20"/>
  <c r="E26" i="20"/>
  <c r="F26" i="20"/>
  <c r="G26" i="20"/>
  <c r="C27" i="20"/>
  <c r="D27" i="20"/>
  <c r="E27" i="20"/>
  <c r="F27" i="20"/>
  <c r="G27" i="20"/>
  <c r="C28" i="20"/>
  <c r="D28" i="20"/>
  <c r="E28" i="20"/>
  <c r="F28" i="20"/>
  <c r="G28" i="20"/>
  <c r="C29" i="20"/>
  <c r="D29" i="20"/>
  <c r="E29" i="20"/>
  <c r="F29" i="20"/>
  <c r="G29" i="20"/>
  <c r="C30" i="20"/>
  <c r="D30" i="20"/>
  <c r="E30" i="20"/>
  <c r="F30" i="20"/>
  <c r="G30" i="20"/>
  <c r="C31" i="20"/>
  <c r="D31" i="20"/>
  <c r="E31" i="20"/>
  <c r="F31" i="20"/>
  <c r="G31" i="20"/>
  <c r="C32" i="20"/>
  <c r="D32" i="20"/>
  <c r="E32" i="20"/>
  <c r="F32" i="20"/>
  <c r="G32" i="20"/>
  <c r="C33" i="20"/>
  <c r="D33" i="20"/>
  <c r="E33" i="20"/>
  <c r="F33" i="20"/>
  <c r="G33" i="20"/>
  <c r="C34" i="20"/>
  <c r="D34" i="20"/>
  <c r="E34" i="20"/>
  <c r="F34" i="20"/>
  <c r="G34" i="20"/>
  <c r="C35" i="20"/>
  <c r="D35" i="20"/>
  <c r="E35" i="20"/>
  <c r="F35" i="20"/>
  <c r="G35" i="20"/>
  <c r="C36" i="20"/>
  <c r="D36" i="20"/>
  <c r="E36" i="20"/>
  <c r="F36" i="20"/>
  <c r="G36" i="20"/>
  <c r="C37" i="20"/>
  <c r="D37" i="20"/>
  <c r="E37" i="20"/>
  <c r="F37" i="20"/>
  <c r="G37" i="20"/>
  <c r="C38" i="20"/>
  <c r="D38" i="20"/>
  <c r="E38" i="20"/>
  <c r="F38" i="20"/>
  <c r="G38" i="20"/>
  <c r="C39" i="20"/>
  <c r="D39" i="20"/>
  <c r="E39" i="20"/>
  <c r="F39" i="20"/>
  <c r="G39" i="20"/>
  <c r="C40" i="20"/>
  <c r="D40" i="20"/>
  <c r="E40" i="20"/>
  <c r="F40" i="20"/>
  <c r="G40" i="20"/>
  <c r="C41" i="20"/>
  <c r="D41" i="20"/>
  <c r="E41" i="20"/>
  <c r="F41" i="20"/>
  <c r="G41" i="20"/>
  <c r="C42" i="20"/>
  <c r="D42" i="20"/>
  <c r="E42" i="20"/>
  <c r="F42" i="20"/>
  <c r="G42" i="20"/>
  <c r="C43" i="20"/>
  <c r="D43" i="20"/>
  <c r="E43" i="20"/>
  <c r="F43" i="20"/>
  <c r="G43" i="20"/>
  <c r="C44" i="20"/>
  <c r="D44" i="20"/>
  <c r="E44" i="20"/>
  <c r="F44" i="20"/>
  <c r="G44" i="20"/>
  <c r="C45" i="20"/>
  <c r="D45" i="20"/>
  <c r="E45" i="20"/>
  <c r="F45" i="20"/>
  <c r="G45" i="20"/>
  <c r="C46" i="20"/>
  <c r="D46" i="20"/>
  <c r="E46" i="20"/>
  <c r="F46" i="20"/>
  <c r="G46" i="20"/>
  <c r="C47" i="20"/>
  <c r="D47" i="20"/>
  <c r="E47" i="20"/>
  <c r="F47" i="20"/>
  <c r="G47" i="20"/>
  <c r="C48" i="20"/>
  <c r="D48" i="20"/>
  <c r="E48" i="20"/>
  <c r="F48" i="20"/>
  <c r="G48" i="20"/>
  <c r="C49" i="20"/>
  <c r="D49" i="20"/>
  <c r="E49" i="20"/>
  <c r="F49" i="20"/>
  <c r="G49" i="20"/>
  <c r="C50" i="20"/>
  <c r="D50" i="20"/>
  <c r="E50" i="20"/>
  <c r="F50" i="20"/>
  <c r="G50" i="20"/>
  <c r="C51" i="20"/>
  <c r="D51" i="20"/>
  <c r="E51" i="20"/>
  <c r="F51" i="20"/>
  <c r="G51" i="20"/>
  <c r="C52" i="20"/>
  <c r="D52" i="20"/>
  <c r="E52" i="20"/>
  <c r="F52" i="20"/>
  <c r="G52" i="20"/>
  <c r="C53" i="20"/>
  <c r="D53" i="20"/>
  <c r="E53" i="20"/>
  <c r="F53" i="20"/>
  <c r="G53" i="20"/>
  <c r="C54" i="20"/>
  <c r="D54" i="20"/>
  <c r="E54" i="20"/>
  <c r="F54" i="20"/>
  <c r="G54" i="20"/>
  <c r="C55" i="20"/>
  <c r="D55" i="20"/>
  <c r="E55" i="20"/>
  <c r="F55" i="20"/>
  <c r="G55" i="20"/>
  <c r="C56" i="20"/>
  <c r="D56" i="20"/>
  <c r="E56" i="20"/>
  <c r="F56" i="20"/>
  <c r="G56" i="20"/>
  <c r="C57" i="20"/>
  <c r="D57" i="20"/>
  <c r="E57" i="20"/>
  <c r="F57" i="20"/>
  <c r="G57" i="20"/>
  <c r="C58" i="20"/>
  <c r="D58" i="20"/>
  <c r="E58" i="20"/>
  <c r="F58" i="20"/>
  <c r="G58" i="20"/>
  <c r="C59" i="20"/>
  <c r="D59" i="20"/>
  <c r="E59" i="20"/>
  <c r="F59" i="20"/>
  <c r="G59" i="20"/>
  <c r="C60" i="20"/>
  <c r="D60" i="20"/>
  <c r="E60" i="20"/>
  <c r="F60" i="20"/>
  <c r="G60" i="20"/>
  <c r="C61" i="20"/>
  <c r="D61" i="20"/>
  <c r="E61" i="20"/>
  <c r="F61" i="20"/>
  <c r="G61" i="20"/>
  <c r="C62" i="20"/>
  <c r="D62" i="20"/>
  <c r="E62" i="20"/>
  <c r="F62" i="20"/>
  <c r="G62" i="20"/>
  <c r="C63" i="20"/>
  <c r="D63" i="20"/>
  <c r="E63" i="20"/>
  <c r="F63" i="20"/>
  <c r="G63" i="20"/>
  <c r="C64" i="20"/>
  <c r="D64" i="20"/>
  <c r="E64" i="20"/>
  <c r="F64" i="20"/>
  <c r="G64" i="20"/>
  <c r="C65" i="20"/>
  <c r="D65" i="20"/>
  <c r="E65" i="20"/>
  <c r="F65" i="20"/>
  <c r="G65" i="20"/>
  <c r="C66" i="20"/>
  <c r="D66" i="20"/>
  <c r="E66" i="20"/>
  <c r="F66" i="20"/>
  <c r="G66" i="20"/>
  <c r="C67" i="20"/>
  <c r="D67" i="20"/>
  <c r="E67" i="20"/>
  <c r="F67" i="20"/>
  <c r="G67" i="20"/>
  <c r="C68" i="20"/>
  <c r="D68" i="20"/>
  <c r="E68" i="20"/>
  <c r="F68" i="20"/>
  <c r="G68" i="20"/>
  <c r="C69" i="20"/>
  <c r="D69" i="20"/>
  <c r="E69" i="20"/>
  <c r="F69" i="20"/>
  <c r="G69" i="20"/>
  <c r="C70" i="20"/>
  <c r="D70" i="20"/>
  <c r="E70" i="20"/>
  <c r="F70" i="20"/>
  <c r="G70" i="20"/>
  <c r="C71" i="20"/>
  <c r="D71" i="20"/>
  <c r="E71" i="20"/>
  <c r="F71" i="20"/>
  <c r="G71" i="20"/>
  <c r="C72" i="20"/>
  <c r="D72" i="20"/>
  <c r="E72" i="20"/>
  <c r="F72" i="20"/>
  <c r="G72" i="20"/>
  <c r="C73" i="20"/>
  <c r="D73" i="20"/>
  <c r="E73" i="20"/>
  <c r="F73" i="20"/>
  <c r="G73" i="20"/>
  <c r="C74" i="20"/>
  <c r="D74" i="20"/>
  <c r="E74" i="20"/>
  <c r="F74" i="20"/>
  <c r="G74" i="20"/>
  <c r="C75" i="20"/>
  <c r="D75" i="20"/>
  <c r="E75" i="20"/>
  <c r="F75" i="20"/>
  <c r="G75" i="20"/>
  <c r="C76" i="20"/>
  <c r="D76" i="20"/>
  <c r="E76" i="20"/>
  <c r="F76" i="20"/>
  <c r="G76" i="20"/>
  <c r="G2" i="20"/>
  <c r="F2" i="20"/>
  <c r="E2" i="20"/>
  <c r="D2" i="20"/>
  <c r="C2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C77" i="19"/>
  <c r="D77" i="19"/>
  <c r="E77" i="19"/>
  <c r="F77" i="19"/>
  <c r="G77" i="19"/>
  <c r="G3" i="19"/>
  <c r="F3" i="19"/>
  <c r="E3" i="19"/>
  <c r="D3" i="19"/>
  <c r="C3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2" i="19"/>
  <c r="A2" i="19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C58" i="17"/>
  <c r="D58" i="17"/>
  <c r="E58" i="17"/>
  <c r="F58" i="17"/>
  <c r="G58" i="17"/>
  <c r="C59" i="17"/>
  <c r="D59" i="17"/>
  <c r="E59" i="17"/>
  <c r="F59" i="17"/>
  <c r="G59" i="17"/>
  <c r="C60" i="17"/>
  <c r="D60" i="17"/>
  <c r="E60" i="17"/>
  <c r="F60" i="17"/>
  <c r="G60" i="17"/>
  <c r="C61" i="17"/>
  <c r="D61" i="17"/>
  <c r="E61" i="17"/>
  <c r="F61" i="17"/>
  <c r="G61" i="17"/>
  <c r="C62" i="17"/>
  <c r="D62" i="17"/>
  <c r="E62" i="17"/>
  <c r="F62" i="17"/>
  <c r="G62" i="17"/>
  <c r="C63" i="17"/>
  <c r="D63" i="17"/>
  <c r="E63" i="17"/>
  <c r="F63" i="17"/>
  <c r="G63" i="17"/>
  <c r="C64" i="17"/>
  <c r="D64" i="17"/>
  <c r="E64" i="17"/>
  <c r="F64" i="17"/>
  <c r="G64" i="17"/>
  <c r="C65" i="17"/>
  <c r="D65" i="17"/>
  <c r="E65" i="17"/>
  <c r="F65" i="17"/>
  <c r="G65" i="17"/>
  <c r="C66" i="17"/>
  <c r="D66" i="17"/>
  <c r="E66" i="17"/>
  <c r="F66" i="17"/>
  <c r="G66" i="17"/>
  <c r="C67" i="17"/>
  <c r="D67" i="17"/>
  <c r="E67" i="17"/>
  <c r="F67" i="17"/>
  <c r="G67" i="17"/>
  <c r="C68" i="17"/>
  <c r="D68" i="17"/>
  <c r="E68" i="17"/>
  <c r="F68" i="17"/>
  <c r="G68" i="17"/>
  <c r="C69" i="17"/>
  <c r="D69" i="17"/>
  <c r="E69" i="17"/>
  <c r="F69" i="17"/>
  <c r="G69" i="17"/>
  <c r="C70" i="17"/>
  <c r="D70" i="17"/>
  <c r="E70" i="17"/>
  <c r="F70" i="17"/>
  <c r="G70" i="17"/>
  <c r="C71" i="17"/>
  <c r="D71" i="17"/>
  <c r="E71" i="17"/>
  <c r="F71" i="17"/>
  <c r="G71" i="17"/>
  <c r="C72" i="17"/>
  <c r="D72" i="17"/>
  <c r="E72" i="17"/>
  <c r="F72" i="17"/>
  <c r="G72" i="17"/>
  <c r="C73" i="17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C76" i="17"/>
  <c r="D76" i="17"/>
  <c r="E76" i="17"/>
  <c r="F76" i="17"/>
  <c r="G76" i="17"/>
  <c r="G2" i="17"/>
  <c r="F2" i="17"/>
  <c r="E2" i="17"/>
  <c r="D2" i="17"/>
  <c r="C2" i="17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C59" i="15"/>
  <c r="D59" i="15"/>
  <c r="E59" i="15"/>
  <c r="F59" i="15"/>
  <c r="G59" i="15"/>
  <c r="C60" i="15"/>
  <c r="D60" i="15"/>
  <c r="E60" i="15"/>
  <c r="F60" i="15"/>
  <c r="G60" i="15"/>
  <c r="C61" i="15"/>
  <c r="D61" i="15"/>
  <c r="E61" i="15"/>
  <c r="F61" i="15"/>
  <c r="G61" i="15"/>
  <c r="C62" i="15"/>
  <c r="D62" i="15"/>
  <c r="E62" i="15"/>
  <c r="F62" i="15"/>
  <c r="G62" i="15"/>
  <c r="C63" i="15"/>
  <c r="D63" i="15"/>
  <c r="E63" i="15"/>
  <c r="F63" i="15"/>
  <c r="G63" i="15"/>
  <c r="C64" i="15"/>
  <c r="D64" i="15"/>
  <c r="E64" i="15"/>
  <c r="F64" i="15"/>
  <c r="G64" i="15"/>
  <c r="C65" i="15"/>
  <c r="D65" i="15"/>
  <c r="E65" i="15"/>
  <c r="F65" i="15"/>
  <c r="G65" i="15"/>
  <c r="C66" i="15"/>
  <c r="D66" i="15"/>
  <c r="E66" i="15"/>
  <c r="F66" i="15"/>
  <c r="G66" i="15"/>
  <c r="C67" i="15"/>
  <c r="D67" i="15"/>
  <c r="E67" i="15"/>
  <c r="F67" i="15"/>
  <c r="G67" i="15"/>
  <c r="C68" i="15"/>
  <c r="D68" i="15"/>
  <c r="E68" i="15"/>
  <c r="F68" i="15"/>
  <c r="G68" i="15"/>
  <c r="C69" i="15"/>
  <c r="D69" i="15"/>
  <c r="E69" i="15"/>
  <c r="F69" i="15"/>
  <c r="G69" i="15"/>
  <c r="C70" i="15"/>
  <c r="D70" i="15"/>
  <c r="E70" i="15"/>
  <c r="F70" i="15"/>
  <c r="G70" i="15"/>
  <c r="C71" i="15"/>
  <c r="D71" i="15"/>
  <c r="E71" i="15"/>
  <c r="F71" i="15"/>
  <c r="G71" i="15"/>
  <c r="C72" i="15"/>
  <c r="D72" i="15"/>
  <c r="E72" i="15"/>
  <c r="F72" i="15"/>
  <c r="G72" i="15"/>
  <c r="C73" i="15"/>
  <c r="D73" i="15"/>
  <c r="E73" i="15"/>
  <c r="F73" i="15"/>
  <c r="G73" i="15"/>
  <c r="C74" i="15"/>
  <c r="D74" i="15"/>
  <c r="E74" i="15"/>
  <c r="F74" i="15"/>
  <c r="G74" i="15"/>
  <c r="C75" i="15"/>
  <c r="D75" i="15"/>
  <c r="E75" i="15"/>
  <c r="F75" i="15"/>
  <c r="G75" i="15"/>
  <c r="C76" i="15"/>
  <c r="D76" i="15"/>
  <c r="E76" i="15"/>
  <c r="F76" i="15"/>
  <c r="G76" i="15"/>
  <c r="G2" i="15"/>
  <c r="F2" i="15"/>
  <c r="E2" i="15"/>
  <c r="D2" i="15"/>
  <c r="C2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4"/>
  <c r="D3" i="14"/>
  <c r="E3" i="14"/>
  <c r="F3" i="14"/>
  <c r="G3" i="14"/>
  <c r="C4" i="14"/>
  <c r="D4" i="14"/>
  <c r="E4" i="14"/>
  <c r="F4" i="14"/>
  <c r="G4" i="14"/>
  <c r="C5" i="14"/>
  <c r="D5" i="14"/>
  <c r="E5" i="14"/>
  <c r="F5" i="14"/>
  <c r="G5" i="14"/>
  <c r="C6" i="14"/>
  <c r="D6" i="14"/>
  <c r="E6" i="14"/>
  <c r="F6" i="14"/>
  <c r="G6" i="14"/>
  <c r="C7" i="14"/>
  <c r="D7" i="14"/>
  <c r="E7" i="14"/>
  <c r="F7" i="14"/>
  <c r="G7" i="14"/>
  <c r="C8" i="14"/>
  <c r="D8" i="14"/>
  <c r="E8" i="14"/>
  <c r="F8" i="14"/>
  <c r="G8" i="14"/>
  <c r="C9" i="14"/>
  <c r="D9" i="14"/>
  <c r="E9" i="14"/>
  <c r="F9" i="14"/>
  <c r="G9" i="14"/>
  <c r="C10" i="14"/>
  <c r="D10" i="14"/>
  <c r="E10" i="14"/>
  <c r="F10" i="14"/>
  <c r="G10" i="14"/>
  <c r="C11" i="14"/>
  <c r="D11" i="14"/>
  <c r="E11" i="14"/>
  <c r="F11" i="14"/>
  <c r="G11" i="14"/>
  <c r="C12" i="14"/>
  <c r="D12" i="14"/>
  <c r="E12" i="14"/>
  <c r="F12" i="14"/>
  <c r="G12" i="14"/>
  <c r="C13" i="14"/>
  <c r="D13" i="14"/>
  <c r="E13" i="14"/>
  <c r="F13" i="14"/>
  <c r="G13" i="14"/>
  <c r="C14" i="14"/>
  <c r="D14" i="14"/>
  <c r="E14" i="14"/>
  <c r="F14" i="14"/>
  <c r="G14" i="14"/>
  <c r="C15" i="14"/>
  <c r="D15" i="14"/>
  <c r="E15" i="14"/>
  <c r="F15" i="14"/>
  <c r="G15" i="14"/>
  <c r="C16" i="14"/>
  <c r="D16" i="14"/>
  <c r="E16" i="14"/>
  <c r="F16" i="14"/>
  <c r="G16" i="14"/>
  <c r="C17" i="14"/>
  <c r="D17" i="14"/>
  <c r="E17" i="14"/>
  <c r="F17" i="14"/>
  <c r="G17" i="14"/>
  <c r="C18" i="14"/>
  <c r="D18" i="14"/>
  <c r="E18" i="14"/>
  <c r="F18" i="14"/>
  <c r="G18" i="14"/>
  <c r="C19" i="14"/>
  <c r="D19" i="14"/>
  <c r="E19" i="14"/>
  <c r="F19" i="14"/>
  <c r="G19" i="14"/>
  <c r="C20" i="14"/>
  <c r="D20" i="14"/>
  <c r="E20" i="14"/>
  <c r="F20" i="14"/>
  <c r="G20" i="14"/>
  <c r="C21" i="14"/>
  <c r="D21" i="14"/>
  <c r="E21" i="14"/>
  <c r="F21" i="14"/>
  <c r="G21" i="14"/>
  <c r="C22" i="14"/>
  <c r="D22" i="14"/>
  <c r="E22" i="14"/>
  <c r="F22" i="14"/>
  <c r="G22" i="14"/>
  <c r="C23" i="14"/>
  <c r="D23" i="14"/>
  <c r="E23" i="14"/>
  <c r="F23" i="14"/>
  <c r="G23" i="14"/>
  <c r="C24" i="14"/>
  <c r="D24" i="14"/>
  <c r="E24" i="14"/>
  <c r="F24" i="14"/>
  <c r="G24" i="14"/>
  <c r="C25" i="14"/>
  <c r="D25" i="14"/>
  <c r="E25" i="14"/>
  <c r="F25" i="14"/>
  <c r="G25" i="14"/>
  <c r="C26" i="14"/>
  <c r="D26" i="14"/>
  <c r="E26" i="14"/>
  <c r="F26" i="14"/>
  <c r="G26" i="14"/>
  <c r="C27" i="14"/>
  <c r="D27" i="14"/>
  <c r="E27" i="14"/>
  <c r="F27" i="14"/>
  <c r="G27" i="14"/>
  <c r="C28" i="14"/>
  <c r="D28" i="14"/>
  <c r="E28" i="14"/>
  <c r="F28" i="14"/>
  <c r="G28" i="14"/>
  <c r="C29" i="14"/>
  <c r="D29" i="14"/>
  <c r="E29" i="14"/>
  <c r="F29" i="14"/>
  <c r="G29" i="14"/>
  <c r="C30" i="14"/>
  <c r="D30" i="14"/>
  <c r="E30" i="14"/>
  <c r="F30" i="14"/>
  <c r="G30" i="14"/>
  <c r="C31" i="14"/>
  <c r="D31" i="14"/>
  <c r="E31" i="14"/>
  <c r="F31" i="14"/>
  <c r="G31" i="14"/>
  <c r="C32" i="14"/>
  <c r="D32" i="14"/>
  <c r="E32" i="14"/>
  <c r="F32" i="14"/>
  <c r="G32" i="14"/>
  <c r="C33" i="14"/>
  <c r="D33" i="14"/>
  <c r="E33" i="14"/>
  <c r="F33" i="14"/>
  <c r="G33" i="14"/>
  <c r="C34" i="14"/>
  <c r="D34" i="14"/>
  <c r="E34" i="14"/>
  <c r="F34" i="14"/>
  <c r="G34" i="14"/>
  <c r="C35" i="14"/>
  <c r="D35" i="14"/>
  <c r="E35" i="14"/>
  <c r="F35" i="14"/>
  <c r="G35" i="14"/>
  <c r="C36" i="14"/>
  <c r="D36" i="14"/>
  <c r="E36" i="14"/>
  <c r="F36" i="14"/>
  <c r="G36" i="14"/>
  <c r="C37" i="14"/>
  <c r="D37" i="14"/>
  <c r="E37" i="14"/>
  <c r="F37" i="14"/>
  <c r="G37" i="14"/>
  <c r="C38" i="14"/>
  <c r="D38" i="14"/>
  <c r="E38" i="14"/>
  <c r="F38" i="14"/>
  <c r="G38" i="14"/>
  <c r="C39" i="14"/>
  <c r="D39" i="14"/>
  <c r="E39" i="14"/>
  <c r="F39" i="14"/>
  <c r="G39" i="14"/>
  <c r="C40" i="14"/>
  <c r="D40" i="14"/>
  <c r="E40" i="14"/>
  <c r="F40" i="14"/>
  <c r="G40" i="14"/>
  <c r="C41" i="14"/>
  <c r="D41" i="14"/>
  <c r="E41" i="14"/>
  <c r="F41" i="14"/>
  <c r="G41" i="14"/>
  <c r="C42" i="14"/>
  <c r="D42" i="14"/>
  <c r="E42" i="14"/>
  <c r="F42" i="14"/>
  <c r="G42" i="14"/>
  <c r="C43" i="14"/>
  <c r="D43" i="14"/>
  <c r="E43" i="14"/>
  <c r="F43" i="14"/>
  <c r="G43" i="14"/>
  <c r="C44" i="14"/>
  <c r="D44" i="14"/>
  <c r="E44" i="14"/>
  <c r="F44" i="14"/>
  <c r="G44" i="14"/>
  <c r="C45" i="14"/>
  <c r="D45" i="14"/>
  <c r="E45" i="14"/>
  <c r="F45" i="14"/>
  <c r="G45" i="14"/>
  <c r="C46" i="14"/>
  <c r="D46" i="14"/>
  <c r="E46" i="14"/>
  <c r="F46" i="14"/>
  <c r="G46" i="14"/>
  <c r="C47" i="14"/>
  <c r="D47" i="14"/>
  <c r="E47" i="14"/>
  <c r="F47" i="14"/>
  <c r="G47" i="14"/>
  <c r="C48" i="14"/>
  <c r="D48" i="14"/>
  <c r="E48" i="14"/>
  <c r="F48" i="14"/>
  <c r="G48" i="14"/>
  <c r="C49" i="14"/>
  <c r="D49" i="14"/>
  <c r="E49" i="14"/>
  <c r="F49" i="14"/>
  <c r="G49" i="14"/>
  <c r="C50" i="14"/>
  <c r="D50" i="14"/>
  <c r="E50" i="14"/>
  <c r="F50" i="14"/>
  <c r="G50" i="14"/>
  <c r="C51" i="14"/>
  <c r="D51" i="14"/>
  <c r="E51" i="14"/>
  <c r="F51" i="14"/>
  <c r="G51" i="14"/>
  <c r="C52" i="14"/>
  <c r="D52" i="14"/>
  <c r="E52" i="14"/>
  <c r="F52" i="14"/>
  <c r="G52" i="14"/>
  <c r="C53" i="14"/>
  <c r="D53" i="14"/>
  <c r="E53" i="14"/>
  <c r="F53" i="14"/>
  <c r="G53" i="14"/>
  <c r="C54" i="14"/>
  <c r="D54" i="14"/>
  <c r="E54" i="14"/>
  <c r="F54" i="14"/>
  <c r="G54" i="14"/>
  <c r="C55" i="14"/>
  <c r="D55" i="14"/>
  <c r="E55" i="14"/>
  <c r="F55" i="14"/>
  <c r="G55" i="14"/>
  <c r="C56" i="14"/>
  <c r="D56" i="14"/>
  <c r="E56" i="14"/>
  <c r="F56" i="14"/>
  <c r="G56" i="14"/>
  <c r="C57" i="14"/>
  <c r="D57" i="14"/>
  <c r="E57" i="14"/>
  <c r="F57" i="14"/>
  <c r="G57" i="14"/>
  <c r="C58" i="14"/>
  <c r="D58" i="14"/>
  <c r="E58" i="14"/>
  <c r="F58" i="14"/>
  <c r="G58" i="14"/>
  <c r="C59" i="14"/>
  <c r="D59" i="14"/>
  <c r="E59" i="14"/>
  <c r="F59" i="14"/>
  <c r="G59" i="14"/>
  <c r="C60" i="14"/>
  <c r="D60" i="14"/>
  <c r="E60" i="14"/>
  <c r="F60" i="14"/>
  <c r="G60" i="14"/>
  <c r="C61" i="14"/>
  <c r="D61" i="14"/>
  <c r="E61" i="14"/>
  <c r="F61" i="14"/>
  <c r="G61" i="14"/>
  <c r="C62" i="14"/>
  <c r="D62" i="14"/>
  <c r="E62" i="14"/>
  <c r="F62" i="14"/>
  <c r="G62" i="14"/>
  <c r="C63" i="14"/>
  <c r="D63" i="14"/>
  <c r="E63" i="14"/>
  <c r="F63" i="14"/>
  <c r="G63" i="14"/>
  <c r="C64" i="14"/>
  <c r="D64" i="14"/>
  <c r="E64" i="14"/>
  <c r="F64" i="14"/>
  <c r="G64" i="14"/>
  <c r="C65" i="14"/>
  <c r="D65" i="14"/>
  <c r="E65" i="14"/>
  <c r="F65" i="14"/>
  <c r="G65" i="14"/>
  <c r="C66" i="14"/>
  <c r="D66" i="14"/>
  <c r="E66" i="14"/>
  <c r="F66" i="14"/>
  <c r="G66" i="14"/>
  <c r="C67" i="14"/>
  <c r="D67" i="14"/>
  <c r="E67" i="14"/>
  <c r="F67" i="14"/>
  <c r="G67" i="14"/>
  <c r="C68" i="14"/>
  <c r="D68" i="14"/>
  <c r="E68" i="14"/>
  <c r="F68" i="14"/>
  <c r="G68" i="14"/>
  <c r="C69" i="14"/>
  <c r="D69" i="14"/>
  <c r="E69" i="14"/>
  <c r="F69" i="14"/>
  <c r="G69" i="14"/>
  <c r="C70" i="14"/>
  <c r="D70" i="14"/>
  <c r="E70" i="14"/>
  <c r="F70" i="14"/>
  <c r="G70" i="14"/>
  <c r="C71" i="14"/>
  <c r="D71" i="14"/>
  <c r="E71" i="14"/>
  <c r="F71" i="14"/>
  <c r="G71" i="14"/>
  <c r="C72" i="14"/>
  <c r="D72" i="14"/>
  <c r="E72" i="14"/>
  <c r="F72" i="14"/>
  <c r="G72" i="14"/>
  <c r="C73" i="14"/>
  <c r="D73" i="14"/>
  <c r="E73" i="14"/>
  <c r="F73" i="14"/>
  <c r="G73" i="14"/>
  <c r="C74" i="14"/>
  <c r="D74" i="14"/>
  <c r="E74" i="14"/>
  <c r="F74" i="14"/>
  <c r="G74" i="14"/>
  <c r="C75" i="14"/>
  <c r="D75" i="14"/>
  <c r="E75" i="14"/>
  <c r="F75" i="14"/>
  <c r="G75" i="14"/>
  <c r="C76" i="14"/>
  <c r="D76" i="14"/>
  <c r="E76" i="14"/>
  <c r="F76" i="14"/>
  <c r="G76" i="14"/>
  <c r="G2" i="14"/>
  <c r="F2" i="14"/>
  <c r="E2" i="14"/>
  <c r="D2" i="14"/>
  <c r="C2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C58" i="9"/>
  <c r="D58" i="9"/>
  <c r="E58" i="9"/>
  <c r="F58" i="9"/>
  <c r="G58" i="9"/>
  <c r="C59" i="9"/>
  <c r="D59" i="9"/>
  <c r="E59" i="9"/>
  <c r="F59" i="9"/>
  <c r="G59" i="9"/>
  <c r="C60" i="9"/>
  <c r="D60" i="9"/>
  <c r="E60" i="9"/>
  <c r="F60" i="9"/>
  <c r="G60" i="9"/>
  <c r="C61" i="9"/>
  <c r="D61" i="9"/>
  <c r="E61" i="9"/>
  <c r="F61" i="9"/>
  <c r="G61" i="9"/>
  <c r="C62" i="9"/>
  <c r="D62" i="9"/>
  <c r="E62" i="9"/>
  <c r="F62" i="9"/>
  <c r="G62" i="9"/>
  <c r="C63" i="9"/>
  <c r="D63" i="9"/>
  <c r="E63" i="9"/>
  <c r="F63" i="9"/>
  <c r="G63" i="9"/>
  <c r="C64" i="9"/>
  <c r="D64" i="9"/>
  <c r="E64" i="9"/>
  <c r="F64" i="9"/>
  <c r="G64" i="9"/>
  <c r="C65" i="9"/>
  <c r="D65" i="9"/>
  <c r="E65" i="9"/>
  <c r="F65" i="9"/>
  <c r="G65" i="9"/>
  <c r="C66" i="9"/>
  <c r="D66" i="9"/>
  <c r="E66" i="9"/>
  <c r="F66" i="9"/>
  <c r="G66" i="9"/>
  <c r="C67" i="9"/>
  <c r="D67" i="9"/>
  <c r="E67" i="9"/>
  <c r="F67" i="9"/>
  <c r="G67" i="9"/>
  <c r="C68" i="9"/>
  <c r="D68" i="9"/>
  <c r="E68" i="9"/>
  <c r="F68" i="9"/>
  <c r="G68" i="9"/>
  <c r="C69" i="9"/>
  <c r="D69" i="9"/>
  <c r="E69" i="9"/>
  <c r="F69" i="9"/>
  <c r="G69" i="9"/>
  <c r="C70" i="9"/>
  <c r="D70" i="9"/>
  <c r="E70" i="9"/>
  <c r="F70" i="9"/>
  <c r="G70" i="9"/>
  <c r="C71" i="9"/>
  <c r="D71" i="9"/>
  <c r="E71" i="9"/>
  <c r="F71" i="9"/>
  <c r="G71" i="9"/>
  <c r="C72" i="9"/>
  <c r="D72" i="9"/>
  <c r="E72" i="9"/>
  <c r="F72" i="9"/>
  <c r="G72" i="9"/>
  <c r="C73" i="9"/>
  <c r="D73" i="9"/>
  <c r="E73" i="9"/>
  <c r="F73" i="9"/>
  <c r="G73" i="9"/>
  <c r="C74" i="9"/>
  <c r="D74" i="9"/>
  <c r="E74" i="9"/>
  <c r="F74" i="9"/>
  <c r="G74" i="9"/>
  <c r="C75" i="9"/>
  <c r="D75" i="9"/>
  <c r="E75" i="9"/>
  <c r="F75" i="9"/>
  <c r="G75" i="9"/>
  <c r="C76" i="9"/>
  <c r="D76" i="9"/>
  <c r="E76" i="9"/>
  <c r="F76" i="9"/>
  <c r="G76" i="9"/>
  <c r="G2" i="9"/>
  <c r="F2" i="9"/>
  <c r="E2" i="9"/>
  <c r="D2" i="9"/>
  <c r="C2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4" i="7"/>
  <c r="D14" i="7"/>
  <c r="E14" i="7"/>
  <c r="F14" i="7"/>
  <c r="G14" i="7"/>
  <c r="C15" i="7"/>
  <c r="D15" i="7"/>
  <c r="E15" i="7"/>
  <c r="F15" i="7"/>
  <c r="G15" i="7"/>
  <c r="C16" i="7"/>
  <c r="D16" i="7"/>
  <c r="E16" i="7"/>
  <c r="F16" i="7"/>
  <c r="G16" i="7"/>
  <c r="C17" i="7"/>
  <c r="D17" i="7"/>
  <c r="E17" i="7"/>
  <c r="F17" i="7"/>
  <c r="G17" i="7"/>
  <c r="C18" i="7"/>
  <c r="D18" i="7"/>
  <c r="E18" i="7"/>
  <c r="F18" i="7"/>
  <c r="G18" i="7"/>
  <c r="C19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C22" i="7"/>
  <c r="D22" i="7"/>
  <c r="E22" i="7"/>
  <c r="F22" i="7"/>
  <c r="G22" i="7"/>
  <c r="C23" i="7"/>
  <c r="D23" i="7"/>
  <c r="E23" i="7"/>
  <c r="F23" i="7"/>
  <c r="G23" i="7"/>
  <c r="C24" i="7"/>
  <c r="D24" i="7"/>
  <c r="E24" i="7"/>
  <c r="F24" i="7"/>
  <c r="G24" i="7"/>
  <c r="C25" i="7"/>
  <c r="D25" i="7"/>
  <c r="E25" i="7"/>
  <c r="F25" i="7"/>
  <c r="G25" i="7"/>
  <c r="C26" i="7"/>
  <c r="D26" i="7"/>
  <c r="E26" i="7"/>
  <c r="F26" i="7"/>
  <c r="G26" i="7"/>
  <c r="C27" i="7"/>
  <c r="D27" i="7"/>
  <c r="E27" i="7"/>
  <c r="F27" i="7"/>
  <c r="G27" i="7"/>
  <c r="C28" i="7"/>
  <c r="D28" i="7"/>
  <c r="E28" i="7"/>
  <c r="F28" i="7"/>
  <c r="G28" i="7"/>
  <c r="C29" i="7"/>
  <c r="D29" i="7"/>
  <c r="E29" i="7"/>
  <c r="F29" i="7"/>
  <c r="G29" i="7"/>
  <c r="C30" i="7"/>
  <c r="D30" i="7"/>
  <c r="E30" i="7"/>
  <c r="F30" i="7"/>
  <c r="G30" i="7"/>
  <c r="C31" i="7"/>
  <c r="D31" i="7"/>
  <c r="E31" i="7"/>
  <c r="F31" i="7"/>
  <c r="G31" i="7"/>
  <c r="C32" i="7"/>
  <c r="D32" i="7"/>
  <c r="E32" i="7"/>
  <c r="F32" i="7"/>
  <c r="G32" i="7"/>
  <c r="C33" i="7"/>
  <c r="D33" i="7"/>
  <c r="E33" i="7"/>
  <c r="F33" i="7"/>
  <c r="G33" i="7"/>
  <c r="C34" i="7"/>
  <c r="D34" i="7"/>
  <c r="E34" i="7"/>
  <c r="F34" i="7"/>
  <c r="G34" i="7"/>
  <c r="C35" i="7"/>
  <c r="D35" i="7"/>
  <c r="E35" i="7"/>
  <c r="F35" i="7"/>
  <c r="G35" i="7"/>
  <c r="C36" i="7"/>
  <c r="D36" i="7"/>
  <c r="E36" i="7"/>
  <c r="F36" i="7"/>
  <c r="G36" i="7"/>
  <c r="C37" i="7"/>
  <c r="D37" i="7"/>
  <c r="E37" i="7"/>
  <c r="F37" i="7"/>
  <c r="G37" i="7"/>
  <c r="C38" i="7"/>
  <c r="D38" i="7"/>
  <c r="E38" i="7"/>
  <c r="F38" i="7"/>
  <c r="G38" i="7"/>
  <c r="C39" i="7"/>
  <c r="D39" i="7"/>
  <c r="E39" i="7"/>
  <c r="F39" i="7"/>
  <c r="G39" i="7"/>
  <c r="C40" i="7"/>
  <c r="D40" i="7"/>
  <c r="E40" i="7"/>
  <c r="F40" i="7"/>
  <c r="G40" i="7"/>
  <c r="C41" i="7"/>
  <c r="D41" i="7"/>
  <c r="E41" i="7"/>
  <c r="F41" i="7"/>
  <c r="G41" i="7"/>
  <c r="C42" i="7"/>
  <c r="D42" i="7"/>
  <c r="E42" i="7"/>
  <c r="F42" i="7"/>
  <c r="G42" i="7"/>
  <c r="C43" i="7"/>
  <c r="D43" i="7"/>
  <c r="E43" i="7"/>
  <c r="F43" i="7"/>
  <c r="G43" i="7"/>
  <c r="C44" i="7"/>
  <c r="D44" i="7"/>
  <c r="E44" i="7"/>
  <c r="F44" i="7"/>
  <c r="G44" i="7"/>
  <c r="C45" i="7"/>
  <c r="D45" i="7"/>
  <c r="E45" i="7"/>
  <c r="F45" i="7"/>
  <c r="G45" i="7"/>
  <c r="C46" i="7"/>
  <c r="D46" i="7"/>
  <c r="E46" i="7"/>
  <c r="F46" i="7"/>
  <c r="G46" i="7"/>
  <c r="C47" i="7"/>
  <c r="D47" i="7"/>
  <c r="E47" i="7"/>
  <c r="F47" i="7"/>
  <c r="G47" i="7"/>
  <c r="C48" i="7"/>
  <c r="D48" i="7"/>
  <c r="E48" i="7"/>
  <c r="F48" i="7"/>
  <c r="G48" i="7"/>
  <c r="C49" i="7"/>
  <c r="D49" i="7"/>
  <c r="E49" i="7"/>
  <c r="F49" i="7"/>
  <c r="G49" i="7"/>
  <c r="C50" i="7"/>
  <c r="D50" i="7"/>
  <c r="E50" i="7"/>
  <c r="F50" i="7"/>
  <c r="G50" i="7"/>
  <c r="C51" i="7"/>
  <c r="D51" i="7"/>
  <c r="E51" i="7"/>
  <c r="F51" i="7"/>
  <c r="G51" i="7"/>
  <c r="C52" i="7"/>
  <c r="D52" i="7"/>
  <c r="E52" i="7"/>
  <c r="F52" i="7"/>
  <c r="G52" i="7"/>
  <c r="C53" i="7"/>
  <c r="D53" i="7"/>
  <c r="E53" i="7"/>
  <c r="F53" i="7"/>
  <c r="G53" i="7"/>
  <c r="C54" i="7"/>
  <c r="D54" i="7"/>
  <c r="E54" i="7"/>
  <c r="F54" i="7"/>
  <c r="G54" i="7"/>
  <c r="C55" i="7"/>
  <c r="D55" i="7"/>
  <c r="E55" i="7"/>
  <c r="F55" i="7"/>
  <c r="G55" i="7"/>
  <c r="C56" i="7"/>
  <c r="D56" i="7"/>
  <c r="E56" i="7"/>
  <c r="F56" i="7"/>
  <c r="G56" i="7"/>
  <c r="C57" i="7"/>
  <c r="D57" i="7"/>
  <c r="E57" i="7"/>
  <c r="F57" i="7"/>
  <c r="G57" i="7"/>
  <c r="C58" i="7"/>
  <c r="D58" i="7"/>
  <c r="E58" i="7"/>
  <c r="F58" i="7"/>
  <c r="G58" i="7"/>
  <c r="C59" i="7"/>
  <c r="D59" i="7"/>
  <c r="E59" i="7"/>
  <c r="F59" i="7"/>
  <c r="G59" i="7"/>
  <c r="C60" i="7"/>
  <c r="D60" i="7"/>
  <c r="E60" i="7"/>
  <c r="F60" i="7"/>
  <c r="G60" i="7"/>
  <c r="C61" i="7"/>
  <c r="D61" i="7"/>
  <c r="E61" i="7"/>
  <c r="F61" i="7"/>
  <c r="G61" i="7"/>
  <c r="C62" i="7"/>
  <c r="D62" i="7"/>
  <c r="E62" i="7"/>
  <c r="F62" i="7"/>
  <c r="G62" i="7"/>
  <c r="C63" i="7"/>
  <c r="D63" i="7"/>
  <c r="E63" i="7"/>
  <c r="F63" i="7"/>
  <c r="G63" i="7"/>
  <c r="C64" i="7"/>
  <c r="D64" i="7"/>
  <c r="E64" i="7"/>
  <c r="F64" i="7"/>
  <c r="G64" i="7"/>
  <c r="C65" i="7"/>
  <c r="D65" i="7"/>
  <c r="E65" i="7"/>
  <c r="F65" i="7"/>
  <c r="G65" i="7"/>
  <c r="C66" i="7"/>
  <c r="D66" i="7"/>
  <c r="E66" i="7"/>
  <c r="F66" i="7"/>
  <c r="G66" i="7"/>
  <c r="C67" i="7"/>
  <c r="D67" i="7"/>
  <c r="E67" i="7"/>
  <c r="F67" i="7"/>
  <c r="G67" i="7"/>
  <c r="C68" i="7"/>
  <c r="D68" i="7"/>
  <c r="E68" i="7"/>
  <c r="F68" i="7"/>
  <c r="G68" i="7"/>
  <c r="C69" i="7"/>
  <c r="D69" i="7"/>
  <c r="E69" i="7"/>
  <c r="F69" i="7"/>
  <c r="G69" i="7"/>
  <c r="C70" i="7"/>
  <c r="D70" i="7"/>
  <c r="E70" i="7"/>
  <c r="F70" i="7"/>
  <c r="G70" i="7"/>
  <c r="C71" i="7"/>
  <c r="D71" i="7"/>
  <c r="E71" i="7"/>
  <c r="F71" i="7"/>
  <c r="G71" i="7"/>
  <c r="C72" i="7"/>
  <c r="D72" i="7"/>
  <c r="E72" i="7"/>
  <c r="F72" i="7"/>
  <c r="G72" i="7"/>
  <c r="C73" i="7"/>
  <c r="D73" i="7"/>
  <c r="E73" i="7"/>
  <c r="F73" i="7"/>
  <c r="G73" i="7"/>
  <c r="C74" i="7"/>
  <c r="D74" i="7"/>
  <c r="E74" i="7"/>
  <c r="F74" i="7"/>
  <c r="G74" i="7"/>
  <c r="C75" i="7"/>
  <c r="D75" i="7"/>
  <c r="E75" i="7"/>
  <c r="F75" i="7"/>
  <c r="G75" i="7"/>
  <c r="C76" i="7"/>
  <c r="D76" i="7"/>
  <c r="E76" i="7"/>
  <c r="F76" i="7"/>
  <c r="G76" i="7"/>
  <c r="G2" i="7"/>
  <c r="F2" i="7"/>
  <c r="E2" i="7"/>
  <c r="D2" i="7"/>
  <c r="C2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G2" i="5"/>
  <c r="F2" i="5"/>
  <c r="E2" i="5"/>
  <c r="D2" i="5"/>
  <c r="C2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G2" i="2"/>
  <c r="F2" i="2"/>
  <c r="E2" i="2"/>
  <c r="D2" i="2"/>
  <c r="C2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C73" i="4"/>
  <c r="D73" i="4"/>
  <c r="E73" i="4"/>
  <c r="F73" i="4"/>
  <c r="G73" i="4"/>
  <c r="C74" i="4"/>
  <c r="D74" i="4"/>
  <c r="E74" i="4"/>
  <c r="F74" i="4"/>
  <c r="G74" i="4"/>
  <c r="C75" i="4"/>
  <c r="D75" i="4"/>
  <c r="E75" i="4"/>
  <c r="F75" i="4"/>
  <c r="G75" i="4"/>
  <c r="C76" i="4"/>
  <c r="D76" i="4"/>
  <c r="E76" i="4"/>
  <c r="F76" i="4"/>
  <c r="G76" i="4"/>
  <c r="G2" i="4"/>
  <c r="F2" i="4"/>
  <c r="E2" i="4"/>
  <c r="D2" i="4"/>
  <c r="C2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G2" i="3"/>
  <c r="F2" i="3"/>
  <c r="E2" i="3"/>
  <c r="D2" i="3"/>
  <c r="C2" i="3"/>
  <c r="B1" i="3"/>
  <c r="C1" i="3"/>
  <c r="D1" i="3"/>
  <c r="E1" i="3"/>
  <c r="A1" i="3"/>
  <c r="C3" i="1"/>
  <c r="D3" i="1"/>
  <c r="E3" i="1"/>
  <c r="F3" i="1"/>
  <c r="G3" i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E2" i="1"/>
  <c r="D2" i="1"/>
  <c r="C2" i="1"/>
  <c r="G2" i="1"/>
  <c r="F2" i="1"/>
  <c r="X2" i="24"/>
  <c r="Y2" i="24"/>
  <c r="Z2" i="24"/>
  <c r="AA2" i="24"/>
  <c r="AB2" i="24"/>
  <c r="AC2" i="24"/>
  <c r="AD2" i="24"/>
  <c r="I7" i="21" l="1"/>
  <c r="J7" i="21"/>
  <c r="K7" i="21"/>
  <c r="L7" i="21"/>
  <c r="M7" i="21"/>
  <c r="N7" i="21"/>
  <c r="O7" i="21"/>
  <c r="P7" i="21"/>
  <c r="Q7" i="21"/>
  <c r="R7" i="21"/>
  <c r="S7" i="21"/>
  <c r="H7" i="21"/>
  <c r="Q3" i="21" l="1"/>
  <c r="R3" i="21"/>
  <c r="S3" i="21"/>
  <c r="Q4" i="21"/>
  <c r="R4" i="21"/>
  <c r="S4" i="21"/>
  <c r="Q5" i="21"/>
  <c r="R5" i="21"/>
  <c r="S5" i="21"/>
  <c r="Q6" i="21"/>
  <c r="R6" i="21"/>
  <c r="S6" i="21"/>
  <c r="Q8" i="21"/>
  <c r="R8" i="21"/>
  <c r="S8" i="21"/>
  <c r="Q9" i="21"/>
  <c r="R9" i="21"/>
  <c r="S9" i="21"/>
  <c r="Q10" i="21"/>
  <c r="R10" i="21"/>
  <c r="S10" i="21"/>
  <c r="Q11" i="21"/>
  <c r="R11" i="21"/>
  <c r="S11" i="21"/>
  <c r="Q12" i="21"/>
  <c r="R12" i="21"/>
  <c r="S12" i="21"/>
  <c r="Q13" i="21"/>
  <c r="R13" i="21"/>
  <c r="S13" i="21"/>
  <c r="Q14" i="21"/>
  <c r="R14" i="21"/>
  <c r="S14" i="21"/>
  <c r="Q15" i="21"/>
  <c r="R15" i="21"/>
  <c r="S15" i="21"/>
  <c r="Q16" i="21"/>
  <c r="R16" i="21"/>
  <c r="S16" i="21"/>
  <c r="Q17" i="21"/>
  <c r="R17" i="21"/>
  <c r="S17" i="21"/>
  <c r="Q18" i="21"/>
  <c r="R18" i="21"/>
  <c r="S18" i="21"/>
  <c r="Q19" i="21"/>
  <c r="R19" i="21"/>
  <c r="S19" i="21"/>
  <c r="Q20" i="21"/>
  <c r="R20" i="21"/>
  <c r="S20" i="21"/>
  <c r="Q21" i="21"/>
  <c r="R21" i="21"/>
  <c r="S21" i="21"/>
  <c r="Q22" i="21"/>
  <c r="R22" i="21"/>
  <c r="S22" i="21"/>
  <c r="Q23" i="21"/>
  <c r="R23" i="21"/>
  <c r="S23" i="21"/>
  <c r="Q24" i="21"/>
  <c r="R24" i="21"/>
  <c r="S24" i="21"/>
  <c r="Q25" i="21"/>
  <c r="R25" i="21"/>
  <c r="S25" i="21"/>
  <c r="Q26" i="21"/>
  <c r="R26" i="21"/>
  <c r="S26" i="21"/>
  <c r="Q27" i="21"/>
  <c r="R27" i="21"/>
  <c r="S27" i="21"/>
  <c r="Q28" i="21"/>
  <c r="R28" i="21"/>
  <c r="S28" i="21"/>
  <c r="Q29" i="21"/>
  <c r="R29" i="21"/>
  <c r="S29" i="21"/>
  <c r="Q30" i="21"/>
  <c r="R30" i="21"/>
  <c r="S30" i="21"/>
  <c r="Q31" i="21"/>
  <c r="R31" i="21"/>
  <c r="S31" i="21"/>
  <c r="Q32" i="21"/>
  <c r="R32" i="21"/>
  <c r="S32" i="21"/>
  <c r="Q33" i="21"/>
  <c r="R33" i="21"/>
  <c r="S33" i="21"/>
  <c r="Q34" i="21"/>
  <c r="R34" i="21"/>
  <c r="S34" i="21"/>
  <c r="Q35" i="21"/>
  <c r="R35" i="21"/>
  <c r="S35" i="21"/>
  <c r="Q36" i="21"/>
  <c r="R36" i="21"/>
  <c r="S36" i="21"/>
  <c r="Q37" i="21"/>
  <c r="R37" i="21"/>
  <c r="S37" i="21"/>
  <c r="Q38" i="21"/>
  <c r="R38" i="21"/>
  <c r="S38" i="21"/>
  <c r="Q39" i="21"/>
  <c r="R39" i="21"/>
  <c r="S39" i="21"/>
  <c r="Q40" i="21"/>
  <c r="R40" i="21"/>
  <c r="S40" i="21"/>
  <c r="Q41" i="21"/>
  <c r="R41" i="21"/>
  <c r="S41" i="21"/>
  <c r="Q42" i="21"/>
  <c r="R42" i="21"/>
  <c r="S42" i="21"/>
  <c r="Q43" i="21"/>
  <c r="R43" i="21"/>
  <c r="S43" i="21"/>
  <c r="Q44" i="21"/>
  <c r="R44" i="21"/>
  <c r="S44" i="21"/>
  <c r="Q45" i="21"/>
  <c r="R45" i="21"/>
  <c r="S45" i="21"/>
  <c r="Q46" i="21"/>
  <c r="R46" i="21"/>
  <c r="S46" i="21"/>
  <c r="Q47" i="21"/>
  <c r="R47" i="21"/>
  <c r="S47" i="21"/>
  <c r="Q48" i="21"/>
  <c r="R48" i="21"/>
  <c r="S48" i="21"/>
  <c r="Q49" i="21"/>
  <c r="R49" i="21"/>
  <c r="S49" i="21"/>
  <c r="Q50" i="21"/>
  <c r="R50" i="21"/>
  <c r="S50" i="21"/>
  <c r="Q51" i="21"/>
  <c r="R51" i="21"/>
  <c r="S51" i="21"/>
  <c r="Q52" i="21"/>
  <c r="R52" i="21"/>
  <c r="S52" i="21"/>
  <c r="Q53" i="21"/>
  <c r="R53" i="21"/>
  <c r="S53" i="21"/>
  <c r="Q54" i="21"/>
  <c r="R54" i="21"/>
  <c r="S54" i="21"/>
  <c r="Q55" i="21"/>
  <c r="R55" i="21"/>
  <c r="S55" i="21"/>
  <c r="Q56" i="21"/>
  <c r="R56" i="21"/>
  <c r="S56" i="21"/>
  <c r="Q57" i="21"/>
  <c r="R57" i="21"/>
  <c r="S57" i="21"/>
  <c r="Q58" i="21"/>
  <c r="R58" i="21"/>
  <c r="S58" i="21"/>
  <c r="Q59" i="21"/>
  <c r="R59" i="21"/>
  <c r="S59" i="21"/>
  <c r="Q60" i="21"/>
  <c r="R60" i="21"/>
  <c r="S60" i="21"/>
  <c r="Q61" i="21"/>
  <c r="R61" i="21"/>
  <c r="S61" i="21"/>
  <c r="Q62" i="21"/>
  <c r="R62" i="21"/>
  <c r="S62" i="21"/>
  <c r="Q63" i="21"/>
  <c r="R63" i="21"/>
  <c r="S63" i="21"/>
  <c r="Q64" i="21"/>
  <c r="R64" i="21"/>
  <c r="S64" i="21"/>
  <c r="Q65" i="21"/>
  <c r="R65" i="21"/>
  <c r="S65" i="21"/>
  <c r="Q66" i="21"/>
  <c r="R66" i="21"/>
  <c r="S66" i="21"/>
  <c r="Q67" i="21"/>
  <c r="R67" i="21"/>
  <c r="S67" i="21"/>
  <c r="Q68" i="21"/>
  <c r="R68" i="21"/>
  <c r="S68" i="21"/>
  <c r="Q69" i="21"/>
  <c r="R69" i="21"/>
  <c r="S69" i="21"/>
  <c r="Q70" i="21"/>
  <c r="R70" i="21"/>
  <c r="S70" i="21"/>
  <c r="Q71" i="21"/>
  <c r="R71" i="21"/>
  <c r="S71" i="21"/>
  <c r="Q72" i="21"/>
  <c r="R72" i="21"/>
  <c r="S72" i="21"/>
  <c r="Q73" i="21"/>
  <c r="R73" i="21"/>
  <c r="S73" i="21"/>
  <c r="Q74" i="21"/>
  <c r="R74" i="21"/>
  <c r="S74" i="21"/>
  <c r="Q75" i="21"/>
  <c r="R75" i="21"/>
  <c r="S75" i="21"/>
  <c r="Q76" i="21"/>
  <c r="R76" i="21"/>
  <c r="S76" i="21"/>
  <c r="R2" i="21"/>
  <c r="S2" i="21"/>
  <c r="Q2" i="21"/>
  <c r="P76" i="21"/>
  <c r="O76" i="21"/>
  <c r="N76" i="21"/>
  <c r="M76" i="21"/>
  <c r="L76" i="21"/>
  <c r="K76" i="21"/>
  <c r="J76" i="21"/>
  <c r="I76" i="21"/>
  <c r="H76" i="21"/>
  <c r="P75" i="21"/>
  <c r="O75" i="21"/>
  <c r="N75" i="21"/>
  <c r="M75" i="21"/>
  <c r="L75" i="21"/>
  <c r="K75" i="21"/>
  <c r="J75" i="21"/>
  <c r="I75" i="21"/>
  <c r="H75" i="21"/>
  <c r="P74" i="21"/>
  <c r="O74" i="21"/>
  <c r="N74" i="21"/>
  <c r="M74" i="21"/>
  <c r="L74" i="21"/>
  <c r="K74" i="21"/>
  <c r="J74" i="21"/>
  <c r="I74" i="21"/>
  <c r="H74" i="21"/>
  <c r="P73" i="21"/>
  <c r="O73" i="21"/>
  <c r="N73" i="21"/>
  <c r="M73" i="21"/>
  <c r="L73" i="21"/>
  <c r="K73" i="21"/>
  <c r="J73" i="21"/>
  <c r="I73" i="21"/>
  <c r="H73" i="21"/>
  <c r="P72" i="21"/>
  <c r="O72" i="21"/>
  <c r="N72" i="21"/>
  <c r="M72" i="21"/>
  <c r="L72" i="21"/>
  <c r="K72" i="21"/>
  <c r="J72" i="21"/>
  <c r="I72" i="21"/>
  <c r="H72" i="21"/>
  <c r="P71" i="21"/>
  <c r="O71" i="21"/>
  <c r="N71" i="21"/>
  <c r="M71" i="21"/>
  <c r="L71" i="21"/>
  <c r="K71" i="21"/>
  <c r="J71" i="21"/>
  <c r="I71" i="21"/>
  <c r="H71" i="21"/>
  <c r="P70" i="21"/>
  <c r="O70" i="21"/>
  <c r="N70" i="21"/>
  <c r="M70" i="21"/>
  <c r="L70" i="21"/>
  <c r="K70" i="21"/>
  <c r="J70" i="21"/>
  <c r="I70" i="21"/>
  <c r="H70" i="21"/>
  <c r="P69" i="21"/>
  <c r="O69" i="21"/>
  <c r="N69" i="21"/>
  <c r="M69" i="21"/>
  <c r="L69" i="21"/>
  <c r="K69" i="21"/>
  <c r="J69" i="21"/>
  <c r="I69" i="21"/>
  <c r="H69" i="21"/>
  <c r="P68" i="21"/>
  <c r="O68" i="21"/>
  <c r="N68" i="21"/>
  <c r="M68" i="21"/>
  <c r="L68" i="21"/>
  <c r="K68" i="21"/>
  <c r="J68" i="21"/>
  <c r="I68" i="21"/>
  <c r="H68" i="21"/>
  <c r="P67" i="21"/>
  <c r="O67" i="21"/>
  <c r="N67" i="21"/>
  <c r="M67" i="21"/>
  <c r="L67" i="21"/>
  <c r="K67" i="21"/>
  <c r="J67" i="21"/>
  <c r="I67" i="21"/>
  <c r="H67" i="21"/>
  <c r="P66" i="21"/>
  <c r="O66" i="21"/>
  <c r="N66" i="21"/>
  <c r="M66" i="21"/>
  <c r="L66" i="21"/>
  <c r="K66" i="21"/>
  <c r="J66" i="21"/>
  <c r="I66" i="21"/>
  <c r="H66" i="21"/>
  <c r="P65" i="21"/>
  <c r="O65" i="21"/>
  <c r="N65" i="21"/>
  <c r="M65" i="21"/>
  <c r="L65" i="21"/>
  <c r="K65" i="21"/>
  <c r="J65" i="21"/>
  <c r="I65" i="21"/>
  <c r="H65" i="21"/>
  <c r="P64" i="21"/>
  <c r="O64" i="21"/>
  <c r="N64" i="21"/>
  <c r="M64" i="21"/>
  <c r="L64" i="21"/>
  <c r="K64" i="21"/>
  <c r="J64" i="21"/>
  <c r="I64" i="21"/>
  <c r="H64" i="21"/>
  <c r="P63" i="21"/>
  <c r="O63" i="21"/>
  <c r="N63" i="21"/>
  <c r="M63" i="21"/>
  <c r="L63" i="21"/>
  <c r="K63" i="21"/>
  <c r="J63" i="21"/>
  <c r="I63" i="21"/>
  <c r="H63" i="21"/>
  <c r="P62" i="21"/>
  <c r="O62" i="21"/>
  <c r="N62" i="21"/>
  <c r="M62" i="21"/>
  <c r="L62" i="21"/>
  <c r="K62" i="21"/>
  <c r="J62" i="21"/>
  <c r="I62" i="21"/>
  <c r="H62" i="21"/>
  <c r="P61" i="21"/>
  <c r="O61" i="21"/>
  <c r="N61" i="21"/>
  <c r="M61" i="21"/>
  <c r="L61" i="21"/>
  <c r="K61" i="21"/>
  <c r="J61" i="21"/>
  <c r="I61" i="21"/>
  <c r="H61" i="21"/>
  <c r="P60" i="21"/>
  <c r="O60" i="21"/>
  <c r="N60" i="21"/>
  <c r="M60" i="21"/>
  <c r="L60" i="21"/>
  <c r="K60" i="21"/>
  <c r="J60" i="21"/>
  <c r="I60" i="21"/>
  <c r="H60" i="21"/>
  <c r="P59" i="21"/>
  <c r="O59" i="21"/>
  <c r="N59" i="21"/>
  <c r="M59" i="21"/>
  <c r="L59" i="21"/>
  <c r="K59" i="21"/>
  <c r="J59" i="21"/>
  <c r="I59" i="21"/>
  <c r="H59" i="21"/>
  <c r="P58" i="21"/>
  <c r="O58" i="21"/>
  <c r="N58" i="21"/>
  <c r="M58" i="21"/>
  <c r="L58" i="21"/>
  <c r="K58" i="21"/>
  <c r="J58" i="21"/>
  <c r="I58" i="21"/>
  <c r="H58" i="21"/>
  <c r="P57" i="21"/>
  <c r="O57" i="21"/>
  <c r="N57" i="21"/>
  <c r="M57" i="21"/>
  <c r="L57" i="21"/>
  <c r="K57" i="21"/>
  <c r="J57" i="21"/>
  <c r="I57" i="21"/>
  <c r="H57" i="21"/>
  <c r="P56" i="21"/>
  <c r="O56" i="21"/>
  <c r="N56" i="21"/>
  <c r="M56" i="21"/>
  <c r="L56" i="21"/>
  <c r="K56" i="21"/>
  <c r="J56" i="21"/>
  <c r="I56" i="21"/>
  <c r="H56" i="21"/>
  <c r="P55" i="21"/>
  <c r="O55" i="21"/>
  <c r="N55" i="21"/>
  <c r="M55" i="21"/>
  <c r="L55" i="21"/>
  <c r="K55" i="21"/>
  <c r="J55" i="21"/>
  <c r="I55" i="21"/>
  <c r="H55" i="21"/>
  <c r="P54" i="21"/>
  <c r="O54" i="21"/>
  <c r="N54" i="21"/>
  <c r="M54" i="21"/>
  <c r="L54" i="21"/>
  <c r="K54" i="21"/>
  <c r="J54" i="21"/>
  <c r="I54" i="21"/>
  <c r="H54" i="21"/>
  <c r="P53" i="21"/>
  <c r="O53" i="21"/>
  <c r="N53" i="21"/>
  <c r="M53" i="21"/>
  <c r="L53" i="21"/>
  <c r="K53" i="21"/>
  <c r="J53" i="21"/>
  <c r="I53" i="21"/>
  <c r="H53" i="21"/>
  <c r="P52" i="21"/>
  <c r="O52" i="21"/>
  <c r="N52" i="21"/>
  <c r="M52" i="21"/>
  <c r="L52" i="21"/>
  <c r="K52" i="21"/>
  <c r="J52" i="21"/>
  <c r="I52" i="21"/>
  <c r="H52" i="21"/>
  <c r="P51" i="21"/>
  <c r="O51" i="21"/>
  <c r="N51" i="21"/>
  <c r="M51" i="21"/>
  <c r="L51" i="21"/>
  <c r="K51" i="21"/>
  <c r="J51" i="21"/>
  <c r="I51" i="21"/>
  <c r="H51" i="21"/>
  <c r="P50" i="21"/>
  <c r="O50" i="21"/>
  <c r="N50" i="21"/>
  <c r="M50" i="21"/>
  <c r="L50" i="21"/>
  <c r="K50" i="21"/>
  <c r="J50" i="21"/>
  <c r="I50" i="21"/>
  <c r="H50" i="21"/>
  <c r="P49" i="21"/>
  <c r="O49" i="21"/>
  <c r="N49" i="21"/>
  <c r="M49" i="21"/>
  <c r="L49" i="21"/>
  <c r="K49" i="21"/>
  <c r="J49" i="21"/>
  <c r="I49" i="21"/>
  <c r="H49" i="21"/>
  <c r="P48" i="21"/>
  <c r="O48" i="21"/>
  <c r="N48" i="21"/>
  <c r="M48" i="21"/>
  <c r="L48" i="21"/>
  <c r="K48" i="21"/>
  <c r="J48" i="21"/>
  <c r="I48" i="21"/>
  <c r="H48" i="21"/>
  <c r="P47" i="21"/>
  <c r="O47" i="21"/>
  <c r="N47" i="21"/>
  <c r="M47" i="21"/>
  <c r="L47" i="21"/>
  <c r="K47" i="21"/>
  <c r="J47" i="21"/>
  <c r="I47" i="21"/>
  <c r="H47" i="21"/>
  <c r="P46" i="21"/>
  <c r="O46" i="21"/>
  <c r="N46" i="21"/>
  <c r="M46" i="21"/>
  <c r="L46" i="21"/>
  <c r="K46" i="21"/>
  <c r="J46" i="21"/>
  <c r="I46" i="21"/>
  <c r="H46" i="21"/>
  <c r="P45" i="21"/>
  <c r="O45" i="21"/>
  <c r="N45" i="21"/>
  <c r="M45" i="21"/>
  <c r="L45" i="21"/>
  <c r="K45" i="21"/>
  <c r="J45" i="21"/>
  <c r="I45" i="21"/>
  <c r="H45" i="21"/>
  <c r="P44" i="21"/>
  <c r="O44" i="21"/>
  <c r="N44" i="21"/>
  <c r="M44" i="21"/>
  <c r="L44" i="21"/>
  <c r="K44" i="21"/>
  <c r="J44" i="21"/>
  <c r="I44" i="21"/>
  <c r="H44" i="21"/>
  <c r="P43" i="21"/>
  <c r="O43" i="21"/>
  <c r="N43" i="21"/>
  <c r="M43" i="21"/>
  <c r="L43" i="21"/>
  <c r="K43" i="21"/>
  <c r="J43" i="21"/>
  <c r="I43" i="21"/>
  <c r="H43" i="21"/>
  <c r="P42" i="21"/>
  <c r="O42" i="21"/>
  <c r="N42" i="21"/>
  <c r="M42" i="21"/>
  <c r="L42" i="21"/>
  <c r="K42" i="21"/>
  <c r="J42" i="21"/>
  <c r="I42" i="21"/>
  <c r="H42" i="21"/>
  <c r="P41" i="21"/>
  <c r="O41" i="21"/>
  <c r="N41" i="21"/>
  <c r="M41" i="21"/>
  <c r="L41" i="21"/>
  <c r="K41" i="21"/>
  <c r="J41" i="21"/>
  <c r="I41" i="21"/>
  <c r="H41" i="21"/>
  <c r="P40" i="21"/>
  <c r="O40" i="21"/>
  <c r="N40" i="21"/>
  <c r="M40" i="21"/>
  <c r="L40" i="21"/>
  <c r="K40" i="21"/>
  <c r="J40" i="21"/>
  <c r="I40" i="21"/>
  <c r="H40" i="21"/>
  <c r="P39" i="21"/>
  <c r="O39" i="21"/>
  <c r="N39" i="21"/>
  <c r="M39" i="21"/>
  <c r="L39" i="21"/>
  <c r="K39" i="21"/>
  <c r="J39" i="21"/>
  <c r="I39" i="21"/>
  <c r="H39" i="21"/>
  <c r="P38" i="21"/>
  <c r="O38" i="21"/>
  <c r="N38" i="21"/>
  <c r="M38" i="21"/>
  <c r="L38" i="21"/>
  <c r="K38" i="21"/>
  <c r="J38" i="21"/>
  <c r="I38" i="21"/>
  <c r="H38" i="21"/>
  <c r="P37" i="21"/>
  <c r="O37" i="21"/>
  <c r="N37" i="21"/>
  <c r="M37" i="21"/>
  <c r="L37" i="21"/>
  <c r="K37" i="21"/>
  <c r="J37" i="21"/>
  <c r="I37" i="21"/>
  <c r="H37" i="21"/>
  <c r="P36" i="21"/>
  <c r="O36" i="21"/>
  <c r="N36" i="21"/>
  <c r="M36" i="21"/>
  <c r="L36" i="21"/>
  <c r="K36" i="21"/>
  <c r="J36" i="21"/>
  <c r="I36" i="21"/>
  <c r="H36" i="21"/>
  <c r="P35" i="21"/>
  <c r="O35" i="21"/>
  <c r="N35" i="21"/>
  <c r="M35" i="21"/>
  <c r="L35" i="21"/>
  <c r="K35" i="21"/>
  <c r="J35" i="21"/>
  <c r="I35" i="21"/>
  <c r="H35" i="21"/>
  <c r="P34" i="21"/>
  <c r="O34" i="21"/>
  <c r="N34" i="21"/>
  <c r="M34" i="21"/>
  <c r="L34" i="21"/>
  <c r="K34" i="21"/>
  <c r="J34" i="21"/>
  <c r="I34" i="21"/>
  <c r="H34" i="21"/>
  <c r="P33" i="21"/>
  <c r="O33" i="21"/>
  <c r="N33" i="21"/>
  <c r="M33" i="21"/>
  <c r="L33" i="21"/>
  <c r="K33" i="21"/>
  <c r="J33" i="21"/>
  <c r="I33" i="21"/>
  <c r="H33" i="21"/>
  <c r="P32" i="21"/>
  <c r="O32" i="21"/>
  <c r="N32" i="21"/>
  <c r="M32" i="21"/>
  <c r="L32" i="21"/>
  <c r="K32" i="21"/>
  <c r="J32" i="21"/>
  <c r="I32" i="21"/>
  <c r="H32" i="21"/>
  <c r="P31" i="21"/>
  <c r="O31" i="21"/>
  <c r="N31" i="21"/>
  <c r="M31" i="21"/>
  <c r="L31" i="21"/>
  <c r="K31" i="21"/>
  <c r="J31" i="21"/>
  <c r="I31" i="21"/>
  <c r="H31" i="21"/>
  <c r="P30" i="21"/>
  <c r="O30" i="21"/>
  <c r="N30" i="21"/>
  <c r="M30" i="21"/>
  <c r="L30" i="21"/>
  <c r="K30" i="21"/>
  <c r="J30" i="21"/>
  <c r="I30" i="21"/>
  <c r="H30" i="21"/>
  <c r="P29" i="21"/>
  <c r="O29" i="21"/>
  <c r="N29" i="21"/>
  <c r="M29" i="21"/>
  <c r="L29" i="21"/>
  <c r="K29" i="21"/>
  <c r="J29" i="21"/>
  <c r="I29" i="21"/>
  <c r="H29" i="21"/>
  <c r="P28" i="21"/>
  <c r="O28" i="21"/>
  <c r="N28" i="21"/>
  <c r="M28" i="21"/>
  <c r="L28" i="21"/>
  <c r="K28" i="21"/>
  <c r="J28" i="21"/>
  <c r="I28" i="21"/>
  <c r="H28" i="21"/>
  <c r="P27" i="21"/>
  <c r="O27" i="21"/>
  <c r="N27" i="21"/>
  <c r="M27" i="21"/>
  <c r="L27" i="21"/>
  <c r="K27" i="21"/>
  <c r="J27" i="21"/>
  <c r="I27" i="21"/>
  <c r="H27" i="21"/>
  <c r="P26" i="21"/>
  <c r="O26" i="21"/>
  <c r="N26" i="21"/>
  <c r="M26" i="21"/>
  <c r="L26" i="21"/>
  <c r="K26" i="21"/>
  <c r="J26" i="21"/>
  <c r="I26" i="21"/>
  <c r="H26" i="21"/>
  <c r="P25" i="21"/>
  <c r="O25" i="21"/>
  <c r="N25" i="21"/>
  <c r="M25" i="21"/>
  <c r="L25" i="21"/>
  <c r="K25" i="21"/>
  <c r="J25" i="21"/>
  <c r="I25" i="21"/>
  <c r="H25" i="21"/>
  <c r="P24" i="21"/>
  <c r="O24" i="21"/>
  <c r="N24" i="21"/>
  <c r="M24" i="21"/>
  <c r="L24" i="21"/>
  <c r="K24" i="21"/>
  <c r="J24" i="21"/>
  <c r="I24" i="21"/>
  <c r="H24" i="21"/>
  <c r="P23" i="21"/>
  <c r="O23" i="21"/>
  <c r="N23" i="21"/>
  <c r="M23" i="21"/>
  <c r="L23" i="21"/>
  <c r="K23" i="21"/>
  <c r="J23" i="21"/>
  <c r="I23" i="21"/>
  <c r="H23" i="21"/>
  <c r="P22" i="21"/>
  <c r="O22" i="21"/>
  <c r="N22" i="21"/>
  <c r="M22" i="21"/>
  <c r="L22" i="21"/>
  <c r="K22" i="21"/>
  <c r="J22" i="21"/>
  <c r="I22" i="21"/>
  <c r="H22" i="21"/>
  <c r="P21" i="21"/>
  <c r="O21" i="21"/>
  <c r="N21" i="21"/>
  <c r="M21" i="21"/>
  <c r="L21" i="21"/>
  <c r="K21" i="21"/>
  <c r="J21" i="21"/>
  <c r="I21" i="21"/>
  <c r="H21" i="21"/>
  <c r="P20" i="21"/>
  <c r="O20" i="21"/>
  <c r="N20" i="21"/>
  <c r="M20" i="21"/>
  <c r="L20" i="21"/>
  <c r="K20" i="21"/>
  <c r="J20" i="21"/>
  <c r="I20" i="21"/>
  <c r="H20" i="21"/>
  <c r="P19" i="21"/>
  <c r="O19" i="21"/>
  <c r="N19" i="21"/>
  <c r="M19" i="21"/>
  <c r="L19" i="21"/>
  <c r="K19" i="21"/>
  <c r="J19" i="21"/>
  <c r="I19" i="21"/>
  <c r="H19" i="21"/>
  <c r="P18" i="21"/>
  <c r="O18" i="21"/>
  <c r="N18" i="21"/>
  <c r="M18" i="21"/>
  <c r="L18" i="21"/>
  <c r="K18" i="21"/>
  <c r="J18" i="21"/>
  <c r="I18" i="21"/>
  <c r="H18" i="21"/>
  <c r="P17" i="21"/>
  <c r="O17" i="21"/>
  <c r="N17" i="21"/>
  <c r="M17" i="21"/>
  <c r="L17" i="21"/>
  <c r="K17" i="21"/>
  <c r="J17" i="21"/>
  <c r="I17" i="21"/>
  <c r="H17" i="21"/>
  <c r="P16" i="21"/>
  <c r="O16" i="21"/>
  <c r="N16" i="21"/>
  <c r="M16" i="21"/>
  <c r="L16" i="21"/>
  <c r="K16" i="21"/>
  <c r="J16" i="21"/>
  <c r="I16" i="21"/>
  <c r="H16" i="21"/>
  <c r="P15" i="21"/>
  <c r="O15" i="21"/>
  <c r="N15" i="21"/>
  <c r="M15" i="21"/>
  <c r="L15" i="21"/>
  <c r="K15" i="21"/>
  <c r="J15" i="21"/>
  <c r="I15" i="21"/>
  <c r="H15" i="21"/>
  <c r="P14" i="21"/>
  <c r="O14" i="21"/>
  <c r="N14" i="21"/>
  <c r="M14" i="21"/>
  <c r="L14" i="21"/>
  <c r="K14" i="21"/>
  <c r="J14" i="21"/>
  <c r="I14" i="21"/>
  <c r="H14" i="21"/>
  <c r="P13" i="21"/>
  <c r="O13" i="21"/>
  <c r="N13" i="21"/>
  <c r="M13" i="21"/>
  <c r="L13" i="21"/>
  <c r="K13" i="21"/>
  <c r="J13" i="21"/>
  <c r="I13" i="21"/>
  <c r="H13" i="21"/>
  <c r="P12" i="21"/>
  <c r="O12" i="21"/>
  <c r="N12" i="21"/>
  <c r="M12" i="21"/>
  <c r="L12" i="21"/>
  <c r="K12" i="21"/>
  <c r="J12" i="21"/>
  <c r="I12" i="21"/>
  <c r="H12" i="21"/>
  <c r="P11" i="21"/>
  <c r="O11" i="21"/>
  <c r="N11" i="21"/>
  <c r="M11" i="21"/>
  <c r="L11" i="21"/>
  <c r="K11" i="21"/>
  <c r="J11" i="21"/>
  <c r="I11" i="21"/>
  <c r="H11" i="21"/>
  <c r="P10" i="21"/>
  <c r="O10" i="21"/>
  <c r="N10" i="21"/>
  <c r="M10" i="21"/>
  <c r="L10" i="21"/>
  <c r="K10" i="21"/>
  <c r="J10" i="21"/>
  <c r="I10" i="21"/>
  <c r="H10" i="21"/>
  <c r="P9" i="21"/>
  <c r="O9" i="21"/>
  <c r="N9" i="21"/>
  <c r="M9" i="21"/>
  <c r="L9" i="21"/>
  <c r="K9" i="21"/>
  <c r="J9" i="21"/>
  <c r="I9" i="21"/>
  <c r="H9" i="21"/>
  <c r="P8" i="21"/>
  <c r="O8" i="21"/>
  <c r="N8" i="21"/>
  <c r="M8" i="21"/>
  <c r="L8" i="21"/>
  <c r="K8" i="21"/>
  <c r="J8" i="21"/>
  <c r="I8" i="21"/>
  <c r="H8" i="21"/>
  <c r="P6" i="21"/>
  <c r="O6" i="21"/>
  <c r="N6" i="21"/>
  <c r="M6" i="21"/>
  <c r="L6" i="21"/>
  <c r="K6" i="21"/>
  <c r="J6" i="21"/>
  <c r="I6" i="21"/>
  <c r="H6" i="21"/>
  <c r="P5" i="21"/>
  <c r="O5" i="21"/>
  <c r="N5" i="21"/>
  <c r="M5" i="21"/>
  <c r="L5" i="21"/>
  <c r="K5" i="21"/>
  <c r="J5" i="21"/>
  <c r="I5" i="21"/>
  <c r="H5" i="21"/>
  <c r="P4" i="21"/>
  <c r="O4" i="21"/>
  <c r="N4" i="21"/>
  <c r="M4" i="21"/>
  <c r="L4" i="21"/>
  <c r="K4" i="21"/>
  <c r="J4" i="21"/>
  <c r="I4" i="21"/>
  <c r="H4" i="21"/>
  <c r="P3" i="21"/>
  <c r="O3" i="21"/>
  <c r="N3" i="21"/>
  <c r="M3" i="21"/>
  <c r="L3" i="21"/>
  <c r="K3" i="21"/>
  <c r="J3" i="21"/>
  <c r="I3" i="21"/>
  <c r="H3" i="21"/>
  <c r="P2" i="21"/>
  <c r="O2" i="21"/>
  <c r="N2" i="21"/>
  <c r="M2" i="21"/>
  <c r="L2" i="21"/>
  <c r="K2" i="21"/>
  <c r="J2" i="21"/>
  <c r="I2" i="21"/>
  <c r="H2" i="21"/>
  <c r="H3" i="5"/>
  <c r="I3" i="5"/>
  <c r="J3" i="5"/>
  <c r="K3" i="5"/>
  <c r="L3" i="5"/>
  <c r="M3" i="5"/>
  <c r="N3" i="5"/>
  <c r="O3" i="5"/>
  <c r="P3" i="5"/>
  <c r="Q3" i="5"/>
  <c r="R3" i="5"/>
  <c r="S3" i="5"/>
  <c r="H4" i="5"/>
  <c r="I4" i="5"/>
  <c r="J4" i="5"/>
  <c r="K4" i="5"/>
  <c r="L4" i="5"/>
  <c r="M4" i="5"/>
  <c r="N4" i="5"/>
  <c r="O4" i="5"/>
  <c r="P4" i="5"/>
  <c r="Q4" i="5"/>
  <c r="R4" i="5"/>
  <c r="S4" i="5"/>
  <c r="H5" i="5"/>
  <c r="I5" i="5"/>
  <c r="J5" i="5"/>
  <c r="K5" i="5"/>
  <c r="L5" i="5"/>
  <c r="M5" i="5"/>
  <c r="N5" i="5"/>
  <c r="O5" i="5"/>
  <c r="P5" i="5"/>
  <c r="Q5" i="5"/>
  <c r="R5" i="5"/>
  <c r="S5" i="5"/>
  <c r="H6" i="5"/>
  <c r="I6" i="5"/>
  <c r="J6" i="5"/>
  <c r="K6" i="5"/>
  <c r="L6" i="5"/>
  <c r="M6" i="5"/>
  <c r="N6" i="5"/>
  <c r="O6" i="5"/>
  <c r="P6" i="5"/>
  <c r="Q6" i="5"/>
  <c r="R6" i="5"/>
  <c r="S6" i="5"/>
  <c r="H7" i="5"/>
  <c r="I7" i="5"/>
  <c r="J7" i="5"/>
  <c r="K7" i="5"/>
  <c r="L7" i="5"/>
  <c r="M7" i="5"/>
  <c r="N7" i="5"/>
  <c r="O7" i="5"/>
  <c r="P7" i="5"/>
  <c r="Q7" i="5"/>
  <c r="R7" i="5"/>
  <c r="S7" i="5"/>
  <c r="H8" i="5"/>
  <c r="I8" i="5"/>
  <c r="J8" i="5"/>
  <c r="K8" i="5"/>
  <c r="L8" i="5"/>
  <c r="M8" i="5"/>
  <c r="N8" i="5"/>
  <c r="O8" i="5"/>
  <c r="P8" i="5"/>
  <c r="Q8" i="5"/>
  <c r="R8" i="5"/>
  <c r="S8" i="5"/>
  <c r="H9" i="5"/>
  <c r="I9" i="5"/>
  <c r="J9" i="5"/>
  <c r="K9" i="5"/>
  <c r="L9" i="5"/>
  <c r="M9" i="5"/>
  <c r="N9" i="5"/>
  <c r="O9" i="5"/>
  <c r="P9" i="5"/>
  <c r="Q9" i="5"/>
  <c r="R9" i="5"/>
  <c r="S9" i="5"/>
  <c r="H10" i="5"/>
  <c r="I10" i="5"/>
  <c r="J10" i="5"/>
  <c r="K10" i="5"/>
  <c r="L10" i="5"/>
  <c r="M10" i="5"/>
  <c r="N10" i="5"/>
  <c r="O10" i="5"/>
  <c r="P10" i="5"/>
  <c r="Q10" i="5"/>
  <c r="R10" i="5"/>
  <c r="S10" i="5"/>
  <c r="H11" i="5"/>
  <c r="I11" i="5"/>
  <c r="J11" i="5"/>
  <c r="K11" i="5"/>
  <c r="L11" i="5"/>
  <c r="M11" i="5"/>
  <c r="N11" i="5"/>
  <c r="O11" i="5"/>
  <c r="P11" i="5"/>
  <c r="Q11" i="5"/>
  <c r="R11" i="5"/>
  <c r="S11" i="5"/>
  <c r="H12" i="5"/>
  <c r="I12" i="5"/>
  <c r="J12" i="5"/>
  <c r="K12" i="5"/>
  <c r="L12" i="5"/>
  <c r="M12" i="5"/>
  <c r="N12" i="5"/>
  <c r="O12" i="5"/>
  <c r="P12" i="5"/>
  <c r="Q12" i="5"/>
  <c r="R12" i="5"/>
  <c r="S12" i="5"/>
  <c r="H13" i="5"/>
  <c r="I13" i="5"/>
  <c r="J13" i="5"/>
  <c r="K13" i="5"/>
  <c r="L13" i="5"/>
  <c r="M13" i="5"/>
  <c r="N13" i="5"/>
  <c r="O13" i="5"/>
  <c r="P13" i="5"/>
  <c r="Q13" i="5"/>
  <c r="R13" i="5"/>
  <c r="S13" i="5"/>
  <c r="H14" i="5"/>
  <c r="I14" i="5"/>
  <c r="J14" i="5"/>
  <c r="K14" i="5"/>
  <c r="L14" i="5"/>
  <c r="M14" i="5"/>
  <c r="N14" i="5"/>
  <c r="O14" i="5"/>
  <c r="P14" i="5"/>
  <c r="Q14" i="5"/>
  <c r="R14" i="5"/>
  <c r="S14" i="5"/>
  <c r="H15" i="5"/>
  <c r="I15" i="5"/>
  <c r="J15" i="5"/>
  <c r="K15" i="5"/>
  <c r="L15" i="5"/>
  <c r="M15" i="5"/>
  <c r="N15" i="5"/>
  <c r="O15" i="5"/>
  <c r="P15" i="5"/>
  <c r="Q15" i="5"/>
  <c r="R15" i="5"/>
  <c r="S15" i="5"/>
  <c r="H16" i="5"/>
  <c r="I16" i="5"/>
  <c r="J16" i="5"/>
  <c r="K16" i="5"/>
  <c r="L16" i="5"/>
  <c r="M16" i="5"/>
  <c r="N16" i="5"/>
  <c r="O16" i="5"/>
  <c r="P16" i="5"/>
  <c r="Q16" i="5"/>
  <c r="R16" i="5"/>
  <c r="S16" i="5"/>
  <c r="H17" i="5"/>
  <c r="I17" i="5"/>
  <c r="J17" i="5"/>
  <c r="K17" i="5"/>
  <c r="L17" i="5"/>
  <c r="M17" i="5"/>
  <c r="N17" i="5"/>
  <c r="O17" i="5"/>
  <c r="P17" i="5"/>
  <c r="Q17" i="5"/>
  <c r="R17" i="5"/>
  <c r="S17" i="5"/>
  <c r="H18" i="5"/>
  <c r="I18" i="5"/>
  <c r="J18" i="5"/>
  <c r="K18" i="5"/>
  <c r="L18" i="5"/>
  <c r="M18" i="5"/>
  <c r="N18" i="5"/>
  <c r="O18" i="5"/>
  <c r="P18" i="5"/>
  <c r="Q18" i="5"/>
  <c r="R18" i="5"/>
  <c r="S18" i="5"/>
  <c r="H19" i="5"/>
  <c r="I19" i="5"/>
  <c r="J19" i="5"/>
  <c r="K19" i="5"/>
  <c r="L19" i="5"/>
  <c r="M19" i="5"/>
  <c r="N19" i="5"/>
  <c r="O19" i="5"/>
  <c r="P19" i="5"/>
  <c r="Q19" i="5"/>
  <c r="R19" i="5"/>
  <c r="S19" i="5"/>
  <c r="H20" i="5"/>
  <c r="I20" i="5"/>
  <c r="J20" i="5"/>
  <c r="K20" i="5"/>
  <c r="L20" i="5"/>
  <c r="M20" i="5"/>
  <c r="N20" i="5"/>
  <c r="O20" i="5"/>
  <c r="P20" i="5"/>
  <c r="Q20" i="5"/>
  <c r="R20" i="5"/>
  <c r="S20" i="5"/>
  <c r="H21" i="5"/>
  <c r="I21" i="5"/>
  <c r="J21" i="5"/>
  <c r="K21" i="5"/>
  <c r="L21" i="5"/>
  <c r="M21" i="5"/>
  <c r="N21" i="5"/>
  <c r="O21" i="5"/>
  <c r="P21" i="5"/>
  <c r="Q21" i="5"/>
  <c r="R21" i="5"/>
  <c r="S21" i="5"/>
  <c r="H22" i="5"/>
  <c r="I22" i="5"/>
  <c r="J22" i="5"/>
  <c r="K22" i="5"/>
  <c r="L22" i="5"/>
  <c r="M22" i="5"/>
  <c r="N22" i="5"/>
  <c r="O22" i="5"/>
  <c r="P22" i="5"/>
  <c r="Q22" i="5"/>
  <c r="R22" i="5"/>
  <c r="S22" i="5"/>
  <c r="H23" i="5"/>
  <c r="I23" i="5"/>
  <c r="J23" i="5"/>
  <c r="K23" i="5"/>
  <c r="L23" i="5"/>
  <c r="M23" i="5"/>
  <c r="N23" i="5"/>
  <c r="O23" i="5"/>
  <c r="P23" i="5"/>
  <c r="Q23" i="5"/>
  <c r="R23" i="5"/>
  <c r="S23" i="5"/>
  <c r="H24" i="5"/>
  <c r="I24" i="5"/>
  <c r="J24" i="5"/>
  <c r="K24" i="5"/>
  <c r="L24" i="5"/>
  <c r="M24" i="5"/>
  <c r="N24" i="5"/>
  <c r="O24" i="5"/>
  <c r="P24" i="5"/>
  <c r="Q24" i="5"/>
  <c r="R24" i="5"/>
  <c r="S24" i="5"/>
  <c r="H25" i="5"/>
  <c r="I25" i="5"/>
  <c r="J25" i="5"/>
  <c r="K25" i="5"/>
  <c r="L25" i="5"/>
  <c r="M25" i="5"/>
  <c r="N25" i="5"/>
  <c r="O25" i="5"/>
  <c r="P25" i="5"/>
  <c r="Q25" i="5"/>
  <c r="R25" i="5"/>
  <c r="S25" i="5"/>
  <c r="H26" i="5"/>
  <c r="I26" i="5"/>
  <c r="J26" i="5"/>
  <c r="K26" i="5"/>
  <c r="L26" i="5"/>
  <c r="M26" i="5"/>
  <c r="N26" i="5"/>
  <c r="O26" i="5"/>
  <c r="P26" i="5"/>
  <c r="Q26" i="5"/>
  <c r="R26" i="5"/>
  <c r="S26" i="5"/>
  <c r="H27" i="5"/>
  <c r="I27" i="5"/>
  <c r="J27" i="5"/>
  <c r="K27" i="5"/>
  <c r="L27" i="5"/>
  <c r="M27" i="5"/>
  <c r="N27" i="5"/>
  <c r="O27" i="5"/>
  <c r="P27" i="5"/>
  <c r="Q27" i="5"/>
  <c r="R27" i="5"/>
  <c r="S27" i="5"/>
  <c r="H28" i="5"/>
  <c r="I28" i="5"/>
  <c r="J28" i="5"/>
  <c r="K28" i="5"/>
  <c r="L28" i="5"/>
  <c r="M28" i="5"/>
  <c r="N28" i="5"/>
  <c r="O28" i="5"/>
  <c r="P28" i="5"/>
  <c r="Q28" i="5"/>
  <c r="R28" i="5"/>
  <c r="S28" i="5"/>
  <c r="H29" i="5"/>
  <c r="I29" i="5"/>
  <c r="J29" i="5"/>
  <c r="K29" i="5"/>
  <c r="L29" i="5"/>
  <c r="M29" i="5"/>
  <c r="N29" i="5"/>
  <c r="O29" i="5"/>
  <c r="P29" i="5"/>
  <c r="Q29" i="5"/>
  <c r="R29" i="5"/>
  <c r="S29" i="5"/>
  <c r="H30" i="5"/>
  <c r="I30" i="5"/>
  <c r="J30" i="5"/>
  <c r="K30" i="5"/>
  <c r="L30" i="5"/>
  <c r="M30" i="5"/>
  <c r="N30" i="5"/>
  <c r="O30" i="5"/>
  <c r="P30" i="5"/>
  <c r="Q30" i="5"/>
  <c r="R30" i="5"/>
  <c r="S30" i="5"/>
  <c r="H31" i="5"/>
  <c r="I31" i="5"/>
  <c r="J31" i="5"/>
  <c r="K31" i="5"/>
  <c r="L31" i="5"/>
  <c r="M31" i="5"/>
  <c r="N31" i="5"/>
  <c r="O31" i="5"/>
  <c r="P31" i="5"/>
  <c r="Q31" i="5"/>
  <c r="R31" i="5"/>
  <c r="S31" i="5"/>
  <c r="H32" i="5"/>
  <c r="I32" i="5"/>
  <c r="J32" i="5"/>
  <c r="K32" i="5"/>
  <c r="L32" i="5"/>
  <c r="M32" i="5"/>
  <c r="N32" i="5"/>
  <c r="O32" i="5"/>
  <c r="P32" i="5"/>
  <c r="Q32" i="5"/>
  <c r="R32" i="5"/>
  <c r="S32" i="5"/>
  <c r="H33" i="5"/>
  <c r="I33" i="5"/>
  <c r="J33" i="5"/>
  <c r="K33" i="5"/>
  <c r="L33" i="5"/>
  <c r="M33" i="5"/>
  <c r="N33" i="5"/>
  <c r="O33" i="5"/>
  <c r="P33" i="5"/>
  <c r="Q33" i="5"/>
  <c r="R33" i="5"/>
  <c r="S33" i="5"/>
  <c r="H34" i="5"/>
  <c r="I34" i="5"/>
  <c r="J34" i="5"/>
  <c r="K34" i="5"/>
  <c r="L34" i="5"/>
  <c r="M34" i="5"/>
  <c r="N34" i="5"/>
  <c r="O34" i="5"/>
  <c r="P34" i="5"/>
  <c r="Q34" i="5"/>
  <c r="R34" i="5"/>
  <c r="S34" i="5"/>
  <c r="H35" i="5"/>
  <c r="I35" i="5"/>
  <c r="J35" i="5"/>
  <c r="K35" i="5"/>
  <c r="L35" i="5"/>
  <c r="M35" i="5"/>
  <c r="N35" i="5"/>
  <c r="O35" i="5"/>
  <c r="P35" i="5"/>
  <c r="Q35" i="5"/>
  <c r="R35" i="5"/>
  <c r="S35" i="5"/>
  <c r="H36" i="5"/>
  <c r="I36" i="5"/>
  <c r="J36" i="5"/>
  <c r="K36" i="5"/>
  <c r="L36" i="5"/>
  <c r="M36" i="5"/>
  <c r="N36" i="5"/>
  <c r="O36" i="5"/>
  <c r="P36" i="5"/>
  <c r="Q36" i="5"/>
  <c r="R36" i="5"/>
  <c r="S36" i="5"/>
  <c r="H37" i="5"/>
  <c r="I37" i="5"/>
  <c r="J37" i="5"/>
  <c r="K37" i="5"/>
  <c r="L37" i="5"/>
  <c r="M37" i="5"/>
  <c r="N37" i="5"/>
  <c r="O37" i="5"/>
  <c r="P37" i="5"/>
  <c r="Q37" i="5"/>
  <c r="R37" i="5"/>
  <c r="S37" i="5"/>
  <c r="H38" i="5"/>
  <c r="I38" i="5"/>
  <c r="J38" i="5"/>
  <c r="K38" i="5"/>
  <c r="L38" i="5"/>
  <c r="M38" i="5"/>
  <c r="N38" i="5"/>
  <c r="O38" i="5"/>
  <c r="P38" i="5"/>
  <c r="Q38" i="5"/>
  <c r="R38" i="5"/>
  <c r="S38" i="5"/>
  <c r="H39" i="5"/>
  <c r="I39" i="5"/>
  <c r="J39" i="5"/>
  <c r="K39" i="5"/>
  <c r="L39" i="5"/>
  <c r="M39" i="5"/>
  <c r="N39" i="5"/>
  <c r="O39" i="5"/>
  <c r="P39" i="5"/>
  <c r="Q39" i="5"/>
  <c r="R39" i="5"/>
  <c r="S39" i="5"/>
  <c r="H40" i="5"/>
  <c r="I40" i="5"/>
  <c r="J40" i="5"/>
  <c r="K40" i="5"/>
  <c r="L40" i="5"/>
  <c r="M40" i="5"/>
  <c r="N40" i="5"/>
  <c r="O40" i="5"/>
  <c r="P40" i="5"/>
  <c r="Q40" i="5"/>
  <c r="R40" i="5"/>
  <c r="S40" i="5"/>
  <c r="H41" i="5"/>
  <c r="I41" i="5"/>
  <c r="J41" i="5"/>
  <c r="K41" i="5"/>
  <c r="L41" i="5"/>
  <c r="M41" i="5"/>
  <c r="N41" i="5"/>
  <c r="O41" i="5"/>
  <c r="P41" i="5"/>
  <c r="Q41" i="5"/>
  <c r="R41" i="5"/>
  <c r="S41" i="5"/>
  <c r="H42" i="5"/>
  <c r="I42" i="5"/>
  <c r="J42" i="5"/>
  <c r="K42" i="5"/>
  <c r="L42" i="5"/>
  <c r="M42" i="5"/>
  <c r="N42" i="5"/>
  <c r="O42" i="5"/>
  <c r="P42" i="5"/>
  <c r="Q42" i="5"/>
  <c r="R42" i="5"/>
  <c r="S42" i="5"/>
  <c r="H43" i="5"/>
  <c r="I43" i="5"/>
  <c r="J43" i="5"/>
  <c r="K43" i="5"/>
  <c r="L43" i="5"/>
  <c r="M43" i="5"/>
  <c r="N43" i="5"/>
  <c r="O43" i="5"/>
  <c r="P43" i="5"/>
  <c r="Q43" i="5"/>
  <c r="R43" i="5"/>
  <c r="S43" i="5"/>
  <c r="H44" i="5"/>
  <c r="I44" i="5"/>
  <c r="J44" i="5"/>
  <c r="K44" i="5"/>
  <c r="L44" i="5"/>
  <c r="M44" i="5"/>
  <c r="N44" i="5"/>
  <c r="O44" i="5"/>
  <c r="P44" i="5"/>
  <c r="Q44" i="5"/>
  <c r="R44" i="5"/>
  <c r="S44" i="5"/>
  <c r="H45" i="5"/>
  <c r="I45" i="5"/>
  <c r="J45" i="5"/>
  <c r="K45" i="5"/>
  <c r="L45" i="5"/>
  <c r="M45" i="5"/>
  <c r="N45" i="5"/>
  <c r="O45" i="5"/>
  <c r="P45" i="5"/>
  <c r="Q45" i="5"/>
  <c r="R45" i="5"/>
  <c r="S45" i="5"/>
  <c r="H46" i="5"/>
  <c r="I46" i="5"/>
  <c r="J46" i="5"/>
  <c r="K46" i="5"/>
  <c r="L46" i="5"/>
  <c r="M46" i="5"/>
  <c r="N46" i="5"/>
  <c r="O46" i="5"/>
  <c r="P46" i="5"/>
  <c r="Q46" i="5"/>
  <c r="R46" i="5"/>
  <c r="S46" i="5"/>
  <c r="H47" i="5"/>
  <c r="I47" i="5"/>
  <c r="J47" i="5"/>
  <c r="K47" i="5"/>
  <c r="L47" i="5"/>
  <c r="M47" i="5"/>
  <c r="N47" i="5"/>
  <c r="O47" i="5"/>
  <c r="P47" i="5"/>
  <c r="Q47" i="5"/>
  <c r="R47" i="5"/>
  <c r="S47" i="5"/>
  <c r="H48" i="5"/>
  <c r="I48" i="5"/>
  <c r="J48" i="5"/>
  <c r="K48" i="5"/>
  <c r="L48" i="5"/>
  <c r="M48" i="5"/>
  <c r="N48" i="5"/>
  <c r="O48" i="5"/>
  <c r="P48" i="5"/>
  <c r="Q48" i="5"/>
  <c r="R48" i="5"/>
  <c r="S48" i="5"/>
  <c r="H49" i="5"/>
  <c r="I49" i="5"/>
  <c r="J49" i="5"/>
  <c r="K49" i="5"/>
  <c r="L49" i="5"/>
  <c r="M49" i="5"/>
  <c r="N49" i="5"/>
  <c r="O49" i="5"/>
  <c r="P49" i="5"/>
  <c r="Q49" i="5"/>
  <c r="R49" i="5"/>
  <c r="S49" i="5"/>
  <c r="H50" i="5"/>
  <c r="I50" i="5"/>
  <c r="J50" i="5"/>
  <c r="K50" i="5"/>
  <c r="L50" i="5"/>
  <c r="M50" i="5"/>
  <c r="N50" i="5"/>
  <c r="O50" i="5"/>
  <c r="P50" i="5"/>
  <c r="Q50" i="5"/>
  <c r="R50" i="5"/>
  <c r="S50" i="5"/>
  <c r="H51" i="5"/>
  <c r="I51" i="5"/>
  <c r="J51" i="5"/>
  <c r="K51" i="5"/>
  <c r="L51" i="5"/>
  <c r="M51" i="5"/>
  <c r="N51" i="5"/>
  <c r="O51" i="5"/>
  <c r="P51" i="5"/>
  <c r="Q51" i="5"/>
  <c r="R51" i="5"/>
  <c r="S51" i="5"/>
  <c r="H52" i="5"/>
  <c r="I52" i="5"/>
  <c r="J52" i="5"/>
  <c r="K52" i="5"/>
  <c r="L52" i="5"/>
  <c r="M52" i="5"/>
  <c r="N52" i="5"/>
  <c r="O52" i="5"/>
  <c r="P52" i="5"/>
  <c r="Q52" i="5"/>
  <c r="R52" i="5"/>
  <c r="S52" i="5"/>
  <c r="H53" i="5"/>
  <c r="I53" i="5"/>
  <c r="J53" i="5"/>
  <c r="K53" i="5"/>
  <c r="L53" i="5"/>
  <c r="M53" i="5"/>
  <c r="N53" i="5"/>
  <c r="O53" i="5"/>
  <c r="P53" i="5"/>
  <c r="Q53" i="5"/>
  <c r="R53" i="5"/>
  <c r="S53" i="5"/>
  <c r="H54" i="5"/>
  <c r="I54" i="5"/>
  <c r="J54" i="5"/>
  <c r="K54" i="5"/>
  <c r="L54" i="5"/>
  <c r="M54" i="5"/>
  <c r="N54" i="5"/>
  <c r="O54" i="5"/>
  <c r="P54" i="5"/>
  <c r="Q54" i="5"/>
  <c r="R54" i="5"/>
  <c r="S54" i="5"/>
  <c r="H55" i="5"/>
  <c r="I55" i="5"/>
  <c r="J55" i="5"/>
  <c r="K55" i="5"/>
  <c r="L55" i="5"/>
  <c r="M55" i="5"/>
  <c r="N55" i="5"/>
  <c r="O55" i="5"/>
  <c r="P55" i="5"/>
  <c r="Q55" i="5"/>
  <c r="R55" i="5"/>
  <c r="S55" i="5"/>
  <c r="H56" i="5"/>
  <c r="I56" i="5"/>
  <c r="J56" i="5"/>
  <c r="K56" i="5"/>
  <c r="L56" i="5"/>
  <c r="M56" i="5"/>
  <c r="N56" i="5"/>
  <c r="O56" i="5"/>
  <c r="P56" i="5"/>
  <c r="Q56" i="5"/>
  <c r="R56" i="5"/>
  <c r="S56" i="5"/>
  <c r="H57" i="5"/>
  <c r="I57" i="5"/>
  <c r="J57" i="5"/>
  <c r="K57" i="5"/>
  <c r="L57" i="5"/>
  <c r="M57" i="5"/>
  <c r="N57" i="5"/>
  <c r="O57" i="5"/>
  <c r="P57" i="5"/>
  <c r="Q57" i="5"/>
  <c r="R57" i="5"/>
  <c r="S57" i="5"/>
  <c r="H58" i="5"/>
  <c r="I58" i="5"/>
  <c r="J58" i="5"/>
  <c r="K58" i="5"/>
  <c r="L58" i="5"/>
  <c r="M58" i="5"/>
  <c r="N58" i="5"/>
  <c r="O58" i="5"/>
  <c r="P58" i="5"/>
  <c r="Q58" i="5"/>
  <c r="R58" i="5"/>
  <c r="S58" i="5"/>
  <c r="H59" i="5"/>
  <c r="I59" i="5"/>
  <c r="J59" i="5"/>
  <c r="K59" i="5"/>
  <c r="L59" i="5"/>
  <c r="M59" i="5"/>
  <c r="N59" i="5"/>
  <c r="O59" i="5"/>
  <c r="P59" i="5"/>
  <c r="Q59" i="5"/>
  <c r="R59" i="5"/>
  <c r="S59" i="5"/>
  <c r="H60" i="5"/>
  <c r="I60" i="5"/>
  <c r="J60" i="5"/>
  <c r="K60" i="5"/>
  <c r="L60" i="5"/>
  <c r="M60" i="5"/>
  <c r="N60" i="5"/>
  <c r="O60" i="5"/>
  <c r="P60" i="5"/>
  <c r="Q60" i="5"/>
  <c r="R60" i="5"/>
  <c r="S60" i="5"/>
  <c r="H61" i="5"/>
  <c r="I61" i="5"/>
  <c r="J61" i="5"/>
  <c r="K61" i="5"/>
  <c r="L61" i="5"/>
  <c r="M61" i="5"/>
  <c r="N61" i="5"/>
  <c r="O61" i="5"/>
  <c r="P61" i="5"/>
  <c r="Q61" i="5"/>
  <c r="R61" i="5"/>
  <c r="S61" i="5"/>
  <c r="H62" i="5"/>
  <c r="I62" i="5"/>
  <c r="J62" i="5"/>
  <c r="K62" i="5"/>
  <c r="L62" i="5"/>
  <c r="M62" i="5"/>
  <c r="N62" i="5"/>
  <c r="O62" i="5"/>
  <c r="P62" i="5"/>
  <c r="Q62" i="5"/>
  <c r="R62" i="5"/>
  <c r="S62" i="5"/>
  <c r="H63" i="5"/>
  <c r="I63" i="5"/>
  <c r="J63" i="5"/>
  <c r="K63" i="5"/>
  <c r="L63" i="5"/>
  <c r="M63" i="5"/>
  <c r="N63" i="5"/>
  <c r="O63" i="5"/>
  <c r="P63" i="5"/>
  <c r="Q63" i="5"/>
  <c r="R63" i="5"/>
  <c r="S63" i="5"/>
  <c r="H64" i="5"/>
  <c r="I64" i="5"/>
  <c r="J64" i="5"/>
  <c r="K64" i="5"/>
  <c r="L64" i="5"/>
  <c r="M64" i="5"/>
  <c r="N64" i="5"/>
  <c r="O64" i="5"/>
  <c r="P64" i="5"/>
  <c r="Q64" i="5"/>
  <c r="R64" i="5"/>
  <c r="S64" i="5"/>
  <c r="H65" i="5"/>
  <c r="I65" i="5"/>
  <c r="J65" i="5"/>
  <c r="K65" i="5"/>
  <c r="L65" i="5"/>
  <c r="M65" i="5"/>
  <c r="N65" i="5"/>
  <c r="O65" i="5"/>
  <c r="P65" i="5"/>
  <c r="Q65" i="5"/>
  <c r="R65" i="5"/>
  <c r="S65" i="5"/>
  <c r="H66" i="5"/>
  <c r="I66" i="5"/>
  <c r="J66" i="5"/>
  <c r="K66" i="5"/>
  <c r="L66" i="5"/>
  <c r="M66" i="5"/>
  <c r="N66" i="5"/>
  <c r="O66" i="5"/>
  <c r="P66" i="5"/>
  <c r="Q66" i="5"/>
  <c r="R66" i="5"/>
  <c r="S66" i="5"/>
  <c r="H67" i="5"/>
  <c r="I67" i="5"/>
  <c r="J67" i="5"/>
  <c r="K67" i="5"/>
  <c r="L67" i="5"/>
  <c r="M67" i="5"/>
  <c r="N67" i="5"/>
  <c r="O67" i="5"/>
  <c r="P67" i="5"/>
  <c r="Q67" i="5"/>
  <c r="R67" i="5"/>
  <c r="S67" i="5"/>
  <c r="H68" i="5"/>
  <c r="I68" i="5"/>
  <c r="J68" i="5"/>
  <c r="K68" i="5"/>
  <c r="L68" i="5"/>
  <c r="M68" i="5"/>
  <c r="N68" i="5"/>
  <c r="O68" i="5"/>
  <c r="P68" i="5"/>
  <c r="Q68" i="5"/>
  <c r="R68" i="5"/>
  <c r="S68" i="5"/>
  <c r="H69" i="5"/>
  <c r="I69" i="5"/>
  <c r="J69" i="5"/>
  <c r="K69" i="5"/>
  <c r="L69" i="5"/>
  <c r="M69" i="5"/>
  <c r="N69" i="5"/>
  <c r="O69" i="5"/>
  <c r="P69" i="5"/>
  <c r="Q69" i="5"/>
  <c r="R69" i="5"/>
  <c r="S69" i="5"/>
  <c r="H70" i="5"/>
  <c r="I70" i="5"/>
  <c r="J70" i="5"/>
  <c r="K70" i="5"/>
  <c r="L70" i="5"/>
  <c r="M70" i="5"/>
  <c r="N70" i="5"/>
  <c r="O70" i="5"/>
  <c r="P70" i="5"/>
  <c r="Q70" i="5"/>
  <c r="R70" i="5"/>
  <c r="S70" i="5"/>
  <c r="H71" i="5"/>
  <c r="I71" i="5"/>
  <c r="J71" i="5"/>
  <c r="K71" i="5"/>
  <c r="L71" i="5"/>
  <c r="M71" i="5"/>
  <c r="N71" i="5"/>
  <c r="O71" i="5"/>
  <c r="P71" i="5"/>
  <c r="Q71" i="5"/>
  <c r="R71" i="5"/>
  <c r="S71" i="5"/>
  <c r="H72" i="5"/>
  <c r="I72" i="5"/>
  <c r="J72" i="5"/>
  <c r="K72" i="5"/>
  <c r="L72" i="5"/>
  <c r="M72" i="5"/>
  <c r="N72" i="5"/>
  <c r="O72" i="5"/>
  <c r="P72" i="5"/>
  <c r="Q72" i="5"/>
  <c r="R72" i="5"/>
  <c r="S72" i="5"/>
  <c r="H73" i="5"/>
  <c r="I73" i="5"/>
  <c r="J73" i="5"/>
  <c r="K73" i="5"/>
  <c r="L73" i="5"/>
  <c r="M73" i="5"/>
  <c r="N73" i="5"/>
  <c r="O73" i="5"/>
  <c r="P73" i="5"/>
  <c r="Q73" i="5"/>
  <c r="R73" i="5"/>
  <c r="S73" i="5"/>
  <c r="H74" i="5"/>
  <c r="I74" i="5"/>
  <c r="J74" i="5"/>
  <c r="K74" i="5"/>
  <c r="L74" i="5"/>
  <c r="M74" i="5"/>
  <c r="N74" i="5"/>
  <c r="O74" i="5"/>
  <c r="P74" i="5"/>
  <c r="Q74" i="5"/>
  <c r="R74" i="5"/>
  <c r="S74" i="5"/>
  <c r="H75" i="5"/>
  <c r="I75" i="5"/>
  <c r="J75" i="5"/>
  <c r="K75" i="5"/>
  <c r="L75" i="5"/>
  <c r="M75" i="5"/>
  <c r="N75" i="5"/>
  <c r="O75" i="5"/>
  <c r="P75" i="5"/>
  <c r="Q75" i="5"/>
  <c r="R75" i="5"/>
  <c r="S75" i="5"/>
  <c r="H76" i="5"/>
  <c r="I76" i="5"/>
  <c r="J76" i="5"/>
  <c r="K76" i="5"/>
  <c r="L76" i="5"/>
  <c r="M76" i="5"/>
  <c r="N76" i="5"/>
  <c r="O76" i="5"/>
  <c r="P76" i="5"/>
  <c r="Q76" i="5"/>
  <c r="R76" i="5"/>
  <c r="S76" i="5"/>
  <c r="I2" i="5"/>
  <c r="J2" i="5"/>
  <c r="K2" i="5"/>
  <c r="L2" i="5"/>
  <c r="M2" i="5"/>
  <c r="N2" i="5"/>
  <c r="O2" i="5"/>
  <c r="P2" i="5"/>
  <c r="Q2" i="5"/>
  <c r="R2" i="5"/>
  <c r="S2" i="5"/>
  <c r="H2" i="5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<sst xmlns="http://schemas.openxmlformats.org/spreadsheetml/2006/main" count="4426" uniqueCount="142">
  <si>
    <t>-</t>
  </si>
  <si>
    <t>Project</t>
  </si>
  <si>
    <t>Region</t>
  </si>
  <si>
    <t>Honeywell</t>
  </si>
  <si>
    <t>Bapi</t>
  </si>
  <si>
    <t>Pfizer</t>
  </si>
  <si>
    <t>West</t>
  </si>
  <si>
    <t>Anjli</t>
  </si>
  <si>
    <t>Usha</t>
  </si>
  <si>
    <t>Tata Motors</t>
  </si>
  <si>
    <t>Shweta</t>
  </si>
  <si>
    <t>SKF India</t>
  </si>
  <si>
    <t>North</t>
  </si>
  <si>
    <t>Siemens</t>
  </si>
  <si>
    <t>South</t>
  </si>
  <si>
    <t>Sulabh</t>
  </si>
  <si>
    <t>Kunal</t>
  </si>
  <si>
    <t>Pidilite</t>
  </si>
  <si>
    <t>Vertiv</t>
  </si>
  <si>
    <t>Birla Paints</t>
  </si>
  <si>
    <t>Geetu</t>
  </si>
  <si>
    <t>Ingram Micro</t>
  </si>
  <si>
    <t>HPE</t>
  </si>
  <si>
    <t>Mahak</t>
  </si>
  <si>
    <t>Isuzu</t>
  </si>
  <si>
    <t>Satya</t>
  </si>
  <si>
    <t>Mahindra Holidays</t>
  </si>
  <si>
    <t>BITS</t>
  </si>
  <si>
    <t>Krishna</t>
  </si>
  <si>
    <t>M&amp;M</t>
  </si>
  <si>
    <t>P&amp;G</t>
  </si>
  <si>
    <t>Wipro</t>
  </si>
  <si>
    <t>Subu</t>
  </si>
  <si>
    <t>Tata Marcopolo</t>
  </si>
  <si>
    <t>DP World</t>
  </si>
  <si>
    <t>Ametek</t>
  </si>
  <si>
    <t>AMNS</t>
  </si>
  <si>
    <t>Alifia</t>
  </si>
  <si>
    <t>Tata Electronics</t>
  </si>
  <si>
    <t>Jindal Stainless</t>
  </si>
  <si>
    <t>Nomiso</t>
  </si>
  <si>
    <t>Schaeffler</t>
  </si>
  <si>
    <t>Royal Enfield</t>
  </si>
  <si>
    <t>SBI Card</t>
  </si>
  <si>
    <t>Hyundai Motor</t>
  </si>
  <si>
    <t>Maruti Suzuki(MSIL)</t>
  </si>
  <si>
    <t>Excelacom</t>
  </si>
  <si>
    <t>Tata Consumer</t>
  </si>
  <si>
    <t>Tata Play</t>
  </si>
  <si>
    <t>Mahindra Finance</t>
  </si>
  <si>
    <t>Suzuki R&amp;D</t>
  </si>
  <si>
    <t>Subros Ltd</t>
  </si>
  <si>
    <t>Atomberg Technologies</t>
  </si>
  <si>
    <t>Bridgestone</t>
  </si>
  <si>
    <t>Ambuja Cement</t>
  </si>
  <si>
    <t>Ankit</t>
  </si>
  <si>
    <t>Ashok Leyland</t>
  </si>
  <si>
    <t>Sterling Tools</t>
  </si>
  <si>
    <t>M2P Fintech</t>
  </si>
  <si>
    <t>Tata Power</t>
  </si>
  <si>
    <t>Elton</t>
  </si>
  <si>
    <t/>
  </si>
  <si>
    <t>ThyssenKrupp</t>
  </si>
  <si>
    <t>Fedex</t>
  </si>
  <si>
    <t>Titan</t>
  </si>
  <si>
    <t>Ultratech</t>
  </si>
  <si>
    <t>L&amp;T (New)</t>
  </si>
  <si>
    <t>DRL</t>
  </si>
  <si>
    <t>Robert Bosch</t>
  </si>
  <si>
    <t>Abhilash</t>
  </si>
  <si>
    <t>Tata Teleservices</t>
  </si>
  <si>
    <t>Honeywell Leadership</t>
  </si>
  <si>
    <t>Parul</t>
  </si>
  <si>
    <t>Siemens Leadership</t>
  </si>
  <si>
    <t>Vertiv Leadership</t>
  </si>
  <si>
    <t>M&amp;M Leadership</t>
  </si>
  <si>
    <t>AMNS Leadership</t>
  </si>
  <si>
    <t>Nagarjuna Leadership</t>
  </si>
  <si>
    <t>Royal Enfield Leadership</t>
  </si>
  <si>
    <t>Sterling Tools Leadership</t>
  </si>
  <si>
    <t>Mahindra Holidays Leadership</t>
  </si>
  <si>
    <t>Hyundai Motor Leadership</t>
  </si>
  <si>
    <t>JINDAL STAINLESS Leadership</t>
  </si>
  <si>
    <t>SUZUKI R&amp;D Leadership</t>
  </si>
  <si>
    <t>Pfizer Leadership</t>
  </si>
  <si>
    <t>Subros Leadership</t>
  </si>
  <si>
    <t>Optum</t>
  </si>
  <si>
    <t>Ashish</t>
  </si>
  <si>
    <t>New Sales + Mining</t>
  </si>
  <si>
    <t>New Sales</t>
  </si>
  <si>
    <t>Nizar</t>
  </si>
  <si>
    <t>Pernod Ricard</t>
  </si>
  <si>
    <t>Archana</t>
  </si>
  <si>
    <t>UniCharm</t>
  </si>
  <si>
    <t>Saint Gobain</t>
  </si>
  <si>
    <t>Leap India</t>
  </si>
  <si>
    <t>NeoSoft</t>
  </si>
  <si>
    <t>Siemens Healthnier</t>
  </si>
  <si>
    <t>Lekhana</t>
  </si>
  <si>
    <t>ABB</t>
  </si>
  <si>
    <t>TCG Group</t>
  </si>
  <si>
    <t>Proterial</t>
  </si>
  <si>
    <t>CG Power</t>
  </si>
  <si>
    <t>South 1</t>
  </si>
  <si>
    <t>West 1</t>
  </si>
  <si>
    <t>West 2</t>
  </si>
  <si>
    <t>South 2</t>
  </si>
  <si>
    <t>Region Head</t>
  </si>
  <si>
    <t>Practice Head</t>
  </si>
  <si>
    <t>Dhriti</t>
  </si>
  <si>
    <t>IBM</t>
  </si>
  <si>
    <t>Centum</t>
  </si>
  <si>
    <t>Kale Logistics</t>
  </si>
  <si>
    <t>Vertical</t>
  </si>
  <si>
    <t>Leadership</t>
  </si>
  <si>
    <t>Lateral</t>
  </si>
  <si>
    <t>FY</t>
  </si>
  <si>
    <t>FY2025-26</t>
  </si>
  <si>
    <t>Sub Region</t>
  </si>
  <si>
    <t>FY'26</t>
  </si>
  <si>
    <t>Triveni</t>
  </si>
  <si>
    <t>Banswara</t>
  </si>
  <si>
    <t>Gala Precision</t>
  </si>
  <si>
    <t>ITW India</t>
  </si>
  <si>
    <t>Primetals Technologies</t>
  </si>
  <si>
    <t>Arvind Smartspaces</t>
  </si>
  <si>
    <t>Autofit</t>
  </si>
  <si>
    <t xml:space="preserve">Carplai </t>
  </si>
  <si>
    <t>Middle East</t>
  </si>
  <si>
    <t>Exclusive</t>
  </si>
  <si>
    <t>Naved</t>
  </si>
  <si>
    <t>Amit Jain</t>
  </si>
  <si>
    <t>Metglas</t>
  </si>
  <si>
    <t xml:space="preserve">Saint Gobain </t>
  </si>
  <si>
    <t>FY'26 Total</t>
  </si>
  <si>
    <t>L&amp;T Energy</t>
  </si>
  <si>
    <t>Ace Designers</t>
  </si>
  <si>
    <t>Century Link</t>
  </si>
  <si>
    <t>Total</t>
  </si>
  <si>
    <t>Dag Exclusive</t>
  </si>
  <si>
    <t>Triveni Eng</t>
  </si>
  <si>
    <t>Arvind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</si>
</sst>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" fontId="0" fillId="0" borderId="2" xfId="0" applyNumberFormat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4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7" fontId="0" fillId="2" borderId="6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/>
    </xf>
  </cellXfs>
  <cellStyles count="1">
    <cellStyle name="Normal" xfId="0" builtinId="0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S76"/>
  <sheetViews>
    <sheetView topLeftCell="C1" workbookViewId="0">
      <selection activeCell="H3" sqref="H3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t="s">
        <v>116</v>
      </c>
      <c r="B1" s="13" t="s">
        <v>1</v>
      </c>
      <c r="C1" s="12" t="s">
        <v>113</v>
      </c>
      <c r="D1" s="12" t="s">
        <v>2</v>
      </c>
      <c r="E1" s="12" t="s">
        <v>118</v>
      </c>
      <c r="F1" s="12" t="s">
        <v>107</v>
      </c>
      <c r="G1" s="12" t="s">
        <v>108</v>
      </c>
      <c r="H1" s="14">
        <v>45748</v>
      </c>
      <c r="I1" s="14">
        <f>EDATE(H1,1)</f>
        <v>45778</v>
      </c>
      <c r="J1" s="14">
        <f t="shared" ref="J1:S1" si="0">EDATE(I1,1)</f>
        <v>45809</v>
      </c>
      <c r="K1" s="14">
        <f t="shared" si="0"/>
        <v>45839</v>
      </c>
      <c r="L1" s="14">
        <f t="shared" si="0"/>
        <v>45870</v>
      </c>
      <c r="M1" s="14">
        <f t="shared" si="0"/>
        <v>45901</v>
      </c>
      <c r="N1" s="14">
        <f t="shared" si="0"/>
        <v>45931</v>
      </c>
      <c r="O1" s="14">
        <f t="shared" si="0"/>
        <v>45962</v>
      </c>
      <c r="P1" s="14">
        <f t="shared" si="0"/>
        <v>45992</v>
      </c>
      <c r="Q1" s="14">
        <f t="shared" si="0"/>
        <v>46023</v>
      </c>
      <c r="R1" s="14">
        <f t="shared" si="0"/>
        <v>46054</v>
      </c>
      <c r="S1" s="14">
        <f t="shared" si="0"/>
        <v>46082</v>
      </c>
    </row>
    <row r="2" spans="1:19" x14ac:dyDescent="0.35">
      <c r="A2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115.01649499999999</v>
      </c>
      <c r="I2" s="17">
        <v>161.02309299999999</v>
      </c>
      <c r="J2" s="17">
        <v>184.02639199999999</v>
      </c>
      <c r="K2" s="17">
        <v>119.20399499999999</v>
      </c>
      <c r="L2" s="17">
        <v>166.88559299999997</v>
      </c>
      <c r="M2" s="17">
        <v>190.726392</v>
      </c>
      <c r="N2" s="17">
        <v>102.45399499999999</v>
      </c>
      <c r="O2" s="17">
        <v>143.43559299999998</v>
      </c>
      <c r="P2" s="17">
        <v>163.92639199999999</v>
      </c>
      <c r="Q2" s="17">
        <v>120.041495</v>
      </c>
      <c r="R2" s="17">
        <v>168.05809299999999</v>
      </c>
      <c r="S2" s="17">
        <v>192.06639200000001</v>
      </c>
    </row>
    <row r="3" spans="1:19" x14ac:dyDescent="0.35">
      <c r="A3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9.75</v>
      </c>
      <c r="I3" s="17">
        <v>13.649999999999999</v>
      </c>
      <c r="J3" s="17">
        <v>15.600000000000001</v>
      </c>
      <c r="K3" s="17">
        <v>8.625</v>
      </c>
      <c r="L3" s="17">
        <v>12.074999999999999</v>
      </c>
      <c r="M3" s="17">
        <v>13.8</v>
      </c>
      <c r="N3" s="17">
        <v>5.625</v>
      </c>
      <c r="O3" s="17">
        <v>7.8749999999999991</v>
      </c>
      <c r="P3" s="17">
        <v>9</v>
      </c>
      <c r="Q3" s="17">
        <v>9.6428625273652671</v>
      </c>
      <c r="R3" s="17">
        <v>13.500007538311372</v>
      </c>
      <c r="S3" s="17">
        <v>15.428580043784429</v>
      </c>
    </row>
    <row r="4" spans="1:19" x14ac:dyDescent="0.35">
      <c r="A4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35">
      <c r="A5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13.987500000000001</v>
      </c>
      <c r="I5" s="17">
        <v>19.5825</v>
      </c>
      <c r="J5" s="17">
        <v>22.380000000000003</v>
      </c>
      <c r="K5" s="17">
        <v>13.05</v>
      </c>
      <c r="L5" s="17">
        <v>18.27</v>
      </c>
      <c r="M5" s="17">
        <v>20.880000000000003</v>
      </c>
      <c r="N5" s="17">
        <v>10.6425</v>
      </c>
      <c r="O5" s="17">
        <v>14.8995</v>
      </c>
      <c r="P5" s="17">
        <v>17.028000000000002</v>
      </c>
      <c r="Q5" s="17">
        <v>12.217499999999999</v>
      </c>
      <c r="R5" s="17">
        <v>17.104499999999998</v>
      </c>
      <c r="S5" s="17">
        <v>19.548000000000002</v>
      </c>
    </row>
    <row r="6" spans="1:19" x14ac:dyDescent="0.35">
      <c r="A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17.625</v>
      </c>
      <c r="I6" s="17">
        <v>24.674999999999997</v>
      </c>
      <c r="J6" s="17">
        <v>28.200000000000003</v>
      </c>
      <c r="K6" s="17">
        <v>18.375</v>
      </c>
      <c r="L6" s="17">
        <v>25.724999999999998</v>
      </c>
      <c r="M6" s="17">
        <v>29.400000000000002</v>
      </c>
      <c r="N6" s="17">
        <v>17.625</v>
      </c>
      <c r="O6" s="17">
        <v>24.674999999999997</v>
      </c>
      <c r="P6" s="17">
        <v>28.200000000000003</v>
      </c>
      <c r="Q6" s="17">
        <v>15.105</v>
      </c>
      <c r="R6" s="17">
        <v>21.146999999999998</v>
      </c>
      <c r="S6" s="17">
        <v>24.168000000000003</v>
      </c>
    </row>
    <row r="7" spans="1:19" x14ac:dyDescent="0.35">
      <c r="A7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10.016875000000001</v>
      </c>
      <c r="I7" s="17">
        <v>14.023624999999999</v>
      </c>
      <c r="J7" s="17">
        <v>16.027000000000001</v>
      </c>
      <c r="K7" s="17">
        <v>11.6875</v>
      </c>
      <c r="L7" s="17">
        <v>16.362500000000001</v>
      </c>
      <c r="M7" s="17">
        <v>18.7</v>
      </c>
      <c r="N7" s="17">
        <v>11.1875</v>
      </c>
      <c r="O7" s="17">
        <v>15.6625</v>
      </c>
      <c r="P7" s="17">
        <v>17.900000000000002</v>
      </c>
      <c r="Q7" s="17">
        <v>12.1875</v>
      </c>
      <c r="R7" s="17">
        <v>17.0625</v>
      </c>
      <c r="S7" s="17">
        <v>19.5</v>
      </c>
    </row>
    <row r="8" spans="1:19" x14ac:dyDescent="0.35">
      <c r="A8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4.0250000000000004</v>
      </c>
      <c r="I8" s="17">
        <v>5.6349999999999998</v>
      </c>
      <c r="J8" s="17">
        <v>6.4400000000000013</v>
      </c>
      <c r="K8" s="17">
        <v>4.6500000000000004</v>
      </c>
      <c r="L8" s="17">
        <v>6.51</v>
      </c>
      <c r="M8" s="17">
        <v>7.4400000000000013</v>
      </c>
      <c r="N8" s="17">
        <v>4.6500000000000004</v>
      </c>
      <c r="O8" s="17">
        <v>6.51</v>
      </c>
      <c r="P8" s="17">
        <v>7.4400000000000013</v>
      </c>
      <c r="Q8" s="17">
        <v>3.375</v>
      </c>
      <c r="R8" s="17">
        <v>4.7249999999999996</v>
      </c>
      <c r="S8" s="17">
        <v>5.4</v>
      </c>
    </row>
    <row r="9" spans="1:19" x14ac:dyDescent="0.35">
      <c r="A9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7.5</v>
      </c>
      <c r="I9" s="17">
        <v>10.5</v>
      </c>
      <c r="J9" s="17">
        <v>12</v>
      </c>
      <c r="K9" s="17">
        <v>7.5</v>
      </c>
      <c r="L9" s="17">
        <v>10.5</v>
      </c>
      <c r="M9" s="17">
        <v>12</v>
      </c>
      <c r="N9" s="17">
        <v>7.5</v>
      </c>
      <c r="O9" s="17">
        <v>10.5</v>
      </c>
      <c r="P9" s="17">
        <v>12</v>
      </c>
      <c r="Q9" s="17">
        <v>7.5</v>
      </c>
      <c r="R9" s="17">
        <v>10.5</v>
      </c>
      <c r="S9" s="17">
        <v>12</v>
      </c>
    </row>
    <row r="10" spans="1:19" x14ac:dyDescent="0.35">
      <c r="A10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6.9375</v>
      </c>
      <c r="I10" s="17">
        <v>9.7124999999999986</v>
      </c>
      <c r="J10" s="17">
        <v>11.100000000000001</v>
      </c>
      <c r="K10" s="17">
        <v>6.15</v>
      </c>
      <c r="L10" s="17">
        <v>8.61</v>
      </c>
      <c r="M10" s="17">
        <v>9.8400000000000016</v>
      </c>
      <c r="N10" s="17">
        <v>5.25</v>
      </c>
      <c r="O10" s="17">
        <v>7.35</v>
      </c>
      <c r="P10" s="17">
        <v>8.4</v>
      </c>
      <c r="Q10" s="17">
        <v>6.5625</v>
      </c>
      <c r="R10" s="17">
        <v>9.1875</v>
      </c>
      <c r="S10" s="17">
        <v>10.5</v>
      </c>
    </row>
    <row r="11" spans="1:19" x14ac:dyDescent="0.35">
      <c r="A11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90.742460367420975</v>
      </c>
      <c r="I11" s="17">
        <v>127.03944451438936</v>
      </c>
      <c r="J11" s="17">
        <v>145.18793658787357</v>
      </c>
      <c r="K11" s="17">
        <v>103.77792256021169</v>
      </c>
      <c r="L11" s="17">
        <v>145.28909158429636</v>
      </c>
      <c r="M11" s="17">
        <v>166.04467609633872</v>
      </c>
      <c r="N11" s="17">
        <v>92.472595622741807</v>
      </c>
      <c r="O11" s="17">
        <v>129.46163387183853</v>
      </c>
      <c r="P11" s="17">
        <v>147.95615299638689</v>
      </c>
      <c r="Q11" s="17">
        <v>91.161021449625494</v>
      </c>
      <c r="R11" s="17">
        <v>127.62543002947568</v>
      </c>
      <c r="S11" s="17">
        <v>145.8576343194008</v>
      </c>
    </row>
    <row r="12" spans="1:19" x14ac:dyDescent="0.35">
      <c r="A12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4.5374999999999996</v>
      </c>
      <c r="I12" s="17">
        <v>6.3524999999999991</v>
      </c>
      <c r="J12" s="17">
        <v>7.26</v>
      </c>
      <c r="K12" s="17">
        <v>6.05</v>
      </c>
      <c r="L12" s="17">
        <v>8.4699999999999989</v>
      </c>
      <c r="M12" s="17">
        <v>9.68</v>
      </c>
      <c r="N12" s="17">
        <v>6.3975</v>
      </c>
      <c r="O12" s="17">
        <v>8.9565000000000001</v>
      </c>
      <c r="P12" s="17">
        <v>10.236000000000001</v>
      </c>
      <c r="Q12" s="17">
        <v>6.48</v>
      </c>
      <c r="R12" s="17">
        <v>9.0719999999999992</v>
      </c>
      <c r="S12" s="17">
        <v>10.368000000000002</v>
      </c>
    </row>
    <row r="13" spans="1:19" x14ac:dyDescent="0.35">
      <c r="A13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6.4499999999999993</v>
      </c>
      <c r="I13" s="17">
        <v>9.0299999999999976</v>
      </c>
      <c r="J13" s="17">
        <v>10.32</v>
      </c>
      <c r="K13" s="17">
        <v>6.4499999999999993</v>
      </c>
      <c r="L13" s="17">
        <v>9.0299999999999976</v>
      </c>
      <c r="M13" s="17">
        <v>10.32</v>
      </c>
      <c r="N13" s="17">
        <v>4</v>
      </c>
      <c r="O13" s="17">
        <v>5.6</v>
      </c>
      <c r="P13" s="17">
        <v>6.4</v>
      </c>
      <c r="Q13" s="17">
        <v>8</v>
      </c>
      <c r="R13" s="17">
        <v>11.2</v>
      </c>
      <c r="S13" s="17">
        <v>12.8</v>
      </c>
    </row>
    <row r="14" spans="1:19" x14ac:dyDescent="0.35">
      <c r="A14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3.0615000000000001</v>
      </c>
      <c r="I14" s="17">
        <v>4.2861000000000002</v>
      </c>
      <c r="J14" s="17">
        <v>4.8984000000000005</v>
      </c>
      <c r="K14" s="17">
        <v>3.14825</v>
      </c>
      <c r="L14" s="17">
        <v>4.4075499999999996</v>
      </c>
      <c r="M14" s="17">
        <v>5.0372000000000003</v>
      </c>
      <c r="N14" s="17">
        <v>2.80125</v>
      </c>
      <c r="O14" s="17">
        <v>3.9217499999999998</v>
      </c>
      <c r="P14" s="17">
        <v>4.4820000000000002</v>
      </c>
      <c r="Q14" s="17">
        <v>2.8879999999999999</v>
      </c>
      <c r="R14" s="17">
        <v>4.0431999999999997</v>
      </c>
      <c r="S14" s="17">
        <v>4.6208</v>
      </c>
    </row>
    <row r="15" spans="1:19" x14ac:dyDescent="0.35">
      <c r="A15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64.025000000000006</v>
      </c>
      <c r="I15" s="17">
        <v>89.635000000000005</v>
      </c>
      <c r="J15" s="17">
        <v>102.44000000000001</v>
      </c>
      <c r="K15" s="17">
        <v>71.174999999999997</v>
      </c>
      <c r="L15" s="17">
        <v>99.644999999999996</v>
      </c>
      <c r="M15" s="17">
        <v>113.88</v>
      </c>
      <c r="N15" s="17">
        <v>75.237499999999997</v>
      </c>
      <c r="O15" s="17">
        <v>105.3325</v>
      </c>
      <c r="P15" s="17">
        <v>120.38</v>
      </c>
      <c r="Q15" s="17">
        <v>64.512500000000003</v>
      </c>
      <c r="R15" s="17">
        <v>90.317499999999995</v>
      </c>
      <c r="S15" s="17">
        <v>103.22000000000001</v>
      </c>
    </row>
    <row r="16" spans="1:19" x14ac:dyDescent="0.35">
      <c r="A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1.32</v>
      </c>
      <c r="I16" s="17">
        <v>1.8479999999999999</v>
      </c>
      <c r="J16" s="17">
        <v>2.1120000000000001</v>
      </c>
      <c r="K16" s="17">
        <v>1.32</v>
      </c>
      <c r="L16" s="17">
        <v>1.8479999999999999</v>
      </c>
      <c r="M16" s="17">
        <v>2.1120000000000001</v>
      </c>
      <c r="N16" s="17">
        <v>1.32</v>
      </c>
      <c r="O16" s="17">
        <v>1.8479999999999999</v>
      </c>
      <c r="P16" s="17">
        <v>2.1120000000000001</v>
      </c>
      <c r="Q16" s="17">
        <v>1.32</v>
      </c>
      <c r="R16" s="17">
        <v>1.8479999999999999</v>
      </c>
      <c r="S16" s="17">
        <v>2.1120000000000001</v>
      </c>
    </row>
    <row r="17" spans="1:19" x14ac:dyDescent="0.35">
      <c r="A17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17.100000000000001</v>
      </c>
      <c r="I17" s="17">
        <v>23.94</v>
      </c>
      <c r="J17" s="17">
        <v>27.360000000000003</v>
      </c>
      <c r="K17" s="17">
        <v>18.337499999999999</v>
      </c>
      <c r="L17" s="17">
        <v>25.672499999999996</v>
      </c>
      <c r="M17" s="17">
        <v>29.34</v>
      </c>
      <c r="N17" s="17">
        <v>15.525</v>
      </c>
      <c r="O17" s="17">
        <v>21.734999999999999</v>
      </c>
      <c r="P17" s="17">
        <v>24.840000000000003</v>
      </c>
      <c r="Q17" s="17">
        <v>16.875</v>
      </c>
      <c r="R17" s="17">
        <v>23.625</v>
      </c>
      <c r="S17" s="17">
        <v>27</v>
      </c>
    </row>
    <row r="18" spans="1:19" x14ac:dyDescent="0.35">
      <c r="A18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1.9500000000000002</v>
      </c>
      <c r="I18" s="17">
        <v>2.73</v>
      </c>
      <c r="J18" s="17">
        <v>3.1200000000000006</v>
      </c>
      <c r="K18" s="17">
        <v>2.15</v>
      </c>
      <c r="L18" s="17">
        <v>3.01</v>
      </c>
      <c r="M18" s="17">
        <v>3.44</v>
      </c>
      <c r="N18" s="17">
        <v>1.65</v>
      </c>
      <c r="O18" s="17">
        <v>2.3099999999999996</v>
      </c>
      <c r="P18" s="17">
        <v>2.64</v>
      </c>
      <c r="Q18" s="17">
        <v>2.9</v>
      </c>
      <c r="R18" s="17">
        <v>4.0599999999999996</v>
      </c>
      <c r="S18" s="17">
        <v>4.6399999999999997</v>
      </c>
    </row>
    <row r="19" spans="1:19" x14ac:dyDescent="0.35">
      <c r="A19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15.1</v>
      </c>
      <c r="I19" s="17">
        <v>21.139999999999997</v>
      </c>
      <c r="J19" s="17">
        <v>24.16</v>
      </c>
      <c r="K19" s="17">
        <v>11.5</v>
      </c>
      <c r="L19" s="17">
        <v>16.099999999999998</v>
      </c>
      <c r="M19" s="17">
        <v>18.400000000000002</v>
      </c>
      <c r="N19" s="17">
        <v>8.25</v>
      </c>
      <c r="O19" s="17">
        <v>11.549999999999999</v>
      </c>
      <c r="P19" s="17">
        <v>13.200000000000001</v>
      </c>
      <c r="Q19" s="17">
        <v>10.25</v>
      </c>
      <c r="R19" s="17">
        <v>14.35</v>
      </c>
      <c r="S19" s="17">
        <v>16.400000000000002</v>
      </c>
    </row>
    <row r="20" spans="1:19" x14ac:dyDescent="0.35">
      <c r="A20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1.7749999999999999</v>
      </c>
      <c r="I20" s="17">
        <v>2.4849999999999999</v>
      </c>
      <c r="J20" s="17">
        <v>2.84</v>
      </c>
      <c r="K20" s="17">
        <v>1.7749999999999999</v>
      </c>
      <c r="L20" s="17">
        <v>2.4849999999999999</v>
      </c>
      <c r="M20" s="17">
        <v>2.84</v>
      </c>
      <c r="N20" s="17">
        <v>1.5249999999999999</v>
      </c>
      <c r="O20" s="17">
        <v>2.1349999999999998</v>
      </c>
      <c r="P20" s="17">
        <v>2.44</v>
      </c>
      <c r="Q20" s="17">
        <v>1.7</v>
      </c>
      <c r="R20" s="17">
        <v>2.38</v>
      </c>
      <c r="S20" s="17">
        <v>2.72</v>
      </c>
    </row>
    <row r="21" spans="1:19" x14ac:dyDescent="0.35">
      <c r="A21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23.5</v>
      </c>
      <c r="I21" s="17">
        <v>32.9</v>
      </c>
      <c r="J21" s="17">
        <v>37.6</v>
      </c>
      <c r="K21" s="17">
        <v>27.75</v>
      </c>
      <c r="L21" s="17">
        <v>38.849999999999994</v>
      </c>
      <c r="M21" s="17">
        <v>44.400000000000006</v>
      </c>
      <c r="N21" s="17">
        <v>38.25</v>
      </c>
      <c r="O21" s="17">
        <v>53.55</v>
      </c>
      <c r="P21" s="17">
        <v>61.2</v>
      </c>
      <c r="Q21" s="17">
        <v>31.5</v>
      </c>
      <c r="R21" s="17">
        <v>44.099999999999994</v>
      </c>
      <c r="S21" s="17">
        <v>50.400000000000006</v>
      </c>
    </row>
    <row r="22" spans="1:19" x14ac:dyDescent="0.35">
      <c r="A22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15.375</v>
      </c>
      <c r="I22" s="17">
        <v>21.524999999999999</v>
      </c>
      <c r="J22" s="17">
        <v>24.6</v>
      </c>
      <c r="K22" s="17">
        <v>13.574999999999999</v>
      </c>
      <c r="L22" s="17">
        <v>19.004999999999999</v>
      </c>
      <c r="M22" s="17">
        <v>21.72</v>
      </c>
      <c r="N22" s="17">
        <v>27.324999999999999</v>
      </c>
      <c r="O22" s="17">
        <v>38.254999999999995</v>
      </c>
      <c r="P22" s="17">
        <v>43.72</v>
      </c>
      <c r="Q22" s="17">
        <v>31.287500000000001</v>
      </c>
      <c r="R22" s="17">
        <v>43.802500000000002</v>
      </c>
      <c r="S22" s="17">
        <v>50.06</v>
      </c>
    </row>
    <row r="23" spans="1:19" x14ac:dyDescent="0.35">
      <c r="A23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8.75</v>
      </c>
      <c r="I23" s="17">
        <v>12.25</v>
      </c>
      <c r="J23" s="17">
        <v>14</v>
      </c>
      <c r="K23" s="17">
        <v>11.5</v>
      </c>
      <c r="L23" s="17">
        <v>16.099999999999998</v>
      </c>
      <c r="M23" s="17">
        <v>18.400000000000002</v>
      </c>
      <c r="N23" s="17">
        <v>13.25</v>
      </c>
      <c r="O23" s="17">
        <v>18.549999999999997</v>
      </c>
      <c r="P23" s="17">
        <v>21.200000000000003</v>
      </c>
      <c r="Q23" s="17">
        <v>15.25</v>
      </c>
      <c r="R23" s="17">
        <v>21.349999999999998</v>
      </c>
      <c r="S23" s="17">
        <v>24.400000000000002</v>
      </c>
    </row>
    <row r="24" spans="1:19" x14ac:dyDescent="0.35">
      <c r="A24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1.29</v>
      </c>
      <c r="I24" s="17">
        <v>1.8059999999999998</v>
      </c>
      <c r="J24" s="17">
        <v>2.0640000000000001</v>
      </c>
      <c r="K24" s="17">
        <v>1.29</v>
      </c>
      <c r="L24" s="17">
        <v>1.8059999999999998</v>
      </c>
      <c r="M24" s="17">
        <v>2.0640000000000001</v>
      </c>
      <c r="N24" s="17">
        <v>1.29</v>
      </c>
      <c r="O24" s="17">
        <v>1.8059999999999998</v>
      </c>
      <c r="P24" s="17">
        <v>2.0640000000000001</v>
      </c>
      <c r="Q24" s="17">
        <v>1.29</v>
      </c>
      <c r="R24" s="17">
        <v>1.8059999999999998</v>
      </c>
      <c r="S24" s="17">
        <v>2.0640000000000001</v>
      </c>
    </row>
    <row r="25" spans="1:19" x14ac:dyDescent="0.35">
      <c r="A25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5.43</v>
      </c>
      <c r="I25" s="17">
        <v>7.6019999999999994</v>
      </c>
      <c r="J25" s="17">
        <v>8.6880000000000006</v>
      </c>
      <c r="K25" s="17">
        <v>6.18</v>
      </c>
      <c r="L25" s="17">
        <v>8.6519999999999992</v>
      </c>
      <c r="M25" s="17">
        <v>9.8879999999999999</v>
      </c>
      <c r="N25" s="17">
        <v>5.625</v>
      </c>
      <c r="O25" s="17">
        <v>7.8749999999999991</v>
      </c>
      <c r="P25" s="17">
        <v>9</v>
      </c>
      <c r="Q25" s="17">
        <v>6.7887500000000003</v>
      </c>
      <c r="R25" s="17">
        <v>9.504249999999999</v>
      </c>
      <c r="S25" s="17">
        <v>10.862000000000002</v>
      </c>
    </row>
    <row r="26" spans="1:19" x14ac:dyDescent="0.35">
      <c r="A2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4.0037500000000001</v>
      </c>
      <c r="I26" s="17">
        <v>5.6052499999999998</v>
      </c>
      <c r="J26" s="17">
        <v>6.4060000000000006</v>
      </c>
      <c r="K26" s="17">
        <v>4.5287500000000005</v>
      </c>
      <c r="L26" s="17">
        <v>6.3402500000000002</v>
      </c>
      <c r="M26" s="17">
        <v>7.2460000000000013</v>
      </c>
      <c r="N26" s="17">
        <v>3.8287500000000003</v>
      </c>
      <c r="O26" s="17">
        <v>5.3602499999999997</v>
      </c>
      <c r="P26" s="17">
        <v>6.1260000000000012</v>
      </c>
      <c r="Q26" s="17">
        <v>4.0037500000000001</v>
      </c>
      <c r="R26" s="17">
        <v>5.6052499999999998</v>
      </c>
      <c r="S26" s="17">
        <v>6.4060000000000006</v>
      </c>
    </row>
    <row r="27" spans="1:19" x14ac:dyDescent="0.35">
      <c r="A27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9.375</v>
      </c>
      <c r="I27" s="17">
        <v>13.125</v>
      </c>
      <c r="J27" s="17">
        <v>15</v>
      </c>
      <c r="K27" s="17">
        <v>10.25</v>
      </c>
      <c r="L27" s="17">
        <v>14.35</v>
      </c>
      <c r="M27" s="17">
        <v>16.400000000000002</v>
      </c>
      <c r="N27" s="17">
        <v>8.75</v>
      </c>
      <c r="O27" s="17">
        <v>12.25</v>
      </c>
      <c r="P27" s="17">
        <v>14</v>
      </c>
      <c r="Q27" s="17">
        <v>9.4250000000000007</v>
      </c>
      <c r="R27" s="17">
        <v>13.195</v>
      </c>
      <c r="S27" s="17">
        <v>15.080000000000002</v>
      </c>
    </row>
    <row r="28" spans="1:19" x14ac:dyDescent="0.35">
      <c r="A28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9</v>
      </c>
      <c r="I28" s="17">
        <v>12.6</v>
      </c>
      <c r="J28" s="17">
        <v>14.4</v>
      </c>
      <c r="K28" s="17">
        <v>7.75</v>
      </c>
      <c r="L28" s="17">
        <v>10.85</v>
      </c>
      <c r="M28" s="17">
        <v>12.4</v>
      </c>
      <c r="N28" s="17">
        <v>6.25</v>
      </c>
      <c r="O28" s="17">
        <v>8.75</v>
      </c>
      <c r="P28" s="17">
        <v>10</v>
      </c>
      <c r="Q28" s="17">
        <v>3.8250000000000002</v>
      </c>
      <c r="R28" s="17">
        <v>5.3549999999999995</v>
      </c>
      <c r="S28" s="17">
        <v>6.120000000000001</v>
      </c>
    </row>
    <row r="29" spans="1:19" x14ac:dyDescent="0.35">
      <c r="A29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20.175000000000001</v>
      </c>
      <c r="I29" s="17">
        <v>28.244999999999997</v>
      </c>
      <c r="J29" s="17">
        <v>32.28</v>
      </c>
      <c r="K29" s="17">
        <v>21.599999999999998</v>
      </c>
      <c r="L29" s="17">
        <v>30.239999999999995</v>
      </c>
      <c r="M29" s="17">
        <v>34.559999999999995</v>
      </c>
      <c r="N29" s="17">
        <v>18.600000000000001</v>
      </c>
      <c r="O29" s="17">
        <v>26.04</v>
      </c>
      <c r="P29" s="17">
        <v>29.760000000000005</v>
      </c>
      <c r="Q29" s="17">
        <v>19.8</v>
      </c>
      <c r="R29" s="17">
        <v>27.72</v>
      </c>
      <c r="S29" s="17">
        <v>31.680000000000003</v>
      </c>
    </row>
    <row r="30" spans="1:19" x14ac:dyDescent="0.35">
      <c r="A30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3.6832500000000001</v>
      </c>
      <c r="I30" s="17">
        <v>5.1565500000000002</v>
      </c>
      <c r="J30" s="17">
        <v>5.8932000000000002</v>
      </c>
      <c r="K30" s="17">
        <v>3.9697500000000003</v>
      </c>
      <c r="L30" s="17">
        <v>5.5576499999999998</v>
      </c>
      <c r="M30" s="17">
        <v>6.3516000000000012</v>
      </c>
      <c r="N30" s="17">
        <v>3.3967499999999999</v>
      </c>
      <c r="O30" s="17">
        <v>4.7554499999999997</v>
      </c>
      <c r="P30" s="17">
        <v>5.4348000000000001</v>
      </c>
      <c r="Q30" s="17">
        <v>3.8265000000000002</v>
      </c>
      <c r="R30" s="17">
        <v>5.3571</v>
      </c>
      <c r="S30" s="17">
        <v>6.1224000000000007</v>
      </c>
    </row>
    <row r="31" spans="1:19" x14ac:dyDescent="0.35">
      <c r="A31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10.0625</v>
      </c>
      <c r="I31" s="17">
        <v>14.087499999999999</v>
      </c>
      <c r="J31" s="17">
        <v>16.100000000000001</v>
      </c>
      <c r="K31" s="17">
        <v>10.8125</v>
      </c>
      <c r="L31" s="17">
        <v>15.137499999999999</v>
      </c>
      <c r="M31" s="17">
        <v>17.3</v>
      </c>
      <c r="N31" s="17">
        <v>9.3125</v>
      </c>
      <c r="O31" s="17">
        <v>13.0375</v>
      </c>
      <c r="P31" s="17">
        <v>14.9</v>
      </c>
      <c r="Q31" s="17">
        <v>10.0625</v>
      </c>
      <c r="R31" s="17">
        <v>14.087499999999999</v>
      </c>
      <c r="S31" s="17">
        <v>16.100000000000001</v>
      </c>
    </row>
    <row r="32" spans="1:19" x14ac:dyDescent="0.35">
      <c r="A32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1</v>
      </c>
      <c r="I32" s="17">
        <v>1.4</v>
      </c>
      <c r="J32" s="17">
        <v>1.6</v>
      </c>
      <c r="K32" s="17">
        <v>1</v>
      </c>
      <c r="L32" s="17">
        <v>1.4</v>
      </c>
      <c r="M32" s="17">
        <v>1.6</v>
      </c>
      <c r="N32" s="17">
        <v>1</v>
      </c>
      <c r="O32" s="17">
        <v>1.4</v>
      </c>
      <c r="P32" s="17">
        <v>1.6</v>
      </c>
      <c r="Q32" s="17">
        <v>1</v>
      </c>
      <c r="R32" s="17">
        <v>1.4</v>
      </c>
      <c r="S32" s="17">
        <v>1.6</v>
      </c>
    </row>
    <row r="33" spans="1:19" x14ac:dyDescent="0.35">
      <c r="A33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6.2200000000000006</v>
      </c>
      <c r="I33" s="17">
        <v>8.7080000000000002</v>
      </c>
      <c r="J33" s="17">
        <v>9.9520000000000017</v>
      </c>
      <c r="K33" s="17">
        <v>6.7200000000000006</v>
      </c>
      <c r="L33" s="17">
        <v>9.4079999999999995</v>
      </c>
      <c r="M33" s="17">
        <v>10.752000000000002</v>
      </c>
      <c r="N33" s="17">
        <v>5.7200000000000006</v>
      </c>
      <c r="O33" s="17">
        <v>8.0080000000000009</v>
      </c>
      <c r="P33" s="17">
        <v>9.152000000000001</v>
      </c>
      <c r="Q33" s="17">
        <v>6.2200000000000006</v>
      </c>
      <c r="R33" s="17">
        <v>8.7080000000000002</v>
      </c>
      <c r="S33" s="17">
        <v>9.9520000000000017</v>
      </c>
    </row>
    <row r="34" spans="1:19" x14ac:dyDescent="0.35">
      <c r="A34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35">
      <c r="A35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6.3075000000000001</v>
      </c>
      <c r="I35" s="17">
        <v>8.8304999999999989</v>
      </c>
      <c r="J35" s="17">
        <v>10.092000000000001</v>
      </c>
      <c r="K35" s="17">
        <v>6.7995000000000001</v>
      </c>
      <c r="L35" s="17">
        <v>9.5192999999999994</v>
      </c>
      <c r="M35" s="17">
        <v>10.879200000000001</v>
      </c>
      <c r="N35" s="17">
        <v>5.8012499999999996</v>
      </c>
      <c r="O35" s="17">
        <v>8.1217499999999987</v>
      </c>
      <c r="P35" s="17">
        <v>9.282</v>
      </c>
      <c r="Q35" s="17">
        <v>6.3075000000000001</v>
      </c>
      <c r="R35" s="17">
        <v>8.8304999999999989</v>
      </c>
      <c r="S35" s="17">
        <v>10.092000000000001</v>
      </c>
    </row>
    <row r="36" spans="1:19" x14ac:dyDescent="0.35">
      <c r="A3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5.00875</v>
      </c>
      <c r="I36" s="17">
        <v>7.0122499999999999</v>
      </c>
      <c r="J36" s="17">
        <v>8.0140000000000011</v>
      </c>
      <c r="K36" s="17">
        <v>5.50875</v>
      </c>
      <c r="L36" s="17">
        <v>7.7122499999999992</v>
      </c>
      <c r="M36" s="17">
        <v>8.8140000000000001</v>
      </c>
      <c r="N36" s="17">
        <v>4.50875</v>
      </c>
      <c r="O36" s="17">
        <v>6.3122499999999997</v>
      </c>
      <c r="P36" s="17">
        <v>7.2140000000000004</v>
      </c>
      <c r="Q36" s="17">
        <v>5.00875</v>
      </c>
      <c r="R36" s="17">
        <v>7.0122499999999999</v>
      </c>
      <c r="S36" s="17">
        <v>8.0140000000000011</v>
      </c>
    </row>
    <row r="37" spans="1:19" x14ac:dyDescent="0.35">
      <c r="A37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4.12</v>
      </c>
      <c r="I37" s="17">
        <v>5.7679999999999998</v>
      </c>
      <c r="J37" s="17">
        <v>6.5920000000000005</v>
      </c>
      <c r="K37" s="17">
        <v>4.944</v>
      </c>
      <c r="L37" s="17">
        <v>6.9215999999999998</v>
      </c>
      <c r="M37" s="17">
        <v>7.9104000000000001</v>
      </c>
      <c r="N37" s="17">
        <v>3.2960000000000003</v>
      </c>
      <c r="O37" s="17">
        <v>4.6143999999999998</v>
      </c>
      <c r="P37" s="17">
        <v>5.273600000000001</v>
      </c>
      <c r="Q37" s="17">
        <v>4.12</v>
      </c>
      <c r="R37" s="17">
        <v>5.7679999999999998</v>
      </c>
      <c r="S37" s="17">
        <v>6.5920000000000005</v>
      </c>
    </row>
    <row r="38" spans="1:19" x14ac:dyDescent="0.35">
      <c r="A38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37.5</v>
      </c>
      <c r="I38" s="17">
        <v>52.5</v>
      </c>
      <c r="J38" s="17">
        <v>60</v>
      </c>
      <c r="K38" s="17">
        <v>40.5</v>
      </c>
      <c r="L38" s="17">
        <v>56.699999999999996</v>
      </c>
      <c r="M38" s="17">
        <v>64.8</v>
      </c>
      <c r="N38" s="17">
        <v>34.25</v>
      </c>
      <c r="O38" s="17">
        <v>47.949999999999996</v>
      </c>
      <c r="P38" s="17">
        <v>54.800000000000004</v>
      </c>
      <c r="Q38" s="17">
        <v>37.75</v>
      </c>
      <c r="R38" s="17">
        <v>52.849999999999994</v>
      </c>
      <c r="S38" s="17">
        <v>60.400000000000006</v>
      </c>
    </row>
    <row r="39" spans="1:19" x14ac:dyDescent="0.35">
      <c r="A39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11.5</v>
      </c>
      <c r="I39" s="17">
        <v>16.099999999999998</v>
      </c>
      <c r="J39" s="17">
        <v>18.400000000000002</v>
      </c>
      <c r="K39" s="17">
        <v>15.525</v>
      </c>
      <c r="L39" s="17">
        <v>21.734999999999999</v>
      </c>
      <c r="M39" s="17">
        <v>24.840000000000003</v>
      </c>
      <c r="N39" s="17">
        <v>13.225000000000001</v>
      </c>
      <c r="O39" s="17">
        <v>18.515000000000001</v>
      </c>
      <c r="P39" s="17">
        <v>21.160000000000004</v>
      </c>
      <c r="Q39" s="17">
        <v>17.25</v>
      </c>
      <c r="R39" s="17">
        <v>24.15</v>
      </c>
      <c r="S39" s="17">
        <v>27.6</v>
      </c>
    </row>
    <row r="40" spans="1:19" x14ac:dyDescent="0.35">
      <c r="A40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8.9250000000000007</v>
      </c>
      <c r="I40" s="17">
        <v>12.495000000000001</v>
      </c>
      <c r="J40" s="17">
        <v>14.280000000000001</v>
      </c>
      <c r="K40" s="17">
        <v>11.05</v>
      </c>
      <c r="L40" s="17">
        <v>15.47</v>
      </c>
      <c r="M40" s="17">
        <v>17.680000000000003</v>
      </c>
      <c r="N40" s="17">
        <v>13.387500000000001</v>
      </c>
      <c r="O40" s="17">
        <v>18.7425</v>
      </c>
      <c r="P40" s="17">
        <v>21.42</v>
      </c>
      <c r="Q40" s="17">
        <v>16.524999999999999</v>
      </c>
      <c r="R40" s="17">
        <v>23.134999999999998</v>
      </c>
      <c r="S40" s="17">
        <v>26.439999999999998</v>
      </c>
    </row>
    <row r="41" spans="1:19" x14ac:dyDescent="0.35">
      <c r="A41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9.7236159999999998</v>
      </c>
      <c r="I41" s="17">
        <v>13.613062399999999</v>
      </c>
      <c r="J41" s="17">
        <v>15.557785600000001</v>
      </c>
      <c r="K41" s="17">
        <v>14.585424</v>
      </c>
      <c r="L41" s="17">
        <v>20.419593599999999</v>
      </c>
      <c r="M41" s="17">
        <v>23.3366784</v>
      </c>
      <c r="N41" s="17">
        <v>10.695977599999999</v>
      </c>
      <c r="O41" s="17">
        <v>14.974368639999998</v>
      </c>
      <c r="P41" s="17">
        <v>17.113564159999999</v>
      </c>
      <c r="Q41" s="17">
        <v>13.6130624</v>
      </c>
      <c r="R41" s="17">
        <v>19.058287359999998</v>
      </c>
      <c r="S41" s="17">
        <v>21.780899840000004</v>
      </c>
    </row>
    <row r="42" spans="1:19" x14ac:dyDescent="0.35">
      <c r="A42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35">
      <c r="A43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35">
      <c r="A44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35">
      <c r="A45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35">
      <c r="A4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35">
      <c r="A47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35">
      <c r="A48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35">
      <c r="A49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35">
      <c r="A50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35">
      <c r="A51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1.5</v>
      </c>
      <c r="I51" s="17">
        <v>2.0999999999999996</v>
      </c>
      <c r="J51" s="17">
        <v>2.4000000000000004</v>
      </c>
      <c r="K51" s="17">
        <v>1.25</v>
      </c>
      <c r="L51" s="17">
        <v>1.75</v>
      </c>
      <c r="M51" s="17">
        <v>2</v>
      </c>
      <c r="N51" s="17">
        <v>1.25</v>
      </c>
      <c r="O51" s="17">
        <v>1.75</v>
      </c>
      <c r="P51" s="17">
        <v>2</v>
      </c>
      <c r="Q51" s="17">
        <v>1.25</v>
      </c>
      <c r="R51" s="17">
        <v>1.75</v>
      </c>
      <c r="S51" s="17">
        <v>2</v>
      </c>
    </row>
    <row r="52" spans="1:19" x14ac:dyDescent="0.35">
      <c r="A52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1.25</v>
      </c>
      <c r="I52" s="17">
        <v>1.75</v>
      </c>
      <c r="J52" s="17">
        <v>2</v>
      </c>
      <c r="K52" s="17">
        <v>1.25</v>
      </c>
      <c r="L52" s="17">
        <v>1.75</v>
      </c>
      <c r="M52" s="17">
        <v>2</v>
      </c>
      <c r="N52" s="17">
        <v>1.25</v>
      </c>
      <c r="O52" s="17">
        <v>1.75</v>
      </c>
      <c r="P52" s="17">
        <v>2</v>
      </c>
      <c r="Q52" s="17">
        <v>1.25</v>
      </c>
      <c r="R52" s="17">
        <v>1.75</v>
      </c>
      <c r="S52" s="17">
        <v>2</v>
      </c>
    </row>
    <row r="53" spans="1:19" x14ac:dyDescent="0.35">
      <c r="A53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2</v>
      </c>
      <c r="I53" s="17">
        <v>2.8</v>
      </c>
      <c r="J53" s="17">
        <v>3.2</v>
      </c>
      <c r="K53" s="17">
        <v>2</v>
      </c>
      <c r="L53" s="17">
        <v>2.8</v>
      </c>
      <c r="M53" s="17">
        <v>3.2</v>
      </c>
      <c r="N53" s="17">
        <v>2</v>
      </c>
      <c r="O53" s="17">
        <v>2.8</v>
      </c>
      <c r="P53" s="17">
        <v>3.2</v>
      </c>
      <c r="Q53" s="17">
        <v>2</v>
      </c>
      <c r="R53" s="17">
        <v>2.8</v>
      </c>
      <c r="S53" s="17">
        <v>3.2</v>
      </c>
    </row>
    <row r="54" spans="1:19" x14ac:dyDescent="0.35">
      <c r="A54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8.75</v>
      </c>
      <c r="I54" s="17">
        <v>12.25</v>
      </c>
      <c r="J54" s="17">
        <v>14</v>
      </c>
      <c r="K54" s="17">
        <v>8.75</v>
      </c>
      <c r="L54" s="17">
        <v>12.25</v>
      </c>
      <c r="M54" s="17">
        <v>14</v>
      </c>
      <c r="N54" s="17">
        <v>21.25</v>
      </c>
      <c r="O54" s="17">
        <v>29.749999999999996</v>
      </c>
      <c r="P54" s="17">
        <v>34</v>
      </c>
      <c r="Q54" s="17">
        <v>21.25</v>
      </c>
      <c r="R54" s="17">
        <v>29.749999999999996</v>
      </c>
      <c r="S54" s="17">
        <v>34</v>
      </c>
    </row>
    <row r="55" spans="1:19" x14ac:dyDescent="0.35">
      <c r="A55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4.375</v>
      </c>
      <c r="I55" s="17">
        <v>6.125</v>
      </c>
      <c r="J55" s="17">
        <v>7</v>
      </c>
      <c r="K55" s="17">
        <v>4.375</v>
      </c>
      <c r="L55" s="17">
        <v>6.125</v>
      </c>
      <c r="M55" s="17">
        <v>7</v>
      </c>
      <c r="N55" s="17">
        <v>4.375</v>
      </c>
      <c r="O55" s="17">
        <v>6.125</v>
      </c>
      <c r="P55" s="17">
        <v>7</v>
      </c>
      <c r="Q55" s="17">
        <v>4.375</v>
      </c>
      <c r="R55" s="17">
        <v>6.125</v>
      </c>
      <c r="S55" s="17">
        <v>7</v>
      </c>
    </row>
    <row r="56" spans="1:19" x14ac:dyDescent="0.35">
      <c r="A5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0.25</v>
      </c>
      <c r="I56" s="17">
        <v>0.35</v>
      </c>
      <c r="J56" s="17">
        <v>0.4</v>
      </c>
      <c r="K56" s="17">
        <v>0.25</v>
      </c>
      <c r="L56" s="17">
        <v>0.35</v>
      </c>
      <c r="M56" s="17">
        <v>0.4</v>
      </c>
      <c r="N56" s="17">
        <v>0.25</v>
      </c>
      <c r="O56" s="17">
        <v>0.35</v>
      </c>
      <c r="P56" s="17">
        <v>0.4</v>
      </c>
      <c r="Q56" s="17">
        <v>0.25</v>
      </c>
      <c r="R56" s="17">
        <v>0.35</v>
      </c>
      <c r="S56" s="17">
        <v>0.4</v>
      </c>
    </row>
    <row r="57" spans="1:19" x14ac:dyDescent="0.35">
      <c r="A57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1.25</v>
      </c>
      <c r="L57" s="17">
        <v>1.75</v>
      </c>
      <c r="M57" s="17">
        <v>2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35">
      <c r="A58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1.25</v>
      </c>
      <c r="L58" s="17">
        <v>1.75</v>
      </c>
      <c r="M58" s="17">
        <v>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35">
      <c r="A59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35">
      <c r="A60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35">
      <c r="A61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35">
      <c r="A62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35">
      <c r="A63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35">
      <c r="A64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35">
      <c r="A65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63.333333333333336</v>
      </c>
      <c r="I65" s="17">
        <v>63.333333333333336</v>
      </c>
      <c r="J65" s="17">
        <v>63.333333333333336</v>
      </c>
      <c r="K65" s="17">
        <v>63.333333333333336</v>
      </c>
      <c r="L65" s="17">
        <v>63.333333333333336</v>
      </c>
      <c r="M65" s="17">
        <v>63.333333333333336</v>
      </c>
      <c r="N65" s="17">
        <v>63.333333333333336</v>
      </c>
      <c r="O65" s="17">
        <v>63.333333333333336</v>
      </c>
      <c r="P65" s="17">
        <v>63.333333333333336</v>
      </c>
      <c r="Q65" s="17">
        <v>63.333333333333336</v>
      </c>
      <c r="R65" s="17">
        <v>63.333333333333336</v>
      </c>
      <c r="S65" s="17">
        <v>63.333333333333336</v>
      </c>
    </row>
    <row r="66" spans="1:19" x14ac:dyDescent="0.35">
      <c r="A6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65.166666666666671</v>
      </c>
      <c r="I66" s="17">
        <v>65.166666666666671</v>
      </c>
      <c r="J66" s="17">
        <v>65.166666666666671</v>
      </c>
      <c r="K66" s="17">
        <v>130.33333333333334</v>
      </c>
      <c r="L66" s="17">
        <v>130.33333333333334</v>
      </c>
      <c r="M66" s="17">
        <v>130.33333333333334</v>
      </c>
      <c r="N66" s="17">
        <v>195.5</v>
      </c>
      <c r="O66" s="17">
        <v>195.5</v>
      </c>
      <c r="P66" s="17">
        <v>195.5</v>
      </c>
      <c r="Q66" s="17">
        <v>260.66666666666669</v>
      </c>
      <c r="R66" s="17">
        <v>260.66666666666669</v>
      </c>
      <c r="S66" s="17">
        <v>260.66666666666669</v>
      </c>
    </row>
    <row r="67" spans="1:19" x14ac:dyDescent="0.35">
      <c r="A67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35">
      <c r="A68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35">
      <c r="A69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35">
      <c r="A70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35">
      <c r="A71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35">
      <c r="A72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35">
      <c r="A73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35">
      <c r="A74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35">
      <c r="A75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35">
      <c r="A7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conditionalFormatting sqref="B74:B76 B42:B50">
    <cfRule type="duplicateValues" dxfId="73" priority="61"/>
  </conditionalFormatting>
  <conditionalFormatting sqref="B2:D2 B51:B73 B1 B3:B41 C3:D76">
    <cfRule type="duplicateValues" dxfId="72" priority="5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AFCA-F8A7-429B-93CF-5BC053BC009E}">
  <sheetPr codeName="Sheet2">
    <tabColor theme="3" tint="-0.249977111117893"/>
  </sheetPr>
  <dimension ref="A1:S76"/>
  <sheetViews>
    <sheetView workbookViewId="0">
      <selection activeCell="C2" sqref="C2:G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64.189552602714599</v>
      </c>
      <c r="I2" s="17">
        <v>89.865373643800453</v>
      </c>
      <c r="J2" s="17">
        <v>102.70328416434337</v>
      </c>
      <c r="K2" s="17">
        <v>66.526554365147618</v>
      </c>
      <c r="L2" s="17">
        <v>93.137176111206657</v>
      </c>
      <c r="M2" s="17">
        <v>106.4424869842362</v>
      </c>
      <c r="N2" s="17">
        <v>57.178547315415578</v>
      </c>
      <c r="O2" s="17">
        <v>80.049966241581799</v>
      </c>
      <c r="P2" s="17">
        <v>91.485675704664928</v>
      </c>
      <c r="Q2" s="17">
        <v>66.993954717634224</v>
      </c>
      <c r="R2" s="17">
        <v>93.791536604687906</v>
      </c>
      <c r="S2" s="17">
        <v>107.19032754821475</v>
      </c>
    </row>
    <row r="3" spans="1:19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4.0111674491876315</v>
      </c>
      <c r="I3" s="17">
        <v>5.615634428862684</v>
      </c>
      <c r="J3" s="17">
        <v>6.4178679187002112</v>
      </c>
      <c r="K3" s="17">
        <v>3.5483404358198278</v>
      </c>
      <c r="L3" s="17">
        <v>4.967676610147759</v>
      </c>
      <c r="M3" s="17">
        <v>5.6773446973117254</v>
      </c>
      <c r="N3" s="17">
        <v>2.3141350668390182</v>
      </c>
      <c r="O3" s="17">
        <v>3.2397890935746254</v>
      </c>
      <c r="P3" s="17">
        <v>3.702616106942429</v>
      </c>
      <c r="Q3" s="17">
        <v>3.9670909012060243</v>
      </c>
      <c r="R3" s="17">
        <v>5.5539272616884334</v>
      </c>
      <c r="S3" s="17">
        <v>6.3473454419296393</v>
      </c>
    </row>
    <row r="4" spans="1:19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5.5950000000000006</v>
      </c>
      <c r="I5" s="17">
        <v>7.8330000000000002</v>
      </c>
      <c r="J5" s="17">
        <v>8.9520000000000017</v>
      </c>
      <c r="K5" s="17">
        <v>5.2200000000000006</v>
      </c>
      <c r="L5" s="17">
        <v>7.3079999999999998</v>
      </c>
      <c r="M5" s="17">
        <v>8.3520000000000021</v>
      </c>
      <c r="N5" s="17">
        <v>4.2570000000000006</v>
      </c>
      <c r="O5" s="17">
        <v>5.9598000000000004</v>
      </c>
      <c r="P5" s="17">
        <v>6.8112000000000013</v>
      </c>
      <c r="Q5" s="17">
        <v>4.8870000000000005</v>
      </c>
      <c r="R5" s="17">
        <v>6.8417999999999992</v>
      </c>
      <c r="S5" s="17">
        <v>7.8192000000000013</v>
      </c>
    </row>
    <row r="6" spans="1:19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7.0500000000000007</v>
      </c>
      <c r="I6" s="17">
        <v>9.8699999999999992</v>
      </c>
      <c r="J6" s="17">
        <v>11.280000000000001</v>
      </c>
      <c r="K6" s="17">
        <v>7.3500000000000005</v>
      </c>
      <c r="L6" s="17">
        <v>10.29</v>
      </c>
      <c r="M6" s="17">
        <v>11.760000000000002</v>
      </c>
      <c r="N6" s="17">
        <v>7.0500000000000007</v>
      </c>
      <c r="O6" s="17">
        <v>9.8699999999999992</v>
      </c>
      <c r="P6" s="17">
        <v>11.280000000000001</v>
      </c>
      <c r="Q6" s="17">
        <v>6.0420000000000007</v>
      </c>
      <c r="R6" s="17">
        <v>8.4588000000000001</v>
      </c>
      <c r="S6" s="17">
        <v>9.6672000000000011</v>
      </c>
    </row>
    <row r="7" spans="1:19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4.0067500000000003</v>
      </c>
      <c r="I7" s="17">
        <v>5.6094499999999998</v>
      </c>
      <c r="J7" s="17">
        <v>6.4108000000000009</v>
      </c>
      <c r="K7" s="17">
        <v>4.6749999999999998</v>
      </c>
      <c r="L7" s="17">
        <v>6.5450000000000008</v>
      </c>
      <c r="M7" s="17">
        <v>7.48</v>
      </c>
      <c r="N7" s="17">
        <v>4.4750000000000005</v>
      </c>
      <c r="O7" s="17">
        <v>6.2650000000000006</v>
      </c>
      <c r="P7" s="17">
        <v>7.160000000000001</v>
      </c>
      <c r="Q7" s="17">
        <v>4.875</v>
      </c>
      <c r="R7" s="17">
        <v>6.8250000000000002</v>
      </c>
      <c r="S7" s="17">
        <v>7.8000000000000007</v>
      </c>
    </row>
    <row r="8" spans="1:19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1.7927306861685062</v>
      </c>
      <c r="I8" s="17">
        <v>2.5098229606359084</v>
      </c>
      <c r="J8" s="17">
        <v>2.8683690978696101</v>
      </c>
      <c r="K8" s="17">
        <v>2.0711050163188953</v>
      </c>
      <c r="L8" s="17">
        <v>2.8995470228464533</v>
      </c>
      <c r="M8" s="17">
        <v>3.3137680261102327</v>
      </c>
      <c r="N8" s="17">
        <v>2.0711050163188953</v>
      </c>
      <c r="O8" s="17">
        <v>2.8995470228464533</v>
      </c>
      <c r="P8" s="17">
        <v>3.3137680261102327</v>
      </c>
      <c r="Q8" s="17">
        <v>1.5032213828121013</v>
      </c>
      <c r="R8" s="17">
        <v>2.1045099359369415</v>
      </c>
      <c r="S8" s="17">
        <v>2.4051542124993621</v>
      </c>
    </row>
    <row r="9" spans="1:19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3</v>
      </c>
      <c r="I9" s="17">
        <v>4.2</v>
      </c>
      <c r="J9" s="17">
        <v>4.8000000000000007</v>
      </c>
      <c r="K9" s="17">
        <v>3</v>
      </c>
      <c r="L9" s="17">
        <v>4.2</v>
      </c>
      <c r="M9" s="17">
        <v>4.8000000000000007</v>
      </c>
      <c r="N9" s="17">
        <v>3</v>
      </c>
      <c r="O9" s="17">
        <v>4.2</v>
      </c>
      <c r="P9" s="17">
        <v>4.8000000000000007</v>
      </c>
      <c r="Q9" s="17">
        <v>3</v>
      </c>
      <c r="R9" s="17">
        <v>4.2</v>
      </c>
      <c r="S9" s="17">
        <v>4.8000000000000007</v>
      </c>
    </row>
    <row r="10" spans="1:19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3.1471675353780313</v>
      </c>
      <c r="I10" s="17">
        <v>4.4060345495292434</v>
      </c>
      <c r="J10" s="17">
        <v>5.0354680566048513</v>
      </c>
      <c r="K10" s="17">
        <v>2.7899214908216066</v>
      </c>
      <c r="L10" s="17">
        <v>3.9058900871502487</v>
      </c>
      <c r="M10" s="17">
        <v>4.463874385314571</v>
      </c>
      <c r="N10" s="17">
        <v>2.3816402970428348</v>
      </c>
      <c r="O10" s="17">
        <v>3.3342964158599684</v>
      </c>
      <c r="P10" s="17">
        <v>3.8106244752685354</v>
      </c>
      <c r="Q10" s="17">
        <v>2.9770503713035432</v>
      </c>
      <c r="R10" s="17">
        <v>4.1678705198249606</v>
      </c>
      <c r="S10" s="17">
        <v>4.7632805940856695</v>
      </c>
    </row>
    <row r="11" spans="1:19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36.296984146968391</v>
      </c>
      <c r="I11" s="17">
        <v>50.815777805755744</v>
      </c>
      <c r="J11" s="17">
        <v>58.07517463514943</v>
      </c>
      <c r="K11" s="17">
        <v>41.51116902408468</v>
      </c>
      <c r="L11" s="17">
        <v>58.115636633718545</v>
      </c>
      <c r="M11" s="17">
        <v>66.417870438535488</v>
      </c>
      <c r="N11" s="17">
        <v>36.989038249096723</v>
      </c>
      <c r="O11" s="17">
        <v>51.784653548735413</v>
      </c>
      <c r="P11" s="17">
        <v>59.182461198554762</v>
      </c>
      <c r="Q11" s="17">
        <v>36.4644085798502</v>
      </c>
      <c r="R11" s="17">
        <v>51.050172011790274</v>
      </c>
      <c r="S11" s="17">
        <v>58.343053727760321</v>
      </c>
    </row>
    <row r="12" spans="1:19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2.6761319691783867</v>
      </c>
      <c r="I12" s="17">
        <v>3.746584756849741</v>
      </c>
      <c r="J12" s="17">
        <v>4.2818111506854191</v>
      </c>
      <c r="K12" s="17">
        <v>3.5681759589045159</v>
      </c>
      <c r="L12" s="17">
        <v>4.9954463424663214</v>
      </c>
      <c r="M12" s="17">
        <v>5.7090815342472254</v>
      </c>
      <c r="N12" s="17">
        <v>3.7731249086101886</v>
      </c>
      <c r="O12" s="17">
        <v>5.2823748720542643</v>
      </c>
      <c r="P12" s="17">
        <v>6.0369998537763019</v>
      </c>
      <c r="Q12" s="17">
        <v>3.8217818535043411</v>
      </c>
      <c r="R12" s="17">
        <v>5.3504945949060767</v>
      </c>
      <c r="S12" s="17">
        <v>6.114850965606947</v>
      </c>
    </row>
    <row r="13" spans="1:19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2.58</v>
      </c>
      <c r="I13" s="17">
        <v>3.6119999999999992</v>
      </c>
      <c r="J13" s="17">
        <v>4.1280000000000001</v>
      </c>
      <c r="K13" s="17">
        <v>2.58</v>
      </c>
      <c r="L13" s="17">
        <v>3.6119999999999992</v>
      </c>
      <c r="M13" s="17">
        <v>4.1280000000000001</v>
      </c>
      <c r="N13" s="17">
        <v>1.6</v>
      </c>
      <c r="O13" s="17">
        <v>2.2399999999999998</v>
      </c>
      <c r="P13" s="17">
        <v>2.5600000000000005</v>
      </c>
      <c r="Q13" s="17">
        <v>3.2</v>
      </c>
      <c r="R13" s="17">
        <v>4.4799999999999995</v>
      </c>
      <c r="S13" s="17">
        <v>5.120000000000001</v>
      </c>
    </row>
    <row r="14" spans="1:19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1.4027708153663638</v>
      </c>
      <c r="I14" s="17">
        <v>1.9638791415129093</v>
      </c>
      <c r="J14" s="17">
        <v>2.2444333045861824</v>
      </c>
      <c r="K14" s="17">
        <v>1.4425194249476252</v>
      </c>
      <c r="L14" s="17">
        <v>2.0195271949266753</v>
      </c>
      <c r="M14" s="17">
        <v>2.3080310799162005</v>
      </c>
      <c r="N14" s="17">
        <v>1.2835249866225793</v>
      </c>
      <c r="O14" s="17">
        <v>1.7969349812716109</v>
      </c>
      <c r="P14" s="17">
        <v>2.0536399785961268</v>
      </c>
      <c r="Q14" s="17">
        <v>1.3232735962038407</v>
      </c>
      <c r="R14" s="17">
        <v>1.8525830346853769</v>
      </c>
      <c r="S14" s="17">
        <v>2.1172377539261453</v>
      </c>
    </row>
    <row r="15" spans="1:19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32.931596006934939</v>
      </c>
      <c r="I15" s="17">
        <v>46.104234409708909</v>
      </c>
      <c r="J15" s="17">
        <v>52.690553611095901</v>
      </c>
      <c r="K15" s="17">
        <v>36.609236170145941</v>
      </c>
      <c r="L15" s="17">
        <v>51.252930638204319</v>
      </c>
      <c r="M15" s="17">
        <v>58.574777872233504</v>
      </c>
      <c r="N15" s="17">
        <v>38.69880444469765</v>
      </c>
      <c r="O15" s="17">
        <v>54.178326222576707</v>
      </c>
      <c r="P15" s="17">
        <v>61.918087111516243</v>
      </c>
      <c r="Q15" s="17">
        <v>33.182344199881143</v>
      </c>
      <c r="R15" s="17">
        <v>46.455281879833592</v>
      </c>
      <c r="S15" s="17">
        <v>53.091750719809831</v>
      </c>
    </row>
    <row r="16" spans="1:19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0.52800000000000002</v>
      </c>
      <c r="I16" s="17">
        <v>0.73919999999999997</v>
      </c>
      <c r="J16" s="17">
        <v>0.84480000000000011</v>
      </c>
      <c r="K16" s="17">
        <v>0.52800000000000002</v>
      </c>
      <c r="L16" s="17">
        <v>0.73919999999999997</v>
      </c>
      <c r="M16" s="17">
        <v>0.84480000000000011</v>
      </c>
      <c r="N16" s="17">
        <v>0.52800000000000002</v>
      </c>
      <c r="O16" s="17">
        <v>0.73919999999999997</v>
      </c>
      <c r="P16" s="17">
        <v>0.84480000000000011</v>
      </c>
      <c r="Q16" s="17">
        <v>0.52800000000000002</v>
      </c>
      <c r="R16" s="17">
        <v>0.73919999999999997</v>
      </c>
      <c r="S16" s="17">
        <v>0.84480000000000011</v>
      </c>
    </row>
    <row r="17" spans="1:19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6.8400000000000007</v>
      </c>
      <c r="I17" s="17">
        <v>9.5760000000000005</v>
      </c>
      <c r="J17" s="17">
        <v>10.944000000000003</v>
      </c>
      <c r="K17" s="17">
        <v>7.335</v>
      </c>
      <c r="L17" s="17">
        <v>10.268999999999998</v>
      </c>
      <c r="M17" s="17">
        <v>11.736000000000001</v>
      </c>
      <c r="N17" s="17">
        <v>6.2100000000000009</v>
      </c>
      <c r="O17" s="17">
        <v>8.6940000000000008</v>
      </c>
      <c r="P17" s="17">
        <v>9.9360000000000017</v>
      </c>
      <c r="Q17" s="17">
        <v>6.75</v>
      </c>
      <c r="R17" s="17">
        <v>9.4500000000000011</v>
      </c>
      <c r="S17" s="17">
        <v>10.8</v>
      </c>
    </row>
    <row r="18" spans="1:19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0.78000000000000014</v>
      </c>
      <c r="I18" s="17">
        <v>1.0920000000000001</v>
      </c>
      <c r="J18" s="17">
        <v>1.2480000000000002</v>
      </c>
      <c r="K18" s="17">
        <v>0.86</v>
      </c>
      <c r="L18" s="17">
        <v>1.204</v>
      </c>
      <c r="M18" s="17">
        <v>1.3760000000000001</v>
      </c>
      <c r="N18" s="17">
        <v>0.66</v>
      </c>
      <c r="O18" s="17">
        <v>0.92399999999999993</v>
      </c>
      <c r="P18" s="17">
        <v>1.056</v>
      </c>
      <c r="Q18" s="17">
        <v>1.1599999999999999</v>
      </c>
      <c r="R18" s="17">
        <v>1.6239999999999999</v>
      </c>
      <c r="S18" s="17">
        <v>1.8559999999999999</v>
      </c>
    </row>
    <row r="19" spans="1:19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6.04</v>
      </c>
      <c r="I19" s="17">
        <v>8.4559999999999995</v>
      </c>
      <c r="J19" s="17">
        <v>9.6640000000000015</v>
      </c>
      <c r="K19" s="17">
        <v>4.6000000000000005</v>
      </c>
      <c r="L19" s="17">
        <v>6.4399999999999995</v>
      </c>
      <c r="M19" s="17">
        <v>7.3600000000000012</v>
      </c>
      <c r="N19" s="17">
        <v>3.3000000000000003</v>
      </c>
      <c r="O19" s="17">
        <v>4.62</v>
      </c>
      <c r="P19" s="17">
        <v>5.2800000000000011</v>
      </c>
      <c r="Q19" s="17">
        <v>4.1000000000000005</v>
      </c>
      <c r="R19" s="17">
        <v>5.74</v>
      </c>
      <c r="S19" s="17">
        <v>6.5600000000000014</v>
      </c>
    </row>
    <row r="20" spans="1:19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0.71</v>
      </c>
      <c r="I20" s="17">
        <v>0.99399999999999999</v>
      </c>
      <c r="J20" s="17">
        <v>1.1359999999999999</v>
      </c>
      <c r="K20" s="17">
        <v>0.71</v>
      </c>
      <c r="L20" s="17">
        <v>0.99399999999999999</v>
      </c>
      <c r="M20" s="17">
        <v>1.1359999999999999</v>
      </c>
      <c r="N20" s="17">
        <v>0.61</v>
      </c>
      <c r="O20" s="17">
        <v>0.85399999999999998</v>
      </c>
      <c r="P20" s="17">
        <v>0.97599999999999998</v>
      </c>
      <c r="Q20" s="17">
        <v>0.68</v>
      </c>
      <c r="R20" s="17">
        <v>0.95199999999999996</v>
      </c>
      <c r="S20" s="17">
        <v>1.0880000000000001</v>
      </c>
    </row>
    <row r="21" spans="1:19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9.4</v>
      </c>
      <c r="I21" s="17">
        <v>13.16</v>
      </c>
      <c r="J21" s="17">
        <v>15.040000000000001</v>
      </c>
      <c r="K21" s="17">
        <v>11.100000000000001</v>
      </c>
      <c r="L21" s="17">
        <v>15.54</v>
      </c>
      <c r="M21" s="17">
        <v>17.760000000000002</v>
      </c>
      <c r="N21" s="17">
        <v>15.3</v>
      </c>
      <c r="O21" s="17">
        <v>21.42</v>
      </c>
      <c r="P21" s="17">
        <v>24.480000000000004</v>
      </c>
      <c r="Q21" s="17">
        <v>12.600000000000001</v>
      </c>
      <c r="R21" s="17">
        <v>17.639999999999997</v>
      </c>
      <c r="S21" s="17">
        <v>20.160000000000004</v>
      </c>
    </row>
    <row r="22" spans="1:19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10.961470657669578</v>
      </c>
      <c r="I22" s="17">
        <v>15.346058920737407</v>
      </c>
      <c r="J22" s="17">
        <v>17.538353052271326</v>
      </c>
      <c r="K22" s="17">
        <v>9.6781765318936266</v>
      </c>
      <c r="L22" s="17">
        <v>13.549447144651076</v>
      </c>
      <c r="M22" s="17">
        <v>15.485082451029802</v>
      </c>
      <c r="N22" s="17">
        <v>19.481117770459914</v>
      </c>
      <c r="O22" s="17">
        <v>27.273564878643878</v>
      </c>
      <c r="P22" s="17">
        <v>31.169788432735864</v>
      </c>
      <c r="Q22" s="17">
        <v>22.306147200119472</v>
      </c>
      <c r="R22" s="17">
        <v>31.228606080167264</v>
      </c>
      <c r="S22" s="17">
        <v>35.68983552019116</v>
      </c>
    </row>
    <row r="23" spans="1:19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3.5</v>
      </c>
      <c r="I23" s="17">
        <v>4.9000000000000004</v>
      </c>
      <c r="J23" s="17">
        <v>5.6000000000000005</v>
      </c>
      <c r="K23" s="17">
        <v>4.6000000000000005</v>
      </c>
      <c r="L23" s="17">
        <v>6.4399999999999995</v>
      </c>
      <c r="M23" s="17">
        <v>7.3600000000000012</v>
      </c>
      <c r="N23" s="17">
        <v>5.3000000000000007</v>
      </c>
      <c r="O23" s="17">
        <v>7.419999999999999</v>
      </c>
      <c r="P23" s="17">
        <v>8.4800000000000022</v>
      </c>
      <c r="Q23" s="17">
        <v>6.1000000000000005</v>
      </c>
      <c r="R23" s="17">
        <v>8.5399999999999991</v>
      </c>
      <c r="S23" s="17">
        <v>9.7600000000000016</v>
      </c>
    </row>
    <row r="24" spans="1:19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0.51600000000000001</v>
      </c>
      <c r="I24" s="17">
        <v>0.72239999999999993</v>
      </c>
      <c r="J24" s="17">
        <v>0.82560000000000011</v>
      </c>
      <c r="K24" s="17">
        <v>0.51600000000000001</v>
      </c>
      <c r="L24" s="17">
        <v>0.72239999999999993</v>
      </c>
      <c r="M24" s="17">
        <v>0.82560000000000011</v>
      </c>
      <c r="N24" s="17">
        <v>0.51600000000000001</v>
      </c>
      <c r="O24" s="17">
        <v>0.72239999999999993</v>
      </c>
      <c r="P24" s="17">
        <v>0.82560000000000011</v>
      </c>
      <c r="Q24" s="17">
        <v>0.51600000000000001</v>
      </c>
      <c r="R24" s="17">
        <v>0.72239999999999993</v>
      </c>
      <c r="S24" s="17">
        <v>0.82560000000000011</v>
      </c>
    </row>
    <row r="25" spans="1:19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2.1880905057607465</v>
      </c>
      <c r="I25" s="17">
        <v>3.0633267080650453</v>
      </c>
      <c r="J25" s="17">
        <v>3.5009448092171951</v>
      </c>
      <c r="K25" s="17">
        <v>2.4903129513078111</v>
      </c>
      <c r="L25" s="17">
        <v>3.4864381318309352</v>
      </c>
      <c r="M25" s="17">
        <v>3.9845007220924979</v>
      </c>
      <c r="N25" s="17">
        <v>2.2666683416029834</v>
      </c>
      <c r="O25" s="17">
        <v>3.1733356782441766</v>
      </c>
      <c r="P25" s="17">
        <v>3.6266693465647735</v>
      </c>
      <c r="Q25" s="17">
        <v>2.7356168362768454</v>
      </c>
      <c r="R25" s="17">
        <v>3.829863570787583</v>
      </c>
      <c r="S25" s="17">
        <v>4.3769869380429531</v>
      </c>
    </row>
    <row r="26" spans="1:19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1.6015000000000001</v>
      </c>
      <c r="I26" s="17">
        <v>2.2421000000000002</v>
      </c>
      <c r="J26" s="17">
        <v>2.5624000000000002</v>
      </c>
      <c r="K26" s="17">
        <v>1.8115000000000003</v>
      </c>
      <c r="L26" s="17">
        <v>2.5361000000000002</v>
      </c>
      <c r="M26" s="17">
        <v>2.8984000000000005</v>
      </c>
      <c r="N26" s="17">
        <v>1.5315000000000003</v>
      </c>
      <c r="O26" s="17">
        <v>2.1440999999999999</v>
      </c>
      <c r="P26" s="17">
        <v>2.4504000000000006</v>
      </c>
      <c r="Q26" s="17">
        <v>1.6015000000000001</v>
      </c>
      <c r="R26" s="17">
        <v>2.2421000000000002</v>
      </c>
      <c r="S26" s="17">
        <v>2.5624000000000002</v>
      </c>
    </row>
    <row r="27" spans="1:19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3.75</v>
      </c>
      <c r="I27" s="17">
        <v>5.25</v>
      </c>
      <c r="J27" s="17">
        <v>6</v>
      </c>
      <c r="K27" s="17">
        <v>4.1000000000000005</v>
      </c>
      <c r="L27" s="17">
        <v>5.74</v>
      </c>
      <c r="M27" s="17">
        <v>6.5600000000000014</v>
      </c>
      <c r="N27" s="17">
        <v>3.5</v>
      </c>
      <c r="O27" s="17">
        <v>4.9000000000000004</v>
      </c>
      <c r="P27" s="17">
        <v>5.6000000000000005</v>
      </c>
      <c r="Q27" s="17">
        <v>3.7700000000000005</v>
      </c>
      <c r="R27" s="17">
        <v>5.2780000000000005</v>
      </c>
      <c r="S27" s="17">
        <v>6.0320000000000009</v>
      </c>
    </row>
    <row r="28" spans="1:19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4.916656120714662</v>
      </c>
      <c r="I28" s="17">
        <v>6.8833185690005267</v>
      </c>
      <c r="J28" s="17">
        <v>7.8666497931434591</v>
      </c>
      <c r="K28" s="17">
        <v>4.2337872150598477</v>
      </c>
      <c r="L28" s="17">
        <v>5.9273021010837867</v>
      </c>
      <c r="M28" s="17">
        <v>6.7740595440957563</v>
      </c>
      <c r="N28" s="17">
        <v>3.4143445282740705</v>
      </c>
      <c r="O28" s="17">
        <v>4.7800823395836991</v>
      </c>
      <c r="P28" s="17">
        <v>5.4629512452385134</v>
      </c>
      <c r="Q28" s="17">
        <v>2.0895788513037314</v>
      </c>
      <c r="R28" s="17">
        <v>2.9254103918252237</v>
      </c>
      <c r="S28" s="17">
        <v>3.3433261620859707</v>
      </c>
    </row>
    <row r="29" spans="1:19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8.07</v>
      </c>
      <c r="I29" s="17">
        <v>11.298</v>
      </c>
      <c r="J29" s="17">
        <v>12.912000000000001</v>
      </c>
      <c r="K29" s="17">
        <v>8.6399999999999988</v>
      </c>
      <c r="L29" s="17">
        <v>12.095999999999998</v>
      </c>
      <c r="M29" s="17">
        <v>13.823999999999998</v>
      </c>
      <c r="N29" s="17">
        <v>7.4400000000000013</v>
      </c>
      <c r="O29" s="17">
        <v>10.416</v>
      </c>
      <c r="P29" s="17">
        <v>11.904000000000003</v>
      </c>
      <c r="Q29" s="17">
        <v>7.9200000000000008</v>
      </c>
      <c r="R29" s="17">
        <v>11.088000000000001</v>
      </c>
      <c r="S29" s="17">
        <v>12.672000000000002</v>
      </c>
    </row>
    <row r="30" spans="1:19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1.4733000000000001</v>
      </c>
      <c r="I30" s="17">
        <v>2.0626200000000003</v>
      </c>
      <c r="J30" s="17">
        <v>2.3572800000000003</v>
      </c>
      <c r="K30" s="17">
        <v>1.5879000000000003</v>
      </c>
      <c r="L30" s="17">
        <v>2.2230599999999998</v>
      </c>
      <c r="M30" s="17">
        <v>2.5406400000000007</v>
      </c>
      <c r="N30" s="17">
        <v>1.3587</v>
      </c>
      <c r="O30" s="17">
        <v>1.90218</v>
      </c>
      <c r="P30" s="17">
        <v>2.1739200000000003</v>
      </c>
      <c r="Q30" s="17">
        <v>1.5306000000000002</v>
      </c>
      <c r="R30" s="17">
        <v>2.1428400000000001</v>
      </c>
      <c r="S30" s="17">
        <v>2.4489600000000005</v>
      </c>
    </row>
    <row r="31" spans="1:19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4.0250000000000004</v>
      </c>
      <c r="I31" s="17">
        <v>5.6349999999999998</v>
      </c>
      <c r="J31" s="17">
        <v>6.4400000000000013</v>
      </c>
      <c r="K31" s="17">
        <v>4.3250000000000002</v>
      </c>
      <c r="L31" s="17">
        <v>6.0549999999999997</v>
      </c>
      <c r="M31" s="17">
        <v>6.9200000000000008</v>
      </c>
      <c r="N31" s="17">
        <v>3.7250000000000001</v>
      </c>
      <c r="O31" s="17">
        <v>5.2149999999999999</v>
      </c>
      <c r="P31" s="17">
        <v>5.9600000000000009</v>
      </c>
      <c r="Q31" s="17">
        <v>4.0250000000000004</v>
      </c>
      <c r="R31" s="17">
        <v>5.6349999999999998</v>
      </c>
      <c r="S31" s="17">
        <v>6.4400000000000013</v>
      </c>
    </row>
    <row r="32" spans="1:19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0.4</v>
      </c>
      <c r="I32" s="17">
        <v>0.55999999999999994</v>
      </c>
      <c r="J32" s="17">
        <v>0.64000000000000012</v>
      </c>
      <c r="K32" s="17">
        <v>0.4</v>
      </c>
      <c r="L32" s="17">
        <v>0.55999999999999994</v>
      </c>
      <c r="M32" s="17">
        <v>0.64000000000000012</v>
      </c>
      <c r="N32" s="17">
        <v>0.4</v>
      </c>
      <c r="O32" s="17">
        <v>0.55999999999999994</v>
      </c>
      <c r="P32" s="17">
        <v>0.64000000000000012</v>
      </c>
      <c r="Q32" s="17">
        <v>0.4</v>
      </c>
      <c r="R32" s="17">
        <v>0.55999999999999994</v>
      </c>
      <c r="S32" s="17">
        <v>0.64000000000000012</v>
      </c>
    </row>
    <row r="33" spans="1:19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2.4880000000000004</v>
      </c>
      <c r="I33" s="17">
        <v>3.4832000000000001</v>
      </c>
      <c r="J33" s="17">
        <v>3.9808000000000008</v>
      </c>
      <c r="K33" s="17">
        <v>2.6880000000000006</v>
      </c>
      <c r="L33" s="17">
        <v>3.7631999999999999</v>
      </c>
      <c r="M33" s="17">
        <v>4.3008000000000015</v>
      </c>
      <c r="N33" s="17">
        <v>2.2880000000000003</v>
      </c>
      <c r="O33" s="17">
        <v>3.2032000000000007</v>
      </c>
      <c r="P33" s="17">
        <v>3.6608000000000005</v>
      </c>
      <c r="Q33" s="17">
        <v>2.4880000000000004</v>
      </c>
      <c r="R33" s="17">
        <v>3.4832000000000001</v>
      </c>
      <c r="S33" s="17">
        <v>3.9808000000000008</v>
      </c>
    </row>
    <row r="34" spans="1:19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2.519369287539734</v>
      </c>
      <c r="I35" s="17">
        <v>3.5271170025556269</v>
      </c>
      <c r="J35" s="17">
        <v>4.0309908600635742</v>
      </c>
      <c r="K35" s="17">
        <v>2.7158860833335585</v>
      </c>
      <c r="L35" s="17">
        <v>3.8022405166669815</v>
      </c>
      <c r="M35" s="17">
        <v>4.3454177333336936</v>
      </c>
      <c r="N35" s="17">
        <v>2.3171606943067586</v>
      </c>
      <c r="O35" s="17">
        <v>3.2440249720294618</v>
      </c>
      <c r="P35" s="17">
        <v>3.7074571108908141</v>
      </c>
      <c r="Q35" s="17">
        <v>2.519369287539734</v>
      </c>
      <c r="R35" s="17">
        <v>3.5271170025556269</v>
      </c>
      <c r="S35" s="17">
        <v>4.0309908600635742</v>
      </c>
    </row>
    <row r="36" spans="1:19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2.0035000000000003</v>
      </c>
      <c r="I36" s="17">
        <v>2.8048999999999999</v>
      </c>
      <c r="J36" s="17">
        <v>3.2056000000000004</v>
      </c>
      <c r="K36" s="17">
        <v>2.2035</v>
      </c>
      <c r="L36" s="17">
        <v>3.0848999999999998</v>
      </c>
      <c r="M36" s="17">
        <v>3.5256000000000003</v>
      </c>
      <c r="N36" s="17">
        <v>1.8035000000000001</v>
      </c>
      <c r="O36" s="17">
        <v>2.5249000000000001</v>
      </c>
      <c r="P36" s="17">
        <v>2.8856000000000002</v>
      </c>
      <c r="Q36" s="17">
        <v>2.0035000000000003</v>
      </c>
      <c r="R36" s="17">
        <v>2.8048999999999999</v>
      </c>
      <c r="S36" s="17">
        <v>3.2056000000000004</v>
      </c>
    </row>
    <row r="37" spans="1:19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1.6480000000000001</v>
      </c>
      <c r="I37" s="17">
        <v>2.3071999999999999</v>
      </c>
      <c r="J37" s="17">
        <v>2.6368000000000005</v>
      </c>
      <c r="K37" s="17">
        <v>1.9776</v>
      </c>
      <c r="L37" s="17">
        <v>2.76864</v>
      </c>
      <c r="M37" s="17">
        <v>3.1641600000000003</v>
      </c>
      <c r="N37" s="17">
        <v>1.3184000000000002</v>
      </c>
      <c r="O37" s="17">
        <v>1.8457600000000001</v>
      </c>
      <c r="P37" s="17">
        <v>2.1094400000000006</v>
      </c>
      <c r="Q37" s="17">
        <v>1.6480000000000001</v>
      </c>
      <c r="R37" s="17">
        <v>2.3071999999999999</v>
      </c>
      <c r="S37" s="17">
        <v>2.6368000000000005</v>
      </c>
    </row>
    <row r="38" spans="1:19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24.081786507442203</v>
      </c>
      <c r="I38" s="17">
        <v>33.714501110419086</v>
      </c>
      <c r="J38" s="17">
        <v>38.530858411907523</v>
      </c>
      <c r="K38" s="17">
        <v>26.008329428037577</v>
      </c>
      <c r="L38" s="17">
        <v>36.411661199252606</v>
      </c>
      <c r="M38" s="17">
        <v>41.613327084860124</v>
      </c>
      <c r="N38" s="17">
        <v>21.994698343463877</v>
      </c>
      <c r="O38" s="17">
        <v>30.792577680849426</v>
      </c>
      <c r="P38" s="17">
        <v>35.19151734954221</v>
      </c>
      <c r="Q38" s="17">
        <v>24.242331750825148</v>
      </c>
      <c r="R38" s="17">
        <v>33.939264451155204</v>
      </c>
      <c r="S38" s="17">
        <v>38.787730801320244</v>
      </c>
    </row>
    <row r="39" spans="1:19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4.6000000000000005</v>
      </c>
      <c r="I39" s="17">
        <v>6.4399999999999995</v>
      </c>
      <c r="J39" s="17">
        <v>7.3600000000000012</v>
      </c>
      <c r="K39" s="17">
        <v>6.2100000000000009</v>
      </c>
      <c r="L39" s="17">
        <v>8.6940000000000008</v>
      </c>
      <c r="M39" s="17">
        <v>9.9360000000000017</v>
      </c>
      <c r="N39" s="17">
        <v>5.2900000000000009</v>
      </c>
      <c r="O39" s="17">
        <v>7.4060000000000006</v>
      </c>
      <c r="P39" s="17">
        <v>8.4640000000000022</v>
      </c>
      <c r="Q39" s="17">
        <v>6.9</v>
      </c>
      <c r="R39" s="17">
        <v>9.66</v>
      </c>
      <c r="S39" s="17">
        <v>11.040000000000001</v>
      </c>
    </row>
    <row r="40" spans="1:19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3.5700000000000003</v>
      </c>
      <c r="I40" s="17">
        <v>4.9980000000000011</v>
      </c>
      <c r="J40" s="17">
        <v>5.7120000000000006</v>
      </c>
      <c r="K40" s="17">
        <v>4.4200000000000008</v>
      </c>
      <c r="L40" s="17">
        <v>6.1880000000000006</v>
      </c>
      <c r="M40" s="17">
        <v>7.0720000000000018</v>
      </c>
      <c r="N40" s="17">
        <v>5.3550000000000004</v>
      </c>
      <c r="O40" s="17">
        <v>7.4969999999999999</v>
      </c>
      <c r="P40" s="17">
        <v>8.5680000000000014</v>
      </c>
      <c r="Q40" s="17">
        <v>6.6099999999999994</v>
      </c>
      <c r="R40" s="17">
        <v>9.2539999999999996</v>
      </c>
      <c r="S40" s="17">
        <v>10.576000000000001</v>
      </c>
    </row>
    <row r="41" spans="1:19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3.8894464000000002</v>
      </c>
      <c r="I41" s="17">
        <v>5.44522496</v>
      </c>
      <c r="J41" s="17">
        <v>6.223114240000001</v>
      </c>
      <c r="K41" s="17">
        <v>5.8341696000000001</v>
      </c>
      <c r="L41" s="17">
        <v>8.1678374399999996</v>
      </c>
      <c r="M41" s="17">
        <v>9.3346713599999998</v>
      </c>
      <c r="N41" s="17">
        <v>4.2783910399999998</v>
      </c>
      <c r="O41" s="17">
        <v>5.9897474559999999</v>
      </c>
      <c r="P41" s="17">
        <v>6.8454256640000004</v>
      </c>
      <c r="Q41" s="17">
        <v>5.4452249600000009</v>
      </c>
      <c r="R41" s="17">
        <v>7.6233149439999996</v>
      </c>
      <c r="S41" s="17">
        <v>8.7123599360000021</v>
      </c>
    </row>
    <row r="42" spans="1:19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0.60000000000000009</v>
      </c>
      <c r="I51" s="17">
        <v>0.83999999999999986</v>
      </c>
      <c r="J51" s="17">
        <v>0.96000000000000019</v>
      </c>
      <c r="K51" s="17">
        <v>0.5</v>
      </c>
      <c r="L51" s="17">
        <v>0.70000000000000007</v>
      </c>
      <c r="M51" s="17">
        <v>0.8</v>
      </c>
      <c r="N51" s="17">
        <v>0.5</v>
      </c>
      <c r="O51" s="17">
        <v>0.70000000000000007</v>
      </c>
      <c r="P51" s="17">
        <v>0.8</v>
      </c>
      <c r="Q51" s="17">
        <v>0.5</v>
      </c>
      <c r="R51" s="17">
        <v>0.70000000000000007</v>
      </c>
      <c r="S51" s="17">
        <v>0.8</v>
      </c>
    </row>
    <row r="52" spans="1:19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0.5</v>
      </c>
      <c r="I52" s="17">
        <v>0.70000000000000007</v>
      </c>
      <c r="J52" s="17">
        <v>0.8</v>
      </c>
      <c r="K52" s="17">
        <v>0.5</v>
      </c>
      <c r="L52" s="17">
        <v>0.70000000000000007</v>
      </c>
      <c r="M52" s="17">
        <v>0.8</v>
      </c>
      <c r="N52" s="17">
        <v>0.5</v>
      </c>
      <c r="O52" s="17">
        <v>0.70000000000000007</v>
      </c>
      <c r="P52" s="17">
        <v>0.8</v>
      </c>
      <c r="Q52" s="17">
        <v>0.5</v>
      </c>
      <c r="R52" s="17">
        <v>0.70000000000000007</v>
      </c>
      <c r="S52" s="17">
        <v>0.8</v>
      </c>
    </row>
    <row r="53" spans="1:19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0.8</v>
      </c>
      <c r="I53" s="17">
        <v>1.1199999999999999</v>
      </c>
      <c r="J53" s="17">
        <v>1.2800000000000002</v>
      </c>
      <c r="K53" s="17">
        <v>0.8</v>
      </c>
      <c r="L53" s="17">
        <v>1.1199999999999999</v>
      </c>
      <c r="M53" s="17">
        <v>1.2800000000000002</v>
      </c>
      <c r="N53" s="17">
        <v>0.8</v>
      </c>
      <c r="O53" s="17">
        <v>1.1199999999999999</v>
      </c>
      <c r="P53" s="17">
        <v>1.2800000000000002</v>
      </c>
      <c r="Q53" s="17">
        <v>0.8</v>
      </c>
      <c r="R53" s="17">
        <v>1.1199999999999999</v>
      </c>
      <c r="S53" s="17">
        <v>1.2800000000000002</v>
      </c>
    </row>
    <row r="54" spans="1:19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3.5</v>
      </c>
      <c r="I54" s="17">
        <v>4.9000000000000004</v>
      </c>
      <c r="J54" s="17">
        <v>5.6000000000000005</v>
      </c>
      <c r="K54" s="17">
        <v>3.5</v>
      </c>
      <c r="L54" s="17">
        <v>4.9000000000000004</v>
      </c>
      <c r="M54" s="17">
        <v>5.6000000000000005</v>
      </c>
      <c r="N54" s="17">
        <v>8.5</v>
      </c>
      <c r="O54" s="17">
        <v>11.899999999999999</v>
      </c>
      <c r="P54" s="17">
        <v>13.600000000000001</v>
      </c>
      <c r="Q54" s="17">
        <v>8.5</v>
      </c>
      <c r="R54" s="17">
        <v>11.899999999999999</v>
      </c>
      <c r="S54" s="17">
        <v>13.600000000000001</v>
      </c>
    </row>
    <row r="55" spans="1:19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1.75</v>
      </c>
      <c r="I55" s="17">
        <v>2.4500000000000002</v>
      </c>
      <c r="J55" s="17">
        <v>2.8000000000000003</v>
      </c>
      <c r="K55" s="17">
        <v>1.75</v>
      </c>
      <c r="L55" s="17">
        <v>2.4500000000000002</v>
      </c>
      <c r="M55" s="17">
        <v>2.8000000000000003</v>
      </c>
      <c r="N55" s="17">
        <v>1.75</v>
      </c>
      <c r="O55" s="17">
        <v>2.4500000000000002</v>
      </c>
      <c r="P55" s="17">
        <v>2.8000000000000003</v>
      </c>
      <c r="Q55" s="17">
        <v>1.75</v>
      </c>
      <c r="R55" s="17">
        <v>2.4500000000000002</v>
      </c>
      <c r="S55" s="17">
        <v>2.8000000000000003</v>
      </c>
    </row>
    <row r="56" spans="1:19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0.1</v>
      </c>
      <c r="I56" s="17">
        <v>0.13999999999999999</v>
      </c>
      <c r="J56" s="17">
        <v>0.16000000000000003</v>
      </c>
      <c r="K56" s="17">
        <v>0.1</v>
      </c>
      <c r="L56" s="17">
        <v>0.13999999999999999</v>
      </c>
      <c r="M56" s="17">
        <v>0.16000000000000003</v>
      </c>
      <c r="N56" s="17">
        <v>0.1</v>
      </c>
      <c r="O56" s="17">
        <v>0.13999999999999999</v>
      </c>
      <c r="P56" s="17">
        <v>0.16000000000000003</v>
      </c>
      <c r="Q56" s="17">
        <v>0.1</v>
      </c>
      <c r="R56" s="17">
        <v>0.13999999999999999</v>
      </c>
      <c r="S56" s="17">
        <v>0.16000000000000003</v>
      </c>
    </row>
    <row r="57" spans="1:19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0.5</v>
      </c>
      <c r="L57" s="17">
        <v>0.70000000000000007</v>
      </c>
      <c r="M57" s="17">
        <v>0.8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0.5</v>
      </c>
      <c r="L58" s="17">
        <v>0.70000000000000007</v>
      </c>
      <c r="M58" s="17">
        <v>0.8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29.13233861047836</v>
      </c>
      <c r="I65" s="17">
        <v>29.13233861047836</v>
      </c>
      <c r="J65" s="17">
        <v>29.13233861047836</v>
      </c>
      <c r="K65" s="17">
        <v>29.13233861047836</v>
      </c>
      <c r="L65" s="17">
        <v>29.13233861047836</v>
      </c>
      <c r="M65" s="17">
        <v>29.13233861047836</v>
      </c>
      <c r="N65" s="17">
        <v>29.13233861047836</v>
      </c>
      <c r="O65" s="17">
        <v>29.13233861047836</v>
      </c>
      <c r="P65" s="17">
        <v>29.13233861047836</v>
      </c>
      <c r="Q65" s="17">
        <v>29.13233861047836</v>
      </c>
      <c r="R65" s="17">
        <v>29.13233861047836</v>
      </c>
      <c r="S65" s="17">
        <v>29.13233861047836</v>
      </c>
    </row>
    <row r="66" spans="1:19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26.06666666666667</v>
      </c>
      <c r="I66" s="17">
        <v>26.06666666666667</v>
      </c>
      <c r="J66" s="17">
        <v>26.06666666666667</v>
      </c>
      <c r="K66" s="17">
        <v>52.13333333333334</v>
      </c>
      <c r="L66" s="17">
        <v>52.13333333333334</v>
      </c>
      <c r="M66" s="17">
        <v>52.13333333333334</v>
      </c>
      <c r="N66" s="17">
        <v>78.2</v>
      </c>
      <c r="O66" s="17">
        <v>78.2</v>
      </c>
      <c r="P66" s="17">
        <v>78.2</v>
      </c>
      <c r="Q66" s="17">
        <v>104.26666666666668</v>
      </c>
      <c r="R66" s="17">
        <v>104.26666666666668</v>
      </c>
      <c r="S66" s="17">
        <v>104.26666666666668</v>
      </c>
    </row>
    <row r="67" spans="1:19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conditionalFormatting sqref="A1:B1 I1:S1 E1:G1">
    <cfRule type="duplicateValues" dxfId="71" priority="2"/>
  </conditionalFormatting>
  <conditionalFormatting sqref="B51:B73 B2:B41">
    <cfRule type="duplicateValues" dxfId="70" priority="4"/>
  </conditionalFormatting>
  <conditionalFormatting sqref="B74:B76 B42:B50">
    <cfRule type="duplicateValues" dxfId="69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B28-A7B5-4E4C-8585-3D96209A0F3D}">
  <sheetPr codeName="Sheet3">
    <tabColor theme="3" tint="-0.249977111117893"/>
  </sheetPr>
  <dimension ref="A1:T76"/>
  <sheetViews>
    <sheetView topLeftCell="C1" workbookViewId="0">
      <selection activeCell="R2" sqref="R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8">
        <v>3.2921656686626752</v>
      </c>
      <c r="I2" s="18">
        <v>3.2921656686626752</v>
      </c>
      <c r="J2" s="18">
        <v>3.2921656686626752</v>
      </c>
      <c r="K2" s="18">
        <v>3.555538922155689</v>
      </c>
      <c r="L2" s="18">
        <v>3.555538922155689</v>
      </c>
      <c r="M2" s="18">
        <v>3.555538922155689</v>
      </c>
      <c r="N2" s="18">
        <v>3.028792415169661</v>
      </c>
      <c r="O2" s="18">
        <v>3.028792415169661</v>
      </c>
      <c r="P2" s="18">
        <v>3.028792415169661</v>
      </c>
      <c r="Q2" s="18">
        <v>3.2921656686626752</v>
      </c>
      <c r="R2" s="18">
        <v>3.2921656686626752</v>
      </c>
      <c r="S2" s="18">
        <v>3.2921656686626752</v>
      </c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8">
        <v>2.9191616766467066</v>
      </c>
      <c r="I3" s="18">
        <v>2.9191616766467066</v>
      </c>
      <c r="J3" s="18">
        <v>2.9191616766467066</v>
      </c>
      <c r="K3" s="18">
        <v>3.1526946107784437</v>
      </c>
      <c r="L3" s="18">
        <v>3.1526946107784437</v>
      </c>
      <c r="M3" s="18">
        <v>3.1526946107784437</v>
      </c>
      <c r="N3" s="18">
        <v>2.6856287425149699</v>
      </c>
      <c r="O3" s="18">
        <v>2.6856287425149699</v>
      </c>
      <c r="P3" s="18">
        <v>2.6856287425149699</v>
      </c>
      <c r="Q3" s="18">
        <v>2.9191616766467066</v>
      </c>
      <c r="R3" s="18">
        <v>2.9191616766467066</v>
      </c>
      <c r="S3" s="18">
        <v>2.9191616766467066</v>
      </c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8">
        <v>2.2000000000000002</v>
      </c>
      <c r="I4" s="18">
        <v>2.2000000000000002</v>
      </c>
      <c r="J4" s="18">
        <v>2.2000000000000002</v>
      </c>
      <c r="K4" s="18">
        <v>2.2999999999999998</v>
      </c>
      <c r="L4" s="18">
        <v>2.2999999999999998</v>
      </c>
      <c r="M4" s="18">
        <v>2.2999999999999998</v>
      </c>
      <c r="N4" s="18">
        <v>2</v>
      </c>
      <c r="O4" s="18">
        <v>2</v>
      </c>
      <c r="P4" s="18">
        <v>2</v>
      </c>
      <c r="Q4" s="18">
        <v>2.2000000000000002</v>
      </c>
      <c r="R4" s="18">
        <v>2.2000000000000002</v>
      </c>
      <c r="S4" s="18">
        <v>2.2000000000000002</v>
      </c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8">
        <v>1.7212242182302064</v>
      </c>
      <c r="I5" s="18">
        <v>1.7212242182302064</v>
      </c>
      <c r="J5" s="18">
        <v>1.7212242182302064</v>
      </c>
      <c r="K5" s="18">
        <v>1.8589221556886228</v>
      </c>
      <c r="L5" s="18">
        <v>1.8589221556886228</v>
      </c>
      <c r="M5" s="18">
        <v>1.8589221556886228</v>
      </c>
      <c r="N5" s="18">
        <v>1.5835262807717898</v>
      </c>
      <c r="O5" s="18">
        <v>1.5835262807717898</v>
      </c>
      <c r="P5" s="18">
        <v>1.5835262807717898</v>
      </c>
      <c r="Q5" s="18">
        <v>1.7212242182302064</v>
      </c>
      <c r="R5" s="18">
        <v>1.7212242182302064</v>
      </c>
      <c r="S5" s="18">
        <v>1.7212242182302064</v>
      </c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8">
        <v>2.5484744796122043</v>
      </c>
      <c r="I6" s="18">
        <v>2.5484744796122043</v>
      </c>
      <c r="J6" s="18">
        <v>2.5484744796122043</v>
      </c>
      <c r="K6" s="18">
        <v>2.7523524379811812</v>
      </c>
      <c r="L6" s="18">
        <v>2.7523524379811812</v>
      </c>
      <c r="M6" s="18">
        <v>2.7523524379811812</v>
      </c>
      <c r="N6" s="18">
        <v>2.3445965212432278</v>
      </c>
      <c r="O6" s="18">
        <v>2.3445965212432278</v>
      </c>
      <c r="P6" s="18">
        <v>2.3445965212432278</v>
      </c>
      <c r="Q6" s="18">
        <v>2.5484744796122043</v>
      </c>
      <c r="R6" s="18">
        <v>2.5484744796122043</v>
      </c>
      <c r="S6" s="18">
        <v>2.5484744796122043</v>
      </c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8">
        <v>1.9461077844311379</v>
      </c>
      <c r="I7" s="18">
        <v>1.9461077844311379</v>
      </c>
      <c r="J7" s="18">
        <v>1.9461077844311379</v>
      </c>
      <c r="K7" s="18">
        <v>2.1017964071856285</v>
      </c>
      <c r="L7" s="18">
        <v>2.1017964071856285</v>
      </c>
      <c r="M7" s="18">
        <v>2.1017964071856285</v>
      </c>
      <c r="N7" s="18">
        <v>1.7904191616766465</v>
      </c>
      <c r="O7" s="18">
        <v>1.7904191616766465</v>
      </c>
      <c r="P7" s="18">
        <v>1.7904191616766465</v>
      </c>
      <c r="Q7" s="18">
        <v>1.9461077844311379</v>
      </c>
      <c r="R7" s="18">
        <v>1.9461077844311379</v>
      </c>
      <c r="S7" s="18">
        <v>1.9461077844311379</v>
      </c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8">
        <v>2.5948103792415171</v>
      </c>
      <c r="I8" s="18">
        <v>2.5948103792415171</v>
      </c>
      <c r="J8" s="18">
        <v>2.5948103792415171</v>
      </c>
      <c r="K8" s="18">
        <v>2.8023952095808387</v>
      </c>
      <c r="L8" s="18">
        <v>2.8023952095808387</v>
      </c>
      <c r="M8" s="18">
        <v>2.8023952095808387</v>
      </c>
      <c r="N8" s="18">
        <v>2.3872255489021961</v>
      </c>
      <c r="O8" s="18">
        <v>2.3872255489021961</v>
      </c>
      <c r="P8" s="18">
        <v>2.3872255489021961</v>
      </c>
      <c r="Q8" s="18">
        <v>2.5948103792415171</v>
      </c>
      <c r="R8" s="18">
        <v>2.5948103792415171</v>
      </c>
      <c r="S8" s="18">
        <v>2.5948103792415171</v>
      </c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8">
        <v>1.9461077844311379</v>
      </c>
      <c r="I9" s="18">
        <v>1.9461077844311379</v>
      </c>
      <c r="J9" s="18">
        <v>1.9461077844311379</v>
      </c>
      <c r="K9" s="18">
        <v>2.1017964071856294</v>
      </c>
      <c r="L9" s="18">
        <v>2.1017964071856294</v>
      </c>
      <c r="M9" s="18">
        <v>2.1017964071856294</v>
      </c>
      <c r="N9" s="18">
        <v>1.7904191616766469</v>
      </c>
      <c r="O9" s="18">
        <v>1.7904191616766469</v>
      </c>
      <c r="P9" s="18">
        <v>1.7904191616766469</v>
      </c>
      <c r="Q9" s="18">
        <v>1.9461077844311379</v>
      </c>
      <c r="R9" s="18">
        <v>1.9461077844311379</v>
      </c>
      <c r="S9" s="18">
        <v>1.9461077844311379</v>
      </c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8">
        <v>3.0575141939216626</v>
      </c>
      <c r="I10" s="18">
        <v>3.0575141939216626</v>
      </c>
      <c r="J10" s="18">
        <v>3.0575141939216626</v>
      </c>
      <c r="K10" s="18">
        <v>3.3763797705793226</v>
      </c>
      <c r="L10" s="18">
        <v>3.3763797705793226</v>
      </c>
      <c r="M10" s="18">
        <v>3.3763797705793226</v>
      </c>
      <c r="N10" s="18">
        <v>2.984031936127745</v>
      </c>
      <c r="O10" s="18">
        <v>2.984031936127745</v>
      </c>
      <c r="P10" s="18">
        <v>2.984031936127745</v>
      </c>
      <c r="Q10" s="18">
        <v>3.2435129740518964</v>
      </c>
      <c r="R10" s="18">
        <v>3.2435129740518964</v>
      </c>
      <c r="S10" s="18">
        <v>3.2435129740518964</v>
      </c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8">
        <v>3.1767892785856859</v>
      </c>
      <c r="I11" s="18">
        <v>3.1767892785856859</v>
      </c>
      <c r="J11" s="18">
        <v>3.1767892785856859</v>
      </c>
      <c r="K11" s="18">
        <v>3.4309324208725407</v>
      </c>
      <c r="L11" s="18">
        <v>3.4309324208725407</v>
      </c>
      <c r="M11" s="18">
        <v>3.4309324208725407</v>
      </c>
      <c r="N11" s="18">
        <v>2.9226461362988312</v>
      </c>
      <c r="O11" s="18">
        <v>2.9226461362988312</v>
      </c>
      <c r="P11" s="18">
        <v>2.9226461362988312</v>
      </c>
      <c r="Q11" s="18">
        <v>3.1767892785856859</v>
      </c>
      <c r="R11" s="18">
        <v>3.1767892785856859</v>
      </c>
      <c r="S11" s="18">
        <v>3.1767892785856859</v>
      </c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8">
        <v>3.4844596521243232</v>
      </c>
      <c r="I12" s="18">
        <v>3.4844596521243232</v>
      </c>
      <c r="J12" s="18">
        <v>3.4844596521243232</v>
      </c>
      <c r="K12" s="18">
        <v>3.2928143712574851</v>
      </c>
      <c r="L12" s="18">
        <v>3.2928143712574851</v>
      </c>
      <c r="M12" s="18">
        <v>3.2928143712574851</v>
      </c>
      <c r="N12" s="18">
        <v>2.8049900199600799</v>
      </c>
      <c r="O12" s="18">
        <v>2.8049900199600799</v>
      </c>
      <c r="P12" s="18">
        <v>2.8049900199600799</v>
      </c>
      <c r="Q12" s="18">
        <v>3.0489021956087825</v>
      </c>
      <c r="R12" s="18">
        <v>3.0489021956087825</v>
      </c>
      <c r="S12" s="18">
        <v>3.0489021956087825</v>
      </c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8">
        <v>1.6217564870259482</v>
      </c>
      <c r="I13" s="18">
        <v>1.6217564870259482</v>
      </c>
      <c r="J13" s="18">
        <v>1.6217564870259482</v>
      </c>
      <c r="K13" s="18">
        <v>1.7514970059880242</v>
      </c>
      <c r="L13" s="18">
        <v>1.7514970059880242</v>
      </c>
      <c r="M13" s="18">
        <v>1.7514970059880242</v>
      </c>
      <c r="N13" s="18">
        <v>1.4920159680638725</v>
      </c>
      <c r="O13" s="18">
        <v>1.4920159680638725</v>
      </c>
      <c r="P13" s="18">
        <v>1.4920159680638725</v>
      </c>
      <c r="Q13" s="18">
        <v>1.6217564870259482</v>
      </c>
      <c r="R13" s="18">
        <v>1.6217564870259482</v>
      </c>
      <c r="S13" s="18">
        <v>1.6217564870259482</v>
      </c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8">
        <v>2.0530367835757062</v>
      </c>
      <c r="I14" s="18">
        <v>2.0530367835757062</v>
      </c>
      <c r="J14" s="18">
        <v>2.0530367835757062</v>
      </c>
      <c r="K14" s="18">
        <v>2.2419161676646713</v>
      </c>
      <c r="L14" s="18">
        <v>2.2419161676646713</v>
      </c>
      <c r="M14" s="18">
        <v>2.2419161676646713</v>
      </c>
      <c r="N14" s="18">
        <v>1.9097804391217565</v>
      </c>
      <c r="O14" s="18">
        <v>1.9097804391217565</v>
      </c>
      <c r="P14" s="18">
        <v>1.9097804391217565</v>
      </c>
      <c r="Q14" s="18">
        <v>2.0758483033932138</v>
      </c>
      <c r="R14" s="18">
        <v>2.0758483033932138</v>
      </c>
      <c r="S14" s="18">
        <v>2.0758483033932138</v>
      </c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8">
        <v>2.2653106485441814</v>
      </c>
      <c r="I15" s="18">
        <v>2.2653106485441814</v>
      </c>
      <c r="J15" s="18">
        <v>2.2653106485441814</v>
      </c>
      <c r="K15" s="18">
        <v>2.4465355004277161</v>
      </c>
      <c r="L15" s="18">
        <v>2.4465355004277161</v>
      </c>
      <c r="M15" s="18">
        <v>2.4465355004277161</v>
      </c>
      <c r="N15" s="18">
        <v>2.0840857966606472</v>
      </c>
      <c r="O15" s="18">
        <v>2.0840857966606472</v>
      </c>
      <c r="P15" s="18">
        <v>2.0840857966606472</v>
      </c>
      <c r="Q15" s="18">
        <v>2.2653106485441814</v>
      </c>
      <c r="R15" s="18">
        <v>2.2653106485441814</v>
      </c>
      <c r="S15" s="18">
        <v>2.2653106485441814</v>
      </c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8">
        <v>1.3622754491017968</v>
      </c>
      <c r="I16" s="18">
        <v>1.3622754491017968</v>
      </c>
      <c r="J16" s="18">
        <v>1.3622754491017968</v>
      </c>
      <c r="K16" s="18">
        <v>1.4712574850299405</v>
      </c>
      <c r="L16" s="18">
        <v>1.4712574850299405</v>
      </c>
      <c r="M16" s="18">
        <v>1.4712574850299405</v>
      </c>
      <c r="N16" s="18">
        <v>1.2532934131736528</v>
      </c>
      <c r="O16" s="18">
        <v>1.2532934131736528</v>
      </c>
      <c r="P16" s="18">
        <v>1.2532934131736528</v>
      </c>
      <c r="Q16" s="18">
        <v>1.3622754491017968</v>
      </c>
      <c r="R16" s="18">
        <v>1.3622754491017968</v>
      </c>
      <c r="S16" s="18">
        <v>1.3622754491017968</v>
      </c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8">
        <v>3.1845400108873165</v>
      </c>
      <c r="I17" s="18">
        <v>3.1845400108873165</v>
      </c>
      <c r="J17" s="18">
        <v>3.1845400108873165</v>
      </c>
      <c r="K17" s="18">
        <v>3.4393032117583018</v>
      </c>
      <c r="L17" s="18">
        <v>3.4393032117583018</v>
      </c>
      <c r="M17" s="18">
        <v>3.4393032117583018</v>
      </c>
      <c r="N17" s="18">
        <v>2.9297768100163317</v>
      </c>
      <c r="O17" s="18">
        <v>2.9297768100163317</v>
      </c>
      <c r="P17" s="18">
        <v>2.9297768100163317</v>
      </c>
      <c r="Q17" s="18">
        <v>3.1845400108873165</v>
      </c>
      <c r="R17" s="18">
        <v>3.1845400108873165</v>
      </c>
      <c r="S17" s="18">
        <v>3.1845400108873165</v>
      </c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8">
        <v>2.2000000000000002</v>
      </c>
      <c r="I18" s="18">
        <v>2.2000000000000002</v>
      </c>
      <c r="J18" s="18">
        <v>2.2000000000000002</v>
      </c>
      <c r="K18" s="18">
        <v>2.2999999999999998</v>
      </c>
      <c r="L18" s="18">
        <v>2.2999999999999998</v>
      </c>
      <c r="M18" s="18">
        <v>2.2999999999999998</v>
      </c>
      <c r="N18" s="18">
        <v>2</v>
      </c>
      <c r="O18" s="18">
        <v>2</v>
      </c>
      <c r="P18" s="18">
        <v>2</v>
      </c>
      <c r="Q18" s="18">
        <v>2.2000000000000002</v>
      </c>
      <c r="R18" s="18">
        <v>2.2000000000000002</v>
      </c>
      <c r="S18" s="18">
        <v>2.2000000000000002</v>
      </c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8">
        <v>1.9352960745176313</v>
      </c>
      <c r="I19" s="18">
        <v>1.9352960745176313</v>
      </c>
      <c r="J19" s="18">
        <v>1.9352960745176313</v>
      </c>
      <c r="K19" s="18">
        <v>2.090119760479042</v>
      </c>
      <c r="L19" s="18">
        <v>2.090119760479042</v>
      </c>
      <c r="M19" s="18">
        <v>2.090119760479042</v>
      </c>
      <c r="N19" s="18">
        <v>1.780472388556221</v>
      </c>
      <c r="O19" s="18">
        <v>1.780472388556221</v>
      </c>
      <c r="P19" s="18">
        <v>1.780472388556221</v>
      </c>
      <c r="Q19" s="18">
        <v>1.9352960745176313</v>
      </c>
      <c r="R19" s="18">
        <v>1.9352960745176313</v>
      </c>
      <c r="S19" s="18">
        <v>1.9352960745176313</v>
      </c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8">
        <v>1.7514970059880242</v>
      </c>
      <c r="I20" s="18">
        <v>1.7514970059880242</v>
      </c>
      <c r="J20" s="18">
        <v>1.7514970059880242</v>
      </c>
      <c r="K20" s="18">
        <v>1.8916167664670662</v>
      </c>
      <c r="L20" s="18">
        <v>1.8916167664670662</v>
      </c>
      <c r="M20" s="18">
        <v>1.8916167664670662</v>
      </c>
      <c r="N20" s="18">
        <v>1.6113772455089823</v>
      </c>
      <c r="O20" s="18">
        <v>1.6113772455089823</v>
      </c>
      <c r="P20" s="18">
        <v>1.6113772455089823</v>
      </c>
      <c r="Q20" s="18">
        <v>1.7514970059880242</v>
      </c>
      <c r="R20" s="18">
        <v>1.7514970059880242</v>
      </c>
      <c r="S20" s="18">
        <v>1.7514970059880242</v>
      </c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8">
        <v>1.8731287425149703</v>
      </c>
      <c r="I21" s="18">
        <v>1.8731287425149703</v>
      </c>
      <c r="J21" s="18">
        <v>1.8731287425149703</v>
      </c>
      <c r="K21" s="18">
        <v>2.0229790419161677</v>
      </c>
      <c r="L21" s="18">
        <v>2.0229790419161677</v>
      </c>
      <c r="M21" s="18">
        <v>2.0229790419161677</v>
      </c>
      <c r="N21" s="18">
        <v>1.7232784431137727</v>
      </c>
      <c r="O21" s="18">
        <v>1.7232784431137727</v>
      </c>
      <c r="P21" s="18">
        <v>1.7232784431137727</v>
      </c>
      <c r="Q21" s="18">
        <v>1.8731287425149703</v>
      </c>
      <c r="R21" s="18">
        <v>1.8731287425149703</v>
      </c>
      <c r="S21" s="18">
        <v>1.8731287425149703</v>
      </c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8">
        <v>3.4930139720558886</v>
      </c>
      <c r="I22" s="18">
        <v>3.4930139720558886</v>
      </c>
      <c r="J22" s="18">
        <v>3.4930139720558886</v>
      </c>
      <c r="K22" s="18">
        <v>3.7724550898203595</v>
      </c>
      <c r="L22" s="18">
        <v>3.7724550898203595</v>
      </c>
      <c r="M22" s="18">
        <v>3.7724550898203595</v>
      </c>
      <c r="N22" s="18">
        <v>3.2135728542914173</v>
      </c>
      <c r="O22" s="18">
        <v>3.2135728542914173</v>
      </c>
      <c r="P22" s="18">
        <v>3.2135728542914173</v>
      </c>
      <c r="Q22" s="18">
        <v>3.4930139720558886</v>
      </c>
      <c r="R22" s="18">
        <v>3.4930139720558886</v>
      </c>
      <c r="S22" s="18">
        <v>3.4930139720558886</v>
      </c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8">
        <v>1.9461077844311379</v>
      </c>
      <c r="I23" s="18">
        <v>1.9461077844311379</v>
      </c>
      <c r="J23" s="18">
        <v>1.9461077844311379</v>
      </c>
      <c r="K23" s="18">
        <v>2.1017964071856294</v>
      </c>
      <c r="L23" s="18">
        <v>2.1017964071856294</v>
      </c>
      <c r="M23" s="18">
        <v>2.1017964071856294</v>
      </c>
      <c r="N23" s="18">
        <v>1.7904191616766469</v>
      </c>
      <c r="O23" s="18">
        <v>1.7904191616766469</v>
      </c>
      <c r="P23" s="18">
        <v>1.7904191616766469</v>
      </c>
      <c r="Q23" s="18">
        <v>1.9461077844311379</v>
      </c>
      <c r="R23" s="18">
        <v>1.9461077844311379</v>
      </c>
      <c r="S23" s="18">
        <v>1.9461077844311379</v>
      </c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8">
        <v>1.8</v>
      </c>
      <c r="I24" s="18">
        <v>1.8</v>
      </c>
      <c r="J24" s="18">
        <v>1.8</v>
      </c>
      <c r="K24" s="18">
        <v>1.8</v>
      </c>
      <c r="L24" s="18">
        <v>1.8</v>
      </c>
      <c r="M24" s="18">
        <v>1.8</v>
      </c>
      <c r="N24" s="18">
        <v>1.8</v>
      </c>
      <c r="O24" s="18">
        <v>1.8</v>
      </c>
      <c r="P24" s="18">
        <v>1.8</v>
      </c>
      <c r="Q24" s="18">
        <v>1.8</v>
      </c>
      <c r="R24" s="18">
        <v>1.8</v>
      </c>
      <c r="S24" s="18">
        <v>1.8</v>
      </c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8">
        <v>2.4866932801064539</v>
      </c>
      <c r="I25" s="18">
        <v>2.4866932801064539</v>
      </c>
      <c r="J25" s="18">
        <v>2.4866932801064539</v>
      </c>
      <c r="K25" s="18">
        <v>2.6856287425149699</v>
      </c>
      <c r="L25" s="18">
        <v>2.6856287425149699</v>
      </c>
      <c r="M25" s="18">
        <v>2.6856287425149699</v>
      </c>
      <c r="N25" s="18">
        <v>2.2877578176979378</v>
      </c>
      <c r="O25" s="18">
        <v>2.2877578176979378</v>
      </c>
      <c r="P25" s="18">
        <v>2.2877578176979378</v>
      </c>
      <c r="Q25" s="18">
        <v>2.4866932801064539</v>
      </c>
      <c r="R25" s="18">
        <v>2.4866932801064539</v>
      </c>
      <c r="S25" s="18">
        <v>2.4866932801064539</v>
      </c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8">
        <v>1.6866267465069862</v>
      </c>
      <c r="I26" s="18">
        <v>1.6866267465069862</v>
      </c>
      <c r="J26" s="18">
        <v>1.6866267465069862</v>
      </c>
      <c r="K26" s="18">
        <v>1.8215568862275451</v>
      </c>
      <c r="L26" s="18">
        <v>1.8215568862275451</v>
      </c>
      <c r="M26" s="18">
        <v>1.8215568862275451</v>
      </c>
      <c r="N26" s="18">
        <v>1.5516966067864275</v>
      </c>
      <c r="O26" s="18">
        <v>1.5516966067864275</v>
      </c>
      <c r="P26" s="18">
        <v>1.5516966067864275</v>
      </c>
      <c r="Q26" s="18">
        <v>1.6866267465069862</v>
      </c>
      <c r="R26" s="18">
        <v>1.6866267465069862</v>
      </c>
      <c r="S26" s="18">
        <v>1.6866267465069862</v>
      </c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8">
        <v>1.7691888949373979</v>
      </c>
      <c r="I27" s="18">
        <v>1.7691888949373979</v>
      </c>
      <c r="J27" s="18">
        <v>1.7691888949373979</v>
      </c>
      <c r="K27" s="18">
        <v>1.9107240065323901</v>
      </c>
      <c r="L27" s="18">
        <v>1.9107240065323901</v>
      </c>
      <c r="M27" s="18">
        <v>1.9107240065323901</v>
      </c>
      <c r="N27" s="18">
        <v>1.6276537833424061</v>
      </c>
      <c r="O27" s="18">
        <v>1.6276537833424061</v>
      </c>
      <c r="P27" s="18">
        <v>1.6276537833424061</v>
      </c>
      <c r="Q27" s="18">
        <v>1.7691888949373979</v>
      </c>
      <c r="R27" s="18">
        <v>1.7691888949373979</v>
      </c>
      <c r="S27" s="18">
        <v>1.7691888949373979</v>
      </c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8">
        <v>1.4271457085828343</v>
      </c>
      <c r="I28" s="18">
        <v>1.4271457085828343</v>
      </c>
      <c r="J28" s="18">
        <v>1.4271457085828343</v>
      </c>
      <c r="K28" s="18">
        <v>1.5413173652694612</v>
      </c>
      <c r="L28" s="18">
        <v>1.5413173652694612</v>
      </c>
      <c r="M28" s="18">
        <v>1.5413173652694612</v>
      </c>
      <c r="N28" s="18">
        <v>1.3129740518962081</v>
      </c>
      <c r="O28" s="18">
        <v>1.3129740518962081</v>
      </c>
      <c r="P28" s="18">
        <v>1.3129740518962081</v>
      </c>
      <c r="Q28" s="18">
        <v>1.4271457085828343</v>
      </c>
      <c r="R28" s="18">
        <v>1.4271457085828343</v>
      </c>
      <c r="S28" s="18">
        <v>1.4271457085828343</v>
      </c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8">
        <v>1.0379241516966069</v>
      </c>
      <c r="I29" s="18">
        <v>1.0379241516966069</v>
      </c>
      <c r="J29" s="18">
        <v>1.0379241516966069</v>
      </c>
      <c r="K29" s="18">
        <v>1.1209580838323356</v>
      </c>
      <c r="L29" s="18">
        <v>1.1209580838323356</v>
      </c>
      <c r="M29" s="18">
        <v>1.1209580838323356</v>
      </c>
      <c r="N29" s="18">
        <v>0.95489021956087827</v>
      </c>
      <c r="O29" s="18">
        <v>0.95489021956087827</v>
      </c>
      <c r="P29" s="18">
        <v>0.95489021956087827</v>
      </c>
      <c r="Q29" s="18">
        <v>1.0379241516966069</v>
      </c>
      <c r="R29" s="18">
        <v>1.0379241516966069</v>
      </c>
      <c r="S29" s="18">
        <v>1.0379241516966069</v>
      </c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8">
        <v>2.5948103792415171</v>
      </c>
      <c r="I30" s="18">
        <v>2.5948103792415171</v>
      </c>
      <c r="J30" s="18">
        <v>2.5948103792415171</v>
      </c>
      <c r="K30" s="18">
        <v>2.8023952095808391</v>
      </c>
      <c r="L30" s="18">
        <v>2.8023952095808391</v>
      </c>
      <c r="M30" s="18">
        <v>2.8023952095808391</v>
      </c>
      <c r="N30" s="18">
        <v>2.3872255489021961</v>
      </c>
      <c r="O30" s="18">
        <v>2.3872255489021961</v>
      </c>
      <c r="P30" s="18">
        <v>2.3872255489021961</v>
      </c>
      <c r="Q30" s="18">
        <v>2.5948103792415171</v>
      </c>
      <c r="R30" s="18">
        <v>2.5948103792415171</v>
      </c>
      <c r="S30" s="18">
        <v>2.5948103792415171</v>
      </c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8">
        <v>1.8871348212665577</v>
      </c>
      <c r="I31" s="18">
        <v>1.8871348212665577</v>
      </c>
      <c r="J31" s="18">
        <v>1.8871348212665577</v>
      </c>
      <c r="K31" s="18">
        <v>2.0381056069678829</v>
      </c>
      <c r="L31" s="18">
        <v>2.0381056069678829</v>
      </c>
      <c r="M31" s="18">
        <v>2.0381056069678829</v>
      </c>
      <c r="N31" s="18">
        <v>1.7361640355652337</v>
      </c>
      <c r="O31" s="18">
        <v>1.7361640355652337</v>
      </c>
      <c r="P31" s="18">
        <v>1.7361640355652337</v>
      </c>
      <c r="Q31" s="18">
        <v>1.8871348212665577</v>
      </c>
      <c r="R31" s="18">
        <v>1.8871348212665577</v>
      </c>
      <c r="S31" s="18">
        <v>1.8871348212665577</v>
      </c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8">
        <v>3.1137724550898209</v>
      </c>
      <c r="I32" s="18">
        <v>3.1137724550898209</v>
      </c>
      <c r="J32" s="18">
        <v>3.1137724550898209</v>
      </c>
      <c r="K32" s="18">
        <v>2.2419161676646713</v>
      </c>
      <c r="L32" s="18">
        <v>2.2419161676646713</v>
      </c>
      <c r="M32" s="18">
        <v>2.2419161676646713</v>
      </c>
      <c r="N32" s="18">
        <v>1.9097804391217565</v>
      </c>
      <c r="O32" s="18">
        <v>1.9097804391217565</v>
      </c>
      <c r="P32" s="18">
        <v>1.9097804391217565</v>
      </c>
      <c r="Q32" s="18">
        <v>2.0758483033932138</v>
      </c>
      <c r="R32" s="18">
        <v>2.0758483033932138</v>
      </c>
      <c r="S32" s="18">
        <v>2.0758483033932138</v>
      </c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8">
        <v>2.5948103792415171</v>
      </c>
      <c r="I33" s="18">
        <v>2.5948103792415171</v>
      </c>
      <c r="J33" s="18">
        <v>2.5948103792415171</v>
      </c>
      <c r="K33" s="18">
        <v>2.8023952095808387</v>
      </c>
      <c r="L33" s="18">
        <v>2.8023952095808387</v>
      </c>
      <c r="M33" s="18">
        <v>2.8023952095808387</v>
      </c>
      <c r="N33" s="18">
        <v>2.3872255489021956</v>
      </c>
      <c r="O33" s="18">
        <v>2.3872255489021956</v>
      </c>
      <c r="P33" s="18">
        <v>2.3872255489021956</v>
      </c>
      <c r="Q33" s="18">
        <v>2.5948103792415171</v>
      </c>
      <c r="R33" s="18">
        <v>2.5948103792415171</v>
      </c>
      <c r="S33" s="18">
        <v>2.5948103792415171</v>
      </c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8">
        <v>1.8</v>
      </c>
      <c r="I34" s="18">
        <v>1.8</v>
      </c>
      <c r="J34" s="18">
        <v>1.8</v>
      </c>
      <c r="K34" s="18">
        <v>1.8</v>
      </c>
      <c r="L34" s="18">
        <v>1.8</v>
      </c>
      <c r="M34" s="18">
        <v>1.8</v>
      </c>
      <c r="N34" s="18">
        <v>1.8</v>
      </c>
      <c r="O34" s="18">
        <v>1.8</v>
      </c>
      <c r="P34" s="18">
        <v>1.8</v>
      </c>
      <c r="Q34" s="18">
        <v>1.8</v>
      </c>
      <c r="R34" s="18">
        <v>1.8</v>
      </c>
      <c r="S34" s="18">
        <v>1.8</v>
      </c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8">
        <v>1.6217564870259482</v>
      </c>
      <c r="I35" s="18">
        <v>1.6217564870259482</v>
      </c>
      <c r="J35" s="18">
        <v>1.6217564870259482</v>
      </c>
      <c r="K35" s="18">
        <v>1.7514970059880242</v>
      </c>
      <c r="L35" s="18">
        <v>1.7514970059880242</v>
      </c>
      <c r="M35" s="18">
        <v>1.7514970059880242</v>
      </c>
      <c r="N35" s="18">
        <v>1.4920159680638725</v>
      </c>
      <c r="O35" s="18">
        <v>1.4920159680638725</v>
      </c>
      <c r="P35" s="18">
        <v>1.4920159680638725</v>
      </c>
      <c r="Q35" s="18">
        <v>1.6217564870259482</v>
      </c>
      <c r="R35" s="18">
        <v>1.6217564870259482</v>
      </c>
      <c r="S35" s="18">
        <v>1.6217564870259482</v>
      </c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8">
        <v>2.0758483033932138</v>
      </c>
      <c r="I36" s="18">
        <v>2.0758483033932138</v>
      </c>
      <c r="J36" s="18">
        <v>2.0758483033932138</v>
      </c>
      <c r="K36" s="18">
        <v>2.2419161676646713</v>
      </c>
      <c r="L36" s="18">
        <v>2.2419161676646713</v>
      </c>
      <c r="M36" s="18">
        <v>2.2419161676646713</v>
      </c>
      <c r="N36" s="18">
        <v>1.909780439121757</v>
      </c>
      <c r="O36" s="18">
        <v>1.909780439121757</v>
      </c>
      <c r="P36" s="18">
        <v>1.909780439121757</v>
      </c>
      <c r="Q36" s="18">
        <v>2.0758483033932138</v>
      </c>
      <c r="R36" s="18">
        <v>2.0758483033932138</v>
      </c>
      <c r="S36" s="18">
        <v>2.0758483033932138</v>
      </c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8">
        <v>1.9461077844311379</v>
      </c>
      <c r="I37" s="18">
        <v>1.9461077844311379</v>
      </c>
      <c r="J37" s="18">
        <v>1.9461077844311379</v>
      </c>
      <c r="K37" s="18">
        <v>2.1017964071856285</v>
      </c>
      <c r="L37" s="18">
        <v>2.1017964071856285</v>
      </c>
      <c r="M37" s="18">
        <v>2.1017964071856285</v>
      </c>
      <c r="N37" s="18">
        <v>1.7904191616766469</v>
      </c>
      <c r="O37" s="18">
        <v>1.7904191616766469</v>
      </c>
      <c r="P37" s="18">
        <v>1.7904191616766469</v>
      </c>
      <c r="Q37" s="18">
        <v>1.9461077844311379</v>
      </c>
      <c r="R37" s="18">
        <v>1.9461077844311379</v>
      </c>
      <c r="S37" s="18">
        <v>1.9461077844311379</v>
      </c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8">
        <v>1.9960079840319367</v>
      </c>
      <c r="I38" s="18">
        <v>1.9960079840319367</v>
      </c>
      <c r="J38" s="18">
        <v>1.9960079840319367</v>
      </c>
      <c r="K38" s="18">
        <v>2.1017964071856285</v>
      </c>
      <c r="L38" s="18">
        <v>2.1017964071856285</v>
      </c>
      <c r="M38" s="18">
        <v>2.1017964071856285</v>
      </c>
      <c r="N38" s="18">
        <v>1.7904191616766469</v>
      </c>
      <c r="O38" s="18">
        <v>1.7904191616766469</v>
      </c>
      <c r="P38" s="18">
        <v>1.7904191616766469</v>
      </c>
      <c r="Q38" s="18">
        <v>1.9461077844311379</v>
      </c>
      <c r="R38" s="18">
        <v>1.9461077844311379</v>
      </c>
      <c r="S38" s="18">
        <v>1.9461077844311379</v>
      </c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8">
        <v>1.6217564870259482</v>
      </c>
      <c r="I39" s="18">
        <v>1.6217564870259482</v>
      </c>
      <c r="J39" s="18">
        <v>1.6217564870259482</v>
      </c>
      <c r="K39" s="18">
        <v>1.7514970059880242</v>
      </c>
      <c r="L39" s="18">
        <v>1.7514970059880242</v>
      </c>
      <c r="M39" s="18">
        <v>1.7514970059880242</v>
      </c>
      <c r="N39" s="18">
        <v>1.4920159680638725</v>
      </c>
      <c r="O39" s="18">
        <v>1.4920159680638725</v>
      </c>
      <c r="P39" s="18">
        <v>1.4920159680638725</v>
      </c>
      <c r="Q39" s="18">
        <v>1.6217564870259482</v>
      </c>
      <c r="R39" s="18">
        <v>1.6217564870259482</v>
      </c>
      <c r="S39" s="18">
        <v>1.6217564870259482</v>
      </c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8">
        <v>1.7298735861610115</v>
      </c>
      <c r="I40" s="18">
        <v>1.7298735861610115</v>
      </c>
      <c r="J40" s="18">
        <v>1.7298735861610115</v>
      </c>
      <c r="K40" s="18">
        <v>1.8682634730538923</v>
      </c>
      <c r="L40" s="18">
        <v>1.8682634730538923</v>
      </c>
      <c r="M40" s="18">
        <v>1.8682634730538923</v>
      </c>
      <c r="N40" s="18">
        <v>1.5914836992681307</v>
      </c>
      <c r="O40" s="18">
        <v>1.5914836992681307</v>
      </c>
      <c r="P40" s="18">
        <v>1.5914836992681307</v>
      </c>
      <c r="Q40" s="18">
        <v>1.7298735861610115</v>
      </c>
      <c r="R40" s="18">
        <v>1.7298735861610115</v>
      </c>
      <c r="S40" s="18">
        <v>1.7298735861610115</v>
      </c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8">
        <v>3.2435129740518964</v>
      </c>
      <c r="I41" s="18">
        <v>3.2435129740518964</v>
      </c>
      <c r="J41" s="18">
        <v>3.2435129740518964</v>
      </c>
      <c r="K41" s="18">
        <v>3.5029940119760483</v>
      </c>
      <c r="L41" s="18">
        <v>3.5029940119760483</v>
      </c>
      <c r="M41" s="18">
        <v>3.5029940119760483</v>
      </c>
      <c r="N41" s="18">
        <v>2.2380239520958085</v>
      </c>
      <c r="O41" s="18">
        <v>2.2380239520958085</v>
      </c>
      <c r="P41" s="18">
        <v>2.2380239520958085</v>
      </c>
      <c r="Q41" s="18">
        <v>2.4326347305389224</v>
      </c>
      <c r="R41" s="18">
        <v>2.4326347305389224</v>
      </c>
      <c r="S41" s="18">
        <v>2.4326347305389224</v>
      </c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8">
        <v>2.2000000000000002</v>
      </c>
      <c r="I42" s="18">
        <v>2.2000000000000002</v>
      </c>
      <c r="J42" s="18">
        <v>2.2000000000000002</v>
      </c>
      <c r="K42" s="18">
        <v>2.2999999999999998</v>
      </c>
      <c r="L42" s="18">
        <v>2.2999999999999998</v>
      </c>
      <c r="M42" s="18">
        <v>2.2999999999999998</v>
      </c>
      <c r="N42" s="18">
        <v>2</v>
      </c>
      <c r="O42" s="18">
        <v>2</v>
      </c>
      <c r="P42" s="18">
        <v>2</v>
      </c>
      <c r="Q42" s="18">
        <v>2.2000000000000002</v>
      </c>
      <c r="R42" s="18">
        <v>2.2000000000000002</v>
      </c>
      <c r="S42" s="18">
        <v>2.2000000000000002</v>
      </c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8">
        <v>2.2000000000000002</v>
      </c>
      <c r="I43" s="18">
        <v>2.2000000000000002</v>
      </c>
      <c r="J43" s="18">
        <v>2.2000000000000002</v>
      </c>
      <c r="K43" s="18">
        <v>2.2999999999999998</v>
      </c>
      <c r="L43" s="18">
        <v>2.2999999999999998</v>
      </c>
      <c r="M43" s="18">
        <v>2.2999999999999998</v>
      </c>
      <c r="N43" s="18">
        <v>2</v>
      </c>
      <c r="O43" s="18">
        <v>2</v>
      </c>
      <c r="P43" s="18">
        <v>2</v>
      </c>
      <c r="Q43" s="18">
        <v>2.2000000000000002</v>
      </c>
      <c r="R43" s="18">
        <v>2.2000000000000002</v>
      </c>
      <c r="S43" s="18">
        <v>2.2000000000000002</v>
      </c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8">
        <v>2.2000000000000002</v>
      </c>
      <c r="I44" s="18">
        <v>2.2000000000000002</v>
      </c>
      <c r="J44" s="18">
        <v>2.2000000000000002</v>
      </c>
      <c r="K44" s="18">
        <v>2.2999999999999998</v>
      </c>
      <c r="L44" s="18">
        <v>2.2999999999999998</v>
      </c>
      <c r="M44" s="18">
        <v>2.2999999999999998</v>
      </c>
      <c r="N44" s="18">
        <v>2</v>
      </c>
      <c r="O44" s="18">
        <v>2</v>
      </c>
      <c r="P44" s="18">
        <v>2</v>
      </c>
      <c r="Q44" s="18">
        <v>2.2000000000000002</v>
      </c>
      <c r="R44" s="18">
        <v>2.2000000000000002</v>
      </c>
      <c r="S44" s="18">
        <v>2.2000000000000002</v>
      </c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8">
        <v>2.2000000000000002</v>
      </c>
      <c r="I45" s="18">
        <v>2.2000000000000002</v>
      </c>
      <c r="J45" s="18">
        <v>2.2000000000000002</v>
      </c>
      <c r="K45" s="18">
        <v>2.2999999999999998</v>
      </c>
      <c r="L45" s="18">
        <v>2.2999999999999998</v>
      </c>
      <c r="M45" s="18">
        <v>2.2999999999999998</v>
      </c>
      <c r="N45" s="18">
        <v>2</v>
      </c>
      <c r="O45" s="18">
        <v>2</v>
      </c>
      <c r="P45" s="18">
        <v>2</v>
      </c>
      <c r="Q45" s="18">
        <v>2.2000000000000002</v>
      </c>
      <c r="R45" s="18">
        <v>2.2000000000000002</v>
      </c>
      <c r="S45" s="18">
        <v>2.2000000000000002</v>
      </c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8">
        <v>2.2000000000000002</v>
      </c>
      <c r="I46" s="18">
        <v>2.2000000000000002</v>
      </c>
      <c r="J46" s="18">
        <v>2.2000000000000002</v>
      </c>
      <c r="K46" s="18">
        <v>2.2999999999999998</v>
      </c>
      <c r="L46" s="18">
        <v>2.2999999999999998</v>
      </c>
      <c r="M46" s="18">
        <v>2.2999999999999998</v>
      </c>
      <c r="N46" s="18">
        <v>2</v>
      </c>
      <c r="O46" s="18">
        <v>2</v>
      </c>
      <c r="P46" s="18">
        <v>2</v>
      </c>
      <c r="Q46" s="18">
        <v>2.2000000000000002</v>
      </c>
      <c r="R46" s="18">
        <v>2.2000000000000002</v>
      </c>
      <c r="S46" s="18">
        <v>2.2000000000000002</v>
      </c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8">
        <v>2.2000000000000002</v>
      </c>
      <c r="I47" s="18">
        <v>2.2000000000000002</v>
      </c>
      <c r="J47" s="18">
        <v>2.2000000000000002</v>
      </c>
      <c r="K47" s="18">
        <v>2.2999999999999998</v>
      </c>
      <c r="L47" s="18">
        <v>2.2999999999999998</v>
      </c>
      <c r="M47" s="18">
        <v>2.2999999999999998</v>
      </c>
      <c r="N47" s="18">
        <v>2</v>
      </c>
      <c r="O47" s="18">
        <v>2</v>
      </c>
      <c r="P47" s="18">
        <v>2</v>
      </c>
      <c r="Q47" s="18">
        <v>2.2000000000000002</v>
      </c>
      <c r="R47" s="18">
        <v>2.2000000000000002</v>
      </c>
      <c r="S47" s="18">
        <v>2.2000000000000002</v>
      </c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8">
        <v>2.2000000000000002</v>
      </c>
      <c r="I48" s="18">
        <v>2.2000000000000002</v>
      </c>
      <c r="J48" s="18">
        <v>2.2000000000000002</v>
      </c>
      <c r="K48" s="18">
        <v>2.2999999999999998</v>
      </c>
      <c r="L48" s="18">
        <v>2.2999999999999998</v>
      </c>
      <c r="M48" s="18">
        <v>2.2999999999999998</v>
      </c>
      <c r="N48" s="18">
        <v>2</v>
      </c>
      <c r="O48" s="18">
        <v>2</v>
      </c>
      <c r="P48" s="18">
        <v>2</v>
      </c>
      <c r="Q48" s="18">
        <v>2.2000000000000002</v>
      </c>
      <c r="R48" s="18">
        <v>2.2000000000000002</v>
      </c>
      <c r="S48" s="18">
        <v>2.2000000000000002</v>
      </c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8">
        <v>2.2000000000000002</v>
      </c>
      <c r="I49" s="18">
        <v>2.2000000000000002</v>
      </c>
      <c r="J49" s="18">
        <v>2.2000000000000002</v>
      </c>
      <c r="K49" s="18">
        <v>2.2999999999999998</v>
      </c>
      <c r="L49" s="18">
        <v>2.2999999999999998</v>
      </c>
      <c r="M49" s="18">
        <v>2.2999999999999998</v>
      </c>
      <c r="N49" s="18">
        <v>2</v>
      </c>
      <c r="O49" s="18">
        <v>2</v>
      </c>
      <c r="P49" s="18">
        <v>2</v>
      </c>
      <c r="Q49" s="18">
        <v>2.2000000000000002</v>
      </c>
      <c r="R49" s="18">
        <v>2.2000000000000002</v>
      </c>
      <c r="S49" s="18">
        <v>2.2000000000000002</v>
      </c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8">
        <v>2.2000000000000002</v>
      </c>
      <c r="I50" s="18">
        <v>2.2000000000000002</v>
      </c>
      <c r="J50" s="18">
        <v>2.2000000000000002</v>
      </c>
      <c r="K50" s="18">
        <v>2.2999999999999998</v>
      </c>
      <c r="L50" s="18">
        <v>2.2999999999999998</v>
      </c>
      <c r="M50" s="18">
        <v>2.2999999999999998</v>
      </c>
      <c r="N50" s="18">
        <v>2</v>
      </c>
      <c r="O50" s="18">
        <v>2</v>
      </c>
      <c r="P50" s="18">
        <v>2</v>
      </c>
      <c r="Q50" s="18">
        <v>2.2000000000000002</v>
      </c>
      <c r="R50" s="18">
        <v>2.2000000000000002</v>
      </c>
      <c r="S50" s="18">
        <v>2.2000000000000002</v>
      </c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8">
        <v>3.2921656686626752</v>
      </c>
      <c r="I51" s="18">
        <v>3.2921656686626752</v>
      </c>
      <c r="J51" s="18">
        <v>3.2921656686626752</v>
      </c>
      <c r="K51" s="18">
        <v>3.555538922155689</v>
      </c>
      <c r="L51" s="18">
        <v>3.555538922155689</v>
      </c>
      <c r="M51" s="18">
        <v>3.555538922155689</v>
      </c>
      <c r="N51" s="18">
        <v>3.028792415169661</v>
      </c>
      <c r="O51" s="18">
        <v>3.028792415169661</v>
      </c>
      <c r="P51" s="18">
        <v>3.028792415169661</v>
      </c>
      <c r="Q51" s="18">
        <v>3.2921656686626752</v>
      </c>
      <c r="R51" s="18">
        <v>3.2921656686626752</v>
      </c>
      <c r="S51" s="18">
        <v>3.2921656686626752</v>
      </c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8">
        <v>2.5484744796122043</v>
      </c>
      <c r="I52" s="18">
        <v>2.5484744796122043</v>
      </c>
      <c r="J52" s="18">
        <v>2.5484744796122043</v>
      </c>
      <c r="K52" s="18">
        <v>2.7523524379811812</v>
      </c>
      <c r="L52" s="18">
        <v>2.7523524379811812</v>
      </c>
      <c r="M52" s="18">
        <v>2.7523524379811812</v>
      </c>
      <c r="N52" s="18">
        <v>2.3445965212432278</v>
      </c>
      <c r="O52" s="18">
        <v>2.3445965212432278</v>
      </c>
      <c r="P52" s="18">
        <v>2.3445965212432278</v>
      </c>
      <c r="Q52" s="18">
        <v>2.5484744796122043</v>
      </c>
      <c r="R52" s="18">
        <v>2.5484744796122043</v>
      </c>
      <c r="S52" s="18">
        <v>2.5484744796122043</v>
      </c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8">
        <v>2.5948103792415171</v>
      </c>
      <c r="I53" s="18">
        <v>2.5948103792415171</v>
      </c>
      <c r="J53" s="18">
        <v>2.5948103792415171</v>
      </c>
      <c r="K53" s="18">
        <v>2.8023952095808387</v>
      </c>
      <c r="L53" s="18">
        <v>2.8023952095808387</v>
      </c>
      <c r="M53" s="18">
        <v>2.8023952095808387</v>
      </c>
      <c r="N53" s="18">
        <v>2.3872255489021961</v>
      </c>
      <c r="O53" s="18">
        <v>2.3872255489021961</v>
      </c>
      <c r="P53" s="18">
        <v>2.3872255489021961</v>
      </c>
      <c r="Q53" s="18">
        <v>2.5948103792415171</v>
      </c>
      <c r="R53" s="18">
        <v>2.5948103792415171</v>
      </c>
      <c r="S53" s="18">
        <v>2.5948103792415171</v>
      </c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8">
        <v>2.2653106485441814</v>
      </c>
      <c r="I54" s="18">
        <v>2.2653106485441814</v>
      </c>
      <c r="J54" s="18">
        <v>2.2653106485441814</v>
      </c>
      <c r="K54" s="18">
        <v>2.4465355004277161</v>
      </c>
      <c r="L54" s="18">
        <v>2.4465355004277161</v>
      </c>
      <c r="M54" s="18">
        <v>2.4465355004277161</v>
      </c>
      <c r="N54" s="18">
        <v>2.0840857966606472</v>
      </c>
      <c r="O54" s="18">
        <v>2.0840857966606472</v>
      </c>
      <c r="P54" s="18">
        <v>2.0840857966606472</v>
      </c>
      <c r="Q54" s="18">
        <v>2.2653106485441814</v>
      </c>
      <c r="R54" s="18">
        <v>2.2653106485441814</v>
      </c>
      <c r="S54" s="18">
        <v>2.2653106485441814</v>
      </c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8">
        <v>1.8731287425149703</v>
      </c>
      <c r="I55" s="18">
        <v>1.8731287425149703</v>
      </c>
      <c r="J55" s="18">
        <v>1.8731287425149703</v>
      </c>
      <c r="K55" s="18">
        <v>2.0229790419161677</v>
      </c>
      <c r="L55" s="18">
        <v>2.0229790419161677</v>
      </c>
      <c r="M55" s="18">
        <v>2.0229790419161677</v>
      </c>
      <c r="N55" s="18">
        <v>1.7232784431137727</v>
      </c>
      <c r="O55" s="18">
        <v>1.7232784431137727</v>
      </c>
      <c r="P55" s="18">
        <v>1.7232784431137727</v>
      </c>
      <c r="Q55" s="18">
        <v>1.8731287425149703</v>
      </c>
      <c r="R55" s="18">
        <v>1.8731287425149703</v>
      </c>
      <c r="S55" s="18">
        <v>1.8731287425149703</v>
      </c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8">
        <v>2.2000000000000002</v>
      </c>
      <c r="I57" s="18">
        <v>2.2000000000000002</v>
      </c>
      <c r="J57" s="18">
        <v>2.2000000000000002</v>
      </c>
      <c r="K57" s="18">
        <v>2.2999999999999998</v>
      </c>
      <c r="L57" s="18">
        <v>2.2999999999999998</v>
      </c>
      <c r="M57" s="18">
        <v>2.2999999999999998</v>
      </c>
      <c r="N57" s="18">
        <v>2</v>
      </c>
      <c r="O57" s="18">
        <v>2</v>
      </c>
      <c r="P57" s="18">
        <v>2</v>
      </c>
      <c r="Q57" s="18">
        <v>2.2000000000000002</v>
      </c>
      <c r="R57" s="18">
        <v>2.2000000000000002</v>
      </c>
      <c r="S57" s="18">
        <v>2.2000000000000002</v>
      </c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8">
        <v>1.7298735861610115</v>
      </c>
      <c r="I58" s="18">
        <v>1.7298735861610115</v>
      </c>
      <c r="J58" s="18">
        <v>1.7298735861610115</v>
      </c>
      <c r="K58" s="18">
        <v>1.8682634730538923</v>
      </c>
      <c r="L58" s="18">
        <v>1.8682634730538923</v>
      </c>
      <c r="M58" s="18">
        <v>1.8682634730538923</v>
      </c>
      <c r="N58" s="18">
        <v>1.5914836992681307</v>
      </c>
      <c r="O58" s="18">
        <v>1.5914836992681307</v>
      </c>
      <c r="P58" s="18">
        <v>1.5914836992681307</v>
      </c>
      <c r="Q58" s="18">
        <v>1.7298735861610115</v>
      </c>
      <c r="R58" s="18">
        <v>1.7298735861610115</v>
      </c>
      <c r="S58" s="18">
        <v>1.7298735861610115</v>
      </c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8">
        <v>2.2000000000000002</v>
      </c>
      <c r="I59" s="18">
        <v>2.2000000000000002</v>
      </c>
      <c r="J59" s="18">
        <v>2.2000000000000002</v>
      </c>
      <c r="K59" s="18">
        <v>2.2999999999999998</v>
      </c>
      <c r="L59" s="18">
        <v>2.2999999999999998</v>
      </c>
      <c r="M59" s="18">
        <v>2.2999999999999998</v>
      </c>
      <c r="N59" s="18">
        <v>2</v>
      </c>
      <c r="O59" s="18">
        <v>2</v>
      </c>
      <c r="P59" s="18">
        <v>2</v>
      </c>
      <c r="Q59" s="18">
        <v>2.2000000000000002</v>
      </c>
      <c r="R59" s="18">
        <v>2.2000000000000002</v>
      </c>
      <c r="S59" s="18">
        <v>2.2000000000000002</v>
      </c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8">
        <v>2.2000000000000002</v>
      </c>
      <c r="I60" s="18">
        <v>2.2000000000000002</v>
      </c>
      <c r="J60" s="18">
        <v>2.2000000000000002</v>
      </c>
      <c r="K60" s="18">
        <v>2.2999999999999998</v>
      </c>
      <c r="L60" s="18">
        <v>2.2999999999999998</v>
      </c>
      <c r="M60" s="18">
        <v>2.2999999999999998</v>
      </c>
      <c r="N60" s="18">
        <v>2</v>
      </c>
      <c r="O60" s="18">
        <v>2</v>
      </c>
      <c r="P60" s="18">
        <v>2</v>
      </c>
      <c r="Q60" s="18">
        <v>2.2000000000000002</v>
      </c>
      <c r="R60" s="18">
        <v>2.2000000000000002</v>
      </c>
      <c r="S60" s="18">
        <v>2.2000000000000002</v>
      </c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8">
        <v>1.9461077844311379</v>
      </c>
      <c r="I61" s="18">
        <v>1.9461077844311379</v>
      </c>
      <c r="J61" s="18">
        <v>1.9461077844311379</v>
      </c>
      <c r="K61" s="18">
        <v>2.1017964071856294</v>
      </c>
      <c r="L61" s="18">
        <v>2.1017964071856294</v>
      </c>
      <c r="M61" s="18">
        <v>2.1017964071856294</v>
      </c>
      <c r="N61" s="18">
        <v>1.7904191616766469</v>
      </c>
      <c r="O61" s="18">
        <v>1.7904191616766469</v>
      </c>
      <c r="P61" s="18">
        <v>1.7904191616766469</v>
      </c>
      <c r="Q61" s="18">
        <v>1.9461077844311379</v>
      </c>
      <c r="R61" s="18">
        <v>1.9461077844311379</v>
      </c>
      <c r="S61" s="18">
        <v>1.9461077844311379</v>
      </c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8">
        <v>2.2000000000000002</v>
      </c>
      <c r="I62" s="18">
        <v>2.2000000000000002</v>
      </c>
      <c r="J62" s="18">
        <v>2.2000000000000002</v>
      </c>
      <c r="K62" s="18">
        <v>2.2999999999999998</v>
      </c>
      <c r="L62" s="18">
        <v>2.2999999999999998</v>
      </c>
      <c r="M62" s="18">
        <v>2.2999999999999998</v>
      </c>
      <c r="N62" s="18">
        <v>2</v>
      </c>
      <c r="O62" s="18">
        <v>2</v>
      </c>
      <c r="P62" s="18">
        <v>2</v>
      </c>
      <c r="Q62" s="18">
        <v>2.2000000000000002</v>
      </c>
      <c r="R62" s="18">
        <v>2.2000000000000002</v>
      </c>
      <c r="S62" s="18">
        <v>2.2000000000000002</v>
      </c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8">
        <v>2.2000000000000002</v>
      </c>
      <c r="I63" s="18">
        <v>2.2000000000000002</v>
      </c>
      <c r="J63" s="18">
        <v>2.2000000000000002</v>
      </c>
      <c r="K63" s="18">
        <v>2.2999999999999998</v>
      </c>
      <c r="L63" s="18">
        <v>2.2999999999999998</v>
      </c>
      <c r="M63" s="18">
        <v>2.2999999999999998</v>
      </c>
      <c r="N63" s="18">
        <v>2</v>
      </c>
      <c r="O63" s="18">
        <v>2</v>
      </c>
      <c r="P63" s="18">
        <v>2</v>
      </c>
      <c r="Q63" s="18">
        <v>2.2000000000000002</v>
      </c>
      <c r="R63" s="18">
        <v>2.2000000000000002</v>
      </c>
      <c r="S63" s="18">
        <v>2.2000000000000002</v>
      </c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8">
        <v>2.2000000000000002</v>
      </c>
      <c r="I64" s="18">
        <v>2.2000000000000002</v>
      </c>
      <c r="J64" s="18">
        <v>2.2000000000000002</v>
      </c>
      <c r="K64" s="18">
        <v>2.2999999999999998</v>
      </c>
      <c r="L64" s="18">
        <v>2.2999999999999998</v>
      </c>
      <c r="M64" s="18">
        <v>2.2999999999999998</v>
      </c>
      <c r="N64" s="18">
        <v>2</v>
      </c>
      <c r="O64" s="18">
        <v>2</v>
      </c>
      <c r="P64" s="18">
        <v>2</v>
      </c>
      <c r="Q64" s="18">
        <v>2.2000000000000002</v>
      </c>
      <c r="R64" s="18">
        <v>2.2000000000000002</v>
      </c>
      <c r="S64" s="18">
        <v>2.2000000000000002</v>
      </c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8">
        <v>2.2999999999999998</v>
      </c>
      <c r="I65" s="18">
        <v>2.2999999999999998</v>
      </c>
      <c r="J65" s="18">
        <v>2.2999999999999998</v>
      </c>
      <c r="K65" s="18">
        <v>2.2999999999999998</v>
      </c>
      <c r="L65" s="18">
        <v>2.2999999999999998</v>
      </c>
      <c r="M65" s="18">
        <v>2.2999999999999998</v>
      </c>
      <c r="N65" s="18">
        <v>2.2999999999999998</v>
      </c>
      <c r="O65" s="18">
        <v>2.2999999999999998</v>
      </c>
      <c r="P65" s="18">
        <v>2.2999999999999998</v>
      </c>
      <c r="Q65" s="18">
        <v>2.2999999999999998</v>
      </c>
      <c r="R65" s="18">
        <v>2.2999999999999998</v>
      </c>
      <c r="S65" s="18">
        <v>2.2999999999999998</v>
      </c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8">
        <v>2.2000000000000002</v>
      </c>
      <c r="I66" s="18">
        <v>2.2000000000000002</v>
      </c>
      <c r="J66" s="18">
        <v>2.2000000000000002</v>
      </c>
      <c r="K66" s="18">
        <v>2.2999999999999998</v>
      </c>
      <c r="L66" s="18">
        <v>2.2999999999999998</v>
      </c>
      <c r="M66" s="18">
        <v>2.2999999999999998</v>
      </c>
      <c r="N66" s="18">
        <v>2</v>
      </c>
      <c r="O66" s="18">
        <v>2</v>
      </c>
      <c r="P66" s="18">
        <v>2</v>
      </c>
      <c r="Q66" s="18">
        <v>2.2000000000000002</v>
      </c>
      <c r="R66" s="18">
        <v>2.2000000000000002</v>
      </c>
      <c r="S66" s="18">
        <v>2.2000000000000002</v>
      </c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8">
        <v>2.2000000000000002</v>
      </c>
      <c r="I67" s="18">
        <v>2.2000000000000002</v>
      </c>
      <c r="J67" s="18">
        <v>2.2000000000000002</v>
      </c>
      <c r="K67" s="18">
        <v>2.2999999999999998</v>
      </c>
      <c r="L67" s="18">
        <v>2.2999999999999998</v>
      </c>
      <c r="M67" s="18">
        <v>2.2999999999999998</v>
      </c>
      <c r="N67" s="18">
        <v>2</v>
      </c>
      <c r="O67" s="18">
        <v>2</v>
      </c>
      <c r="P67" s="18">
        <v>2</v>
      </c>
      <c r="Q67" s="18">
        <v>2.2000000000000002</v>
      </c>
      <c r="R67" s="18">
        <v>2.2000000000000002</v>
      </c>
      <c r="S67" s="18">
        <v>2.2000000000000002</v>
      </c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8">
        <v>2.2000000000000002</v>
      </c>
      <c r="I68" s="18">
        <v>2.2000000000000002</v>
      </c>
      <c r="J68" s="18">
        <v>2.2000000000000002</v>
      </c>
      <c r="K68" s="18">
        <v>2.2999999999999998</v>
      </c>
      <c r="L68" s="18">
        <v>2.2999999999999998</v>
      </c>
      <c r="M68" s="18">
        <v>2.2999999999999998</v>
      </c>
      <c r="N68" s="18">
        <v>2</v>
      </c>
      <c r="O68" s="18">
        <v>2</v>
      </c>
      <c r="P68" s="18">
        <v>2</v>
      </c>
      <c r="Q68" s="18">
        <v>2.2000000000000002</v>
      </c>
      <c r="R68" s="18">
        <v>2.2000000000000002</v>
      </c>
      <c r="S68" s="18">
        <v>2.2000000000000002</v>
      </c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8">
        <v>2.2000000000000002</v>
      </c>
      <c r="I69" s="18">
        <v>2.2000000000000002</v>
      </c>
      <c r="J69" s="18">
        <v>2.2000000000000002</v>
      </c>
      <c r="K69" s="18">
        <v>2.2999999999999998</v>
      </c>
      <c r="L69" s="18">
        <v>2.2999999999999998</v>
      </c>
      <c r="M69" s="18">
        <v>2.2999999999999998</v>
      </c>
      <c r="N69" s="18">
        <v>2</v>
      </c>
      <c r="O69" s="18">
        <v>2</v>
      </c>
      <c r="P69" s="18">
        <v>2</v>
      </c>
      <c r="Q69" s="18">
        <v>2.2000000000000002</v>
      </c>
      <c r="R69" s="18">
        <v>2.2000000000000002</v>
      </c>
      <c r="S69" s="18">
        <v>2.2000000000000002</v>
      </c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8">
        <v>2.2000000000000002</v>
      </c>
      <c r="I70" s="18">
        <v>2.2000000000000002</v>
      </c>
      <c r="J70" s="18">
        <v>2.2000000000000002</v>
      </c>
      <c r="K70" s="18">
        <v>2.2999999999999998</v>
      </c>
      <c r="L70" s="18">
        <v>2.2999999999999998</v>
      </c>
      <c r="M70" s="18">
        <v>2.2999999999999998</v>
      </c>
      <c r="N70" s="18">
        <v>2</v>
      </c>
      <c r="O70" s="18">
        <v>2</v>
      </c>
      <c r="P70" s="18">
        <v>2</v>
      </c>
      <c r="Q70" s="18">
        <v>2.2000000000000002</v>
      </c>
      <c r="R70" s="18">
        <v>2.2000000000000002</v>
      </c>
      <c r="S70" s="18">
        <v>2.2000000000000002</v>
      </c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8">
        <v>2.2000000000000002</v>
      </c>
      <c r="I71" s="18">
        <v>2.2000000000000002</v>
      </c>
      <c r="J71" s="18">
        <v>2.2000000000000002</v>
      </c>
      <c r="K71" s="18">
        <v>2.2999999999999998</v>
      </c>
      <c r="L71" s="18">
        <v>2.2999999999999998</v>
      </c>
      <c r="M71" s="18">
        <v>2.2999999999999998</v>
      </c>
      <c r="N71" s="18">
        <v>2</v>
      </c>
      <c r="O71" s="18">
        <v>2</v>
      </c>
      <c r="P71" s="18">
        <v>2</v>
      </c>
      <c r="Q71" s="18">
        <v>2.2000000000000002</v>
      </c>
      <c r="R71" s="18">
        <v>2.2000000000000002</v>
      </c>
      <c r="S71" s="18">
        <v>2.2000000000000002</v>
      </c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8">
        <v>2.2000000000000002</v>
      </c>
      <c r="I72" s="18">
        <v>2.2000000000000002</v>
      </c>
      <c r="J72" s="18">
        <v>2.2000000000000002</v>
      </c>
      <c r="K72" s="18">
        <v>2.2999999999999998</v>
      </c>
      <c r="L72" s="18">
        <v>2.2999999999999998</v>
      </c>
      <c r="M72" s="18">
        <v>2.2999999999999998</v>
      </c>
      <c r="N72" s="18">
        <v>2</v>
      </c>
      <c r="O72" s="18">
        <v>2</v>
      </c>
      <c r="P72" s="18">
        <v>2</v>
      </c>
      <c r="Q72" s="18">
        <v>2.2000000000000002</v>
      </c>
      <c r="R72" s="18">
        <v>2.2000000000000002</v>
      </c>
      <c r="S72" s="18">
        <v>2.2000000000000002</v>
      </c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8">
        <v>2.2000000000000002</v>
      </c>
      <c r="I73" s="18">
        <v>2.2000000000000002</v>
      </c>
      <c r="J73" s="18">
        <v>2.2000000000000002</v>
      </c>
      <c r="K73" s="18">
        <v>2.2999999999999998</v>
      </c>
      <c r="L73" s="18">
        <v>2.2999999999999998</v>
      </c>
      <c r="M73" s="18">
        <v>2.2999999999999998</v>
      </c>
      <c r="N73" s="18">
        <v>2</v>
      </c>
      <c r="O73" s="18">
        <v>2</v>
      </c>
      <c r="P73" s="18">
        <v>2</v>
      </c>
      <c r="Q73" s="18">
        <v>2.2000000000000002</v>
      </c>
      <c r="R73" s="18">
        <v>2.2000000000000002</v>
      </c>
      <c r="S73" s="18">
        <v>2.2000000000000002</v>
      </c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8">
        <v>2.2000000000000002</v>
      </c>
      <c r="I74" s="18">
        <v>2.2000000000000002</v>
      </c>
      <c r="J74" s="18">
        <v>2.2000000000000002</v>
      </c>
      <c r="K74" s="18">
        <v>2.2999999999999998</v>
      </c>
      <c r="L74" s="18">
        <v>2.2999999999999998</v>
      </c>
      <c r="M74" s="18">
        <v>2.2999999999999998</v>
      </c>
      <c r="N74" s="18">
        <v>2</v>
      </c>
      <c r="O74" s="18">
        <v>2</v>
      </c>
      <c r="P74" s="18">
        <v>2</v>
      </c>
      <c r="Q74" s="18">
        <v>2.2000000000000002</v>
      </c>
      <c r="R74" s="18">
        <v>2.2000000000000002</v>
      </c>
      <c r="S74" s="18">
        <v>2.2000000000000002</v>
      </c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8">
        <v>2.2000000000000002</v>
      </c>
      <c r="I75" s="18">
        <v>2.2000000000000002</v>
      </c>
      <c r="J75" s="18">
        <v>2.2000000000000002</v>
      </c>
      <c r="K75" s="18">
        <v>2.2999999999999998</v>
      </c>
      <c r="L75" s="18">
        <v>2.2999999999999998</v>
      </c>
      <c r="M75" s="18">
        <v>2.2999999999999998</v>
      </c>
      <c r="N75" s="18">
        <v>2</v>
      </c>
      <c r="O75" s="18">
        <v>2</v>
      </c>
      <c r="P75" s="18">
        <v>2</v>
      </c>
      <c r="Q75" s="18">
        <v>2.2000000000000002</v>
      </c>
      <c r="R75" s="18">
        <v>2.2000000000000002</v>
      </c>
      <c r="S75" s="18">
        <v>2.2000000000000002</v>
      </c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8">
        <v>2.2000000000000002</v>
      </c>
      <c r="I76" s="18">
        <v>2.2000000000000002</v>
      </c>
      <c r="J76" s="18">
        <v>2.2000000000000002</v>
      </c>
      <c r="K76" s="18">
        <v>2.2999999999999998</v>
      </c>
      <c r="L76" s="18">
        <v>2.2999999999999998</v>
      </c>
      <c r="M76" s="18">
        <v>2.2999999999999998</v>
      </c>
      <c r="N76" s="18">
        <v>2</v>
      </c>
      <c r="O76" s="18">
        <v>2</v>
      </c>
      <c r="P76" s="18">
        <v>2</v>
      </c>
      <c r="Q76" s="18">
        <v>2.2000000000000002</v>
      </c>
      <c r="R76" s="18">
        <v>2.2000000000000002</v>
      </c>
      <c r="S76" s="18">
        <v>2.2000000000000002</v>
      </c>
      <c r="T76" s="4"/>
    </row>
  </sheetData>
  <conditionalFormatting sqref="A1:B1 I1:S1 E1:G1">
    <cfRule type="duplicateValues" dxfId="68" priority="1"/>
  </conditionalFormatting>
  <conditionalFormatting sqref="B51:B73 B2:B41">
    <cfRule type="duplicateValues" dxfId="67" priority="5"/>
  </conditionalFormatting>
  <conditionalFormatting sqref="B74:B76 B42:B50">
    <cfRule type="duplicateValues" dxfId="66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FFE-1E32-4035-9262-C4D2BD7C1301}">
  <sheetPr codeName="Sheet4">
    <tabColor rgb="FFFFC000"/>
  </sheetPr>
  <dimension ref="A1:S76"/>
  <sheetViews>
    <sheetView topLeftCell="D1" workbookViewId="0">
      <selection activeCell="Q2" sqref="Q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4" width="28.1796875" customWidth="1"/>
    <col min="5" max="5" width="10.54296875" customWidth="1"/>
    <col min="6" max="17" width="8.7265625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110</v>
      </c>
      <c r="I2" s="3">
        <v>154</v>
      </c>
      <c r="J2" s="3">
        <v>176</v>
      </c>
      <c r="K2" s="3">
        <v>119.20399499999999</v>
      </c>
      <c r="L2" s="3">
        <v>166.88559299999997</v>
      </c>
      <c r="M2" s="3">
        <v>190.726392</v>
      </c>
      <c r="N2" s="3">
        <v>82.453995000000006</v>
      </c>
      <c r="O2" s="3">
        <v>115.435593</v>
      </c>
      <c r="P2" s="3">
        <v>131.92639200000002</v>
      </c>
      <c r="Q2" s="3">
        <v>120</v>
      </c>
      <c r="R2" s="23">
        <v>152.66748999999999</v>
      </c>
      <c r="S2" s="3">
        <v>134.57612999999998</v>
      </c>
    </row>
    <row r="3" spans="1:19" x14ac:dyDescent="0.3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4.375</v>
      </c>
      <c r="I3" s="3">
        <v>6.125</v>
      </c>
      <c r="J3" s="3">
        <v>7</v>
      </c>
      <c r="K3" s="3">
        <v>6.5</v>
      </c>
      <c r="L3" s="3">
        <v>9.1</v>
      </c>
      <c r="M3" s="3">
        <v>10.4</v>
      </c>
      <c r="N3" s="3">
        <v>4</v>
      </c>
      <c r="O3" s="3">
        <v>5.6</v>
      </c>
      <c r="P3" s="3">
        <v>6.4</v>
      </c>
      <c r="Q3" s="3">
        <v>8</v>
      </c>
      <c r="R3" s="23">
        <v>6.8049999999999997</v>
      </c>
      <c r="S3" s="3">
        <v>7</v>
      </c>
    </row>
    <row r="4" spans="1:19" x14ac:dyDescent="0.3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1.125</v>
      </c>
      <c r="I4" s="3">
        <v>1.575</v>
      </c>
      <c r="J4" s="3">
        <v>1.8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/>
      <c r="R4" s="23"/>
      <c r="S4" s="3">
        <v>0</v>
      </c>
    </row>
    <row r="5" spans="1:19" x14ac:dyDescent="0.3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12.75</v>
      </c>
      <c r="I5" s="3">
        <v>17.849999999999998</v>
      </c>
      <c r="J5" s="3">
        <v>20.400000000000002</v>
      </c>
      <c r="K5" s="3">
        <v>13.05</v>
      </c>
      <c r="L5" s="3">
        <v>18.27</v>
      </c>
      <c r="M5" s="3">
        <v>20.880000000000003</v>
      </c>
      <c r="N5" s="3">
        <v>8.0249999999999986</v>
      </c>
      <c r="O5" s="3">
        <v>11.234999999999998</v>
      </c>
      <c r="P5" s="3">
        <v>12.839999999999998</v>
      </c>
      <c r="Q5" s="3">
        <v>13</v>
      </c>
      <c r="R5" s="23">
        <v>21.7</v>
      </c>
      <c r="S5" s="3">
        <v>17</v>
      </c>
    </row>
    <row r="6" spans="1:19" x14ac:dyDescent="0.3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2.5</v>
      </c>
      <c r="I6" s="3">
        <v>3.5</v>
      </c>
      <c r="J6" s="3">
        <v>4</v>
      </c>
      <c r="K6" s="3">
        <v>6.75</v>
      </c>
      <c r="L6" s="3">
        <v>9.4499999999999993</v>
      </c>
      <c r="M6" s="3">
        <v>10.8</v>
      </c>
      <c r="N6" s="3">
        <v>2.5</v>
      </c>
      <c r="O6" s="3">
        <v>3.5</v>
      </c>
      <c r="P6" s="3">
        <v>4</v>
      </c>
      <c r="Q6" s="3">
        <v>5</v>
      </c>
      <c r="R6" s="23">
        <v>23.687200000000001</v>
      </c>
      <c r="S6" s="3">
        <v>24</v>
      </c>
    </row>
    <row r="7" spans="1:19" x14ac:dyDescent="0.3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16.375</v>
      </c>
      <c r="I7" s="3">
        <v>22.924999999999997</v>
      </c>
      <c r="J7" s="3">
        <v>26.200000000000003</v>
      </c>
      <c r="K7" s="3">
        <v>18.375</v>
      </c>
      <c r="L7" s="3">
        <v>25.724999999999998</v>
      </c>
      <c r="M7" s="3">
        <v>29.400000000000002</v>
      </c>
      <c r="N7" s="3">
        <v>15</v>
      </c>
      <c r="O7" s="3">
        <v>21</v>
      </c>
      <c r="P7" s="3">
        <v>24</v>
      </c>
      <c r="Q7" s="3">
        <v>19.75</v>
      </c>
      <c r="R7" s="23">
        <v>3.8800000000000003</v>
      </c>
      <c r="S7" s="3">
        <v>7.25</v>
      </c>
    </row>
    <row r="8" spans="1:19" x14ac:dyDescent="0.3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4</v>
      </c>
      <c r="I8" s="3">
        <v>5.6</v>
      </c>
      <c r="J8" s="3">
        <v>6.4</v>
      </c>
      <c r="K8" s="3">
        <v>5</v>
      </c>
      <c r="L8" s="3">
        <v>7</v>
      </c>
      <c r="M8" s="3">
        <v>8</v>
      </c>
      <c r="N8" s="3">
        <v>7.5</v>
      </c>
      <c r="O8" s="3">
        <v>10.5</v>
      </c>
      <c r="P8" s="3">
        <v>12</v>
      </c>
      <c r="Q8" s="3">
        <v>6.4272</v>
      </c>
      <c r="R8" s="23">
        <v>5.2736000000000001</v>
      </c>
      <c r="S8" s="3">
        <v>4.5</v>
      </c>
    </row>
    <row r="9" spans="1:19" x14ac:dyDescent="0.3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  <c r="R9" s="23">
        <v>11.25</v>
      </c>
      <c r="S9" s="3">
        <v>13</v>
      </c>
    </row>
    <row r="10" spans="1:19" x14ac:dyDescent="0.3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8</v>
      </c>
      <c r="I10" s="3">
        <v>11.2</v>
      </c>
      <c r="J10" s="3">
        <v>12.8</v>
      </c>
      <c r="K10" s="3">
        <v>7.6875</v>
      </c>
      <c r="L10" s="3">
        <v>10.762499999999999</v>
      </c>
      <c r="M10" s="3">
        <v>12.3</v>
      </c>
      <c r="N10" s="3">
        <v>7.5</v>
      </c>
      <c r="O10" s="3">
        <v>10.5</v>
      </c>
      <c r="P10" s="3">
        <v>12</v>
      </c>
      <c r="Q10" s="3">
        <v>10</v>
      </c>
      <c r="R10" s="23"/>
      <c r="S10" s="3">
        <v>0</v>
      </c>
    </row>
    <row r="11" spans="1:19" x14ac:dyDescent="0.3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3.625</v>
      </c>
      <c r="I11" s="3">
        <v>5.0749999999999993</v>
      </c>
      <c r="J11" s="3">
        <v>5.8000000000000007</v>
      </c>
      <c r="K11" s="3">
        <v>2.5</v>
      </c>
      <c r="L11" s="3">
        <v>3.5</v>
      </c>
      <c r="M11" s="3">
        <v>4</v>
      </c>
      <c r="N11" s="3">
        <v>2.5</v>
      </c>
      <c r="O11" s="3">
        <v>3.5</v>
      </c>
      <c r="P11" s="3">
        <v>4</v>
      </c>
      <c r="Q11" s="3">
        <v>1.5</v>
      </c>
      <c r="R11" s="23">
        <v>224</v>
      </c>
      <c r="S11" s="3">
        <v>129</v>
      </c>
    </row>
    <row r="12" spans="1:19" x14ac:dyDescent="0.3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9</v>
      </c>
      <c r="I12" s="3">
        <v>12.6</v>
      </c>
      <c r="J12" s="3">
        <v>14.4</v>
      </c>
      <c r="K12" s="3">
        <v>8.5500000000000007</v>
      </c>
      <c r="L12" s="3">
        <v>11.97</v>
      </c>
      <c r="M12" s="3">
        <v>13.680000000000001</v>
      </c>
      <c r="N12" s="3">
        <v>9.0449999999999999</v>
      </c>
      <c r="O12" s="3">
        <v>12.662999999999998</v>
      </c>
      <c r="P12" s="3">
        <v>14.472000000000001</v>
      </c>
      <c r="Q12" s="3">
        <v>13.75</v>
      </c>
      <c r="R12" s="23">
        <v>-6.8969799999999992</v>
      </c>
      <c r="S12" s="3">
        <v>5</v>
      </c>
    </row>
    <row r="13" spans="1:19" x14ac:dyDescent="0.3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1.75</v>
      </c>
      <c r="I13" s="3">
        <v>2.4499999999999997</v>
      </c>
      <c r="J13" s="3">
        <v>2.8000000000000003</v>
      </c>
      <c r="K13" s="3">
        <v>2.5250000000000004</v>
      </c>
      <c r="L13" s="3">
        <v>3.5350000000000001</v>
      </c>
      <c r="M13" s="3">
        <v>4.0400000000000009</v>
      </c>
      <c r="N13" s="3">
        <v>1</v>
      </c>
      <c r="O13" s="3">
        <v>1.4</v>
      </c>
      <c r="P13" s="3">
        <v>1.6</v>
      </c>
      <c r="Q13" s="3"/>
      <c r="R13" s="23">
        <v>6.9700000000000006</v>
      </c>
      <c r="S13" s="3">
        <v>7</v>
      </c>
    </row>
    <row r="14" spans="1:19" x14ac:dyDescent="0.3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70</v>
      </c>
      <c r="I14" s="3">
        <v>98</v>
      </c>
      <c r="J14" s="3">
        <v>112</v>
      </c>
      <c r="K14" s="3">
        <v>85</v>
      </c>
      <c r="L14" s="3">
        <v>118.99999999999999</v>
      </c>
      <c r="M14" s="3">
        <v>136</v>
      </c>
      <c r="N14" s="3">
        <v>78.75</v>
      </c>
      <c r="O14" s="3">
        <v>110.25</v>
      </c>
      <c r="P14" s="3">
        <v>126</v>
      </c>
      <c r="Q14" s="3">
        <v>130</v>
      </c>
      <c r="R14" s="23">
        <v>12.00338</v>
      </c>
      <c r="S14" s="3">
        <v>0</v>
      </c>
    </row>
    <row r="15" spans="1:19" x14ac:dyDescent="0.3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5.375</v>
      </c>
      <c r="I15" s="3">
        <v>7.5249999999999995</v>
      </c>
      <c r="J15" s="3">
        <v>8.6</v>
      </c>
      <c r="K15" s="3">
        <v>6.05</v>
      </c>
      <c r="L15" s="3">
        <v>8.4699999999999989</v>
      </c>
      <c r="M15" s="3">
        <v>9.68</v>
      </c>
      <c r="N15" s="3">
        <v>6.375</v>
      </c>
      <c r="O15" s="3">
        <v>8.9249999999999989</v>
      </c>
      <c r="P15" s="3">
        <v>10.200000000000001</v>
      </c>
      <c r="Q15" s="3">
        <v>5.98</v>
      </c>
      <c r="R15" s="23">
        <v>120.94803</v>
      </c>
      <c r="S15" s="3">
        <v>132.86000000000001</v>
      </c>
    </row>
    <row r="16" spans="1:19" x14ac:dyDescent="0.3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5.625</v>
      </c>
      <c r="I16" s="3">
        <v>7.8749999999999991</v>
      </c>
      <c r="J16" s="3">
        <v>9</v>
      </c>
      <c r="K16" s="3">
        <v>5.9512499999999999</v>
      </c>
      <c r="L16" s="3">
        <v>8.3317499999999995</v>
      </c>
      <c r="M16" s="3">
        <v>9.5220000000000002</v>
      </c>
      <c r="N16" s="3">
        <v>4.9499999999999993</v>
      </c>
      <c r="O16" s="3">
        <v>6.9299999999999988</v>
      </c>
      <c r="P16" s="3">
        <v>7.919999999999999</v>
      </c>
      <c r="Q16" s="3">
        <v>5</v>
      </c>
      <c r="R16" s="23"/>
      <c r="S16" s="3">
        <v>0</v>
      </c>
    </row>
    <row r="17" spans="1:19" x14ac:dyDescent="0.3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3</v>
      </c>
      <c r="I17" s="3">
        <v>4.1999999999999993</v>
      </c>
      <c r="J17" s="3">
        <v>4.8000000000000007</v>
      </c>
      <c r="K17" s="3">
        <v>3.14825</v>
      </c>
      <c r="L17" s="3">
        <v>4.4075499999999996</v>
      </c>
      <c r="M17" s="3">
        <v>5.0372000000000003</v>
      </c>
      <c r="N17" s="3">
        <v>3</v>
      </c>
      <c r="O17" s="3">
        <v>4.1999999999999993</v>
      </c>
      <c r="P17" s="3">
        <v>4.8000000000000007</v>
      </c>
      <c r="Q17" s="3">
        <v>4</v>
      </c>
      <c r="R17" s="23">
        <v>-15.702500000000001</v>
      </c>
      <c r="S17" s="3">
        <v>20</v>
      </c>
    </row>
    <row r="18" spans="1:19" x14ac:dyDescent="0.3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66</v>
      </c>
      <c r="I18" s="3">
        <v>92.399999999999991</v>
      </c>
      <c r="J18" s="3">
        <v>105.60000000000001</v>
      </c>
      <c r="K18" s="3">
        <v>71.174999999999997</v>
      </c>
      <c r="L18" s="3">
        <v>99.644999999999996</v>
      </c>
      <c r="M18" s="3">
        <v>113.88</v>
      </c>
      <c r="N18" s="3">
        <v>82.5</v>
      </c>
      <c r="O18" s="3">
        <v>115.49999999999999</v>
      </c>
      <c r="P18" s="3">
        <v>132</v>
      </c>
      <c r="Q18" s="3">
        <v>140</v>
      </c>
      <c r="R18" s="23"/>
      <c r="S18" s="3">
        <v>0</v>
      </c>
    </row>
    <row r="19" spans="1:19" x14ac:dyDescent="0.3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1.32</v>
      </c>
      <c r="I19" s="3">
        <v>1.8479999999999999</v>
      </c>
      <c r="J19" s="3">
        <v>2.1120000000000001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23">
        <v>4.5</v>
      </c>
      <c r="S19" s="3">
        <v>8.57</v>
      </c>
    </row>
    <row r="20" spans="1:19" x14ac:dyDescent="0.3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17.100000000000001</v>
      </c>
      <c r="I20" s="3">
        <v>23.94</v>
      </c>
      <c r="J20" s="3">
        <v>27.360000000000003</v>
      </c>
      <c r="K20" s="3">
        <v>41.85</v>
      </c>
      <c r="L20" s="3">
        <v>58.589999999999996</v>
      </c>
      <c r="M20" s="3">
        <v>66.960000000000008</v>
      </c>
      <c r="N20" s="3">
        <v>25</v>
      </c>
      <c r="O20" s="3">
        <v>35</v>
      </c>
      <c r="P20" s="3">
        <v>40</v>
      </c>
      <c r="Q20" s="3">
        <v>55</v>
      </c>
      <c r="R20" s="23"/>
      <c r="S20" s="3">
        <v>0</v>
      </c>
    </row>
    <row r="21" spans="1:19" x14ac:dyDescent="0.3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8.5</v>
      </c>
      <c r="I21" s="3">
        <v>11.899999999999999</v>
      </c>
      <c r="J21" s="3">
        <v>13.600000000000001</v>
      </c>
      <c r="K21" s="3">
        <v>4.05</v>
      </c>
      <c r="L21" s="3">
        <v>5.669999999999999</v>
      </c>
      <c r="M21" s="3">
        <v>6.48</v>
      </c>
      <c r="N21" s="3">
        <v>5.26</v>
      </c>
      <c r="O21" s="3">
        <v>7.363999999999999</v>
      </c>
      <c r="P21" s="3">
        <v>8.4160000000000004</v>
      </c>
      <c r="Q21" s="3">
        <v>8.27</v>
      </c>
      <c r="R21" s="23">
        <v>21.700000000000003</v>
      </c>
      <c r="S21" s="3">
        <v>30</v>
      </c>
    </row>
    <row r="22" spans="1:19" x14ac:dyDescent="0.3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3.15</v>
      </c>
      <c r="I22" s="3">
        <v>4.4099999999999993</v>
      </c>
      <c r="J22" s="3">
        <v>5.04</v>
      </c>
      <c r="K22" s="3">
        <v>4</v>
      </c>
      <c r="L22" s="3">
        <v>5.6</v>
      </c>
      <c r="M22" s="3">
        <v>6.4</v>
      </c>
      <c r="N22" s="3">
        <v>0</v>
      </c>
      <c r="O22" s="3">
        <v>0</v>
      </c>
      <c r="P22" s="3">
        <v>0</v>
      </c>
      <c r="Q22" s="3"/>
      <c r="R22" s="23">
        <v>-0.26680999999999999</v>
      </c>
      <c r="S22" s="3">
        <v>5.8369</v>
      </c>
    </row>
    <row r="23" spans="1:19" x14ac:dyDescent="0.3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27.5</v>
      </c>
      <c r="I23" s="3">
        <v>38.5</v>
      </c>
      <c r="J23" s="3">
        <v>44</v>
      </c>
      <c r="K23" s="3">
        <v>37.75</v>
      </c>
      <c r="L23" s="3">
        <v>52.849999999999994</v>
      </c>
      <c r="M23" s="3">
        <v>60.400000000000006</v>
      </c>
      <c r="N23" s="3">
        <v>22.5</v>
      </c>
      <c r="O23" s="3">
        <v>31.499999999999996</v>
      </c>
      <c r="P23" s="3">
        <v>36</v>
      </c>
      <c r="Q23" s="3">
        <v>30</v>
      </c>
      <c r="R23" s="23">
        <v>6.8787000000000003</v>
      </c>
      <c r="S23" s="3">
        <v>10</v>
      </c>
    </row>
    <row r="24" spans="1:19" x14ac:dyDescent="0.3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11.625</v>
      </c>
      <c r="I24" s="3">
        <v>16.274999999999999</v>
      </c>
      <c r="J24" s="3">
        <v>18.600000000000001</v>
      </c>
      <c r="K24" s="3">
        <v>3</v>
      </c>
      <c r="L24" s="3">
        <v>4.1999999999999993</v>
      </c>
      <c r="M24" s="3">
        <v>4.8000000000000007</v>
      </c>
      <c r="N24" s="3">
        <v>5</v>
      </c>
      <c r="O24" s="3">
        <v>7</v>
      </c>
      <c r="P24" s="3">
        <v>8</v>
      </c>
      <c r="Q24" s="3">
        <v>3.58</v>
      </c>
      <c r="R24" s="23"/>
      <c r="S24" s="3">
        <v>0</v>
      </c>
    </row>
    <row r="25" spans="1:19" x14ac:dyDescent="0.3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  <c r="R25" s="23">
        <v>10.42</v>
      </c>
      <c r="S25" s="3">
        <v>9</v>
      </c>
    </row>
    <row r="26" spans="1:19" x14ac:dyDescent="0.3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7</v>
      </c>
      <c r="I26" s="3">
        <v>9.7999999999999989</v>
      </c>
      <c r="J26" s="3">
        <v>11.200000000000001</v>
      </c>
      <c r="K26" s="3">
        <v>11.5</v>
      </c>
      <c r="L26" s="3">
        <v>16.099999999999998</v>
      </c>
      <c r="M26" s="3">
        <v>18.400000000000002</v>
      </c>
      <c r="N26" s="3">
        <v>7.5000000000000009</v>
      </c>
      <c r="O26" s="3">
        <v>10.5</v>
      </c>
      <c r="P26" s="3">
        <v>12.000000000000002</v>
      </c>
      <c r="Q26" s="3">
        <v>10</v>
      </c>
      <c r="R26" s="23">
        <v>11.89968</v>
      </c>
      <c r="S26" s="3">
        <v>17.10032</v>
      </c>
    </row>
    <row r="27" spans="1:19" x14ac:dyDescent="0.3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4.5</v>
      </c>
      <c r="I27" s="3">
        <v>6.3</v>
      </c>
      <c r="J27" s="3">
        <v>7.2</v>
      </c>
      <c r="K27" s="3">
        <v>4</v>
      </c>
      <c r="L27" s="3">
        <v>5.6</v>
      </c>
      <c r="M27" s="3">
        <v>6.4</v>
      </c>
      <c r="N27" s="3">
        <v>5</v>
      </c>
      <c r="O27" s="3">
        <v>7</v>
      </c>
      <c r="P27" s="3">
        <v>8</v>
      </c>
      <c r="Q27" s="3">
        <v>5</v>
      </c>
      <c r="R27" s="23">
        <v>18.899999999999999</v>
      </c>
      <c r="S27" s="3">
        <v>20</v>
      </c>
    </row>
    <row r="28" spans="1:19" x14ac:dyDescent="0.3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5.4924999999999997</v>
      </c>
      <c r="I28" s="3">
        <v>7.6894999999999989</v>
      </c>
      <c r="J28" s="3">
        <v>8.7880000000000003</v>
      </c>
      <c r="K28" s="3">
        <v>6.75</v>
      </c>
      <c r="L28" s="3">
        <v>9.4499999999999993</v>
      </c>
      <c r="M28" s="3">
        <v>10.8</v>
      </c>
      <c r="N28" s="3">
        <v>9</v>
      </c>
      <c r="O28" s="3">
        <v>12.6</v>
      </c>
      <c r="P28" s="3">
        <v>14.4</v>
      </c>
      <c r="Q28" s="3">
        <v>10.25</v>
      </c>
      <c r="R28" s="23">
        <v>14.24</v>
      </c>
      <c r="S28" s="3">
        <v>5</v>
      </c>
    </row>
    <row r="29" spans="1:19" x14ac:dyDescent="0.3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8.9</v>
      </c>
      <c r="I29" s="3">
        <v>12.459999999999999</v>
      </c>
      <c r="J29" s="3">
        <v>14.240000000000002</v>
      </c>
      <c r="K29" s="3">
        <v>10.25</v>
      </c>
      <c r="L29" s="3">
        <v>14.35</v>
      </c>
      <c r="M29" s="3">
        <v>16.400000000000002</v>
      </c>
      <c r="N29" s="3">
        <v>8.7749999999999986</v>
      </c>
      <c r="O29" s="3">
        <v>12.284999999999997</v>
      </c>
      <c r="P29" s="3">
        <v>14.04</v>
      </c>
      <c r="Q29" s="3">
        <v>5</v>
      </c>
      <c r="R29" s="23">
        <v>34.97242</v>
      </c>
      <c r="S29" s="3">
        <v>45</v>
      </c>
    </row>
    <row r="30" spans="1:19" x14ac:dyDescent="0.3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8.75</v>
      </c>
      <c r="I30" s="3">
        <v>12.25</v>
      </c>
      <c r="J30" s="3">
        <v>14</v>
      </c>
      <c r="K30" s="3">
        <v>8</v>
      </c>
      <c r="L30" s="3">
        <v>11.2</v>
      </c>
      <c r="M30" s="3">
        <v>12.8</v>
      </c>
      <c r="N30" s="3">
        <v>5</v>
      </c>
      <c r="O30" s="3">
        <v>7</v>
      </c>
      <c r="P30" s="3">
        <v>8</v>
      </c>
      <c r="Q30" s="3">
        <v>5</v>
      </c>
      <c r="R30" s="23"/>
      <c r="S30" s="3">
        <v>0</v>
      </c>
    </row>
    <row r="31" spans="1:19" x14ac:dyDescent="0.3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21.5</v>
      </c>
      <c r="I31" s="3">
        <v>30.099999999999998</v>
      </c>
      <c r="J31" s="3">
        <v>34.4</v>
      </c>
      <c r="K31" s="3">
        <v>29.25</v>
      </c>
      <c r="L31" s="3">
        <v>40.949999999999996</v>
      </c>
      <c r="M31" s="3">
        <v>46.800000000000004</v>
      </c>
      <c r="N31" s="3">
        <v>33.75</v>
      </c>
      <c r="O31" s="3">
        <v>47.25</v>
      </c>
      <c r="P31" s="3">
        <v>54</v>
      </c>
      <c r="Q31" s="3">
        <v>42</v>
      </c>
      <c r="R31" s="23">
        <v>19.03</v>
      </c>
      <c r="S31" s="3">
        <v>19.75</v>
      </c>
    </row>
    <row r="32" spans="1:19" x14ac:dyDescent="0.3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2.5</v>
      </c>
      <c r="I32" s="3">
        <v>3.5</v>
      </c>
      <c r="J32" s="3">
        <v>4</v>
      </c>
      <c r="K32" s="3">
        <v>3</v>
      </c>
      <c r="L32" s="3">
        <v>4.1999999999999993</v>
      </c>
      <c r="M32" s="3">
        <v>4.8000000000000007</v>
      </c>
      <c r="N32" s="3">
        <v>0</v>
      </c>
      <c r="O32" s="3">
        <v>0</v>
      </c>
      <c r="P32" s="3">
        <v>0</v>
      </c>
      <c r="Q32" s="3"/>
      <c r="R32" s="23">
        <v>0.248</v>
      </c>
      <c r="S32" s="3">
        <v>1.04</v>
      </c>
    </row>
    <row r="33" spans="1:19" x14ac:dyDescent="0.3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11.5</v>
      </c>
      <c r="I33" s="3">
        <v>16.099999999999998</v>
      </c>
      <c r="J33" s="3">
        <v>18.400000000000002</v>
      </c>
      <c r="K33" s="3">
        <v>12.5625</v>
      </c>
      <c r="L33" s="3">
        <v>17.587499999999999</v>
      </c>
      <c r="M33" s="3">
        <v>20.100000000000001</v>
      </c>
      <c r="N33" s="3">
        <v>15</v>
      </c>
      <c r="O33" s="3">
        <v>21</v>
      </c>
      <c r="P33" s="3">
        <v>24</v>
      </c>
      <c r="Q33" s="3">
        <v>20.25</v>
      </c>
      <c r="R33" s="23">
        <v>3.22</v>
      </c>
      <c r="S33" s="3">
        <v>3.2</v>
      </c>
    </row>
    <row r="34" spans="1:19" x14ac:dyDescent="0.3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0.92500000000000004</v>
      </c>
      <c r="I34" s="3">
        <v>1.2949999999999999</v>
      </c>
      <c r="J34" s="3">
        <v>1.4800000000000002</v>
      </c>
      <c r="K34" s="3">
        <v>0.375</v>
      </c>
      <c r="L34" s="3">
        <v>0.52499999999999991</v>
      </c>
      <c r="M34" s="3">
        <v>0.60000000000000009</v>
      </c>
      <c r="N34" s="3">
        <v>0.375</v>
      </c>
      <c r="O34" s="3">
        <v>0.52499999999999991</v>
      </c>
      <c r="P34" s="3">
        <v>0.60000000000000009</v>
      </c>
      <c r="Q34" s="3">
        <v>1.04</v>
      </c>
      <c r="R34" s="23">
        <v>-1.2669999999999999</v>
      </c>
      <c r="S34" s="3">
        <v>0</v>
      </c>
    </row>
    <row r="35" spans="1:19" x14ac:dyDescent="0.3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6.25</v>
      </c>
      <c r="I35" s="3">
        <v>8.75</v>
      </c>
      <c r="J35" s="3">
        <v>10</v>
      </c>
      <c r="K35" s="3">
        <v>3.1680000000000001</v>
      </c>
      <c r="L35" s="3">
        <v>4.4352</v>
      </c>
      <c r="M35" s="3">
        <v>5.0688000000000004</v>
      </c>
      <c r="N35" s="3">
        <v>2.4000000000000004</v>
      </c>
      <c r="O35" s="3">
        <v>3.3600000000000003</v>
      </c>
      <c r="P35" s="3">
        <v>3.8400000000000007</v>
      </c>
      <c r="Q35" s="3">
        <v>3.2</v>
      </c>
      <c r="R35" s="23">
        <v>2.9498000000000002</v>
      </c>
      <c r="S35" s="3">
        <v>6</v>
      </c>
    </row>
    <row r="36" spans="1:19" x14ac:dyDescent="0.3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23">
        <v>9.1100000000000012</v>
      </c>
      <c r="S36" s="3">
        <v>7.51</v>
      </c>
    </row>
    <row r="37" spans="1:19" x14ac:dyDescent="0.3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3.0749999999999997</v>
      </c>
      <c r="I37" s="3">
        <v>4.3049999999999997</v>
      </c>
      <c r="J37" s="3">
        <v>4.92</v>
      </c>
      <c r="K37" s="3">
        <v>6.7995000000000001</v>
      </c>
      <c r="L37" s="3">
        <v>9.5192999999999994</v>
      </c>
      <c r="M37" s="3">
        <v>10.879200000000001</v>
      </c>
      <c r="N37" s="3">
        <v>5.0250000000000004</v>
      </c>
      <c r="O37" s="3">
        <v>7.0350000000000001</v>
      </c>
      <c r="P37" s="3">
        <v>8.0400000000000009</v>
      </c>
      <c r="Q37" s="3">
        <v>1</v>
      </c>
      <c r="R37" s="23">
        <v>3.06</v>
      </c>
      <c r="S37" s="3">
        <v>5</v>
      </c>
    </row>
    <row r="38" spans="1:19" x14ac:dyDescent="0.3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5.625</v>
      </c>
      <c r="I38" s="3">
        <v>7.8749999999999991</v>
      </c>
      <c r="J38" s="3">
        <v>9</v>
      </c>
      <c r="K38" s="3">
        <v>4.7234999999999996</v>
      </c>
      <c r="L38" s="3">
        <v>6.6128999999999989</v>
      </c>
      <c r="M38" s="3">
        <v>7.5575999999999999</v>
      </c>
      <c r="N38" s="3">
        <v>5.27</v>
      </c>
      <c r="O38" s="3">
        <v>7.3779999999999992</v>
      </c>
      <c r="P38" s="3">
        <v>8.4320000000000004</v>
      </c>
      <c r="Q38" s="3">
        <v>7.51</v>
      </c>
      <c r="R38" s="23">
        <v>29.50095</v>
      </c>
      <c r="S38" s="3">
        <v>56</v>
      </c>
    </row>
    <row r="39" spans="1:19" x14ac:dyDescent="0.3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</v>
      </c>
      <c r="I39" s="3">
        <v>4.1999999999999993</v>
      </c>
      <c r="J39" s="3">
        <v>4.8000000000000007</v>
      </c>
      <c r="K39" s="3">
        <v>4</v>
      </c>
      <c r="L39" s="3">
        <v>5.6</v>
      </c>
      <c r="M39" s="3">
        <v>6.4</v>
      </c>
      <c r="N39" s="3">
        <v>4</v>
      </c>
      <c r="O39" s="3">
        <v>5.6</v>
      </c>
      <c r="P39" s="3">
        <v>6.4</v>
      </c>
      <c r="Q39" s="3">
        <v>4</v>
      </c>
      <c r="R39" s="23">
        <v>6</v>
      </c>
      <c r="S39" s="3">
        <v>24</v>
      </c>
    </row>
    <row r="40" spans="1:19" x14ac:dyDescent="0.3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30</v>
      </c>
      <c r="I40" s="3">
        <v>42</v>
      </c>
      <c r="J40" s="3">
        <v>48</v>
      </c>
      <c r="K40" s="3">
        <v>22.5</v>
      </c>
      <c r="L40" s="3">
        <v>31.499999999999996</v>
      </c>
      <c r="M40" s="3">
        <v>36</v>
      </c>
      <c r="N40" s="3">
        <v>26.25</v>
      </c>
      <c r="O40" s="3">
        <v>36.75</v>
      </c>
      <c r="P40" s="3">
        <v>42</v>
      </c>
      <c r="Q40" s="3">
        <v>38</v>
      </c>
      <c r="R40" s="23">
        <v>6.5945499999999999</v>
      </c>
      <c r="S40" s="3">
        <v>6.8</v>
      </c>
    </row>
    <row r="41" spans="1:19" x14ac:dyDescent="0.3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11.5</v>
      </c>
      <c r="I41" s="3">
        <v>16.099999999999998</v>
      </c>
      <c r="J41" s="3">
        <v>18.400000000000002</v>
      </c>
      <c r="K41" s="3">
        <v>15.525</v>
      </c>
      <c r="L41" s="3">
        <v>21.734999999999999</v>
      </c>
      <c r="M41" s="3">
        <v>24.840000000000003</v>
      </c>
      <c r="N41" s="3">
        <v>13.225</v>
      </c>
      <c r="O41" s="3">
        <v>18.514999999999997</v>
      </c>
      <c r="P41" s="3">
        <v>21.16</v>
      </c>
      <c r="Q41" s="3">
        <v>10</v>
      </c>
      <c r="R41" s="23"/>
      <c r="S41" s="3">
        <v>0</v>
      </c>
    </row>
    <row r="42" spans="1:19" x14ac:dyDescent="0.3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3.25</v>
      </c>
      <c r="I42" s="3">
        <v>4.55</v>
      </c>
      <c r="J42" s="3">
        <v>5.2</v>
      </c>
      <c r="K42" s="3">
        <v>11.05</v>
      </c>
      <c r="L42" s="3">
        <v>15.47</v>
      </c>
      <c r="M42" s="3">
        <v>17.680000000000003</v>
      </c>
      <c r="N42" s="3">
        <v>4.8000000000000007</v>
      </c>
      <c r="O42" s="3">
        <v>6.7200000000000006</v>
      </c>
      <c r="P42" s="3">
        <v>7.6800000000000015</v>
      </c>
      <c r="Q42" s="3">
        <v>5.3</v>
      </c>
      <c r="R42" s="23"/>
      <c r="S42" s="3">
        <v>0</v>
      </c>
    </row>
    <row r="43" spans="1:19" x14ac:dyDescent="0.3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10</v>
      </c>
      <c r="I43" s="3">
        <v>14</v>
      </c>
      <c r="J43" s="3">
        <v>16</v>
      </c>
      <c r="K43" s="3">
        <v>7.5</v>
      </c>
      <c r="L43" s="3">
        <v>10.5</v>
      </c>
      <c r="M43" s="3">
        <v>12</v>
      </c>
      <c r="N43" s="3">
        <v>0</v>
      </c>
      <c r="O43" s="3">
        <v>0</v>
      </c>
      <c r="P43" s="3">
        <v>0</v>
      </c>
      <c r="Q43" s="3"/>
      <c r="R43" s="23"/>
      <c r="S43" s="3">
        <v>0</v>
      </c>
    </row>
    <row r="44" spans="1:19" x14ac:dyDescent="0.3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1.5</v>
      </c>
      <c r="I44" s="3">
        <v>2.0999999999999996</v>
      </c>
      <c r="J44" s="3">
        <v>2.4000000000000004</v>
      </c>
      <c r="K44" s="3">
        <v>1.25</v>
      </c>
      <c r="L44" s="3">
        <v>1.75</v>
      </c>
      <c r="M44" s="3">
        <v>2</v>
      </c>
      <c r="N44" s="3">
        <v>1.25</v>
      </c>
      <c r="O44" s="3">
        <v>1.75</v>
      </c>
      <c r="P44" s="3">
        <v>2</v>
      </c>
      <c r="Q44" s="3">
        <v>0</v>
      </c>
      <c r="R44" s="23"/>
      <c r="S44" s="3">
        <v>0</v>
      </c>
    </row>
    <row r="45" spans="1:19" x14ac:dyDescent="0.3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1</v>
      </c>
      <c r="I45" s="3">
        <v>1.4</v>
      </c>
      <c r="J45" s="3">
        <v>1.6</v>
      </c>
      <c r="K45" s="3">
        <v>3.75</v>
      </c>
      <c r="L45" s="3">
        <v>5.25</v>
      </c>
      <c r="M45" s="3">
        <v>6</v>
      </c>
      <c r="N45" s="3">
        <v>2.5</v>
      </c>
      <c r="O45" s="3">
        <v>3.5</v>
      </c>
      <c r="P45" s="3">
        <v>4</v>
      </c>
      <c r="Q45" s="3"/>
      <c r="R45" s="23"/>
      <c r="S45" s="3">
        <v>0</v>
      </c>
    </row>
    <row r="46" spans="1:19" x14ac:dyDescent="0.3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/>
      <c r="I46" s="3"/>
      <c r="J46" s="3"/>
      <c r="K46" s="3">
        <v>7.35</v>
      </c>
      <c r="L46" s="3">
        <v>10.29</v>
      </c>
      <c r="M46" s="3">
        <v>11.76</v>
      </c>
      <c r="N46" s="3">
        <v>2</v>
      </c>
      <c r="O46" s="3">
        <v>2.8</v>
      </c>
      <c r="P46" s="3">
        <v>3.2</v>
      </c>
      <c r="Q46" s="3">
        <v>2.5</v>
      </c>
      <c r="R46" s="23"/>
      <c r="S46" s="3">
        <v>0</v>
      </c>
    </row>
    <row r="47" spans="1:19" x14ac:dyDescent="0.3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12.675000000000001</v>
      </c>
      <c r="I47" s="3">
        <v>17.745000000000001</v>
      </c>
      <c r="J47" s="3">
        <v>20.28</v>
      </c>
      <c r="K47" s="3">
        <v>13.75</v>
      </c>
      <c r="L47" s="3">
        <v>19.25</v>
      </c>
      <c r="M47" s="3">
        <v>22</v>
      </c>
      <c r="N47" s="3">
        <v>17.5</v>
      </c>
      <c r="O47" s="3">
        <v>24.5</v>
      </c>
      <c r="P47" s="3">
        <v>28</v>
      </c>
      <c r="Q47" s="3">
        <v>10</v>
      </c>
      <c r="R47" s="23"/>
      <c r="S47" s="3">
        <v>0</v>
      </c>
    </row>
    <row r="48" spans="1:19" x14ac:dyDescent="0.3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5</v>
      </c>
      <c r="I48" s="3">
        <v>7</v>
      </c>
      <c r="J48" s="3">
        <v>8</v>
      </c>
      <c r="K48" s="3">
        <v>4.375</v>
      </c>
      <c r="L48" s="3">
        <v>6.125</v>
      </c>
      <c r="M48" s="3">
        <v>7</v>
      </c>
      <c r="N48" s="3">
        <v>3.5</v>
      </c>
      <c r="O48" s="3">
        <v>4.8999999999999995</v>
      </c>
      <c r="P48" s="3">
        <v>5.6000000000000005</v>
      </c>
      <c r="Q48" s="3">
        <v>5</v>
      </c>
      <c r="R48" s="23"/>
      <c r="S48" s="3">
        <v>0</v>
      </c>
    </row>
    <row r="49" spans="1:19" x14ac:dyDescent="0.3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/>
      <c r="I49" s="3"/>
      <c r="J49" s="3"/>
      <c r="K49" s="3">
        <v>0.625</v>
      </c>
      <c r="L49" s="3">
        <v>0.875</v>
      </c>
      <c r="M49" s="3">
        <v>1</v>
      </c>
      <c r="N49" s="3">
        <v>0.5</v>
      </c>
      <c r="O49" s="3">
        <v>0.7</v>
      </c>
      <c r="P49" s="3">
        <v>0.8</v>
      </c>
      <c r="Q49" s="3"/>
      <c r="R49" s="23"/>
      <c r="S49" s="3">
        <v>0</v>
      </c>
    </row>
    <row r="50" spans="1:19" x14ac:dyDescent="0.3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5.4924999999999997</v>
      </c>
      <c r="I50" s="3">
        <v>7.6894999999999989</v>
      </c>
      <c r="J50" s="3">
        <v>8.7880000000000003</v>
      </c>
      <c r="K50" s="3">
        <v>0.75</v>
      </c>
      <c r="L50" s="3">
        <v>1.0499999999999998</v>
      </c>
      <c r="M50" s="3">
        <v>1.2000000000000002</v>
      </c>
      <c r="N50" s="3">
        <v>0</v>
      </c>
      <c r="O50" s="3">
        <v>0</v>
      </c>
      <c r="P50" s="3">
        <v>0</v>
      </c>
      <c r="Q50" s="3"/>
      <c r="R50" s="23"/>
      <c r="S50" s="3">
        <v>0</v>
      </c>
    </row>
    <row r="51" spans="1:19" x14ac:dyDescent="0.3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/>
      <c r="I51" s="3"/>
      <c r="J51" s="3"/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  <c r="R51" s="23">
        <v>1.0268999999999999</v>
      </c>
      <c r="S51" s="3">
        <v>0</v>
      </c>
    </row>
    <row r="52" spans="1:19" x14ac:dyDescent="0.3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/>
      <c r="I52" s="3"/>
      <c r="J52" s="3"/>
      <c r="K52" s="3">
        <v>0</v>
      </c>
      <c r="L52" s="3">
        <v>0</v>
      </c>
      <c r="M52" s="3">
        <v>0</v>
      </c>
      <c r="N52" s="3">
        <v>0.9</v>
      </c>
      <c r="O52" s="3">
        <v>1.26</v>
      </c>
      <c r="P52" s="3">
        <v>1.4400000000000002</v>
      </c>
      <c r="Q52" s="3">
        <v>1.5</v>
      </c>
      <c r="R52" s="23">
        <v>-0.35</v>
      </c>
      <c r="S52" s="3">
        <v>0</v>
      </c>
    </row>
    <row r="53" spans="1:19" x14ac:dyDescent="0.3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/>
      <c r="I53" s="3"/>
      <c r="J53" s="3"/>
      <c r="K53" s="3">
        <v>0</v>
      </c>
      <c r="L53" s="3">
        <v>0</v>
      </c>
      <c r="M53" s="3">
        <v>0</v>
      </c>
      <c r="N53" s="3">
        <v>1.1000000000000001</v>
      </c>
      <c r="O53" s="3">
        <v>1.54</v>
      </c>
      <c r="P53" s="3">
        <v>1.7600000000000002</v>
      </c>
      <c r="Q53" s="3">
        <v>1.5</v>
      </c>
      <c r="R53" s="23">
        <v>1.7</v>
      </c>
      <c r="S53" s="3">
        <v>5</v>
      </c>
    </row>
    <row r="54" spans="1:19" x14ac:dyDescent="0.3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/>
      <c r="I54" s="3"/>
      <c r="J54" s="3"/>
      <c r="K54" s="3">
        <v>0.85</v>
      </c>
      <c r="L54" s="3">
        <v>1.19</v>
      </c>
      <c r="M54" s="3">
        <v>1.36</v>
      </c>
      <c r="N54" s="3">
        <v>1.5</v>
      </c>
      <c r="O54" s="3">
        <v>2.0999999999999996</v>
      </c>
      <c r="P54" s="3">
        <v>2.4000000000000004</v>
      </c>
      <c r="Q54" s="3"/>
      <c r="R54" s="23">
        <v>30.42</v>
      </c>
      <c r="S54" s="3">
        <v>105</v>
      </c>
    </row>
    <row r="55" spans="1:19" x14ac:dyDescent="0.3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63.333333333333336</v>
      </c>
      <c r="R55" s="23"/>
      <c r="S55" s="3">
        <v>10</v>
      </c>
    </row>
    <row r="56" spans="1:19" x14ac:dyDescent="0.3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/>
      <c r="R56" s="23">
        <v>-1</v>
      </c>
      <c r="S56" s="3">
        <v>0</v>
      </c>
    </row>
    <row r="57" spans="1:19" x14ac:dyDescent="0.3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1.5</v>
      </c>
      <c r="I57" s="3">
        <v>2.0999999999999996</v>
      </c>
      <c r="J57" s="3">
        <v>2.4000000000000004</v>
      </c>
      <c r="K57" s="3">
        <v>5</v>
      </c>
      <c r="L57" s="3">
        <v>7</v>
      </c>
      <c r="M57" s="3">
        <v>8</v>
      </c>
      <c r="N57" s="3">
        <v>5.0250000000000004</v>
      </c>
      <c r="O57" s="3">
        <v>7.0350000000000001</v>
      </c>
      <c r="P57" s="3">
        <v>8.0400000000000009</v>
      </c>
      <c r="Q57" s="3">
        <v>9.1999999999999993</v>
      </c>
      <c r="R57" s="23">
        <v>-1.62</v>
      </c>
      <c r="S57" s="3">
        <v>0</v>
      </c>
    </row>
    <row r="58" spans="1:19" x14ac:dyDescent="0.3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1.3125</v>
      </c>
      <c r="O58" s="3">
        <v>1.8374999999999999</v>
      </c>
      <c r="P58" s="3">
        <v>2.1</v>
      </c>
      <c r="Q58" s="3"/>
      <c r="R58" s="23"/>
      <c r="S58" s="3">
        <v>0</v>
      </c>
    </row>
    <row r="59" spans="1:19" x14ac:dyDescent="0.3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4</v>
      </c>
      <c r="R59" s="23"/>
      <c r="S59" s="3">
        <v>0</v>
      </c>
    </row>
    <row r="60" spans="1:19" x14ac:dyDescent="0.3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11.14</v>
      </c>
      <c r="L60" s="3">
        <v>15.596</v>
      </c>
      <c r="M60" s="3">
        <v>17.824000000000002</v>
      </c>
      <c r="N60" s="3">
        <v>5.8250000000000002</v>
      </c>
      <c r="O60" s="3">
        <v>8.1549999999999994</v>
      </c>
      <c r="P60" s="3">
        <v>9.32</v>
      </c>
      <c r="Q60" s="3">
        <v>9.6999999999999993</v>
      </c>
      <c r="R60" s="23"/>
      <c r="S60" s="3">
        <v>0</v>
      </c>
    </row>
    <row r="61" spans="1:19" x14ac:dyDescent="0.3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/>
      <c r="I61" s="3"/>
      <c r="J61" s="3"/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  <c r="R61" s="23"/>
      <c r="S61" s="3">
        <v>0</v>
      </c>
    </row>
    <row r="62" spans="1:19" x14ac:dyDescent="0.3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/>
      <c r="I62" s="3"/>
      <c r="J62" s="3"/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  <c r="R62" s="23"/>
      <c r="S62" s="3">
        <v>0</v>
      </c>
    </row>
    <row r="63" spans="1:19" x14ac:dyDescent="0.3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/>
      <c r="I63" s="3"/>
      <c r="J63" s="3"/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  <c r="R63" s="23"/>
      <c r="S63" s="3">
        <v>0</v>
      </c>
    </row>
    <row r="64" spans="1:19" x14ac:dyDescent="0.3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3.95</v>
      </c>
      <c r="R64" s="23"/>
      <c r="S64" s="3">
        <v>1.5</v>
      </c>
    </row>
    <row r="65" spans="1:19" x14ac:dyDescent="0.3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0.57499999999999996</v>
      </c>
      <c r="I65" s="3">
        <v>0.80499999999999994</v>
      </c>
      <c r="J65" s="3">
        <v>0.91999999999999993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  <c r="R65" s="23">
        <v>81</v>
      </c>
      <c r="S65" s="3">
        <v>62.725999999999999</v>
      </c>
    </row>
    <row r="66" spans="1:19" x14ac:dyDescent="0.3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/>
      <c r="I66" s="3"/>
      <c r="J66" s="3"/>
      <c r="K66" s="3"/>
      <c r="L66" s="3"/>
      <c r="M66" s="3"/>
      <c r="N66" s="3">
        <v>0.5</v>
      </c>
      <c r="O66" s="3">
        <v>0.7</v>
      </c>
      <c r="P66" s="3">
        <v>0.8</v>
      </c>
      <c r="Q66" s="3">
        <v>1.04</v>
      </c>
      <c r="R66" s="23"/>
      <c r="S66" s="3">
        <v>0</v>
      </c>
    </row>
    <row r="67" spans="1:19" x14ac:dyDescent="0.3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/>
      <c r="I67" s="3"/>
      <c r="J67" s="3"/>
      <c r="K67" s="3"/>
      <c r="L67" s="3"/>
      <c r="M67" s="3"/>
      <c r="N67" s="3"/>
      <c r="O67" s="3"/>
      <c r="P67" s="3"/>
      <c r="Q67" s="3">
        <v>3</v>
      </c>
      <c r="R67" s="23">
        <v>10.4</v>
      </c>
      <c r="S67" s="3">
        <v>11</v>
      </c>
    </row>
    <row r="68" spans="1:19" x14ac:dyDescent="0.3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/>
      <c r="I68" s="3"/>
      <c r="J68" s="3"/>
      <c r="K68" s="3"/>
      <c r="L68" s="3"/>
      <c r="M68" s="3"/>
      <c r="N68" s="3"/>
      <c r="O68" s="3"/>
      <c r="P68" s="3"/>
      <c r="Q68" s="3">
        <v>2</v>
      </c>
      <c r="R68" s="23">
        <v>3.1</v>
      </c>
      <c r="S68" s="3">
        <v>6.65</v>
      </c>
    </row>
    <row r="69" spans="1:19" x14ac:dyDescent="0.35">
      <c r="A69" s="16" t="s">
        <v>117</v>
      </c>
      <c r="B69" s="1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23">
        <v>3.72</v>
      </c>
      <c r="S69" s="3">
        <v>3.72</v>
      </c>
    </row>
    <row r="70" spans="1:19" x14ac:dyDescent="0.3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23">
        <v>6.8227200000000003</v>
      </c>
      <c r="S70" s="3">
        <v>9.8000000000000007</v>
      </c>
    </row>
    <row r="71" spans="1:19" x14ac:dyDescent="0.3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23">
        <v>1.95</v>
      </c>
      <c r="S71" s="3">
        <v>3.95</v>
      </c>
    </row>
    <row r="72" spans="1:19" x14ac:dyDescent="0.3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23">
        <v>3.95</v>
      </c>
      <c r="S72" s="3">
        <v>2.9999999999999991</v>
      </c>
    </row>
    <row r="73" spans="1:19" x14ac:dyDescent="0.3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23">
        <v>5.6218700000000004</v>
      </c>
      <c r="S73" s="3">
        <v>6.2937500000000002</v>
      </c>
    </row>
    <row r="74" spans="1:19" x14ac:dyDescent="0.3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23"/>
      <c r="S74" s="3">
        <v>2</v>
      </c>
    </row>
    <row r="75" spans="1:19" x14ac:dyDescent="0.35">
      <c r="A75" s="16" t="s">
        <v>117</v>
      </c>
      <c r="B75" s="1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23">
        <v>1.8499999999999999</v>
      </c>
      <c r="S75" s="3">
        <v>4.4000000000000004</v>
      </c>
    </row>
    <row r="76" spans="1:19" x14ac:dyDescent="0.3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23">
        <v>0.434</v>
      </c>
      <c r="S76" s="3">
        <v>2</v>
      </c>
    </row>
  </sheetData>
  <conditionalFormatting sqref="A1:B1 I1:S1 E1:G1">
    <cfRule type="duplicateValues" dxfId="65" priority="1"/>
  </conditionalFormatting>
  <conditionalFormatting sqref="B51:B73 B2:B41">
    <cfRule type="duplicateValues" dxfId="64" priority="4"/>
  </conditionalFormatting>
  <conditionalFormatting sqref="B74:B76 B42:B50">
    <cfRule type="duplicateValues" dxfId="63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D3CB-1897-45F1-9525-83B14614EFE5}">
  <sheetPr codeName="Sheet5">
    <tabColor rgb="FFFFC000"/>
  </sheetPr>
  <dimension ref="A1:S76"/>
  <sheetViews>
    <sheetView topLeftCell="C1" workbookViewId="0">
      <selection activeCell="S2" sqref="S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f>IFERROR(Rev_Forecast!H2*45%,0)</f>
        <v>49.5</v>
      </c>
      <c r="I2" s="17">
        <f>IFERROR(Rev_Forecast!I2*45%,0)</f>
        <v>69.3</v>
      </c>
      <c r="J2" s="17">
        <f>IFERROR(Rev_Forecast!J2*45%,0)</f>
        <v>79.2</v>
      </c>
      <c r="K2" s="17">
        <f>IFERROR(Rev_Forecast!K2*45%,0)</f>
        <v>53.641797749999995</v>
      </c>
      <c r="L2" s="17">
        <f>IFERROR(Rev_Forecast!L2*45%,0)</f>
        <v>75.098516849999996</v>
      </c>
      <c r="M2" s="17">
        <f>IFERROR(Rev_Forecast!M2*45%,0)</f>
        <v>85.826876400000003</v>
      </c>
      <c r="N2" s="17">
        <f>IFERROR(Rev_Forecast!N2*45%,0)</f>
        <v>37.104297750000001</v>
      </c>
      <c r="O2" s="17">
        <f>IFERROR(Rev_Forecast!O2*45%,0)</f>
        <v>51.946016849999999</v>
      </c>
      <c r="P2" s="17">
        <f>IFERROR(Rev_Forecast!P2*45%,0)</f>
        <v>59.36687640000001</v>
      </c>
      <c r="Q2" s="17">
        <f>IFERROR(Rev_Forecast!Q2*45%,0)</f>
        <v>54</v>
      </c>
      <c r="R2" s="17">
        <f>IFERROR(Rev_Forecast!R2*45%,0)</f>
        <v>68.700370499999991</v>
      </c>
      <c r="S2" s="17">
        <f>IFERROR(Rev_Forecast!S2*45%,0)</f>
        <v>60.559258499999991</v>
      </c>
    </row>
    <row r="3" spans="1:19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f>IFERROR(Rev_Forecast!H3*45%,0)</f>
        <v>1.96875</v>
      </c>
      <c r="I3" s="17">
        <f>IFERROR(Rev_Forecast!I3*45%,0)</f>
        <v>2.7562500000000001</v>
      </c>
      <c r="J3" s="17">
        <f>IFERROR(Rev_Forecast!J3*45%,0)</f>
        <v>3.15</v>
      </c>
      <c r="K3" s="17">
        <f>IFERROR(Rev_Forecast!K3*45%,0)</f>
        <v>2.9250000000000003</v>
      </c>
      <c r="L3" s="17">
        <f>IFERROR(Rev_Forecast!L3*45%,0)</f>
        <v>4.0949999999999998</v>
      </c>
      <c r="M3" s="17">
        <f>IFERROR(Rev_Forecast!M3*45%,0)</f>
        <v>4.6800000000000006</v>
      </c>
      <c r="N3" s="17">
        <f>IFERROR(Rev_Forecast!N3*45%,0)</f>
        <v>1.8</v>
      </c>
      <c r="O3" s="17">
        <f>IFERROR(Rev_Forecast!O3*45%,0)</f>
        <v>2.52</v>
      </c>
      <c r="P3" s="17">
        <f>IFERROR(Rev_Forecast!P3*45%,0)</f>
        <v>2.8800000000000003</v>
      </c>
      <c r="Q3" s="17">
        <f>IFERROR(Rev_Forecast!Q3*45%,0)</f>
        <v>3.6</v>
      </c>
      <c r="R3" s="17">
        <f>IFERROR(Rev_Forecast!R3*45%,0)</f>
        <v>3.0622500000000001</v>
      </c>
      <c r="S3" s="17">
        <f>IFERROR(Rev_Forecast!S3*45%,0)</f>
        <v>3.15</v>
      </c>
    </row>
    <row r="4" spans="1:19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f>IFERROR(Rev_Forecast!H4*45%,0)</f>
        <v>0.50624999999999998</v>
      </c>
      <c r="I4" s="17">
        <f>IFERROR(Rev_Forecast!I4*45%,0)</f>
        <v>0.70874999999999999</v>
      </c>
      <c r="J4" s="17">
        <f>IFERROR(Rev_Forecast!J4*45%,0)</f>
        <v>0.81</v>
      </c>
      <c r="K4" s="17">
        <f>IFERROR(Rev_Forecast!K4*45%,0)</f>
        <v>0</v>
      </c>
      <c r="L4" s="17">
        <f>IFERROR(Rev_Forecast!L4*45%,0)</f>
        <v>0</v>
      </c>
      <c r="M4" s="17">
        <f>IFERROR(Rev_Forecast!M4*45%,0)</f>
        <v>0</v>
      </c>
      <c r="N4" s="17">
        <f>IFERROR(Rev_Forecast!N4*45%,0)</f>
        <v>0</v>
      </c>
      <c r="O4" s="17">
        <f>IFERROR(Rev_Forecast!O4*45%,0)</f>
        <v>0</v>
      </c>
      <c r="P4" s="17">
        <f>IFERROR(Rev_Forecast!P4*45%,0)</f>
        <v>0</v>
      </c>
      <c r="Q4" s="17">
        <f>IFERROR(Rev_Forecast!Q4*45%,0)</f>
        <v>0</v>
      </c>
      <c r="R4" s="17">
        <f>IFERROR(Rev_Forecast!R4*45%,0)</f>
        <v>0</v>
      </c>
      <c r="S4" s="17">
        <f>IFERROR(Rev_Forecast!S4*45%,0)</f>
        <v>0</v>
      </c>
    </row>
    <row r="5" spans="1:19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f>IFERROR(Rev_Forecast!H5*45%,0)</f>
        <v>5.7374999999999998</v>
      </c>
      <c r="I5" s="17">
        <f>IFERROR(Rev_Forecast!I5*45%,0)</f>
        <v>8.0324999999999989</v>
      </c>
      <c r="J5" s="17">
        <f>IFERROR(Rev_Forecast!J5*45%,0)</f>
        <v>9.1800000000000015</v>
      </c>
      <c r="K5" s="17">
        <f>IFERROR(Rev_Forecast!K5*45%,0)</f>
        <v>5.8725000000000005</v>
      </c>
      <c r="L5" s="17">
        <f>IFERROR(Rev_Forecast!L5*45%,0)</f>
        <v>8.2215000000000007</v>
      </c>
      <c r="M5" s="17">
        <f>IFERROR(Rev_Forecast!M5*45%,0)</f>
        <v>9.3960000000000008</v>
      </c>
      <c r="N5" s="17">
        <f>IFERROR(Rev_Forecast!N5*45%,0)</f>
        <v>3.6112499999999996</v>
      </c>
      <c r="O5" s="17">
        <f>IFERROR(Rev_Forecast!O5*45%,0)</f>
        <v>5.0557499999999989</v>
      </c>
      <c r="P5" s="17">
        <f>IFERROR(Rev_Forecast!P5*45%,0)</f>
        <v>5.7779999999999996</v>
      </c>
      <c r="Q5" s="17">
        <f>IFERROR(Rev_Forecast!Q5*45%,0)</f>
        <v>5.8500000000000005</v>
      </c>
      <c r="R5" s="17">
        <f>IFERROR(Rev_Forecast!R5*45%,0)</f>
        <v>9.7650000000000006</v>
      </c>
      <c r="S5" s="17">
        <f>IFERROR(Rev_Forecast!S5*45%,0)</f>
        <v>7.65</v>
      </c>
    </row>
    <row r="6" spans="1:19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f>IFERROR(Rev_Forecast!H6*45%,0)</f>
        <v>1.125</v>
      </c>
      <c r="I6" s="17">
        <f>IFERROR(Rev_Forecast!I6*45%,0)</f>
        <v>1.575</v>
      </c>
      <c r="J6" s="17">
        <f>IFERROR(Rev_Forecast!J6*45%,0)</f>
        <v>1.8</v>
      </c>
      <c r="K6" s="17">
        <f>IFERROR(Rev_Forecast!K6*45%,0)</f>
        <v>3.0375000000000001</v>
      </c>
      <c r="L6" s="17">
        <f>IFERROR(Rev_Forecast!L6*45%,0)</f>
        <v>4.2524999999999995</v>
      </c>
      <c r="M6" s="17">
        <f>IFERROR(Rev_Forecast!M6*45%,0)</f>
        <v>4.8600000000000003</v>
      </c>
      <c r="N6" s="17">
        <f>IFERROR(Rev_Forecast!N6*45%,0)</f>
        <v>1.125</v>
      </c>
      <c r="O6" s="17">
        <f>IFERROR(Rev_Forecast!O6*45%,0)</f>
        <v>1.575</v>
      </c>
      <c r="P6" s="17">
        <f>IFERROR(Rev_Forecast!P6*45%,0)</f>
        <v>1.8</v>
      </c>
      <c r="Q6" s="17">
        <f>IFERROR(Rev_Forecast!Q6*45%,0)</f>
        <v>2.25</v>
      </c>
      <c r="R6" s="17">
        <f>IFERROR(Rev_Forecast!R6*45%,0)</f>
        <v>10.65924</v>
      </c>
      <c r="S6" s="17">
        <f>IFERROR(Rev_Forecast!S6*45%,0)</f>
        <v>10.8</v>
      </c>
    </row>
    <row r="7" spans="1:19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f>IFERROR(Rev_Forecast!H7*45%,0)</f>
        <v>7.3687500000000004</v>
      </c>
      <c r="I7" s="17">
        <f>IFERROR(Rev_Forecast!I7*45%,0)</f>
        <v>10.316249999999998</v>
      </c>
      <c r="J7" s="17">
        <f>IFERROR(Rev_Forecast!J7*45%,0)</f>
        <v>11.790000000000001</v>
      </c>
      <c r="K7" s="17">
        <f>IFERROR(Rev_Forecast!K7*45%,0)</f>
        <v>8.2687500000000007</v>
      </c>
      <c r="L7" s="17">
        <f>IFERROR(Rev_Forecast!L7*45%,0)</f>
        <v>11.57625</v>
      </c>
      <c r="M7" s="17">
        <f>IFERROR(Rev_Forecast!M7*45%,0)</f>
        <v>13.23</v>
      </c>
      <c r="N7" s="17">
        <f>IFERROR(Rev_Forecast!N7*45%,0)</f>
        <v>6.75</v>
      </c>
      <c r="O7" s="17">
        <f>IFERROR(Rev_Forecast!O7*45%,0)</f>
        <v>9.4500000000000011</v>
      </c>
      <c r="P7" s="17">
        <f>IFERROR(Rev_Forecast!P7*45%,0)</f>
        <v>10.8</v>
      </c>
      <c r="Q7" s="17">
        <f>IFERROR(Rev_Forecast!Q7*45%,0)</f>
        <v>8.8875000000000011</v>
      </c>
      <c r="R7" s="17">
        <f>IFERROR(Rev_Forecast!R7*45%,0)</f>
        <v>1.7460000000000002</v>
      </c>
      <c r="S7" s="17">
        <f>IFERROR(Rev_Forecast!S7*45%,0)</f>
        <v>3.2625000000000002</v>
      </c>
    </row>
    <row r="8" spans="1:19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f>IFERROR(Rev_Forecast!H8*45%,0)</f>
        <v>1.8</v>
      </c>
      <c r="I8" s="17">
        <f>IFERROR(Rev_Forecast!I8*45%,0)</f>
        <v>2.52</v>
      </c>
      <c r="J8" s="17">
        <f>IFERROR(Rev_Forecast!J8*45%,0)</f>
        <v>2.8800000000000003</v>
      </c>
      <c r="K8" s="17">
        <f>IFERROR(Rev_Forecast!K8*45%,0)</f>
        <v>2.25</v>
      </c>
      <c r="L8" s="17">
        <f>IFERROR(Rev_Forecast!L8*45%,0)</f>
        <v>3.15</v>
      </c>
      <c r="M8" s="17">
        <f>IFERROR(Rev_Forecast!M8*45%,0)</f>
        <v>3.6</v>
      </c>
      <c r="N8" s="17">
        <f>IFERROR(Rev_Forecast!N8*45%,0)</f>
        <v>3.375</v>
      </c>
      <c r="O8" s="17">
        <f>IFERROR(Rev_Forecast!O8*45%,0)</f>
        <v>4.7250000000000005</v>
      </c>
      <c r="P8" s="17">
        <f>IFERROR(Rev_Forecast!P8*45%,0)</f>
        <v>5.4</v>
      </c>
      <c r="Q8" s="17">
        <f>IFERROR(Rev_Forecast!Q8*45%,0)</f>
        <v>2.8922400000000001</v>
      </c>
      <c r="R8" s="17">
        <f>IFERROR(Rev_Forecast!R8*45%,0)</f>
        <v>2.3731200000000001</v>
      </c>
      <c r="S8" s="17">
        <f>IFERROR(Rev_Forecast!S8*45%,0)</f>
        <v>2.0249999999999999</v>
      </c>
    </row>
    <row r="9" spans="1:19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f>IFERROR(Rev_Forecast!H9*45%,0)</f>
        <v>0</v>
      </c>
      <c r="I9" s="17">
        <f>IFERROR(Rev_Forecast!I9*45%,0)</f>
        <v>0</v>
      </c>
      <c r="J9" s="17">
        <f>IFERROR(Rev_Forecast!J9*45%,0)</f>
        <v>0</v>
      </c>
      <c r="K9" s="17">
        <f>IFERROR(Rev_Forecast!K9*45%,0)</f>
        <v>0</v>
      </c>
      <c r="L9" s="17">
        <f>IFERROR(Rev_Forecast!L9*45%,0)</f>
        <v>0</v>
      </c>
      <c r="M9" s="17">
        <f>IFERROR(Rev_Forecast!M9*45%,0)</f>
        <v>0</v>
      </c>
      <c r="N9" s="17">
        <f>IFERROR(Rev_Forecast!N9*45%,0)</f>
        <v>0</v>
      </c>
      <c r="O9" s="17">
        <f>IFERROR(Rev_Forecast!O9*45%,0)</f>
        <v>0</v>
      </c>
      <c r="P9" s="17">
        <f>IFERROR(Rev_Forecast!P9*45%,0)</f>
        <v>0</v>
      </c>
      <c r="Q9" s="17">
        <f>IFERROR(Rev_Forecast!Q9*45%,0)</f>
        <v>0</v>
      </c>
      <c r="R9" s="17">
        <f>IFERROR(Rev_Forecast!R9*45%,0)</f>
        <v>5.0625</v>
      </c>
      <c r="S9" s="17">
        <f>IFERROR(Rev_Forecast!S9*45%,0)</f>
        <v>5.8500000000000005</v>
      </c>
    </row>
    <row r="10" spans="1:19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f>IFERROR(Rev_Forecast!H10*45%,0)</f>
        <v>3.6</v>
      </c>
      <c r="I10" s="17">
        <f>IFERROR(Rev_Forecast!I10*45%,0)</f>
        <v>5.04</v>
      </c>
      <c r="J10" s="17">
        <f>IFERROR(Rev_Forecast!J10*45%,0)</f>
        <v>5.7600000000000007</v>
      </c>
      <c r="K10" s="17">
        <f>IFERROR(Rev_Forecast!K10*45%,0)</f>
        <v>3.4593750000000001</v>
      </c>
      <c r="L10" s="17">
        <f>IFERROR(Rev_Forecast!L10*45%,0)</f>
        <v>4.8431249999999997</v>
      </c>
      <c r="M10" s="17">
        <f>IFERROR(Rev_Forecast!M10*45%,0)</f>
        <v>5.5350000000000001</v>
      </c>
      <c r="N10" s="17">
        <f>IFERROR(Rev_Forecast!N10*45%,0)</f>
        <v>3.375</v>
      </c>
      <c r="O10" s="17">
        <f>IFERROR(Rev_Forecast!O10*45%,0)</f>
        <v>4.7250000000000005</v>
      </c>
      <c r="P10" s="17">
        <f>IFERROR(Rev_Forecast!P10*45%,0)</f>
        <v>5.4</v>
      </c>
      <c r="Q10" s="17">
        <f>IFERROR(Rev_Forecast!Q10*45%,0)</f>
        <v>4.5</v>
      </c>
      <c r="R10" s="17">
        <f>IFERROR(Rev_Forecast!R10*45%,0)</f>
        <v>0</v>
      </c>
      <c r="S10" s="17">
        <f>IFERROR(Rev_Forecast!S10*45%,0)</f>
        <v>0</v>
      </c>
    </row>
    <row r="11" spans="1:19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f>IFERROR(Rev_Forecast!H11*45%,0)</f>
        <v>1.6312500000000001</v>
      </c>
      <c r="I11" s="17">
        <f>IFERROR(Rev_Forecast!I11*45%,0)</f>
        <v>2.2837499999999999</v>
      </c>
      <c r="J11" s="17">
        <f>IFERROR(Rev_Forecast!J11*45%,0)</f>
        <v>2.6100000000000003</v>
      </c>
      <c r="K11" s="17">
        <f>IFERROR(Rev_Forecast!K11*45%,0)</f>
        <v>1.125</v>
      </c>
      <c r="L11" s="17">
        <f>IFERROR(Rev_Forecast!L11*45%,0)</f>
        <v>1.575</v>
      </c>
      <c r="M11" s="17">
        <f>IFERROR(Rev_Forecast!M11*45%,0)</f>
        <v>1.8</v>
      </c>
      <c r="N11" s="17">
        <f>IFERROR(Rev_Forecast!N11*45%,0)</f>
        <v>1.125</v>
      </c>
      <c r="O11" s="17">
        <f>IFERROR(Rev_Forecast!O11*45%,0)</f>
        <v>1.575</v>
      </c>
      <c r="P11" s="17">
        <f>IFERROR(Rev_Forecast!P11*45%,0)</f>
        <v>1.8</v>
      </c>
      <c r="Q11" s="17">
        <f>IFERROR(Rev_Forecast!Q11*45%,0)</f>
        <v>0.67500000000000004</v>
      </c>
      <c r="R11" s="17">
        <f>IFERROR(Rev_Forecast!R11*45%,0)</f>
        <v>100.8</v>
      </c>
      <c r="S11" s="17">
        <f>IFERROR(Rev_Forecast!S11*45%,0)</f>
        <v>58.050000000000004</v>
      </c>
    </row>
    <row r="12" spans="1:19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f>IFERROR(Rev_Forecast!H12*45%,0)</f>
        <v>4.05</v>
      </c>
      <c r="I12" s="17">
        <f>IFERROR(Rev_Forecast!I12*45%,0)</f>
        <v>5.67</v>
      </c>
      <c r="J12" s="17">
        <f>IFERROR(Rev_Forecast!J12*45%,0)</f>
        <v>6.48</v>
      </c>
      <c r="K12" s="17">
        <f>IFERROR(Rev_Forecast!K12*45%,0)</f>
        <v>3.8475000000000006</v>
      </c>
      <c r="L12" s="17">
        <f>IFERROR(Rev_Forecast!L12*45%,0)</f>
        <v>5.3865000000000007</v>
      </c>
      <c r="M12" s="17">
        <f>IFERROR(Rev_Forecast!M12*45%,0)</f>
        <v>6.1560000000000006</v>
      </c>
      <c r="N12" s="17">
        <f>IFERROR(Rev_Forecast!N12*45%,0)</f>
        <v>4.0702499999999997</v>
      </c>
      <c r="O12" s="17">
        <f>IFERROR(Rev_Forecast!O12*45%,0)</f>
        <v>5.6983499999999996</v>
      </c>
      <c r="P12" s="17">
        <f>IFERROR(Rev_Forecast!P12*45%,0)</f>
        <v>6.5124000000000004</v>
      </c>
      <c r="Q12" s="17">
        <f>IFERROR(Rev_Forecast!Q12*45%,0)</f>
        <v>6.1875</v>
      </c>
      <c r="R12" s="17">
        <f>IFERROR(Rev_Forecast!R12*45%,0)</f>
        <v>-3.1036409999999997</v>
      </c>
      <c r="S12" s="17">
        <f>IFERROR(Rev_Forecast!S12*45%,0)</f>
        <v>2.25</v>
      </c>
    </row>
    <row r="13" spans="1:19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f>IFERROR(Rev_Forecast!H13*45%,0)</f>
        <v>0.78749999999999998</v>
      </c>
      <c r="I13" s="17">
        <f>IFERROR(Rev_Forecast!I13*45%,0)</f>
        <v>1.1024999999999998</v>
      </c>
      <c r="J13" s="17">
        <f>IFERROR(Rev_Forecast!J13*45%,0)</f>
        <v>1.2600000000000002</v>
      </c>
      <c r="K13" s="17">
        <f>IFERROR(Rev_Forecast!K13*45%,0)</f>
        <v>1.1362500000000002</v>
      </c>
      <c r="L13" s="17">
        <f>IFERROR(Rev_Forecast!L13*45%,0)</f>
        <v>1.5907500000000001</v>
      </c>
      <c r="M13" s="17">
        <f>IFERROR(Rev_Forecast!M13*45%,0)</f>
        <v>1.8180000000000005</v>
      </c>
      <c r="N13" s="17">
        <f>IFERROR(Rev_Forecast!N13*45%,0)</f>
        <v>0.45</v>
      </c>
      <c r="O13" s="17">
        <f>IFERROR(Rev_Forecast!O13*45%,0)</f>
        <v>0.63</v>
      </c>
      <c r="P13" s="17">
        <f>IFERROR(Rev_Forecast!P13*45%,0)</f>
        <v>0.72000000000000008</v>
      </c>
      <c r="Q13" s="17">
        <f>IFERROR(Rev_Forecast!Q13*45%,0)</f>
        <v>0</v>
      </c>
      <c r="R13" s="17">
        <f>IFERROR(Rev_Forecast!R13*45%,0)</f>
        <v>3.1365000000000003</v>
      </c>
      <c r="S13" s="17">
        <f>IFERROR(Rev_Forecast!S13*45%,0)</f>
        <v>3.15</v>
      </c>
    </row>
    <row r="14" spans="1:19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f>IFERROR(Rev_Forecast!H14*45%,0)</f>
        <v>31.5</v>
      </c>
      <c r="I14" s="17">
        <f>IFERROR(Rev_Forecast!I14*45%,0)</f>
        <v>44.1</v>
      </c>
      <c r="J14" s="17">
        <f>IFERROR(Rev_Forecast!J14*45%,0)</f>
        <v>50.4</v>
      </c>
      <c r="K14" s="17">
        <f>IFERROR(Rev_Forecast!K14*45%,0)</f>
        <v>38.25</v>
      </c>
      <c r="L14" s="17">
        <f>IFERROR(Rev_Forecast!L14*45%,0)</f>
        <v>53.55</v>
      </c>
      <c r="M14" s="17">
        <f>IFERROR(Rev_Forecast!M14*45%,0)</f>
        <v>61.2</v>
      </c>
      <c r="N14" s="17">
        <f>IFERROR(Rev_Forecast!N14*45%,0)</f>
        <v>35.4375</v>
      </c>
      <c r="O14" s="17">
        <f>IFERROR(Rev_Forecast!O14*45%,0)</f>
        <v>49.612500000000004</v>
      </c>
      <c r="P14" s="17">
        <f>IFERROR(Rev_Forecast!P14*45%,0)</f>
        <v>56.7</v>
      </c>
      <c r="Q14" s="17">
        <f>IFERROR(Rev_Forecast!Q14*45%,0)</f>
        <v>58.5</v>
      </c>
      <c r="R14" s="17">
        <f>IFERROR(Rev_Forecast!R14*45%,0)</f>
        <v>5.4015209999999998</v>
      </c>
      <c r="S14" s="17">
        <f>IFERROR(Rev_Forecast!S14*45%,0)</f>
        <v>0</v>
      </c>
    </row>
    <row r="15" spans="1:19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f>IFERROR(Rev_Forecast!H15*45%,0)</f>
        <v>2.4187500000000002</v>
      </c>
      <c r="I15" s="17">
        <f>IFERROR(Rev_Forecast!I15*45%,0)</f>
        <v>3.38625</v>
      </c>
      <c r="J15" s="17">
        <f>IFERROR(Rev_Forecast!J15*45%,0)</f>
        <v>3.87</v>
      </c>
      <c r="K15" s="17">
        <f>IFERROR(Rev_Forecast!K15*45%,0)</f>
        <v>2.7225000000000001</v>
      </c>
      <c r="L15" s="17">
        <f>IFERROR(Rev_Forecast!L15*45%,0)</f>
        <v>3.8114999999999997</v>
      </c>
      <c r="M15" s="17">
        <f>IFERROR(Rev_Forecast!M15*45%,0)</f>
        <v>4.3559999999999999</v>
      </c>
      <c r="N15" s="17">
        <f>IFERROR(Rev_Forecast!N15*45%,0)</f>
        <v>2.8687499999999999</v>
      </c>
      <c r="O15" s="17">
        <f>IFERROR(Rev_Forecast!O15*45%,0)</f>
        <v>4.0162499999999994</v>
      </c>
      <c r="P15" s="17">
        <f>IFERROR(Rev_Forecast!P15*45%,0)</f>
        <v>4.5900000000000007</v>
      </c>
      <c r="Q15" s="17">
        <f>IFERROR(Rev_Forecast!Q15*45%,0)</f>
        <v>2.6910000000000003</v>
      </c>
      <c r="R15" s="17">
        <f>IFERROR(Rev_Forecast!R15*45%,0)</f>
        <v>54.426613500000002</v>
      </c>
      <c r="S15" s="17">
        <f>IFERROR(Rev_Forecast!S15*45%,0)</f>
        <v>59.787000000000006</v>
      </c>
    </row>
    <row r="16" spans="1:19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f>IFERROR(Rev_Forecast!H16*45%,0)</f>
        <v>2.53125</v>
      </c>
      <c r="I16" s="17">
        <f>IFERROR(Rev_Forecast!I16*45%,0)</f>
        <v>3.5437499999999997</v>
      </c>
      <c r="J16" s="17">
        <f>IFERROR(Rev_Forecast!J16*45%,0)</f>
        <v>4.05</v>
      </c>
      <c r="K16" s="17">
        <f>IFERROR(Rev_Forecast!K16*45%,0)</f>
        <v>2.6780625000000002</v>
      </c>
      <c r="L16" s="17">
        <f>IFERROR(Rev_Forecast!L16*45%,0)</f>
        <v>3.7492874999999999</v>
      </c>
      <c r="M16" s="17">
        <f>IFERROR(Rev_Forecast!M16*45%,0)</f>
        <v>4.2849000000000004</v>
      </c>
      <c r="N16" s="17">
        <f>IFERROR(Rev_Forecast!N16*45%,0)</f>
        <v>2.2274999999999996</v>
      </c>
      <c r="O16" s="17">
        <f>IFERROR(Rev_Forecast!O16*45%,0)</f>
        <v>3.1184999999999996</v>
      </c>
      <c r="P16" s="17">
        <f>IFERROR(Rev_Forecast!P16*45%,0)</f>
        <v>3.5639999999999996</v>
      </c>
      <c r="Q16" s="17">
        <f>IFERROR(Rev_Forecast!Q16*45%,0)</f>
        <v>2.25</v>
      </c>
      <c r="R16" s="17">
        <f>IFERROR(Rev_Forecast!R16*45%,0)</f>
        <v>0</v>
      </c>
      <c r="S16" s="17">
        <f>IFERROR(Rev_Forecast!S16*45%,0)</f>
        <v>0</v>
      </c>
    </row>
    <row r="17" spans="1:19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f>IFERROR(Rev_Forecast!H17*45%,0)</f>
        <v>1.35</v>
      </c>
      <c r="I17" s="17">
        <f>IFERROR(Rev_Forecast!I17*45%,0)</f>
        <v>1.8899999999999997</v>
      </c>
      <c r="J17" s="17">
        <f>IFERROR(Rev_Forecast!J17*45%,0)</f>
        <v>2.1600000000000006</v>
      </c>
      <c r="K17" s="17">
        <f>IFERROR(Rev_Forecast!K17*45%,0)</f>
        <v>1.4167125</v>
      </c>
      <c r="L17" s="17">
        <f>IFERROR(Rev_Forecast!L17*45%,0)</f>
        <v>1.9833974999999999</v>
      </c>
      <c r="M17" s="17">
        <f>IFERROR(Rev_Forecast!M17*45%,0)</f>
        <v>2.2667400000000004</v>
      </c>
      <c r="N17" s="17">
        <f>IFERROR(Rev_Forecast!N17*45%,0)</f>
        <v>1.35</v>
      </c>
      <c r="O17" s="17">
        <f>IFERROR(Rev_Forecast!O17*45%,0)</f>
        <v>1.8899999999999997</v>
      </c>
      <c r="P17" s="17">
        <f>IFERROR(Rev_Forecast!P17*45%,0)</f>
        <v>2.1600000000000006</v>
      </c>
      <c r="Q17" s="17">
        <f>IFERROR(Rev_Forecast!Q17*45%,0)</f>
        <v>1.8</v>
      </c>
      <c r="R17" s="17">
        <f>IFERROR(Rev_Forecast!R17*45%,0)</f>
        <v>-7.0661250000000004</v>
      </c>
      <c r="S17" s="17">
        <f>IFERROR(Rev_Forecast!S17*45%,0)</f>
        <v>9</v>
      </c>
    </row>
    <row r="18" spans="1:19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f>IFERROR(Rev_Forecast!H18*45%,0)</f>
        <v>29.7</v>
      </c>
      <c r="I18" s="17">
        <f>IFERROR(Rev_Forecast!I18*45%,0)</f>
        <v>41.58</v>
      </c>
      <c r="J18" s="17">
        <f>IFERROR(Rev_Forecast!J18*45%,0)</f>
        <v>47.52</v>
      </c>
      <c r="K18" s="17">
        <f>IFERROR(Rev_Forecast!K18*45%,0)</f>
        <v>32.028750000000002</v>
      </c>
      <c r="L18" s="17">
        <f>IFERROR(Rev_Forecast!L18*45%,0)</f>
        <v>44.840249999999997</v>
      </c>
      <c r="M18" s="17">
        <f>IFERROR(Rev_Forecast!M18*45%,0)</f>
        <v>51.246000000000002</v>
      </c>
      <c r="N18" s="17">
        <f>IFERROR(Rev_Forecast!N18*45%,0)</f>
        <v>37.125</v>
      </c>
      <c r="O18" s="17">
        <f>IFERROR(Rev_Forecast!O18*45%,0)</f>
        <v>51.974999999999994</v>
      </c>
      <c r="P18" s="17">
        <f>IFERROR(Rev_Forecast!P18*45%,0)</f>
        <v>59.4</v>
      </c>
      <c r="Q18" s="17">
        <f>IFERROR(Rev_Forecast!Q18*45%,0)</f>
        <v>63</v>
      </c>
      <c r="R18" s="17">
        <f>IFERROR(Rev_Forecast!R18*45%,0)</f>
        <v>0</v>
      </c>
      <c r="S18" s="17">
        <f>IFERROR(Rev_Forecast!S18*45%,0)</f>
        <v>0</v>
      </c>
    </row>
    <row r="19" spans="1:19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f>IFERROR(Rev_Forecast!H19*45%,0)</f>
        <v>0.59400000000000008</v>
      </c>
      <c r="I19" s="17">
        <f>IFERROR(Rev_Forecast!I19*45%,0)</f>
        <v>0.83160000000000001</v>
      </c>
      <c r="J19" s="17">
        <f>IFERROR(Rev_Forecast!J19*45%,0)</f>
        <v>0.95040000000000002</v>
      </c>
      <c r="K19" s="17">
        <f>IFERROR(Rev_Forecast!K19*45%,0)</f>
        <v>0</v>
      </c>
      <c r="L19" s="17">
        <f>IFERROR(Rev_Forecast!L19*45%,0)</f>
        <v>0</v>
      </c>
      <c r="M19" s="17">
        <f>IFERROR(Rev_Forecast!M19*45%,0)</f>
        <v>0</v>
      </c>
      <c r="N19" s="17">
        <f>IFERROR(Rev_Forecast!N19*45%,0)</f>
        <v>0</v>
      </c>
      <c r="O19" s="17">
        <f>IFERROR(Rev_Forecast!O19*45%,0)</f>
        <v>0</v>
      </c>
      <c r="P19" s="17">
        <f>IFERROR(Rev_Forecast!P19*45%,0)</f>
        <v>0</v>
      </c>
      <c r="Q19" s="17">
        <f>IFERROR(Rev_Forecast!Q19*45%,0)</f>
        <v>0</v>
      </c>
      <c r="R19" s="17">
        <f>IFERROR(Rev_Forecast!R19*45%,0)</f>
        <v>2.0249999999999999</v>
      </c>
      <c r="S19" s="17">
        <f>IFERROR(Rev_Forecast!S19*45%,0)</f>
        <v>3.8565</v>
      </c>
    </row>
    <row r="20" spans="1:19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f>IFERROR(Rev_Forecast!H20*45%,0)</f>
        <v>7.6950000000000012</v>
      </c>
      <c r="I20" s="17">
        <f>IFERROR(Rev_Forecast!I20*45%,0)</f>
        <v>10.773000000000001</v>
      </c>
      <c r="J20" s="17">
        <f>IFERROR(Rev_Forecast!J20*45%,0)</f>
        <v>12.312000000000001</v>
      </c>
      <c r="K20" s="17">
        <f>IFERROR(Rev_Forecast!K20*45%,0)</f>
        <v>18.8325</v>
      </c>
      <c r="L20" s="17">
        <f>IFERROR(Rev_Forecast!L20*45%,0)</f>
        <v>26.365499999999997</v>
      </c>
      <c r="M20" s="17">
        <f>IFERROR(Rev_Forecast!M20*45%,0)</f>
        <v>30.132000000000005</v>
      </c>
      <c r="N20" s="17">
        <f>IFERROR(Rev_Forecast!N20*45%,0)</f>
        <v>11.25</v>
      </c>
      <c r="O20" s="17">
        <f>IFERROR(Rev_Forecast!O20*45%,0)</f>
        <v>15.75</v>
      </c>
      <c r="P20" s="17">
        <f>IFERROR(Rev_Forecast!P20*45%,0)</f>
        <v>18</v>
      </c>
      <c r="Q20" s="17">
        <f>IFERROR(Rev_Forecast!Q20*45%,0)</f>
        <v>24.75</v>
      </c>
      <c r="R20" s="17">
        <f>IFERROR(Rev_Forecast!R20*45%,0)</f>
        <v>0</v>
      </c>
      <c r="S20" s="17">
        <f>IFERROR(Rev_Forecast!S20*45%,0)</f>
        <v>0</v>
      </c>
    </row>
    <row r="21" spans="1:19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f>IFERROR(Rev_Forecast!H21*45%,0)</f>
        <v>3.8250000000000002</v>
      </c>
      <c r="I21" s="17">
        <f>IFERROR(Rev_Forecast!I21*45%,0)</f>
        <v>5.3549999999999995</v>
      </c>
      <c r="J21" s="17">
        <f>IFERROR(Rev_Forecast!J21*45%,0)</f>
        <v>6.120000000000001</v>
      </c>
      <c r="K21" s="17">
        <f>IFERROR(Rev_Forecast!K21*45%,0)</f>
        <v>1.8225</v>
      </c>
      <c r="L21" s="17">
        <f>IFERROR(Rev_Forecast!L21*45%,0)</f>
        <v>2.5514999999999994</v>
      </c>
      <c r="M21" s="17">
        <f>IFERROR(Rev_Forecast!M21*45%,0)</f>
        <v>2.9160000000000004</v>
      </c>
      <c r="N21" s="17">
        <f>IFERROR(Rev_Forecast!N21*45%,0)</f>
        <v>2.367</v>
      </c>
      <c r="O21" s="17">
        <f>IFERROR(Rev_Forecast!O21*45%,0)</f>
        <v>3.3137999999999996</v>
      </c>
      <c r="P21" s="17">
        <f>IFERROR(Rev_Forecast!P21*45%,0)</f>
        <v>3.7872000000000003</v>
      </c>
      <c r="Q21" s="17">
        <f>IFERROR(Rev_Forecast!Q21*45%,0)</f>
        <v>3.7214999999999998</v>
      </c>
      <c r="R21" s="17">
        <f>IFERROR(Rev_Forecast!R21*45%,0)</f>
        <v>9.7650000000000023</v>
      </c>
      <c r="S21" s="17">
        <f>IFERROR(Rev_Forecast!S21*45%,0)</f>
        <v>13.5</v>
      </c>
    </row>
    <row r="22" spans="1:19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f>IFERROR(Rev_Forecast!H22*45%,0)</f>
        <v>1.4175</v>
      </c>
      <c r="I22" s="17">
        <f>IFERROR(Rev_Forecast!I22*45%,0)</f>
        <v>1.9844999999999997</v>
      </c>
      <c r="J22" s="17">
        <f>IFERROR(Rev_Forecast!J22*45%,0)</f>
        <v>2.2680000000000002</v>
      </c>
      <c r="K22" s="17">
        <f>IFERROR(Rev_Forecast!K22*45%,0)</f>
        <v>1.8</v>
      </c>
      <c r="L22" s="17">
        <f>IFERROR(Rev_Forecast!L22*45%,0)</f>
        <v>2.52</v>
      </c>
      <c r="M22" s="17">
        <f>IFERROR(Rev_Forecast!M22*45%,0)</f>
        <v>2.8800000000000003</v>
      </c>
      <c r="N22" s="17">
        <f>IFERROR(Rev_Forecast!N22*45%,0)</f>
        <v>0</v>
      </c>
      <c r="O22" s="17">
        <f>IFERROR(Rev_Forecast!O22*45%,0)</f>
        <v>0</v>
      </c>
      <c r="P22" s="17">
        <f>IFERROR(Rev_Forecast!P22*45%,0)</f>
        <v>0</v>
      </c>
      <c r="Q22" s="17">
        <f>IFERROR(Rev_Forecast!Q22*45%,0)</f>
        <v>0</v>
      </c>
      <c r="R22" s="17">
        <f>IFERROR(Rev_Forecast!R22*45%,0)</f>
        <v>-0.1200645</v>
      </c>
      <c r="S22" s="17">
        <f>IFERROR(Rev_Forecast!S22*45%,0)</f>
        <v>2.6266050000000001</v>
      </c>
    </row>
    <row r="23" spans="1:19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f>IFERROR(Rev_Forecast!H23*45%,0)</f>
        <v>12.375</v>
      </c>
      <c r="I23" s="17">
        <f>IFERROR(Rev_Forecast!I23*45%,0)</f>
        <v>17.324999999999999</v>
      </c>
      <c r="J23" s="17">
        <f>IFERROR(Rev_Forecast!J23*45%,0)</f>
        <v>19.8</v>
      </c>
      <c r="K23" s="17">
        <f>IFERROR(Rev_Forecast!K23*45%,0)</f>
        <v>16.987500000000001</v>
      </c>
      <c r="L23" s="17">
        <f>IFERROR(Rev_Forecast!L23*45%,0)</f>
        <v>23.782499999999999</v>
      </c>
      <c r="M23" s="17">
        <f>IFERROR(Rev_Forecast!M23*45%,0)</f>
        <v>27.180000000000003</v>
      </c>
      <c r="N23" s="17">
        <f>IFERROR(Rev_Forecast!N23*45%,0)</f>
        <v>10.125</v>
      </c>
      <c r="O23" s="17">
        <f>IFERROR(Rev_Forecast!O23*45%,0)</f>
        <v>14.174999999999999</v>
      </c>
      <c r="P23" s="17">
        <f>IFERROR(Rev_Forecast!P23*45%,0)</f>
        <v>16.2</v>
      </c>
      <c r="Q23" s="17">
        <f>IFERROR(Rev_Forecast!Q23*45%,0)</f>
        <v>13.5</v>
      </c>
      <c r="R23" s="17">
        <f>IFERROR(Rev_Forecast!R23*45%,0)</f>
        <v>3.095415</v>
      </c>
      <c r="S23" s="17">
        <f>IFERROR(Rev_Forecast!S23*45%,0)</f>
        <v>4.5</v>
      </c>
    </row>
    <row r="24" spans="1:19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f>IFERROR(Rev_Forecast!H24*45%,0)</f>
        <v>5.2312500000000002</v>
      </c>
      <c r="I24" s="17">
        <f>IFERROR(Rev_Forecast!I24*45%,0)</f>
        <v>7.3237499999999995</v>
      </c>
      <c r="J24" s="17">
        <f>IFERROR(Rev_Forecast!J24*45%,0)</f>
        <v>8.370000000000001</v>
      </c>
      <c r="K24" s="17">
        <f>IFERROR(Rev_Forecast!K24*45%,0)</f>
        <v>1.35</v>
      </c>
      <c r="L24" s="17">
        <f>IFERROR(Rev_Forecast!L24*45%,0)</f>
        <v>1.8899999999999997</v>
      </c>
      <c r="M24" s="17">
        <f>IFERROR(Rev_Forecast!M24*45%,0)</f>
        <v>2.1600000000000006</v>
      </c>
      <c r="N24" s="17">
        <f>IFERROR(Rev_Forecast!N24*45%,0)</f>
        <v>2.25</v>
      </c>
      <c r="O24" s="17">
        <f>IFERROR(Rev_Forecast!O24*45%,0)</f>
        <v>3.15</v>
      </c>
      <c r="P24" s="17">
        <f>IFERROR(Rev_Forecast!P24*45%,0)</f>
        <v>3.6</v>
      </c>
      <c r="Q24" s="17">
        <f>IFERROR(Rev_Forecast!Q24*45%,0)</f>
        <v>1.611</v>
      </c>
      <c r="R24" s="17">
        <f>IFERROR(Rev_Forecast!R24*45%,0)</f>
        <v>0</v>
      </c>
      <c r="S24" s="17">
        <f>IFERROR(Rev_Forecast!S24*45%,0)</f>
        <v>0</v>
      </c>
    </row>
    <row r="25" spans="1:19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f>IFERROR(Rev_Forecast!H25*45%,0)</f>
        <v>0</v>
      </c>
      <c r="I25" s="17">
        <f>IFERROR(Rev_Forecast!I25*45%,0)</f>
        <v>0</v>
      </c>
      <c r="J25" s="17">
        <f>IFERROR(Rev_Forecast!J25*45%,0)</f>
        <v>0</v>
      </c>
      <c r="K25" s="17">
        <f>IFERROR(Rev_Forecast!K25*45%,0)</f>
        <v>0</v>
      </c>
      <c r="L25" s="17">
        <f>IFERROR(Rev_Forecast!L25*45%,0)</f>
        <v>0</v>
      </c>
      <c r="M25" s="17">
        <f>IFERROR(Rev_Forecast!M25*45%,0)</f>
        <v>0</v>
      </c>
      <c r="N25" s="17">
        <f>IFERROR(Rev_Forecast!N25*45%,0)</f>
        <v>0</v>
      </c>
      <c r="O25" s="17">
        <f>IFERROR(Rev_Forecast!O25*45%,0)</f>
        <v>0</v>
      </c>
      <c r="P25" s="17">
        <f>IFERROR(Rev_Forecast!P25*45%,0)</f>
        <v>0</v>
      </c>
      <c r="Q25" s="17">
        <f>IFERROR(Rev_Forecast!Q25*45%,0)</f>
        <v>0</v>
      </c>
      <c r="R25" s="17">
        <f>IFERROR(Rev_Forecast!R25*45%,0)</f>
        <v>4.6890000000000001</v>
      </c>
      <c r="S25" s="17">
        <f>IFERROR(Rev_Forecast!S25*45%,0)</f>
        <v>4.05</v>
      </c>
    </row>
    <row r="26" spans="1:19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f>IFERROR(Rev_Forecast!H26*45%,0)</f>
        <v>3.15</v>
      </c>
      <c r="I26" s="17">
        <f>IFERROR(Rev_Forecast!I26*45%,0)</f>
        <v>4.4099999999999993</v>
      </c>
      <c r="J26" s="17">
        <f>IFERROR(Rev_Forecast!J26*45%,0)</f>
        <v>5.0400000000000009</v>
      </c>
      <c r="K26" s="17">
        <f>IFERROR(Rev_Forecast!K26*45%,0)</f>
        <v>5.1749999999999998</v>
      </c>
      <c r="L26" s="17">
        <f>IFERROR(Rev_Forecast!L26*45%,0)</f>
        <v>7.2449999999999992</v>
      </c>
      <c r="M26" s="17">
        <f>IFERROR(Rev_Forecast!M26*45%,0)</f>
        <v>8.2800000000000011</v>
      </c>
      <c r="N26" s="17">
        <f>IFERROR(Rev_Forecast!N26*45%,0)</f>
        <v>3.3750000000000004</v>
      </c>
      <c r="O26" s="17">
        <f>IFERROR(Rev_Forecast!O26*45%,0)</f>
        <v>4.7250000000000005</v>
      </c>
      <c r="P26" s="17">
        <f>IFERROR(Rev_Forecast!P26*45%,0)</f>
        <v>5.4000000000000012</v>
      </c>
      <c r="Q26" s="17">
        <f>IFERROR(Rev_Forecast!Q26*45%,0)</f>
        <v>4.5</v>
      </c>
      <c r="R26" s="17">
        <f>IFERROR(Rev_Forecast!R26*45%,0)</f>
        <v>5.3548559999999998</v>
      </c>
      <c r="S26" s="17">
        <f>IFERROR(Rev_Forecast!S26*45%,0)</f>
        <v>7.695144</v>
      </c>
    </row>
    <row r="27" spans="1:19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f>IFERROR(Rev_Forecast!H27*45%,0)</f>
        <v>2.0249999999999999</v>
      </c>
      <c r="I27" s="17">
        <f>IFERROR(Rev_Forecast!I27*45%,0)</f>
        <v>2.835</v>
      </c>
      <c r="J27" s="17">
        <f>IFERROR(Rev_Forecast!J27*45%,0)</f>
        <v>3.24</v>
      </c>
      <c r="K27" s="17">
        <f>IFERROR(Rev_Forecast!K27*45%,0)</f>
        <v>1.8</v>
      </c>
      <c r="L27" s="17">
        <f>IFERROR(Rev_Forecast!L27*45%,0)</f>
        <v>2.52</v>
      </c>
      <c r="M27" s="17">
        <f>IFERROR(Rev_Forecast!M27*45%,0)</f>
        <v>2.8800000000000003</v>
      </c>
      <c r="N27" s="17">
        <f>IFERROR(Rev_Forecast!N27*45%,0)</f>
        <v>2.25</v>
      </c>
      <c r="O27" s="17">
        <f>IFERROR(Rev_Forecast!O27*45%,0)</f>
        <v>3.15</v>
      </c>
      <c r="P27" s="17">
        <f>IFERROR(Rev_Forecast!P27*45%,0)</f>
        <v>3.6</v>
      </c>
      <c r="Q27" s="17">
        <f>IFERROR(Rev_Forecast!Q27*45%,0)</f>
        <v>2.25</v>
      </c>
      <c r="R27" s="17">
        <f>IFERROR(Rev_Forecast!R27*45%,0)</f>
        <v>8.504999999999999</v>
      </c>
      <c r="S27" s="17">
        <f>IFERROR(Rev_Forecast!S27*45%,0)</f>
        <v>9</v>
      </c>
    </row>
    <row r="28" spans="1:19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f>IFERROR(Rev_Forecast!H28*45%,0)</f>
        <v>2.471625</v>
      </c>
      <c r="I28" s="17">
        <f>IFERROR(Rev_Forecast!I28*45%,0)</f>
        <v>3.4602749999999998</v>
      </c>
      <c r="J28" s="17">
        <f>IFERROR(Rev_Forecast!J28*45%,0)</f>
        <v>3.9546000000000001</v>
      </c>
      <c r="K28" s="17">
        <f>IFERROR(Rev_Forecast!K28*45%,0)</f>
        <v>3.0375000000000001</v>
      </c>
      <c r="L28" s="17">
        <f>IFERROR(Rev_Forecast!L28*45%,0)</f>
        <v>4.2524999999999995</v>
      </c>
      <c r="M28" s="17">
        <f>IFERROR(Rev_Forecast!M28*45%,0)</f>
        <v>4.8600000000000003</v>
      </c>
      <c r="N28" s="17">
        <f>IFERROR(Rev_Forecast!N28*45%,0)</f>
        <v>4.05</v>
      </c>
      <c r="O28" s="17">
        <f>IFERROR(Rev_Forecast!O28*45%,0)</f>
        <v>5.67</v>
      </c>
      <c r="P28" s="17">
        <f>IFERROR(Rev_Forecast!P28*45%,0)</f>
        <v>6.48</v>
      </c>
      <c r="Q28" s="17">
        <f>IFERROR(Rev_Forecast!Q28*45%,0)</f>
        <v>4.6124999999999998</v>
      </c>
      <c r="R28" s="17">
        <f>IFERROR(Rev_Forecast!R28*45%,0)</f>
        <v>6.4080000000000004</v>
      </c>
      <c r="S28" s="17">
        <f>IFERROR(Rev_Forecast!S28*45%,0)</f>
        <v>2.25</v>
      </c>
    </row>
    <row r="29" spans="1:19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f>IFERROR(Rev_Forecast!H29*45%,0)</f>
        <v>4.0049999999999999</v>
      </c>
      <c r="I29" s="17">
        <f>IFERROR(Rev_Forecast!I29*45%,0)</f>
        <v>5.6069999999999993</v>
      </c>
      <c r="J29" s="17">
        <f>IFERROR(Rev_Forecast!J29*45%,0)</f>
        <v>6.4080000000000013</v>
      </c>
      <c r="K29" s="17">
        <f>IFERROR(Rev_Forecast!K29*45%,0)</f>
        <v>4.6124999999999998</v>
      </c>
      <c r="L29" s="17">
        <f>IFERROR(Rev_Forecast!L29*45%,0)</f>
        <v>6.4574999999999996</v>
      </c>
      <c r="M29" s="17">
        <f>IFERROR(Rev_Forecast!M29*45%,0)</f>
        <v>7.3800000000000008</v>
      </c>
      <c r="N29" s="17">
        <f>IFERROR(Rev_Forecast!N29*45%,0)</f>
        <v>3.9487499999999995</v>
      </c>
      <c r="O29" s="17">
        <f>IFERROR(Rev_Forecast!O29*45%,0)</f>
        <v>5.528249999999999</v>
      </c>
      <c r="P29" s="17">
        <f>IFERROR(Rev_Forecast!P29*45%,0)</f>
        <v>6.3179999999999996</v>
      </c>
      <c r="Q29" s="17">
        <f>IFERROR(Rev_Forecast!Q29*45%,0)</f>
        <v>2.25</v>
      </c>
      <c r="R29" s="17">
        <f>IFERROR(Rev_Forecast!R29*45%,0)</f>
        <v>15.737589</v>
      </c>
      <c r="S29" s="17">
        <f>IFERROR(Rev_Forecast!S29*45%,0)</f>
        <v>20.25</v>
      </c>
    </row>
    <row r="30" spans="1:19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f>IFERROR(Rev_Forecast!H30*45%,0)</f>
        <v>3.9375</v>
      </c>
      <c r="I30" s="17">
        <f>IFERROR(Rev_Forecast!I30*45%,0)</f>
        <v>5.5125000000000002</v>
      </c>
      <c r="J30" s="17">
        <f>IFERROR(Rev_Forecast!J30*45%,0)</f>
        <v>6.3</v>
      </c>
      <c r="K30" s="17">
        <f>IFERROR(Rev_Forecast!K30*45%,0)</f>
        <v>3.6</v>
      </c>
      <c r="L30" s="17">
        <f>IFERROR(Rev_Forecast!L30*45%,0)</f>
        <v>5.04</v>
      </c>
      <c r="M30" s="17">
        <f>IFERROR(Rev_Forecast!M30*45%,0)</f>
        <v>5.7600000000000007</v>
      </c>
      <c r="N30" s="17">
        <f>IFERROR(Rev_Forecast!N30*45%,0)</f>
        <v>2.25</v>
      </c>
      <c r="O30" s="17">
        <f>IFERROR(Rev_Forecast!O30*45%,0)</f>
        <v>3.15</v>
      </c>
      <c r="P30" s="17">
        <f>IFERROR(Rev_Forecast!P30*45%,0)</f>
        <v>3.6</v>
      </c>
      <c r="Q30" s="17">
        <f>IFERROR(Rev_Forecast!Q30*45%,0)</f>
        <v>2.25</v>
      </c>
      <c r="R30" s="17">
        <f>IFERROR(Rev_Forecast!R30*45%,0)</f>
        <v>0</v>
      </c>
      <c r="S30" s="17">
        <f>IFERROR(Rev_Forecast!S30*45%,0)</f>
        <v>0</v>
      </c>
    </row>
    <row r="31" spans="1:19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f>IFERROR(Rev_Forecast!H31*45%,0)</f>
        <v>9.6750000000000007</v>
      </c>
      <c r="I31" s="17">
        <f>IFERROR(Rev_Forecast!I31*45%,0)</f>
        <v>13.545</v>
      </c>
      <c r="J31" s="17">
        <f>IFERROR(Rev_Forecast!J31*45%,0)</f>
        <v>15.48</v>
      </c>
      <c r="K31" s="17">
        <f>IFERROR(Rev_Forecast!K31*45%,0)</f>
        <v>13.1625</v>
      </c>
      <c r="L31" s="17">
        <f>IFERROR(Rev_Forecast!L31*45%,0)</f>
        <v>18.427499999999998</v>
      </c>
      <c r="M31" s="17">
        <f>IFERROR(Rev_Forecast!M31*45%,0)</f>
        <v>21.060000000000002</v>
      </c>
      <c r="N31" s="17">
        <f>IFERROR(Rev_Forecast!N31*45%,0)</f>
        <v>15.1875</v>
      </c>
      <c r="O31" s="17">
        <f>IFERROR(Rev_Forecast!O31*45%,0)</f>
        <v>21.262499999999999</v>
      </c>
      <c r="P31" s="17">
        <f>IFERROR(Rev_Forecast!P31*45%,0)</f>
        <v>24.3</v>
      </c>
      <c r="Q31" s="17">
        <f>IFERROR(Rev_Forecast!Q31*45%,0)</f>
        <v>18.900000000000002</v>
      </c>
      <c r="R31" s="17">
        <f>IFERROR(Rev_Forecast!R31*45%,0)</f>
        <v>8.5635000000000012</v>
      </c>
      <c r="S31" s="17">
        <f>IFERROR(Rev_Forecast!S31*45%,0)</f>
        <v>8.8875000000000011</v>
      </c>
    </row>
    <row r="32" spans="1:19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f>IFERROR(Rev_Forecast!H32*45%,0)</f>
        <v>1.125</v>
      </c>
      <c r="I32" s="17">
        <f>IFERROR(Rev_Forecast!I32*45%,0)</f>
        <v>1.575</v>
      </c>
      <c r="J32" s="17">
        <f>IFERROR(Rev_Forecast!J32*45%,0)</f>
        <v>1.8</v>
      </c>
      <c r="K32" s="17">
        <f>IFERROR(Rev_Forecast!K32*45%,0)</f>
        <v>1.35</v>
      </c>
      <c r="L32" s="17">
        <f>IFERROR(Rev_Forecast!L32*45%,0)</f>
        <v>1.8899999999999997</v>
      </c>
      <c r="M32" s="17">
        <f>IFERROR(Rev_Forecast!M32*45%,0)</f>
        <v>2.1600000000000006</v>
      </c>
      <c r="N32" s="17">
        <f>IFERROR(Rev_Forecast!N32*45%,0)</f>
        <v>0</v>
      </c>
      <c r="O32" s="17">
        <f>IFERROR(Rev_Forecast!O32*45%,0)</f>
        <v>0</v>
      </c>
      <c r="P32" s="17">
        <f>IFERROR(Rev_Forecast!P32*45%,0)</f>
        <v>0</v>
      </c>
      <c r="Q32" s="17">
        <f>IFERROR(Rev_Forecast!Q32*45%,0)</f>
        <v>0</v>
      </c>
      <c r="R32" s="17">
        <f>IFERROR(Rev_Forecast!R32*45%,0)</f>
        <v>0.1116</v>
      </c>
      <c r="S32" s="17">
        <f>IFERROR(Rev_Forecast!S32*45%,0)</f>
        <v>0.46800000000000003</v>
      </c>
    </row>
    <row r="33" spans="1:19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f>IFERROR(Rev_Forecast!H33*45%,0)</f>
        <v>5.1749999999999998</v>
      </c>
      <c r="I33" s="17">
        <f>IFERROR(Rev_Forecast!I33*45%,0)</f>
        <v>7.2449999999999992</v>
      </c>
      <c r="J33" s="17">
        <f>IFERROR(Rev_Forecast!J33*45%,0)</f>
        <v>8.2800000000000011</v>
      </c>
      <c r="K33" s="17">
        <f>IFERROR(Rev_Forecast!K33*45%,0)</f>
        <v>5.6531250000000002</v>
      </c>
      <c r="L33" s="17">
        <f>IFERROR(Rev_Forecast!L33*45%,0)</f>
        <v>7.9143749999999997</v>
      </c>
      <c r="M33" s="17">
        <f>IFERROR(Rev_Forecast!M33*45%,0)</f>
        <v>9.0450000000000017</v>
      </c>
      <c r="N33" s="17">
        <f>IFERROR(Rev_Forecast!N33*45%,0)</f>
        <v>6.75</v>
      </c>
      <c r="O33" s="17">
        <f>IFERROR(Rev_Forecast!O33*45%,0)</f>
        <v>9.4500000000000011</v>
      </c>
      <c r="P33" s="17">
        <f>IFERROR(Rev_Forecast!P33*45%,0)</f>
        <v>10.8</v>
      </c>
      <c r="Q33" s="17">
        <f>IFERROR(Rev_Forecast!Q33*45%,0)</f>
        <v>9.1125000000000007</v>
      </c>
      <c r="R33" s="17">
        <f>IFERROR(Rev_Forecast!R33*45%,0)</f>
        <v>1.4490000000000001</v>
      </c>
      <c r="S33" s="17">
        <f>IFERROR(Rev_Forecast!S33*45%,0)</f>
        <v>1.4400000000000002</v>
      </c>
    </row>
    <row r="34" spans="1:19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f>IFERROR(Rev_Forecast!H34*45%,0)</f>
        <v>0.41625000000000001</v>
      </c>
      <c r="I34" s="17">
        <f>IFERROR(Rev_Forecast!I34*45%,0)</f>
        <v>0.58274999999999999</v>
      </c>
      <c r="J34" s="17">
        <f>IFERROR(Rev_Forecast!J34*45%,0)</f>
        <v>0.66600000000000015</v>
      </c>
      <c r="K34" s="17">
        <f>IFERROR(Rev_Forecast!K34*45%,0)</f>
        <v>0.16875000000000001</v>
      </c>
      <c r="L34" s="17">
        <f>IFERROR(Rev_Forecast!L34*45%,0)</f>
        <v>0.23624999999999996</v>
      </c>
      <c r="M34" s="17">
        <f>IFERROR(Rev_Forecast!M34*45%,0)</f>
        <v>0.27000000000000007</v>
      </c>
      <c r="N34" s="17">
        <f>IFERROR(Rev_Forecast!N34*45%,0)</f>
        <v>0.16875000000000001</v>
      </c>
      <c r="O34" s="17">
        <f>IFERROR(Rev_Forecast!O34*45%,0)</f>
        <v>0.23624999999999996</v>
      </c>
      <c r="P34" s="17">
        <f>IFERROR(Rev_Forecast!P34*45%,0)</f>
        <v>0.27000000000000007</v>
      </c>
      <c r="Q34" s="17">
        <f>IFERROR(Rev_Forecast!Q34*45%,0)</f>
        <v>0.46800000000000003</v>
      </c>
      <c r="R34" s="17">
        <f>IFERROR(Rev_Forecast!R34*45%,0)</f>
        <v>-0.57014999999999993</v>
      </c>
      <c r="S34" s="17">
        <f>IFERROR(Rev_Forecast!S34*45%,0)</f>
        <v>0</v>
      </c>
    </row>
    <row r="35" spans="1:19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f>IFERROR(Rev_Forecast!H35*45%,0)</f>
        <v>2.8125</v>
      </c>
      <c r="I35" s="17">
        <f>IFERROR(Rev_Forecast!I35*45%,0)</f>
        <v>3.9375</v>
      </c>
      <c r="J35" s="17">
        <f>IFERROR(Rev_Forecast!J35*45%,0)</f>
        <v>4.5</v>
      </c>
      <c r="K35" s="17">
        <f>IFERROR(Rev_Forecast!K35*45%,0)</f>
        <v>1.4256000000000002</v>
      </c>
      <c r="L35" s="17">
        <f>IFERROR(Rev_Forecast!L35*45%,0)</f>
        <v>1.9958400000000001</v>
      </c>
      <c r="M35" s="17">
        <f>IFERROR(Rev_Forecast!M35*45%,0)</f>
        <v>2.2809600000000003</v>
      </c>
      <c r="N35" s="17">
        <f>IFERROR(Rev_Forecast!N35*45%,0)</f>
        <v>1.0800000000000003</v>
      </c>
      <c r="O35" s="17">
        <f>IFERROR(Rev_Forecast!O35*45%,0)</f>
        <v>1.5120000000000002</v>
      </c>
      <c r="P35" s="17">
        <f>IFERROR(Rev_Forecast!P35*45%,0)</f>
        <v>1.7280000000000004</v>
      </c>
      <c r="Q35" s="17">
        <f>IFERROR(Rev_Forecast!Q35*45%,0)</f>
        <v>1.4400000000000002</v>
      </c>
      <c r="R35" s="17">
        <f>IFERROR(Rev_Forecast!R35*45%,0)</f>
        <v>1.3274100000000002</v>
      </c>
      <c r="S35" s="17">
        <f>IFERROR(Rev_Forecast!S35*45%,0)</f>
        <v>2.7</v>
      </c>
    </row>
    <row r="36" spans="1:19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f>IFERROR(Rev_Forecast!H36*45%,0)</f>
        <v>0</v>
      </c>
      <c r="I36" s="17">
        <f>IFERROR(Rev_Forecast!I36*45%,0)</f>
        <v>0</v>
      </c>
      <c r="J36" s="17">
        <f>IFERROR(Rev_Forecast!J36*45%,0)</f>
        <v>0</v>
      </c>
      <c r="K36" s="17">
        <f>IFERROR(Rev_Forecast!K36*45%,0)</f>
        <v>0</v>
      </c>
      <c r="L36" s="17">
        <f>IFERROR(Rev_Forecast!L36*45%,0)</f>
        <v>0</v>
      </c>
      <c r="M36" s="17">
        <f>IFERROR(Rev_Forecast!M36*45%,0)</f>
        <v>0</v>
      </c>
      <c r="N36" s="17">
        <f>IFERROR(Rev_Forecast!N36*45%,0)</f>
        <v>0</v>
      </c>
      <c r="O36" s="17">
        <f>IFERROR(Rev_Forecast!O36*45%,0)</f>
        <v>0</v>
      </c>
      <c r="P36" s="17">
        <f>IFERROR(Rev_Forecast!P36*45%,0)</f>
        <v>0</v>
      </c>
      <c r="Q36" s="17">
        <f>IFERROR(Rev_Forecast!Q36*45%,0)</f>
        <v>0</v>
      </c>
      <c r="R36" s="17">
        <f>IFERROR(Rev_Forecast!R36*45%,0)</f>
        <v>4.0995000000000008</v>
      </c>
      <c r="S36" s="17">
        <f>IFERROR(Rev_Forecast!S36*45%,0)</f>
        <v>3.3795000000000002</v>
      </c>
    </row>
    <row r="37" spans="1:19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f>IFERROR(Rev_Forecast!H37*45%,0)</f>
        <v>1.3837499999999998</v>
      </c>
      <c r="I37" s="17">
        <f>IFERROR(Rev_Forecast!I37*45%,0)</f>
        <v>1.9372499999999999</v>
      </c>
      <c r="J37" s="17">
        <f>IFERROR(Rev_Forecast!J37*45%,0)</f>
        <v>2.214</v>
      </c>
      <c r="K37" s="17">
        <f>IFERROR(Rev_Forecast!K37*45%,0)</f>
        <v>3.0597750000000001</v>
      </c>
      <c r="L37" s="17">
        <f>IFERROR(Rev_Forecast!L37*45%,0)</f>
        <v>4.2836850000000002</v>
      </c>
      <c r="M37" s="17">
        <f>IFERROR(Rev_Forecast!M37*45%,0)</f>
        <v>4.8956400000000002</v>
      </c>
      <c r="N37" s="17">
        <f>IFERROR(Rev_Forecast!N37*45%,0)</f>
        <v>2.2612500000000004</v>
      </c>
      <c r="O37" s="17">
        <f>IFERROR(Rev_Forecast!O37*45%,0)</f>
        <v>3.1657500000000001</v>
      </c>
      <c r="P37" s="17">
        <f>IFERROR(Rev_Forecast!P37*45%,0)</f>
        <v>3.6180000000000003</v>
      </c>
      <c r="Q37" s="17">
        <f>IFERROR(Rev_Forecast!Q37*45%,0)</f>
        <v>0.45</v>
      </c>
      <c r="R37" s="17">
        <f>IFERROR(Rev_Forecast!R37*45%,0)</f>
        <v>1.377</v>
      </c>
      <c r="S37" s="17">
        <f>IFERROR(Rev_Forecast!S37*45%,0)</f>
        <v>2.25</v>
      </c>
    </row>
    <row r="38" spans="1:19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f>IFERROR(Rev_Forecast!H38*45%,0)</f>
        <v>2.53125</v>
      </c>
      <c r="I38" s="17">
        <f>IFERROR(Rev_Forecast!I38*45%,0)</f>
        <v>3.5437499999999997</v>
      </c>
      <c r="J38" s="17">
        <f>IFERROR(Rev_Forecast!J38*45%,0)</f>
        <v>4.05</v>
      </c>
      <c r="K38" s="17">
        <f>IFERROR(Rev_Forecast!K38*45%,0)</f>
        <v>2.125575</v>
      </c>
      <c r="L38" s="17">
        <f>IFERROR(Rev_Forecast!L38*45%,0)</f>
        <v>2.9758049999999994</v>
      </c>
      <c r="M38" s="17">
        <f>IFERROR(Rev_Forecast!M38*45%,0)</f>
        <v>3.4009200000000002</v>
      </c>
      <c r="N38" s="17">
        <f>IFERROR(Rev_Forecast!N38*45%,0)</f>
        <v>2.3714999999999997</v>
      </c>
      <c r="O38" s="17">
        <f>IFERROR(Rev_Forecast!O38*45%,0)</f>
        <v>3.3200999999999996</v>
      </c>
      <c r="P38" s="17">
        <f>IFERROR(Rev_Forecast!P38*45%,0)</f>
        <v>3.7944000000000004</v>
      </c>
      <c r="Q38" s="17">
        <f>IFERROR(Rev_Forecast!Q38*45%,0)</f>
        <v>3.3795000000000002</v>
      </c>
      <c r="R38" s="17">
        <f>IFERROR(Rev_Forecast!R38*45%,0)</f>
        <v>13.275427499999999</v>
      </c>
      <c r="S38" s="17">
        <f>IFERROR(Rev_Forecast!S38*45%,0)</f>
        <v>25.2</v>
      </c>
    </row>
    <row r="39" spans="1:19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f>IFERROR(Rev_Forecast!H39*45%,0)</f>
        <v>1.35</v>
      </c>
      <c r="I39" s="17">
        <f>IFERROR(Rev_Forecast!I39*45%,0)</f>
        <v>1.8899999999999997</v>
      </c>
      <c r="J39" s="17">
        <f>IFERROR(Rev_Forecast!J39*45%,0)</f>
        <v>2.1600000000000006</v>
      </c>
      <c r="K39" s="17">
        <f>IFERROR(Rev_Forecast!K39*45%,0)</f>
        <v>1.8</v>
      </c>
      <c r="L39" s="17">
        <f>IFERROR(Rev_Forecast!L39*45%,0)</f>
        <v>2.52</v>
      </c>
      <c r="M39" s="17">
        <f>IFERROR(Rev_Forecast!M39*45%,0)</f>
        <v>2.8800000000000003</v>
      </c>
      <c r="N39" s="17">
        <f>IFERROR(Rev_Forecast!N39*45%,0)</f>
        <v>1.8</v>
      </c>
      <c r="O39" s="17">
        <f>IFERROR(Rev_Forecast!O39*45%,0)</f>
        <v>2.52</v>
      </c>
      <c r="P39" s="17">
        <f>IFERROR(Rev_Forecast!P39*45%,0)</f>
        <v>2.8800000000000003</v>
      </c>
      <c r="Q39" s="17">
        <f>IFERROR(Rev_Forecast!Q39*45%,0)</f>
        <v>1.8</v>
      </c>
      <c r="R39" s="17">
        <f>IFERROR(Rev_Forecast!R39*45%,0)</f>
        <v>2.7</v>
      </c>
      <c r="S39" s="17">
        <f>IFERROR(Rev_Forecast!S39*45%,0)</f>
        <v>10.8</v>
      </c>
    </row>
    <row r="40" spans="1:19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f>IFERROR(Rev_Forecast!H40*45%,0)</f>
        <v>13.5</v>
      </c>
      <c r="I40" s="17">
        <f>IFERROR(Rev_Forecast!I40*45%,0)</f>
        <v>18.900000000000002</v>
      </c>
      <c r="J40" s="17">
        <f>IFERROR(Rev_Forecast!J40*45%,0)</f>
        <v>21.6</v>
      </c>
      <c r="K40" s="17">
        <f>IFERROR(Rev_Forecast!K40*45%,0)</f>
        <v>10.125</v>
      </c>
      <c r="L40" s="17">
        <f>IFERROR(Rev_Forecast!L40*45%,0)</f>
        <v>14.174999999999999</v>
      </c>
      <c r="M40" s="17">
        <f>IFERROR(Rev_Forecast!M40*45%,0)</f>
        <v>16.2</v>
      </c>
      <c r="N40" s="17">
        <f>IFERROR(Rev_Forecast!N40*45%,0)</f>
        <v>11.8125</v>
      </c>
      <c r="O40" s="17">
        <f>IFERROR(Rev_Forecast!O40*45%,0)</f>
        <v>16.537500000000001</v>
      </c>
      <c r="P40" s="17">
        <f>IFERROR(Rev_Forecast!P40*45%,0)</f>
        <v>18.900000000000002</v>
      </c>
      <c r="Q40" s="17">
        <f>IFERROR(Rev_Forecast!Q40*45%,0)</f>
        <v>17.100000000000001</v>
      </c>
      <c r="R40" s="17">
        <f>IFERROR(Rev_Forecast!R40*45%,0)</f>
        <v>2.9675475000000002</v>
      </c>
      <c r="S40" s="17">
        <f>IFERROR(Rev_Forecast!S40*45%,0)</f>
        <v>3.06</v>
      </c>
    </row>
    <row r="41" spans="1:19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f>IFERROR(Rev_Forecast!H41*45%,0)</f>
        <v>5.1749999999999998</v>
      </c>
      <c r="I41" s="17">
        <f>IFERROR(Rev_Forecast!I41*45%,0)</f>
        <v>7.2449999999999992</v>
      </c>
      <c r="J41" s="17">
        <f>IFERROR(Rev_Forecast!J41*45%,0)</f>
        <v>8.2800000000000011</v>
      </c>
      <c r="K41" s="17">
        <f>IFERROR(Rev_Forecast!K41*45%,0)</f>
        <v>6.9862500000000001</v>
      </c>
      <c r="L41" s="17">
        <f>IFERROR(Rev_Forecast!L41*45%,0)</f>
        <v>9.7807499999999994</v>
      </c>
      <c r="M41" s="17">
        <f>IFERROR(Rev_Forecast!M41*45%,0)</f>
        <v>11.178000000000003</v>
      </c>
      <c r="N41" s="17">
        <f>IFERROR(Rev_Forecast!N41*45%,0)</f>
        <v>5.9512499999999999</v>
      </c>
      <c r="O41" s="17">
        <f>IFERROR(Rev_Forecast!O41*45%,0)</f>
        <v>8.3317499999999995</v>
      </c>
      <c r="P41" s="17">
        <f>IFERROR(Rev_Forecast!P41*45%,0)</f>
        <v>9.5220000000000002</v>
      </c>
      <c r="Q41" s="17">
        <f>IFERROR(Rev_Forecast!Q41*45%,0)</f>
        <v>4.5</v>
      </c>
      <c r="R41" s="17">
        <f>IFERROR(Rev_Forecast!R41*45%,0)</f>
        <v>0</v>
      </c>
      <c r="S41" s="17">
        <f>IFERROR(Rev_Forecast!S41*45%,0)</f>
        <v>0</v>
      </c>
    </row>
    <row r="42" spans="1:19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>
        <f>IFERROR(Rev_Forecast!H42*45%,0)</f>
        <v>1.4625000000000001</v>
      </c>
      <c r="I42" s="17">
        <f>IFERROR(Rev_Forecast!I42*45%,0)</f>
        <v>2.0474999999999999</v>
      </c>
      <c r="J42" s="17">
        <f>IFERROR(Rev_Forecast!J42*45%,0)</f>
        <v>2.3400000000000003</v>
      </c>
      <c r="K42" s="17">
        <f>IFERROR(Rev_Forecast!K42*45%,0)</f>
        <v>4.9725000000000001</v>
      </c>
      <c r="L42" s="17">
        <f>IFERROR(Rev_Forecast!L42*45%,0)</f>
        <v>6.9615</v>
      </c>
      <c r="M42" s="17">
        <f>IFERROR(Rev_Forecast!M42*45%,0)</f>
        <v>7.9560000000000013</v>
      </c>
      <c r="N42" s="17">
        <f>IFERROR(Rev_Forecast!N42*45%,0)</f>
        <v>2.1600000000000006</v>
      </c>
      <c r="O42" s="17">
        <f>IFERROR(Rev_Forecast!O42*45%,0)</f>
        <v>3.0240000000000005</v>
      </c>
      <c r="P42" s="17">
        <f>IFERROR(Rev_Forecast!P42*45%,0)</f>
        <v>3.4560000000000008</v>
      </c>
      <c r="Q42" s="17">
        <f>IFERROR(Rev_Forecast!Q42*45%,0)</f>
        <v>2.3849999999999998</v>
      </c>
      <c r="R42" s="17">
        <f>IFERROR(Rev_Forecast!R42*45%,0)</f>
        <v>0</v>
      </c>
      <c r="S42" s="17">
        <f>IFERROR(Rev_Forecast!S42*45%,0)</f>
        <v>0</v>
      </c>
    </row>
    <row r="43" spans="1:19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>
        <f>IFERROR(Rev_Forecast!H43*45%,0)</f>
        <v>4.5</v>
      </c>
      <c r="I43" s="17">
        <f>IFERROR(Rev_Forecast!I43*45%,0)</f>
        <v>6.3</v>
      </c>
      <c r="J43" s="17">
        <f>IFERROR(Rev_Forecast!J43*45%,0)</f>
        <v>7.2</v>
      </c>
      <c r="K43" s="17">
        <f>IFERROR(Rev_Forecast!K43*45%,0)</f>
        <v>3.375</v>
      </c>
      <c r="L43" s="17">
        <f>IFERROR(Rev_Forecast!L43*45%,0)</f>
        <v>4.7250000000000005</v>
      </c>
      <c r="M43" s="17">
        <f>IFERROR(Rev_Forecast!M43*45%,0)</f>
        <v>5.4</v>
      </c>
      <c r="N43" s="17">
        <f>IFERROR(Rev_Forecast!N43*45%,0)</f>
        <v>0</v>
      </c>
      <c r="O43" s="17">
        <f>IFERROR(Rev_Forecast!O43*45%,0)</f>
        <v>0</v>
      </c>
      <c r="P43" s="17">
        <f>IFERROR(Rev_Forecast!P43*45%,0)</f>
        <v>0</v>
      </c>
      <c r="Q43" s="17">
        <f>IFERROR(Rev_Forecast!Q43*45%,0)</f>
        <v>0</v>
      </c>
      <c r="R43" s="17">
        <f>IFERROR(Rev_Forecast!R43*45%,0)</f>
        <v>0</v>
      </c>
      <c r="S43" s="17">
        <f>IFERROR(Rev_Forecast!S43*45%,0)</f>
        <v>0</v>
      </c>
    </row>
    <row r="44" spans="1:19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>
        <f>IFERROR(Rev_Forecast!H44*45%,0)</f>
        <v>0.67500000000000004</v>
      </c>
      <c r="I44" s="17">
        <f>IFERROR(Rev_Forecast!I44*45%,0)</f>
        <v>0.94499999999999984</v>
      </c>
      <c r="J44" s="17">
        <f>IFERROR(Rev_Forecast!J44*45%,0)</f>
        <v>1.0800000000000003</v>
      </c>
      <c r="K44" s="17">
        <f>IFERROR(Rev_Forecast!K44*45%,0)</f>
        <v>0.5625</v>
      </c>
      <c r="L44" s="17">
        <f>IFERROR(Rev_Forecast!L44*45%,0)</f>
        <v>0.78749999999999998</v>
      </c>
      <c r="M44" s="17">
        <f>IFERROR(Rev_Forecast!M44*45%,0)</f>
        <v>0.9</v>
      </c>
      <c r="N44" s="17">
        <f>IFERROR(Rev_Forecast!N44*45%,0)</f>
        <v>0.5625</v>
      </c>
      <c r="O44" s="17">
        <f>IFERROR(Rev_Forecast!O44*45%,0)</f>
        <v>0.78749999999999998</v>
      </c>
      <c r="P44" s="17">
        <f>IFERROR(Rev_Forecast!P44*45%,0)</f>
        <v>0.9</v>
      </c>
      <c r="Q44" s="17">
        <f>IFERROR(Rev_Forecast!Q44*45%,0)</f>
        <v>0</v>
      </c>
      <c r="R44" s="17">
        <f>IFERROR(Rev_Forecast!R44*45%,0)</f>
        <v>0</v>
      </c>
      <c r="S44" s="17">
        <f>IFERROR(Rev_Forecast!S44*45%,0)</f>
        <v>0</v>
      </c>
    </row>
    <row r="45" spans="1:19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>
        <f>IFERROR(Rev_Forecast!H45*45%,0)</f>
        <v>0.45</v>
      </c>
      <c r="I45" s="17">
        <f>IFERROR(Rev_Forecast!I45*45%,0)</f>
        <v>0.63</v>
      </c>
      <c r="J45" s="17">
        <f>IFERROR(Rev_Forecast!J45*45%,0)</f>
        <v>0.72000000000000008</v>
      </c>
      <c r="K45" s="17">
        <f>IFERROR(Rev_Forecast!K45*45%,0)</f>
        <v>1.6875</v>
      </c>
      <c r="L45" s="17">
        <f>IFERROR(Rev_Forecast!L45*45%,0)</f>
        <v>2.3625000000000003</v>
      </c>
      <c r="M45" s="17">
        <f>IFERROR(Rev_Forecast!M45*45%,0)</f>
        <v>2.7</v>
      </c>
      <c r="N45" s="17">
        <f>IFERROR(Rev_Forecast!N45*45%,0)</f>
        <v>1.125</v>
      </c>
      <c r="O45" s="17">
        <f>IFERROR(Rev_Forecast!O45*45%,0)</f>
        <v>1.575</v>
      </c>
      <c r="P45" s="17">
        <f>IFERROR(Rev_Forecast!P45*45%,0)</f>
        <v>1.8</v>
      </c>
      <c r="Q45" s="17">
        <f>IFERROR(Rev_Forecast!Q45*45%,0)</f>
        <v>0</v>
      </c>
      <c r="R45" s="17">
        <f>IFERROR(Rev_Forecast!R45*45%,0)</f>
        <v>0</v>
      </c>
      <c r="S45" s="17">
        <f>IFERROR(Rev_Forecast!S45*45%,0)</f>
        <v>0</v>
      </c>
    </row>
    <row r="46" spans="1:19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>
        <f>IFERROR(Rev_Forecast!H46*45%,0)</f>
        <v>0</v>
      </c>
      <c r="I46" s="17">
        <f>IFERROR(Rev_Forecast!I46*45%,0)</f>
        <v>0</v>
      </c>
      <c r="J46" s="17">
        <f>IFERROR(Rev_Forecast!J46*45%,0)</f>
        <v>0</v>
      </c>
      <c r="K46" s="17">
        <f>IFERROR(Rev_Forecast!K46*45%,0)</f>
        <v>3.3075000000000001</v>
      </c>
      <c r="L46" s="17">
        <f>IFERROR(Rev_Forecast!L46*45%,0)</f>
        <v>4.6304999999999996</v>
      </c>
      <c r="M46" s="17">
        <f>IFERROR(Rev_Forecast!M46*45%,0)</f>
        <v>5.2919999999999998</v>
      </c>
      <c r="N46" s="17">
        <f>IFERROR(Rev_Forecast!N46*45%,0)</f>
        <v>0.9</v>
      </c>
      <c r="O46" s="17">
        <f>IFERROR(Rev_Forecast!O46*45%,0)</f>
        <v>1.26</v>
      </c>
      <c r="P46" s="17">
        <f>IFERROR(Rev_Forecast!P46*45%,0)</f>
        <v>1.4400000000000002</v>
      </c>
      <c r="Q46" s="17">
        <f>IFERROR(Rev_Forecast!Q46*45%,0)</f>
        <v>1.125</v>
      </c>
      <c r="R46" s="17">
        <f>IFERROR(Rev_Forecast!R46*45%,0)</f>
        <v>0</v>
      </c>
      <c r="S46" s="17">
        <f>IFERROR(Rev_Forecast!S46*45%,0)</f>
        <v>0</v>
      </c>
    </row>
    <row r="47" spans="1:19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>
        <f>IFERROR(Rev_Forecast!H47*45%,0)</f>
        <v>5.7037500000000003</v>
      </c>
      <c r="I47" s="17">
        <f>IFERROR(Rev_Forecast!I47*45%,0)</f>
        <v>7.9852500000000006</v>
      </c>
      <c r="J47" s="17">
        <f>IFERROR(Rev_Forecast!J47*45%,0)</f>
        <v>9.1260000000000012</v>
      </c>
      <c r="K47" s="17">
        <f>IFERROR(Rev_Forecast!K47*45%,0)</f>
        <v>6.1875</v>
      </c>
      <c r="L47" s="17">
        <f>IFERROR(Rev_Forecast!L47*45%,0)</f>
        <v>8.6624999999999996</v>
      </c>
      <c r="M47" s="17">
        <f>IFERROR(Rev_Forecast!M47*45%,0)</f>
        <v>9.9</v>
      </c>
      <c r="N47" s="17">
        <f>IFERROR(Rev_Forecast!N47*45%,0)</f>
        <v>7.875</v>
      </c>
      <c r="O47" s="17">
        <f>IFERROR(Rev_Forecast!O47*45%,0)</f>
        <v>11.025</v>
      </c>
      <c r="P47" s="17">
        <f>IFERROR(Rev_Forecast!P47*45%,0)</f>
        <v>12.6</v>
      </c>
      <c r="Q47" s="17">
        <f>IFERROR(Rev_Forecast!Q47*45%,0)</f>
        <v>4.5</v>
      </c>
      <c r="R47" s="17">
        <f>IFERROR(Rev_Forecast!R47*45%,0)</f>
        <v>0</v>
      </c>
      <c r="S47" s="17">
        <f>IFERROR(Rev_Forecast!S47*45%,0)</f>
        <v>0</v>
      </c>
    </row>
    <row r="48" spans="1:19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>
        <f>IFERROR(Rev_Forecast!H48*45%,0)</f>
        <v>2.25</v>
      </c>
      <c r="I48" s="17">
        <f>IFERROR(Rev_Forecast!I48*45%,0)</f>
        <v>3.15</v>
      </c>
      <c r="J48" s="17">
        <f>IFERROR(Rev_Forecast!J48*45%,0)</f>
        <v>3.6</v>
      </c>
      <c r="K48" s="17">
        <f>IFERROR(Rev_Forecast!K48*45%,0)</f>
        <v>1.96875</v>
      </c>
      <c r="L48" s="17">
        <f>IFERROR(Rev_Forecast!L48*45%,0)</f>
        <v>2.7562500000000001</v>
      </c>
      <c r="M48" s="17">
        <f>IFERROR(Rev_Forecast!M48*45%,0)</f>
        <v>3.15</v>
      </c>
      <c r="N48" s="17">
        <f>IFERROR(Rev_Forecast!N48*45%,0)</f>
        <v>1.575</v>
      </c>
      <c r="O48" s="17">
        <f>IFERROR(Rev_Forecast!O48*45%,0)</f>
        <v>2.2049999999999996</v>
      </c>
      <c r="P48" s="17">
        <f>IFERROR(Rev_Forecast!P48*45%,0)</f>
        <v>2.5200000000000005</v>
      </c>
      <c r="Q48" s="17">
        <f>IFERROR(Rev_Forecast!Q48*45%,0)</f>
        <v>2.25</v>
      </c>
      <c r="R48" s="17">
        <f>IFERROR(Rev_Forecast!R48*45%,0)</f>
        <v>0</v>
      </c>
      <c r="S48" s="17">
        <f>IFERROR(Rev_Forecast!S48*45%,0)</f>
        <v>0</v>
      </c>
    </row>
    <row r="49" spans="1:19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>
        <f>IFERROR(Rev_Forecast!H49*45%,0)</f>
        <v>0</v>
      </c>
      <c r="I49" s="17">
        <f>IFERROR(Rev_Forecast!I49*45%,0)</f>
        <v>0</v>
      </c>
      <c r="J49" s="17">
        <f>IFERROR(Rev_Forecast!J49*45%,0)</f>
        <v>0</v>
      </c>
      <c r="K49" s="17">
        <f>IFERROR(Rev_Forecast!K49*45%,0)</f>
        <v>0.28125</v>
      </c>
      <c r="L49" s="17">
        <f>IFERROR(Rev_Forecast!L49*45%,0)</f>
        <v>0.39374999999999999</v>
      </c>
      <c r="M49" s="17">
        <f>IFERROR(Rev_Forecast!M49*45%,0)</f>
        <v>0.45</v>
      </c>
      <c r="N49" s="17">
        <f>IFERROR(Rev_Forecast!N49*45%,0)</f>
        <v>0.22500000000000001</v>
      </c>
      <c r="O49" s="17">
        <f>IFERROR(Rev_Forecast!O49*45%,0)</f>
        <v>0.315</v>
      </c>
      <c r="P49" s="17">
        <f>IFERROR(Rev_Forecast!P49*45%,0)</f>
        <v>0.36000000000000004</v>
      </c>
      <c r="Q49" s="17">
        <f>IFERROR(Rev_Forecast!Q49*45%,0)</f>
        <v>0</v>
      </c>
      <c r="R49" s="17">
        <f>IFERROR(Rev_Forecast!R49*45%,0)</f>
        <v>0</v>
      </c>
      <c r="S49" s="17">
        <f>IFERROR(Rev_Forecast!S49*45%,0)</f>
        <v>0</v>
      </c>
    </row>
    <row r="50" spans="1:19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>
        <f>IFERROR(Rev_Forecast!H50*45%,0)</f>
        <v>2.471625</v>
      </c>
      <c r="I50" s="17">
        <f>IFERROR(Rev_Forecast!I50*45%,0)</f>
        <v>3.4602749999999998</v>
      </c>
      <c r="J50" s="17">
        <f>IFERROR(Rev_Forecast!J50*45%,0)</f>
        <v>3.9546000000000001</v>
      </c>
      <c r="K50" s="17">
        <f>IFERROR(Rev_Forecast!K50*45%,0)</f>
        <v>0.33750000000000002</v>
      </c>
      <c r="L50" s="17">
        <f>IFERROR(Rev_Forecast!L50*45%,0)</f>
        <v>0.47249999999999992</v>
      </c>
      <c r="M50" s="17">
        <f>IFERROR(Rev_Forecast!M50*45%,0)</f>
        <v>0.54000000000000015</v>
      </c>
      <c r="N50" s="17">
        <f>IFERROR(Rev_Forecast!N50*45%,0)</f>
        <v>0</v>
      </c>
      <c r="O50" s="17">
        <f>IFERROR(Rev_Forecast!O50*45%,0)</f>
        <v>0</v>
      </c>
      <c r="P50" s="17">
        <f>IFERROR(Rev_Forecast!P50*45%,0)</f>
        <v>0</v>
      </c>
      <c r="Q50" s="17">
        <f>IFERROR(Rev_Forecast!Q50*45%,0)</f>
        <v>0</v>
      </c>
      <c r="R50" s="17">
        <f>IFERROR(Rev_Forecast!R50*45%,0)</f>
        <v>0</v>
      </c>
      <c r="S50" s="17">
        <f>IFERROR(Rev_Forecast!S50*45%,0)</f>
        <v>0</v>
      </c>
    </row>
    <row r="51" spans="1:19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f>IFERROR(Rev_Forecast!H51*45%,0)</f>
        <v>0</v>
      </c>
      <c r="I51" s="17">
        <f>IFERROR(Rev_Forecast!I51*45%,0)</f>
        <v>0</v>
      </c>
      <c r="J51" s="17">
        <f>IFERROR(Rev_Forecast!J51*45%,0)</f>
        <v>0</v>
      </c>
      <c r="K51" s="17">
        <f>IFERROR(Rev_Forecast!K51*45%,0)</f>
        <v>0</v>
      </c>
      <c r="L51" s="17">
        <f>IFERROR(Rev_Forecast!L51*45%,0)</f>
        <v>0</v>
      </c>
      <c r="M51" s="17">
        <f>IFERROR(Rev_Forecast!M51*45%,0)</f>
        <v>0</v>
      </c>
      <c r="N51" s="17">
        <f>IFERROR(Rev_Forecast!N51*45%,0)</f>
        <v>0</v>
      </c>
      <c r="O51" s="17">
        <f>IFERROR(Rev_Forecast!O51*45%,0)</f>
        <v>0</v>
      </c>
      <c r="P51" s="17">
        <f>IFERROR(Rev_Forecast!P51*45%,0)</f>
        <v>0</v>
      </c>
      <c r="Q51" s="17">
        <f>IFERROR(Rev_Forecast!Q51*45%,0)</f>
        <v>0</v>
      </c>
      <c r="R51" s="17">
        <f>IFERROR(Rev_Forecast!R51*45%,0)</f>
        <v>0.46210499999999999</v>
      </c>
      <c r="S51" s="17">
        <f>IFERROR(Rev_Forecast!S51*45%,0)</f>
        <v>0</v>
      </c>
    </row>
    <row r="52" spans="1:19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f>IFERROR(Rev_Forecast!H52*45%,0)</f>
        <v>0</v>
      </c>
      <c r="I52" s="17">
        <f>IFERROR(Rev_Forecast!I52*45%,0)</f>
        <v>0</v>
      </c>
      <c r="J52" s="17">
        <f>IFERROR(Rev_Forecast!J52*45%,0)</f>
        <v>0</v>
      </c>
      <c r="K52" s="17">
        <f>IFERROR(Rev_Forecast!K52*45%,0)</f>
        <v>0</v>
      </c>
      <c r="L52" s="17">
        <f>IFERROR(Rev_Forecast!L52*45%,0)</f>
        <v>0</v>
      </c>
      <c r="M52" s="17">
        <f>IFERROR(Rev_Forecast!M52*45%,0)</f>
        <v>0</v>
      </c>
      <c r="N52" s="17">
        <f>IFERROR(Rev_Forecast!N52*45%,0)</f>
        <v>0.40500000000000003</v>
      </c>
      <c r="O52" s="17">
        <f>IFERROR(Rev_Forecast!O52*45%,0)</f>
        <v>0.56700000000000006</v>
      </c>
      <c r="P52" s="17">
        <f>IFERROR(Rev_Forecast!P52*45%,0)</f>
        <v>0.64800000000000013</v>
      </c>
      <c r="Q52" s="17">
        <f>IFERROR(Rev_Forecast!Q52*45%,0)</f>
        <v>0.67500000000000004</v>
      </c>
      <c r="R52" s="17">
        <f>IFERROR(Rev_Forecast!R52*45%,0)</f>
        <v>-0.1575</v>
      </c>
      <c r="S52" s="17">
        <f>IFERROR(Rev_Forecast!S52*45%,0)</f>
        <v>0</v>
      </c>
    </row>
    <row r="53" spans="1:19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f>IFERROR(Rev_Forecast!H53*45%,0)</f>
        <v>0</v>
      </c>
      <c r="I53" s="17">
        <f>IFERROR(Rev_Forecast!I53*45%,0)</f>
        <v>0</v>
      </c>
      <c r="J53" s="17">
        <f>IFERROR(Rev_Forecast!J53*45%,0)</f>
        <v>0</v>
      </c>
      <c r="K53" s="17">
        <f>IFERROR(Rev_Forecast!K53*45%,0)</f>
        <v>0</v>
      </c>
      <c r="L53" s="17">
        <f>IFERROR(Rev_Forecast!L53*45%,0)</f>
        <v>0</v>
      </c>
      <c r="M53" s="17">
        <f>IFERROR(Rev_Forecast!M53*45%,0)</f>
        <v>0</v>
      </c>
      <c r="N53" s="17">
        <f>IFERROR(Rev_Forecast!N53*45%,0)</f>
        <v>0.49500000000000005</v>
      </c>
      <c r="O53" s="17">
        <f>IFERROR(Rev_Forecast!O53*45%,0)</f>
        <v>0.69300000000000006</v>
      </c>
      <c r="P53" s="17">
        <f>IFERROR(Rev_Forecast!P53*45%,0)</f>
        <v>0.79200000000000015</v>
      </c>
      <c r="Q53" s="17">
        <f>IFERROR(Rev_Forecast!Q53*45%,0)</f>
        <v>0.67500000000000004</v>
      </c>
      <c r="R53" s="17">
        <f>IFERROR(Rev_Forecast!R53*45%,0)</f>
        <v>0.76500000000000001</v>
      </c>
      <c r="S53" s="17">
        <f>IFERROR(Rev_Forecast!S53*45%,0)</f>
        <v>2.25</v>
      </c>
    </row>
    <row r="54" spans="1:19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f>IFERROR(Rev_Forecast!H54*45%,0)</f>
        <v>0</v>
      </c>
      <c r="I54" s="17">
        <f>IFERROR(Rev_Forecast!I54*45%,0)</f>
        <v>0</v>
      </c>
      <c r="J54" s="17">
        <f>IFERROR(Rev_Forecast!J54*45%,0)</f>
        <v>0</v>
      </c>
      <c r="K54" s="17">
        <f>IFERROR(Rev_Forecast!K54*45%,0)</f>
        <v>0.38250000000000001</v>
      </c>
      <c r="L54" s="17">
        <f>IFERROR(Rev_Forecast!L54*45%,0)</f>
        <v>0.53549999999999998</v>
      </c>
      <c r="M54" s="17">
        <f>IFERROR(Rev_Forecast!M54*45%,0)</f>
        <v>0.6120000000000001</v>
      </c>
      <c r="N54" s="17">
        <f>IFERROR(Rev_Forecast!N54*45%,0)</f>
        <v>0.67500000000000004</v>
      </c>
      <c r="O54" s="17">
        <f>IFERROR(Rev_Forecast!O54*45%,0)</f>
        <v>0.94499999999999984</v>
      </c>
      <c r="P54" s="17">
        <f>IFERROR(Rev_Forecast!P54*45%,0)</f>
        <v>1.0800000000000003</v>
      </c>
      <c r="Q54" s="17">
        <f>IFERROR(Rev_Forecast!Q54*45%,0)</f>
        <v>0</v>
      </c>
      <c r="R54" s="17">
        <f>IFERROR(Rev_Forecast!R54*45%,0)</f>
        <v>13.689000000000002</v>
      </c>
      <c r="S54" s="17">
        <f>IFERROR(Rev_Forecast!S54*45%,0)</f>
        <v>47.25</v>
      </c>
    </row>
    <row r="55" spans="1:19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f>IFERROR(Rev_Forecast!H55*45%,0)</f>
        <v>0</v>
      </c>
      <c r="I55" s="17">
        <f>IFERROR(Rev_Forecast!I55*45%,0)</f>
        <v>0</v>
      </c>
      <c r="J55" s="17">
        <f>IFERROR(Rev_Forecast!J55*45%,0)</f>
        <v>0</v>
      </c>
      <c r="K55" s="17">
        <f>IFERROR(Rev_Forecast!K55*45%,0)</f>
        <v>0</v>
      </c>
      <c r="L55" s="17">
        <f>IFERROR(Rev_Forecast!L55*45%,0)</f>
        <v>0</v>
      </c>
      <c r="M55" s="17">
        <f>IFERROR(Rev_Forecast!M55*45%,0)</f>
        <v>0</v>
      </c>
      <c r="N55" s="17">
        <f>IFERROR(Rev_Forecast!N55*45%,0)</f>
        <v>0</v>
      </c>
      <c r="O55" s="17">
        <f>IFERROR(Rev_Forecast!O55*45%,0)</f>
        <v>0</v>
      </c>
      <c r="P55" s="17">
        <f>IFERROR(Rev_Forecast!P55*45%,0)</f>
        <v>0</v>
      </c>
      <c r="Q55" s="17">
        <f>IFERROR(Rev_Forecast!Q55*45%,0)</f>
        <v>28.5</v>
      </c>
      <c r="R55" s="17">
        <f>IFERROR(Rev_Forecast!R55*45%,0)</f>
        <v>0</v>
      </c>
      <c r="S55" s="17">
        <f>IFERROR(Rev_Forecast!S55*45%,0)</f>
        <v>4.5</v>
      </c>
    </row>
    <row r="56" spans="1:19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f>IFERROR(Rev_Forecast!H56*45%,0)</f>
        <v>0</v>
      </c>
      <c r="I56" s="17">
        <f>IFERROR(Rev_Forecast!I56*45%,0)</f>
        <v>0</v>
      </c>
      <c r="J56" s="17">
        <f>IFERROR(Rev_Forecast!J56*45%,0)</f>
        <v>0</v>
      </c>
      <c r="K56" s="17">
        <f>IFERROR(Rev_Forecast!K56*45%,0)</f>
        <v>0</v>
      </c>
      <c r="L56" s="17">
        <f>IFERROR(Rev_Forecast!L56*45%,0)</f>
        <v>0</v>
      </c>
      <c r="M56" s="17">
        <f>IFERROR(Rev_Forecast!M56*45%,0)</f>
        <v>0</v>
      </c>
      <c r="N56" s="17">
        <f>IFERROR(Rev_Forecast!N56*45%,0)</f>
        <v>0</v>
      </c>
      <c r="O56" s="17">
        <f>IFERROR(Rev_Forecast!O56*45%,0)</f>
        <v>0</v>
      </c>
      <c r="P56" s="17">
        <f>IFERROR(Rev_Forecast!P56*45%,0)</f>
        <v>0</v>
      </c>
      <c r="Q56" s="17">
        <f>IFERROR(Rev_Forecast!Q56*45%,0)</f>
        <v>0</v>
      </c>
      <c r="R56" s="17">
        <f>IFERROR(Rev_Forecast!R56*45%,0)</f>
        <v>-0.45</v>
      </c>
      <c r="S56" s="17">
        <f>IFERROR(Rev_Forecast!S56*45%,0)</f>
        <v>0</v>
      </c>
    </row>
    <row r="57" spans="1:19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f>IFERROR(Rev_Forecast!H57*45%,0)</f>
        <v>0.67500000000000004</v>
      </c>
      <c r="I57" s="17">
        <f>IFERROR(Rev_Forecast!I57*45%,0)</f>
        <v>0.94499999999999984</v>
      </c>
      <c r="J57" s="17">
        <f>IFERROR(Rev_Forecast!J57*45%,0)</f>
        <v>1.0800000000000003</v>
      </c>
      <c r="K57" s="17">
        <f>IFERROR(Rev_Forecast!K57*45%,0)</f>
        <v>2.25</v>
      </c>
      <c r="L57" s="17">
        <f>IFERROR(Rev_Forecast!L57*45%,0)</f>
        <v>3.15</v>
      </c>
      <c r="M57" s="17">
        <f>IFERROR(Rev_Forecast!M57*45%,0)</f>
        <v>3.6</v>
      </c>
      <c r="N57" s="17">
        <f>IFERROR(Rev_Forecast!N57*45%,0)</f>
        <v>2.2612500000000004</v>
      </c>
      <c r="O57" s="17">
        <f>IFERROR(Rev_Forecast!O57*45%,0)</f>
        <v>3.1657500000000001</v>
      </c>
      <c r="P57" s="17">
        <f>IFERROR(Rev_Forecast!P57*45%,0)</f>
        <v>3.6180000000000003</v>
      </c>
      <c r="Q57" s="17">
        <f>IFERROR(Rev_Forecast!Q57*45%,0)</f>
        <v>4.1399999999999997</v>
      </c>
      <c r="R57" s="17">
        <f>IFERROR(Rev_Forecast!R57*45%,0)</f>
        <v>-0.72900000000000009</v>
      </c>
      <c r="S57" s="17">
        <f>IFERROR(Rev_Forecast!S57*45%,0)</f>
        <v>0</v>
      </c>
    </row>
    <row r="58" spans="1:19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f>IFERROR(Rev_Forecast!H58*45%,0)</f>
        <v>0</v>
      </c>
      <c r="I58" s="17">
        <f>IFERROR(Rev_Forecast!I58*45%,0)</f>
        <v>0</v>
      </c>
      <c r="J58" s="17">
        <f>IFERROR(Rev_Forecast!J58*45%,0)</f>
        <v>0</v>
      </c>
      <c r="K58" s="17">
        <f>IFERROR(Rev_Forecast!K58*45%,0)</f>
        <v>0</v>
      </c>
      <c r="L58" s="17">
        <f>IFERROR(Rev_Forecast!L58*45%,0)</f>
        <v>0</v>
      </c>
      <c r="M58" s="17">
        <f>IFERROR(Rev_Forecast!M58*45%,0)</f>
        <v>0</v>
      </c>
      <c r="N58" s="17">
        <f>IFERROR(Rev_Forecast!N58*45%,0)</f>
        <v>0.59062500000000007</v>
      </c>
      <c r="O58" s="17">
        <f>IFERROR(Rev_Forecast!O58*45%,0)</f>
        <v>0.82687500000000003</v>
      </c>
      <c r="P58" s="17">
        <f>IFERROR(Rev_Forecast!P58*45%,0)</f>
        <v>0.94500000000000006</v>
      </c>
      <c r="Q58" s="17">
        <f>IFERROR(Rev_Forecast!Q58*45%,0)</f>
        <v>0</v>
      </c>
      <c r="R58" s="17">
        <f>IFERROR(Rev_Forecast!R58*45%,0)</f>
        <v>0</v>
      </c>
      <c r="S58" s="17">
        <f>IFERROR(Rev_Forecast!S58*45%,0)</f>
        <v>0</v>
      </c>
    </row>
    <row r="59" spans="1:19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f>IFERROR(Rev_Forecast!H59*45%,0)</f>
        <v>0</v>
      </c>
      <c r="I59" s="17">
        <f>IFERROR(Rev_Forecast!I59*45%,0)</f>
        <v>0</v>
      </c>
      <c r="J59" s="17">
        <f>IFERROR(Rev_Forecast!J59*45%,0)</f>
        <v>0</v>
      </c>
      <c r="K59" s="17">
        <f>IFERROR(Rev_Forecast!K59*45%,0)</f>
        <v>0</v>
      </c>
      <c r="L59" s="17">
        <f>IFERROR(Rev_Forecast!L59*45%,0)</f>
        <v>0</v>
      </c>
      <c r="M59" s="17">
        <f>IFERROR(Rev_Forecast!M59*45%,0)</f>
        <v>0</v>
      </c>
      <c r="N59" s="17">
        <f>IFERROR(Rev_Forecast!N59*45%,0)</f>
        <v>0</v>
      </c>
      <c r="O59" s="17">
        <f>IFERROR(Rev_Forecast!O59*45%,0)</f>
        <v>0</v>
      </c>
      <c r="P59" s="17">
        <f>IFERROR(Rev_Forecast!P59*45%,0)</f>
        <v>0</v>
      </c>
      <c r="Q59" s="17">
        <f>IFERROR(Rev_Forecast!Q59*45%,0)</f>
        <v>1.8</v>
      </c>
      <c r="R59" s="17">
        <f>IFERROR(Rev_Forecast!R59*45%,0)</f>
        <v>0</v>
      </c>
      <c r="S59" s="17">
        <f>IFERROR(Rev_Forecast!S59*45%,0)</f>
        <v>0</v>
      </c>
    </row>
    <row r="60" spans="1:19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f>IFERROR(Rev_Forecast!H60*45%,0)</f>
        <v>0</v>
      </c>
      <c r="I60" s="17">
        <f>IFERROR(Rev_Forecast!I60*45%,0)</f>
        <v>0</v>
      </c>
      <c r="J60" s="17">
        <f>IFERROR(Rev_Forecast!J60*45%,0)</f>
        <v>0</v>
      </c>
      <c r="K60" s="17">
        <f>IFERROR(Rev_Forecast!K60*45%,0)</f>
        <v>5.0130000000000008</v>
      </c>
      <c r="L60" s="17">
        <f>IFERROR(Rev_Forecast!L60*45%,0)</f>
        <v>7.0182000000000002</v>
      </c>
      <c r="M60" s="17">
        <f>IFERROR(Rev_Forecast!M60*45%,0)</f>
        <v>8.0208000000000013</v>
      </c>
      <c r="N60" s="17">
        <f>IFERROR(Rev_Forecast!N60*45%,0)</f>
        <v>2.6212500000000003</v>
      </c>
      <c r="O60" s="17">
        <f>IFERROR(Rev_Forecast!O60*45%,0)</f>
        <v>3.6697499999999996</v>
      </c>
      <c r="P60" s="17">
        <f>IFERROR(Rev_Forecast!P60*45%,0)</f>
        <v>4.194</v>
      </c>
      <c r="Q60" s="17">
        <f>IFERROR(Rev_Forecast!Q60*45%,0)</f>
        <v>4.3650000000000002</v>
      </c>
      <c r="R60" s="17">
        <f>IFERROR(Rev_Forecast!R60*45%,0)</f>
        <v>0</v>
      </c>
      <c r="S60" s="17">
        <f>IFERROR(Rev_Forecast!S60*45%,0)</f>
        <v>0</v>
      </c>
    </row>
    <row r="61" spans="1:19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f>IFERROR(Rev_Forecast!H61*45%,0)</f>
        <v>0</v>
      </c>
      <c r="I61" s="17">
        <f>IFERROR(Rev_Forecast!I61*45%,0)</f>
        <v>0</v>
      </c>
      <c r="J61" s="17">
        <f>IFERROR(Rev_Forecast!J61*45%,0)</f>
        <v>0</v>
      </c>
      <c r="K61" s="17">
        <f>IFERROR(Rev_Forecast!K61*45%,0)</f>
        <v>0</v>
      </c>
      <c r="L61" s="17">
        <f>IFERROR(Rev_Forecast!L61*45%,0)</f>
        <v>0</v>
      </c>
      <c r="M61" s="17">
        <f>IFERROR(Rev_Forecast!M61*45%,0)</f>
        <v>0</v>
      </c>
      <c r="N61" s="17">
        <f>IFERROR(Rev_Forecast!N61*45%,0)</f>
        <v>0</v>
      </c>
      <c r="O61" s="17">
        <f>IFERROR(Rev_Forecast!O61*45%,0)</f>
        <v>0</v>
      </c>
      <c r="P61" s="17">
        <f>IFERROR(Rev_Forecast!P61*45%,0)</f>
        <v>0</v>
      </c>
      <c r="Q61" s="17">
        <f>IFERROR(Rev_Forecast!Q61*45%,0)</f>
        <v>0</v>
      </c>
      <c r="R61" s="17">
        <f>IFERROR(Rev_Forecast!R61*45%,0)</f>
        <v>0</v>
      </c>
      <c r="S61" s="17">
        <f>IFERROR(Rev_Forecast!S61*45%,0)</f>
        <v>0</v>
      </c>
    </row>
    <row r="62" spans="1:19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f>IFERROR(Rev_Forecast!H62*45%,0)</f>
        <v>0</v>
      </c>
      <c r="I62" s="17">
        <f>IFERROR(Rev_Forecast!I62*45%,0)</f>
        <v>0</v>
      </c>
      <c r="J62" s="17">
        <f>IFERROR(Rev_Forecast!J62*45%,0)</f>
        <v>0</v>
      </c>
      <c r="K62" s="17">
        <f>IFERROR(Rev_Forecast!K62*45%,0)</f>
        <v>0</v>
      </c>
      <c r="L62" s="17">
        <f>IFERROR(Rev_Forecast!L62*45%,0)</f>
        <v>0</v>
      </c>
      <c r="M62" s="17">
        <f>IFERROR(Rev_Forecast!M62*45%,0)</f>
        <v>0</v>
      </c>
      <c r="N62" s="17">
        <f>IFERROR(Rev_Forecast!N62*45%,0)</f>
        <v>0</v>
      </c>
      <c r="O62" s="17">
        <f>IFERROR(Rev_Forecast!O62*45%,0)</f>
        <v>0</v>
      </c>
      <c r="P62" s="17">
        <f>IFERROR(Rev_Forecast!P62*45%,0)</f>
        <v>0</v>
      </c>
      <c r="Q62" s="17">
        <f>IFERROR(Rev_Forecast!Q62*45%,0)</f>
        <v>0</v>
      </c>
      <c r="R62" s="17">
        <f>IFERROR(Rev_Forecast!R62*45%,0)</f>
        <v>0</v>
      </c>
      <c r="S62" s="17">
        <f>IFERROR(Rev_Forecast!S62*45%,0)</f>
        <v>0</v>
      </c>
    </row>
    <row r="63" spans="1:19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f>IFERROR(Rev_Forecast!H63*45%,0)</f>
        <v>0</v>
      </c>
      <c r="I63" s="17">
        <f>IFERROR(Rev_Forecast!I63*45%,0)</f>
        <v>0</v>
      </c>
      <c r="J63" s="17">
        <f>IFERROR(Rev_Forecast!J63*45%,0)</f>
        <v>0</v>
      </c>
      <c r="K63" s="17">
        <f>IFERROR(Rev_Forecast!K63*45%,0)</f>
        <v>0</v>
      </c>
      <c r="L63" s="17">
        <f>IFERROR(Rev_Forecast!L63*45%,0)</f>
        <v>0</v>
      </c>
      <c r="M63" s="17">
        <f>IFERROR(Rev_Forecast!M63*45%,0)</f>
        <v>0</v>
      </c>
      <c r="N63" s="17">
        <f>IFERROR(Rev_Forecast!N63*45%,0)</f>
        <v>0</v>
      </c>
      <c r="O63" s="17">
        <f>IFERROR(Rev_Forecast!O63*45%,0)</f>
        <v>0</v>
      </c>
      <c r="P63" s="17">
        <f>IFERROR(Rev_Forecast!P63*45%,0)</f>
        <v>0</v>
      </c>
      <c r="Q63" s="17">
        <f>IFERROR(Rev_Forecast!Q63*45%,0)</f>
        <v>0</v>
      </c>
      <c r="R63" s="17">
        <f>IFERROR(Rev_Forecast!R63*45%,0)</f>
        <v>0</v>
      </c>
      <c r="S63" s="17">
        <f>IFERROR(Rev_Forecast!S63*45%,0)</f>
        <v>0</v>
      </c>
    </row>
    <row r="64" spans="1:19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f>IFERROR(Rev_Forecast!H64*45%,0)</f>
        <v>0</v>
      </c>
      <c r="I64" s="17">
        <f>IFERROR(Rev_Forecast!I64*45%,0)</f>
        <v>0</v>
      </c>
      <c r="J64" s="17">
        <f>IFERROR(Rev_Forecast!J64*45%,0)</f>
        <v>0</v>
      </c>
      <c r="K64" s="17">
        <f>IFERROR(Rev_Forecast!K64*45%,0)</f>
        <v>0</v>
      </c>
      <c r="L64" s="17">
        <f>IFERROR(Rev_Forecast!L64*45%,0)</f>
        <v>0</v>
      </c>
      <c r="M64" s="17">
        <f>IFERROR(Rev_Forecast!M64*45%,0)</f>
        <v>0</v>
      </c>
      <c r="N64" s="17">
        <f>IFERROR(Rev_Forecast!N64*45%,0)</f>
        <v>0</v>
      </c>
      <c r="O64" s="17">
        <f>IFERROR(Rev_Forecast!O64*45%,0)</f>
        <v>0</v>
      </c>
      <c r="P64" s="17">
        <f>IFERROR(Rev_Forecast!P64*45%,0)</f>
        <v>0</v>
      </c>
      <c r="Q64" s="17">
        <f>IFERROR(Rev_Forecast!Q64*45%,0)</f>
        <v>1.7775000000000001</v>
      </c>
      <c r="R64" s="17">
        <f>IFERROR(Rev_Forecast!R64*45%,0)</f>
        <v>0</v>
      </c>
      <c r="S64" s="17">
        <f>IFERROR(Rev_Forecast!S64*45%,0)</f>
        <v>0.67500000000000004</v>
      </c>
    </row>
    <row r="65" spans="1:19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f>IFERROR(Rev_Forecast!H65*45%,0)</f>
        <v>0.25874999999999998</v>
      </c>
      <c r="I65" s="17">
        <f>IFERROR(Rev_Forecast!I65*45%,0)</f>
        <v>0.36224999999999996</v>
      </c>
      <c r="J65" s="17">
        <f>IFERROR(Rev_Forecast!J65*45%,0)</f>
        <v>0.41399999999999998</v>
      </c>
      <c r="K65" s="17">
        <f>IFERROR(Rev_Forecast!K65*45%,0)</f>
        <v>0</v>
      </c>
      <c r="L65" s="17">
        <f>IFERROR(Rev_Forecast!L65*45%,0)</f>
        <v>0</v>
      </c>
      <c r="M65" s="17">
        <f>IFERROR(Rev_Forecast!M65*45%,0)</f>
        <v>0</v>
      </c>
      <c r="N65" s="17">
        <f>IFERROR(Rev_Forecast!N65*45%,0)</f>
        <v>0</v>
      </c>
      <c r="O65" s="17">
        <f>IFERROR(Rev_Forecast!O65*45%,0)</f>
        <v>0</v>
      </c>
      <c r="P65" s="17">
        <f>IFERROR(Rev_Forecast!P65*45%,0)</f>
        <v>0</v>
      </c>
      <c r="Q65" s="17">
        <f>IFERROR(Rev_Forecast!Q65*45%,0)</f>
        <v>0</v>
      </c>
      <c r="R65" s="17">
        <f>IFERROR(Rev_Forecast!R65*45%,0)</f>
        <v>36.450000000000003</v>
      </c>
      <c r="S65" s="17">
        <f>IFERROR(Rev_Forecast!S65*45%,0)</f>
        <v>28.226700000000001</v>
      </c>
    </row>
    <row r="66" spans="1:19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f>IFERROR(Rev_Forecast!H66*45%,0)</f>
        <v>0</v>
      </c>
      <c r="I66" s="17">
        <f>IFERROR(Rev_Forecast!I66*45%,0)</f>
        <v>0</v>
      </c>
      <c r="J66" s="17">
        <f>IFERROR(Rev_Forecast!J66*45%,0)</f>
        <v>0</v>
      </c>
      <c r="K66" s="17">
        <f>IFERROR(Rev_Forecast!K66*45%,0)</f>
        <v>0</v>
      </c>
      <c r="L66" s="17">
        <f>IFERROR(Rev_Forecast!L66*45%,0)</f>
        <v>0</v>
      </c>
      <c r="M66" s="17">
        <f>IFERROR(Rev_Forecast!M66*45%,0)</f>
        <v>0</v>
      </c>
      <c r="N66" s="17">
        <f>IFERROR(Rev_Forecast!N66*45%,0)</f>
        <v>0.22500000000000001</v>
      </c>
      <c r="O66" s="17">
        <f>IFERROR(Rev_Forecast!O66*45%,0)</f>
        <v>0.315</v>
      </c>
      <c r="P66" s="17">
        <f>IFERROR(Rev_Forecast!P66*45%,0)</f>
        <v>0.36000000000000004</v>
      </c>
      <c r="Q66" s="17">
        <f>IFERROR(Rev_Forecast!Q66*45%,0)</f>
        <v>0.46800000000000003</v>
      </c>
      <c r="R66" s="17">
        <f>IFERROR(Rev_Forecast!R66*45%,0)</f>
        <v>0</v>
      </c>
      <c r="S66" s="17">
        <f>IFERROR(Rev_Forecast!S66*45%,0)</f>
        <v>0</v>
      </c>
    </row>
    <row r="67" spans="1:19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f>IFERROR(Rev_Forecast!H67*45%,0)</f>
        <v>0</v>
      </c>
      <c r="I67" s="17">
        <f>IFERROR(Rev_Forecast!I67*45%,0)</f>
        <v>0</v>
      </c>
      <c r="J67" s="17">
        <f>IFERROR(Rev_Forecast!J67*45%,0)</f>
        <v>0</v>
      </c>
      <c r="K67" s="17">
        <f>IFERROR(Rev_Forecast!K67*45%,0)</f>
        <v>0</v>
      </c>
      <c r="L67" s="17">
        <f>IFERROR(Rev_Forecast!L67*45%,0)</f>
        <v>0</v>
      </c>
      <c r="M67" s="17">
        <f>IFERROR(Rev_Forecast!M67*45%,0)</f>
        <v>0</v>
      </c>
      <c r="N67" s="17">
        <f>IFERROR(Rev_Forecast!N67*45%,0)</f>
        <v>0</v>
      </c>
      <c r="O67" s="17">
        <f>IFERROR(Rev_Forecast!O67*45%,0)</f>
        <v>0</v>
      </c>
      <c r="P67" s="17">
        <f>IFERROR(Rev_Forecast!P67*45%,0)</f>
        <v>0</v>
      </c>
      <c r="Q67" s="17">
        <f>IFERROR(Rev_Forecast!Q67*45%,0)</f>
        <v>1.35</v>
      </c>
      <c r="R67" s="17">
        <f>IFERROR(Rev_Forecast!R67*45%,0)</f>
        <v>4.6800000000000006</v>
      </c>
      <c r="S67" s="17">
        <f>IFERROR(Rev_Forecast!S67*45%,0)</f>
        <v>4.95</v>
      </c>
    </row>
    <row r="68" spans="1:19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f>IFERROR(Rev_Forecast!H68*45%,0)</f>
        <v>0</v>
      </c>
      <c r="I68" s="17">
        <f>IFERROR(Rev_Forecast!I68*45%,0)</f>
        <v>0</v>
      </c>
      <c r="J68" s="17">
        <f>IFERROR(Rev_Forecast!J68*45%,0)</f>
        <v>0</v>
      </c>
      <c r="K68" s="17">
        <f>IFERROR(Rev_Forecast!K68*45%,0)</f>
        <v>0</v>
      </c>
      <c r="L68" s="17">
        <f>IFERROR(Rev_Forecast!L68*45%,0)</f>
        <v>0</v>
      </c>
      <c r="M68" s="17">
        <f>IFERROR(Rev_Forecast!M68*45%,0)</f>
        <v>0</v>
      </c>
      <c r="N68" s="17">
        <f>IFERROR(Rev_Forecast!N68*45%,0)</f>
        <v>0</v>
      </c>
      <c r="O68" s="17">
        <f>IFERROR(Rev_Forecast!O68*45%,0)</f>
        <v>0</v>
      </c>
      <c r="P68" s="17">
        <f>IFERROR(Rev_Forecast!P68*45%,0)</f>
        <v>0</v>
      </c>
      <c r="Q68" s="17">
        <f>IFERROR(Rev_Forecast!Q68*45%,0)</f>
        <v>0.9</v>
      </c>
      <c r="R68" s="17">
        <f>IFERROR(Rev_Forecast!R68*45%,0)</f>
        <v>1.395</v>
      </c>
      <c r="S68" s="17">
        <f>IFERROR(Rev_Forecast!S68*45%,0)</f>
        <v>2.9925000000000002</v>
      </c>
    </row>
    <row r="69" spans="1:19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7">
        <f>IFERROR(Rev_Forecast!H69*45%,0)</f>
        <v>0</v>
      </c>
      <c r="I69" s="17">
        <f>IFERROR(Rev_Forecast!I69*45%,0)</f>
        <v>0</v>
      </c>
      <c r="J69" s="17">
        <f>IFERROR(Rev_Forecast!J69*45%,0)</f>
        <v>0</v>
      </c>
      <c r="K69" s="17">
        <f>IFERROR(Rev_Forecast!K69*45%,0)</f>
        <v>0</v>
      </c>
      <c r="L69" s="17">
        <f>IFERROR(Rev_Forecast!L69*45%,0)</f>
        <v>0</v>
      </c>
      <c r="M69" s="17">
        <f>IFERROR(Rev_Forecast!M69*45%,0)</f>
        <v>0</v>
      </c>
      <c r="N69" s="17">
        <f>IFERROR(Rev_Forecast!N69*45%,0)</f>
        <v>0</v>
      </c>
      <c r="O69" s="17">
        <f>IFERROR(Rev_Forecast!O69*45%,0)</f>
        <v>0</v>
      </c>
      <c r="P69" s="17">
        <f>IFERROR(Rev_Forecast!P69*45%,0)</f>
        <v>0</v>
      </c>
      <c r="Q69" s="17">
        <f>IFERROR(Rev_Forecast!Q69*45%,0)</f>
        <v>0</v>
      </c>
      <c r="R69" s="17">
        <f>IFERROR(Rev_Forecast!R69*45%,0)</f>
        <v>1.6740000000000002</v>
      </c>
      <c r="S69" s="17">
        <f>IFERROR(Rev_Forecast!S69*45%,0)</f>
        <v>1.6740000000000002</v>
      </c>
    </row>
    <row r="70" spans="1:19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f>IFERROR(Rev_Forecast!H70*45%,0)</f>
        <v>0</v>
      </c>
      <c r="I70" s="17">
        <f>IFERROR(Rev_Forecast!I70*45%,0)</f>
        <v>0</v>
      </c>
      <c r="J70" s="17">
        <f>IFERROR(Rev_Forecast!J70*45%,0)</f>
        <v>0</v>
      </c>
      <c r="K70" s="17">
        <f>IFERROR(Rev_Forecast!K70*45%,0)</f>
        <v>0</v>
      </c>
      <c r="L70" s="17">
        <f>IFERROR(Rev_Forecast!L70*45%,0)</f>
        <v>0</v>
      </c>
      <c r="M70" s="17">
        <f>IFERROR(Rev_Forecast!M70*45%,0)</f>
        <v>0</v>
      </c>
      <c r="N70" s="17">
        <f>IFERROR(Rev_Forecast!N70*45%,0)</f>
        <v>0</v>
      </c>
      <c r="O70" s="17">
        <f>IFERROR(Rev_Forecast!O70*45%,0)</f>
        <v>0</v>
      </c>
      <c r="P70" s="17">
        <f>IFERROR(Rev_Forecast!P70*45%,0)</f>
        <v>0</v>
      </c>
      <c r="Q70" s="17">
        <f>IFERROR(Rev_Forecast!Q70*45%,0)</f>
        <v>0</v>
      </c>
      <c r="R70" s="17">
        <f>IFERROR(Rev_Forecast!R70*45%,0)</f>
        <v>3.0702240000000001</v>
      </c>
      <c r="S70" s="17">
        <f>IFERROR(Rev_Forecast!S70*45%,0)</f>
        <v>4.41</v>
      </c>
    </row>
    <row r="71" spans="1:19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f>IFERROR(Rev_Forecast!H71*45%,0)</f>
        <v>0</v>
      </c>
      <c r="I71" s="17">
        <f>IFERROR(Rev_Forecast!I71*45%,0)</f>
        <v>0</v>
      </c>
      <c r="J71" s="17">
        <f>IFERROR(Rev_Forecast!J71*45%,0)</f>
        <v>0</v>
      </c>
      <c r="K71" s="17">
        <f>IFERROR(Rev_Forecast!K71*45%,0)</f>
        <v>0</v>
      </c>
      <c r="L71" s="17">
        <f>IFERROR(Rev_Forecast!L71*45%,0)</f>
        <v>0</v>
      </c>
      <c r="M71" s="17">
        <f>IFERROR(Rev_Forecast!M71*45%,0)</f>
        <v>0</v>
      </c>
      <c r="N71" s="17">
        <f>IFERROR(Rev_Forecast!N71*45%,0)</f>
        <v>0</v>
      </c>
      <c r="O71" s="17">
        <f>IFERROR(Rev_Forecast!O71*45%,0)</f>
        <v>0</v>
      </c>
      <c r="P71" s="17">
        <f>IFERROR(Rev_Forecast!P71*45%,0)</f>
        <v>0</v>
      </c>
      <c r="Q71" s="17">
        <f>IFERROR(Rev_Forecast!Q71*45%,0)</f>
        <v>0</v>
      </c>
      <c r="R71" s="17">
        <f>IFERROR(Rev_Forecast!R71*45%,0)</f>
        <v>0.87749999999999995</v>
      </c>
      <c r="S71" s="17">
        <f>IFERROR(Rev_Forecast!S71*45%,0)</f>
        <v>1.7775000000000001</v>
      </c>
    </row>
    <row r="72" spans="1:19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f>IFERROR(Rev_Forecast!H72*45%,0)</f>
        <v>0</v>
      </c>
      <c r="I72" s="17">
        <f>IFERROR(Rev_Forecast!I72*45%,0)</f>
        <v>0</v>
      </c>
      <c r="J72" s="17">
        <f>IFERROR(Rev_Forecast!J72*45%,0)</f>
        <v>0</v>
      </c>
      <c r="K72" s="17">
        <f>IFERROR(Rev_Forecast!K72*45%,0)</f>
        <v>0</v>
      </c>
      <c r="L72" s="17">
        <f>IFERROR(Rev_Forecast!L72*45%,0)</f>
        <v>0</v>
      </c>
      <c r="M72" s="17">
        <f>IFERROR(Rev_Forecast!M72*45%,0)</f>
        <v>0</v>
      </c>
      <c r="N72" s="17">
        <f>IFERROR(Rev_Forecast!N72*45%,0)</f>
        <v>0</v>
      </c>
      <c r="O72" s="17">
        <f>IFERROR(Rev_Forecast!O72*45%,0)</f>
        <v>0</v>
      </c>
      <c r="P72" s="17">
        <f>IFERROR(Rev_Forecast!P72*45%,0)</f>
        <v>0</v>
      </c>
      <c r="Q72" s="17">
        <f>IFERROR(Rev_Forecast!Q72*45%,0)</f>
        <v>0</v>
      </c>
      <c r="R72" s="17">
        <f>IFERROR(Rev_Forecast!R72*45%,0)</f>
        <v>1.7775000000000001</v>
      </c>
      <c r="S72" s="17">
        <f>IFERROR(Rev_Forecast!S72*45%,0)</f>
        <v>1.3499999999999996</v>
      </c>
    </row>
    <row r="73" spans="1:19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f>IFERROR(Rev_Forecast!H73*45%,0)</f>
        <v>0</v>
      </c>
      <c r="I73" s="17">
        <f>IFERROR(Rev_Forecast!I73*45%,0)</f>
        <v>0</v>
      </c>
      <c r="J73" s="17">
        <f>IFERROR(Rev_Forecast!J73*45%,0)</f>
        <v>0</v>
      </c>
      <c r="K73" s="17">
        <f>IFERROR(Rev_Forecast!K73*45%,0)</f>
        <v>0</v>
      </c>
      <c r="L73" s="17">
        <f>IFERROR(Rev_Forecast!L73*45%,0)</f>
        <v>0</v>
      </c>
      <c r="M73" s="17">
        <f>IFERROR(Rev_Forecast!M73*45%,0)</f>
        <v>0</v>
      </c>
      <c r="N73" s="17">
        <f>IFERROR(Rev_Forecast!N73*45%,0)</f>
        <v>0</v>
      </c>
      <c r="O73" s="17">
        <f>IFERROR(Rev_Forecast!O73*45%,0)</f>
        <v>0</v>
      </c>
      <c r="P73" s="17">
        <f>IFERROR(Rev_Forecast!P73*45%,0)</f>
        <v>0</v>
      </c>
      <c r="Q73" s="17">
        <f>IFERROR(Rev_Forecast!Q73*45%,0)</f>
        <v>0</v>
      </c>
      <c r="R73" s="17">
        <f>IFERROR(Rev_Forecast!R73*45%,0)</f>
        <v>2.5298415000000003</v>
      </c>
      <c r="S73" s="17">
        <f>IFERROR(Rev_Forecast!S73*45%,0)</f>
        <v>2.8321875000000003</v>
      </c>
    </row>
    <row r="74" spans="1:19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>
        <f>IFERROR(Rev_Forecast!H74*45%,0)</f>
        <v>0</v>
      </c>
      <c r="I74" s="17">
        <f>IFERROR(Rev_Forecast!I74*45%,0)</f>
        <v>0</v>
      </c>
      <c r="J74" s="17">
        <f>IFERROR(Rev_Forecast!J74*45%,0)</f>
        <v>0</v>
      </c>
      <c r="K74" s="17">
        <f>IFERROR(Rev_Forecast!K74*45%,0)</f>
        <v>0</v>
      </c>
      <c r="L74" s="17">
        <f>IFERROR(Rev_Forecast!L74*45%,0)</f>
        <v>0</v>
      </c>
      <c r="M74" s="17">
        <f>IFERROR(Rev_Forecast!M74*45%,0)</f>
        <v>0</v>
      </c>
      <c r="N74" s="17">
        <f>IFERROR(Rev_Forecast!N74*45%,0)</f>
        <v>0</v>
      </c>
      <c r="O74" s="17">
        <f>IFERROR(Rev_Forecast!O74*45%,0)</f>
        <v>0</v>
      </c>
      <c r="P74" s="17">
        <f>IFERROR(Rev_Forecast!P74*45%,0)</f>
        <v>0</v>
      </c>
      <c r="Q74" s="17">
        <f>IFERROR(Rev_Forecast!Q74*45%,0)</f>
        <v>0</v>
      </c>
      <c r="R74" s="17">
        <f>IFERROR(Rev_Forecast!R74*45%,0)</f>
        <v>0</v>
      </c>
      <c r="S74" s="17">
        <f>IFERROR(Rev_Forecast!S74*45%,0)</f>
        <v>0.9</v>
      </c>
    </row>
    <row r="75" spans="1:19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7">
        <f>IFERROR(Rev_Forecast!H75*45%,0)</f>
        <v>0</v>
      </c>
      <c r="I75" s="17">
        <f>IFERROR(Rev_Forecast!I75*45%,0)</f>
        <v>0</v>
      </c>
      <c r="J75" s="17">
        <f>IFERROR(Rev_Forecast!J75*45%,0)</f>
        <v>0</v>
      </c>
      <c r="K75" s="17">
        <f>IFERROR(Rev_Forecast!K75*45%,0)</f>
        <v>0</v>
      </c>
      <c r="L75" s="17">
        <f>IFERROR(Rev_Forecast!L75*45%,0)</f>
        <v>0</v>
      </c>
      <c r="M75" s="17">
        <f>IFERROR(Rev_Forecast!M75*45%,0)</f>
        <v>0</v>
      </c>
      <c r="N75" s="17">
        <f>IFERROR(Rev_Forecast!N75*45%,0)</f>
        <v>0</v>
      </c>
      <c r="O75" s="17">
        <f>IFERROR(Rev_Forecast!O75*45%,0)</f>
        <v>0</v>
      </c>
      <c r="P75" s="17">
        <f>IFERROR(Rev_Forecast!P75*45%,0)</f>
        <v>0</v>
      </c>
      <c r="Q75" s="17">
        <f>IFERROR(Rev_Forecast!Q75*45%,0)</f>
        <v>0</v>
      </c>
      <c r="R75" s="17">
        <f>IFERROR(Rev_Forecast!R75*45%,0)</f>
        <v>0.83249999999999991</v>
      </c>
      <c r="S75" s="17">
        <f>IFERROR(Rev_Forecast!S75*45%,0)</f>
        <v>1.9800000000000002</v>
      </c>
    </row>
    <row r="76" spans="1:19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>
        <f>IFERROR(Rev_Forecast!H76*45%,0)</f>
        <v>0</v>
      </c>
      <c r="I76" s="17">
        <f>IFERROR(Rev_Forecast!I76*45%,0)</f>
        <v>0</v>
      </c>
      <c r="J76" s="17">
        <f>IFERROR(Rev_Forecast!J76*45%,0)</f>
        <v>0</v>
      </c>
      <c r="K76" s="17">
        <f>IFERROR(Rev_Forecast!K76*45%,0)</f>
        <v>0</v>
      </c>
      <c r="L76" s="17">
        <f>IFERROR(Rev_Forecast!L76*45%,0)</f>
        <v>0</v>
      </c>
      <c r="M76" s="17">
        <f>IFERROR(Rev_Forecast!M76*45%,0)</f>
        <v>0</v>
      </c>
      <c r="N76" s="17">
        <f>IFERROR(Rev_Forecast!N76*45%,0)</f>
        <v>0</v>
      </c>
      <c r="O76" s="17">
        <f>IFERROR(Rev_Forecast!O76*45%,0)</f>
        <v>0</v>
      </c>
      <c r="P76" s="17">
        <f>IFERROR(Rev_Forecast!P76*45%,0)</f>
        <v>0</v>
      </c>
      <c r="Q76" s="17">
        <f>IFERROR(Rev_Forecast!Q76*45%,0)</f>
        <v>0</v>
      </c>
      <c r="R76" s="17">
        <f>IFERROR(Rev_Forecast!R76*45%,0)</f>
        <v>0.1953</v>
      </c>
      <c r="S76" s="17">
        <f>IFERROR(Rev_Forecast!S76*45%,0)</f>
        <v>0.9</v>
      </c>
    </row>
  </sheetData>
  <conditionalFormatting sqref="A1:B1 I1:S1 E1:G1">
    <cfRule type="duplicateValues" dxfId="62" priority="1"/>
  </conditionalFormatting>
  <conditionalFormatting sqref="B51:B73 B2:B41">
    <cfRule type="duplicateValues" dxfId="61" priority="4"/>
  </conditionalFormatting>
  <conditionalFormatting sqref="B74:B76 B42:B50">
    <cfRule type="duplicateValues" dxfId="60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A847-7AFA-478E-B40F-70BDF5F6BB72}">
  <sheetPr codeName="Sheet6">
    <tabColor theme="5" tint="0.39997558519241921"/>
  </sheetPr>
  <dimension ref="A1:F79"/>
  <sheetViews>
    <sheetView topLeftCell="A64" workbookViewId="0">
      <selection activeCell="A69" sqref="A69"/>
    </sheetView>
  </sheetViews>
  <sheetFormatPr defaultRowHeight="14.5" x14ac:dyDescent="0.35"/>
  <cols>
    <col min="1" max="1" width="28.1796875" bestFit="1" customWidth="1"/>
    <col min="2" max="2" width="10.7265625" bestFit="1" customWidth="1"/>
    <col min="3" max="3" width="11.7265625" bestFit="1" customWidth="1"/>
    <col min="4" max="4" width="13.453125" bestFit="1" customWidth="1"/>
    <col min="5" max="5" width="16.7265625" bestFit="1" customWidth="1"/>
    <col min="6" max="6" width="17.7265625" bestFit="1" customWidth="1"/>
  </cols>
  <sheetData>
    <row r="1" spans="1:6" x14ac:dyDescent="0.35">
      <c r="A1" s="12" t="s">
        <v>1</v>
      </c>
      <c r="B1" s="12" t="s">
        <v>113</v>
      </c>
      <c r="C1" s="12" t="s">
        <v>2</v>
      </c>
      <c r="D1" s="12" t="s">
        <v>118</v>
      </c>
      <c r="E1" s="12" t="s">
        <v>107</v>
      </c>
      <c r="F1" s="12" t="s">
        <v>108</v>
      </c>
    </row>
    <row r="2" spans="1:6" x14ac:dyDescent="0.35">
      <c r="A2" s="9" t="s">
        <v>3</v>
      </c>
      <c r="B2" s="9" t="s">
        <v>115</v>
      </c>
      <c r="C2" s="9" t="s">
        <v>14</v>
      </c>
      <c r="D2" s="9" t="s">
        <v>103</v>
      </c>
      <c r="E2" s="9" t="s">
        <v>4</v>
      </c>
      <c r="F2" s="9" t="s">
        <v>4</v>
      </c>
    </row>
    <row r="3" spans="1:6" x14ac:dyDescent="0.35">
      <c r="A3" s="9" t="s">
        <v>5</v>
      </c>
      <c r="B3" s="9" t="s">
        <v>115</v>
      </c>
      <c r="C3" s="9" t="s">
        <v>6</v>
      </c>
      <c r="D3" s="9" t="s">
        <v>104</v>
      </c>
      <c r="E3" s="9" t="s">
        <v>7</v>
      </c>
      <c r="F3" s="9" t="s">
        <v>8</v>
      </c>
    </row>
    <row r="4" spans="1:6" x14ac:dyDescent="0.35">
      <c r="A4" s="9" t="s">
        <v>9</v>
      </c>
      <c r="B4" s="9" t="s">
        <v>115</v>
      </c>
      <c r="C4" s="9" t="s">
        <v>6</v>
      </c>
      <c r="D4" s="9" t="s">
        <v>105</v>
      </c>
      <c r="E4" s="9" t="s">
        <v>7</v>
      </c>
      <c r="F4" s="9" t="s">
        <v>10</v>
      </c>
    </row>
    <row r="5" spans="1:6" x14ac:dyDescent="0.35">
      <c r="A5" s="9" t="s">
        <v>11</v>
      </c>
      <c r="B5" s="9" t="s">
        <v>115</v>
      </c>
      <c r="C5" s="9" t="s">
        <v>12</v>
      </c>
      <c r="D5" s="9" t="s">
        <v>12</v>
      </c>
      <c r="E5" s="9" t="s">
        <v>7</v>
      </c>
      <c r="F5" s="9" t="s">
        <v>92</v>
      </c>
    </row>
    <row r="6" spans="1:6" x14ac:dyDescent="0.35">
      <c r="A6" s="9" t="s">
        <v>13</v>
      </c>
      <c r="B6" s="9" t="s">
        <v>115</v>
      </c>
      <c r="C6" s="9" t="s">
        <v>14</v>
      </c>
      <c r="D6" s="9" t="s">
        <v>103</v>
      </c>
      <c r="E6" s="9" t="s">
        <v>15</v>
      </c>
      <c r="F6" s="9" t="s">
        <v>16</v>
      </c>
    </row>
    <row r="7" spans="1:6" x14ac:dyDescent="0.35">
      <c r="A7" s="9" t="s">
        <v>17</v>
      </c>
      <c r="B7" s="9" t="s">
        <v>115</v>
      </c>
      <c r="C7" s="9" t="s">
        <v>6</v>
      </c>
      <c r="D7" s="9" t="s">
        <v>104</v>
      </c>
      <c r="E7" s="9" t="s">
        <v>7</v>
      </c>
      <c r="F7" s="9" t="s">
        <v>8</v>
      </c>
    </row>
    <row r="8" spans="1:6" x14ac:dyDescent="0.35">
      <c r="A8" s="9" t="s">
        <v>18</v>
      </c>
      <c r="B8" s="9" t="s">
        <v>115</v>
      </c>
      <c r="C8" s="9" t="s">
        <v>6</v>
      </c>
      <c r="D8" s="9" t="s">
        <v>105</v>
      </c>
      <c r="E8" s="9" t="s">
        <v>7</v>
      </c>
      <c r="F8" s="9" t="s">
        <v>10</v>
      </c>
    </row>
    <row r="9" spans="1:6" x14ac:dyDescent="0.35">
      <c r="A9" s="9" t="s">
        <v>19</v>
      </c>
      <c r="B9" s="9" t="s">
        <v>115</v>
      </c>
      <c r="C9" s="9" t="s">
        <v>6</v>
      </c>
      <c r="D9" s="9" t="s">
        <v>104</v>
      </c>
      <c r="E9" s="9" t="s">
        <v>7</v>
      </c>
      <c r="F9" s="9" t="s">
        <v>20</v>
      </c>
    </row>
    <row r="10" spans="1:6" x14ac:dyDescent="0.35">
      <c r="A10" s="9" t="s">
        <v>21</v>
      </c>
      <c r="B10" s="9" t="s">
        <v>115</v>
      </c>
      <c r="C10" s="9" t="s">
        <v>6</v>
      </c>
      <c r="D10" s="9" t="s">
        <v>104</v>
      </c>
      <c r="E10" s="9" t="s">
        <v>7</v>
      </c>
      <c r="F10" s="9" t="s">
        <v>20</v>
      </c>
    </row>
    <row r="11" spans="1:6" x14ac:dyDescent="0.35">
      <c r="A11" s="9" t="s">
        <v>22</v>
      </c>
      <c r="B11" s="9" t="s">
        <v>115</v>
      </c>
      <c r="C11" s="9" t="s">
        <v>14</v>
      </c>
      <c r="D11" s="9" t="s">
        <v>103</v>
      </c>
      <c r="E11" s="9" t="s">
        <v>23</v>
      </c>
      <c r="F11" s="9" t="s">
        <v>23</v>
      </c>
    </row>
    <row r="12" spans="1:6" x14ac:dyDescent="0.35">
      <c r="A12" s="9" t="s">
        <v>24</v>
      </c>
      <c r="B12" s="9" t="s">
        <v>115</v>
      </c>
      <c r="C12" s="9" t="s">
        <v>14</v>
      </c>
      <c r="D12" s="9" t="s">
        <v>103</v>
      </c>
      <c r="E12" s="9" t="s">
        <v>7</v>
      </c>
      <c r="F12" s="9" t="s">
        <v>25</v>
      </c>
    </row>
    <row r="13" spans="1:6" x14ac:dyDescent="0.35">
      <c r="A13" s="9" t="s">
        <v>26</v>
      </c>
      <c r="B13" s="9" t="s">
        <v>115</v>
      </c>
      <c r="C13" s="9" t="s">
        <v>6</v>
      </c>
      <c r="D13" s="9" t="s">
        <v>104</v>
      </c>
      <c r="E13" s="9" t="s">
        <v>7</v>
      </c>
      <c r="F13" s="9" t="s">
        <v>20</v>
      </c>
    </row>
    <row r="14" spans="1:6" x14ac:dyDescent="0.35">
      <c r="A14" s="9" t="s">
        <v>27</v>
      </c>
      <c r="B14" s="9" t="s">
        <v>115</v>
      </c>
      <c r="C14" s="9" t="s">
        <v>14</v>
      </c>
      <c r="D14" s="9" t="s">
        <v>106</v>
      </c>
      <c r="E14" s="9" t="s">
        <v>15</v>
      </c>
      <c r="F14" s="9" t="s">
        <v>28</v>
      </c>
    </row>
    <row r="15" spans="1:6" x14ac:dyDescent="0.35">
      <c r="A15" s="9" t="s">
        <v>29</v>
      </c>
      <c r="B15" s="9" t="s">
        <v>115</v>
      </c>
      <c r="C15" s="9" t="s">
        <v>6</v>
      </c>
      <c r="D15" s="9" t="s">
        <v>104</v>
      </c>
      <c r="E15" s="9" t="s">
        <v>7</v>
      </c>
      <c r="F15" s="9" t="s">
        <v>109</v>
      </c>
    </row>
    <row r="16" spans="1:6" x14ac:dyDescent="0.35">
      <c r="A16" s="9" t="s">
        <v>30</v>
      </c>
      <c r="B16" s="9" t="s">
        <v>115</v>
      </c>
      <c r="C16" s="9" t="s">
        <v>14</v>
      </c>
      <c r="D16" s="9" t="s">
        <v>106</v>
      </c>
      <c r="E16" s="9" t="s">
        <v>15</v>
      </c>
      <c r="F16" s="9" t="s">
        <v>28</v>
      </c>
    </row>
    <row r="17" spans="1:6" x14ac:dyDescent="0.35">
      <c r="A17" s="9" t="s">
        <v>31</v>
      </c>
      <c r="B17" s="9" t="s">
        <v>115</v>
      </c>
      <c r="C17" s="9" t="s">
        <v>14</v>
      </c>
      <c r="D17" s="9" t="s">
        <v>103</v>
      </c>
      <c r="E17" s="9" t="s">
        <v>15</v>
      </c>
      <c r="F17" s="9" t="s">
        <v>32</v>
      </c>
    </row>
    <row r="18" spans="1:6" x14ac:dyDescent="0.35">
      <c r="A18" s="9" t="s">
        <v>33</v>
      </c>
      <c r="B18" s="9" t="s">
        <v>115</v>
      </c>
      <c r="C18" s="9" t="s">
        <v>6</v>
      </c>
      <c r="D18" s="9" t="s">
        <v>105</v>
      </c>
      <c r="E18" s="9" t="s">
        <v>7</v>
      </c>
      <c r="F18" s="9" t="s">
        <v>7</v>
      </c>
    </row>
    <row r="19" spans="1:6" x14ac:dyDescent="0.35">
      <c r="A19" s="9" t="s">
        <v>34</v>
      </c>
      <c r="B19" s="9" t="s">
        <v>115</v>
      </c>
      <c r="C19" s="9" t="s">
        <v>6</v>
      </c>
      <c r="D19" s="9" t="s">
        <v>104</v>
      </c>
      <c r="E19" s="9" t="s">
        <v>7</v>
      </c>
      <c r="F19" s="9" t="s">
        <v>20</v>
      </c>
    </row>
    <row r="20" spans="1:6" x14ac:dyDescent="0.35">
      <c r="A20" s="9" t="s">
        <v>35</v>
      </c>
      <c r="B20" s="9" t="s">
        <v>115</v>
      </c>
      <c r="C20" s="9" t="s">
        <v>14</v>
      </c>
      <c r="D20" s="9" t="s">
        <v>103</v>
      </c>
      <c r="E20" s="9" t="s">
        <v>15</v>
      </c>
      <c r="F20" s="9" t="s">
        <v>25</v>
      </c>
    </row>
    <row r="21" spans="1:6" x14ac:dyDescent="0.35">
      <c r="A21" s="9" t="s">
        <v>36</v>
      </c>
      <c r="B21" s="9" t="s">
        <v>115</v>
      </c>
      <c r="C21" s="9" t="s">
        <v>6</v>
      </c>
      <c r="D21" s="9" t="s">
        <v>104</v>
      </c>
      <c r="E21" s="9" t="s">
        <v>7</v>
      </c>
      <c r="F21" s="9" t="s">
        <v>37</v>
      </c>
    </row>
    <row r="22" spans="1:6" x14ac:dyDescent="0.35">
      <c r="A22" s="9" t="s">
        <v>38</v>
      </c>
      <c r="B22" s="9" t="s">
        <v>115</v>
      </c>
      <c r="C22" s="9" t="s">
        <v>14</v>
      </c>
      <c r="D22" s="9" t="s">
        <v>106</v>
      </c>
      <c r="E22" s="9" t="s">
        <v>15</v>
      </c>
      <c r="F22" s="9" t="s">
        <v>32</v>
      </c>
    </row>
    <row r="23" spans="1:6" x14ac:dyDescent="0.35">
      <c r="A23" s="9" t="s">
        <v>39</v>
      </c>
      <c r="B23" s="9" t="s">
        <v>115</v>
      </c>
      <c r="C23" s="9" t="s">
        <v>12</v>
      </c>
      <c r="D23" s="9" t="s">
        <v>12</v>
      </c>
      <c r="E23" s="9" t="s">
        <v>7</v>
      </c>
      <c r="F23" s="9" t="s">
        <v>92</v>
      </c>
    </row>
    <row r="24" spans="1:6" x14ac:dyDescent="0.35">
      <c r="A24" s="9" t="s">
        <v>40</v>
      </c>
      <c r="B24" s="9" t="s">
        <v>115</v>
      </c>
      <c r="C24" s="9" t="s">
        <v>14</v>
      </c>
      <c r="D24" s="9" t="s">
        <v>106</v>
      </c>
      <c r="E24" s="9" t="s">
        <v>15</v>
      </c>
      <c r="F24" s="9" t="s">
        <v>28</v>
      </c>
    </row>
    <row r="25" spans="1:6" x14ac:dyDescent="0.35">
      <c r="A25" s="9" t="s">
        <v>41</v>
      </c>
      <c r="B25" s="9" t="s">
        <v>115</v>
      </c>
      <c r="C25" s="9" t="s">
        <v>6</v>
      </c>
      <c r="D25" s="9" t="s">
        <v>105</v>
      </c>
      <c r="E25" s="9" t="s">
        <v>7</v>
      </c>
      <c r="F25" s="9" t="s">
        <v>10</v>
      </c>
    </row>
    <row r="26" spans="1:6" x14ac:dyDescent="0.35">
      <c r="A26" s="9" t="s">
        <v>42</v>
      </c>
      <c r="B26" s="9" t="s">
        <v>115</v>
      </c>
      <c r="C26" s="9" t="s">
        <v>14</v>
      </c>
      <c r="D26" s="9" t="s">
        <v>106</v>
      </c>
      <c r="E26" s="9" t="s">
        <v>15</v>
      </c>
      <c r="F26" s="9" t="s">
        <v>28</v>
      </c>
    </row>
    <row r="27" spans="1:6" x14ac:dyDescent="0.35">
      <c r="A27" s="9" t="s">
        <v>43</v>
      </c>
      <c r="B27" s="9" t="s">
        <v>115</v>
      </c>
      <c r="C27" s="9" t="s">
        <v>12</v>
      </c>
      <c r="D27" s="9" t="s">
        <v>12</v>
      </c>
      <c r="E27" s="9" t="s">
        <v>7</v>
      </c>
      <c r="F27" s="9" t="s">
        <v>92</v>
      </c>
    </row>
    <row r="28" spans="1:6" x14ac:dyDescent="0.35">
      <c r="A28" s="9" t="s">
        <v>44</v>
      </c>
      <c r="B28" s="9" t="s">
        <v>115</v>
      </c>
      <c r="C28" s="9" t="s">
        <v>6</v>
      </c>
      <c r="D28" s="9" t="s">
        <v>105</v>
      </c>
      <c r="E28" s="9" t="s">
        <v>7</v>
      </c>
      <c r="F28" s="9" t="s">
        <v>10</v>
      </c>
    </row>
    <row r="29" spans="1:6" x14ac:dyDescent="0.35">
      <c r="A29" s="9" t="s">
        <v>45</v>
      </c>
      <c r="B29" s="9" t="s">
        <v>115</v>
      </c>
      <c r="C29" s="9" t="s">
        <v>12</v>
      </c>
      <c r="D29" s="9" t="s">
        <v>12</v>
      </c>
      <c r="E29" s="9" t="s">
        <v>7</v>
      </c>
      <c r="F29" s="9" t="s">
        <v>92</v>
      </c>
    </row>
    <row r="30" spans="1:6" x14ac:dyDescent="0.35">
      <c r="A30" s="9" t="s">
        <v>46</v>
      </c>
      <c r="B30" s="9" t="s">
        <v>115</v>
      </c>
      <c r="C30" s="9" t="s">
        <v>14</v>
      </c>
      <c r="D30" s="9" t="s">
        <v>106</v>
      </c>
      <c r="E30" s="9" t="s">
        <v>15</v>
      </c>
      <c r="F30" s="9" t="s">
        <v>28</v>
      </c>
    </row>
    <row r="31" spans="1:6" x14ac:dyDescent="0.35">
      <c r="A31" s="9" t="s">
        <v>47</v>
      </c>
      <c r="B31" s="9" t="s">
        <v>115</v>
      </c>
      <c r="C31" s="9" t="s">
        <v>6</v>
      </c>
      <c r="D31" s="9" t="s">
        <v>104</v>
      </c>
      <c r="E31" s="9" t="s">
        <v>7</v>
      </c>
      <c r="F31" s="9" t="s">
        <v>20</v>
      </c>
    </row>
    <row r="32" spans="1:6" x14ac:dyDescent="0.35">
      <c r="A32" s="9" t="s">
        <v>48</v>
      </c>
      <c r="B32" s="9" t="s">
        <v>115</v>
      </c>
      <c r="C32" s="9" t="s">
        <v>6</v>
      </c>
      <c r="D32" s="9" t="s">
        <v>104</v>
      </c>
      <c r="E32" s="9" t="s">
        <v>7</v>
      </c>
      <c r="F32" s="9" t="s">
        <v>20</v>
      </c>
    </row>
    <row r="33" spans="1:6" x14ac:dyDescent="0.35">
      <c r="A33" s="9" t="s">
        <v>49</v>
      </c>
      <c r="B33" s="9" t="s">
        <v>115</v>
      </c>
      <c r="C33" s="9" t="s">
        <v>6</v>
      </c>
      <c r="D33" s="9" t="s">
        <v>104</v>
      </c>
      <c r="E33" s="9" t="s">
        <v>7</v>
      </c>
      <c r="F33" s="9" t="s">
        <v>20</v>
      </c>
    </row>
    <row r="34" spans="1:6" x14ac:dyDescent="0.35">
      <c r="A34" s="9" t="s">
        <v>50</v>
      </c>
      <c r="B34" s="9" t="s">
        <v>115</v>
      </c>
      <c r="C34" s="9" t="s">
        <v>12</v>
      </c>
      <c r="D34" s="9" t="s">
        <v>12</v>
      </c>
      <c r="E34" s="9" t="s">
        <v>7</v>
      </c>
      <c r="F34" s="9" t="s">
        <v>92</v>
      </c>
    </row>
    <row r="35" spans="1:6" x14ac:dyDescent="0.35">
      <c r="A35" s="9" t="s">
        <v>51</v>
      </c>
      <c r="B35" s="9" t="s">
        <v>115</v>
      </c>
      <c r="C35" s="9" t="s">
        <v>12</v>
      </c>
      <c r="D35" s="9" t="s">
        <v>12</v>
      </c>
      <c r="E35" s="9" t="s">
        <v>7</v>
      </c>
      <c r="F35" s="9" t="s">
        <v>92</v>
      </c>
    </row>
    <row r="36" spans="1:6" x14ac:dyDescent="0.35">
      <c r="A36" s="9" t="s">
        <v>52</v>
      </c>
      <c r="B36" s="9" t="s">
        <v>115</v>
      </c>
      <c r="C36" s="9" t="s">
        <v>6</v>
      </c>
      <c r="D36" s="9" t="s">
        <v>104</v>
      </c>
      <c r="E36" s="9" t="s">
        <v>7</v>
      </c>
      <c r="F36" s="9" t="s">
        <v>20</v>
      </c>
    </row>
    <row r="37" spans="1:6" x14ac:dyDescent="0.35">
      <c r="A37" s="9" t="s">
        <v>53</v>
      </c>
      <c r="B37" s="9" t="s">
        <v>115</v>
      </c>
      <c r="C37" s="9" t="s">
        <v>6</v>
      </c>
      <c r="D37" s="9" t="s">
        <v>105</v>
      </c>
      <c r="E37" s="9" t="s">
        <v>7</v>
      </c>
      <c r="F37" s="9" t="s">
        <v>10</v>
      </c>
    </row>
    <row r="38" spans="1:6" x14ac:dyDescent="0.35">
      <c r="A38" s="9" t="s">
        <v>54</v>
      </c>
      <c r="B38" s="9" t="s">
        <v>115</v>
      </c>
      <c r="C38" s="9" t="s">
        <v>6</v>
      </c>
      <c r="D38" s="9" t="s">
        <v>104</v>
      </c>
      <c r="E38" s="9" t="s">
        <v>7</v>
      </c>
      <c r="F38" s="9" t="s">
        <v>55</v>
      </c>
    </row>
    <row r="39" spans="1:6" x14ac:dyDescent="0.35">
      <c r="A39" s="9" t="s">
        <v>56</v>
      </c>
      <c r="B39" s="9" t="s">
        <v>115</v>
      </c>
      <c r="C39" s="9" t="s">
        <v>14</v>
      </c>
      <c r="D39" s="9" t="s">
        <v>106</v>
      </c>
      <c r="E39" s="9" t="s">
        <v>15</v>
      </c>
      <c r="F39" s="9" t="s">
        <v>28</v>
      </c>
    </row>
    <row r="40" spans="1:6" x14ac:dyDescent="0.35">
      <c r="A40" s="9" t="s">
        <v>57</v>
      </c>
      <c r="B40" s="9" t="s">
        <v>115</v>
      </c>
      <c r="C40" s="9" t="s">
        <v>12</v>
      </c>
      <c r="D40" s="9" t="s">
        <v>12</v>
      </c>
      <c r="E40" s="9" t="s">
        <v>7</v>
      </c>
      <c r="F40" s="9" t="s">
        <v>92</v>
      </c>
    </row>
    <row r="41" spans="1:6" x14ac:dyDescent="0.35">
      <c r="A41" s="9" t="s">
        <v>58</v>
      </c>
      <c r="B41" s="9" t="s">
        <v>115</v>
      </c>
      <c r="C41" s="9" t="s">
        <v>14</v>
      </c>
      <c r="D41" s="9" t="s">
        <v>106</v>
      </c>
      <c r="E41" s="9" t="s">
        <v>15</v>
      </c>
      <c r="F41" s="9" t="s">
        <v>28</v>
      </c>
    </row>
    <row r="42" spans="1:6" x14ac:dyDescent="0.35">
      <c r="A42" s="9" t="s">
        <v>59</v>
      </c>
      <c r="B42" s="9" t="s">
        <v>115</v>
      </c>
      <c r="C42" s="9" t="s">
        <v>6</v>
      </c>
      <c r="D42" s="9" t="s">
        <v>104</v>
      </c>
      <c r="E42" s="9" t="s">
        <v>7</v>
      </c>
      <c r="F42" s="9" t="s">
        <v>60</v>
      </c>
    </row>
    <row r="43" spans="1:6" x14ac:dyDescent="0.35">
      <c r="A43" s="9" t="s">
        <v>62</v>
      </c>
      <c r="B43" s="9" t="s">
        <v>115</v>
      </c>
      <c r="C43" s="9" t="s">
        <v>6</v>
      </c>
      <c r="D43" s="9" t="s">
        <v>105</v>
      </c>
      <c r="E43" s="9" t="s">
        <v>7</v>
      </c>
      <c r="F43" s="9" t="s">
        <v>10</v>
      </c>
    </row>
    <row r="44" spans="1:6" x14ac:dyDescent="0.35">
      <c r="A44" s="9" t="s">
        <v>63</v>
      </c>
      <c r="B44" s="9" t="s">
        <v>115</v>
      </c>
      <c r="C44" s="9" t="s">
        <v>6</v>
      </c>
      <c r="D44" s="9" t="s">
        <v>104</v>
      </c>
      <c r="E44" s="9" t="s">
        <v>7</v>
      </c>
      <c r="F44" s="9" t="s">
        <v>60</v>
      </c>
    </row>
    <row r="45" spans="1:6" x14ac:dyDescent="0.35">
      <c r="A45" s="9" t="s">
        <v>64</v>
      </c>
      <c r="B45" s="9" t="s">
        <v>115</v>
      </c>
      <c r="C45" s="9" t="s">
        <v>14</v>
      </c>
      <c r="D45" s="9" t="s">
        <v>106</v>
      </c>
      <c r="E45" s="9" t="s">
        <v>15</v>
      </c>
      <c r="F45" s="9" t="s">
        <v>32</v>
      </c>
    </row>
    <row r="46" spans="1:6" x14ac:dyDescent="0.35">
      <c r="A46" s="9" t="s">
        <v>65</v>
      </c>
      <c r="B46" s="9" t="s">
        <v>115</v>
      </c>
      <c r="C46" s="9" t="s">
        <v>6</v>
      </c>
      <c r="D46" s="9" t="s">
        <v>104</v>
      </c>
      <c r="E46" s="9" t="s">
        <v>7</v>
      </c>
      <c r="F46" s="9" t="s">
        <v>60</v>
      </c>
    </row>
    <row r="47" spans="1:6" x14ac:dyDescent="0.35">
      <c r="A47" s="9" t="s">
        <v>66</v>
      </c>
      <c r="B47" s="9" t="s">
        <v>115</v>
      </c>
      <c r="C47" s="9" t="s">
        <v>14</v>
      </c>
      <c r="D47" s="9" t="s">
        <v>106</v>
      </c>
      <c r="E47" s="9" t="s">
        <v>15</v>
      </c>
      <c r="F47" s="9" t="s">
        <v>15</v>
      </c>
    </row>
    <row r="48" spans="1:6" x14ac:dyDescent="0.35">
      <c r="A48" s="9" t="s">
        <v>67</v>
      </c>
      <c r="B48" s="9" t="s">
        <v>115</v>
      </c>
      <c r="C48" s="9" t="s">
        <v>14</v>
      </c>
      <c r="D48" s="9" t="s">
        <v>106</v>
      </c>
      <c r="E48" s="9" t="s">
        <v>15</v>
      </c>
      <c r="F48" s="9" t="s">
        <v>15</v>
      </c>
    </row>
    <row r="49" spans="1:6" x14ac:dyDescent="0.35">
      <c r="A49" s="9" t="s">
        <v>68</v>
      </c>
      <c r="B49" s="9" t="s">
        <v>115</v>
      </c>
      <c r="C49" s="9" t="s">
        <v>14</v>
      </c>
      <c r="D49" s="9" t="s">
        <v>106</v>
      </c>
      <c r="E49" s="9" t="s">
        <v>15</v>
      </c>
      <c r="F49" s="9" t="s">
        <v>69</v>
      </c>
    </row>
    <row r="50" spans="1:6" x14ac:dyDescent="0.35">
      <c r="A50" s="9" t="s">
        <v>70</v>
      </c>
      <c r="B50" s="9" t="s">
        <v>115</v>
      </c>
      <c r="C50" s="9" t="s">
        <v>6</v>
      </c>
      <c r="D50" s="9" t="s">
        <v>104</v>
      </c>
      <c r="E50" s="9" t="s">
        <v>7</v>
      </c>
      <c r="F50" s="9" t="s">
        <v>60</v>
      </c>
    </row>
    <row r="51" spans="1:6" x14ac:dyDescent="0.35">
      <c r="A51" s="9" t="s">
        <v>71</v>
      </c>
      <c r="B51" s="9" t="s">
        <v>114</v>
      </c>
      <c r="C51" s="9" t="s">
        <v>14</v>
      </c>
      <c r="D51" s="9" t="s">
        <v>103</v>
      </c>
      <c r="E51" s="9" t="s">
        <v>4</v>
      </c>
      <c r="F51" s="9" t="s">
        <v>72</v>
      </c>
    </row>
    <row r="52" spans="1:6" x14ac:dyDescent="0.35">
      <c r="A52" s="9" t="s">
        <v>73</v>
      </c>
      <c r="B52" s="9" t="s">
        <v>114</v>
      </c>
      <c r="C52" s="9" t="s">
        <v>14</v>
      </c>
      <c r="D52" s="9" t="s">
        <v>106</v>
      </c>
      <c r="E52" s="9" t="s">
        <v>15</v>
      </c>
      <c r="F52" s="9" t="s">
        <v>72</v>
      </c>
    </row>
    <row r="53" spans="1:6" x14ac:dyDescent="0.35">
      <c r="A53" s="9" t="s">
        <v>74</v>
      </c>
      <c r="B53" s="9" t="s">
        <v>114</v>
      </c>
      <c r="C53" s="9" t="s">
        <v>6</v>
      </c>
      <c r="D53" s="9" t="s">
        <v>105</v>
      </c>
      <c r="E53" s="9" t="s">
        <v>7</v>
      </c>
      <c r="F53" s="9" t="s">
        <v>72</v>
      </c>
    </row>
    <row r="54" spans="1:6" x14ac:dyDescent="0.35">
      <c r="A54" s="9" t="s">
        <v>75</v>
      </c>
      <c r="B54" s="9" t="s">
        <v>114</v>
      </c>
      <c r="C54" s="9" t="s">
        <v>6</v>
      </c>
      <c r="D54" s="9" t="s">
        <v>104</v>
      </c>
      <c r="E54" s="9" t="s">
        <v>7</v>
      </c>
      <c r="F54" s="9" t="s">
        <v>72</v>
      </c>
    </row>
    <row r="55" spans="1:6" x14ac:dyDescent="0.35">
      <c r="A55" s="9" t="s">
        <v>76</v>
      </c>
      <c r="B55" s="9" t="s">
        <v>114</v>
      </c>
      <c r="C55" s="9" t="s">
        <v>6</v>
      </c>
      <c r="D55" s="9" t="s">
        <v>104</v>
      </c>
      <c r="E55" s="9" t="s">
        <v>7</v>
      </c>
      <c r="F55" s="9" t="s">
        <v>72</v>
      </c>
    </row>
    <row r="56" spans="1:6" x14ac:dyDescent="0.35">
      <c r="A56" s="9" t="s">
        <v>77</v>
      </c>
      <c r="B56" s="9" t="s">
        <v>114</v>
      </c>
      <c r="C56" s="9" t="s">
        <v>14</v>
      </c>
      <c r="D56" s="9" t="s">
        <v>106</v>
      </c>
      <c r="E56" s="9" t="s">
        <v>15</v>
      </c>
      <c r="F56" s="9" t="s">
        <v>72</v>
      </c>
    </row>
    <row r="57" spans="1:6" x14ac:dyDescent="0.35">
      <c r="A57" s="9" t="s">
        <v>78</v>
      </c>
      <c r="B57" s="9" t="s">
        <v>114</v>
      </c>
      <c r="C57" s="9" t="s">
        <v>14</v>
      </c>
      <c r="D57" s="9" t="s">
        <v>106</v>
      </c>
      <c r="E57" s="9" t="s">
        <v>15</v>
      </c>
      <c r="F57" s="9" t="s">
        <v>72</v>
      </c>
    </row>
    <row r="58" spans="1:6" x14ac:dyDescent="0.35">
      <c r="A58" s="9" t="s">
        <v>79</v>
      </c>
      <c r="B58" s="9" t="s">
        <v>114</v>
      </c>
      <c r="C58" s="9" t="s">
        <v>12</v>
      </c>
      <c r="D58" s="9" t="s">
        <v>12</v>
      </c>
      <c r="E58" s="9" t="s">
        <v>7</v>
      </c>
      <c r="F58" s="9" t="s">
        <v>72</v>
      </c>
    </row>
    <row r="59" spans="1:6" x14ac:dyDescent="0.35">
      <c r="A59" s="9" t="s">
        <v>80</v>
      </c>
      <c r="B59" s="9" t="s">
        <v>114</v>
      </c>
      <c r="C59" s="9" t="s">
        <v>6</v>
      </c>
      <c r="D59" s="9" t="s">
        <v>104</v>
      </c>
      <c r="E59" s="9" t="s">
        <v>7</v>
      </c>
      <c r="F59" s="9" t="s">
        <v>72</v>
      </c>
    </row>
    <row r="60" spans="1:6" x14ac:dyDescent="0.35">
      <c r="A60" s="9" t="s">
        <v>81</v>
      </c>
      <c r="B60" s="9" t="s">
        <v>114</v>
      </c>
      <c r="C60" s="9" t="s">
        <v>6</v>
      </c>
      <c r="D60" s="9" t="s">
        <v>105</v>
      </c>
      <c r="E60" s="9" t="s">
        <v>7</v>
      </c>
      <c r="F60" s="9" t="s">
        <v>72</v>
      </c>
    </row>
    <row r="61" spans="1:6" x14ac:dyDescent="0.35">
      <c r="A61" s="9" t="s">
        <v>82</v>
      </c>
      <c r="B61" s="9" t="s">
        <v>114</v>
      </c>
      <c r="C61" s="9" t="s">
        <v>12</v>
      </c>
      <c r="D61" s="9" t="s">
        <v>12</v>
      </c>
      <c r="E61" s="9" t="s">
        <v>7</v>
      </c>
      <c r="F61" s="9" t="s">
        <v>72</v>
      </c>
    </row>
    <row r="62" spans="1:6" x14ac:dyDescent="0.35">
      <c r="A62" s="9" t="s">
        <v>83</v>
      </c>
      <c r="B62" s="9" t="s">
        <v>114</v>
      </c>
      <c r="C62" s="9" t="s">
        <v>12</v>
      </c>
      <c r="D62" s="9" t="s">
        <v>12</v>
      </c>
      <c r="E62" s="9" t="s">
        <v>7</v>
      </c>
      <c r="F62" s="9" t="s">
        <v>72</v>
      </c>
    </row>
    <row r="63" spans="1:6" x14ac:dyDescent="0.35">
      <c r="A63" s="9" t="s">
        <v>84</v>
      </c>
      <c r="B63" s="9" t="s">
        <v>114</v>
      </c>
      <c r="C63" s="9" t="s">
        <v>6</v>
      </c>
      <c r="D63" s="9" t="s">
        <v>104</v>
      </c>
      <c r="E63" s="9" t="s">
        <v>7</v>
      </c>
      <c r="F63" s="9" t="s">
        <v>72</v>
      </c>
    </row>
    <row r="64" spans="1:6" x14ac:dyDescent="0.35">
      <c r="A64" s="9" t="s">
        <v>85</v>
      </c>
      <c r="B64" s="9" t="s">
        <v>114</v>
      </c>
      <c r="C64" s="9" t="s">
        <v>12</v>
      </c>
      <c r="D64" s="9" t="s">
        <v>12</v>
      </c>
      <c r="E64" s="9" t="s">
        <v>7</v>
      </c>
      <c r="F64" s="9" t="s">
        <v>72</v>
      </c>
    </row>
    <row r="65" spans="1:6" x14ac:dyDescent="0.35">
      <c r="A65" s="9" t="s">
        <v>86</v>
      </c>
      <c r="B65" s="9" t="s">
        <v>115</v>
      </c>
      <c r="C65" s="9" t="s">
        <v>14</v>
      </c>
      <c r="D65" s="9" t="s">
        <v>103</v>
      </c>
      <c r="E65" s="9" t="s">
        <v>87</v>
      </c>
      <c r="F65" s="9" t="s">
        <v>87</v>
      </c>
    </row>
    <row r="66" spans="1:6" x14ac:dyDescent="0.35">
      <c r="A66" s="9" t="s">
        <v>88</v>
      </c>
      <c r="B66" s="9" t="s">
        <v>115</v>
      </c>
      <c r="C66" s="9" t="s">
        <v>89</v>
      </c>
      <c r="D66" s="9" t="s">
        <v>89</v>
      </c>
      <c r="E66" s="9" t="s">
        <v>90</v>
      </c>
      <c r="F66" s="9" t="s">
        <v>90</v>
      </c>
    </row>
    <row r="67" spans="1:6" x14ac:dyDescent="0.35">
      <c r="A67" s="9" t="s">
        <v>91</v>
      </c>
      <c r="B67" s="9" t="s">
        <v>115</v>
      </c>
      <c r="C67" s="9" t="s">
        <v>12</v>
      </c>
      <c r="D67" s="9" t="s">
        <v>12</v>
      </c>
      <c r="E67" s="9" t="s">
        <v>7</v>
      </c>
      <c r="F67" s="9" t="s">
        <v>92</v>
      </c>
    </row>
    <row r="68" spans="1:6" x14ac:dyDescent="0.35">
      <c r="A68" s="9" t="s">
        <v>93</v>
      </c>
      <c r="B68" s="9" t="s">
        <v>115</v>
      </c>
      <c r="C68" s="9" t="s">
        <v>12</v>
      </c>
      <c r="D68" s="9" t="s">
        <v>12</v>
      </c>
      <c r="E68" s="9" t="s">
        <v>7</v>
      </c>
      <c r="F68" s="9" t="s">
        <v>92</v>
      </c>
    </row>
    <row r="69" spans="1:6" x14ac:dyDescent="0.35">
      <c r="A69" s="9" t="s">
        <v>133</v>
      </c>
      <c r="B69" s="9" t="s">
        <v>115</v>
      </c>
      <c r="C69" s="9" t="s">
        <v>6</v>
      </c>
      <c r="D69" s="9" t="s">
        <v>104</v>
      </c>
      <c r="E69" s="9" t="s">
        <v>7</v>
      </c>
      <c r="F69" s="9" t="s">
        <v>7</v>
      </c>
    </row>
    <row r="70" spans="1:6" x14ac:dyDescent="0.35">
      <c r="A70" s="9" t="s">
        <v>95</v>
      </c>
      <c r="B70" s="9" t="s">
        <v>115</v>
      </c>
      <c r="C70" s="9" t="s">
        <v>6</v>
      </c>
      <c r="D70" s="9" t="s">
        <v>104</v>
      </c>
      <c r="E70" s="9" t="s">
        <v>7</v>
      </c>
      <c r="F70" s="9" t="s">
        <v>20</v>
      </c>
    </row>
    <row r="71" spans="1:6" x14ac:dyDescent="0.35">
      <c r="A71" s="9" t="s">
        <v>96</v>
      </c>
      <c r="B71" s="9" t="s">
        <v>115</v>
      </c>
      <c r="C71" s="9" t="s">
        <v>6</v>
      </c>
      <c r="D71" s="9" t="s">
        <v>104</v>
      </c>
      <c r="E71" s="9" t="s">
        <v>7</v>
      </c>
      <c r="F71" s="9" t="s">
        <v>92</v>
      </c>
    </row>
    <row r="72" spans="1:6" x14ac:dyDescent="0.35">
      <c r="A72" s="9" t="s">
        <v>97</v>
      </c>
      <c r="B72" s="9" t="s">
        <v>115</v>
      </c>
      <c r="C72" s="9" t="s">
        <v>14</v>
      </c>
      <c r="D72" s="9" t="s">
        <v>106</v>
      </c>
      <c r="E72" s="9" t="s">
        <v>15</v>
      </c>
      <c r="F72" s="9" t="s">
        <v>98</v>
      </c>
    </row>
    <row r="73" spans="1:6" x14ac:dyDescent="0.35">
      <c r="A73" s="9" t="s">
        <v>99</v>
      </c>
      <c r="B73" s="9" t="s">
        <v>115</v>
      </c>
      <c r="C73" s="9" t="s">
        <v>14</v>
      </c>
      <c r="D73" s="9" t="s">
        <v>106</v>
      </c>
      <c r="E73" s="9" t="s">
        <v>15</v>
      </c>
      <c r="F73" s="9" t="s">
        <v>25</v>
      </c>
    </row>
    <row r="74" spans="1:6" x14ac:dyDescent="0.35">
      <c r="A74" s="9" t="s">
        <v>100</v>
      </c>
      <c r="B74" s="9" t="s">
        <v>115</v>
      </c>
      <c r="C74" s="9" t="s">
        <v>6</v>
      </c>
      <c r="D74" s="9" t="s">
        <v>104</v>
      </c>
      <c r="E74" s="9" t="s">
        <v>7</v>
      </c>
      <c r="F74" s="9" t="s">
        <v>7</v>
      </c>
    </row>
    <row r="75" spans="1:6" x14ac:dyDescent="0.35">
      <c r="A75" s="9" t="s">
        <v>132</v>
      </c>
      <c r="B75" s="9" t="s">
        <v>115</v>
      </c>
      <c r="C75" s="9" t="s">
        <v>6</v>
      </c>
      <c r="D75" s="9" t="s">
        <v>104</v>
      </c>
      <c r="E75" s="9" t="s">
        <v>7</v>
      </c>
      <c r="F75" s="9" t="s">
        <v>7</v>
      </c>
    </row>
    <row r="76" spans="1:6" x14ac:dyDescent="0.35">
      <c r="A76" s="9" t="s">
        <v>102</v>
      </c>
      <c r="B76" s="9" t="s">
        <v>115</v>
      </c>
      <c r="C76" s="9" t="s">
        <v>6</v>
      </c>
      <c r="D76" s="9" t="s">
        <v>104</v>
      </c>
      <c r="E76" s="9" t="s">
        <v>7</v>
      </c>
      <c r="F76" s="9" t="s">
        <v>7</v>
      </c>
    </row>
    <row r="77" spans="1:6" x14ac:dyDescent="0.35">
      <c r="A77" s="9" t="s">
        <v>110</v>
      </c>
      <c r="B77" s="9" t="s">
        <v>115</v>
      </c>
      <c r="C77" t="s">
        <v>12</v>
      </c>
      <c r="D77" s="9" t="s">
        <v>12</v>
      </c>
      <c r="E77" s="9" t="s">
        <v>7</v>
      </c>
      <c r="F77" s="9" t="s">
        <v>7</v>
      </c>
    </row>
    <row r="78" spans="1:6" x14ac:dyDescent="0.35">
      <c r="A78" s="9" t="s">
        <v>111</v>
      </c>
      <c r="B78" s="9" t="s">
        <v>115</v>
      </c>
      <c r="C78" t="s">
        <v>6</v>
      </c>
      <c r="D78" s="9" t="s">
        <v>104</v>
      </c>
      <c r="E78" s="9" t="s">
        <v>7</v>
      </c>
      <c r="F78" s="9" t="s">
        <v>7</v>
      </c>
    </row>
    <row r="79" spans="1:6" x14ac:dyDescent="0.35">
      <c r="A79" s="9" t="s">
        <v>112</v>
      </c>
      <c r="B79" s="9" t="s">
        <v>115</v>
      </c>
      <c r="C79" t="s">
        <v>6</v>
      </c>
      <c r="D79" s="9" t="s">
        <v>104</v>
      </c>
      <c r="E79" s="9" t="s">
        <v>7</v>
      </c>
      <c r="F79" s="9" t="s">
        <v>7</v>
      </c>
    </row>
  </sheetData>
  <conditionalFormatting sqref="A1:A41 A51:A73">
    <cfRule type="duplicateValues" dxfId="59" priority="4"/>
  </conditionalFormatting>
  <conditionalFormatting sqref="A42:A50 A74:A79">
    <cfRule type="duplicateValues" dxfId="58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C1B-AFF0-468A-802C-48F7A27C3DC7}">
  <sheetPr codeName="Sheet7">
    <tabColor rgb="FF92D050"/>
  </sheetPr>
  <dimension ref="A1:T88"/>
  <sheetViews>
    <sheetView workbookViewId="0">
      <selection activeCell="D1" sqref="D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customWidth="1"/>
    <col min="4" max="4" width="10.1796875" customWidth="1"/>
    <col min="5" max="5" width="10.81640625" customWidth="1"/>
    <col min="6" max="6" width="12.1796875" customWidth="1"/>
    <col min="7" max="7" width="13.1796875" customWidth="1"/>
    <col min="8" max="15" width="8.81640625" customWidth="1"/>
    <col min="16" max="16" width="9.81640625" customWidth="1"/>
    <col min="17" max="18" width="8.81640625" customWidth="1"/>
    <col min="19" max="19" width="9.81640625" bestFit="1" customWidth="1"/>
    <col min="20" max="20" width="10.81640625" bestFit="1" customWidth="1"/>
  </cols>
  <sheetData>
    <row r="1" spans="1:20" x14ac:dyDescent="0.35">
      <c r="A1" s="25" t="str">
        <f>Revenue_Budget!A1</f>
        <v>FY</v>
      </c>
      <c r="B1" s="25" t="str">
        <f>Revenue_Budget!B1</f>
        <v>Project</v>
      </c>
      <c r="C1" s="25" t="str">
        <f>Revenue_Budget!C1</f>
        <v>Vertical</v>
      </c>
      <c r="D1" s="25" t="str">
        <f>Revenue_Budget!D1</f>
        <v>Region</v>
      </c>
      <c r="E1" s="25" t="str">
        <f>Revenue_Budget!E1</f>
        <v>Sub Region</v>
      </c>
      <c r="F1" s="25" t="str">
        <f>Revenue_Budget!F1</f>
        <v>Region Head</v>
      </c>
      <c r="G1" s="25" t="str">
        <f>Revenue_Budget!G1</f>
        <v>Practice Head</v>
      </c>
      <c r="H1" s="26">
        <f>Revenue_Budget!H1</f>
        <v>45748</v>
      </c>
      <c r="I1" s="26">
        <f>Revenue_Budget!I1</f>
        <v>45778</v>
      </c>
      <c r="J1" s="26">
        <f>Revenue_Budget!J1</f>
        <v>45809</v>
      </c>
      <c r="K1" s="26">
        <f>Revenue_Budget!K1</f>
        <v>45839</v>
      </c>
      <c r="L1" s="26">
        <f>Revenue_Budget!L1</f>
        <v>45870</v>
      </c>
      <c r="M1" s="26">
        <f>Revenue_Budget!M1</f>
        <v>45901</v>
      </c>
      <c r="N1" s="26">
        <f>Revenue_Budget!N1</f>
        <v>45931</v>
      </c>
      <c r="O1" s="26">
        <f>Revenue_Budget!O1</f>
        <v>45962</v>
      </c>
      <c r="P1" s="26">
        <f>Revenue_Budget!P1</f>
        <v>45992</v>
      </c>
      <c r="Q1" s="26">
        <f>Revenue_Budget!Q1</f>
        <v>46023</v>
      </c>
      <c r="R1" s="26">
        <f>Revenue_Budget!R1</f>
        <v>46054</v>
      </c>
      <c r="S1" s="26">
        <f>Revenue_Budget!S1</f>
        <v>46082</v>
      </c>
      <c r="T1" s="1" t="s">
        <v>134</v>
      </c>
    </row>
    <row r="2" spans="1:20" x14ac:dyDescent="0.35">
      <c r="A2" s="1" t="s">
        <v>117</v>
      </c>
      <c r="B2" s="1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7">
        <v>130.6</v>
      </c>
      <c r="I2" s="27">
        <v>156</v>
      </c>
      <c r="J2" s="27">
        <v>176.55101999999999</v>
      </c>
      <c r="K2" s="27">
        <v>152.66667000000001</v>
      </c>
      <c r="L2" s="27">
        <v>164.71964</v>
      </c>
      <c r="M2" s="27">
        <v>133.44999999999999</v>
      </c>
      <c r="N2" s="27">
        <v>80</v>
      </c>
      <c r="O2" s="27">
        <v>125</v>
      </c>
      <c r="P2" s="27">
        <v>133.5</v>
      </c>
      <c r="Q2" s="27">
        <v>157.75638000000001</v>
      </c>
      <c r="R2" s="27">
        <v>152.66748999999999</v>
      </c>
      <c r="S2" s="27">
        <v>142.41367</v>
      </c>
      <c r="T2" s="27">
        <f t="shared" ref="T2:T33" si="0">SUM(H2:S2)</f>
        <v>1705.3248700000001</v>
      </c>
    </row>
    <row r="3" spans="1:20" x14ac:dyDescent="0.35">
      <c r="A3" s="1" t="s">
        <v>117</v>
      </c>
      <c r="B3" s="1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7">
        <v>5.915</v>
      </c>
      <c r="I3" s="27">
        <v>6.76</v>
      </c>
      <c r="J3" s="27">
        <v>7.41</v>
      </c>
      <c r="K3" s="27">
        <v>6.7</v>
      </c>
      <c r="L3" s="27">
        <v>9</v>
      </c>
      <c r="M3" s="27">
        <v>7.3</v>
      </c>
      <c r="N3" s="27">
        <v>7.7</v>
      </c>
      <c r="O3" s="27">
        <v>3.5</v>
      </c>
      <c r="P3" s="27">
        <v>6.08</v>
      </c>
      <c r="Q3" s="27">
        <v>8.6</v>
      </c>
      <c r="R3" s="27">
        <v>6.8049999999999997</v>
      </c>
      <c r="S3" s="27">
        <v>11.90265</v>
      </c>
      <c r="T3" s="27">
        <f t="shared" si="0"/>
        <v>87.672649999999976</v>
      </c>
    </row>
    <row r="4" spans="1:20" x14ac:dyDescent="0.35">
      <c r="A4" s="1" t="s">
        <v>117</v>
      </c>
      <c r="B4" s="1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7">
        <v>4</v>
      </c>
      <c r="I4" s="27">
        <v>1.2</v>
      </c>
      <c r="J4" s="27">
        <v>0.88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-9.3299900000000004</v>
      </c>
      <c r="T4" s="27">
        <f t="shared" si="0"/>
        <v>-3.2499900000000004</v>
      </c>
    </row>
    <row r="5" spans="1:20" x14ac:dyDescent="0.35">
      <c r="A5" s="1" t="s">
        <v>117</v>
      </c>
      <c r="B5" s="1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7">
        <v>20</v>
      </c>
      <c r="I5" s="27">
        <v>15.11</v>
      </c>
      <c r="J5" s="27">
        <v>35</v>
      </c>
      <c r="K5" s="27">
        <v>16</v>
      </c>
      <c r="L5" s="27">
        <v>19</v>
      </c>
      <c r="M5" s="27">
        <v>22</v>
      </c>
      <c r="N5" s="27">
        <v>25</v>
      </c>
      <c r="O5" s="27">
        <v>35</v>
      </c>
      <c r="P5" s="27">
        <v>38</v>
      </c>
      <c r="Q5" s="27">
        <v>17</v>
      </c>
      <c r="R5" s="27">
        <v>21.7</v>
      </c>
      <c r="S5" s="27">
        <v>37.652180000000001</v>
      </c>
      <c r="T5" s="27">
        <f t="shared" si="0"/>
        <v>301.46217999999999</v>
      </c>
    </row>
    <row r="6" spans="1:20" x14ac:dyDescent="0.35">
      <c r="A6" s="1" t="s">
        <v>117</v>
      </c>
      <c r="B6" s="1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7">
        <v>14.5</v>
      </c>
      <c r="I6" s="27">
        <v>20</v>
      </c>
      <c r="J6" s="27">
        <v>23</v>
      </c>
      <c r="K6" s="27">
        <v>18.3</v>
      </c>
      <c r="L6" s="27">
        <v>25</v>
      </c>
      <c r="M6" s="27">
        <v>25.089649999999999</v>
      </c>
      <c r="N6" s="27">
        <v>18</v>
      </c>
      <c r="O6" s="27">
        <v>28</v>
      </c>
      <c r="P6" s="27">
        <v>22</v>
      </c>
      <c r="Q6" s="27">
        <v>22.65</v>
      </c>
      <c r="R6" s="27">
        <v>24</v>
      </c>
      <c r="S6" s="27">
        <v>-4.4128499999999997</v>
      </c>
      <c r="T6" s="27">
        <f t="shared" si="0"/>
        <v>236.1268</v>
      </c>
    </row>
    <row r="7" spans="1:20" x14ac:dyDescent="0.35">
      <c r="A7" s="1" t="s">
        <v>117</v>
      </c>
      <c r="B7" s="1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7">
        <v>7.57</v>
      </c>
      <c r="I7" s="27">
        <v>9</v>
      </c>
      <c r="J7" s="27">
        <v>9</v>
      </c>
      <c r="K7" s="27">
        <v>9.1050000000000004</v>
      </c>
      <c r="L7" s="27">
        <v>7</v>
      </c>
      <c r="M7" s="27">
        <v>9.9649999999999999</v>
      </c>
      <c r="N7" s="27">
        <v>7.5</v>
      </c>
      <c r="O7" s="27">
        <v>11</v>
      </c>
      <c r="P7" s="27">
        <v>7.54</v>
      </c>
      <c r="Q7" s="27">
        <v>3.5350000000000001</v>
      </c>
      <c r="R7" s="27">
        <v>3.88</v>
      </c>
      <c r="S7" s="27">
        <v>8.76</v>
      </c>
      <c r="T7" s="27">
        <f t="shared" si="0"/>
        <v>93.855000000000004</v>
      </c>
    </row>
    <row r="8" spans="1:20" x14ac:dyDescent="0.35">
      <c r="A8" s="1" t="s">
        <v>117</v>
      </c>
      <c r="B8" s="1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7">
        <v>8.07</v>
      </c>
      <c r="I8" s="27">
        <v>3.6970000000000001</v>
      </c>
      <c r="J8" s="27">
        <v>2.0779899999999998</v>
      </c>
      <c r="K8" s="27">
        <v>7.7623300000000004</v>
      </c>
      <c r="L8" s="27">
        <v>2.41</v>
      </c>
      <c r="M8" s="27">
        <v>3.4477799999999998</v>
      </c>
      <c r="N8" s="27">
        <v>2.9</v>
      </c>
      <c r="O8" s="27">
        <v>2.2999999999999998</v>
      </c>
      <c r="P8" s="27">
        <v>5.5623300000000002</v>
      </c>
      <c r="Q8" s="27">
        <v>-0.25747999999999999</v>
      </c>
      <c r="R8" s="27">
        <v>5.2736000000000001</v>
      </c>
      <c r="S8" s="27">
        <v>3.75501</v>
      </c>
      <c r="T8" s="27">
        <f t="shared" si="0"/>
        <v>46.998559999999998</v>
      </c>
    </row>
    <row r="9" spans="1:20" x14ac:dyDescent="0.35">
      <c r="A9" s="1" t="s">
        <v>117</v>
      </c>
      <c r="B9" s="1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7">
        <v>13.05</v>
      </c>
      <c r="I9" s="27">
        <v>13.0725</v>
      </c>
      <c r="J9" s="27">
        <v>9.5</v>
      </c>
      <c r="K9" s="27">
        <v>7.44</v>
      </c>
      <c r="L9" s="27">
        <v>11.41</v>
      </c>
      <c r="M9" s="27">
        <v>14.88</v>
      </c>
      <c r="N9" s="27">
        <v>12.5</v>
      </c>
      <c r="O9" s="27">
        <v>9.9672499999999999</v>
      </c>
      <c r="P9" s="27">
        <v>22.19</v>
      </c>
      <c r="Q9" s="27">
        <v>14.387</v>
      </c>
      <c r="R9" s="27">
        <v>11.25</v>
      </c>
      <c r="S9" s="27">
        <v>12.29125</v>
      </c>
      <c r="T9" s="27">
        <f t="shared" si="0"/>
        <v>151.93799999999999</v>
      </c>
    </row>
    <row r="10" spans="1:20" x14ac:dyDescent="0.35">
      <c r="A10" s="1" t="s">
        <v>117</v>
      </c>
      <c r="B10" s="1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7">
        <v>0.91500000000000004</v>
      </c>
      <c r="I10" s="27">
        <v>1</v>
      </c>
      <c r="J10" s="27">
        <v>4.2</v>
      </c>
      <c r="K10" s="27">
        <v>0.64500000000000002</v>
      </c>
      <c r="L10" s="27">
        <v>1.25</v>
      </c>
      <c r="M10" s="27">
        <v>1.0720000000000001</v>
      </c>
      <c r="N10" s="27">
        <v>4.0000000000000001E-3</v>
      </c>
      <c r="O10" s="27">
        <v>1</v>
      </c>
      <c r="P10" s="27">
        <v>0.62370000000000003</v>
      </c>
      <c r="Q10" s="27">
        <v>-2.2526999999999999</v>
      </c>
      <c r="R10" s="27">
        <v>0</v>
      </c>
      <c r="S10" s="27">
        <v>0</v>
      </c>
      <c r="T10" s="27">
        <f t="shared" si="0"/>
        <v>8.4570000000000007</v>
      </c>
    </row>
    <row r="11" spans="1:20" x14ac:dyDescent="0.35">
      <c r="A11" s="1" t="s">
        <v>117</v>
      </c>
      <c r="B11" s="1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7">
        <v>79</v>
      </c>
      <c r="I11" s="27">
        <v>89</v>
      </c>
      <c r="J11" s="27">
        <v>91.4</v>
      </c>
      <c r="K11" s="27">
        <v>70.078639999999993</v>
      </c>
      <c r="L11" s="27">
        <v>101.00179</v>
      </c>
      <c r="M11" s="27">
        <v>176.3</v>
      </c>
      <c r="N11" s="27">
        <v>92</v>
      </c>
      <c r="O11" s="27">
        <v>145</v>
      </c>
      <c r="P11" s="27">
        <v>186</v>
      </c>
      <c r="Q11" s="27">
        <v>147</v>
      </c>
      <c r="R11" s="27">
        <v>224</v>
      </c>
      <c r="S11" s="27">
        <v>162.98823999999999</v>
      </c>
      <c r="T11" s="27">
        <f t="shared" si="0"/>
        <v>1563.7686699999999</v>
      </c>
    </row>
    <row r="12" spans="1:20" x14ac:dyDescent="0.35">
      <c r="A12" s="1" t="s">
        <v>117</v>
      </c>
      <c r="B12" s="1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7">
        <v>6.6393899999999997</v>
      </c>
      <c r="I12" s="27">
        <v>9.06</v>
      </c>
      <c r="J12" s="27">
        <v>12.1525</v>
      </c>
      <c r="K12" s="27">
        <v>6.9216800000000003</v>
      </c>
      <c r="L12" s="27">
        <v>8</v>
      </c>
      <c r="M12" s="27">
        <v>8.6999999999999993</v>
      </c>
      <c r="N12" s="27">
        <v>5.0960000000000001</v>
      </c>
      <c r="O12" s="27">
        <v>3.9481999999999999</v>
      </c>
      <c r="P12" s="27">
        <v>12.644</v>
      </c>
      <c r="Q12" s="27">
        <v>5.7841100000000001</v>
      </c>
      <c r="R12" s="27">
        <v>-6.8969800000000001</v>
      </c>
      <c r="S12" s="27">
        <v>4.8739999999999997</v>
      </c>
      <c r="T12" s="27">
        <f t="shared" si="0"/>
        <v>76.922899999999998</v>
      </c>
    </row>
    <row r="13" spans="1:20" x14ac:dyDescent="0.35">
      <c r="A13" s="1" t="s">
        <v>117</v>
      </c>
      <c r="B13" s="1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7">
        <v>4.91</v>
      </c>
      <c r="I13" s="27">
        <v>5.7679999999999998</v>
      </c>
      <c r="J13" s="27">
        <v>2.34</v>
      </c>
      <c r="K13" s="27">
        <v>1.18</v>
      </c>
      <c r="L13" s="27">
        <v>3.8</v>
      </c>
      <c r="M13" s="27">
        <v>5.641</v>
      </c>
      <c r="N13" s="27">
        <v>4.0129999999999999</v>
      </c>
      <c r="O13" s="27">
        <v>4.46</v>
      </c>
      <c r="P13" s="27">
        <v>3.7</v>
      </c>
      <c r="Q13" s="27">
        <v>2.31</v>
      </c>
      <c r="R13" s="27">
        <v>6.97</v>
      </c>
      <c r="S13" s="27">
        <v>3.4319999999999999</v>
      </c>
      <c r="T13" s="27">
        <f t="shared" si="0"/>
        <v>48.524000000000008</v>
      </c>
    </row>
    <row r="14" spans="1:20" x14ac:dyDescent="0.35">
      <c r="A14" s="1" t="s">
        <v>117</v>
      </c>
      <c r="B14" s="1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7">
        <v>3.7886899999999999</v>
      </c>
      <c r="I14" s="27">
        <v>3.7156699999999998</v>
      </c>
      <c r="J14" s="27">
        <v>4.1172000000000004</v>
      </c>
      <c r="K14" s="27">
        <v>6.1246999999999998</v>
      </c>
      <c r="L14" s="27">
        <v>3.9711799999999999</v>
      </c>
      <c r="M14" s="27">
        <v>4.1100000000000003</v>
      </c>
      <c r="N14" s="27">
        <v>3.8616899999999998</v>
      </c>
      <c r="O14" s="27">
        <v>3.5697000000000001</v>
      </c>
      <c r="P14" s="27">
        <v>4.0442</v>
      </c>
      <c r="Q14" s="27">
        <v>4</v>
      </c>
      <c r="R14" s="27">
        <v>12.00338</v>
      </c>
      <c r="S14" s="27">
        <v>9.0654400000000006</v>
      </c>
      <c r="T14" s="27">
        <f t="shared" si="0"/>
        <v>62.371849999999995</v>
      </c>
    </row>
    <row r="15" spans="1:20" x14ac:dyDescent="0.35">
      <c r="A15" s="1" t="s">
        <v>117</v>
      </c>
      <c r="B15" s="1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7">
        <v>80</v>
      </c>
      <c r="I15" s="27">
        <v>85</v>
      </c>
      <c r="J15" s="27">
        <v>104</v>
      </c>
      <c r="K15" s="27">
        <v>97.35</v>
      </c>
      <c r="L15" s="27">
        <v>90</v>
      </c>
      <c r="M15" s="27">
        <v>120</v>
      </c>
      <c r="N15" s="27">
        <v>90</v>
      </c>
      <c r="O15" s="27">
        <v>148</v>
      </c>
      <c r="P15" s="27">
        <v>209</v>
      </c>
      <c r="Q15" s="27">
        <v>149.49825999999999</v>
      </c>
      <c r="R15" s="27">
        <v>120.94803</v>
      </c>
      <c r="S15" s="27">
        <v>147.11341999999999</v>
      </c>
      <c r="T15" s="27">
        <f t="shared" si="0"/>
        <v>1440.9097099999999</v>
      </c>
    </row>
    <row r="16" spans="1:20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7">
        <v>1.76</v>
      </c>
      <c r="I16" s="27">
        <v>1.76</v>
      </c>
      <c r="J16" s="27">
        <v>1.76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f t="shared" si="0"/>
        <v>5.28</v>
      </c>
    </row>
    <row r="17" spans="1:20" x14ac:dyDescent="0.35">
      <c r="A17" s="1" t="s">
        <v>117</v>
      </c>
      <c r="B17" s="1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7">
        <v>18.829999999999998</v>
      </c>
      <c r="I17" s="27">
        <v>20.95</v>
      </c>
      <c r="J17" s="27">
        <v>22.64</v>
      </c>
      <c r="K17" s="27">
        <v>27</v>
      </c>
      <c r="L17" s="27">
        <v>37.725000000000001</v>
      </c>
      <c r="M17" s="27">
        <v>32</v>
      </c>
      <c r="N17" s="27">
        <v>28</v>
      </c>
      <c r="O17" s="27">
        <v>32</v>
      </c>
      <c r="P17" s="27">
        <v>-14.664999999999999</v>
      </c>
      <c r="Q17" s="27">
        <v>40</v>
      </c>
      <c r="R17" s="27">
        <v>-15.702500000000001</v>
      </c>
      <c r="S17" s="27">
        <v>22.7925</v>
      </c>
      <c r="T17" s="27">
        <f t="shared" si="0"/>
        <v>251.57000000000002</v>
      </c>
    </row>
    <row r="18" spans="1:20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7">
        <v>0</v>
      </c>
      <c r="I18" s="27">
        <v>0</v>
      </c>
      <c r="J18" s="27">
        <v>2.2999999999999998</v>
      </c>
      <c r="K18" s="27">
        <v>0</v>
      </c>
      <c r="L18" s="27">
        <v>0</v>
      </c>
      <c r="M18" s="27">
        <v>-0.14000000000000001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f t="shared" si="0"/>
        <v>2.1599999999999997</v>
      </c>
    </row>
    <row r="19" spans="1:20" x14ac:dyDescent="0.35">
      <c r="A19" s="1" t="s">
        <v>117</v>
      </c>
      <c r="B19" s="1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7">
        <v>8.69</v>
      </c>
      <c r="I19" s="27">
        <v>8.4499999999999993</v>
      </c>
      <c r="J19" s="27">
        <v>13.2</v>
      </c>
      <c r="K19" s="27">
        <v>8.2899999999999991</v>
      </c>
      <c r="L19" s="27">
        <v>12.22</v>
      </c>
      <c r="M19" s="27">
        <v>12.42554</v>
      </c>
      <c r="N19" s="27">
        <v>6.27</v>
      </c>
      <c r="O19" s="27">
        <v>7.25</v>
      </c>
      <c r="P19" s="27">
        <v>5.93</v>
      </c>
      <c r="Q19" s="27">
        <v>7.2611100000000004</v>
      </c>
      <c r="R19" s="27">
        <v>4.5</v>
      </c>
      <c r="S19" s="27">
        <v>9.9371500000000008</v>
      </c>
      <c r="T19" s="27">
        <f t="shared" si="0"/>
        <v>104.4238</v>
      </c>
    </row>
    <row r="20" spans="1:20" x14ac:dyDescent="0.35">
      <c r="A20" s="1" t="s">
        <v>117</v>
      </c>
      <c r="B20" s="1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7">
        <v>2</v>
      </c>
      <c r="I20" s="27">
        <v>2</v>
      </c>
      <c r="J20" s="27">
        <v>2.2791399999999999</v>
      </c>
      <c r="K20" s="27">
        <v>2.2818299999999998</v>
      </c>
      <c r="L20" s="27">
        <v>0</v>
      </c>
      <c r="M20" s="27">
        <v>0</v>
      </c>
      <c r="N20" s="27">
        <v>0.41034999999999999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f t="shared" si="0"/>
        <v>8.9713199999999986</v>
      </c>
    </row>
    <row r="21" spans="1:20" x14ac:dyDescent="0.35">
      <c r="A21" s="1" t="s">
        <v>117</v>
      </c>
      <c r="B21" s="1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7">
        <v>16.91</v>
      </c>
      <c r="I21" s="27">
        <v>36.536790000000003</v>
      </c>
      <c r="J21" s="27">
        <v>20.504999999999999</v>
      </c>
      <c r="K21" s="27">
        <v>8.375</v>
      </c>
      <c r="L21" s="27">
        <v>20</v>
      </c>
      <c r="M21" s="27">
        <v>36.01</v>
      </c>
      <c r="N21" s="27">
        <v>24.9</v>
      </c>
      <c r="O21" s="27">
        <v>22</v>
      </c>
      <c r="P21" s="27">
        <v>31.41</v>
      </c>
      <c r="Q21" s="27">
        <v>21</v>
      </c>
      <c r="R21" s="27">
        <v>21.7</v>
      </c>
      <c r="S21" s="27">
        <v>90.712339999999998</v>
      </c>
      <c r="T21" s="27">
        <f t="shared" si="0"/>
        <v>350.05912999999998</v>
      </c>
    </row>
    <row r="22" spans="1:20" x14ac:dyDescent="0.35">
      <c r="A22" s="1" t="s">
        <v>117</v>
      </c>
      <c r="B22" s="1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7">
        <v>16.656099999999999</v>
      </c>
      <c r="I22" s="27">
        <v>19.972740000000002</v>
      </c>
      <c r="J22" s="27">
        <v>3.1556000000000002</v>
      </c>
      <c r="K22" s="27">
        <v>7.2337999999999996</v>
      </c>
      <c r="L22" s="27">
        <v>3.1446999999999998</v>
      </c>
      <c r="M22" s="27">
        <v>2.1701100000000002</v>
      </c>
      <c r="N22" s="27">
        <v>2.3795999999999999</v>
      </c>
      <c r="O22" s="27">
        <v>3.35</v>
      </c>
      <c r="P22" s="27">
        <v>3.4970599999999998</v>
      </c>
      <c r="Q22" s="27">
        <v>1.1375</v>
      </c>
      <c r="R22" s="27">
        <v>-0.26680999999999999</v>
      </c>
      <c r="S22" s="27">
        <v>4.49857</v>
      </c>
      <c r="T22" s="27">
        <f t="shared" si="0"/>
        <v>66.928969999999993</v>
      </c>
    </row>
    <row r="23" spans="1:20" x14ac:dyDescent="0.35">
      <c r="A23" s="1" t="s">
        <v>117</v>
      </c>
      <c r="B23" s="1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7">
        <v>8.5941700000000001</v>
      </c>
      <c r="I23" s="27">
        <v>16.649999999999999</v>
      </c>
      <c r="J23" s="27">
        <v>8.9</v>
      </c>
      <c r="K23" s="27">
        <v>13.2</v>
      </c>
      <c r="L23" s="27">
        <v>12.8956</v>
      </c>
      <c r="M23" s="27">
        <v>8.06</v>
      </c>
      <c r="N23" s="27">
        <v>11.3</v>
      </c>
      <c r="O23" s="27">
        <v>36</v>
      </c>
      <c r="P23" s="27">
        <v>6.8</v>
      </c>
      <c r="Q23" s="27">
        <v>7.2</v>
      </c>
      <c r="R23" s="27">
        <v>6.8787000000000003</v>
      </c>
      <c r="S23" s="27">
        <v>6.8076400000000001</v>
      </c>
      <c r="T23" s="27">
        <f t="shared" si="0"/>
        <v>143.28610999999998</v>
      </c>
    </row>
    <row r="24" spans="1:20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f t="shared" si="0"/>
        <v>0</v>
      </c>
    </row>
    <row r="25" spans="1:20" x14ac:dyDescent="0.35">
      <c r="A25" s="1" t="s">
        <v>117</v>
      </c>
      <c r="B25" s="1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7">
        <v>8</v>
      </c>
      <c r="I25" s="27">
        <v>3.21</v>
      </c>
      <c r="J25" s="27">
        <v>8.58</v>
      </c>
      <c r="K25" s="27">
        <v>6.9</v>
      </c>
      <c r="L25" s="27">
        <v>5.5</v>
      </c>
      <c r="M25" s="27">
        <v>10</v>
      </c>
      <c r="N25" s="27">
        <v>10.86</v>
      </c>
      <c r="O25" s="27">
        <v>4</v>
      </c>
      <c r="P25" s="27">
        <v>8</v>
      </c>
      <c r="Q25" s="27">
        <v>4.8</v>
      </c>
      <c r="R25" s="27">
        <v>10.42</v>
      </c>
      <c r="S25" s="27">
        <v>6.6676500000000001</v>
      </c>
      <c r="T25" s="27">
        <f t="shared" si="0"/>
        <v>86.937649999999991</v>
      </c>
    </row>
    <row r="26" spans="1:20" x14ac:dyDescent="0.35">
      <c r="A26" s="1" t="s">
        <v>117</v>
      </c>
      <c r="B26" s="1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7">
        <v>3.7050000000000001</v>
      </c>
      <c r="I26" s="27">
        <v>4.2713299999999998</v>
      </c>
      <c r="J26" s="27">
        <v>14.611140000000001</v>
      </c>
      <c r="K26" s="27">
        <v>5.0149999999999997</v>
      </c>
      <c r="L26" s="27">
        <v>17</v>
      </c>
      <c r="M26" s="27">
        <v>28.5</v>
      </c>
      <c r="N26" s="27">
        <v>12.47199</v>
      </c>
      <c r="O26" s="27">
        <v>21.86</v>
      </c>
      <c r="P26" s="27">
        <v>18.3</v>
      </c>
      <c r="Q26" s="27">
        <v>13</v>
      </c>
      <c r="R26" s="27">
        <v>11.89968</v>
      </c>
      <c r="S26" s="27">
        <v>42.901560000000003</v>
      </c>
      <c r="T26" s="27">
        <f t="shared" si="0"/>
        <v>193.53570000000002</v>
      </c>
    </row>
    <row r="27" spans="1:20" x14ac:dyDescent="0.35">
      <c r="A27" s="1" t="s">
        <v>117</v>
      </c>
      <c r="B27" s="1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7">
        <v>9</v>
      </c>
      <c r="I27" s="27">
        <v>7.44</v>
      </c>
      <c r="J27" s="27">
        <v>13</v>
      </c>
      <c r="K27" s="27">
        <v>15</v>
      </c>
      <c r="L27" s="27">
        <v>14</v>
      </c>
      <c r="M27" s="27">
        <v>17</v>
      </c>
      <c r="N27" s="27">
        <v>11.994450000000001</v>
      </c>
      <c r="O27" s="27">
        <v>14</v>
      </c>
      <c r="P27" s="27">
        <v>20</v>
      </c>
      <c r="Q27" s="27">
        <v>7.6</v>
      </c>
      <c r="R27" s="27">
        <v>18.899999999999999</v>
      </c>
      <c r="S27" s="27">
        <v>21.462199999999999</v>
      </c>
      <c r="T27" s="27">
        <f t="shared" si="0"/>
        <v>169.39664999999999</v>
      </c>
    </row>
    <row r="28" spans="1:20" x14ac:dyDescent="0.35">
      <c r="A28" s="1" t="s">
        <v>117</v>
      </c>
      <c r="B28" s="1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7">
        <v>14.56</v>
      </c>
      <c r="I28" s="27">
        <v>16.8</v>
      </c>
      <c r="J28" s="27">
        <v>16.474910000000001</v>
      </c>
      <c r="K28" s="27">
        <v>16</v>
      </c>
      <c r="L28" s="27">
        <v>12</v>
      </c>
      <c r="M28" s="27">
        <v>16</v>
      </c>
      <c r="N28" s="27">
        <v>10.70199</v>
      </c>
      <c r="O28" s="27">
        <v>20</v>
      </c>
      <c r="P28" s="27">
        <v>7.7</v>
      </c>
      <c r="Q28" s="27">
        <v>8</v>
      </c>
      <c r="R28" s="27">
        <v>14.24</v>
      </c>
      <c r="S28" s="27">
        <v>5.6186499999999997</v>
      </c>
      <c r="T28" s="27">
        <f t="shared" si="0"/>
        <v>158.09555</v>
      </c>
    </row>
    <row r="29" spans="1:20" x14ac:dyDescent="0.35">
      <c r="A29" s="1" t="s">
        <v>117</v>
      </c>
      <c r="B29" s="1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7">
        <v>28.85688</v>
      </c>
      <c r="I29" s="27">
        <v>28.476669999999999</v>
      </c>
      <c r="J29" s="27">
        <v>22</v>
      </c>
      <c r="K29" s="27">
        <v>30</v>
      </c>
      <c r="L29" s="27">
        <v>56</v>
      </c>
      <c r="M29" s="27">
        <v>40</v>
      </c>
      <c r="N29" s="27">
        <v>45</v>
      </c>
      <c r="O29" s="27">
        <v>29</v>
      </c>
      <c r="P29" s="27">
        <v>40</v>
      </c>
      <c r="Q29" s="27">
        <v>-0.83331</v>
      </c>
      <c r="R29" s="27">
        <v>34.97242</v>
      </c>
      <c r="S29" s="27">
        <v>34.537799999999997</v>
      </c>
      <c r="T29" s="27">
        <f t="shared" si="0"/>
        <v>388.01046000000002</v>
      </c>
    </row>
    <row r="30" spans="1:20" x14ac:dyDescent="0.35">
      <c r="A30" s="1" t="s">
        <v>117</v>
      </c>
      <c r="B30" s="1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7">
        <v>2.4009999999999998</v>
      </c>
      <c r="I30" s="27">
        <v>1.784</v>
      </c>
      <c r="J30" s="27">
        <v>2.5760000000000001</v>
      </c>
      <c r="K30" s="27">
        <v>0.66900000000000004</v>
      </c>
      <c r="L30" s="27">
        <v>0.66900000000000004</v>
      </c>
      <c r="M30" s="27">
        <v>0.66</v>
      </c>
      <c r="N30" s="27">
        <v>0</v>
      </c>
      <c r="O30" s="27">
        <v>0</v>
      </c>
      <c r="P30" s="27">
        <v>-0.66</v>
      </c>
      <c r="Q30" s="27">
        <v>0</v>
      </c>
      <c r="R30" s="27">
        <v>0</v>
      </c>
      <c r="S30" s="27">
        <v>-1.3380000000000001</v>
      </c>
      <c r="T30" s="27">
        <f t="shared" si="0"/>
        <v>6.7610000000000001</v>
      </c>
    </row>
    <row r="31" spans="1:20" x14ac:dyDescent="0.35">
      <c r="A31" s="1" t="s">
        <v>117</v>
      </c>
      <c r="B31" s="1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7">
        <v>16</v>
      </c>
      <c r="I31" s="27">
        <v>21.26</v>
      </c>
      <c r="J31" s="27">
        <v>21</v>
      </c>
      <c r="K31" s="27">
        <v>20.32</v>
      </c>
      <c r="L31" s="27">
        <v>8.3163999999999998</v>
      </c>
      <c r="M31" s="27">
        <v>21</v>
      </c>
      <c r="N31" s="27">
        <v>19.05</v>
      </c>
      <c r="O31" s="27">
        <v>23</v>
      </c>
      <c r="P31" s="27">
        <v>31.3</v>
      </c>
      <c r="Q31" s="27">
        <v>17.341000000000001</v>
      </c>
      <c r="R31" s="27">
        <v>19.03</v>
      </c>
      <c r="S31" s="27">
        <v>40.651530000000001</v>
      </c>
      <c r="T31" s="27">
        <f t="shared" si="0"/>
        <v>258.26893000000001</v>
      </c>
    </row>
    <row r="32" spans="1:20" x14ac:dyDescent="0.35">
      <c r="A32" s="1" t="s">
        <v>117</v>
      </c>
      <c r="B32" s="1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7">
        <v>0.77459999999999996</v>
      </c>
      <c r="I32" s="27">
        <v>2.21</v>
      </c>
      <c r="J32" s="27">
        <v>0.28000000000000003</v>
      </c>
      <c r="K32" s="27">
        <v>1.1379999999999999</v>
      </c>
      <c r="L32" s="27">
        <v>7.8E-2</v>
      </c>
      <c r="M32" s="27">
        <v>0.54</v>
      </c>
      <c r="N32" s="27">
        <v>0.85</v>
      </c>
      <c r="O32" s="27">
        <v>0.35</v>
      </c>
      <c r="P32" s="27">
        <v>1.82</v>
      </c>
      <c r="Q32" s="27">
        <v>2.2400000000000002</v>
      </c>
      <c r="R32" s="27">
        <v>0.248</v>
      </c>
      <c r="S32" s="27">
        <v>0.35680000000000001</v>
      </c>
      <c r="T32" s="27">
        <f t="shared" si="0"/>
        <v>10.885399999999999</v>
      </c>
    </row>
    <row r="33" spans="1:20" x14ac:dyDescent="0.35">
      <c r="A33" s="1" t="s">
        <v>117</v>
      </c>
      <c r="B33" s="1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>
        <v>4.47</v>
      </c>
      <c r="I33" s="27">
        <v>4.6900000000000004</v>
      </c>
      <c r="J33" s="27">
        <v>4.8</v>
      </c>
      <c r="K33" s="27">
        <v>4.2</v>
      </c>
      <c r="L33" s="27">
        <v>4.2</v>
      </c>
      <c r="M33" s="27">
        <v>4.2</v>
      </c>
      <c r="N33" s="27">
        <v>3.2</v>
      </c>
      <c r="O33" s="27">
        <v>3.2</v>
      </c>
      <c r="P33" s="27">
        <v>4.0999999999999996</v>
      </c>
      <c r="Q33" s="27">
        <v>4.7</v>
      </c>
      <c r="R33" s="27">
        <v>3.22</v>
      </c>
      <c r="S33" s="27">
        <v>-3.1920999999999999</v>
      </c>
      <c r="T33" s="27">
        <f t="shared" si="0"/>
        <v>41.787900000000008</v>
      </c>
    </row>
    <row r="34" spans="1:20" x14ac:dyDescent="0.35">
      <c r="A34" s="1" t="s">
        <v>117</v>
      </c>
      <c r="B34" s="1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7">
        <v>2.363</v>
      </c>
      <c r="I34" s="27">
        <v>2</v>
      </c>
      <c r="J34" s="27">
        <v>2</v>
      </c>
      <c r="K34" s="27">
        <v>0</v>
      </c>
      <c r="L34" s="27">
        <v>0</v>
      </c>
      <c r="M34" s="27">
        <v>0</v>
      </c>
      <c r="N34" s="27">
        <v>0</v>
      </c>
      <c r="O34" s="27">
        <v>2</v>
      </c>
      <c r="P34" s="27">
        <v>0</v>
      </c>
      <c r="Q34" s="27">
        <v>0</v>
      </c>
      <c r="R34" s="27">
        <v>-1.2669999999999999</v>
      </c>
      <c r="S34" s="27">
        <v>0</v>
      </c>
      <c r="T34" s="27">
        <f>SUM(H34:S34)</f>
        <v>7.0960000000000001</v>
      </c>
    </row>
    <row r="35" spans="1:20" x14ac:dyDescent="0.35">
      <c r="A35" s="1" t="s">
        <v>117</v>
      </c>
      <c r="B35" s="1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>
        <v>2.9594999999999998</v>
      </c>
      <c r="I35" s="27">
        <v>2</v>
      </c>
      <c r="J35" s="27">
        <v>0.6</v>
      </c>
      <c r="K35" s="27">
        <v>1.5</v>
      </c>
      <c r="L35" s="27">
        <v>2.5</v>
      </c>
      <c r="M35" s="27">
        <v>2.0325000000000002</v>
      </c>
      <c r="N35" s="27">
        <v>1</v>
      </c>
      <c r="O35" s="27">
        <v>1.464</v>
      </c>
      <c r="P35" s="27">
        <v>3.3</v>
      </c>
      <c r="Q35" s="27">
        <v>2.7</v>
      </c>
      <c r="R35" s="27">
        <v>2.9498000000000002</v>
      </c>
      <c r="S35" s="27">
        <v>7.6854399999999998</v>
      </c>
      <c r="T35" s="27">
        <f>SUM(H35:S35)</f>
        <v>30.691240000000001</v>
      </c>
    </row>
    <row r="36" spans="1:20" x14ac:dyDescent="0.35">
      <c r="A36" s="1" t="s">
        <v>117</v>
      </c>
      <c r="B36" s="1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7">
        <v>6.81</v>
      </c>
      <c r="I36" s="27">
        <v>5.72</v>
      </c>
      <c r="J36" s="27">
        <v>6.47</v>
      </c>
      <c r="K36" s="27">
        <v>8.35</v>
      </c>
      <c r="L36" s="27">
        <v>7.42</v>
      </c>
      <c r="M36" s="27">
        <v>8.69</v>
      </c>
      <c r="N36" s="27">
        <v>6.43</v>
      </c>
      <c r="O36" s="27">
        <v>8.6</v>
      </c>
      <c r="P36" s="27">
        <v>11.15</v>
      </c>
      <c r="Q36" s="27">
        <v>10.46</v>
      </c>
      <c r="R36" s="27">
        <v>9.11</v>
      </c>
      <c r="S36" s="27">
        <v>7.2770099999999998</v>
      </c>
      <c r="T36" s="27">
        <f>SUM(H36:S36)</f>
        <v>96.487009999999998</v>
      </c>
    </row>
    <row r="37" spans="1:20" x14ac:dyDescent="0.35">
      <c r="A37" s="1" t="s">
        <v>117</v>
      </c>
      <c r="B37" s="1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7">
        <v>4.78</v>
      </c>
      <c r="I37" s="27">
        <v>5.46</v>
      </c>
      <c r="J37" s="27">
        <v>8.2400099999999998</v>
      </c>
      <c r="K37" s="27">
        <v>4.8</v>
      </c>
      <c r="L37" s="27">
        <v>4.7</v>
      </c>
      <c r="M37" s="27">
        <v>8</v>
      </c>
      <c r="N37" s="27">
        <v>3.17</v>
      </c>
      <c r="O37" s="27">
        <v>5</v>
      </c>
      <c r="P37" s="27">
        <v>7.3280900000000004</v>
      </c>
      <c r="Q37" s="27">
        <v>1.86</v>
      </c>
      <c r="R37" s="27">
        <v>3.06</v>
      </c>
      <c r="S37" s="27">
        <v>1.90852</v>
      </c>
      <c r="T37" s="27">
        <f>SUM(H37:S37)</f>
        <v>58.306620000000009</v>
      </c>
    </row>
    <row r="38" spans="1:20" x14ac:dyDescent="0.35">
      <c r="A38" s="1" t="s">
        <v>117</v>
      </c>
      <c r="B38" s="1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7">
        <v>44.153190000000002</v>
      </c>
      <c r="I38" s="27">
        <v>39</v>
      </c>
      <c r="J38" s="27">
        <v>41</v>
      </c>
      <c r="K38" s="27">
        <v>30</v>
      </c>
      <c r="L38" s="27">
        <v>25</v>
      </c>
      <c r="M38" s="27">
        <v>25</v>
      </c>
      <c r="N38" s="27">
        <v>25</v>
      </c>
      <c r="O38" s="27">
        <v>30</v>
      </c>
      <c r="P38" s="27">
        <v>28.464169999999999</v>
      </c>
      <c r="Q38" s="27">
        <v>32.593299999999999</v>
      </c>
      <c r="R38" s="27">
        <v>29.50095</v>
      </c>
      <c r="S38" s="27">
        <v>48.738019999999999</v>
      </c>
      <c r="T38" s="27">
        <f>SUM(H38:S38)</f>
        <v>398.44963000000001</v>
      </c>
    </row>
    <row r="39" spans="1:20" x14ac:dyDescent="0.35">
      <c r="A39" s="1" t="s">
        <v>117</v>
      </c>
      <c r="B39" s="1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7">
        <v>3.7530899999999998</v>
      </c>
      <c r="I39" s="27">
        <v>21.954059999999998</v>
      </c>
      <c r="J39" s="27">
        <v>40.143740000000001</v>
      </c>
      <c r="K39" s="27">
        <v>24</v>
      </c>
      <c r="L39" s="27">
        <v>23.622109999999999</v>
      </c>
      <c r="M39" s="27">
        <v>25</v>
      </c>
      <c r="N39" s="27">
        <v>15.87785</v>
      </c>
      <c r="O39" s="27">
        <v>11.66103</v>
      </c>
      <c r="P39" s="27">
        <v>14</v>
      </c>
      <c r="Q39" s="27">
        <v>12</v>
      </c>
      <c r="R39" s="27">
        <v>6</v>
      </c>
      <c r="S39" s="27">
        <v>21.693020000000001</v>
      </c>
      <c r="T39" s="27">
        <f>SUM(H39:S39)</f>
        <v>219.70489999999998</v>
      </c>
    </row>
    <row r="40" spans="1:20" x14ac:dyDescent="0.35">
      <c r="A40" s="1" t="s">
        <v>117</v>
      </c>
      <c r="B40" s="1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7">
        <v>2.5</v>
      </c>
      <c r="I40" s="27">
        <v>3.15</v>
      </c>
      <c r="J40" s="27">
        <v>5.6508500000000002</v>
      </c>
      <c r="K40" s="27">
        <v>4</v>
      </c>
      <c r="L40" s="27">
        <v>7.8</v>
      </c>
      <c r="M40" s="27">
        <v>4.7944699999999996</v>
      </c>
      <c r="N40" s="27">
        <v>2.5</v>
      </c>
      <c r="O40" s="27">
        <v>5.7</v>
      </c>
      <c r="P40" s="27">
        <v>4.5999999999999996</v>
      </c>
      <c r="Q40" s="27">
        <v>5.3</v>
      </c>
      <c r="R40" s="27">
        <v>6.5945499999999999</v>
      </c>
      <c r="S40" s="27">
        <v>3.5516200000000002</v>
      </c>
      <c r="T40" s="27">
        <f>SUM(H40:S40)</f>
        <v>56.141489999999997</v>
      </c>
    </row>
    <row r="41" spans="1:20" x14ac:dyDescent="0.35">
      <c r="A41" s="1" t="s">
        <v>117</v>
      </c>
      <c r="B41" s="1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7">
        <v>4.7</v>
      </c>
      <c r="I41" s="27">
        <v>6.6635</v>
      </c>
      <c r="J41" s="27">
        <v>15.67055</v>
      </c>
      <c r="K41" s="27">
        <v>3.1938</v>
      </c>
      <c r="L41" s="27">
        <v>-1.8365</v>
      </c>
      <c r="M41" s="27">
        <v>0</v>
      </c>
      <c r="N41" s="27">
        <v>0</v>
      </c>
      <c r="O41" s="27">
        <v>-0.31491999999999998</v>
      </c>
      <c r="P41" s="27">
        <v>0</v>
      </c>
      <c r="Q41" s="27">
        <v>0</v>
      </c>
      <c r="R41" s="27">
        <v>0</v>
      </c>
      <c r="S41" s="27">
        <v>2.35</v>
      </c>
      <c r="T41" s="27">
        <f>SUM(H41:S41)</f>
        <v>30.42643</v>
      </c>
    </row>
    <row r="42" spans="1:20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f>SUM(H42:S42)</f>
        <v>0</v>
      </c>
    </row>
    <row r="43" spans="1:20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f>SUM(H43:S43)</f>
        <v>0</v>
      </c>
    </row>
    <row r="44" spans="1:20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f>SUM(H44:S44)</f>
        <v>0</v>
      </c>
    </row>
    <row r="45" spans="1:20" x14ac:dyDescent="0.35">
      <c r="A45" s="1" t="s">
        <v>117</v>
      </c>
      <c r="B45" s="1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-4.1695700000000002</v>
      </c>
      <c r="T45" s="27">
        <f>SUM(H45:S45)</f>
        <v>-4.1695700000000002</v>
      </c>
    </row>
    <row r="46" spans="1:20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-1.1625000000000001</v>
      </c>
      <c r="T46" s="27">
        <f>SUM(H46:S46)</f>
        <v>-1.1625000000000001</v>
      </c>
    </row>
    <row r="47" spans="1:20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f>SUM(H47:S47)</f>
        <v>0</v>
      </c>
    </row>
    <row r="48" spans="1:20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f>SUM(H48:S48)</f>
        <v>0</v>
      </c>
    </row>
    <row r="49" spans="1:20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f>SUM(H49:S49)</f>
        <v>0</v>
      </c>
    </row>
    <row r="50" spans="1:20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f>SUM(H50:S50)</f>
        <v>0</v>
      </c>
    </row>
    <row r="51" spans="1:20" x14ac:dyDescent="0.35">
      <c r="A51" s="1" t="s">
        <v>117</v>
      </c>
      <c r="B51" s="1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7">
        <v>0.4</v>
      </c>
      <c r="I51" s="27">
        <v>3</v>
      </c>
      <c r="J51" s="27">
        <v>2.0941000000000001</v>
      </c>
      <c r="K51" s="27">
        <v>0.31768999999999997</v>
      </c>
      <c r="L51" s="27">
        <v>-1.19818</v>
      </c>
      <c r="M51" s="27">
        <v>3</v>
      </c>
      <c r="N51" s="27">
        <v>-0.91156999999999999</v>
      </c>
      <c r="O51" s="27">
        <v>-3</v>
      </c>
      <c r="P51" s="27">
        <v>0</v>
      </c>
      <c r="Q51" s="27">
        <v>0</v>
      </c>
      <c r="R51" s="27">
        <v>1.0268999999999999</v>
      </c>
      <c r="S51" s="27">
        <v>0</v>
      </c>
      <c r="T51" s="27">
        <f>SUM(H51:S51)</f>
        <v>4.7289399999999997</v>
      </c>
    </row>
    <row r="52" spans="1:20" x14ac:dyDescent="0.35">
      <c r="A52" s="1" t="s">
        <v>117</v>
      </c>
      <c r="B52" s="1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7">
        <v>4.2</v>
      </c>
      <c r="I52" s="27">
        <v>0.7</v>
      </c>
      <c r="J52" s="27">
        <v>0</v>
      </c>
      <c r="K52" s="27">
        <v>0</v>
      </c>
      <c r="L52" s="27">
        <v>4.75</v>
      </c>
      <c r="M52" s="27">
        <v>4.5</v>
      </c>
      <c r="N52" s="27">
        <v>0</v>
      </c>
      <c r="O52" s="27">
        <v>0</v>
      </c>
      <c r="P52" s="27">
        <v>-0.09</v>
      </c>
      <c r="Q52" s="27">
        <v>0</v>
      </c>
      <c r="R52" s="27">
        <v>-0.35</v>
      </c>
      <c r="S52" s="27">
        <v>-0.14000000000000001</v>
      </c>
      <c r="T52" s="27">
        <f>SUM(H52:S52)</f>
        <v>13.57</v>
      </c>
    </row>
    <row r="53" spans="1:20" x14ac:dyDescent="0.35">
      <c r="A53" s="1" t="s">
        <v>117</v>
      </c>
      <c r="B53" s="1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7">
        <v>0</v>
      </c>
      <c r="I53" s="27">
        <v>1.1000000000000001</v>
      </c>
      <c r="J53" s="27">
        <v>0.2</v>
      </c>
      <c r="K53" s="27">
        <v>8.82</v>
      </c>
      <c r="L53" s="27">
        <v>16.75</v>
      </c>
      <c r="M53" s="27">
        <v>1.6</v>
      </c>
      <c r="N53" s="27">
        <v>0</v>
      </c>
      <c r="O53" s="27">
        <v>-1.26895</v>
      </c>
      <c r="P53" s="27">
        <v>0.4</v>
      </c>
      <c r="Q53" s="27">
        <v>2.0623300000000002</v>
      </c>
      <c r="R53" s="27">
        <v>1.7</v>
      </c>
      <c r="S53" s="27">
        <v>7.6771599999999998</v>
      </c>
      <c r="T53" s="27">
        <f>SUM(H53:S53)</f>
        <v>39.04054</v>
      </c>
    </row>
    <row r="54" spans="1:20" x14ac:dyDescent="0.35">
      <c r="A54" s="1" t="s">
        <v>117</v>
      </c>
      <c r="B54" s="1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7">
        <v>0</v>
      </c>
      <c r="I54" s="27">
        <v>27.54</v>
      </c>
      <c r="J54" s="27">
        <v>8.3699999999999992</v>
      </c>
      <c r="K54" s="27">
        <v>10.3</v>
      </c>
      <c r="L54" s="27">
        <v>24.1</v>
      </c>
      <c r="M54" s="27">
        <v>31.79</v>
      </c>
      <c r="N54" s="27">
        <v>0.45</v>
      </c>
      <c r="O54" s="27">
        <v>5.2</v>
      </c>
      <c r="P54" s="27">
        <v>26.364460000000001</v>
      </c>
      <c r="Q54" s="27">
        <v>10.385579999999999</v>
      </c>
      <c r="R54" s="27">
        <v>30.42</v>
      </c>
      <c r="S54" s="27">
        <v>11.81</v>
      </c>
      <c r="T54" s="27">
        <f>SUM(H54:S54)</f>
        <v>186.73004000000003</v>
      </c>
    </row>
    <row r="55" spans="1:20" x14ac:dyDescent="0.35">
      <c r="A55" s="1" t="s">
        <v>117</v>
      </c>
      <c r="B55" s="1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7">
        <v>2.98</v>
      </c>
      <c r="I55" s="27">
        <v>3.72</v>
      </c>
      <c r="J55" s="27">
        <v>9.6</v>
      </c>
      <c r="K55" s="27">
        <v>3</v>
      </c>
      <c r="L55" s="27">
        <v>10.45</v>
      </c>
      <c r="M55" s="27">
        <v>11.43</v>
      </c>
      <c r="N55" s="27">
        <v>0</v>
      </c>
      <c r="O55" s="27">
        <v>5.5</v>
      </c>
      <c r="P55" s="27">
        <v>0.67</v>
      </c>
      <c r="Q55" s="27">
        <v>1</v>
      </c>
      <c r="R55" s="27">
        <v>0</v>
      </c>
      <c r="S55" s="27">
        <v>-8.57</v>
      </c>
      <c r="T55" s="27">
        <f>SUM(H55:S55)</f>
        <v>39.78</v>
      </c>
    </row>
    <row r="56" spans="1:20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7">
        <v>0</v>
      </c>
      <c r="I56" s="27">
        <v>0.93600000000000005</v>
      </c>
      <c r="J56" s="27">
        <v>0</v>
      </c>
      <c r="K56" s="27">
        <v>0</v>
      </c>
      <c r="L56" s="27">
        <v>0</v>
      </c>
      <c r="M56" s="27">
        <v>2.5</v>
      </c>
      <c r="N56" s="27">
        <v>0</v>
      </c>
      <c r="O56" s="27">
        <v>0</v>
      </c>
      <c r="P56" s="27">
        <v>0</v>
      </c>
      <c r="Q56" s="27">
        <v>0</v>
      </c>
      <c r="R56" s="27">
        <v>-1</v>
      </c>
      <c r="S56" s="27">
        <v>-0.75</v>
      </c>
      <c r="T56" s="27">
        <f>SUM(H56:S56)</f>
        <v>1.6859999999999999</v>
      </c>
    </row>
    <row r="57" spans="1:20" x14ac:dyDescent="0.35">
      <c r="A57" s="1" t="s">
        <v>117</v>
      </c>
      <c r="B57" s="1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>
        <v>21.157920000000001</v>
      </c>
      <c r="I57" s="27">
        <v>1.95</v>
      </c>
      <c r="J57" s="27">
        <v>-13.557919999999999</v>
      </c>
      <c r="K57" s="27">
        <v>0</v>
      </c>
      <c r="L57" s="27">
        <v>5</v>
      </c>
      <c r="M57" s="27">
        <v>0</v>
      </c>
      <c r="N57" s="27">
        <v>0</v>
      </c>
      <c r="O57" s="27">
        <v>0</v>
      </c>
      <c r="P57" s="27">
        <v>1.82</v>
      </c>
      <c r="Q57" s="27">
        <v>0</v>
      </c>
      <c r="R57" s="27">
        <v>-1.62</v>
      </c>
      <c r="S57" s="27">
        <v>1.3</v>
      </c>
      <c r="T57" s="27">
        <f>SUM(H57:S57)</f>
        <v>16.05</v>
      </c>
    </row>
    <row r="58" spans="1:20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7">
        <v>0</v>
      </c>
      <c r="I58" s="27">
        <v>0</v>
      </c>
      <c r="J58" s="27">
        <v>1</v>
      </c>
      <c r="K58" s="27">
        <v>0</v>
      </c>
      <c r="L58" s="27">
        <v>0</v>
      </c>
      <c r="M58" s="27">
        <v>-1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f>SUM(H58:S58)</f>
        <v>0</v>
      </c>
    </row>
    <row r="59" spans="1:20" x14ac:dyDescent="0.35">
      <c r="A59" s="1" t="s">
        <v>117</v>
      </c>
      <c r="B59" s="1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6.65</v>
      </c>
      <c r="O59" s="27">
        <v>1.96</v>
      </c>
      <c r="P59" s="27">
        <v>0</v>
      </c>
      <c r="Q59" s="27">
        <v>0</v>
      </c>
      <c r="R59" s="27">
        <v>0</v>
      </c>
      <c r="S59" s="27">
        <v>0</v>
      </c>
      <c r="T59" s="27">
        <f>SUM(H59:S59)</f>
        <v>8.61</v>
      </c>
    </row>
    <row r="60" spans="1:20" x14ac:dyDescent="0.35">
      <c r="A60" s="1" t="s">
        <v>117</v>
      </c>
      <c r="B60" s="1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4.47</v>
      </c>
      <c r="N60" s="27">
        <v>0</v>
      </c>
      <c r="O60" s="27">
        <v>3</v>
      </c>
      <c r="P60" s="27">
        <v>0</v>
      </c>
      <c r="Q60" s="27">
        <v>0</v>
      </c>
      <c r="R60" s="27">
        <v>0</v>
      </c>
      <c r="S60" s="27">
        <v>0</v>
      </c>
      <c r="T60" s="27">
        <f>SUM(H60:S60)</f>
        <v>7.47</v>
      </c>
    </row>
    <row r="61" spans="1:20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f>SUM(H61:S61)</f>
        <v>0</v>
      </c>
    </row>
    <row r="62" spans="1:20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f>SUM(H62:S62)</f>
        <v>0</v>
      </c>
    </row>
    <row r="63" spans="1:20" x14ac:dyDescent="0.35">
      <c r="A63" s="1" t="s">
        <v>117</v>
      </c>
      <c r="B63" s="1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f>SUM(H63:S63)</f>
        <v>0</v>
      </c>
    </row>
    <row r="64" spans="1:20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7">
        <v>0</v>
      </c>
      <c r="I64" s="27">
        <v>0.7</v>
      </c>
      <c r="J64" s="27">
        <v>0</v>
      </c>
      <c r="K64" s="27">
        <v>0</v>
      </c>
      <c r="L64" s="27">
        <v>0</v>
      </c>
      <c r="M64" s="27">
        <v>-0.7</v>
      </c>
      <c r="N64" s="27">
        <v>0</v>
      </c>
      <c r="O64" s="27">
        <v>0.4</v>
      </c>
      <c r="P64" s="27">
        <v>0</v>
      </c>
      <c r="Q64" s="27">
        <v>-0.4</v>
      </c>
      <c r="R64" s="27">
        <v>0</v>
      </c>
      <c r="S64" s="27">
        <v>0</v>
      </c>
      <c r="T64" s="27">
        <f>SUM(H64:S64)</f>
        <v>0</v>
      </c>
    </row>
    <row r="65" spans="1:20" x14ac:dyDescent="0.35">
      <c r="A65" s="1" t="s">
        <v>117</v>
      </c>
      <c r="B65" s="1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7">
        <v>65.400000000000006</v>
      </c>
      <c r="I65" s="27">
        <v>58</v>
      </c>
      <c r="J65" s="27">
        <v>67</v>
      </c>
      <c r="K65" s="27">
        <v>65.400000000000006</v>
      </c>
      <c r="L65" s="27">
        <v>65</v>
      </c>
      <c r="M65" s="27">
        <v>63</v>
      </c>
      <c r="N65" s="27">
        <v>65</v>
      </c>
      <c r="O65" s="27">
        <v>62.5</v>
      </c>
      <c r="P65" s="27">
        <v>97</v>
      </c>
      <c r="Q65" s="27">
        <v>77</v>
      </c>
      <c r="R65" s="27">
        <v>81</v>
      </c>
      <c r="S65" s="27">
        <v>122.71429999999999</v>
      </c>
      <c r="T65" s="27">
        <f>SUM(H65:S65)</f>
        <v>889.01429999999993</v>
      </c>
    </row>
    <row r="66" spans="1:20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f>SUM(H66:S66)</f>
        <v>0</v>
      </c>
    </row>
    <row r="67" spans="1:20" x14ac:dyDescent="0.35">
      <c r="A67" s="1" t="s">
        <v>117</v>
      </c>
      <c r="B67" s="1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7">
        <v>1.5</v>
      </c>
      <c r="I67" s="27">
        <v>1.5</v>
      </c>
      <c r="J67" s="27">
        <v>4.42</v>
      </c>
      <c r="K67" s="27">
        <v>4.7</v>
      </c>
      <c r="L67" s="27">
        <v>3.32</v>
      </c>
      <c r="M67" s="27">
        <v>8</v>
      </c>
      <c r="N67" s="27">
        <v>10</v>
      </c>
      <c r="O67" s="27">
        <v>9.82</v>
      </c>
      <c r="P67" s="27">
        <v>12</v>
      </c>
      <c r="Q67" s="27">
        <v>9.1999999999999993</v>
      </c>
      <c r="R67" s="27">
        <v>10.4</v>
      </c>
      <c r="S67" s="27">
        <v>15.904999999999999</v>
      </c>
      <c r="T67" s="27">
        <f>SUM(H67:S67)</f>
        <v>90.765000000000001</v>
      </c>
    </row>
    <row r="68" spans="1:20" x14ac:dyDescent="0.35">
      <c r="A68" s="1" t="s">
        <v>117</v>
      </c>
      <c r="B68" s="1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1.75</v>
      </c>
      <c r="O68" s="27">
        <v>1.9</v>
      </c>
      <c r="P68" s="27">
        <v>2.5</v>
      </c>
      <c r="Q68" s="27">
        <v>2.9</v>
      </c>
      <c r="R68" s="27">
        <v>3.1</v>
      </c>
      <c r="S68" s="27">
        <v>4.2260499999999999</v>
      </c>
      <c r="T68" s="27">
        <f>SUM(H68:S68)</f>
        <v>16.376049999999999</v>
      </c>
    </row>
    <row r="69" spans="1:20" x14ac:dyDescent="0.35">
      <c r="A69" s="1" t="s">
        <v>117</v>
      </c>
      <c r="B69" s="1" t="s">
        <v>133</v>
      </c>
      <c r="C69" s="1" t="str">
        <f>VLOOKUP(B69,Mapping!A:B,2,0)</f>
        <v>Lateral</v>
      </c>
      <c r="D69" s="1" t="str">
        <f>VLOOKUP(B69,Mapping!A:C,3,0)</f>
        <v>West</v>
      </c>
      <c r="E69" s="1" t="str">
        <f>VLOOKUP(B69,Mapping!A:D,4,0)</f>
        <v>West 1</v>
      </c>
      <c r="F69" s="1" t="str">
        <f>VLOOKUP(B69,Mapping!A:E,5,0)</f>
        <v>Anjli</v>
      </c>
      <c r="G69" s="1" t="str">
        <f>VLOOKUP(B69,Mapping!A:F,6,0)</f>
        <v>Anjli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3.72</v>
      </c>
      <c r="S69" s="27">
        <v>12.64701</v>
      </c>
      <c r="T69" s="27">
        <f>SUM(H69:S69)</f>
        <v>16.367010000000001</v>
      </c>
    </row>
    <row r="70" spans="1:20" x14ac:dyDescent="0.35">
      <c r="A70" s="1" t="s">
        <v>117</v>
      </c>
      <c r="B70" s="1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7">
        <v>0</v>
      </c>
      <c r="I70" s="27">
        <v>9.5</v>
      </c>
      <c r="J70" s="27">
        <v>12.5</v>
      </c>
      <c r="K70" s="27">
        <v>4.3659999999999997</v>
      </c>
      <c r="L70" s="27">
        <v>9.5</v>
      </c>
      <c r="M70" s="27">
        <v>9.35</v>
      </c>
      <c r="N70" s="27">
        <v>7.61</v>
      </c>
      <c r="O70" s="27">
        <v>8.32</v>
      </c>
      <c r="P70" s="27">
        <v>10.5</v>
      </c>
      <c r="Q70" s="27">
        <v>12</v>
      </c>
      <c r="R70" s="27">
        <v>6.8227200000000003</v>
      </c>
      <c r="S70" s="27">
        <v>18.63316</v>
      </c>
      <c r="T70" s="27">
        <f>SUM(H70:S70)</f>
        <v>109.10188000000001</v>
      </c>
    </row>
    <row r="71" spans="1:20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3.95</v>
      </c>
      <c r="R71" s="27">
        <v>1.95</v>
      </c>
      <c r="S71" s="27">
        <v>0.22342999999999999</v>
      </c>
      <c r="T71" s="27">
        <f>SUM(H71:S71)</f>
        <v>6.1234299999999999</v>
      </c>
    </row>
    <row r="72" spans="1:20" x14ac:dyDescent="0.35">
      <c r="A72" s="1" t="s">
        <v>117</v>
      </c>
      <c r="B72" s="1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7">
        <v>1.536</v>
      </c>
      <c r="I72" s="27">
        <v>2.25</v>
      </c>
      <c r="J72" s="27">
        <v>2.7</v>
      </c>
      <c r="K72" s="27">
        <v>2</v>
      </c>
      <c r="L72" s="27">
        <v>2</v>
      </c>
      <c r="M72" s="27">
        <v>15.64</v>
      </c>
      <c r="N72" s="27">
        <v>2.5</v>
      </c>
      <c r="O72" s="27">
        <v>5.35</v>
      </c>
      <c r="P72" s="27">
        <v>5.13</v>
      </c>
      <c r="Q72" s="27">
        <v>2.5</v>
      </c>
      <c r="R72" s="27">
        <v>3.95</v>
      </c>
      <c r="S72" s="27">
        <v>-1.3075000000000001</v>
      </c>
      <c r="T72" s="27">
        <f>SUM(H72:S72)</f>
        <v>44.248500000000007</v>
      </c>
    </row>
    <row r="73" spans="1:20" x14ac:dyDescent="0.35">
      <c r="A73" s="1" t="s">
        <v>117</v>
      </c>
      <c r="B73" s="1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7">
        <v>1.75</v>
      </c>
      <c r="I73" s="27">
        <v>1.65</v>
      </c>
      <c r="J73" s="27">
        <v>1.7</v>
      </c>
      <c r="K73" s="27">
        <v>4.1375000000000002</v>
      </c>
      <c r="L73" s="27">
        <v>5.7937500000000002</v>
      </c>
      <c r="M73" s="27">
        <v>3.8</v>
      </c>
      <c r="N73" s="27">
        <v>5.68</v>
      </c>
      <c r="O73" s="27">
        <v>0.65125</v>
      </c>
      <c r="P73" s="27">
        <v>4.0625</v>
      </c>
      <c r="Q73" s="27">
        <v>2.5437500000000002</v>
      </c>
      <c r="R73" s="27">
        <v>5.6218700000000004</v>
      </c>
      <c r="S73" s="27">
        <v>5.2375100000000003</v>
      </c>
      <c r="T73" s="27">
        <f>SUM(H73:S73)</f>
        <v>42.628129999999999</v>
      </c>
    </row>
    <row r="74" spans="1:20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f>SUM(H74:S74)</f>
        <v>0</v>
      </c>
    </row>
    <row r="75" spans="1:20" x14ac:dyDescent="0.35">
      <c r="A75" s="1" t="s">
        <v>117</v>
      </c>
      <c r="B75" s="1" t="s">
        <v>132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3.4</v>
      </c>
      <c r="R75" s="27">
        <v>1.85</v>
      </c>
      <c r="S75" s="27">
        <v>3.7240000000000002</v>
      </c>
      <c r="T75" s="27">
        <f>SUM(H75:S75)</f>
        <v>8.9740000000000002</v>
      </c>
    </row>
    <row r="76" spans="1:20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0.434</v>
      </c>
      <c r="S76" s="27">
        <v>11.096</v>
      </c>
      <c r="T76" s="27">
        <f>SUM(H76:S76)</f>
        <v>11.53</v>
      </c>
    </row>
    <row r="77" spans="1:20" x14ac:dyDescent="0.35">
      <c r="A77" s="1" t="s">
        <v>117</v>
      </c>
      <c r="B77" s="1" t="s">
        <v>120</v>
      </c>
      <c r="C77" s="1" t="s">
        <v>129</v>
      </c>
      <c r="D77" s="1" t="s">
        <v>129</v>
      </c>
      <c r="E77" s="1" t="s">
        <v>129</v>
      </c>
      <c r="F77" s="1" t="s">
        <v>131</v>
      </c>
      <c r="G77" s="1" t="s">
        <v>130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2.5110000000000001</v>
      </c>
      <c r="R77" s="27">
        <v>-7.331E-2</v>
      </c>
      <c r="S77" s="27">
        <v>0</v>
      </c>
      <c r="T77" s="27">
        <f>SUM(H77:S77)</f>
        <v>2.4376899999999999</v>
      </c>
    </row>
    <row r="78" spans="1:20" x14ac:dyDescent="0.35">
      <c r="A78" s="1" t="s">
        <v>117</v>
      </c>
      <c r="B78" s="1" t="s">
        <v>121</v>
      </c>
      <c r="C78" s="1" t="s">
        <v>129</v>
      </c>
      <c r="D78" s="1" t="s">
        <v>129</v>
      </c>
      <c r="E78" s="1" t="s">
        <v>129</v>
      </c>
      <c r="F78" s="1" t="s">
        <v>131</v>
      </c>
      <c r="G78" s="1" t="s">
        <v>130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f>SUM(H78:S78)</f>
        <v>0</v>
      </c>
    </row>
    <row r="79" spans="1:20" x14ac:dyDescent="0.35">
      <c r="A79" s="1" t="s">
        <v>117</v>
      </c>
      <c r="B79" s="1" t="s">
        <v>122</v>
      </c>
      <c r="C79" s="1" t="s">
        <v>129</v>
      </c>
      <c r="D79" s="1" t="s">
        <v>129</v>
      </c>
      <c r="E79" s="1" t="s">
        <v>129</v>
      </c>
      <c r="F79" s="1" t="s">
        <v>131</v>
      </c>
      <c r="G79" s="1" t="s">
        <v>130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f>SUM(H79:S79)</f>
        <v>0</v>
      </c>
    </row>
    <row r="80" spans="1:20" x14ac:dyDescent="0.35">
      <c r="A80" s="1" t="s">
        <v>117</v>
      </c>
      <c r="B80" s="1" t="s">
        <v>123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0.63919999999999999</v>
      </c>
      <c r="T80" s="27">
        <f>SUM(H80:S80)</f>
        <v>0.63919999999999999</v>
      </c>
    </row>
    <row r="81" spans="1:20" x14ac:dyDescent="0.35">
      <c r="A81" s="1" t="s">
        <v>117</v>
      </c>
      <c r="B81" s="1" t="s">
        <v>124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f>SUM(H81:S81)</f>
        <v>0</v>
      </c>
    </row>
    <row r="82" spans="1:20" x14ac:dyDescent="0.35">
      <c r="A82" s="1" t="s">
        <v>117</v>
      </c>
      <c r="B82" s="1" t="s">
        <v>125</v>
      </c>
      <c r="C82" s="1" t="s">
        <v>129</v>
      </c>
      <c r="D82" s="1" t="s">
        <v>129</v>
      </c>
      <c r="E82" s="1" t="s">
        <v>129</v>
      </c>
      <c r="F82" s="1" t="s">
        <v>131</v>
      </c>
      <c r="G82" s="1" t="s">
        <v>130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0.6</v>
      </c>
      <c r="R82" s="27">
        <v>0</v>
      </c>
      <c r="S82" s="27">
        <v>0.9375</v>
      </c>
      <c r="T82" s="27">
        <f>SUM(H82:S82)</f>
        <v>1.5375000000000001</v>
      </c>
    </row>
    <row r="83" spans="1:20" x14ac:dyDescent="0.35">
      <c r="A83" s="1" t="s">
        <v>117</v>
      </c>
      <c r="B83" s="1" t="s">
        <v>126</v>
      </c>
      <c r="C83" s="1" t="s">
        <v>129</v>
      </c>
      <c r="D83" s="1" t="s">
        <v>129</v>
      </c>
      <c r="E83" s="1" t="s">
        <v>129</v>
      </c>
      <c r="F83" s="1" t="s">
        <v>131</v>
      </c>
      <c r="G83" s="1" t="s">
        <v>130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f>SUM(H83:S83)</f>
        <v>0</v>
      </c>
    </row>
    <row r="84" spans="1:20" x14ac:dyDescent="0.35">
      <c r="A84" s="1" t="s">
        <v>117</v>
      </c>
      <c r="B84" s="1" t="s">
        <v>127</v>
      </c>
      <c r="C84" s="1" t="s">
        <v>129</v>
      </c>
      <c r="D84" s="1" t="s">
        <v>129</v>
      </c>
      <c r="E84" s="1" t="s">
        <v>129</v>
      </c>
      <c r="F84" s="1" t="s">
        <v>131</v>
      </c>
      <c r="G84" s="1" t="s">
        <v>130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1.4854099999999999</v>
      </c>
      <c r="R84" s="27">
        <v>0</v>
      </c>
      <c r="S84" s="27">
        <v>0</v>
      </c>
      <c r="T84" s="27">
        <f>SUM(H84:S84)</f>
        <v>1.4854099999999999</v>
      </c>
    </row>
    <row r="85" spans="1:20" x14ac:dyDescent="0.35">
      <c r="A85" s="1" t="s">
        <v>117</v>
      </c>
      <c r="B85" s="1" t="s">
        <v>128</v>
      </c>
      <c r="C85" s="1" t="s">
        <v>129</v>
      </c>
      <c r="D85" s="1" t="s">
        <v>129</v>
      </c>
      <c r="E85" s="1" t="s">
        <v>129</v>
      </c>
      <c r="F85" s="1" t="s">
        <v>131</v>
      </c>
      <c r="G85" s="1" t="s">
        <v>130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4.1983199999999998</v>
      </c>
      <c r="R85" s="27">
        <v>0</v>
      </c>
      <c r="S85" s="27">
        <v>-1.04958</v>
      </c>
      <c r="T85" s="27">
        <f>SUM(H85:S85)</f>
        <v>3.1487400000000001</v>
      </c>
    </row>
    <row r="86" spans="1:20" x14ac:dyDescent="0.35">
      <c r="A86" s="1" t="s">
        <v>117</v>
      </c>
      <c r="B86" s="1" t="s">
        <v>135</v>
      </c>
      <c r="C86" s="1" t="s">
        <v>115</v>
      </c>
      <c r="D86" s="1" t="s">
        <v>6</v>
      </c>
      <c r="E86" s="1" t="s">
        <v>104</v>
      </c>
      <c r="F86" s="1" t="s">
        <v>7</v>
      </c>
      <c r="G86" s="1" t="s">
        <v>7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-3.5192800000000002</v>
      </c>
      <c r="T86" s="27">
        <f>SUM(H86:S86)</f>
        <v>-3.5192800000000002</v>
      </c>
    </row>
    <row r="87" spans="1:20" x14ac:dyDescent="0.35">
      <c r="A87" s="1" t="s">
        <v>117</v>
      </c>
      <c r="B87" s="1" t="s">
        <v>136</v>
      </c>
      <c r="C87" s="1" t="s">
        <v>129</v>
      </c>
      <c r="D87" s="1" t="s">
        <v>129</v>
      </c>
      <c r="E87" s="1" t="s">
        <v>129</v>
      </c>
      <c r="F87" s="1" t="s">
        <v>131</v>
      </c>
      <c r="G87" s="1" t="s">
        <v>130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1.23285</v>
      </c>
      <c r="T87" s="27">
        <f>SUM(H87:S87)</f>
        <v>1.23285</v>
      </c>
    </row>
    <row r="88" spans="1:20" x14ac:dyDescent="0.35">
      <c r="A88" s="1" t="s">
        <v>117</v>
      </c>
      <c r="B88" s="32" t="s">
        <v>137</v>
      </c>
    </row>
  </sheetData>
  <conditionalFormatting sqref="B51:B73 B2:B41">
    <cfRule type="duplicateValues" dxfId="57" priority="77"/>
  </conditionalFormatting>
  <conditionalFormatting sqref="B74:B76 B42:B50">
    <cfRule type="duplicateValues" dxfId="56" priority="5"/>
  </conditionalFormatting>
  <conditionalFormatting sqref="I1:S1 A1:B1 E1:G1">
    <cfRule type="duplicateValues" dxfId="55" priority="88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0626-9EEC-4A35-A38F-BC36571F06F1}">
  <sheetPr codeName="Sheet8">
    <tabColor rgb="FF92D050"/>
  </sheetPr>
  <dimension ref="A1:T87"/>
  <sheetViews>
    <sheetView workbookViewId="0">
      <pane ySplit="1" topLeftCell="A2" activePane="bottomLeft" state="frozenSplit"/>
      <selection activeCell="R1" sqref="R1"/>
      <selection pane="bottomLeft" activeCell="H4" sqref="H4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customWidth="1"/>
    <col min="4" max="4" width="10.1796875" customWidth="1"/>
    <col min="5" max="5" width="10.81640625" customWidth="1"/>
    <col min="6" max="6" width="12.1796875" customWidth="1"/>
    <col min="7" max="7" width="13.1796875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10.1796875" bestFit="1" customWidth="1"/>
    <col min="17" max="19" width="7.81640625" bestFit="1" customWidth="1"/>
  </cols>
  <sheetData>
    <row r="1" spans="1:20" x14ac:dyDescent="0.35">
      <c r="A1" s="25" t="str">
        <f>Revenue_Budget!A1</f>
        <v>FY</v>
      </c>
      <c r="B1" s="25" t="str">
        <f>Revenue_Budget!B1</f>
        <v>Project</v>
      </c>
      <c r="C1" s="25" t="str">
        <f>Revenue_Budget!C1</f>
        <v>Vertical</v>
      </c>
      <c r="D1" s="25" t="str">
        <f>Revenue_Budget!D1</f>
        <v>Region</v>
      </c>
      <c r="E1" s="25" t="str">
        <f>Revenue_Budget!E1</f>
        <v>Sub Region</v>
      </c>
      <c r="F1" s="25" t="str">
        <f>Revenue_Budget!F1</f>
        <v>Region Head</v>
      </c>
      <c r="G1" s="36" t="str">
        <f>Revenue_Budget!G1</f>
        <v>Practice Head</v>
      </c>
      <c r="H1" s="26">
        <f>Revenue_Budget!H1</f>
        <v>45748</v>
      </c>
      <c r="I1" s="26">
        <f>Revenue_Budget!I1</f>
        <v>45778</v>
      </c>
      <c r="J1" s="26">
        <f>Revenue_Budget!J1</f>
        <v>45809</v>
      </c>
      <c r="K1" s="26">
        <f>Revenue_Budget!K1</f>
        <v>45839</v>
      </c>
      <c r="L1" s="26">
        <f>Revenue_Budget!L1</f>
        <v>45870</v>
      </c>
      <c r="M1" s="26">
        <f>Revenue_Budget!M1</f>
        <v>45901</v>
      </c>
      <c r="N1" s="26">
        <f>Revenue_Budget!N1</f>
        <v>45931</v>
      </c>
      <c r="O1" s="26">
        <f>Revenue_Budget!O1</f>
        <v>45962</v>
      </c>
      <c r="P1" s="26">
        <f>Revenue_Budget!P1</f>
        <v>45992</v>
      </c>
      <c r="Q1" s="26">
        <f>Revenue_Budget!Q1</f>
        <v>46023</v>
      </c>
      <c r="R1" s="26">
        <f>Revenue_Budget!R1</f>
        <v>46054</v>
      </c>
      <c r="S1" s="38">
        <f>Revenue_Budget!S1</f>
        <v>46082</v>
      </c>
      <c r="T1" t="s">
        <v>138</v>
      </c>
    </row>
    <row r="2" spans="1:20" x14ac:dyDescent="0.35">
      <c r="A2" s="1" t="s">
        <v>117</v>
      </c>
      <c r="B2" s="35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37" t="str">
        <f>VLOOKUP(B2,Mapping!A:F,6,0)</f>
        <v>Bapi</v>
      </c>
      <c r="H2" s="29">
        <v>66.781524211472018</v>
      </c>
      <c r="I2" s="29">
        <v>92.612258905852443</v>
      </c>
      <c r="J2" s="29">
        <v>111.51055181396146</v>
      </c>
      <c r="K2" s="29">
        <v>87.545448993968336</v>
      </c>
      <c r="L2" s="29">
        <v>98.708907307718903</v>
      </c>
      <c r="M2" s="29">
        <v>65.459020305286671</v>
      </c>
      <c r="N2" s="29">
        <v>12.778670300187615</v>
      </c>
      <c r="O2" s="29">
        <v>54.836436546296298</v>
      </c>
      <c r="P2" s="33">
        <v>68.605458968401493</v>
      </c>
      <c r="Q2" s="27">
        <v>93.363157707810345</v>
      </c>
      <c r="R2" s="27">
        <v>92.839733612068969</v>
      </c>
      <c r="S2" s="39">
        <v>72.291474293103448</v>
      </c>
      <c r="T2" s="5">
        <f>SUM(H2:S2)</f>
        <v>917.33264296612799</v>
      </c>
    </row>
    <row r="3" spans="1:20" x14ac:dyDescent="0.35">
      <c r="A3" s="1" t="s">
        <v>117</v>
      </c>
      <c r="B3" s="35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37" t="str">
        <f>VLOOKUP(B3,Mapping!A:F,6,0)</f>
        <v>Usha</v>
      </c>
      <c r="H3" s="29">
        <v>-0.34990617415342057</v>
      </c>
      <c r="I3" s="29">
        <v>-0.82397238549618279</v>
      </c>
      <c r="J3" s="29">
        <v>1.9315225500838529</v>
      </c>
      <c r="K3" s="29">
        <v>0.78358536000696277</v>
      </c>
      <c r="L3" s="29">
        <v>3.3181817991040403</v>
      </c>
      <c r="M3" s="29">
        <v>1.9148444229337303</v>
      </c>
      <c r="N3" s="29">
        <v>2.2445784390243904</v>
      </c>
      <c r="O3" s="29">
        <v>-1.2490710833333332</v>
      </c>
      <c r="P3" s="33">
        <v>1.5383781877323421</v>
      </c>
      <c r="Q3" s="27">
        <v>4.0312575370363826</v>
      </c>
      <c r="R3" s="27">
        <v>2.4028778362068963</v>
      </c>
      <c r="S3" s="39">
        <v>7.6305568793103458</v>
      </c>
      <c r="T3" s="5">
        <f t="shared" ref="T3:T66" si="0">SUM(H3:S3)</f>
        <v>23.372833368456007</v>
      </c>
    </row>
    <row r="4" spans="1:20" x14ac:dyDescent="0.35">
      <c r="A4" s="1" t="s">
        <v>117</v>
      </c>
      <c r="B4" s="35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37" t="str">
        <f>VLOOKUP(B4,Mapping!A:F,6,0)</f>
        <v>Shweta</v>
      </c>
      <c r="H4" s="29">
        <v>3.8642079972356598</v>
      </c>
      <c r="I4" s="29">
        <v>0.16504837786259541</v>
      </c>
      <c r="J4" s="29">
        <v>0.10993156436509445</v>
      </c>
      <c r="K4" s="29">
        <v>-0.37001471661490681</v>
      </c>
      <c r="L4" s="29">
        <v>-8.1689999999999999E-2</v>
      </c>
      <c r="M4" s="29">
        <v>-8.7300000000000003E-2</v>
      </c>
      <c r="N4" s="29">
        <v>0</v>
      </c>
      <c r="O4" s="29">
        <v>0</v>
      </c>
      <c r="P4" s="34">
        <f>-2076/100000</f>
        <v>-2.0760000000000001E-2</v>
      </c>
      <c r="Q4" s="27">
        <v>0</v>
      </c>
      <c r="R4" s="27">
        <v>-2.068E-2</v>
      </c>
      <c r="S4" s="39">
        <v>-9.3167399999999994</v>
      </c>
      <c r="T4" s="5">
        <f t="shared" si="0"/>
        <v>-5.7579967771515568</v>
      </c>
    </row>
    <row r="5" spans="1:20" x14ac:dyDescent="0.35">
      <c r="A5" s="1" t="s">
        <v>117</v>
      </c>
      <c r="B5" s="35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37" t="str">
        <f>VLOOKUP(B5,Mapping!A:F,6,0)</f>
        <v>Archana</v>
      </c>
      <c r="H5" s="29">
        <v>4.8011796129923976</v>
      </c>
      <c r="I5" s="29">
        <v>-2.9507204961832061</v>
      </c>
      <c r="J5" s="29">
        <v>17.987563990459083</v>
      </c>
      <c r="K5" s="29">
        <v>-0.3673782376038871</v>
      </c>
      <c r="L5" s="29">
        <v>2.1804304402748724</v>
      </c>
      <c r="M5" s="29">
        <v>4.3734074385703661</v>
      </c>
      <c r="N5" s="29">
        <v>8.1191308517823639</v>
      </c>
      <c r="O5" s="29">
        <v>17.791558568518521</v>
      </c>
      <c r="P5" s="33">
        <v>21.44309684944238</v>
      </c>
      <c r="Q5" s="27">
        <v>-0.22095092140154884</v>
      </c>
      <c r="R5" s="27">
        <v>8.3810987327586215</v>
      </c>
      <c r="S5" s="39">
        <v>18.160515224137932</v>
      </c>
      <c r="T5" s="5">
        <f t="shared" si="0"/>
        <v>99.698932053747882</v>
      </c>
    </row>
    <row r="6" spans="1:20" x14ac:dyDescent="0.35">
      <c r="A6" s="1" t="s">
        <v>117</v>
      </c>
      <c r="B6" s="35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37" t="str">
        <f>VLOOKUP(B6,Mapping!A:F,6,0)</f>
        <v>Kunal</v>
      </c>
      <c r="H6" s="29">
        <v>1.2827816157567373</v>
      </c>
      <c r="I6" s="29">
        <v>7.7117109541984741</v>
      </c>
      <c r="J6" s="29">
        <v>9.5124114243462454</v>
      </c>
      <c r="K6" s="29">
        <v>5.7678337673540039</v>
      </c>
      <c r="L6" s="29">
        <v>12.142505558439655</v>
      </c>
      <c r="M6" s="29">
        <v>12.181757170513775</v>
      </c>
      <c r="N6" s="29">
        <v>4.8417416322701703</v>
      </c>
      <c r="O6" s="29">
        <v>15.361321435185184</v>
      </c>
      <c r="P6" s="33">
        <v>8.4984082992565053</v>
      </c>
      <c r="Q6" s="27">
        <v>9.3283531584343944</v>
      </c>
      <c r="R6" s="27">
        <v>9.0789552499999999</v>
      </c>
      <c r="S6" s="39">
        <v>-19.5958045</v>
      </c>
      <c r="T6" s="5">
        <f t="shared" si="0"/>
        <v>76.111975765755162</v>
      </c>
    </row>
    <row r="7" spans="1:20" x14ac:dyDescent="0.35">
      <c r="A7" s="1" t="s">
        <v>117</v>
      </c>
      <c r="B7" s="35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37" t="str">
        <f>VLOOKUP(B7,Mapping!A:F,6,0)</f>
        <v>Usha</v>
      </c>
      <c r="H7" s="29">
        <v>0.28052492522460232</v>
      </c>
      <c r="I7" s="29">
        <v>1.7407946819338429</v>
      </c>
      <c r="J7" s="29">
        <v>1.6758480002727025</v>
      </c>
      <c r="K7" s="29">
        <v>1.9689589089833888</v>
      </c>
      <c r="L7" s="29">
        <v>-0.6044374865769353</v>
      </c>
      <c r="M7" s="29">
        <v>3.2641138570364854</v>
      </c>
      <c r="N7" s="29">
        <v>0.75114755722326487</v>
      </c>
      <c r="O7" s="29">
        <v>2.4861031481481488</v>
      </c>
      <c r="P7" s="33">
        <v>0.73708263940520435</v>
      </c>
      <c r="Q7" s="27">
        <v>-5.0451946773680296</v>
      </c>
      <c r="R7" s="27">
        <v>-7.2086190137931032</v>
      </c>
      <c r="S7" s="39">
        <v>-2.0592078206896547</v>
      </c>
      <c r="T7" s="5">
        <f t="shared" si="0"/>
        <v>-2.0128852802000834</v>
      </c>
    </row>
    <row r="8" spans="1:20" x14ac:dyDescent="0.35">
      <c r="A8" s="1" t="s">
        <v>117</v>
      </c>
      <c r="B8" s="35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37" t="str">
        <f>VLOOKUP(B8,Mapping!A:F,6,0)</f>
        <v>Shweta</v>
      </c>
      <c r="H8" s="29">
        <v>4.8069278728403591</v>
      </c>
      <c r="I8" s="29">
        <v>-0.60393372773536902</v>
      </c>
      <c r="J8" s="29">
        <v>-1.2315265670806976</v>
      </c>
      <c r="K8" s="29">
        <v>4.5278036135444566</v>
      </c>
      <c r="L8" s="29">
        <v>-0.66508048454552748</v>
      </c>
      <c r="M8" s="29">
        <v>0.86162832464631445</v>
      </c>
      <c r="N8" s="29">
        <v>0.26829475422138827</v>
      </c>
      <c r="O8" s="29">
        <v>-0.48609583888888885</v>
      </c>
      <c r="P8" s="33">
        <v>3.0493091542750927</v>
      </c>
      <c r="Q8" s="27">
        <v>-3.0291951493830216</v>
      </c>
      <c r="R8" s="27">
        <v>2.718227656896552</v>
      </c>
      <c r="S8" s="39">
        <v>0.96288921034482755</v>
      </c>
      <c r="T8" s="5">
        <f t="shared" si="0"/>
        <v>11.179248819135488</v>
      </c>
    </row>
    <row r="9" spans="1:20" x14ac:dyDescent="0.35">
      <c r="A9" s="1" t="s">
        <v>117</v>
      </c>
      <c r="B9" s="35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37" t="str">
        <f>VLOOKUP(B9,Mapping!A:F,6,0)</f>
        <v>Geetu</v>
      </c>
      <c r="H9" s="29">
        <v>3.3405557180373178</v>
      </c>
      <c r="I9" s="29">
        <v>2.8464869910941477</v>
      </c>
      <c r="J9" s="29">
        <v>0.24110742485462164</v>
      </c>
      <c r="K9" s="29">
        <v>-0.84415728433868031</v>
      </c>
      <c r="L9" s="29">
        <v>3.6194993822567718</v>
      </c>
      <c r="M9" s="29">
        <v>5.5846807892777353</v>
      </c>
      <c r="N9" s="29">
        <v>1.4683891106941842</v>
      </c>
      <c r="O9" s="29">
        <v>-2.097796239814814</v>
      </c>
      <c r="P9" s="33">
        <v>11.223468842936803</v>
      </c>
      <c r="Q9" s="27">
        <v>3.3937426236608572</v>
      </c>
      <c r="R9" s="27">
        <v>0.82208628706896558</v>
      </c>
      <c r="S9" s="39">
        <v>2.4700251431034488</v>
      </c>
      <c r="T9" s="5">
        <f t="shared" si="0"/>
        <v>32.068088788831361</v>
      </c>
    </row>
    <row r="10" spans="1:20" x14ac:dyDescent="0.35">
      <c r="A10" s="1" t="s">
        <v>117</v>
      </c>
      <c r="B10" s="35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37" t="str">
        <f>VLOOKUP(B10,Mapping!A:F,6,0)</f>
        <v>Geetu</v>
      </c>
      <c r="H10" s="29">
        <v>-2.3281961050449209</v>
      </c>
      <c r="I10" s="29">
        <v>-1.9815797964376591</v>
      </c>
      <c r="J10" s="29">
        <v>1.0933410486899522</v>
      </c>
      <c r="K10" s="29">
        <v>-1.9933636719251895</v>
      </c>
      <c r="L10" s="29">
        <v>-1.4095211920973598</v>
      </c>
      <c r="M10" s="29">
        <v>-0.96433278481012674</v>
      </c>
      <c r="N10" s="29">
        <v>-2.0682828180112569</v>
      </c>
      <c r="O10" s="29">
        <v>-0.80642702777777786</v>
      </c>
      <c r="P10" s="33">
        <v>-0.56027060408921936</v>
      </c>
      <c r="Q10" s="27">
        <v>-2.3776405473252482</v>
      </c>
      <c r="R10" s="27">
        <v>-3.4000000000000002E-4</v>
      </c>
      <c r="S10" s="39">
        <v>0</v>
      </c>
      <c r="T10" s="5">
        <f t="shared" si="0"/>
        <v>-13.396613498828804</v>
      </c>
    </row>
    <row r="11" spans="1:20" x14ac:dyDescent="0.35">
      <c r="A11" s="1" t="s">
        <v>117</v>
      </c>
      <c r="B11" s="35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37" t="str">
        <f>VLOOKUP(B11,Mapping!A:F,6,0)</f>
        <v>Mahak</v>
      </c>
      <c r="H11" s="29">
        <v>10.8044185625432</v>
      </c>
      <c r="I11" s="29">
        <v>29.30152788804071</v>
      </c>
      <c r="J11" s="29">
        <v>27.809085842198602</v>
      </c>
      <c r="K11" s="29">
        <v>8.676238507258029</v>
      </c>
      <c r="L11" s="29">
        <v>37.68728950379635</v>
      </c>
      <c r="M11" s="29">
        <v>112.40431370067013</v>
      </c>
      <c r="N11" s="29">
        <v>27.153346341463422</v>
      </c>
      <c r="O11" s="29">
        <v>77.889476824074066</v>
      </c>
      <c r="P11" s="33">
        <v>121.02261500929367</v>
      </c>
      <c r="Q11" s="27">
        <v>82.342683728388067</v>
      </c>
      <c r="R11" s="27">
        <v>125.77430793965519</v>
      </c>
      <c r="S11" s="39">
        <v>14.631460534482747</v>
      </c>
      <c r="T11" s="5">
        <f t="shared" si="0"/>
        <v>675.49676438186407</v>
      </c>
    </row>
    <row r="12" spans="1:20" x14ac:dyDescent="0.35">
      <c r="A12" s="1" t="s">
        <v>117</v>
      </c>
      <c r="B12" s="35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37" t="str">
        <f>VLOOKUP(B12,Mapping!A:F,6,0)</f>
        <v>Satya</v>
      </c>
      <c r="H12" s="29">
        <v>1.6087970800276434</v>
      </c>
      <c r="I12" s="29">
        <v>3.7439232145886345</v>
      </c>
      <c r="J12" s="29">
        <v>7.0142932773947289</v>
      </c>
      <c r="K12" s="29">
        <v>2.0851130079890754</v>
      </c>
      <c r="L12" s="29">
        <v>3.6476156662571051</v>
      </c>
      <c r="M12" s="29">
        <v>4.3534147639612808</v>
      </c>
      <c r="N12" s="29">
        <v>0.65351822814258886</v>
      </c>
      <c r="O12" s="29">
        <v>-0.57650604851851839</v>
      </c>
      <c r="P12" s="33">
        <v>8.1205593215613376</v>
      </c>
      <c r="Q12" s="27">
        <v>1.0908185719336703</v>
      </c>
      <c r="R12" s="27">
        <v>-11.414292583793104</v>
      </c>
      <c r="S12" s="39">
        <v>1.1014828393103451</v>
      </c>
      <c r="T12" s="5">
        <f t="shared" si="0"/>
        <v>21.428737338854791</v>
      </c>
    </row>
    <row r="13" spans="1:20" x14ac:dyDescent="0.35">
      <c r="A13" s="1" t="s">
        <v>117</v>
      </c>
      <c r="B13" s="35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37" t="str">
        <f>VLOOKUP(B13,Mapping!A:F,6,0)</f>
        <v>Geetu</v>
      </c>
      <c r="H13" s="29">
        <v>-2.1556562847270211</v>
      </c>
      <c r="I13" s="29">
        <v>-2.2067243193384227</v>
      </c>
      <c r="J13" s="29">
        <v>-5.6026530886263446</v>
      </c>
      <c r="K13" s="29">
        <v>-5.4999533798811093</v>
      </c>
      <c r="L13" s="29">
        <v>-3.7586009722931877</v>
      </c>
      <c r="M13" s="29">
        <v>-2.2291508711839163</v>
      </c>
      <c r="N13" s="29">
        <v>-4.1525232157598495</v>
      </c>
      <c r="O13" s="29">
        <v>-3.500502184259259</v>
      </c>
      <c r="P13" s="33">
        <v>-2.9584699488847588</v>
      </c>
      <c r="Q13" s="27">
        <v>-4.0265643786019867</v>
      </c>
      <c r="R13" s="27">
        <v>1.6417339310344827</v>
      </c>
      <c r="S13" s="39">
        <v>-2.4946111034482756</v>
      </c>
      <c r="T13" s="5">
        <f t="shared" si="0"/>
        <v>-36.943675815969655</v>
      </c>
    </row>
    <row r="14" spans="1:20" x14ac:dyDescent="0.35">
      <c r="A14" s="1" t="s">
        <v>117</v>
      </c>
      <c r="B14" s="35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37" t="str">
        <f>VLOOKUP(B14,Mapping!A:F,6,0)</f>
        <v>Krishna</v>
      </c>
      <c r="H14" s="29">
        <v>1.2763879143054597</v>
      </c>
      <c r="I14" s="29">
        <v>1.4129093765903309</v>
      </c>
      <c r="J14" s="29">
        <v>1.7122049172246909</v>
      </c>
      <c r="K14" s="29">
        <v>3.5363267576667892</v>
      </c>
      <c r="L14" s="29">
        <v>1.3567361956649584</v>
      </c>
      <c r="M14" s="29">
        <v>1.483176098287416</v>
      </c>
      <c r="N14" s="29">
        <v>1.1955336848030018</v>
      </c>
      <c r="O14" s="29">
        <v>1.1029159444444445</v>
      </c>
      <c r="P14" s="33">
        <v>1.1226287918215616</v>
      </c>
      <c r="Q14" s="27">
        <v>0.72496808436163074</v>
      </c>
      <c r="R14" s="27">
        <v>8.797226094827586</v>
      </c>
      <c r="S14" s="39">
        <v>6.3300420172413787</v>
      </c>
      <c r="T14" s="5">
        <f t="shared" si="0"/>
        <v>30.051055877239246</v>
      </c>
    </row>
    <row r="15" spans="1:20" x14ac:dyDescent="0.35">
      <c r="A15" s="1" t="s">
        <v>117</v>
      </c>
      <c r="B15" s="35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37" t="str">
        <f>VLOOKUP(B15,Mapping!A:F,6,0)</f>
        <v>Dhriti</v>
      </c>
      <c r="H15" s="29">
        <v>28.810128134070492</v>
      </c>
      <c r="I15" s="29">
        <v>32.293570292620856</v>
      </c>
      <c r="J15" s="29">
        <v>55.44425346166296</v>
      </c>
      <c r="K15" s="29">
        <v>41.654506261225436</v>
      </c>
      <c r="L15" s="29">
        <v>27.55786365835181</v>
      </c>
      <c r="M15" s="29">
        <v>41.696116344005958</v>
      </c>
      <c r="N15" s="29">
        <v>12.402395515947472</v>
      </c>
      <c r="O15" s="29">
        <v>72.64557392592593</v>
      </c>
      <c r="P15" s="33">
        <v>134.12151605947957</v>
      </c>
      <c r="Q15" s="27">
        <v>78.375359497931612</v>
      </c>
      <c r="R15" s="27">
        <v>41.841916275862062</v>
      </c>
      <c r="S15" s="39">
        <v>79.149468413793102</v>
      </c>
      <c r="T15" s="5">
        <f t="shared" si="0"/>
        <v>645.99266784087729</v>
      </c>
    </row>
    <row r="16" spans="1:20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37" t="str">
        <f>VLOOKUP(B16,Mapping!A:F,6,0)</f>
        <v>Krishna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33">
        <v>0</v>
      </c>
      <c r="Q16" s="27">
        <v>0</v>
      </c>
      <c r="R16" s="27">
        <v>0</v>
      </c>
      <c r="S16" s="39">
        <v>0</v>
      </c>
      <c r="T16" s="5">
        <f t="shared" si="0"/>
        <v>0</v>
      </c>
    </row>
    <row r="17" spans="1:20" x14ac:dyDescent="0.35">
      <c r="A17" s="1" t="s">
        <v>117</v>
      </c>
      <c r="B17" s="35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37" t="str">
        <f>VLOOKUP(B17,Mapping!A:F,6,0)</f>
        <v>Subu</v>
      </c>
      <c r="H17" s="29">
        <v>6.5837596406357983</v>
      </c>
      <c r="I17" s="29">
        <v>8.4784235750636157</v>
      </c>
      <c r="J17" s="29">
        <v>8.9838673956380877</v>
      </c>
      <c r="K17" s="29">
        <v>12.493240961354193</v>
      </c>
      <c r="L17" s="29">
        <v>21.987938617550046</v>
      </c>
      <c r="M17" s="29">
        <v>16.292001057334325</v>
      </c>
      <c r="N17" s="29">
        <v>14.150097166979362</v>
      </c>
      <c r="O17" s="29">
        <v>15.995195666666669</v>
      </c>
      <c r="P17" s="33">
        <v>-31.706307249070633</v>
      </c>
      <c r="Q17" s="27">
        <v>22.722509600820285</v>
      </c>
      <c r="R17" s="27">
        <v>-30.798556913793099</v>
      </c>
      <c r="S17" s="39">
        <v>8.9474723793103461</v>
      </c>
      <c r="T17" s="5">
        <f t="shared" si="0"/>
        <v>74.129641898488984</v>
      </c>
    </row>
    <row r="18" spans="1:20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37" t="str">
        <f>VLOOKUP(B18,Mapping!A:F,6,0)</f>
        <v>Anjli</v>
      </c>
      <c r="H18" s="29">
        <v>-0.7078500276434001</v>
      </c>
      <c r="I18" s="29">
        <v>-0.15307393129770994</v>
      </c>
      <c r="J18" s="29">
        <v>2.2310561084896703</v>
      </c>
      <c r="K18" s="29">
        <v>-3.3750000000000002E-2</v>
      </c>
      <c r="L18" s="29">
        <v>-2.7220000000000001E-2</v>
      </c>
      <c r="M18" s="29">
        <v>-0.16911000000000001</v>
      </c>
      <c r="N18" s="29">
        <v>0</v>
      </c>
      <c r="O18" s="29">
        <v>0</v>
      </c>
      <c r="P18" s="33">
        <v>0</v>
      </c>
      <c r="Q18" s="27">
        <v>0</v>
      </c>
      <c r="R18" s="27">
        <v>0</v>
      </c>
      <c r="S18" s="39">
        <v>0</v>
      </c>
      <c r="T18" s="5">
        <f t="shared" si="0"/>
        <v>1.14005214954856</v>
      </c>
    </row>
    <row r="19" spans="1:20" x14ac:dyDescent="0.35">
      <c r="A19" s="1" t="s">
        <v>117</v>
      </c>
      <c r="B19" s="35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37" t="str">
        <f>VLOOKUP(B19,Mapping!A:F,6,0)</f>
        <v>Geetu</v>
      </c>
      <c r="H19" s="29">
        <v>-2.0182075776088459</v>
      </c>
      <c r="I19" s="29">
        <v>-1.6183864249363862</v>
      </c>
      <c r="J19" s="29">
        <v>4.9687777636415538</v>
      </c>
      <c r="K19" s="29">
        <v>-1.3586620098896185</v>
      </c>
      <c r="L19" s="29">
        <v>4.6303833453753613</v>
      </c>
      <c r="M19" s="29">
        <v>5.4023174683544299</v>
      </c>
      <c r="N19" s="29">
        <v>-1.4900576810506572</v>
      </c>
      <c r="O19" s="29">
        <v>0.22338250092592615</v>
      </c>
      <c r="P19" s="33">
        <v>0.25086378717472135</v>
      </c>
      <c r="Q19" s="27">
        <v>3.1820961812749711</v>
      </c>
      <c r="R19" s="27">
        <v>-0.30762503189655183</v>
      </c>
      <c r="S19" s="39">
        <v>5.7347485396551727</v>
      </c>
      <c r="T19" s="5">
        <f t="shared" si="0"/>
        <v>17.599630861020074</v>
      </c>
    </row>
    <row r="20" spans="1:20" x14ac:dyDescent="0.35">
      <c r="A20" s="1" t="s">
        <v>117</v>
      </c>
      <c r="B20" s="35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37" t="str">
        <f>VLOOKUP(B20,Mapping!A:F,6,0)</f>
        <v>Satya</v>
      </c>
      <c r="H20" s="29">
        <v>0.44679136323427765</v>
      </c>
      <c r="I20" s="29">
        <v>0.17789252756573384</v>
      </c>
      <c r="J20" s="29">
        <v>-0.35910012593680468</v>
      </c>
      <c r="K20" s="29">
        <v>0.34527203585682015</v>
      </c>
      <c r="L20" s="29">
        <v>-2.0967285751128304</v>
      </c>
      <c r="M20" s="29">
        <v>-1.9434240610573341</v>
      </c>
      <c r="N20" s="29">
        <v>-1.5601873223264542</v>
      </c>
      <c r="O20" s="29">
        <v>-1.0538563461111112</v>
      </c>
      <c r="P20" s="33">
        <v>-0.98451213289962825</v>
      </c>
      <c r="Q20" s="27">
        <v>-1.4254803806173317</v>
      </c>
      <c r="R20" s="27">
        <v>-1.1876602253448276</v>
      </c>
      <c r="S20" s="39">
        <v>-1.1545466955172412</v>
      </c>
      <c r="T20" s="5">
        <f t="shared" si="0"/>
        <v>-10.795539938266733</v>
      </c>
    </row>
    <row r="21" spans="1:20" x14ac:dyDescent="0.35">
      <c r="A21" s="1" t="s">
        <v>117</v>
      </c>
      <c r="B21" s="35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37" t="str">
        <f>VLOOKUP(B21,Mapping!A:F,6,0)</f>
        <v>Alifia</v>
      </c>
      <c r="H21" s="29">
        <v>-10.527612914996544</v>
      </c>
      <c r="I21" s="29">
        <v>6.4902862468193394</v>
      </c>
      <c r="J21" s="29">
        <v>-8.8050807366202815</v>
      </c>
      <c r="K21" s="29">
        <v>-22.739380523399682</v>
      </c>
      <c r="L21" s="29">
        <v>-7.6144387486061085</v>
      </c>
      <c r="M21" s="29">
        <v>8.172837661950858</v>
      </c>
      <c r="N21" s="29">
        <v>-3.3078099437148234</v>
      </c>
      <c r="O21" s="29">
        <v>-6.5950358703703715</v>
      </c>
      <c r="P21" s="33">
        <v>2.5092716542750941</v>
      </c>
      <c r="Q21" s="27">
        <v>-8.270068609058443</v>
      </c>
      <c r="R21" s="27">
        <v>-11.578282956896549</v>
      </c>
      <c r="S21" s="39">
        <v>58.282592189655176</v>
      </c>
      <c r="T21" s="5">
        <f t="shared" si="0"/>
        <v>-3.9827225509623361</v>
      </c>
    </row>
    <row r="22" spans="1:20" x14ac:dyDescent="0.35">
      <c r="A22" s="1" t="s">
        <v>117</v>
      </c>
      <c r="B22" s="35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37" t="str">
        <f>VLOOKUP(B22,Mapping!A:F,6,0)</f>
        <v>Subu</v>
      </c>
      <c r="H22" s="29">
        <v>11.118779820317899</v>
      </c>
      <c r="I22" s="29">
        <v>11.666191234096694</v>
      </c>
      <c r="J22" s="29">
        <v>-1.3900866749319893</v>
      </c>
      <c r="K22" s="29">
        <v>2.4550036368174948</v>
      </c>
      <c r="L22" s="29">
        <v>-1.6513537922214141</v>
      </c>
      <c r="M22" s="29">
        <v>-3.0266055770662694</v>
      </c>
      <c r="N22" s="29">
        <v>-2.7309704915572239</v>
      </c>
      <c r="O22" s="29">
        <v>-1.3024987407407407</v>
      </c>
      <c r="P22" s="33">
        <v>-1.6872349442379182</v>
      </c>
      <c r="Q22" s="27">
        <v>-2.7510816419757447</v>
      </c>
      <c r="R22" s="27">
        <v>-3.9551147758620688</v>
      </c>
      <c r="S22" s="39">
        <v>2.2060645862068968</v>
      </c>
      <c r="T22" s="5">
        <f t="shared" si="0"/>
        <v>8.951092638845612</v>
      </c>
    </row>
    <row r="23" spans="1:20" x14ac:dyDescent="0.35">
      <c r="A23" s="1" t="s">
        <v>117</v>
      </c>
      <c r="B23" s="35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37" t="str">
        <f>VLOOKUP(B23,Mapping!A:F,6,0)</f>
        <v>Archana</v>
      </c>
      <c r="H23" s="29">
        <v>4.2238578313752591</v>
      </c>
      <c r="I23" s="29">
        <v>11.888143167938932</v>
      </c>
      <c r="J23" s="29">
        <v>5.5173471448976033</v>
      </c>
      <c r="K23" s="29">
        <v>7.2020566354111875</v>
      </c>
      <c r="L23" s="29">
        <v>6.9776586477147582</v>
      </c>
      <c r="M23" s="29">
        <v>1.9214421965748325</v>
      </c>
      <c r="N23" s="29">
        <v>4.975767369606003</v>
      </c>
      <c r="O23" s="29">
        <v>27.602048374999999</v>
      </c>
      <c r="P23" s="33">
        <v>-0.77342271840148669</v>
      </c>
      <c r="Q23" s="27">
        <v>-0.26503707757310069</v>
      </c>
      <c r="R23" s="27">
        <v>0.25459923189655209</v>
      </c>
      <c r="S23" s="39">
        <v>-0.17120813965517184</v>
      </c>
      <c r="T23" s="5">
        <f t="shared" si="0"/>
        <v>69.353252664785344</v>
      </c>
    </row>
    <row r="24" spans="1:20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37" t="str">
        <f>VLOOKUP(B24,Mapping!A:F,6,0)</f>
        <v>Krishna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33">
        <v>0</v>
      </c>
      <c r="Q24" s="27">
        <v>0</v>
      </c>
      <c r="R24" s="27">
        <v>0</v>
      </c>
      <c r="S24" s="39">
        <v>0</v>
      </c>
      <c r="T24" s="5">
        <f t="shared" si="0"/>
        <v>0</v>
      </c>
    </row>
    <row r="25" spans="1:20" x14ac:dyDescent="0.35">
      <c r="A25" s="1" t="s">
        <v>117</v>
      </c>
      <c r="B25" s="35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37" t="str">
        <f>VLOOKUP(B25,Mapping!A:F,6,0)</f>
        <v>Shweta</v>
      </c>
      <c r="H25" s="29">
        <v>1.8168087912923288</v>
      </c>
      <c r="I25" s="29">
        <v>-2.3669729007633586</v>
      </c>
      <c r="J25" s="29">
        <v>3.847800063110129</v>
      </c>
      <c r="K25" s="29">
        <v>0.87549282582088173</v>
      </c>
      <c r="L25" s="29">
        <v>0.50629445922036076</v>
      </c>
      <c r="M25" s="29">
        <v>4.582019419210722</v>
      </c>
      <c r="N25" s="29">
        <v>5.2782104765478426</v>
      </c>
      <c r="O25" s="29">
        <v>-1.7638798944444443</v>
      </c>
      <c r="P25" s="33">
        <v>1.2843379460966546</v>
      </c>
      <c r="Q25" s="27">
        <v>-0.22487679135876651</v>
      </c>
      <c r="R25" s="27">
        <v>4.9306328810344828</v>
      </c>
      <c r="S25" s="39">
        <v>2.4061237965517246</v>
      </c>
      <c r="T25" s="5">
        <f t="shared" si="0"/>
        <v>21.171991072318555</v>
      </c>
    </row>
    <row r="26" spans="1:20" x14ac:dyDescent="0.35">
      <c r="A26" s="1" t="s">
        <v>117</v>
      </c>
      <c r="B26" s="35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37" t="str">
        <f>VLOOKUP(B26,Mapping!A:F,6,0)</f>
        <v>Krishna</v>
      </c>
      <c r="H26" s="29">
        <v>-1.847052168624741</v>
      </c>
      <c r="I26" s="29">
        <v>-1.0489868320610685</v>
      </c>
      <c r="J26" s="29">
        <v>9.5600380944800776</v>
      </c>
      <c r="K26" s="29">
        <v>-0.77408715443066034</v>
      </c>
      <c r="L26" s="29">
        <v>11.087249046276684</v>
      </c>
      <c r="M26" s="29">
        <v>16.347441064780345</v>
      </c>
      <c r="N26" s="29">
        <v>0.64892309193245712</v>
      </c>
      <c r="O26" s="29">
        <v>8.694055490740741</v>
      </c>
      <c r="P26" s="33">
        <v>1.5976995074349445</v>
      </c>
      <c r="Q26" s="27">
        <v>-8.9330896851465535</v>
      </c>
      <c r="R26" s="27">
        <v>-7.8144819586206902</v>
      </c>
      <c r="S26" s="39">
        <v>18.552755462068966</v>
      </c>
      <c r="T26" s="5">
        <f t="shared" si="0"/>
        <v>46.070463958830501</v>
      </c>
    </row>
    <row r="27" spans="1:20" x14ac:dyDescent="0.35">
      <c r="A27" s="1" t="s">
        <v>117</v>
      </c>
      <c r="B27" s="35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37" t="str">
        <f>VLOOKUP(B27,Mapping!A:F,6,0)</f>
        <v>Archana</v>
      </c>
      <c r="H27" s="29">
        <v>-0.95184035936420175</v>
      </c>
      <c r="I27" s="29">
        <v>-3.9048569083969458</v>
      </c>
      <c r="J27" s="29">
        <v>2.222418595093191</v>
      </c>
      <c r="K27" s="29">
        <v>3.252350840547015</v>
      </c>
      <c r="L27" s="29">
        <v>1.5106594639834616</v>
      </c>
      <c r="M27" s="29">
        <v>2.1097182576321671</v>
      </c>
      <c r="N27" s="29">
        <v>-4.048418570356473</v>
      </c>
      <c r="O27" s="29">
        <v>-1.8041772879629623</v>
      </c>
      <c r="P27" s="33">
        <v>4.6629296793680304</v>
      </c>
      <c r="Q27" s="27">
        <v>-4.5267944288088238</v>
      </c>
      <c r="R27" s="27">
        <v>7.1446410758620695</v>
      </c>
      <c r="S27" s="39">
        <v>11.683786013793105</v>
      </c>
      <c r="T27" s="5">
        <f t="shared" si="0"/>
        <v>17.350416371389635</v>
      </c>
    </row>
    <row r="28" spans="1:20" x14ac:dyDescent="0.35">
      <c r="A28" s="1" t="s">
        <v>117</v>
      </c>
      <c r="B28" s="35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37" t="str">
        <f>VLOOKUP(B28,Mapping!A:F,6,0)</f>
        <v>Shweta</v>
      </c>
      <c r="H28" s="29">
        <v>1.7357365535590867</v>
      </c>
      <c r="I28" s="29">
        <v>6.6704548854961825</v>
      </c>
      <c r="J28" s="29">
        <v>6.8150672444464035</v>
      </c>
      <c r="K28" s="29">
        <v>7.2129328862315161</v>
      </c>
      <c r="L28" s="29">
        <v>1.0566004839117691</v>
      </c>
      <c r="M28" s="29">
        <v>5.1634744005956819</v>
      </c>
      <c r="N28" s="29">
        <v>0.79707794746716742</v>
      </c>
      <c r="O28" s="29">
        <v>9.8189472740740733</v>
      </c>
      <c r="P28" s="33">
        <v>0.53736914498141297</v>
      </c>
      <c r="Q28" s="27">
        <v>2.1833404971184103</v>
      </c>
      <c r="R28" s="27">
        <v>8.5469271448275865</v>
      </c>
      <c r="S28" s="39">
        <v>-0.28619288275862054</v>
      </c>
      <c r="T28" s="5">
        <f t="shared" si="0"/>
        <v>50.251735579950662</v>
      </c>
    </row>
    <row r="29" spans="1:20" x14ac:dyDescent="0.35">
      <c r="A29" s="1" t="s">
        <v>117</v>
      </c>
      <c r="B29" s="35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37" t="str">
        <f>VLOOKUP(B29,Mapping!A:F,6,0)</f>
        <v>Archana</v>
      </c>
      <c r="H29" s="29">
        <v>-15.234509448514169</v>
      </c>
      <c r="I29" s="29">
        <v>-11.771418212468197</v>
      </c>
      <c r="J29" s="29">
        <v>-15.319537402799245</v>
      </c>
      <c r="K29" s="29">
        <v>-8.784673390722741</v>
      </c>
      <c r="L29" s="29">
        <v>16.901182474889353</v>
      </c>
      <c r="M29" s="29">
        <v>2.4947631720029797</v>
      </c>
      <c r="N29" s="29">
        <v>6.794868292682926</v>
      </c>
      <c r="O29" s="29">
        <v>-9.4932250648148155</v>
      </c>
      <c r="P29" s="33">
        <v>2.3940674256505594</v>
      </c>
      <c r="Q29" s="27">
        <v>-36.166845661528129</v>
      </c>
      <c r="R29" s="27">
        <v>3.5226429456896566</v>
      </c>
      <c r="S29" s="39">
        <v>5.5624510810344825</v>
      </c>
      <c r="T29" s="5">
        <f t="shared" si="0"/>
        <v>-59.100233788897341</v>
      </c>
    </row>
    <row r="30" spans="1:20" x14ac:dyDescent="0.35">
      <c r="A30" s="1" t="s">
        <v>117</v>
      </c>
      <c r="B30" s="35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37" t="str">
        <f>VLOOKUP(B30,Mapping!A:F,6,0)</f>
        <v>Krishna</v>
      </c>
      <c r="H30" s="29">
        <v>-0.78018008293020047</v>
      </c>
      <c r="I30" s="29">
        <v>1.7756099999999999</v>
      </c>
      <c r="J30" s="29">
        <v>1.6806114580221923</v>
      </c>
      <c r="K30" s="29">
        <v>-0.19745723177286084</v>
      </c>
      <c r="L30" s="29">
        <v>-0.2023180810093464</v>
      </c>
      <c r="M30" s="29">
        <v>0.66</v>
      </c>
      <c r="N30" s="29">
        <v>0</v>
      </c>
      <c r="O30" s="29">
        <v>0</v>
      </c>
      <c r="P30" s="33">
        <v>-0.66</v>
      </c>
      <c r="Q30" s="27">
        <v>0</v>
      </c>
      <c r="R30" s="27">
        <v>-3.4000000000000002E-4</v>
      </c>
      <c r="S30" s="39">
        <v>-1.3380000000000001</v>
      </c>
      <c r="T30" s="5">
        <f t="shared" si="0"/>
        <v>0.93792606230978448</v>
      </c>
    </row>
    <row r="31" spans="1:20" x14ac:dyDescent="0.35">
      <c r="A31" s="1" t="s">
        <v>117</v>
      </c>
      <c r="B31" s="35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37" t="str">
        <f>VLOOKUP(B31,Mapping!A:F,6,0)</f>
        <v>Geetu</v>
      </c>
      <c r="H31" s="29">
        <v>1.0874835217691778</v>
      </c>
      <c r="I31" s="29">
        <v>8.0549195038167944</v>
      </c>
      <c r="J31" s="29">
        <v>9.5357841223488453</v>
      </c>
      <c r="K31" s="29">
        <v>6.4566472107003605</v>
      </c>
      <c r="L31" s="29">
        <v>-3.9273621924477142</v>
      </c>
      <c r="M31" s="29">
        <v>9.139834385703649</v>
      </c>
      <c r="N31" s="29">
        <v>6.7149788142589104</v>
      </c>
      <c r="O31" s="29">
        <v>10.977244407407406</v>
      </c>
      <c r="P31" s="33">
        <v>19.646407695167284</v>
      </c>
      <c r="Q31" s="27">
        <v>4.8690436806562243</v>
      </c>
      <c r="R31" s="27">
        <v>6.6183227275862082</v>
      </c>
      <c r="S31" s="39">
        <v>23.922147041379311</v>
      </c>
      <c r="T31" s="5">
        <f t="shared" si="0"/>
        <v>103.09545091834644</v>
      </c>
    </row>
    <row r="32" spans="1:20" x14ac:dyDescent="0.35">
      <c r="A32" s="1" t="s">
        <v>117</v>
      </c>
      <c r="B32" s="35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37" t="str">
        <f>VLOOKUP(B32,Mapping!A:F,6,0)</f>
        <v>Geetu</v>
      </c>
      <c r="H32" s="29">
        <v>-1.1041260359364204</v>
      </c>
      <c r="I32" s="29">
        <v>0.42080296437659037</v>
      </c>
      <c r="J32" s="29">
        <v>-1.4675594688029328</v>
      </c>
      <c r="K32" s="29">
        <v>-0.50996683813293253</v>
      </c>
      <c r="L32" s="29">
        <v>-2.040485942171788</v>
      </c>
      <c r="M32" s="29">
        <v>-1.1295566716306775</v>
      </c>
      <c r="N32" s="29">
        <v>-0.74848728330206371</v>
      </c>
      <c r="O32" s="29">
        <v>-0.80385468518518521</v>
      </c>
      <c r="P32" s="33">
        <v>0.73107626394052039</v>
      </c>
      <c r="Q32" s="27">
        <v>1.0939994526747516</v>
      </c>
      <c r="R32" s="27">
        <v>-0.85096825862068959</v>
      </c>
      <c r="S32" s="39">
        <v>-0.61510513793103438</v>
      </c>
      <c r="T32" s="5">
        <f t="shared" si="0"/>
        <v>-7.0242316407218608</v>
      </c>
    </row>
    <row r="33" spans="1:20" x14ac:dyDescent="0.35">
      <c r="A33" s="1" t="s">
        <v>117</v>
      </c>
      <c r="B33" s="35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37" t="str">
        <f>VLOOKUP(B33,Mapping!A:F,6,0)</f>
        <v>Geetu</v>
      </c>
      <c r="H33" s="29">
        <v>-1.386156215618521</v>
      </c>
      <c r="I33" s="29">
        <v>-0.36813190203562307</v>
      </c>
      <c r="J33" s="29">
        <v>0.30021158919742941</v>
      </c>
      <c r="K33" s="29">
        <v>2.0803128583733503</v>
      </c>
      <c r="L33" s="29">
        <v>2.6573233335857536</v>
      </c>
      <c r="M33" s="29">
        <v>2.5769152717795984</v>
      </c>
      <c r="N33" s="29">
        <v>1.3882649493433394</v>
      </c>
      <c r="O33" s="29">
        <v>1.4879212064814815</v>
      </c>
      <c r="P33" s="33">
        <v>2.3369460827137547</v>
      </c>
      <c r="Q33" s="27">
        <v>4.6410600000000004</v>
      </c>
      <c r="R33" s="27">
        <v>3.22</v>
      </c>
      <c r="S33" s="39">
        <v>-3.41743</v>
      </c>
      <c r="T33" s="5">
        <f t="shared" si="0"/>
        <v>15.517237173820565</v>
      </c>
    </row>
    <row r="34" spans="1:20" x14ac:dyDescent="0.35">
      <c r="A34" s="1" t="s">
        <v>117</v>
      </c>
      <c r="B34" s="35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37" t="str">
        <f>VLOOKUP(B34,Mapping!A:F,6,0)</f>
        <v>Archana</v>
      </c>
      <c r="H34" s="29">
        <v>0.12887994471319969</v>
      </c>
      <c r="I34" s="29">
        <v>-9.6286208651399571E-2</v>
      </c>
      <c r="J34" s="29">
        <v>-0.3552240117640682</v>
      </c>
      <c r="K34" s="29">
        <v>-2.4991571661490681</v>
      </c>
      <c r="L34" s="29">
        <v>-1.8466328626692459</v>
      </c>
      <c r="M34" s="29">
        <v>1.2207055472822039</v>
      </c>
      <c r="N34" s="29">
        <v>-1.0632810694183865</v>
      </c>
      <c r="O34" s="29">
        <v>1.1859853148148147</v>
      </c>
      <c r="P34" s="33">
        <v>-0.77980373605947961</v>
      </c>
      <c r="Q34" s="27">
        <v>-7.7474054732524833E-2</v>
      </c>
      <c r="R34" s="27">
        <v>-2.0316882586206897</v>
      </c>
      <c r="S34" s="39">
        <v>-0.70845513793103443</v>
      </c>
      <c r="T34" s="5">
        <f t="shared" si="0"/>
        <v>-6.9224316991856778</v>
      </c>
    </row>
    <row r="35" spans="1:20" x14ac:dyDescent="0.35">
      <c r="A35" s="1" t="s">
        <v>117</v>
      </c>
      <c r="B35" s="35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37" t="str">
        <f>VLOOKUP(B35,Mapping!A:F,6,0)</f>
        <v>Archana</v>
      </c>
      <c r="H35" s="29">
        <v>0.50294993089149997</v>
      </c>
      <c r="I35" s="29">
        <v>-0.52418407124681921</v>
      </c>
      <c r="J35" s="29">
        <v>-2.0473085705016976</v>
      </c>
      <c r="K35" s="29">
        <v>-1.5323921954484043</v>
      </c>
      <c r="L35" s="29">
        <v>0</v>
      </c>
      <c r="M35" s="29">
        <v>-1.4178900148920328</v>
      </c>
      <c r="N35" s="29">
        <v>-2.4193018499061911</v>
      </c>
      <c r="O35" s="29">
        <v>-2.457215786111111</v>
      </c>
      <c r="P35" s="33">
        <v>-0.51644187267657948</v>
      </c>
      <c r="Q35" s="27">
        <v>-0.81491299773715686</v>
      </c>
      <c r="R35" s="27">
        <v>-0.59281764396551706</v>
      </c>
      <c r="S35" s="39">
        <v>4.3555662465517244</v>
      </c>
      <c r="T35" s="5">
        <f t="shared" si="0"/>
        <v>-7.4639488250422872</v>
      </c>
    </row>
    <row r="36" spans="1:20" x14ac:dyDescent="0.35">
      <c r="A36" s="1" t="s">
        <v>117</v>
      </c>
      <c r="B36" s="35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37" t="str">
        <f>VLOOKUP(B36,Mapping!A:F,6,0)</f>
        <v>Geetu</v>
      </c>
      <c r="H36" s="29">
        <v>1.6787738258465787</v>
      </c>
      <c r="I36" s="29">
        <v>1.8449612022900761</v>
      </c>
      <c r="J36" s="29">
        <v>2.2217832323102122</v>
      </c>
      <c r="K36" s="29">
        <v>3.3382878608716373</v>
      </c>
      <c r="L36" s="29">
        <v>3.0367540926230334</v>
      </c>
      <c r="M36" s="29">
        <v>4.3314380342516756</v>
      </c>
      <c r="N36" s="29">
        <v>1.9943399924953096</v>
      </c>
      <c r="O36" s="29">
        <v>4.2092418712962969</v>
      </c>
      <c r="P36" s="33">
        <v>7.1594812592936812</v>
      </c>
      <c r="Q36" s="27">
        <v>6.0704461812749715</v>
      </c>
      <c r="R36" s="27">
        <v>4.8524449681034483</v>
      </c>
      <c r="S36" s="39">
        <v>3.2713385396551726</v>
      </c>
      <c r="T36" s="5">
        <f t="shared" si="0"/>
        <v>44.009291060312094</v>
      </c>
    </row>
    <row r="37" spans="1:20" x14ac:dyDescent="0.35">
      <c r="A37" s="1" t="s">
        <v>117</v>
      </c>
      <c r="B37" s="35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37" t="str">
        <f>VLOOKUP(B37,Mapping!A:F,6,0)</f>
        <v>Shweta</v>
      </c>
      <c r="H37" s="29">
        <v>1.0527058838977195</v>
      </c>
      <c r="I37" s="29">
        <v>3.579471170483461</v>
      </c>
      <c r="J37" s="29">
        <v>6.6898689891238146</v>
      </c>
      <c r="K37" s="29">
        <v>2.9996079023601379</v>
      </c>
      <c r="L37" s="29">
        <v>0.92600118208530124</v>
      </c>
      <c r="M37" s="29">
        <v>4.1896922040208491</v>
      </c>
      <c r="N37" s="29">
        <v>0.41061436397748585</v>
      </c>
      <c r="O37" s="29">
        <v>2.1642647555555556</v>
      </c>
      <c r="P37" s="33">
        <v>4.6305790334572494</v>
      </c>
      <c r="Q37" s="27">
        <v>-0.82169731358059606</v>
      </c>
      <c r="R37" s="27">
        <v>0.23269192068965516</v>
      </c>
      <c r="S37" s="39">
        <v>-0.35244746896551721</v>
      </c>
      <c r="T37" s="5">
        <f t="shared" si="0"/>
        <v>25.701352623105112</v>
      </c>
    </row>
    <row r="38" spans="1:20" x14ac:dyDescent="0.35">
      <c r="A38" s="1" t="s">
        <v>117</v>
      </c>
      <c r="B38" s="35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37" t="str">
        <f>VLOOKUP(B38,Mapping!A:F,6,0)</f>
        <v>Ankit</v>
      </c>
      <c r="H38" s="29">
        <v>21.052499336558395</v>
      </c>
      <c r="I38" s="29">
        <v>16.129175496183205</v>
      </c>
      <c r="J38" s="29">
        <v>21.065810245075134</v>
      </c>
      <c r="K38" s="29">
        <v>8.1973409124604899</v>
      </c>
      <c r="L38" s="29">
        <v>6.5472748234299827</v>
      </c>
      <c r="M38" s="29">
        <v>6.4972976991809395</v>
      </c>
      <c r="N38" s="29">
        <v>5.1206696810506571</v>
      </c>
      <c r="O38" s="29">
        <v>8.4848169259259247</v>
      </c>
      <c r="P38" s="33">
        <v>3.8624378066914495</v>
      </c>
      <c r="Q38" s="27">
        <v>11.172606316868789</v>
      </c>
      <c r="R38" s="27">
        <v>9.6964435344827589</v>
      </c>
      <c r="S38" s="39">
        <v>29.155811551724142</v>
      </c>
      <c r="T38" s="5">
        <f t="shared" si="0"/>
        <v>146.98218432963188</v>
      </c>
    </row>
    <row r="39" spans="1:20" x14ac:dyDescent="0.35">
      <c r="A39" s="1" t="s">
        <v>117</v>
      </c>
      <c r="B39" s="35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37" t="str">
        <f>VLOOKUP(B39,Mapping!A:F,6,0)</f>
        <v>Krishna</v>
      </c>
      <c r="H39" s="29">
        <v>-7.2679263400138217</v>
      </c>
      <c r="I39" s="29">
        <v>9.5570688167938922</v>
      </c>
      <c r="J39" s="29">
        <v>26.038142421201044</v>
      </c>
      <c r="K39" s="29">
        <v>8.7255614042696354</v>
      </c>
      <c r="L39" s="29">
        <v>11.225049445969464</v>
      </c>
      <c r="M39" s="29">
        <v>8.7314582650781833</v>
      </c>
      <c r="N39" s="29">
        <v>-0.46916157598499092</v>
      </c>
      <c r="O39" s="29">
        <v>-6.6200173055555558</v>
      </c>
      <c r="P39" s="33">
        <v>-0.47834664498141211</v>
      </c>
      <c r="Q39" s="27">
        <v>-1.2072484835413491</v>
      </c>
      <c r="R39" s="27">
        <v>-9.6558443146551731</v>
      </c>
      <c r="S39" s="39">
        <v>7.7340992155172419</v>
      </c>
      <c r="T39" s="5">
        <f t="shared" si="0"/>
        <v>46.312834904097151</v>
      </c>
    </row>
    <row r="40" spans="1:20" x14ac:dyDescent="0.35">
      <c r="A40" s="1" t="s">
        <v>117</v>
      </c>
      <c r="B40" s="35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37" t="str">
        <f>VLOOKUP(B40,Mapping!A:F,6,0)</f>
        <v>Archana</v>
      </c>
      <c r="H40" s="29">
        <v>-3.8336401935038009</v>
      </c>
      <c r="I40" s="29">
        <v>-3.2974125572519086</v>
      </c>
      <c r="J40" s="29">
        <v>-0.21763400719858356</v>
      </c>
      <c r="K40" s="29">
        <v>-1.7164412068194503</v>
      </c>
      <c r="L40" s="29">
        <v>2.074633233498163</v>
      </c>
      <c r="M40" s="29">
        <v>-0.24691140729709588</v>
      </c>
      <c r="N40" s="29">
        <v>-2.147378938086304</v>
      </c>
      <c r="O40" s="29">
        <v>0.88461832222222248</v>
      </c>
      <c r="P40" s="33">
        <v>0.18795830855018583</v>
      </c>
      <c r="Q40" s="27">
        <v>1.4709126738676948</v>
      </c>
      <c r="R40" s="27">
        <v>2.3375232267241377</v>
      </c>
      <c r="S40" s="39">
        <v>-0.73753632241379319</v>
      </c>
      <c r="T40" s="5">
        <f t="shared" si="0"/>
        <v>-5.2413088677085335</v>
      </c>
    </row>
    <row r="41" spans="1:20" x14ac:dyDescent="0.35">
      <c r="A41" s="1" t="s">
        <v>117</v>
      </c>
      <c r="B41" s="35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37" t="str">
        <f>VLOOKUP(B41,Mapping!A:F,6,0)</f>
        <v>Krishna</v>
      </c>
      <c r="H41" s="29">
        <v>1.245847859018659</v>
      </c>
      <c r="I41" s="29">
        <v>3.8032862722646312</v>
      </c>
      <c r="J41" s="29">
        <v>10.647250044825748</v>
      </c>
      <c r="K41" s="29">
        <v>-0.79094701540316736</v>
      </c>
      <c r="L41" s="29">
        <v>-5.0107229717844861</v>
      </c>
      <c r="M41" s="29">
        <v>0</v>
      </c>
      <c r="N41" s="29">
        <v>0</v>
      </c>
      <c r="O41" s="29">
        <v>-0.31491999999999998</v>
      </c>
      <c r="P41" s="33">
        <v>-0.54537999999999998</v>
      </c>
      <c r="Q41" s="27">
        <v>-0.5980305473252483</v>
      </c>
      <c r="R41" s="27">
        <v>-0.58345825862068967</v>
      </c>
      <c r="S41" s="39">
        <v>1.9417748620689654</v>
      </c>
      <c r="T41" s="5">
        <f t="shared" si="0"/>
        <v>9.7947002450444121</v>
      </c>
    </row>
    <row r="42" spans="1:20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37" t="str">
        <f>VLOOKUP(B42,Mapping!A:F,6,0)</f>
        <v>Elton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33">
        <v>0</v>
      </c>
      <c r="Q42" s="27">
        <v>0</v>
      </c>
      <c r="R42" s="27">
        <v>0</v>
      </c>
      <c r="S42" s="39">
        <v>0</v>
      </c>
      <c r="T42" s="5">
        <f t="shared" si="0"/>
        <v>0</v>
      </c>
    </row>
    <row r="43" spans="1:20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37" t="str">
        <f>VLOOKUP(B43,Mapping!A:F,6,0)</f>
        <v>Shweta</v>
      </c>
      <c r="H43" s="29">
        <v>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33">
        <v>0</v>
      </c>
      <c r="Q43" s="27">
        <v>0</v>
      </c>
      <c r="R43" s="27">
        <v>0</v>
      </c>
      <c r="S43" s="39">
        <v>0</v>
      </c>
      <c r="T43" s="5">
        <f t="shared" si="0"/>
        <v>0</v>
      </c>
    </row>
    <row r="44" spans="1:20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37" t="str">
        <f>VLOOKUP(B44,Mapping!A:F,6,0)</f>
        <v>Elton</v>
      </c>
      <c r="H44" s="29">
        <v>0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33">
        <v>0</v>
      </c>
      <c r="Q44" s="27">
        <v>0</v>
      </c>
      <c r="R44" s="27">
        <v>0</v>
      </c>
      <c r="S44" s="39">
        <v>0</v>
      </c>
      <c r="T44" s="5">
        <f t="shared" si="0"/>
        <v>0</v>
      </c>
    </row>
    <row r="45" spans="1:20" x14ac:dyDescent="0.35">
      <c r="A45" s="1" t="s">
        <v>117</v>
      </c>
      <c r="B45" s="35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37" t="str">
        <f>VLOOKUP(B45,Mapping!A:F,6,0)</f>
        <v>Subu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34">
        <v>-1.5990000000000001E-2</v>
      </c>
      <c r="Q45" s="27">
        <v>0</v>
      </c>
      <c r="R45" s="27">
        <v>0</v>
      </c>
      <c r="S45" s="39">
        <v>-4.1695700000000002</v>
      </c>
      <c r="T45" s="5">
        <f t="shared" si="0"/>
        <v>-4.1855600000000006</v>
      </c>
    </row>
    <row r="46" spans="1:20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37" t="str">
        <f>VLOOKUP(B46,Mapping!A:F,6,0)</f>
        <v>Elton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33">
        <v>0</v>
      </c>
      <c r="Q46" s="27">
        <v>0</v>
      </c>
      <c r="R46" s="27">
        <v>0</v>
      </c>
      <c r="S46" s="39">
        <v>-1.1625000000000001</v>
      </c>
      <c r="T46" s="5">
        <f t="shared" si="0"/>
        <v>-1.1625000000000001</v>
      </c>
    </row>
    <row r="47" spans="1:20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37" t="str">
        <f>VLOOKUP(B47,Mapping!A:F,6,0)</f>
        <v>Sulabh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33">
        <v>0</v>
      </c>
      <c r="Q47" s="27">
        <v>0</v>
      </c>
      <c r="R47" s="27">
        <v>0</v>
      </c>
      <c r="S47" s="39">
        <v>0</v>
      </c>
      <c r="T47" s="5">
        <f t="shared" si="0"/>
        <v>0</v>
      </c>
    </row>
    <row r="48" spans="1:20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37" t="str">
        <f>VLOOKUP(B48,Mapping!A:F,6,0)</f>
        <v>Sulabh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33">
        <v>0</v>
      </c>
      <c r="Q48" s="27">
        <v>0</v>
      </c>
      <c r="R48" s="27">
        <v>0</v>
      </c>
      <c r="S48" s="39">
        <v>0</v>
      </c>
      <c r="T48" s="5">
        <f t="shared" si="0"/>
        <v>0</v>
      </c>
    </row>
    <row r="49" spans="1:20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37" t="str">
        <f>VLOOKUP(B49,Mapping!A:F,6,0)</f>
        <v>Abhilash</v>
      </c>
      <c r="H49" s="29">
        <v>0</v>
      </c>
      <c r="I49" s="29">
        <v>0</v>
      </c>
      <c r="J49" s="29">
        <v>0</v>
      </c>
      <c r="K49" s="29">
        <v>0</v>
      </c>
      <c r="L49" s="29">
        <v>-2.7220000000000001E-2</v>
      </c>
      <c r="M49" s="29">
        <v>0</v>
      </c>
      <c r="N49" s="29">
        <v>0</v>
      </c>
      <c r="O49" s="29">
        <v>0</v>
      </c>
      <c r="P49" s="33">
        <v>0</v>
      </c>
      <c r="Q49" s="27">
        <v>0</v>
      </c>
      <c r="R49" s="27">
        <v>0</v>
      </c>
      <c r="S49" s="39">
        <v>0</v>
      </c>
      <c r="T49" s="5">
        <f t="shared" si="0"/>
        <v>-2.7220000000000001E-2</v>
      </c>
    </row>
    <row r="50" spans="1:20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37" t="str">
        <f>VLOOKUP(B50,Mapping!A:F,6,0)</f>
        <v>Elton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33">
        <v>0</v>
      </c>
      <c r="Q50" s="27">
        <v>0</v>
      </c>
      <c r="R50" s="27">
        <v>0</v>
      </c>
      <c r="S50" s="39">
        <v>0</v>
      </c>
      <c r="T50" s="5">
        <f t="shared" si="0"/>
        <v>0</v>
      </c>
    </row>
    <row r="51" spans="1:20" x14ac:dyDescent="0.35">
      <c r="A51" s="1" t="s">
        <v>117</v>
      </c>
      <c r="B51" s="35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37" t="str">
        <f>VLOOKUP(B51,Mapping!A:F,6,0)</f>
        <v>Parul</v>
      </c>
      <c r="H51" s="29">
        <v>-1.9300400414651004</v>
      </c>
      <c r="I51" s="29">
        <v>-1.2762227608142491</v>
      </c>
      <c r="J51" s="29">
        <v>-1.805468964894632</v>
      </c>
      <c r="K51" s="29">
        <v>-4.9447916643454848</v>
      </c>
      <c r="L51" s="29">
        <v>-5.595793642451266</v>
      </c>
      <c r="M51" s="29">
        <v>-1.4514405658972449</v>
      </c>
      <c r="N51" s="29">
        <v>-5.3624476735459661</v>
      </c>
      <c r="O51" s="29">
        <v>-5.9781570277777769</v>
      </c>
      <c r="P51" s="33">
        <v>-4.0364606040892195</v>
      </c>
      <c r="Q51" s="27">
        <v>-4.2921613683131206</v>
      </c>
      <c r="R51" s="27">
        <v>-1.7090065172413791</v>
      </c>
      <c r="S51" s="39">
        <v>-0.12101027586206892</v>
      </c>
      <c r="T51" s="5">
        <f t="shared" si="0"/>
        <v>-38.503001106697504</v>
      </c>
    </row>
    <row r="52" spans="1:20" x14ac:dyDescent="0.35">
      <c r="A52" s="1" t="s">
        <v>117</v>
      </c>
      <c r="B52" s="35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37" t="str">
        <f>VLOOKUP(B52,Mapping!A:F,6,0)</f>
        <v>Parul</v>
      </c>
      <c r="H52" s="29">
        <v>4.2</v>
      </c>
      <c r="I52" s="29">
        <v>0.7</v>
      </c>
      <c r="J52" s="29">
        <v>0</v>
      </c>
      <c r="K52" s="29">
        <v>-0.64384679153726709</v>
      </c>
      <c r="L52" s="29">
        <v>4.0006194398559529</v>
      </c>
      <c r="M52" s="29">
        <v>3.7719338868205505</v>
      </c>
      <c r="N52" s="29">
        <v>0</v>
      </c>
      <c r="O52" s="29">
        <v>0</v>
      </c>
      <c r="P52" s="33">
        <v>-0.09</v>
      </c>
      <c r="Q52" s="27">
        <v>0</v>
      </c>
      <c r="R52" s="27">
        <v>-0.35</v>
      </c>
      <c r="S52" s="39">
        <v>-0.14000000000000001</v>
      </c>
      <c r="T52" s="5">
        <f t="shared" si="0"/>
        <v>11.448706535139237</v>
      </c>
    </row>
    <row r="53" spans="1:20" x14ac:dyDescent="0.35">
      <c r="A53" s="1" t="s">
        <v>117</v>
      </c>
      <c r="B53" s="35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37" t="str">
        <f>VLOOKUP(B53,Mapping!A:F,6,0)</f>
        <v>Parul</v>
      </c>
      <c r="H53" s="29">
        <v>-0.66570001382170008</v>
      </c>
      <c r="I53" s="29">
        <v>0.46883344783715009</v>
      </c>
      <c r="J53" s="29">
        <v>-0.43627125622227841</v>
      </c>
      <c r="K53" s="29">
        <v>8.1215239386282914</v>
      </c>
      <c r="L53" s="29">
        <v>15.924805095914722</v>
      </c>
      <c r="M53" s="29">
        <v>0.87193388682055117</v>
      </c>
      <c r="N53" s="29">
        <v>-0.48815625290806752</v>
      </c>
      <c r="O53" s="29">
        <v>-1.757086346111111</v>
      </c>
      <c r="P53" s="33">
        <v>-5.1912132899628247E-2</v>
      </c>
      <c r="Q53" s="27">
        <v>1.6254196193826682</v>
      </c>
      <c r="R53" s="27">
        <v>1.4307183482758619</v>
      </c>
      <c r="S53" s="39">
        <v>7.4279589724137924</v>
      </c>
      <c r="T53" s="5">
        <f t="shared" si="0"/>
        <v>32.472067307310255</v>
      </c>
    </row>
    <row r="54" spans="1:20" x14ac:dyDescent="0.35">
      <c r="A54" s="1" t="s">
        <v>117</v>
      </c>
      <c r="B54" s="35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37" t="str">
        <f>VLOOKUP(B54,Mapping!A:F,6,0)</f>
        <v>Parul</v>
      </c>
      <c r="H54" s="29">
        <v>-6.6812001243953008</v>
      </c>
      <c r="I54" s="29">
        <v>20.527297754452928</v>
      </c>
      <c r="J54" s="29">
        <v>0.41989721562976001</v>
      </c>
      <c r="K54" s="29">
        <v>-0.81201003406920613</v>
      </c>
      <c r="L54" s="29">
        <v>15.3203597928426</v>
      </c>
      <c r="M54" s="29">
        <v>24.517392755026059</v>
      </c>
      <c r="N54" s="29">
        <v>-9.2783919512195112</v>
      </c>
      <c r="O54" s="29">
        <v>-9.1736091944444436</v>
      </c>
      <c r="P54" s="33">
        <v>12.535075771375466</v>
      </c>
      <c r="Q54" s="27">
        <v>-4.5802668415656047</v>
      </c>
      <c r="R54" s="27">
        <v>27.695291741379314</v>
      </c>
      <c r="S54" s="39">
        <v>-1.0889551379310336</v>
      </c>
      <c r="T54" s="5">
        <f t="shared" si="0"/>
        <v>69.40088174708103</v>
      </c>
    </row>
    <row r="55" spans="1:20" x14ac:dyDescent="0.35">
      <c r="A55" s="1" t="s">
        <v>117</v>
      </c>
      <c r="B55" s="35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37" t="str">
        <f>VLOOKUP(B55,Mapping!A:F,6,0)</f>
        <v>Parul</v>
      </c>
      <c r="H55" s="29">
        <v>1.3634899447131998</v>
      </c>
      <c r="I55" s="29">
        <v>2.2410437913486003</v>
      </c>
      <c r="J55" s="29">
        <v>7.9920857380278862</v>
      </c>
      <c r="K55" s="29">
        <v>-0.75366855044649783</v>
      </c>
      <c r="L55" s="29">
        <v>8.3805454794819347</v>
      </c>
      <c r="M55" s="29">
        <v>9.3996255472822039</v>
      </c>
      <c r="N55" s="29">
        <v>-2.0610321388367727</v>
      </c>
      <c r="O55" s="29">
        <v>3.4379006296296297</v>
      </c>
      <c r="P55" s="33">
        <v>-1.3251774721189591</v>
      </c>
      <c r="Q55" s="27">
        <v>-0.94308109465049683</v>
      </c>
      <c r="R55" s="27">
        <v>0</v>
      </c>
      <c r="S55" s="39">
        <v>-8.57</v>
      </c>
      <c r="T55" s="5">
        <f t="shared" si="0"/>
        <v>19.161731874430725</v>
      </c>
    </row>
    <row r="56" spans="1:20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37" t="str">
        <f>VLOOKUP(B56,Mapping!A:F,6,0)</f>
        <v>Parul</v>
      </c>
      <c r="H56" s="29">
        <v>0</v>
      </c>
      <c r="I56" s="29">
        <v>0.93600000000000005</v>
      </c>
      <c r="J56" s="29">
        <v>0</v>
      </c>
      <c r="K56" s="29">
        <v>0</v>
      </c>
      <c r="L56" s="29">
        <v>0</v>
      </c>
      <c r="M56" s="29">
        <v>2.5</v>
      </c>
      <c r="N56" s="29">
        <v>0</v>
      </c>
      <c r="O56" s="29">
        <v>0</v>
      </c>
      <c r="P56" s="33">
        <v>0</v>
      </c>
      <c r="Q56" s="27">
        <v>0</v>
      </c>
      <c r="R56" s="27">
        <v>-1</v>
      </c>
      <c r="S56" s="39">
        <v>-0.98709999999999998</v>
      </c>
      <c r="T56" s="5">
        <f t="shared" si="0"/>
        <v>1.4489000000000001</v>
      </c>
    </row>
    <row r="57" spans="1:20" x14ac:dyDescent="0.35">
      <c r="A57" s="1" t="s">
        <v>117</v>
      </c>
      <c r="B57" s="35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37" t="str">
        <f>VLOOKUP(B57,Mapping!A:F,6,0)</f>
        <v>Parul</v>
      </c>
      <c r="H57" s="29">
        <v>20.492219986178299</v>
      </c>
      <c r="I57" s="29">
        <v>1.31883344783715</v>
      </c>
      <c r="J57" s="29">
        <v>-14.025783000966713</v>
      </c>
      <c r="K57" s="29">
        <v>0</v>
      </c>
      <c r="L57" s="29">
        <v>4.9684106900244878</v>
      </c>
      <c r="M57" s="29">
        <v>0</v>
      </c>
      <c r="N57" s="29">
        <v>-0.50296856360225151</v>
      </c>
      <c r="O57" s="29">
        <v>-0.50294199296296294</v>
      </c>
      <c r="P57" s="33">
        <v>1.354370529739777</v>
      </c>
      <c r="Q57" s="27">
        <v>-0.45013978609058447</v>
      </c>
      <c r="R57" s="27">
        <v>-1.889281651724138</v>
      </c>
      <c r="S57" s="39">
        <v>1.0507989724137932</v>
      </c>
      <c r="T57" s="5">
        <f t="shared" si="0"/>
        <v>11.813518630846854</v>
      </c>
    </row>
    <row r="58" spans="1:20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37" t="str">
        <f>VLOOKUP(B58,Mapping!A:F,6,0)</f>
        <v>Parul</v>
      </c>
      <c r="H58" s="29">
        <v>-0.36811001382170006</v>
      </c>
      <c r="I58" s="29">
        <v>-0.33371655216284984</v>
      </c>
      <c r="J58" s="29">
        <v>0.65155608586108515</v>
      </c>
      <c r="K58" s="29">
        <v>0</v>
      </c>
      <c r="L58" s="29">
        <v>0</v>
      </c>
      <c r="M58" s="29">
        <v>-1</v>
      </c>
      <c r="N58" s="29">
        <v>0</v>
      </c>
      <c r="O58" s="29">
        <v>0</v>
      </c>
      <c r="P58" s="33">
        <v>0</v>
      </c>
      <c r="Q58" s="27">
        <v>0</v>
      </c>
      <c r="R58" s="27">
        <v>0</v>
      </c>
      <c r="S58" s="39">
        <v>0</v>
      </c>
      <c r="T58" s="5">
        <f t="shared" si="0"/>
        <v>-1.0502704801234648</v>
      </c>
    </row>
    <row r="59" spans="1:20" x14ac:dyDescent="0.35">
      <c r="A59" s="1" t="s">
        <v>117</v>
      </c>
      <c r="B59" s="35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37" t="str">
        <f>VLOOKUP(B59,Mapping!A:F,6,0)</f>
        <v>Parul</v>
      </c>
      <c r="H59" s="29">
        <v>0</v>
      </c>
      <c r="I59" s="29">
        <v>0</v>
      </c>
      <c r="J59" s="29">
        <v>0</v>
      </c>
      <c r="K59" s="29">
        <v>-0.30536000000000002</v>
      </c>
      <c r="L59" s="29">
        <v>-0.29011999999999999</v>
      </c>
      <c r="M59" s="29">
        <v>-0.37272611317944904</v>
      </c>
      <c r="N59" s="29">
        <v>5.7843582123827391</v>
      </c>
      <c r="O59" s="29">
        <v>1.0941113112962964</v>
      </c>
      <c r="P59" s="33">
        <v>-0.81255900092936806</v>
      </c>
      <c r="Q59" s="27">
        <v>-0.79502065427995605</v>
      </c>
      <c r="R59" s="27">
        <v>-1.7000000000000001E-4</v>
      </c>
      <c r="S59" s="39">
        <v>0</v>
      </c>
      <c r="T59" s="5">
        <f t="shared" si="0"/>
        <v>4.3025137552902626</v>
      </c>
    </row>
    <row r="60" spans="1:20" x14ac:dyDescent="0.35">
      <c r="A60" s="1" t="s">
        <v>117</v>
      </c>
      <c r="B60" s="35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37" t="str">
        <f>VLOOKUP(B60,Mapping!A:F,6,0)</f>
        <v>Parul</v>
      </c>
      <c r="H60" s="29">
        <v>-0.36811001382170006</v>
      </c>
      <c r="I60" s="29">
        <v>-0.33371655216284984</v>
      </c>
      <c r="J60" s="29">
        <v>-0.3362030917431193</v>
      </c>
      <c r="K60" s="29">
        <v>-0.37464679153726704</v>
      </c>
      <c r="L60" s="29">
        <v>-0.36582071566731145</v>
      </c>
      <c r="M60" s="29">
        <v>4.0972738868205507</v>
      </c>
      <c r="N60" s="29">
        <v>-0.37748553470919322</v>
      </c>
      <c r="O60" s="29">
        <v>2.6222476574074074</v>
      </c>
      <c r="P60" s="33">
        <v>-0.36064686802973978</v>
      </c>
      <c r="Q60" s="27">
        <v>-0.35811027366262416</v>
      </c>
      <c r="R60" s="27">
        <v>-0.26945165172413793</v>
      </c>
      <c r="S60" s="39">
        <v>-1.2101027586206892E-2</v>
      </c>
      <c r="T60" s="5">
        <f t="shared" si="0"/>
        <v>3.563229023583808</v>
      </c>
    </row>
    <row r="61" spans="1:20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37" t="str">
        <f>VLOOKUP(B61,Mapping!A:F,6,0)</f>
        <v>Parul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33">
        <v>0</v>
      </c>
      <c r="Q61" s="27">
        <v>0</v>
      </c>
      <c r="R61" s="27">
        <v>0</v>
      </c>
      <c r="S61" s="39">
        <v>0</v>
      </c>
      <c r="T61" s="5">
        <f t="shared" si="0"/>
        <v>0</v>
      </c>
    </row>
    <row r="62" spans="1:20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37" t="str">
        <f>VLOOKUP(B62,Mapping!A:F,6,0)</f>
        <v>Parul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33">
        <v>0</v>
      </c>
      <c r="Q62" s="27">
        <v>0</v>
      </c>
      <c r="R62" s="27">
        <v>0</v>
      </c>
      <c r="S62" s="39">
        <v>0</v>
      </c>
      <c r="T62" s="5">
        <f t="shared" si="0"/>
        <v>0</v>
      </c>
    </row>
    <row r="63" spans="1:20" x14ac:dyDescent="0.35">
      <c r="A63" s="1" t="s">
        <v>117</v>
      </c>
      <c r="B63" s="35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37" t="str">
        <f>VLOOKUP(B63,Mapping!A:F,6,0)</f>
        <v>Parul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33">
        <v>0</v>
      </c>
      <c r="Q63" s="27">
        <v>0</v>
      </c>
      <c r="R63" s="27">
        <v>0</v>
      </c>
      <c r="S63" s="39">
        <v>0</v>
      </c>
      <c r="T63" s="5">
        <f t="shared" si="0"/>
        <v>0</v>
      </c>
    </row>
    <row r="64" spans="1:20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37" t="str">
        <f>VLOOKUP(B64,Mapping!A:F,6,0)</f>
        <v>Parul</v>
      </c>
      <c r="H64" s="29">
        <v>0</v>
      </c>
      <c r="I64" s="29">
        <v>0.7</v>
      </c>
      <c r="J64" s="29">
        <v>0</v>
      </c>
      <c r="K64" s="29">
        <v>0</v>
      </c>
      <c r="L64" s="29">
        <v>0</v>
      </c>
      <c r="M64" s="29">
        <v>-0.7</v>
      </c>
      <c r="N64" s="29">
        <v>0</v>
      </c>
      <c r="O64" s="29">
        <v>0.4</v>
      </c>
      <c r="P64" s="33">
        <v>0</v>
      </c>
      <c r="Q64" s="27">
        <v>-0.4</v>
      </c>
      <c r="R64" s="27">
        <v>-0.26928165172413793</v>
      </c>
      <c r="S64" s="39">
        <v>-0.24920102758620691</v>
      </c>
      <c r="T64" s="5">
        <f t="shared" si="0"/>
        <v>-0.51848267931034486</v>
      </c>
    </row>
    <row r="65" spans="1:20" x14ac:dyDescent="0.35">
      <c r="A65" s="1" t="s">
        <v>117</v>
      </c>
      <c r="B65" s="35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37" t="str">
        <f>VLOOKUP(B65,Mapping!A:F,6,0)</f>
        <v>Ashish</v>
      </c>
      <c r="H65" s="29">
        <v>44.672449419488601</v>
      </c>
      <c r="I65" s="29">
        <v>37.896331704834608</v>
      </c>
      <c r="J65" s="29">
        <v>47.697211229756931</v>
      </c>
      <c r="K65" s="29">
        <v>46.408538784328577</v>
      </c>
      <c r="L65" s="29">
        <v>43.439853349428596</v>
      </c>
      <c r="M65" s="29">
        <v>38.821531012658227</v>
      </c>
      <c r="N65" s="29">
        <v>39.723481617260781</v>
      </c>
      <c r="O65" s="29">
        <v>37.589338097222225</v>
      </c>
      <c r="P65" s="33">
        <v>71.816261240706325</v>
      </c>
      <c r="Q65" s="27">
        <v>49.83044686419403</v>
      </c>
      <c r="R65" s="27">
        <v>61.346500051724135</v>
      </c>
      <c r="S65" s="39">
        <v>95.152401827586218</v>
      </c>
      <c r="T65" s="5">
        <f t="shared" si="0"/>
        <v>614.39434519918927</v>
      </c>
    </row>
    <row r="66" spans="1:20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37" t="str">
        <f>VLOOKUP(B66,Mapping!A:F,6,0)</f>
        <v>Nizar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33">
        <v>0</v>
      </c>
      <c r="Q66" s="27">
        <v>0</v>
      </c>
      <c r="R66" s="27">
        <v>0</v>
      </c>
      <c r="S66" s="39">
        <v>0</v>
      </c>
      <c r="T66" s="5">
        <f t="shared" si="0"/>
        <v>0</v>
      </c>
    </row>
    <row r="67" spans="1:20" x14ac:dyDescent="0.35">
      <c r="A67" s="1" t="s">
        <v>117</v>
      </c>
      <c r="B67" s="35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37" t="str">
        <f>VLOOKUP(B67,Mapping!A:F,6,0)</f>
        <v>Archana</v>
      </c>
      <c r="H67" s="29">
        <v>-3.3016601105736005</v>
      </c>
      <c r="I67" s="29">
        <v>-3.1302137277353688</v>
      </c>
      <c r="J67" s="29">
        <v>-0.16196640563161818</v>
      </c>
      <c r="K67" s="29">
        <v>-0.25925724261980299</v>
      </c>
      <c r="L67" s="29">
        <v>-1.7115614565626183</v>
      </c>
      <c r="M67" s="29">
        <v>1.0603449739389423</v>
      </c>
      <c r="N67" s="29">
        <v>3.9459913508442779</v>
      </c>
      <c r="O67" s="29">
        <v>4.1033271685185193</v>
      </c>
      <c r="P67" s="33">
        <v>5.7646311988847589</v>
      </c>
      <c r="Q67" s="27">
        <v>2.6907002234557864</v>
      </c>
      <c r="R67" s="27">
        <v>4.2614921000000008</v>
      </c>
      <c r="S67" s="39">
        <v>10.5431902</v>
      </c>
      <c r="T67" s="5">
        <f t="shared" ref="T67:T87" si="1">SUM(H67:S67)</f>
        <v>23.805018272519277</v>
      </c>
    </row>
    <row r="68" spans="1:20" x14ac:dyDescent="0.35">
      <c r="A68" s="1" t="s">
        <v>117</v>
      </c>
      <c r="B68" s="35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37" t="str">
        <f>VLOOKUP(B68,Mapping!A:F,6,0)</f>
        <v>Archana</v>
      </c>
      <c r="H68" s="29">
        <v>0</v>
      </c>
      <c r="I68" s="29">
        <v>-4.0000000000000001E-3</v>
      </c>
      <c r="J68" s="29">
        <v>0</v>
      </c>
      <c r="K68" s="29">
        <v>0</v>
      </c>
      <c r="L68" s="29">
        <v>0</v>
      </c>
      <c r="M68" s="29">
        <v>-1.121844452717796</v>
      </c>
      <c r="N68" s="29">
        <v>-0.98712078048780483</v>
      </c>
      <c r="O68" s="29">
        <v>-2.5103475870370371</v>
      </c>
      <c r="P68" s="33">
        <v>-1.2563378345724907</v>
      </c>
      <c r="Q68" s="27">
        <v>0.11118052222182942</v>
      </c>
      <c r="R68" s="27">
        <v>-3.7829731034482901E-2</v>
      </c>
      <c r="S68" s="39">
        <v>1.4231215034482758</v>
      </c>
      <c r="T68" s="5">
        <f t="shared" si="1"/>
        <v>-4.3831783601795058</v>
      </c>
    </row>
    <row r="69" spans="1:20" x14ac:dyDescent="0.35">
      <c r="A69" s="1" t="s">
        <v>117</v>
      </c>
      <c r="B69" s="1" t="s">
        <v>133</v>
      </c>
      <c r="C69" s="1" t="str">
        <f>VLOOKUP(B69,Mapping!A:B,2,0)</f>
        <v>Lateral</v>
      </c>
      <c r="D69" s="1" t="str">
        <f>VLOOKUP(B69,Mapping!A:C,3,0)</f>
        <v>West</v>
      </c>
      <c r="E69" s="1" t="str">
        <f>VLOOKUP(B69,Mapping!A:D,4,0)</f>
        <v>West 1</v>
      </c>
      <c r="F69" s="1" t="str">
        <f>VLOOKUP(B69,Mapping!A:E,5,0)</f>
        <v>Anjli</v>
      </c>
      <c r="G69" s="37" t="str">
        <f>VLOOKUP(B69,Mapping!A:F,6,0)</f>
        <v>Anjli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33">
        <v>-0.25131999999999999</v>
      </c>
      <c r="Q69" s="27">
        <v>-6.8994543786019875</v>
      </c>
      <c r="R69" s="27">
        <v>-11.908450831896554</v>
      </c>
      <c r="S69" s="39">
        <v>-8.4658910603448287</v>
      </c>
      <c r="T69" s="5">
        <f t="shared" si="1"/>
        <v>-27.52511627084337</v>
      </c>
    </row>
    <row r="70" spans="1:20" x14ac:dyDescent="0.35">
      <c r="A70" s="1" t="s">
        <v>117</v>
      </c>
      <c r="B70" s="35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37" t="str">
        <f>VLOOKUP(B70,Mapping!A:F,6,0)</f>
        <v>Geetu</v>
      </c>
      <c r="H70" s="29">
        <v>0</v>
      </c>
      <c r="I70" s="29">
        <v>7.8849564122137403</v>
      </c>
      <c r="J70" s="29">
        <v>6.8330087062910883</v>
      </c>
      <c r="K70" s="29">
        <v>-3.3742513344615013</v>
      </c>
      <c r="L70" s="29">
        <v>1.9671756398666438</v>
      </c>
      <c r="M70" s="29">
        <v>2.3006235740878638</v>
      </c>
      <c r="N70" s="29">
        <v>0.78831085928705458</v>
      </c>
      <c r="O70" s="29">
        <v>2.7791854379629628</v>
      </c>
      <c r="P70" s="33">
        <v>5.4075705343866174</v>
      </c>
      <c r="Q70" s="27">
        <v>5.4926545392992256</v>
      </c>
      <c r="R70" s="27">
        <v>1.3205801922413793</v>
      </c>
      <c r="S70" s="39">
        <v>13.20498312586207</v>
      </c>
      <c r="T70" s="5">
        <f t="shared" si="1"/>
        <v>44.604797687037149</v>
      </c>
    </row>
    <row r="71" spans="1:20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37" t="str">
        <f>VLOOKUP(B71,Mapping!A:F,6,0)</f>
        <v>Archana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-0.83566937037037026</v>
      </c>
      <c r="P71" s="33">
        <v>-3.0849074721189589</v>
      </c>
      <c r="Q71" s="27">
        <v>-0.91696328395149029</v>
      </c>
      <c r="R71" s="27">
        <v>-6.0843078103448276</v>
      </c>
      <c r="S71" s="39">
        <v>-10.56009596551724</v>
      </c>
      <c r="T71" s="5">
        <f t="shared" si="1"/>
        <v>-21.481943902302888</v>
      </c>
    </row>
    <row r="72" spans="1:20" x14ac:dyDescent="0.35">
      <c r="A72" s="1" t="s">
        <v>117</v>
      </c>
      <c r="B72" s="35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37" t="str">
        <f>VLOOKUP(B72,Mapping!A:F,6,0)</f>
        <v>Lekhana</v>
      </c>
      <c r="H72" s="29">
        <v>-7.035990221147201</v>
      </c>
      <c r="I72" s="29">
        <v>-5.7522817302798979</v>
      </c>
      <c r="J72" s="29">
        <v>-4.5489935048723176</v>
      </c>
      <c r="K72" s="29">
        <v>-4.2587055049042899</v>
      </c>
      <c r="L72" s="29">
        <v>-5.1438543119979423</v>
      </c>
      <c r="M72" s="29">
        <v>8.8668466418466103</v>
      </c>
      <c r="N72" s="29">
        <v>-4.211805347091933</v>
      </c>
      <c r="O72" s="29">
        <v>-1.3499834259259256</v>
      </c>
      <c r="P72" s="33">
        <v>-1.5090386802973972</v>
      </c>
      <c r="Q72" s="27">
        <v>-2.2665432839514903</v>
      </c>
      <c r="R72" s="27">
        <v>-3.0130112931034487</v>
      </c>
      <c r="S72" s="39">
        <v>-6.1856456896551721</v>
      </c>
      <c r="T72" s="5">
        <f t="shared" si="1"/>
        <v>-36.409006351380398</v>
      </c>
    </row>
    <row r="73" spans="1:20" x14ac:dyDescent="0.35">
      <c r="A73" s="1" t="s">
        <v>117</v>
      </c>
      <c r="B73" s="35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37" t="str">
        <f>VLOOKUP(B73,Mapping!A:F,6,0)</f>
        <v>Satya</v>
      </c>
      <c r="H73" s="29">
        <v>-4.2442287473393217</v>
      </c>
      <c r="I73" s="29">
        <v>-6.6854760983884649</v>
      </c>
      <c r="J73" s="29">
        <v>-3.6542557099994575</v>
      </c>
      <c r="K73" s="29">
        <v>-0.62936235249985262</v>
      </c>
      <c r="L73" s="29">
        <v>0.40612968461584359</v>
      </c>
      <c r="M73" s="29">
        <v>-1.1327307401340285</v>
      </c>
      <c r="N73" s="29">
        <v>1.4985605388367729</v>
      </c>
      <c r="O73" s="29">
        <v>-3.4925204016666669</v>
      </c>
      <c r="P73" s="33">
        <v>-0.6252733410780672</v>
      </c>
      <c r="Q73" s="27">
        <v>-1.3153920225930773</v>
      </c>
      <c r="R73" s="27">
        <v>1.8249549987931035</v>
      </c>
      <c r="S73" s="39">
        <v>0.40709789068965535</v>
      </c>
      <c r="T73" s="5">
        <f t="shared" si="1"/>
        <v>-17.642496300763561</v>
      </c>
    </row>
    <row r="74" spans="1:20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37" t="str">
        <f>VLOOKUP(B74,Mapping!A:F,6,0)</f>
        <v>Anjli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33">
        <v>0</v>
      </c>
      <c r="Q74" s="27">
        <v>0</v>
      </c>
      <c r="R74" s="27">
        <v>0</v>
      </c>
      <c r="S74" s="39">
        <v>0</v>
      </c>
      <c r="T74" s="5">
        <f t="shared" si="1"/>
        <v>0</v>
      </c>
    </row>
    <row r="75" spans="1:20" x14ac:dyDescent="0.35">
      <c r="A75" s="1" t="s">
        <v>117</v>
      </c>
      <c r="B75" s="1" t="s">
        <v>132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37" t="str">
        <f>VLOOKUP(B75,Mapping!A:F,6,0)</f>
        <v>Anjli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33">
        <v>0</v>
      </c>
      <c r="Q75" s="27">
        <v>2.6111894526747519</v>
      </c>
      <c r="R75" s="27">
        <v>0.67577591551724137</v>
      </c>
      <c r="S75" s="39">
        <v>2.4509643482758623</v>
      </c>
      <c r="T75" s="5">
        <f t="shared" si="1"/>
        <v>5.7379297164678551</v>
      </c>
    </row>
    <row r="76" spans="1:20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37" t="str">
        <f>VLOOKUP(B76,Mapping!A:F,6,0)</f>
        <v>Anjli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33">
        <v>0</v>
      </c>
      <c r="Q76" s="27">
        <v>0</v>
      </c>
      <c r="R76" s="27">
        <v>-0.98954642758620681</v>
      </c>
      <c r="S76" s="39">
        <v>2.1067935586206898</v>
      </c>
      <c r="T76" s="5">
        <f t="shared" si="1"/>
        <v>1.1172471310344831</v>
      </c>
    </row>
    <row r="77" spans="1:20" x14ac:dyDescent="0.35">
      <c r="A77" s="1" t="s">
        <v>117</v>
      </c>
      <c r="B77" s="1" t="s">
        <v>120</v>
      </c>
      <c r="C77" s="1" t="s">
        <v>129</v>
      </c>
      <c r="D77" s="1" t="s">
        <v>129</v>
      </c>
      <c r="E77" s="1" t="s">
        <v>129</v>
      </c>
      <c r="F77" s="1" t="s">
        <v>131</v>
      </c>
      <c r="G77" s="37" t="s">
        <v>130</v>
      </c>
      <c r="H77" s="1"/>
      <c r="I77" s="1"/>
      <c r="J77" s="1"/>
      <c r="K77" s="1"/>
      <c r="L77" s="1"/>
      <c r="M77" s="1"/>
      <c r="N77" s="1"/>
      <c r="O77" s="1"/>
      <c r="P77" s="33">
        <v>-1.689697472118959</v>
      </c>
      <c r="Q77" s="27">
        <v>0.32909835802425486</v>
      </c>
      <c r="R77" s="27">
        <v>-2.5073206017241376</v>
      </c>
      <c r="S77" s="39">
        <v>-2.798985927586207</v>
      </c>
      <c r="T77" s="5">
        <f t="shared" si="1"/>
        <v>-6.6669056434050491</v>
      </c>
    </row>
    <row r="78" spans="1:20" x14ac:dyDescent="0.35">
      <c r="A78" s="1" t="s">
        <v>117</v>
      </c>
      <c r="B78" s="1" t="s">
        <v>121</v>
      </c>
      <c r="C78" s="1" t="s">
        <v>129</v>
      </c>
      <c r="D78" s="1" t="s">
        <v>129</v>
      </c>
      <c r="E78" s="1" t="s">
        <v>129</v>
      </c>
      <c r="F78" s="1" t="s">
        <v>131</v>
      </c>
      <c r="G78" s="37" t="s">
        <v>130</v>
      </c>
      <c r="H78" s="1"/>
      <c r="I78" s="1"/>
      <c r="J78" s="1"/>
      <c r="K78" s="1"/>
      <c r="L78" s="1"/>
      <c r="M78" s="1"/>
      <c r="N78" s="1"/>
      <c r="O78" s="1"/>
      <c r="P78" s="33">
        <v>0</v>
      </c>
      <c r="Q78" s="27">
        <v>0</v>
      </c>
      <c r="R78" s="27">
        <v>0</v>
      </c>
      <c r="S78" s="39">
        <v>0</v>
      </c>
      <c r="T78" s="5">
        <f t="shared" si="1"/>
        <v>0</v>
      </c>
    </row>
    <row r="79" spans="1:20" x14ac:dyDescent="0.35">
      <c r="A79" s="1" t="s">
        <v>117</v>
      </c>
      <c r="B79" s="1" t="s">
        <v>122</v>
      </c>
      <c r="C79" s="1" t="s">
        <v>129</v>
      </c>
      <c r="D79" s="1" t="s">
        <v>129</v>
      </c>
      <c r="E79" s="1" t="s">
        <v>129</v>
      </c>
      <c r="F79" s="1" t="s">
        <v>131</v>
      </c>
      <c r="G79" s="37" t="s">
        <v>130</v>
      </c>
      <c r="H79" s="1"/>
      <c r="I79" s="1"/>
      <c r="J79" s="1"/>
      <c r="K79" s="1"/>
      <c r="L79" s="1"/>
      <c r="M79" s="1"/>
      <c r="N79" s="1"/>
      <c r="O79" s="1"/>
      <c r="P79" s="33">
        <v>0</v>
      </c>
      <c r="Q79" s="27">
        <v>0</v>
      </c>
      <c r="R79" s="27">
        <v>0</v>
      </c>
      <c r="S79" s="39">
        <v>0</v>
      </c>
      <c r="T79" s="5">
        <f t="shared" si="1"/>
        <v>0</v>
      </c>
    </row>
    <row r="80" spans="1:20" x14ac:dyDescent="0.35">
      <c r="A80" s="1" t="s">
        <v>117</v>
      </c>
      <c r="B80" s="1" t="s">
        <v>123</v>
      </c>
      <c r="C80" s="1" t="s">
        <v>129</v>
      </c>
      <c r="D80" s="1" t="s">
        <v>129</v>
      </c>
      <c r="E80" s="1" t="s">
        <v>129</v>
      </c>
      <c r="F80" s="1" t="s">
        <v>131</v>
      </c>
      <c r="G80" s="37" t="s">
        <v>130</v>
      </c>
      <c r="H80" s="1"/>
      <c r="I80" s="1"/>
      <c r="J80" s="1"/>
      <c r="K80" s="1"/>
      <c r="L80" s="1"/>
      <c r="M80" s="1"/>
      <c r="N80" s="1"/>
      <c r="O80" s="1"/>
      <c r="P80" s="33">
        <v>0</v>
      </c>
      <c r="Q80" s="27">
        <v>0</v>
      </c>
      <c r="R80" s="27">
        <v>0</v>
      </c>
      <c r="S80" s="39">
        <v>0.63919999999999999</v>
      </c>
      <c r="T80" s="5">
        <f t="shared" si="1"/>
        <v>0.63919999999999999</v>
      </c>
    </row>
    <row r="81" spans="1:20" x14ac:dyDescent="0.35">
      <c r="A81" s="1" t="s">
        <v>117</v>
      </c>
      <c r="B81" s="1" t="s">
        <v>124</v>
      </c>
      <c r="C81" s="1" t="s">
        <v>129</v>
      </c>
      <c r="D81" s="1" t="s">
        <v>129</v>
      </c>
      <c r="E81" s="1" t="s">
        <v>129</v>
      </c>
      <c r="F81" s="1" t="s">
        <v>131</v>
      </c>
      <c r="G81" s="37" t="s">
        <v>130</v>
      </c>
      <c r="H81" s="1"/>
      <c r="I81" s="1"/>
      <c r="J81" s="1"/>
      <c r="K81" s="1"/>
      <c r="L81" s="1"/>
      <c r="M81" s="1"/>
      <c r="N81" s="1"/>
      <c r="O81" s="1"/>
      <c r="P81" s="33">
        <v>0</v>
      </c>
      <c r="Q81" s="27">
        <v>0</v>
      </c>
      <c r="R81" s="27">
        <v>0</v>
      </c>
      <c r="S81" s="39">
        <v>0</v>
      </c>
      <c r="T81" s="5">
        <f t="shared" si="1"/>
        <v>0</v>
      </c>
    </row>
    <row r="82" spans="1:20" x14ac:dyDescent="0.35">
      <c r="A82" s="1" t="s">
        <v>117</v>
      </c>
      <c r="B82" s="1" t="s">
        <v>125</v>
      </c>
      <c r="C82" s="1" t="s">
        <v>129</v>
      </c>
      <c r="D82" s="1" t="s">
        <v>129</v>
      </c>
      <c r="E82" s="1" t="s">
        <v>129</v>
      </c>
      <c r="F82" s="1" t="s">
        <v>131</v>
      </c>
      <c r="G82" s="37" t="s">
        <v>130</v>
      </c>
      <c r="H82" s="1"/>
      <c r="I82" s="1"/>
      <c r="J82" s="1"/>
      <c r="K82" s="1"/>
      <c r="L82" s="1"/>
      <c r="M82" s="1"/>
      <c r="N82" s="1"/>
      <c r="O82" s="1"/>
      <c r="P82" s="33">
        <v>0</v>
      </c>
      <c r="Q82" s="27">
        <v>0.6</v>
      </c>
      <c r="R82" s="27">
        <v>0</v>
      </c>
      <c r="S82" s="39">
        <v>0.9375</v>
      </c>
      <c r="T82" s="5">
        <f t="shared" si="1"/>
        <v>1.5375000000000001</v>
      </c>
    </row>
    <row r="83" spans="1:20" x14ac:dyDescent="0.35">
      <c r="A83" s="1" t="s">
        <v>117</v>
      </c>
      <c r="B83" s="1" t="s">
        <v>126</v>
      </c>
      <c r="C83" s="1" t="s">
        <v>129</v>
      </c>
      <c r="D83" s="1" t="s">
        <v>129</v>
      </c>
      <c r="E83" s="1" t="s">
        <v>129</v>
      </c>
      <c r="F83" s="1" t="s">
        <v>131</v>
      </c>
      <c r="G83" s="37" t="s">
        <v>130</v>
      </c>
      <c r="H83" s="1"/>
      <c r="I83" s="1"/>
      <c r="J83" s="1"/>
      <c r="K83" s="1"/>
      <c r="L83" s="1"/>
      <c r="M83" s="1"/>
      <c r="N83" s="1"/>
      <c r="O83" s="1"/>
      <c r="P83" s="33">
        <v>0</v>
      </c>
      <c r="Q83" s="27">
        <v>0</v>
      </c>
      <c r="R83" s="27">
        <v>0</v>
      </c>
      <c r="S83" s="39">
        <v>0</v>
      </c>
      <c r="T83" s="5">
        <f t="shared" si="1"/>
        <v>0</v>
      </c>
    </row>
    <row r="84" spans="1:20" x14ac:dyDescent="0.35">
      <c r="A84" s="1" t="s">
        <v>117</v>
      </c>
      <c r="B84" s="1" t="s">
        <v>127</v>
      </c>
      <c r="C84" s="1" t="s">
        <v>129</v>
      </c>
      <c r="D84" s="1" t="s">
        <v>129</v>
      </c>
      <c r="E84" s="1" t="s">
        <v>129</v>
      </c>
      <c r="F84" s="1" t="s">
        <v>131</v>
      </c>
      <c r="G84" s="37" t="s">
        <v>130</v>
      </c>
      <c r="H84" s="1"/>
      <c r="I84" s="1"/>
      <c r="J84" s="1"/>
      <c r="K84" s="1"/>
      <c r="L84" s="1"/>
      <c r="M84" s="1"/>
      <c r="N84" s="1"/>
      <c r="O84" s="1"/>
      <c r="P84" s="33">
        <v>0</v>
      </c>
      <c r="Q84" s="27">
        <v>1.4854099999999999</v>
      </c>
      <c r="R84" s="27">
        <v>0</v>
      </c>
      <c r="S84" s="39">
        <v>0</v>
      </c>
      <c r="T84" s="5">
        <f t="shared" si="1"/>
        <v>1.4854099999999999</v>
      </c>
    </row>
    <row r="85" spans="1:20" x14ac:dyDescent="0.35">
      <c r="A85" s="1" t="s">
        <v>117</v>
      </c>
      <c r="B85" s="35" t="s">
        <v>128</v>
      </c>
      <c r="C85" s="1" t="s">
        <v>129</v>
      </c>
      <c r="D85" s="1" t="s">
        <v>129</v>
      </c>
      <c r="E85" s="1" t="s">
        <v>129</v>
      </c>
      <c r="F85" s="1" t="s">
        <v>131</v>
      </c>
      <c r="G85" s="37" t="s">
        <v>130</v>
      </c>
      <c r="H85" s="1"/>
      <c r="I85" s="1"/>
      <c r="J85" s="1"/>
      <c r="K85" s="1"/>
      <c r="L85" s="1"/>
      <c r="M85" s="1"/>
      <c r="N85" s="1"/>
      <c r="O85" s="1"/>
      <c r="P85" s="33">
        <v>-4.3069737360594793</v>
      </c>
      <c r="Q85" s="27">
        <v>5.6569072057419692E-2</v>
      </c>
      <c r="R85" s="27">
        <v>-2.9769182586206897</v>
      </c>
      <c r="S85" s="39">
        <v>-3.6389251379310346</v>
      </c>
      <c r="T85" s="5">
        <f t="shared" si="1"/>
        <v>-10.866248060553783</v>
      </c>
    </row>
    <row r="86" spans="1:20" x14ac:dyDescent="0.35">
      <c r="A86" s="1" t="s">
        <v>117</v>
      </c>
      <c r="B86" s="1" t="s">
        <v>135</v>
      </c>
      <c r="C86" s="1" t="s">
        <v>115</v>
      </c>
      <c r="D86" s="1" t="s">
        <v>6</v>
      </c>
      <c r="E86" s="1" t="s">
        <v>104</v>
      </c>
      <c r="F86" s="1" t="s">
        <v>7</v>
      </c>
      <c r="G86" s="37" t="s">
        <v>7</v>
      </c>
      <c r="H86" s="1"/>
      <c r="I86" s="1"/>
      <c r="J86" s="1"/>
      <c r="K86" s="1"/>
      <c r="L86" s="1"/>
      <c r="M86" s="1"/>
      <c r="N86" s="1"/>
      <c r="O86" s="1"/>
      <c r="P86" s="33">
        <v>0</v>
      </c>
      <c r="Q86" s="27">
        <v>0</v>
      </c>
      <c r="R86" s="27">
        <v>0</v>
      </c>
      <c r="S86" s="39">
        <v>-3.5192800000000002</v>
      </c>
      <c r="T86" s="5">
        <f t="shared" si="1"/>
        <v>-3.5192800000000002</v>
      </c>
    </row>
    <row r="87" spans="1:20" x14ac:dyDescent="0.35">
      <c r="A87" s="1" t="s">
        <v>117</v>
      </c>
      <c r="B87" s="1" t="s">
        <v>136</v>
      </c>
      <c r="C87" s="1" t="s">
        <v>129</v>
      </c>
      <c r="D87" s="1" t="s">
        <v>129</v>
      </c>
      <c r="E87" s="1" t="s">
        <v>129</v>
      </c>
      <c r="F87" s="1" t="s">
        <v>131</v>
      </c>
      <c r="G87" s="37" t="s">
        <v>130</v>
      </c>
      <c r="H87" s="1"/>
      <c r="I87" s="1"/>
      <c r="J87" s="1"/>
      <c r="K87" s="1"/>
      <c r="L87" s="1"/>
      <c r="M87" s="1"/>
      <c r="N87" s="1"/>
      <c r="O87" s="1"/>
      <c r="P87" s="33">
        <v>0</v>
      </c>
      <c r="Q87" s="27">
        <v>0</v>
      </c>
      <c r="R87" s="27">
        <v>0</v>
      </c>
      <c r="S87" s="39">
        <v>1.23285</v>
      </c>
      <c r="T87" s="5">
        <f t="shared" si="1"/>
        <v>1.23285</v>
      </c>
    </row>
  </sheetData>
  <conditionalFormatting sqref="B51:B73 B2:B41">
    <cfRule type="duplicateValues" dxfId="54" priority="4"/>
  </conditionalFormatting>
  <conditionalFormatting sqref="B74:B76 B42:B50">
    <cfRule type="duplicateValues" dxfId="53" priority="5"/>
  </conditionalFormatting>
  <conditionalFormatting sqref="A1:B1 I1:S1 E1:G1">
    <cfRule type="duplicateValues" dxfId="52" priority="8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4BF-5C94-45DC-AF61-D97B87039E7F}">
  <sheetPr>
    <tabColor rgb="FF92D050"/>
  </sheetPr>
  <dimension ref="A1:T76"/>
  <sheetViews>
    <sheetView topLeftCell="C1" workbookViewId="0">
      <selection activeCell="U2" sqref="U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10.726562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5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5" t="str">
        <f>VLOOKUP(B2,Mapping!A:D,4,0)</f>
        <v>South 1</v>
      </c>
      <c r="F2" s="15" t="str">
        <f>VLOOKUP(B2,Mapping!A:E,5,0)</f>
        <v>Bapi</v>
      </c>
      <c r="G2" s="15" t="str">
        <f>VLOOKUP(B2,Mapping!A:F,6,0)</f>
        <v>Bapi</v>
      </c>
      <c r="H2" s="23">
        <v>2.01854714064915</v>
      </c>
      <c r="I2" s="23">
        <v>2.2941176470588234</v>
      </c>
      <c r="J2" s="23">
        <v>2.76725736677116</v>
      </c>
      <c r="K2" s="23">
        <v>2.5444445</v>
      </c>
      <c r="L2" s="23">
        <v>2.7181458745874587</v>
      </c>
      <c r="M2" s="23">
        <v>2.2057851239669422</v>
      </c>
      <c r="N2" s="23">
        <v>1.3223140495867769</v>
      </c>
      <c r="O2" s="23">
        <v>2.0661157024793386</v>
      </c>
      <c r="P2" s="23">
        <v>2.3017241379310347</v>
      </c>
      <c r="Q2" s="24">
        <v>1.0914105473252482</v>
      </c>
      <c r="R2" s="24"/>
      <c r="S2" s="24"/>
      <c r="T2" s="4"/>
    </row>
    <row r="3" spans="1:20" x14ac:dyDescent="0.35">
      <c r="A3" s="15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5" t="str">
        <f>VLOOKUP(B3,Mapping!A:D,4,0)</f>
        <v>West 1</v>
      </c>
      <c r="F3" s="15" t="str">
        <f>VLOOKUP(B3,Mapping!A:E,5,0)</f>
        <v>Anjli</v>
      </c>
      <c r="G3" s="15" t="str">
        <f>VLOOKUP(B3,Mapping!A:F,6,0)</f>
        <v>Usha</v>
      </c>
      <c r="H3" s="23">
        <v>0.93888888888888888</v>
      </c>
      <c r="I3" s="23">
        <v>0.95886524822695041</v>
      </c>
      <c r="J3" s="23">
        <v>1.1761904761904762</v>
      </c>
      <c r="K3" s="23">
        <v>1.0806451612903225</v>
      </c>
      <c r="L3" s="23">
        <v>1.7307692307692306</v>
      </c>
      <c r="M3" s="23">
        <v>1.4038461538461537</v>
      </c>
      <c r="N3" s="23">
        <v>1.4807692307692306</v>
      </c>
      <c r="O3" s="23">
        <v>0.77777777777777779</v>
      </c>
      <c r="P3" s="23">
        <v>1.3511111111111112</v>
      </c>
      <c r="Q3" s="24">
        <v>1.0152761028808039</v>
      </c>
      <c r="R3" s="24"/>
      <c r="S3" s="24"/>
      <c r="T3" s="4"/>
    </row>
    <row r="4" spans="1:20" x14ac:dyDescent="0.35">
      <c r="A4" s="15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5" t="str">
        <f>VLOOKUP(B4,Mapping!A:D,4,0)</f>
        <v>West 2</v>
      </c>
      <c r="F4" s="15" t="str">
        <f>VLOOKUP(B4,Mapping!A:E,5,0)</f>
        <v>Anjli</v>
      </c>
      <c r="G4" s="15" t="str">
        <f>VLOOKUP(B4,Mapping!A:F,6,0)</f>
        <v>Shweta</v>
      </c>
      <c r="H4" s="23">
        <v>0</v>
      </c>
      <c r="I4" s="23">
        <v>0.7272727272727274</v>
      </c>
      <c r="J4" s="23">
        <v>0.51764705882352946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4">
        <v>0</v>
      </c>
      <c r="R4" s="24"/>
      <c r="S4" s="24"/>
      <c r="T4" s="4"/>
    </row>
    <row r="5" spans="1:20" x14ac:dyDescent="0.35">
      <c r="A5" s="15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5" t="str">
        <f>VLOOKUP(B5,Mapping!A:D,4,0)</f>
        <v>North</v>
      </c>
      <c r="F5" s="15" t="str">
        <f>VLOOKUP(B5,Mapping!A:E,5,0)</f>
        <v>Anjli</v>
      </c>
      <c r="G5" s="15" t="str">
        <f>VLOOKUP(B5,Mapping!A:F,6,0)</f>
        <v>Archana</v>
      </c>
      <c r="H5" s="23">
        <v>1.4285714285714286</v>
      </c>
      <c r="I5" s="23">
        <v>0.98758169934640538</v>
      </c>
      <c r="J5" s="23">
        <v>2.2727272727272725</v>
      </c>
      <c r="K5" s="23">
        <v>1.1347517730496455</v>
      </c>
      <c r="L5" s="23">
        <v>1.3475177304964538</v>
      </c>
      <c r="M5" s="23">
        <v>1.4814814814814814</v>
      </c>
      <c r="N5" s="23">
        <v>1.6556291390728477</v>
      </c>
      <c r="O5" s="23">
        <v>2.1739130434782608</v>
      </c>
      <c r="P5" s="23">
        <v>2.5165562913907285</v>
      </c>
      <c r="Q5" s="24">
        <v>1.0565000565277023</v>
      </c>
      <c r="R5" s="24"/>
      <c r="S5" s="24"/>
      <c r="T5" s="4"/>
    </row>
    <row r="6" spans="1:20" x14ac:dyDescent="0.35">
      <c r="A6" s="15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5" t="str">
        <f>VLOOKUP(B6,Mapping!A:D,4,0)</f>
        <v>South 1</v>
      </c>
      <c r="F6" s="15" t="str">
        <f>VLOOKUP(B6,Mapping!A:E,5,0)</f>
        <v>Sulabh</v>
      </c>
      <c r="G6" s="15" t="str">
        <f>VLOOKUP(B6,Mapping!A:F,6,0)</f>
        <v>Kunal</v>
      </c>
      <c r="H6" s="23">
        <v>1.0431654676258992</v>
      </c>
      <c r="I6" s="23">
        <v>1.5503875968992251</v>
      </c>
      <c r="J6" s="23">
        <v>1.586206896551724</v>
      </c>
      <c r="K6" s="23">
        <v>1.464</v>
      </c>
      <c r="L6" s="23">
        <v>2</v>
      </c>
      <c r="M6" s="23">
        <v>2.0071720000000002</v>
      </c>
      <c r="N6" s="23">
        <v>1.44</v>
      </c>
      <c r="O6" s="23">
        <v>2.2400000000000002</v>
      </c>
      <c r="P6" s="23">
        <v>1.76</v>
      </c>
      <c r="Q6" s="24">
        <v>1.0657317473252483</v>
      </c>
      <c r="R6" s="24"/>
      <c r="S6" s="24"/>
      <c r="T6" s="4"/>
    </row>
    <row r="7" spans="1:20" x14ac:dyDescent="0.35">
      <c r="A7" s="15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5" t="str">
        <f>VLOOKUP(B7,Mapping!A:D,4,0)</f>
        <v>West 1</v>
      </c>
      <c r="F7" s="15" t="str">
        <f>VLOOKUP(B7,Mapping!A:E,5,0)</f>
        <v>Anjli</v>
      </c>
      <c r="G7" s="15" t="str">
        <f>VLOOKUP(B7,Mapping!A:F,6,0)</f>
        <v>Usha</v>
      </c>
      <c r="H7" s="23">
        <v>0.75700000000000001</v>
      </c>
      <c r="I7" s="23">
        <v>1.0227272727272727</v>
      </c>
      <c r="J7" s="23">
        <v>0.91836734693877564</v>
      </c>
      <c r="K7" s="23">
        <v>1.1824675324675324</v>
      </c>
      <c r="L7" s="23">
        <v>0.80459770114942541</v>
      </c>
      <c r="M7" s="23">
        <v>1.2941558441558441</v>
      </c>
      <c r="N7" s="23">
        <v>0.70093457943925241</v>
      </c>
      <c r="O7" s="23">
        <v>1.1000000000000001</v>
      </c>
      <c r="P7" s="23">
        <v>0.87674418604651161</v>
      </c>
      <c r="Q7" s="24">
        <v>0.70329464568590405</v>
      </c>
      <c r="R7" s="24"/>
      <c r="S7" s="24"/>
      <c r="T7" s="4"/>
    </row>
    <row r="8" spans="1:20" x14ac:dyDescent="0.35">
      <c r="A8" s="15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5" t="str">
        <f>VLOOKUP(B8,Mapping!A:D,4,0)</f>
        <v>West 2</v>
      </c>
      <c r="F8" s="15" t="str">
        <f>VLOOKUP(B8,Mapping!A:E,5,0)</f>
        <v>Anjli</v>
      </c>
      <c r="G8" s="15" t="str">
        <f>VLOOKUP(B8,Mapping!A:F,6,0)</f>
        <v>Shweta</v>
      </c>
      <c r="H8" s="23">
        <v>1.7543478260869567</v>
      </c>
      <c r="I8" s="23">
        <v>0.90170731707317087</v>
      </c>
      <c r="J8" s="23">
        <v>0.57721944444444451</v>
      </c>
      <c r="K8" s="23">
        <v>2.5039774193548383</v>
      </c>
      <c r="L8" s="23">
        <v>0.77741935483870972</v>
      </c>
      <c r="M8" s="23">
        <v>1.6417999999999999</v>
      </c>
      <c r="N8" s="23">
        <v>1.3809523809523807</v>
      </c>
      <c r="O8" s="23">
        <v>1.0952380952380951</v>
      </c>
      <c r="P8" s="23">
        <v>2.6487285714285718</v>
      </c>
      <c r="Q8" s="24">
        <v>1.319864356849058</v>
      </c>
      <c r="R8" s="24"/>
      <c r="S8" s="24"/>
      <c r="T8" s="4"/>
    </row>
    <row r="9" spans="1:20" x14ac:dyDescent="0.35">
      <c r="A9" s="15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5" t="str">
        <f>VLOOKUP(B9,Mapping!A:D,4,0)</f>
        <v>West 1</v>
      </c>
      <c r="F9" s="15" t="str">
        <f>VLOOKUP(B9,Mapping!A:E,5,0)</f>
        <v>Anjli</v>
      </c>
      <c r="G9" s="15" t="str">
        <f>VLOOKUP(B9,Mapping!A:F,6,0)</f>
        <v>Geetu</v>
      </c>
      <c r="H9" s="23">
        <v>1.2794117647058825</v>
      </c>
      <c r="I9" s="23">
        <v>1.2879310344827586</v>
      </c>
      <c r="J9" s="23">
        <v>0.93596059113300489</v>
      </c>
      <c r="K9" s="23">
        <v>0.66726457399103134</v>
      </c>
      <c r="L9" s="23">
        <v>1.1823834196891192</v>
      </c>
      <c r="M9" s="23">
        <v>1.3971830985915492</v>
      </c>
      <c r="N9" s="23">
        <v>1.1737089201877935</v>
      </c>
      <c r="O9" s="23">
        <v>0.89392376681614349</v>
      </c>
      <c r="P9" s="23">
        <v>1.9129310344827586</v>
      </c>
      <c r="Q9" s="24">
        <v>0.94362724260421815</v>
      </c>
      <c r="R9" s="24"/>
      <c r="S9" s="24"/>
      <c r="T9" s="4"/>
    </row>
    <row r="10" spans="1:20" x14ac:dyDescent="0.35">
      <c r="A10" s="15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5" t="str">
        <f>VLOOKUP(B10,Mapping!A:D,4,0)</f>
        <v>West 1</v>
      </c>
      <c r="F10" s="15" t="str">
        <f>VLOOKUP(B10,Mapping!A:E,5,0)</f>
        <v>Anjli</v>
      </c>
      <c r="G10" s="15" t="str">
        <f>VLOOKUP(B10,Mapping!A:F,6,0)</f>
        <v>Geetu</v>
      </c>
      <c r="H10" s="23">
        <v>0.2407894736842105</v>
      </c>
      <c r="I10" s="23">
        <v>0.26315789473684209</v>
      </c>
      <c r="J10" s="23">
        <v>1.1052631578947367</v>
      </c>
      <c r="K10" s="23">
        <v>0.23888888888888887</v>
      </c>
      <c r="L10" s="23">
        <v>0.46296296296296291</v>
      </c>
      <c r="M10" s="23">
        <v>0.63058823529411767</v>
      </c>
      <c r="N10" s="23">
        <v>2.3529411764705885E-3</v>
      </c>
      <c r="O10" s="23">
        <v>0.66666666666666674</v>
      </c>
      <c r="P10" s="23">
        <v>0.4158</v>
      </c>
      <c r="Q10" s="24">
        <v>0.12494054732524837</v>
      </c>
      <c r="R10" s="24"/>
      <c r="S10" s="24"/>
      <c r="T10" s="4"/>
    </row>
    <row r="11" spans="1:20" x14ac:dyDescent="0.35">
      <c r="A11" s="15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5" t="str">
        <f>VLOOKUP(B11,Mapping!A:D,4,0)</f>
        <v>South 1</v>
      </c>
      <c r="F11" s="15" t="str">
        <f>VLOOKUP(B11,Mapping!A:E,5,0)</f>
        <v>Mahak</v>
      </c>
      <c r="G11" s="15" t="str">
        <f>VLOOKUP(B11,Mapping!A:F,6,0)</f>
        <v>Mahak</v>
      </c>
      <c r="H11" s="23">
        <v>1.5192307692307694</v>
      </c>
      <c r="I11" s="23">
        <v>1.8163265306122449</v>
      </c>
      <c r="J11" s="23">
        <v>1.8653061224489795</v>
      </c>
      <c r="K11" s="23">
        <v>1.4449204123711341</v>
      </c>
      <c r="L11" s="23">
        <v>2.2198195604395603</v>
      </c>
      <c r="M11" s="23">
        <v>3.8747252747252747</v>
      </c>
      <c r="N11" s="23">
        <v>2.0219780219780219</v>
      </c>
      <c r="O11" s="23">
        <v>3.1868131868131866</v>
      </c>
      <c r="P11" s="23">
        <v>4.0879120879120876</v>
      </c>
      <c r="Q11" s="24">
        <v>1.3470274223252485</v>
      </c>
      <c r="R11" s="24"/>
      <c r="S11" s="24"/>
      <c r="T11" s="4"/>
    </row>
    <row r="12" spans="1:20" x14ac:dyDescent="0.35">
      <c r="A12" s="15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5" t="str">
        <f>VLOOKUP(B12,Mapping!A:D,4,0)</f>
        <v>South 1</v>
      </c>
      <c r="F12" s="15" t="str">
        <f>VLOOKUP(B12,Mapping!A:E,5,0)</f>
        <v>Anjli</v>
      </c>
      <c r="G12" s="15" t="str">
        <f>VLOOKUP(B12,Mapping!A:F,6,0)</f>
        <v>Satya</v>
      </c>
      <c r="H12" s="23">
        <v>1.5298133640552996</v>
      </c>
      <c r="I12" s="23">
        <v>2.0907692307692307</v>
      </c>
      <c r="J12" s="23">
        <v>2.8044230769230767</v>
      </c>
      <c r="K12" s="23">
        <v>1.5973107692307693</v>
      </c>
      <c r="L12" s="23">
        <v>2.4</v>
      </c>
      <c r="M12" s="23">
        <v>2.6047904191616769</v>
      </c>
      <c r="N12" s="23">
        <v>1.5257485029940121</v>
      </c>
      <c r="O12" s="23">
        <v>1.1820958083832336</v>
      </c>
      <c r="P12" s="23">
        <v>3.7856287425149704</v>
      </c>
      <c r="Q12" s="24">
        <v>1.4051770742713563</v>
      </c>
      <c r="R12" s="24"/>
      <c r="S12" s="24"/>
      <c r="T12" s="4"/>
    </row>
    <row r="13" spans="1:20" x14ac:dyDescent="0.35">
      <c r="A13" s="15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5" t="str">
        <f>VLOOKUP(B13,Mapping!A:D,4,0)</f>
        <v>West 1</v>
      </c>
      <c r="F13" s="15" t="str">
        <f>VLOOKUP(B13,Mapping!A:E,5,0)</f>
        <v>Anjli</v>
      </c>
      <c r="G13" s="15" t="str">
        <f>VLOOKUP(B13,Mapping!A:F,6,0)</f>
        <v>Geetu</v>
      </c>
      <c r="H13" s="23">
        <v>0.47669902912621365</v>
      </c>
      <c r="I13" s="23">
        <v>0.56273170731707312</v>
      </c>
      <c r="J13" s="23">
        <v>0.20799999999999999</v>
      </c>
      <c r="K13" s="23">
        <v>0.14478527607361963</v>
      </c>
      <c r="L13" s="23">
        <v>0.41530054644808739</v>
      </c>
      <c r="M13" s="23">
        <v>0.61650273224043706</v>
      </c>
      <c r="N13" s="23">
        <v>0.49239263803680983</v>
      </c>
      <c r="O13" s="23">
        <v>0.54723926380368093</v>
      </c>
      <c r="P13" s="23">
        <v>0.40217391304347833</v>
      </c>
      <c r="Q13" s="24">
        <v>0.79207054732524829</v>
      </c>
      <c r="R13" s="24"/>
      <c r="S13" s="24"/>
      <c r="T13" s="4"/>
    </row>
    <row r="14" spans="1:20" x14ac:dyDescent="0.35">
      <c r="A14" s="15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5" t="str">
        <f>VLOOKUP(B14,Mapping!A:D,4,0)</f>
        <v>South 2</v>
      </c>
      <c r="F14" s="15" t="str">
        <f>VLOOKUP(B14,Mapping!A:E,5,0)</f>
        <v>Sulabh</v>
      </c>
      <c r="G14" s="15" t="str">
        <f>VLOOKUP(B14,Mapping!A:F,6,0)</f>
        <v>Krishna</v>
      </c>
      <c r="H14" s="23">
        <v>1.222158064516129</v>
      </c>
      <c r="I14" s="23">
        <v>1.1986032258064516</v>
      </c>
      <c r="J14" s="23">
        <v>1.3281290322580646</v>
      </c>
      <c r="K14" s="23">
        <v>1.9757096774193548</v>
      </c>
      <c r="L14" s="23">
        <v>1.2810258064516129</v>
      </c>
      <c r="M14" s="23">
        <v>1.3258064516129033</v>
      </c>
      <c r="N14" s="23">
        <v>1.2457064516129033</v>
      </c>
      <c r="O14" s="23">
        <v>1.1899</v>
      </c>
      <c r="P14" s="23">
        <v>1.2255151515151514</v>
      </c>
      <c r="Q14" s="24">
        <v>0.93572340446810554</v>
      </c>
      <c r="R14" s="24"/>
      <c r="S14" s="24"/>
      <c r="T14" s="4"/>
    </row>
    <row r="15" spans="1:20" x14ac:dyDescent="0.35">
      <c r="A15" s="15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5" t="str">
        <f>VLOOKUP(B15,Mapping!A:D,4,0)</f>
        <v>West 1</v>
      </c>
      <c r="F15" s="15" t="str">
        <f>VLOOKUP(B15,Mapping!A:E,5,0)</f>
        <v>Anjli</v>
      </c>
      <c r="G15" s="15" t="str">
        <f>VLOOKUP(B15,Mapping!A:F,6,0)</f>
        <v>Dhriti</v>
      </c>
      <c r="H15" s="23">
        <v>1.1851851851851853</v>
      </c>
      <c r="I15" s="23">
        <v>1.4285714285714286</v>
      </c>
      <c r="J15" s="23">
        <v>1.7333333333333334</v>
      </c>
      <c r="K15" s="23">
        <v>1.6784482758620689</v>
      </c>
      <c r="L15" s="23">
        <v>1.3043478260869565</v>
      </c>
      <c r="M15" s="23">
        <v>1.5384615384615385</v>
      </c>
      <c r="N15" s="23">
        <v>1.139240506329114</v>
      </c>
      <c r="O15" s="23">
        <v>1.9473684210526314</v>
      </c>
      <c r="P15" s="23">
        <v>2.7866666666666671</v>
      </c>
      <c r="Q15" s="24">
        <v>0.96112027705497804</v>
      </c>
      <c r="R15" s="24"/>
      <c r="S15" s="24"/>
      <c r="T15" s="4"/>
    </row>
    <row r="16" spans="1:20" x14ac:dyDescent="0.35">
      <c r="A16" s="15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5" t="str">
        <f>VLOOKUP(B16,Mapping!A:D,4,0)</f>
        <v>South 2</v>
      </c>
      <c r="F16" s="15" t="str">
        <f>VLOOKUP(B16,Mapping!A:E,5,0)</f>
        <v>Sulabh</v>
      </c>
      <c r="G16" s="15" t="str">
        <f>VLOOKUP(B16,Mapping!A:F,6,0)</f>
        <v>Krishna</v>
      </c>
      <c r="H16" s="23">
        <v>0.58666666666666667</v>
      </c>
      <c r="I16" s="23">
        <v>0.88</v>
      </c>
      <c r="J16" s="23">
        <v>0.88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4">
        <v>0</v>
      </c>
      <c r="R16" s="24"/>
      <c r="S16" s="24"/>
      <c r="T16" s="4"/>
    </row>
    <row r="17" spans="1:20" x14ac:dyDescent="0.35">
      <c r="A17" s="15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5" t="str">
        <f>VLOOKUP(B17,Mapping!A:D,4,0)</f>
        <v>South 1</v>
      </c>
      <c r="F17" s="15" t="str">
        <f>VLOOKUP(B17,Mapping!A:E,5,0)</f>
        <v>Sulabh</v>
      </c>
      <c r="G17" s="15" t="str">
        <f>VLOOKUP(B17,Mapping!A:F,6,0)</f>
        <v>Subu</v>
      </c>
      <c r="H17" s="23">
        <v>1.4484615384615385</v>
      </c>
      <c r="I17" s="23">
        <v>1.6496062992125986</v>
      </c>
      <c r="J17" s="23">
        <v>1.7415384615384615</v>
      </c>
      <c r="K17" s="23">
        <v>2.0769230769230771</v>
      </c>
      <c r="L17" s="23">
        <v>2.6946428571428576</v>
      </c>
      <c r="M17" s="23">
        <v>2.4615384615384617</v>
      </c>
      <c r="N17" s="23">
        <v>2.3333333333333335</v>
      </c>
      <c r="O17" s="23">
        <v>1.7777777777777779</v>
      </c>
      <c r="P17" s="23">
        <v>-0.81472222222222224</v>
      </c>
      <c r="Q17" s="24">
        <v>0.90934159995682728</v>
      </c>
      <c r="R17" s="24"/>
      <c r="S17" s="24"/>
      <c r="T17" s="4"/>
    </row>
    <row r="18" spans="1:20" x14ac:dyDescent="0.35">
      <c r="A18" s="15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5" t="str">
        <f>VLOOKUP(B18,Mapping!A:D,4,0)</f>
        <v>West 2</v>
      </c>
      <c r="F18" s="15" t="str">
        <f>VLOOKUP(B18,Mapping!A:E,5,0)</f>
        <v>Anjli</v>
      </c>
      <c r="G18" s="15" t="str">
        <f>VLOOKUP(B18,Mapping!A:F,6,0)</f>
        <v>Anjli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4">
        <v>0</v>
      </c>
      <c r="R18" s="24"/>
      <c r="S18" s="24"/>
      <c r="T18" s="4"/>
    </row>
    <row r="19" spans="1:20" x14ac:dyDescent="0.35">
      <c r="A19" s="15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5" t="str">
        <f>VLOOKUP(B19,Mapping!A:D,4,0)</f>
        <v>West 1</v>
      </c>
      <c r="F19" s="15" t="str">
        <f>VLOOKUP(B19,Mapping!A:E,5,0)</f>
        <v>Anjli</v>
      </c>
      <c r="G19" s="15" t="str">
        <f>VLOOKUP(B19,Mapping!A:F,6,0)</f>
        <v>Geetu</v>
      </c>
      <c r="H19" s="23">
        <v>0.63616398243045402</v>
      </c>
      <c r="I19" s="23">
        <v>0.66535433070866146</v>
      </c>
      <c r="J19" s="23">
        <v>1.2878048780487805</v>
      </c>
      <c r="K19" s="23">
        <v>0.74349775784753369</v>
      </c>
      <c r="L19" s="23">
        <v>1.4127167630057802</v>
      </c>
      <c r="M19" s="23">
        <v>1.6242535947712418</v>
      </c>
      <c r="N19" s="23">
        <v>0.81960784313725488</v>
      </c>
      <c r="O19" s="23">
        <v>1.013986013986014</v>
      </c>
      <c r="P19" s="23">
        <v>0.97213114754098362</v>
      </c>
      <c r="Q19" s="24">
        <v>0.79204151819903479</v>
      </c>
      <c r="R19" s="24"/>
      <c r="S19" s="24"/>
      <c r="T19" s="4"/>
    </row>
    <row r="20" spans="1:20" x14ac:dyDescent="0.35">
      <c r="A20" s="15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5" t="str">
        <f>VLOOKUP(B20,Mapping!A:D,4,0)</f>
        <v>South 1</v>
      </c>
      <c r="F20" s="15" t="str">
        <f>VLOOKUP(B20,Mapping!A:E,5,0)</f>
        <v>Sulabh</v>
      </c>
      <c r="G20" s="15" t="str">
        <f>VLOOKUP(B20,Mapping!A:F,6,0)</f>
        <v>Satya</v>
      </c>
      <c r="H20" s="23">
        <v>1.5037593984962405</v>
      </c>
      <c r="I20" s="23">
        <v>1.5</v>
      </c>
      <c r="J20" s="23">
        <v>1.709355</v>
      </c>
      <c r="K20" s="23">
        <v>1.7113725</v>
      </c>
      <c r="L20" s="23">
        <v>0</v>
      </c>
      <c r="M20" s="23">
        <v>0</v>
      </c>
      <c r="N20" s="23">
        <v>0.30853383458646616</v>
      </c>
      <c r="O20" s="23">
        <v>0</v>
      </c>
      <c r="P20" s="23">
        <v>0</v>
      </c>
      <c r="Q20" s="24">
        <v>4.3196375170222172</v>
      </c>
      <c r="R20" s="24"/>
      <c r="S20" s="24"/>
      <c r="T20" s="4"/>
    </row>
    <row r="21" spans="1:20" x14ac:dyDescent="0.35">
      <c r="A21" s="15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5" t="str">
        <f>VLOOKUP(B21,Mapping!A:D,4,0)</f>
        <v>West 1</v>
      </c>
      <c r="F21" s="15" t="str">
        <f>VLOOKUP(B21,Mapping!A:E,5,0)</f>
        <v>Anjli</v>
      </c>
      <c r="G21" s="15" t="str">
        <f>VLOOKUP(B21,Mapping!A:F,6,0)</f>
        <v>Alifia</v>
      </c>
      <c r="H21" s="23">
        <v>0.51087613293051359</v>
      </c>
      <c r="I21" s="23">
        <v>1.103830513595166</v>
      </c>
      <c r="J21" s="23">
        <v>0.61948640483383688</v>
      </c>
      <c r="K21" s="23">
        <v>0.27916666666666667</v>
      </c>
      <c r="L21" s="23">
        <v>0.68965517241379304</v>
      </c>
      <c r="M21" s="23">
        <v>1.2860714285714285</v>
      </c>
      <c r="N21" s="23">
        <v>0.88928571428571435</v>
      </c>
      <c r="O21" s="23">
        <v>0.75862068965517249</v>
      </c>
      <c r="P21" s="23">
        <v>1.0132258064516129</v>
      </c>
      <c r="Q21" s="24">
        <v>0.86088437085466007</v>
      </c>
      <c r="R21" s="24"/>
      <c r="S21" s="24"/>
      <c r="T21" s="4"/>
    </row>
    <row r="22" spans="1:20" x14ac:dyDescent="0.35">
      <c r="A22" s="15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5" t="str">
        <f>VLOOKUP(B22,Mapping!A:D,4,0)</f>
        <v>South 2</v>
      </c>
      <c r="F22" s="15" t="str">
        <f>VLOOKUP(B22,Mapping!A:E,5,0)</f>
        <v>Sulabh</v>
      </c>
      <c r="G22" s="15" t="str">
        <f>VLOOKUP(B22,Mapping!A:F,6,0)</f>
        <v>Subu</v>
      </c>
      <c r="H22" s="23">
        <v>2.5624769230769231</v>
      </c>
      <c r="I22" s="23">
        <v>2.4063542168674701</v>
      </c>
      <c r="J22" s="23">
        <v>0.61874509803921574</v>
      </c>
      <c r="K22" s="23">
        <v>1.7643414634146344</v>
      </c>
      <c r="L22" s="23">
        <v>0.74873809523809531</v>
      </c>
      <c r="M22" s="23">
        <v>0.41732884615384619</v>
      </c>
      <c r="N22" s="23">
        <v>0.5665714285714285</v>
      </c>
      <c r="O22" s="23">
        <v>0.83750000000000002</v>
      </c>
      <c r="P22" s="23">
        <v>1.0928312499999999</v>
      </c>
      <c r="Q22" s="24">
        <v>1.2961938806585815</v>
      </c>
      <c r="R22" s="24"/>
      <c r="S22" s="24"/>
      <c r="T22" s="4"/>
    </row>
    <row r="23" spans="1:20" x14ac:dyDescent="0.35">
      <c r="A23" s="15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5" t="str">
        <f>VLOOKUP(B23,Mapping!A:D,4,0)</f>
        <v>North</v>
      </c>
      <c r="F23" s="15" t="str">
        <f>VLOOKUP(B23,Mapping!A:E,5,0)</f>
        <v>Anjli</v>
      </c>
      <c r="G23" s="15" t="str">
        <f>VLOOKUP(B23,Mapping!A:F,6,0)</f>
        <v>Archana</v>
      </c>
      <c r="H23" s="23">
        <v>1.4088803278688524</v>
      </c>
      <c r="I23" s="23">
        <v>3.2647058823529416</v>
      </c>
      <c r="J23" s="23">
        <v>1.7450980392156865</v>
      </c>
      <c r="K23" s="23">
        <v>2.5882352941176472</v>
      </c>
      <c r="L23" s="23">
        <v>2.1140327868852462</v>
      </c>
      <c r="M23" s="23">
        <v>1.3</v>
      </c>
      <c r="N23" s="23">
        <v>1.8225806451612903</v>
      </c>
      <c r="O23" s="23">
        <v>5.3333333333333339</v>
      </c>
      <c r="P23" s="23">
        <v>1.0149253731343284</v>
      </c>
      <c r="Q23" s="24">
        <v>1.0020183996742416</v>
      </c>
      <c r="R23" s="24"/>
      <c r="S23" s="24"/>
      <c r="T23" s="4"/>
    </row>
    <row r="24" spans="1:20" x14ac:dyDescent="0.35">
      <c r="A24" s="15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5" t="str">
        <f>VLOOKUP(B24,Mapping!A:D,4,0)</f>
        <v>South 2</v>
      </c>
      <c r="F24" s="15" t="str">
        <f>VLOOKUP(B24,Mapping!A:E,5,0)</f>
        <v>Sulabh</v>
      </c>
      <c r="G24" s="15" t="str">
        <f>VLOOKUP(B24,Mapping!A:F,6,0)</f>
        <v>Krishna</v>
      </c>
      <c r="H24" s="23" t="s">
        <v>0</v>
      </c>
      <c r="I24" s="23" t="s">
        <v>0</v>
      </c>
      <c r="J24" s="23" t="s">
        <v>0</v>
      </c>
      <c r="K24" s="23" t="s">
        <v>0</v>
      </c>
      <c r="L24" s="23" t="s">
        <v>0</v>
      </c>
      <c r="M24" s="23" t="s">
        <v>0</v>
      </c>
      <c r="N24" s="23" t="s">
        <v>0</v>
      </c>
      <c r="O24" s="23" t="s">
        <v>0</v>
      </c>
      <c r="P24" s="23" t="s">
        <v>0</v>
      </c>
      <c r="Q24" s="24" t="s">
        <v>0</v>
      </c>
      <c r="R24" s="24"/>
      <c r="S24" s="24"/>
      <c r="T24" s="4"/>
    </row>
    <row r="25" spans="1:20" x14ac:dyDescent="0.35">
      <c r="A25" s="15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5" t="str">
        <f>VLOOKUP(B25,Mapping!A:D,4,0)</f>
        <v>West 2</v>
      </c>
      <c r="F25" s="15" t="str">
        <f>VLOOKUP(B25,Mapping!A:E,5,0)</f>
        <v>Anjli</v>
      </c>
      <c r="G25" s="15" t="str">
        <f>VLOOKUP(B25,Mapping!A:F,6,0)</f>
        <v>Shweta</v>
      </c>
      <c r="H25" s="23">
        <v>1.0596026490066226</v>
      </c>
      <c r="I25" s="23">
        <v>0.66874999999999996</v>
      </c>
      <c r="J25" s="23">
        <v>1.7875000000000001</v>
      </c>
      <c r="K25" s="23">
        <v>1.3018867924528303</v>
      </c>
      <c r="L25" s="23">
        <v>1.0784313725490198</v>
      </c>
      <c r="M25" s="23">
        <v>1.6393442622950822</v>
      </c>
      <c r="N25" s="23">
        <v>1.7803278688524591</v>
      </c>
      <c r="O25" s="23">
        <v>0.78431372549019607</v>
      </c>
      <c r="P25" s="23">
        <v>1.5686274509803921</v>
      </c>
      <c r="Q25" s="24">
        <v>0.98526995908995441</v>
      </c>
      <c r="R25" s="24"/>
      <c r="S25" s="24"/>
      <c r="T25" s="4"/>
    </row>
    <row r="26" spans="1:20" x14ac:dyDescent="0.35">
      <c r="A26" s="15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5" t="str">
        <f>VLOOKUP(B26,Mapping!A:D,4,0)</f>
        <v>South 2</v>
      </c>
      <c r="F26" s="15" t="str">
        <f>VLOOKUP(B26,Mapping!A:E,5,0)</f>
        <v>Sulabh</v>
      </c>
      <c r="G26" s="15" t="str">
        <f>VLOOKUP(B26,Mapping!A:F,6,0)</f>
        <v>Krishna</v>
      </c>
      <c r="H26" s="23">
        <v>0.60737704918032787</v>
      </c>
      <c r="I26" s="23">
        <v>0.83751568627450979</v>
      </c>
      <c r="J26" s="23">
        <v>2.8649294117647059</v>
      </c>
      <c r="K26" s="23">
        <v>0.98333333333333339</v>
      </c>
      <c r="L26" s="23">
        <v>3.3333333333333339</v>
      </c>
      <c r="M26" s="23">
        <v>2.5446428571428572</v>
      </c>
      <c r="N26" s="23">
        <v>1.2227441176470588</v>
      </c>
      <c r="O26" s="23">
        <v>2.3010526315789477</v>
      </c>
      <c r="P26" s="23">
        <v>1.4076923076923078</v>
      </c>
      <c r="Q26" s="24">
        <v>1.2656139460557736</v>
      </c>
      <c r="R26" s="24"/>
      <c r="S26" s="24"/>
      <c r="T26" s="4"/>
    </row>
    <row r="27" spans="1:20" x14ac:dyDescent="0.35">
      <c r="A27" s="15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5" t="str">
        <f>VLOOKUP(B27,Mapping!A:D,4,0)</f>
        <v>North</v>
      </c>
      <c r="F27" s="15" t="str">
        <f>VLOOKUP(B27,Mapping!A:E,5,0)</f>
        <v>Anjli</v>
      </c>
      <c r="G27" s="15" t="str">
        <f>VLOOKUP(B27,Mapping!A:F,6,0)</f>
        <v>Archana</v>
      </c>
      <c r="H27" s="23">
        <v>0.69230769230769229</v>
      </c>
      <c r="I27" s="23">
        <v>0.55111111111111111</v>
      </c>
      <c r="J27" s="23">
        <v>0.94890510948905105</v>
      </c>
      <c r="K27" s="23">
        <v>1.048951048951049</v>
      </c>
      <c r="L27" s="23">
        <v>0.97902097902097918</v>
      </c>
      <c r="M27" s="23">
        <v>0.92896174863387981</v>
      </c>
      <c r="N27" s="23">
        <v>0.65543442622950809</v>
      </c>
      <c r="O27" s="23">
        <v>0.80691642651296813</v>
      </c>
      <c r="P27" s="23">
        <v>1.1331444759206799</v>
      </c>
      <c r="Q27" s="24">
        <v>0.78745418368888476</v>
      </c>
      <c r="R27" s="24"/>
      <c r="S27" s="24"/>
      <c r="T27" s="4"/>
    </row>
    <row r="28" spans="1:20" x14ac:dyDescent="0.35">
      <c r="A28" s="15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5" t="str">
        <f>VLOOKUP(B28,Mapping!A:D,4,0)</f>
        <v>West 2</v>
      </c>
      <c r="F28" s="15" t="str">
        <f>VLOOKUP(B28,Mapping!A:E,5,0)</f>
        <v>Anjli</v>
      </c>
      <c r="G28" s="15" t="str">
        <f>VLOOKUP(B28,Mapping!A:F,6,0)</f>
        <v>Shweta</v>
      </c>
      <c r="H28" s="23">
        <v>0.90154798761609911</v>
      </c>
      <c r="I28" s="23">
        <v>1.3333333333333335</v>
      </c>
      <c r="J28" s="23">
        <v>1.5841259615384615</v>
      </c>
      <c r="K28" s="23">
        <v>1.666666666666667</v>
      </c>
      <c r="L28" s="23">
        <v>1.1320754716981132</v>
      </c>
      <c r="M28" s="23">
        <v>1.5094339622641508</v>
      </c>
      <c r="N28" s="23">
        <v>1.1385095744680851</v>
      </c>
      <c r="O28" s="23">
        <v>1.9230769230769231</v>
      </c>
      <c r="P28" s="23">
        <v>0.91666666666666652</v>
      </c>
      <c r="Q28" s="24">
        <v>0.9088530473252483</v>
      </c>
      <c r="R28" s="24"/>
      <c r="S28" s="24"/>
      <c r="T28" s="4"/>
    </row>
    <row r="29" spans="1:20" x14ac:dyDescent="0.35">
      <c r="A29" s="15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5" t="str">
        <f>VLOOKUP(B29,Mapping!A:D,4,0)</f>
        <v>North</v>
      </c>
      <c r="F29" s="15" t="str">
        <f>VLOOKUP(B29,Mapping!A:E,5,0)</f>
        <v>Anjli</v>
      </c>
      <c r="G29" s="15" t="str">
        <f>VLOOKUP(B29,Mapping!A:F,6,0)</f>
        <v>Archana</v>
      </c>
      <c r="H29" s="23">
        <v>0.55070381679389313</v>
      </c>
      <c r="I29" s="23">
        <v>0.62380438116100767</v>
      </c>
      <c r="J29" s="23">
        <v>0.49773755656108604</v>
      </c>
      <c r="K29" s="23">
        <v>0.73349633251833746</v>
      </c>
      <c r="L29" s="23">
        <v>1.4</v>
      </c>
      <c r="M29" s="23">
        <v>1.0256410256410255</v>
      </c>
      <c r="N29" s="23">
        <v>1.153846153846154</v>
      </c>
      <c r="O29" s="23">
        <v>0.73417721518987333</v>
      </c>
      <c r="P29" s="23">
        <v>1.0204081632653061</v>
      </c>
      <c r="Q29" s="24">
        <v>0.93598769964312933</v>
      </c>
      <c r="R29" s="24"/>
      <c r="S29" s="24"/>
      <c r="T29" s="4"/>
    </row>
    <row r="30" spans="1:20" x14ac:dyDescent="0.35">
      <c r="A30" s="15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5" t="str">
        <f>VLOOKUP(B30,Mapping!A:D,4,0)</f>
        <v>South 2</v>
      </c>
      <c r="F30" s="15" t="str">
        <f>VLOOKUP(B30,Mapping!A:E,5,0)</f>
        <v>Sulabh</v>
      </c>
      <c r="G30" s="15" t="str">
        <f>VLOOKUP(B30,Mapping!A:F,6,0)</f>
        <v>Krishna</v>
      </c>
      <c r="H30" s="23">
        <v>0.80033333333333323</v>
      </c>
      <c r="I30" s="23">
        <v>0</v>
      </c>
      <c r="J30" s="23">
        <v>2.5760000000000001</v>
      </c>
      <c r="K30" s="23">
        <v>0.66900000000000004</v>
      </c>
      <c r="L30" s="23">
        <v>0.66900000000000004</v>
      </c>
      <c r="M30" s="23">
        <v>0</v>
      </c>
      <c r="N30" s="23">
        <v>0</v>
      </c>
      <c r="O30" s="23">
        <v>0</v>
      </c>
      <c r="P30" s="23">
        <v>0</v>
      </c>
      <c r="Q30" s="24">
        <v>0</v>
      </c>
      <c r="R30" s="24"/>
      <c r="S30" s="24"/>
      <c r="T30" s="4"/>
    </row>
    <row r="31" spans="1:20" x14ac:dyDescent="0.35">
      <c r="A31" s="15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5" t="str">
        <f>VLOOKUP(B31,Mapping!A:D,4,0)</f>
        <v>West 1</v>
      </c>
      <c r="F31" s="15" t="str">
        <f>VLOOKUP(B31,Mapping!A:E,5,0)</f>
        <v>Anjli</v>
      </c>
      <c r="G31" s="15" t="str">
        <f>VLOOKUP(B31,Mapping!A:F,6,0)</f>
        <v>Geetu</v>
      </c>
      <c r="H31" s="23">
        <v>0.92485549132947975</v>
      </c>
      <c r="I31" s="23">
        <v>1.3895424836601309</v>
      </c>
      <c r="J31" s="23">
        <v>1.3725490196078434</v>
      </c>
      <c r="K31" s="23">
        <v>1.4309859154929578</v>
      </c>
      <c r="L31" s="23">
        <v>0.58566197183098589</v>
      </c>
      <c r="M31" s="23">
        <v>1.47887323943662</v>
      </c>
      <c r="N31" s="23">
        <v>1.341549295774648</v>
      </c>
      <c r="O31" s="23">
        <v>1.6428571428571428</v>
      </c>
      <c r="P31" s="23">
        <v>2.389312977099237</v>
      </c>
      <c r="Q31" s="24">
        <v>0.8205234420620906</v>
      </c>
      <c r="R31" s="24"/>
      <c r="S31" s="24"/>
      <c r="T31" s="4"/>
    </row>
    <row r="32" spans="1:20" x14ac:dyDescent="0.35">
      <c r="A32" s="15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5" t="str">
        <f>VLOOKUP(B32,Mapping!A:D,4,0)</f>
        <v>West 1</v>
      </c>
      <c r="F32" s="15" t="str">
        <f>VLOOKUP(B32,Mapping!A:E,5,0)</f>
        <v>Anjli</v>
      </c>
      <c r="G32" s="15" t="str">
        <f>VLOOKUP(B32,Mapping!A:F,6,0)</f>
        <v>Geetu</v>
      </c>
      <c r="H32" s="23">
        <v>0.5958461538461538</v>
      </c>
      <c r="I32" s="23">
        <v>1.7</v>
      </c>
      <c r="J32" s="23">
        <v>0.2153846153846154</v>
      </c>
      <c r="K32" s="23">
        <v>0.94833333333333347</v>
      </c>
      <c r="L32" s="23">
        <v>3.5454545454545454E-2</v>
      </c>
      <c r="M32" s="23">
        <v>0.45</v>
      </c>
      <c r="N32" s="23">
        <v>0.70833333333333348</v>
      </c>
      <c r="O32" s="23">
        <v>0.35</v>
      </c>
      <c r="P32" s="23">
        <v>1.82</v>
      </c>
      <c r="Q32" s="24">
        <v>1.1460005473252486</v>
      </c>
      <c r="R32" s="24"/>
      <c r="S32" s="24"/>
      <c r="T32" s="4"/>
    </row>
    <row r="33" spans="1:20" x14ac:dyDescent="0.35">
      <c r="A33" s="15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5" t="str">
        <f>VLOOKUP(B33,Mapping!A:D,4,0)</f>
        <v>West 1</v>
      </c>
      <c r="F33" s="15" t="str">
        <f>VLOOKUP(B33,Mapping!A:E,5,0)</f>
        <v>Anjli</v>
      </c>
      <c r="G33" s="15" t="str">
        <f>VLOOKUP(B33,Mapping!A:F,6,0)</f>
        <v>Geetu</v>
      </c>
      <c r="H33" s="23">
        <v>0.57307692307692315</v>
      </c>
      <c r="I33" s="23">
        <v>0.75039999999999996</v>
      </c>
      <c r="J33" s="23">
        <v>0.91428571428571437</v>
      </c>
      <c r="K33" s="23">
        <v>1.9534883720930232</v>
      </c>
      <c r="L33" s="23">
        <v>3.6521739130434785</v>
      </c>
      <c r="M33" s="23">
        <v>2.896551724137931</v>
      </c>
      <c r="N33" s="23">
        <v>2.2068965517241379</v>
      </c>
      <c r="O33" s="23">
        <v>2.2068965517241379</v>
      </c>
      <c r="P33" s="23">
        <v>2.7333333333333329</v>
      </c>
      <c r="Q33" s="24">
        <v>0</v>
      </c>
      <c r="R33" s="24"/>
      <c r="S33" s="24"/>
      <c r="T33" s="4"/>
    </row>
    <row r="34" spans="1:20" x14ac:dyDescent="0.35">
      <c r="A34" s="15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5" t="str">
        <f>VLOOKUP(B34,Mapping!A:D,4,0)</f>
        <v>North</v>
      </c>
      <c r="F34" s="15" t="str">
        <f>VLOOKUP(B34,Mapping!A:E,5,0)</f>
        <v>Anjli</v>
      </c>
      <c r="G34" s="15" t="str">
        <f>VLOOKUP(B34,Mapping!A:F,6,0)</f>
        <v>Archana</v>
      </c>
      <c r="H34" s="23">
        <v>1.1815</v>
      </c>
      <c r="I34" s="23">
        <v>1</v>
      </c>
      <c r="J34" s="23">
        <v>1</v>
      </c>
      <c r="K34" s="23">
        <v>0</v>
      </c>
      <c r="L34" s="23">
        <v>0</v>
      </c>
      <c r="M34" s="23">
        <v>0</v>
      </c>
      <c r="N34" s="23">
        <v>0</v>
      </c>
      <c r="O34" s="23">
        <v>2</v>
      </c>
      <c r="P34" s="23">
        <v>0</v>
      </c>
      <c r="Q34" s="24">
        <v>0.77474054732524833</v>
      </c>
      <c r="R34" s="24"/>
      <c r="S34" s="24"/>
      <c r="T34" s="4"/>
    </row>
    <row r="35" spans="1:20" x14ac:dyDescent="0.35">
      <c r="A35" s="15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5" t="str">
        <f>VLOOKUP(B35,Mapping!A:D,4,0)</f>
        <v>North</v>
      </c>
      <c r="F35" s="15" t="str">
        <f>VLOOKUP(B35,Mapping!A:E,5,0)</f>
        <v>Anjli</v>
      </c>
      <c r="G35" s="15" t="str">
        <f>VLOOKUP(B35,Mapping!A:F,6,0)</f>
        <v>Archana</v>
      </c>
      <c r="H35" s="23">
        <v>1.1838</v>
      </c>
      <c r="I35" s="23">
        <v>0.76923076923076927</v>
      </c>
      <c r="J35" s="23">
        <v>0.23076923076923075</v>
      </c>
      <c r="K35" s="23">
        <v>0.44776119402985076</v>
      </c>
      <c r="L35" s="23">
        <v>0.69444444444444442</v>
      </c>
      <c r="M35" s="23">
        <v>0.56458333333333333</v>
      </c>
      <c r="N35" s="23">
        <v>0.27777777777777779</v>
      </c>
      <c r="O35" s="23">
        <v>0.31483870967741939</v>
      </c>
      <c r="P35" s="23">
        <v>0.88</v>
      </c>
      <c r="Q35" s="24">
        <v>0.96298986239374162</v>
      </c>
      <c r="R35" s="24"/>
      <c r="S35" s="24"/>
      <c r="T35" s="4"/>
    </row>
    <row r="36" spans="1:20" x14ac:dyDescent="0.35">
      <c r="A36" s="15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5" t="str">
        <f>VLOOKUP(B36,Mapping!A:D,4,0)</f>
        <v>West 1</v>
      </c>
      <c r="F36" s="15" t="str">
        <f>VLOOKUP(B36,Mapping!A:E,5,0)</f>
        <v>Anjli</v>
      </c>
      <c r="G36" s="15" t="str">
        <f>VLOOKUP(B36,Mapping!A:F,6,0)</f>
        <v>Geetu</v>
      </c>
      <c r="H36" s="23">
        <v>1.0809523809523809</v>
      </c>
      <c r="I36" s="23">
        <v>1.0895238095238096</v>
      </c>
      <c r="J36" s="23">
        <v>1.0351999999999999</v>
      </c>
      <c r="K36" s="23">
        <v>1.6213592233009706</v>
      </c>
      <c r="L36" s="23">
        <v>1.440776699029126</v>
      </c>
      <c r="M36" s="23">
        <v>1.6873786407766989</v>
      </c>
      <c r="N36" s="23">
        <v>1.2485436893203883</v>
      </c>
      <c r="O36" s="23">
        <v>1.6699029126213589</v>
      </c>
      <c r="P36" s="23">
        <v>2.1862745098039218</v>
      </c>
      <c r="Q36" s="24">
        <v>0.85234054732524833</v>
      </c>
      <c r="R36" s="24"/>
      <c r="S36" s="24"/>
      <c r="T36" s="4"/>
    </row>
    <row r="37" spans="1:20" x14ac:dyDescent="0.35">
      <c r="A37" s="15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5" t="str">
        <f>VLOOKUP(B37,Mapping!A:D,4,0)</f>
        <v>West 2</v>
      </c>
      <c r="F37" s="15" t="str">
        <f>VLOOKUP(B37,Mapping!A:E,5,0)</f>
        <v>Anjli</v>
      </c>
      <c r="G37" s="15" t="str">
        <f>VLOOKUP(B37,Mapping!A:F,6,0)</f>
        <v>Shweta</v>
      </c>
      <c r="H37" s="23">
        <v>1.138095238095238</v>
      </c>
      <c r="I37" s="23">
        <v>2.4818181818181815</v>
      </c>
      <c r="J37" s="23">
        <v>4.8470647058823531</v>
      </c>
      <c r="K37" s="23">
        <v>2.1818181818181817</v>
      </c>
      <c r="L37" s="23">
        <v>1.3823529411764706</v>
      </c>
      <c r="M37" s="23">
        <v>1.8181818181818179</v>
      </c>
      <c r="N37" s="23">
        <v>0.93235294117647061</v>
      </c>
      <c r="O37" s="23">
        <v>2.0833333333333335</v>
      </c>
      <c r="P37" s="23">
        <v>3.0533708333333336</v>
      </c>
      <c r="Q37" s="24">
        <v>1.1173738806585818</v>
      </c>
      <c r="R37" s="24"/>
      <c r="S37" s="24"/>
      <c r="T37" s="4"/>
    </row>
    <row r="38" spans="1:20" x14ac:dyDescent="0.35">
      <c r="A38" s="15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5" t="str">
        <f>VLOOKUP(B38,Mapping!A:D,4,0)</f>
        <v>West 1</v>
      </c>
      <c r="F38" s="15" t="str">
        <f>VLOOKUP(B38,Mapping!A:E,5,0)</f>
        <v>Anjli</v>
      </c>
      <c r="G38" s="15" t="str">
        <f>VLOOKUP(B38,Mapping!A:F,6,0)</f>
        <v>Ankit</v>
      </c>
      <c r="H38" s="23">
        <v>1.8397162499999999</v>
      </c>
      <c r="I38" s="23">
        <v>1.625</v>
      </c>
      <c r="J38" s="23">
        <v>1.8636363636363635</v>
      </c>
      <c r="K38" s="23">
        <v>1.4285714285714286</v>
      </c>
      <c r="L38" s="23">
        <v>1.25</v>
      </c>
      <c r="M38" s="23">
        <v>1.3157894736842104</v>
      </c>
      <c r="N38" s="23">
        <v>1.3157894736842104</v>
      </c>
      <c r="O38" s="23">
        <v>1.3636363636363635</v>
      </c>
      <c r="P38" s="23">
        <v>1.1860070833333334</v>
      </c>
      <c r="Q38" s="24">
        <v>0.85682774732524847</v>
      </c>
      <c r="R38" s="24"/>
      <c r="S38" s="24"/>
      <c r="T38" s="4"/>
    </row>
    <row r="39" spans="1:20" x14ac:dyDescent="0.35">
      <c r="A39" s="15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5" t="str">
        <f>VLOOKUP(B39,Mapping!A:D,4,0)</f>
        <v>South 2</v>
      </c>
      <c r="F39" s="15" t="str">
        <f>VLOOKUP(B39,Mapping!A:E,5,0)</f>
        <v>Sulabh</v>
      </c>
      <c r="G39" s="15" t="str">
        <f>VLOOKUP(B39,Mapping!A:F,6,0)</f>
        <v>Krishna</v>
      </c>
      <c r="H39" s="23">
        <v>0.30512926829268294</v>
      </c>
      <c r="I39" s="23">
        <v>1.7848829268292683</v>
      </c>
      <c r="J39" s="23">
        <v>2.8470737588652484</v>
      </c>
      <c r="K39" s="23">
        <v>1.7021276595744683</v>
      </c>
      <c r="L39" s="23">
        <v>1.7497859259259259</v>
      </c>
      <c r="M39" s="23">
        <v>1.5151515151515151</v>
      </c>
      <c r="N39" s="23">
        <v>1.0243774193548387</v>
      </c>
      <c r="O39" s="23">
        <v>0.70672909090909086</v>
      </c>
      <c r="P39" s="23">
        <v>0.96551724137931028</v>
      </c>
      <c r="Q39" s="24">
        <v>0.85208054732524829</v>
      </c>
      <c r="R39" s="24"/>
      <c r="S39" s="24"/>
      <c r="T39" s="4"/>
    </row>
    <row r="40" spans="1:20" x14ac:dyDescent="0.35">
      <c r="A40" s="15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5" t="str">
        <f>VLOOKUP(B40,Mapping!A:D,4,0)</f>
        <v>North</v>
      </c>
      <c r="F40" s="15" t="str">
        <f>VLOOKUP(B40,Mapping!A:E,5,0)</f>
        <v>Anjli</v>
      </c>
      <c r="G40" s="15" t="str">
        <f>VLOOKUP(B40,Mapping!A:F,6,0)</f>
        <v>Archana</v>
      </c>
      <c r="H40" s="23">
        <v>0.35714285714285715</v>
      </c>
      <c r="I40" s="23">
        <v>0.50000000000000011</v>
      </c>
      <c r="J40" s="23">
        <v>0.89696031746031757</v>
      </c>
      <c r="K40" s="23">
        <v>0.73394495412844041</v>
      </c>
      <c r="L40" s="23">
        <v>1.5000000000000002</v>
      </c>
      <c r="M40" s="23">
        <v>1.077408988764045</v>
      </c>
      <c r="N40" s="23">
        <v>0.60240963855421692</v>
      </c>
      <c r="O40" s="23">
        <v>1.3571428571428574</v>
      </c>
      <c r="P40" s="23">
        <v>1.0697674418604652</v>
      </c>
      <c r="Q40" s="24">
        <v>0.90096172379583661</v>
      </c>
      <c r="R40" s="24"/>
      <c r="S40" s="24"/>
      <c r="T40" s="4"/>
    </row>
    <row r="41" spans="1:20" x14ac:dyDescent="0.35">
      <c r="A41" s="15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5" t="str">
        <f>VLOOKUP(B41,Mapping!A:D,4,0)</f>
        <v>South 2</v>
      </c>
      <c r="F41" s="15" t="str">
        <f>VLOOKUP(B41,Mapping!A:E,5,0)</f>
        <v>Sulabh</v>
      </c>
      <c r="G41" s="15" t="str">
        <f>VLOOKUP(B41,Mapping!A:F,6,0)</f>
        <v>Krishna</v>
      </c>
      <c r="H41" s="23">
        <v>0.94</v>
      </c>
      <c r="I41" s="23">
        <v>1.6252439024390246</v>
      </c>
      <c r="J41" s="23">
        <v>3.0726568627450983</v>
      </c>
      <c r="K41" s="23">
        <v>0.62623529411764711</v>
      </c>
      <c r="L41" s="23">
        <v>-0.45912500000000001</v>
      </c>
      <c r="M41" s="23">
        <v>0</v>
      </c>
      <c r="N41" s="23">
        <v>0</v>
      </c>
      <c r="O41" s="23">
        <v>0</v>
      </c>
      <c r="P41" s="23">
        <v>0</v>
      </c>
      <c r="Q41" s="24">
        <v>0.5980305473252483</v>
      </c>
      <c r="R41" s="24"/>
      <c r="S41" s="24"/>
      <c r="T41" s="4"/>
    </row>
    <row r="42" spans="1:20" x14ac:dyDescent="0.35">
      <c r="A42" s="15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5" t="str">
        <f>VLOOKUP(B42,Mapping!A:D,4,0)</f>
        <v>West 1</v>
      </c>
      <c r="F42" s="15" t="str">
        <f>VLOOKUP(B42,Mapping!A:E,5,0)</f>
        <v>Anjli</v>
      </c>
      <c r="G42" s="15" t="str">
        <f>VLOOKUP(B42,Mapping!A:F,6,0)</f>
        <v>Elton</v>
      </c>
      <c r="H42" s="23" t="s">
        <v>0</v>
      </c>
      <c r="I42" s="23" t="s">
        <v>0</v>
      </c>
      <c r="J42" s="23" t="s">
        <v>0</v>
      </c>
      <c r="K42" s="23" t="s">
        <v>0</v>
      </c>
      <c r="L42" s="23" t="s">
        <v>0</v>
      </c>
      <c r="M42" s="23" t="s">
        <v>0</v>
      </c>
      <c r="N42" s="23" t="s">
        <v>0</v>
      </c>
      <c r="O42" s="23" t="s">
        <v>0</v>
      </c>
      <c r="P42" s="23" t="s">
        <v>0</v>
      </c>
      <c r="Q42" s="24" t="s">
        <v>0</v>
      </c>
      <c r="R42" s="24"/>
      <c r="S42" s="24"/>
      <c r="T42" s="4"/>
    </row>
    <row r="43" spans="1:20" x14ac:dyDescent="0.35">
      <c r="A43" s="15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5" t="str">
        <f>VLOOKUP(B43,Mapping!A:D,4,0)</f>
        <v>West 2</v>
      </c>
      <c r="F43" s="15" t="str">
        <f>VLOOKUP(B43,Mapping!A:E,5,0)</f>
        <v>Anjli</v>
      </c>
      <c r="G43" s="15" t="str">
        <f>VLOOKUP(B43,Mapping!A:F,6,0)</f>
        <v>Shweta</v>
      </c>
      <c r="H43" s="23" t="s">
        <v>0</v>
      </c>
      <c r="I43" s="23" t="s">
        <v>0</v>
      </c>
      <c r="J43" s="23" t="s">
        <v>0</v>
      </c>
      <c r="K43" s="23" t="s">
        <v>0</v>
      </c>
      <c r="L43" s="23" t="s">
        <v>0</v>
      </c>
      <c r="M43" s="23" t="s">
        <v>0</v>
      </c>
      <c r="N43" s="23" t="s">
        <v>0</v>
      </c>
      <c r="O43" s="23" t="s">
        <v>0</v>
      </c>
      <c r="P43" s="23" t="s">
        <v>0</v>
      </c>
      <c r="Q43" s="24" t="s">
        <v>0</v>
      </c>
      <c r="R43" s="24"/>
      <c r="S43" s="24"/>
      <c r="T43" s="4"/>
    </row>
    <row r="44" spans="1:20" x14ac:dyDescent="0.35">
      <c r="A44" s="15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5" t="str">
        <f>VLOOKUP(B44,Mapping!A:D,4,0)</f>
        <v>West 1</v>
      </c>
      <c r="F44" s="15" t="str">
        <f>VLOOKUP(B44,Mapping!A:E,5,0)</f>
        <v>Anjli</v>
      </c>
      <c r="G44" s="15" t="str">
        <f>VLOOKUP(B44,Mapping!A:F,6,0)</f>
        <v>Elton</v>
      </c>
      <c r="H44" s="23" t="s">
        <v>0</v>
      </c>
      <c r="I44" s="23" t="s">
        <v>0</v>
      </c>
      <c r="J44" s="23" t="s">
        <v>0</v>
      </c>
      <c r="K44" s="23" t="s">
        <v>0</v>
      </c>
      <c r="L44" s="23" t="s">
        <v>0</v>
      </c>
      <c r="M44" s="23" t="s">
        <v>0</v>
      </c>
      <c r="N44" s="23" t="s">
        <v>0</v>
      </c>
      <c r="O44" s="23" t="s">
        <v>0</v>
      </c>
      <c r="P44" s="23" t="s">
        <v>0</v>
      </c>
      <c r="Q44" s="24" t="s">
        <v>0</v>
      </c>
      <c r="R44" s="24"/>
      <c r="S44" s="24"/>
      <c r="T44" s="4"/>
    </row>
    <row r="45" spans="1:20" x14ac:dyDescent="0.35">
      <c r="A45" s="15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5" t="str">
        <f>VLOOKUP(B45,Mapping!A:D,4,0)</f>
        <v>South 2</v>
      </c>
      <c r="F45" s="15" t="str">
        <f>VLOOKUP(B45,Mapping!A:E,5,0)</f>
        <v>Sulabh</v>
      </c>
      <c r="G45" s="15" t="str">
        <f>VLOOKUP(B45,Mapping!A:F,6,0)</f>
        <v>Subu</v>
      </c>
      <c r="H45" s="23" t="s">
        <v>0</v>
      </c>
      <c r="I45" s="23" t="s">
        <v>0</v>
      </c>
      <c r="J45" s="23" t="s">
        <v>0</v>
      </c>
      <c r="K45" s="23" t="s">
        <v>0</v>
      </c>
      <c r="L45" s="23" t="s">
        <v>0</v>
      </c>
      <c r="M45" s="23" t="s">
        <v>0</v>
      </c>
      <c r="N45" s="23" t="s">
        <v>0</v>
      </c>
      <c r="O45" s="23" t="s">
        <v>0</v>
      </c>
      <c r="P45" s="23" t="s">
        <v>0</v>
      </c>
      <c r="Q45" s="24">
        <v>0</v>
      </c>
      <c r="R45" s="24"/>
      <c r="S45" s="24"/>
      <c r="T45" s="4"/>
    </row>
    <row r="46" spans="1:20" x14ac:dyDescent="0.35">
      <c r="A46" s="15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5" t="str">
        <f>VLOOKUP(B46,Mapping!A:D,4,0)</f>
        <v>West 1</v>
      </c>
      <c r="F46" s="15" t="str">
        <f>VLOOKUP(B46,Mapping!A:E,5,0)</f>
        <v>Anjli</v>
      </c>
      <c r="G46" s="15" t="str">
        <f>VLOOKUP(B46,Mapping!A:F,6,0)</f>
        <v>Elton</v>
      </c>
      <c r="H46" s="23" t="s">
        <v>0</v>
      </c>
      <c r="I46" s="23" t="s">
        <v>0</v>
      </c>
      <c r="J46" s="23" t="s">
        <v>0</v>
      </c>
      <c r="K46" s="23" t="s">
        <v>0</v>
      </c>
      <c r="L46" s="23" t="s">
        <v>0</v>
      </c>
      <c r="M46" s="23" t="s">
        <v>0</v>
      </c>
      <c r="N46" s="23" t="s">
        <v>0</v>
      </c>
      <c r="O46" s="23" t="s">
        <v>0</v>
      </c>
      <c r="P46" s="23" t="s">
        <v>0</v>
      </c>
      <c r="Q46" s="24" t="s">
        <v>0</v>
      </c>
      <c r="R46" s="24"/>
      <c r="S46" s="24"/>
      <c r="T46" s="4"/>
    </row>
    <row r="47" spans="1:20" x14ac:dyDescent="0.35">
      <c r="A47" s="15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5" t="str">
        <f>VLOOKUP(B47,Mapping!A:D,4,0)</f>
        <v>South 2</v>
      </c>
      <c r="F47" s="15" t="str">
        <f>VLOOKUP(B47,Mapping!A:E,5,0)</f>
        <v>Sulabh</v>
      </c>
      <c r="G47" s="15" t="str">
        <f>VLOOKUP(B47,Mapping!A:F,6,0)</f>
        <v>Sulabh</v>
      </c>
      <c r="H47" s="23" t="s">
        <v>0</v>
      </c>
      <c r="I47" s="23" t="s">
        <v>0</v>
      </c>
      <c r="J47" s="23" t="s">
        <v>0</v>
      </c>
      <c r="K47" s="23" t="s">
        <v>0</v>
      </c>
      <c r="L47" s="23" t="s">
        <v>0</v>
      </c>
      <c r="M47" s="23" t="s">
        <v>0</v>
      </c>
      <c r="N47" s="23" t="s">
        <v>0</v>
      </c>
      <c r="O47" s="23" t="s">
        <v>0</v>
      </c>
      <c r="P47" s="23" t="s">
        <v>0</v>
      </c>
      <c r="Q47" s="24" t="s">
        <v>0</v>
      </c>
      <c r="R47" s="24"/>
      <c r="S47" s="24"/>
      <c r="T47" s="4"/>
    </row>
    <row r="48" spans="1:20" x14ac:dyDescent="0.35">
      <c r="A48" s="15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5" t="str">
        <f>VLOOKUP(B48,Mapping!A:D,4,0)</f>
        <v>South 2</v>
      </c>
      <c r="F48" s="15" t="str">
        <f>VLOOKUP(B48,Mapping!A:E,5,0)</f>
        <v>Sulabh</v>
      </c>
      <c r="G48" s="15" t="str">
        <f>VLOOKUP(B48,Mapping!A:F,6,0)</f>
        <v>Sulabh</v>
      </c>
      <c r="H48" s="23" t="s">
        <v>0</v>
      </c>
      <c r="I48" s="23" t="s">
        <v>0</v>
      </c>
      <c r="J48" s="23" t="s">
        <v>0</v>
      </c>
      <c r="K48" s="23" t="s">
        <v>0</v>
      </c>
      <c r="L48" s="23" t="s">
        <v>0</v>
      </c>
      <c r="M48" s="23" t="s">
        <v>0</v>
      </c>
      <c r="N48" s="23" t="s">
        <v>0</v>
      </c>
      <c r="O48" s="23" t="s">
        <v>0</v>
      </c>
      <c r="P48" s="23" t="s">
        <v>0</v>
      </c>
      <c r="Q48" s="24">
        <v>0</v>
      </c>
      <c r="R48" s="24"/>
      <c r="S48" s="24"/>
      <c r="T48" s="4"/>
    </row>
    <row r="49" spans="1:20" x14ac:dyDescent="0.35">
      <c r="A49" s="15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5" t="str">
        <f>VLOOKUP(B49,Mapping!A:D,4,0)</f>
        <v>South 2</v>
      </c>
      <c r="F49" s="15" t="str">
        <f>VLOOKUP(B49,Mapping!A:E,5,0)</f>
        <v>Sulabh</v>
      </c>
      <c r="G49" s="15" t="str">
        <f>VLOOKUP(B49,Mapping!A:F,6,0)</f>
        <v>Abhilash</v>
      </c>
      <c r="H49" s="23" t="s">
        <v>0</v>
      </c>
      <c r="I49" s="23" t="s">
        <v>0</v>
      </c>
      <c r="J49" s="23" t="s">
        <v>0</v>
      </c>
      <c r="K49" s="23" t="s">
        <v>0</v>
      </c>
      <c r="L49" s="23" t="s">
        <v>0</v>
      </c>
      <c r="M49" s="23" t="s">
        <v>0</v>
      </c>
      <c r="N49" s="23" t="s">
        <v>0</v>
      </c>
      <c r="O49" s="23" t="s">
        <v>0</v>
      </c>
      <c r="P49" s="23" t="s">
        <v>0</v>
      </c>
      <c r="Q49" s="24">
        <v>0</v>
      </c>
      <c r="R49" s="24"/>
      <c r="S49" s="24"/>
      <c r="T49" s="4"/>
    </row>
    <row r="50" spans="1:20" x14ac:dyDescent="0.35">
      <c r="A50" s="15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5" t="str">
        <f>VLOOKUP(B50,Mapping!A:D,4,0)</f>
        <v>West 1</v>
      </c>
      <c r="F50" s="15" t="str">
        <f>VLOOKUP(B50,Mapping!A:E,5,0)</f>
        <v>Anjli</v>
      </c>
      <c r="G50" s="15" t="str">
        <f>VLOOKUP(B50,Mapping!A:F,6,0)</f>
        <v>Elton</v>
      </c>
      <c r="H50" s="23" t="s">
        <v>0</v>
      </c>
      <c r="I50" s="23" t="s">
        <v>0</v>
      </c>
      <c r="J50" s="23" t="s">
        <v>0</v>
      </c>
      <c r="K50" s="23" t="s">
        <v>0</v>
      </c>
      <c r="L50" s="23" t="s">
        <v>0</v>
      </c>
      <c r="M50" s="23" t="s">
        <v>0</v>
      </c>
      <c r="N50" s="23" t="s">
        <v>0</v>
      </c>
      <c r="O50" s="23" t="s">
        <v>0</v>
      </c>
      <c r="P50" s="23" t="s">
        <v>0</v>
      </c>
      <c r="Q50" s="24" t="s">
        <v>0</v>
      </c>
      <c r="R50" s="24"/>
      <c r="S50" s="24"/>
      <c r="T50" s="4"/>
    </row>
    <row r="51" spans="1:20" x14ac:dyDescent="0.35">
      <c r="A51" s="15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5" t="str">
        <f>VLOOKUP(B51,Mapping!A:D,4,0)</f>
        <v>South 1</v>
      </c>
      <c r="F51" s="15" t="str">
        <f>VLOOKUP(B51,Mapping!A:E,5,0)</f>
        <v>Bapi</v>
      </c>
      <c r="G51" s="15" t="str">
        <f>VLOOKUP(B51,Mapping!A:F,6,0)</f>
        <v>Parul</v>
      </c>
      <c r="H51" s="23">
        <v>0.26666666666666666</v>
      </c>
      <c r="I51" s="23">
        <v>1.2</v>
      </c>
      <c r="J51" s="23">
        <v>0.83764000000000005</v>
      </c>
      <c r="K51" s="23">
        <v>0.12707599999999999</v>
      </c>
      <c r="L51" s="23">
        <v>-0.47927199999999998</v>
      </c>
      <c r="M51" s="23">
        <v>1.2</v>
      </c>
      <c r="N51" s="23">
        <v>-0.36462800000000001</v>
      </c>
      <c r="O51" s="23">
        <v>-2</v>
      </c>
      <c r="P51" s="23">
        <v>0</v>
      </c>
      <c r="Q51" s="24">
        <v>1.7168645473252484</v>
      </c>
      <c r="R51" s="24"/>
      <c r="S51" s="24"/>
      <c r="T51" s="4"/>
    </row>
    <row r="52" spans="1:20" x14ac:dyDescent="0.35">
      <c r="A52" s="15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5" t="str">
        <f>VLOOKUP(B52,Mapping!A:D,4,0)</f>
        <v>South 2</v>
      </c>
      <c r="F52" s="15" t="str">
        <f>VLOOKUP(B52,Mapping!A:E,5,0)</f>
        <v>Sulabh</v>
      </c>
      <c r="G52" s="15" t="str">
        <f>VLOOKUP(B52,Mapping!A:F,6,0)</f>
        <v>Parul</v>
      </c>
      <c r="H52" s="23">
        <v>0</v>
      </c>
      <c r="I52" s="23">
        <v>0</v>
      </c>
      <c r="J52" s="23">
        <v>0</v>
      </c>
      <c r="K52" s="23">
        <v>0</v>
      </c>
      <c r="L52" s="23">
        <v>9.5</v>
      </c>
      <c r="M52" s="23">
        <v>9</v>
      </c>
      <c r="N52" s="23">
        <v>0</v>
      </c>
      <c r="O52" s="23">
        <v>0</v>
      </c>
      <c r="P52" s="23">
        <v>0</v>
      </c>
      <c r="Q52" s="24">
        <v>0</v>
      </c>
      <c r="R52" s="24"/>
      <c r="S52" s="24"/>
      <c r="T52" s="4"/>
    </row>
    <row r="53" spans="1:20" x14ac:dyDescent="0.35">
      <c r="A53" s="15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5" t="str">
        <f>VLOOKUP(B53,Mapping!A:D,4,0)</f>
        <v>West 2</v>
      </c>
      <c r="F53" s="15" t="str">
        <f>VLOOKUP(B53,Mapping!A:E,5,0)</f>
        <v>Anjli</v>
      </c>
      <c r="G53" s="15" t="str">
        <f>VLOOKUP(B53,Mapping!A:F,6,0)</f>
        <v>Parul</v>
      </c>
      <c r="H53" s="23">
        <v>0</v>
      </c>
      <c r="I53" s="23">
        <v>2.2000000000000002</v>
      </c>
      <c r="J53" s="23">
        <v>0.4</v>
      </c>
      <c r="K53" s="23">
        <v>17.64</v>
      </c>
      <c r="L53" s="23">
        <v>33.5</v>
      </c>
      <c r="M53" s="23">
        <v>3.2</v>
      </c>
      <c r="N53" s="23">
        <v>0</v>
      </c>
      <c r="O53" s="23">
        <v>-3.8453030303030302</v>
      </c>
      <c r="P53" s="23">
        <v>1.2121212121212119</v>
      </c>
      <c r="Q53" s="24">
        <v>1.3239708503555516</v>
      </c>
      <c r="R53" s="24"/>
      <c r="S53" s="24"/>
      <c r="T53" s="4"/>
    </row>
    <row r="54" spans="1:20" x14ac:dyDescent="0.35">
      <c r="A54" s="15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5" t="str">
        <f>VLOOKUP(B54,Mapping!A:D,4,0)</f>
        <v>West 1</v>
      </c>
      <c r="F54" s="15" t="str">
        <f>VLOOKUP(B54,Mapping!A:E,5,0)</f>
        <v>Anjli</v>
      </c>
      <c r="G54" s="15" t="str">
        <f>VLOOKUP(B54,Mapping!A:F,6,0)</f>
        <v>Parul</v>
      </c>
      <c r="H54" s="23">
        <v>0</v>
      </c>
      <c r="I54" s="23">
        <v>5.7978947368421059</v>
      </c>
      <c r="J54" s="23">
        <v>1.395</v>
      </c>
      <c r="K54" s="23">
        <v>1.3205128205128207</v>
      </c>
      <c r="L54" s="23">
        <v>3.5441176470588234</v>
      </c>
      <c r="M54" s="23">
        <v>5.78</v>
      </c>
      <c r="N54" s="23">
        <v>6.9230769230769235E-2</v>
      </c>
      <c r="O54" s="23">
        <v>0.49523809523809526</v>
      </c>
      <c r="P54" s="23">
        <v>2.2925617391304347</v>
      </c>
      <c r="Q54" s="24">
        <v>1.1972677473252484</v>
      </c>
      <c r="R54" s="24"/>
      <c r="S54" s="24"/>
      <c r="T54" s="4"/>
    </row>
    <row r="55" spans="1:20" x14ac:dyDescent="0.35">
      <c r="A55" s="15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5" t="str">
        <f>VLOOKUP(B55,Mapping!A:D,4,0)</f>
        <v>West 1</v>
      </c>
      <c r="F55" s="15" t="str">
        <f>VLOOKUP(B55,Mapping!A:E,5,0)</f>
        <v>Anjli</v>
      </c>
      <c r="G55" s="15" t="str">
        <f>VLOOKUP(B55,Mapping!A:F,6,0)</f>
        <v>Parul</v>
      </c>
      <c r="H55" s="23">
        <v>1.49</v>
      </c>
      <c r="I55" s="23">
        <v>1.86</v>
      </c>
      <c r="J55" s="23">
        <v>4.8</v>
      </c>
      <c r="K55" s="23">
        <v>1.5</v>
      </c>
      <c r="L55" s="23">
        <v>5.2249999999999996</v>
      </c>
      <c r="M55" s="23">
        <v>5.7149999999999999</v>
      </c>
      <c r="N55" s="23">
        <v>0</v>
      </c>
      <c r="O55" s="23">
        <v>2.75</v>
      </c>
      <c r="P55" s="23">
        <v>0.33500000000000002</v>
      </c>
      <c r="Q55" s="24">
        <v>0.97154054732524853</v>
      </c>
      <c r="R55" s="24"/>
      <c r="S55" s="24"/>
      <c r="T55" s="4"/>
    </row>
    <row r="56" spans="1:20" x14ac:dyDescent="0.35">
      <c r="A56" s="15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5" t="str">
        <f>VLOOKUP(B56,Mapping!A:D,4,0)</f>
        <v>South 2</v>
      </c>
      <c r="F56" s="15" t="str">
        <f>VLOOKUP(B56,Mapping!A:E,5,0)</f>
        <v>Sulabh</v>
      </c>
      <c r="G56" s="15" t="str">
        <f>VLOOKUP(B56,Mapping!A:F,6,0)</f>
        <v>Parul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4">
        <v>0</v>
      </c>
      <c r="R56" s="24"/>
      <c r="S56" s="24"/>
      <c r="T56" s="4"/>
    </row>
    <row r="57" spans="1:20" x14ac:dyDescent="0.35">
      <c r="A57" s="15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5" t="str">
        <f>VLOOKUP(B57,Mapping!A:D,4,0)</f>
        <v>South 2</v>
      </c>
      <c r="F57" s="15" t="str">
        <f>VLOOKUP(B57,Mapping!A:E,5,0)</f>
        <v>Sulabh</v>
      </c>
      <c r="G57" s="15" t="str">
        <f>VLOOKUP(B57,Mapping!A:F,6,0)</f>
        <v>Parul</v>
      </c>
      <c r="H57" s="23">
        <v>42.315840000000001</v>
      </c>
      <c r="I57" s="23">
        <v>3.9</v>
      </c>
      <c r="J57" s="23">
        <v>-27.115839999999999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5.3529411764705879</v>
      </c>
      <c r="Q57" s="24">
        <v>1.3239405473252481</v>
      </c>
      <c r="R57" s="24"/>
      <c r="S57" s="24"/>
      <c r="T57" s="4"/>
    </row>
    <row r="58" spans="1:20" x14ac:dyDescent="0.35">
      <c r="A58" s="15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5" t="str">
        <f>VLOOKUP(B58,Mapping!A:D,4,0)</f>
        <v>North</v>
      </c>
      <c r="F58" s="15" t="str">
        <f>VLOOKUP(B58,Mapping!A:E,5,0)</f>
        <v>Anjli</v>
      </c>
      <c r="G58" s="15" t="str">
        <f>VLOOKUP(B58,Mapping!A:F,6,0)</f>
        <v>Parul</v>
      </c>
      <c r="H58" s="23">
        <v>0</v>
      </c>
      <c r="I58" s="23">
        <v>0</v>
      </c>
      <c r="J58" s="23">
        <v>2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4">
        <v>0</v>
      </c>
      <c r="R58" s="24"/>
      <c r="S58" s="24"/>
      <c r="T58" s="4"/>
    </row>
    <row r="59" spans="1:20" x14ac:dyDescent="0.35">
      <c r="A59" s="15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5" t="str">
        <f>VLOOKUP(B59,Mapping!A:D,4,0)</f>
        <v>West 1</v>
      </c>
      <c r="F59" s="15" t="str">
        <f>VLOOKUP(B59,Mapping!A:E,5,0)</f>
        <v>Anjli</v>
      </c>
      <c r="G59" s="15" t="str">
        <f>VLOOKUP(B59,Mapping!A:F,6,0)</f>
        <v>Parul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8.0120481927710845</v>
      </c>
      <c r="O59" s="23">
        <v>2.3614457831325302</v>
      </c>
      <c r="P59" s="23">
        <v>0</v>
      </c>
      <c r="Q59" s="24">
        <v>0.95785620997585064</v>
      </c>
      <c r="R59" s="24"/>
      <c r="S59" s="24"/>
      <c r="T59" s="4"/>
    </row>
    <row r="60" spans="1:20" x14ac:dyDescent="0.35">
      <c r="A60" s="15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5" t="str">
        <f>VLOOKUP(B60,Mapping!A:D,4,0)</f>
        <v>West 2</v>
      </c>
      <c r="F60" s="15" t="str">
        <f>VLOOKUP(B60,Mapping!A:E,5,0)</f>
        <v>Anjli</v>
      </c>
      <c r="G60" s="15" t="str">
        <f>VLOOKUP(B60,Mapping!A:F,6,0)</f>
        <v>Parul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8.94</v>
      </c>
      <c r="N60" s="23">
        <v>0</v>
      </c>
      <c r="O60" s="23">
        <v>6</v>
      </c>
      <c r="P60" s="23">
        <v>0</v>
      </c>
      <c r="Q60" s="24">
        <v>0.71622054732524831</v>
      </c>
      <c r="R60" s="24"/>
      <c r="S60" s="24"/>
      <c r="T60" s="4"/>
    </row>
    <row r="61" spans="1:20" x14ac:dyDescent="0.35">
      <c r="A61" s="15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5" t="str">
        <f>VLOOKUP(B61,Mapping!A:D,4,0)</f>
        <v>North</v>
      </c>
      <c r="F61" s="15" t="str">
        <f>VLOOKUP(B61,Mapping!A:E,5,0)</f>
        <v>Anjli</v>
      </c>
      <c r="G61" s="15" t="str">
        <f>VLOOKUP(B61,Mapping!A:F,6,0)</f>
        <v>Parul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4">
        <v>0</v>
      </c>
      <c r="R61" s="24"/>
      <c r="S61" s="24"/>
      <c r="T61" s="4"/>
    </row>
    <row r="62" spans="1:20" x14ac:dyDescent="0.35">
      <c r="A62" s="15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5" t="str">
        <f>VLOOKUP(B62,Mapping!A:D,4,0)</f>
        <v>North</v>
      </c>
      <c r="F62" s="15" t="str">
        <f>VLOOKUP(B62,Mapping!A:E,5,0)</f>
        <v>Anjli</v>
      </c>
      <c r="G62" s="15" t="str">
        <f>VLOOKUP(B62,Mapping!A:F,6,0)</f>
        <v>Parul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4">
        <v>0</v>
      </c>
      <c r="R62" s="24"/>
      <c r="S62" s="24"/>
      <c r="T62" s="4"/>
    </row>
    <row r="63" spans="1:20" x14ac:dyDescent="0.35">
      <c r="A63" s="15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5" t="str">
        <f>VLOOKUP(B63,Mapping!A:D,4,0)</f>
        <v>West 1</v>
      </c>
      <c r="F63" s="15" t="str">
        <f>VLOOKUP(B63,Mapping!A:E,5,0)</f>
        <v>Anjli</v>
      </c>
      <c r="G63" s="15" t="str">
        <f>VLOOKUP(B63,Mapping!A:F,6,0)</f>
        <v>Parul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4">
        <v>0</v>
      </c>
      <c r="R63" s="24"/>
      <c r="S63" s="24"/>
      <c r="T63" s="4"/>
    </row>
    <row r="64" spans="1:20" x14ac:dyDescent="0.35">
      <c r="A64" s="15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5" t="str">
        <f>VLOOKUP(B64,Mapping!A:D,4,0)</f>
        <v>North</v>
      </c>
      <c r="F64" s="15" t="str">
        <f>VLOOKUP(B64,Mapping!A:E,5,0)</f>
        <v>Anjli</v>
      </c>
      <c r="G64" s="15" t="str">
        <f>VLOOKUP(B64,Mapping!A:F,6,0)</f>
        <v>Parul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4">
        <v>0</v>
      </c>
      <c r="R64" s="24"/>
      <c r="S64" s="24"/>
      <c r="T64" s="4"/>
    </row>
    <row r="65" spans="1:20" x14ac:dyDescent="0.35">
      <c r="A65" s="15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5" t="str">
        <f>VLOOKUP(B65,Mapping!A:D,4,0)</f>
        <v>South 1</v>
      </c>
      <c r="F65" s="15" t="str">
        <f>VLOOKUP(B65,Mapping!A:E,5,0)</f>
        <v>Ashish</v>
      </c>
      <c r="G65" s="15" t="str">
        <f>VLOOKUP(B65,Mapping!A:F,6,0)</f>
        <v>Ashish</v>
      </c>
      <c r="H65" s="23">
        <v>3.1142857142857143</v>
      </c>
      <c r="I65" s="23">
        <v>2.6363636363636367</v>
      </c>
      <c r="J65" s="23">
        <v>3.35</v>
      </c>
      <c r="K65" s="23">
        <v>3.27</v>
      </c>
      <c r="L65" s="23">
        <v>3.6312849162011176</v>
      </c>
      <c r="M65" s="23">
        <v>2.6470588235294112</v>
      </c>
      <c r="N65" s="23">
        <v>2.8508771929824563</v>
      </c>
      <c r="O65" s="23">
        <v>2.8735632183908049</v>
      </c>
      <c r="P65" s="23">
        <v>4.2173913043478262</v>
      </c>
      <c r="Q65" s="24">
        <v>1.1320647139919151</v>
      </c>
      <c r="R65" s="24"/>
      <c r="S65" s="24"/>
      <c r="T65" s="4"/>
    </row>
    <row r="66" spans="1:20" x14ac:dyDescent="0.35">
      <c r="A66" s="15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5" t="str">
        <f>VLOOKUP(B66,Mapping!A:D,4,0)</f>
        <v>New Sales</v>
      </c>
      <c r="F66" s="15" t="str">
        <f>VLOOKUP(B66,Mapping!A:E,5,0)</f>
        <v>Nizar</v>
      </c>
      <c r="G66" s="15" t="str">
        <f>VLOOKUP(B66,Mapping!A:F,6,0)</f>
        <v>Nizar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4" t="s">
        <v>0</v>
      </c>
      <c r="R66" s="24"/>
      <c r="S66" s="24"/>
      <c r="T66" s="4"/>
    </row>
    <row r="67" spans="1:20" x14ac:dyDescent="0.35">
      <c r="A67" s="15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5" t="str">
        <f>VLOOKUP(B67,Mapping!A:D,4,0)</f>
        <v>North</v>
      </c>
      <c r="F67" s="15" t="str">
        <f>VLOOKUP(B67,Mapping!A:E,5,0)</f>
        <v>Anjli</v>
      </c>
      <c r="G67" s="15" t="str">
        <f>VLOOKUP(B67,Mapping!A:F,6,0)</f>
        <v>Archana</v>
      </c>
      <c r="H67" s="23">
        <v>0.375</v>
      </c>
      <c r="I67" s="23">
        <v>0.36585365853658541</v>
      </c>
      <c r="J67" s="23">
        <v>1.0523809523809524</v>
      </c>
      <c r="K67" s="23">
        <v>1.0930232558139537</v>
      </c>
      <c r="L67" s="23">
        <v>0.77209302325581408</v>
      </c>
      <c r="M67" s="23">
        <v>1.2698412698412698</v>
      </c>
      <c r="N67" s="23">
        <v>1.7391304347826086</v>
      </c>
      <c r="O67" s="23">
        <v>1.8528301886792455</v>
      </c>
      <c r="P67" s="23">
        <v>2.0338983050847457</v>
      </c>
      <c r="Q67" s="24">
        <v>0.94337677920930629</v>
      </c>
      <c r="R67" s="24"/>
      <c r="S67" s="24"/>
      <c r="T67" s="4"/>
    </row>
    <row r="68" spans="1:20" x14ac:dyDescent="0.35">
      <c r="A68" s="15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5" t="str">
        <f>VLOOKUP(B68,Mapping!A:D,4,0)</f>
        <v>North</v>
      </c>
      <c r="F68" s="15" t="str">
        <f>VLOOKUP(B68,Mapping!A:E,5,0)</f>
        <v>Anjli</v>
      </c>
      <c r="G68" s="15" t="str">
        <f>VLOOKUP(B68,Mapping!A:F,6,0)</f>
        <v>Archana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0.67307692307692313</v>
      </c>
      <c r="O68" s="23">
        <v>0.65517241379310343</v>
      </c>
      <c r="P68" s="23">
        <v>0.86206896551724144</v>
      </c>
      <c r="Q68" s="24">
        <v>1.0328961028808039</v>
      </c>
      <c r="R68" s="24"/>
      <c r="S68" s="24"/>
      <c r="T68" s="4"/>
    </row>
    <row r="69" spans="1:20" x14ac:dyDescent="0.35">
      <c r="A69" s="15" t="s">
        <v>117</v>
      </c>
      <c r="B69" s="1" t="s">
        <v>133</v>
      </c>
      <c r="C69" s="15" t="str">
        <f>VLOOKUP(B69,Mapping!A:B,2,0)</f>
        <v>Lateral</v>
      </c>
      <c r="D69" s="15" t="str">
        <f>VLOOKUP(B69,Mapping!A:C,3,0)</f>
        <v>West</v>
      </c>
      <c r="E69" s="15" t="str">
        <f>VLOOKUP(B69,Mapping!A:D,4,0)</f>
        <v>West 1</v>
      </c>
      <c r="F69" s="15" t="str">
        <f>VLOOKUP(B69,Mapping!A:E,5,0)</f>
        <v>Anjli</v>
      </c>
      <c r="G69" s="15" t="str">
        <f>VLOOKUP(B69,Mapping!A:F,6,0)</f>
        <v>Anjli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4">
        <v>0.86243179732524844</v>
      </c>
      <c r="R69" s="24"/>
      <c r="S69" s="24"/>
      <c r="T69" s="4"/>
    </row>
    <row r="70" spans="1:20" x14ac:dyDescent="0.35">
      <c r="A70" s="15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5" t="str">
        <f>VLOOKUP(B70,Mapping!A:D,4,0)</f>
        <v>West 1</v>
      </c>
      <c r="F70" s="15" t="str">
        <f>VLOOKUP(B70,Mapping!A:E,5,0)</f>
        <v>Anjli</v>
      </c>
      <c r="G70" s="15" t="str">
        <f>VLOOKUP(B70,Mapping!A:F,6,0)</f>
        <v>Geetu</v>
      </c>
      <c r="H70" s="23">
        <v>0</v>
      </c>
      <c r="I70" s="23">
        <v>5.2777777777777777</v>
      </c>
      <c r="J70" s="23">
        <v>1.5151515151515151</v>
      </c>
      <c r="K70" s="23">
        <v>0.42595121951219511</v>
      </c>
      <c r="L70" s="23">
        <v>0.92682926829268297</v>
      </c>
      <c r="M70" s="23">
        <v>1.0446927374301676</v>
      </c>
      <c r="N70" s="23">
        <v>0.76482412060301519</v>
      </c>
      <c r="O70" s="23">
        <v>1.1971223021582733</v>
      </c>
      <c r="P70" s="23">
        <v>1.5441176470588236</v>
      </c>
      <c r="Q70" s="24">
        <v>0.79844729579150608</v>
      </c>
      <c r="R70" s="24"/>
      <c r="S70" s="24"/>
      <c r="T70" s="4"/>
    </row>
    <row r="71" spans="1:20" x14ac:dyDescent="0.35">
      <c r="A71" s="15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5" t="str">
        <f>VLOOKUP(B71,Mapping!A:D,4,0)</f>
        <v>West 1</v>
      </c>
      <c r="F71" s="15" t="str">
        <f>VLOOKUP(B71,Mapping!A:E,5,0)</f>
        <v>Anjli</v>
      </c>
      <c r="G71" s="15" t="str">
        <f>VLOOKUP(B71,Mapping!A:F,6,0)</f>
        <v>Archana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4">
        <v>0.81116054732524834</v>
      </c>
      <c r="R71" s="24"/>
      <c r="S71" s="24"/>
      <c r="T71" s="4"/>
    </row>
    <row r="72" spans="1:20" x14ac:dyDescent="0.35">
      <c r="A72" s="15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5" t="str">
        <f>VLOOKUP(B72,Mapping!A:D,4,0)</f>
        <v>South 2</v>
      </c>
      <c r="F72" s="15" t="str">
        <f>VLOOKUP(B72,Mapping!A:E,5,0)</f>
        <v>Sulabh</v>
      </c>
      <c r="G72" s="15" t="str">
        <f>VLOOKUP(B72,Mapping!A:F,6,0)</f>
        <v>Lekhana</v>
      </c>
      <c r="H72" s="23">
        <v>0.192</v>
      </c>
      <c r="I72" s="23">
        <v>0.3214285714285714</v>
      </c>
      <c r="J72" s="23">
        <v>0.38571428571428573</v>
      </c>
      <c r="K72" s="23">
        <v>0.4</v>
      </c>
      <c r="L72" s="23">
        <v>0.33333333333333337</v>
      </c>
      <c r="M72" s="23">
        <v>2.6066666666666665</v>
      </c>
      <c r="N72" s="23">
        <v>0.5</v>
      </c>
      <c r="O72" s="23">
        <v>1.07</v>
      </c>
      <c r="P72" s="23">
        <v>1.026</v>
      </c>
      <c r="Q72" s="24">
        <v>0.79442388065858172</v>
      </c>
      <c r="R72" s="24"/>
      <c r="S72" s="24"/>
      <c r="T72" s="4"/>
    </row>
    <row r="73" spans="1:20" x14ac:dyDescent="0.35">
      <c r="A73" s="15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5" t="str">
        <f>VLOOKUP(B73,Mapping!A:D,4,0)</f>
        <v>South 2</v>
      </c>
      <c r="F73" s="15" t="str">
        <f>VLOOKUP(B73,Mapping!A:E,5,0)</f>
        <v>Sulabh</v>
      </c>
      <c r="G73" s="15" t="str">
        <f>VLOOKUP(B73,Mapping!A:F,6,0)</f>
        <v>Satya</v>
      </c>
      <c r="H73" s="23">
        <v>0.35</v>
      </c>
      <c r="I73" s="23">
        <v>0.22500000000000001</v>
      </c>
      <c r="J73" s="23">
        <v>0.31874999999999998</v>
      </c>
      <c r="K73" s="23">
        <v>0.95480769230769236</v>
      </c>
      <c r="L73" s="23">
        <v>1.337019230769231</v>
      </c>
      <c r="M73" s="23">
        <v>0.87759815242494221</v>
      </c>
      <c r="N73" s="23">
        <v>1.7057057057057057</v>
      </c>
      <c r="O73" s="23">
        <v>0.19557057057057056</v>
      </c>
      <c r="P73" s="23">
        <v>0.93822170900692847</v>
      </c>
      <c r="Q73" s="24">
        <v>1.1589015082862095</v>
      </c>
      <c r="R73" s="24"/>
      <c r="S73" s="24"/>
      <c r="T73" s="4"/>
    </row>
    <row r="74" spans="1:20" x14ac:dyDescent="0.35">
      <c r="A74" s="15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5" t="str">
        <f>VLOOKUP(B74,Mapping!A:D,4,0)</f>
        <v>West 1</v>
      </c>
      <c r="F74" s="15" t="str">
        <f>VLOOKUP(B74,Mapping!A:E,5,0)</f>
        <v>Anjli</v>
      </c>
      <c r="G74" s="15" t="str">
        <f>VLOOKUP(B74,Mapping!A:F,6,0)</f>
        <v>Anjli</v>
      </c>
      <c r="H74" s="23" t="s">
        <v>0</v>
      </c>
      <c r="I74" s="23" t="s">
        <v>0</v>
      </c>
      <c r="J74" s="23" t="s">
        <v>0</v>
      </c>
      <c r="K74" s="23" t="s">
        <v>0</v>
      </c>
      <c r="L74" s="23" t="s">
        <v>0</v>
      </c>
      <c r="M74" s="23" t="s">
        <v>0</v>
      </c>
      <c r="N74" s="23" t="s">
        <v>0</v>
      </c>
      <c r="O74" s="23" t="s">
        <v>0</v>
      </c>
      <c r="P74" s="23" t="s">
        <v>0</v>
      </c>
      <c r="Q74" s="24" t="s">
        <v>0</v>
      </c>
      <c r="R74" s="24"/>
      <c r="S74" s="24"/>
      <c r="T74" s="4"/>
    </row>
    <row r="75" spans="1:20" x14ac:dyDescent="0.35">
      <c r="A75" s="15" t="s">
        <v>117</v>
      </c>
      <c r="B75" s="1" t="s">
        <v>132</v>
      </c>
      <c r="C75" s="15" t="str">
        <f>VLOOKUP(B75,Mapping!A:B,2,0)</f>
        <v>Lateral</v>
      </c>
      <c r="D75" s="15" t="str">
        <f>VLOOKUP(B75,Mapping!A:C,3,0)</f>
        <v>West</v>
      </c>
      <c r="E75" s="15" t="str">
        <f>VLOOKUP(B75,Mapping!A:D,4,0)</f>
        <v>West 1</v>
      </c>
      <c r="F75" s="15" t="str">
        <f>VLOOKUP(B75,Mapping!A:E,5,0)</f>
        <v>Anjli</v>
      </c>
      <c r="G75" s="15" t="str">
        <f>VLOOKUP(B75,Mapping!A:F,6,0)</f>
        <v>Anjli</v>
      </c>
      <c r="H75" s="23" t="s">
        <v>0</v>
      </c>
      <c r="I75" s="23" t="s">
        <v>0</v>
      </c>
      <c r="J75" s="23" t="s">
        <v>0</v>
      </c>
      <c r="K75" s="23" t="s">
        <v>0</v>
      </c>
      <c r="L75" s="23" t="s">
        <v>0</v>
      </c>
      <c r="M75" s="23" t="s">
        <v>0</v>
      </c>
      <c r="N75" s="23" t="s">
        <v>0</v>
      </c>
      <c r="O75" s="23" t="s">
        <v>0</v>
      </c>
      <c r="P75" s="23" t="s">
        <v>0</v>
      </c>
      <c r="Q75" s="24">
        <v>0.78881054732524847</v>
      </c>
      <c r="R75" s="24"/>
      <c r="S75" s="24"/>
      <c r="T75" s="4"/>
    </row>
    <row r="76" spans="1:20" x14ac:dyDescent="0.35">
      <c r="A76" s="15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5" t="str">
        <f>VLOOKUP(B76,Mapping!A:D,4,0)</f>
        <v>West 1</v>
      </c>
      <c r="F76" s="15" t="str">
        <f>VLOOKUP(B76,Mapping!A:E,5,0)</f>
        <v>Anjli</v>
      </c>
      <c r="G76" s="15" t="str">
        <f>VLOOKUP(B76,Mapping!A:F,6,0)</f>
        <v>Anjli</v>
      </c>
      <c r="H76" s="23" t="s">
        <v>0</v>
      </c>
      <c r="I76" s="23" t="s">
        <v>0</v>
      </c>
      <c r="J76" s="23" t="s">
        <v>0</v>
      </c>
      <c r="K76" s="23" t="s">
        <v>0</v>
      </c>
      <c r="L76" s="23" t="s">
        <v>0</v>
      </c>
      <c r="M76" s="23" t="s">
        <v>0</v>
      </c>
      <c r="N76" s="23" t="s">
        <v>0</v>
      </c>
      <c r="O76" s="23" t="s">
        <v>0</v>
      </c>
      <c r="P76" s="23" t="s">
        <v>0</v>
      </c>
      <c r="Q76" s="24">
        <v>0</v>
      </c>
      <c r="R76" s="24"/>
      <c r="S76" s="24"/>
      <c r="T76" s="4"/>
    </row>
  </sheetData>
  <conditionalFormatting sqref="A1:B1 I1:S1 E1:G1">
    <cfRule type="duplicateValues" dxfId="51" priority="1"/>
  </conditionalFormatting>
  <conditionalFormatting sqref="B51:B73 B2:B41">
    <cfRule type="duplicateValues" dxfId="50" priority="2"/>
  </conditionalFormatting>
  <conditionalFormatting sqref="B74:B76 B42:B50">
    <cfRule type="duplicateValues" dxfId="49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AFF9-3898-4C0A-87D1-1B671435CC95}">
  <sheetPr codeName="Sheet9">
    <tabColor rgb="FF92D050"/>
  </sheetPr>
  <dimension ref="A1:T76"/>
  <sheetViews>
    <sheetView workbookViewId="0">
      <selection sqref="A1:S76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123</v>
      </c>
      <c r="I2" s="7">
        <v>73</v>
      </c>
      <c r="J2" s="7">
        <v>145</v>
      </c>
      <c r="K2" s="7">
        <v>47</v>
      </c>
      <c r="L2" s="7">
        <v>162</v>
      </c>
      <c r="M2" s="7">
        <v>167</v>
      </c>
      <c r="N2" s="7">
        <v>36</v>
      </c>
      <c r="O2" s="7">
        <v>98</v>
      </c>
      <c r="P2" s="7">
        <v>163</v>
      </c>
      <c r="Q2" s="2"/>
      <c r="R2" s="2"/>
      <c r="S2" s="2"/>
      <c r="T2" s="4"/>
    </row>
    <row r="3" spans="1:20" x14ac:dyDescent="0.3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5</v>
      </c>
      <c r="I3" s="7">
        <v>2</v>
      </c>
      <c r="J3" s="7">
        <v>8</v>
      </c>
      <c r="K3" s="7">
        <v>5</v>
      </c>
      <c r="L3" s="7">
        <v>10</v>
      </c>
      <c r="M3" s="7">
        <v>1</v>
      </c>
      <c r="N3" s="7">
        <v>1</v>
      </c>
      <c r="O3" s="7">
        <v>0</v>
      </c>
      <c r="P3" s="7">
        <v>3</v>
      </c>
      <c r="Q3" s="2"/>
      <c r="R3" s="2"/>
      <c r="S3" s="2"/>
      <c r="T3" s="4"/>
    </row>
    <row r="4" spans="1:20" x14ac:dyDescent="0.3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3</v>
      </c>
      <c r="I4" s="7">
        <v>5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"/>
      <c r="R4" s="2"/>
      <c r="S4" s="2"/>
      <c r="T4" s="4"/>
    </row>
    <row r="5" spans="1:20" x14ac:dyDescent="0.3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13</v>
      </c>
      <c r="I5" s="7">
        <v>6</v>
      </c>
      <c r="J5" s="7">
        <v>13</v>
      </c>
      <c r="K5" s="7">
        <v>11</v>
      </c>
      <c r="L5" s="7">
        <v>11</v>
      </c>
      <c r="M5" s="7">
        <v>15</v>
      </c>
      <c r="N5" s="7">
        <v>17</v>
      </c>
      <c r="O5" s="7">
        <v>10</v>
      </c>
      <c r="P5" s="7">
        <v>11</v>
      </c>
      <c r="Q5" s="2"/>
      <c r="R5" s="2"/>
      <c r="S5" s="2"/>
      <c r="T5" s="4"/>
    </row>
    <row r="6" spans="1:20" x14ac:dyDescent="0.3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13</v>
      </c>
      <c r="I6" s="7">
        <v>16</v>
      </c>
      <c r="J6" s="7">
        <v>32</v>
      </c>
      <c r="K6" s="7">
        <v>8</v>
      </c>
      <c r="L6" s="7">
        <v>42</v>
      </c>
      <c r="M6" s="7">
        <v>69</v>
      </c>
      <c r="N6" s="7">
        <v>16</v>
      </c>
      <c r="O6" s="7">
        <v>48</v>
      </c>
      <c r="P6" s="7">
        <v>25</v>
      </c>
      <c r="Q6" s="2"/>
      <c r="R6" s="2"/>
      <c r="S6" s="2"/>
      <c r="T6" s="4"/>
    </row>
    <row r="7" spans="1:20" x14ac:dyDescent="0.3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8</v>
      </c>
      <c r="I7" s="7">
        <v>6</v>
      </c>
      <c r="J7" s="7">
        <v>7</v>
      </c>
      <c r="K7" s="7">
        <v>24</v>
      </c>
      <c r="L7" s="7">
        <v>16</v>
      </c>
      <c r="M7" s="7">
        <v>36</v>
      </c>
      <c r="N7" s="7">
        <v>18</v>
      </c>
      <c r="O7" s="7">
        <v>14</v>
      </c>
      <c r="P7" s="7">
        <v>18</v>
      </c>
      <c r="Q7" s="2"/>
      <c r="R7" s="2"/>
      <c r="S7" s="2"/>
      <c r="T7" s="4"/>
    </row>
    <row r="8" spans="1:20" x14ac:dyDescent="0.3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6</v>
      </c>
      <c r="I8" s="7">
        <v>3</v>
      </c>
      <c r="J8" s="7">
        <v>1</v>
      </c>
      <c r="K8" s="7">
        <v>4</v>
      </c>
      <c r="L8" s="7">
        <v>3</v>
      </c>
      <c r="M8" s="7">
        <v>4</v>
      </c>
      <c r="N8" s="7">
        <v>4</v>
      </c>
      <c r="O8" s="7">
        <v>2</v>
      </c>
      <c r="P8" s="7">
        <v>5</v>
      </c>
      <c r="Q8" s="2"/>
      <c r="R8" s="2"/>
      <c r="S8" s="2"/>
      <c r="T8" s="4"/>
    </row>
    <row r="9" spans="1:20" x14ac:dyDescent="0.3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6</v>
      </c>
      <c r="I9" s="7">
        <v>14</v>
      </c>
      <c r="J9" s="7">
        <v>12</v>
      </c>
      <c r="K9" s="7">
        <v>12</v>
      </c>
      <c r="L9" s="7">
        <v>18</v>
      </c>
      <c r="M9" s="7">
        <v>19</v>
      </c>
      <c r="N9" s="7">
        <v>19</v>
      </c>
      <c r="O9" s="7">
        <v>21</v>
      </c>
      <c r="P9" s="7">
        <v>21</v>
      </c>
      <c r="Q9" s="2"/>
      <c r="R9" s="2"/>
      <c r="S9" s="2"/>
      <c r="T9" s="4"/>
    </row>
    <row r="10" spans="1:20" x14ac:dyDescent="0.3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</v>
      </c>
      <c r="I10" s="7">
        <v>1</v>
      </c>
      <c r="J10" s="7">
        <v>3</v>
      </c>
      <c r="K10" s="7">
        <v>2</v>
      </c>
      <c r="L10" s="7">
        <v>1</v>
      </c>
      <c r="M10" s="7">
        <v>2</v>
      </c>
      <c r="N10" s="7">
        <v>0</v>
      </c>
      <c r="O10" s="7">
        <v>0</v>
      </c>
      <c r="P10" s="7">
        <v>1</v>
      </c>
      <c r="Q10" s="2"/>
      <c r="R10" s="2"/>
      <c r="S10" s="2"/>
      <c r="T10" s="4"/>
    </row>
    <row r="11" spans="1:20" x14ac:dyDescent="0.3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40</v>
      </c>
      <c r="I11" s="7">
        <v>32</v>
      </c>
      <c r="J11" s="7">
        <v>21</v>
      </c>
      <c r="K11" s="7">
        <v>15</v>
      </c>
      <c r="L11" s="7">
        <v>17</v>
      </c>
      <c r="M11" s="7">
        <v>33</v>
      </c>
      <c r="N11" s="7">
        <v>52</v>
      </c>
      <c r="O11" s="7">
        <v>58</v>
      </c>
      <c r="P11" s="7">
        <v>25</v>
      </c>
      <c r="Q11" s="2"/>
      <c r="R11" s="2"/>
      <c r="S11" s="2"/>
      <c r="T11" s="4"/>
    </row>
    <row r="12" spans="1:20" x14ac:dyDescent="0.3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2</v>
      </c>
      <c r="I12" s="7">
        <v>5</v>
      </c>
      <c r="J12" s="7">
        <v>2</v>
      </c>
      <c r="K12" s="7">
        <v>11</v>
      </c>
      <c r="L12" s="7">
        <v>4</v>
      </c>
      <c r="M12" s="7">
        <v>4</v>
      </c>
      <c r="N12" s="7">
        <v>1</v>
      </c>
      <c r="O12" s="7">
        <v>3</v>
      </c>
      <c r="P12" s="7">
        <v>2</v>
      </c>
      <c r="Q12" s="2"/>
      <c r="R12" s="2"/>
      <c r="S12" s="2"/>
      <c r="T12" s="4"/>
    </row>
    <row r="13" spans="1:20" x14ac:dyDescent="0.3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18</v>
      </c>
      <c r="I13" s="7">
        <v>33</v>
      </c>
      <c r="J13" s="7">
        <v>16</v>
      </c>
      <c r="K13" s="7">
        <v>10</v>
      </c>
      <c r="L13" s="7">
        <v>12</v>
      </c>
      <c r="M13" s="7">
        <v>15</v>
      </c>
      <c r="N13" s="7">
        <v>14</v>
      </c>
      <c r="O13" s="7">
        <v>9</v>
      </c>
      <c r="P13" s="7">
        <v>5</v>
      </c>
      <c r="Q13" s="2"/>
      <c r="R13" s="2"/>
      <c r="S13" s="2"/>
      <c r="T13" s="4"/>
    </row>
    <row r="14" spans="1:20" x14ac:dyDescent="0.3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8</v>
      </c>
      <c r="I14" s="7">
        <v>5</v>
      </c>
      <c r="J14" s="7">
        <v>10</v>
      </c>
      <c r="K14" s="7">
        <v>21</v>
      </c>
      <c r="L14" s="7">
        <v>10</v>
      </c>
      <c r="M14" s="7">
        <v>10</v>
      </c>
      <c r="N14" s="7">
        <v>9</v>
      </c>
      <c r="O14" s="7">
        <v>7</v>
      </c>
      <c r="P14" s="7">
        <v>6</v>
      </c>
      <c r="Q14" s="2"/>
      <c r="R14" s="2"/>
      <c r="S14" s="2"/>
      <c r="T14" s="4"/>
    </row>
    <row r="15" spans="1:20" x14ac:dyDescent="0.3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95</v>
      </c>
      <c r="I15" s="7">
        <v>83</v>
      </c>
      <c r="J15" s="7">
        <v>102</v>
      </c>
      <c r="K15" s="7">
        <v>101</v>
      </c>
      <c r="L15" s="7">
        <v>92</v>
      </c>
      <c r="M15" s="7">
        <v>147</v>
      </c>
      <c r="N15" s="7">
        <v>92</v>
      </c>
      <c r="O15" s="7">
        <v>128</v>
      </c>
      <c r="P15" s="7">
        <v>204</v>
      </c>
      <c r="Q15" s="2"/>
      <c r="R15" s="2"/>
      <c r="S15" s="2"/>
      <c r="T15" s="4"/>
    </row>
    <row r="16" spans="1:20" x14ac:dyDescent="0.3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"/>
      <c r="R16" s="2"/>
      <c r="S16" s="2"/>
      <c r="T16" s="4"/>
    </row>
    <row r="17" spans="1:20" x14ac:dyDescent="0.3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39</v>
      </c>
      <c r="I17" s="7">
        <v>37</v>
      </c>
      <c r="J17" s="7">
        <v>25</v>
      </c>
      <c r="K17" s="7">
        <v>24</v>
      </c>
      <c r="L17" s="7">
        <v>39</v>
      </c>
      <c r="M17" s="7">
        <v>47</v>
      </c>
      <c r="N17" s="7">
        <v>49</v>
      </c>
      <c r="O17" s="7">
        <v>40</v>
      </c>
      <c r="P17" s="7">
        <v>19</v>
      </c>
      <c r="Q17" s="2"/>
      <c r="R17" s="2"/>
      <c r="S17" s="2"/>
      <c r="T17" s="4"/>
    </row>
    <row r="18" spans="1:20" x14ac:dyDescent="0.3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"/>
      <c r="R18" s="2"/>
      <c r="S18" s="2"/>
      <c r="T18" s="4"/>
    </row>
    <row r="19" spans="1:20" x14ac:dyDescent="0.3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7</v>
      </c>
      <c r="I19" s="7">
        <v>5</v>
      </c>
      <c r="J19" s="7">
        <v>20</v>
      </c>
      <c r="K19" s="7">
        <v>5</v>
      </c>
      <c r="L19" s="7">
        <v>9</v>
      </c>
      <c r="M19" s="7">
        <v>8</v>
      </c>
      <c r="N19" s="7">
        <v>8</v>
      </c>
      <c r="O19" s="7">
        <v>8</v>
      </c>
      <c r="P19" s="7">
        <v>6</v>
      </c>
      <c r="Q19" s="2"/>
      <c r="R19" s="2"/>
      <c r="S19" s="2"/>
      <c r="T19" s="4"/>
    </row>
    <row r="20" spans="1:20" x14ac:dyDescent="0.3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0</v>
      </c>
      <c r="I20" s="7">
        <v>0</v>
      </c>
      <c r="J20" s="7">
        <v>2</v>
      </c>
      <c r="K20" s="7">
        <v>2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2"/>
      <c r="R20" s="2"/>
      <c r="S20" s="2"/>
      <c r="T20" s="4"/>
    </row>
    <row r="21" spans="1:20" x14ac:dyDescent="0.3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21</v>
      </c>
      <c r="I21" s="7">
        <v>16</v>
      </c>
      <c r="J21" s="7">
        <v>39</v>
      </c>
      <c r="K21" s="7">
        <v>35</v>
      </c>
      <c r="L21" s="7">
        <v>29</v>
      </c>
      <c r="M21" s="7">
        <v>85</v>
      </c>
      <c r="N21" s="7">
        <v>41</v>
      </c>
      <c r="O21" s="7">
        <v>44</v>
      </c>
      <c r="P21" s="7">
        <v>62</v>
      </c>
      <c r="Q21" s="2"/>
      <c r="R21" s="2"/>
      <c r="S21" s="2"/>
      <c r="T21" s="4"/>
    </row>
    <row r="22" spans="1:20" x14ac:dyDescent="0.3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7</v>
      </c>
      <c r="I22" s="7">
        <v>6</v>
      </c>
      <c r="J22" s="7">
        <v>5</v>
      </c>
      <c r="K22" s="7">
        <v>5</v>
      </c>
      <c r="L22" s="7">
        <v>1</v>
      </c>
      <c r="M22" s="7">
        <v>20</v>
      </c>
      <c r="N22" s="7">
        <v>5</v>
      </c>
      <c r="O22" s="7">
        <v>4</v>
      </c>
      <c r="P22" s="7">
        <v>4</v>
      </c>
      <c r="Q22" s="2"/>
      <c r="R22" s="2"/>
      <c r="S22" s="2"/>
      <c r="T22" s="4"/>
    </row>
    <row r="23" spans="1:20" x14ac:dyDescent="0.3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11</v>
      </c>
      <c r="I23" s="7">
        <v>11</v>
      </c>
      <c r="J23" s="7">
        <v>9</v>
      </c>
      <c r="K23" s="7">
        <v>14</v>
      </c>
      <c r="L23" s="7">
        <v>39</v>
      </c>
      <c r="M23" s="7">
        <v>13</v>
      </c>
      <c r="N23" s="7">
        <v>8</v>
      </c>
      <c r="O23" s="7">
        <v>7</v>
      </c>
      <c r="P23" s="7">
        <v>13</v>
      </c>
      <c r="Q23" s="2"/>
      <c r="R23" s="2"/>
      <c r="S23" s="2"/>
      <c r="T23" s="4"/>
    </row>
    <row r="24" spans="1:20" x14ac:dyDescent="0.3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2"/>
      <c r="R24" s="2"/>
      <c r="S24" s="2"/>
      <c r="T24" s="4"/>
    </row>
    <row r="25" spans="1:20" x14ac:dyDescent="0.3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11</v>
      </c>
      <c r="I25" s="7">
        <v>10</v>
      </c>
      <c r="J25" s="7">
        <v>19</v>
      </c>
      <c r="K25" s="7">
        <v>16</v>
      </c>
      <c r="L25" s="7">
        <v>9</v>
      </c>
      <c r="M25" s="7">
        <v>10</v>
      </c>
      <c r="N25" s="7">
        <v>10</v>
      </c>
      <c r="O25" s="7">
        <v>12</v>
      </c>
      <c r="P25" s="7">
        <v>17</v>
      </c>
      <c r="Q25" s="2"/>
      <c r="R25" s="2"/>
      <c r="S25" s="2"/>
      <c r="T25" s="4"/>
    </row>
    <row r="26" spans="1:20" x14ac:dyDescent="0.3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</v>
      </c>
      <c r="I26" s="7">
        <v>2</v>
      </c>
      <c r="J26" s="7">
        <v>7</v>
      </c>
      <c r="K26" s="7">
        <v>1</v>
      </c>
      <c r="L26" s="7">
        <v>35</v>
      </c>
      <c r="M26" s="7">
        <v>21</v>
      </c>
      <c r="N26" s="7">
        <v>6</v>
      </c>
      <c r="O26" s="7">
        <v>10</v>
      </c>
      <c r="P26" s="7">
        <v>25</v>
      </c>
      <c r="Q26" s="2"/>
      <c r="R26" s="2"/>
      <c r="S26" s="2"/>
      <c r="T26" s="4"/>
    </row>
    <row r="27" spans="1:20" x14ac:dyDescent="0.3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32</v>
      </c>
      <c r="I27" s="7">
        <v>10</v>
      </c>
      <c r="J27" s="7">
        <v>22</v>
      </c>
      <c r="K27" s="7">
        <v>22</v>
      </c>
      <c r="L27" s="7">
        <v>24</v>
      </c>
      <c r="M27" s="7">
        <v>19</v>
      </c>
      <c r="N27" s="7">
        <v>13</v>
      </c>
      <c r="O27" s="7">
        <v>23</v>
      </c>
      <c r="P27" s="7">
        <v>0</v>
      </c>
      <c r="Q27" s="2"/>
      <c r="R27" s="2"/>
      <c r="S27" s="2"/>
      <c r="T27" s="4"/>
    </row>
    <row r="28" spans="1:20" x14ac:dyDescent="0.3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46</v>
      </c>
      <c r="I28" s="7">
        <v>52</v>
      </c>
      <c r="J28" s="7">
        <v>49</v>
      </c>
      <c r="K28" s="7">
        <v>43</v>
      </c>
      <c r="L28" s="7">
        <v>47</v>
      </c>
      <c r="M28" s="7">
        <v>45</v>
      </c>
      <c r="N28" s="7">
        <v>18</v>
      </c>
      <c r="O28" s="7">
        <v>34</v>
      </c>
      <c r="P28" s="7">
        <v>15</v>
      </c>
      <c r="Q28" s="2"/>
      <c r="R28" s="2"/>
      <c r="S28" s="2"/>
      <c r="T28" s="4"/>
    </row>
    <row r="29" spans="1:20" x14ac:dyDescent="0.3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63</v>
      </c>
      <c r="I29" s="7">
        <v>73</v>
      </c>
      <c r="J29" s="7">
        <v>46</v>
      </c>
      <c r="K29" s="7">
        <v>80</v>
      </c>
      <c r="L29" s="7">
        <v>77</v>
      </c>
      <c r="M29" s="7">
        <v>53</v>
      </c>
      <c r="N29" s="7">
        <v>63</v>
      </c>
      <c r="O29" s="7">
        <v>61</v>
      </c>
      <c r="P29" s="7">
        <v>71.37</v>
      </c>
      <c r="Q29" s="2"/>
      <c r="R29" s="2"/>
      <c r="S29" s="2"/>
      <c r="T29" s="4"/>
    </row>
    <row r="30" spans="1:20" x14ac:dyDescent="0.3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1</v>
      </c>
      <c r="I30" s="7">
        <v>1</v>
      </c>
      <c r="J30" s="7">
        <v>1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2"/>
      <c r="R30" s="2"/>
      <c r="S30" s="2"/>
      <c r="T30" s="4"/>
    </row>
    <row r="31" spans="1:20" x14ac:dyDescent="0.3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35</v>
      </c>
      <c r="I31" s="7">
        <v>37</v>
      </c>
      <c r="J31" s="7">
        <v>28</v>
      </c>
      <c r="K31" s="7">
        <v>28</v>
      </c>
      <c r="L31" s="7">
        <v>11</v>
      </c>
      <c r="M31" s="7">
        <v>24</v>
      </c>
      <c r="N31" s="7">
        <v>21</v>
      </c>
      <c r="O31" s="7">
        <v>17</v>
      </c>
      <c r="P31" s="7">
        <v>40</v>
      </c>
      <c r="Q31" s="2"/>
      <c r="R31" s="2"/>
      <c r="S31" s="2"/>
      <c r="T31" s="4"/>
    </row>
    <row r="32" spans="1:20" x14ac:dyDescent="0.3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1</v>
      </c>
      <c r="I32" s="7">
        <v>1</v>
      </c>
      <c r="J32" s="7">
        <v>0</v>
      </c>
      <c r="K32" s="7">
        <v>2</v>
      </c>
      <c r="L32" s="7">
        <v>0</v>
      </c>
      <c r="M32" s="7">
        <v>0</v>
      </c>
      <c r="N32" s="7">
        <v>1</v>
      </c>
      <c r="O32" s="7">
        <v>3</v>
      </c>
      <c r="P32" s="7">
        <v>2</v>
      </c>
      <c r="Q32" s="2"/>
      <c r="R32" s="2"/>
      <c r="S32" s="2"/>
      <c r="T32" s="4"/>
    </row>
    <row r="33" spans="1:20" x14ac:dyDescent="0.3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4</v>
      </c>
      <c r="I33" s="7">
        <v>4</v>
      </c>
      <c r="J33" s="7">
        <v>3</v>
      </c>
      <c r="K33" s="7">
        <v>4</v>
      </c>
      <c r="L33" s="7">
        <v>2</v>
      </c>
      <c r="M33" s="7">
        <v>2</v>
      </c>
      <c r="N33" s="7">
        <v>0</v>
      </c>
      <c r="O33" s="7">
        <v>0</v>
      </c>
      <c r="P33" s="7">
        <v>1</v>
      </c>
      <c r="Q33" s="2"/>
      <c r="R33" s="2"/>
      <c r="S33" s="2"/>
      <c r="T33" s="4"/>
    </row>
    <row r="34" spans="1:20" x14ac:dyDescent="0.3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</v>
      </c>
      <c r="I34" s="7">
        <v>1</v>
      </c>
      <c r="J34" s="7">
        <v>2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2"/>
      <c r="R34" s="2"/>
      <c r="S34" s="2"/>
      <c r="T34" s="4"/>
    </row>
    <row r="35" spans="1:20" x14ac:dyDescent="0.3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</v>
      </c>
      <c r="I35" s="7">
        <v>1</v>
      </c>
      <c r="J35" s="7">
        <v>1</v>
      </c>
      <c r="K35" s="7">
        <v>3</v>
      </c>
      <c r="L35" s="7">
        <v>2</v>
      </c>
      <c r="M35" s="7">
        <v>3</v>
      </c>
      <c r="N35" s="7">
        <v>4</v>
      </c>
      <c r="O35" s="7">
        <v>3</v>
      </c>
      <c r="P35" s="7">
        <v>1</v>
      </c>
      <c r="Q35" s="2"/>
      <c r="R35" s="2"/>
      <c r="S35" s="2"/>
      <c r="T35" s="4"/>
    </row>
    <row r="36" spans="1:20" x14ac:dyDescent="0.3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7</v>
      </c>
      <c r="I36" s="7">
        <v>5</v>
      </c>
      <c r="J36" s="7">
        <v>3</v>
      </c>
      <c r="K36" s="7">
        <v>7</v>
      </c>
      <c r="L36" s="7">
        <v>6</v>
      </c>
      <c r="M36" s="7">
        <v>7</v>
      </c>
      <c r="N36" s="7">
        <v>7</v>
      </c>
      <c r="O36" s="7">
        <v>8</v>
      </c>
      <c r="P36" s="7">
        <v>12</v>
      </c>
      <c r="Q36" s="2"/>
      <c r="R36" s="2"/>
      <c r="S36" s="2"/>
      <c r="T36" s="4"/>
    </row>
    <row r="37" spans="1:20" x14ac:dyDescent="0.3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8</v>
      </c>
      <c r="I37" s="7">
        <v>6</v>
      </c>
      <c r="J37" s="7">
        <v>6</v>
      </c>
      <c r="K37" s="7">
        <v>6</v>
      </c>
      <c r="L37" s="7">
        <v>6</v>
      </c>
      <c r="M37" s="7">
        <v>3</v>
      </c>
      <c r="N37" s="7">
        <v>3</v>
      </c>
      <c r="O37" s="7">
        <v>6</v>
      </c>
      <c r="P37" s="7">
        <v>4</v>
      </c>
      <c r="Q37" s="2"/>
      <c r="R37" s="2"/>
      <c r="S37" s="2"/>
      <c r="T37" s="4"/>
    </row>
    <row r="38" spans="1:20" x14ac:dyDescent="0.3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143</v>
      </c>
      <c r="I38" s="7">
        <v>184</v>
      </c>
      <c r="J38" s="7">
        <v>253</v>
      </c>
      <c r="K38" s="7">
        <v>141</v>
      </c>
      <c r="L38" s="7">
        <v>105</v>
      </c>
      <c r="M38" s="7">
        <v>98</v>
      </c>
      <c r="N38" s="7">
        <v>106</v>
      </c>
      <c r="O38" s="7">
        <v>108</v>
      </c>
      <c r="P38" s="7">
        <v>88</v>
      </c>
      <c r="Q38" s="2"/>
      <c r="R38" s="2"/>
      <c r="S38" s="2"/>
      <c r="T38" s="4"/>
    </row>
    <row r="39" spans="1:20" x14ac:dyDescent="0.3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12</v>
      </c>
      <c r="I39" s="7">
        <v>12</v>
      </c>
      <c r="J39" s="7">
        <v>15</v>
      </c>
      <c r="K39" s="7">
        <v>21</v>
      </c>
      <c r="L39" s="7">
        <v>6</v>
      </c>
      <c r="M39" s="7">
        <v>30</v>
      </c>
      <c r="N39" s="7">
        <v>14</v>
      </c>
      <c r="O39" s="7">
        <v>0</v>
      </c>
      <c r="P39" s="7">
        <v>26</v>
      </c>
      <c r="Q39" s="2"/>
      <c r="R39" s="2"/>
      <c r="S39" s="2"/>
      <c r="T39" s="4"/>
    </row>
    <row r="40" spans="1:20" x14ac:dyDescent="0.3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2</v>
      </c>
      <c r="I40" s="7">
        <v>3</v>
      </c>
      <c r="J40" s="7">
        <v>5</v>
      </c>
      <c r="K40" s="7">
        <v>9</v>
      </c>
      <c r="L40" s="7">
        <v>6</v>
      </c>
      <c r="M40" s="7">
        <v>9</v>
      </c>
      <c r="N40" s="7">
        <v>2</v>
      </c>
      <c r="O40" s="7">
        <v>7</v>
      </c>
      <c r="P40" s="7">
        <v>3</v>
      </c>
      <c r="Q40" s="2"/>
      <c r="R40" s="2"/>
      <c r="S40" s="2"/>
      <c r="T40" s="4"/>
    </row>
    <row r="41" spans="1:20" x14ac:dyDescent="0.3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</v>
      </c>
      <c r="I41" s="7">
        <v>4</v>
      </c>
      <c r="J41" s="7">
        <v>14</v>
      </c>
      <c r="K41" s="7">
        <v>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2"/>
      <c r="R41" s="2"/>
      <c r="S41" s="2"/>
      <c r="T41" s="4"/>
    </row>
    <row r="42" spans="1:20" x14ac:dyDescent="0.3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2"/>
      <c r="R42" s="2"/>
      <c r="S42" s="2"/>
      <c r="T42" s="4"/>
    </row>
    <row r="43" spans="1:20" x14ac:dyDescent="0.3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2"/>
      <c r="R43" s="2"/>
      <c r="S43" s="2"/>
      <c r="T43" s="4"/>
    </row>
    <row r="44" spans="1:20" x14ac:dyDescent="0.3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2"/>
      <c r="R44" s="2"/>
      <c r="S44" s="2"/>
      <c r="T44" s="4"/>
    </row>
    <row r="45" spans="1:20" x14ac:dyDescent="0.3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2"/>
      <c r="R45" s="2"/>
      <c r="S45" s="2"/>
      <c r="T45" s="4"/>
    </row>
    <row r="46" spans="1:20" x14ac:dyDescent="0.3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2"/>
      <c r="R46" s="2"/>
      <c r="S46" s="2"/>
      <c r="T46" s="4"/>
    </row>
    <row r="47" spans="1:20" x14ac:dyDescent="0.3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2"/>
      <c r="R47" s="2"/>
      <c r="S47" s="2"/>
      <c r="T47" s="4"/>
    </row>
    <row r="48" spans="1:20" x14ac:dyDescent="0.3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2"/>
      <c r="R48" s="2"/>
      <c r="S48" s="2"/>
      <c r="T48" s="4"/>
    </row>
    <row r="49" spans="1:20" x14ac:dyDescent="0.3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2"/>
      <c r="R49" s="2"/>
      <c r="S49" s="2"/>
      <c r="T49" s="4"/>
    </row>
    <row r="50" spans="1:20" x14ac:dyDescent="0.3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2"/>
      <c r="R50" s="2"/>
      <c r="S50" s="2"/>
      <c r="T50" s="4"/>
    </row>
    <row r="51" spans="1:20" x14ac:dyDescent="0.3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2"/>
      <c r="R51" s="2"/>
      <c r="S51" s="2"/>
      <c r="T51" s="4"/>
    </row>
    <row r="52" spans="1:20" x14ac:dyDescent="0.3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2"/>
      <c r="R52" s="2"/>
      <c r="S52" s="2"/>
      <c r="T52" s="4"/>
    </row>
    <row r="53" spans="1:20" x14ac:dyDescent="0.3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2"/>
      <c r="R53" s="2"/>
      <c r="S53" s="2"/>
      <c r="T53" s="4"/>
    </row>
    <row r="54" spans="1:20" x14ac:dyDescent="0.3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2"/>
      <c r="R54" s="2"/>
      <c r="S54" s="2"/>
      <c r="T54" s="4"/>
    </row>
    <row r="55" spans="1:20" x14ac:dyDescent="0.3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2"/>
      <c r="R55" s="2"/>
      <c r="S55" s="2"/>
      <c r="T55" s="4"/>
    </row>
    <row r="56" spans="1:20" x14ac:dyDescent="0.3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"/>
      <c r="R56" s="2"/>
      <c r="S56" s="2"/>
      <c r="T56" s="4"/>
    </row>
    <row r="57" spans="1:20" x14ac:dyDescent="0.3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2"/>
      <c r="R57" s="2"/>
      <c r="S57" s="2"/>
      <c r="T57" s="4"/>
    </row>
    <row r="58" spans="1:20" x14ac:dyDescent="0.3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"/>
      <c r="R58" s="2"/>
      <c r="S58" s="2"/>
      <c r="T58" s="4"/>
    </row>
    <row r="59" spans="1:20" x14ac:dyDescent="0.3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2"/>
      <c r="R59" s="2"/>
      <c r="S59" s="2"/>
      <c r="T59" s="4"/>
    </row>
    <row r="60" spans="1:20" x14ac:dyDescent="0.3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2"/>
      <c r="R60" s="2"/>
      <c r="S60" s="2"/>
      <c r="T60" s="4"/>
    </row>
    <row r="61" spans="1:20" x14ac:dyDescent="0.3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"/>
      <c r="R61" s="2"/>
      <c r="S61" s="2"/>
      <c r="T61" s="4"/>
    </row>
    <row r="62" spans="1:20" x14ac:dyDescent="0.3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"/>
      <c r="R62" s="2"/>
      <c r="S62" s="2"/>
      <c r="T62" s="4"/>
    </row>
    <row r="63" spans="1:20" x14ac:dyDescent="0.3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"/>
      <c r="R63" s="2"/>
      <c r="S63" s="2"/>
      <c r="T63" s="4"/>
    </row>
    <row r="64" spans="1:20" x14ac:dyDescent="0.3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"/>
      <c r="R64" s="2"/>
      <c r="S64" s="2"/>
      <c r="T64" s="4"/>
    </row>
    <row r="65" spans="1:20" x14ac:dyDescent="0.3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73</v>
      </c>
      <c r="I65" s="7">
        <v>59</v>
      </c>
      <c r="J65" s="7">
        <v>66</v>
      </c>
      <c r="K65" s="7">
        <v>91</v>
      </c>
      <c r="L65" s="7">
        <v>64</v>
      </c>
      <c r="M65" s="7">
        <v>38</v>
      </c>
      <c r="N65" s="7">
        <v>70</v>
      </c>
      <c r="O65" s="7">
        <v>71</v>
      </c>
      <c r="P65" s="7">
        <v>68</v>
      </c>
      <c r="Q65" s="2"/>
      <c r="R65" s="2"/>
      <c r="S65" s="2"/>
      <c r="T65" s="4"/>
    </row>
    <row r="66" spans="1:20" x14ac:dyDescent="0.3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"/>
      <c r="R66" s="2"/>
      <c r="S66" s="2"/>
      <c r="T66" s="4"/>
    </row>
    <row r="67" spans="1:20" x14ac:dyDescent="0.3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</v>
      </c>
      <c r="I67" s="7">
        <v>0</v>
      </c>
      <c r="J67" s="7">
        <v>4</v>
      </c>
      <c r="K67" s="7">
        <v>4</v>
      </c>
      <c r="L67" s="7">
        <v>2</v>
      </c>
      <c r="M67" s="7">
        <v>4</v>
      </c>
      <c r="N67" s="7">
        <v>5</v>
      </c>
      <c r="O67" s="7">
        <v>5</v>
      </c>
      <c r="P67" s="7">
        <v>9</v>
      </c>
      <c r="Q67" s="2"/>
      <c r="R67" s="2"/>
      <c r="S67" s="2"/>
      <c r="T67" s="4"/>
    </row>
    <row r="68" spans="1:20" x14ac:dyDescent="0.3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3</v>
      </c>
      <c r="Q68" s="2"/>
      <c r="R68" s="2"/>
      <c r="S68" s="2"/>
      <c r="T68" s="4"/>
    </row>
    <row r="69" spans="1:20" x14ac:dyDescent="0.35">
      <c r="A69" s="16" t="s">
        <v>117</v>
      </c>
      <c r="B69" s="1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"/>
      <c r="R69" s="2"/>
      <c r="S69" s="2"/>
      <c r="T69" s="4"/>
    </row>
    <row r="70" spans="1:20" x14ac:dyDescent="0.3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0</v>
      </c>
      <c r="J70" s="7">
        <v>0</v>
      </c>
      <c r="K70" s="7">
        <v>4</v>
      </c>
      <c r="L70" s="7">
        <v>24</v>
      </c>
      <c r="M70" s="7">
        <v>2</v>
      </c>
      <c r="N70" s="7">
        <v>6</v>
      </c>
      <c r="O70" s="7">
        <v>7</v>
      </c>
      <c r="P70" s="7">
        <v>15</v>
      </c>
      <c r="Q70" s="2"/>
      <c r="R70" s="2"/>
      <c r="S70" s="2"/>
      <c r="T70" s="4"/>
    </row>
    <row r="71" spans="1:20" x14ac:dyDescent="0.3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"/>
      <c r="R71" s="2"/>
      <c r="S71" s="2"/>
      <c r="T71" s="4"/>
    </row>
    <row r="72" spans="1:20" x14ac:dyDescent="0.3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1</v>
      </c>
      <c r="I72" s="7">
        <v>2</v>
      </c>
      <c r="J72" s="7">
        <v>1</v>
      </c>
      <c r="K72" s="7">
        <v>1</v>
      </c>
      <c r="L72" s="7">
        <v>0</v>
      </c>
      <c r="M72" s="7">
        <v>0</v>
      </c>
      <c r="N72" s="7">
        <v>1</v>
      </c>
      <c r="O72" s="7">
        <v>2</v>
      </c>
      <c r="P72" s="7">
        <v>1</v>
      </c>
      <c r="Q72" s="2"/>
      <c r="R72" s="2"/>
      <c r="S72" s="2"/>
      <c r="T72" s="4"/>
    </row>
    <row r="73" spans="1:20" x14ac:dyDescent="0.3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</v>
      </c>
      <c r="I73" s="7">
        <v>0</v>
      </c>
      <c r="J73" s="7">
        <v>2</v>
      </c>
      <c r="K73" s="7">
        <v>2</v>
      </c>
      <c r="L73" s="7">
        <v>4</v>
      </c>
      <c r="M73" s="7">
        <v>6</v>
      </c>
      <c r="N73" s="7">
        <v>6</v>
      </c>
      <c r="O73" s="7">
        <v>2</v>
      </c>
      <c r="P73" s="7">
        <v>4</v>
      </c>
      <c r="Q73" s="2"/>
      <c r="R73" s="2"/>
      <c r="S73" s="2"/>
      <c r="T73" s="4"/>
    </row>
    <row r="74" spans="1:20" x14ac:dyDescent="0.3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2"/>
      <c r="R74" s="2"/>
      <c r="S74" s="2"/>
      <c r="T74" s="4"/>
    </row>
    <row r="75" spans="1:20" x14ac:dyDescent="0.35">
      <c r="A75" s="16" t="s">
        <v>117</v>
      </c>
      <c r="B75" s="1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2"/>
      <c r="R75" s="2"/>
      <c r="S75" s="2"/>
      <c r="T75" s="4"/>
    </row>
    <row r="76" spans="1:20" x14ac:dyDescent="0.3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2"/>
      <c r="R76" s="2"/>
      <c r="S76" s="2"/>
      <c r="T76" s="4"/>
    </row>
  </sheetData>
  <conditionalFormatting sqref="A1:B1 I1:S1 E1:G1">
    <cfRule type="duplicateValues" dxfId="48" priority="1"/>
  </conditionalFormatting>
  <conditionalFormatting sqref="B51:B73 B2:B41">
    <cfRule type="duplicateValues" dxfId="47" priority="5"/>
  </conditionalFormatting>
  <conditionalFormatting sqref="B74:B76 B42:B50">
    <cfRule type="duplicateValues" dxfId="46" priority="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67A-73CC-4163-93E6-A91D8D372BAB}">
  <sheetPr codeName="Sheet10">
    <tabColor rgb="FF92D050"/>
  </sheetPr>
  <dimension ref="A1:T76"/>
  <sheetViews>
    <sheetView workbookViewId="0">
      <selection sqref="A1:S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166</v>
      </c>
      <c r="I2" s="19">
        <v>312</v>
      </c>
      <c r="J2" s="19">
        <v>258</v>
      </c>
      <c r="K2" s="19">
        <v>271</v>
      </c>
      <c r="L2" s="19">
        <v>305</v>
      </c>
      <c r="M2" s="19">
        <v>263</v>
      </c>
      <c r="N2" s="19">
        <v>119</v>
      </c>
      <c r="O2" s="19">
        <v>68</v>
      </c>
      <c r="P2" s="19">
        <v>110</v>
      </c>
      <c r="Q2" s="18"/>
      <c r="R2" s="18"/>
      <c r="S2" s="18"/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10</v>
      </c>
      <c r="I3" s="19">
        <v>8</v>
      </c>
      <c r="J3" s="19">
        <v>14</v>
      </c>
      <c r="K3" s="19">
        <v>15</v>
      </c>
      <c r="L3" s="19">
        <v>8</v>
      </c>
      <c r="M3" s="19">
        <v>1</v>
      </c>
      <c r="N3" s="19">
        <v>1</v>
      </c>
      <c r="O3" s="19">
        <v>0</v>
      </c>
      <c r="P3" s="19">
        <v>2</v>
      </c>
      <c r="Q3" s="18"/>
      <c r="R3" s="18"/>
      <c r="S3" s="18"/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3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8"/>
      <c r="R4" s="18"/>
      <c r="S4" s="18"/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15</v>
      </c>
      <c r="I5" s="19">
        <v>9</v>
      </c>
      <c r="J5" s="19">
        <v>8</v>
      </c>
      <c r="K5" s="19">
        <v>9</v>
      </c>
      <c r="L5" s="19">
        <v>7</v>
      </c>
      <c r="M5" s="19">
        <v>17</v>
      </c>
      <c r="N5" s="19">
        <v>16</v>
      </c>
      <c r="O5" s="19">
        <v>8</v>
      </c>
      <c r="P5" s="19">
        <v>7</v>
      </c>
      <c r="Q5" s="18"/>
      <c r="R5" s="18"/>
      <c r="S5" s="18"/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9</v>
      </c>
      <c r="I6" s="19">
        <v>6</v>
      </c>
      <c r="J6" s="19">
        <v>11</v>
      </c>
      <c r="K6" s="19">
        <v>0</v>
      </c>
      <c r="L6" s="19">
        <v>7</v>
      </c>
      <c r="M6" s="19">
        <v>13</v>
      </c>
      <c r="N6" s="19">
        <v>9</v>
      </c>
      <c r="O6" s="19">
        <v>9</v>
      </c>
      <c r="P6" s="19">
        <v>7</v>
      </c>
      <c r="Q6" s="18"/>
      <c r="R6" s="18"/>
      <c r="S6" s="18"/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0</v>
      </c>
      <c r="I7" s="19">
        <v>0</v>
      </c>
      <c r="J7" s="19">
        <v>1</v>
      </c>
      <c r="K7" s="19">
        <v>13</v>
      </c>
      <c r="L7" s="19">
        <v>16</v>
      </c>
      <c r="M7" s="19">
        <v>12</v>
      </c>
      <c r="N7" s="19">
        <v>8</v>
      </c>
      <c r="O7" s="19">
        <v>12</v>
      </c>
      <c r="P7" s="19">
        <v>17</v>
      </c>
      <c r="Q7" s="18"/>
      <c r="R7" s="18"/>
      <c r="S7" s="18"/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2</v>
      </c>
      <c r="I8" s="19">
        <v>1</v>
      </c>
      <c r="J8" s="19">
        <v>2</v>
      </c>
      <c r="K8" s="19">
        <v>0</v>
      </c>
      <c r="L8" s="19">
        <v>0</v>
      </c>
      <c r="M8" s="19">
        <v>0</v>
      </c>
      <c r="N8" s="19">
        <v>0</v>
      </c>
      <c r="O8" s="19">
        <v>2</v>
      </c>
      <c r="P8" s="19">
        <v>0</v>
      </c>
      <c r="Q8" s="18"/>
      <c r="R8" s="18"/>
      <c r="S8" s="18"/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16</v>
      </c>
      <c r="I9" s="19">
        <v>29</v>
      </c>
      <c r="J9" s="19">
        <v>28</v>
      </c>
      <c r="K9" s="19">
        <v>25</v>
      </c>
      <c r="L9" s="19">
        <v>29</v>
      </c>
      <c r="M9" s="19">
        <v>23</v>
      </c>
      <c r="N9" s="19">
        <v>23</v>
      </c>
      <c r="O9" s="19">
        <v>25</v>
      </c>
      <c r="P9" s="19">
        <v>44</v>
      </c>
      <c r="Q9" s="18"/>
      <c r="R9" s="18"/>
      <c r="S9" s="18"/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1</v>
      </c>
      <c r="I10" s="19">
        <v>0</v>
      </c>
      <c r="J10" s="19">
        <v>0</v>
      </c>
      <c r="K10" s="19">
        <v>2</v>
      </c>
      <c r="L10" s="19">
        <v>1</v>
      </c>
      <c r="M10" s="19">
        <v>3</v>
      </c>
      <c r="N10" s="19">
        <v>0</v>
      </c>
      <c r="O10" s="19">
        <v>0</v>
      </c>
      <c r="P10" s="19">
        <v>0</v>
      </c>
      <c r="Q10" s="18"/>
      <c r="R10" s="18"/>
      <c r="S10" s="18"/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53</v>
      </c>
      <c r="I11" s="19">
        <v>75</v>
      </c>
      <c r="J11" s="19">
        <v>63</v>
      </c>
      <c r="K11" s="19">
        <v>39</v>
      </c>
      <c r="L11" s="19">
        <v>113</v>
      </c>
      <c r="M11" s="19">
        <v>500</v>
      </c>
      <c r="N11" s="19">
        <v>59</v>
      </c>
      <c r="O11" s="19">
        <v>68</v>
      </c>
      <c r="P11" s="19">
        <v>55</v>
      </c>
      <c r="Q11" s="18"/>
      <c r="R11" s="18"/>
      <c r="S11" s="18"/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</v>
      </c>
      <c r="I12" s="19">
        <v>3</v>
      </c>
      <c r="J12" s="19">
        <v>0</v>
      </c>
      <c r="K12" s="19">
        <v>0</v>
      </c>
      <c r="L12" s="19">
        <v>2</v>
      </c>
      <c r="M12" s="19">
        <v>8</v>
      </c>
      <c r="N12" s="19">
        <v>4</v>
      </c>
      <c r="O12" s="19">
        <v>5</v>
      </c>
      <c r="P12" s="19">
        <v>2</v>
      </c>
      <c r="Q12" s="18"/>
      <c r="R12" s="18"/>
      <c r="S12" s="18"/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</v>
      </c>
      <c r="I13" s="19">
        <v>0</v>
      </c>
      <c r="J13" s="19">
        <v>0</v>
      </c>
      <c r="K13" s="19">
        <v>0</v>
      </c>
      <c r="L13" s="19">
        <v>3</v>
      </c>
      <c r="M13" s="19">
        <v>2</v>
      </c>
      <c r="N13" s="19">
        <v>0</v>
      </c>
      <c r="O13" s="19">
        <v>2</v>
      </c>
      <c r="P13" s="19">
        <v>0</v>
      </c>
      <c r="Q13" s="18"/>
      <c r="R13" s="18"/>
      <c r="S13" s="18"/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8"/>
      <c r="R14" s="18"/>
      <c r="S14" s="18"/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122</v>
      </c>
      <c r="I15" s="19">
        <v>96</v>
      </c>
      <c r="J15" s="19">
        <v>160</v>
      </c>
      <c r="K15" s="19">
        <v>412</v>
      </c>
      <c r="L15" s="19">
        <v>325</v>
      </c>
      <c r="M15" s="19">
        <v>379</v>
      </c>
      <c r="N15" s="19">
        <v>153</v>
      </c>
      <c r="O15" s="19">
        <v>175</v>
      </c>
      <c r="P15" s="19">
        <v>233</v>
      </c>
      <c r="Q15" s="18"/>
      <c r="R15" s="18"/>
      <c r="S15" s="18"/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8"/>
      <c r="R16" s="18"/>
      <c r="S16" s="18"/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26</v>
      </c>
      <c r="Q17" s="18"/>
      <c r="R17" s="18"/>
      <c r="S17" s="18"/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8"/>
      <c r="R18" s="18"/>
      <c r="S18" s="18"/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8"/>
      <c r="R19" s="18"/>
      <c r="S19" s="18"/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8"/>
      <c r="R20" s="18"/>
      <c r="S20" s="18"/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15</v>
      </c>
      <c r="I21" s="19">
        <v>14</v>
      </c>
      <c r="J21" s="19">
        <v>18</v>
      </c>
      <c r="K21" s="19">
        <v>16</v>
      </c>
      <c r="L21" s="19">
        <v>58</v>
      </c>
      <c r="M21" s="19">
        <v>22</v>
      </c>
      <c r="N21" s="19">
        <v>13</v>
      </c>
      <c r="O21" s="19">
        <v>12</v>
      </c>
      <c r="P21" s="19">
        <v>0</v>
      </c>
      <c r="Q21" s="18"/>
      <c r="R21" s="18"/>
      <c r="S21" s="18"/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0</v>
      </c>
      <c r="I22" s="19">
        <v>3</v>
      </c>
      <c r="J22" s="19">
        <v>1</v>
      </c>
      <c r="K22" s="19">
        <v>2</v>
      </c>
      <c r="L22" s="19">
        <v>2</v>
      </c>
      <c r="M22" s="19">
        <v>43</v>
      </c>
      <c r="N22" s="19">
        <v>0</v>
      </c>
      <c r="O22" s="19">
        <v>0</v>
      </c>
      <c r="P22" s="19">
        <v>0</v>
      </c>
      <c r="Q22" s="18"/>
      <c r="R22" s="18"/>
      <c r="S22" s="18"/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8"/>
      <c r="R23" s="18"/>
      <c r="S23" s="18"/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8"/>
      <c r="R24" s="18"/>
      <c r="S24" s="18"/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9</v>
      </c>
      <c r="I25" s="19">
        <v>5</v>
      </c>
      <c r="J25" s="19">
        <v>3</v>
      </c>
      <c r="K25" s="19">
        <v>3</v>
      </c>
      <c r="L25" s="19">
        <v>5</v>
      </c>
      <c r="M25" s="19">
        <v>4</v>
      </c>
      <c r="N25" s="19">
        <v>4</v>
      </c>
      <c r="O25" s="19">
        <v>1</v>
      </c>
      <c r="P25" s="19">
        <v>1</v>
      </c>
      <c r="Q25" s="18"/>
      <c r="R25" s="18"/>
      <c r="S25" s="18"/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0</v>
      </c>
      <c r="I26" s="19">
        <v>2</v>
      </c>
      <c r="J26" s="19">
        <v>0</v>
      </c>
      <c r="K26" s="19">
        <v>0</v>
      </c>
      <c r="L26" s="19">
        <v>26</v>
      </c>
      <c r="M26" s="19">
        <v>42</v>
      </c>
      <c r="N26" s="19">
        <v>13</v>
      </c>
      <c r="O26" s="19">
        <v>22</v>
      </c>
      <c r="P26" s="19">
        <v>19</v>
      </c>
      <c r="Q26" s="18"/>
      <c r="R26" s="18"/>
      <c r="S26" s="18"/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15</v>
      </c>
      <c r="I27" s="19">
        <v>15</v>
      </c>
      <c r="J27" s="19">
        <v>35</v>
      </c>
      <c r="K27" s="19">
        <v>26</v>
      </c>
      <c r="L27" s="19">
        <v>50</v>
      </c>
      <c r="M27" s="19">
        <v>48</v>
      </c>
      <c r="N27" s="19">
        <v>41</v>
      </c>
      <c r="O27" s="19">
        <v>27</v>
      </c>
      <c r="P27" s="19">
        <v>0</v>
      </c>
      <c r="Q27" s="18"/>
      <c r="R27" s="18"/>
      <c r="S27" s="18"/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</v>
      </c>
      <c r="I28" s="19">
        <v>2</v>
      </c>
      <c r="J28" s="19">
        <v>0</v>
      </c>
      <c r="K28" s="19">
        <v>0</v>
      </c>
      <c r="L28" s="19">
        <v>1</v>
      </c>
      <c r="M28" s="19">
        <v>3</v>
      </c>
      <c r="N28" s="19">
        <v>0</v>
      </c>
      <c r="O28" s="19">
        <v>1</v>
      </c>
      <c r="P28" s="19">
        <v>1</v>
      </c>
      <c r="Q28" s="18"/>
      <c r="R28" s="18"/>
      <c r="S28" s="18"/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71</v>
      </c>
      <c r="I29" s="19">
        <v>41</v>
      </c>
      <c r="J29" s="19">
        <v>12</v>
      </c>
      <c r="K29" s="19">
        <v>8</v>
      </c>
      <c r="L29" s="19">
        <v>33</v>
      </c>
      <c r="M29" s="19">
        <v>5</v>
      </c>
      <c r="N29" s="19">
        <v>30</v>
      </c>
      <c r="O29" s="19">
        <v>28</v>
      </c>
      <c r="P29" s="19">
        <v>45.63</v>
      </c>
      <c r="Q29" s="18"/>
      <c r="R29" s="18"/>
      <c r="S29" s="18"/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8"/>
      <c r="R30" s="18"/>
      <c r="S30" s="18"/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18</v>
      </c>
      <c r="I31" s="19">
        <v>58</v>
      </c>
      <c r="J31" s="19">
        <v>14</v>
      </c>
      <c r="K31" s="19">
        <v>16</v>
      </c>
      <c r="L31" s="19">
        <v>50</v>
      </c>
      <c r="M31" s="19">
        <v>57</v>
      </c>
      <c r="N31" s="19">
        <v>19</v>
      </c>
      <c r="O31" s="19">
        <v>31</v>
      </c>
      <c r="P31" s="19">
        <v>37</v>
      </c>
      <c r="Q31" s="18"/>
      <c r="R31" s="18"/>
      <c r="S31" s="18"/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</v>
      </c>
      <c r="I32" s="19">
        <v>1</v>
      </c>
      <c r="J32" s="19">
        <v>4</v>
      </c>
      <c r="K32" s="19">
        <v>0</v>
      </c>
      <c r="L32" s="19">
        <v>0</v>
      </c>
      <c r="M32" s="19">
        <v>0</v>
      </c>
      <c r="N32" s="19">
        <v>2</v>
      </c>
      <c r="O32" s="19">
        <v>1</v>
      </c>
      <c r="P32" s="19">
        <v>4</v>
      </c>
      <c r="Q32" s="18"/>
      <c r="R32" s="18"/>
      <c r="S32" s="18"/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15</v>
      </c>
      <c r="I33" s="19">
        <v>14</v>
      </c>
      <c r="J33" s="19">
        <v>8</v>
      </c>
      <c r="K33" s="19">
        <v>4</v>
      </c>
      <c r="L33" s="19">
        <v>1</v>
      </c>
      <c r="M33" s="19">
        <v>1</v>
      </c>
      <c r="N33" s="19">
        <v>0</v>
      </c>
      <c r="O33" s="19">
        <v>0</v>
      </c>
      <c r="P33" s="19">
        <v>0</v>
      </c>
      <c r="Q33" s="18"/>
      <c r="R33" s="18"/>
      <c r="S33" s="18"/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8"/>
      <c r="R34" s="18"/>
      <c r="S34" s="18"/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1</v>
      </c>
      <c r="N35" s="19">
        <v>1</v>
      </c>
      <c r="O35" s="19">
        <v>0</v>
      </c>
      <c r="P35" s="19">
        <v>1</v>
      </c>
      <c r="Q35" s="18"/>
      <c r="R35" s="18"/>
      <c r="S35" s="18"/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7</v>
      </c>
      <c r="I36" s="19">
        <v>4</v>
      </c>
      <c r="J36" s="19">
        <v>5</v>
      </c>
      <c r="K36" s="19">
        <v>9</v>
      </c>
      <c r="L36" s="19">
        <v>2</v>
      </c>
      <c r="M36" s="19">
        <v>3</v>
      </c>
      <c r="N36" s="19">
        <v>3</v>
      </c>
      <c r="O36" s="19">
        <v>2</v>
      </c>
      <c r="P36" s="19">
        <v>5</v>
      </c>
      <c r="Q36" s="18"/>
      <c r="R36" s="18"/>
      <c r="S36" s="18"/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5</v>
      </c>
      <c r="I37" s="19">
        <v>9</v>
      </c>
      <c r="J37" s="19">
        <v>7</v>
      </c>
      <c r="K37" s="19">
        <v>5</v>
      </c>
      <c r="L37" s="19">
        <v>0</v>
      </c>
      <c r="M37" s="19">
        <v>2</v>
      </c>
      <c r="N37" s="19">
        <v>0</v>
      </c>
      <c r="O37" s="19">
        <v>6</v>
      </c>
      <c r="P37" s="19">
        <v>2</v>
      </c>
      <c r="Q37" s="18"/>
      <c r="R37" s="18"/>
      <c r="S37" s="18"/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8"/>
      <c r="R38" s="18"/>
      <c r="S38" s="18"/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0</v>
      </c>
      <c r="I39" s="19">
        <v>7</v>
      </c>
      <c r="J39" s="19">
        <v>22</v>
      </c>
      <c r="K39" s="19">
        <v>24</v>
      </c>
      <c r="L39" s="19">
        <v>9</v>
      </c>
      <c r="M39" s="19">
        <v>23</v>
      </c>
      <c r="N39" s="19">
        <v>0</v>
      </c>
      <c r="O39" s="19">
        <v>0</v>
      </c>
      <c r="P39" s="19">
        <v>14</v>
      </c>
      <c r="Q39" s="18"/>
      <c r="R39" s="18"/>
      <c r="S39" s="18"/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8"/>
      <c r="R40" s="18"/>
      <c r="S40" s="18"/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8"/>
      <c r="R41" s="18"/>
      <c r="S41" s="18"/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8"/>
      <c r="R42" s="18"/>
      <c r="S42" s="18"/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8"/>
      <c r="R43" s="18"/>
      <c r="S43" s="18"/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8"/>
      <c r="R44" s="18"/>
      <c r="S44" s="18"/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8"/>
      <c r="R45" s="18"/>
      <c r="S45" s="18"/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8"/>
      <c r="R46" s="18"/>
      <c r="S46" s="18"/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8"/>
      <c r="R47" s="18"/>
      <c r="S47" s="18"/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8"/>
      <c r="R48" s="18"/>
      <c r="S48" s="18"/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8"/>
      <c r="R49" s="18"/>
      <c r="S49" s="18"/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8"/>
      <c r="R50" s="18"/>
      <c r="S50" s="18"/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8"/>
      <c r="R51" s="18"/>
      <c r="S51" s="18"/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8"/>
      <c r="R52" s="18"/>
      <c r="S52" s="18"/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8"/>
      <c r="R53" s="18"/>
      <c r="S53" s="18"/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8"/>
      <c r="R54" s="18"/>
      <c r="S54" s="18"/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8"/>
      <c r="R55" s="18"/>
      <c r="S55" s="18"/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8"/>
      <c r="R56" s="18"/>
      <c r="S56" s="18"/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8"/>
      <c r="R57" s="18"/>
      <c r="S57" s="18"/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8"/>
      <c r="R58" s="18"/>
      <c r="S58" s="18"/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8"/>
      <c r="R59" s="18"/>
      <c r="S59" s="18"/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8"/>
      <c r="R60" s="18"/>
      <c r="S60" s="18"/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8"/>
      <c r="R61" s="18"/>
      <c r="S61" s="18"/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8"/>
      <c r="R62" s="18"/>
      <c r="S62" s="18"/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8"/>
      <c r="R63" s="18"/>
      <c r="S63" s="18"/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8"/>
      <c r="R64" s="18"/>
      <c r="S64" s="18"/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8"/>
      <c r="R65" s="18"/>
      <c r="S65" s="18"/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8"/>
      <c r="R66" s="18"/>
      <c r="S66" s="18"/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0</v>
      </c>
      <c r="I67" s="19">
        <v>0</v>
      </c>
      <c r="J67" s="19">
        <v>0</v>
      </c>
      <c r="K67" s="19">
        <v>3</v>
      </c>
      <c r="L67" s="19">
        <v>2</v>
      </c>
      <c r="M67" s="19">
        <v>4</v>
      </c>
      <c r="N67" s="19">
        <v>0</v>
      </c>
      <c r="O67" s="19">
        <v>10</v>
      </c>
      <c r="P67" s="19">
        <v>8</v>
      </c>
      <c r="Q67" s="18"/>
      <c r="R67" s="18"/>
      <c r="S67" s="18"/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8"/>
      <c r="R68" s="18"/>
      <c r="S68" s="18"/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8"/>
      <c r="R69" s="18"/>
      <c r="S69" s="18"/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0</v>
      </c>
      <c r="J70" s="19">
        <v>10</v>
      </c>
      <c r="K70" s="19">
        <v>12</v>
      </c>
      <c r="L70" s="19">
        <v>32</v>
      </c>
      <c r="M70" s="19">
        <v>5</v>
      </c>
      <c r="N70" s="19">
        <v>0</v>
      </c>
      <c r="O70" s="19">
        <v>12</v>
      </c>
      <c r="P70" s="19">
        <v>11</v>
      </c>
      <c r="Q70" s="18"/>
      <c r="R70" s="18"/>
      <c r="S70" s="18"/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8"/>
      <c r="R71" s="18"/>
      <c r="S71" s="18"/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0</v>
      </c>
      <c r="I72" s="19">
        <v>1</v>
      </c>
      <c r="J72" s="19">
        <v>2</v>
      </c>
      <c r="K72" s="19">
        <v>1</v>
      </c>
      <c r="L72" s="19">
        <v>0</v>
      </c>
      <c r="M72" s="19">
        <v>0</v>
      </c>
      <c r="N72" s="19">
        <v>0</v>
      </c>
      <c r="O72" s="19">
        <v>0</v>
      </c>
      <c r="P72" s="19">
        <v>1</v>
      </c>
      <c r="Q72" s="18"/>
      <c r="R72" s="18"/>
      <c r="S72" s="18"/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8"/>
      <c r="R73" s="18"/>
      <c r="S73" s="18"/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8"/>
      <c r="R74" s="18"/>
      <c r="S74" s="18"/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8"/>
      <c r="R75" s="18"/>
      <c r="S75" s="18"/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8"/>
      <c r="R76" s="18"/>
      <c r="S76" s="18"/>
      <c r="T76" s="4"/>
    </row>
  </sheetData>
  <conditionalFormatting sqref="A1:B1 I1:S1 E1:G1">
    <cfRule type="duplicateValues" dxfId="45" priority="1"/>
  </conditionalFormatting>
  <conditionalFormatting sqref="B51:B73 B2:B41">
    <cfRule type="duplicateValues" dxfId="44" priority="4"/>
  </conditionalFormatting>
  <conditionalFormatting sqref="B74:B76 B42:B50">
    <cfRule type="duplicateValues" dxfId="43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729-E698-45AB-9117-35181C63B0B6}">
  <sheetPr codeName="Sheet11">
    <tabColor rgb="FF92D050"/>
  </sheetPr>
  <dimension ref="A1:T78"/>
  <sheetViews>
    <sheetView workbookViewId="0"/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  <c r="T1" t="s">
        <v>119</v>
      </c>
    </row>
    <row r="2" spans="1:20" x14ac:dyDescent="0.3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6">
        <v>0</v>
      </c>
      <c r="I2" s="6">
        <v>0</v>
      </c>
      <c r="J2" s="6">
        <v>0</v>
      </c>
      <c r="K2" s="6">
        <v>1.3489800000000001</v>
      </c>
      <c r="L2" s="6">
        <v>9.5</v>
      </c>
      <c r="M2" s="6">
        <v>49.55</v>
      </c>
      <c r="N2" s="6">
        <v>0.91</v>
      </c>
      <c r="O2" s="6">
        <v>0</v>
      </c>
      <c r="P2" s="6">
        <v>0</v>
      </c>
      <c r="Q2" s="2">
        <v>0</v>
      </c>
      <c r="R2" s="2">
        <v>0</v>
      </c>
      <c r="S2" s="2"/>
      <c r="T2" s="22">
        <f>SUM(H2:S2)</f>
        <v>61.308979999999991</v>
      </c>
    </row>
    <row r="3" spans="1:20" x14ac:dyDescent="0.3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6">
        <v>0</v>
      </c>
      <c r="I3" s="6">
        <v>0.09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2">
        <v>0</v>
      </c>
      <c r="R3" s="2">
        <v>0</v>
      </c>
      <c r="S3" s="2"/>
      <c r="T3" s="22">
        <f t="shared" ref="T3:T66" si="0">SUM(H3:S3)</f>
        <v>0.09</v>
      </c>
    </row>
    <row r="4" spans="1:20" x14ac:dyDescent="0.3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2">
        <v>0</v>
      </c>
      <c r="R4" s="2">
        <v>0</v>
      </c>
      <c r="S4" s="2"/>
      <c r="T4" s="22">
        <f t="shared" si="0"/>
        <v>0</v>
      </c>
    </row>
    <row r="5" spans="1:20" x14ac:dyDescent="0.3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2">
        <v>0</v>
      </c>
      <c r="R5" s="2">
        <v>0</v>
      </c>
      <c r="S5" s="2"/>
      <c r="T5" s="22">
        <f t="shared" si="0"/>
        <v>0</v>
      </c>
    </row>
    <row r="6" spans="1:20" x14ac:dyDescent="0.3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5.1103500000000004</v>
      </c>
      <c r="N6" s="6">
        <v>0</v>
      </c>
      <c r="O6" s="6">
        <v>0</v>
      </c>
      <c r="P6" s="6">
        <v>0</v>
      </c>
      <c r="Q6" s="2">
        <v>0</v>
      </c>
      <c r="R6" s="2">
        <v>0</v>
      </c>
      <c r="S6" s="2">
        <v>11.87885</v>
      </c>
      <c r="T6" s="22">
        <f t="shared" si="0"/>
        <v>16.9892</v>
      </c>
    </row>
    <row r="7" spans="1:20" x14ac:dyDescent="0.3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6">
        <v>0</v>
      </c>
      <c r="I7" s="6">
        <v>0</v>
      </c>
      <c r="J7" s="6">
        <v>0</v>
      </c>
      <c r="K7" s="6">
        <v>0.19500000000000001</v>
      </c>
      <c r="L7" s="6">
        <v>0</v>
      </c>
      <c r="M7" s="6">
        <v>3.355</v>
      </c>
      <c r="N7" s="6">
        <v>0</v>
      </c>
      <c r="O7" s="6">
        <v>0</v>
      </c>
      <c r="P7" s="6">
        <v>0.6</v>
      </c>
      <c r="Q7" s="2">
        <v>4.9450000000000003</v>
      </c>
      <c r="R7" s="2">
        <v>2.3199999999999998</v>
      </c>
      <c r="S7" s="2">
        <v>0.22</v>
      </c>
      <c r="T7" s="22">
        <f t="shared" si="0"/>
        <v>11.635</v>
      </c>
    </row>
    <row r="8" spans="1:20" x14ac:dyDescent="0.3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6">
        <v>0</v>
      </c>
      <c r="I8" s="6">
        <v>0.63300000000000001</v>
      </c>
      <c r="J8" s="6">
        <v>0</v>
      </c>
      <c r="K8" s="6">
        <v>3.7670000000000099E-2</v>
      </c>
      <c r="L8" s="6">
        <v>0</v>
      </c>
      <c r="M8" s="6">
        <v>0.23222000000000001</v>
      </c>
      <c r="N8" s="6">
        <v>0</v>
      </c>
      <c r="O8" s="6">
        <v>0</v>
      </c>
      <c r="P8" s="6">
        <v>3.7670000000000002E-2</v>
      </c>
      <c r="Q8" s="2">
        <v>1.4974799999999999</v>
      </c>
      <c r="R8" s="2">
        <v>0</v>
      </c>
      <c r="S8" s="2"/>
      <c r="T8" s="22">
        <f t="shared" si="0"/>
        <v>2.43804</v>
      </c>
    </row>
    <row r="9" spans="1:20" x14ac:dyDescent="0.3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6">
        <v>0</v>
      </c>
      <c r="I9" s="6">
        <v>0.1275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1.8127500000000001</v>
      </c>
      <c r="P9" s="6">
        <v>0</v>
      </c>
      <c r="Q9" s="2">
        <v>0</v>
      </c>
      <c r="R9" s="2">
        <v>0</v>
      </c>
      <c r="S9" s="2"/>
      <c r="T9" s="22">
        <f t="shared" si="0"/>
        <v>1.94025</v>
      </c>
    </row>
    <row r="10" spans="1:20" x14ac:dyDescent="0.3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6">
        <v>0</v>
      </c>
      <c r="I10" s="6">
        <v>0</v>
      </c>
      <c r="J10" s="6">
        <v>0</v>
      </c>
      <c r="K10" s="6">
        <v>0.47499999999999998</v>
      </c>
      <c r="L10" s="6">
        <v>0</v>
      </c>
      <c r="M10" s="6">
        <v>0.108</v>
      </c>
      <c r="N10" s="6">
        <v>0</v>
      </c>
      <c r="O10" s="6">
        <v>0</v>
      </c>
      <c r="P10" s="6">
        <v>1.7070000000000001</v>
      </c>
      <c r="Q10" s="2">
        <v>2.2526999999999999</v>
      </c>
      <c r="R10" s="2">
        <v>0</v>
      </c>
      <c r="S10" s="2"/>
      <c r="T10" s="22">
        <f t="shared" si="0"/>
        <v>4.5427</v>
      </c>
    </row>
    <row r="11" spans="1:20" x14ac:dyDescent="0.3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6">
        <v>0</v>
      </c>
      <c r="I11" s="6">
        <v>5</v>
      </c>
      <c r="J11" s="6">
        <v>5</v>
      </c>
      <c r="K11" s="6">
        <v>5</v>
      </c>
      <c r="L11" s="6">
        <v>4.43</v>
      </c>
      <c r="M11" s="6">
        <v>0</v>
      </c>
      <c r="N11" s="6">
        <v>0</v>
      </c>
      <c r="O11" s="6">
        <v>0</v>
      </c>
      <c r="P11" s="6">
        <v>0</v>
      </c>
      <c r="Q11" s="2">
        <v>0</v>
      </c>
      <c r="R11" s="2">
        <v>0</v>
      </c>
      <c r="S11" s="2"/>
      <c r="T11" s="22">
        <f t="shared" si="0"/>
        <v>19.43</v>
      </c>
    </row>
    <row r="12" spans="1:20" x14ac:dyDescent="0.3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0.73</v>
      </c>
      <c r="O12" s="6">
        <v>1.3295999999999999</v>
      </c>
      <c r="P12" s="6">
        <v>0.45600000000000002</v>
      </c>
      <c r="Q12" s="2">
        <v>0</v>
      </c>
      <c r="R12" s="2">
        <v>10.146979999999999</v>
      </c>
      <c r="S12" s="2"/>
      <c r="T12" s="22">
        <f t="shared" si="0"/>
        <v>12.662579999999998</v>
      </c>
    </row>
    <row r="13" spans="1:20" x14ac:dyDescent="0.3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6">
        <v>0</v>
      </c>
      <c r="I13" s="6">
        <v>0.63200000000000001</v>
      </c>
      <c r="J13" s="6">
        <v>0</v>
      </c>
      <c r="K13" s="6">
        <v>0.46</v>
      </c>
      <c r="L13" s="6">
        <v>0</v>
      </c>
      <c r="M13" s="6">
        <v>0.35899999999999999</v>
      </c>
      <c r="N13" s="6">
        <v>0.8</v>
      </c>
      <c r="O13" s="6">
        <v>0.14000000000000001</v>
      </c>
      <c r="P13" s="6">
        <v>0</v>
      </c>
      <c r="Q13" s="2">
        <v>0</v>
      </c>
      <c r="R13" s="2">
        <v>0</v>
      </c>
      <c r="S13" s="2"/>
      <c r="T13" s="22">
        <f t="shared" si="0"/>
        <v>2.3910000000000005</v>
      </c>
    </row>
    <row r="14" spans="1:20" x14ac:dyDescent="0.3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2">
        <v>0</v>
      </c>
      <c r="R14" s="2">
        <v>0</v>
      </c>
      <c r="S14" s="2"/>
      <c r="T14" s="22">
        <f t="shared" si="0"/>
        <v>0</v>
      </c>
    </row>
    <row r="15" spans="1:20" x14ac:dyDescent="0.3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2">
        <v>0</v>
      </c>
      <c r="R15" s="2">
        <v>3.7419699999999998</v>
      </c>
      <c r="S15" s="2"/>
      <c r="T15" s="22">
        <f t="shared" si="0"/>
        <v>3.7419699999999998</v>
      </c>
    </row>
    <row r="16" spans="1:20" x14ac:dyDescent="0.3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2">
        <v>0</v>
      </c>
      <c r="R16" s="2">
        <v>0</v>
      </c>
      <c r="S16" s="2"/>
      <c r="T16" s="22">
        <f t="shared" si="0"/>
        <v>0</v>
      </c>
    </row>
    <row r="17" spans="1:20" x14ac:dyDescent="0.3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34.664999999999999</v>
      </c>
      <c r="Q17" s="2">
        <v>20.190000000000001</v>
      </c>
      <c r="R17" s="2">
        <v>15.702500000000001</v>
      </c>
      <c r="S17" s="2">
        <v>22.927500000000002</v>
      </c>
      <c r="T17" s="22">
        <f t="shared" si="0"/>
        <v>93.485000000000014</v>
      </c>
    </row>
    <row r="18" spans="1:20" x14ac:dyDescent="0.3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2">
        <v>0</v>
      </c>
      <c r="R18" s="2">
        <v>0</v>
      </c>
      <c r="S18" s="2"/>
      <c r="T18" s="22">
        <f t="shared" si="0"/>
        <v>0</v>
      </c>
    </row>
    <row r="19" spans="1:20" x14ac:dyDescent="0.3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1.2444599999999999</v>
      </c>
      <c r="N19" s="6">
        <v>0</v>
      </c>
      <c r="O19" s="6">
        <v>0</v>
      </c>
      <c r="P19" s="6">
        <v>0</v>
      </c>
      <c r="Q19" s="2">
        <v>1.8890000000000001E-2</v>
      </c>
      <c r="R19" s="2">
        <v>0</v>
      </c>
      <c r="S19" s="2"/>
      <c r="T19" s="22">
        <f t="shared" si="0"/>
        <v>1.26335</v>
      </c>
    </row>
    <row r="20" spans="1:20" x14ac:dyDescent="0.3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2">
        <v>0</v>
      </c>
      <c r="R20" s="2">
        <v>0</v>
      </c>
      <c r="S20" s="2"/>
      <c r="T20" s="22">
        <f t="shared" si="0"/>
        <v>0</v>
      </c>
    </row>
    <row r="21" spans="1:20" x14ac:dyDescent="0.3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6">
        <v>0</v>
      </c>
      <c r="I21" s="6">
        <v>2.16</v>
      </c>
      <c r="J21" s="6">
        <v>0</v>
      </c>
      <c r="K21" s="6">
        <v>12.625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2">
        <v>0</v>
      </c>
      <c r="R21" s="2">
        <v>0</v>
      </c>
      <c r="S21" s="2">
        <v>8.43</v>
      </c>
      <c r="T21" s="22">
        <f t="shared" si="0"/>
        <v>23.215</v>
      </c>
    </row>
    <row r="22" spans="1:20" x14ac:dyDescent="0.3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6">
        <v>0</v>
      </c>
      <c r="I22" s="6">
        <v>0</v>
      </c>
      <c r="J22" s="6">
        <v>0</v>
      </c>
      <c r="K22" s="6">
        <v>0</v>
      </c>
      <c r="L22" s="6">
        <v>0.85</v>
      </c>
      <c r="M22" s="6">
        <v>2.8298899999999998</v>
      </c>
      <c r="N22" s="6">
        <v>0</v>
      </c>
      <c r="O22" s="6">
        <v>0</v>
      </c>
      <c r="P22" s="6">
        <v>0.24293999999999999</v>
      </c>
      <c r="Q22" s="2">
        <v>0</v>
      </c>
      <c r="R22" s="2">
        <v>1.99681</v>
      </c>
      <c r="S22" s="2"/>
      <c r="T22" s="22">
        <f t="shared" si="0"/>
        <v>5.9196399999999993</v>
      </c>
    </row>
    <row r="23" spans="1:20" x14ac:dyDescent="0.3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2">
        <v>0</v>
      </c>
      <c r="R23" s="2">
        <v>0</v>
      </c>
      <c r="S23" s="2"/>
      <c r="T23" s="22">
        <f t="shared" si="0"/>
        <v>0</v>
      </c>
    </row>
    <row r="24" spans="1:20" x14ac:dyDescent="0.3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2">
        <v>0</v>
      </c>
      <c r="R24" s="2">
        <v>0</v>
      </c>
      <c r="S24" s="2"/>
      <c r="T24" s="22">
        <f t="shared" si="0"/>
        <v>0</v>
      </c>
    </row>
    <row r="25" spans="1:20" x14ac:dyDescent="0.3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2">
        <v>0</v>
      </c>
      <c r="R25" s="2">
        <v>0</v>
      </c>
      <c r="S25" s="2"/>
      <c r="T25" s="22">
        <f t="shared" si="0"/>
        <v>0</v>
      </c>
    </row>
    <row r="26" spans="1:20" x14ac:dyDescent="0.3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6">
        <v>0</v>
      </c>
      <c r="I26" s="6">
        <v>0</v>
      </c>
      <c r="J26" s="6">
        <v>13.55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2">
        <v>0</v>
      </c>
      <c r="R26" s="2">
        <v>3.2703199999999999</v>
      </c>
      <c r="S26" s="2"/>
      <c r="T26" s="22">
        <f t="shared" si="0"/>
        <v>16.820320000000002</v>
      </c>
    </row>
    <row r="27" spans="1:20" x14ac:dyDescent="0.3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0.2</v>
      </c>
      <c r="O27" s="6">
        <v>0</v>
      </c>
      <c r="P27" s="6">
        <v>0</v>
      </c>
      <c r="Q27" s="2">
        <v>0</v>
      </c>
      <c r="R27" s="2">
        <v>0</v>
      </c>
      <c r="S27" s="2"/>
      <c r="T27" s="22">
        <f t="shared" si="0"/>
        <v>0.2</v>
      </c>
    </row>
    <row r="28" spans="1:20" x14ac:dyDescent="0.3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2">
        <v>0</v>
      </c>
      <c r="R28" s="2">
        <v>0</v>
      </c>
      <c r="S28" s="2">
        <v>20.8</v>
      </c>
      <c r="T28" s="22">
        <f t="shared" si="0"/>
        <v>20.8</v>
      </c>
    </row>
    <row r="29" spans="1:20" x14ac:dyDescent="0.3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2">
        <v>42.833309999999997</v>
      </c>
      <c r="R29" s="2">
        <v>1.0275799999999999</v>
      </c>
      <c r="S29" s="2"/>
      <c r="T29" s="22">
        <f t="shared" si="0"/>
        <v>43.860889999999998</v>
      </c>
    </row>
    <row r="30" spans="1:20" x14ac:dyDescent="0.3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0.66</v>
      </c>
      <c r="Q30" s="2">
        <v>0</v>
      </c>
      <c r="R30" s="2">
        <v>0</v>
      </c>
      <c r="S30" s="2">
        <v>1.3380000000000001</v>
      </c>
      <c r="T30" s="22">
        <f t="shared" si="0"/>
        <v>1.9980000000000002</v>
      </c>
    </row>
    <row r="31" spans="1:20" x14ac:dyDescent="0.3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6">
        <v>0</v>
      </c>
      <c r="I31" s="6">
        <v>0</v>
      </c>
      <c r="J31" s="6">
        <v>0</v>
      </c>
      <c r="K31" s="6">
        <v>0</v>
      </c>
      <c r="L31" s="6">
        <v>6.68</v>
      </c>
      <c r="M31" s="6">
        <v>0</v>
      </c>
      <c r="N31" s="6">
        <v>0</v>
      </c>
      <c r="O31" s="6">
        <v>0</v>
      </c>
      <c r="P31" s="6">
        <v>0</v>
      </c>
      <c r="Q31" s="2">
        <v>0</v>
      </c>
      <c r="R31" s="2">
        <v>0</v>
      </c>
      <c r="S31" s="2">
        <v>0.76846999999999999</v>
      </c>
      <c r="T31" s="22">
        <f t="shared" si="0"/>
        <v>7.4484699999999995</v>
      </c>
    </row>
    <row r="32" spans="1:20" x14ac:dyDescent="0.3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6">
        <v>0</v>
      </c>
      <c r="I32" s="6">
        <v>0</v>
      </c>
      <c r="J32" s="6">
        <v>0</v>
      </c>
      <c r="K32" s="6">
        <v>0.45200000000000001</v>
      </c>
      <c r="L32" s="6">
        <v>0.45</v>
      </c>
      <c r="M32" s="6">
        <v>0</v>
      </c>
      <c r="N32" s="6">
        <v>0</v>
      </c>
      <c r="O32" s="6">
        <v>0</v>
      </c>
      <c r="P32" s="6">
        <v>0</v>
      </c>
      <c r="Q32" s="2">
        <v>0</v>
      </c>
      <c r="R32" s="2">
        <v>0</v>
      </c>
      <c r="S32" s="2"/>
      <c r="T32" s="22">
        <f t="shared" si="0"/>
        <v>0.90200000000000002</v>
      </c>
    </row>
    <row r="33" spans="1:20" x14ac:dyDescent="0.3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2">
        <v>0</v>
      </c>
      <c r="R33" s="2">
        <v>0</v>
      </c>
      <c r="S33" s="2"/>
      <c r="T33" s="22">
        <f t="shared" si="0"/>
        <v>0</v>
      </c>
    </row>
    <row r="34" spans="1:20" x14ac:dyDescent="0.3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2">
        <v>0</v>
      </c>
      <c r="R34" s="2">
        <v>1.2669999999999999</v>
      </c>
      <c r="S34" s="2"/>
      <c r="T34" s="22">
        <f t="shared" si="0"/>
        <v>1.2669999999999999</v>
      </c>
    </row>
    <row r="35" spans="1:20" x14ac:dyDescent="0.3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6">
        <v>0</v>
      </c>
      <c r="I35" s="6">
        <v>0</v>
      </c>
      <c r="J35" s="6">
        <v>0</v>
      </c>
      <c r="K35" s="6">
        <v>0</v>
      </c>
      <c r="L35" s="6">
        <v>0.5675</v>
      </c>
      <c r="M35" s="6">
        <v>0</v>
      </c>
      <c r="N35" s="6">
        <v>0</v>
      </c>
      <c r="O35" s="6">
        <v>3.536</v>
      </c>
      <c r="P35" s="6">
        <v>0</v>
      </c>
      <c r="Q35" s="2">
        <v>0</v>
      </c>
      <c r="R35" s="2">
        <v>0</v>
      </c>
      <c r="S35" s="2"/>
      <c r="T35" s="22">
        <f t="shared" si="0"/>
        <v>4.1035000000000004</v>
      </c>
    </row>
    <row r="36" spans="1:20" x14ac:dyDescent="0.3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2">
        <v>0</v>
      </c>
      <c r="R36" s="2">
        <v>0</v>
      </c>
      <c r="S36" s="2">
        <v>0.12759999999999999</v>
      </c>
      <c r="T36" s="22">
        <f t="shared" si="0"/>
        <v>0.12759999999999999</v>
      </c>
    </row>
    <row r="37" spans="1:20" x14ac:dyDescent="0.3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2">
        <v>0</v>
      </c>
      <c r="R37" s="2">
        <v>0</v>
      </c>
      <c r="S37" s="2">
        <v>0.24249000000000001</v>
      </c>
      <c r="T37" s="22">
        <f t="shared" si="0"/>
        <v>0.24249000000000001</v>
      </c>
    </row>
    <row r="38" spans="1:20" x14ac:dyDescent="0.3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2">
        <v>0</v>
      </c>
      <c r="R38" s="2">
        <v>2.0890499999999999</v>
      </c>
      <c r="S38" s="2"/>
      <c r="T38" s="22">
        <f t="shared" si="0"/>
        <v>2.0890499999999999</v>
      </c>
    </row>
    <row r="39" spans="1:20" x14ac:dyDescent="0.3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6">
        <v>0</v>
      </c>
      <c r="I39" s="6">
        <v>7.4999999999999997E-2</v>
      </c>
      <c r="J39" s="6">
        <v>7.4999999999999997E-2</v>
      </c>
      <c r="K39" s="6">
        <v>0</v>
      </c>
      <c r="L39" s="6">
        <v>1.07</v>
      </c>
      <c r="M39" s="6">
        <v>0</v>
      </c>
      <c r="N39" s="6">
        <v>2.12215</v>
      </c>
      <c r="O39" s="6">
        <v>3.8389700000000002</v>
      </c>
      <c r="P39" s="6">
        <v>0</v>
      </c>
      <c r="Q39" s="2">
        <v>0</v>
      </c>
      <c r="R39" s="2">
        <v>0</v>
      </c>
      <c r="S39" s="2"/>
      <c r="T39" s="22">
        <f t="shared" si="0"/>
        <v>7.1811199999999999</v>
      </c>
    </row>
    <row r="40" spans="1:20" x14ac:dyDescent="0.3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6">
        <v>0</v>
      </c>
      <c r="I40" s="6">
        <v>0</v>
      </c>
      <c r="J40" s="6">
        <v>0</v>
      </c>
      <c r="K40" s="6">
        <v>0</v>
      </c>
      <c r="L40" s="6">
        <v>1.20553</v>
      </c>
      <c r="M40" s="6">
        <v>0</v>
      </c>
      <c r="N40" s="6">
        <v>0</v>
      </c>
      <c r="O40" s="6">
        <v>0</v>
      </c>
      <c r="P40" s="6">
        <v>0</v>
      </c>
      <c r="Q40" s="2">
        <v>0</v>
      </c>
      <c r="R40" s="2">
        <v>0.20544999999999999</v>
      </c>
      <c r="S40" s="2"/>
      <c r="T40" s="22">
        <f t="shared" si="0"/>
        <v>1.4109799999999999</v>
      </c>
    </row>
    <row r="41" spans="1:20" x14ac:dyDescent="0.3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6">
        <v>0</v>
      </c>
      <c r="I41" s="6">
        <v>0</v>
      </c>
      <c r="J41" s="6">
        <v>0</v>
      </c>
      <c r="K41" s="6">
        <v>2.8776999999999999</v>
      </c>
      <c r="L41" s="6">
        <v>1.8</v>
      </c>
      <c r="M41" s="6">
        <v>0</v>
      </c>
      <c r="N41" s="6">
        <v>0</v>
      </c>
      <c r="O41" s="6">
        <v>0.31491999999999998</v>
      </c>
      <c r="P41" s="6">
        <v>0</v>
      </c>
      <c r="Q41" s="2">
        <v>0</v>
      </c>
      <c r="R41" s="2">
        <v>0</v>
      </c>
      <c r="S41" s="2"/>
      <c r="T41" s="22">
        <f t="shared" si="0"/>
        <v>4.9926199999999996</v>
      </c>
    </row>
    <row r="42" spans="1:20" x14ac:dyDescent="0.3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2">
        <v>0</v>
      </c>
      <c r="R42" s="2">
        <v>0</v>
      </c>
      <c r="S42" s="2"/>
      <c r="T42" s="22">
        <f t="shared" si="0"/>
        <v>0</v>
      </c>
    </row>
    <row r="43" spans="1:20" x14ac:dyDescent="0.3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2">
        <v>0</v>
      </c>
      <c r="R43" s="2">
        <v>0</v>
      </c>
      <c r="S43" s="2"/>
      <c r="T43" s="22">
        <f t="shared" si="0"/>
        <v>0</v>
      </c>
    </row>
    <row r="44" spans="1:20" x14ac:dyDescent="0.3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2">
        <v>0</v>
      </c>
      <c r="R44" s="2">
        <v>0</v>
      </c>
      <c r="S44" s="2"/>
      <c r="T44" s="22">
        <f t="shared" si="0"/>
        <v>0</v>
      </c>
    </row>
    <row r="45" spans="1:20" x14ac:dyDescent="0.3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2">
        <v>0</v>
      </c>
      <c r="R45" s="2">
        <v>0</v>
      </c>
      <c r="S45" s="2"/>
      <c r="T45" s="22">
        <f t="shared" si="0"/>
        <v>0</v>
      </c>
    </row>
    <row r="46" spans="1:20" x14ac:dyDescent="0.3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2">
        <v>0</v>
      </c>
      <c r="R46" s="2">
        <v>0</v>
      </c>
      <c r="S46" s="2"/>
      <c r="T46" s="22">
        <f t="shared" si="0"/>
        <v>0</v>
      </c>
    </row>
    <row r="47" spans="1:20" x14ac:dyDescent="0.3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2">
        <v>0</v>
      </c>
      <c r="R47" s="2">
        <v>0</v>
      </c>
      <c r="S47" s="2"/>
      <c r="T47" s="22">
        <f t="shared" si="0"/>
        <v>0</v>
      </c>
    </row>
    <row r="48" spans="1:20" x14ac:dyDescent="0.3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2">
        <v>0</v>
      </c>
      <c r="R48" s="2">
        <v>0</v>
      </c>
      <c r="S48" s="2"/>
      <c r="T48" s="22">
        <f t="shared" si="0"/>
        <v>0</v>
      </c>
    </row>
    <row r="49" spans="1:20" x14ac:dyDescent="0.3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2">
        <v>0</v>
      </c>
      <c r="R49" s="2">
        <v>0</v>
      </c>
      <c r="S49" s="2"/>
      <c r="T49" s="22">
        <f t="shared" si="0"/>
        <v>0</v>
      </c>
    </row>
    <row r="50" spans="1:20" x14ac:dyDescent="0.3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2">
        <v>0</v>
      </c>
      <c r="R50" s="2">
        <v>0</v>
      </c>
      <c r="S50" s="2"/>
      <c r="T50" s="22">
        <f t="shared" si="0"/>
        <v>0</v>
      </c>
    </row>
    <row r="51" spans="1:20" x14ac:dyDescent="0.3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3</v>
      </c>
      <c r="P51" s="6">
        <v>0</v>
      </c>
      <c r="Q51" s="2">
        <v>0</v>
      </c>
      <c r="R51" s="2">
        <v>0</v>
      </c>
      <c r="S51" s="2"/>
      <c r="T51" s="22">
        <f t="shared" si="0"/>
        <v>3</v>
      </c>
    </row>
    <row r="52" spans="1:20" x14ac:dyDescent="0.3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0.09</v>
      </c>
      <c r="Q52" s="2">
        <v>0</v>
      </c>
      <c r="R52" s="2">
        <v>0.35</v>
      </c>
      <c r="S52" s="2">
        <v>0.14000000000000001</v>
      </c>
      <c r="T52" s="22">
        <f t="shared" si="0"/>
        <v>0.57999999999999996</v>
      </c>
    </row>
    <row r="53" spans="1:20" x14ac:dyDescent="0.3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1.70662</v>
      </c>
      <c r="P53" s="6">
        <v>0</v>
      </c>
      <c r="Q53" s="2">
        <v>3.7670000000000002E-2</v>
      </c>
      <c r="R53" s="2">
        <v>0</v>
      </c>
      <c r="S53" s="2"/>
      <c r="T53" s="22">
        <f t="shared" si="0"/>
        <v>1.7442900000000001</v>
      </c>
    </row>
    <row r="54" spans="1:20" x14ac:dyDescent="0.3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2">
        <v>0</v>
      </c>
      <c r="R54" s="2">
        <v>0</v>
      </c>
      <c r="S54" s="2"/>
      <c r="T54" s="22">
        <f t="shared" si="0"/>
        <v>0</v>
      </c>
    </row>
    <row r="55" spans="1:20" x14ac:dyDescent="0.3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4.33</v>
      </c>
      <c r="Q55" s="2">
        <v>0</v>
      </c>
      <c r="R55" s="2">
        <v>0</v>
      </c>
      <c r="S55" s="2"/>
      <c r="T55" s="22">
        <f t="shared" si="0"/>
        <v>4.33</v>
      </c>
    </row>
    <row r="56" spans="1:20" x14ac:dyDescent="0.3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2">
        <v>0</v>
      </c>
      <c r="R56" s="2">
        <v>1</v>
      </c>
      <c r="S56" s="2">
        <v>1.5</v>
      </c>
      <c r="T56" s="22">
        <f t="shared" si="0"/>
        <v>2.5</v>
      </c>
    </row>
    <row r="57" spans="1:20" x14ac:dyDescent="0.3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2">
        <v>0</v>
      </c>
      <c r="R57" s="2">
        <v>-1.62</v>
      </c>
      <c r="S57" s="2"/>
      <c r="T57" s="22">
        <f t="shared" si="0"/>
        <v>-1.62</v>
      </c>
    </row>
    <row r="58" spans="1:20" x14ac:dyDescent="0.3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2">
        <v>0</v>
      </c>
      <c r="R58" s="2">
        <v>0</v>
      </c>
      <c r="S58" s="2"/>
      <c r="T58" s="22">
        <f t="shared" si="0"/>
        <v>1</v>
      </c>
    </row>
    <row r="59" spans="1:20" x14ac:dyDescent="0.3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2">
        <v>0</v>
      </c>
      <c r="R59" s="2">
        <v>0</v>
      </c>
      <c r="S59" s="2"/>
      <c r="T59" s="22">
        <f t="shared" si="0"/>
        <v>0</v>
      </c>
    </row>
    <row r="60" spans="1:20" x14ac:dyDescent="0.3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2">
        <v>0</v>
      </c>
      <c r="R60" s="2">
        <v>0</v>
      </c>
      <c r="S60" s="2"/>
      <c r="T60" s="22">
        <f t="shared" si="0"/>
        <v>0</v>
      </c>
    </row>
    <row r="61" spans="1:20" x14ac:dyDescent="0.3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2">
        <v>0</v>
      </c>
      <c r="R61" s="2">
        <v>0</v>
      </c>
      <c r="S61" s="2"/>
      <c r="T61" s="22">
        <f t="shared" si="0"/>
        <v>0</v>
      </c>
    </row>
    <row r="62" spans="1:20" x14ac:dyDescent="0.3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2">
        <v>0</v>
      </c>
      <c r="R62" s="2">
        <v>0</v>
      </c>
      <c r="S62" s="2"/>
      <c r="T62" s="22">
        <f t="shared" si="0"/>
        <v>0</v>
      </c>
    </row>
    <row r="63" spans="1:20" x14ac:dyDescent="0.3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6">
        <v>0</v>
      </c>
      <c r="I63" s="6">
        <v>0</v>
      </c>
      <c r="J63" s="6">
        <v>0.67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2">
        <v>0</v>
      </c>
      <c r="R63" s="2">
        <v>0</v>
      </c>
      <c r="S63" s="2"/>
      <c r="T63" s="22">
        <f t="shared" si="0"/>
        <v>0.67</v>
      </c>
    </row>
    <row r="64" spans="1:20" x14ac:dyDescent="0.3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6">
        <v>0</v>
      </c>
      <c r="I64" s="6">
        <v>0</v>
      </c>
      <c r="J64" s="6">
        <v>0</v>
      </c>
      <c r="K64" s="6">
        <v>0</v>
      </c>
      <c r="L64" s="6">
        <v>0.7</v>
      </c>
      <c r="M64" s="6">
        <v>0</v>
      </c>
      <c r="N64" s="6">
        <v>0</v>
      </c>
      <c r="O64" s="6">
        <v>0</v>
      </c>
      <c r="P64" s="6">
        <v>0</v>
      </c>
      <c r="Q64" s="2">
        <v>0.4</v>
      </c>
      <c r="R64" s="2">
        <v>0</v>
      </c>
      <c r="S64" s="2"/>
      <c r="T64" s="22">
        <f t="shared" si="0"/>
        <v>1.1000000000000001</v>
      </c>
    </row>
    <row r="65" spans="1:20" x14ac:dyDescent="0.3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2">
        <v>0</v>
      </c>
      <c r="R65" s="2">
        <v>0</v>
      </c>
      <c r="S65" s="2"/>
      <c r="T65" s="22">
        <f t="shared" si="0"/>
        <v>0</v>
      </c>
    </row>
    <row r="66" spans="1:20" x14ac:dyDescent="0.3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2">
        <v>0</v>
      </c>
      <c r="R66" s="2">
        <v>0</v>
      </c>
      <c r="S66" s="2"/>
      <c r="T66" s="22">
        <f t="shared" si="0"/>
        <v>0</v>
      </c>
    </row>
    <row r="67" spans="1:20" x14ac:dyDescent="0.3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2">
        <v>0</v>
      </c>
      <c r="R67" s="2">
        <v>0</v>
      </c>
      <c r="S67" s="2">
        <v>0.26500000000000001</v>
      </c>
      <c r="T67" s="22">
        <f t="shared" ref="T67:T78" si="1">SUM(H67:S67)</f>
        <v>0.26500000000000001</v>
      </c>
    </row>
    <row r="68" spans="1:20" x14ac:dyDescent="0.3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2">
        <v>0</v>
      </c>
      <c r="R68" s="2">
        <v>0</v>
      </c>
      <c r="S68" s="2"/>
      <c r="T68" s="22">
        <f t="shared" si="1"/>
        <v>0</v>
      </c>
    </row>
    <row r="69" spans="1:20" x14ac:dyDescent="0.35">
      <c r="A69" s="16" t="s">
        <v>117</v>
      </c>
      <c r="B69" s="1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2">
        <v>0</v>
      </c>
      <c r="R69" s="2">
        <v>0</v>
      </c>
      <c r="S69" s="2"/>
      <c r="T69" s="22">
        <f t="shared" si="1"/>
        <v>0</v>
      </c>
    </row>
    <row r="70" spans="1:20" x14ac:dyDescent="0.3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6">
        <v>0</v>
      </c>
      <c r="I70" s="6">
        <v>0</v>
      </c>
      <c r="J70" s="6">
        <v>0</v>
      </c>
      <c r="K70" s="6">
        <v>1.8839999999999999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2">
        <v>0</v>
      </c>
      <c r="R70" s="2">
        <v>0.37728</v>
      </c>
      <c r="S70" s="2">
        <v>0.51495999999999997</v>
      </c>
      <c r="T70" s="22">
        <f t="shared" si="1"/>
        <v>2.7762399999999996</v>
      </c>
    </row>
    <row r="71" spans="1:20" x14ac:dyDescent="0.3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2">
        <v>0</v>
      </c>
      <c r="R71" s="2">
        <v>0</v>
      </c>
      <c r="S71" s="2">
        <v>4.1888300000000003</v>
      </c>
      <c r="T71" s="22">
        <f t="shared" si="1"/>
        <v>4.1888300000000003</v>
      </c>
    </row>
    <row r="72" spans="1:20" x14ac:dyDescent="0.3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0.36</v>
      </c>
      <c r="N72" s="6">
        <v>0</v>
      </c>
      <c r="O72" s="6">
        <v>0</v>
      </c>
      <c r="P72" s="6">
        <v>0</v>
      </c>
      <c r="Q72" s="2">
        <v>0</v>
      </c>
      <c r="R72" s="2">
        <v>0</v>
      </c>
      <c r="S72" s="2"/>
      <c r="T72" s="22">
        <f t="shared" si="1"/>
        <v>0.36</v>
      </c>
    </row>
    <row r="73" spans="1:20" x14ac:dyDescent="0.3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6">
        <v>0</v>
      </c>
      <c r="I73" s="6">
        <v>0.05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0.49875000000000003</v>
      </c>
      <c r="P73" s="6">
        <v>0</v>
      </c>
      <c r="Q73" s="2">
        <v>0</v>
      </c>
      <c r="R73" s="2">
        <v>0</v>
      </c>
      <c r="S73" s="2"/>
      <c r="T73" s="22">
        <f t="shared" si="1"/>
        <v>0.54875000000000007</v>
      </c>
    </row>
    <row r="74" spans="1:20" x14ac:dyDescent="0.3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2">
        <v>0</v>
      </c>
      <c r="R74" s="2">
        <v>0</v>
      </c>
      <c r="S74" s="2"/>
      <c r="T74" s="22">
        <f t="shared" si="1"/>
        <v>0</v>
      </c>
    </row>
    <row r="75" spans="1:20" x14ac:dyDescent="0.35">
      <c r="A75" s="16" t="s">
        <v>117</v>
      </c>
      <c r="B75" s="1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2">
        <v>0</v>
      </c>
      <c r="R75" s="2">
        <v>0</v>
      </c>
      <c r="S75" s="2"/>
      <c r="T75" s="22">
        <f t="shared" si="1"/>
        <v>0</v>
      </c>
    </row>
    <row r="76" spans="1:20" x14ac:dyDescent="0.3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2">
        <v>0</v>
      </c>
      <c r="R76" s="2">
        <v>0</v>
      </c>
      <c r="S76" s="2"/>
      <c r="T76" s="22">
        <f t="shared" si="1"/>
        <v>0</v>
      </c>
    </row>
    <row r="77" spans="1:20" x14ac:dyDescent="0.35">
      <c r="A77" s="16" t="s">
        <v>117</v>
      </c>
      <c r="B77" s="32" t="s">
        <v>120</v>
      </c>
      <c r="C77" s="31" t="s">
        <v>129</v>
      </c>
      <c r="D77" s="31" t="s">
        <v>129</v>
      </c>
      <c r="E77" s="31" t="s">
        <v>129</v>
      </c>
      <c r="F77" t="s">
        <v>131</v>
      </c>
      <c r="G77" t="s">
        <v>130</v>
      </c>
      <c r="R77">
        <v>7.331E-2</v>
      </c>
      <c r="T77" s="22">
        <f t="shared" si="1"/>
        <v>7.331E-2</v>
      </c>
    </row>
    <row r="78" spans="1:20" x14ac:dyDescent="0.35">
      <c r="A78" s="16" t="s">
        <v>117</v>
      </c>
      <c r="B78" s="32" t="s">
        <v>139</v>
      </c>
      <c r="C78" s="31" t="s">
        <v>129</v>
      </c>
      <c r="D78" s="31" t="s">
        <v>129</v>
      </c>
      <c r="E78" s="31" t="s">
        <v>129</v>
      </c>
      <c r="F78" t="s">
        <v>131</v>
      </c>
      <c r="G78" t="s">
        <v>130</v>
      </c>
      <c r="S78">
        <v>1.04958</v>
      </c>
      <c r="T78" s="22">
        <f t="shared" si="1"/>
        <v>1.04958</v>
      </c>
    </row>
  </sheetData>
  <conditionalFormatting sqref="A1:B1 I1:S1 E1:G1">
    <cfRule type="duplicateValues" dxfId="42" priority="1"/>
  </conditionalFormatting>
  <conditionalFormatting sqref="B51:B73 B2:B41">
    <cfRule type="duplicateValues" dxfId="41" priority="6"/>
  </conditionalFormatting>
  <conditionalFormatting sqref="B42:B50 B74:B78">
    <cfRule type="duplicateValues" dxfId="40" priority="7"/>
  </conditionalFormatting>
  <conditionalFormatting sqref="Q2:S76">
    <cfRule type="cellIs" dxfId="39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5C25-0760-4BB2-98B6-E13A40ABD989}">
  <sheetPr codeName="Sheet12">
    <tabColor rgb="FF92D050"/>
  </sheetPr>
  <dimension ref="A1:T87"/>
  <sheetViews>
    <sheetView topLeftCell="C1" workbookViewId="0">
      <selection activeCell="S2" sqref="S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H1" s="23">
        <f>SUM(H3:H86)</f>
        <v>578.33000000000004</v>
      </c>
      <c r="I1" s="23">
        <f>SUM(I3:I86)</f>
        <v>549.90000000000009</v>
      </c>
      <c r="J1" s="23">
        <f>SUM(J3:J86)</f>
        <v>545.00000000000023</v>
      </c>
      <c r="K1" s="23">
        <f>SUM(K3:K86)</f>
        <v>515.50000000000011</v>
      </c>
      <c r="L1" s="23">
        <f>SUM(L3:L86)</f>
        <v>517</v>
      </c>
      <c r="M1" s="23">
        <f>SUM(M3:M86)</f>
        <v>536.19999999999993</v>
      </c>
      <c r="N1" s="23">
        <f>SUM(N3:N86)</f>
        <v>530.99999999999989</v>
      </c>
      <c r="O1" s="23">
        <f>SUM(O3:O86)</f>
        <v>536.99999999999989</v>
      </c>
      <c r="P1" s="23">
        <f>SUM(P3:P86)</f>
        <v>539.99999999999989</v>
      </c>
      <c r="Q1" s="23">
        <f>SUM(Q3:Q86)</f>
        <v>569.65999999999985</v>
      </c>
      <c r="R1" s="23">
        <f>SUM(R3:R86)</f>
        <v>579.99999999999989</v>
      </c>
      <c r="S1" s="23">
        <f>SUM(S3:S86)</f>
        <v>595.99999999999989</v>
      </c>
    </row>
    <row r="2" spans="1:20" x14ac:dyDescent="0.35">
      <c r="A2" s="25" t="str">
        <f>Revenue_Budget!A1</f>
        <v>FY</v>
      </c>
      <c r="B2" s="25" t="str">
        <f>Revenue_Budget!B1</f>
        <v>Project</v>
      </c>
      <c r="C2" s="25" t="str">
        <f>Revenue_Budget!C1</f>
        <v>Vertical</v>
      </c>
      <c r="D2" s="25" t="str">
        <f>Revenue_Budget!D1</f>
        <v>Region</v>
      </c>
      <c r="E2" s="25" t="str">
        <f>Revenue_Budget!E1</f>
        <v>Sub Region</v>
      </c>
      <c r="F2" s="25" t="str">
        <f>Revenue_Budget!F1</f>
        <v>Region Head</v>
      </c>
      <c r="G2" s="25" t="str">
        <f>Revenue_Budget!G1</f>
        <v>Practice Head</v>
      </c>
      <c r="H2" s="26">
        <f>Revenue_Budget!H1</f>
        <v>45748</v>
      </c>
      <c r="I2" s="26">
        <f>Revenue_Budget!I1</f>
        <v>45778</v>
      </c>
      <c r="J2" s="26">
        <f>Revenue_Budget!J1</f>
        <v>45809</v>
      </c>
      <c r="K2" s="26">
        <f>Revenue_Budget!K1</f>
        <v>45839</v>
      </c>
      <c r="L2" s="26">
        <f>Revenue_Budget!L1</f>
        <v>45870</v>
      </c>
      <c r="M2" s="26">
        <f>Revenue_Budget!M1</f>
        <v>45901</v>
      </c>
      <c r="N2" s="26">
        <f>Revenue_Budget!N1</f>
        <v>45931</v>
      </c>
      <c r="O2" s="26">
        <f>Revenue_Budget!O1</f>
        <v>45962</v>
      </c>
      <c r="P2" s="26">
        <f>Revenue_Budget!P1</f>
        <v>45992</v>
      </c>
      <c r="Q2" s="26">
        <f>Revenue_Budget!Q1</f>
        <v>46023</v>
      </c>
      <c r="R2" s="26">
        <f>Revenue_Budget!R1</f>
        <v>46054</v>
      </c>
      <c r="S2" s="26">
        <f>Revenue_Budget!S1</f>
        <v>46082</v>
      </c>
    </row>
    <row r="3" spans="1:20" x14ac:dyDescent="0.35">
      <c r="A3" s="1" t="s">
        <v>117</v>
      </c>
      <c r="B3" s="1" t="s">
        <v>3</v>
      </c>
      <c r="C3" s="1" t="str">
        <f>VLOOKUP(B3,Mapping!A:B,2,0)</f>
        <v>Lateral</v>
      </c>
      <c r="D3" s="1" t="str">
        <f>VLOOKUP(B3,Mapping!A:C,3,0)</f>
        <v>South</v>
      </c>
      <c r="E3" s="1" t="str">
        <f>VLOOKUP(B3,Mapping!A:D,4,0)</f>
        <v>South 1</v>
      </c>
      <c r="F3" s="1" t="str">
        <f>VLOOKUP(B3,Mapping!A:E,5,0)</f>
        <v>Bapi</v>
      </c>
      <c r="G3" s="1" t="str">
        <f>VLOOKUP(B3,Mapping!A:F,6,0)</f>
        <v>Bapi</v>
      </c>
      <c r="H3" s="27">
        <v>64.7</v>
      </c>
      <c r="I3" s="27">
        <v>68</v>
      </c>
      <c r="J3" s="27">
        <v>63.8</v>
      </c>
      <c r="K3" s="27">
        <v>60</v>
      </c>
      <c r="L3" s="27">
        <v>60.6</v>
      </c>
      <c r="M3" s="27">
        <v>60.5</v>
      </c>
      <c r="N3" s="27">
        <v>60.5</v>
      </c>
      <c r="O3" s="27">
        <v>60.5</v>
      </c>
      <c r="P3" s="27">
        <v>58</v>
      </c>
      <c r="Q3" s="27">
        <v>59</v>
      </c>
      <c r="R3" s="27">
        <v>59.5</v>
      </c>
      <c r="S3" s="27">
        <v>60.4</v>
      </c>
      <c r="T3" s="5"/>
    </row>
    <row r="4" spans="1:20" x14ac:dyDescent="0.35">
      <c r="A4" s="1" t="s">
        <v>117</v>
      </c>
      <c r="B4" s="1" t="s">
        <v>5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1</v>
      </c>
      <c r="F4" s="1" t="str">
        <f>VLOOKUP(B4,Mapping!A:E,5,0)</f>
        <v>Anjli</v>
      </c>
      <c r="G4" s="1" t="str">
        <f>VLOOKUP(B4,Mapping!A:F,6,0)</f>
        <v>Usha</v>
      </c>
      <c r="H4" s="27">
        <v>6.3</v>
      </c>
      <c r="I4" s="27">
        <v>7.05</v>
      </c>
      <c r="J4" s="27">
        <v>6.3</v>
      </c>
      <c r="K4" s="27">
        <v>6.2</v>
      </c>
      <c r="L4" s="27">
        <v>5.2</v>
      </c>
      <c r="M4" s="27">
        <v>5.2</v>
      </c>
      <c r="N4" s="27">
        <v>5.2</v>
      </c>
      <c r="O4" s="27">
        <v>4.5</v>
      </c>
      <c r="P4" s="27">
        <v>4.5</v>
      </c>
      <c r="Q4" s="27">
        <v>4.5</v>
      </c>
      <c r="R4" s="27">
        <v>4.5</v>
      </c>
      <c r="S4" s="27">
        <v>4.5</v>
      </c>
      <c r="T4" s="5"/>
    </row>
    <row r="5" spans="1:20" x14ac:dyDescent="0.35">
      <c r="A5" s="1" t="s">
        <v>117</v>
      </c>
      <c r="B5" s="1" t="s">
        <v>9</v>
      </c>
      <c r="C5" s="1" t="str">
        <f>VLOOKUP(B5,Mapping!A:B,2,0)</f>
        <v>Lateral</v>
      </c>
      <c r="D5" s="1" t="str">
        <f>VLOOKUP(B5,Mapping!A:C,3,0)</f>
        <v>West</v>
      </c>
      <c r="E5" s="1" t="str">
        <f>VLOOKUP(B5,Mapping!A:D,4,0)</f>
        <v>West 2</v>
      </c>
      <c r="F5" s="1" t="str">
        <f>VLOOKUP(B5,Mapping!A:E,5,0)</f>
        <v>Anjli</v>
      </c>
      <c r="G5" s="1" t="str">
        <f>VLOOKUP(B5,Mapping!A:F,6,0)</f>
        <v>Shweta</v>
      </c>
      <c r="H5" s="27">
        <v>0</v>
      </c>
      <c r="I5" s="27">
        <v>1.65</v>
      </c>
      <c r="J5" s="27">
        <v>1.7</v>
      </c>
      <c r="K5" s="27" t="s">
        <v>0</v>
      </c>
      <c r="L5" s="27" t="s">
        <v>0</v>
      </c>
      <c r="M5" s="27" t="s">
        <v>0</v>
      </c>
      <c r="N5" s="27" t="s">
        <v>0</v>
      </c>
      <c r="O5" s="27" t="s">
        <v>0</v>
      </c>
      <c r="P5" s="27" t="s">
        <v>0</v>
      </c>
      <c r="Q5" s="27">
        <v>0</v>
      </c>
      <c r="R5" s="27">
        <v>0</v>
      </c>
      <c r="S5" s="27">
        <v>0</v>
      </c>
      <c r="T5" s="5"/>
    </row>
    <row r="6" spans="1:20" x14ac:dyDescent="0.35">
      <c r="A6" s="1" t="s">
        <v>117</v>
      </c>
      <c r="B6" s="1" t="s">
        <v>11</v>
      </c>
      <c r="C6" s="1" t="str">
        <f>VLOOKUP(B6,Mapping!A:B,2,0)</f>
        <v>Lateral</v>
      </c>
      <c r="D6" s="1" t="str">
        <f>VLOOKUP(B6,Mapping!A:C,3,0)</f>
        <v>North</v>
      </c>
      <c r="E6" s="1" t="str">
        <f>VLOOKUP(B6,Mapping!A:D,4,0)</f>
        <v>North</v>
      </c>
      <c r="F6" s="1" t="str">
        <f>VLOOKUP(B6,Mapping!A:E,5,0)</f>
        <v>Anjli</v>
      </c>
      <c r="G6" s="1" t="str">
        <f>VLOOKUP(B6,Mapping!A:F,6,0)</f>
        <v>Archana</v>
      </c>
      <c r="H6" s="27">
        <v>14</v>
      </c>
      <c r="I6" s="27">
        <v>15.299999999999999</v>
      </c>
      <c r="J6" s="27">
        <v>15.4</v>
      </c>
      <c r="K6" s="27">
        <v>14.1</v>
      </c>
      <c r="L6" s="27">
        <v>14.1</v>
      </c>
      <c r="M6" s="27">
        <v>14.85</v>
      </c>
      <c r="N6" s="27">
        <v>15.1</v>
      </c>
      <c r="O6" s="27">
        <v>16.100000000000001</v>
      </c>
      <c r="P6" s="27">
        <v>15.1</v>
      </c>
      <c r="Q6" s="27">
        <v>16.3</v>
      </c>
      <c r="R6" s="27">
        <v>16.5</v>
      </c>
      <c r="S6" s="27">
        <v>16.5</v>
      </c>
      <c r="T6" s="5"/>
    </row>
    <row r="7" spans="1:20" x14ac:dyDescent="0.35">
      <c r="A7" s="1" t="s">
        <v>117</v>
      </c>
      <c r="B7" s="1" t="s">
        <v>13</v>
      </c>
      <c r="C7" s="1" t="str">
        <f>VLOOKUP(B7,Mapping!A:B,2,0)</f>
        <v>Lateral</v>
      </c>
      <c r="D7" s="1" t="str">
        <f>VLOOKUP(B7,Mapping!A:C,3,0)</f>
        <v>South</v>
      </c>
      <c r="E7" s="1" t="str">
        <f>VLOOKUP(B7,Mapping!A:D,4,0)</f>
        <v>South 1</v>
      </c>
      <c r="F7" s="1" t="str">
        <f>VLOOKUP(B7,Mapping!A:E,5,0)</f>
        <v>Sulabh</v>
      </c>
      <c r="G7" s="1" t="str">
        <f>VLOOKUP(B7,Mapping!A:F,6,0)</f>
        <v>Kunal</v>
      </c>
      <c r="H7" s="27">
        <v>13.899999999999999</v>
      </c>
      <c r="I7" s="27">
        <v>12.899999999999999</v>
      </c>
      <c r="J7" s="27">
        <v>14.5</v>
      </c>
      <c r="K7" s="27">
        <v>12.5</v>
      </c>
      <c r="L7" s="27">
        <v>12.5</v>
      </c>
      <c r="M7" s="27">
        <v>12.5</v>
      </c>
      <c r="N7" s="27">
        <v>12.5</v>
      </c>
      <c r="O7" s="27">
        <v>12.5</v>
      </c>
      <c r="P7" s="27">
        <v>12.5</v>
      </c>
      <c r="Q7" s="27">
        <v>12.5</v>
      </c>
      <c r="R7" s="27">
        <v>14.5</v>
      </c>
      <c r="S7" s="27">
        <v>15.5</v>
      </c>
      <c r="T7" s="5"/>
    </row>
    <row r="8" spans="1:20" x14ac:dyDescent="0.35">
      <c r="A8" s="1" t="s">
        <v>117</v>
      </c>
      <c r="B8" s="1" t="s">
        <v>17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1</v>
      </c>
      <c r="F8" s="1" t="str">
        <f>VLOOKUP(B8,Mapping!A:E,5,0)</f>
        <v>Anjli</v>
      </c>
      <c r="G8" s="1" t="str">
        <f>VLOOKUP(B8,Mapping!A:F,6,0)</f>
        <v>Usha</v>
      </c>
      <c r="H8" s="27">
        <v>10</v>
      </c>
      <c r="I8" s="27">
        <v>8.7999999999999989</v>
      </c>
      <c r="J8" s="27">
        <v>9.7999999999999989</v>
      </c>
      <c r="K8" s="27">
        <v>7.7</v>
      </c>
      <c r="L8" s="27">
        <v>8.6999999999999993</v>
      </c>
      <c r="M8" s="27">
        <v>7.7</v>
      </c>
      <c r="N8" s="27">
        <v>10.7</v>
      </c>
      <c r="O8" s="27">
        <v>10</v>
      </c>
      <c r="P8" s="27">
        <v>8.6</v>
      </c>
      <c r="Q8" s="27">
        <v>12.2</v>
      </c>
      <c r="R8" s="27">
        <v>13.2</v>
      </c>
      <c r="S8" s="27">
        <v>13.15</v>
      </c>
      <c r="T8" s="5"/>
    </row>
    <row r="9" spans="1:20" x14ac:dyDescent="0.35">
      <c r="A9" s="1" t="s">
        <v>117</v>
      </c>
      <c r="B9" s="1" t="s">
        <v>18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2</v>
      </c>
      <c r="F9" s="1" t="str">
        <f>VLOOKUP(B9,Mapping!A:E,5,0)</f>
        <v>Anjli</v>
      </c>
      <c r="G9" s="1" t="str">
        <f>VLOOKUP(B9,Mapping!A:F,6,0)</f>
        <v>Shweta</v>
      </c>
      <c r="H9" s="27">
        <v>4.5999999999999996</v>
      </c>
      <c r="I9" s="27">
        <v>4.0999999999999996</v>
      </c>
      <c r="J9" s="27">
        <v>3.6</v>
      </c>
      <c r="K9" s="27">
        <v>3.1</v>
      </c>
      <c r="L9" s="27">
        <v>3.1</v>
      </c>
      <c r="M9" s="27">
        <v>2.1</v>
      </c>
      <c r="N9" s="27">
        <v>2.1</v>
      </c>
      <c r="O9" s="27">
        <v>2.1</v>
      </c>
      <c r="P9" s="27">
        <v>2.1</v>
      </c>
      <c r="Q9" s="27">
        <v>2.1</v>
      </c>
      <c r="R9" s="27">
        <v>2.1</v>
      </c>
      <c r="S9" s="27">
        <v>3</v>
      </c>
      <c r="T9" s="5"/>
    </row>
    <row r="10" spans="1:20" x14ac:dyDescent="0.35">
      <c r="A10" s="1" t="s">
        <v>117</v>
      </c>
      <c r="B10" s="1" t="s">
        <v>19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7">
        <v>10.199999999999999</v>
      </c>
      <c r="I10" s="27">
        <v>10.15</v>
      </c>
      <c r="J10" s="27">
        <v>10.15</v>
      </c>
      <c r="K10" s="27">
        <v>11.15</v>
      </c>
      <c r="L10" s="27">
        <v>9.65</v>
      </c>
      <c r="M10" s="27">
        <v>10.65</v>
      </c>
      <c r="N10" s="27">
        <v>10.65</v>
      </c>
      <c r="O10" s="27">
        <v>11.15</v>
      </c>
      <c r="P10" s="27">
        <v>11.6</v>
      </c>
      <c r="Q10" s="27">
        <v>11.65</v>
      </c>
      <c r="R10" s="27">
        <v>11.65</v>
      </c>
      <c r="S10" s="27">
        <v>11.65</v>
      </c>
      <c r="T10" s="5"/>
    </row>
    <row r="11" spans="1:20" x14ac:dyDescent="0.35">
      <c r="A11" s="1" t="s">
        <v>117</v>
      </c>
      <c r="B11" s="1" t="s">
        <v>21</v>
      </c>
      <c r="C11" s="1" t="str">
        <f>VLOOKUP(B11,Mapping!A:B,2,0)</f>
        <v>Lateral</v>
      </c>
      <c r="D11" s="1" t="str">
        <f>VLOOKUP(B11,Mapping!A:C,3,0)</f>
        <v>West</v>
      </c>
      <c r="E11" s="1" t="str">
        <f>VLOOKUP(B11,Mapping!A:D,4,0)</f>
        <v>West 1</v>
      </c>
      <c r="F11" s="1" t="str">
        <f>VLOOKUP(B11,Mapping!A:E,5,0)</f>
        <v>Anjli</v>
      </c>
      <c r="G11" s="1" t="str">
        <f>VLOOKUP(B11,Mapping!A:F,6,0)</f>
        <v>Geetu</v>
      </c>
      <c r="H11" s="27">
        <v>3.8000000000000003</v>
      </c>
      <c r="I11" s="27">
        <v>3.8000000000000003</v>
      </c>
      <c r="J11" s="27">
        <v>3.8000000000000003</v>
      </c>
      <c r="K11" s="27">
        <v>2.7</v>
      </c>
      <c r="L11" s="27">
        <v>2.7</v>
      </c>
      <c r="M11" s="27">
        <v>1.7</v>
      </c>
      <c r="N11" s="27">
        <v>1.7</v>
      </c>
      <c r="O11" s="27">
        <v>1.5</v>
      </c>
      <c r="P11" s="27">
        <v>1.5</v>
      </c>
      <c r="Q11" s="27">
        <v>1</v>
      </c>
      <c r="R11" s="27">
        <v>0</v>
      </c>
      <c r="S11" s="27">
        <v>0</v>
      </c>
      <c r="T11" s="5"/>
    </row>
    <row r="12" spans="1:20" x14ac:dyDescent="0.35">
      <c r="A12" s="1" t="s">
        <v>117</v>
      </c>
      <c r="B12" s="1" t="s">
        <v>22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Mahak</v>
      </c>
      <c r="G12" s="1" t="str">
        <f>VLOOKUP(B12,Mapping!A:F,6,0)</f>
        <v>Mahak</v>
      </c>
      <c r="H12" s="27">
        <v>52</v>
      </c>
      <c r="I12" s="27">
        <v>49</v>
      </c>
      <c r="J12" s="27">
        <v>49</v>
      </c>
      <c r="K12" s="27">
        <v>48.5</v>
      </c>
      <c r="L12" s="27">
        <v>45.5</v>
      </c>
      <c r="M12" s="27">
        <v>45.5</v>
      </c>
      <c r="N12" s="27">
        <v>45.5</v>
      </c>
      <c r="O12" s="27">
        <v>45.5</v>
      </c>
      <c r="P12" s="27">
        <v>45.5</v>
      </c>
      <c r="Q12" s="27">
        <v>48</v>
      </c>
      <c r="R12" s="27">
        <v>50.5</v>
      </c>
      <c r="S12" s="27">
        <v>50.9</v>
      </c>
      <c r="T12" s="5"/>
    </row>
    <row r="13" spans="1:20" x14ac:dyDescent="0.35">
      <c r="A13" s="1" t="s">
        <v>117</v>
      </c>
      <c r="B13" s="1" t="s">
        <v>24</v>
      </c>
      <c r="C13" s="1" t="str">
        <f>VLOOKUP(B13,Mapping!A:B,2,0)</f>
        <v>Lateral</v>
      </c>
      <c r="D13" s="1" t="str">
        <f>VLOOKUP(B13,Mapping!A:C,3,0)</f>
        <v>South</v>
      </c>
      <c r="E13" s="1" t="str">
        <f>VLOOKUP(B13,Mapping!A:D,4,0)</f>
        <v>South 1</v>
      </c>
      <c r="F13" s="1" t="str">
        <f>VLOOKUP(B13,Mapping!A:E,5,0)</f>
        <v>Anjli</v>
      </c>
      <c r="G13" s="1" t="str">
        <f>VLOOKUP(B13,Mapping!A:F,6,0)</f>
        <v>Satya</v>
      </c>
      <c r="H13" s="27">
        <v>4.34</v>
      </c>
      <c r="I13" s="27">
        <v>4.333333333333333</v>
      </c>
      <c r="J13" s="27">
        <v>4.333333333333333</v>
      </c>
      <c r="K13" s="27">
        <v>4.333333333333333</v>
      </c>
      <c r="L13" s="27">
        <v>3.3333333333333335</v>
      </c>
      <c r="M13" s="27">
        <v>3.34</v>
      </c>
      <c r="N13" s="27">
        <v>3.34</v>
      </c>
      <c r="O13" s="27">
        <v>3.34</v>
      </c>
      <c r="P13" s="27">
        <v>3.34</v>
      </c>
      <c r="Q13" s="27">
        <v>3.34</v>
      </c>
      <c r="R13" s="27">
        <v>3.34</v>
      </c>
      <c r="S13" s="27">
        <v>2.84</v>
      </c>
      <c r="T13" s="5"/>
    </row>
    <row r="14" spans="1:20" x14ac:dyDescent="0.35">
      <c r="A14" s="1" t="s">
        <v>117</v>
      </c>
      <c r="B14" s="1" t="s">
        <v>26</v>
      </c>
      <c r="C14" s="1" t="str">
        <f>VLOOKUP(B14,Mapping!A:B,2,0)</f>
        <v>Lateral</v>
      </c>
      <c r="D14" s="1" t="str">
        <f>VLOOKUP(B14,Mapping!A:C,3,0)</f>
        <v>West</v>
      </c>
      <c r="E14" s="1" t="str">
        <f>VLOOKUP(B14,Mapping!A:D,4,0)</f>
        <v>West 1</v>
      </c>
      <c r="F14" s="1" t="str">
        <f>VLOOKUP(B14,Mapping!A:E,5,0)</f>
        <v>Anjli</v>
      </c>
      <c r="G14" s="1" t="str">
        <f>VLOOKUP(B14,Mapping!A:F,6,0)</f>
        <v>Geetu</v>
      </c>
      <c r="H14" s="27">
        <v>10.299999999999999</v>
      </c>
      <c r="I14" s="27">
        <v>10.25</v>
      </c>
      <c r="J14" s="27">
        <v>11.25</v>
      </c>
      <c r="K14" s="27">
        <v>8.15</v>
      </c>
      <c r="L14" s="27">
        <v>9.15</v>
      </c>
      <c r="M14" s="27">
        <v>9.15</v>
      </c>
      <c r="N14" s="27">
        <v>8.15</v>
      </c>
      <c r="O14" s="27">
        <v>8.15</v>
      </c>
      <c r="P14" s="27">
        <v>9.1999999999999993</v>
      </c>
      <c r="Q14" s="27">
        <v>8</v>
      </c>
      <c r="R14" s="27">
        <v>8</v>
      </c>
      <c r="S14" s="27">
        <v>9</v>
      </c>
      <c r="T14" s="5"/>
    </row>
    <row r="15" spans="1:20" x14ac:dyDescent="0.35">
      <c r="A15" s="1" t="s">
        <v>117</v>
      </c>
      <c r="B15" s="1" t="s">
        <v>27</v>
      </c>
      <c r="C15" s="1" t="str">
        <f>VLOOKUP(B15,Mapping!A:B,2,0)</f>
        <v>Lateral</v>
      </c>
      <c r="D15" s="1" t="str">
        <f>VLOOKUP(B15,Mapping!A:C,3,0)</f>
        <v>South</v>
      </c>
      <c r="E15" s="1" t="str">
        <f>VLOOKUP(B15,Mapping!A:D,4,0)</f>
        <v>South 2</v>
      </c>
      <c r="F15" s="1" t="str">
        <f>VLOOKUP(B15,Mapping!A:E,5,0)</f>
        <v>Sulabh</v>
      </c>
      <c r="G15" s="1" t="str">
        <f>VLOOKUP(B15,Mapping!A:F,6,0)</f>
        <v>Krishna</v>
      </c>
      <c r="H15" s="27">
        <v>3.1</v>
      </c>
      <c r="I15" s="27">
        <v>3.1</v>
      </c>
      <c r="J15" s="27">
        <v>3.1</v>
      </c>
      <c r="K15" s="27">
        <v>3.1</v>
      </c>
      <c r="L15" s="27">
        <v>3.1</v>
      </c>
      <c r="M15" s="27">
        <v>3.1</v>
      </c>
      <c r="N15" s="27">
        <v>3.1</v>
      </c>
      <c r="O15" s="27">
        <v>3</v>
      </c>
      <c r="P15" s="27">
        <v>3.3</v>
      </c>
      <c r="Q15" s="27">
        <v>3.5</v>
      </c>
      <c r="R15" s="27">
        <v>3.5</v>
      </c>
      <c r="S15" s="27">
        <v>3.5</v>
      </c>
      <c r="T15" s="5"/>
    </row>
    <row r="16" spans="1:20" x14ac:dyDescent="0.35">
      <c r="A16" s="1" t="s">
        <v>117</v>
      </c>
      <c r="B16" s="1" t="s">
        <v>29</v>
      </c>
      <c r="C16" s="1" t="str">
        <f>VLOOKUP(B16,Mapping!A:B,2,0)</f>
        <v>Lateral</v>
      </c>
      <c r="D16" s="1" t="str">
        <f>VLOOKUP(B16,Mapping!A:C,3,0)</f>
        <v>West</v>
      </c>
      <c r="E16" s="1" t="str">
        <f>VLOOKUP(B16,Mapping!A:D,4,0)</f>
        <v>West 1</v>
      </c>
      <c r="F16" s="1" t="str">
        <f>VLOOKUP(B16,Mapping!A:E,5,0)</f>
        <v>Anjli</v>
      </c>
      <c r="G16" s="1" t="str">
        <f>VLOOKUP(B16,Mapping!A:F,6,0)</f>
        <v>Dhriti</v>
      </c>
      <c r="H16" s="27">
        <v>67.5</v>
      </c>
      <c r="I16" s="27">
        <v>59.5</v>
      </c>
      <c r="J16" s="27">
        <v>60</v>
      </c>
      <c r="K16" s="27">
        <v>58</v>
      </c>
      <c r="L16" s="27">
        <v>69</v>
      </c>
      <c r="M16" s="27">
        <v>78</v>
      </c>
      <c r="N16" s="27">
        <v>79</v>
      </c>
      <c r="O16" s="27">
        <v>76</v>
      </c>
      <c r="P16" s="27">
        <v>75</v>
      </c>
      <c r="Q16" s="27">
        <v>74</v>
      </c>
      <c r="R16" s="27">
        <v>84</v>
      </c>
      <c r="S16" s="27">
        <v>72</v>
      </c>
      <c r="T16" s="5"/>
    </row>
    <row r="17" spans="1:20" x14ac:dyDescent="0.35">
      <c r="A17" s="1" t="s">
        <v>117</v>
      </c>
      <c r="B17" s="1" t="s">
        <v>30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2</v>
      </c>
      <c r="F17" s="1" t="str">
        <f>VLOOKUP(B17,Mapping!A:E,5,0)</f>
        <v>Sulabh</v>
      </c>
      <c r="G17" s="1" t="str">
        <f>VLOOKUP(B17,Mapping!A:F,6,0)</f>
        <v>Krishna</v>
      </c>
      <c r="H17" s="27">
        <v>3</v>
      </c>
      <c r="I17" s="27">
        <v>2</v>
      </c>
      <c r="J17" s="27">
        <v>2</v>
      </c>
      <c r="K17" s="27">
        <v>1</v>
      </c>
      <c r="L17" s="27">
        <v>1</v>
      </c>
      <c r="M17" s="27" t="s">
        <v>0</v>
      </c>
      <c r="N17" s="27" t="s">
        <v>0</v>
      </c>
      <c r="O17" s="27" t="s">
        <v>0</v>
      </c>
      <c r="P17" s="27" t="s">
        <v>0</v>
      </c>
      <c r="Q17" s="27">
        <v>0</v>
      </c>
      <c r="R17" s="27">
        <v>0</v>
      </c>
      <c r="S17" s="27">
        <v>0</v>
      </c>
      <c r="T17" s="5"/>
    </row>
    <row r="18" spans="1:20" x14ac:dyDescent="0.35">
      <c r="A18" s="1" t="s">
        <v>117</v>
      </c>
      <c r="B18" s="1" t="s">
        <v>31</v>
      </c>
      <c r="C18" s="1" t="str">
        <f>VLOOKUP(B18,Mapping!A:B,2,0)</f>
        <v>Lateral</v>
      </c>
      <c r="D18" s="1" t="str">
        <f>VLOOKUP(B18,Mapping!A:C,3,0)</f>
        <v>South</v>
      </c>
      <c r="E18" s="1" t="str">
        <f>VLOOKUP(B18,Mapping!A:D,4,0)</f>
        <v>South 1</v>
      </c>
      <c r="F18" s="1" t="str">
        <f>VLOOKUP(B18,Mapping!A:E,5,0)</f>
        <v>Sulabh</v>
      </c>
      <c r="G18" s="1" t="str">
        <f>VLOOKUP(B18,Mapping!A:F,6,0)</f>
        <v>Subu</v>
      </c>
      <c r="H18" s="27">
        <v>13</v>
      </c>
      <c r="I18" s="27">
        <v>12.7</v>
      </c>
      <c r="J18" s="27">
        <v>13</v>
      </c>
      <c r="K18" s="27">
        <v>13</v>
      </c>
      <c r="L18" s="27">
        <v>14</v>
      </c>
      <c r="M18" s="27">
        <v>13</v>
      </c>
      <c r="N18" s="27">
        <v>12</v>
      </c>
      <c r="O18" s="27">
        <v>18</v>
      </c>
      <c r="P18" s="27">
        <v>18</v>
      </c>
      <c r="Q18" s="27">
        <v>19</v>
      </c>
      <c r="R18" s="27">
        <v>19</v>
      </c>
      <c r="S18" s="27">
        <v>16</v>
      </c>
      <c r="T18" s="5"/>
    </row>
    <row r="19" spans="1:20" x14ac:dyDescent="0.35">
      <c r="A19" s="1" t="s">
        <v>117</v>
      </c>
      <c r="B19" s="1" t="s">
        <v>33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2</v>
      </c>
      <c r="F19" s="1" t="str">
        <f>VLOOKUP(B19,Mapping!A:E,5,0)</f>
        <v>Anjli</v>
      </c>
      <c r="G19" s="1" t="str">
        <f>VLOOKUP(B19,Mapping!A:F,6,0)</f>
        <v>Anjli</v>
      </c>
      <c r="H19" s="27">
        <v>1</v>
      </c>
      <c r="I19" s="27" t="s">
        <v>0</v>
      </c>
      <c r="J19" s="27" t="s">
        <v>0</v>
      </c>
      <c r="K19" s="27" t="s">
        <v>0</v>
      </c>
      <c r="L19" s="27" t="s">
        <v>0</v>
      </c>
      <c r="M19" s="27" t="s">
        <v>0</v>
      </c>
      <c r="N19" s="27" t="s">
        <v>0</v>
      </c>
      <c r="O19" s="27" t="s">
        <v>0</v>
      </c>
      <c r="P19" s="27" t="s">
        <v>0</v>
      </c>
      <c r="Q19" s="27">
        <v>0</v>
      </c>
      <c r="R19" s="27">
        <v>0</v>
      </c>
      <c r="S19" s="27">
        <v>0</v>
      </c>
      <c r="T19" s="5"/>
    </row>
    <row r="20" spans="1:20" x14ac:dyDescent="0.35">
      <c r="A20" s="1" t="s">
        <v>117</v>
      </c>
      <c r="B20" s="1" t="s">
        <v>34</v>
      </c>
      <c r="C20" s="1" t="str">
        <f>VLOOKUP(B20,Mapping!A:B,2,0)</f>
        <v>Lateral</v>
      </c>
      <c r="D20" s="1" t="str">
        <f>VLOOKUP(B20,Mapping!A:C,3,0)</f>
        <v>West</v>
      </c>
      <c r="E20" s="1" t="str">
        <f>VLOOKUP(B20,Mapping!A:D,4,0)</f>
        <v>West 1</v>
      </c>
      <c r="F20" s="1" t="str">
        <f>VLOOKUP(B20,Mapping!A:E,5,0)</f>
        <v>Anjli</v>
      </c>
      <c r="G20" s="1" t="str">
        <f>VLOOKUP(B20,Mapping!A:F,6,0)</f>
        <v>Geetu</v>
      </c>
      <c r="H20" s="27">
        <v>13.659999999999998</v>
      </c>
      <c r="I20" s="27">
        <v>12.7</v>
      </c>
      <c r="J20" s="27">
        <v>10.25</v>
      </c>
      <c r="K20" s="27">
        <v>11.15</v>
      </c>
      <c r="L20" s="27">
        <v>8.65</v>
      </c>
      <c r="M20" s="27">
        <v>7.65</v>
      </c>
      <c r="N20" s="27">
        <v>7.65</v>
      </c>
      <c r="O20" s="27">
        <v>7.15</v>
      </c>
      <c r="P20" s="27">
        <v>6.1</v>
      </c>
      <c r="Q20" s="27">
        <v>5.15</v>
      </c>
      <c r="R20" s="27">
        <v>5.15</v>
      </c>
      <c r="S20" s="27">
        <v>4.1500000000000004</v>
      </c>
      <c r="T20" s="5"/>
    </row>
    <row r="21" spans="1:20" x14ac:dyDescent="0.35">
      <c r="A21" s="1" t="s">
        <v>117</v>
      </c>
      <c r="B21" s="1" t="s">
        <v>35</v>
      </c>
      <c r="C21" s="1" t="str">
        <f>VLOOKUP(B21,Mapping!A:B,2,0)</f>
        <v>Lateral</v>
      </c>
      <c r="D21" s="1" t="str">
        <f>VLOOKUP(B21,Mapping!A:C,3,0)</f>
        <v>South</v>
      </c>
      <c r="E21" s="1" t="str">
        <f>VLOOKUP(B21,Mapping!A:D,4,0)</f>
        <v>South 1</v>
      </c>
      <c r="F21" s="1" t="str">
        <f>VLOOKUP(B21,Mapping!A:E,5,0)</f>
        <v>Sulabh</v>
      </c>
      <c r="G21" s="1" t="str">
        <f>VLOOKUP(B21,Mapping!A:F,6,0)</f>
        <v>Satya</v>
      </c>
      <c r="H21" s="27">
        <v>1.33</v>
      </c>
      <c r="I21" s="27">
        <v>1.3333333333333333</v>
      </c>
      <c r="J21" s="27">
        <v>1.3333333333333333</v>
      </c>
      <c r="K21" s="27">
        <v>1.3333333333333333</v>
      </c>
      <c r="L21" s="27">
        <v>1.3333333333333333</v>
      </c>
      <c r="M21" s="27">
        <v>1.33</v>
      </c>
      <c r="N21" s="27">
        <v>1.33</v>
      </c>
      <c r="O21" s="27">
        <v>0.33</v>
      </c>
      <c r="P21" s="27">
        <v>0.33</v>
      </c>
      <c r="Q21" s="27">
        <v>0.33</v>
      </c>
      <c r="R21" s="27">
        <v>0.33</v>
      </c>
      <c r="S21" s="27">
        <v>0.33</v>
      </c>
      <c r="T21" s="5"/>
    </row>
    <row r="22" spans="1:20" x14ac:dyDescent="0.35">
      <c r="A22" s="1" t="s">
        <v>117</v>
      </c>
      <c r="B22" s="1" t="s">
        <v>36</v>
      </c>
      <c r="C22" s="1" t="str">
        <f>VLOOKUP(B22,Mapping!A:B,2,0)</f>
        <v>Lateral</v>
      </c>
      <c r="D22" s="1" t="str">
        <f>VLOOKUP(B22,Mapping!A:C,3,0)</f>
        <v>West</v>
      </c>
      <c r="E22" s="1" t="str">
        <f>VLOOKUP(B22,Mapping!A:D,4,0)</f>
        <v>West 1</v>
      </c>
      <c r="F22" s="1" t="str">
        <f>VLOOKUP(B22,Mapping!A:E,5,0)</f>
        <v>Anjli</v>
      </c>
      <c r="G22" s="1" t="str">
        <f>VLOOKUP(B22,Mapping!A:F,6,0)</f>
        <v>Alifia</v>
      </c>
      <c r="H22" s="27">
        <v>33.1</v>
      </c>
      <c r="I22" s="27">
        <v>33.1</v>
      </c>
      <c r="J22" s="27">
        <v>33.1</v>
      </c>
      <c r="K22" s="27">
        <v>30</v>
      </c>
      <c r="L22" s="27">
        <v>29</v>
      </c>
      <c r="M22" s="27">
        <v>28</v>
      </c>
      <c r="N22" s="27">
        <v>28</v>
      </c>
      <c r="O22" s="27">
        <v>29</v>
      </c>
      <c r="P22" s="27">
        <v>31</v>
      </c>
      <c r="Q22" s="27">
        <v>34</v>
      </c>
      <c r="R22" s="27">
        <v>38.5</v>
      </c>
      <c r="S22" s="27">
        <v>38</v>
      </c>
      <c r="T22" s="5"/>
    </row>
    <row r="23" spans="1:20" x14ac:dyDescent="0.35">
      <c r="A23" s="1" t="s">
        <v>117</v>
      </c>
      <c r="B23" s="1" t="s">
        <v>38</v>
      </c>
      <c r="C23" s="1" t="str">
        <f>VLOOKUP(B23,Mapping!A:B,2,0)</f>
        <v>Lateral</v>
      </c>
      <c r="D23" s="1" t="str">
        <f>VLOOKUP(B23,Mapping!A:C,3,0)</f>
        <v>South</v>
      </c>
      <c r="E23" s="1" t="str">
        <f>VLOOKUP(B23,Mapping!A:D,4,0)</f>
        <v>South 2</v>
      </c>
      <c r="F23" s="1" t="str">
        <f>VLOOKUP(B23,Mapping!A:E,5,0)</f>
        <v>Sulabh</v>
      </c>
      <c r="G23" s="1" t="str">
        <f>VLOOKUP(B23,Mapping!A:F,6,0)</f>
        <v>Subu</v>
      </c>
      <c r="H23" s="27">
        <v>6.5</v>
      </c>
      <c r="I23" s="27">
        <v>8.2999999999999989</v>
      </c>
      <c r="J23" s="27">
        <v>5.0999999999999996</v>
      </c>
      <c r="K23" s="27">
        <v>4.0999999999999996</v>
      </c>
      <c r="L23" s="27">
        <v>4.2</v>
      </c>
      <c r="M23" s="27">
        <v>5.2</v>
      </c>
      <c r="N23" s="27">
        <v>4.2</v>
      </c>
      <c r="O23" s="27">
        <v>4</v>
      </c>
      <c r="P23" s="27">
        <v>3.2</v>
      </c>
      <c r="Q23" s="27">
        <v>3</v>
      </c>
      <c r="R23" s="27">
        <v>3</v>
      </c>
      <c r="S23" s="27">
        <v>2</v>
      </c>
      <c r="T23" s="5"/>
    </row>
    <row r="24" spans="1:20" x14ac:dyDescent="0.35">
      <c r="A24" s="1" t="s">
        <v>117</v>
      </c>
      <c r="B24" s="1" t="s">
        <v>39</v>
      </c>
      <c r="C24" s="1" t="str">
        <f>VLOOKUP(B24,Mapping!A:B,2,0)</f>
        <v>Lateral</v>
      </c>
      <c r="D24" s="1" t="str">
        <f>VLOOKUP(B24,Mapping!A:C,3,0)</f>
        <v>North</v>
      </c>
      <c r="E24" s="1" t="str">
        <f>VLOOKUP(B24,Mapping!A:D,4,0)</f>
        <v>North</v>
      </c>
      <c r="F24" s="1" t="str">
        <f>VLOOKUP(B24,Mapping!A:E,5,0)</f>
        <v>Anjli</v>
      </c>
      <c r="G24" s="1" t="str">
        <f>VLOOKUP(B24,Mapping!A:F,6,0)</f>
        <v>Archana</v>
      </c>
      <c r="H24" s="27">
        <v>6.1</v>
      </c>
      <c r="I24" s="27">
        <v>5.0999999999999996</v>
      </c>
      <c r="J24" s="27">
        <v>5.0999999999999996</v>
      </c>
      <c r="K24" s="27">
        <v>5.0999999999999996</v>
      </c>
      <c r="L24" s="27">
        <v>6.1</v>
      </c>
      <c r="M24" s="27">
        <v>6.2</v>
      </c>
      <c r="N24" s="27">
        <v>6.2</v>
      </c>
      <c r="O24" s="27">
        <v>6.75</v>
      </c>
      <c r="P24" s="27">
        <v>6.7</v>
      </c>
      <c r="Q24" s="27">
        <v>7.4499999999999993</v>
      </c>
      <c r="R24" s="27">
        <v>6.4499999999999993</v>
      </c>
      <c r="S24" s="27">
        <v>6.4499999999999993</v>
      </c>
      <c r="T24" s="5"/>
    </row>
    <row r="25" spans="1:20" x14ac:dyDescent="0.35">
      <c r="A25" s="1" t="s">
        <v>117</v>
      </c>
      <c r="B25" s="1" t="s">
        <v>40</v>
      </c>
      <c r="C25" s="1" t="str">
        <f>VLOOKUP(B25,Mapping!A:B,2,0)</f>
        <v>Lateral</v>
      </c>
      <c r="D25" s="1" t="str">
        <f>VLOOKUP(B25,Mapping!A:C,3,0)</f>
        <v>South</v>
      </c>
      <c r="E25" s="1" t="str">
        <f>VLOOKUP(B25,Mapping!A:D,4,0)</f>
        <v>South 2</v>
      </c>
      <c r="F25" s="1" t="str">
        <f>VLOOKUP(B25,Mapping!A:E,5,0)</f>
        <v>Sulabh</v>
      </c>
      <c r="G25" s="1" t="str">
        <f>VLOOKUP(B25,Mapping!A:F,6,0)</f>
        <v>Krishna</v>
      </c>
      <c r="H25" s="27" t="s">
        <v>61</v>
      </c>
      <c r="I25" s="27" t="s">
        <v>61</v>
      </c>
      <c r="J25" s="27" t="s">
        <v>61</v>
      </c>
      <c r="K25" s="27" t="s">
        <v>61</v>
      </c>
      <c r="L25" s="27" t="s">
        <v>61</v>
      </c>
      <c r="M25" s="27" t="s">
        <v>61</v>
      </c>
      <c r="N25" s="27" t="s">
        <v>61</v>
      </c>
      <c r="O25" s="27" t="s">
        <v>61</v>
      </c>
      <c r="P25" s="27" t="s">
        <v>61</v>
      </c>
      <c r="Q25" s="27">
        <v>0</v>
      </c>
      <c r="R25" s="27">
        <v>0</v>
      </c>
      <c r="S25" s="27">
        <v>0</v>
      </c>
      <c r="T25" s="5"/>
    </row>
    <row r="26" spans="1:20" x14ac:dyDescent="0.35">
      <c r="A26" s="1" t="s">
        <v>117</v>
      </c>
      <c r="B26" s="1" t="s">
        <v>41</v>
      </c>
      <c r="C26" s="1" t="str">
        <f>VLOOKUP(B26,Mapping!A:B,2,0)</f>
        <v>Lateral</v>
      </c>
      <c r="D26" s="1" t="str">
        <f>VLOOKUP(B26,Mapping!A:C,3,0)</f>
        <v>West</v>
      </c>
      <c r="E26" s="1" t="str">
        <f>VLOOKUP(B26,Mapping!A:D,4,0)</f>
        <v>West 2</v>
      </c>
      <c r="F26" s="1" t="str">
        <f>VLOOKUP(B26,Mapping!A:E,5,0)</f>
        <v>Anjli</v>
      </c>
      <c r="G26" s="1" t="str">
        <f>VLOOKUP(B26,Mapping!A:F,6,0)</f>
        <v>Shweta</v>
      </c>
      <c r="H26" s="27">
        <v>7.55</v>
      </c>
      <c r="I26" s="27">
        <v>4.8</v>
      </c>
      <c r="J26" s="27">
        <v>4.8</v>
      </c>
      <c r="K26" s="27">
        <v>5.3</v>
      </c>
      <c r="L26" s="27">
        <v>5.0999999999999996</v>
      </c>
      <c r="M26" s="27">
        <v>6.1</v>
      </c>
      <c r="N26" s="27">
        <v>6.1</v>
      </c>
      <c r="O26" s="27">
        <v>5.0999999999999996</v>
      </c>
      <c r="P26" s="27">
        <v>5.0999999999999996</v>
      </c>
      <c r="Q26" s="27">
        <v>5.0999999999999996</v>
      </c>
      <c r="R26" s="27">
        <v>5.0999999999999996</v>
      </c>
      <c r="S26" s="27">
        <v>6</v>
      </c>
      <c r="T26" s="5"/>
    </row>
    <row r="27" spans="1:20" x14ac:dyDescent="0.35">
      <c r="A27" s="1" t="s">
        <v>117</v>
      </c>
      <c r="B27" s="1" t="s">
        <v>42</v>
      </c>
      <c r="C27" s="1" t="str">
        <f>VLOOKUP(B27,Mapping!A:B,2,0)</f>
        <v>Lateral</v>
      </c>
      <c r="D27" s="1" t="str">
        <f>VLOOKUP(B27,Mapping!A:C,3,0)</f>
        <v>South</v>
      </c>
      <c r="E27" s="1" t="str">
        <f>VLOOKUP(B27,Mapping!A:D,4,0)</f>
        <v>South 2</v>
      </c>
      <c r="F27" s="1" t="str">
        <f>VLOOKUP(B27,Mapping!A:E,5,0)</f>
        <v>Sulabh</v>
      </c>
      <c r="G27" s="1" t="str">
        <f>VLOOKUP(B27,Mapping!A:F,6,0)</f>
        <v>Krishna</v>
      </c>
      <c r="H27" s="27">
        <v>6.1</v>
      </c>
      <c r="I27" s="27">
        <v>5.0999999999999996</v>
      </c>
      <c r="J27" s="27">
        <v>5.0999999999999996</v>
      </c>
      <c r="K27" s="27">
        <v>5.0999999999999996</v>
      </c>
      <c r="L27" s="27">
        <v>5.0999999999999996</v>
      </c>
      <c r="M27" s="27">
        <v>11.2</v>
      </c>
      <c r="N27" s="27">
        <v>10.199999999999999</v>
      </c>
      <c r="O27" s="27">
        <v>9.5</v>
      </c>
      <c r="P27" s="27">
        <v>13</v>
      </c>
      <c r="Q27" s="27">
        <v>17.329999999999998</v>
      </c>
      <c r="R27" s="27">
        <v>18.399999999999999</v>
      </c>
      <c r="S27" s="27">
        <v>20.7</v>
      </c>
      <c r="T27" s="5"/>
    </row>
    <row r="28" spans="1:20" x14ac:dyDescent="0.35">
      <c r="A28" s="1" t="s">
        <v>117</v>
      </c>
      <c r="B28" s="1" t="s">
        <v>43</v>
      </c>
      <c r="C28" s="1" t="str">
        <f>VLOOKUP(B28,Mapping!A:B,2,0)</f>
        <v>Lateral</v>
      </c>
      <c r="D28" s="1" t="str">
        <f>VLOOKUP(B28,Mapping!A:C,3,0)</f>
        <v>North</v>
      </c>
      <c r="E28" s="1" t="str">
        <f>VLOOKUP(B28,Mapping!A:D,4,0)</f>
        <v>North</v>
      </c>
      <c r="F28" s="1" t="str">
        <f>VLOOKUP(B28,Mapping!A:E,5,0)</f>
        <v>Anjli</v>
      </c>
      <c r="G28" s="1" t="str">
        <f>VLOOKUP(B28,Mapping!A:F,6,0)</f>
        <v>Archana</v>
      </c>
      <c r="H28" s="27">
        <v>13</v>
      </c>
      <c r="I28" s="27">
        <v>13.5</v>
      </c>
      <c r="J28" s="27">
        <v>13.7</v>
      </c>
      <c r="K28" s="27">
        <v>14.299999999999999</v>
      </c>
      <c r="L28" s="27">
        <v>14.299999999999999</v>
      </c>
      <c r="M28" s="27">
        <v>18.3</v>
      </c>
      <c r="N28" s="27">
        <v>18.3</v>
      </c>
      <c r="O28" s="27">
        <v>17.350000000000001</v>
      </c>
      <c r="P28" s="27">
        <v>17.649999999999999</v>
      </c>
      <c r="Q28" s="27">
        <v>15.399999999999999</v>
      </c>
      <c r="R28" s="27">
        <v>14.4</v>
      </c>
      <c r="S28" s="27">
        <v>13.4</v>
      </c>
      <c r="T28" s="5"/>
    </row>
    <row r="29" spans="1:20" x14ac:dyDescent="0.35">
      <c r="A29" s="1" t="s">
        <v>117</v>
      </c>
      <c r="B29" s="1" t="s">
        <v>44</v>
      </c>
      <c r="C29" s="1" t="str">
        <f>VLOOKUP(B29,Mapping!A:B,2,0)</f>
        <v>Lateral</v>
      </c>
      <c r="D29" s="1" t="str">
        <f>VLOOKUP(B29,Mapping!A:C,3,0)</f>
        <v>West</v>
      </c>
      <c r="E29" s="1" t="str">
        <f>VLOOKUP(B29,Mapping!A:D,4,0)</f>
        <v>West 2</v>
      </c>
      <c r="F29" s="1" t="str">
        <f>VLOOKUP(B29,Mapping!A:E,5,0)</f>
        <v>Anjli</v>
      </c>
      <c r="G29" s="1" t="str">
        <f>VLOOKUP(B29,Mapping!A:F,6,0)</f>
        <v>Shweta</v>
      </c>
      <c r="H29" s="27">
        <v>16.149999999999999</v>
      </c>
      <c r="I29" s="27">
        <v>12.6</v>
      </c>
      <c r="J29" s="27">
        <v>10.4</v>
      </c>
      <c r="K29" s="27">
        <v>9.6</v>
      </c>
      <c r="L29" s="27">
        <v>10.6</v>
      </c>
      <c r="M29" s="27">
        <v>10.6</v>
      </c>
      <c r="N29" s="27">
        <v>9.4</v>
      </c>
      <c r="O29" s="27">
        <v>10.4</v>
      </c>
      <c r="P29" s="27">
        <v>8.4</v>
      </c>
      <c r="Q29" s="27">
        <v>6.4</v>
      </c>
      <c r="R29" s="27">
        <v>6.4</v>
      </c>
      <c r="S29" s="27">
        <v>7</v>
      </c>
      <c r="T29" s="5"/>
    </row>
    <row r="30" spans="1:20" x14ac:dyDescent="0.35">
      <c r="A30" s="1" t="s">
        <v>117</v>
      </c>
      <c r="B30" s="1" t="s">
        <v>45</v>
      </c>
      <c r="C30" s="1" t="str">
        <f>VLOOKUP(B30,Mapping!A:B,2,0)</f>
        <v>Lateral</v>
      </c>
      <c r="D30" s="1" t="str">
        <f>VLOOKUP(B30,Mapping!A:C,3,0)</f>
        <v>North</v>
      </c>
      <c r="E30" s="1" t="str">
        <f>VLOOKUP(B30,Mapping!A:D,4,0)</f>
        <v>North</v>
      </c>
      <c r="F30" s="1" t="str">
        <f>VLOOKUP(B30,Mapping!A:E,5,0)</f>
        <v>Anjli</v>
      </c>
      <c r="G30" s="1" t="str">
        <f>VLOOKUP(B30,Mapping!A:F,6,0)</f>
        <v>Archana</v>
      </c>
      <c r="H30" s="27">
        <v>52.4</v>
      </c>
      <c r="I30" s="27">
        <v>45.65</v>
      </c>
      <c r="J30" s="27">
        <v>44.199999999999996</v>
      </c>
      <c r="K30" s="27">
        <v>40.9</v>
      </c>
      <c r="L30" s="27">
        <v>40</v>
      </c>
      <c r="M30" s="27">
        <v>39</v>
      </c>
      <c r="N30" s="27">
        <v>39</v>
      </c>
      <c r="O30" s="27">
        <v>39.5</v>
      </c>
      <c r="P30" s="27">
        <v>39.199999999999996</v>
      </c>
      <c r="Q30" s="27">
        <v>37.75</v>
      </c>
      <c r="R30" s="27">
        <v>33.85</v>
      </c>
      <c r="S30" s="27">
        <v>33.85</v>
      </c>
      <c r="T30" s="5"/>
    </row>
    <row r="31" spans="1:20" x14ac:dyDescent="0.35">
      <c r="A31" s="1" t="s">
        <v>117</v>
      </c>
      <c r="B31" s="1" t="s">
        <v>46</v>
      </c>
      <c r="C31" s="1" t="str">
        <f>VLOOKUP(B31,Mapping!A:B,2,0)</f>
        <v>Lateral</v>
      </c>
      <c r="D31" s="1" t="str">
        <f>VLOOKUP(B31,Mapping!A:C,3,0)</f>
        <v>South</v>
      </c>
      <c r="E31" s="1" t="str">
        <f>VLOOKUP(B31,Mapping!A:D,4,0)</f>
        <v>South 2</v>
      </c>
      <c r="F31" s="1" t="str">
        <f>VLOOKUP(B31,Mapping!A:E,5,0)</f>
        <v>Sulabh</v>
      </c>
      <c r="G31" s="1" t="str">
        <f>VLOOKUP(B31,Mapping!A:F,6,0)</f>
        <v>Krishna</v>
      </c>
      <c r="H31" s="27">
        <v>3</v>
      </c>
      <c r="I31" s="27">
        <v>0</v>
      </c>
      <c r="J31" s="27">
        <v>1</v>
      </c>
      <c r="K31" s="27">
        <v>1</v>
      </c>
      <c r="L31" s="27">
        <v>1</v>
      </c>
      <c r="M31" s="27" t="s">
        <v>0</v>
      </c>
      <c r="N31" s="27" t="s">
        <v>0</v>
      </c>
      <c r="O31" s="27" t="s">
        <v>0</v>
      </c>
      <c r="P31" s="27" t="s">
        <v>0</v>
      </c>
      <c r="Q31" s="27">
        <v>0</v>
      </c>
      <c r="R31" s="27">
        <v>0</v>
      </c>
      <c r="S31" s="27">
        <v>0</v>
      </c>
      <c r="T31" s="5"/>
    </row>
    <row r="32" spans="1:20" x14ac:dyDescent="0.35">
      <c r="A32" s="1" t="s">
        <v>117</v>
      </c>
      <c r="B32" s="1" t="s">
        <v>47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7">
        <v>17.3</v>
      </c>
      <c r="I32" s="27">
        <v>15.299999999999999</v>
      </c>
      <c r="J32" s="27">
        <v>15.299999999999999</v>
      </c>
      <c r="K32" s="27">
        <v>14.2</v>
      </c>
      <c r="L32" s="27">
        <v>14.2</v>
      </c>
      <c r="M32" s="27">
        <v>14.2</v>
      </c>
      <c r="N32" s="27">
        <v>14.2</v>
      </c>
      <c r="O32" s="27">
        <v>14</v>
      </c>
      <c r="P32" s="27">
        <v>13.1</v>
      </c>
      <c r="Q32" s="27">
        <v>15.2</v>
      </c>
      <c r="R32" s="27">
        <v>14.2</v>
      </c>
      <c r="S32" s="27">
        <v>16.2</v>
      </c>
      <c r="T32" s="5"/>
    </row>
    <row r="33" spans="1:20" x14ac:dyDescent="0.35">
      <c r="A33" s="1" t="s">
        <v>117</v>
      </c>
      <c r="B33" s="1" t="s">
        <v>48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>
        <v>1.3</v>
      </c>
      <c r="I33" s="27">
        <v>1.3</v>
      </c>
      <c r="J33" s="27">
        <v>1.3</v>
      </c>
      <c r="K33" s="27">
        <v>1.2</v>
      </c>
      <c r="L33" s="27">
        <v>2.2000000000000002</v>
      </c>
      <c r="M33" s="27">
        <v>1.2</v>
      </c>
      <c r="N33" s="27">
        <v>1.2</v>
      </c>
      <c r="O33" s="27">
        <v>1</v>
      </c>
      <c r="P33" s="27">
        <v>1</v>
      </c>
      <c r="Q33" s="27">
        <v>1</v>
      </c>
      <c r="R33" s="27">
        <v>1</v>
      </c>
      <c r="S33" s="27">
        <v>1</v>
      </c>
      <c r="T33" s="5"/>
    </row>
    <row r="34" spans="1:20" x14ac:dyDescent="0.35">
      <c r="A34" s="1" t="s">
        <v>117</v>
      </c>
      <c r="B34" s="1" t="s">
        <v>49</v>
      </c>
      <c r="C34" s="1" t="str">
        <f>VLOOKUP(B34,Mapping!A:B,2,0)</f>
        <v>Lateral</v>
      </c>
      <c r="D34" s="1" t="str">
        <f>VLOOKUP(B34,Mapping!A:C,3,0)</f>
        <v>West</v>
      </c>
      <c r="E34" s="1" t="str">
        <f>VLOOKUP(B34,Mapping!A:D,4,0)</f>
        <v>West 1</v>
      </c>
      <c r="F34" s="1" t="str">
        <f>VLOOKUP(B34,Mapping!A:E,5,0)</f>
        <v>Anjli</v>
      </c>
      <c r="G34" s="1" t="str">
        <f>VLOOKUP(B34,Mapping!A:F,6,0)</f>
        <v>Geetu</v>
      </c>
      <c r="H34" s="27">
        <v>7.8</v>
      </c>
      <c r="I34" s="27">
        <v>6.25</v>
      </c>
      <c r="J34" s="27">
        <v>5.25</v>
      </c>
      <c r="K34" s="27">
        <v>2.15</v>
      </c>
      <c r="L34" s="27">
        <v>1.1499999999999999</v>
      </c>
      <c r="M34" s="27">
        <v>1.45</v>
      </c>
      <c r="N34" s="27">
        <v>1.45</v>
      </c>
      <c r="O34" s="27">
        <v>1.45</v>
      </c>
      <c r="P34" s="27">
        <v>1.5</v>
      </c>
      <c r="Q34" s="27">
        <v>0</v>
      </c>
      <c r="R34" s="27">
        <v>0</v>
      </c>
      <c r="S34" s="27">
        <v>0</v>
      </c>
      <c r="T34" s="5"/>
    </row>
    <row r="35" spans="1:20" x14ac:dyDescent="0.35">
      <c r="A35" s="1" t="s">
        <v>117</v>
      </c>
      <c r="B35" s="1" t="s">
        <v>50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>
        <v>2</v>
      </c>
      <c r="I35" s="27">
        <v>2</v>
      </c>
      <c r="J35" s="27">
        <v>2</v>
      </c>
      <c r="K35" s="27">
        <v>2</v>
      </c>
      <c r="L35" s="27">
        <v>2</v>
      </c>
      <c r="M35" s="27">
        <v>2</v>
      </c>
      <c r="N35" s="27">
        <v>1</v>
      </c>
      <c r="O35" s="27">
        <v>1</v>
      </c>
      <c r="P35" s="27">
        <v>1</v>
      </c>
      <c r="Q35" s="27">
        <v>0.1</v>
      </c>
      <c r="R35" s="27">
        <v>1</v>
      </c>
      <c r="S35" s="27">
        <v>1</v>
      </c>
      <c r="T35" s="5"/>
    </row>
    <row r="36" spans="1:20" x14ac:dyDescent="0.35">
      <c r="A36" s="1" t="s">
        <v>117</v>
      </c>
      <c r="B36" s="1" t="s">
        <v>51</v>
      </c>
      <c r="C36" s="1" t="str">
        <f>VLOOKUP(B36,Mapping!A:B,2,0)</f>
        <v>Lateral</v>
      </c>
      <c r="D36" s="1" t="str">
        <f>VLOOKUP(B36,Mapping!A:C,3,0)</f>
        <v>North</v>
      </c>
      <c r="E36" s="1" t="str">
        <f>VLOOKUP(B36,Mapping!A:D,4,0)</f>
        <v>North</v>
      </c>
      <c r="F36" s="1" t="str">
        <f>VLOOKUP(B36,Mapping!A:E,5,0)</f>
        <v>Anjli</v>
      </c>
      <c r="G36" s="1" t="str">
        <f>VLOOKUP(B36,Mapping!A:F,6,0)</f>
        <v>Archana</v>
      </c>
      <c r="H36" s="27">
        <v>2.5</v>
      </c>
      <c r="I36" s="27">
        <v>2.6</v>
      </c>
      <c r="J36" s="27">
        <v>2.6</v>
      </c>
      <c r="K36" s="27">
        <v>3.35</v>
      </c>
      <c r="L36" s="27">
        <v>3.6</v>
      </c>
      <c r="M36" s="27">
        <v>3.6</v>
      </c>
      <c r="N36" s="27">
        <v>3.6</v>
      </c>
      <c r="O36" s="27">
        <v>4.6499999999999995</v>
      </c>
      <c r="P36" s="27">
        <v>3.75</v>
      </c>
      <c r="Q36" s="27">
        <v>3.65</v>
      </c>
      <c r="R36" s="27">
        <v>3.65</v>
      </c>
      <c r="S36" s="27">
        <v>3.65</v>
      </c>
      <c r="T36" s="5"/>
    </row>
    <row r="37" spans="1:20" x14ac:dyDescent="0.35">
      <c r="A37" s="1" t="s">
        <v>117</v>
      </c>
      <c r="B37" s="1" t="s">
        <v>52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1</v>
      </c>
      <c r="F37" s="1" t="str">
        <f>VLOOKUP(B37,Mapping!A:E,5,0)</f>
        <v>Anjli</v>
      </c>
      <c r="G37" s="1" t="str">
        <f>VLOOKUP(B37,Mapping!A:F,6,0)</f>
        <v>Geetu</v>
      </c>
      <c r="H37" s="27">
        <v>6.3</v>
      </c>
      <c r="I37" s="27">
        <v>5.25</v>
      </c>
      <c r="J37" s="27">
        <v>6.25</v>
      </c>
      <c r="K37" s="27">
        <v>5.15</v>
      </c>
      <c r="L37" s="27">
        <v>5.15</v>
      </c>
      <c r="M37" s="27">
        <v>5.15</v>
      </c>
      <c r="N37" s="27">
        <v>5.15</v>
      </c>
      <c r="O37" s="27">
        <v>5.15</v>
      </c>
      <c r="P37" s="27">
        <v>5.0999999999999996</v>
      </c>
      <c r="Q37" s="27">
        <v>5.15</v>
      </c>
      <c r="R37" s="27">
        <v>5.15</v>
      </c>
      <c r="S37" s="27">
        <v>5.15</v>
      </c>
      <c r="T37" s="5"/>
    </row>
    <row r="38" spans="1:20" x14ac:dyDescent="0.35">
      <c r="A38" s="1" t="s">
        <v>117</v>
      </c>
      <c r="B38" s="1" t="s">
        <v>53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2</v>
      </c>
      <c r="F38" s="1" t="str">
        <f>VLOOKUP(B38,Mapping!A:E,5,0)</f>
        <v>Anjli</v>
      </c>
      <c r="G38" s="1" t="str">
        <f>VLOOKUP(B38,Mapping!A:F,6,0)</f>
        <v>Shweta</v>
      </c>
      <c r="H38" s="27">
        <v>4.2</v>
      </c>
      <c r="I38" s="27">
        <v>2.2000000000000002</v>
      </c>
      <c r="J38" s="27">
        <v>1.7</v>
      </c>
      <c r="K38" s="27">
        <v>2.2000000000000002</v>
      </c>
      <c r="L38" s="27">
        <v>3.4</v>
      </c>
      <c r="M38" s="27">
        <v>4.4000000000000004</v>
      </c>
      <c r="N38" s="27">
        <v>3.4</v>
      </c>
      <c r="O38" s="27">
        <v>2.4</v>
      </c>
      <c r="P38" s="27">
        <v>2.4</v>
      </c>
      <c r="Q38" s="27">
        <v>2.4</v>
      </c>
      <c r="R38" s="27">
        <v>3.4</v>
      </c>
      <c r="S38" s="27">
        <v>3</v>
      </c>
      <c r="T38" s="5"/>
    </row>
    <row r="39" spans="1:20" x14ac:dyDescent="0.35">
      <c r="A39" s="1" t="s">
        <v>117</v>
      </c>
      <c r="B39" s="1" t="s">
        <v>54</v>
      </c>
      <c r="C39" s="1" t="str">
        <f>VLOOKUP(B39,Mapping!A:B,2,0)</f>
        <v>Lateral</v>
      </c>
      <c r="D39" s="1" t="str">
        <f>VLOOKUP(B39,Mapping!A:C,3,0)</f>
        <v>West</v>
      </c>
      <c r="E39" s="1" t="str">
        <f>VLOOKUP(B39,Mapping!A:D,4,0)</f>
        <v>West 1</v>
      </c>
      <c r="F39" s="1" t="str">
        <f>VLOOKUP(B39,Mapping!A:E,5,0)</f>
        <v>Anjli</v>
      </c>
      <c r="G39" s="1" t="str">
        <f>VLOOKUP(B39,Mapping!A:F,6,0)</f>
        <v>Ankit</v>
      </c>
      <c r="H39" s="27">
        <v>24</v>
      </c>
      <c r="I39" s="27">
        <v>24</v>
      </c>
      <c r="J39" s="27">
        <v>22</v>
      </c>
      <c r="K39" s="27">
        <v>21</v>
      </c>
      <c r="L39" s="27">
        <v>20</v>
      </c>
      <c r="M39" s="27">
        <v>19</v>
      </c>
      <c r="N39" s="27">
        <v>19</v>
      </c>
      <c r="O39" s="27">
        <v>22</v>
      </c>
      <c r="P39" s="27">
        <v>24</v>
      </c>
      <c r="Q39" s="27">
        <v>25</v>
      </c>
      <c r="R39" s="27">
        <v>25</v>
      </c>
      <c r="S39" s="27">
        <v>23</v>
      </c>
      <c r="T39" s="5"/>
    </row>
    <row r="40" spans="1:20" x14ac:dyDescent="0.35">
      <c r="A40" s="1" t="s">
        <v>117</v>
      </c>
      <c r="B40" s="1" t="s">
        <v>56</v>
      </c>
      <c r="C40" s="1" t="str">
        <f>VLOOKUP(B40,Mapping!A:B,2,0)</f>
        <v>Lateral</v>
      </c>
      <c r="D40" s="1" t="str">
        <f>VLOOKUP(B40,Mapping!A:C,3,0)</f>
        <v>South</v>
      </c>
      <c r="E40" s="1" t="str">
        <f>VLOOKUP(B40,Mapping!A:D,4,0)</f>
        <v>South 2</v>
      </c>
      <c r="F40" s="1" t="str">
        <f>VLOOKUP(B40,Mapping!A:E,5,0)</f>
        <v>Sulabh</v>
      </c>
      <c r="G40" s="1" t="str">
        <f>VLOOKUP(B40,Mapping!A:F,6,0)</f>
        <v>Krishna</v>
      </c>
      <c r="H40" s="27">
        <v>12.299999999999999</v>
      </c>
      <c r="I40" s="27">
        <v>12.299999999999999</v>
      </c>
      <c r="J40" s="27">
        <v>14.1</v>
      </c>
      <c r="K40" s="27">
        <v>14.1</v>
      </c>
      <c r="L40" s="27">
        <v>13.5</v>
      </c>
      <c r="M40" s="27">
        <v>16.5</v>
      </c>
      <c r="N40" s="27">
        <v>15.5</v>
      </c>
      <c r="O40" s="27">
        <v>16.5</v>
      </c>
      <c r="P40" s="27">
        <v>14.5</v>
      </c>
      <c r="Q40" s="27">
        <v>15.5</v>
      </c>
      <c r="R40" s="27">
        <v>14.75</v>
      </c>
      <c r="S40" s="27">
        <v>13.65</v>
      </c>
      <c r="T40" s="5"/>
    </row>
    <row r="41" spans="1:20" x14ac:dyDescent="0.35">
      <c r="A41" s="1" t="s">
        <v>117</v>
      </c>
      <c r="B41" s="1" t="s">
        <v>57</v>
      </c>
      <c r="C41" s="1" t="str">
        <f>VLOOKUP(B41,Mapping!A:B,2,0)</f>
        <v>Lateral</v>
      </c>
      <c r="D41" s="1" t="str">
        <f>VLOOKUP(B41,Mapping!A:C,3,0)</f>
        <v>North</v>
      </c>
      <c r="E41" s="1" t="str">
        <f>VLOOKUP(B41,Mapping!A:D,4,0)</f>
        <v>North</v>
      </c>
      <c r="F41" s="1" t="str">
        <f>VLOOKUP(B41,Mapping!A:E,5,0)</f>
        <v>Anjli</v>
      </c>
      <c r="G41" s="1" t="str">
        <f>VLOOKUP(B41,Mapping!A:F,6,0)</f>
        <v>Archana</v>
      </c>
      <c r="H41" s="27">
        <v>7</v>
      </c>
      <c r="I41" s="27">
        <v>6.2999999999999989</v>
      </c>
      <c r="J41" s="27">
        <v>6.2999999999999989</v>
      </c>
      <c r="K41" s="27">
        <v>5.4499999999999993</v>
      </c>
      <c r="L41" s="27">
        <v>5.1999999999999993</v>
      </c>
      <c r="M41" s="27">
        <v>4.4499999999999993</v>
      </c>
      <c r="N41" s="27">
        <v>4.1499999999999995</v>
      </c>
      <c r="O41" s="27">
        <v>4.1999999999999993</v>
      </c>
      <c r="P41" s="27">
        <v>4.3</v>
      </c>
      <c r="Q41" s="27">
        <v>4.25</v>
      </c>
      <c r="R41" s="27">
        <v>4.1499999999999995</v>
      </c>
      <c r="S41" s="27">
        <v>4.1499999999999995</v>
      </c>
      <c r="T41" s="5"/>
    </row>
    <row r="42" spans="1:20" x14ac:dyDescent="0.35">
      <c r="A42" s="1" t="s">
        <v>117</v>
      </c>
      <c r="B42" s="1" t="s">
        <v>58</v>
      </c>
      <c r="C42" s="1" t="str">
        <f>VLOOKUP(B42,Mapping!A:B,2,0)</f>
        <v>Lateral</v>
      </c>
      <c r="D42" s="1" t="str">
        <f>VLOOKUP(B42,Mapping!A:C,3,0)</f>
        <v>South</v>
      </c>
      <c r="E42" s="1" t="str">
        <f>VLOOKUP(B42,Mapping!A:D,4,0)</f>
        <v>South 2</v>
      </c>
      <c r="F42" s="1" t="str">
        <f>VLOOKUP(B42,Mapping!A:E,5,0)</f>
        <v>Sulabh</v>
      </c>
      <c r="G42" s="1" t="str">
        <f>VLOOKUP(B42,Mapping!A:F,6,0)</f>
        <v>Krishna</v>
      </c>
      <c r="H42" s="27">
        <v>5</v>
      </c>
      <c r="I42" s="27">
        <v>4.0999999999999996</v>
      </c>
      <c r="J42" s="27">
        <v>5.0999999999999996</v>
      </c>
      <c r="K42" s="27">
        <v>5.0999999999999996</v>
      </c>
      <c r="L42" s="27">
        <v>4</v>
      </c>
      <c r="M42" s="27">
        <v>0</v>
      </c>
      <c r="N42" s="27">
        <v>0</v>
      </c>
      <c r="O42" s="27">
        <v>0</v>
      </c>
      <c r="P42" s="27">
        <v>1</v>
      </c>
      <c r="Q42" s="27">
        <v>1</v>
      </c>
      <c r="R42" s="27">
        <v>1</v>
      </c>
      <c r="S42" s="27">
        <v>1</v>
      </c>
      <c r="T42" s="5"/>
    </row>
    <row r="43" spans="1:20" x14ac:dyDescent="0.35">
      <c r="A43" s="1" t="s">
        <v>117</v>
      </c>
      <c r="B43" s="1" t="s">
        <v>59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1</v>
      </c>
      <c r="F43" s="1" t="str">
        <f>VLOOKUP(B43,Mapping!A:E,5,0)</f>
        <v>Anjli</v>
      </c>
      <c r="G43" s="1" t="str">
        <f>VLOOKUP(B43,Mapping!A:F,6,0)</f>
        <v>Elton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5"/>
    </row>
    <row r="44" spans="1:20" x14ac:dyDescent="0.35">
      <c r="A44" s="1" t="s">
        <v>117</v>
      </c>
      <c r="B44" s="1" t="s">
        <v>62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2</v>
      </c>
      <c r="F44" s="1" t="str">
        <f>VLOOKUP(B44,Mapping!A:E,5,0)</f>
        <v>Anjli</v>
      </c>
      <c r="G44" s="1" t="str">
        <f>VLOOKUP(B44,Mapping!A:F,6,0)</f>
        <v>Shweta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5"/>
    </row>
    <row r="45" spans="1:20" x14ac:dyDescent="0.35">
      <c r="A45" s="1" t="s">
        <v>117</v>
      </c>
      <c r="B45" s="1" t="s">
        <v>63</v>
      </c>
      <c r="C45" s="1" t="str">
        <f>VLOOKUP(B45,Mapping!A:B,2,0)</f>
        <v>Lateral</v>
      </c>
      <c r="D45" s="1" t="str">
        <f>VLOOKUP(B45,Mapping!A:C,3,0)</f>
        <v>West</v>
      </c>
      <c r="E45" s="1" t="str">
        <f>VLOOKUP(B45,Mapping!A:D,4,0)</f>
        <v>West 1</v>
      </c>
      <c r="F45" s="1" t="str">
        <f>VLOOKUP(B45,Mapping!A:E,5,0)</f>
        <v>Anjli</v>
      </c>
      <c r="G45" s="1" t="str">
        <f>VLOOKUP(B45,Mapping!A:F,6,0)</f>
        <v>Elton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5"/>
    </row>
    <row r="46" spans="1:20" x14ac:dyDescent="0.35">
      <c r="A46" s="1" t="s">
        <v>117</v>
      </c>
      <c r="B46" s="1" t="s">
        <v>64</v>
      </c>
      <c r="C46" s="1" t="str">
        <f>VLOOKUP(B46,Mapping!A:B,2,0)</f>
        <v>Lateral</v>
      </c>
      <c r="D46" s="1" t="str">
        <f>VLOOKUP(B46,Mapping!A:C,3,0)</f>
        <v>South</v>
      </c>
      <c r="E46" s="1" t="str">
        <f>VLOOKUP(B46,Mapping!A:D,4,0)</f>
        <v>South 2</v>
      </c>
      <c r="F46" s="1" t="str">
        <f>VLOOKUP(B46,Mapping!A:E,5,0)</f>
        <v>Sulabh</v>
      </c>
      <c r="G46" s="1" t="str">
        <f>VLOOKUP(B46,Mapping!A:F,6,0)</f>
        <v>Subu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5"/>
    </row>
    <row r="47" spans="1:20" x14ac:dyDescent="0.35">
      <c r="A47" s="1" t="s">
        <v>117</v>
      </c>
      <c r="B47" s="1" t="s">
        <v>65</v>
      </c>
      <c r="C47" s="1" t="str">
        <f>VLOOKUP(B47,Mapping!A:B,2,0)</f>
        <v>Lateral</v>
      </c>
      <c r="D47" s="1" t="str">
        <f>VLOOKUP(B47,Mapping!A:C,3,0)</f>
        <v>West</v>
      </c>
      <c r="E47" s="1" t="str">
        <f>VLOOKUP(B47,Mapping!A:D,4,0)</f>
        <v>West 1</v>
      </c>
      <c r="F47" s="1" t="str">
        <f>VLOOKUP(B47,Mapping!A:E,5,0)</f>
        <v>Anjli</v>
      </c>
      <c r="G47" s="1" t="str">
        <f>VLOOKUP(B47,Mapping!A:F,6,0)</f>
        <v>Elton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5"/>
    </row>
    <row r="48" spans="1:20" x14ac:dyDescent="0.35">
      <c r="A48" s="1" t="s">
        <v>117</v>
      </c>
      <c r="B48" s="1" t="s">
        <v>66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5"/>
    </row>
    <row r="49" spans="1:20" x14ac:dyDescent="0.35">
      <c r="A49" s="1" t="s">
        <v>117</v>
      </c>
      <c r="B49" s="1" t="s">
        <v>67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Sulabh</v>
      </c>
      <c r="H49" s="27">
        <v>0</v>
      </c>
      <c r="I49" s="27">
        <v>0</v>
      </c>
      <c r="J49" s="27">
        <v>0</v>
      </c>
      <c r="K49" s="27" t="s">
        <v>61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5"/>
    </row>
    <row r="50" spans="1:20" x14ac:dyDescent="0.35">
      <c r="A50" s="1" t="s">
        <v>117</v>
      </c>
      <c r="B50" s="1" t="s">
        <v>68</v>
      </c>
      <c r="C50" s="1" t="str">
        <f>VLOOKUP(B50,Mapping!A:B,2,0)</f>
        <v>Lateral</v>
      </c>
      <c r="D50" s="1" t="str">
        <f>VLOOKUP(B50,Mapping!A:C,3,0)</f>
        <v>South</v>
      </c>
      <c r="E50" s="1" t="str">
        <f>VLOOKUP(B50,Mapping!A:D,4,0)</f>
        <v>South 2</v>
      </c>
      <c r="F50" s="1" t="str">
        <f>VLOOKUP(B50,Mapping!A:E,5,0)</f>
        <v>Sulabh</v>
      </c>
      <c r="G50" s="1" t="str">
        <f>VLOOKUP(B50,Mapping!A:F,6,0)</f>
        <v>Abhilash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5"/>
    </row>
    <row r="51" spans="1:20" x14ac:dyDescent="0.35">
      <c r="A51" s="1" t="s">
        <v>117</v>
      </c>
      <c r="B51" s="1" t="s">
        <v>70</v>
      </c>
      <c r="C51" s="1" t="str">
        <f>VLOOKUP(B51,Mapping!A:B,2,0)</f>
        <v>Lateral</v>
      </c>
      <c r="D51" s="1" t="str">
        <f>VLOOKUP(B51,Mapping!A:C,3,0)</f>
        <v>West</v>
      </c>
      <c r="E51" s="1" t="str">
        <f>VLOOKUP(B51,Mapping!A:D,4,0)</f>
        <v>West 1</v>
      </c>
      <c r="F51" s="1" t="str">
        <f>VLOOKUP(B51,Mapping!A:E,5,0)</f>
        <v>Anjli</v>
      </c>
      <c r="G51" s="1" t="str">
        <f>VLOOKUP(B51,Mapping!A:F,6,0)</f>
        <v>Elton</v>
      </c>
      <c r="H51" s="27" t="s">
        <v>61</v>
      </c>
      <c r="I51" s="27" t="s">
        <v>61</v>
      </c>
      <c r="J51" s="27" t="s">
        <v>61</v>
      </c>
      <c r="K51" s="27" t="s">
        <v>61</v>
      </c>
      <c r="L51" s="27" t="s">
        <v>61</v>
      </c>
      <c r="M51" s="27" t="s">
        <v>61</v>
      </c>
      <c r="N51" s="27" t="s">
        <v>61</v>
      </c>
      <c r="O51" s="27" t="s">
        <v>61</v>
      </c>
      <c r="P51" s="27" t="s">
        <v>61</v>
      </c>
      <c r="Q51" s="27">
        <v>0</v>
      </c>
      <c r="R51" s="27">
        <v>0</v>
      </c>
      <c r="S51" s="27">
        <v>0</v>
      </c>
      <c r="T51" s="5"/>
    </row>
    <row r="52" spans="1:20" x14ac:dyDescent="0.35">
      <c r="A52" s="1" t="s">
        <v>117</v>
      </c>
      <c r="B52" s="1" t="s">
        <v>71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1</v>
      </c>
      <c r="F52" s="1" t="str">
        <f>VLOOKUP(B52,Mapping!A:E,5,0)</f>
        <v>Bapi</v>
      </c>
      <c r="G52" s="1" t="str">
        <f>VLOOKUP(B52,Mapping!A:F,6,0)</f>
        <v>Parul</v>
      </c>
      <c r="H52" s="27">
        <v>1.5</v>
      </c>
      <c r="I52" s="27">
        <v>2.5</v>
      </c>
      <c r="J52" s="27">
        <v>2.5</v>
      </c>
      <c r="K52" s="27">
        <v>2.5</v>
      </c>
      <c r="L52" s="27">
        <v>2.5</v>
      </c>
      <c r="M52" s="27">
        <v>2.5</v>
      </c>
      <c r="N52" s="27">
        <v>2.5</v>
      </c>
      <c r="O52" s="27">
        <v>1.5</v>
      </c>
      <c r="P52" s="27">
        <v>2.5</v>
      </c>
      <c r="Q52" s="27">
        <v>2.5</v>
      </c>
      <c r="R52" s="27">
        <v>2</v>
      </c>
      <c r="S52" s="27">
        <v>0</v>
      </c>
      <c r="T52" s="5"/>
    </row>
    <row r="53" spans="1:20" x14ac:dyDescent="0.35">
      <c r="A53" s="1" t="s">
        <v>117</v>
      </c>
      <c r="B53" s="1" t="s">
        <v>73</v>
      </c>
      <c r="C53" s="1" t="str">
        <f>VLOOKUP(B53,Mapping!A:B,2,0)</f>
        <v>Leadership</v>
      </c>
      <c r="D53" s="1" t="str">
        <f>VLOOKUP(B53,Mapping!A:C,3,0)</f>
        <v>South</v>
      </c>
      <c r="E53" s="1" t="str">
        <f>VLOOKUP(B53,Mapping!A:D,4,0)</f>
        <v>South 2</v>
      </c>
      <c r="F53" s="1" t="str">
        <f>VLOOKUP(B53,Mapping!A:E,5,0)</f>
        <v>Sulabh</v>
      </c>
      <c r="G53" s="1" t="str">
        <f>VLOOKUP(B53,Mapping!A:F,6,0)</f>
        <v>Parul</v>
      </c>
      <c r="H53" s="27">
        <v>0</v>
      </c>
      <c r="I53" s="27">
        <v>0</v>
      </c>
      <c r="J53" s="27">
        <v>0</v>
      </c>
      <c r="K53" s="27">
        <v>0.5</v>
      </c>
      <c r="L53" s="27">
        <v>0.5</v>
      </c>
      <c r="M53" s="27">
        <v>0.5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5"/>
    </row>
    <row r="54" spans="1:20" x14ac:dyDescent="0.35">
      <c r="A54" s="1" t="s">
        <v>117</v>
      </c>
      <c r="B54" s="1" t="s">
        <v>74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2</v>
      </c>
      <c r="F54" s="1" t="str">
        <f>VLOOKUP(B54,Mapping!A:E,5,0)</f>
        <v>Anjli</v>
      </c>
      <c r="G54" s="1" t="str">
        <f>VLOOKUP(B54,Mapping!A:F,6,0)</f>
        <v>Parul</v>
      </c>
      <c r="H54" s="27">
        <v>0.5</v>
      </c>
      <c r="I54" s="27">
        <v>0.5</v>
      </c>
      <c r="J54" s="27">
        <v>0.5</v>
      </c>
      <c r="K54" s="27">
        <v>0.5</v>
      </c>
      <c r="L54" s="27">
        <v>0.5</v>
      </c>
      <c r="M54" s="27">
        <v>0.5</v>
      </c>
      <c r="N54" s="27">
        <v>0.33</v>
      </c>
      <c r="O54" s="27">
        <v>0.33</v>
      </c>
      <c r="P54" s="27">
        <v>0.33</v>
      </c>
      <c r="Q54" s="27">
        <v>0.33</v>
      </c>
      <c r="R54" s="27">
        <v>0.2</v>
      </c>
      <c r="S54" s="27">
        <v>0.2</v>
      </c>
      <c r="T54" s="5"/>
    </row>
    <row r="55" spans="1:20" x14ac:dyDescent="0.35">
      <c r="A55" s="1" t="s">
        <v>117</v>
      </c>
      <c r="B55" s="1" t="s">
        <v>75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7">
        <v>4.5</v>
      </c>
      <c r="I55" s="27">
        <v>4.75</v>
      </c>
      <c r="J55" s="27">
        <v>6</v>
      </c>
      <c r="K55" s="27">
        <v>7.8</v>
      </c>
      <c r="L55" s="27">
        <v>6.8</v>
      </c>
      <c r="M55" s="27">
        <v>5.5</v>
      </c>
      <c r="N55" s="27">
        <v>6.5</v>
      </c>
      <c r="O55" s="27">
        <v>10.5</v>
      </c>
      <c r="P55" s="27">
        <v>11.5</v>
      </c>
      <c r="Q55" s="27">
        <v>12.5</v>
      </c>
      <c r="R55" s="27">
        <v>1</v>
      </c>
      <c r="S55" s="27">
        <v>12.5</v>
      </c>
      <c r="T55" s="5"/>
    </row>
    <row r="56" spans="1:20" x14ac:dyDescent="0.35">
      <c r="A56" s="1" t="s">
        <v>117</v>
      </c>
      <c r="B56" s="1" t="s">
        <v>76</v>
      </c>
      <c r="C56" s="1" t="str">
        <f>VLOOKUP(B56,Mapping!A:B,2,0)</f>
        <v>Leadership</v>
      </c>
      <c r="D56" s="1" t="str">
        <f>VLOOKUP(B56,Mapping!A:C,3,0)</f>
        <v>West</v>
      </c>
      <c r="E56" s="1" t="str">
        <f>VLOOKUP(B56,Mapping!A:D,4,0)</f>
        <v>West 1</v>
      </c>
      <c r="F56" s="1" t="str">
        <f>VLOOKUP(B56,Mapping!A:E,5,0)</f>
        <v>Anjli</v>
      </c>
      <c r="G56" s="1" t="str">
        <f>VLOOKUP(B56,Mapping!A:F,6,0)</f>
        <v>Parul</v>
      </c>
      <c r="H56" s="27">
        <v>2</v>
      </c>
      <c r="I56" s="27">
        <v>2</v>
      </c>
      <c r="J56" s="27">
        <v>2</v>
      </c>
      <c r="K56" s="27">
        <v>2</v>
      </c>
      <c r="L56" s="27">
        <v>2</v>
      </c>
      <c r="M56" s="27">
        <v>2</v>
      </c>
      <c r="N56" s="27">
        <v>2</v>
      </c>
      <c r="O56" s="27">
        <v>2</v>
      </c>
      <c r="P56" s="27">
        <v>2</v>
      </c>
      <c r="Q56" s="27">
        <v>2</v>
      </c>
      <c r="R56" s="27">
        <v>0</v>
      </c>
      <c r="S56" s="27">
        <v>0</v>
      </c>
      <c r="T56" s="5"/>
    </row>
    <row r="57" spans="1:20" x14ac:dyDescent="0.35">
      <c r="A57" s="1" t="s">
        <v>117</v>
      </c>
      <c r="B57" s="1" t="s">
        <v>77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0.2</v>
      </c>
      <c r="T57" s="5"/>
    </row>
    <row r="58" spans="1:20" x14ac:dyDescent="0.35">
      <c r="A58" s="1" t="s">
        <v>117</v>
      </c>
      <c r="B58" s="1" t="s">
        <v>78</v>
      </c>
      <c r="C58" s="1" t="str">
        <f>VLOOKUP(B58,Mapping!A:B,2,0)</f>
        <v>Leadership</v>
      </c>
      <c r="D58" s="1" t="str">
        <f>VLOOKUP(B58,Mapping!A:C,3,0)</f>
        <v>South</v>
      </c>
      <c r="E58" s="1" t="str">
        <f>VLOOKUP(B58,Mapping!A:D,4,0)</f>
        <v>South 2</v>
      </c>
      <c r="F58" s="1" t="str">
        <f>VLOOKUP(B58,Mapping!A:E,5,0)</f>
        <v>Sulabh</v>
      </c>
      <c r="G58" s="1" t="str">
        <f>VLOOKUP(B58,Mapping!A:F,6,0)</f>
        <v>Parul</v>
      </c>
      <c r="H58" s="27">
        <v>0.5</v>
      </c>
      <c r="I58" s="27">
        <v>0.5</v>
      </c>
      <c r="J58" s="27">
        <v>0.5</v>
      </c>
      <c r="K58" s="27">
        <v>0</v>
      </c>
      <c r="L58" s="27">
        <v>0</v>
      </c>
      <c r="M58" s="27">
        <v>0</v>
      </c>
      <c r="N58" s="27">
        <v>0.34</v>
      </c>
      <c r="O58" s="27">
        <v>0.34</v>
      </c>
      <c r="P58" s="27">
        <v>0.34</v>
      </c>
      <c r="Q58" s="27">
        <v>0.34</v>
      </c>
      <c r="R58" s="27">
        <v>0.2</v>
      </c>
      <c r="S58" s="27">
        <v>0.2</v>
      </c>
      <c r="T58" s="5"/>
    </row>
    <row r="59" spans="1:20" x14ac:dyDescent="0.35">
      <c r="A59" s="1" t="s">
        <v>117</v>
      </c>
      <c r="B59" s="1" t="s">
        <v>79</v>
      </c>
      <c r="C59" s="1" t="str">
        <f>VLOOKUP(B59,Mapping!A:B,2,0)</f>
        <v>Leadership</v>
      </c>
      <c r="D59" s="1" t="str">
        <f>VLOOKUP(B59,Mapping!A:C,3,0)</f>
        <v>North</v>
      </c>
      <c r="E59" s="1" t="str">
        <f>VLOOKUP(B59,Mapping!A:D,4,0)</f>
        <v>North</v>
      </c>
      <c r="F59" s="1" t="str">
        <f>VLOOKUP(B59,Mapping!A:E,5,0)</f>
        <v>Anjli</v>
      </c>
      <c r="G59" s="1" t="str">
        <f>VLOOKUP(B59,Mapping!A:F,6,0)</f>
        <v>Parul</v>
      </c>
      <c r="H59" s="27">
        <v>0.5</v>
      </c>
      <c r="I59" s="27">
        <v>0.5</v>
      </c>
      <c r="J59" s="27">
        <v>0.5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5"/>
    </row>
    <row r="60" spans="1:20" x14ac:dyDescent="0.35">
      <c r="A60" s="1" t="s">
        <v>117</v>
      </c>
      <c r="B60" s="1" t="s">
        <v>80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1</v>
      </c>
      <c r="F60" s="1" t="str">
        <f>VLOOKUP(B60,Mapping!A:E,5,0)</f>
        <v>Anjli</v>
      </c>
      <c r="G60" s="1" t="str">
        <f>VLOOKUP(B60,Mapping!A:F,6,0)</f>
        <v>Parul</v>
      </c>
      <c r="H60" s="27">
        <v>0</v>
      </c>
      <c r="I60" s="27">
        <v>0</v>
      </c>
      <c r="J60" s="27">
        <v>0</v>
      </c>
      <c r="K60" s="27">
        <v>0.5</v>
      </c>
      <c r="L60" s="27">
        <v>0</v>
      </c>
      <c r="M60" s="27">
        <v>0.5</v>
      </c>
      <c r="N60" s="27">
        <v>0.83000000000000007</v>
      </c>
      <c r="O60" s="27">
        <v>0.83000000000000007</v>
      </c>
      <c r="P60" s="27">
        <v>0.83000000000000007</v>
      </c>
      <c r="Q60" s="27">
        <v>0.83000000000000007</v>
      </c>
      <c r="R60" s="27">
        <v>0</v>
      </c>
      <c r="S60" s="27">
        <v>0</v>
      </c>
      <c r="T60" s="5"/>
    </row>
    <row r="61" spans="1:20" x14ac:dyDescent="0.35">
      <c r="A61" s="1" t="s">
        <v>117</v>
      </c>
      <c r="B61" s="1" t="s">
        <v>81</v>
      </c>
      <c r="C61" s="1" t="str">
        <f>VLOOKUP(B61,Mapping!A:B,2,0)</f>
        <v>Leadership</v>
      </c>
      <c r="D61" s="1" t="str">
        <f>VLOOKUP(B61,Mapping!A:C,3,0)</f>
        <v>West</v>
      </c>
      <c r="E61" s="1" t="str">
        <f>VLOOKUP(B61,Mapping!A:D,4,0)</f>
        <v>West 2</v>
      </c>
      <c r="F61" s="1" t="str">
        <f>VLOOKUP(B61,Mapping!A:E,5,0)</f>
        <v>Anjli</v>
      </c>
      <c r="G61" s="1" t="str">
        <f>VLOOKUP(B61,Mapping!A:F,6,0)</f>
        <v>Parul</v>
      </c>
      <c r="H61" s="27">
        <v>0.5</v>
      </c>
      <c r="I61" s="27">
        <v>0.5</v>
      </c>
      <c r="J61" s="27">
        <v>0.5</v>
      </c>
      <c r="K61" s="27">
        <v>0.5</v>
      </c>
      <c r="L61" s="27">
        <v>0.5</v>
      </c>
      <c r="M61" s="27">
        <v>0.5</v>
      </c>
      <c r="N61" s="27">
        <v>0.5</v>
      </c>
      <c r="O61" s="27">
        <v>0.5</v>
      </c>
      <c r="P61" s="27">
        <v>0.5</v>
      </c>
      <c r="Q61" s="27">
        <v>0.5</v>
      </c>
      <c r="R61" s="27">
        <v>0.2</v>
      </c>
      <c r="S61" s="27">
        <v>0</v>
      </c>
      <c r="T61" s="5"/>
    </row>
    <row r="62" spans="1:20" x14ac:dyDescent="0.35">
      <c r="A62" s="1" t="s">
        <v>117</v>
      </c>
      <c r="B62" s="1" t="s">
        <v>82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5"/>
    </row>
    <row r="63" spans="1:20" x14ac:dyDescent="0.35">
      <c r="A63" s="1" t="s">
        <v>117</v>
      </c>
      <c r="B63" s="1" t="s">
        <v>83</v>
      </c>
      <c r="C63" s="1" t="str">
        <f>VLOOKUP(B63,Mapping!A:B,2,0)</f>
        <v>Leadership</v>
      </c>
      <c r="D63" s="1" t="str">
        <f>VLOOKUP(B63,Mapping!A:C,3,0)</f>
        <v>North</v>
      </c>
      <c r="E63" s="1" t="str">
        <f>VLOOKUP(B63,Mapping!A:D,4,0)</f>
        <v>North</v>
      </c>
      <c r="F63" s="1" t="str">
        <f>VLOOKUP(B63,Mapping!A:E,5,0)</f>
        <v>Anjli</v>
      </c>
      <c r="G63" s="1" t="str">
        <f>VLOOKUP(B63,Mapping!A:F,6,0)</f>
        <v>Parul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5"/>
    </row>
    <row r="64" spans="1:20" x14ac:dyDescent="0.35">
      <c r="A64" s="1" t="s">
        <v>117</v>
      </c>
      <c r="B64" s="1" t="s">
        <v>84</v>
      </c>
      <c r="C64" s="1" t="str">
        <f>VLOOKUP(B64,Mapping!A:B,2,0)</f>
        <v>Leadership</v>
      </c>
      <c r="D64" s="1" t="str">
        <f>VLOOKUP(B64,Mapping!A:C,3,0)</f>
        <v>West</v>
      </c>
      <c r="E64" s="1" t="str">
        <f>VLOOKUP(B64,Mapping!A:D,4,0)</f>
        <v>West 1</v>
      </c>
      <c r="F64" s="1" t="str">
        <f>VLOOKUP(B64,Mapping!A:E,5,0)</f>
        <v>Anjli</v>
      </c>
      <c r="G64" s="1" t="str">
        <f>VLOOKUP(B64,Mapping!A:F,6,0)</f>
        <v>Parul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5"/>
    </row>
    <row r="65" spans="1:20" x14ac:dyDescent="0.35">
      <c r="A65" s="1" t="s">
        <v>117</v>
      </c>
      <c r="B65" s="1" t="s">
        <v>85</v>
      </c>
      <c r="C65" s="1" t="str">
        <f>VLOOKUP(B65,Mapping!A:B,2,0)</f>
        <v>Leadership</v>
      </c>
      <c r="D65" s="1" t="str">
        <f>VLOOKUP(B65,Mapping!A:C,3,0)</f>
        <v>North</v>
      </c>
      <c r="E65" s="1" t="str">
        <f>VLOOKUP(B65,Mapping!A:D,4,0)</f>
        <v>North</v>
      </c>
      <c r="F65" s="1" t="str">
        <f>VLOOKUP(B65,Mapping!A:E,5,0)</f>
        <v>Anjli</v>
      </c>
      <c r="G65" s="1" t="str">
        <f>VLOOKUP(B65,Mapping!A:F,6,0)</f>
        <v>Parul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0.2</v>
      </c>
      <c r="S65" s="27">
        <v>0.2</v>
      </c>
      <c r="T65" s="5"/>
    </row>
    <row r="66" spans="1:20" x14ac:dyDescent="0.35">
      <c r="A66" s="1" t="s">
        <v>117</v>
      </c>
      <c r="B66" s="1" t="s">
        <v>86</v>
      </c>
      <c r="C66" s="1" t="str">
        <f>VLOOKUP(B66,Mapping!A:B,2,0)</f>
        <v>Lateral</v>
      </c>
      <c r="D66" s="1" t="str">
        <f>VLOOKUP(B66,Mapping!A:C,3,0)</f>
        <v>South</v>
      </c>
      <c r="E66" s="1" t="str">
        <f>VLOOKUP(B66,Mapping!A:D,4,0)</f>
        <v>South 1</v>
      </c>
      <c r="F66" s="1" t="str">
        <f>VLOOKUP(B66,Mapping!A:E,5,0)</f>
        <v>Ashish</v>
      </c>
      <c r="G66" s="1" t="str">
        <f>VLOOKUP(B66,Mapping!A:F,6,0)</f>
        <v>Ashish</v>
      </c>
      <c r="H66" s="27">
        <v>21</v>
      </c>
      <c r="I66" s="27">
        <v>22</v>
      </c>
      <c r="J66" s="27">
        <v>20</v>
      </c>
      <c r="K66" s="27">
        <v>20</v>
      </c>
      <c r="L66" s="27">
        <v>17.899999999999999</v>
      </c>
      <c r="M66" s="27">
        <v>23.8</v>
      </c>
      <c r="N66" s="27">
        <v>22.8</v>
      </c>
      <c r="O66" s="27">
        <v>21.75</v>
      </c>
      <c r="P66" s="27">
        <v>23</v>
      </c>
      <c r="Q66" s="27">
        <v>24</v>
      </c>
      <c r="R66" s="27">
        <v>23</v>
      </c>
      <c r="S66" s="27">
        <v>24</v>
      </c>
      <c r="T66" s="5"/>
    </row>
    <row r="67" spans="1:20" x14ac:dyDescent="0.35">
      <c r="A67" s="1" t="s">
        <v>117</v>
      </c>
      <c r="B67" s="1" t="s">
        <v>88</v>
      </c>
      <c r="C67" s="1" t="str">
        <f>VLOOKUP(B67,Mapping!A:B,2,0)</f>
        <v>Lateral</v>
      </c>
      <c r="D67" s="1" t="str">
        <f>VLOOKUP(B67,Mapping!A:C,3,0)</f>
        <v>New Sales</v>
      </c>
      <c r="E67" s="1" t="str">
        <f>VLOOKUP(B67,Mapping!A:D,4,0)</f>
        <v>New Sales</v>
      </c>
      <c r="F67" s="1" t="str">
        <f>VLOOKUP(B67,Mapping!A:E,5,0)</f>
        <v>Nizar</v>
      </c>
      <c r="G67" s="1" t="str">
        <f>VLOOKUP(B67,Mapping!A:F,6,0)</f>
        <v>Nizar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5"/>
    </row>
    <row r="68" spans="1:20" x14ac:dyDescent="0.35">
      <c r="A68" s="1" t="s">
        <v>117</v>
      </c>
      <c r="B68" s="1" t="s">
        <v>91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7">
        <v>4</v>
      </c>
      <c r="I68" s="27">
        <v>4.0999999999999996</v>
      </c>
      <c r="J68" s="27">
        <v>4.1999999999999993</v>
      </c>
      <c r="K68" s="27">
        <v>4.3</v>
      </c>
      <c r="L68" s="27">
        <v>4.3</v>
      </c>
      <c r="M68" s="27">
        <v>6.3</v>
      </c>
      <c r="N68" s="27">
        <v>5.75</v>
      </c>
      <c r="O68" s="27">
        <v>5.3</v>
      </c>
      <c r="P68" s="27">
        <v>5.9</v>
      </c>
      <c r="Q68" s="27">
        <v>6.9</v>
      </c>
      <c r="R68" s="27">
        <v>5.8</v>
      </c>
      <c r="S68" s="27">
        <v>4.8</v>
      </c>
      <c r="T68" s="5"/>
    </row>
    <row r="69" spans="1:20" x14ac:dyDescent="0.35">
      <c r="A69" s="1" t="s">
        <v>117</v>
      </c>
      <c r="B69" s="1" t="s">
        <v>93</v>
      </c>
      <c r="C69" s="1" t="str">
        <f>VLOOKUP(B69,Mapping!A:B,2,0)</f>
        <v>Lateral</v>
      </c>
      <c r="D69" s="1" t="str">
        <f>VLOOKUP(B69,Mapping!A:C,3,0)</f>
        <v>North</v>
      </c>
      <c r="E69" s="1" t="str">
        <f>VLOOKUP(B69,Mapping!A:D,4,0)</f>
        <v>North</v>
      </c>
      <c r="F69" s="1" t="str">
        <f>VLOOKUP(B69,Mapping!A:E,5,0)</f>
        <v>Anjli</v>
      </c>
      <c r="G69" s="1" t="str">
        <f>VLOOKUP(B69,Mapping!A:F,6,0)</f>
        <v>Archana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2</v>
      </c>
      <c r="N69" s="27">
        <v>2.6</v>
      </c>
      <c r="O69" s="27">
        <v>2.9</v>
      </c>
      <c r="P69" s="27">
        <v>2.9</v>
      </c>
      <c r="Q69" s="27">
        <v>2.7</v>
      </c>
      <c r="R69" s="27">
        <v>3.6</v>
      </c>
      <c r="S69" s="27">
        <v>2.6</v>
      </c>
      <c r="T69" s="5"/>
    </row>
    <row r="70" spans="1:20" x14ac:dyDescent="0.35">
      <c r="A70" s="1" t="s">
        <v>117</v>
      </c>
      <c r="B70" s="1" t="s">
        <v>133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Anjli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8</v>
      </c>
      <c r="R70" s="27">
        <v>16.75</v>
      </c>
      <c r="S70" s="27">
        <v>20.25</v>
      </c>
      <c r="T70" s="5"/>
    </row>
    <row r="71" spans="1:20" x14ac:dyDescent="0.35">
      <c r="A71" s="1" t="s">
        <v>117</v>
      </c>
      <c r="B71" s="1" t="s">
        <v>95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Geetu</v>
      </c>
      <c r="H71" s="27">
        <v>0</v>
      </c>
      <c r="I71" s="27">
        <v>1.8</v>
      </c>
      <c r="J71" s="27">
        <v>8.25</v>
      </c>
      <c r="K71" s="27">
        <v>10.25</v>
      </c>
      <c r="L71" s="27">
        <v>10.25</v>
      </c>
      <c r="M71" s="27">
        <v>8.9499999999999993</v>
      </c>
      <c r="N71" s="27">
        <v>9.9499999999999993</v>
      </c>
      <c r="O71" s="27">
        <v>6.95</v>
      </c>
      <c r="P71" s="27">
        <v>6.8</v>
      </c>
      <c r="Q71" s="27">
        <v>8.15</v>
      </c>
      <c r="R71" s="27">
        <v>8.15</v>
      </c>
      <c r="S71" s="27">
        <v>7.2</v>
      </c>
      <c r="T71" s="5"/>
    </row>
    <row r="72" spans="1:20" x14ac:dyDescent="0.35">
      <c r="A72" s="1" t="s">
        <v>117</v>
      </c>
      <c r="B72" s="1" t="s">
        <v>96</v>
      </c>
      <c r="C72" s="1" t="str">
        <f>VLOOKUP(B72,Mapping!A:B,2,0)</f>
        <v>Lateral</v>
      </c>
      <c r="D72" s="1" t="str">
        <f>VLOOKUP(B72,Mapping!A:C,3,0)</f>
        <v>West</v>
      </c>
      <c r="E72" s="1" t="str">
        <f>VLOOKUP(B72,Mapping!A:D,4,0)</f>
        <v>West 1</v>
      </c>
      <c r="F72" s="1" t="str">
        <f>VLOOKUP(B72,Mapping!A:E,5,0)</f>
        <v>Anjli</v>
      </c>
      <c r="G72" s="1" t="str">
        <f>VLOOKUP(B72,Mapping!A:F,6,0)</f>
        <v>Archana</v>
      </c>
      <c r="H72" s="27" t="s">
        <v>0</v>
      </c>
      <c r="I72" s="27" t="s">
        <v>0</v>
      </c>
      <c r="J72" s="27" t="s">
        <v>0</v>
      </c>
      <c r="K72" s="27" t="s">
        <v>0</v>
      </c>
      <c r="L72" s="27" t="s">
        <v>0</v>
      </c>
      <c r="M72" s="27" t="s">
        <v>0</v>
      </c>
      <c r="N72" s="27" t="s">
        <v>0</v>
      </c>
      <c r="O72" s="27">
        <v>2</v>
      </c>
      <c r="P72" s="27">
        <v>3.5</v>
      </c>
      <c r="Q72" s="27">
        <v>6</v>
      </c>
      <c r="R72" s="27">
        <v>7</v>
      </c>
      <c r="S72" s="27">
        <v>8</v>
      </c>
      <c r="T72" s="5"/>
    </row>
    <row r="73" spans="1:20" x14ac:dyDescent="0.35">
      <c r="A73" s="1" t="s">
        <v>117</v>
      </c>
      <c r="B73" s="1" t="s">
        <v>97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Lekhana</v>
      </c>
      <c r="H73" s="27">
        <v>8</v>
      </c>
      <c r="I73" s="27">
        <v>7</v>
      </c>
      <c r="J73" s="27">
        <v>7</v>
      </c>
      <c r="K73" s="27">
        <v>5</v>
      </c>
      <c r="L73" s="27">
        <v>6</v>
      </c>
      <c r="M73" s="27">
        <v>6</v>
      </c>
      <c r="N73" s="27">
        <v>5</v>
      </c>
      <c r="O73" s="27">
        <v>5</v>
      </c>
      <c r="P73" s="27">
        <v>5</v>
      </c>
      <c r="Q73" s="27">
        <v>6</v>
      </c>
      <c r="R73" s="27">
        <v>5</v>
      </c>
      <c r="S73" s="27">
        <v>5</v>
      </c>
      <c r="T73" s="5"/>
    </row>
    <row r="74" spans="1:20" x14ac:dyDescent="0.35">
      <c r="A74" s="1" t="s">
        <v>117</v>
      </c>
      <c r="B74" s="1" t="s">
        <v>99</v>
      </c>
      <c r="C74" s="1" t="str">
        <f>VLOOKUP(B74,Mapping!A:B,2,0)</f>
        <v>Lateral</v>
      </c>
      <c r="D74" s="1" t="str">
        <f>VLOOKUP(B74,Mapping!A:C,3,0)</f>
        <v>South</v>
      </c>
      <c r="E74" s="1" t="str">
        <f>VLOOKUP(B74,Mapping!A:D,4,0)</f>
        <v>South 2</v>
      </c>
      <c r="F74" s="1" t="str">
        <f>VLOOKUP(B74,Mapping!A:E,5,0)</f>
        <v>Sulabh</v>
      </c>
      <c r="G74" s="1" t="str">
        <f>VLOOKUP(B74,Mapping!A:F,6,0)</f>
        <v>Satya</v>
      </c>
      <c r="H74" s="27">
        <v>5</v>
      </c>
      <c r="I74" s="27">
        <v>7.333333333333333</v>
      </c>
      <c r="J74" s="27">
        <v>5.333333333333333</v>
      </c>
      <c r="K74" s="27">
        <v>4.333333333333333</v>
      </c>
      <c r="L74" s="27">
        <v>4.333333333333333</v>
      </c>
      <c r="M74" s="27">
        <v>4.33</v>
      </c>
      <c r="N74" s="27">
        <v>3.33</v>
      </c>
      <c r="O74" s="27">
        <v>3.33</v>
      </c>
      <c r="P74" s="27">
        <v>4.33</v>
      </c>
      <c r="Q74" s="27">
        <v>3.33</v>
      </c>
      <c r="R74" s="27">
        <v>3.33</v>
      </c>
      <c r="S74" s="27">
        <v>5.33</v>
      </c>
      <c r="T74" s="5"/>
    </row>
    <row r="75" spans="1:20" x14ac:dyDescent="0.35">
      <c r="A75" s="1" t="s">
        <v>117</v>
      </c>
      <c r="B75" s="1" t="s">
        <v>100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5"/>
    </row>
    <row r="76" spans="1:20" x14ac:dyDescent="0.35">
      <c r="A76" s="1" t="s">
        <v>117</v>
      </c>
      <c r="B76" s="1" t="s">
        <v>132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1</v>
      </c>
      <c r="R76" s="27">
        <v>1.1000000000000001</v>
      </c>
      <c r="S76" s="27">
        <v>1.1000000000000001</v>
      </c>
      <c r="T76" s="5"/>
    </row>
    <row r="77" spans="1:20" x14ac:dyDescent="0.35">
      <c r="A77" s="1" t="s">
        <v>117</v>
      </c>
      <c r="B77" s="1" t="s">
        <v>102</v>
      </c>
      <c r="C77" s="1" t="str">
        <f>VLOOKUP(B77,Mapping!A:B,2,0)</f>
        <v>Lateral</v>
      </c>
      <c r="D77" s="1" t="str">
        <f>VLOOKUP(B77,Mapping!A:C,3,0)</f>
        <v>West</v>
      </c>
      <c r="E77" s="1" t="str">
        <f>VLOOKUP(B77,Mapping!A:D,4,0)</f>
        <v>West 1</v>
      </c>
      <c r="F77" s="1" t="str">
        <f>VLOOKUP(B77,Mapping!A:E,5,0)</f>
        <v>Anjli</v>
      </c>
      <c r="G77" s="1" t="str">
        <f>VLOOKUP(B77,Mapping!A:F,6,0)</f>
        <v>Anjli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3.2</v>
      </c>
      <c r="S77" s="27">
        <v>17.7</v>
      </c>
      <c r="T77" s="5"/>
    </row>
    <row r="78" spans="1:20" x14ac:dyDescent="0.35">
      <c r="A78" s="1" t="s">
        <v>117</v>
      </c>
      <c r="B78" s="1" t="s">
        <v>120</v>
      </c>
      <c r="C78" s="1" t="s">
        <v>129</v>
      </c>
      <c r="D78" s="1" t="s">
        <v>129</v>
      </c>
      <c r="E78" s="1" t="s">
        <v>129</v>
      </c>
      <c r="F78" s="1" t="s">
        <v>131</v>
      </c>
      <c r="G78" s="1" t="s">
        <v>130</v>
      </c>
      <c r="H78" s="1"/>
      <c r="I78" s="1"/>
      <c r="J78" s="1"/>
      <c r="K78" s="1"/>
      <c r="L78" s="1"/>
      <c r="M78" s="1"/>
      <c r="N78" s="1"/>
      <c r="O78" s="1"/>
      <c r="P78" s="1"/>
      <c r="Q78" s="27">
        <v>3</v>
      </c>
      <c r="R78" s="27">
        <v>3.1</v>
      </c>
      <c r="S78" s="27">
        <v>3.8000000000000003</v>
      </c>
    </row>
    <row r="79" spans="1:20" x14ac:dyDescent="0.35">
      <c r="A79" s="1" t="s">
        <v>117</v>
      </c>
      <c r="B79" s="1" t="s">
        <v>121</v>
      </c>
      <c r="C79" s="1" t="s">
        <v>129</v>
      </c>
      <c r="D79" s="1" t="s">
        <v>129</v>
      </c>
      <c r="E79" s="1" t="s">
        <v>129</v>
      </c>
      <c r="F79" s="1" t="s">
        <v>131</v>
      </c>
      <c r="G79" s="1" t="s">
        <v>130</v>
      </c>
      <c r="H79" s="1"/>
      <c r="I79" s="1"/>
      <c r="J79" s="1"/>
      <c r="K79" s="1"/>
      <c r="L79" s="1"/>
      <c r="M79" s="1"/>
      <c r="N79" s="1"/>
      <c r="O79" s="1"/>
      <c r="P79" s="1"/>
      <c r="Q79" s="27">
        <v>0</v>
      </c>
      <c r="R79" s="27">
        <v>0</v>
      </c>
      <c r="S79" s="27">
        <v>0</v>
      </c>
    </row>
    <row r="80" spans="1:20" x14ac:dyDescent="0.35">
      <c r="A80" s="1" t="s">
        <v>117</v>
      </c>
      <c r="B80" s="1" t="s">
        <v>122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1"/>
      <c r="I80" s="1"/>
      <c r="J80" s="1"/>
      <c r="K80" s="1"/>
      <c r="L80" s="1"/>
      <c r="M80" s="1"/>
      <c r="N80" s="1"/>
      <c r="O80" s="1"/>
      <c r="P80" s="1"/>
      <c r="Q80" s="27">
        <v>0</v>
      </c>
      <c r="R80" s="27">
        <v>0</v>
      </c>
      <c r="S80" s="27">
        <v>0</v>
      </c>
    </row>
    <row r="81" spans="1:19" x14ac:dyDescent="0.35">
      <c r="A81" s="1" t="s">
        <v>117</v>
      </c>
      <c r="B81" s="1" t="s">
        <v>123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1"/>
      <c r="I81" s="1"/>
      <c r="J81" s="1"/>
      <c r="K81" s="1"/>
      <c r="L81" s="1"/>
      <c r="M81" s="1"/>
      <c r="N81" s="1"/>
      <c r="O81" s="1"/>
      <c r="P81" s="1"/>
      <c r="Q81" s="27">
        <v>0</v>
      </c>
      <c r="R81" s="27">
        <v>0</v>
      </c>
      <c r="S81" s="27">
        <v>0</v>
      </c>
    </row>
    <row r="82" spans="1:19" x14ac:dyDescent="0.35">
      <c r="A82" s="1" t="s">
        <v>117</v>
      </c>
      <c r="B82" s="1" t="s">
        <v>124</v>
      </c>
      <c r="C82" s="1" t="s">
        <v>129</v>
      </c>
      <c r="D82" s="1" t="s">
        <v>129</v>
      </c>
      <c r="E82" s="1" t="s">
        <v>129</v>
      </c>
      <c r="F82" s="1" t="s">
        <v>131</v>
      </c>
      <c r="G82" s="1" t="s">
        <v>130</v>
      </c>
      <c r="H82" s="1"/>
      <c r="I82" s="1"/>
      <c r="J82" s="1"/>
      <c r="K82" s="1"/>
      <c r="L82" s="1"/>
      <c r="M82" s="1"/>
      <c r="N82" s="1"/>
      <c r="O82" s="1"/>
      <c r="P82" s="1"/>
      <c r="Q82" s="27">
        <v>0</v>
      </c>
      <c r="R82" s="27">
        <v>0</v>
      </c>
      <c r="S82" s="27">
        <v>0</v>
      </c>
    </row>
    <row r="83" spans="1:19" x14ac:dyDescent="0.35">
      <c r="A83" s="1" t="s">
        <v>117</v>
      </c>
      <c r="B83" s="1" t="s">
        <v>125</v>
      </c>
      <c r="C83" s="1" t="s">
        <v>129</v>
      </c>
      <c r="D83" s="1" t="s">
        <v>129</v>
      </c>
      <c r="E83" s="1" t="s">
        <v>129</v>
      </c>
      <c r="F83" s="1" t="s">
        <v>131</v>
      </c>
      <c r="G83" s="1" t="s">
        <v>130</v>
      </c>
      <c r="H83" s="1"/>
      <c r="I83" s="1"/>
      <c r="J83" s="1"/>
      <c r="K83" s="1"/>
      <c r="L83" s="1"/>
      <c r="M83" s="1"/>
      <c r="N83" s="1"/>
      <c r="O83" s="1"/>
      <c r="P83" s="1"/>
      <c r="Q83" s="27">
        <v>0</v>
      </c>
      <c r="R83" s="27">
        <v>0</v>
      </c>
      <c r="S83" s="27">
        <v>0</v>
      </c>
    </row>
    <row r="84" spans="1:19" x14ac:dyDescent="0.35">
      <c r="A84" s="1" t="s">
        <v>117</v>
      </c>
      <c r="B84" s="1" t="s">
        <v>126</v>
      </c>
      <c r="C84" s="1" t="s">
        <v>129</v>
      </c>
      <c r="D84" s="1" t="s">
        <v>129</v>
      </c>
      <c r="E84" s="1" t="s">
        <v>129</v>
      </c>
      <c r="F84" s="1" t="s">
        <v>131</v>
      </c>
      <c r="G84" s="1" t="s">
        <v>130</v>
      </c>
      <c r="H84" s="1"/>
      <c r="I84" s="1"/>
      <c r="J84" s="1"/>
      <c r="K84" s="1"/>
      <c r="L84" s="1"/>
      <c r="M84" s="1"/>
      <c r="N84" s="1"/>
      <c r="O84" s="1"/>
      <c r="P84" s="1"/>
      <c r="Q84" s="27">
        <v>0</v>
      </c>
      <c r="R84" s="27">
        <v>0</v>
      </c>
      <c r="S84" s="27">
        <v>0</v>
      </c>
    </row>
    <row r="85" spans="1:19" x14ac:dyDescent="0.35">
      <c r="A85" s="1" t="s">
        <v>117</v>
      </c>
      <c r="B85" s="1" t="s">
        <v>127</v>
      </c>
      <c r="C85" s="1" t="s">
        <v>129</v>
      </c>
      <c r="D85" s="1" t="s">
        <v>129</v>
      </c>
      <c r="E85" s="1" t="s">
        <v>129</v>
      </c>
      <c r="F85" s="1" t="s">
        <v>131</v>
      </c>
      <c r="G85" s="1" t="s">
        <v>130</v>
      </c>
      <c r="H85" s="1"/>
      <c r="I85" s="1"/>
      <c r="J85" s="1"/>
      <c r="K85" s="1"/>
      <c r="L85" s="1"/>
      <c r="M85" s="1"/>
      <c r="N85" s="1"/>
      <c r="O85" s="1"/>
      <c r="P85" s="1"/>
      <c r="Q85" s="27">
        <v>0</v>
      </c>
      <c r="R85" s="27">
        <v>0</v>
      </c>
      <c r="S85" s="27">
        <v>0</v>
      </c>
    </row>
    <row r="86" spans="1:19" x14ac:dyDescent="0.35">
      <c r="A86" s="1" t="s">
        <v>117</v>
      </c>
      <c r="B86" s="1" t="s">
        <v>128</v>
      </c>
      <c r="C86" s="1" t="s">
        <v>129</v>
      </c>
      <c r="D86" s="1" t="s">
        <v>129</v>
      </c>
      <c r="E86" s="1" t="s">
        <v>129</v>
      </c>
      <c r="F86" s="1" t="s">
        <v>131</v>
      </c>
      <c r="G86" s="1" t="s">
        <v>130</v>
      </c>
      <c r="H86" s="1"/>
      <c r="I86" s="1"/>
      <c r="J86" s="1"/>
      <c r="K86" s="1"/>
      <c r="L86" s="1"/>
      <c r="M86" s="1"/>
      <c r="N86" s="1"/>
      <c r="O86" s="1"/>
      <c r="P86" s="1"/>
      <c r="Q86" s="27">
        <v>1.33</v>
      </c>
      <c r="R86" s="27">
        <v>1</v>
      </c>
      <c r="S86" s="27">
        <v>0.3</v>
      </c>
    </row>
    <row r="87" spans="1:19" x14ac:dyDescent="0.35">
      <c r="A87" s="1" t="s">
        <v>117</v>
      </c>
      <c r="B87" t="s">
        <v>136</v>
      </c>
      <c r="C87" s="1" t="s">
        <v>129</v>
      </c>
      <c r="D87" s="1" t="s">
        <v>129</v>
      </c>
      <c r="E87" s="1" t="s">
        <v>129</v>
      </c>
      <c r="F87" s="1" t="s">
        <v>131</v>
      </c>
      <c r="G87" s="1" t="s">
        <v>130</v>
      </c>
      <c r="Q87" s="27">
        <v>0</v>
      </c>
      <c r="R87" s="27">
        <v>0</v>
      </c>
      <c r="S87" s="27">
        <v>0</v>
      </c>
    </row>
  </sheetData>
  <conditionalFormatting sqref="A2:B2 I2:S2 E2:G2">
    <cfRule type="duplicateValues" dxfId="38" priority="2"/>
  </conditionalFormatting>
  <conditionalFormatting sqref="B52:B74 B3:B42">
    <cfRule type="duplicateValues" dxfId="37" priority="8"/>
  </conditionalFormatting>
  <conditionalFormatting sqref="B75:B77 B43:B51">
    <cfRule type="duplicateValues" dxfId="36" priority="9"/>
  </conditionalFormatting>
  <conditionalFormatting sqref="B3:B87">
    <cfRule type="duplicateValues" dxfId="35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DD80-D289-44CB-8117-931190195A16}">
  <sheetPr codeName="Sheet13">
    <tabColor rgb="FF92D050"/>
  </sheetPr>
  <dimension ref="A1:T85"/>
  <sheetViews>
    <sheetView topLeftCell="E1" workbookViewId="0">
      <selection activeCell="S1" sqref="S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4" width="28.1796875" customWidth="1"/>
    <col min="5" max="5" width="10.54296875" bestFit="1" customWidth="1"/>
  </cols>
  <sheetData>
    <row r="1" spans="1:20" x14ac:dyDescent="0.35">
      <c r="A1" s="25" t="str">
        <f>Revenue_Budget!A1</f>
        <v>FY</v>
      </c>
      <c r="B1" s="25" t="str">
        <f>Revenue_Budget!B1</f>
        <v>Project</v>
      </c>
      <c r="C1" s="25" t="str">
        <f>Revenue_Budget!C1</f>
        <v>Vertical</v>
      </c>
      <c r="D1" s="25" t="str">
        <f>Revenue_Budget!D1</f>
        <v>Region</v>
      </c>
      <c r="E1" s="25" t="str">
        <f>Revenue_Budget!E1</f>
        <v>Sub Region</v>
      </c>
      <c r="F1" s="25" t="str">
        <f>Revenue_Budget!F1</f>
        <v>Region Head</v>
      </c>
      <c r="G1" s="25" t="str">
        <f>Revenue_Budget!G1</f>
        <v>Practice Head</v>
      </c>
      <c r="H1" s="26">
        <f>Revenue_Budget!H1</f>
        <v>45748</v>
      </c>
      <c r="I1" s="26">
        <f>Revenue_Budget!I1</f>
        <v>45778</v>
      </c>
      <c r="J1" s="26">
        <f>Revenue_Budget!J1</f>
        <v>45809</v>
      </c>
      <c r="K1" s="26">
        <f>Revenue_Budget!K1</f>
        <v>45839</v>
      </c>
      <c r="L1" s="26">
        <f>Revenue_Budget!L1</f>
        <v>45870</v>
      </c>
      <c r="M1" s="26">
        <f>Revenue_Budget!M1</f>
        <v>45901</v>
      </c>
      <c r="N1" s="26">
        <f>Revenue_Budget!N1</f>
        <v>45931</v>
      </c>
      <c r="O1" s="26">
        <f>Revenue_Budget!O1</f>
        <v>45962</v>
      </c>
      <c r="P1" s="26">
        <f>Revenue_Budget!P1</f>
        <v>45992</v>
      </c>
      <c r="Q1" s="26">
        <f>Revenue_Budget!Q1</f>
        <v>46023</v>
      </c>
      <c r="R1" s="26">
        <f>Revenue_Budget!R1</f>
        <v>46054</v>
      </c>
      <c r="S1" s="26">
        <f>Revenue_Budget!S1</f>
        <v>46082</v>
      </c>
    </row>
    <row r="2" spans="1:20" x14ac:dyDescent="0.35">
      <c r="A2" s="1" t="s">
        <v>117</v>
      </c>
      <c r="B2" s="1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7">
        <v>44.4</v>
      </c>
      <c r="I2" s="27">
        <v>47.099999999999994</v>
      </c>
      <c r="J2" s="27">
        <v>42</v>
      </c>
      <c r="K2" s="27">
        <v>39.5</v>
      </c>
      <c r="L2" s="27">
        <v>39.5</v>
      </c>
      <c r="M2" s="27">
        <v>39.5</v>
      </c>
      <c r="N2" s="27">
        <v>39.5</v>
      </c>
      <c r="O2" s="27">
        <v>39.5</v>
      </c>
      <c r="P2" s="27">
        <v>37</v>
      </c>
      <c r="Q2" s="27">
        <v>38</v>
      </c>
      <c r="R2" s="27">
        <v>38.5</v>
      </c>
      <c r="S2" s="27">
        <v>37.4</v>
      </c>
      <c r="T2" s="5"/>
    </row>
    <row r="3" spans="1:20" x14ac:dyDescent="0.35">
      <c r="A3" s="1" t="s">
        <v>117</v>
      </c>
      <c r="B3" s="1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7">
        <v>5.0999999999999996</v>
      </c>
      <c r="I3" s="27">
        <v>5.85</v>
      </c>
      <c r="J3" s="27">
        <v>5.0999999999999996</v>
      </c>
      <c r="K3" s="27">
        <v>5</v>
      </c>
      <c r="L3" s="27">
        <v>4</v>
      </c>
      <c r="M3" s="27">
        <v>4</v>
      </c>
      <c r="N3" s="27">
        <v>4</v>
      </c>
      <c r="O3" s="27">
        <v>3.5</v>
      </c>
      <c r="P3" s="27">
        <v>3.5</v>
      </c>
      <c r="Q3" s="27">
        <v>3.5</v>
      </c>
      <c r="R3" s="27">
        <v>3.5</v>
      </c>
      <c r="S3" s="27">
        <v>3.5</v>
      </c>
      <c r="T3" s="5"/>
    </row>
    <row r="4" spans="1:20" x14ac:dyDescent="0.35">
      <c r="A4" s="1" t="s">
        <v>117</v>
      </c>
      <c r="B4" s="1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7">
        <v>0</v>
      </c>
      <c r="I4" s="27">
        <v>1.5</v>
      </c>
      <c r="J4" s="27">
        <v>1.5</v>
      </c>
      <c r="K4" s="27" t="s">
        <v>0</v>
      </c>
      <c r="L4" s="27" t="s">
        <v>0</v>
      </c>
      <c r="M4" s="27" t="s">
        <v>0</v>
      </c>
      <c r="N4" s="27" t="s">
        <v>0</v>
      </c>
      <c r="O4" s="27" t="s">
        <v>0</v>
      </c>
      <c r="P4" s="27" t="s">
        <v>0</v>
      </c>
      <c r="Q4" s="27">
        <v>0</v>
      </c>
      <c r="R4" s="27">
        <v>0</v>
      </c>
      <c r="S4" s="27">
        <v>0</v>
      </c>
      <c r="T4" s="5"/>
    </row>
    <row r="5" spans="1:20" x14ac:dyDescent="0.35">
      <c r="A5" s="1" t="s">
        <v>117</v>
      </c>
      <c r="B5" s="1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7">
        <v>9</v>
      </c>
      <c r="I5" s="27">
        <v>10.199999999999999</v>
      </c>
      <c r="J5" s="27">
        <v>10.3</v>
      </c>
      <c r="K5" s="27">
        <v>9</v>
      </c>
      <c r="L5" s="27">
        <v>9</v>
      </c>
      <c r="M5" s="27">
        <v>9.75</v>
      </c>
      <c r="N5" s="27">
        <v>10</v>
      </c>
      <c r="O5" s="27">
        <v>11</v>
      </c>
      <c r="P5" s="27">
        <v>10</v>
      </c>
      <c r="Q5" s="27">
        <v>11.1</v>
      </c>
      <c r="R5" s="27">
        <v>11.3</v>
      </c>
      <c r="S5" s="27">
        <v>11.3</v>
      </c>
      <c r="T5" s="5"/>
    </row>
    <row r="6" spans="1:20" x14ac:dyDescent="0.35">
      <c r="A6" s="1" t="s">
        <v>117</v>
      </c>
      <c r="B6" s="1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7">
        <v>12.2</v>
      </c>
      <c r="I6" s="27">
        <v>11.2</v>
      </c>
      <c r="J6" s="27">
        <v>13</v>
      </c>
      <c r="K6" s="27">
        <v>11</v>
      </c>
      <c r="L6" s="27">
        <v>11</v>
      </c>
      <c r="M6" s="27">
        <v>11</v>
      </c>
      <c r="N6" s="27">
        <v>11</v>
      </c>
      <c r="O6" s="27">
        <v>11</v>
      </c>
      <c r="P6" s="27">
        <v>11</v>
      </c>
      <c r="Q6" s="27">
        <v>11</v>
      </c>
      <c r="R6" s="27">
        <v>13</v>
      </c>
      <c r="S6" s="27">
        <v>14</v>
      </c>
      <c r="T6" s="5"/>
    </row>
    <row r="7" spans="1:20" x14ac:dyDescent="0.35">
      <c r="A7" s="1" t="s">
        <v>117</v>
      </c>
      <c r="B7" s="1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7">
        <v>9</v>
      </c>
      <c r="I7" s="27">
        <v>8.1</v>
      </c>
      <c r="J7" s="27">
        <v>9.1</v>
      </c>
      <c r="K7" s="27">
        <v>7</v>
      </c>
      <c r="L7" s="27">
        <v>8</v>
      </c>
      <c r="M7" s="27">
        <v>7</v>
      </c>
      <c r="N7" s="27">
        <v>10</v>
      </c>
      <c r="O7" s="27">
        <v>8.5</v>
      </c>
      <c r="P7" s="27">
        <v>7.5</v>
      </c>
      <c r="Q7" s="27">
        <v>11.5</v>
      </c>
      <c r="R7" s="27">
        <v>11.5</v>
      </c>
      <c r="S7" s="27">
        <v>11.5</v>
      </c>
      <c r="T7" s="5"/>
    </row>
    <row r="8" spans="1:20" x14ac:dyDescent="0.35">
      <c r="A8" s="1" t="s">
        <v>117</v>
      </c>
      <c r="B8" s="1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7">
        <v>4.5</v>
      </c>
      <c r="I8" s="27">
        <v>3.5</v>
      </c>
      <c r="J8" s="27">
        <v>3.5</v>
      </c>
      <c r="K8" s="27">
        <v>3</v>
      </c>
      <c r="L8" s="27">
        <v>3</v>
      </c>
      <c r="M8" s="27">
        <v>2</v>
      </c>
      <c r="N8" s="27">
        <v>2</v>
      </c>
      <c r="O8" s="27">
        <v>2</v>
      </c>
      <c r="P8" s="27">
        <v>2</v>
      </c>
      <c r="Q8" s="27">
        <v>2</v>
      </c>
      <c r="R8" s="27">
        <v>2</v>
      </c>
      <c r="S8" s="27">
        <v>2</v>
      </c>
      <c r="T8" s="5"/>
    </row>
    <row r="9" spans="1:20" x14ac:dyDescent="0.35">
      <c r="A9" s="1" t="s">
        <v>117</v>
      </c>
      <c r="B9" s="1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7">
        <v>8</v>
      </c>
      <c r="I9" s="27">
        <v>9</v>
      </c>
      <c r="J9" s="27">
        <v>9</v>
      </c>
      <c r="K9" s="27">
        <v>10</v>
      </c>
      <c r="L9" s="27">
        <v>9</v>
      </c>
      <c r="M9" s="27">
        <v>10</v>
      </c>
      <c r="N9" s="27">
        <v>9</v>
      </c>
      <c r="O9" s="27">
        <v>9.5</v>
      </c>
      <c r="P9" s="27">
        <v>10.5</v>
      </c>
      <c r="Q9" s="27">
        <v>10.5</v>
      </c>
      <c r="R9" s="27">
        <v>10.5</v>
      </c>
      <c r="S9" s="27">
        <v>10.5</v>
      </c>
      <c r="T9" s="5"/>
    </row>
    <row r="10" spans="1:20" x14ac:dyDescent="0.35">
      <c r="A10" s="1" t="s">
        <v>117</v>
      </c>
      <c r="B10" s="1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7">
        <v>3.1</v>
      </c>
      <c r="I10" s="27">
        <v>3.1</v>
      </c>
      <c r="J10" s="27">
        <v>3.1</v>
      </c>
      <c r="K10" s="27">
        <v>2</v>
      </c>
      <c r="L10" s="27">
        <v>2</v>
      </c>
      <c r="M10" s="27">
        <v>1</v>
      </c>
      <c r="N10" s="27">
        <v>1</v>
      </c>
      <c r="O10" s="27">
        <v>1</v>
      </c>
      <c r="P10" s="27">
        <v>1</v>
      </c>
      <c r="Q10" s="27">
        <v>0</v>
      </c>
      <c r="R10" s="27">
        <v>0</v>
      </c>
      <c r="S10" s="27">
        <v>0</v>
      </c>
      <c r="T10" s="5"/>
    </row>
    <row r="11" spans="1:20" x14ac:dyDescent="0.35">
      <c r="A11" s="1" t="s">
        <v>117</v>
      </c>
      <c r="B11" s="1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7">
        <v>35</v>
      </c>
      <c r="I11" s="27">
        <v>34</v>
      </c>
      <c r="J11" s="27">
        <v>34</v>
      </c>
      <c r="K11" s="27">
        <v>31.5</v>
      </c>
      <c r="L11" s="27">
        <v>28.5</v>
      </c>
      <c r="M11" s="27">
        <v>28.5</v>
      </c>
      <c r="N11" s="27">
        <v>28.5</v>
      </c>
      <c r="O11" s="27">
        <v>28.5</v>
      </c>
      <c r="P11" s="27">
        <v>29</v>
      </c>
      <c r="Q11" s="27">
        <v>32</v>
      </c>
      <c r="R11" s="27">
        <v>34.5</v>
      </c>
      <c r="S11" s="27">
        <v>34.9</v>
      </c>
      <c r="T11" s="5"/>
    </row>
    <row r="12" spans="1:20" x14ac:dyDescent="0.35">
      <c r="A12" s="1" t="s">
        <v>117</v>
      </c>
      <c r="B12" s="1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7">
        <v>2</v>
      </c>
      <c r="I12" s="27">
        <v>2</v>
      </c>
      <c r="J12" s="27">
        <v>2</v>
      </c>
      <c r="K12" s="27">
        <v>2</v>
      </c>
      <c r="L12" s="27">
        <v>2</v>
      </c>
      <c r="M12" s="27">
        <v>2</v>
      </c>
      <c r="N12" s="27">
        <v>2</v>
      </c>
      <c r="O12" s="27">
        <v>2</v>
      </c>
      <c r="P12" s="27">
        <v>2</v>
      </c>
      <c r="Q12" s="27">
        <v>2</v>
      </c>
      <c r="R12" s="27">
        <v>2</v>
      </c>
      <c r="S12" s="27">
        <v>1.5</v>
      </c>
      <c r="T12" s="5"/>
    </row>
    <row r="13" spans="1:20" x14ac:dyDescent="0.35">
      <c r="A13" s="1" t="s">
        <v>117</v>
      </c>
      <c r="B13" s="1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7">
        <v>8.1</v>
      </c>
      <c r="I13" s="27">
        <v>8.1</v>
      </c>
      <c r="J13" s="27">
        <v>9.1</v>
      </c>
      <c r="K13" s="27">
        <v>7</v>
      </c>
      <c r="L13" s="27">
        <v>8</v>
      </c>
      <c r="M13" s="27">
        <v>8</v>
      </c>
      <c r="N13" s="27">
        <v>7</v>
      </c>
      <c r="O13" s="27">
        <v>7</v>
      </c>
      <c r="P13" s="27">
        <v>8</v>
      </c>
      <c r="Q13" s="27">
        <v>7</v>
      </c>
      <c r="R13" s="27">
        <v>7</v>
      </c>
      <c r="S13" s="27">
        <v>8</v>
      </c>
      <c r="T13" s="21"/>
    </row>
    <row r="14" spans="1:20" x14ac:dyDescent="0.35">
      <c r="A14" s="1" t="s">
        <v>117</v>
      </c>
      <c r="B14" s="1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7">
        <v>2</v>
      </c>
      <c r="I14" s="27">
        <v>2</v>
      </c>
      <c r="J14" s="27">
        <v>2</v>
      </c>
      <c r="K14" s="27">
        <v>2</v>
      </c>
      <c r="L14" s="27">
        <v>2</v>
      </c>
      <c r="M14" s="27">
        <v>2</v>
      </c>
      <c r="N14" s="27">
        <v>2</v>
      </c>
      <c r="O14" s="27">
        <v>2</v>
      </c>
      <c r="P14" s="27">
        <v>2</v>
      </c>
      <c r="Q14" s="27">
        <v>2</v>
      </c>
      <c r="R14" s="27">
        <v>2</v>
      </c>
      <c r="S14" s="27">
        <v>2</v>
      </c>
      <c r="T14" s="5"/>
    </row>
    <row r="15" spans="1:20" x14ac:dyDescent="0.35">
      <c r="A15" s="1" t="s">
        <v>117</v>
      </c>
      <c r="B15" s="1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7">
        <v>59.5</v>
      </c>
      <c r="I15" s="27">
        <v>52.5</v>
      </c>
      <c r="J15" s="27">
        <v>53</v>
      </c>
      <c r="K15" s="27">
        <v>50</v>
      </c>
      <c r="L15" s="27">
        <v>60</v>
      </c>
      <c r="M15" s="27">
        <v>68</v>
      </c>
      <c r="N15" s="27">
        <v>67</v>
      </c>
      <c r="O15" s="27">
        <v>65</v>
      </c>
      <c r="P15" s="27">
        <v>63</v>
      </c>
      <c r="Q15" s="27">
        <v>62</v>
      </c>
      <c r="R15" s="27">
        <v>66</v>
      </c>
      <c r="S15" s="27">
        <v>62</v>
      </c>
      <c r="T15" s="5"/>
    </row>
    <row r="16" spans="1:20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7">
        <v>2</v>
      </c>
      <c r="I16" s="27">
        <v>1</v>
      </c>
      <c r="J16" s="27">
        <v>1</v>
      </c>
      <c r="K16" s="27">
        <v>1</v>
      </c>
      <c r="L16" s="27">
        <v>1</v>
      </c>
      <c r="M16" s="27" t="s">
        <v>0</v>
      </c>
      <c r="N16" s="27" t="s">
        <v>0</v>
      </c>
      <c r="O16" s="27" t="s">
        <v>0</v>
      </c>
      <c r="P16" s="27" t="s">
        <v>0</v>
      </c>
      <c r="Q16" s="27">
        <v>0</v>
      </c>
      <c r="R16" s="27">
        <v>0</v>
      </c>
      <c r="S16" s="27">
        <v>0</v>
      </c>
      <c r="T16" s="5"/>
    </row>
    <row r="17" spans="1:20" x14ac:dyDescent="0.35">
      <c r="A17" s="1" t="s">
        <v>117</v>
      </c>
      <c r="B17" s="1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7">
        <v>11</v>
      </c>
      <c r="I17" s="27">
        <v>10.7</v>
      </c>
      <c r="J17" s="27">
        <v>11</v>
      </c>
      <c r="K17" s="27">
        <v>11</v>
      </c>
      <c r="L17" s="27">
        <v>12</v>
      </c>
      <c r="M17" s="27">
        <v>11</v>
      </c>
      <c r="N17" s="27">
        <v>10</v>
      </c>
      <c r="O17" s="27">
        <v>16</v>
      </c>
      <c r="P17" s="27">
        <v>16</v>
      </c>
      <c r="Q17" s="27">
        <v>17</v>
      </c>
      <c r="R17" s="27">
        <v>17</v>
      </c>
      <c r="S17" s="27">
        <v>14</v>
      </c>
      <c r="T17" s="5"/>
    </row>
    <row r="18" spans="1:20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7">
        <v>1</v>
      </c>
      <c r="I18" s="27" t="s">
        <v>0</v>
      </c>
      <c r="J18" s="27" t="s">
        <v>0</v>
      </c>
      <c r="K18" s="27" t="s">
        <v>0</v>
      </c>
      <c r="L18" s="27" t="s">
        <v>0</v>
      </c>
      <c r="M18" s="27" t="s">
        <v>0</v>
      </c>
      <c r="N18" s="27" t="s">
        <v>0</v>
      </c>
      <c r="O18" s="27" t="s">
        <v>0</v>
      </c>
      <c r="P18" s="27" t="s">
        <v>0</v>
      </c>
      <c r="Q18" s="27">
        <v>0</v>
      </c>
      <c r="R18" s="27">
        <v>0</v>
      </c>
      <c r="S18" s="27">
        <v>0</v>
      </c>
      <c r="T18" s="5"/>
    </row>
    <row r="19" spans="1:20" x14ac:dyDescent="0.35">
      <c r="A19" s="1" t="s">
        <v>117</v>
      </c>
      <c r="B19" s="1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7">
        <v>11.959999999999999</v>
      </c>
      <c r="I19" s="27">
        <v>11.5</v>
      </c>
      <c r="J19" s="27">
        <v>9.1</v>
      </c>
      <c r="K19" s="27">
        <v>10</v>
      </c>
      <c r="L19" s="27">
        <v>8</v>
      </c>
      <c r="M19" s="27">
        <v>7</v>
      </c>
      <c r="N19" s="27">
        <v>7</v>
      </c>
      <c r="O19" s="27">
        <v>6.5</v>
      </c>
      <c r="P19" s="27">
        <v>5.5</v>
      </c>
      <c r="Q19" s="27">
        <v>4.5</v>
      </c>
      <c r="R19" s="27">
        <v>4.5</v>
      </c>
      <c r="S19" s="27">
        <v>3.5</v>
      </c>
      <c r="T19" s="5"/>
    </row>
    <row r="20" spans="1:20" x14ac:dyDescent="0.35">
      <c r="A20" s="1" t="s">
        <v>117</v>
      </c>
      <c r="B20" s="1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7">
        <v>1</v>
      </c>
      <c r="I20" s="27">
        <v>1</v>
      </c>
      <c r="J20" s="27">
        <v>1</v>
      </c>
      <c r="K20" s="27">
        <v>1</v>
      </c>
      <c r="L20" s="27">
        <v>1</v>
      </c>
      <c r="M20" s="27">
        <v>1</v>
      </c>
      <c r="N20" s="27">
        <v>1</v>
      </c>
      <c r="O20" s="27" t="s">
        <v>0</v>
      </c>
      <c r="P20" s="27" t="s">
        <v>0</v>
      </c>
      <c r="Q20" s="27">
        <v>0</v>
      </c>
      <c r="R20" s="27">
        <v>0</v>
      </c>
      <c r="S20" s="27">
        <v>0</v>
      </c>
      <c r="T20" s="5"/>
    </row>
    <row r="21" spans="1:20" x14ac:dyDescent="0.35">
      <c r="A21" s="1" t="s">
        <v>117</v>
      </c>
      <c r="B21" s="1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7">
        <v>28.1</v>
      </c>
      <c r="I21" s="27">
        <v>27.1</v>
      </c>
      <c r="J21" s="27">
        <v>27.1</v>
      </c>
      <c r="K21" s="27">
        <v>24</v>
      </c>
      <c r="L21" s="27">
        <v>23</v>
      </c>
      <c r="M21" s="27">
        <v>22</v>
      </c>
      <c r="N21" s="27">
        <v>22</v>
      </c>
      <c r="O21" s="27">
        <v>23</v>
      </c>
      <c r="P21" s="27">
        <v>24</v>
      </c>
      <c r="Q21" s="27">
        <v>27</v>
      </c>
      <c r="R21" s="27">
        <v>32.5</v>
      </c>
      <c r="S21" s="27">
        <v>32</v>
      </c>
      <c r="T21" s="5"/>
    </row>
    <row r="22" spans="1:20" x14ac:dyDescent="0.35">
      <c r="A22" s="1" t="s">
        <v>117</v>
      </c>
      <c r="B22" s="1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7">
        <v>5.2</v>
      </c>
      <c r="I22" s="27">
        <v>7.2</v>
      </c>
      <c r="J22" s="27">
        <v>4</v>
      </c>
      <c r="K22" s="27">
        <v>3</v>
      </c>
      <c r="L22" s="27">
        <v>4</v>
      </c>
      <c r="M22" s="27">
        <v>4</v>
      </c>
      <c r="N22" s="27">
        <v>3</v>
      </c>
      <c r="O22" s="27">
        <v>3</v>
      </c>
      <c r="P22" s="27">
        <v>2</v>
      </c>
      <c r="Q22" s="27">
        <v>2</v>
      </c>
      <c r="R22" s="27">
        <v>2</v>
      </c>
      <c r="S22" s="27">
        <v>1</v>
      </c>
      <c r="T22" s="5"/>
    </row>
    <row r="23" spans="1:20" x14ac:dyDescent="0.35">
      <c r="A23" s="1" t="s">
        <v>117</v>
      </c>
      <c r="B23" s="1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7">
        <v>5</v>
      </c>
      <c r="I23" s="27">
        <v>4</v>
      </c>
      <c r="J23" s="27">
        <v>4</v>
      </c>
      <c r="K23" s="27">
        <v>4</v>
      </c>
      <c r="L23" s="27">
        <v>4</v>
      </c>
      <c r="M23" s="27">
        <v>4</v>
      </c>
      <c r="N23" s="27">
        <v>4</v>
      </c>
      <c r="O23" s="27">
        <v>4</v>
      </c>
      <c r="P23" s="27">
        <v>4.2</v>
      </c>
      <c r="Q23" s="27">
        <v>5.1999999999999993</v>
      </c>
      <c r="R23" s="27">
        <v>4.1999999999999993</v>
      </c>
      <c r="S23" s="27">
        <v>4.1999999999999993</v>
      </c>
      <c r="T23" s="5"/>
    </row>
    <row r="24" spans="1:20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5"/>
    </row>
    <row r="25" spans="1:20" x14ac:dyDescent="0.35">
      <c r="A25" s="1" t="s">
        <v>117</v>
      </c>
      <c r="B25" s="1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7">
        <v>5</v>
      </c>
      <c r="I25" s="27">
        <v>3.5</v>
      </c>
      <c r="J25" s="27">
        <v>3.5</v>
      </c>
      <c r="K25" s="27">
        <v>4</v>
      </c>
      <c r="L25" s="27">
        <v>4</v>
      </c>
      <c r="M25" s="27">
        <v>5</v>
      </c>
      <c r="N25" s="27">
        <v>5</v>
      </c>
      <c r="O25" s="27">
        <v>4</v>
      </c>
      <c r="P25" s="27">
        <v>4</v>
      </c>
      <c r="Q25" s="27">
        <v>4</v>
      </c>
      <c r="R25" s="27">
        <v>4</v>
      </c>
      <c r="S25" s="27">
        <v>4</v>
      </c>
      <c r="T25" s="5"/>
    </row>
    <row r="26" spans="1:20" x14ac:dyDescent="0.35">
      <c r="A26" s="1" t="s">
        <v>117</v>
      </c>
      <c r="B26" s="1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7">
        <v>4</v>
      </c>
      <c r="I26" s="27">
        <v>4</v>
      </c>
      <c r="J26" s="27">
        <v>4</v>
      </c>
      <c r="K26" s="27">
        <v>4</v>
      </c>
      <c r="L26" s="27">
        <v>4</v>
      </c>
      <c r="M26" s="27">
        <v>10</v>
      </c>
      <c r="N26" s="27">
        <v>9</v>
      </c>
      <c r="O26" s="27">
        <v>8</v>
      </c>
      <c r="P26" s="27">
        <v>12</v>
      </c>
      <c r="Q26" s="27">
        <v>14</v>
      </c>
      <c r="R26" s="27">
        <v>14</v>
      </c>
      <c r="S26" s="27">
        <v>18.2</v>
      </c>
      <c r="T26" s="5"/>
    </row>
    <row r="27" spans="1:20" x14ac:dyDescent="0.35">
      <c r="A27" s="1" t="s">
        <v>117</v>
      </c>
      <c r="B27" s="1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7">
        <v>11</v>
      </c>
      <c r="I27" s="27">
        <v>11.3</v>
      </c>
      <c r="J27" s="27">
        <v>11.5</v>
      </c>
      <c r="K27" s="27">
        <v>12.1</v>
      </c>
      <c r="L27" s="27">
        <v>12.1</v>
      </c>
      <c r="M27" s="27">
        <v>16.100000000000001</v>
      </c>
      <c r="N27" s="27">
        <v>16.100000000000001</v>
      </c>
      <c r="O27" s="27">
        <v>15.1</v>
      </c>
      <c r="P27" s="27">
        <v>15.4</v>
      </c>
      <c r="Q27" s="27">
        <v>13.299999999999999</v>
      </c>
      <c r="R27" s="27">
        <v>12.3</v>
      </c>
      <c r="S27" s="27">
        <v>11.3</v>
      </c>
      <c r="T27" s="5"/>
    </row>
    <row r="28" spans="1:20" x14ac:dyDescent="0.35">
      <c r="A28" s="1" t="s">
        <v>117</v>
      </c>
      <c r="B28" s="1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7">
        <v>15</v>
      </c>
      <c r="I28" s="27">
        <v>12</v>
      </c>
      <c r="J28" s="27">
        <v>10</v>
      </c>
      <c r="K28" s="27">
        <v>8</v>
      </c>
      <c r="L28" s="27">
        <v>9</v>
      </c>
      <c r="M28" s="27">
        <v>10</v>
      </c>
      <c r="N28" s="27">
        <v>9</v>
      </c>
      <c r="O28" s="27">
        <v>10</v>
      </c>
      <c r="P28" s="27">
        <v>8</v>
      </c>
      <c r="Q28" s="27">
        <v>6</v>
      </c>
      <c r="R28" s="27">
        <v>6</v>
      </c>
      <c r="S28" s="27">
        <v>6</v>
      </c>
      <c r="T28" s="5"/>
    </row>
    <row r="29" spans="1:20" x14ac:dyDescent="0.35">
      <c r="A29" s="1" t="s">
        <v>117</v>
      </c>
      <c r="B29" s="1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7">
        <v>47.5</v>
      </c>
      <c r="I29" s="27">
        <v>41.35</v>
      </c>
      <c r="J29" s="27">
        <v>39.9</v>
      </c>
      <c r="K29" s="27">
        <v>34.6</v>
      </c>
      <c r="L29" s="27">
        <v>34.6</v>
      </c>
      <c r="M29" s="27">
        <v>33.6</v>
      </c>
      <c r="N29" s="27">
        <v>33.6</v>
      </c>
      <c r="O29" s="27">
        <v>34.1</v>
      </c>
      <c r="P29" s="27">
        <v>33.799999999999997</v>
      </c>
      <c r="Q29" s="27">
        <v>33.6</v>
      </c>
      <c r="R29" s="27">
        <v>29.700000000000003</v>
      </c>
      <c r="S29" s="27">
        <v>29.700000000000003</v>
      </c>
      <c r="T29" s="5"/>
    </row>
    <row r="30" spans="1:20" x14ac:dyDescent="0.35">
      <c r="A30" s="1" t="s">
        <v>117</v>
      </c>
      <c r="B30" s="1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7">
        <v>2</v>
      </c>
      <c r="I30" s="27">
        <v>0</v>
      </c>
      <c r="J30" s="27">
        <v>1</v>
      </c>
      <c r="K30" s="27">
        <v>1</v>
      </c>
      <c r="L30" s="27">
        <v>1</v>
      </c>
      <c r="M30" s="27" t="s">
        <v>0</v>
      </c>
      <c r="N30" s="27" t="s">
        <v>0</v>
      </c>
      <c r="O30" s="27" t="s">
        <v>0</v>
      </c>
      <c r="P30" s="27" t="s">
        <v>0</v>
      </c>
      <c r="Q30" s="27">
        <v>0</v>
      </c>
      <c r="R30" s="27">
        <v>0</v>
      </c>
      <c r="S30" s="27">
        <v>0</v>
      </c>
      <c r="T30" s="5"/>
    </row>
    <row r="31" spans="1:20" x14ac:dyDescent="0.35">
      <c r="A31" s="1" t="s">
        <v>117</v>
      </c>
      <c r="B31" s="1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7">
        <v>15.1</v>
      </c>
      <c r="I31" s="27">
        <v>14.1</v>
      </c>
      <c r="J31" s="27">
        <v>14.1</v>
      </c>
      <c r="K31" s="27">
        <v>13</v>
      </c>
      <c r="L31" s="27">
        <v>13</v>
      </c>
      <c r="M31" s="27">
        <v>13</v>
      </c>
      <c r="N31" s="27">
        <v>13</v>
      </c>
      <c r="O31" s="27">
        <v>13</v>
      </c>
      <c r="P31" s="27">
        <v>12</v>
      </c>
      <c r="Q31" s="27">
        <v>14</v>
      </c>
      <c r="R31" s="27">
        <v>13</v>
      </c>
      <c r="S31" s="27">
        <v>14</v>
      </c>
      <c r="T31" s="5"/>
    </row>
    <row r="32" spans="1:20" x14ac:dyDescent="0.35">
      <c r="A32" s="1" t="s">
        <v>117</v>
      </c>
      <c r="B32" s="1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7">
        <v>1.1000000000000001</v>
      </c>
      <c r="I32" s="27">
        <v>1.1000000000000001</v>
      </c>
      <c r="J32" s="27">
        <v>1.1000000000000001</v>
      </c>
      <c r="K32" s="27">
        <v>1</v>
      </c>
      <c r="L32" s="27">
        <v>2</v>
      </c>
      <c r="M32" s="27">
        <v>1</v>
      </c>
      <c r="N32" s="27">
        <v>1</v>
      </c>
      <c r="O32" s="27">
        <v>1</v>
      </c>
      <c r="P32" s="27">
        <v>1</v>
      </c>
      <c r="Q32" s="27">
        <v>1</v>
      </c>
      <c r="R32" s="27">
        <v>1</v>
      </c>
      <c r="S32" s="27">
        <v>1</v>
      </c>
      <c r="T32" s="5"/>
    </row>
    <row r="33" spans="1:20" x14ac:dyDescent="0.35">
      <c r="A33" s="1" t="s">
        <v>117</v>
      </c>
      <c r="B33" s="1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>
        <v>7.1</v>
      </c>
      <c r="I33" s="27">
        <v>5.0999999999999996</v>
      </c>
      <c r="J33" s="27">
        <v>4.0999999999999996</v>
      </c>
      <c r="K33" s="27">
        <v>2</v>
      </c>
      <c r="L33" s="27">
        <v>1</v>
      </c>
      <c r="M33" s="27">
        <v>1</v>
      </c>
      <c r="N33" s="27">
        <v>1</v>
      </c>
      <c r="O33" s="27">
        <v>1</v>
      </c>
      <c r="P33" s="27">
        <v>1</v>
      </c>
      <c r="Q33" s="27">
        <v>0</v>
      </c>
      <c r="R33" s="27">
        <v>0</v>
      </c>
      <c r="S33" s="27">
        <v>0</v>
      </c>
      <c r="T33" s="5"/>
    </row>
    <row r="34" spans="1:20" x14ac:dyDescent="0.35">
      <c r="A34" s="1" t="s">
        <v>117</v>
      </c>
      <c r="B34" s="1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7">
        <v>1</v>
      </c>
      <c r="I34" s="27">
        <v>1</v>
      </c>
      <c r="J34" s="27">
        <v>1</v>
      </c>
      <c r="K34" s="27">
        <v>1</v>
      </c>
      <c r="L34" s="27">
        <v>1</v>
      </c>
      <c r="M34" s="27">
        <v>1</v>
      </c>
      <c r="N34" s="27">
        <v>1</v>
      </c>
      <c r="O34" s="27">
        <v>1</v>
      </c>
      <c r="P34" s="27">
        <v>1</v>
      </c>
      <c r="Q34" s="27">
        <v>0.1</v>
      </c>
      <c r="R34" s="27">
        <v>1</v>
      </c>
      <c r="S34" s="27">
        <v>1</v>
      </c>
      <c r="T34" s="5"/>
    </row>
    <row r="35" spans="1:20" x14ac:dyDescent="0.35">
      <c r="A35" s="1" t="s">
        <v>117</v>
      </c>
      <c r="B35" s="1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>
        <v>2</v>
      </c>
      <c r="I35" s="27">
        <v>2</v>
      </c>
      <c r="J35" s="27">
        <v>2</v>
      </c>
      <c r="K35" s="27">
        <v>2.75</v>
      </c>
      <c r="L35" s="27">
        <v>3</v>
      </c>
      <c r="M35" s="27">
        <v>3</v>
      </c>
      <c r="N35" s="27">
        <v>3</v>
      </c>
      <c r="O35" s="27">
        <v>4</v>
      </c>
      <c r="P35" s="27">
        <v>3.1</v>
      </c>
      <c r="Q35" s="27">
        <v>3.1</v>
      </c>
      <c r="R35" s="27">
        <v>3.1</v>
      </c>
      <c r="S35" s="27">
        <v>3.1</v>
      </c>
      <c r="T35" s="5"/>
    </row>
    <row r="36" spans="1:20" x14ac:dyDescent="0.35">
      <c r="A36" s="1" t="s">
        <v>117</v>
      </c>
      <c r="B36" s="1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7">
        <v>5.0999999999999996</v>
      </c>
      <c r="I36" s="27">
        <v>4.0999999999999996</v>
      </c>
      <c r="J36" s="27">
        <v>5.0999999999999996</v>
      </c>
      <c r="K36" s="27">
        <v>4</v>
      </c>
      <c r="L36" s="27">
        <v>4</v>
      </c>
      <c r="M36" s="27">
        <v>4</v>
      </c>
      <c r="N36" s="27">
        <v>4</v>
      </c>
      <c r="O36" s="27">
        <v>4</v>
      </c>
      <c r="P36" s="27">
        <v>4</v>
      </c>
      <c r="Q36" s="27">
        <v>4</v>
      </c>
      <c r="R36" s="27">
        <v>4</v>
      </c>
      <c r="S36" s="27">
        <v>4</v>
      </c>
      <c r="T36" s="5"/>
    </row>
    <row r="37" spans="1:20" x14ac:dyDescent="0.35">
      <c r="A37" s="1" t="s">
        <v>117</v>
      </c>
      <c r="B37" s="1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7">
        <v>3.5</v>
      </c>
      <c r="I37" s="27">
        <v>1.5</v>
      </c>
      <c r="J37" s="27">
        <v>1.5</v>
      </c>
      <c r="K37" s="27">
        <v>2</v>
      </c>
      <c r="L37" s="27">
        <v>2</v>
      </c>
      <c r="M37" s="27">
        <v>2</v>
      </c>
      <c r="N37" s="27">
        <v>1</v>
      </c>
      <c r="O37" s="27">
        <v>1</v>
      </c>
      <c r="P37" s="27">
        <v>1</v>
      </c>
      <c r="Q37" s="27">
        <v>1</v>
      </c>
      <c r="R37" s="27">
        <v>2</v>
      </c>
      <c r="S37" s="27">
        <v>2</v>
      </c>
      <c r="T37" s="5"/>
    </row>
    <row r="38" spans="1:20" x14ac:dyDescent="0.35">
      <c r="A38" s="1" t="s">
        <v>117</v>
      </c>
      <c r="B38" s="1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7">
        <v>23</v>
      </c>
      <c r="I38" s="27">
        <v>23</v>
      </c>
      <c r="J38" s="27">
        <v>21</v>
      </c>
      <c r="K38" s="27">
        <v>20</v>
      </c>
      <c r="L38" s="27">
        <v>19</v>
      </c>
      <c r="M38" s="27">
        <v>18</v>
      </c>
      <c r="N38" s="27">
        <v>18</v>
      </c>
      <c r="O38" s="27">
        <v>20</v>
      </c>
      <c r="P38" s="27">
        <v>22</v>
      </c>
      <c r="Q38" s="27">
        <v>23</v>
      </c>
      <c r="R38" s="27">
        <v>24</v>
      </c>
      <c r="S38" s="27">
        <v>22</v>
      </c>
      <c r="T38" s="5"/>
    </row>
    <row r="39" spans="1:20" x14ac:dyDescent="0.35">
      <c r="A39" s="1" t="s">
        <v>117</v>
      </c>
      <c r="B39" s="1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7">
        <v>8.1999999999999993</v>
      </c>
      <c r="I39" s="27">
        <v>8.1999999999999993</v>
      </c>
      <c r="J39" s="27">
        <v>9</v>
      </c>
      <c r="K39" s="27">
        <v>9</v>
      </c>
      <c r="L39" s="27">
        <v>9</v>
      </c>
      <c r="M39" s="27">
        <v>12</v>
      </c>
      <c r="N39" s="27">
        <v>11</v>
      </c>
      <c r="O39" s="27">
        <v>12</v>
      </c>
      <c r="P39" s="27">
        <v>10</v>
      </c>
      <c r="Q39" s="27">
        <v>11</v>
      </c>
      <c r="R39" s="27">
        <v>10</v>
      </c>
      <c r="S39" s="27">
        <v>9</v>
      </c>
      <c r="T39" s="5"/>
    </row>
    <row r="40" spans="1:20" x14ac:dyDescent="0.35">
      <c r="A40" s="1" t="s">
        <v>117</v>
      </c>
      <c r="B40" s="1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7">
        <v>6</v>
      </c>
      <c r="I40" s="27">
        <v>5.1999999999999993</v>
      </c>
      <c r="J40" s="27">
        <v>5.1999999999999993</v>
      </c>
      <c r="K40" s="27">
        <v>4.3499999999999996</v>
      </c>
      <c r="L40" s="27">
        <v>4.0999999999999996</v>
      </c>
      <c r="M40" s="27">
        <v>3.35</v>
      </c>
      <c r="N40" s="27">
        <v>3.1</v>
      </c>
      <c r="O40" s="27">
        <v>3.1</v>
      </c>
      <c r="P40" s="27">
        <v>3.2</v>
      </c>
      <c r="Q40" s="27">
        <v>3.2</v>
      </c>
      <c r="R40" s="27">
        <v>3.1</v>
      </c>
      <c r="S40" s="27">
        <v>3.1</v>
      </c>
      <c r="T40" s="5"/>
    </row>
    <row r="41" spans="1:20" x14ac:dyDescent="0.35">
      <c r="A41" s="1" t="s">
        <v>117</v>
      </c>
      <c r="B41" s="1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7">
        <v>4</v>
      </c>
      <c r="I41" s="27">
        <v>3</v>
      </c>
      <c r="J41" s="27">
        <v>5</v>
      </c>
      <c r="K41" s="27">
        <v>5</v>
      </c>
      <c r="L41" s="27">
        <v>4</v>
      </c>
      <c r="M41" s="27">
        <v>0</v>
      </c>
      <c r="N41" s="27">
        <v>0</v>
      </c>
      <c r="O41" s="27">
        <v>0</v>
      </c>
      <c r="P41" s="27">
        <v>1</v>
      </c>
      <c r="Q41" s="27">
        <v>1</v>
      </c>
      <c r="R41" s="27">
        <v>1</v>
      </c>
      <c r="S41" s="27">
        <v>1</v>
      </c>
      <c r="T41" s="5"/>
    </row>
    <row r="42" spans="1:20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5"/>
    </row>
    <row r="43" spans="1:20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5"/>
    </row>
    <row r="44" spans="1:20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5"/>
    </row>
    <row r="45" spans="1:20" x14ac:dyDescent="0.35">
      <c r="A45" s="1" t="s">
        <v>117</v>
      </c>
      <c r="B45" s="1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5"/>
    </row>
    <row r="46" spans="1:20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5"/>
    </row>
    <row r="47" spans="1:20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5"/>
    </row>
    <row r="48" spans="1:20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1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5"/>
    </row>
    <row r="49" spans="1:20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1</v>
      </c>
      <c r="O49" s="27">
        <v>1</v>
      </c>
      <c r="P49" s="27">
        <v>0</v>
      </c>
      <c r="Q49" s="27">
        <v>0</v>
      </c>
      <c r="R49" s="27">
        <v>0</v>
      </c>
      <c r="S49" s="27">
        <v>0</v>
      </c>
      <c r="T49" s="5"/>
    </row>
    <row r="50" spans="1:20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5"/>
    </row>
    <row r="51" spans="1:20" x14ac:dyDescent="0.35">
      <c r="A51" s="1" t="s">
        <v>117</v>
      </c>
      <c r="B51" s="1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5"/>
    </row>
    <row r="52" spans="1:20" x14ac:dyDescent="0.35">
      <c r="A52" s="1" t="s">
        <v>117</v>
      </c>
      <c r="B52" s="1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5"/>
    </row>
    <row r="53" spans="1:20" x14ac:dyDescent="0.35">
      <c r="A53" s="1" t="s">
        <v>117</v>
      </c>
      <c r="B53" s="1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5"/>
    </row>
    <row r="54" spans="1:20" x14ac:dyDescent="0.35">
      <c r="A54" s="1" t="s">
        <v>117</v>
      </c>
      <c r="B54" s="1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7">
        <v>0</v>
      </c>
      <c r="I54" s="27">
        <v>0</v>
      </c>
      <c r="J54" s="27">
        <v>0</v>
      </c>
      <c r="K54" s="27">
        <v>1</v>
      </c>
      <c r="L54" s="27">
        <v>1</v>
      </c>
      <c r="M54" s="27">
        <v>1</v>
      </c>
      <c r="N54" s="27">
        <v>1</v>
      </c>
      <c r="O54" s="27">
        <v>2</v>
      </c>
      <c r="P54" s="27">
        <v>4</v>
      </c>
      <c r="Q54" s="27">
        <v>5</v>
      </c>
      <c r="R54" s="27">
        <v>0</v>
      </c>
      <c r="S54" s="27">
        <v>5</v>
      </c>
      <c r="T54" s="5"/>
    </row>
    <row r="55" spans="1:20" x14ac:dyDescent="0.35">
      <c r="A55" s="1" t="s">
        <v>117</v>
      </c>
      <c r="B55" s="1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7">
        <v>2</v>
      </c>
      <c r="I55" s="27">
        <v>2</v>
      </c>
      <c r="J55" s="27">
        <v>2</v>
      </c>
      <c r="K55" s="27">
        <v>2</v>
      </c>
      <c r="L55" s="27">
        <v>2</v>
      </c>
      <c r="M55" s="27">
        <v>2</v>
      </c>
      <c r="N55" s="27">
        <v>2</v>
      </c>
      <c r="O55" s="27">
        <v>2</v>
      </c>
      <c r="P55" s="27">
        <v>2</v>
      </c>
      <c r="Q55" s="27">
        <v>2</v>
      </c>
      <c r="R55" s="27">
        <v>0</v>
      </c>
      <c r="S55" s="27">
        <v>0</v>
      </c>
      <c r="T55" s="5"/>
    </row>
    <row r="56" spans="1:20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5"/>
    </row>
    <row r="57" spans="1:20" x14ac:dyDescent="0.35">
      <c r="A57" s="1" t="s">
        <v>117</v>
      </c>
      <c r="B57" s="1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5"/>
    </row>
    <row r="58" spans="1:20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7">
        <v>0.5</v>
      </c>
      <c r="I58" s="27">
        <v>0.5</v>
      </c>
      <c r="J58" s="27">
        <v>0.5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5"/>
    </row>
    <row r="59" spans="1:20" x14ac:dyDescent="0.35">
      <c r="A59" s="1" t="s">
        <v>117</v>
      </c>
      <c r="B59" s="1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7">
        <v>0</v>
      </c>
      <c r="I59" s="27">
        <v>0</v>
      </c>
      <c r="J59" s="27">
        <v>0</v>
      </c>
      <c r="K59" s="27">
        <v>0.5</v>
      </c>
      <c r="L59" s="27">
        <v>0</v>
      </c>
      <c r="M59" s="27">
        <v>0.5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5"/>
    </row>
    <row r="60" spans="1:20" x14ac:dyDescent="0.35">
      <c r="A60" s="1" t="s">
        <v>117</v>
      </c>
      <c r="B60" s="1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7">
        <v>0.5</v>
      </c>
      <c r="I60" s="27">
        <v>0.5</v>
      </c>
      <c r="J60" s="27">
        <v>0.5</v>
      </c>
      <c r="K60" s="27">
        <v>0.5</v>
      </c>
      <c r="L60" s="27">
        <v>0.5</v>
      </c>
      <c r="M60" s="27">
        <v>0.5</v>
      </c>
      <c r="N60" s="27">
        <v>0.5</v>
      </c>
      <c r="O60" s="27">
        <v>0.5</v>
      </c>
      <c r="P60" s="27">
        <v>0.5</v>
      </c>
      <c r="Q60" s="27">
        <v>0.5</v>
      </c>
      <c r="R60" s="27">
        <v>0</v>
      </c>
      <c r="S60" s="27">
        <v>0</v>
      </c>
      <c r="T60" s="5"/>
    </row>
    <row r="61" spans="1:20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5"/>
    </row>
    <row r="62" spans="1:20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5"/>
    </row>
    <row r="63" spans="1:20" x14ac:dyDescent="0.35">
      <c r="A63" s="1" t="s">
        <v>117</v>
      </c>
      <c r="B63" s="1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5"/>
    </row>
    <row r="64" spans="1:20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5"/>
    </row>
    <row r="65" spans="1:20" x14ac:dyDescent="0.35">
      <c r="A65" s="1" t="s">
        <v>117</v>
      </c>
      <c r="B65" s="1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7">
        <v>18</v>
      </c>
      <c r="I65" s="27">
        <v>19</v>
      </c>
      <c r="J65" s="27">
        <v>17</v>
      </c>
      <c r="K65" s="27">
        <v>15</v>
      </c>
      <c r="L65" s="27">
        <v>12</v>
      </c>
      <c r="M65" s="27">
        <v>18</v>
      </c>
      <c r="N65" s="27">
        <v>17</v>
      </c>
      <c r="O65" s="27">
        <v>16</v>
      </c>
      <c r="P65" s="27">
        <v>17</v>
      </c>
      <c r="Q65" s="27">
        <v>17</v>
      </c>
      <c r="R65" s="27">
        <v>17</v>
      </c>
      <c r="S65" s="27">
        <v>18</v>
      </c>
      <c r="T65" s="5"/>
    </row>
    <row r="66" spans="1:20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5"/>
    </row>
    <row r="67" spans="1:20" x14ac:dyDescent="0.35">
      <c r="A67" s="1" t="s">
        <v>117</v>
      </c>
      <c r="B67" s="1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7">
        <v>3</v>
      </c>
      <c r="I67" s="27">
        <v>3</v>
      </c>
      <c r="J67" s="27">
        <v>3.1</v>
      </c>
      <c r="K67" s="27">
        <v>3.2</v>
      </c>
      <c r="L67" s="27">
        <v>3.2</v>
      </c>
      <c r="M67" s="27">
        <v>4.2</v>
      </c>
      <c r="N67" s="27">
        <v>4.2</v>
      </c>
      <c r="O67" s="27">
        <v>3.7</v>
      </c>
      <c r="P67" s="27">
        <v>4.3000000000000007</v>
      </c>
      <c r="Q67" s="27">
        <v>5.3000000000000007</v>
      </c>
      <c r="R67" s="27">
        <v>4.2</v>
      </c>
      <c r="S67" s="27">
        <v>3.2</v>
      </c>
      <c r="T67" s="5"/>
    </row>
    <row r="68" spans="1:20" x14ac:dyDescent="0.35">
      <c r="A68" s="1" t="s">
        <v>117</v>
      </c>
      <c r="B68" s="1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7" t="s">
        <v>0</v>
      </c>
      <c r="I68" s="27" t="s">
        <v>0</v>
      </c>
      <c r="J68" s="27" t="s">
        <v>0</v>
      </c>
      <c r="K68" s="27" t="s">
        <v>0</v>
      </c>
      <c r="L68" s="27" t="s">
        <v>0</v>
      </c>
      <c r="M68" s="27">
        <v>2</v>
      </c>
      <c r="N68" s="27">
        <v>2</v>
      </c>
      <c r="O68" s="27">
        <v>2</v>
      </c>
      <c r="P68" s="27">
        <v>2</v>
      </c>
      <c r="Q68" s="27">
        <v>2.1</v>
      </c>
      <c r="R68" s="27">
        <v>3.1</v>
      </c>
      <c r="S68" s="27">
        <v>2.1</v>
      </c>
      <c r="T68" s="5"/>
    </row>
    <row r="69" spans="1:20" x14ac:dyDescent="0.35">
      <c r="A69" s="1" t="s">
        <v>117</v>
      </c>
      <c r="B69" s="1" t="s">
        <v>133</v>
      </c>
      <c r="C69" s="1" t="str">
        <f>VLOOKUP(B69,Mapping!A:B,2,0)</f>
        <v>Lateral</v>
      </c>
      <c r="D69" s="1" t="str">
        <f>VLOOKUP(B69,Mapping!A:C,3,0)</f>
        <v>West</v>
      </c>
      <c r="E69" s="1" t="str">
        <f>VLOOKUP(B69,Mapping!A:D,4,0)</f>
        <v>West 1</v>
      </c>
      <c r="F69" s="1" t="str">
        <f>VLOOKUP(B69,Mapping!A:E,5,0)</f>
        <v>Anjli</v>
      </c>
      <c r="G69" s="1" t="str">
        <f>VLOOKUP(B69,Mapping!A:F,6,0)</f>
        <v>Anjli</v>
      </c>
      <c r="H69" s="27" t="s">
        <v>0</v>
      </c>
      <c r="I69" s="27" t="s">
        <v>0</v>
      </c>
      <c r="J69" s="27" t="s">
        <v>0</v>
      </c>
      <c r="K69" s="27" t="s">
        <v>0</v>
      </c>
      <c r="L69" s="27" t="s">
        <v>0</v>
      </c>
      <c r="M69" s="27" t="s">
        <v>0</v>
      </c>
      <c r="N69" s="27" t="s">
        <v>0</v>
      </c>
      <c r="O69" s="27" t="s">
        <v>0</v>
      </c>
      <c r="P69" s="27">
        <v>0</v>
      </c>
      <c r="Q69" s="27">
        <v>0</v>
      </c>
      <c r="R69" s="27">
        <v>0</v>
      </c>
      <c r="S69" s="27">
        <v>0</v>
      </c>
      <c r="T69" s="5"/>
    </row>
    <row r="70" spans="1:20" x14ac:dyDescent="0.35">
      <c r="A70" s="1" t="s">
        <v>117</v>
      </c>
      <c r="B70" s="1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7">
        <v>0</v>
      </c>
      <c r="I70" s="27">
        <v>1.6</v>
      </c>
      <c r="J70" s="27">
        <v>8</v>
      </c>
      <c r="K70" s="27">
        <v>9</v>
      </c>
      <c r="L70" s="27">
        <v>9</v>
      </c>
      <c r="M70" s="27">
        <v>8</v>
      </c>
      <c r="N70" s="27">
        <v>9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5"/>
    </row>
    <row r="71" spans="1:20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5"/>
    </row>
    <row r="72" spans="1:20" x14ac:dyDescent="0.35">
      <c r="A72" s="1" t="s">
        <v>117</v>
      </c>
      <c r="B72" s="1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7">
        <v>6</v>
      </c>
      <c r="I72" s="27">
        <v>5</v>
      </c>
      <c r="J72" s="27">
        <v>5</v>
      </c>
      <c r="K72" s="27">
        <v>3</v>
      </c>
      <c r="L72" s="27">
        <v>4</v>
      </c>
      <c r="M72" s="27">
        <v>4</v>
      </c>
      <c r="N72" s="27">
        <v>3</v>
      </c>
      <c r="O72" s="27">
        <v>3</v>
      </c>
      <c r="P72" s="27">
        <v>3</v>
      </c>
      <c r="Q72" s="27">
        <v>4</v>
      </c>
      <c r="R72" s="27">
        <v>4</v>
      </c>
      <c r="S72" s="27">
        <v>4</v>
      </c>
      <c r="T72" s="5"/>
    </row>
    <row r="73" spans="1:20" x14ac:dyDescent="0.35">
      <c r="A73" s="1" t="s">
        <v>117</v>
      </c>
      <c r="B73" s="1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7">
        <v>4</v>
      </c>
      <c r="I73" s="27">
        <v>6</v>
      </c>
      <c r="J73" s="27">
        <v>4</v>
      </c>
      <c r="K73" s="27">
        <v>3</v>
      </c>
      <c r="L73" s="27">
        <v>3</v>
      </c>
      <c r="M73" s="27">
        <v>3</v>
      </c>
      <c r="N73" s="27">
        <v>2</v>
      </c>
      <c r="O73" s="27">
        <v>2</v>
      </c>
      <c r="P73" s="27">
        <v>3</v>
      </c>
      <c r="Q73" s="27">
        <v>2</v>
      </c>
      <c r="R73" s="27">
        <v>2</v>
      </c>
      <c r="S73" s="27">
        <v>3</v>
      </c>
      <c r="T73" s="5"/>
    </row>
    <row r="74" spans="1:20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5"/>
    </row>
    <row r="75" spans="1:20" x14ac:dyDescent="0.35">
      <c r="A75" s="1" t="s">
        <v>117</v>
      </c>
      <c r="B75" s="1" t="s">
        <v>132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5"/>
    </row>
    <row r="76" spans="1:20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5"/>
    </row>
    <row r="77" spans="1:20" x14ac:dyDescent="0.35">
      <c r="A77" s="1" t="s">
        <v>117</v>
      </c>
      <c r="B77" s="1" t="s">
        <v>120</v>
      </c>
      <c r="C77" s="1" t="s">
        <v>129</v>
      </c>
      <c r="D77" s="1" t="s">
        <v>129</v>
      </c>
      <c r="E77" s="1" t="s">
        <v>129</v>
      </c>
      <c r="F77" s="1" t="s">
        <v>131</v>
      </c>
      <c r="G77" s="1" t="s">
        <v>130</v>
      </c>
      <c r="H77" s="27"/>
      <c r="I77" s="1"/>
      <c r="J77" s="1"/>
      <c r="K77" s="1"/>
      <c r="L77" s="1"/>
      <c r="M77" s="1"/>
      <c r="N77" s="1"/>
      <c r="O77" s="1"/>
      <c r="P77" s="1"/>
      <c r="Q77" s="27">
        <v>0</v>
      </c>
      <c r="R77" s="27">
        <v>0</v>
      </c>
      <c r="S77" s="27">
        <v>0</v>
      </c>
    </row>
    <row r="78" spans="1:20" x14ac:dyDescent="0.35">
      <c r="A78" s="1" t="s">
        <v>117</v>
      </c>
      <c r="B78" s="1" t="s">
        <v>121</v>
      </c>
      <c r="C78" s="1" t="s">
        <v>129</v>
      </c>
      <c r="D78" s="1" t="s">
        <v>129</v>
      </c>
      <c r="E78" s="1" t="s">
        <v>129</v>
      </c>
      <c r="F78" s="1" t="s">
        <v>131</v>
      </c>
      <c r="G78" s="1" t="s">
        <v>130</v>
      </c>
      <c r="H78" s="1"/>
      <c r="I78" s="1"/>
      <c r="J78" s="1"/>
      <c r="K78" s="1"/>
      <c r="L78" s="1"/>
      <c r="M78" s="1"/>
      <c r="N78" s="1"/>
      <c r="O78" s="1"/>
      <c r="P78" s="1"/>
      <c r="Q78" s="27">
        <v>0</v>
      </c>
      <c r="R78" s="27">
        <v>0</v>
      </c>
      <c r="S78" s="27">
        <v>0</v>
      </c>
    </row>
    <row r="79" spans="1:20" x14ac:dyDescent="0.35">
      <c r="A79" s="1" t="s">
        <v>117</v>
      </c>
      <c r="B79" s="1" t="s">
        <v>122</v>
      </c>
      <c r="C79" s="1" t="s">
        <v>129</v>
      </c>
      <c r="D79" s="1" t="s">
        <v>129</v>
      </c>
      <c r="E79" s="1" t="s">
        <v>129</v>
      </c>
      <c r="F79" s="1" t="s">
        <v>131</v>
      </c>
      <c r="G79" s="1" t="s">
        <v>130</v>
      </c>
      <c r="H79" s="1"/>
      <c r="I79" s="1"/>
      <c r="J79" s="1"/>
      <c r="K79" s="1"/>
      <c r="L79" s="1"/>
      <c r="M79" s="1"/>
      <c r="N79" s="1"/>
      <c r="O79" s="1"/>
      <c r="P79" s="1"/>
      <c r="Q79" s="27">
        <v>0</v>
      </c>
      <c r="R79" s="27">
        <v>0</v>
      </c>
      <c r="S79" s="27">
        <v>0</v>
      </c>
    </row>
    <row r="80" spans="1:20" x14ac:dyDescent="0.35">
      <c r="A80" s="1" t="s">
        <v>117</v>
      </c>
      <c r="B80" s="1" t="s">
        <v>123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1"/>
      <c r="I80" s="1"/>
      <c r="J80" s="1"/>
      <c r="K80" s="1"/>
      <c r="L80" s="1"/>
      <c r="M80" s="1"/>
      <c r="N80" s="1"/>
      <c r="O80" s="1"/>
      <c r="P80" s="1"/>
      <c r="Q80" s="27">
        <v>0</v>
      </c>
      <c r="R80" s="27">
        <v>0</v>
      </c>
      <c r="S80" s="27">
        <v>0</v>
      </c>
    </row>
    <row r="81" spans="1:19" x14ac:dyDescent="0.35">
      <c r="A81" s="1" t="s">
        <v>117</v>
      </c>
      <c r="B81" s="1" t="s">
        <v>124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1"/>
      <c r="I81" s="1"/>
      <c r="J81" s="1"/>
      <c r="K81" s="1"/>
      <c r="L81" s="1"/>
      <c r="M81" s="1"/>
      <c r="N81" s="1"/>
      <c r="O81" s="1"/>
      <c r="P81" s="1"/>
      <c r="Q81" s="27">
        <v>0</v>
      </c>
      <c r="R81" s="27">
        <v>0</v>
      </c>
      <c r="S81" s="27">
        <v>0</v>
      </c>
    </row>
    <row r="82" spans="1:19" x14ac:dyDescent="0.35">
      <c r="A82" s="1" t="s">
        <v>117</v>
      </c>
      <c r="B82" s="1" t="s">
        <v>125</v>
      </c>
      <c r="C82" s="1" t="s">
        <v>129</v>
      </c>
      <c r="D82" s="1" t="s">
        <v>129</v>
      </c>
      <c r="E82" s="1" t="s">
        <v>129</v>
      </c>
      <c r="F82" s="1" t="s">
        <v>131</v>
      </c>
      <c r="G82" s="1" t="s">
        <v>130</v>
      </c>
      <c r="H82" s="1"/>
      <c r="I82" s="1"/>
      <c r="J82" s="1"/>
      <c r="K82" s="1"/>
      <c r="L82" s="1"/>
      <c r="M82" s="1"/>
      <c r="N82" s="1"/>
      <c r="O82" s="1"/>
      <c r="P82" s="1"/>
      <c r="Q82" s="27">
        <v>0</v>
      </c>
      <c r="R82" s="27">
        <v>0</v>
      </c>
      <c r="S82" s="27">
        <v>0</v>
      </c>
    </row>
    <row r="83" spans="1:19" x14ac:dyDescent="0.35">
      <c r="A83" s="1" t="s">
        <v>117</v>
      </c>
      <c r="B83" s="1" t="s">
        <v>126</v>
      </c>
      <c r="C83" s="1" t="s">
        <v>129</v>
      </c>
      <c r="D83" s="1" t="s">
        <v>129</v>
      </c>
      <c r="E83" s="1" t="s">
        <v>129</v>
      </c>
      <c r="F83" s="1" t="s">
        <v>131</v>
      </c>
      <c r="G83" s="1" t="s">
        <v>130</v>
      </c>
      <c r="H83" s="1"/>
      <c r="I83" s="1"/>
      <c r="J83" s="1"/>
      <c r="K83" s="1"/>
      <c r="L83" s="1"/>
      <c r="M83" s="1"/>
      <c r="N83" s="1"/>
      <c r="O83" s="1"/>
      <c r="P83" s="1"/>
      <c r="Q83" s="27">
        <v>0</v>
      </c>
      <c r="R83" s="27">
        <v>0</v>
      </c>
      <c r="S83" s="27">
        <v>0</v>
      </c>
    </row>
    <row r="84" spans="1:19" x14ac:dyDescent="0.35">
      <c r="A84" s="1" t="s">
        <v>117</v>
      </c>
      <c r="B84" s="1" t="s">
        <v>127</v>
      </c>
      <c r="C84" s="1" t="s">
        <v>129</v>
      </c>
      <c r="D84" s="1" t="s">
        <v>129</v>
      </c>
      <c r="E84" s="1" t="s">
        <v>129</v>
      </c>
      <c r="F84" s="1" t="s">
        <v>131</v>
      </c>
      <c r="G84" s="1" t="s">
        <v>130</v>
      </c>
      <c r="H84" s="1"/>
      <c r="I84" s="1"/>
      <c r="J84" s="1"/>
      <c r="K84" s="1"/>
      <c r="L84" s="1"/>
      <c r="M84" s="1"/>
      <c r="N84" s="1"/>
      <c r="O84" s="1"/>
      <c r="P84" s="1"/>
      <c r="Q84" s="27">
        <v>0</v>
      </c>
      <c r="R84" s="27">
        <v>0</v>
      </c>
      <c r="S84" s="27">
        <v>0</v>
      </c>
    </row>
    <row r="85" spans="1:19" x14ac:dyDescent="0.35">
      <c r="A85" s="1" t="s">
        <v>117</v>
      </c>
      <c r="B85" s="1" t="s">
        <v>128</v>
      </c>
      <c r="C85" s="1" t="s">
        <v>129</v>
      </c>
      <c r="D85" s="1" t="s">
        <v>129</v>
      </c>
      <c r="E85" s="1" t="s">
        <v>129</v>
      </c>
      <c r="F85" s="1" t="s">
        <v>131</v>
      </c>
      <c r="G85" s="1" t="s">
        <v>130</v>
      </c>
      <c r="H85" s="1"/>
      <c r="I85" s="1"/>
      <c r="J85" s="1"/>
      <c r="K85" s="1"/>
      <c r="L85" s="1"/>
      <c r="M85" s="1"/>
      <c r="N85" s="1"/>
      <c r="O85" s="1"/>
      <c r="P85" s="1"/>
      <c r="Q85" s="27">
        <v>0</v>
      </c>
      <c r="R85" s="27">
        <v>0</v>
      </c>
      <c r="S85" s="27">
        <v>0</v>
      </c>
    </row>
  </sheetData>
  <conditionalFormatting sqref="A1:B1 I1:S1 E1:G1">
    <cfRule type="duplicateValues" dxfId="34" priority="1"/>
  </conditionalFormatting>
  <conditionalFormatting sqref="B51:B73 B2:B41">
    <cfRule type="duplicateValues" dxfId="33" priority="5"/>
  </conditionalFormatting>
  <conditionalFormatting sqref="B74:B76 B42:B50">
    <cfRule type="duplicateValues" dxfId="32" priority="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D08E-B490-4A62-8661-439BE34D395E}">
  <sheetPr codeName="Sheet14">
    <tabColor rgb="FF92D050"/>
  </sheetPr>
  <dimension ref="A1:T76"/>
  <sheetViews>
    <sheetView workbookViewId="0">
      <selection activeCell="H2" sqref="H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f>IFERROR(Revenue_Actual!H2/'Target Rev Productivity'!H2,0)</f>
        <v>39.669935581659708</v>
      </c>
      <c r="I2" s="19">
        <f>IFERROR(Revenue_Actual!I2/'Target Rev Productivity'!I2,0)</f>
        <v>47.385221674876838</v>
      </c>
      <c r="J2" s="19">
        <f>IFERROR(Revenue_Actual!J2/'Target Rev Productivity'!J2,0)</f>
        <v>53.627623202728294</v>
      </c>
      <c r="K2" s="19">
        <f>IFERROR(Revenue_Actual!K2/'Target Rev Productivity'!K2,0)</f>
        <v>42.937701806239737</v>
      </c>
      <c r="L2" s="19">
        <f>IFERROR(Revenue_Actual!L2/'Target Rev Productivity'!L2,0)</f>
        <v>46.327615477243057</v>
      </c>
      <c r="M2" s="19">
        <f>IFERROR(Revenue_Actual!M2/'Target Rev Productivity'!M2,0)</f>
        <v>37.532988084712215</v>
      </c>
      <c r="N2" s="19">
        <f>IFERROR(Revenue_Actual!N2/'Target Rev Productivity'!N2,0)</f>
        <v>26.413167042852198</v>
      </c>
      <c r="O2" s="19">
        <f>IFERROR(Revenue_Actual!O2/'Target Rev Productivity'!O2,0)</f>
        <v>41.270573504456557</v>
      </c>
      <c r="P2" s="19">
        <f>IFERROR(Revenue_Actual!P2/'Target Rev Productivity'!P2,0)</f>
        <v>44.076972502759602</v>
      </c>
      <c r="Q2" s="17">
        <f>IFERROR(Rev_Forecast!Q2/'Target Rev Productivity'!Q2,0)</f>
        <v>36.45017051913603</v>
      </c>
      <c r="R2" s="17">
        <f>IFERROR(Rev_Forecast!R2/'Target Rev Productivity'!R2,0)</f>
        <v>46.372967026904121</v>
      </c>
      <c r="S2" s="17">
        <f>IFERROR(Rev_Forecast!S2/'Target Rev Productivity'!S2,0)</f>
        <v>40.877690719211806</v>
      </c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f>IFERROR(Revenue_Actual!H3/'Target Rev Productivity'!H3,0)</f>
        <v>2.0262666666666669</v>
      </c>
      <c r="I3" s="19">
        <f>IFERROR(Revenue_Actual!I3/'Target Rev Productivity'!I3,0)</f>
        <v>2.3157333333333332</v>
      </c>
      <c r="J3" s="19">
        <f>IFERROR(Revenue_Actual!J3/'Target Rev Productivity'!J3,0)</f>
        <v>2.5384000000000002</v>
      </c>
      <c r="K3" s="19">
        <f>IFERROR(Revenue_Actual!K3/'Target Rev Productivity'!K3,0)</f>
        <v>2.1251661918328582</v>
      </c>
      <c r="L3" s="19">
        <f>IFERROR(Revenue_Actual!L3/'Target Rev Productivity'!L3,0)</f>
        <v>2.8547008547008543</v>
      </c>
      <c r="M3" s="19">
        <f>IFERROR(Revenue_Actual!M3/'Target Rev Productivity'!M3,0)</f>
        <v>2.3154795821462484</v>
      </c>
      <c r="N3" s="19">
        <f>IFERROR(Revenue_Actual!N3/'Target Rev Productivity'!N3,0)</f>
        <v>2.8671125975473806</v>
      </c>
      <c r="O3" s="19">
        <f>IFERROR(Revenue_Actual!O3/'Target Rev Productivity'!O3,0)</f>
        <v>1.303232998885173</v>
      </c>
      <c r="P3" s="19">
        <f>IFERROR(Revenue_Actual!P3/'Target Rev Productivity'!P3,0)</f>
        <v>2.2639018952062431</v>
      </c>
      <c r="Q3" s="17">
        <f>IFERROR(Rev_Forecast!Q3/'Target Rev Productivity'!Q3,0)</f>
        <v>2.7405128205128206</v>
      </c>
      <c r="R3" s="17">
        <f>IFERROR(Rev_Forecast!R3/'Target Rev Productivity'!R3,0)</f>
        <v>2.331148717948718</v>
      </c>
      <c r="S3" s="17">
        <f>IFERROR(Rev_Forecast!S3/'Target Rev Productivity'!S3,0)</f>
        <v>2.3979487179487178</v>
      </c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f>IFERROR(Revenue_Actual!H4/'Target Rev Productivity'!H4,0)</f>
        <v>1.8181818181818181</v>
      </c>
      <c r="I4" s="19">
        <f>IFERROR(Revenue_Actual!I4/'Target Rev Productivity'!I4,0)</f>
        <v>0.54545454545454541</v>
      </c>
      <c r="J4" s="19">
        <f>IFERROR(Revenue_Actual!J4/'Target Rev Productivity'!J4,0)</f>
        <v>0.39999999999999997</v>
      </c>
      <c r="K4" s="19">
        <f>IFERROR(Revenue_Actual!K4/'Target Rev Productivity'!K4,0)</f>
        <v>0</v>
      </c>
      <c r="L4" s="19">
        <f>IFERROR(Revenue_Actual!L4/'Target Rev Productivity'!L4,0)</f>
        <v>0</v>
      </c>
      <c r="M4" s="19">
        <f>IFERROR(Revenue_Actual!M4/'Target Rev Productivity'!M4,0)</f>
        <v>0</v>
      </c>
      <c r="N4" s="19">
        <f>IFERROR(Revenue_Actual!N4/'Target Rev Productivity'!N4,0)</f>
        <v>0</v>
      </c>
      <c r="O4" s="19">
        <f>IFERROR(Revenue_Actual!O4/'Target Rev Productivity'!O4,0)</f>
        <v>0</v>
      </c>
      <c r="P4" s="19">
        <f>IFERROR(Revenue_Actual!P4/'Target Rev Productivity'!P4,0)</f>
        <v>0</v>
      </c>
      <c r="Q4" s="17">
        <f>IFERROR(Rev_Forecast!Q4/'Target Rev Productivity'!Q4,0)</f>
        <v>0</v>
      </c>
      <c r="R4" s="17">
        <f>IFERROR(Rev_Forecast!R4/'Target Rev Productivity'!R4,0)</f>
        <v>0</v>
      </c>
      <c r="S4" s="17">
        <f>IFERROR(Rev_Forecast!S4/'Target Rev Productivity'!S4,0)</f>
        <v>0</v>
      </c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f>IFERROR(Revenue_Actual!H5/'Target Rev Productivity'!H5,0)</f>
        <v>11.619636644762272</v>
      </c>
      <c r="I5" s="19">
        <f>IFERROR(Revenue_Actual!I5/'Target Rev Productivity'!I5,0)</f>
        <v>8.7786354851178956</v>
      </c>
      <c r="J5" s="19">
        <f>IFERROR(Revenue_Actual!J5/'Target Rev Productivity'!J5,0)</f>
        <v>20.334364128333977</v>
      </c>
      <c r="K5" s="19">
        <f>IFERROR(Revenue_Actual!K5/'Target Rev Productivity'!K5,0)</f>
        <v>8.6071382553794606</v>
      </c>
      <c r="L5" s="19">
        <f>IFERROR(Revenue_Actual!L5/'Target Rev Productivity'!L5,0)</f>
        <v>10.22097667826311</v>
      </c>
      <c r="M5" s="19">
        <f>IFERROR(Revenue_Actual!M5/'Target Rev Productivity'!M5,0)</f>
        <v>11.834815101146759</v>
      </c>
      <c r="N5" s="19">
        <f>IFERROR(Revenue_Actual!N5/'Target Rev Productivity'!N5,0)</f>
        <v>15.787549789079174</v>
      </c>
      <c r="O5" s="19">
        <f>IFERROR(Revenue_Actual!O5/'Target Rev Productivity'!O5,0)</f>
        <v>22.102569704710845</v>
      </c>
      <c r="P5" s="19">
        <f>IFERROR(Revenue_Actual!P5/'Target Rev Productivity'!P5,0)</f>
        <v>23.997075679400346</v>
      </c>
      <c r="Q5" s="17">
        <f>IFERROR(Rev_Forecast!Q5/'Target Rev Productivity'!Q5,0)</f>
        <v>7.5527638190954764</v>
      </c>
      <c r="R5" s="17">
        <f>IFERROR(Rev_Forecast!R5/'Target Rev Productivity'!R5,0)</f>
        <v>12.607305759567064</v>
      </c>
      <c r="S5" s="17">
        <f>IFERROR(Rev_Forecast!S5/'Target Rev Productivity'!S5,0)</f>
        <v>9.8766911480479305</v>
      </c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f>IFERROR(Revenue_Actual!H6/'Target Rev Productivity'!H6,0)</f>
        <v>5.6896783216783211</v>
      </c>
      <c r="I6" s="19">
        <f>IFERROR(Revenue_Actual!I6/'Target Rev Productivity'!I6,0)</f>
        <v>7.8478321678321672</v>
      </c>
      <c r="J6" s="19">
        <f>IFERROR(Revenue_Actual!J6/'Target Rev Productivity'!J6,0)</f>
        <v>9.0250069930069934</v>
      </c>
      <c r="K6" s="19">
        <f>IFERROR(Revenue_Actual!K6/'Target Rev Productivity'!K6,0)</f>
        <v>6.648857808857807</v>
      </c>
      <c r="L6" s="19">
        <f>IFERROR(Revenue_Actual!L6/'Target Rev Productivity'!L6,0)</f>
        <v>9.0831390831390806</v>
      </c>
      <c r="M6" s="19">
        <f>IFERROR(Revenue_Actual!M6/'Target Rev Productivity'!M6,0)</f>
        <v>9.1157112198912174</v>
      </c>
      <c r="N6" s="19">
        <f>IFERROR(Revenue_Actual!N6/'Target Rev Productivity'!N6,0)</f>
        <v>7.6772271207053819</v>
      </c>
      <c r="O6" s="19">
        <f>IFERROR(Revenue_Actual!O6/'Target Rev Productivity'!O6,0)</f>
        <v>11.942353298875037</v>
      </c>
      <c r="P6" s="19">
        <f>IFERROR(Revenue_Actual!P6/'Target Rev Productivity'!P6,0)</f>
        <v>9.3832775919732434</v>
      </c>
      <c r="Q6" s="17">
        <f>IFERROR(Rev_Forecast!Q6/'Target Rev Productivity'!Q6,0)</f>
        <v>1.9619580419580418</v>
      </c>
      <c r="R6" s="17">
        <f>IFERROR(Rev_Forecast!R6/'Target Rev Productivity'!R6,0)</f>
        <v>9.2946585062937057</v>
      </c>
      <c r="S6" s="17">
        <f>IFERROR(Rev_Forecast!S6/'Target Rev Productivity'!S6,0)</f>
        <v>9.4173986013986006</v>
      </c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f>IFERROR(Revenue_Actual!H7/1.5,0)</f>
        <v>5.0466666666666669</v>
      </c>
      <c r="I7" s="19">
        <f>IFERROR(Revenue_Actual!I7/'Target Rev Productivity'!I7,0)</f>
        <v>4.6246153846153844</v>
      </c>
      <c r="J7" s="19">
        <f>IFERROR(Revenue_Actual!J7/'Target Rev Productivity'!J7,0)</f>
        <v>4.6246153846153844</v>
      </c>
      <c r="K7" s="19">
        <f>IFERROR(Revenue_Actual!K7/'Target Rev Productivity'!K7,0)</f>
        <v>4.3320085470085479</v>
      </c>
      <c r="L7" s="19">
        <f>IFERROR(Revenue_Actual!L7/'Target Rev Productivity'!L7,0)</f>
        <v>3.3304843304843308</v>
      </c>
      <c r="M7" s="19">
        <f>IFERROR(Revenue_Actual!M7/'Target Rev Productivity'!M7,0)</f>
        <v>4.7411823361823364</v>
      </c>
      <c r="N7" s="19">
        <f>IFERROR(Revenue_Actual!N7/'Target Rev Productivity'!N7,0)</f>
        <v>4.188963210702342</v>
      </c>
      <c r="O7" s="19">
        <f>IFERROR(Revenue_Actual!O7/'Target Rev Productivity'!O7,0)</f>
        <v>6.1438127090301009</v>
      </c>
      <c r="P7" s="19">
        <f>IFERROR(Revenue_Actual!P7/'Target Rev Productivity'!P7,0)</f>
        <v>4.2113043478260872</v>
      </c>
      <c r="Q7" s="17">
        <f>IFERROR(Rev_Forecast!Q7/'Target Rev Productivity'!Q7,0)</f>
        <v>10.148461538461538</v>
      </c>
      <c r="R7" s="17">
        <f>IFERROR(Rev_Forecast!R7/'Target Rev Productivity'!R7,0)</f>
        <v>1.9937230769230769</v>
      </c>
      <c r="S7" s="17">
        <f>IFERROR(Rev_Forecast!S7/'Target Rev Productivity'!S7,0)</f>
        <v>3.7253846153846153</v>
      </c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f>IFERROR(Revenue_Actual!H8/'Target Rev Productivity'!H8,0)</f>
        <v>3.1100538461538458</v>
      </c>
      <c r="I8" s="19">
        <f>IFERROR(Revenue_Actual!I8/'Target Rev Productivity'!I8,0)</f>
        <v>1.4247669230769231</v>
      </c>
      <c r="J8" s="19">
        <f>IFERROR(Revenue_Actual!J8/'Target Rev Productivity'!J8,0)</f>
        <v>0.80082537692307676</v>
      </c>
      <c r="K8" s="19">
        <f>IFERROR(Revenue_Actual!K8/'Target Rev Productivity'!K8,0)</f>
        <v>2.7698912606837607</v>
      </c>
      <c r="L8" s="19">
        <f>IFERROR(Revenue_Actual!L8/'Target Rev Productivity'!L8,0)</f>
        <v>0.85997863247863238</v>
      </c>
      <c r="M8" s="19">
        <f>IFERROR(Revenue_Actual!M8/'Target Rev Productivity'!M8,0)</f>
        <v>1.230297564102564</v>
      </c>
      <c r="N8" s="19">
        <f>IFERROR(Revenue_Actual!N8/'Target Rev Productivity'!N8,0)</f>
        <v>1.2147993311036787</v>
      </c>
      <c r="O8" s="19">
        <f>IFERROR(Revenue_Actual!O8/'Target Rev Productivity'!O8,0)</f>
        <v>0.96346153846153815</v>
      </c>
      <c r="P8" s="19">
        <f>IFERROR(Revenue_Actual!P8/'Target Rev Productivity'!P8,0)</f>
        <v>2.330039573578595</v>
      </c>
      <c r="Q8" s="17">
        <f>IFERROR(Rev_Forecast!Q8/'Target Rev Productivity'!Q8,0)</f>
        <v>2.476944</v>
      </c>
      <c r="R8" s="17">
        <f>IFERROR(Rev_Forecast!R8/'Target Rev Productivity'!R8,0)</f>
        <v>2.0323643076923075</v>
      </c>
      <c r="S8" s="17">
        <f>IFERROR(Rev_Forecast!S8/'Target Rev Productivity'!S8,0)</f>
        <v>1.734230769230769</v>
      </c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f>IFERROR(Revenue_Actual!H9/'Target Rev Productivity'!H9,0)</f>
        <v>6.7056923076923072</v>
      </c>
      <c r="I9" s="19">
        <f>IFERROR(Revenue_Actual!I9/'Target Rev Productivity'!I9,0)</f>
        <v>6.717253846153846</v>
      </c>
      <c r="J9" s="19">
        <f>IFERROR(Revenue_Actual!J9/'Target Rev Productivity'!J9,0)</f>
        <v>4.8815384615384616</v>
      </c>
      <c r="K9" s="19">
        <f>IFERROR(Revenue_Actual!K9/'Target Rev Productivity'!K9,0)</f>
        <v>3.5398290598290587</v>
      </c>
      <c r="L9" s="19">
        <f>IFERROR(Revenue_Actual!L9/'Target Rev Productivity'!L9,0)</f>
        <v>5.4286894586894574</v>
      </c>
      <c r="M9" s="19">
        <f>IFERROR(Revenue_Actual!M9/'Target Rev Productivity'!M9,0)</f>
        <v>7.0796581196581174</v>
      </c>
      <c r="N9" s="19">
        <f>IFERROR(Revenue_Actual!N9/'Target Rev Productivity'!N9,0)</f>
        <v>6.9816053511705674</v>
      </c>
      <c r="O9" s="19">
        <f>IFERROR(Revenue_Actual!O9/'Target Rev Productivity'!O9,0)</f>
        <v>5.566992474916387</v>
      </c>
      <c r="P9" s="19">
        <f>IFERROR(Revenue_Actual!P9/'Target Rev Productivity'!P9,0)</f>
        <v>12.393745819397992</v>
      </c>
      <c r="Q9" s="17">
        <f>IFERROR(Rev_Forecast!Q9/'Target Rev Productivity'!Q9,0)</f>
        <v>0</v>
      </c>
      <c r="R9" s="17">
        <f>IFERROR(Rev_Forecast!R9/'Target Rev Productivity'!R9,0)</f>
        <v>5.7807692307692307</v>
      </c>
      <c r="S9" s="17">
        <f>IFERROR(Rev_Forecast!S9/'Target Rev Productivity'!S9,0)</f>
        <v>6.68</v>
      </c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f>IFERROR(Revenue_Actual!H10/'Target Rev Productivity'!H10,0)</f>
        <v>0.2992627153846153</v>
      </c>
      <c r="I10" s="19">
        <f>IFERROR(Revenue_Actual!I10/'Target Rev Productivity'!I10,0)</f>
        <v>0.32706307692307685</v>
      </c>
      <c r="J10" s="19">
        <f>IFERROR(Revenue_Actual!J10/'Target Rev Productivity'!J10,0)</f>
        <v>1.3736649230769227</v>
      </c>
      <c r="K10" s="19">
        <f>IFERROR(Revenue_Actual!K10/'Target Rev Productivity'!K10,0)</f>
        <v>0.19103301282051285</v>
      </c>
      <c r="L10" s="19">
        <f>IFERROR(Revenue_Actual!L10/'Target Rev Productivity'!L10,0)</f>
        <v>0.37021901709401717</v>
      </c>
      <c r="M10" s="19">
        <f>IFERROR(Revenue_Actual!M10/'Target Rev Productivity'!M10,0)</f>
        <v>0.31749982905982915</v>
      </c>
      <c r="N10" s="19">
        <f>IFERROR(Revenue_Actual!N10/'Target Rev Productivity'!N10,0)</f>
        <v>1.340468227424749E-3</v>
      </c>
      <c r="O10" s="19">
        <f>IFERROR(Revenue_Actual!O10/'Target Rev Productivity'!O10,0)</f>
        <v>0.33511705685618726</v>
      </c>
      <c r="P10" s="19">
        <f>IFERROR(Revenue_Actual!P10/'Target Rev Productivity'!P10,0)</f>
        <v>0.209012508361204</v>
      </c>
      <c r="Q10" s="17">
        <f>IFERROR(Rev_Forecast!Q10/'Target Rev Productivity'!Q10,0)</f>
        <v>3.083076923076923</v>
      </c>
      <c r="R10" s="17">
        <f>IFERROR(Rev_Forecast!R10/'Target Rev Productivity'!R10,0)</f>
        <v>0</v>
      </c>
      <c r="S10" s="17">
        <f>IFERROR(Rev_Forecast!S10/'Target Rev Productivity'!S10,0)</f>
        <v>0</v>
      </c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f>IFERROR(Revenue_Actual!H11/'Target Rev Productivity'!H11,0)</f>
        <v>24.867875415133291</v>
      </c>
      <c r="I11" s="19">
        <f>IFERROR(Revenue_Actual!I11/'Target Rev Productivity'!I11,0)</f>
        <v>28.015707746162821</v>
      </c>
      <c r="J11" s="19">
        <f>IFERROR(Revenue_Actual!J11/'Target Rev Productivity'!J11,0)</f>
        <v>28.771187505609909</v>
      </c>
      <c r="K11" s="19">
        <f>IFERROR(Revenue_Actual!K11/'Target Rev Productivity'!K11,0)</f>
        <v>20.425537843201784</v>
      </c>
      <c r="L11" s="19">
        <f>IFERROR(Revenue_Actual!L11/'Target Rev Productivity'!L11,0)</f>
        <v>29.438583338319919</v>
      </c>
      <c r="M11" s="19">
        <f>IFERROR(Revenue_Actual!M11/'Target Rev Productivity'!M11,0)</f>
        <v>51.38544814449132</v>
      </c>
      <c r="N11" s="19">
        <f>IFERROR(Revenue_Actual!N11/'Target Rev Productivity'!N11,0)</f>
        <v>31.478323310295302</v>
      </c>
      <c r="O11" s="19">
        <f>IFERROR(Revenue_Actual!O11/'Target Rev Productivity'!O11,0)</f>
        <v>49.612574782530643</v>
      </c>
      <c r="P11" s="19">
        <f>IFERROR(Revenue_Actual!P11/'Target Rev Productivity'!P11,0)</f>
        <v>63.640957996901371</v>
      </c>
      <c r="Q11" s="17">
        <f>IFERROR(Rev_Forecast!Q11/'Target Rev Productivity'!Q11,0)</f>
        <v>0.47217484965442957</v>
      </c>
      <c r="R11" s="17">
        <f>IFERROR(Rev_Forecast!R11/'Target Rev Productivity'!R11,0)</f>
        <v>70.511444215061488</v>
      </c>
      <c r="S11" s="17">
        <f>IFERROR(Rev_Forecast!S11/'Target Rev Productivity'!S11,0)</f>
        <v>40.607037070280946</v>
      </c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f>IFERROR(Revenue_Actual!H12/'Target Rev Productivity'!H12,0)</f>
        <v>1.9054288649754498</v>
      </c>
      <c r="I12" s="19">
        <f>IFERROR(Revenue_Actual!I12/'Target Rev Productivity'!I12,0)</f>
        <v>2.6001162029459901</v>
      </c>
      <c r="J12" s="19">
        <f>IFERROR(Revenue_Actual!J12/'Target Rev Productivity'!J12,0)</f>
        <v>3.487628273322422</v>
      </c>
      <c r="K12" s="19">
        <f>IFERROR(Revenue_Actual!K12/'Target Rev Productivity'!K12,0)</f>
        <v>2.1020559374431715</v>
      </c>
      <c r="L12" s="19">
        <f>IFERROR(Revenue_Actual!L12/'Target Rev Productivity'!L12,0)</f>
        <v>2.4295326422985997</v>
      </c>
      <c r="M12" s="19">
        <f>IFERROR(Revenue_Actual!M12/'Target Rev Productivity'!M12,0)</f>
        <v>2.6421167484997268</v>
      </c>
      <c r="N12" s="19">
        <f>IFERROR(Revenue_Actual!N12/'Target Rev Productivity'!N12,0)</f>
        <v>1.8167622571692876</v>
      </c>
      <c r="O12" s="19">
        <f>IFERROR(Revenue_Actual!O12/'Target Rev Productivity'!O12,0)</f>
        <v>1.4075629402974452</v>
      </c>
      <c r="P12" s="19">
        <f>IFERROR(Revenue_Actual!P12/'Target Rev Productivity'!P12,0)</f>
        <v>4.5076809222230132</v>
      </c>
      <c r="Q12" s="17">
        <f>IFERROR(Rev_Forecast!Q12/'Target Rev Productivity'!Q12,0)</f>
        <v>4.5098199672667754</v>
      </c>
      <c r="R12" s="17">
        <f>IFERROR(Rev_Forecast!R12/'Target Rev Productivity'!R12,0)</f>
        <v>-2.2621191358428803</v>
      </c>
      <c r="S12" s="17">
        <f>IFERROR(Rev_Forecast!S12/'Target Rev Productivity'!S12,0)</f>
        <v>1.6399345335515547</v>
      </c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f>IFERROR(Revenue_Actual!H13/'Target Rev Productivity'!H13,0)</f>
        <v>3.0275815384615385</v>
      </c>
      <c r="I13" s="19">
        <f>IFERROR(Revenue_Actual!I13/'Target Rev Productivity'!I13,0)</f>
        <v>3.5566375384615383</v>
      </c>
      <c r="J13" s="19">
        <f>IFERROR(Revenue_Actual!J13/'Target Rev Productivity'!J13,0)</f>
        <v>1.4428799999999997</v>
      </c>
      <c r="K13" s="19">
        <f>IFERROR(Revenue_Actual!K13/'Target Rev Productivity'!K13,0)</f>
        <v>0.67370940170940163</v>
      </c>
      <c r="L13" s="19">
        <f>IFERROR(Revenue_Actual!L13/'Target Rev Productivity'!L13,0)</f>
        <v>2.1695726495726491</v>
      </c>
      <c r="M13" s="19">
        <f>IFERROR(Revenue_Actual!M13/'Target Rev Productivity'!M13,0)</f>
        <v>3.220673504273504</v>
      </c>
      <c r="N13" s="19">
        <f>IFERROR(Revenue_Actual!N13/'Target Rev Productivity'!N13,0)</f>
        <v>2.6896494983277588</v>
      </c>
      <c r="O13" s="19">
        <f>IFERROR(Revenue_Actual!O13/'Target Rev Productivity'!O13,0)</f>
        <v>2.9892441471571902</v>
      </c>
      <c r="P13" s="19">
        <f>IFERROR(Revenue_Actual!P13/'Target Rev Productivity'!P13,0)</f>
        <v>2.4798662207357856</v>
      </c>
      <c r="Q13" s="17">
        <f>IFERROR(Rev_Forecast!Q13/'Target Rev Productivity'!Q13,0)</f>
        <v>0</v>
      </c>
      <c r="R13" s="17">
        <f>IFERROR(Rev_Forecast!R13/'Target Rev Productivity'!R13,0)</f>
        <v>4.2978092307692313</v>
      </c>
      <c r="S13" s="17">
        <f>IFERROR(Rev_Forecast!S13/'Target Rev Productivity'!S13,0)</f>
        <v>4.3163076923076922</v>
      </c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f>IFERROR(Revenue_Actual!H14/'Target Rev Productivity'!H14,0)</f>
        <v>1.8454077541666662</v>
      </c>
      <c r="I14" s="19">
        <f>IFERROR(Revenue_Actual!I14/'Target Rev Productivity'!I14,0)</f>
        <v>1.8098409291666662</v>
      </c>
      <c r="J14" s="19">
        <f>IFERROR(Revenue_Actual!J14/'Target Rev Productivity'!J14,0)</f>
        <v>2.0054194999999999</v>
      </c>
      <c r="K14" s="19">
        <f>IFERROR(Revenue_Actual!K14/'Target Rev Productivity'!K14,0)</f>
        <v>2.7319041132478623</v>
      </c>
      <c r="L14" s="19">
        <f>IFERROR(Revenue_Actual!L14/'Target Rev Productivity'!L14,0)</f>
        <v>1.7713329594017089</v>
      </c>
      <c r="M14" s="19">
        <f>IFERROR(Revenue_Actual!M14/'Target Rev Productivity'!M14,0)</f>
        <v>1.8332532051282047</v>
      </c>
      <c r="N14" s="19">
        <f>IFERROR(Revenue_Actual!N14/'Target Rev Productivity'!N14,0)</f>
        <v>2.0220596676421403</v>
      </c>
      <c r="O14" s="19">
        <f>IFERROR(Revenue_Actual!O14/'Target Rev Productivity'!O14,0)</f>
        <v>1.8691677466555183</v>
      </c>
      <c r="P14" s="19">
        <f>IFERROR(Revenue_Actual!P14/'Target Rev Productivity'!P14,0)</f>
        <v>2.1176256270903009</v>
      </c>
      <c r="Q14" s="17">
        <f>IFERROR(Rev_Forecast!Q14/'Target Rev Productivity'!Q14,0)</f>
        <v>62.624999999999993</v>
      </c>
      <c r="R14" s="17">
        <f>IFERROR(Rev_Forecast!R14/'Target Rev Productivity'!R14,0)</f>
        <v>5.7823974807692302</v>
      </c>
      <c r="S14" s="17">
        <f>IFERROR(Rev_Forecast!S14/'Target Rev Productivity'!S14,0)</f>
        <v>0</v>
      </c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f>IFERROR(Revenue_Actual!H15/'Target Rev Productivity'!H15,0)</f>
        <v>35.315244755244755</v>
      </c>
      <c r="I15" s="19">
        <f>IFERROR(Revenue_Actual!I15/'Target Rev Productivity'!I15,0)</f>
        <v>37.522447552447552</v>
      </c>
      <c r="J15" s="19">
        <f>IFERROR(Revenue_Actual!J15/'Target Rev Productivity'!J15,0)</f>
        <v>45.909818181818181</v>
      </c>
      <c r="K15" s="19">
        <f>IFERROR(Revenue_Actual!K15/'Target Rev Productivity'!K15,0)</f>
        <v>39.790961538461538</v>
      </c>
      <c r="L15" s="19">
        <f>IFERROR(Revenue_Actual!L15/'Target Rev Productivity'!L15,0)</f>
        <v>36.786713286713287</v>
      </c>
      <c r="M15" s="19">
        <f>IFERROR(Revenue_Actual!M15/'Target Rev Productivity'!M15,0)</f>
        <v>49.048951048951047</v>
      </c>
      <c r="N15" s="19">
        <f>IFERROR(Revenue_Actual!N15/'Target Rev Productivity'!N15,0)</f>
        <v>43.184402553967765</v>
      </c>
      <c r="O15" s="19">
        <f>IFERROR(Revenue_Actual!O15/'Target Rev Productivity'!O15,0)</f>
        <v>71.014350866524765</v>
      </c>
      <c r="P15" s="19">
        <f>IFERROR(Revenue_Actual!P15/'Target Rev Productivity'!P15,0)</f>
        <v>100.28377926421403</v>
      </c>
      <c r="Q15" s="17">
        <f>IFERROR(Rev_Forecast!Q15/'Target Rev Productivity'!Q15,0)</f>
        <v>2.6398145454545459</v>
      </c>
      <c r="R15" s="17">
        <f>IFERROR(Rev_Forecast!R15/'Target Rev Productivity'!R15,0)</f>
        <v>53.391366026433566</v>
      </c>
      <c r="S15" s="17">
        <f>IFERROR(Rev_Forecast!S15/'Target Rev Productivity'!S15,0)</f>
        <v>58.649792727272732</v>
      </c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f>IFERROR(Revenue_Actual!H16/'Target Rev Productivity'!H16,0)</f>
        <v>1.2919560439560436</v>
      </c>
      <c r="I16" s="19">
        <f>IFERROR(Revenue_Actual!I16/'Target Rev Productivity'!I16,0)</f>
        <v>1.2919560439560436</v>
      </c>
      <c r="J16" s="19">
        <f>IFERROR(Revenue_Actual!J16/'Target Rev Productivity'!J16,0)</f>
        <v>1.2919560439560436</v>
      </c>
      <c r="K16" s="19">
        <f>IFERROR(Revenue_Actual!K16/'Target Rev Productivity'!K16,0)</f>
        <v>0</v>
      </c>
      <c r="L16" s="19">
        <f>IFERROR(Revenue_Actual!L16/'Target Rev Productivity'!L16,0)</f>
        <v>0</v>
      </c>
      <c r="M16" s="19">
        <f>IFERROR(Revenue_Actual!M16/'Target Rev Productivity'!M16,0)</f>
        <v>0</v>
      </c>
      <c r="N16" s="19">
        <f>IFERROR(Revenue_Actual!N16/'Target Rev Productivity'!N16,0)</f>
        <v>0</v>
      </c>
      <c r="O16" s="19">
        <f>IFERROR(Revenue_Actual!O16/'Target Rev Productivity'!O16,0)</f>
        <v>0</v>
      </c>
      <c r="P16" s="19">
        <f>IFERROR(Revenue_Actual!P16/'Target Rev Productivity'!P16,0)</f>
        <v>0</v>
      </c>
      <c r="Q16" s="17">
        <f>IFERROR(Rev_Forecast!Q16/'Target Rev Productivity'!Q16,0)</f>
        <v>3.6703296703296693</v>
      </c>
      <c r="R16" s="17">
        <f>IFERROR(Rev_Forecast!R16/'Target Rev Productivity'!R16,0)</f>
        <v>0</v>
      </c>
      <c r="S16" s="17">
        <f>IFERROR(Rev_Forecast!S16/'Target Rev Productivity'!S16,0)</f>
        <v>0</v>
      </c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f>IFERROR(Revenue_Actual!H17/'Target Rev Productivity'!H17,0)</f>
        <v>5.9129418803418794</v>
      </c>
      <c r="I17" s="19">
        <f>IFERROR(Revenue_Actual!I17/'Target Rev Productivity'!I17,0)</f>
        <v>6.5786581196581189</v>
      </c>
      <c r="J17" s="19">
        <f>IFERROR(Revenue_Actual!J17/'Target Rev Productivity'!J17,0)</f>
        <v>7.1093470085470081</v>
      </c>
      <c r="K17" s="19">
        <f>IFERROR(Revenue_Actual!K17/'Target Rev Productivity'!K17,0)</f>
        <v>7.8504273504273501</v>
      </c>
      <c r="L17" s="19">
        <f>IFERROR(Revenue_Actual!L17/'Target Rev Productivity'!L17,0)</f>
        <v>10.968791547958215</v>
      </c>
      <c r="M17" s="19">
        <f>IFERROR(Revenue_Actual!M17/'Target Rev Productivity'!M17,0)</f>
        <v>9.304210193099081</v>
      </c>
      <c r="N17" s="19">
        <f>IFERROR(Revenue_Actual!N17/'Target Rev Productivity'!N17,0)</f>
        <v>9.5570419918245975</v>
      </c>
      <c r="O17" s="19">
        <f>IFERROR(Revenue_Actual!O17/'Target Rev Productivity'!O17,0)</f>
        <v>10.922333704942398</v>
      </c>
      <c r="P17" s="19">
        <f>IFERROR(Revenue_Actual!P17/'Target Rev Productivity'!P17,0)</f>
        <v>-5.0055007432181329</v>
      </c>
      <c r="Q17" s="17">
        <f>IFERROR(Rev_Forecast!Q17/'Target Rev Productivity'!Q17,0)</f>
        <v>1.256068376068376</v>
      </c>
      <c r="R17" s="17">
        <f>IFERROR(Rev_Forecast!R17/'Target Rev Productivity'!R17,0)</f>
        <v>-4.9308534188034185</v>
      </c>
      <c r="S17" s="17">
        <f>IFERROR(Rev_Forecast!S17/'Target Rev Productivity'!S17,0)</f>
        <v>6.2803418803418802</v>
      </c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f>IFERROR(Revenue_Actual!H18/'Target Rev Productivity'!H18,0)</f>
        <v>0</v>
      </c>
      <c r="I18" s="19">
        <f>IFERROR(Revenue_Actual!I18/'Target Rev Productivity'!I18,0)</f>
        <v>0</v>
      </c>
      <c r="J18" s="19">
        <f>IFERROR(Revenue_Actual!J18/'Target Rev Productivity'!J18,0)</f>
        <v>1.0454545454545452</v>
      </c>
      <c r="K18" s="19">
        <f>IFERROR(Revenue_Actual!K18/'Target Rev Productivity'!K18,0)</f>
        <v>0</v>
      </c>
      <c r="L18" s="19">
        <f>IFERROR(Revenue_Actual!L18/'Target Rev Productivity'!L18,0)</f>
        <v>0</v>
      </c>
      <c r="M18" s="19">
        <f>IFERROR(Revenue_Actual!M18/'Target Rev Productivity'!M18,0)</f>
        <v>-6.0869565217391314E-2</v>
      </c>
      <c r="N18" s="19">
        <f>IFERROR(Revenue_Actual!N18/'Target Rev Productivity'!N18,0)</f>
        <v>0</v>
      </c>
      <c r="O18" s="19">
        <f>IFERROR(Revenue_Actual!O18/'Target Rev Productivity'!O18,0)</f>
        <v>0</v>
      </c>
      <c r="P18" s="19">
        <f>IFERROR(Revenue_Actual!P18/'Target Rev Productivity'!P18,0)</f>
        <v>0</v>
      </c>
      <c r="Q18" s="17">
        <f>IFERROR(Rev_Forecast!Q18/'Target Rev Productivity'!Q18,0)</f>
        <v>63.636363636363633</v>
      </c>
      <c r="R18" s="17">
        <f>IFERROR(Rev_Forecast!R18/'Target Rev Productivity'!R18,0)</f>
        <v>0</v>
      </c>
      <c r="S18" s="17">
        <f>IFERROR(Rev_Forecast!S18/'Target Rev Productivity'!S18,0)</f>
        <v>0</v>
      </c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f>IFERROR(Revenue_Actual!H19/'Target Rev Productivity'!H19,0)</f>
        <v>4.4902690159003011</v>
      </c>
      <c r="I19" s="19">
        <f>IFERROR(Revenue_Actual!I19/'Target Rev Productivity'!I19,0)</f>
        <v>4.3662569832402234</v>
      </c>
      <c r="J19" s="19">
        <f>IFERROR(Revenue_Actual!J19/'Target Rev Productivity'!J19,0)</f>
        <v>6.820661796304254</v>
      </c>
      <c r="K19" s="19">
        <f>IFERROR(Revenue_Actual!K19/'Target Rev Productivity'!K19,0)</f>
        <v>3.9662799025927513</v>
      </c>
      <c r="L19" s="19">
        <f>IFERROR(Revenue_Actual!L19/'Target Rev Productivity'!L19,0)</f>
        <v>5.8465549348230912</v>
      </c>
      <c r="M19" s="19">
        <f>IFERROR(Revenue_Actual!M19/'Target Rev Productivity'!M19,0)</f>
        <v>5.9448937974502218</v>
      </c>
      <c r="N19" s="19">
        <f>IFERROR(Revenue_Actual!N19/'Target Rev Productivity'!N19,0)</f>
        <v>3.5215373404831745</v>
      </c>
      <c r="O19" s="19">
        <f>IFERROR(Revenue_Actual!O19/'Target Rev Productivity'!O19,0)</f>
        <v>4.0719530651519964</v>
      </c>
      <c r="P19" s="19">
        <f>IFERROR(Revenue_Actual!P19/'Target Rev Productivity'!P19,0)</f>
        <v>3.3305767829450117</v>
      </c>
      <c r="Q19" s="17">
        <f>IFERROR(Rev_Forecast!Q19/'Target Rev Productivity'!Q19,0)</f>
        <v>0</v>
      </c>
      <c r="R19" s="17">
        <f>IFERROR(Rev_Forecast!R19/'Target Rev Productivity'!R19,0)</f>
        <v>2.3252256123764505</v>
      </c>
      <c r="S19" s="17">
        <f>IFERROR(Rev_Forecast!S19/'Target Rev Productivity'!S19,0)</f>
        <v>4.4282629995702623</v>
      </c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f>IFERROR(Revenue_Actual!H20/'Target Rev Productivity'!H20,0)</f>
        <v>1.1418803418803418</v>
      </c>
      <c r="I20" s="19">
        <f>IFERROR(Revenue_Actual!I20/'Target Rev Productivity'!I20,0)</f>
        <v>1.1418803418803418</v>
      </c>
      <c r="J20" s="19">
        <f>IFERROR(Revenue_Actual!J20/'Target Rev Productivity'!J20,0)</f>
        <v>1.3012525811965809</v>
      </c>
      <c r="K20" s="19">
        <f>IFERROR(Revenue_Actual!K20/'Target Rev Productivity'!K20,0)</f>
        <v>1.2062855650522313</v>
      </c>
      <c r="L20" s="19">
        <f>IFERROR(Revenue_Actual!L20/'Target Rev Productivity'!L20,0)</f>
        <v>0</v>
      </c>
      <c r="M20" s="19">
        <f>IFERROR(Revenue_Actual!M20/'Target Rev Productivity'!M20,0)</f>
        <v>0</v>
      </c>
      <c r="N20" s="19">
        <f>IFERROR(Revenue_Actual!N20/'Target Rev Productivity'!N20,0)</f>
        <v>0.25465793385358598</v>
      </c>
      <c r="O20" s="19">
        <f>IFERROR(Revenue_Actual!O20/'Target Rev Productivity'!O20,0)</f>
        <v>0</v>
      </c>
      <c r="P20" s="19">
        <f>IFERROR(Revenue_Actual!P20/'Target Rev Productivity'!P20,0)</f>
        <v>0</v>
      </c>
      <c r="Q20" s="17">
        <f>IFERROR(Rev_Forecast!Q20/'Target Rev Productivity'!Q20,0)</f>
        <v>31.401709401709397</v>
      </c>
      <c r="R20" s="17">
        <f>IFERROR(Rev_Forecast!R20/'Target Rev Productivity'!R20,0)</f>
        <v>0</v>
      </c>
      <c r="S20" s="17">
        <f>IFERROR(Rev_Forecast!S20/'Target Rev Productivity'!S20,0)</f>
        <v>0</v>
      </c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f>IFERROR(Revenue_Actual!H21/'Target Rev Productivity'!H21,0)</f>
        <v>9.0276763236763227</v>
      </c>
      <c r="I21" s="19">
        <f>IFERROR(Revenue_Actual!I21/'Target Rev Productivity'!I21,0)</f>
        <v>19.505754821178819</v>
      </c>
      <c r="J21" s="19">
        <f>IFERROR(Revenue_Actual!J21/'Target Rev Productivity'!J21,0)</f>
        <v>10.946925074925073</v>
      </c>
      <c r="K21" s="19">
        <f>IFERROR(Revenue_Actual!K21/'Target Rev Productivity'!K21,0)</f>
        <v>4.1399341399341401</v>
      </c>
      <c r="L21" s="19">
        <f>IFERROR(Revenue_Actual!L21/'Target Rev Productivity'!L21,0)</f>
        <v>9.8864098864098864</v>
      </c>
      <c r="M21" s="19">
        <f>IFERROR(Revenue_Actual!M21/'Target Rev Productivity'!M21,0)</f>
        <v>17.800481000481</v>
      </c>
      <c r="N21" s="19">
        <f>IFERROR(Revenue_Actual!N21/'Target Rev Productivity'!N21,0)</f>
        <v>14.4492029709421</v>
      </c>
      <c r="O21" s="19">
        <f>IFERROR(Revenue_Actual!O21/'Target Rev Productivity'!O21,0)</f>
        <v>12.766364070711896</v>
      </c>
      <c r="P21" s="19">
        <f>IFERROR(Revenue_Actual!P21/'Target Rev Productivity'!P21,0)</f>
        <v>18.226886157320937</v>
      </c>
      <c r="Q21" s="17">
        <f>IFERROR(Rev_Forecast!Q21/'Target Rev Productivity'!Q21,0)</f>
        <v>4.4150729270729263</v>
      </c>
      <c r="R21" s="17">
        <f>IFERROR(Rev_Forecast!R21/'Target Rev Productivity'!R21,0)</f>
        <v>11.584895104895105</v>
      </c>
      <c r="S21" s="17">
        <f>IFERROR(Rev_Forecast!S21/'Target Rev Productivity'!S21,0)</f>
        <v>16.015984015984014</v>
      </c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f>IFERROR(Revenue_Actual!H22/'Target Rev Productivity'!H22,0)</f>
        <v>4.768403485714285</v>
      </c>
      <c r="I22" s="19">
        <f>IFERROR(Revenue_Actual!I22/'Target Rev Productivity'!I22,0)</f>
        <v>5.7179101371428569</v>
      </c>
      <c r="J22" s="19">
        <f>IFERROR(Revenue_Actual!J22/'Target Rev Productivity'!J22,0)</f>
        <v>0.90340319999999996</v>
      </c>
      <c r="K22" s="19">
        <f>IFERROR(Revenue_Actual!K22/'Target Rev Productivity'!K22,0)</f>
        <v>1.9175311111111109</v>
      </c>
      <c r="L22" s="19">
        <f>IFERROR(Revenue_Actual!L22/'Target Rev Productivity'!L22,0)</f>
        <v>0.83359507936507926</v>
      </c>
      <c r="M22" s="19">
        <f>IFERROR(Revenue_Actual!M22/'Target Rev Productivity'!M22,0)</f>
        <v>0.57525138095238093</v>
      </c>
      <c r="N22" s="19">
        <f>IFERROR(Revenue_Actual!N22/'Target Rev Productivity'!N22,0)</f>
        <v>0.74048422360248445</v>
      </c>
      <c r="O22" s="19">
        <f>IFERROR(Revenue_Actual!O22/'Target Rev Productivity'!O22,0)</f>
        <v>1.0424534161490684</v>
      </c>
      <c r="P22" s="19">
        <f>IFERROR(Revenue_Actual!P22/'Target Rev Productivity'!P22,0)</f>
        <v>1.0882155652173913</v>
      </c>
      <c r="Q22" s="17">
        <f>IFERROR(Rev_Forecast!Q22/'Target Rev Productivity'!Q22,0)</f>
        <v>0</v>
      </c>
      <c r="R22" s="17">
        <f>IFERROR(Rev_Forecast!R22/'Target Rev Productivity'!R22,0)</f>
        <v>-7.6383891428571424E-2</v>
      </c>
      <c r="S22" s="17">
        <f>IFERROR(Rev_Forecast!S22/'Target Rev Productivity'!S22,0)</f>
        <v>1.6710210857142855</v>
      </c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f>IFERROR(Revenue_Actual!H23/'Target Rev Productivity'!H23,0)</f>
        <v>4.4160811999999998</v>
      </c>
      <c r="I23" s="19">
        <f>IFERROR(Revenue_Actual!I23/'Target Rev Productivity'!I23,0)</f>
        <v>8.5555384615384611</v>
      </c>
      <c r="J23" s="19">
        <f>IFERROR(Revenue_Actual!J23/'Target Rev Productivity'!J23,0)</f>
        <v>4.5732307692307694</v>
      </c>
      <c r="K23" s="19">
        <f>IFERROR(Revenue_Actual!K23/'Target Rev Productivity'!K23,0)</f>
        <v>6.2803418803418776</v>
      </c>
      <c r="L23" s="19">
        <f>IFERROR(Revenue_Actual!L23/'Target Rev Productivity'!L23,0)</f>
        <v>6.1355133903133883</v>
      </c>
      <c r="M23" s="19">
        <f>IFERROR(Revenue_Actual!M23/'Target Rev Productivity'!M23,0)</f>
        <v>3.834814814814814</v>
      </c>
      <c r="N23" s="19">
        <f>IFERROR(Revenue_Actual!N23/'Target Rev Productivity'!N23,0)</f>
        <v>6.3113712374581938</v>
      </c>
      <c r="O23" s="19">
        <f>IFERROR(Revenue_Actual!O23/'Target Rev Productivity'!O23,0)</f>
        <v>20.107023411371234</v>
      </c>
      <c r="P23" s="19">
        <f>IFERROR(Revenue_Actual!P23/'Target Rev Productivity'!P23,0)</f>
        <v>3.7979933110367887</v>
      </c>
      <c r="Q23" s="17">
        <f>IFERROR(Rev_Forecast!Q23/'Target Rev Productivity'!Q23,0)</f>
        <v>15.415384615384614</v>
      </c>
      <c r="R23" s="17">
        <f>IFERROR(Rev_Forecast!R23/'Target Rev Productivity'!R23,0)</f>
        <v>3.5345935384615386</v>
      </c>
      <c r="S23" s="17">
        <f>IFERROR(Rev_Forecast!S23/'Target Rev Productivity'!S23,0)</f>
        <v>5.138461538461538</v>
      </c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f>IFERROR(Revenue_Actual!H24/'Target Rev Productivity'!H24,0)</f>
        <v>0</v>
      </c>
      <c r="I24" s="19">
        <f>IFERROR(Revenue_Actual!I24/'Target Rev Productivity'!I24,0)</f>
        <v>0</v>
      </c>
      <c r="J24" s="19">
        <f>IFERROR(Revenue_Actual!J24/'Target Rev Productivity'!J24,0)</f>
        <v>0</v>
      </c>
      <c r="K24" s="19">
        <f>IFERROR(Revenue_Actual!K24/'Target Rev Productivity'!K24,0)</f>
        <v>0</v>
      </c>
      <c r="L24" s="19">
        <f>IFERROR(Revenue_Actual!L24/'Target Rev Productivity'!L24,0)</f>
        <v>0</v>
      </c>
      <c r="M24" s="19">
        <f>IFERROR(Revenue_Actual!M24/'Target Rev Productivity'!M24,0)</f>
        <v>0</v>
      </c>
      <c r="N24" s="19">
        <f>IFERROR(Revenue_Actual!N24/'Target Rev Productivity'!N24,0)</f>
        <v>0</v>
      </c>
      <c r="O24" s="19">
        <f>IFERROR(Revenue_Actual!O24/'Target Rev Productivity'!O24,0)</f>
        <v>0</v>
      </c>
      <c r="P24" s="19">
        <f>IFERROR(Revenue_Actual!P24/'Target Rev Productivity'!P24,0)</f>
        <v>0</v>
      </c>
      <c r="Q24" s="17">
        <f>IFERROR(Rev_Forecast!Q24/'Target Rev Productivity'!Q24,0)</f>
        <v>1.9888888888888889</v>
      </c>
      <c r="R24" s="17">
        <f>IFERROR(Rev_Forecast!R24/'Target Rev Productivity'!R24,0)</f>
        <v>0</v>
      </c>
      <c r="S24" s="17">
        <f>IFERROR(Rev_Forecast!S24/'Target Rev Productivity'!S24,0)</f>
        <v>0</v>
      </c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f>IFERROR(Revenue_Actual!H25/'Target Rev Productivity'!H25,0)</f>
        <v>3.2171237458193978</v>
      </c>
      <c r="I25" s="19">
        <f>IFERROR(Revenue_Actual!I25/'Target Rev Productivity'!I25,0)</f>
        <v>1.2908709030100334</v>
      </c>
      <c r="J25" s="19">
        <f>IFERROR(Revenue_Actual!J25/'Target Rev Productivity'!J25,0)</f>
        <v>3.4503652173913042</v>
      </c>
      <c r="K25" s="19">
        <f>IFERROR(Revenue_Actual!K25/'Target Rev Productivity'!K25,0)</f>
        <v>2.5692307692307694</v>
      </c>
      <c r="L25" s="19">
        <f>IFERROR(Revenue_Actual!L25/'Target Rev Productivity'!L25,0)</f>
        <v>2.0479375696767002</v>
      </c>
      <c r="M25" s="19">
        <f>IFERROR(Revenue_Actual!M25/'Target Rev Productivity'!M25,0)</f>
        <v>3.723522853957637</v>
      </c>
      <c r="N25" s="19">
        <f>IFERROR(Revenue_Actual!N25/'Target Rev Productivity'!N25,0)</f>
        <v>4.7470059619019915</v>
      </c>
      <c r="O25" s="19">
        <f>IFERROR(Revenue_Actual!O25/'Target Rev Productivity'!O25,0)</f>
        <v>1.7484368183801073</v>
      </c>
      <c r="P25" s="19">
        <f>IFERROR(Revenue_Actual!P25/'Target Rev Productivity'!P25,0)</f>
        <v>3.4968736367602147</v>
      </c>
      <c r="Q25" s="17">
        <f>IFERROR(Rev_Forecast!Q25/'Target Rev Productivity'!Q25,0)</f>
        <v>0</v>
      </c>
      <c r="R25" s="17">
        <f>IFERROR(Rev_Forecast!R25/'Target Rev Productivity'!R25,0)</f>
        <v>4.1903036789297659</v>
      </c>
      <c r="S25" s="17">
        <f>IFERROR(Rev_Forecast!S25/'Target Rev Productivity'!S25,0)</f>
        <v>3.6192642140468227</v>
      </c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f>IFERROR(Revenue_Actual!H26/'Target Rev Productivity'!H26,0)</f>
        <v>2.1966923076923077</v>
      </c>
      <c r="I26" s="19">
        <f>IFERROR(Revenue_Actual!I26/'Target Rev Productivity'!I26,0)</f>
        <v>2.5324690295857986</v>
      </c>
      <c r="J26" s="19">
        <f>IFERROR(Revenue_Actual!J26/'Target Rev Productivity'!J26,0)</f>
        <v>8.6629362603550284</v>
      </c>
      <c r="K26" s="19">
        <f>IFERROR(Revenue_Actual!K26/'Target Rev Productivity'!K26,0)</f>
        <v>2.7531393819855352</v>
      </c>
      <c r="L26" s="19">
        <f>IFERROR(Revenue_Actual!L26/'Target Rev Productivity'!L26,0)</f>
        <v>9.3326758711374094</v>
      </c>
      <c r="M26" s="19">
        <f>IFERROR(Revenue_Actual!M26/'Target Rev Productivity'!M26,0)</f>
        <v>15.645956607495068</v>
      </c>
      <c r="N26" s="19">
        <f>IFERROR(Revenue_Actual!N26/'Target Rev Productivity'!N26,0)</f>
        <v>8.0376472729611503</v>
      </c>
      <c r="O26" s="19">
        <f>IFERROR(Revenue_Actual!O26/'Target Rev Productivity'!O26,0)</f>
        <v>14.087805505531254</v>
      </c>
      <c r="P26" s="19">
        <f>IFERROR(Revenue_Actual!P26/'Target Rev Productivity'!P26,0)</f>
        <v>11.793542577823512</v>
      </c>
      <c r="Q26" s="17">
        <f>IFERROR(Rev_Forecast!Q26/'Target Rev Productivity'!Q26,0)</f>
        <v>5.9289940828402363</v>
      </c>
      <c r="R26" s="17">
        <f>IFERROR(Rev_Forecast!R26/'Target Rev Productivity'!R26,0)</f>
        <v>7.0553132307692303</v>
      </c>
      <c r="S26" s="17">
        <f>IFERROR(Rev_Forecast!S26/'Target Rev Productivity'!S26,0)</f>
        <v>10.138769609467454</v>
      </c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f>IFERROR(Revenue_Actual!H27/'Target Rev Productivity'!H27,0)</f>
        <v>5.0870769230769231</v>
      </c>
      <c r="I27" s="19">
        <f>IFERROR(Revenue_Actual!I27/'Target Rev Productivity'!I27,0)</f>
        <v>4.2053169230769232</v>
      </c>
      <c r="J27" s="19">
        <f>IFERROR(Revenue_Actual!J27/'Target Rev Productivity'!J27,0)</f>
        <v>7.3479999999999999</v>
      </c>
      <c r="K27" s="19">
        <f>IFERROR(Revenue_Actual!K27/'Target Rev Productivity'!K27,0)</f>
        <v>7.8504273504273492</v>
      </c>
      <c r="L27" s="19">
        <f>IFERROR(Revenue_Actual!L27/'Target Rev Productivity'!L27,0)</f>
        <v>7.3270655270655256</v>
      </c>
      <c r="M27" s="19">
        <f>IFERROR(Revenue_Actual!M27/'Target Rev Productivity'!M27,0)</f>
        <v>8.8971509971509963</v>
      </c>
      <c r="N27" s="19">
        <f>IFERROR(Revenue_Actual!N27/'Target Rev Productivity'!N27,0)</f>
        <v>7.3691654347826088</v>
      </c>
      <c r="O27" s="19">
        <f>IFERROR(Revenue_Actual!O27/'Target Rev Productivity'!O27,0)</f>
        <v>8.6013377926421413</v>
      </c>
      <c r="P27" s="19">
        <f>IFERROR(Revenue_Actual!P27/'Target Rev Productivity'!P27,0)</f>
        <v>12.2876254180602</v>
      </c>
      <c r="Q27" s="17">
        <f>IFERROR(Rev_Forecast!Q27/'Target Rev Productivity'!Q27,0)</f>
        <v>2.8261538461538462</v>
      </c>
      <c r="R27" s="17">
        <f>IFERROR(Rev_Forecast!R27/'Target Rev Productivity'!R27,0)</f>
        <v>10.682861538461538</v>
      </c>
      <c r="S27" s="17">
        <f>IFERROR(Rev_Forecast!S27/'Target Rev Productivity'!S27,0)</f>
        <v>11.304615384615385</v>
      </c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f>IFERROR(Revenue_Actual!H28/'Target Rev Productivity'!H28,0)</f>
        <v>10.202181818181819</v>
      </c>
      <c r="I28" s="19">
        <f>IFERROR(Revenue_Actual!I28/'Target Rev Productivity'!I28,0)</f>
        <v>11.771748251748253</v>
      </c>
      <c r="J28" s="19">
        <f>IFERROR(Revenue_Actual!J28/'Target Rev Productivity'!J28,0)</f>
        <v>11.543957916083917</v>
      </c>
      <c r="K28" s="19">
        <f>IFERROR(Revenue_Actual!K28/'Target Rev Productivity'!K28,0)</f>
        <v>10.38073038073038</v>
      </c>
      <c r="L28" s="19">
        <f>IFERROR(Revenue_Actual!L28/'Target Rev Productivity'!L28,0)</f>
        <v>7.7855477855477853</v>
      </c>
      <c r="M28" s="19">
        <f>IFERROR(Revenue_Actual!M28/'Target Rev Productivity'!M28,0)</f>
        <v>10.38073038073038</v>
      </c>
      <c r="N28" s="19">
        <f>IFERROR(Revenue_Actual!N28/'Target Rev Productivity'!N28,0)</f>
        <v>8.1509531620553339</v>
      </c>
      <c r="O28" s="19">
        <f>IFERROR(Revenue_Actual!O28/'Target Rev Productivity'!O28,0)</f>
        <v>15.232593493463053</v>
      </c>
      <c r="P28" s="19">
        <f>IFERROR(Revenue_Actual!P28/'Target Rev Productivity'!P28,0)</f>
        <v>5.8645484949832758</v>
      </c>
      <c r="Q28" s="17">
        <f>IFERROR(Rev_Forecast!Q28/'Target Rev Productivity'!Q28,0)</f>
        <v>7.1821678321678322</v>
      </c>
      <c r="R28" s="17">
        <f>IFERROR(Rev_Forecast!R28/'Target Rev Productivity'!R28,0)</f>
        <v>9.9779580419580416</v>
      </c>
      <c r="S28" s="17">
        <f>IFERROR(Rev_Forecast!S28/'Target Rev Productivity'!S28,0)</f>
        <v>3.5034965034965038</v>
      </c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f>IFERROR(Revenue_Actual!H29/'Target Rev Productivity'!H29,0)</f>
        <v>27.802493999999996</v>
      </c>
      <c r="I29" s="19">
        <f>IFERROR(Revenue_Actual!I29/'Target Rev Productivity'!I29,0)</f>
        <v>27.436176288461535</v>
      </c>
      <c r="J29" s="19">
        <f>IFERROR(Revenue_Actual!J29/'Target Rev Productivity'!J29,0)</f>
        <v>21.196153846153845</v>
      </c>
      <c r="K29" s="19">
        <f>IFERROR(Revenue_Actual!K29/'Target Rev Productivity'!K29,0)</f>
        <v>26.762820512820504</v>
      </c>
      <c r="L29" s="19">
        <f>IFERROR(Revenue_Actual!L29/'Target Rev Productivity'!L29,0)</f>
        <v>49.957264957264947</v>
      </c>
      <c r="M29" s="19">
        <f>IFERROR(Revenue_Actual!M29/'Target Rev Productivity'!M29,0)</f>
        <v>35.683760683760674</v>
      </c>
      <c r="N29" s="19">
        <f>IFERROR(Revenue_Actual!N29/'Target Rev Productivity'!N29,0)</f>
        <v>47.125836120401338</v>
      </c>
      <c r="O29" s="19">
        <f>IFERROR(Revenue_Actual!O29/'Target Rev Productivity'!O29,0)</f>
        <v>30.369983277591974</v>
      </c>
      <c r="P29" s="19">
        <f>IFERROR(Revenue_Actual!P29/'Target Rev Productivity'!P29,0)</f>
        <v>41.889632107023409</v>
      </c>
      <c r="Q29" s="17">
        <f>IFERROR(Rev_Forecast!Q29/'Target Rev Productivity'!Q29,0)</f>
        <v>4.8173076923076916</v>
      </c>
      <c r="R29" s="17">
        <f>IFERROR(Rev_Forecast!R29/'Target Rev Productivity'!R29,0)</f>
        <v>33.694581576923071</v>
      </c>
      <c r="S29" s="17">
        <f>IFERROR(Rev_Forecast!S29/'Target Rev Productivity'!S29,0)</f>
        <v>43.355769230769226</v>
      </c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f>IFERROR(Revenue_Actual!H30/'Target Rev Productivity'!H30,0)</f>
        <v>0.92530846153846136</v>
      </c>
      <c r="I30" s="19">
        <f>IFERROR(Revenue_Actual!I30/'Target Rev Productivity'!I30,0)</f>
        <v>0.68752615384615379</v>
      </c>
      <c r="J30" s="19">
        <f>IFERROR(Revenue_Actual!J30/'Target Rev Productivity'!J30,0)</f>
        <v>0.99275076923076921</v>
      </c>
      <c r="K30" s="19">
        <f>IFERROR(Revenue_Actual!K30/'Target Rev Productivity'!K30,0)</f>
        <v>0.23872435897435892</v>
      </c>
      <c r="L30" s="19">
        <f>IFERROR(Revenue_Actual!L30/'Target Rev Productivity'!L30,0)</f>
        <v>0.23872435897435892</v>
      </c>
      <c r="M30" s="19">
        <f>IFERROR(Revenue_Actual!M30/'Target Rev Productivity'!M30,0)</f>
        <v>0.23551282051282046</v>
      </c>
      <c r="N30" s="19">
        <f>IFERROR(Revenue_Actual!N30/'Target Rev Productivity'!N30,0)</f>
        <v>0</v>
      </c>
      <c r="O30" s="19">
        <f>IFERROR(Revenue_Actual!O30/'Target Rev Productivity'!O30,0)</f>
        <v>0</v>
      </c>
      <c r="P30" s="19">
        <f>IFERROR(Revenue_Actual!P30/'Target Rev Productivity'!P30,0)</f>
        <v>-0.27647157190635446</v>
      </c>
      <c r="Q30" s="17">
        <f>IFERROR(Rev_Forecast!Q30/'Target Rev Productivity'!Q30,0)</f>
        <v>1.9269230769230767</v>
      </c>
      <c r="R30" s="17">
        <f>IFERROR(Rev_Forecast!R30/'Target Rev Productivity'!R30,0)</f>
        <v>0</v>
      </c>
      <c r="S30" s="17">
        <f>IFERROR(Rev_Forecast!S30/'Target Rev Productivity'!S30,0)</f>
        <v>0</v>
      </c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f>IFERROR(Revenue_Actual!H31/'Target Rev Productivity'!H31,0)</f>
        <v>8.4784615384615378</v>
      </c>
      <c r="I31" s="19">
        <f>IFERROR(Revenue_Actual!I31/'Target Rev Productivity'!I31,0)</f>
        <v>11.26575576923077</v>
      </c>
      <c r="J31" s="19">
        <f>IFERROR(Revenue_Actual!J31/'Target Rev Productivity'!J31,0)</f>
        <v>11.127980769230769</v>
      </c>
      <c r="K31" s="19">
        <f>IFERROR(Revenue_Actual!K31/'Target Rev Productivity'!K31,0)</f>
        <v>9.9700427350427336</v>
      </c>
      <c r="L31" s="19">
        <f>IFERROR(Revenue_Actual!L31/'Target Rev Productivity'!L31,0)</f>
        <v>4.0804558760683749</v>
      </c>
      <c r="M31" s="19">
        <f>IFERROR(Revenue_Actual!M31/'Target Rev Productivity'!M31,0)</f>
        <v>10.303685897435894</v>
      </c>
      <c r="N31" s="19">
        <f>IFERROR(Revenue_Actual!N31/'Target Rev Productivity'!N31,0)</f>
        <v>10.972465510033443</v>
      </c>
      <c r="O31" s="19">
        <f>IFERROR(Revenue_Actual!O31/'Target Rev Productivity'!O31,0)</f>
        <v>13.24759615384615</v>
      </c>
      <c r="P31" s="19">
        <f>IFERROR(Revenue_Actual!P31/'Target Rev Productivity'!P31,0)</f>
        <v>18.028250418060196</v>
      </c>
      <c r="Q31" s="17">
        <f>IFERROR(Rev_Forecast!Q31/'Target Rev Productivity'!Q31,0)</f>
        <v>22.255961538461538</v>
      </c>
      <c r="R31" s="17">
        <f>IFERROR(Rev_Forecast!R31/'Target Rev Productivity'!R31,0)</f>
        <v>10.084070192307694</v>
      </c>
      <c r="S31" s="17">
        <f>IFERROR(Rev_Forecast!S31/'Target Rev Productivity'!S31,0)</f>
        <v>10.465600961538462</v>
      </c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f>IFERROR(Revenue_Actual!H32/'Target Rev Productivity'!H32,0)</f>
        <v>0.24876576923076918</v>
      </c>
      <c r="I32" s="19">
        <f>IFERROR(Revenue_Actual!I32/'Target Rev Productivity'!I32,0)</f>
        <v>0.70974999999999988</v>
      </c>
      <c r="J32" s="19">
        <f>IFERROR(Revenue_Actual!J32/'Target Rev Productivity'!J32,0)</f>
        <v>8.9923076923076911E-2</v>
      </c>
      <c r="K32" s="19">
        <f>IFERROR(Revenue_Actual!K32/'Target Rev Productivity'!K32,0)</f>
        <v>0.50760149572649549</v>
      </c>
      <c r="L32" s="19">
        <f>IFERROR(Revenue_Actual!L32/'Target Rev Productivity'!L32,0)</f>
        <v>3.4791666666666658E-2</v>
      </c>
      <c r="M32" s="19">
        <f>IFERROR(Revenue_Actual!M32/'Target Rev Productivity'!M32,0)</f>
        <v>0.24086538461538456</v>
      </c>
      <c r="N32" s="19">
        <f>IFERROR(Revenue_Actual!N32/'Target Rev Productivity'!N32,0)</f>
        <v>0.44507734113712372</v>
      </c>
      <c r="O32" s="19">
        <f>IFERROR(Revenue_Actual!O32/'Target Rev Productivity'!O32,0)</f>
        <v>0.1832671404682274</v>
      </c>
      <c r="P32" s="19">
        <f>IFERROR(Revenue_Actual!P32/'Target Rev Productivity'!P32,0)</f>
        <v>0.95298913043478262</v>
      </c>
      <c r="Q32" s="17">
        <f>IFERROR(Rev_Forecast!Q32/'Target Rev Productivity'!Q32,0)</f>
        <v>0</v>
      </c>
      <c r="R32" s="17">
        <f>IFERROR(Rev_Forecast!R32/'Target Rev Productivity'!R32,0)</f>
        <v>0.11946923076923076</v>
      </c>
      <c r="S32" s="17">
        <f>IFERROR(Rev_Forecast!S32/'Target Rev Productivity'!S32,0)</f>
        <v>0.501</v>
      </c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f>IFERROR(Revenue_Actual!H33/'Target Rev Productivity'!H33,0)</f>
        <v>1.7226692307692306</v>
      </c>
      <c r="I33" s="19">
        <f>IFERROR(Revenue_Actual!I33/'Target Rev Productivity'!I33,0)</f>
        <v>1.8074538461538461</v>
      </c>
      <c r="J33" s="19">
        <f>IFERROR(Revenue_Actual!J33/'Target Rev Productivity'!J33,0)</f>
        <v>1.8498461538461537</v>
      </c>
      <c r="K33" s="19">
        <f>IFERROR(Revenue_Actual!K33/'Target Rev Productivity'!K33,0)</f>
        <v>1.4987179487179485</v>
      </c>
      <c r="L33" s="19">
        <f>IFERROR(Revenue_Actual!L33/'Target Rev Productivity'!L33,0)</f>
        <v>1.4987179487179485</v>
      </c>
      <c r="M33" s="19">
        <f>IFERROR(Revenue_Actual!M33/'Target Rev Productivity'!M33,0)</f>
        <v>1.4987179487179485</v>
      </c>
      <c r="N33" s="19">
        <f>IFERROR(Revenue_Actual!N33/'Target Rev Productivity'!N33,0)</f>
        <v>1.3404682274247492</v>
      </c>
      <c r="O33" s="19">
        <f>IFERROR(Revenue_Actual!O33/'Target Rev Productivity'!O33,0)</f>
        <v>1.3404682274247492</v>
      </c>
      <c r="P33" s="19">
        <f>IFERROR(Revenue_Actual!P33/'Target Rev Productivity'!P33,0)</f>
        <v>1.7174749163879597</v>
      </c>
      <c r="Q33" s="17">
        <f>IFERROR(Rev_Forecast!Q33/'Target Rev Productivity'!Q33,0)</f>
        <v>7.804038461538461</v>
      </c>
      <c r="R33" s="17">
        <f>IFERROR(Rev_Forecast!R33/'Target Rev Productivity'!R33,0)</f>
        <v>1.2409384615384615</v>
      </c>
      <c r="S33" s="17">
        <f>IFERROR(Rev_Forecast!S33/'Target Rev Productivity'!S33,0)</f>
        <v>1.2332307692307691</v>
      </c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f>IFERROR(Revenue_Actual!H34/'Target Rev Productivity'!H34,0)</f>
        <v>1.3127777777777778</v>
      </c>
      <c r="I34" s="19">
        <f>IFERROR(Revenue_Actual!I34/'Target Rev Productivity'!I34,0)</f>
        <v>1.1111111111111112</v>
      </c>
      <c r="J34" s="19">
        <f>IFERROR(Revenue_Actual!J34/'Target Rev Productivity'!J34,0)</f>
        <v>1.1111111111111112</v>
      </c>
      <c r="K34" s="19">
        <f>IFERROR(Revenue_Actual!K34/'Target Rev Productivity'!K34,0)</f>
        <v>0</v>
      </c>
      <c r="L34" s="19">
        <f>IFERROR(Revenue_Actual!L34/'Target Rev Productivity'!L34,0)</f>
        <v>0</v>
      </c>
      <c r="M34" s="19">
        <f>IFERROR(Revenue_Actual!M34/'Target Rev Productivity'!M34,0)</f>
        <v>0</v>
      </c>
      <c r="N34" s="19">
        <f>IFERROR(Revenue_Actual!N34/'Target Rev Productivity'!N34,0)</f>
        <v>0</v>
      </c>
      <c r="O34" s="19">
        <f>IFERROR(Revenue_Actual!O34/'Target Rev Productivity'!O34,0)</f>
        <v>1.1111111111111112</v>
      </c>
      <c r="P34" s="19">
        <f>IFERROR(Revenue_Actual!P34/'Target Rev Productivity'!P34,0)</f>
        <v>0</v>
      </c>
      <c r="Q34" s="17">
        <f>IFERROR(Rev_Forecast!Q34/'Target Rev Productivity'!Q34,0)</f>
        <v>0.57777777777777783</v>
      </c>
      <c r="R34" s="17">
        <f>IFERROR(Rev_Forecast!R34/'Target Rev Productivity'!R34,0)</f>
        <v>-0.70388888888888879</v>
      </c>
      <c r="S34" s="17">
        <f>IFERROR(Rev_Forecast!S34/'Target Rev Productivity'!S34,0)</f>
        <v>0</v>
      </c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f>IFERROR(Revenue_Actual!H35/'Target Rev Productivity'!H35,0)</f>
        <v>1.8248732307692306</v>
      </c>
      <c r="I35" s="19">
        <f>IFERROR(Revenue_Actual!I35/'Target Rev Productivity'!I35,0)</f>
        <v>1.2332307692307691</v>
      </c>
      <c r="J35" s="19">
        <f>IFERROR(Revenue_Actual!J35/'Target Rev Productivity'!J35,0)</f>
        <v>0.36996923076923072</v>
      </c>
      <c r="K35" s="19">
        <f>IFERROR(Revenue_Actual!K35/'Target Rev Productivity'!K35,0)</f>
        <v>0.85641025641025625</v>
      </c>
      <c r="L35" s="19">
        <f>IFERROR(Revenue_Actual!L35/'Target Rev Productivity'!L35,0)</f>
        <v>1.4273504273504272</v>
      </c>
      <c r="M35" s="19">
        <f>IFERROR(Revenue_Actual!M35/'Target Rev Productivity'!M35,0)</f>
        <v>1.1604358974358975</v>
      </c>
      <c r="N35" s="19">
        <f>IFERROR(Revenue_Actual!N35/'Target Rev Productivity'!N35,0)</f>
        <v>0.67023411371237451</v>
      </c>
      <c r="O35" s="19">
        <f>IFERROR(Revenue_Actual!O35/'Target Rev Productivity'!O35,0)</f>
        <v>0.98122274247491625</v>
      </c>
      <c r="P35" s="19">
        <f>IFERROR(Revenue_Actual!P35/'Target Rev Productivity'!P35,0)</f>
        <v>2.2117725752508357</v>
      </c>
      <c r="Q35" s="17">
        <f>IFERROR(Rev_Forecast!Q35/'Target Rev Productivity'!Q35,0)</f>
        <v>1.9731692307692308</v>
      </c>
      <c r="R35" s="17">
        <f>IFERROR(Rev_Forecast!R35/'Target Rev Productivity'!R35,0)</f>
        <v>1.8188920615384616</v>
      </c>
      <c r="S35" s="17">
        <f>IFERROR(Rev_Forecast!S35/'Target Rev Productivity'!S35,0)</f>
        <v>3.6996923076923074</v>
      </c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f>IFERROR(Revenue_Actual!H36/'Target Rev Productivity'!H36,0)</f>
        <v>3.280586538461538</v>
      </c>
      <c r="I36" s="19">
        <f>IFERROR(Revenue_Actual!I36/'Target Rev Productivity'!I36,0)</f>
        <v>2.7554999999999996</v>
      </c>
      <c r="J36" s="19">
        <f>IFERROR(Revenue_Actual!J36/'Target Rev Productivity'!J36,0)</f>
        <v>3.1167980769230765</v>
      </c>
      <c r="K36" s="19">
        <f>IFERROR(Revenue_Actual!K36/'Target Rev Productivity'!K36,0)</f>
        <v>3.72449252136752</v>
      </c>
      <c r="L36" s="19">
        <f>IFERROR(Revenue_Actual!L36/'Target Rev Productivity'!L36,0)</f>
        <v>3.3096688034188024</v>
      </c>
      <c r="M36" s="19">
        <f>IFERROR(Revenue_Actual!M36/'Target Rev Productivity'!M36,0)</f>
        <v>3.8761485042735031</v>
      </c>
      <c r="N36" s="19">
        <f>IFERROR(Revenue_Actual!N36/'Target Rev Productivity'!N36,0)</f>
        <v>3.3668791806020057</v>
      </c>
      <c r="O36" s="19">
        <f>IFERROR(Revenue_Actual!O36/'Target Rev Productivity'!O36,0)</f>
        <v>4.503135451505015</v>
      </c>
      <c r="P36" s="19">
        <f>IFERROR(Revenue_Actual!P36/'Target Rev Productivity'!P36,0)</f>
        <v>5.838367474916387</v>
      </c>
      <c r="Q36" s="17">
        <f>IFERROR(Rev_Forecast!Q36/'Target Rev Productivity'!Q36,0)</f>
        <v>0</v>
      </c>
      <c r="R36" s="17">
        <f>IFERROR(Rev_Forecast!R36/'Target Rev Productivity'!R36,0)</f>
        <v>4.3885673076923082</v>
      </c>
      <c r="S36" s="17">
        <f>IFERROR(Rev_Forecast!S36/'Target Rev Productivity'!S36,0)</f>
        <v>3.6177980769230764</v>
      </c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f>IFERROR(Revenue_Actual!H37/'Target Rev Productivity'!H37,0)</f>
        <v>2.4561846153846152</v>
      </c>
      <c r="I37" s="19">
        <f>IFERROR(Revenue_Actual!I37/'Target Rev Productivity'!I37,0)</f>
        <v>2.8055999999999996</v>
      </c>
      <c r="J37" s="19">
        <f>IFERROR(Revenue_Actual!J37/'Target Rev Productivity'!J37,0)</f>
        <v>4.2340974461538456</v>
      </c>
      <c r="K37" s="19">
        <f>IFERROR(Revenue_Actual!K37/'Target Rev Productivity'!K37,0)</f>
        <v>2.2837606837606841</v>
      </c>
      <c r="L37" s="19">
        <f>IFERROR(Revenue_Actual!L37/'Target Rev Productivity'!L37,0)</f>
        <v>2.2361823361823365</v>
      </c>
      <c r="M37" s="19">
        <f>IFERROR(Revenue_Actual!M37/'Target Rev Productivity'!M37,0)</f>
        <v>3.8062678062678068</v>
      </c>
      <c r="N37" s="19">
        <f>IFERROR(Revenue_Actual!N37/'Target Rev Productivity'!N37,0)</f>
        <v>1.770535117056856</v>
      </c>
      <c r="O37" s="19">
        <f>IFERROR(Revenue_Actual!O37/'Target Rev Productivity'!O37,0)</f>
        <v>2.7926421404682271</v>
      </c>
      <c r="P37" s="19">
        <f>IFERROR(Revenue_Actual!P37/'Target Rev Productivity'!P37,0)</f>
        <v>4.0929465886287622</v>
      </c>
      <c r="Q37" s="17">
        <f>IFERROR(Rev_Forecast!Q37/'Target Rev Productivity'!Q37,0)</f>
        <v>0.51384615384615384</v>
      </c>
      <c r="R37" s="17">
        <f>IFERROR(Rev_Forecast!R37/'Target Rev Productivity'!R37,0)</f>
        <v>1.5723692307692307</v>
      </c>
      <c r="S37" s="17">
        <f>IFERROR(Rev_Forecast!S37/'Target Rev Productivity'!S37,0)</f>
        <v>2.569230769230769</v>
      </c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f>IFERROR(Revenue_Actual!H38/'Target Rev Productivity'!H38,0)</f>
        <v>22.120748189999993</v>
      </c>
      <c r="I38" s="19">
        <f>IFERROR(Revenue_Actual!I38/'Target Rev Productivity'!I38,0)</f>
        <v>19.538999999999994</v>
      </c>
      <c r="J38" s="19">
        <f>IFERROR(Revenue_Actual!J38/'Target Rev Productivity'!J38,0)</f>
        <v>20.540999999999993</v>
      </c>
      <c r="K38" s="19">
        <f>IFERROR(Revenue_Actual!K38/'Target Rev Productivity'!K38,0)</f>
        <v>14.273504273504274</v>
      </c>
      <c r="L38" s="19">
        <f>IFERROR(Revenue_Actual!L38/'Target Rev Productivity'!L38,0)</f>
        <v>11.894586894586896</v>
      </c>
      <c r="M38" s="19">
        <f>IFERROR(Revenue_Actual!M38/'Target Rev Productivity'!M38,0)</f>
        <v>11.894586894586896</v>
      </c>
      <c r="N38" s="19">
        <f>IFERROR(Revenue_Actual!N38/'Target Rev Productivity'!N38,0)</f>
        <v>13.963210702341135</v>
      </c>
      <c r="O38" s="19">
        <f>IFERROR(Revenue_Actual!O38/'Target Rev Productivity'!O38,0)</f>
        <v>16.755852842809361</v>
      </c>
      <c r="P38" s="19">
        <f>IFERROR(Revenue_Actual!P38/'Target Rev Productivity'!P38,0)</f>
        <v>15.898048127090298</v>
      </c>
      <c r="Q38" s="17">
        <f>IFERROR(Rev_Forecast!Q38/'Target Rev Productivity'!Q38,0)</f>
        <v>3.8589846153846152</v>
      </c>
      <c r="R38" s="17">
        <f>IFERROR(Rev_Forecast!R38/'Target Rev Productivity'!R38,0)</f>
        <v>15.158949692307692</v>
      </c>
      <c r="S38" s="17">
        <f>IFERROR(Rev_Forecast!S38/'Target Rev Productivity'!S38,0)</f>
        <v>28.775384615384613</v>
      </c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f>IFERROR(Revenue_Actual!H39/'Target Rev Productivity'!H39,0)</f>
        <v>2.3142130338461535</v>
      </c>
      <c r="I39" s="19">
        <f>IFERROR(Revenue_Actual!I39/'Target Rev Productivity'!I39,0)</f>
        <v>13.537211150769229</v>
      </c>
      <c r="J39" s="19">
        <f>IFERROR(Revenue_Actual!J39/'Target Rev Productivity'!J39,0)</f>
        <v>24.753247679999998</v>
      </c>
      <c r="K39" s="19">
        <f>IFERROR(Revenue_Actual!K39/'Target Rev Productivity'!K39,0)</f>
        <v>13.7025641025641</v>
      </c>
      <c r="L39" s="19">
        <f>IFERROR(Revenue_Actual!L39/'Target Rev Productivity'!L39,0)</f>
        <v>13.486811521367519</v>
      </c>
      <c r="M39" s="19">
        <f>IFERROR(Revenue_Actual!M39/'Target Rev Productivity'!M39,0)</f>
        <v>14.273504273504273</v>
      </c>
      <c r="N39" s="19">
        <f>IFERROR(Revenue_Actual!N39/'Target Rev Productivity'!N39,0)</f>
        <v>10.641876722408025</v>
      </c>
      <c r="O39" s="19">
        <f>IFERROR(Revenue_Actual!O39/'Target Rev Productivity'!O39,0)</f>
        <v>7.8156201070234106</v>
      </c>
      <c r="P39" s="19">
        <f>IFERROR(Revenue_Actual!P39/'Target Rev Productivity'!P39,0)</f>
        <v>9.3832775919732434</v>
      </c>
      <c r="Q39" s="17">
        <f>IFERROR(Rev_Forecast!Q39/'Target Rev Productivity'!Q39,0)</f>
        <v>2.4664615384615383</v>
      </c>
      <c r="R39" s="17">
        <f>IFERROR(Rev_Forecast!R39/'Target Rev Productivity'!R39,0)</f>
        <v>3.6996923076923074</v>
      </c>
      <c r="S39" s="17">
        <f>IFERROR(Rev_Forecast!S39/'Target Rev Productivity'!S39,0)</f>
        <v>14.79876923076923</v>
      </c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f>IFERROR(Revenue_Actual!H40/'Target Rev Productivity'!H40,0)</f>
        <v>1.4451923076923074</v>
      </c>
      <c r="I40" s="19">
        <f>IFERROR(Revenue_Actual!I40/'Target Rev Productivity'!I40,0)</f>
        <v>1.8209423076923075</v>
      </c>
      <c r="J40" s="19">
        <f>IFERROR(Revenue_Actual!J40/'Target Rev Productivity'!J40,0)</f>
        <v>3.2666259807692306</v>
      </c>
      <c r="K40" s="19">
        <f>IFERROR(Revenue_Actual!K40/'Target Rev Productivity'!K40,0)</f>
        <v>2.141025641025641</v>
      </c>
      <c r="L40" s="19">
        <f>IFERROR(Revenue_Actual!L40/'Target Rev Productivity'!L40,0)</f>
        <v>4.1749999999999998</v>
      </c>
      <c r="M40" s="19">
        <f>IFERROR(Revenue_Actual!M40/'Target Rev Productivity'!M40,0)</f>
        <v>2.5662708012820508</v>
      </c>
      <c r="N40" s="19">
        <f>IFERROR(Revenue_Actual!N40/'Target Rev Productivity'!N40,0)</f>
        <v>1.5708612040133776</v>
      </c>
      <c r="O40" s="19">
        <f>IFERROR(Revenue_Actual!O40/'Target Rev Productivity'!O40,0)</f>
        <v>3.5815635451505012</v>
      </c>
      <c r="P40" s="19">
        <f>IFERROR(Revenue_Actual!P40/'Target Rev Productivity'!P40,0)</f>
        <v>2.8903846153846144</v>
      </c>
      <c r="Q40" s="17">
        <f>IFERROR(Rev_Forecast!Q40/'Target Rev Productivity'!Q40,0)</f>
        <v>21.966923076923074</v>
      </c>
      <c r="R40" s="17">
        <f>IFERROR(Rev_Forecast!R40/'Target Rev Productivity'!R40,0)</f>
        <v>3.8121571730769226</v>
      </c>
      <c r="S40" s="17">
        <f>IFERROR(Rev_Forecast!S40/'Target Rev Productivity'!S40,0)</f>
        <v>3.9309230769230763</v>
      </c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f>IFERROR(Revenue_Actual!H41/'Target Rev Productivity'!H41,0)</f>
        <v>1.4490461538461539</v>
      </c>
      <c r="I41" s="19">
        <f>IFERROR(Revenue_Actual!I41/'Target Rev Productivity'!I41,0)</f>
        <v>2.0544083076923076</v>
      </c>
      <c r="J41" s="19">
        <f>IFERROR(Revenue_Actual!J41/'Target Rev Productivity'!J41,0)</f>
        <v>4.8313511076923072</v>
      </c>
      <c r="K41" s="19">
        <f>IFERROR(Revenue_Actual!K41/'Target Rev Productivity'!K41,0)</f>
        <v>0.91173435897435884</v>
      </c>
      <c r="L41" s="19">
        <f>IFERROR(Revenue_Actual!L41/'Target Rev Productivity'!L41,0)</f>
        <v>-0.5242658119658119</v>
      </c>
      <c r="M41" s="19">
        <f>IFERROR(Revenue_Actual!M41/'Target Rev Productivity'!M41,0)</f>
        <v>0</v>
      </c>
      <c r="N41" s="19">
        <f>IFERROR(Revenue_Actual!N41/'Target Rev Productivity'!N41,0)</f>
        <v>0</v>
      </c>
      <c r="O41" s="19">
        <f>IFERROR(Revenue_Actual!O41/'Target Rev Productivity'!O41,0)</f>
        <v>-0.14071341806020066</v>
      </c>
      <c r="P41" s="19">
        <f>IFERROR(Revenue_Actual!P41/'Target Rev Productivity'!P41,0)</f>
        <v>0</v>
      </c>
      <c r="Q41" s="17">
        <f>IFERROR(Rev_Forecast!Q41/'Target Rev Productivity'!Q41,0)</f>
        <v>4.1107692307692307</v>
      </c>
      <c r="R41" s="17">
        <f>IFERROR(Rev_Forecast!R41/'Target Rev Productivity'!R41,0)</f>
        <v>0</v>
      </c>
      <c r="S41" s="17">
        <f>IFERROR(Rev_Forecast!S41/'Target Rev Productivity'!S41,0)</f>
        <v>0</v>
      </c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f>IFERROR(Revenue_Actual!H42/'Target Rev Productivity'!H42,0)</f>
        <v>0</v>
      </c>
      <c r="I42" s="19">
        <f>IFERROR(Revenue_Actual!I42/'Target Rev Productivity'!I42,0)</f>
        <v>0</v>
      </c>
      <c r="J42" s="19">
        <f>IFERROR(Revenue_Actual!J42/'Target Rev Productivity'!J42,0)</f>
        <v>0</v>
      </c>
      <c r="K42" s="19">
        <f>IFERROR(Revenue_Actual!K42/'Target Rev Productivity'!K42,0)</f>
        <v>0</v>
      </c>
      <c r="L42" s="19">
        <f>IFERROR(Revenue_Actual!L42/'Target Rev Productivity'!L42,0)</f>
        <v>0</v>
      </c>
      <c r="M42" s="19">
        <f>IFERROR(Revenue_Actual!M42/'Target Rev Productivity'!M42,0)</f>
        <v>0</v>
      </c>
      <c r="N42" s="19">
        <f>IFERROR(Revenue_Actual!N42/'Target Rev Productivity'!N42,0)</f>
        <v>0</v>
      </c>
      <c r="O42" s="19">
        <f>IFERROR(Revenue_Actual!O42/'Target Rev Productivity'!O42,0)</f>
        <v>0</v>
      </c>
      <c r="P42" s="19">
        <f>IFERROR(Revenue_Actual!P42/'Target Rev Productivity'!P42,0)</f>
        <v>0</v>
      </c>
      <c r="Q42" s="17">
        <f>IFERROR(Rev_Forecast!Q42/'Target Rev Productivity'!Q42,0)</f>
        <v>2.4090909090909087</v>
      </c>
      <c r="R42" s="17">
        <f>IFERROR(Rev_Forecast!R42/'Target Rev Productivity'!R42,0)</f>
        <v>0</v>
      </c>
      <c r="S42" s="17">
        <f>IFERROR(Rev_Forecast!S42/'Target Rev Productivity'!S42,0)</f>
        <v>0</v>
      </c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f>IFERROR(Revenue_Actual!H43/'Target Rev Productivity'!H43,0)</f>
        <v>0</v>
      </c>
      <c r="I43" s="19">
        <f>IFERROR(Revenue_Actual!I43/'Target Rev Productivity'!I43,0)</f>
        <v>0</v>
      </c>
      <c r="J43" s="19">
        <f>IFERROR(Revenue_Actual!J43/'Target Rev Productivity'!J43,0)</f>
        <v>0</v>
      </c>
      <c r="K43" s="19">
        <f>IFERROR(Revenue_Actual!K43/'Target Rev Productivity'!K43,0)</f>
        <v>0</v>
      </c>
      <c r="L43" s="19">
        <f>IFERROR(Revenue_Actual!L43/'Target Rev Productivity'!L43,0)</f>
        <v>0</v>
      </c>
      <c r="M43" s="19">
        <f>IFERROR(Revenue_Actual!M43/'Target Rev Productivity'!M43,0)</f>
        <v>0</v>
      </c>
      <c r="N43" s="19">
        <f>IFERROR(Revenue_Actual!N43/'Target Rev Productivity'!N43,0)</f>
        <v>0</v>
      </c>
      <c r="O43" s="19">
        <f>IFERROR(Revenue_Actual!O43/'Target Rev Productivity'!O43,0)</f>
        <v>0</v>
      </c>
      <c r="P43" s="19">
        <f>IFERROR(Revenue_Actual!P43/'Target Rev Productivity'!P43,0)</f>
        <v>0</v>
      </c>
      <c r="Q43" s="17">
        <f>IFERROR(Rev_Forecast!Q43/'Target Rev Productivity'!Q43,0)</f>
        <v>0</v>
      </c>
      <c r="R43" s="17">
        <f>IFERROR(Rev_Forecast!R43/'Target Rev Productivity'!R43,0)</f>
        <v>0</v>
      </c>
      <c r="S43" s="17">
        <f>IFERROR(Rev_Forecast!S43/'Target Rev Productivity'!S43,0)</f>
        <v>0</v>
      </c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f>IFERROR(Revenue_Actual!H44/'Target Rev Productivity'!H44,0)</f>
        <v>0</v>
      </c>
      <c r="I44" s="19">
        <f>IFERROR(Revenue_Actual!I44/'Target Rev Productivity'!I44,0)</f>
        <v>0</v>
      </c>
      <c r="J44" s="19">
        <f>IFERROR(Revenue_Actual!J44/'Target Rev Productivity'!J44,0)</f>
        <v>0</v>
      </c>
      <c r="K44" s="19">
        <f>IFERROR(Revenue_Actual!K44/'Target Rev Productivity'!K44,0)</f>
        <v>0</v>
      </c>
      <c r="L44" s="19">
        <f>IFERROR(Revenue_Actual!L44/'Target Rev Productivity'!L44,0)</f>
        <v>0</v>
      </c>
      <c r="M44" s="19">
        <f>IFERROR(Revenue_Actual!M44/'Target Rev Productivity'!M44,0)</f>
        <v>0</v>
      </c>
      <c r="N44" s="19">
        <f>IFERROR(Revenue_Actual!N44/'Target Rev Productivity'!N44,0)</f>
        <v>0</v>
      </c>
      <c r="O44" s="19">
        <f>IFERROR(Revenue_Actual!O44/'Target Rev Productivity'!O44,0)</f>
        <v>0</v>
      </c>
      <c r="P44" s="19">
        <f>IFERROR(Revenue_Actual!P44/'Target Rev Productivity'!P44,0)</f>
        <v>0</v>
      </c>
      <c r="Q44" s="17">
        <f>IFERROR(Rev_Forecast!Q44/'Target Rev Productivity'!Q44,0)</f>
        <v>0</v>
      </c>
      <c r="R44" s="17">
        <f>IFERROR(Rev_Forecast!R44/'Target Rev Productivity'!R44,0)</f>
        <v>0</v>
      </c>
      <c r="S44" s="17">
        <f>IFERROR(Rev_Forecast!S44/'Target Rev Productivity'!S44,0)</f>
        <v>0</v>
      </c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f>IFERROR(Revenue_Actual!H45/'Target Rev Productivity'!H45,0)</f>
        <v>0</v>
      </c>
      <c r="I45" s="19">
        <f>IFERROR(Revenue_Actual!I45/'Target Rev Productivity'!I45,0)</f>
        <v>0</v>
      </c>
      <c r="J45" s="19">
        <f>IFERROR(Revenue_Actual!J45/'Target Rev Productivity'!J45,0)</f>
        <v>0</v>
      </c>
      <c r="K45" s="19">
        <f>IFERROR(Revenue_Actual!K45/'Target Rev Productivity'!K45,0)</f>
        <v>0</v>
      </c>
      <c r="L45" s="19">
        <f>IFERROR(Revenue_Actual!L45/'Target Rev Productivity'!L45,0)</f>
        <v>0</v>
      </c>
      <c r="M45" s="19">
        <f>IFERROR(Revenue_Actual!M45/'Target Rev Productivity'!M45,0)</f>
        <v>0</v>
      </c>
      <c r="N45" s="19">
        <f>IFERROR(Revenue_Actual!N45/'Target Rev Productivity'!N45,0)</f>
        <v>0</v>
      </c>
      <c r="O45" s="19">
        <f>IFERROR(Revenue_Actual!O45/'Target Rev Productivity'!O45,0)</f>
        <v>0</v>
      </c>
      <c r="P45" s="19">
        <f>IFERROR(Revenue_Actual!P45/'Target Rev Productivity'!P45,0)</f>
        <v>0</v>
      </c>
      <c r="Q45" s="17">
        <f>IFERROR(Rev_Forecast!Q45/'Target Rev Productivity'!Q45,0)</f>
        <v>0</v>
      </c>
      <c r="R45" s="17">
        <f>IFERROR(Rev_Forecast!R45/'Target Rev Productivity'!R45,0)</f>
        <v>0</v>
      </c>
      <c r="S45" s="17">
        <f>IFERROR(Rev_Forecast!S45/'Target Rev Productivity'!S45,0)</f>
        <v>0</v>
      </c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f>IFERROR(Revenue_Actual!H46/'Target Rev Productivity'!H46,0)</f>
        <v>0</v>
      </c>
      <c r="I46" s="19">
        <f>IFERROR(Revenue_Actual!I46/'Target Rev Productivity'!I46,0)</f>
        <v>0</v>
      </c>
      <c r="J46" s="19">
        <f>IFERROR(Revenue_Actual!J46/'Target Rev Productivity'!J46,0)</f>
        <v>0</v>
      </c>
      <c r="K46" s="19">
        <f>IFERROR(Revenue_Actual!K46/'Target Rev Productivity'!K46,0)</f>
        <v>0</v>
      </c>
      <c r="L46" s="19">
        <f>IFERROR(Revenue_Actual!L46/'Target Rev Productivity'!L46,0)</f>
        <v>0</v>
      </c>
      <c r="M46" s="19">
        <f>IFERROR(Revenue_Actual!M46/'Target Rev Productivity'!M46,0)</f>
        <v>0</v>
      </c>
      <c r="N46" s="19">
        <f>IFERROR(Revenue_Actual!N46/'Target Rev Productivity'!N46,0)</f>
        <v>0</v>
      </c>
      <c r="O46" s="19">
        <f>IFERROR(Revenue_Actual!O46/'Target Rev Productivity'!O46,0)</f>
        <v>0</v>
      </c>
      <c r="P46" s="19">
        <f>IFERROR(Revenue_Actual!P46/'Target Rev Productivity'!P46,0)</f>
        <v>0</v>
      </c>
      <c r="Q46" s="17">
        <f>IFERROR(Rev_Forecast!Q46/'Target Rev Productivity'!Q46,0)</f>
        <v>1.1363636363636362</v>
      </c>
      <c r="R46" s="17">
        <f>IFERROR(Rev_Forecast!R46/'Target Rev Productivity'!R46,0)</f>
        <v>0</v>
      </c>
      <c r="S46" s="17">
        <f>IFERROR(Rev_Forecast!S46/'Target Rev Productivity'!S46,0)</f>
        <v>0</v>
      </c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f>IFERROR(Revenue_Actual!H47/'Target Rev Productivity'!H47,0)</f>
        <v>0</v>
      </c>
      <c r="I47" s="19">
        <f>IFERROR(Revenue_Actual!I47/'Target Rev Productivity'!I47,0)</f>
        <v>0</v>
      </c>
      <c r="J47" s="19">
        <f>IFERROR(Revenue_Actual!J47/'Target Rev Productivity'!J47,0)</f>
        <v>0</v>
      </c>
      <c r="K47" s="19">
        <f>IFERROR(Revenue_Actual!K47/'Target Rev Productivity'!K47,0)</f>
        <v>0</v>
      </c>
      <c r="L47" s="19">
        <f>IFERROR(Revenue_Actual!L47/'Target Rev Productivity'!L47,0)</f>
        <v>0</v>
      </c>
      <c r="M47" s="19">
        <f>IFERROR(Revenue_Actual!M47/'Target Rev Productivity'!M47,0)</f>
        <v>0</v>
      </c>
      <c r="N47" s="19">
        <f>IFERROR(Revenue_Actual!N47/'Target Rev Productivity'!N47,0)</f>
        <v>0</v>
      </c>
      <c r="O47" s="19">
        <f>IFERROR(Revenue_Actual!O47/'Target Rev Productivity'!O47,0)</f>
        <v>0</v>
      </c>
      <c r="P47" s="19">
        <f>IFERROR(Revenue_Actual!P47/'Target Rev Productivity'!P47,0)</f>
        <v>0</v>
      </c>
      <c r="Q47" s="17">
        <f>IFERROR(Rev_Forecast!Q47/'Target Rev Productivity'!Q47,0)</f>
        <v>4.545454545454545</v>
      </c>
      <c r="R47" s="17">
        <f>IFERROR(Rev_Forecast!R47/'Target Rev Productivity'!R47,0)</f>
        <v>0</v>
      </c>
      <c r="S47" s="17">
        <f>IFERROR(Rev_Forecast!S47/'Target Rev Productivity'!S47,0)</f>
        <v>0</v>
      </c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f>IFERROR(Revenue_Actual!H48/'Target Rev Productivity'!H48,0)</f>
        <v>0</v>
      </c>
      <c r="I48" s="19">
        <f>IFERROR(Revenue_Actual!I48/'Target Rev Productivity'!I48,0)</f>
        <v>0</v>
      </c>
      <c r="J48" s="19">
        <f>IFERROR(Revenue_Actual!J48/'Target Rev Productivity'!J48,0)</f>
        <v>0</v>
      </c>
      <c r="K48" s="19">
        <f>IFERROR(Revenue_Actual!K48/'Target Rev Productivity'!K48,0)</f>
        <v>0</v>
      </c>
      <c r="L48" s="19">
        <f>IFERROR(Revenue_Actual!L48/'Target Rev Productivity'!L48,0)</f>
        <v>0</v>
      </c>
      <c r="M48" s="19">
        <f>IFERROR(Revenue_Actual!M48/'Target Rev Productivity'!M48,0)</f>
        <v>0</v>
      </c>
      <c r="N48" s="19">
        <f>IFERROR(Revenue_Actual!N48/'Target Rev Productivity'!N48,0)</f>
        <v>0</v>
      </c>
      <c r="O48" s="19">
        <f>IFERROR(Revenue_Actual!O48/'Target Rev Productivity'!O48,0)</f>
        <v>0</v>
      </c>
      <c r="P48" s="19">
        <f>IFERROR(Revenue_Actual!P48/'Target Rev Productivity'!P48,0)</f>
        <v>0</v>
      </c>
      <c r="Q48" s="17">
        <f>IFERROR(Rev_Forecast!Q48/'Target Rev Productivity'!Q48,0)</f>
        <v>2.2727272727272725</v>
      </c>
      <c r="R48" s="17">
        <f>IFERROR(Rev_Forecast!R48/'Target Rev Productivity'!R48,0)</f>
        <v>0</v>
      </c>
      <c r="S48" s="17">
        <f>IFERROR(Rev_Forecast!S48/'Target Rev Productivity'!S48,0)</f>
        <v>0</v>
      </c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f>IFERROR(Revenue_Actual!H49/'Target Rev Productivity'!H49,0)</f>
        <v>0</v>
      </c>
      <c r="I49" s="19">
        <f>IFERROR(Revenue_Actual!I49/'Target Rev Productivity'!I49,0)</f>
        <v>0</v>
      </c>
      <c r="J49" s="19">
        <f>IFERROR(Revenue_Actual!J49/'Target Rev Productivity'!J49,0)</f>
        <v>0</v>
      </c>
      <c r="K49" s="19">
        <f>IFERROR(Revenue_Actual!K49/'Target Rev Productivity'!K49,0)</f>
        <v>0</v>
      </c>
      <c r="L49" s="19">
        <f>IFERROR(Revenue_Actual!L49/'Target Rev Productivity'!L49,0)</f>
        <v>0</v>
      </c>
      <c r="M49" s="19">
        <f>IFERROR(Revenue_Actual!M49/'Target Rev Productivity'!M49,0)</f>
        <v>0</v>
      </c>
      <c r="N49" s="19">
        <f>IFERROR(Revenue_Actual!N49/'Target Rev Productivity'!N49,0)</f>
        <v>0</v>
      </c>
      <c r="O49" s="19">
        <f>IFERROR(Revenue_Actual!O49/'Target Rev Productivity'!O49,0)</f>
        <v>0</v>
      </c>
      <c r="P49" s="19">
        <f>IFERROR(Revenue_Actual!P49/'Target Rev Productivity'!P49,0)</f>
        <v>0</v>
      </c>
      <c r="Q49" s="17">
        <f>IFERROR(Rev_Forecast!Q49/'Target Rev Productivity'!Q49,0)</f>
        <v>0</v>
      </c>
      <c r="R49" s="17">
        <f>IFERROR(Rev_Forecast!R49/'Target Rev Productivity'!R49,0)</f>
        <v>0</v>
      </c>
      <c r="S49" s="17">
        <f>IFERROR(Rev_Forecast!S49/'Target Rev Productivity'!S49,0)</f>
        <v>0</v>
      </c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f>IFERROR(Revenue_Actual!H50/'Target Rev Productivity'!H50,0)</f>
        <v>0</v>
      </c>
      <c r="I50" s="19">
        <f>IFERROR(Revenue_Actual!I50/'Target Rev Productivity'!I50,0)</f>
        <v>0</v>
      </c>
      <c r="J50" s="19">
        <f>IFERROR(Revenue_Actual!J50/'Target Rev Productivity'!J50,0)</f>
        <v>0</v>
      </c>
      <c r="K50" s="19">
        <f>IFERROR(Revenue_Actual!K50/'Target Rev Productivity'!K50,0)</f>
        <v>0</v>
      </c>
      <c r="L50" s="19">
        <f>IFERROR(Revenue_Actual!L50/'Target Rev Productivity'!L50,0)</f>
        <v>0</v>
      </c>
      <c r="M50" s="19">
        <f>IFERROR(Revenue_Actual!M50/'Target Rev Productivity'!M50,0)</f>
        <v>0</v>
      </c>
      <c r="N50" s="19">
        <f>IFERROR(Revenue_Actual!N50/'Target Rev Productivity'!N50,0)</f>
        <v>0</v>
      </c>
      <c r="O50" s="19">
        <f>IFERROR(Revenue_Actual!O50/'Target Rev Productivity'!O50,0)</f>
        <v>0</v>
      </c>
      <c r="P50" s="19">
        <f>IFERROR(Revenue_Actual!P50/'Target Rev Productivity'!P50,0)</f>
        <v>0</v>
      </c>
      <c r="Q50" s="17">
        <f>IFERROR(Rev_Forecast!Q50/'Target Rev Productivity'!Q50,0)</f>
        <v>0</v>
      </c>
      <c r="R50" s="17">
        <f>IFERROR(Rev_Forecast!R50/'Target Rev Productivity'!R50,0)</f>
        <v>0</v>
      </c>
      <c r="S50" s="17">
        <f>IFERROR(Rev_Forecast!S50/'Target Rev Productivity'!S50,0)</f>
        <v>0</v>
      </c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f>IFERROR(Revenue_Actual!H51/'Target Rev Productivity'!H51,0)</f>
        <v>0.1215005683971201</v>
      </c>
      <c r="I51" s="19">
        <f>IFERROR(Revenue_Actual!I51/'Target Rev Productivity'!I51,0)</f>
        <v>0.91125426297840073</v>
      </c>
      <c r="J51" s="19">
        <f>IFERROR(Revenue_Actual!J51/'Target Rev Productivity'!J51,0)</f>
        <v>0.63608585070102297</v>
      </c>
      <c r="K51" s="19">
        <f>IFERROR(Revenue_Actual!K51/'Target Rev Productivity'!K51,0)</f>
        <v>8.935073049555807E-2</v>
      </c>
      <c r="L51" s="19">
        <f>IFERROR(Revenue_Actual!L51/'Target Rev Productivity'!L51,0)</f>
        <v>-0.33698970148625318</v>
      </c>
      <c r="M51" s="19">
        <f>IFERROR(Revenue_Actual!M51/'Target Rev Productivity'!M51,0)</f>
        <v>0.84375394720222296</v>
      </c>
      <c r="N51" s="19">
        <f>IFERROR(Revenue_Actual!N51/'Target Rev Productivity'!N51,0)</f>
        <v>-0.30096813351565971</v>
      </c>
      <c r="O51" s="19">
        <f>IFERROR(Revenue_Actual!O51/'Target Rev Productivity'!O51,0)</f>
        <v>-0.99049376410695744</v>
      </c>
      <c r="P51" s="19">
        <f>IFERROR(Revenue_Actual!P51/'Target Rev Productivity'!P51,0)</f>
        <v>0</v>
      </c>
      <c r="Q51" s="17">
        <f>IFERROR(Rev_Forecast!Q51/'Target Rev Productivity'!Q51,0)</f>
        <v>0</v>
      </c>
      <c r="R51" s="17">
        <f>IFERROR(Rev_Forecast!R51/'Target Rev Productivity'!R51,0)</f>
        <v>0.31192233421750654</v>
      </c>
      <c r="S51" s="17">
        <f>IFERROR(Rev_Forecast!S51/'Target Rev Productivity'!S51,0)</f>
        <v>0</v>
      </c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f>IFERROR(Revenue_Actual!H52/'Target Rev Productivity'!H52,0)</f>
        <v>1.6480447552447552</v>
      </c>
      <c r="I52" s="19">
        <f>IFERROR(Revenue_Actual!I52/'Target Rev Productivity'!I52,0)</f>
        <v>0.27467412587412582</v>
      </c>
      <c r="J52" s="19">
        <f>IFERROR(Revenue_Actual!J52/'Target Rev Productivity'!J52,0)</f>
        <v>0</v>
      </c>
      <c r="K52" s="19">
        <f>IFERROR(Revenue_Actual!K52/'Target Rev Productivity'!K52,0)</f>
        <v>0</v>
      </c>
      <c r="L52" s="19">
        <f>IFERROR(Revenue_Actual!L52/'Target Rev Productivity'!L52,0)</f>
        <v>1.7257964257964253</v>
      </c>
      <c r="M52" s="19">
        <f>IFERROR(Revenue_Actual!M52/'Target Rev Productivity'!M52,0)</f>
        <v>1.6349650349650344</v>
      </c>
      <c r="N52" s="19">
        <f>IFERROR(Revenue_Actual!N52/'Target Rev Productivity'!N52,0)</f>
        <v>0</v>
      </c>
      <c r="O52" s="19">
        <f>IFERROR(Revenue_Actual!O52/'Target Rev Productivity'!O52,0)</f>
        <v>0</v>
      </c>
      <c r="P52" s="19">
        <f>IFERROR(Revenue_Actual!P52/'Target Rev Productivity'!P52,0)</f>
        <v>-3.8386135603526904E-2</v>
      </c>
      <c r="Q52" s="17">
        <f>IFERROR(Rev_Forecast!Q52/'Target Rev Productivity'!Q52,0)</f>
        <v>0.58858741258741254</v>
      </c>
      <c r="R52" s="17">
        <f>IFERROR(Rev_Forecast!R52/'Target Rev Productivity'!R52,0)</f>
        <v>-0.13733706293706291</v>
      </c>
      <c r="S52" s="17">
        <f>IFERROR(Rev_Forecast!S52/'Target Rev Productivity'!S52,0)</f>
        <v>0</v>
      </c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f>IFERROR(Revenue_Actual!H53/'Target Rev Productivity'!H53,0)</f>
        <v>0</v>
      </c>
      <c r="I53" s="19">
        <f>IFERROR(Revenue_Actual!I53/'Target Rev Productivity'!I53,0)</f>
        <v>0.4239230769230769</v>
      </c>
      <c r="J53" s="19">
        <f>IFERROR(Revenue_Actual!J53/'Target Rev Productivity'!J53,0)</f>
        <v>7.7076923076923071E-2</v>
      </c>
      <c r="K53" s="19">
        <f>IFERROR(Revenue_Actual!K53/'Target Rev Productivity'!K53,0)</f>
        <v>3.1473076923076921</v>
      </c>
      <c r="L53" s="19">
        <f>IFERROR(Revenue_Actual!L53/'Target Rev Productivity'!L53,0)</f>
        <v>5.9770299145299139</v>
      </c>
      <c r="M53" s="19">
        <f>IFERROR(Revenue_Actual!M53/'Target Rev Productivity'!M53,0)</f>
        <v>0.57094017094017091</v>
      </c>
      <c r="N53" s="19">
        <f>IFERROR(Revenue_Actual!N53/'Target Rev Productivity'!N53,0)</f>
        <v>0</v>
      </c>
      <c r="O53" s="19">
        <f>IFERROR(Revenue_Actual!O53/'Target Rev Productivity'!O53,0)</f>
        <v>-0.5315584866220735</v>
      </c>
      <c r="P53" s="19">
        <f>IFERROR(Revenue_Actual!P53/'Target Rev Productivity'!P53,0)</f>
        <v>0.16755852842809363</v>
      </c>
      <c r="Q53" s="17">
        <f>IFERROR(Rev_Forecast!Q53/'Target Rev Productivity'!Q53,0)</f>
        <v>0.57807692307692304</v>
      </c>
      <c r="R53" s="17">
        <f>IFERROR(Rev_Forecast!R53/'Target Rev Productivity'!R53,0)</f>
        <v>0.65515384615384609</v>
      </c>
      <c r="S53" s="17">
        <f>IFERROR(Rev_Forecast!S53/'Target Rev Productivity'!S53,0)</f>
        <v>1.9269230769230767</v>
      </c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f>IFERROR(Revenue_Actual!H54/'Target Rev Productivity'!H54,0)</f>
        <v>0</v>
      </c>
      <c r="I54" s="19">
        <f>IFERROR(Revenue_Actual!I54/'Target Rev Productivity'!I54,0)</f>
        <v>12.157273006993007</v>
      </c>
      <c r="J54" s="19">
        <f>IFERROR(Revenue_Actual!J54/'Target Rev Productivity'!J54,0)</f>
        <v>3.6948574825174823</v>
      </c>
      <c r="K54" s="19">
        <f>IFERROR(Revenue_Actual!K54/'Target Rev Productivity'!K54,0)</f>
        <v>4.2100349650349651</v>
      </c>
      <c r="L54" s="19">
        <f>IFERROR(Revenue_Actual!L54/'Target Rev Productivity'!L54,0)</f>
        <v>9.8506643356643355</v>
      </c>
      <c r="M54" s="19">
        <f>IFERROR(Revenue_Actual!M54/'Target Rev Productivity'!M54,0)</f>
        <v>12.993884615384614</v>
      </c>
      <c r="N54" s="19">
        <f>IFERROR(Revenue_Actual!N54/'Target Rev Productivity'!N54,0)</f>
        <v>0.21592201276983883</v>
      </c>
      <c r="O54" s="19">
        <f>IFERROR(Revenue_Actual!O54/'Target Rev Productivity'!O54,0)</f>
        <v>2.495098814229249</v>
      </c>
      <c r="P54" s="19">
        <f>IFERROR(Revenue_Actual!P54/'Target Rev Productivity'!P54,0)</f>
        <v>12.650371708422012</v>
      </c>
      <c r="Q54" s="17">
        <f>IFERROR(Rev_Forecast!Q54/'Target Rev Productivity'!Q54,0)</f>
        <v>0</v>
      </c>
      <c r="R54" s="17">
        <f>IFERROR(Rev_Forecast!R54/'Target Rev Productivity'!R54,0)</f>
        <v>13.428621818181819</v>
      </c>
      <c r="S54" s="17">
        <f>IFERROR(Rev_Forecast!S54/'Target Rev Productivity'!S54,0)</f>
        <v>46.351258741258739</v>
      </c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f>IFERROR(Revenue_Actual!H55/'Target Rev Productivity'!H55,0)</f>
        <v>1.5909210789210788</v>
      </c>
      <c r="I55" s="19">
        <f>IFERROR(Revenue_Actual!I55/'Target Rev Productivity'!I55,0)</f>
        <v>1.9859820179820178</v>
      </c>
      <c r="J55" s="19">
        <f>IFERROR(Revenue_Actual!J55/'Target Rev Productivity'!J55,0)</f>
        <v>5.1251148851148844</v>
      </c>
      <c r="K55" s="19">
        <f>IFERROR(Revenue_Actual!K55/'Target Rev Productivity'!K55,0)</f>
        <v>1.482961482961483</v>
      </c>
      <c r="L55" s="19">
        <f>IFERROR(Revenue_Actual!L55/'Target Rev Productivity'!L55,0)</f>
        <v>5.1656491656491648</v>
      </c>
      <c r="M55" s="19">
        <f>IFERROR(Revenue_Actual!M55/'Target Rev Productivity'!M55,0)</f>
        <v>5.6500832500832496</v>
      </c>
      <c r="N55" s="19">
        <f>IFERROR(Revenue_Actual!N55/'Target Rev Productivity'!N55,0)</f>
        <v>0</v>
      </c>
      <c r="O55" s="19">
        <f>IFERROR(Revenue_Actual!O55/'Target Rev Productivity'!O55,0)</f>
        <v>3.191591017677974</v>
      </c>
      <c r="P55" s="19">
        <f>IFERROR(Revenue_Actual!P55/'Target Rev Productivity'!P55,0)</f>
        <v>0.38879381488077136</v>
      </c>
      <c r="Q55" s="17">
        <f>IFERROR(Rev_Forecast!Q55/'Target Rev Productivity'!Q55,0)</f>
        <v>33.811521811521807</v>
      </c>
      <c r="R55" s="17">
        <f>IFERROR(Rev_Forecast!R55/'Target Rev Productivity'!R55,0)</f>
        <v>0</v>
      </c>
      <c r="S55" s="17">
        <f>IFERROR(Rev_Forecast!S55/'Target Rev Productivity'!S55,0)</f>
        <v>5.3386613386613382</v>
      </c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f>IFERROR(Revenue_Actual!H56/'Target Rev Productivity'!H56,0)</f>
        <v>0</v>
      </c>
      <c r="I56" s="19">
        <f>IFERROR(Revenue_Actual!I56/'Target Rev Productivity'!I56,0)</f>
        <v>0</v>
      </c>
      <c r="J56" s="19">
        <f>IFERROR(Revenue_Actual!J56/'Target Rev Productivity'!J56,0)</f>
        <v>0</v>
      </c>
      <c r="K56" s="19">
        <f>IFERROR(Revenue_Actual!K56/'Target Rev Productivity'!K56,0)</f>
        <v>0</v>
      </c>
      <c r="L56" s="19">
        <f>IFERROR(Revenue_Actual!L56/'Target Rev Productivity'!L56,0)</f>
        <v>0</v>
      </c>
      <c r="M56" s="19">
        <f>IFERROR(Revenue_Actual!M56/'Target Rev Productivity'!M56,0)</f>
        <v>0</v>
      </c>
      <c r="N56" s="19">
        <f>IFERROR(Revenue_Actual!N56/'Target Rev Productivity'!N56,0)</f>
        <v>0</v>
      </c>
      <c r="O56" s="19">
        <f>IFERROR(Revenue_Actual!O56/'Target Rev Productivity'!O56,0)</f>
        <v>0</v>
      </c>
      <c r="P56" s="19">
        <f>IFERROR(Revenue_Actual!P56/'Target Rev Productivity'!P56,0)</f>
        <v>0</v>
      </c>
      <c r="Q56" s="17">
        <f>IFERROR(Rev_Forecast!Q56/'Target Rev Productivity'!Q56,0)</f>
        <v>0</v>
      </c>
      <c r="R56" s="17">
        <f>IFERROR(Rev_Forecast!R56/'Target Rev Productivity'!R56,0)</f>
        <v>0</v>
      </c>
      <c r="S56" s="17">
        <f>IFERROR(Rev_Forecast!S56/'Target Rev Productivity'!S56,0)</f>
        <v>0</v>
      </c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f>IFERROR(Revenue_Actual!H57/'Target Rev Productivity'!H57,0)</f>
        <v>9.6172363636363638</v>
      </c>
      <c r="I57" s="19">
        <f>IFERROR(Revenue_Actual!I57/'Target Rev Productivity'!I57,0)</f>
        <v>0.88636363636363624</v>
      </c>
      <c r="J57" s="19">
        <f>IFERROR(Revenue_Actual!J57/'Target Rev Productivity'!J57,0)</f>
        <v>-6.1626909090909079</v>
      </c>
      <c r="K57" s="19">
        <f>IFERROR(Revenue_Actual!K57/'Target Rev Productivity'!K57,0)</f>
        <v>0</v>
      </c>
      <c r="L57" s="19">
        <f>IFERROR(Revenue_Actual!L57/'Target Rev Productivity'!L57,0)</f>
        <v>2.1739130434782612</v>
      </c>
      <c r="M57" s="19">
        <f>IFERROR(Revenue_Actual!M57/'Target Rev Productivity'!M57,0)</f>
        <v>0</v>
      </c>
      <c r="N57" s="19">
        <f>IFERROR(Revenue_Actual!N57/'Target Rev Productivity'!N57,0)</f>
        <v>0</v>
      </c>
      <c r="O57" s="19">
        <f>IFERROR(Revenue_Actual!O57/'Target Rev Productivity'!O57,0)</f>
        <v>0</v>
      </c>
      <c r="P57" s="19">
        <f>IFERROR(Revenue_Actual!P57/'Target Rev Productivity'!P57,0)</f>
        <v>0.91</v>
      </c>
      <c r="Q57" s="17">
        <f>IFERROR(Rev_Forecast!Q57/'Target Rev Productivity'!Q57,0)</f>
        <v>4.1818181818181808</v>
      </c>
      <c r="R57" s="17">
        <f>IFERROR(Rev_Forecast!R57/'Target Rev Productivity'!R57,0)</f>
        <v>-0.73636363636363633</v>
      </c>
      <c r="S57" s="17">
        <f>IFERROR(Rev_Forecast!S57/'Target Rev Productivity'!S57,0)</f>
        <v>0</v>
      </c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f>IFERROR(Revenue_Actual!H58/'Target Rev Productivity'!H58,0)</f>
        <v>0</v>
      </c>
      <c r="I58" s="19">
        <f>IFERROR(Revenue_Actual!I58/'Target Rev Productivity'!I58,0)</f>
        <v>0</v>
      </c>
      <c r="J58" s="19">
        <f>IFERROR(Revenue_Actual!J58/'Target Rev Productivity'!J58,0)</f>
        <v>0.57807692307692304</v>
      </c>
      <c r="K58" s="19">
        <f>IFERROR(Revenue_Actual!K58/'Target Rev Productivity'!K58,0)</f>
        <v>0</v>
      </c>
      <c r="L58" s="19">
        <f>IFERROR(Revenue_Actual!L58/'Target Rev Productivity'!L58,0)</f>
        <v>0</v>
      </c>
      <c r="M58" s="19">
        <f>IFERROR(Revenue_Actual!M58/'Target Rev Productivity'!M58,0)</f>
        <v>-0.53525641025641024</v>
      </c>
      <c r="N58" s="19">
        <f>IFERROR(Revenue_Actual!N58/'Target Rev Productivity'!N58,0)</f>
        <v>0</v>
      </c>
      <c r="O58" s="19">
        <f>IFERROR(Revenue_Actual!O58/'Target Rev Productivity'!O58,0)</f>
        <v>0</v>
      </c>
      <c r="P58" s="19">
        <f>IFERROR(Revenue_Actual!P58/'Target Rev Productivity'!P58,0)</f>
        <v>0</v>
      </c>
      <c r="Q58" s="17">
        <f>IFERROR(Rev_Forecast!Q58/'Target Rev Productivity'!Q58,0)</f>
        <v>0</v>
      </c>
      <c r="R58" s="17">
        <f>IFERROR(Rev_Forecast!R58/'Target Rev Productivity'!R58,0)</f>
        <v>0</v>
      </c>
      <c r="S58" s="17">
        <f>IFERROR(Rev_Forecast!S58/'Target Rev Productivity'!S58,0)</f>
        <v>0</v>
      </c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f>IFERROR(Revenue_Actual!H59/'Target Rev Productivity'!H59,0)</f>
        <v>0</v>
      </c>
      <c r="I59" s="19">
        <f>IFERROR(Revenue_Actual!I59/'Target Rev Productivity'!I59,0)</f>
        <v>0</v>
      </c>
      <c r="J59" s="19">
        <f>IFERROR(Revenue_Actual!J59/'Target Rev Productivity'!J59,0)</f>
        <v>0</v>
      </c>
      <c r="K59" s="19">
        <f>IFERROR(Revenue_Actual!K59/'Target Rev Productivity'!K59,0)</f>
        <v>0</v>
      </c>
      <c r="L59" s="19">
        <f>IFERROR(Revenue_Actual!L59/'Target Rev Productivity'!L59,0)</f>
        <v>0</v>
      </c>
      <c r="M59" s="19">
        <f>IFERROR(Revenue_Actual!M59/'Target Rev Productivity'!M59,0)</f>
        <v>0</v>
      </c>
      <c r="N59" s="19">
        <f>IFERROR(Revenue_Actual!N59/'Target Rev Productivity'!N59,0)</f>
        <v>3.3250000000000002</v>
      </c>
      <c r="O59" s="19">
        <f>IFERROR(Revenue_Actual!O59/'Target Rev Productivity'!O59,0)</f>
        <v>0.98</v>
      </c>
      <c r="P59" s="19">
        <f>IFERROR(Revenue_Actual!P59/'Target Rev Productivity'!P59,0)</f>
        <v>0</v>
      </c>
      <c r="Q59" s="17">
        <f>IFERROR(Rev_Forecast!Q59/'Target Rev Productivity'!Q59,0)</f>
        <v>1.8181818181818181</v>
      </c>
      <c r="R59" s="17">
        <f>IFERROR(Rev_Forecast!R59/'Target Rev Productivity'!R59,0)</f>
        <v>0</v>
      </c>
      <c r="S59" s="17">
        <f>IFERROR(Rev_Forecast!S59/'Target Rev Productivity'!S59,0)</f>
        <v>0</v>
      </c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f>IFERROR(Revenue_Actual!H60/'Target Rev Productivity'!H60,0)</f>
        <v>0</v>
      </c>
      <c r="I60" s="19">
        <f>IFERROR(Revenue_Actual!I60/'Target Rev Productivity'!I60,0)</f>
        <v>0</v>
      </c>
      <c r="J60" s="19">
        <f>IFERROR(Revenue_Actual!J60/'Target Rev Productivity'!J60,0)</f>
        <v>0</v>
      </c>
      <c r="K60" s="19">
        <f>IFERROR(Revenue_Actual!K60/'Target Rev Productivity'!K60,0)</f>
        <v>0</v>
      </c>
      <c r="L60" s="19">
        <f>IFERROR(Revenue_Actual!L60/'Target Rev Productivity'!L60,0)</f>
        <v>0</v>
      </c>
      <c r="M60" s="19">
        <f>IFERROR(Revenue_Actual!M60/'Target Rev Productivity'!M60,0)</f>
        <v>1.9434782608695653</v>
      </c>
      <c r="N60" s="19">
        <f>IFERROR(Revenue_Actual!N60/'Target Rev Productivity'!N60,0)</f>
        <v>0</v>
      </c>
      <c r="O60" s="19">
        <f>IFERROR(Revenue_Actual!O60/'Target Rev Productivity'!O60,0)</f>
        <v>1.5</v>
      </c>
      <c r="P60" s="19">
        <f>IFERROR(Revenue_Actual!P60/'Target Rev Productivity'!P60,0)</f>
        <v>0</v>
      </c>
      <c r="Q60" s="17">
        <f>IFERROR(Rev_Forecast!Q60/'Target Rev Productivity'!Q60,0)</f>
        <v>4.4090909090909083</v>
      </c>
      <c r="R60" s="17">
        <f>IFERROR(Rev_Forecast!R60/'Target Rev Productivity'!R60,0)</f>
        <v>0</v>
      </c>
      <c r="S60" s="17">
        <f>IFERROR(Rev_Forecast!S60/'Target Rev Productivity'!S60,0)</f>
        <v>0</v>
      </c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f>IFERROR(Revenue_Actual!H61/'Target Rev Productivity'!H61,0)</f>
        <v>0</v>
      </c>
      <c r="I61" s="19">
        <f>IFERROR(Revenue_Actual!I61/'Target Rev Productivity'!I61,0)</f>
        <v>0</v>
      </c>
      <c r="J61" s="19">
        <f>IFERROR(Revenue_Actual!J61/'Target Rev Productivity'!J61,0)</f>
        <v>0</v>
      </c>
      <c r="K61" s="19">
        <f>IFERROR(Revenue_Actual!K61/'Target Rev Productivity'!K61,0)</f>
        <v>0</v>
      </c>
      <c r="L61" s="19">
        <f>IFERROR(Revenue_Actual!L61/'Target Rev Productivity'!L61,0)</f>
        <v>0</v>
      </c>
      <c r="M61" s="19">
        <f>IFERROR(Revenue_Actual!M61/'Target Rev Productivity'!M61,0)</f>
        <v>0</v>
      </c>
      <c r="N61" s="19">
        <f>IFERROR(Revenue_Actual!N61/'Target Rev Productivity'!N61,0)</f>
        <v>0</v>
      </c>
      <c r="O61" s="19">
        <f>IFERROR(Revenue_Actual!O61/'Target Rev Productivity'!O61,0)</f>
        <v>0</v>
      </c>
      <c r="P61" s="19">
        <f>IFERROR(Revenue_Actual!P61/'Target Rev Productivity'!P61,0)</f>
        <v>0</v>
      </c>
      <c r="Q61" s="17">
        <f>IFERROR(Rev_Forecast!Q61/'Target Rev Productivity'!Q61,0)</f>
        <v>0</v>
      </c>
      <c r="R61" s="17">
        <f>IFERROR(Rev_Forecast!R61/'Target Rev Productivity'!R61,0)</f>
        <v>0</v>
      </c>
      <c r="S61" s="17">
        <f>IFERROR(Rev_Forecast!S61/'Target Rev Productivity'!S61,0)</f>
        <v>0</v>
      </c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f>IFERROR(Revenue_Actual!H62/'Target Rev Productivity'!H62,0)</f>
        <v>0</v>
      </c>
      <c r="I62" s="19">
        <f>IFERROR(Revenue_Actual!I62/'Target Rev Productivity'!I62,0)</f>
        <v>0</v>
      </c>
      <c r="J62" s="19">
        <f>IFERROR(Revenue_Actual!J62/'Target Rev Productivity'!J62,0)</f>
        <v>0</v>
      </c>
      <c r="K62" s="19">
        <f>IFERROR(Revenue_Actual!K62/'Target Rev Productivity'!K62,0)</f>
        <v>0</v>
      </c>
      <c r="L62" s="19">
        <f>IFERROR(Revenue_Actual!L62/'Target Rev Productivity'!L62,0)</f>
        <v>0</v>
      </c>
      <c r="M62" s="19">
        <f>IFERROR(Revenue_Actual!M62/'Target Rev Productivity'!M62,0)</f>
        <v>0</v>
      </c>
      <c r="N62" s="19">
        <f>IFERROR(Revenue_Actual!N62/'Target Rev Productivity'!N62,0)</f>
        <v>0</v>
      </c>
      <c r="O62" s="19">
        <f>IFERROR(Revenue_Actual!O62/'Target Rev Productivity'!O62,0)</f>
        <v>0</v>
      </c>
      <c r="P62" s="19">
        <f>IFERROR(Revenue_Actual!P62/'Target Rev Productivity'!P62,0)</f>
        <v>0</v>
      </c>
      <c r="Q62" s="17">
        <f>IFERROR(Rev_Forecast!Q62/'Target Rev Productivity'!Q62,0)</f>
        <v>0</v>
      </c>
      <c r="R62" s="17">
        <f>IFERROR(Rev_Forecast!R62/'Target Rev Productivity'!R62,0)</f>
        <v>0</v>
      </c>
      <c r="S62" s="17">
        <f>IFERROR(Rev_Forecast!S62/'Target Rev Productivity'!S62,0)</f>
        <v>0</v>
      </c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f>IFERROR(Revenue_Actual!H63/'Target Rev Productivity'!H63,0)</f>
        <v>0</v>
      </c>
      <c r="I63" s="19">
        <f>IFERROR(Revenue_Actual!I63/'Target Rev Productivity'!I63,0)</f>
        <v>0</v>
      </c>
      <c r="J63" s="19">
        <f>IFERROR(Revenue_Actual!J63/'Target Rev Productivity'!J63,0)</f>
        <v>0</v>
      </c>
      <c r="K63" s="19">
        <f>IFERROR(Revenue_Actual!K63/'Target Rev Productivity'!K63,0)</f>
        <v>0</v>
      </c>
      <c r="L63" s="19">
        <f>IFERROR(Revenue_Actual!L63/'Target Rev Productivity'!L63,0)</f>
        <v>0</v>
      </c>
      <c r="M63" s="19">
        <f>IFERROR(Revenue_Actual!M63/'Target Rev Productivity'!M63,0)</f>
        <v>0</v>
      </c>
      <c r="N63" s="19">
        <f>IFERROR(Revenue_Actual!N63/'Target Rev Productivity'!N63,0)</f>
        <v>0</v>
      </c>
      <c r="O63" s="19">
        <f>IFERROR(Revenue_Actual!O63/'Target Rev Productivity'!O63,0)</f>
        <v>0</v>
      </c>
      <c r="P63" s="19">
        <f>IFERROR(Revenue_Actual!P63/'Target Rev Productivity'!P63,0)</f>
        <v>0</v>
      </c>
      <c r="Q63" s="17">
        <f>IFERROR(Rev_Forecast!Q63/'Target Rev Productivity'!Q63,0)</f>
        <v>0</v>
      </c>
      <c r="R63" s="17">
        <f>IFERROR(Rev_Forecast!R63/'Target Rev Productivity'!R63,0)</f>
        <v>0</v>
      </c>
      <c r="S63" s="17">
        <f>IFERROR(Rev_Forecast!S63/'Target Rev Productivity'!S63,0)</f>
        <v>0</v>
      </c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f>IFERROR(Revenue_Actual!H64/'Target Rev Productivity'!H64,0)</f>
        <v>0</v>
      </c>
      <c r="I64" s="19">
        <f>IFERROR(Revenue_Actual!I64/'Target Rev Productivity'!I64,0)</f>
        <v>0.31818181818181812</v>
      </c>
      <c r="J64" s="19">
        <f>IFERROR(Revenue_Actual!J64/'Target Rev Productivity'!J64,0)</f>
        <v>0</v>
      </c>
      <c r="K64" s="19">
        <f>IFERROR(Revenue_Actual!K64/'Target Rev Productivity'!K64,0)</f>
        <v>0</v>
      </c>
      <c r="L64" s="19">
        <f>IFERROR(Revenue_Actual!L64/'Target Rev Productivity'!L64,0)</f>
        <v>0</v>
      </c>
      <c r="M64" s="19">
        <f>IFERROR(Revenue_Actual!M64/'Target Rev Productivity'!M64,0)</f>
        <v>-0.30434782608695654</v>
      </c>
      <c r="N64" s="19">
        <f>IFERROR(Revenue_Actual!N64/'Target Rev Productivity'!N64,0)</f>
        <v>0</v>
      </c>
      <c r="O64" s="19">
        <f>IFERROR(Revenue_Actual!O64/'Target Rev Productivity'!O64,0)</f>
        <v>0.2</v>
      </c>
      <c r="P64" s="19">
        <f>IFERROR(Revenue_Actual!P64/'Target Rev Productivity'!P64,0)</f>
        <v>0</v>
      </c>
      <c r="Q64" s="17">
        <f>IFERROR(Rev_Forecast!Q64/'Target Rev Productivity'!Q64,0)</f>
        <v>1.7954545454545454</v>
      </c>
      <c r="R64" s="17">
        <f>IFERROR(Rev_Forecast!R64/'Target Rev Productivity'!R64,0)</f>
        <v>0</v>
      </c>
      <c r="S64" s="17">
        <f>IFERROR(Rev_Forecast!S64/'Target Rev Productivity'!S64,0)</f>
        <v>0.68181818181818177</v>
      </c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f>IFERROR(Revenue_Actual!H65/'Target Rev Productivity'!H65,0)</f>
        <v>28.434782608695656</v>
      </c>
      <c r="I65" s="19">
        <f>IFERROR(Revenue_Actual!I65/'Target Rev Productivity'!I65,0)</f>
        <v>25.217391304347828</v>
      </c>
      <c r="J65" s="19">
        <f>IFERROR(Revenue_Actual!J65/'Target Rev Productivity'!J65,0)</f>
        <v>29.130434782608699</v>
      </c>
      <c r="K65" s="19">
        <f>IFERROR(Revenue_Actual!K65/'Target Rev Productivity'!K65,0)</f>
        <v>28.434782608695656</v>
      </c>
      <c r="L65" s="19">
        <f>IFERROR(Revenue_Actual!L65/'Target Rev Productivity'!L65,0)</f>
        <v>28.260869565217394</v>
      </c>
      <c r="M65" s="19">
        <f>IFERROR(Revenue_Actual!M65/'Target Rev Productivity'!M65,0)</f>
        <v>27.39130434782609</v>
      </c>
      <c r="N65" s="19">
        <f>IFERROR(Revenue_Actual!N65/'Target Rev Productivity'!N65,0)</f>
        <v>28.260869565217394</v>
      </c>
      <c r="O65" s="19">
        <f>IFERROR(Revenue_Actual!O65/'Target Rev Productivity'!O65,0)</f>
        <v>27.173913043478262</v>
      </c>
      <c r="P65" s="19">
        <f>IFERROR(Revenue_Actual!P65/'Target Rev Productivity'!P65,0)</f>
        <v>42.173913043478265</v>
      </c>
      <c r="Q65" s="17">
        <f>IFERROR(Rev_Forecast!Q65/'Target Rev Productivity'!Q65,0)</f>
        <v>0</v>
      </c>
      <c r="R65" s="17">
        <f>IFERROR(Rev_Forecast!R65/'Target Rev Productivity'!R65,0)</f>
        <v>35.217391304347828</v>
      </c>
      <c r="S65" s="17">
        <f>IFERROR(Rev_Forecast!S65/'Target Rev Productivity'!S65,0)</f>
        <v>27.272173913043481</v>
      </c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f>IFERROR(Revenue_Actual!H66/'Target Rev Productivity'!H66,0)</f>
        <v>0</v>
      </c>
      <c r="I66" s="19">
        <f>IFERROR(Revenue_Actual!I66/'Target Rev Productivity'!I66,0)</f>
        <v>0</v>
      </c>
      <c r="J66" s="19">
        <f>IFERROR(Revenue_Actual!J66/'Target Rev Productivity'!J66,0)</f>
        <v>0</v>
      </c>
      <c r="K66" s="19">
        <f>IFERROR(Revenue_Actual!K66/'Target Rev Productivity'!K66,0)</f>
        <v>0</v>
      </c>
      <c r="L66" s="19">
        <f>IFERROR(Revenue_Actual!L66/'Target Rev Productivity'!L66,0)</f>
        <v>0</v>
      </c>
      <c r="M66" s="19">
        <f>IFERROR(Revenue_Actual!M66/'Target Rev Productivity'!M66,0)</f>
        <v>0</v>
      </c>
      <c r="N66" s="19">
        <f>IFERROR(Revenue_Actual!N66/'Target Rev Productivity'!N66,0)</f>
        <v>0</v>
      </c>
      <c r="O66" s="19">
        <f>IFERROR(Revenue_Actual!O66/'Target Rev Productivity'!O66,0)</f>
        <v>0</v>
      </c>
      <c r="P66" s="19">
        <f>IFERROR(Revenue_Actual!P66/'Target Rev Productivity'!P66,0)</f>
        <v>0</v>
      </c>
      <c r="Q66" s="17">
        <f>IFERROR(Rev_Forecast!Q66/'Target Rev Productivity'!Q66,0)</f>
        <v>0.47272727272727272</v>
      </c>
      <c r="R66" s="17">
        <f>IFERROR(Rev_Forecast!R66/'Target Rev Productivity'!R66,0)</f>
        <v>0</v>
      </c>
      <c r="S66" s="17">
        <f>IFERROR(Rev_Forecast!S66/'Target Rev Productivity'!S66,0)</f>
        <v>0</v>
      </c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f>IFERROR(Revenue_Actual!H67/'Target Rev Productivity'!H67,0)</f>
        <v>0.68181818181818177</v>
      </c>
      <c r="I67" s="19">
        <f>IFERROR(Revenue_Actual!I67/'Target Rev Productivity'!I67,0)</f>
        <v>0.68181818181818177</v>
      </c>
      <c r="J67" s="19">
        <f>IFERROR(Revenue_Actual!J67/'Target Rev Productivity'!J67,0)</f>
        <v>2.0090909090909088</v>
      </c>
      <c r="K67" s="19">
        <f>IFERROR(Revenue_Actual!K67/'Target Rev Productivity'!K67,0)</f>
        <v>2.0434782608695654</v>
      </c>
      <c r="L67" s="19">
        <f>IFERROR(Revenue_Actual!L67/'Target Rev Productivity'!L67,0)</f>
        <v>1.4434782608695653</v>
      </c>
      <c r="M67" s="19">
        <f>IFERROR(Revenue_Actual!M67/'Target Rev Productivity'!M67,0)</f>
        <v>3.4782608695652177</v>
      </c>
      <c r="N67" s="19">
        <f>IFERROR(Revenue_Actual!N67/'Target Rev Productivity'!N67,0)</f>
        <v>5</v>
      </c>
      <c r="O67" s="19">
        <f>IFERROR(Revenue_Actual!O67/'Target Rev Productivity'!O67,0)</f>
        <v>4.91</v>
      </c>
      <c r="P67" s="19">
        <f>IFERROR(Revenue_Actual!P67/'Target Rev Productivity'!P67,0)</f>
        <v>6</v>
      </c>
      <c r="Q67" s="17">
        <f>IFERROR(Rev_Forecast!Q67/'Target Rev Productivity'!Q67,0)</f>
        <v>1.3636363636363635</v>
      </c>
      <c r="R67" s="17">
        <f>IFERROR(Rev_Forecast!R67/'Target Rev Productivity'!R67,0)</f>
        <v>4.7272727272727266</v>
      </c>
      <c r="S67" s="17">
        <f>IFERROR(Rev_Forecast!S67/'Target Rev Productivity'!S67,0)</f>
        <v>5</v>
      </c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f>IFERROR(Revenue_Actual!H68/'Target Rev Productivity'!H68,0)</f>
        <v>0</v>
      </c>
      <c r="I68" s="19">
        <f>IFERROR(Revenue_Actual!I68/'Target Rev Productivity'!I68,0)</f>
        <v>0</v>
      </c>
      <c r="J68" s="19">
        <f>IFERROR(Revenue_Actual!J68/'Target Rev Productivity'!J68,0)</f>
        <v>0</v>
      </c>
      <c r="K68" s="19">
        <f>IFERROR(Revenue_Actual!K68/'Target Rev Productivity'!K68,0)</f>
        <v>0</v>
      </c>
      <c r="L68" s="19">
        <f>IFERROR(Revenue_Actual!L68/'Target Rev Productivity'!L68,0)</f>
        <v>0</v>
      </c>
      <c r="M68" s="19">
        <f>IFERROR(Revenue_Actual!M68/'Target Rev Productivity'!M68,0)</f>
        <v>0</v>
      </c>
      <c r="N68" s="19">
        <f>IFERROR(Revenue_Actual!N68/'Target Rev Productivity'!N68,0)</f>
        <v>0.875</v>
      </c>
      <c r="O68" s="19">
        <f>IFERROR(Revenue_Actual!O68/'Target Rev Productivity'!O68,0)</f>
        <v>0.95</v>
      </c>
      <c r="P68" s="19">
        <f>IFERROR(Revenue_Actual!P68/'Target Rev Productivity'!P68,0)</f>
        <v>1.25</v>
      </c>
      <c r="Q68" s="17">
        <f>IFERROR(Rev_Forecast!Q68/'Target Rev Productivity'!Q68,0)</f>
        <v>0.90909090909090906</v>
      </c>
      <c r="R68" s="17">
        <f>IFERROR(Rev_Forecast!R68/'Target Rev Productivity'!R68,0)</f>
        <v>1.4090909090909089</v>
      </c>
      <c r="S68" s="17">
        <f>IFERROR(Rev_Forecast!S68/'Target Rev Productivity'!S68,0)</f>
        <v>3.0227272727272725</v>
      </c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9">
        <f>IFERROR(Revenue_Actual!H69/'Target Rev Productivity'!H69,0)</f>
        <v>0</v>
      </c>
      <c r="I69" s="19">
        <f>IFERROR(Revenue_Actual!I69/'Target Rev Productivity'!I69,0)</f>
        <v>0</v>
      </c>
      <c r="J69" s="19">
        <f>IFERROR(Revenue_Actual!J69/'Target Rev Productivity'!J69,0)</f>
        <v>0</v>
      </c>
      <c r="K69" s="19">
        <f>IFERROR(Revenue_Actual!K69/'Target Rev Productivity'!K69,0)</f>
        <v>0</v>
      </c>
      <c r="L69" s="19">
        <f>IFERROR(Revenue_Actual!L69/'Target Rev Productivity'!L69,0)</f>
        <v>0</v>
      </c>
      <c r="M69" s="19">
        <f>IFERROR(Revenue_Actual!M69/'Target Rev Productivity'!M69,0)</f>
        <v>0</v>
      </c>
      <c r="N69" s="19">
        <f>IFERROR(Revenue_Actual!N69/'Target Rev Productivity'!N69,0)</f>
        <v>0</v>
      </c>
      <c r="O69" s="19">
        <f>IFERROR(Revenue_Actual!O69/'Target Rev Productivity'!O69,0)</f>
        <v>0</v>
      </c>
      <c r="P69" s="19">
        <f>IFERROR(Revenue_Actual!P69/'Target Rev Productivity'!P69,0)</f>
        <v>0</v>
      </c>
      <c r="Q69" s="17">
        <f>IFERROR(Rev_Forecast!Q69/'Target Rev Productivity'!Q69,0)</f>
        <v>0</v>
      </c>
      <c r="R69" s="17">
        <f>IFERROR(Rev_Forecast!R69/'Target Rev Productivity'!R69,0)</f>
        <v>1.6909090909090909</v>
      </c>
      <c r="S69" s="17">
        <f>IFERROR(Rev_Forecast!S69/'Target Rev Productivity'!S69,0)</f>
        <v>1.6909090909090909</v>
      </c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f>IFERROR(Revenue_Actual!H70/'Target Rev Productivity'!H70,0)</f>
        <v>0</v>
      </c>
      <c r="I70" s="19">
        <f>IFERROR(Revenue_Actual!I70/'Target Rev Productivity'!I70,0)</f>
        <v>4.3181818181818175</v>
      </c>
      <c r="J70" s="19">
        <f>IFERROR(Revenue_Actual!J70/'Target Rev Productivity'!J70,0)</f>
        <v>5.6818181818181817</v>
      </c>
      <c r="K70" s="19">
        <f>IFERROR(Revenue_Actual!K70/'Target Rev Productivity'!K70,0)</f>
        <v>1.8982608695652174</v>
      </c>
      <c r="L70" s="19">
        <f>IFERROR(Revenue_Actual!L70/'Target Rev Productivity'!L70,0)</f>
        <v>4.1304347826086962</v>
      </c>
      <c r="M70" s="19">
        <f>IFERROR(Revenue_Actual!M70/'Target Rev Productivity'!M70,0)</f>
        <v>4.0652173913043477</v>
      </c>
      <c r="N70" s="19">
        <f>IFERROR(Revenue_Actual!N70/'Target Rev Productivity'!N70,0)</f>
        <v>3.8050000000000002</v>
      </c>
      <c r="O70" s="19">
        <f>IFERROR(Revenue_Actual!O70/'Target Rev Productivity'!O70,0)</f>
        <v>4.16</v>
      </c>
      <c r="P70" s="19">
        <f>IFERROR(Revenue_Actual!P70/'Target Rev Productivity'!P70,0)</f>
        <v>5.25</v>
      </c>
      <c r="Q70" s="17">
        <f>IFERROR(Rev_Forecast!Q70/'Target Rev Productivity'!Q70,0)</f>
        <v>0</v>
      </c>
      <c r="R70" s="17">
        <f>IFERROR(Rev_Forecast!R70/'Target Rev Productivity'!R70,0)</f>
        <v>3.1012363636363633</v>
      </c>
      <c r="S70" s="17">
        <f>IFERROR(Rev_Forecast!S70/'Target Rev Productivity'!S70,0)</f>
        <v>4.4545454545454541</v>
      </c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f>IFERROR(Revenue_Actual!H71/'Target Rev Productivity'!H71,0)</f>
        <v>0</v>
      </c>
      <c r="I71" s="19">
        <f>IFERROR(Revenue_Actual!I71/'Target Rev Productivity'!I71,0)</f>
        <v>0</v>
      </c>
      <c r="J71" s="19">
        <f>IFERROR(Revenue_Actual!J71/'Target Rev Productivity'!J71,0)</f>
        <v>0</v>
      </c>
      <c r="K71" s="19">
        <f>IFERROR(Revenue_Actual!K71/'Target Rev Productivity'!K71,0)</f>
        <v>0</v>
      </c>
      <c r="L71" s="19">
        <f>IFERROR(Revenue_Actual!L71/'Target Rev Productivity'!L71,0)</f>
        <v>0</v>
      </c>
      <c r="M71" s="19">
        <f>IFERROR(Revenue_Actual!M71/'Target Rev Productivity'!M71,0)</f>
        <v>0</v>
      </c>
      <c r="N71" s="19">
        <f>IFERROR(Revenue_Actual!N71/'Target Rev Productivity'!N71,0)</f>
        <v>0</v>
      </c>
      <c r="O71" s="19">
        <f>IFERROR(Revenue_Actual!O71/'Target Rev Productivity'!O71,0)</f>
        <v>0</v>
      </c>
      <c r="P71" s="19">
        <f>IFERROR(Revenue_Actual!P71/'Target Rev Productivity'!P71,0)</f>
        <v>0</v>
      </c>
      <c r="Q71" s="17">
        <f>IFERROR(Rev_Forecast!Q71/'Target Rev Productivity'!Q71,0)</f>
        <v>0</v>
      </c>
      <c r="R71" s="17">
        <f>IFERROR(Rev_Forecast!R71/'Target Rev Productivity'!R71,0)</f>
        <v>0.88636363636363624</v>
      </c>
      <c r="S71" s="17">
        <f>IFERROR(Rev_Forecast!S71/'Target Rev Productivity'!S71,0)</f>
        <v>1.7954545454545454</v>
      </c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f>IFERROR(Revenue_Actual!H72/'Target Rev Productivity'!H72,0)</f>
        <v>0.69818181818181813</v>
      </c>
      <c r="I72" s="19">
        <f>IFERROR(Revenue_Actual!I72/'Target Rev Productivity'!I72,0)</f>
        <v>1.0227272727272727</v>
      </c>
      <c r="J72" s="19">
        <f>IFERROR(Revenue_Actual!J72/'Target Rev Productivity'!J72,0)</f>
        <v>1.2272727272727273</v>
      </c>
      <c r="K72" s="19">
        <f>IFERROR(Revenue_Actual!K72/'Target Rev Productivity'!K72,0)</f>
        <v>0.86956521739130443</v>
      </c>
      <c r="L72" s="19">
        <f>IFERROR(Revenue_Actual!L72/'Target Rev Productivity'!L72,0)</f>
        <v>0.86956521739130443</v>
      </c>
      <c r="M72" s="19">
        <f>IFERROR(Revenue_Actual!M72/'Target Rev Productivity'!M72,0)</f>
        <v>6.8000000000000007</v>
      </c>
      <c r="N72" s="19">
        <f>IFERROR(Revenue_Actual!N72/'Target Rev Productivity'!N72,0)</f>
        <v>1.25</v>
      </c>
      <c r="O72" s="19">
        <f>IFERROR(Revenue_Actual!O72/'Target Rev Productivity'!O72,0)</f>
        <v>2.6749999999999998</v>
      </c>
      <c r="P72" s="19">
        <f>IFERROR(Revenue_Actual!P72/'Target Rev Productivity'!P72,0)</f>
        <v>2.5649999999999999</v>
      </c>
      <c r="Q72" s="17">
        <f>IFERROR(Rev_Forecast!Q72/'Target Rev Productivity'!Q72,0)</f>
        <v>0</v>
      </c>
      <c r="R72" s="17">
        <f>IFERROR(Rev_Forecast!R72/'Target Rev Productivity'!R72,0)</f>
        <v>1.7954545454545454</v>
      </c>
      <c r="S72" s="17">
        <f>IFERROR(Rev_Forecast!S72/'Target Rev Productivity'!S72,0)</f>
        <v>1.3636363636363631</v>
      </c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f>IFERROR(Revenue_Actual!H73/'Target Rev Productivity'!H73,0)</f>
        <v>0.79545454545454541</v>
      </c>
      <c r="I73" s="19">
        <f>IFERROR(Revenue_Actual!I73/'Target Rev Productivity'!I73,0)</f>
        <v>0.74999999999999989</v>
      </c>
      <c r="J73" s="19">
        <f>IFERROR(Revenue_Actual!J73/'Target Rev Productivity'!J73,0)</f>
        <v>0.7727272727272726</v>
      </c>
      <c r="K73" s="19">
        <f>IFERROR(Revenue_Actual!K73/'Target Rev Productivity'!K73,0)</f>
        <v>1.798913043478261</v>
      </c>
      <c r="L73" s="19">
        <f>IFERROR(Revenue_Actual!L73/'Target Rev Productivity'!L73,0)</f>
        <v>2.519021739130435</v>
      </c>
      <c r="M73" s="19">
        <f>IFERROR(Revenue_Actual!M73/'Target Rev Productivity'!M73,0)</f>
        <v>1.6521739130434783</v>
      </c>
      <c r="N73" s="19">
        <f>IFERROR(Revenue_Actual!N73/'Target Rev Productivity'!N73,0)</f>
        <v>2.84</v>
      </c>
      <c r="O73" s="19">
        <f>IFERROR(Revenue_Actual!O73/'Target Rev Productivity'!O73,0)</f>
        <v>0.325625</v>
      </c>
      <c r="P73" s="19">
        <f>IFERROR(Revenue_Actual!P73/'Target Rev Productivity'!P73,0)</f>
        <v>2.03125</v>
      </c>
      <c r="Q73" s="17">
        <f>IFERROR(Rev_Forecast!Q73/'Target Rev Productivity'!Q73,0)</f>
        <v>0</v>
      </c>
      <c r="R73" s="17">
        <f>IFERROR(Rev_Forecast!R73/'Target Rev Productivity'!R73,0)</f>
        <v>2.5553954545454545</v>
      </c>
      <c r="S73" s="17">
        <f>IFERROR(Rev_Forecast!S73/'Target Rev Productivity'!S73,0)</f>
        <v>2.8607954545454546</v>
      </c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f>IFERROR(Revenue_Actual!H74/'Target Rev Productivity'!H74,0)</f>
        <v>0</v>
      </c>
      <c r="I74" s="19">
        <f>IFERROR(Revenue_Actual!I74/'Target Rev Productivity'!I74,0)</f>
        <v>0</v>
      </c>
      <c r="J74" s="19">
        <f>IFERROR(Revenue_Actual!J74/'Target Rev Productivity'!J74,0)</f>
        <v>0</v>
      </c>
      <c r="K74" s="19">
        <f>IFERROR(Revenue_Actual!K74/'Target Rev Productivity'!K74,0)</f>
        <v>0</v>
      </c>
      <c r="L74" s="19">
        <f>IFERROR(Revenue_Actual!L74/'Target Rev Productivity'!L74,0)</f>
        <v>0</v>
      </c>
      <c r="M74" s="19">
        <f>IFERROR(Revenue_Actual!M74/'Target Rev Productivity'!M74,0)</f>
        <v>0</v>
      </c>
      <c r="N74" s="19">
        <f>IFERROR(Revenue_Actual!N74/'Target Rev Productivity'!N74,0)</f>
        <v>0</v>
      </c>
      <c r="O74" s="19">
        <f>IFERROR(Revenue_Actual!O74/'Target Rev Productivity'!O74,0)</f>
        <v>0</v>
      </c>
      <c r="P74" s="19">
        <f>IFERROR(Revenue_Actual!P74/'Target Rev Productivity'!P74,0)</f>
        <v>0</v>
      </c>
      <c r="Q74" s="17">
        <f>IFERROR(Rev_Forecast!Q74/'Target Rev Productivity'!Q74,0)</f>
        <v>0</v>
      </c>
      <c r="R74" s="17">
        <f>IFERROR(Rev_Forecast!R74/'Target Rev Productivity'!R74,0)</f>
        <v>0</v>
      </c>
      <c r="S74" s="17">
        <f>IFERROR(Rev_Forecast!S74/'Target Rev Productivity'!S74,0)</f>
        <v>0.90909090909090906</v>
      </c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9">
        <f>IFERROR(Revenue_Actual!H75/'Target Rev Productivity'!H75,0)</f>
        <v>0</v>
      </c>
      <c r="I75" s="19">
        <f>IFERROR(Revenue_Actual!I75/'Target Rev Productivity'!I75,0)</f>
        <v>0</v>
      </c>
      <c r="J75" s="19">
        <f>IFERROR(Revenue_Actual!J75/'Target Rev Productivity'!J75,0)</f>
        <v>0</v>
      </c>
      <c r="K75" s="19">
        <f>IFERROR(Revenue_Actual!K75/'Target Rev Productivity'!K75,0)</f>
        <v>0</v>
      </c>
      <c r="L75" s="19">
        <f>IFERROR(Revenue_Actual!L75/'Target Rev Productivity'!L75,0)</f>
        <v>0</v>
      </c>
      <c r="M75" s="19">
        <f>IFERROR(Revenue_Actual!M75/'Target Rev Productivity'!M75,0)</f>
        <v>0</v>
      </c>
      <c r="N75" s="19">
        <f>IFERROR(Revenue_Actual!N75/'Target Rev Productivity'!N75,0)</f>
        <v>0</v>
      </c>
      <c r="O75" s="19">
        <f>IFERROR(Revenue_Actual!O75/'Target Rev Productivity'!O75,0)</f>
        <v>0</v>
      </c>
      <c r="P75" s="19">
        <f>IFERROR(Revenue_Actual!P75/'Target Rev Productivity'!P75,0)</f>
        <v>0</v>
      </c>
      <c r="Q75" s="17">
        <f>IFERROR(Rev_Forecast!Q75/'Target Rev Productivity'!Q75,0)</f>
        <v>0</v>
      </c>
      <c r="R75" s="17">
        <f>IFERROR(Rev_Forecast!R75/'Target Rev Productivity'!R75,0)</f>
        <v>0.84090909090909083</v>
      </c>
      <c r="S75" s="17">
        <f>IFERROR(Rev_Forecast!S75/'Target Rev Productivity'!S75,0)</f>
        <v>2</v>
      </c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f>IFERROR(Revenue_Actual!H76/'Target Rev Productivity'!H76,0)</f>
        <v>0</v>
      </c>
      <c r="I76" s="19">
        <f>IFERROR(Revenue_Actual!I76/'Target Rev Productivity'!I76,0)</f>
        <v>0</v>
      </c>
      <c r="J76" s="19">
        <f>IFERROR(Revenue_Actual!J76/'Target Rev Productivity'!J76,0)</f>
        <v>0</v>
      </c>
      <c r="K76" s="19">
        <f>IFERROR(Revenue_Actual!K76/'Target Rev Productivity'!K76,0)</f>
        <v>0</v>
      </c>
      <c r="L76" s="19">
        <f>IFERROR(Revenue_Actual!L76/'Target Rev Productivity'!L76,0)</f>
        <v>0</v>
      </c>
      <c r="M76" s="19">
        <f>IFERROR(Revenue_Actual!M76/'Target Rev Productivity'!M76,0)</f>
        <v>0</v>
      </c>
      <c r="N76" s="19">
        <f>IFERROR(Revenue_Actual!N76/'Target Rev Productivity'!N76,0)</f>
        <v>0</v>
      </c>
      <c r="O76" s="19">
        <f>IFERROR(Revenue_Actual!O76/'Target Rev Productivity'!O76,0)</f>
        <v>0</v>
      </c>
      <c r="P76" s="19">
        <f>IFERROR(Revenue_Actual!P76/'Target Rev Productivity'!P76,0)</f>
        <v>0</v>
      </c>
      <c r="Q76" s="17">
        <f>IFERROR(Rev_Forecast!Q76/'Target Rev Productivity'!Q76,0)</f>
        <v>0</v>
      </c>
      <c r="R76" s="17">
        <f>IFERROR(Rev_Forecast!R76/'Target Rev Productivity'!R76,0)</f>
        <v>0.19727272727272727</v>
      </c>
      <c r="S76" s="17">
        <f>IFERROR(Rev_Forecast!S76/'Target Rev Productivity'!S76,0)</f>
        <v>0.90909090909090906</v>
      </c>
      <c r="T76" s="4"/>
    </row>
  </sheetData>
  <conditionalFormatting sqref="A1:B1 I1:S1 E1:G1">
    <cfRule type="duplicateValues" dxfId="31" priority="1"/>
  </conditionalFormatting>
  <conditionalFormatting sqref="B51:B73 B2:B41">
    <cfRule type="duplicateValues" dxfId="30" priority="5"/>
  </conditionalFormatting>
  <conditionalFormatting sqref="B74:B76 B42:B50">
    <cfRule type="duplicateValues" dxfId="29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7747-132A-47F8-8BAC-E4E6DD59160B}">
  <sheetPr codeName="Sheet15">
    <tabColor rgb="FF92D050"/>
  </sheetPr>
  <dimension ref="A1:T86"/>
  <sheetViews>
    <sheetView topLeftCell="C1" workbookViewId="0">
      <selection activeCell="S2" sqref="S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7" bestFit="1" customWidth="1"/>
    <col min="9" max="9" width="7.453125" bestFit="1" customWidth="1"/>
    <col min="10" max="11" width="7" bestFit="1" customWidth="1"/>
    <col min="12" max="12" width="7.1796875" bestFit="1" customWidth="1"/>
    <col min="13" max="14" width="7" bestFit="1" customWidth="1"/>
    <col min="15" max="15" width="7.26953125" bestFit="1" customWidth="1"/>
    <col min="16" max="16" width="7" bestFit="1" customWidth="1"/>
    <col min="17" max="17" width="6.81640625" bestFit="1" customWidth="1"/>
    <col min="18" max="18" width="7" bestFit="1" customWidth="1"/>
    <col min="19" max="19" width="7.1796875" bestFit="1" customWidth="1"/>
  </cols>
  <sheetData>
    <row r="1" spans="1:20" x14ac:dyDescent="0.35">
      <c r="H1" s="3"/>
      <c r="I1" s="3"/>
      <c r="J1" s="3"/>
      <c r="K1" s="3"/>
      <c r="L1" s="3"/>
      <c r="M1" s="3"/>
      <c r="N1" s="3"/>
      <c r="O1" s="3"/>
      <c r="P1" s="3"/>
    </row>
    <row r="2" spans="1:20" x14ac:dyDescent="0.35">
      <c r="A2" s="13" t="str">
        <f>Revenue_Budget!A1</f>
        <v>FY</v>
      </c>
      <c r="B2" s="13" t="str">
        <f>Revenue_Budget!B1</f>
        <v>Project</v>
      </c>
      <c r="C2" s="13" t="str">
        <f>Revenue_Budget!C1</f>
        <v>Vertical</v>
      </c>
      <c r="D2" s="13" t="str">
        <f>Revenue_Budget!D1</f>
        <v>Region</v>
      </c>
      <c r="E2" s="13" t="str">
        <f>Revenue_Budget!E1</f>
        <v>Sub Region</v>
      </c>
      <c r="F2" s="13" t="str">
        <f>Revenue_Budget!F1</f>
        <v>Region Head</v>
      </c>
      <c r="G2" s="13" t="str">
        <f>Revenue_Budget!G1</f>
        <v>Practice Head</v>
      </c>
      <c r="H2" s="14">
        <f>Revenue_Budget!H1</f>
        <v>45748</v>
      </c>
      <c r="I2" s="14">
        <f>Revenue_Budget!I1</f>
        <v>45778</v>
      </c>
      <c r="J2" s="14">
        <f>Revenue_Budget!J1</f>
        <v>45809</v>
      </c>
      <c r="K2" s="14">
        <f>Revenue_Budget!K1</f>
        <v>45839</v>
      </c>
      <c r="L2" s="14">
        <f>Revenue_Budget!L1</f>
        <v>45870</v>
      </c>
      <c r="M2" s="14">
        <f>Revenue_Budget!M1</f>
        <v>45901</v>
      </c>
      <c r="N2" s="14">
        <f>Revenue_Budget!N1</f>
        <v>45931</v>
      </c>
      <c r="O2" s="14">
        <f>Revenue_Budget!O1</f>
        <v>45962</v>
      </c>
      <c r="P2" s="14">
        <f>Revenue_Budget!P1</f>
        <v>45992</v>
      </c>
      <c r="Q2" s="14">
        <f>Revenue_Budget!Q1</f>
        <v>46023</v>
      </c>
      <c r="R2" s="14">
        <f>Revenue_Budget!R1</f>
        <v>46054</v>
      </c>
      <c r="S2" s="14">
        <f>Revenue_Budget!S1</f>
        <v>46082</v>
      </c>
    </row>
    <row r="3" spans="1:20" x14ac:dyDescent="0.35">
      <c r="A3" s="15" t="s">
        <v>117</v>
      </c>
      <c r="B3" s="15" t="s">
        <v>3</v>
      </c>
      <c r="C3" s="15" t="str">
        <f>VLOOKUP(B3,Mapping!A:B,2,0)</f>
        <v>Lateral</v>
      </c>
      <c r="D3" s="15" t="str">
        <f>VLOOKUP(B3,Mapping!A:C,3,0)</f>
        <v>South</v>
      </c>
      <c r="E3" s="15" t="str">
        <f>VLOOKUP(B3,Mapping!A:D,4,0)</f>
        <v>South 1</v>
      </c>
      <c r="F3" s="15" t="str">
        <f>VLOOKUP(B3,Mapping!A:E,5,0)</f>
        <v>Bapi</v>
      </c>
      <c r="G3" s="15" t="str">
        <f>VLOOKUP(B3,Mapping!A:F,6,0)</f>
        <v>Bapi</v>
      </c>
      <c r="H3" s="30">
        <v>98637.520538683137</v>
      </c>
      <c r="I3" s="30">
        <v>93217.266314922919</v>
      </c>
      <c r="J3" s="30">
        <v>101944.30750162783</v>
      </c>
      <c r="K3" s="30">
        <v>108535.3683433861</v>
      </c>
      <c r="L3" s="30">
        <v>108928.60180244403</v>
      </c>
      <c r="M3" s="30">
        <v>112381.78461936087</v>
      </c>
      <c r="N3" s="30">
        <v>111109.63586745848</v>
      </c>
      <c r="O3" s="30">
        <v>115972.83215488216</v>
      </c>
      <c r="P3" s="30">
        <v>111864.83516922094</v>
      </c>
      <c r="Q3" s="30">
        <v>109141.05473252483</v>
      </c>
      <c r="R3" s="30">
        <v>100550.851072153</v>
      </c>
      <c r="S3" s="30">
        <v>116096.35050810687</v>
      </c>
      <c r="T3" s="4"/>
    </row>
    <row r="4" spans="1:20" x14ac:dyDescent="0.35">
      <c r="A4" s="15" t="s">
        <v>117</v>
      </c>
      <c r="B4" s="15" t="s">
        <v>5</v>
      </c>
      <c r="C4" s="15" t="str">
        <f>VLOOKUP(B4,Mapping!A:B,2,0)</f>
        <v>Lateral</v>
      </c>
      <c r="D4" s="15" t="str">
        <f>VLOOKUP(B4,Mapping!A:C,3,0)</f>
        <v>West</v>
      </c>
      <c r="E4" s="15" t="str">
        <f>VLOOKUP(B4,Mapping!A:D,4,0)</f>
        <v>West 1</v>
      </c>
      <c r="F4" s="15" t="str">
        <f>VLOOKUP(B4,Mapping!A:E,5,0)</f>
        <v>Anjli</v>
      </c>
      <c r="G4" s="15" t="str">
        <f>VLOOKUP(B4,Mapping!A:F,6,0)</f>
        <v>Usha</v>
      </c>
      <c r="H4" s="30">
        <v>99442.955145292392</v>
      </c>
      <c r="I4" s="30">
        <v>107574.07639001678</v>
      </c>
      <c r="J4" s="30">
        <v>86959.95952247853</v>
      </c>
      <c r="K4" s="30">
        <v>95426.042580532856</v>
      </c>
      <c r="L4" s="30">
        <v>109265.73463261461</v>
      </c>
      <c r="M4" s="30">
        <v>103560.68417435134</v>
      </c>
      <c r="N4" s="30">
        <v>104911.9530956848</v>
      </c>
      <c r="O4" s="30">
        <v>105534.91296296295</v>
      </c>
      <c r="P4" s="30">
        <v>100903.54629629629</v>
      </c>
      <c r="Q4" s="30">
        <v>101527.6102880804</v>
      </c>
      <c r="R4" s="30">
        <v>97824.936973180083</v>
      </c>
      <c r="S4" s="30">
        <v>94935.402681992331</v>
      </c>
      <c r="T4" s="4"/>
    </row>
    <row r="5" spans="1:20" x14ac:dyDescent="0.35">
      <c r="A5" s="15" t="s">
        <v>117</v>
      </c>
      <c r="B5" s="15" t="s">
        <v>9</v>
      </c>
      <c r="C5" s="15" t="str">
        <f>VLOOKUP(B5,Mapping!A:B,2,0)</f>
        <v>Lateral</v>
      </c>
      <c r="D5" s="15" t="str">
        <f>VLOOKUP(B5,Mapping!A:C,3,0)</f>
        <v>West</v>
      </c>
      <c r="E5" s="15" t="str">
        <f>VLOOKUP(B5,Mapping!A:D,4,0)</f>
        <v>West 2</v>
      </c>
      <c r="F5" s="15" t="str">
        <f>VLOOKUP(B5,Mapping!A:E,5,0)</f>
        <v>Anjli</v>
      </c>
      <c r="G5" s="15" t="str">
        <f>VLOOKUP(B5,Mapping!A:F,6,0)</f>
        <v>Shweta</v>
      </c>
      <c r="H5" s="30"/>
      <c r="I5" s="30">
        <v>62724.340735600286</v>
      </c>
      <c r="J5" s="30">
        <v>45298.143272641501</v>
      </c>
      <c r="K5" s="30">
        <v>185007.3583074534</v>
      </c>
      <c r="L5" s="30"/>
      <c r="M5" s="30"/>
      <c r="N5" s="30"/>
      <c r="O5" s="30"/>
      <c r="P5" s="30"/>
      <c r="Q5" s="30">
        <v>0</v>
      </c>
      <c r="R5" s="30">
        <v>0</v>
      </c>
      <c r="S5" s="30">
        <v>0</v>
      </c>
      <c r="T5" s="4"/>
    </row>
    <row r="6" spans="1:20" x14ac:dyDescent="0.35">
      <c r="A6" s="15" t="s">
        <v>117</v>
      </c>
      <c r="B6" s="15" t="s">
        <v>11</v>
      </c>
      <c r="C6" s="15" t="str">
        <f>VLOOKUP(B6,Mapping!A:B,2,0)</f>
        <v>Lateral</v>
      </c>
      <c r="D6" s="15" t="str">
        <f>VLOOKUP(B6,Mapping!A:C,3,0)</f>
        <v>North</v>
      </c>
      <c r="E6" s="15" t="str">
        <f>VLOOKUP(B6,Mapping!A:D,4,0)</f>
        <v>North</v>
      </c>
      <c r="F6" s="15" t="str">
        <f>VLOOKUP(B6,Mapping!A:E,5,0)</f>
        <v>Anjli</v>
      </c>
      <c r="G6" s="15" t="str">
        <f>VLOOKUP(B6,Mapping!A:F,6,0)</f>
        <v>Archana</v>
      </c>
      <c r="H6" s="30">
        <v>108563.00276434002</v>
      </c>
      <c r="I6" s="30">
        <v>118043.92481165494</v>
      </c>
      <c r="J6" s="30">
        <v>110470.36369831764</v>
      </c>
      <c r="K6" s="30">
        <v>116080.69672059495</v>
      </c>
      <c r="L6" s="30">
        <v>119287.72737393707</v>
      </c>
      <c r="M6" s="30">
        <v>118697.59300626017</v>
      </c>
      <c r="N6" s="30">
        <v>111793.83541865984</v>
      </c>
      <c r="O6" s="30">
        <v>106884.72938808371</v>
      </c>
      <c r="P6" s="30">
        <v>109625.56628648516</v>
      </c>
      <c r="Q6" s="30">
        <v>105650.00565277024</v>
      </c>
      <c r="R6" s="30">
        <v>80720.613740856847</v>
      </c>
      <c r="S6" s="30">
        <v>118131.30167189133</v>
      </c>
      <c r="T6" s="4"/>
    </row>
    <row r="7" spans="1:20" x14ac:dyDescent="0.35">
      <c r="A7" s="15" t="s">
        <v>117</v>
      </c>
      <c r="B7" s="15" t="s">
        <v>13</v>
      </c>
      <c r="C7" s="15" t="str">
        <f>VLOOKUP(B7,Mapping!A:B,2,0)</f>
        <v>Lateral</v>
      </c>
      <c r="D7" s="15" t="str">
        <f>VLOOKUP(B7,Mapping!A:C,3,0)</f>
        <v>South</v>
      </c>
      <c r="E7" s="15" t="str">
        <f>VLOOKUP(B7,Mapping!A:D,4,0)</f>
        <v>South 1</v>
      </c>
      <c r="F7" s="15" t="str">
        <f>VLOOKUP(B7,Mapping!A:E,5,0)</f>
        <v>Sulabh</v>
      </c>
      <c r="G7" s="15" t="str">
        <f>VLOOKUP(B7,Mapping!A:F,6,0)</f>
        <v>Kunal</v>
      </c>
      <c r="H7" s="30">
        <v>95087.90204491558</v>
      </c>
      <c r="I7" s="30">
        <v>95258.054618616487</v>
      </c>
      <c r="J7" s="30">
        <v>93017.85224588796</v>
      </c>
      <c r="K7" s="30">
        <v>100257.32986116796</v>
      </c>
      <c r="L7" s="30">
        <v>102859.95553248275</v>
      </c>
      <c r="M7" s="30">
        <v>103263.1426358898</v>
      </c>
      <c r="N7" s="30">
        <v>105266.06694183864</v>
      </c>
      <c r="O7" s="30">
        <v>101109.42851851853</v>
      </c>
      <c r="P7" s="30">
        <v>107991.35074074075</v>
      </c>
      <c r="Q7" s="30">
        <v>106573.17473252484</v>
      </c>
      <c r="R7" s="30">
        <v>102903.75689655173</v>
      </c>
      <c r="S7" s="30">
        <v>97954.545161290313</v>
      </c>
      <c r="T7" s="4"/>
    </row>
    <row r="8" spans="1:20" x14ac:dyDescent="0.35">
      <c r="A8" s="15" t="s">
        <v>117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5" t="str">
        <f>VLOOKUP(B8,Mapping!A:D,4,0)</f>
        <v>West 1</v>
      </c>
      <c r="F8" s="15" t="str">
        <f>VLOOKUP(B8,Mapping!A:E,5,0)</f>
        <v>Anjli</v>
      </c>
      <c r="G8" s="15" t="str">
        <f>VLOOKUP(B8,Mapping!A:F,6,0)</f>
        <v>Usha</v>
      </c>
      <c r="H8" s="30">
        <v>72894.750747753977</v>
      </c>
      <c r="I8" s="30">
        <v>82490.969523479056</v>
      </c>
      <c r="J8" s="30">
        <v>74736.244895176511</v>
      </c>
      <c r="K8" s="30">
        <v>92675.858324891058</v>
      </c>
      <c r="L8" s="30">
        <v>87407.327431918806</v>
      </c>
      <c r="M8" s="30">
        <v>87024.495363162525</v>
      </c>
      <c r="N8" s="30">
        <v>63073.387315670429</v>
      </c>
      <c r="O8" s="30">
        <v>85138.968518518523</v>
      </c>
      <c r="P8" s="30">
        <v>79078.826442721795</v>
      </c>
      <c r="Q8" s="30">
        <v>70329.464568590411</v>
      </c>
      <c r="R8" s="30">
        <v>84004.689498432606</v>
      </c>
      <c r="S8" s="30">
        <v>82275.344644027791</v>
      </c>
      <c r="T8" s="4"/>
    </row>
    <row r="9" spans="1:20" x14ac:dyDescent="0.35">
      <c r="A9" s="15" t="s">
        <v>117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5" t="str">
        <f>VLOOKUP(B9,Mapping!A:D,4,0)</f>
        <v>West 2</v>
      </c>
      <c r="F9" s="15" t="str">
        <f>VLOOKUP(B9,Mapping!A:E,5,0)</f>
        <v>Anjli</v>
      </c>
      <c r="G9" s="15" t="str">
        <f>VLOOKUP(B9,Mapping!A:F,6,0)</f>
        <v>Shweta</v>
      </c>
      <c r="H9" s="30">
        <v>70936.35059042697</v>
      </c>
      <c r="I9" s="30">
        <v>104900.82262769193</v>
      </c>
      <c r="J9" s="30">
        <v>91931.015752241612</v>
      </c>
      <c r="K9" s="30">
        <v>104339.56085340465</v>
      </c>
      <c r="L9" s="30">
        <v>99196.144662758961</v>
      </c>
      <c r="M9" s="30">
        <v>123150.07977874692</v>
      </c>
      <c r="N9" s="30">
        <v>125319.29741802913</v>
      </c>
      <c r="O9" s="30">
        <v>132671.23042328042</v>
      </c>
      <c r="P9" s="30">
        <v>119646.27645502645</v>
      </c>
      <c r="Q9" s="30">
        <v>131986.43568490579</v>
      </c>
      <c r="R9" s="30">
        <v>121684.39729064038</v>
      </c>
      <c r="S9" s="30">
        <v>93070.692988505747</v>
      </c>
      <c r="T9" s="4"/>
    </row>
    <row r="10" spans="1:20" x14ac:dyDescent="0.35">
      <c r="A10" s="15" t="s">
        <v>117</v>
      </c>
      <c r="B10" s="15" t="s">
        <v>19</v>
      </c>
      <c r="C10" s="15" t="str">
        <f>VLOOKUP(B10,Mapping!A:B,2,0)</f>
        <v>Lateral</v>
      </c>
      <c r="D10" s="15" t="str">
        <f>VLOOKUP(B10,Mapping!A:C,3,0)</f>
        <v>West</v>
      </c>
      <c r="E10" s="15" t="str">
        <f>VLOOKUP(B10,Mapping!A:D,4,0)</f>
        <v>West 1</v>
      </c>
      <c r="F10" s="15" t="str">
        <f>VLOOKUP(B10,Mapping!A:E,5,0)</f>
        <v>Anjli</v>
      </c>
      <c r="G10" s="15" t="str">
        <f>VLOOKUP(B10,Mapping!A:F,6,0)</f>
        <v>Geetu</v>
      </c>
      <c r="H10" s="30">
        <v>95190.630215320416</v>
      </c>
      <c r="I10" s="30">
        <v>100748.89663946652</v>
      </c>
      <c r="J10" s="30">
        <v>91220.616503895348</v>
      </c>
      <c r="K10" s="30">
        <v>74297.374747432114</v>
      </c>
      <c r="L10" s="30">
        <v>80730.576349670751</v>
      </c>
      <c r="M10" s="30">
        <v>87279.992588941444</v>
      </c>
      <c r="N10" s="30">
        <v>103583.20083855226</v>
      </c>
      <c r="O10" s="30">
        <v>108206.69273376514</v>
      </c>
      <c r="P10" s="30">
        <v>94518.508341315464</v>
      </c>
      <c r="Q10" s="30">
        <v>94362.724260421819</v>
      </c>
      <c r="R10" s="30">
        <v>89509.988952197717</v>
      </c>
      <c r="S10" s="30">
        <v>84302.359286665684</v>
      </c>
      <c r="T10" s="4"/>
    </row>
    <row r="11" spans="1:20" x14ac:dyDescent="0.35">
      <c r="A11" s="15" t="s">
        <v>117</v>
      </c>
      <c r="B11" s="15" t="s">
        <v>21</v>
      </c>
      <c r="C11" s="15" t="str">
        <f>VLOOKUP(B11,Mapping!A:B,2,0)</f>
        <v>Lateral</v>
      </c>
      <c r="D11" s="15" t="str">
        <f>VLOOKUP(B11,Mapping!A:C,3,0)</f>
        <v>West</v>
      </c>
      <c r="E11" s="15" t="str">
        <f>VLOOKUP(B11,Mapping!A:D,4,0)</f>
        <v>West 1</v>
      </c>
      <c r="F11" s="15" t="str">
        <f>VLOOKUP(B11,Mapping!A:E,5,0)</f>
        <v>Anjli</v>
      </c>
      <c r="G11" s="15" t="str">
        <f>VLOOKUP(B11,Mapping!A:F,6,0)</f>
        <v>Geetu</v>
      </c>
      <c r="H11" s="30">
        <v>85347.265922234743</v>
      </c>
      <c r="I11" s="30">
        <v>78462.626222043647</v>
      </c>
      <c r="J11" s="30">
        <v>81754.182929211791</v>
      </c>
      <c r="K11" s="30">
        <v>97717.173034266278</v>
      </c>
      <c r="L11" s="30">
        <v>98500.78489249479</v>
      </c>
      <c r="M11" s="30">
        <v>119784.28145941923</v>
      </c>
      <c r="N11" s="30">
        <v>121898.98929477984</v>
      </c>
      <c r="O11" s="30">
        <v>120428.46851851854</v>
      </c>
      <c r="P11" s="30">
        <v>78909.990740740745</v>
      </c>
      <c r="Q11" s="30">
        <v>12494.054732524837</v>
      </c>
      <c r="R11" s="30">
        <v>0</v>
      </c>
      <c r="S11" s="30">
        <v>0</v>
      </c>
      <c r="T11" s="4"/>
    </row>
    <row r="12" spans="1:20" x14ac:dyDescent="0.35">
      <c r="A12" s="15" t="s">
        <v>117</v>
      </c>
      <c r="B12" s="15" t="s">
        <v>22</v>
      </c>
      <c r="C12" s="15" t="str">
        <f>VLOOKUP(B12,Mapping!A:B,2,0)</f>
        <v>Lateral</v>
      </c>
      <c r="D12" s="15" t="str">
        <f>VLOOKUP(B12,Mapping!A:C,3,0)</f>
        <v>South</v>
      </c>
      <c r="E12" s="15" t="str">
        <f>VLOOKUP(B12,Mapping!A:D,4,0)</f>
        <v>South 1</v>
      </c>
      <c r="F12" s="15" t="str">
        <f>VLOOKUP(B12,Mapping!A:E,5,0)</f>
        <v>Mahak</v>
      </c>
      <c r="G12" s="15" t="str">
        <f>VLOOKUP(B12,Mapping!A:F,6,0)</f>
        <v>Mahak</v>
      </c>
      <c r="H12" s="30">
        <v>131145.34891818615</v>
      </c>
      <c r="I12" s="30">
        <v>121833.61655501896</v>
      </c>
      <c r="J12" s="30">
        <v>129777.37583224775</v>
      </c>
      <c r="K12" s="30">
        <v>126602.88967575665</v>
      </c>
      <c r="L12" s="30">
        <v>139152.74834330473</v>
      </c>
      <c r="M12" s="30">
        <v>140430.07977874696</v>
      </c>
      <c r="N12" s="30">
        <v>142520.11793084964</v>
      </c>
      <c r="O12" s="30">
        <v>147495.65533170535</v>
      </c>
      <c r="P12" s="30">
        <v>142786.05667480669</v>
      </c>
      <c r="Q12" s="30">
        <v>134702.74223252485</v>
      </c>
      <c r="R12" s="30">
        <v>194506.32091157389</v>
      </c>
      <c r="S12" s="30">
        <v>291467.15022694942</v>
      </c>
      <c r="T12" s="4"/>
    </row>
    <row r="13" spans="1:20" x14ac:dyDescent="0.35">
      <c r="A13" s="15" t="s">
        <v>117</v>
      </c>
      <c r="B13" s="15" t="s">
        <v>24</v>
      </c>
      <c r="C13" s="15" t="str">
        <f>VLOOKUP(B13,Mapping!A:B,2,0)</f>
        <v>Lateral</v>
      </c>
      <c r="D13" s="15" t="str">
        <f>VLOOKUP(B13,Mapping!A:C,3,0)</f>
        <v>South</v>
      </c>
      <c r="E13" s="15" t="str">
        <f>VLOOKUP(B13,Mapping!A:D,4,0)</f>
        <v>South 1</v>
      </c>
      <c r="F13" s="15" t="str">
        <f>VLOOKUP(B13,Mapping!A:E,5,0)</f>
        <v>Anjli</v>
      </c>
      <c r="G13" s="15" t="str">
        <f>VLOOKUP(B13,Mapping!A:F,6,0)</f>
        <v>Satya</v>
      </c>
      <c r="H13" s="30">
        <v>115912.27926203587</v>
      </c>
      <c r="I13" s="30">
        <v>122678.69504795459</v>
      </c>
      <c r="J13" s="30">
        <v>118574.00129089088</v>
      </c>
      <c r="K13" s="30">
        <v>111613.08443102134</v>
      </c>
      <c r="L13" s="30">
        <v>130571.53001228684</v>
      </c>
      <c r="M13" s="30">
        <v>130137.28251612933</v>
      </c>
      <c r="N13" s="30">
        <v>133008.43628315604</v>
      </c>
      <c r="O13" s="30">
        <v>135470.24097360834</v>
      </c>
      <c r="P13" s="30">
        <v>135410.97277666887</v>
      </c>
      <c r="Q13" s="30">
        <v>140517.70742713564</v>
      </c>
      <c r="R13" s="30">
        <v>135248.87975428454</v>
      </c>
      <c r="S13" s="30">
        <v>132835.11129188928</v>
      </c>
      <c r="T13" s="4"/>
    </row>
    <row r="14" spans="1:20" x14ac:dyDescent="0.35">
      <c r="A14" s="15" t="s">
        <v>117</v>
      </c>
      <c r="B14" s="15" t="s">
        <v>26</v>
      </c>
      <c r="C14" s="15" t="str">
        <f>VLOOKUP(B14,Mapping!A:B,2,0)</f>
        <v>Lateral</v>
      </c>
      <c r="D14" s="15" t="str">
        <f>VLOOKUP(B14,Mapping!A:C,3,0)</f>
        <v>West</v>
      </c>
      <c r="E14" s="15" t="str">
        <f>VLOOKUP(B14,Mapping!A:D,4,0)</f>
        <v>West 1</v>
      </c>
      <c r="F14" s="15" t="str">
        <f>VLOOKUP(B14,Mapping!A:E,5,0)</f>
        <v>Anjli</v>
      </c>
      <c r="G14" s="15" t="str">
        <f>VLOOKUP(B14,Mapping!A:F,6,0)</f>
        <v>Geetu</v>
      </c>
      <c r="H14" s="30">
        <v>68598.604706087586</v>
      </c>
      <c r="I14" s="30">
        <v>77802.188481350458</v>
      </c>
      <c r="J14" s="30">
        <v>70601.36078778973</v>
      </c>
      <c r="K14" s="30">
        <v>81962.61815805042</v>
      </c>
      <c r="L14" s="30">
        <v>82607.660899379087</v>
      </c>
      <c r="M14" s="30">
        <v>86012.577827146626</v>
      </c>
      <c r="N14" s="30">
        <v>100190.46890502883</v>
      </c>
      <c r="O14" s="30">
        <v>97674.873426493956</v>
      </c>
      <c r="P14" s="30">
        <v>72355.730927938814</v>
      </c>
      <c r="Q14" s="30">
        <v>79207.054732524834</v>
      </c>
      <c r="R14" s="30">
        <v>66603.325862068974</v>
      </c>
      <c r="S14" s="30">
        <v>65851.23448275862</v>
      </c>
      <c r="T14" s="4"/>
    </row>
    <row r="15" spans="1:20" x14ac:dyDescent="0.35">
      <c r="A15" s="15" t="s">
        <v>117</v>
      </c>
      <c r="B15" s="15" t="s">
        <v>27</v>
      </c>
      <c r="C15" s="15" t="str">
        <f>VLOOKUP(B15,Mapping!A:B,2,0)</f>
        <v>Lateral</v>
      </c>
      <c r="D15" s="15" t="str">
        <f>VLOOKUP(B15,Mapping!A:C,3,0)</f>
        <v>South</v>
      </c>
      <c r="E15" s="15" t="str">
        <f>VLOOKUP(B15,Mapping!A:D,4,0)</f>
        <v>South 2</v>
      </c>
      <c r="F15" s="15" t="str">
        <f>VLOOKUP(B15,Mapping!A:E,5,0)</f>
        <v>Sulabh</v>
      </c>
      <c r="G15" s="15" t="str">
        <f>VLOOKUP(B15,Mapping!A:F,6,0)</f>
        <v>Krishna</v>
      </c>
      <c r="H15" s="30">
        <v>81042.00276434001</v>
      </c>
      <c r="I15" s="30">
        <v>74282.600755150619</v>
      </c>
      <c r="J15" s="30">
        <v>77580.486541138991</v>
      </c>
      <c r="K15" s="30">
        <v>83495.911043006796</v>
      </c>
      <c r="L15" s="30">
        <v>84336.896914033598</v>
      </c>
      <c r="M15" s="30">
        <v>84736.254893954305</v>
      </c>
      <c r="N15" s="30">
        <v>86005.042425709617</v>
      </c>
      <c r="O15" s="30">
        <v>82226.13518518518</v>
      </c>
      <c r="P15" s="30">
        <v>88513.021885521899</v>
      </c>
      <c r="Q15" s="30">
        <v>93572.340446810558</v>
      </c>
      <c r="R15" s="30">
        <v>91604.397290640394</v>
      </c>
      <c r="S15" s="30">
        <v>78154.22807881773</v>
      </c>
      <c r="T15" s="4"/>
    </row>
    <row r="16" spans="1:20" x14ac:dyDescent="0.35">
      <c r="A16" s="15" t="s">
        <v>117</v>
      </c>
      <c r="B16" s="15" t="s">
        <v>29</v>
      </c>
      <c r="C16" s="15" t="str">
        <f>VLOOKUP(B16,Mapping!A:B,2,0)</f>
        <v>Lateral</v>
      </c>
      <c r="D16" s="15" t="str">
        <f>VLOOKUP(B16,Mapping!A:C,3,0)</f>
        <v>West</v>
      </c>
      <c r="E16" s="15" t="str">
        <f>VLOOKUP(B16,Mapping!A:D,4,0)</f>
        <v>West 1</v>
      </c>
      <c r="F16" s="15" t="str">
        <f>VLOOKUP(B16,Mapping!A:E,5,0)</f>
        <v>Anjli</v>
      </c>
      <c r="G16" s="15" t="str">
        <f>VLOOKUP(B16,Mapping!A:F,6,0)</f>
        <v>Dhriti</v>
      </c>
      <c r="H16" s="30">
        <v>75836.847208784471</v>
      </c>
      <c r="I16" s="30">
        <v>88582.234802317878</v>
      </c>
      <c r="J16" s="30">
        <v>80926.24423056173</v>
      </c>
      <c r="K16" s="30">
        <v>96026.713342714764</v>
      </c>
      <c r="L16" s="30">
        <v>90495.849770504632</v>
      </c>
      <c r="M16" s="30">
        <v>100389.59443076159</v>
      </c>
      <c r="N16" s="30">
        <v>98224.815802598139</v>
      </c>
      <c r="O16" s="30">
        <v>99150.560623781668</v>
      </c>
      <c r="P16" s="30">
        <v>99816.310617283947</v>
      </c>
      <c r="Q16" s="30">
        <v>96112.027705497807</v>
      </c>
      <c r="R16" s="30">
        <v>94173.944909688013</v>
      </c>
      <c r="S16" s="30">
        <v>94394.377203065131</v>
      </c>
      <c r="T16" s="4"/>
    </row>
    <row r="17" spans="1:20" x14ac:dyDescent="0.35">
      <c r="A17" s="15" t="s">
        <v>117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5" t="str">
        <f>VLOOKUP(B17,Mapping!A:D,4,0)</f>
        <v>South 2</v>
      </c>
      <c r="F17" s="15" t="str">
        <f>VLOOKUP(B17,Mapping!A:E,5,0)</f>
        <v>Sulabh</v>
      </c>
      <c r="G17" s="15" t="str">
        <f>VLOOKUP(B17,Mapping!A:F,6,0)</f>
        <v>Krishna</v>
      </c>
      <c r="H17" s="30">
        <v>72212.00276434001</v>
      </c>
      <c r="I17" s="30">
        <v>84831.810432569982</v>
      </c>
      <c r="J17" s="30">
        <v>86298.810719453861</v>
      </c>
      <c r="K17" s="30">
        <v>62349.358307453418</v>
      </c>
      <c r="L17" s="30">
        <v>69842.14313346229</v>
      </c>
      <c r="M17" s="30"/>
      <c r="N17" s="30"/>
      <c r="O17" s="30"/>
      <c r="P17" s="30"/>
      <c r="Q17" s="30">
        <v>0</v>
      </c>
      <c r="R17" s="30">
        <v>0</v>
      </c>
      <c r="S17" s="30">
        <v>0</v>
      </c>
      <c r="T17" s="4"/>
    </row>
    <row r="18" spans="1:20" x14ac:dyDescent="0.35">
      <c r="A18" s="15" t="s">
        <v>117</v>
      </c>
      <c r="B18" s="15" t="s">
        <v>31</v>
      </c>
      <c r="C18" s="15" t="str">
        <f>VLOOKUP(B18,Mapping!A:B,2,0)</f>
        <v>Lateral</v>
      </c>
      <c r="D18" s="15" t="str">
        <f>VLOOKUP(B18,Mapping!A:C,3,0)</f>
        <v>South</v>
      </c>
      <c r="E18" s="15" t="str">
        <f>VLOOKUP(B18,Mapping!A:D,4,0)</f>
        <v>South 1</v>
      </c>
      <c r="F18" s="15" t="str">
        <f>VLOOKUP(B18,Mapping!A:E,5,0)</f>
        <v>Sulabh</v>
      </c>
      <c r="G18" s="15" t="str">
        <f>VLOOKUP(B18,Mapping!A:F,6,0)</f>
        <v>Subu</v>
      </c>
      <c r="H18" s="30">
        <v>94201.848918186166</v>
      </c>
      <c r="I18" s="30">
        <v>98201.38917272746</v>
      </c>
      <c r="J18" s="30">
        <v>105047.17387970701</v>
      </c>
      <c r="K18" s="30">
        <v>111590.45414342928</v>
      </c>
      <c r="L18" s="30">
        <v>112407.58130321398</v>
      </c>
      <c r="M18" s="30">
        <v>120830.76109742826</v>
      </c>
      <c r="N18" s="30">
        <v>115415.85694183865</v>
      </c>
      <c r="O18" s="30">
        <v>88915.579629629618</v>
      </c>
      <c r="P18" s="30">
        <v>94652.546296296292</v>
      </c>
      <c r="Q18" s="30">
        <v>90934.159995682727</v>
      </c>
      <c r="R18" s="30">
        <v>79452.931125226853</v>
      </c>
      <c r="S18" s="30">
        <v>86531.422629310342</v>
      </c>
      <c r="T18" s="4"/>
    </row>
    <row r="19" spans="1:20" x14ac:dyDescent="0.35">
      <c r="A19" s="15" t="s">
        <v>117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5" t="str">
        <f>VLOOKUP(B19,Mapping!A:D,4,0)</f>
        <v>West 2</v>
      </c>
      <c r="F19" s="15" t="str">
        <f>VLOOKUP(B19,Mapping!A:E,5,0)</f>
        <v>Anjli</v>
      </c>
      <c r="G19" s="15" t="str">
        <f>VLOOKUP(B19,Mapping!A:F,6,0)</f>
        <v>Anjli</v>
      </c>
      <c r="H19" s="30">
        <v>70785.00276434001</v>
      </c>
      <c r="I19" s="30">
        <v>51024.643765903311</v>
      </c>
      <c r="J19" s="30"/>
      <c r="K19" s="30"/>
      <c r="L19" s="30"/>
      <c r="M19" s="30"/>
      <c r="N19" s="30"/>
      <c r="O19" s="30"/>
      <c r="P19" s="30"/>
      <c r="Q19" s="30">
        <v>0</v>
      </c>
      <c r="R19" s="30">
        <v>0</v>
      </c>
      <c r="S19" s="30">
        <v>0</v>
      </c>
      <c r="T19" s="4"/>
    </row>
    <row r="20" spans="1:20" x14ac:dyDescent="0.35">
      <c r="A20" s="15" t="s">
        <v>117</v>
      </c>
      <c r="B20" s="15" t="s">
        <v>34</v>
      </c>
      <c r="C20" s="15" t="str">
        <f>VLOOKUP(B20,Mapping!A:B,2,0)</f>
        <v>Lateral</v>
      </c>
      <c r="D20" s="15" t="str">
        <f>VLOOKUP(B20,Mapping!A:C,3,0)</f>
        <v>West</v>
      </c>
      <c r="E20" s="15" t="str">
        <f>VLOOKUP(B20,Mapping!A:D,4,0)</f>
        <v>West 1</v>
      </c>
      <c r="F20" s="15" t="str">
        <f>VLOOKUP(B20,Mapping!A:E,5,0)</f>
        <v>Anjli</v>
      </c>
      <c r="G20" s="15" t="str">
        <f>VLOOKUP(B20,Mapping!A:F,6,0)</f>
        <v>Geetu</v>
      </c>
      <c r="H20" s="30">
        <v>78390.977874149699</v>
      </c>
      <c r="I20" s="30">
        <v>79278.633267215642</v>
      </c>
      <c r="J20" s="30">
        <v>80304.607183984845</v>
      </c>
      <c r="K20" s="30">
        <v>86535.085290489849</v>
      </c>
      <c r="L20" s="30">
        <v>87741.233001440909</v>
      </c>
      <c r="M20" s="30">
        <v>91806.830479027063</v>
      </c>
      <c r="N20" s="30">
        <v>101438.66249739421</v>
      </c>
      <c r="O20" s="30">
        <v>98274.370616420623</v>
      </c>
      <c r="P20" s="30">
        <v>93075.530130540385</v>
      </c>
      <c r="Q20" s="30">
        <v>79204.151819903476</v>
      </c>
      <c r="R20" s="30">
        <v>93351.942366923337</v>
      </c>
      <c r="S20" s="30">
        <v>101262.68579144162</v>
      </c>
      <c r="T20" s="4"/>
    </row>
    <row r="21" spans="1:20" x14ac:dyDescent="0.35">
      <c r="A21" s="15" t="s">
        <v>117</v>
      </c>
      <c r="B21" s="15" t="s">
        <v>35</v>
      </c>
      <c r="C21" s="15" t="str">
        <f>VLOOKUP(B21,Mapping!A:B,2,0)</f>
        <v>Lateral</v>
      </c>
      <c r="D21" s="15" t="str">
        <f>VLOOKUP(B21,Mapping!A:C,3,0)</f>
        <v>South</v>
      </c>
      <c r="E21" s="15" t="str">
        <f>VLOOKUP(B21,Mapping!A:D,4,0)</f>
        <v>South 1</v>
      </c>
      <c r="F21" s="15" t="str">
        <f>VLOOKUP(B21,Mapping!A:E,5,0)</f>
        <v>Sulabh</v>
      </c>
      <c r="G21" s="15" t="str">
        <f>VLOOKUP(B21,Mapping!A:F,6,0)</f>
        <v>Satya</v>
      </c>
      <c r="H21" s="30">
        <v>116782.6042680994</v>
      </c>
      <c r="I21" s="30">
        <v>136658.06043256997</v>
      </c>
      <c r="J21" s="30">
        <v>197868.00944526037</v>
      </c>
      <c r="K21" s="30">
        <v>145241.84731073849</v>
      </c>
      <c r="L21" s="30">
        <v>157254.64313346229</v>
      </c>
      <c r="M21" s="30">
        <v>146122.1098539349</v>
      </c>
      <c r="N21" s="30">
        <v>148160.70092680104</v>
      </c>
      <c r="O21" s="30">
        <v>319350.40791245794</v>
      </c>
      <c r="P21" s="30">
        <v>298315.62710437702</v>
      </c>
      <c r="Q21" s="30">
        <v>431963.75170222175</v>
      </c>
      <c r="R21" s="30">
        <v>359897.03798328107</v>
      </c>
      <c r="S21" s="30">
        <v>349862.63500522461</v>
      </c>
      <c r="T21" s="4"/>
    </row>
    <row r="22" spans="1:20" x14ac:dyDescent="0.35">
      <c r="A22" s="15" t="s">
        <v>117</v>
      </c>
      <c r="B22" s="15" t="s">
        <v>36</v>
      </c>
      <c r="C22" s="15" t="str">
        <f>VLOOKUP(B22,Mapping!A:B,2,0)</f>
        <v>Lateral</v>
      </c>
      <c r="D22" s="15" t="str">
        <f>VLOOKUP(B22,Mapping!A:C,3,0)</f>
        <v>West</v>
      </c>
      <c r="E22" s="15" t="str">
        <f>VLOOKUP(B22,Mapping!A:D,4,0)</f>
        <v>West 1</v>
      </c>
      <c r="F22" s="15" t="str">
        <f>VLOOKUP(B22,Mapping!A:E,5,0)</f>
        <v>Anjli</v>
      </c>
      <c r="G22" s="15" t="str">
        <f>VLOOKUP(B22,Mapping!A:F,6,0)</f>
        <v>Alifia</v>
      </c>
      <c r="H22" s="30">
        <v>82893.090377633052</v>
      </c>
      <c r="I22" s="30">
        <v>90774.935810213472</v>
      </c>
      <c r="J22" s="30">
        <v>88550.092859879995</v>
      </c>
      <c r="K22" s="30">
        <v>103714.6017446656</v>
      </c>
      <c r="L22" s="30">
        <v>95222.202581400372</v>
      </c>
      <c r="M22" s="30">
        <v>99418.43692160408</v>
      </c>
      <c r="N22" s="30">
        <v>100742.17837041008</v>
      </c>
      <c r="O22" s="30">
        <v>98603.571966794378</v>
      </c>
      <c r="P22" s="30">
        <v>93208.15262843488</v>
      </c>
      <c r="Q22" s="30">
        <v>86088.437085466008</v>
      </c>
      <c r="R22" s="30">
        <v>86437.098589341695</v>
      </c>
      <c r="S22" s="30">
        <v>85341.4416061706</v>
      </c>
      <c r="T22" s="4"/>
    </row>
    <row r="23" spans="1:20" x14ac:dyDescent="0.35">
      <c r="A23" s="15" t="s">
        <v>117</v>
      </c>
      <c r="B23" s="15" t="s">
        <v>38</v>
      </c>
      <c r="C23" s="15" t="str">
        <f>VLOOKUP(B23,Mapping!A:B,2,0)</f>
        <v>Lateral</v>
      </c>
      <c r="D23" s="15" t="str">
        <f>VLOOKUP(B23,Mapping!A:C,3,0)</f>
        <v>South</v>
      </c>
      <c r="E23" s="15" t="str">
        <f>VLOOKUP(B23,Mapping!A:D,4,0)</f>
        <v>South 2</v>
      </c>
      <c r="F23" s="15" t="str">
        <f>VLOOKUP(B23,Mapping!A:E,5,0)</f>
        <v>Sulabh</v>
      </c>
      <c r="G23" s="15" t="str">
        <f>VLOOKUP(B23,Mapping!A:F,6,0)</f>
        <v>Subu</v>
      </c>
      <c r="H23" s="30">
        <v>85189.541225878464</v>
      </c>
      <c r="I23" s="30">
        <v>100078.90079401576</v>
      </c>
      <c r="J23" s="30">
        <v>89131.11127317627</v>
      </c>
      <c r="K23" s="30">
        <v>116556.00885810988</v>
      </c>
      <c r="L23" s="30">
        <v>114191.75695765272</v>
      </c>
      <c r="M23" s="30">
        <v>99936.83802050518</v>
      </c>
      <c r="N23" s="30">
        <v>121680.24979898152</v>
      </c>
      <c r="O23" s="30">
        <v>116312.46851851852</v>
      </c>
      <c r="P23" s="30">
        <v>161982.4884259259</v>
      </c>
      <c r="Q23" s="30">
        <v>129619.38806585816</v>
      </c>
      <c r="R23" s="30">
        <v>122943.49252873562</v>
      </c>
      <c r="S23" s="30">
        <v>114625.27068965517</v>
      </c>
      <c r="T23" s="4"/>
    </row>
    <row r="24" spans="1:20" x14ac:dyDescent="0.35">
      <c r="A24" s="15" t="s">
        <v>117</v>
      </c>
      <c r="B24" s="15" t="s">
        <v>39</v>
      </c>
      <c r="C24" s="15" t="str">
        <f>VLOOKUP(B24,Mapping!A:B,2,0)</f>
        <v>Lateral</v>
      </c>
      <c r="D24" s="15" t="str">
        <f>VLOOKUP(B24,Mapping!A:C,3,0)</f>
        <v>North</v>
      </c>
      <c r="E24" s="15" t="str">
        <f>VLOOKUP(B24,Mapping!A:D,4,0)</f>
        <v>North</v>
      </c>
      <c r="F24" s="15" t="str">
        <f>VLOOKUP(B24,Mapping!A:E,5,0)</f>
        <v>Anjli</v>
      </c>
      <c r="G24" s="15" t="str">
        <f>VLOOKUP(B24,Mapping!A:F,6,0)</f>
        <v>Archana</v>
      </c>
      <c r="H24" s="30">
        <v>71644.461780733458</v>
      </c>
      <c r="I24" s="30">
        <v>93369.741805119003</v>
      </c>
      <c r="J24" s="30">
        <v>66326.526570635237</v>
      </c>
      <c r="K24" s="30">
        <v>117606.73263899634</v>
      </c>
      <c r="L24" s="30">
        <v>97015.432004676084</v>
      </c>
      <c r="M24" s="30">
        <v>99008.996829438183</v>
      </c>
      <c r="N24" s="30">
        <v>102003.75210312897</v>
      </c>
      <c r="O24" s="30">
        <v>124414.09814814814</v>
      </c>
      <c r="P24" s="30">
        <v>113014.61753731343</v>
      </c>
      <c r="Q24" s="30">
        <v>100201.83996742417</v>
      </c>
      <c r="R24" s="30">
        <v>102699.23671478215</v>
      </c>
      <c r="S24" s="30">
        <v>108199.1959636461</v>
      </c>
      <c r="T24" s="4"/>
    </row>
    <row r="25" spans="1:20" x14ac:dyDescent="0.35">
      <c r="A25" s="15" t="s">
        <v>117</v>
      </c>
      <c r="B25" s="15" t="s">
        <v>40</v>
      </c>
      <c r="C25" s="15" t="str">
        <f>VLOOKUP(B25,Mapping!A:B,2,0)</f>
        <v>Lateral</v>
      </c>
      <c r="D25" s="15" t="str">
        <f>VLOOKUP(B25,Mapping!A:C,3,0)</f>
        <v>South</v>
      </c>
      <c r="E25" s="15" t="str">
        <f>VLOOKUP(B25,Mapping!A:D,4,0)</f>
        <v>South 2</v>
      </c>
      <c r="F25" s="15" t="str">
        <f>VLOOKUP(B25,Mapping!A:E,5,0)</f>
        <v>Sulabh</v>
      </c>
      <c r="G25" s="15" t="str">
        <f>VLOOKUP(B25,Mapping!A:F,6,0)</f>
        <v>Krishna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>
        <v>0</v>
      </c>
      <c r="S25" s="30">
        <v>0</v>
      </c>
      <c r="T25" s="4"/>
    </row>
    <row r="26" spans="1:20" x14ac:dyDescent="0.35">
      <c r="A26" s="15" t="s">
        <v>117</v>
      </c>
      <c r="B26" s="15" t="s">
        <v>41</v>
      </c>
      <c r="C26" s="15" t="str">
        <f>VLOOKUP(B26,Mapping!A:B,2,0)</f>
        <v>Lateral</v>
      </c>
      <c r="D26" s="15" t="str">
        <f>VLOOKUP(B26,Mapping!A:C,3,0)</f>
        <v>West</v>
      </c>
      <c r="E26" s="15" t="str">
        <f>VLOOKUP(B26,Mapping!A:D,4,0)</f>
        <v>West 2</v>
      </c>
      <c r="F26" s="15" t="str">
        <f>VLOOKUP(B26,Mapping!A:E,5,0)</f>
        <v>Anjli</v>
      </c>
      <c r="G26" s="15" t="str">
        <f>VLOOKUP(B26,Mapping!A:F,6,0)</f>
        <v>Shweta</v>
      </c>
      <c r="H26" s="30">
        <v>81896.572300763859</v>
      </c>
      <c r="I26" s="30">
        <v>116186.93543256998</v>
      </c>
      <c r="J26" s="30">
        <v>98587.498685205646</v>
      </c>
      <c r="K26" s="30">
        <v>113669.94668262488</v>
      </c>
      <c r="L26" s="30">
        <v>97915.79491724784</v>
      </c>
      <c r="M26" s="30">
        <v>88819.353783430794</v>
      </c>
      <c r="N26" s="30">
        <v>91504.746286100941</v>
      </c>
      <c r="O26" s="30">
        <v>113017.25283224402</v>
      </c>
      <c r="P26" s="30">
        <v>131658.26525054467</v>
      </c>
      <c r="Q26" s="30">
        <v>98526.995908995435</v>
      </c>
      <c r="R26" s="30">
        <v>107634.64939148072</v>
      </c>
      <c r="S26" s="30">
        <v>71025.436724137922</v>
      </c>
      <c r="T26" s="4"/>
    </row>
    <row r="27" spans="1:20" x14ac:dyDescent="0.35">
      <c r="A27" s="15" t="s">
        <v>117</v>
      </c>
      <c r="B27" s="15" t="s">
        <v>42</v>
      </c>
      <c r="C27" s="15" t="str">
        <f>VLOOKUP(B27,Mapping!A:B,2,0)</f>
        <v>Lateral</v>
      </c>
      <c r="D27" s="15" t="str">
        <f>VLOOKUP(B27,Mapping!A:C,3,0)</f>
        <v>South</v>
      </c>
      <c r="E27" s="15" t="str">
        <f>VLOOKUP(B27,Mapping!A:D,4,0)</f>
        <v>South 2</v>
      </c>
      <c r="F27" s="15" t="str">
        <f>VLOOKUP(B27,Mapping!A:E,5,0)</f>
        <v>Sulabh</v>
      </c>
      <c r="G27" s="15" t="str">
        <f>VLOOKUP(B27,Mapping!A:F,6,0)</f>
        <v>Krishna</v>
      </c>
      <c r="H27" s="30">
        <v>91017.248665979365</v>
      </c>
      <c r="I27" s="30">
        <v>104319.93788355037</v>
      </c>
      <c r="J27" s="30">
        <v>99041.21383372393</v>
      </c>
      <c r="K27" s="30">
        <v>113511.51283197376</v>
      </c>
      <c r="L27" s="30">
        <v>115936.29321026112</v>
      </c>
      <c r="M27" s="30">
        <v>108504.99049303266</v>
      </c>
      <c r="N27" s="30">
        <v>115912.42066732887</v>
      </c>
      <c r="O27" s="30">
        <v>138588.88957115007</v>
      </c>
      <c r="P27" s="30">
        <v>128463.6086182336</v>
      </c>
      <c r="Q27" s="30">
        <v>126561.39460557736</v>
      </c>
      <c r="R27" s="30">
        <v>107142.18455772115</v>
      </c>
      <c r="S27" s="30">
        <v>117627.07506246876</v>
      </c>
      <c r="T27" s="4"/>
    </row>
    <row r="28" spans="1:20" x14ac:dyDescent="0.35">
      <c r="A28" s="15" t="s">
        <v>117</v>
      </c>
      <c r="B28" s="15" t="s">
        <v>43</v>
      </c>
      <c r="C28" s="15" t="str">
        <f>VLOOKUP(B28,Mapping!A:B,2,0)</f>
        <v>Lateral</v>
      </c>
      <c r="D28" s="15" t="str">
        <f>VLOOKUP(B28,Mapping!A:C,3,0)</f>
        <v>North</v>
      </c>
      <c r="E28" s="15" t="str">
        <f>VLOOKUP(B28,Mapping!A:D,4,0)</f>
        <v>North</v>
      </c>
      <c r="F28" s="15" t="str">
        <f>VLOOKUP(B28,Mapping!A:E,5,0)</f>
        <v>Anjli</v>
      </c>
      <c r="G28" s="15" t="str">
        <f>VLOOKUP(B28,Mapping!A:F,6,0)</f>
        <v>Archana</v>
      </c>
      <c r="H28" s="30">
        <v>76552.6181489554</v>
      </c>
      <c r="I28" s="30">
        <v>84035.977099236639</v>
      </c>
      <c r="J28" s="30">
        <v>78668.477408078907</v>
      </c>
      <c r="K28" s="30">
        <v>82151.392723447454</v>
      </c>
      <c r="L28" s="30">
        <v>87338.045706409364</v>
      </c>
      <c r="M28" s="30">
        <v>81367.659794359744</v>
      </c>
      <c r="N28" s="30">
        <v>87665.94847189328</v>
      </c>
      <c r="O28" s="30">
        <v>91090.35900843206</v>
      </c>
      <c r="P28" s="30">
        <v>86874.563136082274</v>
      </c>
      <c r="Q28" s="30">
        <v>78745.41836888848</v>
      </c>
      <c r="R28" s="30">
        <v>81634.436973180083</v>
      </c>
      <c r="S28" s="30">
        <v>72973.238703036535</v>
      </c>
      <c r="T28" s="4"/>
    </row>
    <row r="29" spans="1:20" x14ac:dyDescent="0.35">
      <c r="A29" s="15" t="s">
        <v>117</v>
      </c>
      <c r="B29" s="15" t="s">
        <v>44</v>
      </c>
      <c r="C29" s="15" t="str">
        <f>VLOOKUP(B29,Mapping!A:B,2,0)</f>
        <v>Lateral</v>
      </c>
      <c r="D29" s="15" t="str">
        <f>VLOOKUP(B29,Mapping!A:C,3,0)</f>
        <v>West</v>
      </c>
      <c r="E29" s="15" t="str">
        <f>VLOOKUP(B29,Mapping!A:D,4,0)</f>
        <v>West 2</v>
      </c>
      <c r="F29" s="15" t="str">
        <f>VLOOKUP(B29,Mapping!A:E,5,0)</f>
        <v>Anjli</v>
      </c>
      <c r="G29" s="15" t="str">
        <f>VLOOKUP(B29,Mapping!A:F,6,0)</f>
        <v>Shweta</v>
      </c>
      <c r="H29" s="30">
        <v>79407.204002730126</v>
      </c>
      <c r="I29" s="30">
        <v>80393.215194474746</v>
      </c>
      <c r="J29" s="30">
        <v>92883.10341878458</v>
      </c>
      <c r="K29" s="30">
        <v>91531.949101755046</v>
      </c>
      <c r="L29" s="30">
        <v>103239.61807630408</v>
      </c>
      <c r="M29" s="30">
        <v>102231.37357928601</v>
      </c>
      <c r="N29" s="30">
        <v>105371.40481417907</v>
      </c>
      <c r="O29" s="30">
        <v>97894.737749287757</v>
      </c>
      <c r="P29" s="30">
        <v>85242.940917107582</v>
      </c>
      <c r="Q29" s="30">
        <v>90885.304732524834</v>
      </c>
      <c r="R29" s="30">
        <v>88954.263362068959</v>
      </c>
      <c r="S29" s="30">
        <v>84354.898325123155</v>
      </c>
      <c r="T29" s="4"/>
    </row>
    <row r="30" spans="1:20" x14ac:dyDescent="0.35">
      <c r="A30" s="15" t="s">
        <v>117</v>
      </c>
      <c r="B30" s="15" t="s">
        <v>45</v>
      </c>
      <c r="C30" s="15" t="str">
        <f>VLOOKUP(B30,Mapping!A:B,2,0)</f>
        <v>Lateral</v>
      </c>
      <c r="D30" s="15" t="str">
        <f>VLOOKUP(B30,Mapping!A:C,3,0)</f>
        <v>North</v>
      </c>
      <c r="E30" s="15" t="str">
        <f>VLOOKUP(B30,Mapping!A:D,4,0)</f>
        <v>North</v>
      </c>
      <c r="F30" s="15" t="str">
        <f>VLOOKUP(B30,Mapping!A:E,5,0)</f>
        <v>Anjli</v>
      </c>
      <c r="G30" s="15" t="str">
        <f>VLOOKUP(B30,Mapping!A:F,6,0)</f>
        <v>Archana</v>
      </c>
      <c r="H30" s="30">
        <v>84143.872993347657</v>
      </c>
      <c r="I30" s="30">
        <v>88166.677354804371</v>
      </c>
      <c r="J30" s="30">
        <v>84433.34254026979</v>
      </c>
      <c r="K30" s="30">
        <v>94828.052300055599</v>
      </c>
      <c r="L30" s="30">
        <v>97747.04381277661</v>
      </c>
      <c r="M30" s="30">
        <v>96167.273917941071</v>
      </c>
      <c r="N30" s="30">
        <v>97961.876172607881</v>
      </c>
      <c r="O30" s="30">
        <v>97451.202695733708</v>
      </c>
      <c r="P30" s="30">
        <v>95911.954955593363</v>
      </c>
      <c r="Q30" s="30">
        <v>93598.769964312931</v>
      </c>
      <c r="R30" s="30">
        <v>92909.23797432892</v>
      </c>
      <c r="S30" s="30">
        <v>85599.258253960157</v>
      </c>
      <c r="T30" s="4"/>
    </row>
    <row r="31" spans="1:20" x14ac:dyDescent="0.35">
      <c r="A31" s="15" t="s">
        <v>117</v>
      </c>
      <c r="B31" s="15" t="s">
        <v>46</v>
      </c>
      <c r="C31" s="15" t="str">
        <f>VLOOKUP(B31,Mapping!A:B,2,0)</f>
        <v>Lateral</v>
      </c>
      <c r="D31" s="15" t="str">
        <f>VLOOKUP(B31,Mapping!A:C,3,0)</f>
        <v>South</v>
      </c>
      <c r="E31" s="15" t="str">
        <f>VLOOKUP(B31,Mapping!A:D,4,0)</f>
        <v>South 2</v>
      </c>
      <c r="F31" s="15" t="str">
        <f>VLOOKUP(B31,Mapping!A:E,5,0)</f>
        <v>Sulabh</v>
      </c>
      <c r="G31" s="15" t="str">
        <f>VLOOKUP(B31,Mapping!A:F,6,0)</f>
        <v>Krishna</v>
      </c>
      <c r="H31" s="30">
        <v>106039.33609767335</v>
      </c>
      <c r="I31" s="30">
        <v>0</v>
      </c>
      <c r="J31" s="30">
        <v>89538.854197780776</v>
      </c>
      <c r="K31" s="30">
        <v>86645.723177286083</v>
      </c>
      <c r="L31" s="30">
        <v>87131.808100934635</v>
      </c>
      <c r="M31" s="30"/>
      <c r="N31" s="30"/>
      <c r="O31" s="30"/>
      <c r="P31" s="30"/>
      <c r="Q31" s="30">
        <v>0</v>
      </c>
      <c r="R31" s="30">
        <v>0</v>
      </c>
      <c r="S31" s="30">
        <v>0</v>
      </c>
      <c r="T31" s="4"/>
    </row>
    <row r="32" spans="1:20" x14ac:dyDescent="0.35">
      <c r="A32" s="15" t="s">
        <v>117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5" t="str">
        <f>VLOOKUP(B32,Mapping!A:D,4,0)</f>
        <v>West 1</v>
      </c>
      <c r="F32" s="15" t="str">
        <f>VLOOKUP(B32,Mapping!A:E,5,0)</f>
        <v>Anjli</v>
      </c>
      <c r="G32" s="15" t="str">
        <f>VLOOKUP(B32,Mapping!A:F,6,0)</f>
        <v>Geetu</v>
      </c>
      <c r="H32" s="30">
        <v>86199.517215207059</v>
      </c>
      <c r="I32" s="30">
        <v>86307.71566132814</v>
      </c>
      <c r="J32" s="30">
        <v>74929.515540203633</v>
      </c>
      <c r="K32" s="30">
        <v>97629.244995067886</v>
      </c>
      <c r="L32" s="30">
        <v>86223.677411603625</v>
      </c>
      <c r="M32" s="30">
        <v>83522.293058425013</v>
      </c>
      <c r="N32" s="30">
        <v>86866.346378458373</v>
      </c>
      <c r="O32" s="30">
        <v>85876.825661375668</v>
      </c>
      <c r="P32" s="30">
        <v>88935.867967203842</v>
      </c>
      <c r="Q32" s="30">
        <v>82052.344206209062</v>
      </c>
      <c r="R32" s="30">
        <v>87406.17797474502</v>
      </c>
      <c r="S32" s="30">
        <v>103267.79604086846</v>
      </c>
      <c r="T32" s="4"/>
    </row>
    <row r="33" spans="1:20" x14ac:dyDescent="0.35">
      <c r="A33" s="15" t="s">
        <v>117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5" t="str">
        <f>VLOOKUP(B33,Mapping!A:D,4,0)</f>
        <v>West 1</v>
      </c>
      <c r="F33" s="15" t="str">
        <f>VLOOKUP(B33,Mapping!A:E,5,0)</f>
        <v>Anjli</v>
      </c>
      <c r="G33" s="15" t="str">
        <f>VLOOKUP(B33,Mapping!A:F,6,0)</f>
        <v>Geetu</v>
      </c>
      <c r="H33" s="30">
        <v>144517.38737972465</v>
      </c>
      <c r="I33" s="30">
        <v>137630.54120180075</v>
      </c>
      <c r="J33" s="30">
        <v>134427.65144637943</v>
      </c>
      <c r="K33" s="30">
        <v>137330.56984441105</v>
      </c>
      <c r="L33" s="30">
        <v>96294.815553263092</v>
      </c>
      <c r="M33" s="30">
        <v>139129.7226358898</v>
      </c>
      <c r="N33" s="30">
        <v>133207.27360850532</v>
      </c>
      <c r="O33" s="30">
        <v>115385.46851851852</v>
      </c>
      <c r="P33" s="30">
        <v>108870.99074074074</v>
      </c>
      <c r="Q33" s="30">
        <v>114600.05473252485</v>
      </c>
      <c r="R33" s="30">
        <v>109896.82586206896</v>
      </c>
      <c r="S33" s="30">
        <v>97190.513793103441</v>
      </c>
      <c r="T33" s="4"/>
    </row>
    <row r="34" spans="1:20" x14ac:dyDescent="0.35">
      <c r="A34" s="15" t="s">
        <v>117</v>
      </c>
      <c r="B34" s="15" t="s">
        <v>49</v>
      </c>
      <c r="C34" s="15" t="str">
        <f>VLOOKUP(B34,Mapping!A:B,2,0)</f>
        <v>Lateral</v>
      </c>
      <c r="D34" s="15" t="str">
        <f>VLOOKUP(B34,Mapping!A:C,3,0)</f>
        <v>West</v>
      </c>
      <c r="E34" s="15" t="str">
        <f>VLOOKUP(B34,Mapping!A:D,4,0)</f>
        <v>West 1</v>
      </c>
      <c r="F34" s="15" t="str">
        <f>VLOOKUP(B34,Mapping!A:E,5,0)</f>
        <v>Anjli</v>
      </c>
      <c r="G34" s="15" t="str">
        <f>VLOOKUP(B34,Mapping!A:F,6,0)</f>
        <v>Geetu</v>
      </c>
      <c r="H34" s="30">
        <v>75078.925841263102</v>
      </c>
      <c r="I34" s="30">
        <v>80930.110432569971</v>
      </c>
      <c r="J34" s="30">
        <v>85710.255443858492</v>
      </c>
      <c r="K34" s="30">
        <v>98590.099610541845</v>
      </c>
      <c r="L34" s="30">
        <v>134145.79707949967</v>
      </c>
      <c r="M34" s="30">
        <v>111936.87780830359</v>
      </c>
      <c r="N34" s="30">
        <v>124947.24487287314</v>
      </c>
      <c r="O34" s="30">
        <v>118074.39955300128</v>
      </c>
      <c r="P34" s="30">
        <v>117516.25771604938</v>
      </c>
      <c r="Q34" s="30">
        <v>0</v>
      </c>
      <c r="R34" s="30">
        <v>0</v>
      </c>
      <c r="S34" s="30">
        <v>0</v>
      </c>
      <c r="T34" s="4"/>
    </row>
    <row r="35" spans="1:20" x14ac:dyDescent="0.35">
      <c r="A35" s="15" t="s">
        <v>117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5" t="str">
        <f>VLOOKUP(B35,Mapping!A:D,4,0)</f>
        <v>North</v>
      </c>
      <c r="F35" s="15" t="str">
        <f>VLOOKUP(B35,Mapping!A:E,5,0)</f>
        <v>Anjli</v>
      </c>
      <c r="G35" s="15" t="str">
        <f>VLOOKUP(B35,Mapping!A:F,6,0)</f>
        <v>Archana</v>
      </c>
      <c r="H35" s="30">
        <v>111706.00276434001</v>
      </c>
      <c r="I35" s="30">
        <v>104814.31043256998</v>
      </c>
      <c r="J35" s="30">
        <v>117761.20058820341</v>
      </c>
      <c r="K35" s="30">
        <v>124957.85830745341</v>
      </c>
      <c r="L35" s="30">
        <v>92331.64313346229</v>
      </c>
      <c r="M35" s="30">
        <v>61035.277364110203</v>
      </c>
      <c r="N35" s="30">
        <v>106328.10694183865</v>
      </c>
      <c r="O35" s="30">
        <v>81401.468518518523</v>
      </c>
      <c r="P35" s="30">
        <v>77958.990740740745</v>
      </c>
      <c r="Q35" s="30">
        <v>77474.054732524834</v>
      </c>
      <c r="R35" s="30">
        <v>76468.825862068959</v>
      </c>
      <c r="S35" s="30">
        <v>70845.513793103441</v>
      </c>
      <c r="T35" s="4"/>
    </row>
    <row r="36" spans="1:20" x14ac:dyDescent="0.35">
      <c r="A36" s="15" t="s">
        <v>117</v>
      </c>
      <c r="B36" s="15" t="s">
        <v>51</v>
      </c>
      <c r="C36" s="15" t="str">
        <f>VLOOKUP(B36,Mapping!A:B,2,0)</f>
        <v>Lateral</v>
      </c>
      <c r="D36" s="15" t="str">
        <f>VLOOKUP(B36,Mapping!A:C,3,0)</f>
        <v>North</v>
      </c>
      <c r="E36" s="15" t="str">
        <f>VLOOKUP(B36,Mapping!A:D,4,0)</f>
        <v>North</v>
      </c>
      <c r="F36" s="15" t="str">
        <f>VLOOKUP(B36,Mapping!A:E,5,0)</f>
        <v>Anjli</v>
      </c>
      <c r="G36" s="15" t="str">
        <f>VLOOKUP(B36,Mapping!A:F,6,0)</f>
        <v>Archana</v>
      </c>
      <c r="H36" s="30">
        <v>98262.002764339995</v>
      </c>
      <c r="I36" s="30">
        <v>97084.00274026228</v>
      </c>
      <c r="J36" s="30">
        <v>101819.56040391146</v>
      </c>
      <c r="K36" s="30">
        <v>90519.170013385185</v>
      </c>
      <c r="L36" s="30">
        <v>93051.383549788836</v>
      </c>
      <c r="M36" s="30">
        <v>95844.167080334257</v>
      </c>
      <c r="N36" s="30">
        <v>94980.606941838647</v>
      </c>
      <c r="O36" s="30">
        <v>84327.221206690563</v>
      </c>
      <c r="P36" s="30">
        <v>101745.26851851851</v>
      </c>
      <c r="Q36" s="30">
        <v>96298.986239374164</v>
      </c>
      <c r="R36" s="30">
        <v>97058.017642890874</v>
      </c>
      <c r="S36" s="30">
        <v>91229.417902692498</v>
      </c>
      <c r="T36" s="4"/>
    </row>
    <row r="37" spans="1:20" x14ac:dyDescent="0.35">
      <c r="A37" s="15" t="s">
        <v>117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5" t="str">
        <f>VLOOKUP(B37,Mapping!A:D,4,0)</f>
        <v>West 1</v>
      </c>
      <c r="F37" s="15" t="str">
        <f>VLOOKUP(B37,Mapping!A:E,5,0)</f>
        <v>Anjli</v>
      </c>
      <c r="G37" s="15" t="str">
        <f>VLOOKUP(B37,Mapping!A:F,6,0)</f>
        <v>Geetu</v>
      </c>
      <c r="H37" s="30">
        <v>81448.03451037177</v>
      </c>
      <c r="I37" s="30">
        <v>73810.262813522364</v>
      </c>
      <c r="J37" s="30">
        <v>67971.468283036607</v>
      </c>
      <c r="K37" s="30">
        <v>97314.798818026451</v>
      </c>
      <c r="L37" s="30">
        <v>85111.571017028473</v>
      </c>
      <c r="M37" s="30">
        <v>84632.271179579111</v>
      </c>
      <c r="N37" s="30">
        <v>86129.320534071652</v>
      </c>
      <c r="O37" s="30">
        <v>85257.439392304921</v>
      </c>
      <c r="P37" s="30">
        <v>78223.87300290486</v>
      </c>
      <c r="Q37" s="30">
        <v>85234.054732524834</v>
      </c>
      <c r="R37" s="30">
        <v>82670.971493136924</v>
      </c>
      <c r="S37" s="30">
        <v>77780.028356210241</v>
      </c>
      <c r="T37" s="4"/>
    </row>
    <row r="38" spans="1:20" x14ac:dyDescent="0.35">
      <c r="A38" s="15" t="s">
        <v>117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5" t="str">
        <f>VLOOKUP(B38,Mapping!A:D,4,0)</f>
        <v>West 2</v>
      </c>
      <c r="F38" s="15" t="str">
        <f>VLOOKUP(B38,Mapping!A:E,5,0)</f>
        <v>Anjli</v>
      </c>
      <c r="G38" s="15" t="str">
        <f>VLOOKUP(B38,Mapping!A:F,6,0)</f>
        <v>Shweta</v>
      </c>
      <c r="H38" s="30">
        <v>88745.098002435247</v>
      </c>
      <c r="I38" s="30">
        <v>85478.583159842688</v>
      </c>
      <c r="J38" s="30">
        <v>91184.765345657914</v>
      </c>
      <c r="K38" s="30">
        <v>81836.004438175558</v>
      </c>
      <c r="L38" s="30">
        <v>110999.96523278525</v>
      </c>
      <c r="M38" s="30">
        <v>86597.904454071613</v>
      </c>
      <c r="N38" s="30">
        <v>81158.40105948571</v>
      </c>
      <c r="O38" s="30">
        <v>118155.63518518519</v>
      </c>
      <c r="P38" s="30">
        <v>112374.9074074074</v>
      </c>
      <c r="Q38" s="30">
        <v>111737.38806585818</v>
      </c>
      <c r="R38" s="30">
        <v>83156.119979716022</v>
      </c>
      <c r="S38" s="30">
        <v>75365.582298850568</v>
      </c>
      <c r="T38" s="4"/>
    </row>
    <row r="39" spans="1:20" x14ac:dyDescent="0.35">
      <c r="A39" s="15" t="s">
        <v>117</v>
      </c>
      <c r="B39" s="15" t="s">
        <v>54</v>
      </c>
      <c r="C39" s="15" t="str">
        <f>VLOOKUP(B39,Mapping!A:B,2,0)</f>
        <v>Lateral</v>
      </c>
      <c r="D39" s="15" t="str">
        <f>VLOOKUP(B39,Mapping!A:C,3,0)</f>
        <v>West</v>
      </c>
      <c r="E39" s="15" t="str">
        <f>VLOOKUP(B39,Mapping!A:D,4,0)</f>
        <v>West 1</v>
      </c>
      <c r="F39" s="15" t="str">
        <f>VLOOKUP(B39,Mapping!A:E,5,0)</f>
        <v>Anjli</v>
      </c>
      <c r="G39" s="15" t="str">
        <f>VLOOKUP(B39,Mapping!A:F,6,0)</f>
        <v>Ankit</v>
      </c>
      <c r="H39" s="30">
        <v>96252.877764340024</v>
      </c>
      <c r="I39" s="30">
        <v>95295.102099236639</v>
      </c>
      <c r="J39" s="30">
        <v>90609.953431476664</v>
      </c>
      <c r="K39" s="30">
        <v>103822.18613114052</v>
      </c>
      <c r="L39" s="30">
        <v>92263.625882850087</v>
      </c>
      <c r="M39" s="30">
        <v>97382.643688521377</v>
      </c>
      <c r="N39" s="30">
        <v>104628.0543102597</v>
      </c>
      <c r="O39" s="30">
        <v>97796.286700336714</v>
      </c>
      <c r="P39" s="30">
        <v>102487.61651234569</v>
      </c>
      <c r="Q39" s="30">
        <v>85682.774732524849</v>
      </c>
      <c r="R39" s="30">
        <v>79218.025862068956</v>
      </c>
      <c r="S39" s="30">
        <v>85140.036731634187</v>
      </c>
      <c r="T39" s="4"/>
    </row>
    <row r="40" spans="1:20" x14ac:dyDescent="0.35">
      <c r="A40" s="15" t="s">
        <v>117</v>
      </c>
      <c r="B40" s="15" t="s">
        <v>56</v>
      </c>
      <c r="C40" s="15" t="str">
        <f>VLOOKUP(B40,Mapping!A:B,2,0)</f>
        <v>Lateral</v>
      </c>
      <c r="D40" s="15" t="str">
        <f>VLOOKUP(B40,Mapping!A:C,3,0)</f>
        <v>South</v>
      </c>
      <c r="E40" s="15" t="str">
        <f>VLOOKUP(B40,Mapping!A:D,4,0)</f>
        <v>South 2</v>
      </c>
      <c r="F40" s="15" t="str">
        <f>VLOOKUP(B40,Mapping!A:E,5,0)</f>
        <v>Sulabh</v>
      </c>
      <c r="G40" s="15" t="str">
        <f>VLOOKUP(B40,Mapping!A:F,6,0)</f>
        <v>Krishna</v>
      </c>
      <c r="H40" s="30">
        <v>89601.758861900991</v>
      </c>
      <c r="I40" s="30">
        <v>100788.5462049277</v>
      </c>
      <c r="J40" s="30">
        <v>100039.69914041813</v>
      </c>
      <c r="K40" s="30">
        <v>108329.35174276854</v>
      </c>
      <c r="L40" s="30">
        <v>91830.078178003969</v>
      </c>
      <c r="M40" s="30">
        <v>98597.22263588979</v>
      </c>
      <c r="N40" s="30">
        <v>105464.5908128064</v>
      </c>
      <c r="O40" s="30">
        <v>110794.22609427609</v>
      </c>
      <c r="P40" s="30">
        <v>99826.334291187741</v>
      </c>
      <c r="Q40" s="30">
        <v>85208.054732524834</v>
      </c>
      <c r="R40" s="30">
        <v>106141.3173874927</v>
      </c>
      <c r="S40" s="30">
        <v>102263.15593027661</v>
      </c>
      <c r="T40" s="4"/>
    </row>
    <row r="41" spans="1:20" x14ac:dyDescent="0.35">
      <c r="A41" s="15" t="s">
        <v>117</v>
      </c>
      <c r="B41" s="15" t="s">
        <v>57</v>
      </c>
      <c r="C41" s="15" t="str">
        <f>VLOOKUP(B41,Mapping!A:B,2,0)</f>
        <v>Lateral</v>
      </c>
      <c r="D41" s="15" t="str">
        <f>VLOOKUP(B41,Mapping!A:C,3,0)</f>
        <v>North</v>
      </c>
      <c r="E41" s="15" t="str">
        <f>VLOOKUP(B41,Mapping!A:D,4,0)</f>
        <v>North</v>
      </c>
      <c r="F41" s="15" t="str">
        <f>VLOOKUP(B41,Mapping!A:E,5,0)</f>
        <v>Anjli</v>
      </c>
      <c r="G41" s="15" t="str">
        <f>VLOOKUP(B41,Mapping!A:F,6,0)</f>
        <v>Archana</v>
      </c>
      <c r="H41" s="30">
        <v>90480.574192911459</v>
      </c>
      <c r="I41" s="30">
        <v>102339.88186114142</v>
      </c>
      <c r="J41" s="30">
        <v>93150.539796802928</v>
      </c>
      <c r="K41" s="30">
        <v>104888.82948292571</v>
      </c>
      <c r="L41" s="30">
        <v>110103.20704811228</v>
      </c>
      <c r="M41" s="30">
        <v>113289.46982690106</v>
      </c>
      <c r="N41" s="30">
        <v>111985.03465268204</v>
      </c>
      <c r="O41" s="30">
        <v>114651.94470899472</v>
      </c>
      <c r="P41" s="30">
        <v>102584.73514211887</v>
      </c>
      <c r="Q41" s="30">
        <v>90096.172379583659</v>
      </c>
      <c r="R41" s="30">
        <v>102578.95839218947</v>
      </c>
      <c r="S41" s="30">
        <v>103353.16439551311</v>
      </c>
      <c r="T41" s="4"/>
    </row>
    <row r="42" spans="1:20" x14ac:dyDescent="0.35">
      <c r="A42" s="15" t="s">
        <v>117</v>
      </c>
      <c r="B42" s="15" t="s">
        <v>58</v>
      </c>
      <c r="C42" s="15" t="str">
        <f>VLOOKUP(B42,Mapping!A:B,2,0)</f>
        <v>Lateral</v>
      </c>
      <c r="D42" s="15" t="str">
        <f>VLOOKUP(B42,Mapping!A:C,3,0)</f>
        <v>South</v>
      </c>
      <c r="E42" s="15" t="str">
        <f>VLOOKUP(B42,Mapping!A:D,4,0)</f>
        <v>South 2</v>
      </c>
      <c r="F42" s="15" t="str">
        <f>VLOOKUP(B42,Mapping!A:E,5,0)</f>
        <v>Sulabh</v>
      </c>
      <c r="G42" s="15" t="str">
        <f>VLOOKUP(B42,Mapping!A:F,6,0)</f>
        <v>Krishna</v>
      </c>
      <c r="H42" s="30">
        <v>69083.042819626819</v>
      </c>
      <c r="I42" s="30">
        <v>69761.310432569982</v>
      </c>
      <c r="J42" s="30">
        <v>98496.077552436283</v>
      </c>
      <c r="K42" s="30">
        <v>78132.294419669954</v>
      </c>
      <c r="L42" s="30">
        <v>79355.574294612161</v>
      </c>
      <c r="M42" s="30"/>
      <c r="N42" s="30"/>
      <c r="O42" s="30"/>
      <c r="P42" s="30">
        <v>54538</v>
      </c>
      <c r="Q42" s="30">
        <v>59803.054732524834</v>
      </c>
      <c r="R42" s="30">
        <v>58345.825862068967</v>
      </c>
      <c r="S42" s="30">
        <v>40822.513793103448</v>
      </c>
      <c r="T42" s="4"/>
    </row>
    <row r="43" spans="1:20" x14ac:dyDescent="0.35">
      <c r="A43" s="15" t="s">
        <v>117</v>
      </c>
      <c r="B43" s="15" t="s">
        <v>59</v>
      </c>
      <c r="C43" s="15" t="str">
        <f>VLOOKUP(B43,Mapping!A:B,2,0)</f>
        <v>Lateral</v>
      </c>
      <c r="D43" s="15" t="str">
        <f>VLOOKUP(B43,Mapping!A:C,3,0)</f>
        <v>West</v>
      </c>
      <c r="E43" s="15" t="str">
        <f>VLOOKUP(B43,Mapping!A:D,4,0)</f>
        <v>West 1</v>
      </c>
      <c r="F43" s="15" t="str">
        <f>VLOOKUP(B43,Mapping!A:E,5,0)</f>
        <v>Anjli</v>
      </c>
      <c r="G43" s="15" t="str">
        <f>VLOOKUP(B43,Mapping!A:F,6,0)</f>
        <v>Elton</v>
      </c>
      <c r="H43" s="30" t="s">
        <v>0</v>
      </c>
      <c r="I43" s="30" t="s">
        <v>0</v>
      </c>
      <c r="J43" s="30" t="s">
        <v>0</v>
      </c>
      <c r="K43" s="30" t="s">
        <v>0</v>
      </c>
      <c r="L43" s="30" t="s">
        <v>0</v>
      </c>
      <c r="M43" s="30" t="s">
        <v>0</v>
      </c>
      <c r="N43" s="30" t="s">
        <v>0</v>
      </c>
      <c r="O43" s="30" t="s">
        <v>0</v>
      </c>
      <c r="P43" s="30" t="s">
        <v>0</v>
      </c>
      <c r="Q43" s="30"/>
      <c r="R43" s="30">
        <v>0</v>
      </c>
      <c r="S43" s="30">
        <v>0</v>
      </c>
      <c r="T43" s="4"/>
    </row>
    <row r="44" spans="1:20" x14ac:dyDescent="0.35">
      <c r="A44" s="15" t="s">
        <v>117</v>
      </c>
      <c r="B44" s="15" t="s">
        <v>62</v>
      </c>
      <c r="C44" s="15" t="str">
        <f>VLOOKUP(B44,Mapping!A:B,2,0)</f>
        <v>Lateral</v>
      </c>
      <c r="D44" s="15" t="str">
        <f>VLOOKUP(B44,Mapping!A:C,3,0)</f>
        <v>West</v>
      </c>
      <c r="E44" s="15" t="str">
        <f>VLOOKUP(B44,Mapping!A:D,4,0)</f>
        <v>West 2</v>
      </c>
      <c r="F44" s="15" t="str">
        <f>VLOOKUP(B44,Mapping!A:E,5,0)</f>
        <v>Anjli</v>
      </c>
      <c r="G44" s="15" t="str">
        <f>VLOOKUP(B44,Mapping!A:F,6,0)</f>
        <v>Shweta</v>
      </c>
      <c r="H44" s="30" t="s">
        <v>0</v>
      </c>
      <c r="I44" s="30" t="s">
        <v>0</v>
      </c>
      <c r="J44" s="30" t="s">
        <v>0</v>
      </c>
      <c r="K44" s="30" t="s">
        <v>0</v>
      </c>
      <c r="L44" s="30" t="s">
        <v>0</v>
      </c>
      <c r="M44" s="30" t="s">
        <v>0</v>
      </c>
      <c r="N44" s="30" t="s">
        <v>0</v>
      </c>
      <c r="O44" s="30" t="s">
        <v>0</v>
      </c>
      <c r="P44" s="30" t="s">
        <v>0</v>
      </c>
      <c r="Q44" s="30"/>
      <c r="R44" s="30">
        <v>0</v>
      </c>
      <c r="S44" s="30">
        <v>0</v>
      </c>
      <c r="T44" s="4"/>
    </row>
    <row r="45" spans="1:20" x14ac:dyDescent="0.35">
      <c r="A45" s="15" t="s">
        <v>117</v>
      </c>
      <c r="B45" s="15" t="s">
        <v>63</v>
      </c>
      <c r="C45" s="15" t="str">
        <f>VLOOKUP(B45,Mapping!A:B,2,0)</f>
        <v>Lateral</v>
      </c>
      <c r="D45" s="15" t="str">
        <f>VLOOKUP(B45,Mapping!A:C,3,0)</f>
        <v>West</v>
      </c>
      <c r="E45" s="15" t="str">
        <f>VLOOKUP(B45,Mapping!A:D,4,0)</f>
        <v>West 1</v>
      </c>
      <c r="F45" s="15" t="str">
        <f>VLOOKUP(B45,Mapping!A:E,5,0)</f>
        <v>Anjli</v>
      </c>
      <c r="G45" s="15" t="str">
        <f>VLOOKUP(B45,Mapping!A:F,6,0)</f>
        <v>Elton</v>
      </c>
      <c r="H45" s="30" t="s">
        <v>0</v>
      </c>
      <c r="I45" s="30" t="s">
        <v>0</v>
      </c>
      <c r="J45" s="30" t="s">
        <v>0</v>
      </c>
      <c r="K45" s="30" t="s">
        <v>0</v>
      </c>
      <c r="L45" s="30" t="s">
        <v>0</v>
      </c>
      <c r="M45" s="30" t="s">
        <v>0</v>
      </c>
      <c r="N45" s="30" t="s">
        <v>0</v>
      </c>
      <c r="O45" s="30" t="s">
        <v>0</v>
      </c>
      <c r="P45" s="30" t="s">
        <v>0</v>
      </c>
      <c r="Q45" s="30"/>
      <c r="R45" s="30">
        <v>0</v>
      </c>
      <c r="S45" s="30">
        <v>0</v>
      </c>
      <c r="T45" s="4"/>
    </row>
    <row r="46" spans="1:20" x14ac:dyDescent="0.35">
      <c r="A46" s="15" t="s">
        <v>117</v>
      </c>
      <c r="B46" s="15" t="s">
        <v>64</v>
      </c>
      <c r="C46" s="15" t="str">
        <f>VLOOKUP(B46,Mapping!A:B,2,0)</f>
        <v>Lateral</v>
      </c>
      <c r="D46" s="15" t="str">
        <f>VLOOKUP(B46,Mapping!A:C,3,0)</f>
        <v>South</v>
      </c>
      <c r="E46" s="15" t="str">
        <f>VLOOKUP(B46,Mapping!A:D,4,0)</f>
        <v>South 2</v>
      </c>
      <c r="F46" s="15" t="str">
        <f>VLOOKUP(B46,Mapping!A:E,5,0)</f>
        <v>Sulabh</v>
      </c>
      <c r="G46" s="15" t="str">
        <f>VLOOKUP(B46,Mapping!A:F,6,0)</f>
        <v>Subu</v>
      </c>
      <c r="H46" s="30" t="s">
        <v>0</v>
      </c>
      <c r="I46" s="30" t="s">
        <v>0</v>
      </c>
      <c r="J46" s="30" t="s">
        <v>0</v>
      </c>
      <c r="K46" s="30" t="s">
        <v>0</v>
      </c>
      <c r="L46" s="30" t="s">
        <v>0</v>
      </c>
      <c r="M46" s="30" t="s">
        <v>0</v>
      </c>
      <c r="N46" s="30" t="s">
        <v>0</v>
      </c>
      <c r="O46" s="30" t="s">
        <v>0</v>
      </c>
      <c r="P46" s="30" t="s">
        <v>0</v>
      </c>
      <c r="Q46" s="30">
        <v>0</v>
      </c>
      <c r="R46" s="30">
        <v>0</v>
      </c>
      <c r="S46" s="30">
        <v>0</v>
      </c>
      <c r="T46" s="4"/>
    </row>
    <row r="47" spans="1:20" x14ac:dyDescent="0.35">
      <c r="A47" s="15" t="s">
        <v>117</v>
      </c>
      <c r="B47" s="15" t="s">
        <v>65</v>
      </c>
      <c r="C47" s="15" t="str">
        <f>VLOOKUP(B47,Mapping!A:B,2,0)</f>
        <v>Lateral</v>
      </c>
      <c r="D47" s="15" t="str">
        <f>VLOOKUP(B47,Mapping!A:C,3,0)</f>
        <v>West</v>
      </c>
      <c r="E47" s="15" t="str">
        <f>VLOOKUP(B47,Mapping!A:D,4,0)</f>
        <v>West 1</v>
      </c>
      <c r="F47" s="15" t="str">
        <f>VLOOKUP(B47,Mapping!A:E,5,0)</f>
        <v>Anjli</v>
      </c>
      <c r="G47" s="15" t="str">
        <f>VLOOKUP(B47,Mapping!A:F,6,0)</f>
        <v>Elton</v>
      </c>
      <c r="H47" s="30" t="s">
        <v>0</v>
      </c>
      <c r="I47" s="30" t="s">
        <v>0</v>
      </c>
      <c r="J47" s="30" t="s">
        <v>0</v>
      </c>
      <c r="K47" s="30" t="s">
        <v>0</v>
      </c>
      <c r="L47" s="30" t="s">
        <v>0</v>
      </c>
      <c r="M47" s="30" t="s">
        <v>0</v>
      </c>
      <c r="N47" s="30" t="s">
        <v>0</v>
      </c>
      <c r="O47" s="30" t="s">
        <v>0</v>
      </c>
      <c r="P47" s="30" t="s">
        <v>0</v>
      </c>
      <c r="Q47" s="30"/>
      <c r="R47" s="30">
        <v>0</v>
      </c>
      <c r="S47" s="30">
        <v>0</v>
      </c>
      <c r="T47" s="4"/>
    </row>
    <row r="48" spans="1:20" x14ac:dyDescent="0.35">
      <c r="A48" s="15" t="s">
        <v>117</v>
      </c>
      <c r="B48" s="15" t="s">
        <v>66</v>
      </c>
      <c r="C48" s="15" t="str">
        <f>VLOOKUP(B48,Mapping!A:B,2,0)</f>
        <v>Lateral</v>
      </c>
      <c r="D48" s="15" t="str">
        <f>VLOOKUP(B48,Mapping!A:C,3,0)</f>
        <v>South</v>
      </c>
      <c r="E48" s="15" t="str">
        <f>VLOOKUP(B48,Mapping!A:D,4,0)</f>
        <v>South 2</v>
      </c>
      <c r="F48" s="15" t="str">
        <f>VLOOKUP(B48,Mapping!A:E,5,0)</f>
        <v>Sulabh</v>
      </c>
      <c r="G48" s="15" t="str">
        <f>VLOOKUP(B48,Mapping!A:F,6,0)</f>
        <v>Sulabh</v>
      </c>
      <c r="H48" s="30" t="s">
        <v>0</v>
      </c>
      <c r="I48" s="30" t="s">
        <v>0</v>
      </c>
      <c r="J48" s="30" t="s">
        <v>0</v>
      </c>
      <c r="K48" s="30" t="s">
        <v>0</v>
      </c>
      <c r="L48" s="30" t="s">
        <v>0</v>
      </c>
      <c r="M48" s="30" t="s">
        <v>0</v>
      </c>
      <c r="N48" s="30" t="s">
        <v>0</v>
      </c>
      <c r="O48" s="30" t="s">
        <v>0</v>
      </c>
      <c r="P48" s="30" t="s">
        <v>0</v>
      </c>
      <c r="Q48" s="30"/>
      <c r="R48" s="30">
        <v>0</v>
      </c>
      <c r="S48" s="30">
        <v>0</v>
      </c>
      <c r="T48" s="4"/>
    </row>
    <row r="49" spans="1:20" x14ac:dyDescent="0.35">
      <c r="A49" s="15" t="s">
        <v>117</v>
      </c>
      <c r="B49" s="15" t="s">
        <v>67</v>
      </c>
      <c r="C49" s="15" t="str">
        <f>VLOOKUP(B49,Mapping!A:B,2,0)</f>
        <v>Lateral</v>
      </c>
      <c r="D49" s="15" t="str">
        <f>VLOOKUP(B49,Mapping!A:C,3,0)</f>
        <v>South</v>
      </c>
      <c r="E49" s="15" t="str">
        <f>VLOOKUP(B49,Mapping!A:D,4,0)</f>
        <v>South 2</v>
      </c>
      <c r="F49" s="15" t="str">
        <f>VLOOKUP(B49,Mapping!A:E,5,0)</f>
        <v>Sulabh</v>
      </c>
      <c r="G49" s="15" t="str">
        <f>VLOOKUP(B49,Mapping!A:F,6,0)</f>
        <v>Sulabh</v>
      </c>
      <c r="H49" s="30" t="s">
        <v>0</v>
      </c>
      <c r="I49" s="30" t="s">
        <v>0</v>
      </c>
      <c r="J49" s="30" t="s">
        <v>0</v>
      </c>
      <c r="K49" s="30" t="s">
        <v>0</v>
      </c>
      <c r="L49" s="30" t="s">
        <v>0</v>
      </c>
      <c r="M49" s="30" t="s">
        <v>0</v>
      </c>
      <c r="N49" s="30" t="s">
        <v>0</v>
      </c>
      <c r="O49" s="30" t="s">
        <v>0</v>
      </c>
      <c r="P49" s="30" t="s">
        <v>0</v>
      </c>
      <c r="Q49" s="30">
        <v>0</v>
      </c>
      <c r="R49" s="30">
        <v>0</v>
      </c>
      <c r="S49" s="30">
        <v>0</v>
      </c>
      <c r="T49" s="4"/>
    </row>
    <row r="50" spans="1:20" x14ac:dyDescent="0.35">
      <c r="A50" s="15" t="s">
        <v>117</v>
      </c>
      <c r="B50" s="15" t="s">
        <v>68</v>
      </c>
      <c r="C50" s="15" t="str">
        <f>VLOOKUP(B50,Mapping!A:B,2,0)</f>
        <v>Lateral</v>
      </c>
      <c r="D50" s="15" t="str">
        <f>VLOOKUP(B50,Mapping!A:C,3,0)</f>
        <v>South</v>
      </c>
      <c r="E50" s="15" t="str">
        <f>VLOOKUP(B50,Mapping!A:D,4,0)</f>
        <v>South 2</v>
      </c>
      <c r="F50" s="15" t="str">
        <f>VLOOKUP(B50,Mapping!A:E,5,0)</f>
        <v>Sulabh</v>
      </c>
      <c r="G50" s="15" t="str">
        <f>VLOOKUP(B50,Mapping!A:F,6,0)</f>
        <v>Abhilash</v>
      </c>
      <c r="H50" s="30" t="s">
        <v>0</v>
      </c>
      <c r="I50" s="30" t="s">
        <v>0</v>
      </c>
      <c r="J50" s="30" t="s">
        <v>0</v>
      </c>
      <c r="K50" s="30" t="s">
        <v>0</v>
      </c>
      <c r="L50" s="30" t="s">
        <v>0</v>
      </c>
      <c r="M50" s="30" t="s">
        <v>0</v>
      </c>
      <c r="N50" s="30" t="s">
        <v>0</v>
      </c>
      <c r="O50" s="30" t="s">
        <v>0</v>
      </c>
      <c r="P50" s="30" t="s">
        <v>0</v>
      </c>
      <c r="Q50" s="30">
        <v>0</v>
      </c>
      <c r="R50" s="30">
        <v>0</v>
      </c>
      <c r="S50" s="30">
        <v>0</v>
      </c>
      <c r="T50" s="4"/>
    </row>
    <row r="51" spans="1:20" x14ac:dyDescent="0.35">
      <c r="A51" s="15" t="s">
        <v>117</v>
      </c>
      <c r="B51" s="15" t="s">
        <v>70</v>
      </c>
      <c r="C51" s="15" t="str">
        <f>VLOOKUP(B51,Mapping!A:B,2,0)</f>
        <v>Lateral</v>
      </c>
      <c r="D51" s="15" t="str">
        <f>VLOOKUP(B51,Mapping!A:C,3,0)</f>
        <v>West</v>
      </c>
      <c r="E51" s="15" t="str">
        <f>VLOOKUP(B51,Mapping!A:D,4,0)</f>
        <v>West 1</v>
      </c>
      <c r="F51" s="15" t="str">
        <f>VLOOKUP(B51,Mapping!A:E,5,0)</f>
        <v>Anjli</v>
      </c>
      <c r="G51" s="15" t="str">
        <f>VLOOKUP(B51,Mapping!A:F,6,0)</f>
        <v>Elton</v>
      </c>
      <c r="H51" s="30" t="s">
        <v>0</v>
      </c>
      <c r="I51" s="30" t="s">
        <v>0</v>
      </c>
      <c r="J51" s="30" t="s">
        <v>0</v>
      </c>
      <c r="K51" s="30" t="s">
        <v>0</v>
      </c>
      <c r="L51" s="30" t="s">
        <v>0</v>
      </c>
      <c r="M51" s="30" t="s">
        <v>0</v>
      </c>
      <c r="N51" s="30" t="s">
        <v>0</v>
      </c>
      <c r="O51" s="30" t="s">
        <v>0</v>
      </c>
      <c r="P51" s="30" t="s">
        <v>0</v>
      </c>
      <c r="Q51" s="30"/>
      <c r="R51" s="30">
        <v>0</v>
      </c>
      <c r="S51" s="30">
        <v>0</v>
      </c>
      <c r="T51" s="4"/>
    </row>
    <row r="52" spans="1:20" x14ac:dyDescent="0.35">
      <c r="A52" s="15" t="s">
        <v>117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5" t="str">
        <f>VLOOKUP(B52,Mapping!A:D,4,0)</f>
        <v>South 1</v>
      </c>
      <c r="F52" s="15" t="str">
        <f>VLOOKUP(B52,Mapping!A:E,5,0)</f>
        <v>Bapi</v>
      </c>
      <c r="G52" s="15" t="str">
        <f>VLOOKUP(B52,Mapping!A:F,6,0)</f>
        <v>Parul</v>
      </c>
      <c r="H52" s="30">
        <v>155336.00276434002</v>
      </c>
      <c r="I52" s="30">
        <v>171048.91043256997</v>
      </c>
      <c r="J52" s="30">
        <v>155982.75859578527</v>
      </c>
      <c r="K52" s="30">
        <v>210499.26657381942</v>
      </c>
      <c r="L52" s="30">
        <v>175904.54569805061</v>
      </c>
      <c r="M52" s="30">
        <v>178057.6226358898</v>
      </c>
      <c r="N52" s="30">
        <v>178035.10694183866</v>
      </c>
      <c r="O52" s="30">
        <v>198543.80185185187</v>
      </c>
      <c r="P52" s="30">
        <v>161445.59444444443</v>
      </c>
      <c r="Q52" s="30">
        <v>171686.45473252484</v>
      </c>
      <c r="R52" s="30">
        <v>136795.32586206897</v>
      </c>
      <c r="S52" s="30">
        <v>0</v>
      </c>
      <c r="T52" s="4"/>
    </row>
    <row r="53" spans="1:20" x14ac:dyDescent="0.35">
      <c r="A53" s="15" t="s">
        <v>117</v>
      </c>
      <c r="B53" s="15" t="s">
        <v>73</v>
      </c>
      <c r="C53" s="15" t="str">
        <f>VLOOKUP(B53,Mapping!A:B,2,0)</f>
        <v>Leadership</v>
      </c>
      <c r="D53" s="15" t="str">
        <f>VLOOKUP(B53,Mapping!A:C,3,0)</f>
        <v>South</v>
      </c>
      <c r="E53" s="15" t="str">
        <f>VLOOKUP(B53,Mapping!A:D,4,0)</f>
        <v>South 2</v>
      </c>
      <c r="F53" s="15" t="str">
        <f>VLOOKUP(B53,Mapping!A:E,5,0)</f>
        <v>Sulabh</v>
      </c>
      <c r="G53" s="15" t="str">
        <f>VLOOKUP(B53,Mapping!A:F,6,0)</f>
        <v>Parul</v>
      </c>
      <c r="H53" s="30">
        <v>0</v>
      </c>
      <c r="I53" s="30">
        <v>0</v>
      </c>
      <c r="J53" s="30">
        <v>0</v>
      </c>
      <c r="K53" s="30">
        <v>128769.35830745341</v>
      </c>
      <c r="L53" s="30">
        <v>149876.11202880953</v>
      </c>
      <c r="M53" s="30">
        <v>145613.22263588978</v>
      </c>
      <c r="N53" s="30" t="s">
        <v>0</v>
      </c>
      <c r="O53" s="30" t="s">
        <v>0</v>
      </c>
      <c r="P53" s="30" t="s">
        <v>0</v>
      </c>
      <c r="Q53" s="30">
        <v>0</v>
      </c>
      <c r="R53" s="30">
        <v>0</v>
      </c>
      <c r="S53" s="30">
        <v>0</v>
      </c>
      <c r="T53" s="4"/>
    </row>
    <row r="54" spans="1:20" x14ac:dyDescent="0.35">
      <c r="A54" s="15" t="s">
        <v>117</v>
      </c>
      <c r="B54" s="15" t="s">
        <v>74</v>
      </c>
      <c r="C54" s="15" t="str">
        <f>VLOOKUP(B54,Mapping!A:B,2,0)</f>
        <v>Leadership</v>
      </c>
      <c r="D54" s="15" t="str">
        <f>VLOOKUP(B54,Mapping!A:C,3,0)</f>
        <v>West</v>
      </c>
      <c r="E54" s="15" t="str">
        <f>VLOOKUP(B54,Mapping!A:D,4,0)</f>
        <v>West 2</v>
      </c>
      <c r="F54" s="15" t="str">
        <f>VLOOKUP(B54,Mapping!A:E,5,0)</f>
        <v>Anjli</v>
      </c>
      <c r="G54" s="15" t="str">
        <f>VLOOKUP(B54,Mapping!A:F,6,0)</f>
        <v>Parul</v>
      </c>
      <c r="H54" s="30">
        <v>133140.00276434002</v>
      </c>
      <c r="I54" s="30">
        <v>126233.31043256998</v>
      </c>
      <c r="J54" s="30">
        <v>127254.25124445568</v>
      </c>
      <c r="K54" s="30">
        <v>139695.21227434184</v>
      </c>
      <c r="L54" s="30">
        <v>165038.98081705516</v>
      </c>
      <c r="M54" s="30">
        <v>145613.22263588978</v>
      </c>
      <c r="N54" s="30">
        <v>147926.13724486894</v>
      </c>
      <c r="O54" s="30">
        <v>147920.10488215488</v>
      </c>
      <c r="P54" s="30">
        <v>136921.68771043772</v>
      </c>
      <c r="Q54" s="30">
        <v>132397.08503555515</v>
      </c>
      <c r="R54" s="30">
        <v>134640.82586206894</v>
      </c>
      <c r="S54" s="30">
        <v>124600.51379310346</v>
      </c>
      <c r="T54" s="4"/>
    </row>
    <row r="55" spans="1:20" x14ac:dyDescent="0.35">
      <c r="A55" s="15" t="s">
        <v>117</v>
      </c>
      <c r="B55" s="15" t="s">
        <v>75</v>
      </c>
      <c r="C55" s="15" t="str">
        <f>VLOOKUP(B55,Mapping!A:B,2,0)</f>
        <v>Leadership</v>
      </c>
      <c r="D55" s="15" t="str">
        <f>VLOOKUP(B55,Mapping!A:C,3,0)</f>
        <v>West</v>
      </c>
      <c r="E55" s="15" t="str">
        <f>VLOOKUP(B55,Mapping!A:D,4,0)</f>
        <v>West 1</v>
      </c>
      <c r="F55" s="15" t="str">
        <f>VLOOKUP(B55,Mapping!A:E,5,0)</f>
        <v>Anjli</v>
      </c>
      <c r="G55" s="15" t="str">
        <f>VLOOKUP(B55,Mapping!A:F,6,0)</f>
        <v>Parul</v>
      </c>
      <c r="H55" s="30">
        <v>148471.11387545115</v>
      </c>
      <c r="I55" s="30">
        <v>147635.83674835946</v>
      </c>
      <c r="J55" s="30">
        <v>132501.71307283733</v>
      </c>
      <c r="K55" s="30">
        <v>142461.66710345139</v>
      </c>
      <c r="L55" s="30">
        <v>129112.35598760885</v>
      </c>
      <c r="M55" s="30">
        <v>132229.2226358898</v>
      </c>
      <c r="N55" s="30">
        <v>149667.56848030019</v>
      </c>
      <c r="O55" s="30">
        <v>136891.51613756613</v>
      </c>
      <c r="P55" s="30">
        <v>120235.99154589372</v>
      </c>
      <c r="Q55" s="30">
        <v>119726.77473252485</v>
      </c>
      <c r="R55" s="30">
        <v>272470.82586206897</v>
      </c>
      <c r="S55" s="30">
        <v>103191.64110344827</v>
      </c>
      <c r="T55" s="4"/>
    </row>
    <row r="56" spans="1:20" x14ac:dyDescent="0.35">
      <c r="A56" s="15" t="s">
        <v>117</v>
      </c>
      <c r="B56" s="15" t="s">
        <v>76</v>
      </c>
      <c r="C56" s="15" t="str">
        <f>VLOOKUP(B56,Mapping!A:B,2,0)</f>
        <v>Leadership</v>
      </c>
      <c r="D56" s="15" t="str">
        <f>VLOOKUP(B56,Mapping!A:C,3,0)</f>
        <v>West</v>
      </c>
      <c r="E56" s="15" t="str">
        <f>VLOOKUP(B56,Mapping!A:D,4,0)</f>
        <v>West 1</v>
      </c>
      <c r="F56" s="15" t="str">
        <f>VLOOKUP(B56,Mapping!A:E,5,0)</f>
        <v>Anjli</v>
      </c>
      <c r="G56" s="15" t="str">
        <f>VLOOKUP(B56,Mapping!A:F,6,0)</f>
        <v>Parul</v>
      </c>
      <c r="H56" s="30">
        <v>80825.50276434001</v>
      </c>
      <c r="I56" s="30">
        <v>73947.810432569982</v>
      </c>
      <c r="J56" s="30">
        <v>80395.713098605702</v>
      </c>
      <c r="K56" s="30">
        <v>187683.4275223249</v>
      </c>
      <c r="L56" s="30">
        <v>103472.72602590328</v>
      </c>
      <c r="M56" s="30">
        <v>101518.7226358898</v>
      </c>
      <c r="N56" s="30">
        <v>103051.60694183865</v>
      </c>
      <c r="O56" s="30">
        <v>103104.96851851852</v>
      </c>
      <c r="P56" s="30">
        <v>99737.490740740745</v>
      </c>
      <c r="Q56" s="30">
        <v>97154.054732524848</v>
      </c>
      <c r="R56" s="30">
        <v>0</v>
      </c>
      <c r="S56" s="30">
        <v>0</v>
      </c>
      <c r="T56" s="4"/>
    </row>
    <row r="57" spans="1:20" x14ac:dyDescent="0.35">
      <c r="A57" s="15" t="s">
        <v>117</v>
      </c>
      <c r="B57" s="15" t="s">
        <v>77</v>
      </c>
      <c r="C57" s="15" t="str">
        <f>VLOOKUP(B57,Mapping!A:B,2,0)</f>
        <v>Leadership</v>
      </c>
      <c r="D57" s="15" t="str">
        <f>VLOOKUP(B57,Mapping!A:C,3,0)</f>
        <v>South</v>
      </c>
      <c r="E57" s="15" t="str">
        <f>VLOOKUP(B57,Mapping!A:D,4,0)</f>
        <v>South 2</v>
      </c>
      <c r="F57" s="15" t="str">
        <f>VLOOKUP(B57,Mapping!A:E,5,0)</f>
        <v>Sulabh</v>
      </c>
      <c r="G57" s="15" t="str">
        <f>VLOOKUP(B57,Mapping!A:F,6,0)</f>
        <v>Parul</v>
      </c>
      <c r="H57" s="30" t="s">
        <v>0</v>
      </c>
      <c r="I57" s="30" t="s">
        <v>0</v>
      </c>
      <c r="J57" s="30" t="s">
        <v>0</v>
      </c>
      <c r="K57" s="30" t="s">
        <v>0</v>
      </c>
      <c r="L57" s="30" t="s">
        <v>0</v>
      </c>
      <c r="M57" s="30" t="s">
        <v>0</v>
      </c>
      <c r="N57" s="30" t="s">
        <v>0</v>
      </c>
      <c r="O57" s="30" t="s">
        <v>0</v>
      </c>
      <c r="P57" s="30" t="s">
        <v>0</v>
      </c>
      <c r="Q57" s="30">
        <v>0</v>
      </c>
      <c r="R57" s="30">
        <v>0</v>
      </c>
      <c r="S57" s="30">
        <v>118550</v>
      </c>
      <c r="T57" s="4"/>
    </row>
    <row r="58" spans="1:20" x14ac:dyDescent="0.35">
      <c r="A58" s="15" t="s">
        <v>117</v>
      </c>
      <c r="B58" s="15" t="s">
        <v>78</v>
      </c>
      <c r="C58" s="15" t="str">
        <f>VLOOKUP(B58,Mapping!A:B,2,0)</f>
        <v>Leadership</v>
      </c>
      <c r="D58" s="15" t="str">
        <f>VLOOKUP(B58,Mapping!A:C,3,0)</f>
        <v>South</v>
      </c>
      <c r="E58" s="15" t="str">
        <f>VLOOKUP(B58,Mapping!A:D,4,0)</f>
        <v>South 2</v>
      </c>
      <c r="F58" s="15" t="str">
        <f>VLOOKUP(B58,Mapping!A:E,5,0)</f>
        <v>Sulabh</v>
      </c>
      <c r="G58" s="15" t="str">
        <f>VLOOKUP(B58,Mapping!A:F,6,0)</f>
        <v>Parul</v>
      </c>
      <c r="H58" s="30">
        <v>133140.00276434002</v>
      </c>
      <c r="I58" s="30">
        <v>126233.31043256998</v>
      </c>
      <c r="J58" s="30">
        <v>93572.600193343067</v>
      </c>
      <c r="K58" s="30">
        <v>0</v>
      </c>
      <c r="L58" s="30">
        <v>0</v>
      </c>
      <c r="M58" s="30">
        <v>0</v>
      </c>
      <c r="N58" s="30">
        <v>147931.93047125041</v>
      </c>
      <c r="O58" s="30">
        <v>147924.11557734205</v>
      </c>
      <c r="P58" s="30">
        <v>136928.46132897603</v>
      </c>
      <c r="Q58" s="30">
        <v>132394.05473252482</v>
      </c>
      <c r="R58" s="30">
        <v>134640.82586206894</v>
      </c>
      <c r="S58" s="30">
        <v>124600.51379310346</v>
      </c>
      <c r="T58" s="4"/>
    </row>
    <row r="59" spans="1:20" x14ac:dyDescent="0.35">
      <c r="A59" s="15" t="s">
        <v>117</v>
      </c>
      <c r="B59" s="15" t="s">
        <v>79</v>
      </c>
      <c r="C59" s="15" t="str">
        <f>VLOOKUP(B59,Mapping!A:B,2,0)</f>
        <v>Leadership</v>
      </c>
      <c r="D59" s="15" t="str">
        <f>VLOOKUP(B59,Mapping!A:C,3,0)</f>
        <v>North</v>
      </c>
      <c r="E59" s="15" t="str">
        <f>VLOOKUP(B59,Mapping!A:D,4,0)</f>
        <v>North</v>
      </c>
      <c r="F59" s="15" t="str">
        <f>VLOOKUP(B59,Mapping!A:E,5,0)</f>
        <v>Anjli</v>
      </c>
      <c r="G59" s="15" t="str">
        <f>VLOOKUP(B59,Mapping!A:F,6,0)</f>
        <v>Parul</v>
      </c>
      <c r="H59" s="30">
        <v>73622.00276434001</v>
      </c>
      <c r="I59" s="30">
        <v>66743.310432569968</v>
      </c>
      <c r="J59" s="30">
        <v>69688.782827782954</v>
      </c>
      <c r="K59" s="30" t="s">
        <v>0</v>
      </c>
      <c r="L59" s="30" t="s">
        <v>0</v>
      </c>
      <c r="M59" s="30" t="s">
        <v>0</v>
      </c>
      <c r="N59" s="30" t="s">
        <v>0</v>
      </c>
      <c r="O59" s="30" t="s">
        <v>0</v>
      </c>
      <c r="P59" s="30" t="s">
        <v>0</v>
      </c>
      <c r="Q59" s="30">
        <v>0</v>
      </c>
      <c r="R59" s="30">
        <v>0</v>
      </c>
      <c r="S59" s="30">
        <v>0</v>
      </c>
      <c r="T59" s="4"/>
    </row>
    <row r="60" spans="1:20" x14ac:dyDescent="0.35">
      <c r="A60" s="15" t="s">
        <v>117</v>
      </c>
      <c r="B60" s="15" t="s">
        <v>80</v>
      </c>
      <c r="C60" s="15" t="str">
        <f>VLOOKUP(B60,Mapping!A:B,2,0)</f>
        <v>Leadership</v>
      </c>
      <c r="D60" s="15" t="str">
        <f>VLOOKUP(B60,Mapping!A:C,3,0)</f>
        <v>West</v>
      </c>
      <c r="E60" s="15" t="str">
        <f>VLOOKUP(B60,Mapping!A:D,4,0)</f>
        <v>West 1</v>
      </c>
      <c r="F60" s="15" t="str">
        <f>VLOOKUP(B60,Mapping!A:E,5,0)</f>
        <v>Anjli</v>
      </c>
      <c r="G60" s="15" t="str">
        <f>VLOOKUP(B60,Mapping!A:F,6,0)</f>
        <v>Parul</v>
      </c>
      <c r="H60" s="30" t="s">
        <v>0</v>
      </c>
      <c r="I60" s="30" t="s">
        <v>0</v>
      </c>
      <c r="J60" s="30" t="s">
        <v>0</v>
      </c>
      <c r="K60" s="30">
        <v>61072</v>
      </c>
      <c r="L60" s="30">
        <v>0</v>
      </c>
      <c r="M60" s="30">
        <v>74545.222635889804</v>
      </c>
      <c r="N60" s="30">
        <v>104294.19127918803</v>
      </c>
      <c r="O60" s="30">
        <v>104323.93839803658</v>
      </c>
      <c r="P60" s="30">
        <v>97877.291945560006</v>
      </c>
      <c r="Q60" s="30">
        <v>95785.620997585065</v>
      </c>
      <c r="R60" s="30">
        <v>0</v>
      </c>
      <c r="S60" s="30">
        <v>0</v>
      </c>
      <c r="T60" s="4"/>
    </row>
    <row r="61" spans="1:20" x14ac:dyDescent="0.35">
      <c r="A61" s="15" t="s">
        <v>117</v>
      </c>
      <c r="B61" s="15" t="s">
        <v>81</v>
      </c>
      <c r="C61" s="15" t="str">
        <f>VLOOKUP(B61,Mapping!A:B,2,0)</f>
        <v>Leadership</v>
      </c>
      <c r="D61" s="15" t="str">
        <f>VLOOKUP(B61,Mapping!A:C,3,0)</f>
        <v>West</v>
      </c>
      <c r="E61" s="15" t="str">
        <f>VLOOKUP(B61,Mapping!A:D,4,0)</f>
        <v>West 2</v>
      </c>
      <c r="F61" s="15" t="str">
        <f>VLOOKUP(B61,Mapping!A:E,5,0)</f>
        <v>Anjli</v>
      </c>
      <c r="G61" s="15" t="str">
        <f>VLOOKUP(B61,Mapping!A:F,6,0)</f>
        <v>Parul</v>
      </c>
      <c r="H61" s="30">
        <v>73622.00276434001</v>
      </c>
      <c r="I61" s="30">
        <v>66743.310432569968</v>
      </c>
      <c r="J61" s="30">
        <v>67240.618348623859</v>
      </c>
      <c r="K61" s="30">
        <v>74929.358307453411</v>
      </c>
      <c r="L61" s="30">
        <v>73164.14313346229</v>
      </c>
      <c r="M61" s="30">
        <v>74545.222635889804</v>
      </c>
      <c r="N61" s="30">
        <v>75497.106941838647</v>
      </c>
      <c r="O61" s="30">
        <v>75550.468518518523</v>
      </c>
      <c r="P61" s="30">
        <v>72107.990740740745</v>
      </c>
      <c r="Q61" s="30">
        <v>71622.054732524834</v>
      </c>
      <c r="R61" s="30">
        <v>134725.82586206894</v>
      </c>
      <c r="S61" s="30">
        <v>0</v>
      </c>
      <c r="T61" s="4"/>
    </row>
    <row r="62" spans="1:20" x14ac:dyDescent="0.35">
      <c r="A62" s="15" t="s">
        <v>117</v>
      </c>
      <c r="B62" s="15" t="s">
        <v>82</v>
      </c>
      <c r="C62" s="15" t="str">
        <f>VLOOKUP(B62,Mapping!A:B,2,0)</f>
        <v>Leadership</v>
      </c>
      <c r="D62" s="15" t="str">
        <f>VLOOKUP(B62,Mapping!A:C,3,0)</f>
        <v>North</v>
      </c>
      <c r="E62" s="15" t="str">
        <f>VLOOKUP(B62,Mapping!A:D,4,0)</f>
        <v>North</v>
      </c>
      <c r="F62" s="15" t="str">
        <f>VLOOKUP(B62,Mapping!A:E,5,0)</f>
        <v>Anjli</v>
      </c>
      <c r="G62" s="15" t="str">
        <f>VLOOKUP(B62,Mapping!A:F,6,0)</f>
        <v>Parul</v>
      </c>
      <c r="H62" s="30" t="s">
        <v>0</v>
      </c>
      <c r="I62" s="30" t="s">
        <v>0</v>
      </c>
      <c r="J62" s="30" t="s">
        <v>0</v>
      </c>
      <c r="K62" s="30" t="s">
        <v>0</v>
      </c>
      <c r="L62" s="30" t="s">
        <v>0</v>
      </c>
      <c r="M62" s="30" t="s">
        <v>0</v>
      </c>
      <c r="N62" s="30" t="s">
        <v>0</v>
      </c>
      <c r="O62" s="30" t="s">
        <v>0</v>
      </c>
      <c r="P62" s="30" t="s">
        <v>0</v>
      </c>
      <c r="Q62" s="30">
        <v>0</v>
      </c>
      <c r="R62" s="30">
        <v>0</v>
      </c>
      <c r="S62" s="30">
        <v>0</v>
      </c>
      <c r="T62" s="4"/>
    </row>
    <row r="63" spans="1:20" x14ac:dyDescent="0.35">
      <c r="A63" s="15" t="s">
        <v>117</v>
      </c>
      <c r="B63" s="15" t="s">
        <v>83</v>
      </c>
      <c r="C63" s="15" t="str">
        <f>VLOOKUP(B63,Mapping!A:B,2,0)</f>
        <v>Leadership</v>
      </c>
      <c r="D63" s="15" t="str">
        <f>VLOOKUP(B63,Mapping!A:C,3,0)</f>
        <v>North</v>
      </c>
      <c r="E63" s="15" t="str">
        <f>VLOOKUP(B63,Mapping!A:D,4,0)</f>
        <v>North</v>
      </c>
      <c r="F63" s="15" t="str">
        <f>VLOOKUP(B63,Mapping!A:E,5,0)</f>
        <v>Anjli</v>
      </c>
      <c r="G63" s="15" t="str">
        <f>VLOOKUP(B63,Mapping!A:F,6,0)</f>
        <v>Parul</v>
      </c>
      <c r="H63" s="30" t="s">
        <v>0</v>
      </c>
      <c r="I63" s="30" t="s">
        <v>0</v>
      </c>
      <c r="J63" s="30" t="s">
        <v>0</v>
      </c>
      <c r="K63" s="30" t="s">
        <v>0</v>
      </c>
      <c r="L63" s="30" t="s">
        <v>0</v>
      </c>
      <c r="M63" s="30" t="s">
        <v>0</v>
      </c>
      <c r="N63" s="30" t="s">
        <v>0</v>
      </c>
      <c r="O63" s="30" t="s">
        <v>0</v>
      </c>
      <c r="P63" s="30" t="s">
        <v>0</v>
      </c>
      <c r="Q63" s="30">
        <v>0</v>
      </c>
      <c r="R63" s="30">
        <v>0</v>
      </c>
      <c r="S63" s="30">
        <v>0</v>
      </c>
      <c r="T63" s="4"/>
    </row>
    <row r="64" spans="1:20" x14ac:dyDescent="0.35">
      <c r="A64" s="15" t="s">
        <v>117</v>
      </c>
      <c r="B64" s="15" t="s">
        <v>84</v>
      </c>
      <c r="C64" s="15" t="str">
        <f>VLOOKUP(B64,Mapping!A:B,2,0)</f>
        <v>Leadership</v>
      </c>
      <c r="D64" s="15" t="str">
        <f>VLOOKUP(B64,Mapping!A:C,3,0)</f>
        <v>West</v>
      </c>
      <c r="E64" s="15" t="str">
        <f>VLOOKUP(B64,Mapping!A:D,4,0)</f>
        <v>West 1</v>
      </c>
      <c r="F64" s="15" t="str">
        <f>VLOOKUP(B64,Mapping!A:E,5,0)</f>
        <v>Anjli</v>
      </c>
      <c r="G64" s="15" t="str">
        <f>VLOOKUP(B64,Mapping!A:F,6,0)</f>
        <v>Parul</v>
      </c>
      <c r="H64" s="30" t="s">
        <v>0</v>
      </c>
      <c r="I64" s="30" t="s">
        <v>0</v>
      </c>
      <c r="J64" s="30" t="s">
        <v>0</v>
      </c>
      <c r="K64" s="30" t="s">
        <v>0</v>
      </c>
      <c r="L64" s="30" t="s">
        <v>0</v>
      </c>
      <c r="M64" s="30" t="s">
        <v>0</v>
      </c>
      <c r="N64" s="30" t="s">
        <v>0</v>
      </c>
      <c r="O64" s="30" t="s">
        <v>0</v>
      </c>
      <c r="P64" s="30" t="s">
        <v>0</v>
      </c>
      <c r="Q64" s="30">
        <v>0</v>
      </c>
      <c r="R64" s="30">
        <v>0</v>
      </c>
      <c r="S64" s="30">
        <v>0</v>
      </c>
      <c r="T64" s="4"/>
    </row>
    <row r="65" spans="1:20" x14ac:dyDescent="0.35">
      <c r="A65" s="15" t="s">
        <v>117</v>
      </c>
      <c r="B65" s="15" t="s">
        <v>85</v>
      </c>
      <c r="C65" s="15" t="str">
        <f>VLOOKUP(B65,Mapping!A:B,2,0)</f>
        <v>Leadership</v>
      </c>
      <c r="D65" s="15" t="str">
        <f>VLOOKUP(B65,Mapping!A:C,3,0)</f>
        <v>North</v>
      </c>
      <c r="E65" s="15" t="str">
        <f>VLOOKUP(B65,Mapping!A:D,4,0)</f>
        <v>North</v>
      </c>
      <c r="F65" s="15" t="str">
        <f>VLOOKUP(B65,Mapping!A:E,5,0)</f>
        <v>Anjli</v>
      </c>
      <c r="G65" s="15" t="str">
        <f>VLOOKUP(B65,Mapping!A:F,6,0)</f>
        <v>Parul</v>
      </c>
      <c r="H65" s="30" t="s">
        <v>0</v>
      </c>
      <c r="I65" s="30" t="s">
        <v>0</v>
      </c>
      <c r="J65" s="30" t="s">
        <v>0</v>
      </c>
      <c r="K65" s="30" t="s">
        <v>0</v>
      </c>
      <c r="L65" s="30" t="s">
        <v>0</v>
      </c>
      <c r="M65" s="30" t="s">
        <v>0</v>
      </c>
      <c r="N65" s="30" t="s">
        <v>0</v>
      </c>
      <c r="O65" s="30" t="s">
        <v>0</v>
      </c>
      <c r="P65" s="30" t="s">
        <v>0</v>
      </c>
      <c r="Q65" s="30">
        <v>0</v>
      </c>
      <c r="R65" s="30">
        <v>134640.82586206894</v>
      </c>
      <c r="S65" s="30">
        <v>124600.51379310346</v>
      </c>
      <c r="T65" s="4"/>
    </row>
    <row r="66" spans="1:20" x14ac:dyDescent="0.35">
      <c r="A66" s="15" t="s">
        <v>117</v>
      </c>
      <c r="B66" s="15" t="s">
        <v>86</v>
      </c>
      <c r="C66" s="15" t="str">
        <f>VLOOKUP(B66,Mapping!A:B,2,0)</f>
        <v>Lateral</v>
      </c>
      <c r="D66" s="15" t="str">
        <f>VLOOKUP(B66,Mapping!A:C,3,0)</f>
        <v>South</v>
      </c>
      <c r="E66" s="15" t="str">
        <f>VLOOKUP(B66,Mapping!A:D,4,0)</f>
        <v>South 1</v>
      </c>
      <c r="F66" s="15" t="str">
        <f>VLOOKUP(B66,Mapping!A:E,5,0)</f>
        <v>Ashish</v>
      </c>
      <c r="G66" s="15" t="str">
        <f>VLOOKUP(B66,Mapping!A:F,6,0)</f>
        <v>Ashish</v>
      </c>
      <c r="H66" s="30">
        <v>98702.621811959063</v>
      </c>
      <c r="I66" s="30">
        <v>91380.310432569968</v>
      </c>
      <c r="J66" s="30">
        <v>96513.943851215357</v>
      </c>
      <c r="K66" s="30">
        <v>94957.306078357127</v>
      </c>
      <c r="L66" s="30">
        <v>120447.74665123688</v>
      </c>
      <c r="M66" s="30">
        <v>101590.2058291671</v>
      </c>
      <c r="N66" s="30">
        <v>110861.92273131234</v>
      </c>
      <c r="O66" s="30">
        <v>114531.7788633461</v>
      </c>
      <c r="P66" s="30">
        <v>109474.29559178745</v>
      </c>
      <c r="Q66" s="30">
        <v>113206.47139919152</v>
      </c>
      <c r="R66" s="30">
        <v>85449.999775112447</v>
      </c>
      <c r="S66" s="30">
        <v>114841.24238505746</v>
      </c>
      <c r="T66" s="4"/>
    </row>
    <row r="67" spans="1:20" x14ac:dyDescent="0.35">
      <c r="A67" s="15" t="s">
        <v>117</v>
      </c>
      <c r="B67" s="15" t="s">
        <v>88</v>
      </c>
      <c r="C67" s="15" t="str">
        <f>VLOOKUP(B67,Mapping!A:B,2,0)</f>
        <v>Lateral</v>
      </c>
      <c r="D67" s="15" t="str">
        <f>VLOOKUP(B67,Mapping!A:C,3,0)</f>
        <v>New Sales</v>
      </c>
      <c r="E67" s="15" t="str">
        <f>VLOOKUP(B67,Mapping!A:D,4,0)</f>
        <v>New Sales</v>
      </c>
      <c r="F67" s="15" t="str">
        <f>VLOOKUP(B67,Mapping!A:E,5,0)</f>
        <v>Nizar</v>
      </c>
      <c r="G67" s="15" t="str">
        <f>VLOOKUP(B67,Mapping!A:F,6,0)</f>
        <v>Nizar</v>
      </c>
      <c r="H67" s="30" t="s">
        <v>0</v>
      </c>
      <c r="I67" s="30" t="s">
        <v>0</v>
      </c>
      <c r="J67" s="30" t="s">
        <v>0</v>
      </c>
      <c r="K67" s="30" t="s">
        <v>0</v>
      </c>
      <c r="L67" s="30" t="s">
        <v>0</v>
      </c>
      <c r="M67" s="30" t="s">
        <v>0</v>
      </c>
      <c r="N67" s="30" t="s">
        <v>0</v>
      </c>
      <c r="O67" s="30" t="s">
        <v>0</v>
      </c>
      <c r="P67" s="30" t="s">
        <v>0</v>
      </c>
      <c r="Q67" s="30"/>
      <c r="R67" s="30">
        <v>0</v>
      </c>
      <c r="S67" s="30">
        <v>0</v>
      </c>
      <c r="T67" s="4"/>
    </row>
    <row r="68" spans="1:20" x14ac:dyDescent="0.35">
      <c r="A68" s="15" t="s">
        <v>117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5" t="str">
        <f>VLOOKUP(B68,Mapping!A:D,4,0)</f>
        <v>North</v>
      </c>
      <c r="F68" s="15" t="str">
        <f>VLOOKUP(B68,Mapping!A:E,5,0)</f>
        <v>Anjli</v>
      </c>
      <c r="G68" s="15" t="str">
        <f>VLOOKUP(B68,Mapping!A:F,6,0)</f>
        <v>Archana</v>
      </c>
      <c r="H68" s="30">
        <v>120041.50276434001</v>
      </c>
      <c r="I68" s="30">
        <v>112932.04213988705</v>
      </c>
      <c r="J68" s="30">
        <v>109094.43822932425</v>
      </c>
      <c r="K68" s="30">
        <v>115331.56378185588</v>
      </c>
      <c r="L68" s="30">
        <v>117013.05712936322</v>
      </c>
      <c r="M68" s="30">
        <v>110153.25438192155</v>
      </c>
      <c r="N68" s="30">
        <v>105287.10694183865</v>
      </c>
      <c r="O68" s="30">
        <v>107861.75153738643</v>
      </c>
      <c r="P68" s="30">
        <v>105665.00863151287</v>
      </c>
      <c r="Q68" s="30">
        <v>94337.677920930626</v>
      </c>
      <c r="R68" s="30">
        <v>105836.34310344828</v>
      </c>
      <c r="S68" s="30">
        <v>111704.37083333333</v>
      </c>
      <c r="T68" s="4"/>
    </row>
    <row r="69" spans="1:20" x14ac:dyDescent="0.35">
      <c r="A69" s="15" t="s">
        <v>117</v>
      </c>
      <c r="B69" s="15" t="s">
        <v>93</v>
      </c>
      <c r="C69" s="15" t="str">
        <f>VLOOKUP(B69,Mapping!A:B,2,0)</f>
        <v>Lateral</v>
      </c>
      <c r="D69" s="15" t="str">
        <f>VLOOKUP(B69,Mapping!A:C,3,0)</f>
        <v>North</v>
      </c>
      <c r="E69" s="15" t="str">
        <f>VLOOKUP(B69,Mapping!A:D,4,0)</f>
        <v>North</v>
      </c>
      <c r="F69" s="15" t="str">
        <f>VLOOKUP(B69,Mapping!A:E,5,0)</f>
        <v>Anjli</v>
      </c>
      <c r="G69" s="15" t="str">
        <f>VLOOKUP(B69,Mapping!A:F,6,0)</f>
        <v>Archana</v>
      </c>
      <c r="H69" s="30" t="s">
        <v>0</v>
      </c>
      <c r="I69" s="30" t="s">
        <v>0</v>
      </c>
      <c r="J69" s="30" t="s">
        <v>0</v>
      </c>
      <c r="K69" s="30" t="s">
        <v>0</v>
      </c>
      <c r="L69" s="30" t="s">
        <v>0</v>
      </c>
      <c r="M69" s="30">
        <v>56092.222635889804</v>
      </c>
      <c r="N69" s="30">
        <v>105273.87617260788</v>
      </c>
      <c r="O69" s="30">
        <v>152080.95127713922</v>
      </c>
      <c r="P69" s="30">
        <v>129507.50798212005</v>
      </c>
      <c r="Q69" s="30">
        <v>103289.6102880804</v>
      </c>
      <c r="R69" s="30">
        <v>87161.936973180083</v>
      </c>
      <c r="S69" s="30">
        <v>107804.94217506632</v>
      </c>
      <c r="T69" s="4"/>
    </row>
    <row r="70" spans="1:20" x14ac:dyDescent="0.35">
      <c r="A70" s="15" t="s">
        <v>117</v>
      </c>
      <c r="B70" s="15" t="s">
        <v>133</v>
      </c>
      <c r="C70" s="15" t="str">
        <f>VLOOKUP(B70,Mapping!A:B,2,0)</f>
        <v>Lateral</v>
      </c>
      <c r="D70" s="15" t="str">
        <f>VLOOKUP(B70,Mapping!A:C,3,0)</f>
        <v>West</v>
      </c>
      <c r="E70" s="15" t="str">
        <f>VLOOKUP(B70,Mapping!A:D,4,0)</f>
        <v>West 1</v>
      </c>
      <c r="F70" s="15" t="str">
        <f>VLOOKUP(B70,Mapping!A:E,5,0)</f>
        <v>Anjli</v>
      </c>
      <c r="G70" s="15" t="str">
        <f>VLOOKUP(B70,Mapping!A:F,6,0)</f>
        <v>Anjli</v>
      </c>
      <c r="H70" s="30" t="s">
        <v>0</v>
      </c>
      <c r="I70" s="30" t="s">
        <v>0</v>
      </c>
      <c r="J70" s="30" t="s">
        <v>0</v>
      </c>
      <c r="K70" s="30" t="s">
        <v>0</v>
      </c>
      <c r="L70" s="30" t="s">
        <v>0</v>
      </c>
      <c r="M70" s="30" t="s">
        <v>0</v>
      </c>
      <c r="N70" s="30" t="s">
        <v>0</v>
      </c>
      <c r="O70" s="30" t="s">
        <v>0</v>
      </c>
      <c r="P70" s="30" t="s">
        <v>0</v>
      </c>
      <c r="Q70" s="30">
        <v>86243.179732524848</v>
      </c>
      <c r="R70" s="30">
        <v>93304.184071024196</v>
      </c>
      <c r="S70" s="30">
        <v>104261.23980417199</v>
      </c>
      <c r="T70" s="4"/>
    </row>
    <row r="71" spans="1:20" x14ac:dyDescent="0.35">
      <c r="A71" s="15" t="s">
        <v>117</v>
      </c>
      <c r="B71" s="15" t="s">
        <v>95</v>
      </c>
      <c r="C71" s="15" t="str">
        <f>VLOOKUP(B71,Mapping!A:B,2,0)</f>
        <v>Lateral</v>
      </c>
      <c r="D71" s="15" t="str">
        <f>VLOOKUP(B71,Mapping!A:C,3,0)</f>
        <v>West</v>
      </c>
      <c r="E71" s="15" t="str">
        <f>VLOOKUP(B71,Mapping!A:D,4,0)</f>
        <v>West 1</v>
      </c>
      <c r="F71" s="15" t="str">
        <f>VLOOKUP(B71,Mapping!A:E,5,0)</f>
        <v>Anjli</v>
      </c>
      <c r="G71" s="15" t="str">
        <f>VLOOKUP(B71,Mapping!A:F,6,0)</f>
        <v>Geetu</v>
      </c>
      <c r="H71" s="30">
        <v>0</v>
      </c>
      <c r="I71" s="30">
        <v>89724.643765903311</v>
      </c>
      <c r="J71" s="30">
        <v>68690.803560108019</v>
      </c>
      <c r="K71" s="30">
        <v>75514.647165478062</v>
      </c>
      <c r="L71" s="30">
        <v>73490.969367154699</v>
      </c>
      <c r="M71" s="30">
        <v>78763.982412426121</v>
      </c>
      <c r="N71" s="30">
        <v>68559.689856411511</v>
      </c>
      <c r="O71" s="30">
        <v>79723.950532907009</v>
      </c>
      <c r="P71" s="30">
        <v>74866.814065904138</v>
      </c>
      <c r="Q71" s="30">
        <v>79844.729579150604</v>
      </c>
      <c r="R71" s="30">
        <v>67510.917886608833</v>
      </c>
      <c r="S71" s="30">
        <v>75391.345474137925</v>
      </c>
      <c r="T71" s="4"/>
    </row>
    <row r="72" spans="1:20" x14ac:dyDescent="0.35">
      <c r="A72" s="15" t="s">
        <v>117</v>
      </c>
      <c r="B72" s="15" t="s">
        <v>96</v>
      </c>
      <c r="C72" s="15" t="str">
        <f>VLOOKUP(B72,Mapping!A:B,2,0)</f>
        <v>Lateral</v>
      </c>
      <c r="D72" s="15" t="str">
        <f>VLOOKUP(B72,Mapping!A:C,3,0)</f>
        <v>West</v>
      </c>
      <c r="E72" s="15" t="str">
        <f>VLOOKUP(B72,Mapping!A:D,4,0)</f>
        <v>West 1</v>
      </c>
      <c r="F72" s="15" t="str">
        <f>VLOOKUP(B72,Mapping!A:E,5,0)</f>
        <v>Anjli</v>
      </c>
      <c r="G72" s="15" t="str">
        <f>VLOOKUP(B72,Mapping!A:F,6,0)</f>
        <v>Archana</v>
      </c>
      <c r="H72" s="30" t="s">
        <v>0</v>
      </c>
      <c r="I72" s="30" t="s">
        <v>0</v>
      </c>
      <c r="J72" s="30" t="s">
        <v>0</v>
      </c>
      <c r="K72" s="30" t="s">
        <v>0</v>
      </c>
      <c r="L72" s="30" t="s">
        <v>0</v>
      </c>
      <c r="M72" s="30" t="s">
        <v>0</v>
      </c>
      <c r="N72" s="30" t="s">
        <v>0</v>
      </c>
      <c r="O72" s="30">
        <v>41783.468518518515</v>
      </c>
      <c r="P72" s="30">
        <v>88127.994708994709</v>
      </c>
      <c r="Q72" s="30">
        <v>81116.054732524834</v>
      </c>
      <c r="R72" s="30">
        <v>114775.82586206896</v>
      </c>
      <c r="S72" s="30">
        <v>134794.0745689655</v>
      </c>
      <c r="T72" s="4"/>
    </row>
    <row r="73" spans="1:20" x14ac:dyDescent="0.35">
      <c r="A73" s="15" t="s">
        <v>117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5" t="str">
        <f>VLOOKUP(B73,Mapping!A:D,4,0)</f>
        <v>South 2</v>
      </c>
      <c r="F73" s="15" t="str">
        <f>VLOOKUP(B73,Mapping!A:E,5,0)</f>
        <v>Sulabh</v>
      </c>
      <c r="G73" s="15" t="str">
        <f>VLOOKUP(B73,Mapping!A:F,6,0)</f>
        <v>Lekhana</v>
      </c>
      <c r="H73" s="30">
        <v>107149.87776434001</v>
      </c>
      <c r="I73" s="30">
        <v>114318.31043256997</v>
      </c>
      <c r="J73" s="30">
        <v>103557.05006960453</v>
      </c>
      <c r="K73" s="30">
        <v>125174.11009808579</v>
      </c>
      <c r="L73" s="30">
        <v>119064.23853329902</v>
      </c>
      <c r="M73" s="30">
        <v>112885.88930255648</v>
      </c>
      <c r="N73" s="30">
        <v>134236.10694183866</v>
      </c>
      <c r="O73" s="30">
        <v>133999.66851851851</v>
      </c>
      <c r="P73" s="30">
        <v>132759.39074074075</v>
      </c>
      <c r="Q73" s="30">
        <v>79442.388065858177</v>
      </c>
      <c r="R73" s="30">
        <v>139260.22586206897</v>
      </c>
      <c r="S73" s="30">
        <v>97562.913793103449</v>
      </c>
      <c r="T73" s="4"/>
    </row>
    <row r="74" spans="1:20" x14ac:dyDescent="0.35">
      <c r="A74" s="15" t="s">
        <v>117</v>
      </c>
      <c r="B74" s="15" t="s">
        <v>99</v>
      </c>
      <c r="C74" s="15" t="str">
        <f>VLOOKUP(B74,Mapping!A:B,2,0)</f>
        <v>Lateral</v>
      </c>
      <c r="D74" s="15" t="str">
        <f>VLOOKUP(B74,Mapping!A:C,3,0)</f>
        <v>South</v>
      </c>
      <c r="E74" s="15" t="str">
        <f>VLOOKUP(B74,Mapping!A:D,4,0)</f>
        <v>South 2</v>
      </c>
      <c r="F74" s="15" t="str">
        <f>VLOOKUP(B74,Mapping!A:E,5,0)</f>
        <v>Sulabh</v>
      </c>
      <c r="G74" s="15" t="str">
        <f>VLOOKUP(B74,Mapping!A:F,6,0)</f>
        <v>Satya</v>
      </c>
      <c r="H74" s="30">
        <v>119884.57494678644</v>
      </c>
      <c r="I74" s="30">
        <v>113665.5831598427</v>
      </c>
      <c r="J74" s="30">
        <v>100392.29456248983</v>
      </c>
      <c r="K74" s="30">
        <v>110004.51582691968</v>
      </c>
      <c r="L74" s="30">
        <v>124329.69958578824</v>
      </c>
      <c r="M74" s="30">
        <v>113919.8785250353</v>
      </c>
      <c r="N74" s="30">
        <v>125568.7525874843</v>
      </c>
      <c r="O74" s="30">
        <v>124437.5495995996</v>
      </c>
      <c r="P74" s="30">
        <v>108246.21920708237</v>
      </c>
      <c r="Q74" s="30">
        <v>115890.15082862094</v>
      </c>
      <c r="R74" s="30">
        <v>114021.4715077146</v>
      </c>
      <c r="S74" s="30">
        <v>90626.868842595577</v>
      </c>
      <c r="T74" s="4"/>
    </row>
    <row r="75" spans="1:20" x14ac:dyDescent="0.35">
      <c r="A75" s="15" t="s">
        <v>117</v>
      </c>
      <c r="B75" s="15" t="s">
        <v>100</v>
      </c>
      <c r="C75" s="15" t="str">
        <f>VLOOKUP(B75,Mapping!A:B,2,0)</f>
        <v>Lateral</v>
      </c>
      <c r="D75" s="15" t="str">
        <f>VLOOKUP(B75,Mapping!A:C,3,0)</f>
        <v>West</v>
      </c>
      <c r="E75" s="15" t="str">
        <f>VLOOKUP(B75,Mapping!A:D,4,0)</f>
        <v>West 1</v>
      </c>
      <c r="F75" s="15" t="str">
        <f>VLOOKUP(B75,Mapping!A:E,5,0)</f>
        <v>Anjli</v>
      </c>
      <c r="G75" s="15" t="str">
        <f>VLOOKUP(B75,Mapping!A:F,6,0)</f>
        <v>Anjli</v>
      </c>
      <c r="H75" s="30" t="s">
        <v>0</v>
      </c>
      <c r="I75" s="30" t="s">
        <v>0</v>
      </c>
      <c r="J75" s="30" t="s">
        <v>0</v>
      </c>
      <c r="K75" s="30" t="s">
        <v>0</v>
      </c>
      <c r="L75" s="30" t="s">
        <v>0</v>
      </c>
      <c r="M75" s="30" t="s">
        <v>0</v>
      </c>
      <c r="N75" s="30" t="s">
        <v>0</v>
      </c>
      <c r="O75" s="30" t="s">
        <v>0</v>
      </c>
      <c r="P75" s="30" t="s">
        <v>0</v>
      </c>
      <c r="Q75" s="30"/>
      <c r="R75" s="30">
        <v>0</v>
      </c>
      <c r="S75" s="30">
        <v>0</v>
      </c>
      <c r="T75" s="4"/>
    </row>
    <row r="76" spans="1:20" x14ac:dyDescent="0.35">
      <c r="A76" s="15" t="s">
        <v>117</v>
      </c>
      <c r="B76" s="15" t="s">
        <v>132</v>
      </c>
      <c r="C76" s="15" t="str">
        <f>VLOOKUP(B76,Mapping!A:B,2,0)</f>
        <v>Lateral</v>
      </c>
      <c r="D76" s="15" t="str">
        <f>VLOOKUP(B76,Mapping!A:C,3,0)</f>
        <v>West</v>
      </c>
      <c r="E76" s="15" t="str">
        <f>VLOOKUP(B76,Mapping!A:D,4,0)</f>
        <v>West 1</v>
      </c>
      <c r="F76" s="15" t="str">
        <f>VLOOKUP(B76,Mapping!A:E,5,0)</f>
        <v>Anjli</v>
      </c>
      <c r="G76" s="15" t="str">
        <f>VLOOKUP(B76,Mapping!A:F,6,0)</f>
        <v>Anjli</v>
      </c>
      <c r="H76" s="30" t="s">
        <v>0</v>
      </c>
      <c r="I76" s="30" t="s">
        <v>0</v>
      </c>
      <c r="J76" s="30" t="s">
        <v>0</v>
      </c>
      <c r="K76" s="30" t="s">
        <v>0</v>
      </c>
      <c r="L76" s="30" t="s">
        <v>0</v>
      </c>
      <c r="M76" s="30" t="s">
        <v>0</v>
      </c>
      <c r="N76" s="30" t="s">
        <v>0</v>
      </c>
      <c r="O76" s="30" t="s">
        <v>0</v>
      </c>
      <c r="P76" s="30" t="s">
        <v>0</v>
      </c>
      <c r="Q76" s="30">
        <v>78881.054732524848</v>
      </c>
      <c r="R76" s="30">
        <v>106747.64404388714</v>
      </c>
      <c r="S76" s="30">
        <v>115730.51379310344</v>
      </c>
      <c r="T76" s="4"/>
    </row>
    <row r="77" spans="1:20" x14ac:dyDescent="0.35">
      <c r="A77" s="15" t="s">
        <v>117</v>
      </c>
      <c r="B77" s="15" t="s">
        <v>102</v>
      </c>
      <c r="C77" s="15" t="str">
        <f>VLOOKUP(B77,Mapping!A:B,2,0)</f>
        <v>Lateral</v>
      </c>
      <c r="D77" s="15" t="str">
        <f>VLOOKUP(B77,Mapping!A:C,3,0)</f>
        <v>West</v>
      </c>
      <c r="E77" s="15" t="str">
        <f>VLOOKUP(B77,Mapping!A:D,4,0)</f>
        <v>West 1</v>
      </c>
      <c r="F77" s="15" t="str">
        <f>VLOOKUP(B77,Mapping!A:E,5,0)</f>
        <v>Anjli</v>
      </c>
      <c r="G77" s="15" t="str">
        <f>VLOOKUP(B77,Mapping!A:F,6,0)</f>
        <v>Anjli</v>
      </c>
      <c r="H77" s="30" t="s">
        <v>0</v>
      </c>
      <c r="I77" s="30" t="s">
        <v>0</v>
      </c>
      <c r="J77" s="30" t="s">
        <v>0</v>
      </c>
      <c r="K77" s="30" t="s">
        <v>0</v>
      </c>
      <c r="L77" s="30" t="s">
        <v>0</v>
      </c>
      <c r="M77" s="30" t="s">
        <v>0</v>
      </c>
      <c r="N77" s="30" t="s">
        <v>0</v>
      </c>
      <c r="O77" s="30" t="s">
        <v>0</v>
      </c>
      <c r="P77" s="30" t="s">
        <v>0</v>
      </c>
      <c r="Q77" s="30">
        <v>0</v>
      </c>
      <c r="R77" s="30">
        <v>44485.825862068959</v>
      </c>
      <c r="S77" s="30">
        <v>50786.47706993961</v>
      </c>
      <c r="T77" s="4"/>
    </row>
    <row r="78" spans="1:20" x14ac:dyDescent="0.35">
      <c r="A78" s="15" t="s">
        <v>117</v>
      </c>
      <c r="B78" s="31" t="s">
        <v>120</v>
      </c>
      <c r="C78" s="31" t="s">
        <v>129</v>
      </c>
      <c r="D78" s="31" t="s">
        <v>129</v>
      </c>
      <c r="E78" s="31" t="s">
        <v>129</v>
      </c>
      <c r="F78" s="31" t="s">
        <v>131</v>
      </c>
      <c r="G78" s="31" t="s">
        <v>130</v>
      </c>
      <c r="H78" s="31"/>
      <c r="I78" s="31"/>
      <c r="J78" s="31"/>
      <c r="K78" s="31"/>
      <c r="L78" s="31"/>
      <c r="M78" s="31"/>
      <c r="N78" s="31"/>
      <c r="O78" s="31"/>
      <c r="P78" s="31"/>
      <c r="Q78" s="30">
        <v>72730.054732524834</v>
      </c>
      <c r="R78" s="30">
        <v>78516.471023359278</v>
      </c>
      <c r="S78" s="30">
        <v>73657.524410163329</v>
      </c>
    </row>
    <row r="79" spans="1:20" x14ac:dyDescent="0.35">
      <c r="A79" s="15" t="s">
        <v>117</v>
      </c>
      <c r="B79" s="31" t="s">
        <v>121</v>
      </c>
      <c r="C79" s="31" t="s">
        <v>129</v>
      </c>
      <c r="D79" s="31" t="s">
        <v>129</v>
      </c>
      <c r="E79" s="31" t="s">
        <v>129</v>
      </c>
      <c r="F79" s="31" t="s">
        <v>131</v>
      </c>
      <c r="G79" s="31" t="s">
        <v>130</v>
      </c>
      <c r="H79" s="31"/>
      <c r="I79" s="31"/>
      <c r="J79" s="31"/>
      <c r="K79" s="31"/>
      <c r="L79" s="31"/>
      <c r="M79" s="31"/>
      <c r="N79" s="31"/>
      <c r="O79" s="31"/>
      <c r="P79" s="31"/>
      <c r="Q79" s="30">
        <v>0</v>
      </c>
      <c r="R79" s="30">
        <v>0</v>
      </c>
      <c r="S79" s="30">
        <v>0</v>
      </c>
    </row>
    <row r="80" spans="1:20" x14ac:dyDescent="0.35">
      <c r="A80" s="15" t="s">
        <v>117</v>
      </c>
      <c r="B80" s="31" t="s">
        <v>122</v>
      </c>
      <c r="C80" s="31" t="s">
        <v>129</v>
      </c>
      <c r="D80" s="31" t="s">
        <v>129</v>
      </c>
      <c r="E80" s="31" t="s">
        <v>129</v>
      </c>
      <c r="F80" s="31" t="s">
        <v>131</v>
      </c>
      <c r="G80" s="31" t="s">
        <v>130</v>
      </c>
      <c r="H80" s="31"/>
      <c r="I80" s="31"/>
      <c r="J80" s="31"/>
      <c r="K80" s="31"/>
      <c r="L80" s="31"/>
      <c r="M80" s="31"/>
      <c r="N80" s="31"/>
      <c r="O80" s="31"/>
      <c r="P80" s="31"/>
      <c r="Q80" s="30">
        <v>0</v>
      </c>
      <c r="R80" s="30">
        <v>0</v>
      </c>
      <c r="S80" s="30">
        <v>0</v>
      </c>
    </row>
    <row r="81" spans="1:19" x14ac:dyDescent="0.35">
      <c r="A81" s="15" t="s">
        <v>117</v>
      </c>
      <c r="B81" s="31" t="s">
        <v>123</v>
      </c>
      <c r="C81" s="31" t="s">
        <v>129</v>
      </c>
      <c r="D81" s="31" t="s">
        <v>129</v>
      </c>
      <c r="E81" s="31" t="s">
        <v>129</v>
      </c>
      <c r="F81" s="31" t="s">
        <v>131</v>
      </c>
      <c r="G81" s="31" t="s">
        <v>130</v>
      </c>
      <c r="H81" s="31"/>
      <c r="I81" s="31"/>
      <c r="J81" s="31"/>
      <c r="K81" s="31"/>
      <c r="L81" s="31"/>
      <c r="M81" s="31"/>
      <c r="N81" s="31"/>
      <c r="O81" s="31"/>
      <c r="P81" s="31"/>
      <c r="Q81" s="30">
        <v>0</v>
      </c>
      <c r="R81" s="30">
        <v>0</v>
      </c>
      <c r="S81" s="30">
        <v>0</v>
      </c>
    </row>
    <row r="82" spans="1:19" x14ac:dyDescent="0.35">
      <c r="A82" s="15" t="s">
        <v>117</v>
      </c>
      <c r="B82" s="31" t="s">
        <v>124</v>
      </c>
      <c r="C82" s="31" t="s">
        <v>129</v>
      </c>
      <c r="D82" s="31" t="s">
        <v>129</v>
      </c>
      <c r="E82" s="31" t="s">
        <v>129</v>
      </c>
      <c r="F82" s="31" t="s">
        <v>131</v>
      </c>
      <c r="G82" s="31" t="s">
        <v>130</v>
      </c>
      <c r="H82" s="31"/>
      <c r="I82" s="31"/>
      <c r="J82" s="31"/>
      <c r="K82" s="31"/>
      <c r="L82" s="31"/>
      <c r="M82" s="31"/>
      <c r="N82" s="31"/>
      <c r="O82" s="31"/>
      <c r="P82" s="31"/>
      <c r="Q82" s="30">
        <v>0</v>
      </c>
      <c r="R82" s="30">
        <v>0</v>
      </c>
      <c r="S82" s="30">
        <v>0</v>
      </c>
    </row>
    <row r="83" spans="1:19" x14ac:dyDescent="0.35">
      <c r="A83" s="15" t="s">
        <v>117</v>
      </c>
      <c r="B83" s="31" t="s">
        <v>125</v>
      </c>
      <c r="C83" s="31" t="s">
        <v>129</v>
      </c>
      <c r="D83" s="31" t="s">
        <v>129</v>
      </c>
      <c r="E83" s="31" t="s">
        <v>129</v>
      </c>
      <c r="F83" s="31" t="s">
        <v>131</v>
      </c>
      <c r="G83" s="31" t="s">
        <v>130</v>
      </c>
      <c r="H83" s="31"/>
      <c r="I83" s="31"/>
      <c r="J83" s="31"/>
      <c r="K83" s="31"/>
      <c r="L83" s="31"/>
      <c r="M83" s="31"/>
      <c r="N83" s="31"/>
      <c r="O83" s="31"/>
      <c r="P83" s="31"/>
      <c r="Q83" s="30">
        <v>0</v>
      </c>
      <c r="R83" s="30">
        <v>0</v>
      </c>
      <c r="S83" s="30">
        <v>0</v>
      </c>
    </row>
    <row r="84" spans="1:19" x14ac:dyDescent="0.35">
      <c r="A84" s="15" t="s">
        <v>117</v>
      </c>
      <c r="B84" s="31" t="s">
        <v>126</v>
      </c>
      <c r="C84" s="31" t="s">
        <v>129</v>
      </c>
      <c r="D84" s="31" t="s">
        <v>129</v>
      </c>
      <c r="E84" s="31" t="s">
        <v>129</v>
      </c>
      <c r="F84" s="31" t="s">
        <v>131</v>
      </c>
      <c r="G84" s="31" t="s">
        <v>130</v>
      </c>
      <c r="H84" s="31"/>
      <c r="I84" s="31"/>
      <c r="J84" s="31"/>
      <c r="K84" s="31"/>
      <c r="L84" s="31"/>
      <c r="M84" s="31"/>
      <c r="N84" s="31"/>
      <c r="O84" s="31"/>
      <c r="P84" s="31"/>
      <c r="Q84" s="30">
        <v>0</v>
      </c>
      <c r="R84" s="30">
        <v>0</v>
      </c>
      <c r="S84" s="30">
        <v>0</v>
      </c>
    </row>
    <row r="85" spans="1:19" x14ac:dyDescent="0.35">
      <c r="A85" s="15" t="s">
        <v>117</v>
      </c>
      <c r="B85" s="31" t="s">
        <v>127</v>
      </c>
      <c r="C85" s="31" t="s">
        <v>129</v>
      </c>
      <c r="D85" s="31" t="s">
        <v>129</v>
      </c>
      <c r="E85" s="31" t="s">
        <v>129</v>
      </c>
      <c r="F85" s="31" t="s">
        <v>131</v>
      </c>
      <c r="G85" s="31" t="s">
        <v>130</v>
      </c>
      <c r="H85" s="31"/>
      <c r="I85" s="31"/>
      <c r="J85" s="31"/>
      <c r="K85" s="31"/>
      <c r="L85" s="31"/>
      <c r="M85" s="31"/>
      <c r="N85" s="31"/>
      <c r="O85" s="31"/>
      <c r="P85" s="31"/>
      <c r="Q85" s="30">
        <v>0</v>
      </c>
      <c r="R85" s="30">
        <v>0</v>
      </c>
      <c r="S85" s="30">
        <v>0</v>
      </c>
    </row>
    <row r="86" spans="1:19" x14ac:dyDescent="0.35">
      <c r="A86" s="15" t="s">
        <v>117</v>
      </c>
      <c r="B86" s="31" t="s">
        <v>128</v>
      </c>
      <c r="C86" s="31" t="s">
        <v>129</v>
      </c>
      <c r="D86" s="31" t="s">
        <v>129</v>
      </c>
      <c r="E86" s="31" t="s">
        <v>129</v>
      </c>
      <c r="F86" s="31" t="s">
        <v>131</v>
      </c>
      <c r="G86" s="31" t="s">
        <v>130</v>
      </c>
      <c r="H86" s="31"/>
      <c r="I86" s="31"/>
      <c r="J86" s="31"/>
      <c r="K86" s="31"/>
      <c r="L86" s="31"/>
      <c r="M86" s="31"/>
      <c r="N86" s="31"/>
      <c r="O86" s="31"/>
      <c r="P86" s="31"/>
      <c r="Q86" s="30">
        <v>311409.844206209</v>
      </c>
      <c r="R86" s="30">
        <v>297691.82586206897</v>
      </c>
      <c r="S86" s="30">
        <v>863115.04597701156</v>
      </c>
    </row>
  </sheetData>
  <conditionalFormatting sqref="A2:B2 I2:S2 E2:G2">
    <cfRule type="duplicateValues" dxfId="28" priority="1"/>
  </conditionalFormatting>
  <conditionalFormatting sqref="B52:B74 B3:B42">
    <cfRule type="duplicateValues" dxfId="27" priority="5"/>
  </conditionalFormatting>
  <conditionalFormatting sqref="B75:B77 B43:B51">
    <cfRule type="duplicateValues" dxfId="26" priority="6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8E5A-8A1F-4037-83F5-464CF21720EF}">
  <sheetPr codeName="Sheet16">
    <tabColor rgb="FFFF0000"/>
  </sheetPr>
  <dimension ref="A1:T76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S1" sqref="S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hidden="1" customWidth="1"/>
    <col min="4" max="4" width="10.1796875" hidden="1" customWidth="1"/>
    <col min="5" max="5" width="10.81640625" hidden="1" customWidth="1"/>
    <col min="6" max="6" width="12.1796875" hidden="1" customWidth="1"/>
    <col min="7" max="7" width="13.1796875" hidden="1" customWidth="1"/>
    <col min="8" max="8" width="6.453125" hidden="1" customWidth="1"/>
    <col min="9" max="9" width="7.08984375" hidden="1" customWidth="1"/>
    <col min="10" max="10" width="6.26953125" hidden="1" customWidth="1"/>
    <col min="11" max="11" width="5.6328125" hidden="1" customWidth="1"/>
    <col min="12" max="12" width="6.6328125" hidden="1" customWidth="1"/>
    <col min="13" max="16" width="9.36328125" hidden="1" customWidth="1"/>
    <col min="17" max="17" width="7.81640625" hidden="1" customWidth="1"/>
    <col min="18" max="18" width="11" hidden="1" customWidth="1"/>
    <col min="19" max="19" width="6.9062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>
        <v>13605740</v>
      </c>
      <c r="T2" s="4"/>
    </row>
    <row r="3" spans="1:20" x14ac:dyDescent="0.3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4"/>
    </row>
    <row r="4" spans="1:20" x14ac:dyDescent="0.3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4"/>
    </row>
    <row r="5" spans="1:20" x14ac:dyDescent="0.3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/>
      <c r="I5" s="10"/>
      <c r="J5" s="10"/>
      <c r="K5" s="10"/>
      <c r="L5" s="10"/>
      <c r="M5" s="10"/>
      <c r="N5" s="10"/>
      <c r="O5" s="10"/>
      <c r="P5" s="10"/>
      <c r="Q5" s="11"/>
      <c r="R5" s="11">
        <v>2293169</v>
      </c>
      <c r="S5" s="11">
        <v>2773732</v>
      </c>
      <c r="T5" s="4"/>
    </row>
    <row r="6" spans="1:20" x14ac:dyDescent="0.3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/>
      <c r="I6" s="10"/>
      <c r="J6" s="10"/>
      <c r="K6" s="10"/>
      <c r="L6" s="10"/>
      <c r="M6" s="10">
        <v>338000</v>
      </c>
      <c r="N6" s="10">
        <v>1180650</v>
      </c>
      <c r="O6" s="10">
        <v>2628750</v>
      </c>
      <c r="P6" s="10">
        <v>1768275</v>
      </c>
      <c r="Q6" s="11">
        <v>1732387</v>
      </c>
      <c r="R6" s="11">
        <v>2066987</v>
      </c>
      <c r="S6" s="11">
        <v>2109550</v>
      </c>
      <c r="T6" s="4"/>
    </row>
    <row r="7" spans="1:20" x14ac:dyDescent="0.3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/>
      <c r="I7" s="10"/>
      <c r="J7" s="10"/>
      <c r="K7" s="10"/>
      <c r="L7" s="10"/>
      <c r="M7" s="10"/>
      <c r="N7" s="10"/>
      <c r="O7" s="10"/>
      <c r="P7" s="10">
        <v>55500</v>
      </c>
      <c r="Q7" s="10">
        <v>47500</v>
      </c>
      <c r="R7" s="11"/>
      <c r="S7" s="11">
        <v>673500</v>
      </c>
      <c r="T7" s="4"/>
    </row>
    <row r="8" spans="1:20" x14ac:dyDescent="0.3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1">
        <v>375501</v>
      </c>
      <c r="T8" s="4"/>
    </row>
    <row r="9" spans="1:20" x14ac:dyDescent="0.3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/>
      <c r="I9" s="10"/>
      <c r="J9" s="10"/>
      <c r="K9" s="10"/>
      <c r="L9" s="10"/>
      <c r="M9" s="10"/>
      <c r="N9" s="10"/>
      <c r="O9" s="10"/>
      <c r="P9" s="10"/>
      <c r="Q9" s="11"/>
      <c r="R9" s="11"/>
      <c r="S9" s="11">
        <v>493275</v>
      </c>
      <c r="T9" s="4"/>
    </row>
    <row r="10" spans="1:20" x14ac:dyDescent="0.3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1"/>
      <c r="S10" s="11"/>
      <c r="T10" s="4"/>
    </row>
    <row r="11" spans="1:20" x14ac:dyDescent="0.3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4"/>
    </row>
    <row r="12" spans="1:20" x14ac:dyDescent="0.3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1"/>
      <c r="S12" s="11">
        <v>487400</v>
      </c>
      <c r="T12" s="4"/>
    </row>
    <row r="13" spans="1:20" x14ac:dyDescent="0.3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4"/>
    </row>
    <row r="14" spans="1:20" x14ac:dyDescent="0.3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11"/>
      <c r="S14" s="11"/>
      <c r="T14" s="4"/>
    </row>
    <row r="15" spans="1:20" x14ac:dyDescent="0.3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1"/>
      <c r="S15" s="11"/>
      <c r="T15" s="4"/>
    </row>
    <row r="16" spans="1:20" x14ac:dyDescent="0.3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11"/>
      <c r="S16" s="11"/>
      <c r="T16" s="4"/>
    </row>
    <row r="17" spans="1:20" x14ac:dyDescent="0.3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1"/>
      <c r="S17" s="11">
        <v>1298000</v>
      </c>
      <c r="T17" s="4"/>
    </row>
    <row r="18" spans="1:20" x14ac:dyDescent="0.3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/>
      <c r="I18" s="10"/>
      <c r="J18" s="10"/>
      <c r="K18" s="10"/>
      <c r="L18" s="10"/>
      <c r="M18" s="10"/>
      <c r="N18" s="10"/>
      <c r="O18" s="10"/>
      <c r="P18" s="10"/>
      <c r="Q18" s="11"/>
      <c r="R18" s="11"/>
      <c r="S18" s="11"/>
      <c r="T18" s="4"/>
    </row>
    <row r="19" spans="1:20" x14ac:dyDescent="0.3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>
        <v>963325</v>
      </c>
      <c r="T19" s="4"/>
    </row>
    <row r="20" spans="1:20" x14ac:dyDescent="0.3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4"/>
    </row>
    <row r="21" spans="1:20" x14ac:dyDescent="0.3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/>
      <c r="I21" s="10"/>
      <c r="J21" s="10"/>
      <c r="K21" s="10"/>
      <c r="L21" s="10"/>
      <c r="M21" s="10">
        <v>3862000</v>
      </c>
      <c r="N21" s="10">
        <v>2476000</v>
      </c>
      <c r="O21" s="10">
        <v>2239000</v>
      </c>
      <c r="P21" s="10">
        <v>2487000</v>
      </c>
      <c r="Q21" s="11">
        <v>2138000</v>
      </c>
      <c r="R21" s="11">
        <v>2170000.0000000005</v>
      </c>
      <c r="S21" s="11">
        <v>3372000</v>
      </c>
      <c r="T21" s="4"/>
    </row>
    <row r="22" spans="1:20" x14ac:dyDescent="0.3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>
        <v>173107.14</v>
      </c>
      <c r="S22" s="11">
        <v>449750</v>
      </c>
      <c r="T22" s="4"/>
    </row>
    <row r="23" spans="1:20" x14ac:dyDescent="0.3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11"/>
      <c r="S23" s="11"/>
      <c r="T23" s="4"/>
    </row>
    <row r="24" spans="1:20" x14ac:dyDescent="0.3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1"/>
      <c r="T24" s="4"/>
    </row>
    <row r="25" spans="1:20" x14ac:dyDescent="0.3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>
        <v>460850</v>
      </c>
      <c r="T25" s="4"/>
    </row>
    <row r="26" spans="1:20" x14ac:dyDescent="0.3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>
        <v>3401055.46</v>
      </c>
      <c r="T26" s="4"/>
    </row>
    <row r="27" spans="1:20" x14ac:dyDescent="0.3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/>
      <c r="I27" s="10"/>
      <c r="J27" s="10"/>
      <c r="K27" s="10"/>
      <c r="L27" s="10"/>
      <c r="M27" s="10"/>
      <c r="N27" s="10"/>
      <c r="O27" s="10"/>
      <c r="P27" s="10"/>
      <c r="Q27" s="11"/>
      <c r="R27" s="11"/>
      <c r="S27" s="11"/>
      <c r="T27" s="4"/>
    </row>
    <row r="28" spans="1:20" x14ac:dyDescent="0.3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1"/>
      <c r="T28" s="4"/>
    </row>
    <row r="29" spans="1:20" x14ac:dyDescent="0.3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1"/>
      <c r="T29" s="4"/>
    </row>
    <row r="30" spans="1:20" x14ac:dyDescent="0.3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1"/>
      <c r="T30" s="4"/>
    </row>
    <row r="31" spans="1:20" x14ac:dyDescent="0.3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1">
        <v>1675000</v>
      </c>
      <c r="T31" s="4"/>
    </row>
    <row r="32" spans="1:20" x14ac:dyDescent="0.3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4"/>
    </row>
    <row r="33" spans="1:20" x14ac:dyDescent="0.3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4"/>
    </row>
    <row r="34" spans="1:20" x14ac:dyDescent="0.3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1"/>
      <c r="T34" s="4"/>
    </row>
    <row r="35" spans="1:20" x14ac:dyDescent="0.3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1"/>
      <c r="T35" s="4"/>
    </row>
    <row r="36" spans="1:20" x14ac:dyDescent="0.3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1"/>
      <c r="S36" s="11"/>
      <c r="T36" s="4"/>
    </row>
    <row r="37" spans="1:20" x14ac:dyDescent="0.3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  <c r="T37" s="4"/>
    </row>
    <row r="38" spans="1:20" x14ac:dyDescent="0.3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>
        <v>3962237</v>
      </c>
      <c r="T38" s="4"/>
    </row>
    <row r="39" spans="1:20" x14ac:dyDescent="0.3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1"/>
      <c r="T39" s="4"/>
    </row>
    <row r="40" spans="1:20" x14ac:dyDescent="0.3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  <c r="T40" s="4"/>
    </row>
    <row r="41" spans="1:20" x14ac:dyDescent="0.3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1"/>
      <c r="T41" s="4"/>
    </row>
    <row r="42" spans="1:20" x14ac:dyDescent="0.3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1"/>
      <c r="T42" s="4"/>
    </row>
    <row r="43" spans="1:20" x14ac:dyDescent="0.3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1"/>
      <c r="S43" s="11"/>
      <c r="T43" s="4"/>
    </row>
    <row r="44" spans="1:20" x14ac:dyDescent="0.3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1"/>
      <c r="T44" s="4"/>
    </row>
    <row r="45" spans="1:20" x14ac:dyDescent="0.3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/>
      <c r="I45" s="10"/>
      <c r="J45" s="10"/>
      <c r="K45" s="10"/>
      <c r="L45" s="10"/>
      <c r="M45" s="10"/>
      <c r="N45" s="10"/>
      <c r="O45" s="10"/>
      <c r="P45" s="10"/>
      <c r="Q45" s="11"/>
      <c r="R45" s="11"/>
      <c r="S45" s="11"/>
      <c r="T45" s="4"/>
    </row>
    <row r="46" spans="1:20" x14ac:dyDescent="0.3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1"/>
      <c r="T46" s="4"/>
    </row>
    <row r="47" spans="1:20" x14ac:dyDescent="0.3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4"/>
    </row>
    <row r="48" spans="1:20" x14ac:dyDescent="0.3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/>
      <c r="I48" s="10"/>
      <c r="J48" s="10"/>
      <c r="K48" s="10"/>
      <c r="L48" s="10"/>
      <c r="M48" s="10"/>
      <c r="N48" s="10"/>
      <c r="O48" s="10"/>
      <c r="P48" s="10"/>
      <c r="Q48" s="11"/>
      <c r="R48" s="11"/>
      <c r="S48" s="11"/>
      <c r="T48" s="4"/>
    </row>
    <row r="49" spans="1:20" x14ac:dyDescent="0.3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1"/>
      <c r="S49" s="11"/>
      <c r="T49" s="4"/>
    </row>
    <row r="50" spans="1:20" x14ac:dyDescent="0.3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1"/>
      <c r="T50" s="4"/>
    </row>
    <row r="51" spans="1:20" x14ac:dyDescent="0.3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/>
      <c r="I51" s="10"/>
      <c r="J51" s="10"/>
      <c r="K51" s="10"/>
      <c r="L51" s="10"/>
      <c r="M51" s="10"/>
      <c r="N51" s="10"/>
      <c r="O51" s="10"/>
      <c r="P51" s="10"/>
      <c r="Q51" s="11"/>
      <c r="R51" s="11"/>
      <c r="S51" s="11"/>
      <c r="T51" s="4"/>
    </row>
    <row r="52" spans="1:20" x14ac:dyDescent="0.3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/>
      <c r="I52" s="10"/>
      <c r="J52" s="10"/>
      <c r="K52" s="10"/>
      <c r="L52" s="10">
        <v>531000</v>
      </c>
      <c r="M52" s="10"/>
      <c r="N52" s="10"/>
      <c r="O52" s="10"/>
      <c r="P52" s="10"/>
      <c r="Q52" s="11"/>
      <c r="R52" s="11"/>
      <c r="S52" s="11"/>
      <c r="T52" s="4"/>
    </row>
    <row r="53" spans="1:20" x14ac:dyDescent="0.3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/>
      <c r="I53" s="10"/>
      <c r="J53" s="10"/>
      <c r="K53" s="10"/>
      <c r="L53" s="10"/>
      <c r="M53" s="10"/>
      <c r="N53" s="10"/>
      <c r="O53" s="10"/>
      <c r="P53" s="10"/>
      <c r="Q53" s="11"/>
      <c r="R53" s="11"/>
      <c r="S53" s="11"/>
      <c r="T53" s="4"/>
    </row>
    <row r="54" spans="1:20" x14ac:dyDescent="0.3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1"/>
      <c r="S54" s="11"/>
      <c r="T54" s="4"/>
    </row>
    <row r="55" spans="1:20" x14ac:dyDescent="0.3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/>
      <c r="I55" s="10"/>
      <c r="J55" s="10"/>
      <c r="K55" s="10"/>
      <c r="L55" s="10"/>
      <c r="M55" s="10">
        <v>870000</v>
      </c>
      <c r="N55" s="10"/>
      <c r="O55" s="10">
        <v>435000</v>
      </c>
      <c r="P55" s="10">
        <v>145000</v>
      </c>
      <c r="Q55" s="11"/>
      <c r="R55" s="11"/>
      <c r="S55" s="11"/>
      <c r="T55" s="4"/>
    </row>
    <row r="56" spans="1:20" x14ac:dyDescent="0.3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1"/>
      <c r="T56" s="4"/>
    </row>
    <row r="57" spans="1:20" x14ac:dyDescent="0.3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1"/>
      <c r="S57" s="11"/>
      <c r="T57" s="4"/>
    </row>
    <row r="58" spans="1:20" x14ac:dyDescent="0.3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1"/>
      <c r="T58" s="4"/>
    </row>
    <row r="59" spans="1:20" x14ac:dyDescent="0.3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4"/>
    </row>
    <row r="60" spans="1:20" x14ac:dyDescent="0.3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1"/>
      <c r="T60" s="4"/>
    </row>
    <row r="61" spans="1:20" x14ac:dyDescent="0.3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1"/>
      <c r="T61" s="4"/>
    </row>
    <row r="62" spans="1:20" x14ac:dyDescent="0.3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1"/>
      <c r="T62" s="4"/>
    </row>
    <row r="63" spans="1:20" x14ac:dyDescent="0.3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1"/>
      <c r="T63" s="4"/>
    </row>
    <row r="64" spans="1:20" x14ac:dyDescent="0.3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1"/>
      <c r="T64" s="4"/>
    </row>
    <row r="65" spans="1:20" x14ac:dyDescent="0.3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1">
        <v>5800000</v>
      </c>
      <c r="T65" s="4"/>
    </row>
    <row r="66" spans="1:20" x14ac:dyDescent="0.3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1"/>
      <c r="T66" s="4"/>
    </row>
    <row r="67" spans="1:20" x14ac:dyDescent="0.3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>
        <v>874500</v>
      </c>
      <c r="S67" s="11">
        <v>1617000</v>
      </c>
      <c r="T67" s="4"/>
    </row>
    <row r="68" spans="1:20" x14ac:dyDescent="0.3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1"/>
      <c r="T68" s="4"/>
    </row>
    <row r="69" spans="1:20" x14ac:dyDescent="0.35">
      <c r="A69" s="16" t="s">
        <v>117</v>
      </c>
      <c r="B69" s="8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1"/>
      <c r="T69" s="4"/>
    </row>
    <row r="70" spans="1:20" x14ac:dyDescent="0.3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1"/>
      <c r="T70" s="4"/>
    </row>
    <row r="71" spans="1:20" x14ac:dyDescent="0.3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/>
      <c r="I71" s="10"/>
      <c r="J71" s="10"/>
      <c r="K71" s="10"/>
      <c r="L71" s="10"/>
      <c r="M71" s="10"/>
      <c r="N71" s="10"/>
      <c r="O71" s="10"/>
      <c r="P71" s="10"/>
      <c r="Q71" s="11"/>
      <c r="R71" s="11"/>
      <c r="S71" s="11"/>
      <c r="T71" s="4"/>
    </row>
    <row r="72" spans="1:20" x14ac:dyDescent="0.3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/>
      <c r="I72" s="10"/>
      <c r="J72" s="10"/>
      <c r="K72" s="10"/>
      <c r="L72" s="10"/>
      <c r="M72" s="10">
        <v>1536000</v>
      </c>
      <c r="N72" s="10">
        <v>225000</v>
      </c>
      <c r="O72" s="10">
        <v>19200</v>
      </c>
      <c r="P72" s="10">
        <v>250000</v>
      </c>
      <c r="Q72" s="11"/>
      <c r="R72" s="11">
        <v>395600</v>
      </c>
      <c r="S72" s="11">
        <v>415200</v>
      </c>
      <c r="T72" s="4"/>
    </row>
    <row r="73" spans="1:20" x14ac:dyDescent="0.3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/>
      <c r="I73" s="10"/>
      <c r="J73" s="10"/>
      <c r="K73" s="10"/>
      <c r="L73" s="10"/>
      <c r="M73" s="10"/>
      <c r="N73" s="10"/>
      <c r="O73" s="10"/>
      <c r="P73" s="10">
        <v>254375.00000000003</v>
      </c>
      <c r="Q73" s="10"/>
      <c r="R73" s="11">
        <v>562187.5</v>
      </c>
      <c r="S73" s="11">
        <v>491875</v>
      </c>
      <c r="T73" s="4"/>
    </row>
    <row r="74" spans="1:20" x14ac:dyDescent="0.3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1"/>
      <c r="T74" s="4"/>
    </row>
    <row r="75" spans="1:20" x14ac:dyDescent="0.35">
      <c r="A75" s="16" t="s">
        <v>117</v>
      </c>
      <c r="B75" s="8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1"/>
      <c r="T75" s="4"/>
    </row>
    <row r="76" spans="1:20" x14ac:dyDescent="0.3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1"/>
      <c r="T76" s="4"/>
    </row>
  </sheetData>
  <conditionalFormatting sqref="A1:B1 I1:S1 E1:G1">
    <cfRule type="duplicateValues" dxfId="25" priority="2"/>
  </conditionalFormatting>
  <conditionalFormatting sqref="B51:B73 B2:B41">
    <cfRule type="duplicateValues" dxfId="24" priority="11"/>
  </conditionalFormatting>
  <conditionalFormatting sqref="B74:B76 B42:B50">
    <cfRule type="duplicateValues" dxfId="23" priority="12"/>
  </conditionalFormatting>
  <conditionalFormatting sqref="B77:D1048576 B2:B76">
    <cfRule type="duplicateValues" dxfId="22" priority="10"/>
  </conditionalFormatting>
  <conditionalFormatting sqref="H1:S1048576">
    <cfRule type="duplicateValues" dxfId="21" priority="1"/>
  </conditionalFormatting>
  <conditionalFormatting sqref="H2:S83">
    <cfRule type="cellIs" dxfId="20" priority="9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AF-3AF6-4CAE-A7F1-5A6E8422AE15}">
  <sheetPr codeName="Sheet17">
    <tabColor rgb="FFFFC000"/>
  </sheetPr>
  <dimension ref="A1:S81"/>
  <sheetViews>
    <sheetView workbookViewId="0">
      <selection sqref="A1:S8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10.36328125" bestFit="1" customWidth="1"/>
    <col min="19" max="19" width="8.81640625" bestFit="1" customWidth="1"/>
  </cols>
  <sheetData>
    <row r="1" spans="1:19" x14ac:dyDescent="0.35">
      <c r="A1" s="25" t="str">
        <f>Revenue_Budget!A1</f>
        <v>FY</v>
      </c>
      <c r="B1" s="25" t="str">
        <f>Revenue_Budget!B1</f>
        <v>Project</v>
      </c>
      <c r="C1" s="25" t="str">
        <f>Revenue_Budget!C1</f>
        <v>Vertical</v>
      </c>
      <c r="D1" s="25" t="str">
        <f>Revenue_Budget!D1</f>
        <v>Region</v>
      </c>
      <c r="E1" s="25" t="str">
        <f>Revenue_Budget!E1</f>
        <v>Sub Region</v>
      </c>
      <c r="F1" s="25" t="str">
        <f>Revenue_Budget!F1</f>
        <v>Region Head</v>
      </c>
      <c r="G1" s="25" t="str">
        <f>Revenue_Budget!G1</f>
        <v>Practice Head</v>
      </c>
      <c r="H1" s="26">
        <f>Revenue_Budget!H1</f>
        <v>45748</v>
      </c>
      <c r="I1" s="26">
        <f>Revenue_Budget!I1</f>
        <v>45778</v>
      </c>
      <c r="J1" s="26">
        <f>Revenue_Budget!J1</f>
        <v>45809</v>
      </c>
      <c r="K1" s="26">
        <f>Revenue_Budget!K1</f>
        <v>45839</v>
      </c>
      <c r="L1" s="26">
        <f>Revenue_Budget!L1</f>
        <v>45870</v>
      </c>
      <c r="M1" s="26">
        <f>Revenue_Budget!M1</f>
        <v>45901</v>
      </c>
      <c r="N1" s="26">
        <f>Revenue_Budget!N1</f>
        <v>45931</v>
      </c>
      <c r="O1" s="26">
        <f>Revenue_Budget!O1</f>
        <v>45962</v>
      </c>
      <c r="P1" s="26">
        <f>Revenue_Budget!P1</f>
        <v>45992</v>
      </c>
      <c r="Q1" s="26">
        <f>Revenue_Budget!Q1</f>
        <v>46023</v>
      </c>
      <c r="R1" s="26">
        <f>Revenue_Budget!R1</f>
        <v>46054</v>
      </c>
      <c r="S1" s="26">
        <f>Revenue_Budget!S1</f>
        <v>46082</v>
      </c>
    </row>
    <row r="2" spans="1:19" x14ac:dyDescent="0.35">
      <c r="A2" s="1" t="s">
        <v>117</v>
      </c>
      <c r="B2" s="1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8">
        <v>118.08584999999999</v>
      </c>
      <c r="I2" s="28">
        <v>150.77384000000001</v>
      </c>
      <c r="J2" s="28">
        <v>149.40022999999999</v>
      </c>
      <c r="K2" s="28">
        <v>178.50514000000001</v>
      </c>
      <c r="L2" s="28">
        <v>84.690209999999993</v>
      </c>
      <c r="M2" s="28">
        <v>185.72599</v>
      </c>
      <c r="N2" s="28">
        <v>114.21122</v>
      </c>
      <c r="O2" s="28">
        <v>203.57165000000001</v>
      </c>
      <c r="P2" s="28">
        <v>199.69761</v>
      </c>
      <c r="Q2" s="28">
        <v>207.70348000000001</v>
      </c>
      <c r="R2" s="28">
        <v>0</v>
      </c>
      <c r="S2" s="27">
        <v>197.74143000000001</v>
      </c>
    </row>
    <row r="3" spans="1:19" x14ac:dyDescent="0.35">
      <c r="A3" s="1" t="s">
        <v>117</v>
      </c>
      <c r="B3" s="1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8">
        <v>2.4131</v>
      </c>
      <c r="I3" s="28">
        <v>2.4131</v>
      </c>
      <c r="J3" s="28">
        <v>2.4131</v>
      </c>
      <c r="K3" s="28">
        <v>2.3609</v>
      </c>
      <c r="L3" s="28">
        <v>2.4177</v>
      </c>
      <c r="M3" s="28">
        <v>3.3512</v>
      </c>
      <c r="N3" s="28">
        <v>5.7111999999999998</v>
      </c>
      <c r="O3" s="28">
        <v>17.402049999999999</v>
      </c>
      <c r="P3" s="28">
        <v>0.13275000000000001</v>
      </c>
      <c r="Q3" s="28">
        <v>0.13275000000000001</v>
      </c>
      <c r="R3" s="28">
        <v>0.13275000000000001</v>
      </c>
      <c r="S3" s="27">
        <v>4.5577500000000004</v>
      </c>
    </row>
    <row r="4" spans="1:19" x14ac:dyDescent="0.35">
      <c r="A4" s="1" t="s">
        <v>117</v>
      </c>
      <c r="B4" s="1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8">
        <v>33.932079999999999</v>
      </c>
      <c r="I4" s="28">
        <v>0</v>
      </c>
      <c r="J4" s="28">
        <v>0</v>
      </c>
      <c r="K4" s="28">
        <v>-11.279019999999999</v>
      </c>
      <c r="L4" s="28">
        <v>16.015560000000001</v>
      </c>
      <c r="M4" s="28">
        <v>0</v>
      </c>
      <c r="N4" s="28">
        <v>-36.513570000000001</v>
      </c>
      <c r="O4" s="28">
        <v>-33.091569999999997</v>
      </c>
      <c r="P4" s="28">
        <v>-35.781970000000001</v>
      </c>
      <c r="Q4" s="28">
        <v>0</v>
      </c>
      <c r="R4" s="28">
        <v>0</v>
      </c>
      <c r="S4" s="27">
        <v>0</v>
      </c>
    </row>
    <row r="5" spans="1:19" x14ac:dyDescent="0.35">
      <c r="A5" s="1" t="s">
        <v>117</v>
      </c>
      <c r="B5" s="1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8">
        <v>2.7730000000000001</v>
      </c>
      <c r="I5" s="28">
        <v>27.529330000000002</v>
      </c>
      <c r="J5" s="28">
        <v>24.214939999999999</v>
      </c>
      <c r="K5" s="28">
        <v>7.3962399999999997</v>
      </c>
      <c r="L5" s="28">
        <v>7.3962399999999997</v>
      </c>
      <c r="M5" s="28">
        <v>8.3402399999999997</v>
      </c>
      <c r="N5" s="28">
        <v>5.9802400000000002</v>
      </c>
      <c r="O5" s="28">
        <v>5.1089000000000002</v>
      </c>
      <c r="P5" s="28">
        <v>5.9802400000000002</v>
      </c>
      <c r="Q5" s="28">
        <v>0</v>
      </c>
      <c r="R5" s="28">
        <v>76.058670000000006</v>
      </c>
      <c r="S5" s="27">
        <v>32.853389999999997</v>
      </c>
    </row>
    <row r="6" spans="1:19" x14ac:dyDescent="0.35">
      <c r="A6" s="1" t="s">
        <v>117</v>
      </c>
      <c r="B6" s="1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8">
        <v>21.959289999999999</v>
      </c>
      <c r="I6" s="28">
        <v>17.787990000000001</v>
      </c>
      <c r="J6" s="28">
        <v>35.059649999999998</v>
      </c>
      <c r="K6" s="28">
        <v>39.241230000000002</v>
      </c>
      <c r="L6" s="28">
        <v>33.11665</v>
      </c>
      <c r="M6" s="28">
        <v>57.152169999999998</v>
      </c>
      <c r="N6" s="28">
        <v>73.177750000000003</v>
      </c>
      <c r="O6" s="28">
        <v>106.28073999999999</v>
      </c>
      <c r="P6" s="28">
        <v>103.50538</v>
      </c>
      <c r="Q6" s="28">
        <v>123.51376</v>
      </c>
      <c r="R6" s="28">
        <v>160.41844</v>
      </c>
      <c r="S6" s="27">
        <v>144.26426000000001</v>
      </c>
    </row>
    <row r="7" spans="1:19" x14ac:dyDescent="0.35">
      <c r="A7" s="1" t="s">
        <v>117</v>
      </c>
      <c r="B7" s="1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8">
        <v>17.731809999999999</v>
      </c>
      <c r="I7" s="28">
        <v>24.83671</v>
      </c>
      <c r="J7" s="28">
        <v>18.364899999999999</v>
      </c>
      <c r="K7" s="28">
        <v>19.2499</v>
      </c>
      <c r="L7" s="28">
        <v>7.9996</v>
      </c>
      <c r="M7" s="28">
        <v>20.908799999999999</v>
      </c>
      <c r="N7" s="28">
        <v>25.0565</v>
      </c>
      <c r="O7" s="28">
        <v>18.364999999999998</v>
      </c>
      <c r="P7" s="28">
        <v>15.8056</v>
      </c>
      <c r="Q7" s="28">
        <v>6.7015000000000002</v>
      </c>
      <c r="R7" s="28">
        <v>18.0107</v>
      </c>
      <c r="S7" s="27">
        <v>13.047700000000001</v>
      </c>
    </row>
    <row r="8" spans="1:19" x14ac:dyDescent="0.35">
      <c r="A8" s="1" t="s">
        <v>117</v>
      </c>
      <c r="B8" s="1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8">
        <v>16.103840000000002</v>
      </c>
      <c r="I8" s="28">
        <v>8.5052699999999994</v>
      </c>
      <c r="J8" s="28">
        <v>3.5758200000000002</v>
      </c>
      <c r="K8" s="28">
        <v>8.7756600000000002</v>
      </c>
      <c r="L8" s="28">
        <v>1.4895499999999999</v>
      </c>
      <c r="M8" s="28">
        <v>3.29101</v>
      </c>
      <c r="N8" s="28">
        <v>10.26835</v>
      </c>
      <c r="O8" s="28">
        <v>40.090949999999999</v>
      </c>
      <c r="P8" s="28">
        <v>14.53274</v>
      </c>
      <c r="Q8" s="28">
        <v>10.418570000000001</v>
      </c>
      <c r="R8" s="28">
        <v>9.9590899999999998</v>
      </c>
      <c r="S8" s="27">
        <v>4.8849200000000002</v>
      </c>
    </row>
    <row r="9" spans="1:19" x14ac:dyDescent="0.35">
      <c r="A9" s="1" t="s">
        <v>117</v>
      </c>
      <c r="B9" s="1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8">
        <v>30.50151</v>
      </c>
      <c r="I9" s="28">
        <v>33.831209999999999</v>
      </c>
      <c r="J9" s="28">
        <v>26.08333</v>
      </c>
      <c r="K9" s="28">
        <v>40.768590000000003</v>
      </c>
      <c r="L9" s="28">
        <v>24.058309999999999</v>
      </c>
      <c r="M9" s="28">
        <v>11.727600000000001</v>
      </c>
      <c r="N9" s="28">
        <v>21.613050000000001</v>
      </c>
      <c r="O9" s="28">
        <v>10.986980000000001</v>
      </c>
      <c r="P9" s="28">
        <v>17.152049999999999</v>
      </c>
      <c r="Q9" s="28">
        <v>44.904000000000003</v>
      </c>
      <c r="R9" s="28">
        <v>27.259460000000001</v>
      </c>
      <c r="S9" s="27">
        <v>7.8434400000000002</v>
      </c>
    </row>
    <row r="10" spans="1:19" x14ac:dyDescent="0.35">
      <c r="A10" s="1" t="s">
        <v>117</v>
      </c>
      <c r="B10" s="1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8">
        <v>2.5147300000000001</v>
      </c>
      <c r="I10" s="28">
        <v>2.5147300000000001</v>
      </c>
      <c r="J10" s="28">
        <v>6.8547700000000003</v>
      </c>
      <c r="K10" s="28">
        <v>7.9344700000000001</v>
      </c>
      <c r="L10" s="28">
        <v>1.9731099999999999</v>
      </c>
      <c r="M10" s="28">
        <v>1.9731099999999999</v>
      </c>
      <c r="N10" s="28">
        <v>3.2994300000000001</v>
      </c>
      <c r="O10" s="28">
        <v>3.67869</v>
      </c>
      <c r="P10" s="28">
        <v>2.40665</v>
      </c>
      <c r="Q10" s="28">
        <v>0.61950000000000005</v>
      </c>
      <c r="R10" s="28">
        <v>0.61626000000000003</v>
      </c>
      <c r="S10" s="27">
        <v>1.8883000000000001</v>
      </c>
    </row>
    <row r="11" spans="1:19" x14ac:dyDescent="0.35">
      <c r="A11" s="1" t="s">
        <v>117</v>
      </c>
      <c r="B11" s="1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8">
        <v>248.55119999999999</v>
      </c>
      <c r="I11" s="28">
        <v>84.130250000000004</v>
      </c>
      <c r="J11" s="28">
        <v>66.670969999999997</v>
      </c>
      <c r="K11" s="28">
        <v>120.26102</v>
      </c>
      <c r="L11" s="28">
        <v>139.84730999999999</v>
      </c>
      <c r="M11" s="28">
        <v>99.300569999999993</v>
      </c>
      <c r="N11" s="28">
        <v>150.27333999999999</v>
      </c>
      <c r="O11" s="28">
        <v>227.82381000000001</v>
      </c>
      <c r="P11" s="28">
        <v>121.98488999999999</v>
      </c>
      <c r="Q11" s="28">
        <v>201.42345</v>
      </c>
      <c r="R11" s="28">
        <v>432.34949</v>
      </c>
      <c r="S11" s="27">
        <v>194.35231999999999</v>
      </c>
    </row>
    <row r="12" spans="1:19" x14ac:dyDescent="0.35">
      <c r="A12" s="1" t="s">
        <v>117</v>
      </c>
      <c r="B12" s="1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8">
        <v>4.5618800000000004</v>
      </c>
      <c r="I12" s="28">
        <v>4.5618800000000004</v>
      </c>
      <c r="J12" s="28">
        <v>0</v>
      </c>
      <c r="K12" s="28">
        <v>-0.26550000000000001</v>
      </c>
      <c r="L12" s="28">
        <v>0</v>
      </c>
      <c r="M12" s="28">
        <v>14.074450000000001</v>
      </c>
      <c r="N12" s="28">
        <v>-0.26550000000000001</v>
      </c>
      <c r="O12" s="28">
        <v>0</v>
      </c>
      <c r="P12" s="28">
        <v>-0.26550000000000001</v>
      </c>
      <c r="Q12" s="28">
        <v>0</v>
      </c>
      <c r="R12" s="28">
        <v>0</v>
      </c>
      <c r="S12" s="27">
        <v>0</v>
      </c>
    </row>
    <row r="13" spans="1:19" x14ac:dyDescent="0.35">
      <c r="A13" s="1" t="s">
        <v>117</v>
      </c>
      <c r="B13" s="1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8">
        <v>4.6833499999999999</v>
      </c>
      <c r="I13" s="28">
        <v>0</v>
      </c>
      <c r="J13" s="28">
        <v>0</v>
      </c>
      <c r="K13" s="28">
        <v>8.0865399999999994</v>
      </c>
      <c r="L13" s="28">
        <v>8.0865399999999994</v>
      </c>
      <c r="M13" s="28">
        <v>0</v>
      </c>
      <c r="N13" s="28">
        <v>0</v>
      </c>
      <c r="O13" s="28">
        <v>4.0308799999999998</v>
      </c>
      <c r="P13" s="28">
        <v>0</v>
      </c>
      <c r="Q13" s="28">
        <v>0</v>
      </c>
      <c r="R13" s="28">
        <v>0</v>
      </c>
      <c r="S13" s="27">
        <v>0</v>
      </c>
    </row>
    <row r="14" spans="1:19" x14ac:dyDescent="0.35">
      <c r="A14" s="1" t="s">
        <v>117</v>
      </c>
      <c r="B14" s="1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8">
        <v>0</v>
      </c>
      <c r="I14" s="28">
        <v>0.86968000000000001</v>
      </c>
      <c r="J14" s="28">
        <v>0</v>
      </c>
      <c r="K14" s="28">
        <v>0.38758999999999999</v>
      </c>
      <c r="L14" s="28">
        <v>0</v>
      </c>
      <c r="M14" s="28">
        <v>0</v>
      </c>
      <c r="N14" s="28">
        <v>0.25840000000000002</v>
      </c>
      <c r="O14" s="28">
        <v>0.25840000000000002</v>
      </c>
      <c r="P14" s="28">
        <v>0.3876</v>
      </c>
      <c r="Q14" s="28">
        <v>0</v>
      </c>
      <c r="R14" s="28">
        <v>0</v>
      </c>
      <c r="S14" s="27">
        <v>0.51683999999999997</v>
      </c>
    </row>
    <row r="15" spans="1:19" x14ac:dyDescent="0.35">
      <c r="A15" s="1" t="s">
        <v>117</v>
      </c>
      <c r="B15" s="1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8">
        <v>85.580439999999996</v>
      </c>
      <c r="I15" s="28">
        <v>88.981099999999998</v>
      </c>
      <c r="J15" s="28">
        <v>85.867999999999995</v>
      </c>
      <c r="K15" s="28">
        <v>134.53639999999999</v>
      </c>
      <c r="L15" s="28">
        <v>167.27635000000001</v>
      </c>
      <c r="M15" s="28">
        <v>212.22756999999999</v>
      </c>
      <c r="N15" s="28">
        <v>177.18026</v>
      </c>
      <c r="O15" s="28">
        <v>411.30840000000001</v>
      </c>
      <c r="P15" s="28">
        <v>360.69421999999997</v>
      </c>
      <c r="Q15" s="28">
        <v>363.96048999999999</v>
      </c>
      <c r="R15" s="28">
        <v>246.26085</v>
      </c>
      <c r="S15" s="27">
        <v>235.51657</v>
      </c>
    </row>
    <row r="16" spans="1:19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8">
        <v>12.7676</v>
      </c>
      <c r="I16" s="28">
        <v>12.7676</v>
      </c>
      <c r="J16" s="28">
        <v>12.7676</v>
      </c>
      <c r="K16" s="28">
        <v>14.8444</v>
      </c>
      <c r="L16" s="28">
        <v>12.460800000000001</v>
      </c>
      <c r="M16" s="28">
        <v>12.460800000000001</v>
      </c>
      <c r="N16" s="28">
        <v>12.460800000000001</v>
      </c>
      <c r="O16" s="28">
        <v>12.460800000000001</v>
      </c>
      <c r="P16" s="28">
        <v>12.460800000000001</v>
      </c>
      <c r="Q16" s="28">
        <v>12.460800000000001</v>
      </c>
      <c r="R16" s="28">
        <v>12.460800000000001</v>
      </c>
      <c r="S16" s="27">
        <v>12.460800000000001</v>
      </c>
    </row>
    <row r="17" spans="1:19" x14ac:dyDescent="0.35">
      <c r="A17" s="1" t="s">
        <v>117</v>
      </c>
      <c r="B17" s="1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8">
        <v>0.55000000000000004</v>
      </c>
      <c r="I17" s="28">
        <v>3.7189999999999999</v>
      </c>
      <c r="J17" s="28">
        <v>3.7189999999999999</v>
      </c>
      <c r="K17" s="28">
        <v>28.905000000000001</v>
      </c>
      <c r="L17" s="28">
        <v>48.228000000000002</v>
      </c>
      <c r="M17" s="28">
        <v>61.444000000000003</v>
      </c>
      <c r="N17" s="28">
        <v>64.099000000000004</v>
      </c>
      <c r="O17" s="28">
        <v>53.063000000000002</v>
      </c>
      <c r="P17" s="28">
        <v>56.249000000000002</v>
      </c>
      <c r="Q17" s="28">
        <v>14.811999999999999</v>
      </c>
      <c r="R17" s="28">
        <v>4.9000000000000004</v>
      </c>
      <c r="S17" s="27">
        <v>8.7349999999999994</v>
      </c>
    </row>
    <row r="18" spans="1:19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8">
        <v>0.35399999999999998</v>
      </c>
      <c r="I18" s="28">
        <v>0.35399999999999998</v>
      </c>
      <c r="J18" s="28">
        <v>0.35399999999999998</v>
      </c>
      <c r="K18" s="28">
        <v>0.35399999999999998</v>
      </c>
      <c r="L18" s="28">
        <v>0.35399999999999998</v>
      </c>
      <c r="M18" s="28">
        <v>0.35399999999999998</v>
      </c>
      <c r="N18" s="28">
        <v>2.9028</v>
      </c>
      <c r="O18" s="28">
        <v>2.9028</v>
      </c>
      <c r="P18" s="28">
        <v>2.5488</v>
      </c>
      <c r="Q18" s="28">
        <v>2.5488</v>
      </c>
      <c r="R18" s="28">
        <v>2.5488</v>
      </c>
      <c r="S18" s="27">
        <v>2.5488</v>
      </c>
    </row>
    <row r="19" spans="1:19" x14ac:dyDescent="0.35">
      <c r="A19" s="1" t="s">
        <v>117</v>
      </c>
      <c r="B19" s="1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8">
        <v>4.4912700000000001</v>
      </c>
      <c r="I19" s="28">
        <v>17.223120000000002</v>
      </c>
      <c r="J19" s="28">
        <v>31.281359999999999</v>
      </c>
      <c r="K19" s="28">
        <v>-6.7396599999999998</v>
      </c>
      <c r="L19" s="28">
        <v>-6.7396599999999998</v>
      </c>
      <c r="M19" s="28">
        <v>18.631689999999999</v>
      </c>
      <c r="N19" s="28">
        <v>15.976279999999999</v>
      </c>
      <c r="O19" s="28">
        <v>15.976279999999999</v>
      </c>
      <c r="P19" s="28">
        <v>34.718879999999999</v>
      </c>
      <c r="Q19" s="28">
        <v>35.595829999999999</v>
      </c>
      <c r="R19" s="28">
        <v>48.848590000000002</v>
      </c>
      <c r="S19" s="27">
        <v>34.398899999999998</v>
      </c>
    </row>
    <row r="20" spans="1:19" x14ac:dyDescent="0.35">
      <c r="A20" s="1" t="s">
        <v>117</v>
      </c>
      <c r="B20" s="1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8">
        <v>6.4385000000000003</v>
      </c>
      <c r="I20" s="28">
        <v>3.2967399999999998</v>
      </c>
      <c r="J20" s="28">
        <v>7.7591000000000001</v>
      </c>
      <c r="K20" s="28">
        <v>10.1191</v>
      </c>
      <c r="L20" s="28">
        <v>12.808490000000001</v>
      </c>
      <c r="M20" s="28">
        <v>15.501049999999999</v>
      </c>
      <c r="N20" s="28">
        <v>5.4110100000000001</v>
      </c>
      <c r="O20" s="28">
        <v>5.4110100000000001</v>
      </c>
      <c r="P20" s="28">
        <v>5.4110100000000001</v>
      </c>
      <c r="Q20" s="28">
        <v>5.3819499999999998</v>
      </c>
      <c r="R20" s="28">
        <v>5.3819499999999998</v>
      </c>
      <c r="S20" s="27">
        <v>5.3819499999999998</v>
      </c>
    </row>
    <row r="21" spans="1:19" x14ac:dyDescent="0.35">
      <c r="A21" s="1" t="s">
        <v>117</v>
      </c>
      <c r="B21" s="1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8">
        <v>159.02181999999999</v>
      </c>
      <c r="I21" s="28">
        <v>198.95302000000001</v>
      </c>
      <c r="J21" s="28">
        <v>119.71259999999999</v>
      </c>
      <c r="K21" s="28">
        <v>48.62059</v>
      </c>
      <c r="L21" s="28">
        <v>65.877759999999995</v>
      </c>
      <c r="M21" s="28">
        <v>103.30736</v>
      </c>
      <c r="N21" s="28">
        <v>77.300160000000005</v>
      </c>
      <c r="O21" s="28">
        <v>4.3636400000000002</v>
      </c>
      <c r="P21" s="28">
        <v>4.3636400000000002</v>
      </c>
      <c r="Q21" s="28">
        <v>69.169240000000002</v>
      </c>
      <c r="R21" s="28">
        <v>69.169240000000002</v>
      </c>
      <c r="S21" s="27">
        <v>69.169240000000002</v>
      </c>
    </row>
    <row r="22" spans="1:19" x14ac:dyDescent="0.35">
      <c r="A22" s="1" t="s">
        <v>117</v>
      </c>
      <c r="B22" s="1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8">
        <v>95.974220000000003</v>
      </c>
      <c r="I22" s="28">
        <v>130.47966</v>
      </c>
      <c r="J22" s="28">
        <v>177.78980000000001</v>
      </c>
      <c r="K22" s="28">
        <v>130.47966</v>
      </c>
      <c r="L22" s="28">
        <v>130.47966</v>
      </c>
      <c r="M22" s="28">
        <v>130.47966</v>
      </c>
      <c r="N22" s="28">
        <v>120.87752999999999</v>
      </c>
      <c r="O22" s="28">
        <v>110.84614000000001</v>
      </c>
      <c r="P22" s="28">
        <v>89.720619999999997</v>
      </c>
      <c r="Q22" s="28">
        <v>109.28188</v>
      </c>
      <c r="R22" s="28">
        <v>12.82724</v>
      </c>
      <c r="S22" s="27">
        <v>29.854939999999999</v>
      </c>
    </row>
    <row r="23" spans="1:19" x14ac:dyDescent="0.35">
      <c r="A23" s="1" t="s">
        <v>117</v>
      </c>
      <c r="B23" s="1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8">
        <v>13.030939999999999</v>
      </c>
      <c r="I23" s="28">
        <v>13.56865</v>
      </c>
      <c r="J23" s="28">
        <v>23.709769999999999</v>
      </c>
      <c r="K23" s="28">
        <v>43.177070000000001</v>
      </c>
      <c r="L23" s="28">
        <v>45.918849999999999</v>
      </c>
      <c r="M23" s="28">
        <v>11.48185</v>
      </c>
      <c r="N23" s="28">
        <v>35.505580000000002</v>
      </c>
      <c r="O23" s="28">
        <v>41.978499999999997</v>
      </c>
      <c r="P23" s="28">
        <v>55.147669999999998</v>
      </c>
      <c r="Q23" s="28">
        <v>65.41489</v>
      </c>
      <c r="R23" s="28">
        <v>67.192760000000007</v>
      </c>
      <c r="S23" s="27">
        <v>73.12894</v>
      </c>
    </row>
    <row r="24" spans="1:19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7">
        <v>0</v>
      </c>
    </row>
    <row r="25" spans="1:19" x14ac:dyDescent="0.35">
      <c r="A25" s="1" t="s">
        <v>117</v>
      </c>
      <c r="B25" s="1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8">
        <v>37.924439999999997</v>
      </c>
      <c r="I25" s="28">
        <v>37.924439999999997</v>
      </c>
      <c r="J25" s="28">
        <v>37.969540000000002</v>
      </c>
      <c r="K25" s="28">
        <v>37.969540000000002</v>
      </c>
      <c r="L25" s="28">
        <v>26.586580000000001</v>
      </c>
      <c r="M25" s="28">
        <v>22.753299999999999</v>
      </c>
      <c r="N25" s="28">
        <v>31.982019999999999</v>
      </c>
      <c r="O25" s="28">
        <v>45.218649999999997</v>
      </c>
      <c r="P25" s="28">
        <v>44.018909999999998</v>
      </c>
      <c r="Q25" s="28">
        <v>18.472709999999999</v>
      </c>
      <c r="R25" s="28">
        <v>25.3626</v>
      </c>
      <c r="S25" s="27">
        <v>32.605510000000002</v>
      </c>
    </row>
    <row r="26" spans="1:19" x14ac:dyDescent="0.35">
      <c r="A26" s="1" t="s">
        <v>117</v>
      </c>
      <c r="B26" s="1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2.3231600000000001</v>
      </c>
      <c r="S26" s="27">
        <v>21.590409999999999</v>
      </c>
    </row>
    <row r="27" spans="1:19" x14ac:dyDescent="0.35">
      <c r="A27" s="1" t="s">
        <v>117</v>
      </c>
      <c r="B27" s="1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8">
        <v>1.1799900000000001</v>
      </c>
      <c r="I27" s="28">
        <v>0</v>
      </c>
      <c r="J27" s="28">
        <v>1.1799900000000001</v>
      </c>
      <c r="K27" s="28">
        <v>1.1799900000000001</v>
      </c>
      <c r="L27" s="28">
        <v>1.1799900000000001</v>
      </c>
      <c r="M27" s="28">
        <v>1.1799900000000001</v>
      </c>
      <c r="N27" s="28">
        <v>1.1799900000000001</v>
      </c>
      <c r="O27" s="28">
        <v>1.1799900000000001</v>
      </c>
      <c r="P27" s="28">
        <v>1.1799900000000001</v>
      </c>
      <c r="Q27" s="28">
        <v>1.1799900000000001</v>
      </c>
      <c r="R27" s="28">
        <v>1.1799900000000001</v>
      </c>
      <c r="S27" s="27">
        <v>63.95214</v>
      </c>
    </row>
    <row r="28" spans="1:19" x14ac:dyDescent="0.35">
      <c r="A28" s="1" t="s">
        <v>117</v>
      </c>
      <c r="B28" s="1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8">
        <v>39.700580000000002</v>
      </c>
      <c r="I28" s="28">
        <v>38.735329999999998</v>
      </c>
      <c r="J28" s="28">
        <v>61.729309999999998</v>
      </c>
      <c r="K28" s="28">
        <v>97.835520000000002</v>
      </c>
      <c r="L28" s="28">
        <v>61.729309999999998</v>
      </c>
      <c r="M28" s="28">
        <v>60.60342</v>
      </c>
      <c r="N28" s="28">
        <v>98.716269999999994</v>
      </c>
      <c r="O28" s="28">
        <v>60.60342</v>
      </c>
      <c r="P28" s="28">
        <v>68.780820000000006</v>
      </c>
      <c r="Q28" s="28">
        <v>58.109139999999996</v>
      </c>
      <c r="R28" s="28">
        <v>71.452389999999994</v>
      </c>
      <c r="S28" s="27">
        <v>60.183920000000001</v>
      </c>
    </row>
    <row r="29" spans="1:19" x14ac:dyDescent="0.35">
      <c r="A29" s="1" t="s">
        <v>117</v>
      </c>
      <c r="B29" s="1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8">
        <v>40.105310000000003</v>
      </c>
      <c r="I29" s="28">
        <v>7.5735700000000001</v>
      </c>
      <c r="J29" s="28">
        <v>73.43141</v>
      </c>
      <c r="K29" s="28">
        <v>78.766189999999995</v>
      </c>
      <c r="L29" s="28">
        <v>156.96984</v>
      </c>
      <c r="M29" s="28">
        <v>113.20742</v>
      </c>
      <c r="N29" s="28">
        <v>99.819609999999997</v>
      </c>
      <c r="O29" s="28">
        <v>88.876109999999997</v>
      </c>
      <c r="P29" s="28">
        <v>62.976280000000003</v>
      </c>
      <c r="Q29" s="28">
        <v>0</v>
      </c>
      <c r="R29" s="28">
        <v>42.226779999999998</v>
      </c>
      <c r="S29" s="27">
        <v>0</v>
      </c>
    </row>
    <row r="30" spans="1:19" x14ac:dyDescent="0.35">
      <c r="A30" s="1" t="s">
        <v>117</v>
      </c>
      <c r="B30" s="1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8">
        <v>2.1051199999999999</v>
      </c>
      <c r="I30" s="28">
        <v>2.1051199999999999</v>
      </c>
      <c r="J30" s="28">
        <v>5.2120600000000001</v>
      </c>
      <c r="K30" s="28">
        <v>2.83318</v>
      </c>
      <c r="L30" s="28">
        <v>4.9382999999999999</v>
      </c>
      <c r="M30" s="28">
        <v>5.1448</v>
      </c>
      <c r="N30" s="28">
        <v>5.1448</v>
      </c>
      <c r="O30" s="28">
        <v>5.9342199999999998</v>
      </c>
      <c r="P30" s="28">
        <v>3.8290999999999999</v>
      </c>
      <c r="Q30" s="28">
        <v>4.6185200000000002</v>
      </c>
      <c r="R30" s="28">
        <v>1.57884</v>
      </c>
      <c r="S30" s="27">
        <v>1.57884</v>
      </c>
    </row>
    <row r="31" spans="1:19" x14ac:dyDescent="0.35">
      <c r="A31" s="1" t="s">
        <v>117</v>
      </c>
      <c r="B31" s="1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8">
        <v>4.4249999999999998</v>
      </c>
      <c r="I31" s="28">
        <v>0</v>
      </c>
      <c r="J31" s="28">
        <v>5.3595600000000001</v>
      </c>
      <c r="K31" s="28">
        <v>4.4249999999999998</v>
      </c>
      <c r="L31" s="28">
        <v>0</v>
      </c>
      <c r="M31" s="28">
        <v>0</v>
      </c>
      <c r="N31" s="28">
        <v>0</v>
      </c>
      <c r="O31" s="28">
        <v>0</v>
      </c>
      <c r="P31" s="28">
        <v>3.9733000000000001</v>
      </c>
      <c r="Q31" s="28">
        <v>0</v>
      </c>
      <c r="R31" s="28">
        <v>0</v>
      </c>
      <c r="S31" s="27">
        <v>0</v>
      </c>
    </row>
    <row r="32" spans="1:19" x14ac:dyDescent="0.35">
      <c r="A32" s="1" t="s">
        <v>117</v>
      </c>
      <c r="B32" s="1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8">
        <v>3.9695200000000002</v>
      </c>
      <c r="I32" s="28">
        <v>3.9695200000000002</v>
      </c>
      <c r="J32" s="28">
        <v>3.9695200000000002</v>
      </c>
      <c r="K32" s="28">
        <v>0.84487999999999996</v>
      </c>
      <c r="L32" s="28">
        <v>3.1682999999999999</v>
      </c>
      <c r="M32" s="28">
        <v>3.1682999999999999</v>
      </c>
      <c r="N32" s="28">
        <v>5.0428499999999996</v>
      </c>
      <c r="O32" s="28">
        <v>5.6765100000000004</v>
      </c>
      <c r="P32" s="28">
        <v>7.0928399999999998</v>
      </c>
      <c r="Q32" s="28">
        <v>5.6765100000000004</v>
      </c>
      <c r="R32" s="28">
        <v>3.3227899999999999</v>
      </c>
      <c r="S32" s="27">
        <v>4.1712100000000003</v>
      </c>
    </row>
    <row r="33" spans="1:19" x14ac:dyDescent="0.35">
      <c r="A33" s="1" t="s">
        <v>117</v>
      </c>
      <c r="B33" s="1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8">
        <v>15.597060000000001</v>
      </c>
      <c r="I33" s="28">
        <v>30.12528</v>
      </c>
      <c r="J33" s="28">
        <v>45.722340000000003</v>
      </c>
      <c r="K33" s="28">
        <v>56.325699999999998</v>
      </c>
      <c r="L33" s="28">
        <v>68.602890000000002</v>
      </c>
      <c r="M33" s="28">
        <v>5.5854100000000004</v>
      </c>
      <c r="N33" s="28">
        <v>5.5854100000000004</v>
      </c>
      <c r="O33" s="28">
        <v>1.7810900000000001</v>
      </c>
      <c r="P33" s="28">
        <v>0</v>
      </c>
      <c r="Q33" s="28">
        <v>0</v>
      </c>
      <c r="R33" s="28">
        <v>0</v>
      </c>
      <c r="S33" s="27">
        <v>0</v>
      </c>
    </row>
    <row r="34" spans="1:19" x14ac:dyDescent="0.35">
      <c r="A34" s="1" t="s">
        <v>117</v>
      </c>
      <c r="B34" s="1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1.8408</v>
      </c>
      <c r="N34" s="28">
        <v>3.1152000000000002</v>
      </c>
      <c r="O34" s="28">
        <v>0</v>
      </c>
      <c r="P34" s="28">
        <v>0</v>
      </c>
      <c r="Q34" s="28">
        <v>0</v>
      </c>
      <c r="R34" s="28">
        <v>0</v>
      </c>
      <c r="S34" s="27">
        <v>0</v>
      </c>
    </row>
    <row r="35" spans="1:19" x14ac:dyDescent="0.35">
      <c r="A35" s="1" t="s">
        <v>117</v>
      </c>
      <c r="B35" s="1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8">
        <v>7.1543400000000004</v>
      </c>
      <c r="I35" s="28">
        <v>0</v>
      </c>
      <c r="J35" s="28">
        <v>4.1724800000000002</v>
      </c>
      <c r="K35" s="28">
        <v>4.1724699999999997</v>
      </c>
      <c r="L35" s="28">
        <v>0</v>
      </c>
      <c r="M35" s="28">
        <v>4.1724699999999997</v>
      </c>
      <c r="N35" s="28">
        <v>4.1724699999999997</v>
      </c>
      <c r="O35" s="28">
        <v>0</v>
      </c>
      <c r="P35" s="28">
        <v>0</v>
      </c>
      <c r="Q35" s="28">
        <v>0</v>
      </c>
      <c r="R35" s="28">
        <v>0</v>
      </c>
      <c r="S35" s="27">
        <v>11.047370000000001</v>
      </c>
    </row>
    <row r="36" spans="1:19" x14ac:dyDescent="0.35">
      <c r="A36" s="1" t="s">
        <v>117</v>
      </c>
      <c r="B36" s="1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8">
        <v>0</v>
      </c>
      <c r="I36" s="28">
        <v>5.8788799999999997</v>
      </c>
      <c r="J36" s="28">
        <v>2.5747399999999998</v>
      </c>
      <c r="K36" s="28">
        <v>2.0327899999999999</v>
      </c>
      <c r="L36" s="28">
        <v>4.2945500000000001</v>
      </c>
      <c r="M36" s="28">
        <v>3.1091199999999999</v>
      </c>
      <c r="N36" s="28">
        <v>9.1575000000000006</v>
      </c>
      <c r="O36" s="28">
        <v>9.1575000000000006</v>
      </c>
      <c r="P36" s="28">
        <v>9.1575000000000006</v>
      </c>
      <c r="Q36" s="28">
        <v>16.940740000000002</v>
      </c>
      <c r="R36" s="28">
        <v>4.2152000000000003</v>
      </c>
      <c r="S36" s="27">
        <v>4.2152000000000003</v>
      </c>
    </row>
    <row r="37" spans="1:19" x14ac:dyDescent="0.35">
      <c r="A37" s="1" t="s">
        <v>117</v>
      </c>
      <c r="B37" s="1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8">
        <v>4.3819299999999997</v>
      </c>
      <c r="I37" s="28">
        <v>12.512130000000001</v>
      </c>
      <c r="J37" s="28">
        <v>6.2422000000000004</v>
      </c>
      <c r="K37" s="28">
        <v>0</v>
      </c>
      <c r="L37" s="28">
        <v>0</v>
      </c>
      <c r="M37" s="28">
        <v>0</v>
      </c>
      <c r="N37" s="28">
        <v>0</v>
      </c>
      <c r="O37" s="28">
        <v>4.0503600000000004</v>
      </c>
      <c r="P37" s="28">
        <v>9.4489000000000001</v>
      </c>
      <c r="Q37" s="28">
        <v>0</v>
      </c>
      <c r="R37" s="28">
        <v>6.2717099999999997</v>
      </c>
      <c r="S37" s="27">
        <v>6.2717099999999997</v>
      </c>
    </row>
    <row r="38" spans="1:19" x14ac:dyDescent="0.35">
      <c r="A38" s="1" t="s">
        <v>117</v>
      </c>
      <c r="B38" s="1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8">
        <v>36.41357</v>
      </c>
      <c r="I38" s="28">
        <v>21.059270000000001</v>
      </c>
      <c r="J38" s="28">
        <v>20.93524</v>
      </c>
      <c r="K38" s="28">
        <v>69.001069999999999</v>
      </c>
      <c r="L38" s="28">
        <v>21.049610000000001</v>
      </c>
      <c r="M38" s="28">
        <v>96.518010000000004</v>
      </c>
      <c r="N38" s="28">
        <v>30.63016</v>
      </c>
      <c r="O38" s="28">
        <v>4.2048500000000004</v>
      </c>
      <c r="P38" s="28">
        <v>0</v>
      </c>
      <c r="Q38" s="28">
        <v>20.07742</v>
      </c>
      <c r="R38" s="28">
        <v>7.0999999999999994E-2</v>
      </c>
      <c r="S38" s="27">
        <v>0.60916999999999999</v>
      </c>
    </row>
    <row r="39" spans="1:19" x14ac:dyDescent="0.35">
      <c r="A39" s="1" t="s">
        <v>117</v>
      </c>
      <c r="B39" s="1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7">
        <v>0</v>
      </c>
    </row>
    <row r="40" spans="1:19" x14ac:dyDescent="0.35">
      <c r="A40" s="1" t="s">
        <v>117</v>
      </c>
      <c r="B40" s="1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8">
        <v>1.18</v>
      </c>
      <c r="I40" s="28">
        <v>1.18</v>
      </c>
      <c r="J40" s="28">
        <v>6.4192</v>
      </c>
      <c r="K40" s="28">
        <v>9.4182799999999993</v>
      </c>
      <c r="L40" s="28">
        <v>19.754190000000001</v>
      </c>
      <c r="M40" s="28">
        <v>1.30084</v>
      </c>
      <c r="N40" s="28">
        <v>8.7790000000000007E-2</v>
      </c>
      <c r="O40" s="28">
        <v>10.429550000000001</v>
      </c>
      <c r="P40" s="28">
        <v>15.17022</v>
      </c>
      <c r="Q40" s="28">
        <v>8.8204999999999991</v>
      </c>
      <c r="R40" s="28">
        <v>7.7325600000000003</v>
      </c>
      <c r="S40" s="27">
        <v>8.4205000000000005</v>
      </c>
    </row>
    <row r="41" spans="1:19" x14ac:dyDescent="0.35">
      <c r="A41" s="1" t="s">
        <v>117</v>
      </c>
      <c r="B41" s="1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8">
        <v>3.9529999999999998</v>
      </c>
      <c r="I41" s="28">
        <v>18.41508</v>
      </c>
      <c r="J41" s="28">
        <v>18.41508</v>
      </c>
      <c r="K41" s="28">
        <v>17.23508</v>
      </c>
      <c r="L41" s="28">
        <v>11.092000000000001</v>
      </c>
      <c r="M41" s="28">
        <v>13.40893</v>
      </c>
      <c r="N41" s="28">
        <v>28.504490000000001</v>
      </c>
      <c r="O41" s="28">
        <v>28.04025</v>
      </c>
      <c r="P41" s="28">
        <v>28.04025</v>
      </c>
      <c r="Q41" s="28">
        <v>28.04025</v>
      </c>
      <c r="R41" s="28">
        <v>13.00723</v>
      </c>
      <c r="S41" s="27">
        <v>0</v>
      </c>
    </row>
    <row r="42" spans="1:19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8">
        <v>4.9292899999999999</v>
      </c>
      <c r="I42" s="28">
        <v>4.9292899999999999</v>
      </c>
      <c r="J42" s="28">
        <v>4.9292899999999999</v>
      </c>
      <c r="K42" s="28">
        <v>4.9292899999999999</v>
      </c>
      <c r="L42" s="28">
        <v>4.9292899999999999</v>
      </c>
      <c r="M42" s="28">
        <v>4.9292899999999999</v>
      </c>
      <c r="N42" s="28">
        <v>4.9292899999999999</v>
      </c>
      <c r="O42" s="28">
        <v>4.9292899999999999</v>
      </c>
      <c r="P42" s="28">
        <v>3.47831</v>
      </c>
      <c r="Q42" s="28">
        <v>3.47831</v>
      </c>
      <c r="R42" s="28">
        <v>1.07979</v>
      </c>
      <c r="S42" s="27">
        <v>2.29799</v>
      </c>
    </row>
    <row r="43" spans="1:19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8">
        <v>16.609660000000002</v>
      </c>
      <c r="I43" s="28">
        <v>1.2285600000000001</v>
      </c>
      <c r="J43" s="28">
        <v>1.2285600000000001</v>
      </c>
      <c r="K43" s="28">
        <v>2.1020099999999999</v>
      </c>
      <c r="L43" s="28">
        <v>2.0281500000000001</v>
      </c>
      <c r="M43" s="28">
        <v>2.0281500000000001</v>
      </c>
      <c r="N43" s="28">
        <v>1.2285600000000001</v>
      </c>
      <c r="O43" s="28">
        <v>1.2285600000000001</v>
      </c>
      <c r="P43" s="28">
        <v>1.2285600000000001</v>
      </c>
      <c r="Q43" s="28">
        <v>1.2285600000000001</v>
      </c>
      <c r="R43" s="28">
        <v>1.2285600000000001</v>
      </c>
      <c r="S43" s="27">
        <v>1.2285600000000001</v>
      </c>
    </row>
    <row r="44" spans="1:19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8">
        <v>1.6519999999999999</v>
      </c>
      <c r="I44" s="28">
        <v>3.3039999999999998</v>
      </c>
      <c r="J44" s="28">
        <v>3.3039999999999998</v>
      </c>
      <c r="K44" s="28">
        <v>3.3039999999999998</v>
      </c>
      <c r="L44" s="28">
        <v>3.3039999999999998</v>
      </c>
      <c r="M44" s="28">
        <v>3.3039999999999998</v>
      </c>
      <c r="N44" s="28">
        <v>3.3039999999999998</v>
      </c>
      <c r="O44" s="28">
        <v>3.3039999999999998</v>
      </c>
      <c r="P44" s="28">
        <v>3.3039999999999998</v>
      </c>
      <c r="Q44" s="28">
        <v>0</v>
      </c>
      <c r="R44" s="28">
        <v>0</v>
      </c>
      <c r="S44" s="27">
        <v>0</v>
      </c>
    </row>
    <row r="45" spans="1:19" x14ac:dyDescent="0.35">
      <c r="A45" s="1" t="s">
        <v>117</v>
      </c>
      <c r="B45" s="1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8">
        <v>11.76061</v>
      </c>
      <c r="I45" s="28">
        <v>14.97809</v>
      </c>
      <c r="J45" s="28">
        <v>14.97809</v>
      </c>
      <c r="K45" s="28">
        <v>3.7642000000000002</v>
      </c>
      <c r="L45" s="28">
        <v>3.7642000000000002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7">
        <v>0</v>
      </c>
    </row>
    <row r="46" spans="1:19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8">
        <v>8.7390699999999999</v>
      </c>
      <c r="I46" s="28">
        <v>8.3956300000000006</v>
      </c>
      <c r="J46" s="28">
        <v>8.3956300000000006</v>
      </c>
      <c r="K46" s="28">
        <v>8.3956300000000006</v>
      </c>
      <c r="L46" s="28">
        <v>0</v>
      </c>
      <c r="M46" s="28">
        <v>0</v>
      </c>
      <c r="N46" s="28">
        <v>0</v>
      </c>
      <c r="O46" s="28">
        <v>0</v>
      </c>
      <c r="P46" s="28">
        <v>5.87338</v>
      </c>
      <c r="Q46" s="28">
        <v>0</v>
      </c>
      <c r="R46" s="28">
        <v>0</v>
      </c>
      <c r="S46" s="27">
        <v>0</v>
      </c>
    </row>
    <row r="47" spans="1:19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8">
        <v>23.256830000000001</v>
      </c>
      <c r="I47" s="28">
        <v>23.256830000000001</v>
      </c>
      <c r="J47" s="28">
        <v>23.256830000000001</v>
      </c>
      <c r="K47" s="28">
        <v>23.256830000000001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0.64131000000000005</v>
      </c>
      <c r="S47" s="27">
        <v>0.64131000000000005</v>
      </c>
    </row>
    <row r="48" spans="1:19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8">
        <v>10.6974</v>
      </c>
      <c r="I48" s="28">
        <v>10.6974</v>
      </c>
      <c r="J48" s="28">
        <v>10.6974</v>
      </c>
      <c r="K48" s="28">
        <v>10.6974</v>
      </c>
      <c r="L48" s="28">
        <v>10.6974</v>
      </c>
      <c r="M48" s="28">
        <v>10.6974</v>
      </c>
      <c r="N48" s="28">
        <v>10.6974</v>
      </c>
      <c r="O48" s="28">
        <v>8.9982000000000006</v>
      </c>
      <c r="P48" s="28">
        <v>18.0488</v>
      </c>
      <c r="Q48" s="28">
        <v>10.714399999999999</v>
      </c>
      <c r="R48" s="28">
        <v>1.6637999999999999</v>
      </c>
      <c r="S48" s="27">
        <v>1.6637999999999999</v>
      </c>
    </row>
    <row r="49" spans="1:19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8">
        <v>25.51811</v>
      </c>
      <c r="I49" s="28">
        <v>25.51811</v>
      </c>
      <c r="J49" s="28">
        <v>25.51811</v>
      </c>
      <c r="K49" s="28">
        <v>25.51811</v>
      </c>
      <c r="L49" s="28">
        <v>0</v>
      </c>
      <c r="M49" s="28">
        <v>0</v>
      </c>
      <c r="N49" s="28">
        <v>0</v>
      </c>
      <c r="O49" s="28">
        <v>25.51811</v>
      </c>
      <c r="P49" s="28">
        <v>0</v>
      </c>
      <c r="Q49" s="28">
        <v>0</v>
      </c>
      <c r="R49" s="28">
        <v>0</v>
      </c>
      <c r="S49" s="27">
        <v>0</v>
      </c>
    </row>
    <row r="50" spans="1:19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7">
        <v>0</v>
      </c>
    </row>
    <row r="51" spans="1:19" x14ac:dyDescent="0.35">
      <c r="A51" s="1" t="s">
        <v>117</v>
      </c>
      <c r="B51" s="1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7">
        <v>0</v>
      </c>
    </row>
    <row r="52" spans="1:19" x14ac:dyDescent="0.35">
      <c r="A52" s="1" t="s">
        <v>117</v>
      </c>
      <c r="B52" s="1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7">
        <v>0</v>
      </c>
    </row>
    <row r="53" spans="1:19" x14ac:dyDescent="0.35">
      <c r="A53" s="1" t="s">
        <v>117</v>
      </c>
      <c r="B53" s="1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7">
        <v>0</v>
      </c>
    </row>
    <row r="54" spans="1:19" x14ac:dyDescent="0.35">
      <c r="A54" s="1" t="s">
        <v>117</v>
      </c>
      <c r="B54" s="1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7">
        <v>0</v>
      </c>
    </row>
    <row r="55" spans="1:19" x14ac:dyDescent="0.35">
      <c r="A55" s="1" t="s">
        <v>117</v>
      </c>
      <c r="B55" s="1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7">
        <v>0</v>
      </c>
    </row>
    <row r="56" spans="1:19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8">
        <v>0</v>
      </c>
      <c r="I56" s="28">
        <v>0</v>
      </c>
      <c r="J56" s="28">
        <v>0</v>
      </c>
      <c r="K56" s="28">
        <v>0</v>
      </c>
      <c r="L56" s="28">
        <v>2.8744800000000001</v>
      </c>
      <c r="M56" s="28">
        <v>2.8744800000000001</v>
      </c>
      <c r="N56" s="28">
        <v>1.77</v>
      </c>
      <c r="O56" s="28">
        <v>1.77</v>
      </c>
      <c r="P56" s="28">
        <v>1.77</v>
      </c>
      <c r="Q56" s="28">
        <v>1.77</v>
      </c>
      <c r="R56" s="28">
        <v>1.77</v>
      </c>
      <c r="S56" s="27">
        <v>1.77</v>
      </c>
    </row>
    <row r="57" spans="1:19" x14ac:dyDescent="0.35">
      <c r="A57" s="1" t="s">
        <v>117</v>
      </c>
      <c r="B57" s="1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7">
        <v>0</v>
      </c>
    </row>
    <row r="58" spans="1:19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7">
        <v>0</v>
      </c>
    </row>
    <row r="59" spans="1:19" x14ac:dyDescent="0.35">
      <c r="A59" s="1" t="s">
        <v>117</v>
      </c>
      <c r="B59" s="1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7">
        <v>0</v>
      </c>
    </row>
    <row r="60" spans="1:19" x14ac:dyDescent="0.35">
      <c r="A60" s="1" t="s">
        <v>117</v>
      </c>
      <c r="B60" s="1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7">
        <v>0</v>
      </c>
    </row>
    <row r="61" spans="1:19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7">
        <v>0</v>
      </c>
    </row>
    <row r="62" spans="1:19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7">
        <v>0</v>
      </c>
    </row>
    <row r="63" spans="1:19" x14ac:dyDescent="0.35">
      <c r="A63" s="1" t="s">
        <v>117</v>
      </c>
      <c r="B63" s="1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7">
        <v>0</v>
      </c>
    </row>
    <row r="64" spans="1:19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8">
        <v>0</v>
      </c>
      <c r="I64" s="28">
        <v>0</v>
      </c>
      <c r="J64" s="28">
        <v>0</v>
      </c>
      <c r="K64" s="28">
        <v>0</v>
      </c>
      <c r="L64" s="28">
        <v>4.1724699999999997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7">
        <v>0</v>
      </c>
    </row>
    <row r="65" spans="1:19" x14ac:dyDescent="0.35">
      <c r="A65" s="1" t="s">
        <v>117</v>
      </c>
      <c r="B65" s="1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8">
        <v>0</v>
      </c>
      <c r="I65" s="28">
        <v>0.57599999999999996</v>
      </c>
      <c r="J65" s="28">
        <v>0</v>
      </c>
      <c r="K65" s="28">
        <v>0</v>
      </c>
      <c r="L65" s="28">
        <v>0</v>
      </c>
      <c r="M65" s="28">
        <v>0</v>
      </c>
      <c r="N65" s="28">
        <v>0.40300999999999998</v>
      </c>
      <c r="O65" s="28">
        <v>13.836819999999999</v>
      </c>
      <c r="P65" s="28">
        <v>3.6458699999999999</v>
      </c>
      <c r="Q65" s="28">
        <v>6.0999299999999996</v>
      </c>
      <c r="R65" s="28">
        <v>6.4341900000000001</v>
      </c>
      <c r="S65" s="27">
        <v>50.18535</v>
      </c>
    </row>
    <row r="66" spans="1:19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7">
        <v>0</v>
      </c>
    </row>
    <row r="67" spans="1:19" x14ac:dyDescent="0.35">
      <c r="A67" s="1" t="s">
        <v>117</v>
      </c>
      <c r="B67" s="1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8">
        <v>0</v>
      </c>
      <c r="I67" s="28">
        <v>0</v>
      </c>
      <c r="J67" s="28">
        <v>0.47828999999999999</v>
      </c>
      <c r="K67" s="28">
        <v>4.0654899999999996</v>
      </c>
      <c r="L67" s="28">
        <v>9.2810900000000007</v>
      </c>
      <c r="M67" s="28">
        <v>14.93919</v>
      </c>
      <c r="N67" s="28">
        <v>14.93919</v>
      </c>
      <c r="O67" s="28">
        <v>14.93919</v>
      </c>
      <c r="P67" s="28">
        <v>14.93919</v>
      </c>
      <c r="Q67" s="28">
        <v>14.93919</v>
      </c>
      <c r="R67" s="28">
        <v>14.93919</v>
      </c>
      <c r="S67" s="27">
        <v>0</v>
      </c>
    </row>
    <row r="68" spans="1:19" x14ac:dyDescent="0.35">
      <c r="A68" s="1" t="s">
        <v>117</v>
      </c>
      <c r="B68" s="1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7">
        <v>0</v>
      </c>
    </row>
    <row r="69" spans="1:19" x14ac:dyDescent="0.35">
      <c r="A69" s="1" t="s">
        <v>117</v>
      </c>
      <c r="B69" s="1" t="s">
        <v>94</v>
      </c>
      <c r="C69" s="1" t="e">
        <f>VLOOKUP(B69,Mapping!A:B,2,0)</f>
        <v>#N/A</v>
      </c>
      <c r="D69" s="1" t="e">
        <f>VLOOKUP(B69,Mapping!A:C,3,0)</f>
        <v>#N/A</v>
      </c>
      <c r="E69" s="1" t="e">
        <f>VLOOKUP(B69,Mapping!A:D,4,0)</f>
        <v>#N/A</v>
      </c>
      <c r="F69" s="1" t="e">
        <f>VLOOKUP(B69,Mapping!A:E,5,0)</f>
        <v>#N/A</v>
      </c>
      <c r="G69" s="1" t="e">
        <f>VLOOKUP(B69,Mapping!A:F,6,0)</f>
        <v>#N/A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2.6549999999999998</v>
      </c>
      <c r="S69" s="27">
        <v>2.6549999999999998</v>
      </c>
    </row>
    <row r="70" spans="1:19" x14ac:dyDescent="0.35">
      <c r="A70" s="1" t="s">
        <v>117</v>
      </c>
      <c r="B70" s="1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6.7401600000000004</v>
      </c>
      <c r="N70" s="28">
        <v>7.9268299999999998</v>
      </c>
      <c r="O70" s="28">
        <v>11.298159999999999</v>
      </c>
      <c r="P70" s="28">
        <v>14.419879999999999</v>
      </c>
      <c r="Q70" s="28">
        <v>0</v>
      </c>
      <c r="R70" s="28">
        <v>0</v>
      </c>
      <c r="S70" s="27">
        <v>0</v>
      </c>
    </row>
    <row r="71" spans="1:19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7">
        <v>0</v>
      </c>
    </row>
    <row r="72" spans="1:19" x14ac:dyDescent="0.35">
      <c r="A72" s="1" t="s">
        <v>117</v>
      </c>
      <c r="B72" s="1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8">
        <v>0</v>
      </c>
      <c r="I72" s="28">
        <v>0</v>
      </c>
      <c r="J72" s="28">
        <v>0</v>
      </c>
      <c r="K72" s="28">
        <v>0</v>
      </c>
      <c r="L72" s="28">
        <v>9.7420799999999996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7">
        <v>0.90624000000000005</v>
      </c>
    </row>
    <row r="73" spans="1:19" x14ac:dyDescent="0.35">
      <c r="A73" s="1" t="s">
        <v>117</v>
      </c>
      <c r="B73" s="1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8">
        <v>0</v>
      </c>
      <c r="I73" s="28">
        <v>1.4750000000000001</v>
      </c>
      <c r="J73" s="28">
        <v>1.4750000000000001</v>
      </c>
      <c r="K73" s="28">
        <v>1.4750000000000001</v>
      </c>
      <c r="L73" s="28">
        <v>0</v>
      </c>
      <c r="M73" s="28">
        <v>0</v>
      </c>
      <c r="N73" s="28">
        <v>0</v>
      </c>
      <c r="O73" s="28">
        <v>2.0059999999999998</v>
      </c>
      <c r="P73" s="28">
        <v>2.0059999999999998</v>
      </c>
      <c r="Q73" s="28">
        <v>2.0059999999999998</v>
      </c>
      <c r="R73" s="28">
        <v>2.0059999999999998</v>
      </c>
      <c r="S73" s="27">
        <v>2.0059999999999998</v>
      </c>
    </row>
    <row r="74" spans="1:19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7">
        <v>0</v>
      </c>
    </row>
    <row r="75" spans="1:19" x14ac:dyDescent="0.35">
      <c r="A75" s="1" t="s">
        <v>117</v>
      </c>
      <c r="B75" s="1" t="s">
        <v>132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7">
        <v>0</v>
      </c>
    </row>
    <row r="76" spans="1:19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7">
        <v>0</v>
      </c>
    </row>
    <row r="77" spans="1:19" x14ac:dyDescent="0.35">
      <c r="A77" s="1" t="s">
        <v>117</v>
      </c>
      <c r="B77" s="1" t="s">
        <v>110</v>
      </c>
      <c r="C77" s="1" t="str">
        <f>VLOOKUP(B77,Mapping!A:B,2,0)</f>
        <v>Lateral</v>
      </c>
      <c r="D77" s="1" t="str">
        <f>VLOOKUP(B77,Mapping!A:C,3,0)</f>
        <v>North</v>
      </c>
      <c r="E77" s="1" t="str">
        <f>VLOOKUP(B77,Mapping!A:D,4,0)</f>
        <v>North</v>
      </c>
      <c r="F77" s="1" t="str">
        <f>VLOOKUP(B77,Mapping!A:E,5,0)</f>
        <v>Anjli</v>
      </c>
      <c r="G77" s="1" t="str">
        <f>VLOOKUP(B77,Mapping!A:F,6,0)</f>
        <v>Anjli</v>
      </c>
      <c r="H77" s="28">
        <v>13.10496</v>
      </c>
      <c r="I77" s="28">
        <v>13.119160000000001</v>
      </c>
      <c r="J77" s="28">
        <v>13.119160000000001</v>
      </c>
      <c r="K77" s="28">
        <v>13.119160000000001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7">
        <v>0</v>
      </c>
    </row>
    <row r="78" spans="1:19" x14ac:dyDescent="0.35">
      <c r="A78" s="1" t="s">
        <v>117</v>
      </c>
      <c r="B78" s="1" t="s">
        <v>111</v>
      </c>
      <c r="C78" s="1" t="str">
        <f>VLOOKUP(B78,Mapping!A:B,2,0)</f>
        <v>Lateral</v>
      </c>
      <c r="D78" s="1" t="str">
        <f>VLOOKUP(B78,Mapping!A:C,3,0)</f>
        <v>West</v>
      </c>
      <c r="E78" s="1" t="str">
        <f>VLOOKUP(B78,Mapping!A:D,4,0)</f>
        <v>West 1</v>
      </c>
      <c r="F78" s="1" t="str">
        <f>VLOOKUP(B78,Mapping!A:E,5,0)</f>
        <v>Anjli</v>
      </c>
      <c r="G78" s="1" t="str">
        <f>VLOOKUP(B78,Mapping!A:F,6,0)</f>
        <v>Anjli</v>
      </c>
      <c r="H78" s="28">
        <v>10.373379999999999</v>
      </c>
      <c r="I78" s="28">
        <v>10.373379999999999</v>
      </c>
      <c r="J78" s="28">
        <v>10.373379999999999</v>
      </c>
      <c r="K78" s="28">
        <v>10.373379999999999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7">
        <v>0</v>
      </c>
    </row>
    <row r="79" spans="1:19" x14ac:dyDescent="0.35">
      <c r="A79" s="1" t="s">
        <v>117</v>
      </c>
      <c r="B79" s="1" t="s">
        <v>112</v>
      </c>
      <c r="C79" s="1" t="str">
        <f>VLOOKUP(B79,Mapping!A:B,2,0)</f>
        <v>Lateral</v>
      </c>
      <c r="D79" s="1" t="str">
        <f>VLOOKUP(B79,Mapping!A:C,3,0)</f>
        <v>West</v>
      </c>
      <c r="E79" s="1" t="str">
        <f>VLOOKUP(B79,Mapping!A:D,4,0)</f>
        <v>West 1</v>
      </c>
      <c r="F79" s="1" t="str">
        <f>VLOOKUP(B79,Mapping!A:E,5,0)</f>
        <v>Anjli</v>
      </c>
      <c r="G79" s="1" t="str">
        <f>VLOOKUP(B79,Mapping!A:F,6,0)</f>
        <v>Anjli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7">
        <v>0</v>
      </c>
    </row>
    <row r="80" spans="1:19" x14ac:dyDescent="0.35">
      <c r="A80" s="1" t="s">
        <v>117</v>
      </c>
      <c r="B80" s="1" t="s">
        <v>140</v>
      </c>
      <c r="C80" s="1" t="s">
        <v>129</v>
      </c>
      <c r="D80" s="1" t="s">
        <v>129</v>
      </c>
      <c r="E80" s="1" t="s">
        <v>129</v>
      </c>
      <c r="F80" s="1" t="s">
        <v>131</v>
      </c>
      <c r="G80" s="1" t="s">
        <v>130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>
        <v>0</v>
      </c>
      <c r="S80" s="27">
        <v>2.87547</v>
      </c>
    </row>
    <row r="81" spans="1:19" x14ac:dyDescent="0.35">
      <c r="A81" s="1" t="s">
        <v>117</v>
      </c>
      <c r="B81" s="1" t="s">
        <v>141</v>
      </c>
      <c r="C81" s="1" t="s">
        <v>129</v>
      </c>
      <c r="D81" s="1" t="s">
        <v>129</v>
      </c>
      <c r="E81" s="1" t="s">
        <v>129</v>
      </c>
      <c r="F81" s="1" t="s">
        <v>131</v>
      </c>
      <c r="G81" s="1" t="s">
        <v>130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28">
        <v>0</v>
      </c>
      <c r="S81" s="1"/>
    </row>
  </sheetData>
  <conditionalFormatting sqref="A1:B1 I1:S1 E1:G1">
    <cfRule type="duplicateValues" dxfId="19" priority="1"/>
  </conditionalFormatting>
  <conditionalFormatting sqref="B42:B50 B74:B79">
    <cfRule type="duplicateValues" dxfId="18" priority="74"/>
  </conditionalFormatting>
  <conditionalFormatting sqref="B51:B73 B2:B41">
    <cfRule type="duplicateValues" dxfId="17" priority="70"/>
  </conditionalFormatting>
  <conditionalFormatting sqref="B82:D1048576 B2:B79 B80:G81">
    <cfRule type="duplicateValues" dxfId="16" priority="67"/>
  </conditionalFormatting>
  <conditionalFormatting sqref="H2:S83">
    <cfRule type="cellIs" dxfId="15" priority="9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C4C0-51AA-4AD3-BED2-DE442E1343A7}">
  <sheetPr codeName="Sheet18">
    <tabColor rgb="FF92D050"/>
  </sheetPr>
  <dimension ref="A1:AD80"/>
  <sheetViews>
    <sheetView workbookViewId="0">
      <selection activeCell="J11" sqref="J11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8.81640625" bestFit="1" customWidth="1"/>
  </cols>
  <sheetData>
    <row r="1" spans="1:30" x14ac:dyDescent="0.35">
      <c r="A1" s="25" t="str">
        <f>Revenue_Budget!A1</f>
        <v>FY</v>
      </c>
      <c r="B1" s="25" t="str">
        <f>Revenue_Budget!B1</f>
        <v>Project</v>
      </c>
      <c r="C1" s="25" t="str">
        <f>Revenue_Budget!C1</f>
        <v>Vertical</v>
      </c>
      <c r="D1" s="25" t="str">
        <f>Revenue_Budget!D1</f>
        <v>Region</v>
      </c>
      <c r="E1" s="25" t="str">
        <f>Revenue_Budget!E1</f>
        <v>Sub Region</v>
      </c>
      <c r="F1" s="25" t="str">
        <f>Revenue_Budget!F1</f>
        <v>Region Head</v>
      </c>
      <c r="G1" s="25" t="str">
        <f>Revenue_Budget!G1</f>
        <v>Practice Head</v>
      </c>
      <c r="H1" s="26">
        <f>Revenue_Budget!H1</f>
        <v>45748</v>
      </c>
      <c r="I1" s="26">
        <f>Revenue_Budget!I1</f>
        <v>45778</v>
      </c>
      <c r="J1" s="26">
        <f>Revenue_Budget!J1</f>
        <v>45809</v>
      </c>
      <c r="K1" s="26">
        <f>Revenue_Budget!K1</f>
        <v>45839</v>
      </c>
      <c r="L1" s="26">
        <f>Revenue_Budget!L1</f>
        <v>45870</v>
      </c>
      <c r="M1" s="26">
        <f>Revenue_Budget!M1</f>
        <v>45901</v>
      </c>
      <c r="N1" s="26">
        <f>Revenue_Budget!N1</f>
        <v>45931</v>
      </c>
      <c r="O1" s="26">
        <f>Revenue_Budget!O1</f>
        <v>45962</v>
      </c>
      <c r="P1" s="26">
        <f>Revenue_Budget!P1</f>
        <v>45992</v>
      </c>
      <c r="Q1" s="26">
        <f>Revenue_Budget!Q1</f>
        <v>46023</v>
      </c>
      <c r="R1" s="26">
        <f>Revenue_Budget!R1</f>
        <v>46054</v>
      </c>
      <c r="S1" s="26">
        <f>Revenue_Budget!S1</f>
        <v>46082</v>
      </c>
    </row>
    <row r="2" spans="1:30" x14ac:dyDescent="0.35">
      <c r="A2" s="1" t="s">
        <v>117</v>
      </c>
      <c r="B2" s="1" t="s">
        <v>3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8">
        <v>107.29601</v>
      </c>
      <c r="I2" s="28">
        <v>161.7356374</v>
      </c>
      <c r="J2" s="28">
        <v>153.44492</v>
      </c>
      <c r="K2" s="28">
        <v>172.03350120000002</v>
      </c>
      <c r="L2" s="28">
        <v>0</v>
      </c>
      <c r="M2" s="28">
        <v>181.80530109999998</v>
      </c>
      <c r="N2" s="28">
        <v>113.7461548</v>
      </c>
      <c r="O2" s="28">
        <v>197.31686759999997</v>
      </c>
      <c r="P2" s="28">
        <v>88.256370000000004</v>
      </c>
      <c r="Q2" s="28">
        <v>480.64271120000006</v>
      </c>
      <c r="R2" s="27">
        <v>0</v>
      </c>
      <c r="S2" s="27">
        <v>125.1851388</v>
      </c>
      <c r="U2" s="2"/>
      <c r="V2" s="2"/>
      <c r="W2" s="2"/>
      <c r="X2" s="2">
        <f>Target_Collection!K2-Actual_Collection!K2</f>
        <v>6.4716387999999938</v>
      </c>
      <c r="Y2" s="2">
        <f>Target_Collection!L2-Actual_Collection!L2</f>
        <v>84.690209999999993</v>
      </c>
      <c r="Z2" s="2">
        <f>Target_Collection!M2-Actual_Collection!M2</f>
        <v>3.920688900000016</v>
      </c>
      <c r="AA2" s="2">
        <f>Target_Collection!N2-Actual_Collection!N2</f>
        <v>0.46506519999999796</v>
      </c>
      <c r="AB2" s="2">
        <f>Target_Collection!O2-Actual_Collection!O2</f>
        <v>6.2547824000000389</v>
      </c>
      <c r="AC2" s="2">
        <f>Target_Collection!P2-Actual_Collection!P2</f>
        <v>111.44123999999999</v>
      </c>
      <c r="AD2" s="2">
        <f>Target_Collection!Q2-Actual_Collection!Q2</f>
        <v>-272.93923120000005</v>
      </c>
    </row>
    <row r="3" spans="1:30" x14ac:dyDescent="0.35">
      <c r="A3" s="1" t="s">
        <v>117</v>
      </c>
      <c r="B3" s="1" t="s">
        <v>5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8">
        <v>3.8773</v>
      </c>
      <c r="I3" s="28">
        <v>14.2417</v>
      </c>
      <c r="J3" s="28">
        <v>6.4695999999999998</v>
      </c>
      <c r="K3" s="28">
        <v>3.2944</v>
      </c>
      <c r="L3" s="28">
        <v>0</v>
      </c>
      <c r="M3" s="28">
        <v>0</v>
      </c>
      <c r="N3" s="28">
        <v>0</v>
      </c>
      <c r="O3" s="28">
        <v>12.506399999999999</v>
      </c>
      <c r="P3" s="28">
        <v>26.328202999999998</v>
      </c>
      <c r="Q3" s="28">
        <v>3.7801900000000002</v>
      </c>
      <c r="R3" s="27">
        <v>5.4702000000000002</v>
      </c>
      <c r="S3" s="27">
        <v>5.6193</v>
      </c>
    </row>
    <row r="4" spans="1:30" x14ac:dyDescent="0.35">
      <c r="A4" s="1" t="s">
        <v>117</v>
      </c>
      <c r="B4" s="1" t="s">
        <v>9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8">
        <v>38.415329999999997</v>
      </c>
      <c r="I4" s="28">
        <v>0</v>
      </c>
      <c r="J4" s="28">
        <v>0</v>
      </c>
      <c r="K4" s="28">
        <v>0</v>
      </c>
      <c r="L4" s="28">
        <v>100.94834</v>
      </c>
      <c r="M4" s="28">
        <v>23.320309999999999</v>
      </c>
      <c r="N4" s="28">
        <v>0</v>
      </c>
      <c r="O4" s="28">
        <v>0</v>
      </c>
      <c r="P4" s="28">
        <v>0.71919999999999995</v>
      </c>
      <c r="Q4" s="28">
        <v>0</v>
      </c>
      <c r="R4" s="27">
        <v>0</v>
      </c>
      <c r="S4" s="27">
        <v>0</v>
      </c>
    </row>
    <row r="5" spans="1:30" x14ac:dyDescent="0.35">
      <c r="A5" s="1" t="s">
        <v>117</v>
      </c>
      <c r="B5" s="1" t="s">
        <v>11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8">
        <v>0</v>
      </c>
      <c r="I5" s="28">
        <v>22.906335899999998</v>
      </c>
      <c r="J5" s="28">
        <v>59.106249200000001</v>
      </c>
      <c r="K5" s="28">
        <v>13.8886898</v>
      </c>
      <c r="L5" s="28">
        <v>29.9171421</v>
      </c>
      <c r="M5" s="28">
        <v>25.355320099999997</v>
      </c>
      <c r="N5" s="28">
        <v>0</v>
      </c>
      <c r="O5" s="28">
        <v>66.953863799999993</v>
      </c>
      <c r="P5" s="28">
        <v>0</v>
      </c>
      <c r="Q5" s="28">
        <v>1.9348799999999999</v>
      </c>
      <c r="R5" s="27">
        <v>64.289150000000006</v>
      </c>
      <c r="S5" s="27">
        <v>24.324280000000002</v>
      </c>
    </row>
    <row r="6" spans="1:30" x14ac:dyDescent="0.35">
      <c r="A6" s="1" t="s">
        <v>117</v>
      </c>
      <c r="B6" s="1" t="s">
        <v>13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8">
        <v>18.969950000000001</v>
      </c>
      <c r="I6" s="28">
        <v>15.41649</v>
      </c>
      <c r="J6" s="28">
        <v>15.867279999999999</v>
      </c>
      <c r="K6" s="28">
        <v>2.2834400000000001</v>
      </c>
      <c r="L6" s="28">
        <v>0</v>
      </c>
      <c r="M6" s="28">
        <v>2.0498400000000001</v>
      </c>
      <c r="N6" s="28">
        <v>0</v>
      </c>
      <c r="O6" s="28">
        <v>14.17952</v>
      </c>
      <c r="P6" s="28">
        <v>0</v>
      </c>
      <c r="Q6" s="28">
        <v>0</v>
      </c>
      <c r="R6" s="27">
        <v>15.4116</v>
      </c>
      <c r="S6" s="27">
        <v>0</v>
      </c>
    </row>
    <row r="7" spans="1:30" x14ac:dyDescent="0.35">
      <c r="A7" s="1" t="s">
        <v>117</v>
      </c>
      <c r="B7" s="1" t="s">
        <v>17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8">
        <v>3.9716999999999998</v>
      </c>
      <c r="I7" s="28">
        <v>14.861610000000001</v>
      </c>
      <c r="J7" s="28">
        <v>5.5620000000000003</v>
      </c>
      <c r="K7" s="28">
        <v>13.232699999999999</v>
      </c>
      <c r="L7" s="28">
        <v>0</v>
      </c>
      <c r="M7" s="28">
        <v>2.8673999999999999</v>
      </c>
      <c r="N7" s="28">
        <v>18.095400000000001</v>
      </c>
      <c r="O7" s="28">
        <v>6.8310000000000004</v>
      </c>
      <c r="P7" s="28">
        <v>17.423100000000002</v>
      </c>
      <c r="Q7" s="28">
        <v>0.45540000000000003</v>
      </c>
      <c r="R7" s="27">
        <v>11.104900000000001</v>
      </c>
      <c r="S7" s="27">
        <v>0</v>
      </c>
    </row>
    <row r="8" spans="1:30" x14ac:dyDescent="0.35">
      <c r="A8" s="1" t="s">
        <v>117</v>
      </c>
      <c r="B8" s="1" t="s">
        <v>18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8">
        <v>13.91391</v>
      </c>
      <c r="I8" s="28">
        <v>4.5117000000000003</v>
      </c>
      <c r="J8" s="28">
        <v>3.5394647999999997</v>
      </c>
      <c r="K8" s="28">
        <v>13.66093</v>
      </c>
      <c r="L8" s="28">
        <v>1.4743994</v>
      </c>
      <c r="M8" s="28">
        <v>1.4892000000000001</v>
      </c>
      <c r="N8" s="28">
        <v>0.85773999999999995</v>
      </c>
      <c r="O8" s="28">
        <v>31.864967000000004</v>
      </c>
      <c r="P8" s="28">
        <v>7.5378400000000001</v>
      </c>
      <c r="Q8" s="28">
        <v>8.4276081999999999</v>
      </c>
      <c r="R8" s="27">
        <v>10.01553</v>
      </c>
      <c r="S8" s="27">
        <v>0</v>
      </c>
    </row>
    <row r="9" spans="1:30" x14ac:dyDescent="0.35">
      <c r="A9" s="1" t="s">
        <v>117</v>
      </c>
      <c r="B9" s="1" t="s">
        <v>19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8">
        <v>12.193239999999999</v>
      </c>
      <c r="I9" s="28">
        <v>26.022600000000001</v>
      </c>
      <c r="J9" s="28">
        <v>0</v>
      </c>
      <c r="K9" s="28">
        <v>8.6212999999999997</v>
      </c>
      <c r="L9" s="28">
        <v>19.55358</v>
      </c>
      <c r="M9" s="28">
        <v>21.65814</v>
      </c>
      <c r="N9" s="28">
        <v>30.520334999999999</v>
      </c>
      <c r="O9" s="28">
        <v>0.94930740000000002</v>
      </c>
      <c r="P9" s="28">
        <v>5.3324999999999996</v>
      </c>
      <c r="Q9" s="28">
        <v>24.604289999999999</v>
      </c>
      <c r="R9" s="27">
        <v>23.050441800000002</v>
      </c>
      <c r="S9" s="27">
        <v>6.1160399999999999</v>
      </c>
    </row>
    <row r="10" spans="1:30" x14ac:dyDescent="0.35">
      <c r="A10" s="1" t="s">
        <v>117</v>
      </c>
      <c r="B10" s="1" t="s">
        <v>21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8">
        <v>0</v>
      </c>
      <c r="I10" s="28">
        <v>0</v>
      </c>
      <c r="J10" s="28">
        <v>0</v>
      </c>
      <c r="K10" s="28">
        <v>10.55916</v>
      </c>
      <c r="L10" s="28">
        <v>0</v>
      </c>
      <c r="M10" s="28">
        <v>0</v>
      </c>
      <c r="N10" s="28">
        <v>2.1840000000000002</v>
      </c>
      <c r="O10" s="28">
        <v>0</v>
      </c>
      <c r="P10" s="28">
        <v>1.34352</v>
      </c>
      <c r="Q10" s="28">
        <v>3.2399999999999998E-3</v>
      </c>
      <c r="R10" s="27">
        <v>0</v>
      </c>
      <c r="S10" s="27">
        <v>1.1642399999999999</v>
      </c>
    </row>
    <row r="11" spans="1:30" x14ac:dyDescent="0.35">
      <c r="A11" s="1" t="s">
        <v>117</v>
      </c>
      <c r="B11" s="1" t="s">
        <v>22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8">
        <v>235.02412129999999</v>
      </c>
      <c r="I11" s="28">
        <v>129.89609059999998</v>
      </c>
      <c r="J11" s="28">
        <v>90.487638000000004</v>
      </c>
      <c r="K11" s="28">
        <v>127.8927824</v>
      </c>
      <c r="L11" s="28">
        <v>149.93274510000001</v>
      </c>
      <c r="M11" s="28">
        <v>110.5865787</v>
      </c>
      <c r="N11" s="28">
        <v>148.74513870000001</v>
      </c>
      <c r="O11" s="28">
        <v>237.80280270000003</v>
      </c>
      <c r="P11" s="28">
        <v>133.04021070000002</v>
      </c>
      <c r="Q11" s="28">
        <v>24.062750000000001</v>
      </c>
      <c r="R11" s="27">
        <v>422.52057539999998</v>
      </c>
      <c r="S11" s="27">
        <v>185.75411</v>
      </c>
    </row>
    <row r="12" spans="1:30" x14ac:dyDescent="0.35">
      <c r="A12" s="1" t="s">
        <v>117</v>
      </c>
      <c r="B12" s="1" t="s">
        <v>24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8">
        <v>23.441939999999999</v>
      </c>
      <c r="I12" s="28">
        <v>4.4182800000000002</v>
      </c>
      <c r="J12" s="28">
        <v>7.1705402000000005</v>
      </c>
      <c r="K12" s="28">
        <v>0</v>
      </c>
      <c r="L12" s="28">
        <v>9.9457199999999997</v>
      </c>
      <c r="M12" s="28">
        <v>13.124700000000001</v>
      </c>
      <c r="N12" s="28">
        <v>0</v>
      </c>
      <c r="O12" s="28">
        <v>25.003444399999999</v>
      </c>
      <c r="P12" s="28">
        <v>6.8117700000000001</v>
      </c>
      <c r="Q12" s="28">
        <v>5.63185</v>
      </c>
      <c r="R12" s="27">
        <v>0</v>
      </c>
      <c r="S12" s="27">
        <v>10.20496</v>
      </c>
    </row>
    <row r="13" spans="1:30" x14ac:dyDescent="0.35">
      <c r="A13" s="1" t="s">
        <v>117</v>
      </c>
      <c r="B13" s="1" t="s">
        <v>26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8">
        <v>4.2864500000000003</v>
      </c>
      <c r="I13" s="28">
        <v>0</v>
      </c>
      <c r="J13" s="28">
        <v>0</v>
      </c>
      <c r="K13" s="28">
        <v>6.0048000000000004</v>
      </c>
      <c r="L13" s="28">
        <v>3.0672000000000001</v>
      </c>
      <c r="M13" s="28">
        <v>9.0698399999999992</v>
      </c>
      <c r="N13" s="28">
        <v>0</v>
      </c>
      <c r="O13" s="28">
        <v>14.352119999999999</v>
      </c>
      <c r="P13" s="28">
        <v>5.3055000000000003</v>
      </c>
      <c r="Q13" s="28">
        <v>5.8860000000000001</v>
      </c>
      <c r="R13" s="27">
        <v>5.4874799999999997</v>
      </c>
      <c r="S13" s="27">
        <v>0</v>
      </c>
    </row>
    <row r="14" spans="1:30" x14ac:dyDescent="0.35">
      <c r="A14" s="1" t="s">
        <v>117</v>
      </c>
      <c r="B14" s="1" t="s">
        <v>27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8">
        <v>5.3836000000000004</v>
      </c>
      <c r="I14" s="28">
        <v>9.8389100000000003</v>
      </c>
      <c r="J14" s="28">
        <v>1.1826000000000001</v>
      </c>
      <c r="K14" s="28">
        <v>10.51821</v>
      </c>
      <c r="L14" s="28">
        <v>4.4763599999999997</v>
      </c>
      <c r="M14" s="28">
        <v>1.7052799999999999</v>
      </c>
      <c r="N14" s="28">
        <v>10.16347</v>
      </c>
      <c r="O14" s="28">
        <v>1.7052799999999999</v>
      </c>
      <c r="P14" s="28">
        <v>1.84687</v>
      </c>
      <c r="Q14" s="28">
        <v>10.020390000000001</v>
      </c>
      <c r="R14" s="27">
        <v>1.2789600000000001</v>
      </c>
      <c r="S14" s="27">
        <v>18.33897</v>
      </c>
    </row>
    <row r="15" spans="1:30" x14ac:dyDescent="0.35">
      <c r="A15" s="1" t="s">
        <v>117</v>
      </c>
      <c r="B15" s="1" t="s">
        <v>29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8">
        <v>85.321780000000004</v>
      </c>
      <c r="I15" s="28">
        <v>121.03071</v>
      </c>
      <c r="J15" s="28">
        <v>82.712940000000003</v>
      </c>
      <c r="K15" s="28">
        <v>109.7417124</v>
      </c>
      <c r="L15" s="28">
        <v>63.315258</v>
      </c>
      <c r="M15" s="28">
        <v>65.848529600000006</v>
      </c>
      <c r="N15" s="28">
        <v>67.722750000000005</v>
      </c>
      <c r="O15" s="28">
        <v>170.27319</v>
      </c>
      <c r="P15" s="28">
        <v>119.1019134</v>
      </c>
      <c r="Q15" s="28">
        <v>334.02569</v>
      </c>
      <c r="R15" s="27">
        <v>172.34931</v>
      </c>
      <c r="S15" s="27">
        <v>216.57225</v>
      </c>
    </row>
    <row r="16" spans="1:30" x14ac:dyDescent="0.35">
      <c r="A16" s="1" t="s">
        <v>117</v>
      </c>
      <c r="B16" s="1" t="s">
        <v>30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8">
        <v>1.9008</v>
      </c>
      <c r="I16" s="28">
        <v>0</v>
      </c>
      <c r="J16" s="28">
        <v>2.0688800000000001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7">
        <v>0</v>
      </c>
      <c r="S16" s="27">
        <v>0</v>
      </c>
    </row>
    <row r="17" spans="1:19" x14ac:dyDescent="0.35">
      <c r="A17" s="1" t="s">
        <v>117</v>
      </c>
      <c r="B17" s="1" t="s">
        <v>31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8">
        <v>9.1620000000000008</v>
      </c>
      <c r="I17" s="28">
        <v>0</v>
      </c>
      <c r="J17" s="28">
        <v>13.9428</v>
      </c>
      <c r="K17" s="28">
        <v>19.440000000000001</v>
      </c>
      <c r="L17" s="28">
        <v>1.944</v>
      </c>
      <c r="M17" s="28">
        <v>16.038</v>
      </c>
      <c r="N17" s="28">
        <v>18.468</v>
      </c>
      <c r="O17" s="28">
        <v>13.23</v>
      </c>
      <c r="P17" s="28">
        <v>28.112400000000001</v>
      </c>
      <c r="Q17" s="28">
        <v>80.459999999999994</v>
      </c>
      <c r="R17" s="27">
        <v>0.59399999999999997</v>
      </c>
      <c r="S17" s="27">
        <v>43.515000000000001</v>
      </c>
    </row>
    <row r="18" spans="1:19" x14ac:dyDescent="0.35">
      <c r="A18" s="1" t="s">
        <v>117</v>
      </c>
      <c r="B18" s="1" t="s">
        <v>33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8">
        <v>0</v>
      </c>
      <c r="I18" s="28">
        <v>2.6267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7">
        <v>0</v>
      </c>
      <c r="S18" s="27">
        <v>0</v>
      </c>
    </row>
    <row r="19" spans="1:19" x14ac:dyDescent="0.35">
      <c r="A19" s="1" t="s">
        <v>117</v>
      </c>
      <c r="B19" s="1" t="s">
        <v>34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8">
        <v>0</v>
      </c>
      <c r="I19" s="28">
        <v>0</v>
      </c>
      <c r="J19" s="28">
        <v>47.892921700000002</v>
      </c>
      <c r="K19" s="28">
        <v>9.8754399999999993</v>
      </c>
      <c r="L19" s="28">
        <v>0</v>
      </c>
      <c r="M19" s="28">
        <v>15.4236035</v>
      </c>
      <c r="N19" s="28">
        <v>0</v>
      </c>
      <c r="O19" s="28">
        <v>0</v>
      </c>
      <c r="P19" s="28">
        <v>12.795210000000001</v>
      </c>
      <c r="Q19" s="28">
        <v>0</v>
      </c>
      <c r="R19" s="27">
        <v>22.80771</v>
      </c>
      <c r="S19" s="27">
        <v>6.9921199999999999</v>
      </c>
    </row>
    <row r="20" spans="1:19" x14ac:dyDescent="0.35">
      <c r="A20" s="1" t="s">
        <v>117</v>
      </c>
      <c r="B20" s="1" t="s">
        <v>35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8">
        <v>3.1417632000000002</v>
      </c>
      <c r="I20" s="28">
        <v>0</v>
      </c>
      <c r="J20" s="28">
        <v>0</v>
      </c>
      <c r="K20" s="28">
        <v>0</v>
      </c>
      <c r="L20" s="28">
        <v>0</v>
      </c>
      <c r="M20" s="28">
        <v>10.090040400000001</v>
      </c>
      <c r="N20" s="28">
        <v>0</v>
      </c>
      <c r="O20" s="28">
        <v>0.44318000000000002</v>
      </c>
      <c r="P20" s="28">
        <v>0</v>
      </c>
      <c r="Q20" s="28">
        <v>0</v>
      </c>
      <c r="R20" s="27">
        <v>0</v>
      </c>
      <c r="S20" s="27">
        <v>0</v>
      </c>
    </row>
    <row r="21" spans="1:19" x14ac:dyDescent="0.35">
      <c r="A21" s="1" t="s">
        <v>117</v>
      </c>
      <c r="B21" s="1" t="s">
        <v>36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8">
        <v>0</v>
      </c>
      <c r="I21" s="28">
        <v>105.07292</v>
      </c>
      <c r="J21" s="28">
        <v>144.19539</v>
      </c>
      <c r="K21" s="28">
        <v>4.2754300000000001</v>
      </c>
      <c r="L21" s="28">
        <v>0</v>
      </c>
      <c r="M21" s="28">
        <v>0</v>
      </c>
      <c r="N21" s="28">
        <v>87.093360000000004</v>
      </c>
      <c r="O21" s="28">
        <v>0</v>
      </c>
      <c r="P21" s="28">
        <v>0</v>
      </c>
      <c r="Q21" s="28">
        <v>0</v>
      </c>
      <c r="R21" s="27">
        <v>0</v>
      </c>
      <c r="S21" s="27">
        <v>0</v>
      </c>
    </row>
    <row r="22" spans="1:19" x14ac:dyDescent="0.35">
      <c r="A22" s="1" t="s">
        <v>117</v>
      </c>
      <c r="B22" s="1" t="s">
        <v>38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8">
        <v>0</v>
      </c>
      <c r="I22" s="28">
        <v>0</v>
      </c>
      <c r="J22" s="28">
        <v>65.829329999999999</v>
      </c>
      <c r="K22" s="28">
        <v>0</v>
      </c>
      <c r="L22" s="28">
        <v>0</v>
      </c>
      <c r="M22" s="28">
        <v>13.398709999999999</v>
      </c>
      <c r="N22" s="28">
        <v>35.08569</v>
      </c>
      <c r="O22" s="28">
        <v>5.09565</v>
      </c>
      <c r="P22" s="28">
        <v>8.5665600000000008</v>
      </c>
      <c r="Q22" s="28">
        <v>81.75121</v>
      </c>
      <c r="R22" s="27">
        <v>0</v>
      </c>
      <c r="S22" s="27">
        <v>0</v>
      </c>
    </row>
    <row r="23" spans="1:19" x14ac:dyDescent="0.35">
      <c r="A23" s="1" t="s">
        <v>117</v>
      </c>
      <c r="B23" s="1" t="s">
        <v>39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8">
        <v>14.479273999999998</v>
      </c>
      <c r="I23" s="28">
        <v>0</v>
      </c>
      <c r="J23" s="28">
        <v>0.216</v>
      </c>
      <c r="K23" s="28">
        <v>4.8599999999999997E-2</v>
      </c>
      <c r="L23" s="28">
        <v>13.7985378</v>
      </c>
      <c r="M23" s="28">
        <v>31.820360000000001</v>
      </c>
      <c r="N23" s="28">
        <v>2.7365090000000003</v>
      </c>
      <c r="O23" s="28">
        <v>0.17008200000000001</v>
      </c>
      <c r="P23" s="28">
        <v>3.4020000000000002E-2</v>
      </c>
      <c r="Q23" s="28">
        <v>20.200199999999999</v>
      </c>
      <c r="R23" s="27">
        <v>0</v>
      </c>
      <c r="S23" s="27">
        <v>1.4579800000000001</v>
      </c>
    </row>
    <row r="24" spans="1:19" x14ac:dyDescent="0.35">
      <c r="A24" s="1" t="s">
        <v>117</v>
      </c>
      <c r="B24" s="1" t="s">
        <v>40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7">
        <v>0</v>
      </c>
      <c r="S24" s="27">
        <v>0</v>
      </c>
    </row>
    <row r="25" spans="1:19" x14ac:dyDescent="0.35">
      <c r="A25" s="1" t="s">
        <v>117</v>
      </c>
      <c r="B25" s="1" t="s">
        <v>41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8">
        <v>0</v>
      </c>
      <c r="I25" s="28">
        <v>17.541440000000001</v>
      </c>
      <c r="J25" s="28">
        <v>0</v>
      </c>
      <c r="K25" s="28">
        <v>0</v>
      </c>
      <c r="L25" s="28">
        <v>36.125779999999999</v>
      </c>
      <c r="M25" s="28">
        <v>0</v>
      </c>
      <c r="N25" s="28">
        <v>0</v>
      </c>
      <c r="O25" s="28">
        <v>13.819520000000001</v>
      </c>
      <c r="P25" s="28">
        <v>30.627410000000001</v>
      </c>
      <c r="Q25" s="28">
        <v>0</v>
      </c>
      <c r="R25" s="27">
        <v>0</v>
      </c>
      <c r="S25" s="27">
        <v>12.943860000000001</v>
      </c>
    </row>
    <row r="26" spans="1:19" x14ac:dyDescent="0.35">
      <c r="A26" s="1" t="s">
        <v>117</v>
      </c>
      <c r="B26" s="1" t="s">
        <v>42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8">
        <v>11.11129</v>
      </c>
      <c r="I26" s="28">
        <v>0</v>
      </c>
      <c r="J26" s="28">
        <v>0</v>
      </c>
      <c r="K26" s="28">
        <v>18.956520000000001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22.314</v>
      </c>
      <c r="R26" s="27">
        <v>54.966009400000004</v>
      </c>
      <c r="S26" s="27">
        <v>19.74072</v>
      </c>
    </row>
    <row r="27" spans="1:19" x14ac:dyDescent="0.35">
      <c r="A27" s="1" t="s">
        <v>117</v>
      </c>
      <c r="B27" s="1" t="s">
        <v>43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8">
        <v>9.9781200000000005</v>
      </c>
      <c r="I27" s="28">
        <v>17.164571599999999</v>
      </c>
      <c r="J27" s="28">
        <v>0</v>
      </c>
      <c r="K27" s="28">
        <v>20.423069999999999</v>
      </c>
      <c r="L27" s="28">
        <v>18.02955</v>
      </c>
      <c r="M27" s="28">
        <v>0</v>
      </c>
      <c r="N27" s="28">
        <v>17.700769999999999</v>
      </c>
      <c r="O27" s="28">
        <v>0</v>
      </c>
      <c r="P27" s="28">
        <v>0</v>
      </c>
      <c r="Q27" s="28">
        <v>33.074559999999998</v>
      </c>
      <c r="R27" s="27">
        <v>0</v>
      </c>
      <c r="S27" s="27">
        <v>14.72153</v>
      </c>
    </row>
    <row r="28" spans="1:19" x14ac:dyDescent="0.35">
      <c r="A28" s="1" t="s">
        <v>117</v>
      </c>
      <c r="B28" s="1" t="s">
        <v>44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8">
        <v>17.827649999999998</v>
      </c>
      <c r="I28" s="28">
        <v>0</v>
      </c>
      <c r="J28" s="28">
        <v>0</v>
      </c>
      <c r="K28" s="28">
        <v>35.7390282</v>
      </c>
      <c r="L28" s="28">
        <v>19.88186</v>
      </c>
      <c r="M28" s="28">
        <v>0</v>
      </c>
      <c r="N28" s="28">
        <v>36.101480000000002</v>
      </c>
      <c r="O28" s="28">
        <v>0</v>
      </c>
      <c r="P28" s="28">
        <v>51.486012500000001</v>
      </c>
      <c r="Q28" s="28">
        <v>5.5598400000000003</v>
      </c>
      <c r="R28" s="27">
        <v>18.257729999999999</v>
      </c>
      <c r="S28" s="27">
        <v>3.6352799999999998</v>
      </c>
    </row>
    <row r="29" spans="1:19" x14ac:dyDescent="0.35">
      <c r="A29" s="1" t="s">
        <v>117</v>
      </c>
      <c r="B29" s="1" t="s">
        <v>45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8">
        <v>83.601747599999996</v>
      </c>
      <c r="I29" s="28">
        <v>34.0157892</v>
      </c>
      <c r="J29" s="28">
        <v>0</v>
      </c>
      <c r="K29" s="28">
        <v>0</v>
      </c>
      <c r="L29" s="28">
        <v>70.502929000000009</v>
      </c>
      <c r="M29" s="28">
        <v>69.496199599999997</v>
      </c>
      <c r="N29" s="28">
        <v>56.989575000000002</v>
      </c>
      <c r="O29" s="28">
        <v>37.27814</v>
      </c>
      <c r="P29" s="28">
        <v>40.233730000000001</v>
      </c>
      <c r="Q29" s="28">
        <v>0</v>
      </c>
      <c r="R29" s="27">
        <v>85.327100000000002</v>
      </c>
      <c r="S29" s="27">
        <v>45.08484</v>
      </c>
    </row>
    <row r="30" spans="1:19" x14ac:dyDescent="0.35">
      <c r="A30" s="1" t="s">
        <v>117</v>
      </c>
      <c r="B30" s="1" t="s">
        <v>46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8">
        <v>0</v>
      </c>
      <c r="I30" s="28">
        <v>1.92672</v>
      </c>
      <c r="J30" s="28">
        <v>2.1772800000000001</v>
      </c>
      <c r="K30" s="28">
        <v>0</v>
      </c>
      <c r="L30" s="28">
        <v>2.5930800000000001</v>
      </c>
      <c r="M30" s="28">
        <v>0</v>
      </c>
      <c r="N30" s="28">
        <v>0</v>
      </c>
      <c r="O30" s="28">
        <v>1.92672</v>
      </c>
      <c r="P30" s="28">
        <v>0</v>
      </c>
      <c r="Q30" s="28">
        <v>2.7820800000000001</v>
      </c>
      <c r="R30" s="27">
        <v>0</v>
      </c>
      <c r="S30" s="27">
        <v>0</v>
      </c>
    </row>
    <row r="31" spans="1:19" x14ac:dyDescent="0.35">
      <c r="A31" s="1" t="s">
        <v>117</v>
      </c>
      <c r="B31" s="1" t="s">
        <v>47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8">
        <v>16.6979054</v>
      </c>
      <c r="I31" s="28">
        <v>12.780276200000001</v>
      </c>
      <c r="J31" s="28">
        <v>13.7864296</v>
      </c>
      <c r="K31" s="28">
        <v>4.05</v>
      </c>
      <c r="L31" s="28">
        <v>37.8660724</v>
      </c>
      <c r="M31" s="28">
        <v>36.585000000000001</v>
      </c>
      <c r="N31" s="28">
        <v>33.757618799999996</v>
      </c>
      <c r="O31" s="28">
        <v>22.708525600000002</v>
      </c>
      <c r="P31" s="28">
        <v>20.051985999999999</v>
      </c>
      <c r="Q31" s="28">
        <v>17.677440000000001</v>
      </c>
      <c r="R31" s="27">
        <v>33.667000000000002</v>
      </c>
      <c r="S31" s="27">
        <v>17.807880000000001</v>
      </c>
    </row>
    <row r="32" spans="1:19" x14ac:dyDescent="0.35">
      <c r="A32" s="1" t="s">
        <v>117</v>
      </c>
      <c r="B32" s="1" t="s">
        <v>48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8">
        <v>0</v>
      </c>
      <c r="I32" s="28">
        <v>0</v>
      </c>
      <c r="J32" s="28">
        <v>4.0515999999999996</v>
      </c>
      <c r="K32" s="28">
        <v>0</v>
      </c>
      <c r="L32" s="28">
        <v>0</v>
      </c>
      <c r="M32" s="28">
        <v>0</v>
      </c>
      <c r="N32" s="28">
        <v>0.41814000000000001</v>
      </c>
      <c r="O32" s="28">
        <v>0</v>
      </c>
      <c r="P32" s="28">
        <v>2.1097399999999999</v>
      </c>
      <c r="Q32" s="28">
        <v>4.7824900000000001</v>
      </c>
      <c r="R32" s="27">
        <v>0.83120000000000005</v>
      </c>
      <c r="S32" s="27">
        <v>0.28965999999999997</v>
      </c>
    </row>
    <row r="33" spans="1:19" x14ac:dyDescent="0.35">
      <c r="A33" s="1" t="s">
        <v>117</v>
      </c>
      <c r="B33" s="1" t="s">
        <v>49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8">
        <v>0</v>
      </c>
      <c r="I33" s="28">
        <v>0</v>
      </c>
      <c r="J33" s="28">
        <v>0</v>
      </c>
      <c r="K33" s="28">
        <v>0</v>
      </c>
      <c r="L33" s="28">
        <v>62.789061600000004</v>
      </c>
      <c r="M33" s="28">
        <v>4.4598599999999999</v>
      </c>
      <c r="N33" s="28">
        <v>4.8638880000000002</v>
      </c>
      <c r="O33" s="28">
        <v>13.3427492</v>
      </c>
      <c r="P33" s="28">
        <v>3.4819200000000001</v>
      </c>
      <c r="Q33" s="28">
        <v>4.2638400000000001</v>
      </c>
      <c r="R33" s="27">
        <v>3.4819200000000001</v>
      </c>
      <c r="S33" s="27">
        <v>2.9016000000000002</v>
      </c>
    </row>
    <row r="34" spans="1:19" x14ac:dyDescent="0.35">
      <c r="A34" s="1" t="s">
        <v>117</v>
      </c>
      <c r="B34" s="1" t="s">
        <v>50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8">
        <v>0</v>
      </c>
      <c r="I34" s="28">
        <v>2.5520399999999999</v>
      </c>
      <c r="J34" s="28">
        <v>0</v>
      </c>
      <c r="K34" s="28">
        <v>2.26044</v>
      </c>
      <c r="L34" s="28">
        <v>0</v>
      </c>
      <c r="M34" s="28">
        <v>0</v>
      </c>
      <c r="N34" s="28">
        <v>2.8512</v>
      </c>
      <c r="O34" s="28">
        <v>0</v>
      </c>
      <c r="P34" s="28">
        <v>0</v>
      </c>
      <c r="Q34" s="28">
        <v>0</v>
      </c>
      <c r="R34" s="27">
        <v>0</v>
      </c>
      <c r="S34" s="27">
        <v>0</v>
      </c>
    </row>
    <row r="35" spans="1:19" x14ac:dyDescent="0.35">
      <c r="A35" s="1" t="s">
        <v>117</v>
      </c>
      <c r="B35" s="1" t="s">
        <v>51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8">
        <v>10.511649999999999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9.7113600000000009</v>
      </c>
      <c r="O35" s="28">
        <v>0</v>
      </c>
      <c r="P35" s="28">
        <v>0</v>
      </c>
      <c r="Q35" s="28">
        <v>5.7476000000000003</v>
      </c>
      <c r="R35" s="27">
        <v>0</v>
      </c>
      <c r="S35" s="27">
        <v>13.29693</v>
      </c>
    </row>
    <row r="36" spans="1:19" x14ac:dyDescent="0.35">
      <c r="A36" s="1" t="s">
        <v>117</v>
      </c>
      <c r="B36" s="1" t="s">
        <v>52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8">
        <v>3.8139400000000001</v>
      </c>
      <c r="I36" s="28">
        <v>8.7573699999999999</v>
      </c>
      <c r="J36" s="28">
        <v>8.8264600000000009</v>
      </c>
      <c r="K36" s="28">
        <v>4.9139999999999997</v>
      </c>
      <c r="L36" s="28">
        <v>4.5756899999999998</v>
      </c>
      <c r="M36" s="28">
        <v>8.0143775999999995</v>
      </c>
      <c r="N36" s="28">
        <v>5.9966999999999997</v>
      </c>
      <c r="O36" s="28">
        <v>3.51837</v>
      </c>
      <c r="P36" s="28">
        <v>8.5001940000000005</v>
      </c>
      <c r="Q36" s="28">
        <v>29.026700000000002</v>
      </c>
      <c r="R36" s="27">
        <v>0</v>
      </c>
      <c r="S36" s="27">
        <v>9.8998699999999999</v>
      </c>
    </row>
    <row r="37" spans="1:19" x14ac:dyDescent="0.35">
      <c r="A37" s="1" t="s">
        <v>117</v>
      </c>
      <c r="B37" s="1" t="s">
        <v>53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8">
        <v>0</v>
      </c>
      <c r="I37" s="28">
        <v>6.1636600000000001</v>
      </c>
      <c r="J37" s="28">
        <v>12.980399999999999</v>
      </c>
      <c r="K37" s="28">
        <v>16.536390000000001</v>
      </c>
      <c r="L37" s="28">
        <v>0</v>
      </c>
      <c r="M37" s="28">
        <v>6.6381100000000002</v>
      </c>
      <c r="N37" s="28">
        <v>0</v>
      </c>
      <c r="O37" s="28">
        <v>8.9379100000000005</v>
      </c>
      <c r="P37" s="28">
        <v>14.57657</v>
      </c>
      <c r="Q37" s="28">
        <v>0</v>
      </c>
      <c r="R37" s="27">
        <v>2.1663000000000001</v>
      </c>
      <c r="S37" s="27">
        <v>3.2596099999999999</v>
      </c>
    </row>
    <row r="38" spans="1:19" x14ac:dyDescent="0.35">
      <c r="A38" s="1" t="s">
        <v>117</v>
      </c>
      <c r="B38" s="1" t="s">
        <v>54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8">
        <v>49.170729999999999</v>
      </c>
      <c r="I38" s="28">
        <v>14.19384</v>
      </c>
      <c r="J38" s="28">
        <v>200.52327</v>
      </c>
      <c r="K38" s="28">
        <v>58.856059999999999</v>
      </c>
      <c r="L38" s="28">
        <v>0</v>
      </c>
      <c r="M38" s="28">
        <v>88.338500400000015</v>
      </c>
      <c r="N38" s="28">
        <v>61.250869399999992</v>
      </c>
      <c r="O38" s="28">
        <v>22.661966599999996</v>
      </c>
      <c r="P38" s="28">
        <v>3.2248899999999998</v>
      </c>
      <c r="Q38" s="28">
        <v>51.118139999999997</v>
      </c>
      <c r="R38" s="27">
        <v>36.971649999999997</v>
      </c>
      <c r="S38" s="27">
        <v>34.69603</v>
      </c>
    </row>
    <row r="39" spans="1:19" x14ac:dyDescent="0.35">
      <c r="A39" s="1" t="s">
        <v>117</v>
      </c>
      <c r="B39" s="1" t="s">
        <v>56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8">
        <v>7.25047</v>
      </c>
      <c r="I39" s="28">
        <v>24.774280000000001</v>
      </c>
      <c r="J39" s="28">
        <v>4.2960099999999999</v>
      </c>
      <c r="K39" s="28">
        <v>25.842759999999998</v>
      </c>
      <c r="L39" s="28">
        <v>0</v>
      </c>
      <c r="M39" s="28">
        <v>73.197680000000005</v>
      </c>
      <c r="N39" s="28">
        <v>26.721319999999999</v>
      </c>
      <c r="O39" s="28">
        <v>0</v>
      </c>
      <c r="P39" s="28">
        <v>24.716080000000002</v>
      </c>
      <c r="Q39" s="28">
        <v>33.237070000000003</v>
      </c>
      <c r="R39" s="27">
        <v>23.897359999999999</v>
      </c>
      <c r="S39" s="27">
        <v>27.330100000000002</v>
      </c>
    </row>
    <row r="40" spans="1:19" x14ac:dyDescent="0.35">
      <c r="A40" s="1" t="s">
        <v>117</v>
      </c>
      <c r="B40" s="1" t="s">
        <v>57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8">
        <v>5.508</v>
      </c>
      <c r="I40" s="28">
        <v>0</v>
      </c>
      <c r="J40" s="28">
        <v>0</v>
      </c>
      <c r="K40" s="28">
        <v>0</v>
      </c>
      <c r="L40" s="28">
        <v>0</v>
      </c>
      <c r="M40" s="28">
        <v>17.43892</v>
      </c>
      <c r="N40" s="28">
        <v>3.9712100000000001</v>
      </c>
      <c r="O40" s="28">
        <v>3.2669899999999998</v>
      </c>
      <c r="P40" s="28">
        <v>8.5124600000000008</v>
      </c>
      <c r="Q40" s="28">
        <v>12.50718</v>
      </c>
      <c r="R40" s="27">
        <v>0</v>
      </c>
      <c r="S40" s="27">
        <v>0</v>
      </c>
    </row>
    <row r="41" spans="1:19" x14ac:dyDescent="0.35">
      <c r="A41" s="1" t="s">
        <v>117</v>
      </c>
      <c r="B41" s="1" t="s">
        <v>58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8">
        <v>0</v>
      </c>
      <c r="I41" s="28">
        <v>0</v>
      </c>
      <c r="J41" s="28">
        <v>1.08</v>
      </c>
      <c r="K41" s="28">
        <v>10.69848</v>
      </c>
      <c r="L41" s="28">
        <v>5.0759999999999996</v>
      </c>
      <c r="M41" s="28">
        <v>0</v>
      </c>
      <c r="N41" s="28">
        <v>7.7829699999999997</v>
      </c>
      <c r="O41" s="28">
        <v>0</v>
      </c>
      <c r="P41" s="28">
        <v>0</v>
      </c>
      <c r="Q41" s="28">
        <v>15.050689999999999</v>
      </c>
      <c r="R41" s="27">
        <v>12.73213</v>
      </c>
      <c r="S41" s="27">
        <v>0</v>
      </c>
    </row>
    <row r="42" spans="1:19" x14ac:dyDescent="0.35">
      <c r="A42" s="1" t="s">
        <v>117</v>
      </c>
      <c r="B42" s="1" t="s">
        <v>59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1.34392</v>
      </c>
      <c r="P42" s="28">
        <v>0</v>
      </c>
      <c r="Q42" s="28">
        <v>2.1952600000000002</v>
      </c>
      <c r="R42" s="27">
        <v>0</v>
      </c>
      <c r="S42" s="27">
        <v>0</v>
      </c>
    </row>
    <row r="43" spans="1:19" x14ac:dyDescent="0.35">
      <c r="A43" s="1" t="s">
        <v>117</v>
      </c>
      <c r="B43" s="1" t="s">
        <v>62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8">
        <v>14.09244</v>
      </c>
      <c r="I43" s="28">
        <v>0</v>
      </c>
      <c r="J43" s="28">
        <v>0</v>
      </c>
      <c r="K43" s="28">
        <v>0</v>
      </c>
      <c r="L43" s="28">
        <v>0</v>
      </c>
      <c r="M43" s="28">
        <v>0.73182160000000007</v>
      </c>
      <c r="N43" s="28">
        <v>0</v>
      </c>
      <c r="O43" s="28">
        <v>0</v>
      </c>
      <c r="P43" s="28">
        <v>0</v>
      </c>
      <c r="Q43" s="28">
        <v>0</v>
      </c>
      <c r="R43" s="27">
        <v>0</v>
      </c>
      <c r="S43" s="27">
        <v>0</v>
      </c>
    </row>
    <row r="44" spans="1:19" x14ac:dyDescent="0.35">
      <c r="A44" s="1" t="s">
        <v>117</v>
      </c>
      <c r="B44" s="1" t="s">
        <v>63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3.024</v>
      </c>
      <c r="Q44" s="28">
        <v>0</v>
      </c>
      <c r="R44" s="27">
        <v>0</v>
      </c>
      <c r="S44" s="27">
        <v>0</v>
      </c>
    </row>
    <row r="45" spans="1:19" x14ac:dyDescent="0.35">
      <c r="A45" s="1" t="s">
        <v>117</v>
      </c>
      <c r="B45" s="1" t="s">
        <v>64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8">
        <v>0</v>
      </c>
      <c r="I45" s="28">
        <v>0</v>
      </c>
      <c r="J45" s="28">
        <v>4.7039</v>
      </c>
      <c r="K45" s="28">
        <v>0</v>
      </c>
      <c r="L45" s="28">
        <v>4.5017199999999997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7">
        <v>0</v>
      </c>
      <c r="S45" s="27">
        <v>0</v>
      </c>
    </row>
    <row r="46" spans="1:19" x14ac:dyDescent="0.35">
      <c r="A46" s="1" t="s">
        <v>117</v>
      </c>
      <c r="B46" s="1" t="s">
        <v>65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8">
        <v>0.34344000000000002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0.95579999999999998</v>
      </c>
      <c r="O46" s="28">
        <v>0</v>
      </c>
      <c r="P46" s="28">
        <v>0</v>
      </c>
      <c r="Q46" s="28">
        <v>0</v>
      </c>
      <c r="R46" s="27">
        <v>0</v>
      </c>
      <c r="S46" s="27">
        <v>0</v>
      </c>
    </row>
    <row r="47" spans="1:19" x14ac:dyDescent="0.35">
      <c r="A47" s="1" t="s">
        <v>117</v>
      </c>
      <c r="B47" s="1" t="s">
        <v>66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10.21471</v>
      </c>
      <c r="O47" s="28">
        <v>0.88273000000000001</v>
      </c>
      <c r="P47" s="28">
        <v>2.7977300000000001</v>
      </c>
      <c r="Q47" s="28">
        <v>0</v>
      </c>
      <c r="R47" s="27">
        <v>0</v>
      </c>
      <c r="S47" s="27">
        <v>0</v>
      </c>
    </row>
    <row r="48" spans="1:19" x14ac:dyDescent="0.35">
      <c r="A48" s="1" t="s">
        <v>117</v>
      </c>
      <c r="B48" s="1" t="s">
        <v>67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8.2835999999999999</v>
      </c>
      <c r="R48" s="27">
        <v>0</v>
      </c>
      <c r="S48" s="27">
        <v>0</v>
      </c>
    </row>
    <row r="49" spans="1:19" x14ac:dyDescent="0.35">
      <c r="A49" s="1" t="s">
        <v>117</v>
      </c>
      <c r="B49" s="1" t="s">
        <v>68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7">
        <v>0</v>
      </c>
      <c r="S49" s="27">
        <v>0</v>
      </c>
    </row>
    <row r="50" spans="1:19" x14ac:dyDescent="0.35">
      <c r="A50" s="1" t="s">
        <v>117</v>
      </c>
      <c r="B50" s="1" t="s">
        <v>70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7">
        <v>0</v>
      </c>
      <c r="S50" s="27">
        <v>0</v>
      </c>
    </row>
    <row r="51" spans="1:19" x14ac:dyDescent="0.35">
      <c r="A51" s="1" t="s">
        <v>117</v>
      </c>
      <c r="B51" s="1" t="s">
        <v>71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7">
        <v>0</v>
      </c>
      <c r="S51" s="27">
        <v>0</v>
      </c>
    </row>
    <row r="52" spans="1:19" x14ac:dyDescent="0.35">
      <c r="A52" s="1" t="s">
        <v>117</v>
      </c>
      <c r="B52" s="1" t="s">
        <v>73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7">
        <v>0</v>
      </c>
      <c r="S52" s="27">
        <v>0</v>
      </c>
    </row>
    <row r="53" spans="1:19" x14ac:dyDescent="0.35">
      <c r="A53" s="1" t="s">
        <v>117</v>
      </c>
      <c r="B53" s="1" t="s">
        <v>74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7">
        <v>0</v>
      </c>
      <c r="S53" s="27">
        <v>0</v>
      </c>
    </row>
    <row r="54" spans="1:19" x14ac:dyDescent="0.35">
      <c r="A54" s="1" t="s">
        <v>117</v>
      </c>
      <c r="B54" s="1" t="s">
        <v>75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7">
        <v>0</v>
      </c>
      <c r="S54" s="27">
        <v>0</v>
      </c>
    </row>
    <row r="55" spans="1:19" x14ac:dyDescent="0.35">
      <c r="A55" s="1" t="s">
        <v>117</v>
      </c>
      <c r="B55" s="1" t="s">
        <v>76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7">
        <v>0</v>
      </c>
      <c r="S55" s="27">
        <v>0</v>
      </c>
    </row>
    <row r="56" spans="1:19" x14ac:dyDescent="0.35">
      <c r="A56" s="1" t="s">
        <v>117</v>
      </c>
      <c r="B56" s="1" t="s">
        <v>77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1.01088</v>
      </c>
      <c r="N56" s="28">
        <v>0</v>
      </c>
      <c r="O56" s="28">
        <v>0</v>
      </c>
      <c r="P56" s="28">
        <v>0</v>
      </c>
      <c r="Q56" s="28">
        <v>0</v>
      </c>
      <c r="R56" s="27">
        <v>0</v>
      </c>
      <c r="S56" s="27">
        <v>0</v>
      </c>
    </row>
    <row r="57" spans="1:19" x14ac:dyDescent="0.35">
      <c r="A57" s="1" t="s">
        <v>117</v>
      </c>
      <c r="B57" s="1" t="s">
        <v>78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7">
        <v>0</v>
      </c>
      <c r="S57" s="27">
        <v>0</v>
      </c>
    </row>
    <row r="58" spans="1:19" x14ac:dyDescent="0.35">
      <c r="A58" s="1" t="s">
        <v>117</v>
      </c>
      <c r="B58" s="1" t="s">
        <v>79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7">
        <v>0</v>
      </c>
      <c r="S58" s="27">
        <v>0</v>
      </c>
    </row>
    <row r="59" spans="1:19" x14ac:dyDescent="0.35">
      <c r="A59" s="1" t="s">
        <v>117</v>
      </c>
      <c r="B59" s="1" t="s">
        <v>80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7">
        <v>0</v>
      </c>
      <c r="S59" s="27">
        <v>0</v>
      </c>
    </row>
    <row r="60" spans="1:19" x14ac:dyDescent="0.35">
      <c r="A60" s="1" t="s">
        <v>117</v>
      </c>
      <c r="B60" s="1" t="s">
        <v>81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7">
        <v>0</v>
      </c>
      <c r="S60" s="27">
        <v>0</v>
      </c>
    </row>
    <row r="61" spans="1:19" x14ac:dyDescent="0.35">
      <c r="A61" s="1" t="s">
        <v>117</v>
      </c>
      <c r="B61" s="1" t="s">
        <v>82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7">
        <v>0</v>
      </c>
      <c r="S61" s="27">
        <v>0</v>
      </c>
    </row>
    <row r="62" spans="1:19" x14ac:dyDescent="0.35">
      <c r="A62" s="1" t="s">
        <v>117</v>
      </c>
      <c r="B62" s="1" t="s">
        <v>83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7">
        <v>0</v>
      </c>
      <c r="S62" s="27">
        <v>0</v>
      </c>
    </row>
    <row r="63" spans="1:19" x14ac:dyDescent="0.35">
      <c r="A63" s="1" t="s">
        <v>117</v>
      </c>
      <c r="B63" s="1" t="s">
        <v>84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7">
        <v>0</v>
      </c>
      <c r="S63" s="27">
        <v>0</v>
      </c>
    </row>
    <row r="64" spans="1:19" x14ac:dyDescent="0.35">
      <c r="A64" s="1" t="s">
        <v>117</v>
      </c>
      <c r="B64" s="1" t="s">
        <v>85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7">
        <v>0</v>
      </c>
      <c r="S64" s="27">
        <v>0</v>
      </c>
    </row>
    <row r="65" spans="1:19" x14ac:dyDescent="0.35">
      <c r="A65" s="1" t="s">
        <v>117</v>
      </c>
      <c r="B65" s="1" t="s">
        <v>86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8">
        <v>0</v>
      </c>
      <c r="I65" s="28">
        <v>54.225569999999998</v>
      </c>
      <c r="J65" s="28">
        <v>0</v>
      </c>
      <c r="K65" s="28">
        <v>62.658940000000001</v>
      </c>
      <c r="L65" s="28">
        <v>56.165439999999997</v>
      </c>
      <c r="M65" s="28">
        <v>67.437110000000004</v>
      </c>
      <c r="N65" s="28">
        <v>68.166060000000002</v>
      </c>
      <c r="O65" s="28">
        <v>62.684139999999999</v>
      </c>
      <c r="P65" s="28">
        <v>96.046019999999999</v>
      </c>
      <c r="Q65" s="28">
        <v>27.919440000000002</v>
      </c>
      <c r="R65" s="27">
        <v>105.62439000000001</v>
      </c>
      <c r="S65" s="27">
        <v>92.850740000000002</v>
      </c>
    </row>
    <row r="66" spans="1:19" x14ac:dyDescent="0.35">
      <c r="A66" s="1" t="s">
        <v>117</v>
      </c>
      <c r="B66" s="1" t="s">
        <v>88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7">
        <v>0</v>
      </c>
      <c r="S66" s="27">
        <v>0</v>
      </c>
    </row>
    <row r="67" spans="1:19" x14ac:dyDescent="0.35">
      <c r="A67" s="1" t="s">
        <v>117</v>
      </c>
      <c r="B67" s="1" t="s">
        <v>91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8">
        <v>1.45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8.6362000000000005</v>
      </c>
      <c r="Q67" s="28">
        <v>17.330400000000001</v>
      </c>
      <c r="R67" s="27">
        <v>7.5229799999999996</v>
      </c>
      <c r="S67" s="27">
        <v>43.366599999999998</v>
      </c>
    </row>
    <row r="68" spans="1:19" x14ac:dyDescent="0.35">
      <c r="A68" s="1" t="s">
        <v>117</v>
      </c>
      <c r="B68" s="1" t="s">
        <v>93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1.08</v>
      </c>
      <c r="O68" s="28">
        <v>0.08</v>
      </c>
      <c r="P68" s="28">
        <v>0</v>
      </c>
      <c r="Q68" s="28">
        <v>6.6983199999999998</v>
      </c>
      <c r="R68" s="27">
        <v>3.6238800000000002</v>
      </c>
      <c r="S68" s="27">
        <v>3.48624</v>
      </c>
    </row>
    <row r="69" spans="1:19" x14ac:dyDescent="0.35">
      <c r="A69" s="1" t="s">
        <v>117</v>
      </c>
      <c r="B69" s="1" t="s">
        <v>94</v>
      </c>
      <c r="C69" s="1" t="e">
        <f>VLOOKUP(B69,Mapping!A:B,2,0)</f>
        <v>#N/A</v>
      </c>
      <c r="D69" s="1" t="e">
        <f>VLOOKUP(B69,Mapping!A:C,3,0)</f>
        <v>#N/A</v>
      </c>
      <c r="E69" s="1" t="e">
        <f>VLOOKUP(B69,Mapping!A:D,4,0)</f>
        <v>#N/A</v>
      </c>
      <c r="F69" s="1" t="e">
        <f>VLOOKUP(B69,Mapping!A:E,5,0)</f>
        <v>#N/A</v>
      </c>
      <c r="G69" s="1" t="e">
        <f>VLOOKUP(B69,Mapping!A:F,6,0)</f>
        <v>#N/A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7">
        <v>0</v>
      </c>
      <c r="S69" s="27">
        <v>0</v>
      </c>
    </row>
    <row r="70" spans="1:19" x14ac:dyDescent="0.35">
      <c r="A70" s="1" t="s">
        <v>117</v>
      </c>
      <c r="B70" s="1" t="s">
        <v>95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8">
        <v>0</v>
      </c>
      <c r="I70" s="28">
        <v>0</v>
      </c>
      <c r="J70" s="28">
        <v>10.26</v>
      </c>
      <c r="K70" s="28">
        <v>5.2963199999999997</v>
      </c>
      <c r="L70" s="28">
        <v>0</v>
      </c>
      <c r="M70" s="28">
        <v>0</v>
      </c>
      <c r="N70" s="28">
        <v>13.04124</v>
      </c>
      <c r="O70" s="28">
        <v>7.3824800000000002</v>
      </c>
      <c r="P70" s="28">
        <v>21.553329999999999</v>
      </c>
      <c r="Q70" s="28">
        <v>8.9255999999999993</v>
      </c>
      <c r="R70" s="27">
        <v>13.323090000000001</v>
      </c>
      <c r="S70" s="27">
        <v>17.368010000000002</v>
      </c>
    </row>
    <row r="71" spans="1:19" x14ac:dyDescent="0.35">
      <c r="A71" s="1" t="s">
        <v>117</v>
      </c>
      <c r="B71" s="1" t="s">
        <v>96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7">
        <v>0</v>
      </c>
      <c r="S71" s="27">
        <v>0</v>
      </c>
    </row>
    <row r="72" spans="1:19" x14ac:dyDescent="0.35">
      <c r="A72" s="1" t="s">
        <v>117</v>
      </c>
      <c r="B72" s="1" t="s">
        <v>97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8.91648</v>
      </c>
      <c r="N72" s="28">
        <v>4.9572000000000003</v>
      </c>
      <c r="O72" s="28">
        <v>0</v>
      </c>
      <c r="P72" s="28">
        <v>0</v>
      </c>
      <c r="Q72" s="28">
        <v>0</v>
      </c>
      <c r="R72" s="27">
        <v>0</v>
      </c>
      <c r="S72" s="27">
        <v>0</v>
      </c>
    </row>
    <row r="73" spans="1:19" x14ac:dyDescent="0.35">
      <c r="A73" s="1" t="s">
        <v>117</v>
      </c>
      <c r="B73" s="1" t="s">
        <v>99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8">
        <v>0</v>
      </c>
      <c r="I73" s="28">
        <v>0</v>
      </c>
      <c r="J73" s="28">
        <v>0</v>
      </c>
      <c r="K73" s="28">
        <v>5.0220000000000002</v>
      </c>
      <c r="L73" s="28">
        <v>1.8360000000000001</v>
      </c>
      <c r="M73" s="28">
        <v>0</v>
      </c>
      <c r="N73" s="28">
        <v>4.4684999999999997</v>
      </c>
      <c r="O73" s="28">
        <v>7.9785199999999996</v>
      </c>
      <c r="P73" s="28">
        <v>6.1425000000000001</v>
      </c>
      <c r="Q73" s="28">
        <v>0</v>
      </c>
      <c r="R73" s="27">
        <v>0</v>
      </c>
      <c r="S73" s="27">
        <v>0</v>
      </c>
    </row>
    <row r="74" spans="1:19" x14ac:dyDescent="0.35">
      <c r="A74" s="1" t="s">
        <v>117</v>
      </c>
      <c r="B74" s="1" t="s">
        <v>100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7">
        <v>0</v>
      </c>
      <c r="S74" s="27">
        <v>0</v>
      </c>
    </row>
    <row r="75" spans="1:19" x14ac:dyDescent="0.35">
      <c r="A75" s="1" t="s">
        <v>117</v>
      </c>
      <c r="B75" s="1" t="s">
        <v>101</v>
      </c>
      <c r="C75" s="1" t="e">
        <f>VLOOKUP(B75,Mapping!A:B,2,0)</f>
        <v>#N/A</v>
      </c>
      <c r="D75" s="1" t="e">
        <f>VLOOKUP(B75,Mapping!A:C,3,0)</f>
        <v>#N/A</v>
      </c>
      <c r="E75" s="1" t="e">
        <f>VLOOKUP(B75,Mapping!A:D,4,0)</f>
        <v>#N/A</v>
      </c>
      <c r="F75" s="1" t="e">
        <f>VLOOKUP(B75,Mapping!A:E,5,0)</f>
        <v>#N/A</v>
      </c>
      <c r="G75" s="1" t="e">
        <f>VLOOKUP(B75,Mapping!A:F,6,0)</f>
        <v>#N/A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7">
        <v>0</v>
      </c>
      <c r="S75" s="27">
        <v>0</v>
      </c>
    </row>
    <row r="76" spans="1:19" x14ac:dyDescent="0.35">
      <c r="A76" s="1" t="s">
        <v>117</v>
      </c>
      <c r="B76" s="1" t="s">
        <v>102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7">
        <v>0</v>
      </c>
      <c r="S76" s="27">
        <v>2.6287199999999999</v>
      </c>
    </row>
    <row r="77" spans="1:19" x14ac:dyDescent="0.35">
      <c r="A77" s="1" t="s">
        <v>117</v>
      </c>
      <c r="B77" s="1" t="s">
        <v>110</v>
      </c>
      <c r="C77" s="1" t="str">
        <f>VLOOKUP(B77,Mapping!A:B,2,0)</f>
        <v>Lateral</v>
      </c>
      <c r="D77" s="1" t="str">
        <f>VLOOKUP(B77,Mapping!A:C,3,0)</f>
        <v>North</v>
      </c>
      <c r="E77" s="1" t="str">
        <f>VLOOKUP(B77,Mapping!A:D,4,0)</f>
        <v>North</v>
      </c>
      <c r="F77" s="1" t="str">
        <f>VLOOKUP(B77,Mapping!A:E,5,0)</f>
        <v>Anjli</v>
      </c>
      <c r="G77" s="1" t="str">
        <f>VLOOKUP(B77,Mapping!A:F,6,0)</f>
        <v>Anjli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7">
        <v>0</v>
      </c>
      <c r="S77" s="27">
        <v>0</v>
      </c>
    </row>
    <row r="78" spans="1:19" x14ac:dyDescent="0.35">
      <c r="A78" s="1" t="s">
        <v>117</v>
      </c>
      <c r="B78" s="1" t="s">
        <v>111</v>
      </c>
      <c r="C78" s="1" t="str">
        <f>VLOOKUP(B78,Mapping!A:B,2,0)</f>
        <v>Lateral</v>
      </c>
      <c r="D78" s="1" t="str">
        <f>VLOOKUP(B78,Mapping!A:C,3,0)</f>
        <v>West</v>
      </c>
      <c r="E78" s="1" t="str">
        <f>VLOOKUP(B78,Mapping!A:D,4,0)</f>
        <v>West 1</v>
      </c>
      <c r="F78" s="1" t="str">
        <f>VLOOKUP(B78,Mapping!A:E,5,0)</f>
        <v>Anjli</v>
      </c>
      <c r="G78" s="1" t="str">
        <f>VLOOKUP(B78,Mapping!A:F,6,0)</f>
        <v>Anjli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7">
        <v>0</v>
      </c>
      <c r="S78" s="27">
        <v>0</v>
      </c>
    </row>
    <row r="79" spans="1:19" x14ac:dyDescent="0.35">
      <c r="A79" s="1" t="s">
        <v>117</v>
      </c>
      <c r="B79" s="1" t="s">
        <v>112</v>
      </c>
      <c r="C79" s="1" t="str">
        <f>VLOOKUP(B79,Mapping!A:B,2,0)</f>
        <v>Lateral</v>
      </c>
      <c r="D79" s="1" t="str">
        <f>VLOOKUP(B79,Mapping!A:C,3,0)</f>
        <v>West</v>
      </c>
      <c r="E79" s="1" t="str">
        <f>VLOOKUP(B79,Mapping!A:D,4,0)</f>
        <v>West 1</v>
      </c>
      <c r="F79" s="1" t="str">
        <f>VLOOKUP(B79,Mapping!A:E,5,0)</f>
        <v>Anjli</v>
      </c>
      <c r="G79" s="1" t="str">
        <f>VLOOKUP(B79,Mapping!A:F,6,0)</f>
        <v>Anjli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1.728</v>
      </c>
      <c r="N79" s="28">
        <v>0</v>
      </c>
      <c r="O79" s="28">
        <v>0</v>
      </c>
      <c r="P79" s="28">
        <v>0</v>
      </c>
      <c r="Q79" s="28">
        <v>0</v>
      </c>
      <c r="R79" s="27">
        <v>0</v>
      </c>
      <c r="S79" s="27">
        <v>0</v>
      </c>
    </row>
    <row r="80" spans="1:19" x14ac:dyDescent="0.3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</sheetData>
  <conditionalFormatting sqref="A1:B1 I1:S1 E1:G1">
    <cfRule type="duplicateValues" dxfId="14" priority="1"/>
  </conditionalFormatting>
  <conditionalFormatting sqref="B51:B73 B2:B41">
    <cfRule type="duplicateValues" dxfId="13" priority="12"/>
  </conditionalFormatting>
  <conditionalFormatting sqref="B74:B76 B42:B50">
    <cfRule type="duplicateValues" dxfId="12" priority="13"/>
  </conditionalFormatting>
  <conditionalFormatting sqref="B77:B79">
    <cfRule type="duplicateValues" dxfId="11" priority="5"/>
    <cfRule type="duplicateValues" dxfId="10" priority="6"/>
  </conditionalFormatting>
  <conditionalFormatting sqref="B80:D1048576 B2:B76">
    <cfRule type="duplicateValues" dxfId="9" priority="11"/>
  </conditionalFormatting>
  <conditionalFormatting sqref="H2:S83">
    <cfRule type="cellIs" dxfId="8" priority="10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9A9D-BEDD-41E9-9252-698DBD262CB1}">
  <sheetPr codeName="Sheet19">
    <tabColor rgb="FF92D050"/>
  </sheetPr>
  <dimension ref="A1:T81"/>
  <sheetViews>
    <sheetView tabSelected="1" workbookViewId="0"/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3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/>
      <c r="R2" s="17"/>
      <c r="S2" s="17"/>
      <c r="T2" s="4"/>
    </row>
    <row r="3" spans="1:20" x14ac:dyDescent="0.3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/>
      <c r="R3" s="17"/>
      <c r="S3" s="17"/>
      <c r="T3" s="4"/>
    </row>
    <row r="4" spans="1:20" x14ac:dyDescent="0.3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/>
      <c r="R4" s="17"/>
      <c r="S4" s="17"/>
      <c r="T4" s="4"/>
    </row>
    <row r="5" spans="1:20" x14ac:dyDescent="0.3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/>
      <c r="R5" s="17"/>
      <c r="S5" s="17"/>
      <c r="T5" s="4"/>
    </row>
    <row r="6" spans="1:20" x14ac:dyDescent="0.3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16.399974</v>
      </c>
      <c r="Q6" s="20"/>
      <c r="R6" s="17"/>
      <c r="S6" s="17"/>
      <c r="T6" s="4"/>
    </row>
    <row r="7" spans="1:20" x14ac:dyDescent="0.3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17"/>
      <c r="S7" s="17"/>
      <c r="T7" s="4"/>
    </row>
    <row r="8" spans="1:20" x14ac:dyDescent="0.3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/>
      <c r="R8" s="17"/>
      <c r="S8" s="17"/>
      <c r="T8" s="4"/>
    </row>
    <row r="9" spans="1:20" x14ac:dyDescent="0.3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17"/>
      <c r="S9" s="17"/>
      <c r="T9" s="4"/>
    </row>
    <row r="10" spans="1:20" x14ac:dyDescent="0.3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/>
      <c r="R10" s="17"/>
      <c r="S10" s="17"/>
      <c r="T10" s="4"/>
    </row>
    <row r="11" spans="1:20" x14ac:dyDescent="0.3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17"/>
      <c r="S11" s="17"/>
      <c r="T11" s="4"/>
    </row>
    <row r="12" spans="1:20" x14ac:dyDescent="0.3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/>
      <c r="R12" s="17"/>
      <c r="S12" s="17"/>
      <c r="T12" s="4"/>
    </row>
    <row r="13" spans="1:20" x14ac:dyDescent="0.3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17"/>
      <c r="S13" s="17"/>
      <c r="T13" s="4"/>
    </row>
    <row r="14" spans="1:20" x14ac:dyDescent="0.3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/>
      <c r="R14" s="17"/>
      <c r="S14" s="17"/>
      <c r="T14" s="4"/>
    </row>
    <row r="15" spans="1:20" x14ac:dyDescent="0.3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33.780669000000003</v>
      </c>
      <c r="Q15" s="20"/>
      <c r="R15" s="17"/>
      <c r="S15" s="17"/>
      <c r="T15" s="4"/>
    </row>
    <row r="16" spans="1:20" x14ac:dyDescent="0.3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/>
      <c r="R16" s="17"/>
      <c r="S16" s="17"/>
      <c r="T16" s="4"/>
    </row>
    <row r="17" spans="1:20" x14ac:dyDescent="0.3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17"/>
      <c r="S17" s="17"/>
      <c r="T17" s="4"/>
    </row>
    <row r="18" spans="1:20" x14ac:dyDescent="0.3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/>
      <c r="R18" s="17"/>
      <c r="S18" s="17"/>
      <c r="T18" s="4"/>
    </row>
    <row r="19" spans="1:20" x14ac:dyDescent="0.3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17"/>
      <c r="S19" s="17"/>
      <c r="T19" s="4"/>
    </row>
    <row r="20" spans="1:20" x14ac:dyDescent="0.3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/>
      <c r="R20" s="17"/>
      <c r="S20" s="17"/>
      <c r="T20" s="4"/>
    </row>
    <row r="21" spans="1:20" x14ac:dyDescent="0.3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6.9169239999999999</v>
      </c>
      <c r="Q21" s="20"/>
      <c r="R21" s="17"/>
      <c r="S21" s="17"/>
      <c r="T21" s="4"/>
    </row>
    <row r="22" spans="1:20" x14ac:dyDescent="0.3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4.9410379999999998</v>
      </c>
      <c r="Q22" s="20"/>
      <c r="R22" s="17"/>
      <c r="S22" s="17"/>
      <c r="T22" s="4"/>
    </row>
    <row r="23" spans="1:20" x14ac:dyDescent="0.3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10.444652</v>
      </c>
      <c r="Q23" s="20"/>
      <c r="R23" s="17"/>
      <c r="S23" s="17"/>
      <c r="T23" s="4"/>
    </row>
    <row r="24" spans="1:20" x14ac:dyDescent="0.3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/>
      <c r="R24" s="17"/>
      <c r="S24" s="17"/>
      <c r="T24" s="4"/>
    </row>
    <row r="25" spans="1:20" x14ac:dyDescent="0.3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17"/>
      <c r="S25" s="17"/>
      <c r="T25" s="4"/>
    </row>
    <row r="26" spans="1:20" x14ac:dyDescent="0.3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/>
      <c r="R26" s="17"/>
      <c r="S26" s="17"/>
      <c r="T26" s="4"/>
    </row>
    <row r="27" spans="1:20" x14ac:dyDescent="0.3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17"/>
      <c r="S27" s="17"/>
      <c r="T27" s="4"/>
    </row>
    <row r="28" spans="1:20" x14ac:dyDescent="0.3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7.1452400000000003</v>
      </c>
      <c r="Q28" s="20"/>
      <c r="R28" s="17"/>
      <c r="S28" s="17"/>
      <c r="T28" s="4"/>
    </row>
    <row r="29" spans="1:20" x14ac:dyDescent="0.3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17"/>
      <c r="S29" s="17"/>
      <c r="T29" s="4"/>
    </row>
    <row r="30" spans="1:20" x14ac:dyDescent="0.3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0.157884</v>
      </c>
      <c r="Q30" s="20"/>
      <c r="R30" s="17"/>
      <c r="S30" s="17"/>
      <c r="T30" s="4"/>
    </row>
    <row r="31" spans="1:20" x14ac:dyDescent="0.3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17"/>
      <c r="S31" s="17"/>
      <c r="T31" s="4"/>
    </row>
    <row r="32" spans="1:20" x14ac:dyDescent="0.3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/>
      <c r="R32" s="17"/>
      <c r="S32" s="17"/>
      <c r="T32" s="4"/>
    </row>
    <row r="33" spans="1:20" x14ac:dyDescent="0.3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17"/>
      <c r="S33" s="17"/>
      <c r="T33" s="4"/>
    </row>
    <row r="34" spans="1:20" x14ac:dyDescent="0.3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/>
      <c r="R34" s="17"/>
      <c r="S34" s="17"/>
      <c r="T34" s="4"/>
    </row>
    <row r="35" spans="1:20" x14ac:dyDescent="0.3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17"/>
      <c r="S35" s="17"/>
      <c r="T35" s="4"/>
    </row>
    <row r="36" spans="1:20" x14ac:dyDescent="0.3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/>
      <c r="R36" s="17"/>
      <c r="S36" s="17"/>
      <c r="T36" s="4"/>
    </row>
    <row r="37" spans="1:20" x14ac:dyDescent="0.3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17"/>
      <c r="S37" s="17"/>
      <c r="T37" s="4"/>
    </row>
    <row r="38" spans="1:20" x14ac:dyDescent="0.3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/>
      <c r="R38" s="17"/>
      <c r="S38" s="17"/>
      <c r="T38" s="4"/>
    </row>
    <row r="39" spans="1:20" x14ac:dyDescent="0.3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17"/>
      <c r="S39" s="17"/>
      <c r="T39" s="4"/>
    </row>
    <row r="40" spans="1:20" x14ac:dyDescent="0.3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/>
      <c r="R40" s="17"/>
      <c r="S40" s="17"/>
      <c r="T40" s="4"/>
    </row>
    <row r="41" spans="1:20" x14ac:dyDescent="0.3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1.2971889999999999</v>
      </c>
      <c r="Q41" s="20"/>
      <c r="R41" s="17"/>
      <c r="S41" s="17"/>
      <c r="T41" s="4"/>
    </row>
    <row r="42" spans="1:20" x14ac:dyDescent="0.3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0.347831</v>
      </c>
      <c r="Q42" s="20"/>
      <c r="R42" s="17"/>
      <c r="S42" s="17"/>
      <c r="T42" s="4"/>
    </row>
    <row r="43" spans="1:20" x14ac:dyDescent="0.3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17"/>
      <c r="S43" s="17"/>
      <c r="T43" s="4"/>
    </row>
    <row r="44" spans="1:20" x14ac:dyDescent="0.3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/>
      <c r="R44" s="17"/>
      <c r="S44" s="17"/>
      <c r="T44" s="4"/>
    </row>
    <row r="45" spans="1:20" x14ac:dyDescent="0.3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17"/>
      <c r="S45" s="17"/>
      <c r="T45" s="4"/>
    </row>
    <row r="46" spans="1:20" x14ac:dyDescent="0.3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0.70238800000000001</v>
      </c>
      <c r="Q46" s="20"/>
      <c r="R46" s="17"/>
      <c r="S46" s="17"/>
      <c r="T46" s="4"/>
    </row>
    <row r="47" spans="1:20" x14ac:dyDescent="0.3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17"/>
      <c r="S47" s="17"/>
      <c r="T47" s="4"/>
    </row>
    <row r="48" spans="1:20" x14ac:dyDescent="0.3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/>
      <c r="R48" s="17"/>
      <c r="S48" s="17"/>
      <c r="T48" s="4"/>
    </row>
    <row r="49" spans="1:20" x14ac:dyDescent="0.3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2.5518109999999998</v>
      </c>
      <c r="Q49" s="20"/>
      <c r="R49" s="17"/>
      <c r="S49" s="17"/>
      <c r="T49" s="4"/>
    </row>
    <row r="50" spans="1:20" x14ac:dyDescent="0.3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  <c r="R50" s="17"/>
      <c r="S50" s="17"/>
      <c r="T50" s="4"/>
    </row>
    <row r="51" spans="1:20" x14ac:dyDescent="0.3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17"/>
      <c r="S51" s="17"/>
      <c r="T51" s="4"/>
    </row>
    <row r="52" spans="1:20" x14ac:dyDescent="0.3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/>
      <c r="R52" s="17"/>
      <c r="S52" s="17"/>
      <c r="T52" s="4"/>
    </row>
    <row r="53" spans="1:20" x14ac:dyDescent="0.3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17"/>
      <c r="S53" s="17"/>
      <c r="T53" s="4"/>
    </row>
    <row r="54" spans="1:20" x14ac:dyDescent="0.3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  <c r="R54" s="17"/>
      <c r="S54" s="17"/>
      <c r="T54" s="4"/>
    </row>
    <row r="55" spans="1:20" x14ac:dyDescent="0.3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17"/>
      <c r="S55" s="17"/>
      <c r="T55" s="4"/>
    </row>
    <row r="56" spans="1:20" x14ac:dyDescent="0.3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/>
      <c r="R56" s="17"/>
      <c r="S56" s="17"/>
      <c r="T56" s="4"/>
    </row>
    <row r="57" spans="1:20" x14ac:dyDescent="0.3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17"/>
      <c r="S57" s="17"/>
      <c r="T57" s="4"/>
    </row>
    <row r="58" spans="1:20" x14ac:dyDescent="0.3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/>
      <c r="R58" s="17"/>
      <c r="S58" s="17"/>
      <c r="T58" s="4"/>
    </row>
    <row r="59" spans="1:20" x14ac:dyDescent="0.3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17"/>
      <c r="S59" s="17"/>
      <c r="T59" s="4"/>
    </row>
    <row r="60" spans="1:20" x14ac:dyDescent="0.3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/>
      <c r="R60" s="17"/>
      <c r="S60" s="17"/>
      <c r="T60" s="4"/>
    </row>
    <row r="61" spans="1:20" x14ac:dyDescent="0.3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17"/>
      <c r="S61" s="17"/>
      <c r="T61" s="4"/>
    </row>
    <row r="62" spans="1:20" x14ac:dyDescent="0.3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/>
      <c r="R62" s="17"/>
      <c r="S62" s="17"/>
      <c r="T62" s="4"/>
    </row>
    <row r="63" spans="1:20" x14ac:dyDescent="0.3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17"/>
      <c r="S63" s="17"/>
      <c r="T63" s="4"/>
    </row>
    <row r="64" spans="1:20" x14ac:dyDescent="0.3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/>
      <c r="R64" s="17"/>
      <c r="S64" s="17"/>
      <c r="T64" s="4"/>
    </row>
    <row r="65" spans="1:20" x14ac:dyDescent="0.3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17"/>
      <c r="S65" s="17"/>
      <c r="T65" s="4"/>
    </row>
    <row r="66" spans="1:20" x14ac:dyDescent="0.3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/>
      <c r="R66" s="17"/>
      <c r="S66" s="17"/>
      <c r="T66" s="4"/>
    </row>
    <row r="67" spans="1:20" x14ac:dyDescent="0.3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17"/>
      <c r="S67" s="17"/>
      <c r="T67" s="4"/>
    </row>
    <row r="68" spans="1:20" x14ac:dyDescent="0.3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/>
      <c r="R68" s="17"/>
      <c r="S68" s="17"/>
      <c r="T68" s="4"/>
    </row>
    <row r="69" spans="1:20" x14ac:dyDescent="0.35">
      <c r="A69" s="16" t="s">
        <v>117</v>
      </c>
      <c r="B69" s="15" t="s">
        <v>94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17"/>
      <c r="S69" s="17"/>
      <c r="T69" s="4"/>
    </row>
    <row r="70" spans="1:20" x14ac:dyDescent="0.3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/>
      <c r="R70" s="17"/>
      <c r="S70" s="17"/>
      <c r="T70" s="4"/>
    </row>
    <row r="71" spans="1:20" x14ac:dyDescent="0.3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/>
      <c r="R71" s="17"/>
      <c r="S71" s="17"/>
      <c r="T71" s="4"/>
    </row>
    <row r="72" spans="1:20" x14ac:dyDescent="0.3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/>
      <c r="R72" s="17"/>
      <c r="S72" s="17"/>
      <c r="T72" s="4"/>
    </row>
    <row r="73" spans="1:20" x14ac:dyDescent="0.3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/>
      <c r="R73" s="17"/>
      <c r="S73" s="17"/>
      <c r="T73" s="4"/>
    </row>
    <row r="74" spans="1:20" x14ac:dyDescent="0.3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/>
      <c r="R74" s="17"/>
      <c r="S74" s="17"/>
      <c r="T74" s="4"/>
    </row>
    <row r="75" spans="1:20" x14ac:dyDescent="0.35">
      <c r="A75" s="16" t="s">
        <v>117</v>
      </c>
      <c r="B75" s="15" t="s">
        <v>101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/>
      <c r="R75" s="17"/>
      <c r="S75" s="17"/>
      <c r="T75" s="4"/>
    </row>
    <row r="76" spans="1:20" x14ac:dyDescent="0.3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/>
      <c r="R76" s="17"/>
      <c r="S76" s="17"/>
      <c r="T76" s="4"/>
    </row>
    <row r="77" spans="1:20" x14ac:dyDescent="0.35">
      <c r="A77" s="16" t="s">
        <v>117</v>
      </c>
      <c r="B77" s="15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/>
      <c r="R77" s="16"/>
      <c r="S77" s="16"/>
    </row>
    <row r="78" spans="1:20" x14ac:dyDescent="0.35">
      <c r="A78" s="16" t="s">
        <v>117</v>
      </c>
      <c r="B78" s="15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/>
      <c r="R78" s="16"/>
      <c r="S78" s="16"/>
    </row>
    <row r="79" spans="1:20" x14ac:dyDescent="0.35">
      <c r="A79" s="16" t="s">
        <v>117</v>
      </c>
      <c r="B79" s="15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/>
      <c r="R79" s="16"/>
      <c r="S79" s="16"/>
    </row>
    <row r="80" spans="1:20" x14ac:dyDescent="0.3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6:16" x14ac:dyDescent="0.35">
      <c r="P81" s="2"/>
    </row>
  </sheetData>
  <conditionalFormatting sqref="A1:B1 I1:S1 E1:G1">
    <cfRule type="duplicateValues" dxfId="7" priority="1"/>
  </conditionalFormatting>
  <conditionalFormatting sqref="B51:B73 B2:B41">
    <cfRule type="duplicateValues" dxfId="6" priority="14"/>
  </conditionalFormatting>
  <conditionalFormatting sqref="B74:B76 B42:B50">
    <cfRule type="duplicateValues" dxfId="5" priority="15"/>
  </conditionalFormatting>
  <conditionalFormatting sqref="B77:B79">
    <cfRule type="duplicateValues" dxfId="4" priority="7"/>
    <cfRule type="duplicateValues" dxfId="3" priority="8"/>
  </conditionalFormatting>
  <conditionalFormatting sqref="B80:D1048576 B2:B76">
    <cfRule type="duplicateValues" dxfId="2" priority="13"/>
  </conditionalFormatting>
  <conditionalFormatting sqref="B80:D1048576 B2:B79">
    <cfRule type="duplicateValues" dxfId="1" priority="4"/>
  </conditionalFormatting>
  <conditionalFormatting sqref="H2:S81">
    <cfRule type="cellIs" dxfId="0" priority="1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Revenue_Budget</vt:lpstr>
      <vt:lpstr>CM_Budget</vt:lpstr>
      <vt:lpstr>Target Rev Productivity</vt:lpstr>
      <vt:lpstr>Rev_Forecast</vt:lpstr>
      <vt:lpstr>CM_Forecast</vt:lpstr>
      <vt:lpstr>Mapping</vt:lpstr>
      <vt:lpstr>Revenue_Actual</vt:lpstr>
      <vt:lpstr>CM Actual</vt:lpstr>
      <vt:lpstr>Rev_Productivity_Actual</vt:lpstr>
      <vt:lpstr>Taggd_Source_Joiner</vt:lpstr>
      <vt:lpstr>Non Taggd_Source_Joiner</vt:lpstr>
      <vt:lpstr>Revenue_Adjustment</vt:lpstr>
      <vt:lpstr>Headcount_Overall</vt:lpstr>
      <vt:lpstr>Headcount_WL1</vt:lpstr>
      <vt:lpstr>Headcount_Approved</vt:lpstr>
      <vt:lpstr>PPC_Actual</vt:lpstr>
      <vt:lpstr>Unbilled</vt:lpstr>
      <vt:lpstr>Target_Collection</vt:lpstr>
      <vt:lpstr>Actual_Collection</vt:lpstr>
      <vt:lpstr>Bad Debt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 Kumar</dc:creator>
  <cp:keywords/>
  <dc:description/>
  <cp:lastModifiedBy>Baljeet Singh</cp:lastModifiedBy>
  <cp:revision/>
  <cp:lastPrinted>2026-04-22T12:16:11Z</cp:lastPrinted>
  <dcterms:created xsi:type="dcterms:W3CDTF">2015-06-05T18:17:20Z</dcterms:created>
  <dcterms:modified xsi:type="dcterms:W3CDTF">2026-04-23T10:02:13Z</dcterms:modified>
  <cp:category/>
  <cp:contentStatus/>
</cp:coreProperties>
</file>