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emplates/"/>
    </mc:Choice>
  </mc:AlternateContent>
  <xr:revisionPtr revIDLastSave="104" documentId="8_{10E04FFA-45F2-4D6D-9BA9-85EB67792501}" xr6:coauthVersionLast="47" xr6:coauthVersionMax="47" xr10:uidLastSave="{46B9201B-E236-4D18-9E18-3E5EB47951B5}"/>
  <bookViews>
    <workbookView xWindow="-110" yWindow="-110" windowWidth="19420" windowHeight="11500" tabRatio="500" activeTab="1" xr2:uid="{00000000-000D-0000-FFFF-FFFF00000000}"/>
  </bookViews>
  <sheets>
    <sheet name="Dashboard" sheetId="2" r:id="rId1"/>
    <sheet name="Job Board Tracker" sheetId="1" r:id="rId2"/>
    <sheet name="Notes &amp; Assumptions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K16" i="1"/>
  <c r="A5" i="2" s="1"/>
  <c r="E16" i="1"/>
  <c r="K5" i="2" s="1"/>
  <c r="C16" i="1"/>
  <c r="H5" i="2" s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<sst xmlns="http://schemas.openxmlformats.org/spreadsheetml/2006/main" count="160" uniqueCount="124">
  <si>
    <t>📊  JOB BOARD INVESTMENT DASHBOARD — TAGGD</t>
  </si>
  <si>
    <t>FY 2025-26  |  Total Vendor Spend &amp; Utilisation Summary</t>
  </si>
  <si>
    <t>Total Investment</t>
  </si>
  <si>
    <t>Total Vendors</t>
  </si>
  <si>
    <t>Total Login IDs</t>
  </si>
  <si>
    <t>Total Job Postings</t>
  </si>
  <si>
    <t>VENDOR-WISE COST BREAKDOWN</t>
  </si>
  <si>
    <t>Vendor</t>
  </si>
  <si>
    <t>Login IDs</t>
  </si>
  <si>
    <t>Job Postings</t>
  </si>
  <si>
    <t>Cost (INR)</t>
  </si>
  <si>
    <t>% of Total</t>
  </si>
  <si>
    <t>Period</t>
  </si>
  <si>
    <t>LinkedIn</t>
  </si>
  <si>
    <t>Apr 25 – Apr 26</t>
  </si>
  <si>
    <t>Shine</t>
  </si>
  <si>
    <t>Feb 25 – Mar 26</t>
  </si>
  <si>
    <t>ApnaJobs</t>
  </si>
  <si>
    <t>FoundIT (Monster)</t>
  </si>
  <si>
    <t>May 25 – May 26</t>
  </si>
  <si>
    <t>Naukri – Taggd</t>
  </si>
  <si>
    <t>Mar 25 – Feb 26</t>
  </si>
  <si>
    <t>Naukri – HPE</t>
  </si>
  <si>
    <t>Nov 25 – Nov 26</t>
  </si>
  <si>
    <t>Naukri – Honeywell</t>
  </si>
  <si>
    <t>HR GURU (Alternate Sourcing)</t>
  </si>
  <si>
    <t>Mar 26 – Mar 27</t>
  </si>
  <si>
    <t>GRAND TOTAL</t>
  </si>
  <si>
    <t>JOB BOARD / VENDOR LICENSE TRACKER — TAGGD</t>
  </si>
  <si>
    <t>FY 2025-26 | Recruitment Technology &amp; Sourcing Investments</t>
  </si>
  <si>
    <t>#</t>
  </si>
  <si>
    <t>Job Board / Vendor</t>
  </si>
  <si>
    <t>Resume Inventory</t>
  </si>
  <si>
    <t>Naukri Invites</t>
  </si>
  <si>
    <t>Start Date</t>
  </si>
  <si>
    <t>End Date</t>
  </si>
  <si>
    <t>Contract Duration
(Months)</t>
  </si>
  <si>
    <t>Cost (INR ₹)</t>
  </si>
  <si>
    <t>Remarks</t>
  </si>
  <si>
    <t>—</t>
  </si>
  <si>
    <t>05-Apr-25</t>
  </si>
  <si>
    <t>04-Apr-26</t>
  </si>
  <si>
    <t>01-Feb-25</t>
  </si>
  <si>
    <t>31-Mar-26</t>
  </si>
  <si>
    <t>Unlimited</t>
  </si>
  <si>
    <t>02-May-25</t>
  </si>
  <si>
    <t>01-May-26</t>
  </si>
  <si>
    <t>Naukri – Taggd (Main)</t>
  </si>
  <si>
    <t>01-Mar-25</t>
  </si>
  <si>
    <t>28-Feb-26</t>
  </si>
  <si>
    <t>Primary ATS License</t>
  </si>
  <si>
    <t>10-Nov-25</t>
  </si>
  <si>
    <t>09-Nov-26</t>
  </si>
  <si>
    <t>Client-specific</t>
  </si>
  <si>
    <t>06-Nov-25</t>
  </si>
  <si>
    <t>05-Nov-26</t>
  </si>
  <si>
    <t>02-Mar-26</t>
  </si>
  <si>
    <t>01-Mar-27</t>
  </si>
  <si>
    <t>Alternate sourcing partner</t>
  </si>
  <si>
    <t>TOTAL / SUMMARY</t>
  </si>
  <si>
    <t>COLOR LEGEND</t>
  </si>
  <si>
    <t>Blue text</t>
  </si>
  <si>
    <t>Hardcoded input values (editable)</t>
  </si>
  <si>
    <t>Grey italic</t>
  </si>
  <si>
    <t>Unlimited / not applicable</t>
  </si>
  <si>
    <t>Bold vendor name</t>
  </si>
  <si>
    <t>Active subscription</t>
  </si>
  <si>
    <t xml:space="preserve">Utilization to be added </t>
  </si>
  <si>
    <t>NOTES &amp; ASSUMPTIONS</t>
  </si>
  <si>
    <t>1</t>
  </si>
  <si>
    <t>All costs are inclusive of GST unless separately indicated.</t>
  </si>
  <si>
    <t>2</t>
  </si>
  <si>
    <t>Resume Inventory = total CV database access granted under the license.</t>
  </si>
  <si>
    <t>3</t>
  </si>
  <si>
    <t>Naukri Invites = direct candidate outreach credits allocated per license.</t>
  </si>
  <si>
    <t>4</t>
  </si>
  <si>
    <t>Contract Duration is auto-calculated from Start &amp; End Dates.</t>
  </si>
  <si>
    <t>5</t>
  </si>
  <si>
    <t>FoundIT (Monster) provides Unlimited resume access — entered as text.</t>
  </si>
  <si>
    <t>6</t>
  </si>
  <si>
    <t>Naukri – Taggd is the primary ATS/sourcing license across all clients.</t>
  </si>
  <si>
    <t>7</t>
  </si>
  <si>
    <t>Naukri – HPE and Honeywell are client-funded / pass-through licenses.</t>
  </si>
  <si>
    <t>8</t>
  </si>
  <si>
    <t>HR GURU contract begins Mar 2026 — alternate/backup sourcing partner.</t>
  </si>
  <si>
    <t>9</t>
  </si>
  <si>
    <t>Blue text in tracker sheet = input fields (edit as required).</t>
  </si>
  <si>
    <t>Primary Person Email ID</t>
  </si>
  <si>
    <t>Primary Person Name</t>
  </si>
  <si>
    <t>Secondary Person Name</t>
  </si>
  <si>
    <t>Secondary Person Email ID</t>
  </si>
  <si>
    <t>Primary Person Contact Number</t>
  </si>
  <si>
    <t>Secondary Person Contact Number</t>
  </si>
  <si>
    <t>Utilization</t>
  </si>
  <si>
    <t>* Mandatory Fieled</t>
  </si>
  <si>
    <t>DD-MM-YYYY</t>
  </si>
  <si>
    <t>* Non Manadatory</t>
  </si>
  <si>
    <t>Deepika Sharma</t>
  </si>
  <si>
    <t>desharma@linkedin.com</t>
  </si>
  <si>
    <t>Sanchi Kawatra</t>
  </si>
  <si>
    <t>skawatra@linkedin.com</t>
  </si>
  <si>
    <t>Sanchi is reporting to Deepika</t>
  </si>
  <si>
    <t>Deepak Sachan</t>
  </si>
  <si>
    <t>deepak.sachan@shine.com</t>
  </si>
  <si>
    <t>Himanshi Rautella</t>
  </si>
  <si>
    <t>himanshi.rautella@shine.com</t>
  </si>
  <si>
    <t>Himanshi is Ops SPOC, Deepak Sales SPOC</t>
  </si>
  <si>
    <t>Saurabh Lakra</t>
  </si>
  <si>
    <t>saurabh.lakra@foundit.ai</t>
  </si>
  <si>
    <t>Bhakti Khubnani</t>
  </si>
  <si>
    <t>bhakti.khubnani@foundit.ai</t>
  </si>
  <si>
    <t>Bhakti Ops spoc, Saurabh - Sales SPOC</t>
  </si>
  <si>
    <t>Gautam Soni</t>
  </si>
  <si>
    <t>gautam@naukri.com</t>
  </si>
  <si>
    <t>VATS Dubey</t>
  </si>
  <si>
    <t>vats.dubey@naukri.com</t>
  </si>
  <si>
    <t>Mandeep Kumar G</t>
  </si>
  <si>
    <t>mandeep.g@naukri.com</t>
  </si>
  <si>
    <t>Annette Edakulathur</t>
  </si>
  <si>
    <t>Pramod KV</t>
  </si>
  <si>
    <t>pramod.kv@naukri.com</t>
  </si>
  <si>
    <t>annette.edakulathur@naukri.com</t>
  </si>
  <si>
    <t>Surinder Singh</t>
  </si>
  <si>
    <t>surinder.pruthi@hrguru.co.in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</si>
</sst>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10"/>
      <color rgb="FF7F7F7F"/>
      <name val="Arial"/>
      <family val="2"/>
    </font>
    <font>
      <sz val="10"/>
      <color rgb="FFAAAAAA"/>
      <name val="Arial"/>
      <family val="2"/>
    </font>
    <font>
      <sz val="10"/>
      <color rgb="FF595959"/>
      <name val="Arial"/>
      <family val="2"/>
    </font>
    <font>
      <b/>
      <sz val="10"/>
      <color rgb="FFF4B942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color rgb="FFFFFFFF"/>
      <name val="Arial"/>
      <family val="2"/>
    </font>
    <font>
      <b/>
      <sz val="20"/>
      <color rgb="FFF4B942"/>
      <name val="Arial"/>
      <family val="2"/>
    </font>
    <font>
      <b/>
      <sz val="20"/>
      <color rgb="FFFFFFFF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1F6B75"/>
        <bgColor rgb="FF0D7377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4057"/>
        <bgColor rgb="FF1F3864"/>
      </patternFill>
    </fill>
    <fill>
      <patternFill patternType="solid">
        <fgColor rgb="FF0D7377"/>
        <bgColor rgb="FF1F6B7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  <xf numFmtId="0" fontId="0" fillId="2" borderId="1" xfId="0" applyFill="1" applyBorder="1"/>
    <xf numFmtId="164" fontId="10" fillId="2" borderId="1" xfId="0" applyNumberFormat="1" applyFont="1" applyFill="1" applyBorder="1" applyAlignment="1">
      <alignment horizontal="right" vertical="center"/>
    </xf>
    <xf numFmtId="0" fontId="12" fillId="0" borderId="0" xfId="0" applyFont="1"/>
    <xf numFmtId="0" fontId="3" fillId="2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3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right" vertical="center"/>
    </xf>
    <xf numFmtId="0" fontId="9" fillId="4" borderId="3" xfId="0" applyFont="1" applyFill="1" applyBorder="1" applyAlignment="1">
      <alignment horizontal="left" vertical="center" indent="1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right" vertical="center"/>
    </xf>
    <xf numFmtId="0" fontId="9" fillId="5" borderId="3" xfId="0" applyFont="1" applyFill="1" applyBorder="1" applyAlignment="1">
      <alignment horizontal="left" vertical="center" indent="1"/>
    </xf>
    <xf numFmtId="0" fontId="7" fillId="5" borderId="3" xfId="0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/>
    <xf numFmtId="164" fontId="10" fillId="2" borderId="3" xfId="0" applyNumberFormat="1" applyFont="1" applyFill="1" applyBorder="1" applyAlignment="1">
      <alignment horizontal="right" vertical="center"/>
    </xf>
    <xf numFmtId="0" fontId="13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center" vertical="center"/>
    </xf>
    <xf numFmtId="3" fontId="16" fillId="6" borderId="0" xfId="0" applyNumberFormat="1" applyFont="1" applyFill="1" applyAlignment="1">
      <alignment horizontal="center" vertical="center"/>
    </xf>
    <xf numFmtId="3" fontId="16" fillId="7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1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6" fillId="4" borderId="3" xfId="0" applyNumberFormat="1" applyFont="1" applyFill="1" applyBorder="1" applyAlignment="1">
      <alignment horizontal="right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6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D7377"/>
      <rgbColor rgb="FFCCCCCC"/>
      <rgbColor rgb="FF7F7F7F"/>
      <rgbColor rgb="FF93A9CE"/>
      <rgbColor rgb="FFAB4744"/>
      <rgbColor rgb="FFF9F9F9"/>
      <rgbColor rgb="FFF2F2F2"/>
      <rgbColor rgb="FF660066"/>
      <rgbColor rgb="FFDC853E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1F6B75"/>
      <rgbColor rgb="FF0000FF"/>
      <rgbColor rgb="FF00CCFF"/>
      <rgbColor rgb="FFCCFFFF"/>
      <rgbColor rgb="FFCCFFCC"/>
      <rgbColor rgb="FFFFFF99"/>
      <rgbColor rgb="FF99CCFF"/>
      <rgbColor rgb="FFD09493"/>
      <rgbColor rgb="FFAAAAAA"/>
      <rgbColor rgb="FFFFCC99"/>
      <rgbColor rgb="FF4672A8"/>
      <rgbColor rgb="FF33CCCC"/>
      <rgbColor rgb="FF99CC00"/>
      <rgbColor rgb="FFF4B942"/>
      <rgbColor rgb="FFFF9900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993366"/>
      <rgbColor rgb="FF59595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Cost by Vendor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Dashboard!$D$10</c:f>
              <c:strCache>
                <c:ptCount val="1"/>
                <c:pt idx="0">
                  <c:v>Cost (INR)</c:v>
                </c:pt>
              </c:strCache>
            </c:strRef>
          </c:tx>
          <c:spPr>
            <a:solidFill>
              <a:srgbClr val="1F6B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Dashboard!$A$11:$A$18</c:f>
              <c:strCache>
                <c:ptCount val="8"/>
                <c:pt idx="0">
                  <c:v>LinkedIn</c:v>
                </c:pt>
                <c:pt idx="1">
                  <c:v>Shine</c:v>
                </c:pt>
                <c:pt idx="2">
                  <c:v>ApnaJobs</c:v>
                </c:pt>
                <c:pt idx="3">
                  <c:v>FoundIT (Monster)</c:v>
                </c:pt>
                <c:pt idx="4">
                  <c:v>Naukri – Taggd</c:v>
                </c:pt>
                <c:pt idx="5">
                  <c:v>Naukri – HPE</c:v>
                </c:pt>
                <c:pt idx="6">
                  <c:v>Naukri – Honeywell</c:v>
                </c:pt>
                <c:pt idx="7">
                  <c:v>HR GURU (Alternate Sourcing)</c:v>
                </c:pt>
              </c:strCache>
            </c:strRef>
          </c:cat>
          <c:val>
            <c:numRef>
              <c:f>Dashboard!$D$11:$D$18</c:f>
              <c:numCache>
                <c:formatCode>\₹#,##0</c:formatCode>
                <c:ptCount val="8"/>
                <c:pt idx="0">
                  <c:v>49150120</c:v>
                </c:pt>
                <c:pt idx="1">
                  <c:v>40000000</c:v>
                </c:pt>
                <c:pt idx="2">
                  <c:v>7500000</c:v>
                </c:pt>
                <c:pt idx="3">
                  <c:v>20254500</c:v>
                </c:pt>
                <c:pt idx="4">
                  <c:v>35000000</c:v>
                </c:pt>
                <c:pt idx="5">
                  <c:v>4066000</c:v>
                </c:pt>
                <c:pt idx="6">
                  <c:v>2600100</c:v>
                </c:pt>
                <c:pt idx="7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C-456D-9D03-BB8E28A3F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68827"/>
        <c:axId val="60180095"/>
      </c:barChart>
      <c:catAx>
        <c:axId val="376688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Vendor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180095"/>
        <c:crosses val="autoZero"/>
        <c:auto val="1"/>
        <c:lblAlgn val="ctr"/>
        <c:lblOffset val="100"/>
        <c:noMultiLvlLbl val="0"/>
      </c:catAx>
      <c:valAx>
        <c:axId val="60180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Cost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6688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Dashboard!$D$10</c:f>
              <c:strCache>
                <c:ptCount val="1"/>
                <c:pt idx="0">
                  <c:v>Cost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F6A-4CFC-8FE6-705F92219ED1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F6A-4CFC-8FE6-705F92219ED1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F6A-4CFC-8FE6-705F92219ED1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F6A-4CFC-8FE6-705F92219ED1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FF6A-4CFC-8FE6-705F92219ED1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FF6A-4CFC-8FE6-705F92219ED1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FF6A-4CFC-8FE6-705F92219ED1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FF6A-4CFC-8FE6-705F92219ED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6A-4CFC-8FE6-705F92219ED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6A-4CFC-8FE6-705F92219ED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6A-4CFC-8FE6-705F92219ED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6A-4CFC-8FE6-705F92219ED1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6A-4CFC-8FE6-705F92219ED1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6A-4CFC-8FE6-705F92219ED1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6A-4CFC-8FE6-705F92219ED1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6A-4CFC-8FE6-705F92219E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Dashboard!$A$11:$A$18</c:f>
              <c:strCache>
                <c:ptCount val="8"/>
                <c:pt idx="0">
                  <c:v>LinkedIn</c:v>
                </c:pt>
                <c:pt idx="1">
                  <c:v>Shine</c:v>
                </c:pt>
                <c:pt idx="2">
                  <c:v>ApnaJobs</c:v>
                </c:pt>
                <c:pt idx="3">
                  <c:v>FoundIT (Monster)</c:v>
                </c:pt>
                <c:pt idx="4">
                  <c:v>Naukri – Taggd</c:v>
                </c:pt>
                <c:pt idx="5">
                  <c:v>Naukri – HPE</c:v>
                </c:pt>
                <c:pt idx="6">
                  <c:v>Naukri – Honeywell</c:v>
                </c:pt>
                <c:pt idx="7">
                  <c:v>HR GURU (Alternate Sourcing)</c:v>
                </c:pt>
              </c:strCache>
            </c:strRef>
          </c:cat>
          <c:val>
            <c:numRef>
              <c:f>Dashboard!$D$11:$D$18</c:f>
              <c:numCache>
                <c:formatCode>\₹#,##0</c:formatCode>
                <c:ptCount val="8"/>
                <c:pt idx="0">
                  <c:v>49150120</c:v>
                </c:pt>
                <c:pt idx="1">
                  <c:v>40000000</c:v>
                </c:pt>
                <c:pt idx="2">
                  <c:v>7500000</c:v>
                </c:pt>
                <c:pt idx="3">
                  <c:v>20254500</c:v>
                </c:pt>
                <c:pt idx="4">
                  <c:v>35000000</c:v>
                </c:pt>
                <c:pt idx="5">
                  <c:v>4066000</c:v>
                </c:pt>
                <c:pt idx="6">
                  <c:v>2600100</c:v>
                </c:pt>
                <c:pt idx="7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F6A-4CFC-8FE6-705F92219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18</xdr:col>
      <xdr:colOff>473040</xdr:colOff>
      <xdr:row>30</xdr:row>
      <xdr:rowOff>162720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16</xdr:col>
      <xdr:colOff>255960</xdr:colOff>
      <xdr:row>55</xdr:row>
      <xdr:rowOff>86760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942"/>
  </sheetPr>
  <dimension ref="A1:L19"/>
  <sheetViews>
    <sheetView showGridLines="0" zoomScale="80" zoomScaleNormal="80" workbookViewId="0">
      <selection activeCell="D11" sqref="D11"/>
    </sheetView>
  </sheetViews>
  <sheetFormatPr defaultColWidth="8.54296875" defaultRowHeight="14.5" x14ac:dyDescent="0.35"/>
  <cols>
    <col min="1" max="1" width="30" customWidth="1"/>
    <col min="2" max="2" width="12" customWidth="1"/>
    <col min="3" max="3" width="14" customWidth="1"/>
    <col min="4" max="4" width="20" customWidth="1"/>
    <col min="5" max="5" width="12" customWidth="1"/>
    <col min="6" max="6" width="22" customWidth="1"/>
    <col min="7" max="7" width="3" customWidth="1"/>
  </cols>
  <sheetData>
    <row r="1" spans="1:12" ht="39.75" customHeight="1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18" customHeight="1" x14ac:dyDescent="0.35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7.5" customHeight="1" x14ac:dyDescent="0.35"/>
    <row r="4" spans="1:12" ht="27.75" customHeight="1" x14ac:dyDescent="0.35">
      <c r="A4" s="54" t="s">
        <v>2</v>
      </c>
      <c r="B4" s="54"/>
      <c r="C4" s="54"/>
      <c r="D4" s="54"/>
      <c r="E4" s="55" t="s">
        <v>3</v>
      </c>
      <c r="F4" s="55"/>
      <c r="G4" s="55"/>
      <c r="H4" s="56" t="s">
        <v>4</v>
      </c>
      <c r="I4" s="56"/>
      <c r="J4" s="56"/>
      <c r="K4" s="57" t="s">
        <v>5</v>
      </c>
      <c r="L4" s="57"/>
    </row>
    <row r="5" spans="1:12" ht="36" customHeight="1" x14ac:dyDescent="0.35">
      <c r="A5" s="45">
        <f>'Job Board Tracker'!K16</f>
        <v>159570720</v>
      </c>
      <c r="B5" s="45"/>
      <c r="C5" s="45"/>
      <c r="D5" s="45"/>
      <c r="E5" s="46">
        <f>COUNTA('Job Board Tracker'!B4:B11)</f>
        <v>8</v>
      </c>
      <c r="F5" s="46"/>
      <c r="G5" s="46"/>
      <c r="H5" s="47">
        <f>'Job Board Tracker'!C16</f>
        <v>337</v>
      </c>
      <c r="I5" s="47"/>
      <c r="J5" s="47"/>
      <c r="K5" s="48">
        <f>'Job Board Tracker'!E16</f>
        <v>4230</v>
      </c>
      <c r="L5" s="48"/>
    </row>
    <row r="6" spans="1:12" ht="21.75" customHeight="1" x14ac:dyDescent="0.35">
      <c r="A6" s="49"/>
      <c r="B6" s="49"/>
      <c r="C6" s="49"/>
      <c r="D6" s="49"/>
      <c r="E6" s="50"/>
      <c r="F6" s="50"/>
      <c r="G6" s="50"/>
      <c r="H6" s="51"/>
      <c r="I6" s="51"/>
      <c r="J6" s="51"/>
      <c r="K6" s="52"/>
      <c r="L6" s="52"/>
    </row>
    <row r="7" spans="1:12" ht="9.75" customHeight="1" x14ac:dyDescent="0.35"/>
    <row r="9" spans="1:12" ht="21.75" customHeight="1" x14ac:dyDescent="0.35">
      <c r="A9" s="43" t="s">
        <v>6</v>
      </c>
      <c r="B9" s="43"/>
      <c r="C9" s="43"/>
      <c r="D9" s="43"/>
      <c r="E9" s="43"/>
      <c r="F9" s="43"/>
    </row>
    <row r="10" spans="1:12" ht="19.5" customHeight="1" x14ac:dyDescent="0.35">
      <c r="A10" s="6" t="s">
        <v>7</v>
      </c>
      <c r="B10" s="6" t="s">
        <v>8</v>
      </c>
      <c r="C10" s="6" t="s">
        <v>9</v>
      </c>
      <c r="D10" s="6" t="s">
        <v>10</v>
      </c>
      <c r="E10" s="6" t="s">
        <v>11</v>
      </c>
      <c r="F10" s="6" t="s">
        <v>12</v>
      </c>
    </row>
    <row r="11" spans="1:12" ht="19.5" customHeight="1" x14ac:dyDescent="0.35">
      <c r="A11" s="1" t="s">
        <v>13</v>
      </c>
      <c r="B11" s="7">
        <v>20</v>
      </c>
      <c r="C11" s="7">
        <v>80</v>
      </c>
      <c r="D11" s="8">
        <v>49150120</v>
      </c>
      <c r="E11" s="9">
        <v>0.30801465331484401</v>
      </c>
      <c r="F11" s="10" t="s">
        <v>14</v>
      </c>
    </row>
    <row r="12" spans="1:12" ht="19.5" customHeight="1" x14ac:dyDescent="0.35">
      <c r="A12" s="2" t="s">
        <v>15</v>
      </c>
      <c r="B12" s="11">
        <v>20</v>
      </c>
      <c r="C12" s="11">
        <v>650</v>
      </c>
      <c r="D12" s="12">
        <v>40000000</v>
      </c>
      <c r="E12" s="13">
        <v>0.25067255446362602</v>
      </c>
      <c r="F12" s="14" t="s">
        <v>16</v>
      </c>
    </row>
    <row r="13" spans="1:12" ht="19.5" customHeight="1" x14ac:dyDescent="0.35">
      <c r="A13" s="1" t="s">
        <v>17</v>
      </c>
      <c r="B13" s="7">
        <v>80</v>
      </c>
      <c r="C13" s="7">
        <v>300</v>
      </c>
      <c r="D13" s="8">
        <v>7500000</v>
      </c>
      <c r="E13" s="9">
        <v>4.7001103961929899E-2</v>
      </c>
      <c r="F13" s="10" t="s">
        <v>16</v>
      </c>
    </row>
    <row r="14" spans="1:12" ht="19.5" customHeight="1" x14ac:dyDescent="0.35">
      <c r="A14" s="2" t="s">
        <v>18</v>
      </c>
      <c r="B14" s="11">
        <v>62</v>
      </c>
      <c r="C14" s="11">
        <v>1500</v>
      </c>
      <c r="D14" s="12">
        <v>20254500</v>
      </c>
      <c r="E14" s="13">
        <v>0.126931181359588</v>
      </c>
      <c r="F14" s="14" t="s">
        <v>19</v>
      </c>
    </row>
    <row r="15" spans="1:12" ht="19.5" customHeight="1" x14ac:dyDescent="0.35">
      <c r="A15" s="1" t="s">
        <v>20</v>
      </c>
      <c r="B15" s="7">
        <v>130</v>
      </c>
      <c r="C15" s="7">
        <v>1500</v>
      </c>
      <c r="D15" s="8">
        <v>35000000</v>
      </c>
      <c r="E15" s="9">
        <v>0.219338485155673</v>
      </c>
      <c r="F15" s="10" t="s">
        <v>21</v>
      </c>
    </row>
    <row r="16" spans="1:12" ht="19.5" customHeight="1" x14ac:dyDescent="0.35">
      <c r="A16" s="2" t="s">
        <v>22</v>
      </c>
      <c r="B16" s="11">
        <v>4</v>
      </c>
      <c r="C16" s="11">
        <v>100</v>
      </c>
      <c r="D16" s="12">
        <v>4066000</v>
      </c>
      <c r="E16" s="13">
        <v>2.5480865161227599E-2</v>
      </c>
      <c r="F16" s="14" t="s">
        <v>23</v>
      </c>
    </row>
    <row r="17" spans="1:6" ht="19.5" customHeight="1" x14ac:dyDescent="0.35">
      <c r="A17" s="1" t="s">
        <v>24</v>
      </c>
      <c r="B17" s="7">
        <v>3</v>
      </c>
      <c r="C17" s="7">
        <v>100</v>
      </c>
      <c r="D17" s="8">
        <v>2600100</v>
      </c>
      <c r="E17" s="9">
        <v>1.62943427215218E-2</v>
      </c>
      <c r="F17" s="10" t="s">
        <v>23</v>
      </c>
    </row>
    <row r="18" spans="1:6" ht="19.5" customHeight="1" x14ac:dyDescent="0.35">
      <c r="A18" s="2" t="s">
        <v>25</v>
      </c>
      <c r="B18" s="11">
        <v>18</v>
      </c>
      <c r="C18" s="11">
        <v>0</v>
      </c>
      <c r="D18" s="12">
        <v>1000000</v>
      </c>
      <c r="E18" s="13">
        <v>6.2668138615906499E-3</v>
      </c>
      <c r="F18" s="14" t="s">
        <v>26</v>
      </c>
    </row>
    <row r="19" spans="1:6" ht="21.75" customHeight="1" x14ac:dyDescent="0.35">
      <c r="A19" s="44" t="s">
        <v>27</v>
      </c>
      <c r="B19" s="44"/>
      <c r="C19" s="44"/>
      <c r="D19" s="4">
        <v>159570720</v>
      </c>
      <c r="E19" s="15">
        <v>1</v>
      </c>
      <c r="F19" s="3"/>
    </row>
  </sheetData>
  <mergeCells count="16">
    <mergeCell ref="A1:L1"/>
    <mergeCell ref="A2:L2"/>
    <mergeCell ref="A4:D4"/>
    <mergeCell ref="E4:G4"/>
    <mergeCell ref="H4:J4"/>
    <mergeCell ref="K4:L4"/>
    <mergeCell ref="K5:L5"/>
    <mergeCell ref="A6:D6"/>
    <mergeCell ref="E6:G6"/>
    <mergeCell ref="H6:J6"/>
    <mergeCell ref="K6:L6"/>
    <mergeCell ref="A9:F9"/>
    <mergeCell ref="A19:C19"/>
    <mergeCell ref="A5:D5"/>
    <mergeCell ref="E5:G5"/>
    <mergeCell ref="H5:J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topLeftCell="F1" zoomScaleNormal="100" workbookViewId="0">
      <pane ySplit="3" topLeftCell="A4" activePane="bottomLeft" state="frozen"/>
      <selection pane="bottomLeft" activeCell="N11" sqref="N11"/>
    </sheetView>
  </sheetViews>
  <sheetFormatPr defaultColWidth="8.54296875" defaultRowHeight="14.5" x14ac:dyDescent="0.35"/>
  <cols>
    <col min="1" max="1" width="5" customWidth="1"/>
    <col min="2" max="2" width="32" customWidth="1"/>
    <col min="3" max="3" width="12" customWidth="1"/>
    <col min="4" max="4" width="18" customWidth="1"/>
    <col min="5" max="5" width="14" customWidth="1"/>
    <col min="6" max="7" width="16" customWidth="1"/>
    <col min="8" max="9" width="13" customWidth="1"/>
    <col min="10" max="10" width="16" customWidth="1"/>
    <col min="11" max="11" width="20" customWidth="1"/>
    <col min="12" max="12" width="16" customWidth="1"/>
    <col min="13" max="13" width="20" customWidth="1"/>
    <col min="14" max="14" width="17.81640625" customWidth="1"/>
    <col min="15" max="17" width="20" customWidth="1"/>
    <col min="18" max="18" width="25" customWidth="1"/>
  </cols>
  <sheetData>
    <row r="1" spans="1:18" ht="31.5" customHeight="1" x14ac:dyDescent="0.35">
      <c r="A1" s="39" t="s">
        <v>28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18" customHeight="1" x14ac:dyDescent="0.35">
      <c r="A2" s="40" t="s">
        <v>29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1:18" ht="30" customHeight="1" x14ac:dyDescent="0.35">
      <c r="A3" s="18" t="s">
        <v>30</v>
      </c>
      <c r="B3" s="18" t="s">
        <v>31</v>
      </c>
      <c r="C3" s="18" t="s">
        <v>8</v>
      </c>
      <c r="D3" s="18" t="s">
        <v>32</v>
      </c>
      <c r="E3" s="18" t="s">
        <v>9</v>
      </c>
      <c r="F3" s="18" t="s">
        <v>33</v>
      </c>
      <c r="G3" s="18" t="s">
        <v>93</v>
      </c>
      <c r="H3" s="18" t="s">
        <v>34</v>
      </c>
      <c r="I3" s="18" t="s">
        <v>35</v>
      </c>
      <c r="J3" s="18" t="s">
        <v>36</v>
      </c>
      <c r="K3" s="18" t="s">
        <v>37</v>
      </c>
      <c r="L3" s="18" t="s">
        <v>88</v>
      </c>
      <c r="M3" s="18" t="s">
        <v>91</v>
      </c>
      <c r="N3" s="18" t="s">
        <v>87</v>
      </c>
      <c r="O3" s="18" t="s">
        <v>89</v>
      </c>
      <c r="P3" s="18" t="s">
        <v>92</v>
      </c>
      <c r="Q3" s="18" t="s">
        <v>90</v>
      </c>
      <c r="R3" s="18" t="s">
        <v>38</v>
      </c>
    </row>
    <row r="4" spans="1:18" ht="19.5" customHeight="1" x14ac:dyDescent="0.35">
      <c r="A4" s="19">
        <v>1</v>
      </c>
      <c r="B4" s="20" t="s">
        <v>13</v>
      </c>
      <c r="C4" s="21">
        <v>20</v>
      </c>
      <c r="D4" s="22"/>
      <c r="E4" s="23">
        <v>80</v>
      </c>
      <c r="F4" s="24" t="s">
        <v>39</v>
      </c>
      <c r="G4" s="24"/>
      <c r="H4" s="19" t="s">
        <v>40</v>
      </c>
      <c r="I4" s="19" t="s">
        <v>41</v>
      </c>
      <c r="J4" s="19">
        <f t="shared" ref="J4:J11" si="0">IFERROR(DATEDIF(DATEVALUE(H4),DATEVALUE(I4),"M"),"")</f>
        <v>11</v>
      </c>
      <c r="K4" s="25">
        <v>49150120</v>
      </c>
      <c r="L4" s="60" t="s">
        <v>97</v>
      </c>
      <c r="M4" s="61">
        <v>9811460605</v>
      </c>
      <c r="N4" s="60" t="s">
        <v>98</v>
      </c>
      <c r="O4" s="60" t="s">
        <v>99</v>
      </c>
      <c r="P4" s="61">
        <v>8076729800</v>
      </c>
      <c r="Q4" s="60" t="s">
        <v>100</v>
      </c>
      <c r="R4" s="62" t="s">
        <v>101</v>
      </c>
    </row>
    <row r="5" spans="1:18" ht="19.5" customHeight="1" x14ac:dyDescent="0.35">
      <c r="A5" s="27">
        <v>2</v>
      </c>
      <c r="B5" s="28" t="s">
        <v>15</v>
      </c>
      <c r="C5" s="29">
        <v>20</v>
      </c>
      <c r="D5" s="30">
        <v>300000</v>
      </c>
      <c r="E5" s="30">
        <v>650</v>
      </c>
      <c r="F5" s="31" t="s">
        <v>39</v>
      </c>
      <c r="G5" s="31"/>
      <c r="H5" s="27" t="s">
        <v>42</v>
      </c>
      <c r="I5" s="27" t="s">
        <v>43</v>
      </c>
      <c r="J5" s="27">
        <f t="shared" si="0"/>
        <v>13</v>
      </c>
      <c r="K5" s="32">
        <v>40000000</v>
      </c>
      <c r="L5" s="32" t="s">
        <v>102</v>
      </c>
      <c r="M5" s="63">
        <v>9811895354</v>
      </c>
      <c r="N5" s="32" t="s">
        <v>103</v>
      </c>
      <c r="O5" s="32" t="s">
        <v>104</v>
      </c>
      <c r="P5" s="63">
        <v>9354171212</v>
      </c>
      <c r="Q5" s="32" t="s">
        <v>105</v>
      </c>
      <c r="R5" s="33" t="s">
        <v>106</v>
      </c>
    </row>
    <row r="6" spans="1:18" ht="19.5" customHeight="1" x14ac:dyDescent="0.35">
      <c r="A6" s="19">
        <v>3</v>
      </c>
      <c r="B6" s="20" t="s">
        <v>17</v>
      </c>
      <c r="C6" s="21">
        <v>80</v>
      </c>
      <c r="D6" s="23">
        <v>300000</v>
      </c>
      <c r="E6" s="23">
        <v>300</v>
      </c>
      <c r="F6" s="24" t="s">
        <v>39</v>
      </c>
      <c r="G6" s="24"/>
      <c r="H6" s="19" t="s">
        <v>42</v>
      </c>
      <c r="I6" s="19" t="s">
        <v>43</v>
      </c>
      <c r="J6" s="19">
        <f t="shared" si="0"/>
        <v>13</v>
      </c>
      <c r="K6" s="25">
        <v>7500000</v>
      </c>
      <c r="L6" s="25"/>
      <c r="M6" s="25"/>
      <c r="N6" s="25"/>
      <c r="O6" s="25"/>
      <c r="P6" s="59"/>
      <c r="Q6" s="25"/>
      <c r="R6" s="26"/>
    </row>
    <row r="7" spans="1:18" ht="19.5" customHeight="1" x14ac:dyDescent="0.35">
      <c r="A7" s="27">
        <v>4</v>
      </c>
      <c r="B7" s="28" t="s">
        <v>18</v>
      </c>
      <c r="C7" s="29">
        <v>62</v>
      </c>
      <c r="D7" s="34" t="s">
        <v>44</v>
      </c>
      <c r="E7" s="30">
        <v>1500</v>
      </c>
      <c r="F7" s="31" t="s">
        <v>39</v>
      </c>
      <c r="G7" s="31"/>
      <c r="H7" s="27" t="s">
        <v>45</v>
      </c>
      <c r="I7" s="27" t="s">
        <v>46</v>
      </c>
      <c r="J7" s="27">
        <f t="shared" si="0"/>
        <v>11</v>
      </c>
      <c r="K7" s="32">
        <v>20254500</v>
      </c>
      <c r="L7" s="32" t="s">
        <v>107</v>
      </c>
      <c r="M7" s="63">
        <v>9958673666</v>
      </c>
      <c r="N7" s="32" t="s">
        <v>108</v>
      </c>
      <c r="O7" s="32" t="s">
        <v>109</v>
      </c>
      <c r="P7" s="63">
        <v>8518083248</v>
      </c>
      <c r="Q7" s="32" t="s">
        <v>110</v>
      </c>
      <c r="R7" s="33" t="s">
        <v>111</v>
      </c>
    </row>
    <row r="8" spans="1:18" ht="19.5" customHeight="1" x14ac:dyDescent="0.35">
      <c r="A8" s="19">
        <v>5</v>
      </c>
      <c r="B8" s="20" t="s">
        <v>47</v>
      </c>
      <c r="C8" s="21">
        <v>130</v>
      </c>
      <c r="D8" s="23">
        <v>1600000</v>
      </c>
      <c r="E8" s="23">
        <v>1500</v>
      </c>
      <c r="F8" s="23">
        <v>1600000</v>
      </c>
      <c r="G8" s="23"/>
      <c r="H8" s="19" t="s">
        <v>48</v>
      </c>
      <c r="I8" s="19" t="s">
        <v>49</v>
      </c>
      <c r="J8" s="19">
        <f t="shared" si="0"/>
        <v>11</v>
      </c>
      <c r="K8" s="25">
        <v>35000000</v>
      </c>
      <c r="L8" s="25" t="s">
        <v>112</v>
      </c>
      <c r="M8" s="25"/>
      <c r="N8" s="25" t="s">
        <v>113</v>
      </c>
      <c r="O8" s="25" t="s">
        <v>114</v>
      </c>
      <c r="P8" s="59">
        <v>9794591420</v>
      </c>
      <c r="Q8" s="25" t="s">
        <v>115</v>
      </c>
      <c r="R8" s="26" t="s">
        <v>50</v>
      </c>
    </row>
    <row r="9" spans="1:18" ht="19.5" customHeight="1" x14ac:dyDescent="0.35">
      <c r="A9" s="27">
        <v>6</v>
      </c>
      <c r="B9" s="28" t="s">
        <v>22</v>
      </c>
      <c r="C9" s="29">
        <v>4</v>
      </c>
      <c r="D9" s="30">
        <v>25000</v>
      </c>
      <c r="E9" s="30">
        <v>100</v>
      </c>
      <c r="F9" s="30">
        <v>250000</v>
      </c>
      <c r="G9" s="30"/>
      <c r="H9" s="27" t="s">
        <v>51</v>
      </c>
      <c r="I9" s="27" t="s">
        <v>52</v>
      </c>
      <c r="J9" s="27">
        <f t="shared" si="0"/>
        <v>11</v>
      </c>
      <c r="K9" s="32">
        <v>4066000</v>
      </c>
      <c r="L9" s="32" t="s">
        <v>116</v>
      </c>
      <c r="M9" s="63">
        <v>8884440866</v>
      </c>
      <c r="N9" s="32" t="s">
        <v>117</v>
      </c>
      <c r="O9" s="32" t="s">
        <v>118</v>
      </c>
      <c r="P9" s="63">
        <v>7506549790</v>
      </c>
      <c r="Q9" s="32" t="s">
        <v>121</v>
      </c>
      <c r="R9" s="33" t="s">
        <v>53</v>
      </c>
    </row>
    <row r="10" spans="1:18" ht="19.5" customHeight="1" x14ac:dyDescent="0.35">
      <c r="A10" s="19">
        <v>7</v>
      </c>
      <c r="B10" s="20" t="s">
        <v>24</v>
      </c>
      <c r="C10" s="21">
        <v>3</v>
      </c>
      <c r="D10" s="23">
        <v>35000</v>
      </c>
      <c r="E10" s="23">
        <v>100</v>
      </c>
      <c r="F10" s="23">
        <v>100000</v>
      </c>
      <c r="G10" s="23"/>
      <c r="H10" s="19" t="s">
        <v>54</v>
      </c>
      <c r="I10" s="19" t="s">
        <v>55</v>
      </c>
      <c r="J10" s="19">
        <f t="shared" si="0"/>
        <v>11</v>
      </c>
      <c r="K10" s="25">
        <v>2600100</v>
      </c>
      <c r="L10" s="25" t="s">
        <v>116</v>
      </c>
      <c r="M10" s="59">
        <v>8884440866</v>
      </c>
      <c r="N10" s="32" t="s">
        <v>117</v>
      </c>
      <c r="O10" s="25" t="s">
        <v>119</v>
      </c>
      <c r="P10" s="59">
        <v>9000685300</v>
      </c>
      <c r="Q10" s="25" t="s">
        <v>120</v>
      </c>
      <c r="R10" s="26" t="s">
        <v>53</v>
      </c>
    </row>
    <row r="11" spans="1:18" ht="19.5" customHeight="1" x14ac:dyDescent="0.35">
      <c r="A11" s="27">
        <v>8</v>
      </c>
      <c r="B11" s="28" t="s">
        <v>25</v>
      </c>
      <c r="C11" s="29">
        <v>18</v>
      </c>
      <c r="D11" s="30">
        <v>100000</v>
      </c>
      <c r="E11" s="30">
        <v>0</v>
      </c>
      <c r="F11" s="31" t="s">
        <v>39</v>
      </c>
      <c r="G11" s="31"/>
      <c r="H11" s="27" t="s">
        <v>56</v>
      </c>
      <c r="I11" s="27" t="s">
        <v>57</v>
      </c>
      <c r="J11" s="27">
        <f t="shared" si="0"/>
        <v>11</v>
      </c>
      <c r="K11" s="32">
        <v>1000000</v>
      </c>
      <c r="L11" s="32" t="s">
        <v>122</v>
      </c>
      <c r="M11" s="63">
        <v>9971933995</v>
      </c>
      <c r="N11" s="32" t="s">
        <v>123</v>
      </c>
      <c r="O11" s="32"/>
      <c r="P11" s="32"/>
      <c r="Q11" s="32"/>
      <c r="R11" s="33" t="s">
        <v>58</v>
      </c>
    </row>
    <row r="12" spans="1:18" ht="19.5" customHeight="1" x14ac:dyDescent="0.35">
      <c r="A12" s="27"/>
      <c r="B12" s="28"/>
      <c r="C12" s="28"/>
      <c r="D12" s="28"/>
      <c r="E12" s="28"/>
      <c r="F12" s="28"/>
      <c r="G12" s="28"/>
      <c r="H12" s="28" t="s">
        <v>95</v>
      </c>
      <c r="I12" s="28" t="s">
        <v>95</v>
      </c>
      <c r="J12" s="28"/>
      <c r="K12" s="28"/>
      <c r="L12" s="32"/>
      <c r="M12" s="32"/>
      <c r="N12" s="32"/>
      <c r="O12" s="32"/>
      <c r="P12" s="32"/>
      <c r="Q12" s="32"/>
      <c r="R12" s="33"/>
    </row>
    <row r="13" spans="1:18" ht="19.5" customHeight="1" x14ac:dyDescent="0.35">
      <c r="A13" s="27"/>
      <c r="B13" s="28" t="s">
        <v>94</v>
      </c>
      <c r="C13" s="28" t="s">
        <v>94</v>
      </c>
      <c r="D13" s="28" t="s">
        <v>94</v>
      </c>
      <c r="E13" s="28" t="s">
        <v>94</v>
      </c>
      <c r="F13" s="28" t="s">
        <v>94</v>
      </c>
      <c r="G13" s="28" t="s">
        <v>94</v>
      </c>
      <c r="H13" s="28" t="s">
        <v>94</v>
      </c>
      <c r="I13" s="28" t="s">
        <v>94</v>
      </c>
      <c r="J13" s="28" t="s">
        <v>94</v>
      </c>
      <c r="K13" s="28" t="s">
        <v>94</v>
      </c>
      <c r="L13" s="28" t="s">
        <v>94</v>
      </c>
      <c r="M13" s="28" t="s">
        <v>94</v>
      </c>
      <c r="N13" s="28" t="s">
        <v>94</v>
      </c>
      <c r="O13" s="28" t="s">
        <v>94</v>
      </c>
      <c r="P13" s="28" t="s">
        <v>94</v>
      </c>
      <c r="Q13" s="28" t="s">
        <v>94</v>
      </c>
      <c r="R13" s="33" t="s">
        <v>96</v>
      </c>
    </row>
    <row r="14" spans="1:18" ht="19.5" customHeight="1" x14ac:dyDescent="0.35">
      <c r="A14" s="27"/>
      <c r="B14" s="28"/>
      <c r="C14" s="29"/>
      <c r="D14" s="30"/>
      <c r="E14" s="30"/>
      <c r="F14" s="31"/>
      <c r="G14" s="31"/>
      <c r="H14" s="27"/>
      <c r="I14" s="27"/>
      <c r="J14" s="27"/>
      <c r="K14" s="32"/>
      <c r="L14" s="32"/>
      <c r="M14" s="32"/>
      <c r="N14" s="32"/>
      <c r="O14" s="32"/>
      <c r="P14" s="32"/>
      <c r="Q14" s="32"/>
      <c r="R14" s="33"/>
    </row>
    <row r="15" spans="1:18" ht="19.5" customHeight="1" x14ac:dyDescent="0.35">
      <c r="A15" s="27"/>
      <c r="B15" s="28"/>
      <c r="C15" s="29"/>
      <c r="D15" s="30"/>
      <c r="E15" s="30"/>
      <c r="F15" s="31"/>
      <c r="G15" s="31"/>
      <c r="H15" s="27"/>
      <c r="I15" s="27"/>
      <c r="J15" s="27"/>
      <c r="K15" s="32"/>
      <c r="L15" s="32"/>
      <c r="M15" s="32"/>
      <c r="N15" s="32"/>
      <c r="O15" s="32"/>
      <c r="P15" s="32"/>
      <c r="Q15" s="32"/>
      <c r="R15" s="33"/>
    </row>
    <row r="16" spans="1:18" ht="21.75" customHeight="1" x14ac:dyDescent="0.35">
      <c r="A16" s="41" t="s">
        <v>59</v>
      </c>
      <c r="B16" s="41"/>
      <c r="C16" s="35">
        <f>SUM(C4:C11)</f>
        <v>337</v>
      </c>
      <c r="D16" s="36"/>
      <c r="E16" s="35">
        <f>SUM(E4:E11)</f>
        <v>4230</v>
      </c>
      <c r="F16" s="36"/>
      <c r="G16" s="36"/>
      <c r="H16" s="36"/>
      <c r="I16" s="36"/>
      <c r="J16" s="36"/>
      <c r="K16" s="37">
        <f>SUM(K4:K11)</f>
        <v>159570720</v>
      </c>
      <c r="L16" s="37"/>
      <c r="M16" s="37"/>
      <c r="N16" s="37"/>
      <c r="O16" s="37"/>
      <c r="P16" s="37"/>
      <c r="Q16" s="37"/>
      <c r="R16" s="36"/>
    </row>
    <row r="18" spans="1:3" x14ac:dyDescent="0.35">
      <c r="A18" s="42" t="s">
        <v>60</v>
      </c>
      <c r="B18" s="42"/>
      <c r="C18" s="42"/>
    </row>
    <row r="19" spans="1:3" x14ac:dyDescent="0.35">
      <c r="A19" s="5" t="s">
        <v>61</v>
      </c>
      <c r="B19" s="38" t="s">
        <v>62</v>
      </c>
      <c r="C19" s="38"/>
    </row>
    <row r="20" spans="1:3" x14ac:dyDescent="0.35">
      <c r="A20" s="5" t="s">
        <v>63</v>
      </c>
      <c r="B20" s="38" t="s">
        <v>64</v>
      </c>
      <c r="C20" s="38"/>
    </row>
    <row r="21" spans="1:3" x14ac:dyDescent="0.35">
      <c r="A21" s="5" t="s">
        <v>65</v>
      </c>
      <c r="B21" s="38" t="s">
        <v>66</v>
      </c>
      <c r="C21" s="38"/>
    </row>
    <row r="22" spans="1:3" x14ac:dyDescent="0.35">
      <c r="B22" t="s">
        <v>67</v>
      </c>
    </row>
  </sheetData>
  <mergeCells count="7">
    <mergeCell ref="B20:C20"/>
    <mergeCell ref="B21:C21"/>
    <mergeCell ref="A1:R1"/>
    <mergeCell ref="A2:R2"/>
    <mergeCell ref="A16:B16"/>
    <mergeCell ref="A18:C18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D11"/>
  <sheetViews>
    <sheetView zoomScaleNormal="100" workbookViewId="0">
      <selection sqref="A1:D1"/>
    </sheetView>
  </sheetViews>
  <sheetFormatPr defaultColWidth="8.54296875" defaultRowHeight="14.5" x14ac:dyDescent="0.35"/>
  <cols>
    <col min="1" max="1" width="5" customWidth="1"/>
    <col min="2" max="2" width="80" customWidth="1"/>
  </cols>
  <sheetData>
    <row r="1" spans="1:4" ht="27.75" customHeight="1" x14ac:dyDescent="0.35">
      <c r="A1" s="58" t="s">
        <v>68</v>
      </c>
      <c r="B1" s="58"/>
      <c r="C1" s="58"/>
      <c r="D1" s="58"/>
    </row>
    <row r="3" spans="1:4" ht="18" customHeight="1" x14ac:dyDescent="0.35">
      <c r="A3" s="16" t="s">
        <v>69</v>
      </c>
      <c r="B3" s="17" t="s">
        <v>70</v>
      </c>
    </row>
    <row r="4" spans="1:4" ht="18" customHeight="1" x14ac:dyDescent="0.35">
      <c r="A4" s="16" t="s">
        <v>71</v>
      </c>
      <c r="B4" s="17" t="s">
        <v>72</v>
      </c>
    </row>
    <row r="5" spans="1:4" ht="18" customHeight="1" x14ac:dyDescent="0.35">
      <c r="A5" s="16" t="s">
        <v>73</v>
      </c>
      <c r="B5" s="17" t="s">
        <v>74</v>
      </c>
    </row>
    <row r="6" spans="1:4" ht="18" customHeight="1" x14ac:dyDescent="0.35">
      <c r="A6" s="16" t="s">
        <v>75</v>
      </c>
      <c r="B6" s="17" t="s">
        <v>76</v>
      </c>
    </row>
    <row r="7" spans="1:4" ht="18" customHeight="1" x14ac:dyDescent="0.35">
      <c r="A7" s="16" t="s">
        <v>77</v>
      </c>
      <c r="B7" s="17" t="s">
        <v>78</v>
      </c>
    </row>
    <row r="8" spans="1:4" ht="18" customHeight="1" x14ac:dyDescent="0.35">
      <c r="A8" s="16" t="s">
        <v>79</v>
      </c>
      <c r="B8" s="17" t="s">
        <v>80</v>
      </c>
    </row>
    <row r="9" spans="1:4" ht="18" customHeight="1" x14ac:dyDescent="0.35">
      <c r="A9" s="16" t="s">
        <v>81</v>
      </c>
      <c r="B9" s="17" t="s">
        <v>82</v>
      </c>
    </row>
    <row r="10" spans="1:4" ht="18" customHeight="1" x14ac:dyDescent="0.35">
      <c r="A10" s="16" t="s">
        <v>83</v>
      </c>
      <c r="B10" s="17" t="s">
        <v>84</v>
      </c>
    </row>
    <row r="11" spans="1:4" ht="18" customHeight="1" x14ac:dyDescent="0.35">
      <c r="A11" s="16" t="s">
        <v>85</v>
      </c>
      <c r="B11" s="17" t="s">
        <v>86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Job Board Tracker</vt:lpstr>
      <vt:lpstr>Notes &amp; Assumptions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Baljeet Singh</cp:lastModifiedBy>
  <cp:revision>1</cp:revision>
  <dcterms:created xsi:type="dcterms:W3CDTF">2026-03-31T06:55:39Z</dcterms:created>
  <dcterms:modified xsi:type="dcterms:W3CDTF">2026-04-21T13:04:29Z</dcterms:modified>
  <cp:category/>
  <cp:contentStatus/>
</cp:coreProperties>
</file>