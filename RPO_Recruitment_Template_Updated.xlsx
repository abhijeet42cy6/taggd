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Templates/"/>
    </mc:Choice>
  </mc:AlternateContent>
  <xr:revisionPtr revIDLastSave="347" documentId="8_{5F242B66-95C8-4679-8104-F221CC3458CE}" xr6:coauthVersionLast="47" xr6:coauthVersionMax="47" xr10:uidLastSave="{3FA7A8FF-0BAF-487F-8E5F-FFA9008DDB31}"/>
  <bookViews>
    <workbookView xWindow="-110" yWindow="-110" windowWidth="19420" windowHeight="10300" tabRatio="500" activeTab="1" xr2:uid="{00000000-000D-0000-FFFF-FFFF00000000}"/>
  </bookViews>
  <sheets>
    <sheet name="Requisition Tracker" sheetId="1" r:id="rId1"/>
    <sheet name="Candidate Tracker" sheetId="2" r:id="rId2"/>
    <sheet name="SLA &amp; KPI Dashboard" sheetId="3" state="hidden" r:id="rId3"/>
    <sheet name="Client MOM" sheetId="4" state="hidden" r:id="rId4"/>
    <sheet name="Offer &amp; Onboarding" sheetId="5" r:id="rId5"/>
    <sheet name="Sheet1" sheetId="7" r:id="rId6"/>
    <sheet name="Instructions &amp; Legend" sheetId="6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4" i="1" l="1"/>
  <c r="AW4" i="1" s="1"/>
</calcChain>
</file>

<file path=xl/sharedStrings.xml><?xml version="1.0" encoding="utf-8"?>
<sst xmlns="http://schemas.openxmlformats.org/spreadsheetml/2006/main" count="680" uniqueCount="514">
  <si>
    <t>RECRUITMENT PROCESS OUTSOURCING (RPO) — REQUISITION TRACKER</t>
  </si>
  <si>
    <t>REQUISITION DETAILS</t>
  </si>
  <si>
    <t>ROLE DETAILS</t>
  </si>
  <si>
    <t>SOURCING</t>
  </si>
  <si>
    <t>CANDIDATE PIPELINE</t>
  </si>
  <si>
    <t>OFFER &amp; CLOSURE</t>
  </si>
  <si>
    <t>RECRUITMENT DETAILS</t>
  </si>
  <si>
    <t>★ POSITION DETAILS</t>
  </si>
  <si>
    <t>★ HIRING TEAM</t>
  </si>
  <si>
    <t>★ KEY DATES</t>
  </si>
  <si>
    <t>★ AGEING &amp; SLA</t>
  </si>
  <si>
    <t>★ OFFER &amp; FINANCIALS</t>
  </si>
  <si>
    <t>★ CANDIDATE (FILLED)</t>
  </si>
  <si>
    <t>★ PROCESS / MISC</t>
  </si>
  <si>
    <t>Req. ID</t>
  </si>
  <si>
    <t>Client Name</t>
  </si>
  <si>
    <t>Req Created Date</t>
  </si>
  <si>
    <t>Priority
(Critical/High/
Medium/Low)</t>
  </si>
  <si>
    <t>Job Title / Designation</t>
  </si>
  <si>
    <t>Department /
Function</t>
  </si>
  <si>
    <t>Location /
City</t>
  </si>
  <si>
    <t>Job Type
(Perm/Contract/
Temp)</t>
  </si>
  <si>
    <t>Experience
Required
(Years)</t>
  </si>
  <si>
    <t>CTC Budget
(₹ LPA)</t>
  </si>
  <si>
    <t># Positions
Open</t>
  </si>
  <si>
    <t>Profiles
Sourced</t>
  </si>
  <si>
    <t>Profiles
Submitted</t>
  </si>
  <si>
    <t>Interviews
Scheduled</t>
  </si>
  <si>
    <t>Offers
Released</t>
  </si>
  <si>
    <t>Offers
Accepted</t>
  </si>
  <si>
    <t>Assigned
Recruiter</t>
  </si>
  <si>
    <t>Current
Status</t>
  </si>
  <si>
    <t>★ New / Replacement</t>
  </si>
  <si>
    <t>★ Replacement Name</t>
  </si>
  <si>
    <t>★ Vertical</t>
  </si>
  <si>
    <t>★ Division</t>
  </si>
  <si>
    <t>★ BU / SBU</t>
  </si>
  <si>
    <t>★ Zone</t>
  </si>
  <si>
    <t>★ Grade / Band</t>
  </si>
  <si>
    <t>★ Business HRBP</t>
  </si>
  <si>
    <t>★ Sourcer</t>
  </si>
  <si>
    <t>★ Taggd PM</t>
  </si>
  <si>
    <t>★ Hiring Agency</t>
  </si>
  <si>
    <t>★ RPO / IJP / Referral</t>
  </si>
  <si>
    <t>★ Mandate Received Date</t>
  </si>
  <si>
    <t>★ Intake Date</t>
  </si>
  <si>
    <t>★ Selection Date</t>
  </si>
  <si>
    <t>★ LOI Date</t>
  </si>
  <si>
    <t>★ Joining Date</t>
  </si>
  <si>
    <t>★ Closure Date</t>
  </si>
  <si>
    <t>★ Stage</t>
  </si>
  <si>
    <t>★ Ageing (Days)</t>
  </si>
  <si>
    <t>★ Ageing Bracket</t>
  </si>
  <si>
    <t>★ Dead Days</t>
  </si>
  <si>
    <t>★ TTO</t>
  </si>
  <si>
    <t>★ TTF</t>
  </si>
  <si>
    <t>★ Offered CTC</t>
  </si>
  <si>
    <t>★ Taggd Fees</t>
  </si>
  <si>
    <t>★ Billing Month</t>
  </si>
  <si>
    <t>★ Source of Hire</t>
  </si>
  <si>
    <t>★ FY</t>
  </si>
  <si>
    <t>★ Candidate Name</t>
  </si>
  <si>
    <t>★ Gender</t>
  </si>
  <si>
    <t>★ Contact No.</t>
  </si>
  <si>
    <t>★ Email ID</t>
  </si>
  <si>
    <t>★ Comments / Remarks</t>
  </si>
  <si>
    <t>★ Hiring Qualification</t>
  </si>
  <si>
    <t>REQ-001</t>
  </si>
  <si>
    <t>Siemens Healthineers</t>
  </si>
  <si>
    <t>01-Apr-2026</t>
  </si>
  <si>
    <t>Critical</t>
  </si>
  <si>
    <t>Sr. Software Engineer</t>
  </si>
  <si>
    <t>Engineering</t>
  </si>
  <si>
    <t>Bangalore</t>
  </si>
  <si>
    <t>Permanent</t>
  </si>
  <si>
    <t>Amit Sharma</t>
  </si>
  <si>
    <t>In Progress</t>
  </si>
  <si>
    <t>REQ-002</t>
  </si>
  <si>
    <t>Mahindra &amp; Mahindra</t>
  </si>
  <si>
    <t>05-Apr-2026</t>
  </si>
  <si>
    <t>High</t>
  </si>
  <si>
    <t>Plant HR Manager</t>
  </si>
  <si>
    <t>Human Resources</t>
  </si>
  <si>
    <t>Pune</t>
  </si>
  <si>
    <t>Priya Nair</t>
  </si>
  <si>
    <t>Offer Stage</t>
  </si>
  <si>
    <t>REQ-003</t>
  </si>
  <si>
    <t>Wipro Technologies</t>
  </si>
  <si>
    <t>08-Apr-2026</t>
  </si>
  <si>
    <t>Medium</t>
  </si>
  <si>
    <t>Data Analyst</t>
  </si>
  <si>
    <t>Analytics</t>
  </si>
  <si>
    <t>Hyderabad</t>
  </si>
  <si>
    <t>Ravi Kumar</t>
  </si>
  <si>
    <t>Screening</t>
  </si>
  <si>
    <t>REQ-004</t>
  </si>
  <si>
    <t>Honeywell India</t>
  </si>
  <si>
    <t>10-Apr-2026</t>
  </si>
  <si>
    <t>Process Engineer</t>
  </si>
  <si>
    <t>Operations</t>
  </si>
  <si>
    <t>Gurgaon</t>
  </si>
  <si>
    <t>Sneha Joshi</t>
  </si>
  <si>
    <t>Interview</t>
  </si>
  <si>
    <t>REQ-005</t>
  </si>
  <si>
    <t>HPE India</t>
  </si>
  <si>
    <t>12-Apr-2026</t>
  </si>
  <si>
    <t>Low</t>
  </si>
  <si>
    <t>Technical Writer</t>
  </si>
  <si>
    <t>Product</t>
  </si>
  <si>
    <t>Deepak Mehta</t>
  </si>
  <si>
    <t>Sourcing</t>
  </si>
  <si>
    <t>RPO — CANDIDATE TRACKING SHEET</t>
  </si>
  <si>
    <t>CANDIDATE INFO</t>
  </si>
  <si>
    <t>INTERVIEW ROUNDS</t>
  </si>
  <si>
    <t>OFFER DETAILS</t>
  </si>
  <si>
    <t>JOINING</t>
  </si>
  <si>
    <t>TRACKING</t>
  </si>
  <si>
    <t>★ ADDITIONAL PROFILE</t>
  </si>
  <si>
    <t>★ PREVIOUS CTC</t>
  </si>
  <si>
    <t>★ EXTENDED INTERVIEW</t>
  </si>
  <si>
    <t>★ PROCESS DATES</t>
  </si>
  <si>
    <t>★ OFFER EXTRAS</t>
  </si>
  <si>
    <t>★ TEAM &amp; TRACKING</t>
  </si>
  <si>
    <t>Cand. ID</t>
  </si>
  <si>
    <t>Req. ID (Ref.)</t>
  </si>
  <si>
    <t>Candidate Full Name</t>
  </si>
  <si>
    <t>Contact No.</t>
  </si>
  <si>
    <t>Email ID</t>
  </si>
  <si>
    <t>Current CTC
(₹ LPA)</t>
  </si>
  <si>
    <t>Expected CTC
(₹ LPA)</t>
  </si>
  <si>
    <t>Resume
Screening
(Pass/Fail)</t>
  </si>
  <si>
    <t>L1 Interview
Date &amp; Result</t>
  </si>
  <si>
    <t>L2 Interview
Date &amp; Result</t>
  </si>
  <si>
    <t>HR Round
Date &amp; Result</t>
  </si>
  <si>
    <t>Offer CTC
(₹ LPA)</t>
  </si>
  <si>
    <t>Offer Release
Date</t>
  </si>
  <si>
    <t>Offer
Acceptance</t>
  </si>
  <si>
    <t>DOJ
(Expected)</t>
  </si>
  <si>
    <t>Actual DOJ</t>
  </si>
  <si>
    <t>Current Stage</t>
  </si>
  <si>
    <t>Assigned Recruiter</t>
  </si>
  <si>
    <t>★ Current Location</t>
  </si>
  <si>
    <t>★ Qualification</t>
  </si>
  <si>
    <t>★ Specialization</t>
  </si>
  <si>
    <t>★ Total Experience (Yrs)</t>
  </si>
  <si>
    <t>★ Current Organization</t>
  </si>
  <si>
    <t>★ Current Designation</t>
  </si>
  <si>
    <t>★ Notice Period (Days)</t>
  </si>
  <si>
    <t>★ Alternate Contact No.</t>
  </si>
  <si>
    <t>★ Prev. Org. Fixed CTC</t>
  </si>
  <si>
    <t>★ Prev. Org. Variable CTC</t>
  </si>
  <si>
    <t>★ Prev. Org. TCTC</t>
  </si>
  <si>
    <t>★ L3 Interview Date &amp; Result</t>
  </si>
  <si>
    <t>★ Final Interview Date &amp; Result</t>
  </si>
  <si>
    <t>★ HR Interview Date</t>
  </si>
  <si>
    <t>★ HR Result Date</t>
  </si>
  <si>
    <t>★ CV Sharing Date</t>
  </si>
  <si>
    <t>★ CV Feedback Date</t>
  </si>
  <si>
    <t>★ BGV Initiation Date</t>
  </si>
  <si>
    <t>★ Medical Initiation Date</t>
  </si>
  <si>
    <t>★ LOI Issue Date</t>
  </si>
  <si>
    <t>★ C&amp;B Closure Date</t>
  </si>
  <si>
    <t>★ Document Shared With TAQ Date</t>
  </si>
  <si>
    <t>★ MSIL Staff No.</t>
  </si>
  <si>
    <t>★ Offer Drop Reason</t>
  </si>
  <si>
    <t>★ Notice Period Buyout Amount</t>
  </si>
  <si>
    <t>★ Sourcer Name</t>
  </si>
  <si>
    <t>★ PM</t>
  </si>
  <si>
    <t>★ Remarks</t>
  </si>
  <si>
    <t>CAND-001</t>
  </si>
  <si>
    <t>Rahul Verma</t>
  </si>
  <si>
    <t>9876543210</t>
  </si>
  <si>
    <t>rahul.v@email.com</t>
  </si>
  <si>
    <t>Naukri</t>
  </si>
  <si>
    <t>18 LPA</t>
  </si>
  <si>
    <t>24 LPA</t>
  </si>
  <si>
    <t>Pass</t>
  </si>
  <si>
    <t>12-Apr (Cleared)</t>
  </si>
  <si>
    <t>15-Apr (Cleared)</t>
  </si>
  <si>
    <t>18-Apr (Cleared)</t>
  </si>
  <si>
    <t>22 LPA</t>
  </si>
  <si>
    <t>20-Apr-2026</t>
  </si>
  <si>
    <t>Accepted</t>
  </si>
  <si>
    <t>01-Jun-2026</t>
  </si>
  <si>
    <t>Offer Accepted</t>
  </si>
  <si>
    <t>CAND-002</t>
  </si>
  <si>
    <t>Sneha Kapoor</t>
  </si>
  <si>
    <t>8765432109</t>
  </si>
  <si>
    <t>sneha.k@email.com</t>
  </si>
  <si>
    <t>20 LPA</t>
  </si>
  <si>
    <t>28 LPA</t>
  </si>
  <si>
    <t>13-Apr (Cleared)</t>
  </si>
  <si>
    <t>16-Apr (Hold)</t>
  </si>
  <si>
    <t>L2 Hold</t>
  </si>
  <si>
    <t>CAND-003</t>
  </si>
  <si>
    <t>Manoj Pillai</t>
  </si>
  <si>
    <t>7654321098</t>
  </si>
  <si>
    <t>manoj.p@email.com</t>
  </si>
  <si>
    <t>15 LPA</t>
  </si>
  <si>
    <t>14-Apr (Cleared)</t>
  </si>
  <si>
    <t>17-Apr (Cleared)</t>
  </si>
  <si>
    <t>19-Apr (Cleared)</t>
  </si>
  <si>
    <t>19 LPA</t>
  </si>
  <si>
    <t>21-Apr-2026</t>
  </si>
  <si>
    <t>20-May-2026</t>
  </si>
  <si>
    <t>CAND-004</t>
  </si>
  <si>
    <t>Aditi Singh</t>
  </si>
  <si>
    <t>6543210987</t>
  </si>
  <si>
    <t>aditi.s@email.com</t>
  </si>
  <si>
    <t>Campus</t>
  </si>
  <si>
    <t>8 LPA</t>
  </si>
  <si>
    <t>12 LPA</t>
  </si>
  <si>
    <t>L1 Cleared</t>
  </si>
  <si>
    <t>CAND-005</t>
  </si>
  <si>
    <t>Vikram Nair</t>
  </si>
  <si>
    <t>5432109876</t>
  </si>
  <si>
    <t>vikram.n@email.com</t>
  </si>
  <si>
    <t>16 LPA</t>
  </si>
  <si>
    <t>Fail</t>
  </si>
  <si>
    <t>Rejected</t>
  </si>
  <si>
    <t>RPO — SLA &amp; KPI PERFORMANCE DASHBOARD</t>
  </si>
  <si>
    <t>Auto-calculated from Requisition Tracker | Review monthly with client</t>
  </si>
  <si>
    <t>KEY PERFORMANCE INDICATORS — SUMMARY</t>
  </si>
  <si>
    <t>KPI Metric</t>
  </si>
  <si>
    <t>Definition</t>
  </si>
  <si>
    <t>Target / SLA</t>
  </si>
  <si>
    <t>Current Period</t>
  </si>
  <si>
    <t>Achievement</t>
  </si>
  <si>
    <t>Status</t>
  </si>
  <si>
    <t>Trend</t>
  </si>
  <si>
    <t>Action Required / Remarks</t>
  </si>
  <si>
    <t>Time-to-Fill (TAT)</t>
  </si>
  <si>
    <t>Avg days from req raised to offer accepted</t>
  </si>
  <si>
    <t>≤ 30 days</t>
  </si>
  <si>
    <t>25 days</t>
  </si>
  <si>
    <t>✅ Met</t>
  </si>
  <si>
    <t>↓ Improving</t>
  </si>
  <si>
    <t>Monitor for spike in critical roles</t>
  </si>
  <si>
    <t>Submission-to-Select Ratio</t>
  </si>
  <si>
    <t>Profiles submitted vs positions filled</t>
  </si>
  <si>
    <t>≤ 5:1</t>
  </si>
  <si>
    <t>6:1</t>
  </si>
  <si>
    <t>⚠️ At Risk</t>
  </si>
  <si>
    <t>→ Stable</t>
  </si>
  <si>
    <t>Improve sourcing quality</t>
  </si>
  <si>
    <t>Offer Acceptance Rate</t>
  </si>
  <si>
    <t>Offers accepted / Offers released</t>
  </si>
  <si>
    <t>≥ 80%</t>
  </si>
  <si>
    <t>75%</t>
  </si>
  <si>
    <t>↑ Improving</t>
  </si>
  <si>
    <t>Review offer fitment &amp; negotiation</t>
  </si>
  <si>
    <t>Interview-to-Offer Ratio</t>
  </si>
  <si>
    <t>Interviews conducted vs offers made</t>
  </si>
  <si>
    <t>≤ 4:1</t>
  </si>
  <si>
    <t>3.5:1</t>
  </si>
  <si>
    <t>Maintain quality screening</t>
  </si>
  <si>
    <t>Attrition within 90 Days</t>
  </si>
  <si>
    <t>Joiners who leave within 90 days</t>
  </si>
  <si>
    <t>≤ 5%</t>
  </si>
  <si>
    <t>0%</t>
  </si>
  <si>
    <t>Continue onboarding support</t>
  </si>
  <si>
    <t>Recruiter Productivity (RPH)</t>
  </si>
  <si>
    <t>Positions handled per recruiter/month</t>
  </si>
  <si>
    <t>≥ 8</t>
  </si>
  <si>
    <t>10</t>
  </si>
  <si>
    <t>Recognize top performers</t>
  </si>
  <si>
    <t>Diversity Hire %</t>
  </si>
  <si>
    <t>% female / minority candidates placed</t>
  </si>
  <si>
    <t>≥ 30%</t>
  </si>
  <si>
    <t>22%</t>
  </si>
  <si>
    <t>🔴 Below</t>
  </si>
  <si>
    <t>Source from diversity-focused portals</t>
  </si>
  <si>
    <t>Client Satisfaction Score</t>
  </si>
  <si>
    <t>Monthly survey from client SPOC</t>
  </si>
  <si>
    <t>≥ 4.0/5.0</t>
  </si>
  <si>
    <t>4.2/5.0</t>
  </si>
  <si>
    <t>Maintain communication cadence</t>
  </si>
  <si>
    <t>RECRUITER PERFORMANCE SUMMARY</t>
  </si>
  <si>
    <t>Recruiter Name</t>
  </si>
  <si>
    <t>Positions Assigned</t>
  </si>
  <si>
    <t>Active Reqs</t>
  </si>
  <si>
    <t>Profiles Sourced</t>
  </si>
  <si>
    <t>Submissions Made</t>
  </si>
  <si>
    <t>Interviews Facilitated</t>
  </si>
  <si>
    <t>Offers Released</t>
  </si>
  <si>
    <t>Joiners</t>
  </si>
  <si>
    <t>Avg TAT</t>
  </si>
  <si>
    <t>Performance Rating</t>
  </si>
  <si>
    <t>24 days</t>
  </si>
  <si>
    <t>⭐⭐⭐⭐⭐</t>
  </si>
  <si>
    <t>28 days</t>
  </si>
  <si>
    <t>⭐⭐⭐⭐</t>
  </si>
  <si>
    <t>22 days</t>
  </si>
  <si>
    <t>32 days</t>
  </si>
  <si>
    <t>⭐⭐⭐</t>
  </si>
  <si>
    <t>35 days</t>
  </si>
  <si>
    <t>RPO — MINUTES OF MEETING (MOM) LOG</t>
  </si>
  <si>
    <t>Log all client calls, review meetings, and governance discussions | Action items must have owners &amp; due dates</t>
  </si>
  <si>
    <t>MOM ID</t>
  </si>
  <si>
    <t>Meeting Date</t>
  </si>
  <si>
    <t>Meeting Type
(Weekly/Monthly/
Ad-hoc)</t>
  </si>
  <si>
    <t>Attendees
(Client + Taggd)</t>
  </si>
  <si>
    <t>Agenda / Topics Discussed</t>
  </si>
  <si>
    <t>Key Discussion Points &amp; Decisions</t>
  </si>
  <si>
    <t>Action Items</t>
  </si>
  <si>
    <t>Owner</t>
  </si>
  <si>
    <t>Due Date</t>
  </si>
  <si>
    <t>Status
(Open/Closed)</t>
  </si>
  <si>
    <t>MOM-001</t>
  </si>
  <si>
    <t>Weekly Sync</t>
  </si>
  <si>
    <t>Client: Rajesh Kumar
Taggd: Priya Nair, Amit Sharma</t>
  </si>
  <si>
    <t>1. Open positions review
2. SLA performance
3. Upcoming mandates</t>
  </si>
  <si>
    <t>- 3 new reqs to be raised by 5-Apr
- TAT for REQ-001 is within target
- Client happy with submission quality</t>
  </si>
  <si>
    <t>Share updated JDs for 3 new roles</t>
  </si>
  <si>
    <t>Closed</t>
  </si>
  <si>
    <t>MOM-002</t>
  </si>
  <si>
    <t>Client: Rajesh Kumar
Taggd: Priya Nair</t>
  </si>
  <si>
    <t>1. Interview scheduling delays
2. Offer drop review</t>
  </si>
  <si>
    <t>- L2 interviews to be completed by 12-Apr
- One offer drop due to counter-offer</t>
  </si>
  <si>
    <t>Coordinate with panel for L2 slots</t>
  </si>
  <si>
    <t>MOM-003</t>
  </si>
  <si>
    <t>15-Apr-2026</t>
  </si>
  <si>
    <t>Monthly Review</t>
  </si>
  <si>
    <t>Client: Rajesh Kumar, Meena Iyer
Taggd: Priya Nair, Amit Sharma, TL</t>
  </si>
  <si>
    <t>1. Monthly KPI review
2. Diversity hiring
3. Q2 plan</t>
  </si>
  <si>
    <t>- TAT avg 25 days vs 30 day SLA - on track
- Need to improve diversity %
- 12 new reqs expected in Q2</t>
  </si>
  <si>
    <t>Prepare diversity sourcing plan; Share Q2 hiring roadmap by 22-Apr</t>
  </si>
  <si>
    <t>22-Apr-2026</t>
  </si>
  <si>
    <t>Open</t>
  </si>
  <si>
    <t>RPO — OFFER &amp; ONBOARDING TRACKER</t>
  </si>
  <si>
    <t>Track offer letters, joining dates, and early-life retention | Flag risks proactively</t>
  </si>
  <si>
    <t>CANDIDATE &amp; ROLE DETAILS</t>
  </si>
  <si>
    <t>ONBOARDING &amp; RETENTION</t>
  </si>
  <si>
    <t>★ EXTENDED OFFER</t>
  </si>
  <si>
    <t>★ CANDIDATE DETAILS</t>
  </si>
  <si>
    <t>★ TEAM</t>
  </si>
  <si>
    <t>Candidate Name</t>
  </si>
  <si>
    <t>Client</t>
  </si>
  <si>
    <t>Role</t>
  </si>
  <si>
    <t>Offered CTC
(₹ LPA)</t>
  </si>
  <si>
    <t>Offer Date</t>
  </si>
  <si>
    <t>Offer
Accepted?</t>
  </si>
  <si>
    <t>Decline
Reason
(if any)</t>
  </si>
  <si>
    <t>Expected DOJ</t>
  </si>
  <si>
    <t>Joining
Status</t>
  </si>
  <si>
    <t>30-Day
Check-in</t>
  </si>
  <si>
    <t>60-Day
Check-in</t>
  </si>
  <si>
    <t>90-Day
Retention</t>
  </si>
  <si>
    <t>Early Exit
Risk Flag</t>
  </si>
  <si>
    <t>★ Offered Gross CTC</t>
  </si>
  <si>
    <t>★ Offered STVS</t>
  </si>
  <si>
    <t>★ % Hike Offered</t>
  </si>
  <si>
    <t>★ Deviation</t>
  </si>
  <si>
    <t>★ Deviation Comments</t>
  </si>
  <si>
    <t>★ Letter Sent Date</t>
  </si>
  <si>
    <t>★ Letter Accepted Date</t>
  </si>
  <si>
    <t>★ BGV Date</t>
  </si>
  <si>
    <t>★ BGV Status</t>
  </si>
  <si>
    <t>★ Candidate Staff No.</t>
  </si>
  <si>
    <t>★ Recruiter Name</t>
  </si>
  <si>
    <t>Sr. Software Eng.</t>
  </si>
  <si>
    <t>Yes</t>
  </si>
  <si>
    <t>Confirmed</t>
  </si>
  <si>
    <t>Pending</t>
  </si>
  <si>
    <t>🟢 Low</t>
  </si>
  <si>
    <t>M&amp;M</t>
  </si>
  <si>
    <t>🟡 Watch</t>
  </si>
  <si>
    <t>CAND-006</t>
  </si>
  <si>
    <t>Rita Sharma</t>
  </si>
  <si>
    <t>Wipro</t>
  </si>
  <si>
    <t>14 LPA</t>
  </si>
  <si>
    <t>19-Apr-2026</t>
  </si>
  <si>
    <t>No</t>
  </si>
  <si>
    <t>Counter-offer from current employer</t>
  </si>
  <si>
    <t>Declined</t>
  </si>
  <si>
    <t>N/A</t>
  </si>
  <si>
    <t>🔴 Dropped</t>
  </si>
  <si>
    <t>RPO TEMPLATE — USER GUIDE &amp; LEGEND</t>
  </si>
  <si>
    <t>📋 SHEETS OVERVIEW</t>
  </si>
  <si>
    <t>1. Requisition Tracker — Master log of all open/closed job requisitions. One row per requirement. Fill from column A to V.</t>
  </si>
  <si>
    <t>2. Candidate Tracker — Detailed pipeline for every candidate. Link to Req ID from Sheet 1. Update status after every touchpoint.</t>
  </si>
  <si>
    <t>3. SLA &amp; KPI Dashboard — Summary performance view. KPIs auto-update based on data in other sheets. Review with client monthly.</t>
  </si>
  <si>
    <t>4. Client MOM — Log all client interactions. Every action item must have an owner and due date. Close items as they are resolved.</t>
  </si>
  <si>
    <t>5. Offer &amp; Onboarding Tracker — Track offer release, acceptance, joining, and 30/60/90 day check-ins for retention.</t>
  </si>
  <si>
    <t>🎨 COLOR LEGEND</t>
  </si>
  <si>
    <t>✅ Green / Met</t>
  </si>
  <si>
    <t>⚠️ Yellow / At Risk</t>
  </si>
  <si>
    <t>🔴 Red / Below Target</t>
  </si>
  <si>
    <t>🟢 Low Risk</t>
  </si>
  <si>
    <t>🟡 Watch / Monitor</t>
  </si>
  <si>
    <t>🔴 High Risk / Dropped</t>
  </si>
  <si>
    <t>📌 BEST PRACTICES &amp; DATA ENTRY TIPS</t>
  </si>
  <si>
    <t>✔ Use dropdown lists wherever available (Priority, Status, Job Type columns have built-in dropdowns)</t>
  </si>
  <si>
    <t>✔ Always enter dates in DD-MMM-YYYY format (e.g., 01-Apr-2026) for consistency</t>
  </si>
  <si>
    <t>✔ Req. ID format: REQ-001, REQ-002 | Candidate ID: CAND-001, CAND-002 | MOM ID: MOM-001</t>
  </si>
  <si>
    <t>✔ TAT (days) in Requisition Tracker auto-calculates from Date Raised to Actual Closure Date</t>
  </si>
  <si>
    <t>✔ Update Candidate Stage after every interaction — this drives the KPI dashboard accuracy</t>
  </si>
  <si>
    <t>✔ Link Candidate IDs in Offer Tracker to rows in Candidate Tracker for easy cross-reference</t>
  </si>
  <si>
    <t>✔ Log every client call in MOM, even informal ones — it creates audit trail for governance</t>
  </si>
  <si>
    <t>✔ Flag Early Exit Risk proactively — use 🟢 Low / 🟡 Watch / 🔴 High Risk consistently</t>
  </si>
  <si>
    <t>✔ Archive closed requisitions monthly to keep the tracker lean and fast</t>
  </si>
  <si>
    <t>✔ Share the KPI Dashboard tab only with client — use 'Hide' on other sheets for internal use</t>
  </si>
  <si>
    <t>★ NEWLY ADDED COLUMNS — FROM TRACKER_HEADERS.XLSX</t>
  </si>
  <si>
    <t>★ = Gold / Amber header</t>
  </si>
  <si>
    <t>Columns added from Tracker_Headers.xlsx — not in original template</t>
  </si>
  <si>
    <t>Requisition Tracker</t>
  </si>
  <si>
    <t>30 new columns in 7 groups: Position Details, Hiring Team, Key Dates, Ageing &amp; SLA, Offer &amp; Financials, Candidate (Filled), Process/Misc</t>
  </si>
  <si>
    <t>Candidate Tracker</t>
  </si>
  <si>
    <t>33 new columns in 6 groups: Additional Profile, Previous CTC, Extended Interview, Process Dates, Offer Extras, Team &amp; Tracking</t>
  </si>
  <si>
    <t>Offer &amp; Onboarding</t>
  </si>
  <si>
    <t>24 new columns in 4 groups: Extended Offer (CTC/Hike/Deviation), Process Dates (BGV/LOI/C&amp;B), Candidate Details, Team</t>
  </si>
  <si>
    <t>SLA &amp; KPI / Client MOM</t>
  </si>
  <si>
    <t>No changes — these sheets were already comprehensive in the template</t>
  </si>
  <si>
    <t>On-Roll/Off-Role</t>
  </si>
  <si>
    <t>Documentation Date</t>
  </si>
  <si>
    <t>Offer released Date</t>
  </si>
  <si>
    <t>Offer Acceptance Date</t>
  </si>
  <si>
    <t>Hiring Manager</t>
  </si>
  <si>
    <t>Requisition date</t>
  </si>
  <si>
    <t>Intake meeting date</t>
  </si>
  <si>
    <t>HM Screening Date</t>
  </si>
  <si>
    <t>L1 Interview Date</t>
  </si>
  <si>
    <t>L1 Interview Feedback  Date</t>
  </si>
  <si>
    <t>L2 Interview Date</t>
  </si>
  <si>
    <t>L2 Interview Feedback Date</t>
  </si>
  <si>
    <t>L3 Interview Date</t>
  </si>
  <si>
    <t>L3 Interview Feedback Date</t>
  </si>
  <si>
    <t>Test Allocation Date</t>
  </si>
  <si>
    <t>Test Complete Date</t>
  </si>
  <si>
    <t>HR/Final Interview Date</t>
  </si>
  <si>
    <t>Final Feedback Date</t>
  </si>
  <si>
    <t>Sent for MD approval</t>
  </si>
  <si>
    <t>MD approval on</t>
  </si>
  <si>
    <t>Offer Letter Shared Date</t>
  </si>
  <si>
    <t>Offer Decline date</t>
  </si>
  <si>
    <t>Relocation Yes/No</t>
  </si>
  <si>
    <t>Preferred Location</t>
  </si>
  <si>
    <t>Date Of Birth</t>
  </si>
  <si>
    <t>Shared with Vendor Yes/No</t>
  </si>
  <si>
    <t xml:space="preserve">Resignation shared Date </t>
  </si>
  <si>
    <t>Relevant Experience (in Yrs)</t>
  </si>
  <si>
    <t> Expected CTC</t>
  </si>
  <si>
    <t>Skills</t>
  </si>
  <si>
    <t>Hold Date 1</t>
  </si>
  <si>
    <t>Hold Date 2</t>
  </si>
  <si>
    <t>Hold Date 3</t>
  </si>
  <si>
    <t>Re - Open Date 1</t>
  </si>
  <si>
    <t>Re - Open Date 2</t>
  </si>
  <si>
    <t>Re - Open Date 3</t>
  </si>
  <si>
    <t>Sector Acto/Non Auto</t>
  </si>
  <si>
    <t>Domicile</t>
  </si>
  <si>
    <t>Function/BU</t>
  </si>
  <si>
    <t>Stage Wise Ageing (CV shared to L1/L2//L3)</t>
  </si>
  <si>
    <t>Stage wise CVs Count</t>
  </si>
  <si>
    <t>Others</t>
  </si>
  <si>
    <t>Required Mapping for BU/SBG/Vertical</t>
  </si>
  <si>
    <t>Interview Stage</t>
  </si>
  <si>
    <t>Who Take the Interview, Customer, Hiring Manager. Internal</t>
  </si>
  <si>
    <t>How would know, no CV shared on req after received date</t>
  </si>
  <si>
    <t>First CV Share Date</t>
  </si>
  <si>
    <t>0-2 Days</t>
  </si>
  <si>
    <t>3-5 Days</t>
  </si>
  <si>
    <t>6-9 Days</t>
  </si>
  <si>
    <t>&gt;10 Days</t>
  </si>
  <si>
    <t>First CV Shared Ageing bucket</t>
  </si>
  <si>
    <t>CTC Drop Down</t>
  </si>
  <si>
    <t>Employement Type</t>
  </si>
  <si>
    <t>Contractual</t>
  </si>
  <si>
    <t>Full Time</t>
  </si>
  <si>
    <t>Trainee</t>
  </si>
  <si>
    <t>Apprentice</t>
  </si>
  <si>
    <t>Duration</t>
  </si>
  <si>
    <t>Duration Drop Down</t>
  </si>
  <si>
    <t>Free Text</t>
  </si>
  <si>
    <t>Source of Hire</t>
  </si>
  <si>
    <t>ER</t>
  </si>
  <si>
    <t>IJP</t>
  </si>
  <si>
    <t>Transferred</t>
  </si>
  <si>
    <t>RPO</t>
  </si>
  <si>
    <t>Direct</t>
  </si>
  <si>
    <t>Linkdine</t>
  </si>
  <si>
    <t>TARA</t>
  </si>
  <si>
    <t>Foundit</t>
  </si>
  <si>
    <t>Shine</t>
  </si>
  <si>
    <t>Taggd DBA</t>
  </si>
  <si>
    <t>Other's</t>
  </si>
  <si>
    <t>RPO Dropdown</t>
  </si>
  <si>
    <t>Customer</t>
  </si>
  <si>
    <t>Taggd Person</t>
  </si>
  <si>
    <t>Interview Penalist</t>
  </si>
  <si>
    <t>Interview Penalist Name</t>
  </si>
  <si>
    <t>CTC Range</t>
  </si>
  <si>
    <t>300000-500000 Lac</t>
  </si>
  <si>
    <t>500000-700000 Lac</t>
  </si>
  <si>
    <t>700000-900000 Lac</t>
  </si>
  <si>
    <t>900000-1200000 Lac</t>
  </si>
  <si>
    <t>1200000-1500000 Lac</t>
  </si>
  <si>
    <t>1500000-2000000 Lac</t>
  </si>
  <si>
    <t>2000000-2500000 Lac</t>
  </si>
  <si>
    <t>2500000-3000000 Lac</t>
  </si>
  <si>
    <t>3000000-4000000 Lac</t>
  </si>
  <si>
    <t>4000000-5000000 Lac</t>
  </si>
  <si>
    <t>&gt; 5000000 Lac</t>
  </si>
  <si>
    <t>0-3 Year</t>
  </si>
  <si>
    <t>3-5 Year</t>
  </si>
  <si>
    <t>9-13 Year</t>
  </si>
  <si>
    <t>5-9 Year</t>
  </si>
  <si>
    <t>13-15 Year</t>
  </si>
  <si>
    <t>15-20 Year</t>
  </si>
  <si>
    <t>&gt;20 Year</t>
  </si>
  <si>
    <t>Aprantice</t>
  </si>
  <si>
    <t>Source Of Hire</t>
  </si>
  <si>
    <t>Sub Source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</si>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</sst>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375623"/>
      <name val="Arial"/>
      <family val="2"/>
    </font>
    <font>
      <b/>
      <sz val="9"/>
      <color rgb="FF7F6000"/>
      <name val="Arial"/>
      <family val="2"/>
    </font>
    <font>
      <b/>
      <sz val="9"/>
      <color rgb="FFC00000"/>
      <name val="Arial"/>
      <family val="2"/>
    </font>
    <font>
      <b/>
      <sz val="11"/>
      <color rgb="FFFFFFFF"/>
      <name val="Arial"/>
      <family val="2"/>
    </font>
    <font>
      <sz val="9"/>
      <color rgb="FF1F3864"/>
      <name val="Arial"/>
      <family val="2"/>
    </font>
    <font>
      <b/>
      <sz val="9"/>
      <color rgb="FF7D6608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2E4057"/>
        <bgColor rgb="FF1F3864"/>
      </patternFill>
    </fill>
    <fill>
      <patternFill patternType="solid">
        <fgColor rgb="FF375623"/>
        <bgColor rgb="FF2E4057"/>
      </patternFill>
    </fill>
    <fill>
      <patternFill patternType="solid">
        <fgColor rgb="FFE36C09"/>
        <bgColor rgb="FFC55A11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E36C09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3CD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6A0572"/>
      </patternFill>
    </fill>
    <fill>
      <patternFill patternType="solid">
        <fgColor rgb="FFB8860B"/>
      </patternFill>
    </fill>
    <fill>
      <patternFill patternType="solid">
        <fgColor rgb="FFFFFDE7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E2EFDA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2" fillId="15" borderId="2" xfId="0" applyFont="1" applyFill="1" applyBorder="1" applyAlignment="1">
      <alignment horizontal="center" vertical="center" wrapText="1"/>
    </xf>
    <xf numFmtId="0" fontId="12" fillId="20" borderId="0" xfId="0" applyFont="1" applyFill="1"/>
    <xf numFmtId="0" fontId="4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0" borderId="2" xfId="0" applyFont="1" applyFill="1" applyBorder="1"/>
    <xf numFmtId="0" fontId="5" fillId="11" borderId="2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6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/>
    </xf>
    <xf numFmtId="0" fontId="0" fillId="11" borderId="2" xfId="0" applyFill="1" applyBorder="1"/>
    <xf numFmtId="0" fontId="5" fillId="12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16" fillId="15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2" fillId="15" borderId="8" xfId="0" applyFont="1" applyFill="1" applyBorder="1" applyAlignment="1">
      <alignment horizontal="center" vertical="center" wrapText="1"/>
    </xf>
    <xf numFmtId="0" fontId="12" fillId="2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3" borderId="0" xfId="0" applyFill="1"/>
    <xf numFmtId="0" fontId="5" fillId="24" borderId="2" xfId="0" applyFont="1" applyFill="1" applyBorder="1" applyAlignment="1">
      <alignment horizontal="center" vertical="center" wrapText="1"/>
    </xf>
    <xf numFmtId="0" fontId="0" fillId="25" borderId="0" xfId="0" applyFill="1"/>
    <xf numFmtId="0" fontId="3" fillId="4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13" fillId="18" borderId="2" xfId="0" applyFont="1" applyFill="1" applyBorder="1" applyAlignment="1">
      <alignment horizontal="center" vertical="center"/>
    </xf>
    <xf numFmtId="0" fontId="0" fillId="0" borderId="4" xfId="0" applyBorder="1"/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indent="1"/>
    </xf>
    <xf numFmtId="0" fontId="3" fillId="4" borderId="3" xfId="0" applyFont="1" applyFill="1" applyBorder="1" applyAlignment="1">
      <alignment horizontal="center" vertical="center" wrapText="1"/>
    </xf>
    <xf numFmtId="0" fontId="18" fillId="22" borderId="7" xfId="0" applyFont="1" applyFill="1" applyBorder="1" applyAlignment="1">
      <alignment horizontal="center"/>
    </xf>
    <xf numFmtId="0" fontId="18" fillId="22" borderId="0" xfId="0" applyFont="1" applyFill="1" applyAlignment="1">
      <alignment horizontal="center"/>
    </xf>
    <xf numFmtId="0" fontId="13" fillId="1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7" fillId="21" borderId="7" xfId="0" applyFont="1" applyFill="1" applyBorder="1" applyAlignment="1">
      <alignment horizontal="center" vertical="center"/>
    </xf>
    <xf numFmtId="0" fontId="17" fillId="21" borderId="0" xfId="0" applyFont="1" applyFill="1" applyAlignment="1">
      <alignment horizontal="center" vertical="center"/>
    </xf>
    <xf numFmtId="0" fontId="5" fillId="11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20" borderId="0" xfId="0" applyFont="1" applyFill="1"/>
    <xf numFmtId="0" fontId="7" fillId="12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 wrapText="1" indent="1"/>
    </xf>
    <xf numFmtId="0" fontId="5" fillId="11" borderId="0" xfId="0" applyFont="1" applyFill="1" applyAlignment="1">
      <alignment horizontal="left" vertical="center" wrapText="1" indent="1"/>
    </xf>
    <xf numFmtId="0" fontId="8" fillId="13" borderId="1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left" vertical="center" wrapText="1" indent="1"/>
    </xf>
    <xf numFmtId="0" fontId="9" fillId="14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 wrapText="1" indent="1"/>
    </xf>
    <xf numFmtId="0" fontId="14" fillId="1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36C09"/>
      <rgbColor rgb="FF666699"/>
      <rgbColor rgb="FF969696"/>
      <rgbColor rgb="FF1F3864"/>
      <rgbColor rgb="FF339966"/>
      <rgbColor rgb="FF003300"/>
      <rgbColor rgb="FF375623"/>
      <rgbColor rgb="FFC55A11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CJ28"/>
  <sheetViews>
    <sheetView showGridLines="0" topLeftCell="BH1" zoomScaleNormal="100" workbookViewId="0">
      <pane ySplit="3" topLeftCell="A4" activePane="bottomLeft" state="frozen"/>
      <selection pane="bottomLeft" activeCell="BZ3" sqref="BZ3"/>
    </sheetView>
  </sheetViews>
  <sheetFormatPr defaultColWidth="8.54296875" defaultRowHeight="14.5" x14ac:dyDescent="0.35"/>
  <cols>
    <col min="1" max="1" width="10" customWidth="1"/>
    <col min="2" max="2" width="18" customWidth="1"/>
    <col min="3" max="10" width="12" customWidth="1"/>
    <col min="11" max="11" width="9.6328125" customWidth="1"/>
    <col min="12" max="12" width="12" customWidth="1"/>
    <col min="13" max="13" width="22" customWidth="1"/>
    <col min="14" max="14" width="16" customWidth="1"/>
    <col min="15" max="15" width="12" customWidth="1"/>
    <col min="16" max="18" width="8" customWidth="1"/>
    <col min="19" max="20" width="10" customWidth="1"/>
    <col min="21" max="22" width="8" customWidth="1"/>
    <col min="23" max="23" width="16" customWidth="1"/>
    <col min="24" max="24" width="14" customWidth="1"/>
    <col min="25" max="26" width="16" customWidth="1"/>
    <col min="27" max="27" width="20" customWidth="1"/>
    <col min="28" max="29" width="16" customWidth="1"/>
    <col min="30" max="30" width="14" customWidth="1"/>
    <col min="31" max="31" width="12" customWidth="1"/>
    <col min="32" max="32" width="14" customWidth="1"/>
    <col min="33" max="33" width="18" customWidth="1"/>
    <col min="34" max="35" width="16" customWidth="1"/>
    <col min="36" max="37" width="18" customWidth="1"/>
    <col min="38" max="38" width="20" customWidth="1"/>
    <col min="39" max="43" width="16" customWidth="1"/>
    <col min="44" max="45" width="14" customWidth="1"/>
    <col min="46" max="46" width="16" customWidth="1"/>
    <col min="47" max="47" width="12" customWidth="1"/>
    <col min="48" max="49" width="10" customWidth="1"/>
    <col min="50" max="52" width="14" customWidth="1"/>
    <col min="53" max="53" width="10" customWidth="1"/>
    <col min="54" max="54" width="22" customWidth="1"/>
    <col min="55" max="55" width="10" customWidth="1"/>
    <col min="56" max="56" width="16" customWidth="1"/>
    <col min="57" max="57" width="22" customWidth="1"/>
    <col min="58" max="58" width="24" customWidth="1"/>
    <col min="59" max="59" width="20" customWidth="1"/>
  </cols>
  <sheetData>
    <row r="1" spans="1:88" ht="34.5" customHeight="1" x14ac:dyDescent="0.3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 spans="1:88" ht="21.75" customHeight="1" x14ac:dyDescent="0.35">
      <c r="A2" s="45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37"/>
      <c r="L2" s="37"/>
      <c r="M2" s="45" t="s">
        <v>2</v>
      </c>
      <c r="N2" s="39"/>
      <c r="O2" s="39"/>
      <c r="P2" s="46" t="s">
        <v>4</v>
      </c>
      <c r="Q2" s="52"/>
      <c r="R2" s="39"/>
      <c r="S2" s="39"/>
      <c r="T2" s="42" t="s">
        <v>5</v>
      </c>
      <c r="U2" s="39"/>
      <c r="V2" s="39"/>
      <c r="W2" s="53" t="s">
        <v>6</v>
      </c>
      <c r="X2" s="39"/>
      <c r="Y2" s="51" t="s">
        <v>7</v>
      </c>
      <c r="Z2" s="54"/>
      <c r="AA2" s="39"/>
      <c r="AB2" s="39"/>
      <c r="AC2" s="39"/>
      <c r="AD2" s="39"/>
      <c r="AE2" s="39"/>
      <c r="AF2" s="44"/>
      <c r="AG2" s="51" t="s">
        <v>8</v>
      </c>
      <c r="AH2" s="39"/>
      <c r="AI2" s="39"/>
      <c r="AJ2" s="39"/>
      <c r="AK2" s="44"/>
      <c r="AL2" s="51" t="s">
        <v>9</v>
      </c>
      <c r="AM2" s="39"/>
      <c r="AN2" s="39"/>
      <c r="AO2" s="39"/>
      <c r="AP2" s="39"/>
      <c r="AQ2" s="44"/>
      <c r="AR2" s="51" t="s">
        <v>10</v>
      </c>
      <c r="AS2" s="39"/>
      <c r="AT2" s="39"/>
      <c r="AU2" s="39"/>
      <c r="AV2" s="39"/>
      <c r="AW2" s="39"/>
      <c r="AX2" s="51" t="s">
        <v>11</v>
      </c>
      <c r="AY2" s="39"/>
      <c r="AZ2" s="39"/>
      <c r="BA2" s="44"/>
      <c r="BB2" s="51" t="s">
        <v>12</v>
      </c>
      <c r="BC2" s="39"/>
      <c r="BD2" s="39"/>
      <c r="BE2" s="44"/>
      <c r="BF2" s="51" t="s">
        <v>13</v>
      </c>
      <c r="BG2" s="44"/>
      <c r="BH2" s="49" t="s">
        <v>454</v>
      </c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</row>
    <row r="3" spans="1:88" ht="49.5" customHeight="1" x14ac:dyDescent="0.35">
      <c r="A3" s="3" t="s">
        <v>14</v>
      </c>
      <c r="B3" s="3" t="s">
        <v>15</v>
      </c>
      <c r="C3" s="3" t="s">
        <v>16</v>
      </c>
      <c r="D3" s="3" t="s">
        <v>34</v>
      </c>
      <c r="E3" s="3" t="s">
        <v>35</v>
      </c>
      <c r="F3" s="3" t="s">
        <v>36</v>
      </c>
      <c r="G3" s="3" t="s">
        <v>17</v>
      </c>
      <c r="H3" s="4" t="s">
        <v>21</v>
      </c>
      <c r="I3" s="4" t="s">
        <v>22</v>
      </c>
      <c r="J3" s="4" t="s">
        <v>23</v>
      </c>
      <c r="K3" s="4" t="s">
        <v>511</v>
      </c>
      <c r="L3" s="4" t="s">
        <v>512</v>
      </c>
      <c r="M3" s="3" t="s">
        <v>18</v>
      </c>
      <c r="N3" s="3" t="s">
        <v>19</v>
      </c>
      <c r="O3" s="3" t="s">
        <v>20</v>
      </c>
      <c r="P3" s="5" t="s">
        <v>24</v>
      </c>
      <c r="Q3" s="5" t="s">
        <v>459</v>
      </c>
      <c r="R3" s="5" t="s">
        <v>25</v>
      </c>
      <c r="S3" s="5" t="s">
        <v>26</v>
      </c>
      <c r="T3" s="6" t="s">
        <v>27</v>
      </c>
      <c r="U3" s="6" t="s">
        <v>28</v>
      </c>
      <c r="V3" s="6" t="s">
        <v>29</v>
      </c>
      <c r="W3" s="7" t="s">
        <v>30</v>
      </c>
      <c r="X3" s="7" t="s">
        <v>31</v>
      </c>
      <c r="Y3" s="1" t="s">
        <v>32</v>
      </c>
      <c r="Z3" s="29" t="s">
        <v>413</v>
      </c>
      <c r="AA3" s="1" t="s">
        <v>33</v>
      </c>
      <c r="AB3" s="32" t="s">
        <v>34</v>
      </c>
      <c r="AC3" s="32" t="s">
        <v>35</v>
      </c>
      <c r="AD3" s="32" t="s">
        <v>36</v>
      </c>
      <c r="AE3" s="1" t="s">
        <v>37</v>
      </c>
      <c r="AF3" s="1" t="s">
        <v>38</v>
      </c>
      <c r="AG3" s="1" t="s">
        <v>39</v>
      </c>
      <c r="AH3" s="1" t="s">
        <v>40</v>
      </c>
      <c r="AI3" s="1" t="s">
        <v>41</v>
      </c>
      <c r="AJ3" s="1" t="s">
        <v>42</v>
      </c>
      <c r="AK3" s="1" t="s">
        <v>43</v>
      </c>
      <c r="AL3" s="1" t="s">
        <v>44</v>
      </c>
      <c r="AM3" s="32" t="s">
        <v>45</v>
      </c>
      <c r="AN3" s="1" t="s">
        <v>46</v>
      </c>
      <c r="AO3" s="1" t="s">
        <v>47</v>
      </c>
      <c r="AP3" s="1" t="s">
        <v>48</v>
      </c>
      <c r="AQ3" s="1" t="s">
        <v>49</v>
      </c>
      <c r="AR3" s="32" t="s">
        <v>50</v>
      </c>
      <c r="AS3" s="1" t="s">
        <v>51</v>
      </c>
      <c r="AT3" s="1" t="s">
        <v>52</v>
      </c>
      <c r="AU3" s="1" t="s">
        <v>53</v>
      </c>
      <c r="AV3" s="31" t="s">
        <v>54</v>
      </c>
      <c r="AW3" s="31" t="s">
        <v>55</v>
      </c>
      <c r="AX3" s="1" t="s">
        <v>56</v>
      </c>
      <c r="AY3" s="1" t="s">
        <v>57</v>
      </c>
      <c r="AZ3" s="1" t="s">
        <v>58</v>
      </c>
      <c r="BA3" s="1" t="s">
        <v>60</v>
      </c>
      <c r="BB3" s="1" t="s">
        <v>61</v>
      </c>
      <c r="BC3" s="1" t="s">
        <v>62</v>
      </c>
      <c r="BD3" s="1" t="s">
        <v>63</v>
      </c>
      <c r="BE3" s="1" t="s">
        <v>64</v>
      </c>
      <c r="BF3" s="1" t="s">
        <v>65</v>
      </c>
      <c r="BG3" s="1" t="s">
        <v>66</v>
      </c>
      <c r="BH3" s="1" t="s">
        <v>414</v>
      </c>
      <c r="BI3" s="1" t="s">
        <v>415</v>
      </c>
      <c r="BJ3" s="1" t="s">
        <v>416</v>
      </c>
      <c r="BK3" s="1" t="s">
        <v>417</v>
      </c>
      <c r="BL3" s="1" t="s">
        <v>438</v>
      </c>
      <c r="BM3" s="1" t="s">
        <v>442</v>
      </c>
      <c r="BN3" s="1" t="s">
        <v>443</v>
      </c>
      <c r="BO3" s="1" t="s">
        <v>444</v>
      </c>
      <c r="BP3" s="1" t="s">
        <v>445</v>
      </c>
      <c r="BQ3" s="1" t="s">
        <v>446</v>
      </c>
      <c r="BR3" s="1" t="s">
        <v>447</v>
      </c>
      <c r="BS3" s="1" t="s">
        <v>448</v>
      </c>
      <c r="BT3" s="1" t="s">
        <v>449</v>
      </c>
      <c r="BU3" s="1" t="s">
        <v>450</v>
      </c>
      <c r="BV3" s="1" t="s">
        <v>453</v>
      </c>
      <c r="BZ3" t="s">
        <v>491</v>
      </c>
      <c r="CJ3" t="s">
        <v>512</v>
      </c>
    </row>
    <row r="4" spans="1:88" ht="19.5" customHeight="1" x14ac:dyDescent="0.35">
      <c r="A4" s="8" t="s">
        <v>67</v>
      </c>
      <c r="B4" s="9" t="s">
        <v>68</v>
      </c>
      <c r="C4" s="35" t="s">
        <v>69</v>
      </c>
      <c r="D4" s="35"/>
      <c r="E4" s="35"/>
      <c r="F4" s="35"/>
      <c r="G4" s="8" t="s">
        <v>70</v>
      </c>
      <c r="H4" s="8"/>
      <c r="I4" s="8"/>
      <c r="J4" s="8"/>
      <c r="K4" s="8"/>
      <c r="L4" s="8"/>
      <c r="M4" s="9" t="s">
        <v>71</v>
      </c>
      <c r="N4" s="9" t="s">
        <v>72</v>
      </c>
      <c r="O4" s="9" t="s">
        <v>73</v>
      </c>
      <c r="P4" s="8">
        <v>3</v>
      </c>
      <c r="Q4" s="8"/>
      <c r="R4" s="8">
        <v>42</v>
      </c>
      <c r="S4" s="8">
        <v>18</v>
      </c>
      <c r="T4" s="8">
        <v>8</v>
      </c>
      <c r="U4" s="8">
        <v>3</v>
      </c>
      <c r="V4" s="8">
        <v>2</v>
      </c>
      <c r="W4" s="9" t="s">
        <v>75</v>
      </c>
      <c r="X4" s="9" t="s">
        <v>76</v>
      </c>
      <c r="AB4" s="33"/>
      <c r="AV4" s="30">
        <f>AO4-AU4-AL4</f>
        <v>0</v>
      </c>
      <c r="AW4" s="30">
        <f>AP4-AV4-AL4</f>
        <v>0</v>
      </c>
      <c r="BZ4" t="s">
        <v>492</v>
      </c>
      <c r="CD4" t="s">
        <v>503</v>
      </c>
      <c r="CF4" t="s">
        <v>467</v>
      </c>
      <c r="CI4" t="s">
        <v>475</v>
      </c>
      <c r="CJ4" t="s">
        <v>513</v>
      </c>
    </row>
    <row r="5" spans="1:88" ht="19.5" customHeight="1" x14ac:dyDescent="0.35">
      <c r="A5" s="10" t="s">
        <v>77</v>
      </c>
      <c r="B5" s="11" t="s">
        <v>78</v>
      </c>
      <c r="C5" s="10" t="s">
        <v>79</v>
      </c>
      <c r="D5" s="10"/>
      <c r="E5" s="10"/>
      <c r="F5" s="10"/>
      <c r="G5" s="10" t="s">
        <v>80</v>
      </c>
      <c r="H5" s="8"/>
      <c r="I5" s="8"/>
      <c r="J5" s="8"/>
      <c r="K5" s="8"/>
      <c r="L5" s="8"/>
      <c r="M5" s="11" t="s">
        <v>81</v>
      </c>
      <c r="N5" s="11" t="s">
        <v>82</v>
      </c>
      <c r="O5" s="11" t="s">
        <v>83</v>
      </c>
      <c r="P5" s="10">
        <v>1</v>
      </c>
      <c r="Q5" s="10"/>
      <c r="R5" s="10">
        <v>28</v>
      </c>
      <c r="S5" s="10">
        <v>10</v>
      </c>
      <c r="T5" s="10">
        <v>4</v>
      </c>
      <c r="U5" s="10">
        <v>1</v>
      </c>
      <c r="V5" s="10">
        <v>1</v>
      </c>
      <c r="W5" s="11" t="s">
        <v>84</v>
      </c>
      <c r="X5" s="11" t="s">
        <v>85</v>
      </c>
      <c r="BZ5" t="s">
        <v>493</v>
      </c>
      <c r="CD5" t="s">
        <v>504</v>
      </c>
      <c r="CF5" t="s">
        <v>74</v>
      </c>
      <c r="CI5" t="s">
        <v>476</v>
      </c>
      <c r="CJ5" t="s">
        <v>481</v>
      </c>
    </row>
    <row r="6" spans="1:88" ht="19.5" customHeight="1" x14ac:dyDescent="0.35">
      <c r="A6" s="8" t="s">
        <v>86</v>
      </c>
      <c r="B6" s="9" t="s">
        <v>87</v>
      </c>
      <c r="C6" s="8" t="s">
        <v>88</v>
      </c>
      <c r="D6" s="8"/>
      <c r="E6" s="8"/>
      <c r="F6" s="8"/>
      <c r="G6" s="8" t="s">
        <v>89</v>
      </c>
      <c r="H6" s="8"/>
      <c r="I6" s="8"/>
      <c r="J6" s="8"/>
      <c r="K6" s="8"/>
      <c r="L6" s="8"/>
      <c r="M6" s="9" t="s">
        <v>90</v>
      </c>
      <c r="N6" s="9" t="s">
        <v>91</v>
      </c>
      <c r="O6" s="9" t="s">
        <v>92</v>
      </c>
      <c r="P6" s="8">
        <v>5</v>
      </c>
      <c r="Q6" s="8"/>
      <c r="R6" s="8">
        <v>65</v>
      </c>
      <c r="S6" s="8">
        <v>30</v>
      </c>
      <c r="T6" s="8">
        <v>15</v>
      </c>
      <c r="U6" s="8">
        <v>5</v>
      </c>
      <c r="V6" s="8">
        <v>3</v>
      </c>
      <c r="W6" s="9" t="s">
        <v>93</v>
      </c>
      <c r="X6" s="9" t="s">
        <v>94</v>
      </c>
      <c r="BZ6" t="s">
        <v>494</v>
      </c>
      <c r="CD6" t="s">
        <v>506</v>
      </c>
      <c r="CF6" t="s">
        <v>469</v>
      </c>
      <c r="CI6" t="s">
        <v>209</v>
      </c>
      <c r="CJ6" t="s">
        <v>173</v>
      </c>
    </row>
    <row r="7" spans="1:88" ht="19.5" customHeight="1" x14ac:dyDescent="0.35">
      <c r="A7" s="10" t="s">
        <v>95</v>
      </c>
      <c r="B7" s="11" t="s">
        <v>96</v>
      </c>
      <c r="C7" s="10" t="s">
        <v>97</v>
      </c>
      <c r="D7" s="10"/>
      <c r="E7" s="10"/>
      <c r="F7" s="10"/>
      <c r="G7" s="10" t="s">
        <v>80</v>
      </c>
      <c r="H7" s="8"/>
      <c r="I7" s="8"/>
      <c r="J7" s="8"/>
      <c r="K7" s="8"/>
      <c r="L7" s="8"/>
      <c r="M7" s="11" t="s">
        <v>98</v>
      </c>
      <c r="N7" s="11" t="s">
        <v>99</v>
      </c>
      <c r="O7" s="11" t="s">
        <v>100</v>
      </c>
      <c r="P7" s="10">
        <v>2</v>
      </c>
      <c r="Q7" s="10"/>
      <c r="R7" s="10">
        <v>35</v>
      </c>
      <c r="S7" s="10">
        <v>14</v>
      </c>
      <c r="T7" s="10">
        <v>6</v>
      </c>
      <c r="U7" s="10">
        <v>2</v>
      </c>
      <c r="V7" s="10">
        <v>0</v>
      </c>
      <c r="W7" s="11" t="s">
        <v>101</v>
      </c>
      <c r="X7" s="11" t="s">
        <v>102</v>
      </c>
      <c r="BZ7" t="s">
        <v>495</v>
      </c>
      <c r="CD7" t="s">
        <v>505</v>
      </c>
      <c r="CF7" t="s">
        <v>510</v>
      </c>
      <c r="CI7" t="s">
        <v>477</v>
      </c>
      <c r="CJ7" t="s">
        <v>482</v>
      </c>
    </row>
    <row r="8" spans="1:88" ht="19.5" customHeight="1" x14ac:dyDescent="0.35">
      <c r="A8" s="8" t="s">
        <v>103</v>
      </c>
      <c r="B8" s="9" t="s">
        <v>104</v>
      </c>
      <c r="C8" s="8" t="s">
        <v>105</v>
      </c>
      <c r="D8" s="8"/>
      <c r="E8" s="8"/>
      <c r="F8" s="8"/>
      <c r="G8" s="8" t="s">
        <v>106</v>
      </c>
      <c r="H8" s="8"/>
      <c r="I8" s="8"/>
      <c r="J8" s="8"/>
      <c r="K8" s="8"/>
      <c r="L8" s="8"/>
      <c r="M8" s="9" t="s">
        <v>107</v>
      </c>
      <c r="N8" s="9" t="s">
        <v>108</v>
      </c>
      <c r="O8" s="9" t="s">
        <v>73</v>
      </c>
      <c r="P8" s="8">
        <v>1</v>
      </c>
      <c r="Q8" s="8"/>
      <c r="R8" s="8">
        <v>20</v>
      </c>
      <c r="S8" s="8">
        <v>8</v>
      </c>
      <c r="T8" s="8">
        <v>3</v>
      </c>
      <c r="U8" s="8">
        <v>0</v>
      </c>
      <c r="V8" s="8">
        <v>0</v>
      </c>
      <c r="W8" s="9" t="s">
        <v>109</v>
      </c>
      <c r="X8" s="9" t="s">
        <v>110</v>
      </c>
      <c r="BZ8" t="s">
        <v>496</v>
      </c>
      <c r="CD8" t="s">
        <v>507</v>
      </c>
      <c r="CI8" t="s">
        <v>478</v>
      </c>
      <c r="CJ8" t="s">
        <v>483</v>
      </c>
    </row>
    <row r="9" spans="1:88" ht="19.5" customHeight="1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BZ9" t="s">
        <v>497</v>
      </c>
      <c r="CD9" t="s">
        <v>508</v>
      </c>
      <c r="CI9" t="s">
        <v>479</v>
      </c>
      <c r="CJ9" t="s">
        <v>484</v>
      </c>
    </row>
    <row r="10" spans="1:88" ht="19.5" customHeigh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BZ10" t="s">
        <v>498</v>
      </c>
      <c r="CD10" t="s">
        <v>509</v>
      </c>
      <c r="CJ10" t="s">
        <v>485</v>
      </c>
    </row>
    <row r="11" spans="1:88" ht="19.5" customHeight="1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BZ11" t="s">
        <v>499</v>
      </c>
    </row>
    <row r="12" spans="1:88" ht="19.5" customHeight="1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BZ12" t="s">
        <v>500</v>
      </c>
    </row>
    <row r="13" spans="1:88" ht="19.5" customHeight="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BZ13" t="s">
        <v>501</v>
      </c>
    </row>
    <row r="14" spans="1:88" ht="19.5" customHeight="1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BZ14" t="s">
        <v>502</v>
      </c>
    </row>
    <row r="15" spans="1:88" ht="19.5" customHeight="1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88" ht="19.5" customHeight="1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ht="19.5" customHeight="1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ht="19.5" customHeight="1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 ht="19.5" customHeight="1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ht="19.5" customHeight="1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 ht="19.5" customHeight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19.5" customHeight="1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 ht="19.5" customHeight="1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9.5" customHeight="1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 ht="19.5" customHeight="1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9.5" customHeight="1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 ht="19.5" customHeight="1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9.5" customHeight="1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</sheetData>
  <mergeCells count="14">
    <mergeCell ref="A2:J2"/>
    <mergeCell ref="BH2:BV2"/>
    <mergeCell ref="BF2:BG2"/>
    <mergeCell ref="BB2:BE2"/>
    <mergeCell ref="A1:X1"/>
    <mergeCell ref="M2:O2"/>
    <mergeCell ref="P2:S2"/>
    <mergeCell ref="AL2:AQ2"/>
    <mergeCell ref="T2:V2"/>
    <mergeCell ref="AG2:AK2"/>
    <mergeCell ref="W2:X2"/>
    <mergeCell ref="AR2:AW2"/>
    <mergeCell ref="AX2:BA2"/>
    <mergeCell ref="Y2:AF2"/>
  </mergeCells>
  <dataValidations count="7">
    <dataValidation type="list" sqref="X4:X49" xr:uid="{00000000-0002-0000-0000-000001000000}">
      <formula1>"New,Sourcing,Screening,Interview,Offer Stage,Offer Released,Joined,On Hold,Closed,Cancelled"</formula1>
      <formula2>0</formula2>
    </dataValidation>
    <dataValidation type="list" sqref="G4:G49 H9:L49" xr:uid="{00000000-0002-0000-0000-000000000000}">
      <formula1>"Critical,High,Medium,Low"</formula1>
      <formula2>0</formula2>
    </dataValidation>
    <dataValidation type="list" sqref="H4:H8" xr:uid="{0D4B7039-6E04-4926-9958-E0B7ED00E75E}">
      <formula1>$CF$4:$CF$7</formula1>
    </dataValidation>
    <dataValidation type="list" sqref="I4:I8" xr:uid="{336F883C-CB77-4285-AC3A-517BE83ADF7C}">
      <formula1>$CD$4:$CD$10</formula1>
    </dataValidation>
    <dataValidation type="list" sqref="J4:J8" xr:uid="{4C370285-60B8-4763-B349-F9C75CFED753}">
      <formula1>$BZ$4:$BZ$14</formula1>
    </dataValidation>
    <dataValidation type="list" sqref="K4:K8" xr:uid="{0259A02D-AB3C-42AE-BD4D-381A19CF82FD}">
      <formula1>$CI$4:$CI$9</formula1>
    </dataValidation>
    <dataValidation type="list" sqref="L4:L8" xr:uid="{7FF3471E-3424-4532-A7C8-4B07462E5673}">
      <formula1>$CJ$4:$CJ$10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CV33"/>
  <sheetViews>
    <sheetView showGridLines="0" tabSelected="1" topLeftCell="S1" zoomScaleNormal="100" workbookViewId="0">
      <pane ySplit="3" topLeftCell="A4" activePane="bottomLeft" state="frozen"/>
      <selection pane="bottomLeft" activeCell="V5" sqref="V5"/>
    </sheetView>
  </sheetViews>
  <sheetFormatPr defaultColWidth="8.54296875" defaultRowHeight="14.5" x14ac:dyDescent="0.35"/>
  <cols>
    <col min="1" max="2" width="10" customWidth="1"/>
    <col min="3" max="3" width="20" customWidth="1"/>
    <col min="4" max="7" width="14" customWidth="1"/>
    <col min="8" max="8" width="22" customWidth="1"/>
    <col min="9" max="10" width="14" customWidth="1"/>
    <col min="11" max="15" width="10" customWidth="1"/>
    <col min="16" max="17" width="16" customWidth="1"/>
    <col min="18" max="18" width="14" customWidth="1"/>
    <col min="19" max="19" width="10" customWidth="1"/>
    <col min="20" max="20" width="14" customWidth="1"/>
    <col min="21" max="21" width="12" customWidth="1"/>
    <col min="22" max="23" width="14" customWidth="1"/>
    <col min="24" max="25" width="16" customWidth="1"/>
    <col min="26" max="26" width="10" customWidth="1"/>
    <col min="27" max="30" width="18" customWidth="1"/>
    <col min="31" max="31" width="22" customWidth="1"/>
    <col min="32" max="32" width="20" customWidth="1"/>
    <col min="33" max="33" width="16" customWidth="1"/>
    <col min="34" max="36" width="18" customWidth="1"/>
    <col min="37" max="37" width="16" customWidth="1"/>
    <col min="38" max="39" width="22" customWidth="1"/>
    <col min="40" max="40" width="18" customWidth="1"/>
    <col min="41" max="44" width="16" customWidth="1"/>
    <col min="45" max="45" width="18" customWidth="1"/>
    <col min="46" max="46" width="20" customWidth="1"/>
    <col min="47" max="48" width="16" customWidth="1"/>
    <col min="49" max="49" width="24" customWidth="1"/>
    <col min="50" max="50" width="16" customWidth="1"/>
    <col min="51" max="51" width="20" customWidth="1"/>
    <col min="52" max="52" width="22" customWidth="1"/>
    <col min="53" max="53" width="16" customWidth="1"/>
    <col min="54" max="54" width="12" customWidth="1"/>
    <col min="55" max="55" width="16" customWidth="1"/>
    <col min="56" max="56" width="22" customWidth="1"/>
    <col min="75" max="75" width="12" customWidth="1"/>
    <col min="82" max="82" width="15.1796875" bestFit="1" customWidth="1"/>
  </cols>
  <sheetData>
    <row r="1" spans="1:100" ht="34.5" customHeight="1" x14ac:dyDescent="0.35">
      <c r="A1" s="40" t="s">
        <v>111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100" ht="21.75" customHeight="1" x14ac:dyDescent="0.35">
      <c r="A2" s="45" t="s">
        <v>112</v>
      </c>
      <c r="B2" s="48"/>
      <c r="C2" s="48"/>
      <c r="D2" s="48"/>
      <c r="E2" s="48"/>
      <c r="F2" s="48"/>
      <c r="G2" s="57"/>
      <c r="H2" s="56" t="s">
        <v>3</v>
      </c>
      <c r="I2" s="39"/>
      <c r="J2" s="39"/>
      <c r="K2" s="39"/>
      <c r="L2" s="46" t="s">
        <v>113</v>
      </c>
      <c r="M2" s="39"/>
      <c r="N2" s="39"/>
      <c r="O2" s="39"/>
      <c r="P2" s="39"/>
      <c r="Q2" s="42" t="s">
        <v>114</v>
      </c>
      <c r="R2" s="39"/>
      <c r="S2" s="39"/>
      <c r="T2" s="38" t="s">
        <v>115</v>
      </c>
      <c r="U2" s="39"/>
      <c r="V2" s="39"/>
      <c r="W2" s="53" t="s">
        <v>116</v>
      </c>
      <c r="X2" s="39"/>
      <c r="Y2" s="39"/>
      <c r="Z2" s="55" t="s">
        <v>117</v>
      </c>
      <c r="AA2" s="39"/>
      <c r="AB2" s="39"/>
      <c r="AC2" s="39"/>
      <c r="AD2" s="39"/>
      <c r="AE2" s="39"/>
      <c r="AF2" s="39"/>
      <c r="AG2" s="39"/>
      <c r="AH2" s="44"/>
      <c r="AI2" s="55" t="s">
        <v>118</v>
      </c>
      <c r="AJ2" s="39"/>
      <c r="AK2" s="44"/>
      <c r="AL2" s="55" t="s">
        <v>119</v>
      </c>
      <c r="AM2" s="39"/>
      <c r="AN2" s="39"/>
      <c r="AO2" s="39"/>
      <c r="AP2" s="44"/>
      <c r="AQ2" s="55" t="s">
        <v>120</v>
      </c>
      <c r="AR2" s="39"/>
      <c r="AS2" s="39"/>
      <c r="AT2" s="39"/>
      <c r="AU2" s="39"/>
      <c r="AV2" s="39"/>
      <c r="AW2" s="39"/>
      <c r="AX2" s="44"/>
      <c r="AY2" s="55" t="s">
        <v>121</v>
      </c>
      <c r="AZ2" s="44"/>
      <c r="BA2" s="55" t="s">
        <v>122</v>
      </c>
      <c r="BB2" s="39"/>
      <c r="BC2" s="39"/>
      <c r="BD2" s="44"/>
      <c r="BE2" s="58" t="s">
        <v>454</v>
      </c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</row>
    <row r="3" spans="1:100" ht="49.5" customHeight="1" x14ac:dyDescent="0.35">
      <c r="A3" s="3" t="s">
        <v>123</v>
      </c>
      <c r="B3" s="3" t="s">
        <v>124</v>
      </c>
      <c r="C3" s="3" t="s">
        <v>125</v>
      </c>
      <c r="D3" s="3" t="s">
        <v>126</v>
      </c>
      <c r="E3" s="4" t="s">
        <v>21</v>
      </c>
      <c r="F3" s="4" t="s">
        <v>22</v>
      </c>
      <c r="G3" s="4" t="s">
        <v>23</v>
      </c>
      <c r="H3" s="3" t="s">
        <v>127</v>
      </c>
      <c r="I3" s="3" t="s">
        <v>474</v>
      </c>
      <c r="J3" s="3" t="s">
        <v>512</v>
      </c>
      <c r="K3" s="3" t="s">
        <v>128</v>
      </c>
      <c r="L3" s="3" t="s">
        <v>129</v>
      </c>
      <c r="M3" s="3" t="s">
        <v>130</v>
      </c>
      <c r="N3" s="3" t="s">
        <v>489</v>
      </c>
      <c r="O3" s="3" t="s">
        <v>490</v>
      </c>
      <c r="P3" s="3" t="s">
        <v>131</v>
      </c>
      <c r="Q3" s="3" t="s">
        <v>132</v>
      </c>
      <c r="R3" s="3" t="s">
        <v>133</v>
      </c>
      <c r="S3" s="3" t="s">
        <v>134</v>
      </c>
      <c r="T3" s="3" t="s">
        <v>135</v>
      </c>
      <c r="U3" s="3" t="s">
        <v>136</v>
      </c>
      <c r="V3" s="3" t="s">
        <v>137</v>
      </c>
      <c r="W3" s="3" t="s">
        <v>138</v>
      </c>
      <c r="X3" s="3" t="s">
        <v>139</v>
      </c>
      <c r="Y3" s="3" t="s">
        <v>140</v>
      </c>
      <c r="Z3" s="1" t="s">
        <v>62</v>
      </c>
      <c r="AA3" s="1" t="s">
        <v>141</v>
      </c>
      <c r="AB3" s="1" t="s">
        <v>142</v>
      </c>
      <c r="AC3" s="1" t="s">
        <v>143</v>
      </c>
      <c r="AD3" s="1" t="s">
        <v>144</v>
      </c>
      <c r="AE3" s="1" t="s">
        <v>145</v>
      </c>
      <c r="AF3" s="1" t="s">
        <v>146</v>
      </c>
      <c r="AG3" s="1" t="s">
        <v>147</v>
      </c>
      <c r="AH3" s="1" t="s">
        <v>148</v>
      </c>
      <c r="AI3" s="1" t="s">
        <v>149</v>
      </c>
      <c r="AJ3" s="1" t="s">
        <v>150</v>
      </c>
      <c r="AK3" s="1" t="s">
        <v>151</v>
      </c>
      <c r="AL3" s="1" t="s">
        <v>152</v>
      </c>
      <c r="AM3" s="1" t="s">
        <v>153</v>
      </c>
      <c r="AN3" s="1" t="s">
        <v>154</v>
      </c>
      <c r="AO3" s="1" t="s">
        <v>155</v>
      </c>
      <c r="AP3" s="1" t="s">
        <v>46</v>
      </c>
      <c r="AQ3" s="1" t="s">
        <v>156</v>
      </c>
      <c r="AR3" s="1" t="s">
        <v>157</v>
      </c>
      <c r="AS3" s="1" t="s">
        <v>158</v>
      </c>
      <c r="AT3" s="1" t="s">
        <v>159</v>
      </c>
      <c r="AU3" s="1" t="s">
        <v>160</v>
      </c>
      <c r="AV3" s="1" t="s">
        <v>161</v>
      </c>
      <c r="AW3" s="1" t="s">
        <v>162</v>
      </c>
      <c r="AX3" s="1" t="s">
        <v>163</v>
      </c>
      <c r="AY3" s="1" t="s">
        <v>164</v>
      </c>
      <c r="AZ3" s="1" t="s">
        <v>165</v>
      </c>
      <c r="BA3" s="1" t="s">
        <v>166</v>
      </c>
      <c r="BB3" s="1" t="s">
        <v>167</v>
      </c>
      <c r="BC3" s="1" t="s">
        <v>42</v>
      </c>
      <c r="BD3" s="1" t="s">
        <v>168</v>
      </c>
      <c r="BE3" s="29" t="s">
        <v>417</v>
      </c>
      <c r="BF3" s="29" t="s">
        <v>418</v>
      </c>
      <c r="BG3" s="29" t="s">
        <v>419</v>
      </c>
      <c r="BH3" s="29" t="s">
        <v>420</v>
      </c>
      <c r="BI3" s="29" t="s">
        <v>421</v>
      </c>
      <c r="BJ3" s="29" t="s">
        <v>422</v>
      </c>
      <c r="BK3" s="29" t="s">
        <v>423</v>
      </c>
      <c r="BL3" s="29" t="s">
        <v>424</v>
      </c>
      <c r="BM3" s="29" t="s">
        <v>425</v>
      </c>
      <c r="BN3" s="29" t="s">
        <v>426</v>
      </c>
      <c r="BO3" s="29" t="s">
        <v>427</v>
      </c>
      <c r="BP3" s="29" t="s">
        <v>428</v>
      </c>
      <c r="BQ3" s="29" t="s">
        <v>429</v>
      </c>
      <c r="BR3" s="29" t="s">
        <v>430</v>
      </c>
      <c r="BS3" s="29" t="s">
        <v>431</v>
      </c>
      <c r="BT3" s="29" t="s">
        <v>432</v>
      </c>
      <c r="BU3" s="29" t="s">
        <v>433</v>
      </c>
      <c r="BV3" s="29" t="s">
        <v>434</v>
      </c>
      <c r="BW3" s="29" t="s">
        <v>435</v>
      </c>
      <c r="BX3" s="29" t="s">
        <v>436</v>
      </c>
      <c r="BY3" s="29" t="s">
        <v>437</v>
      </c>
      <c r="BZ3" s="29" t="s">
        <v>439</v>
      </c>
      <c r="CA3" s="29" t="s">
        <v>440</v>
      </c>
      <c r="CB3" s="29" t="s">
        <v>441</v>
      </c>
      <c r="CC3" s="29" t="s">
        <v>451</v>
      </c>
      <c r="CD3" s="29" t="s">
        <v>452</v>
      </c>
      <c r="CL3" t="s">
        <v>491</v>
      </c>
    </row>
    <row r="4" spans="1:100" ht="21.75" customHeight="1" x14ac:dyDescent="0.35">
      <c r="A4" s="8" t="s">
        <v>169</v>
      </c>
      <c r="B4" s="8" t="s">
        <v>67</v>
      </c>
      <c r="C4" s="9" t="s">
        <v>170</v>
      </c>
      <c r="D4" s="8" t="s">
        <v>171</v>
      </c>
      <c r="E4" s="8"/>
      <c r="F4" s="8"/>
      <c r="G4" s="8"/>
      <c r="H4" s="9" t="s">
        <v>172</v>
      </c>
      <c r="I4" s="9"/>
      <c r="J4" s="9"/>
      <c r="K4" s="8" t="s">
        <v>174</v>
      </c>
      <c r="L4" s="8" t="s">
        <v>175</v>
      </c>
      <c r="M4" s="8" t="s">
        <v>176</v>
      </c>
      <c r="N4" s="8"/>
      <c r="O4" s="8"/>
      <c r="P4" s="9" t="s">
        <v>177</v>
      </c>
      <c r="Q4" s="9" t="s">
        <v>178</v>
      </c>
      <c r="R4" s="9" t="s">
        <v>179</v>
      </c>
      <c r="S4" s="8" t="s">
        <v>180</v>
      </c>
      <c r="T4" s="8" t="s">
        <v>181</v>
      </c>
      <c r="U4" s="8" t="s">
        <v>182</v>
      </c>
      <c r="V4" s="8" t="s">
        <v>183</v>
      </c>
      <c r="W4" s="8"/>
      <c r="X4" s="8" t="s">
        <v>184</v>
      </c>
      <c r="Y4" s="9" t="s">
        <v>75</v>
      </c>
      <c r="CJ4" t="s">
        <v>487</v>
      </c>
      <c r="CL4" t="s">
        <v>492</v>
      </c>
      <c r="CP4" t="s">
        <v>503</v>
      </c>
      <c r="CR4" t="s">
        <v>467</v>
      </c>
      <c r="CU4" t="s">
        <v>475</v>
      </c>
      <c r="CV4" t="s">
        <v>513</v>
      </c>
    </row>
    <row r="5" spans="1:100" ht="21.75" customHeight="1" x14ac:dyDescent="0.35">
      <c r="A5" s="10" t="s">
        <v>185</v>
      </c>
      <c r="B5" s="10" t="s">
        <v>67</v>
      </c>
      <c r="C5" s="11" t="s">
        <v>186</v>
      </c>
      <c r="D5" s="10" t="s">
        <v>187</v>
      </c>
      <c r="E5" s="8"/>
      <c r="F5" s="8"/>
      <c r="G5" s="8"/>
      <c r="H5" s="11" t="s">
        <v>188</v>
      </c>
      <c r="I5" s="9"/>
      <c r="J5" s="9"/>
      <c r="K5" s="10" t="s">
        <v>189</v>
      </c>
      <c r="L5" s="10" t="s">
        <v>190</v>
      </c>
      <c r="M5" s="10" t="s">
        <v>176</v>
      </c>
      <c r="N5" s="8"/>
      <c r="O5" s="10"/>
      <c r="P5" s="11" t="s">
        <v>191</v>
      </c>
      <c r="Q5" s="11" t="s">
        <v>192</v>
      </c>
      <c r="R5" s="11"/>
      <c r="S5" s="10"/>
      <c r="T5" s="10"/>
      <c r="U5" s="10"/>
      <c r="V5" s="10"/>
      <c r="W5" s="10"/>
      <c r="X5" s="10" t="s">
        <v>193</v>
      </c>
      <c r="Y5" s="11" t="s">
        <v>75</v>
      </c>
      <c r="CJ5" t="s">
        <v>488</v>
      </c>
      <c r="CL5" t="s">
        <v>493</v>
      </c>
      <c r="CP5" t="s">
        <v>504</v>
      </c>
      <c r="CR5" t="s">
        <v>74</v>
      </c>
      <c r="CU5" t="s">
        <v>476</v>
      </c>
      <c r="CV5" t="s">
        <v>481</v>
      </c>
    </row>
    <row r="6" spans="1:100" ht="21.75" customHeight="1" x14ac:dyDescent="0.35">
      <c r="A6" s="8" t="s">
        <v>194</v>
      </c>
      <c r="B6" s="8" t="s">
        <v>77</v>
      </c>
      <c r="C6" s="9" t="s">
        <v>195</v>
      </c>
      <c r="D6" s="8" t="s">
        <v>196</v>
      </c>
      <c r="E6" s="8"/>
      <c r="F6" s="8"/>
      <c r="G6" s="8"/>
      <c r="H6" s="9" t="s">
        <v>197</v>
      </c>
      <c r="I6" s="9"/>
      <c r="J6" s="9"/>
      <c r="K6" s="8" t="s">
        <v>198</v>
      </c>
      <c r="L6" s="8" t="s">
        <v>189</v>
      </c>
      <c r="M6" s="8" t="s">
        <v>176</v>
      </c>
      <c r="N6" s="8"/>
      <c r="O6" s="8"/>
      <c r="P6" s="9" t="s">
        <v>199</v>
      </c>
      <c r="Q6" s="9" t="s">
        <v>200</v>
      </c>
      <c r="R6" s="9" t="s">
        <v>201</v>
      </c>
      <c r="S6" s="8" t="s">
        <v>202</v>
      </c>
      <c r="T6" s="8" t="s">
        <v>203</v>
      </c>
      <c r="U6" s="8" t="s">
        <v>182</v>
      </c>
      <c r="V6" s="8" t="s">
        <v>204</v>
      </c>
      <c r="W6" s="8"/>
      <c r="X6" s="8" t="s">
        <v>184</v>
      </c>
      <c r="Y6" s="9" t="s">
        <v>84</v>
      </c>
      <c r="CL6" t="s">
        <v>494</v>
      </c>
      <c r="CP6" t="s">
        <v>506</v>
      </c>
      <c r="CR6" t="s">
        <v>469</v>
      </c>
      <c r="CU6" t="s">
        <v>209</v>
      </c>
      <c r="CV6" t="s">
        <v>173</v>
      </c>
    </row>
    <row r="7" spans="1:100" ht="21.75" customHeight="1" x14ac:dyDescent="0.35">
      <c r="A7" s="10" t="s">
        <v>205</v>
      </c>
      <c r="B7" s="10" t="s">
        <v>86</v>
      </c>
      <c r="C7" s="11" t="s">
        <v>206</v>
      </c>
      <c r="D7" s="10" t="s">
        <v>207</v>
      </c>
      <c r="E7" s="8"/>
      <c r="F7" s="8"/>
      <c r="G7" s="8"/>
      <c r="H7" s="11" t="s">
        <v>208</v>
      </c>
      <c r="I7" s="9"/>
      <c r="J7" s="9"/>
      <c r="K7" s="10" t="s">
        <v>210</v>
      </c>
      <c r="L7" s="10" t="s">
        <v>211</v>
      </c>
      <c r="M7" s="10" t="s">
        <v>176</v>
      </c>
      <c r="N7" s="8"/>
      <c r="O7" s="10"/>
      <c r="P7" s="11" t="s">
        <v>178</v>
      </c>
      <c r="Q7" s="11"/>
      <c r="R7" s="11"/>
      <c r="S7" s="10"/>
      <c r="T7" s="10"/>
      <c r="U7" s="10"/>
      <c r="V7" s="10"/>
      <c r="W7" s="10"/>
      <c r="X7" s="10" t="s">
        <v>212</v>
      </c>
      <c r="Y7" s="11" t="s">
        <v>93</v>
      </c>
      <c r="CL7" t="s">
        <v>495</v>
      </c>
      <c r="CP7" t="s">
        <v>505</v>
      </c>
      <c r="CR7" t="s">
        <v>510</v>
      </c>
      <c r="CU7" t="s">
        <v>477</v>
      </c>
      <c r="CV7" t="s">
        <v>482</v>
      </c>
    </row>
    <row r="8" spans="1:100" ht="21.75" customHeight="1" x14ac:dyDescent="0.35">
      <c r="A8" s="8" t="s">
        <v>213</v>
      </c>
      <c r="B8" s="8" t="s">
        <v>95</v>
      </c>
      <c r="C8" s="9" t="s">
        <v>214</v>
      </c>
      <c r="D8" s="8" t="s">
        <v>215</v>
      </c>
      <c r="E8" s="8"/>
      <c r="F8" s="8"/>
      <c r="G8" s="8"/>
      <c r="H8" s="9" t="s">
        <v>216</v>
      </c>
      <c r="I8" s="9"/>
      <c r="J8" s="9"/>
      <c r="K8" s="8" t="s">
        <v>217</v>
      </c>
      <c r="L8" s="8" t="s">
        <v>180</v>
      </c>
      <c r="M8" s="8" t="s">
        <v>218</v>
      </c>
      <c r="N8" s="8"/>
      <c r="O8" s="8"/>
      <c r="P8" s="9"/>
      <c r="Q8" s="9"/>
      <c r="R8" s="9"/>
      <c r="S8" s="8"/>
      <c r="T8" s="8"/>
      <c r="U8" s="8"/>
      <c r="V8" s="8"/>
      <c r="W8" s="8"/>
      <c r="X8" s="8" t="s">
        <v>219</v>
      </c>
      <c r="Y8" s="9" t="s">
        <v>101</v>
      </c>
      <c r="CL8" t="s">
        <v>496</v>
      </c>
      <c r="CP8" t="s">
        <v>507</v>
      </c>
      <c r="CU8" t="s">
        <v>478</v>
      </c>
      <c r="CV8" t="s">
        <v>483</v>
      </c>
    </row>
    <row r="9" spans="1:100" ht="21.75" customHeight="1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CL9" t="s">
        <v>497</v>
      </c>
      <c r="CP9" t="s">
        <v>508</v>
      </c>
      <c r="CU9" t="s">
        <v>479</v>
      </c>
      <c r="CV9" t="s">
        <v>484</v>
      </c>
    </row>
    <row r="10" spans="1:100" ht="21.75" customHeigh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CL10" t="s">
        <v>498</v>
      </c>
      <c r="CP10" t="s">
        <v>509</v>
      </c>
      <c r="CV10" t="s">
        <v>485</v>
      </c>
    </row>
    <row r="11" spans="1:100" ht="21.75" customHeight="1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CL11" t="s">
        <v>499</v>
      </c>
    </row>
    <row r="12" spans="1:100" ht="21.75" customHeight="1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CL12" t="s">
        <v>500</v>
      </c>
    </row>
    <row r="13" spans="1:100" ht="21.75" customHeight="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CL13" t="s">
        <v>501</v>
      </c>
    </row>
    <row r="14" spans="1:100" ht="21.75" customHeight="1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CL14" t="s">
        <v>502</v>
      </c>
    </row>
    <row r="15" spans="1:100" ht="21.75" customHeight="1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100" ht="21.75" customHeight="1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21.75" customHeight="1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21.75" customHeight="1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21.75" customHeight="1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21.75" customHeight="1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21.75" customHeight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21.75" customHeight="1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21.75" customHeight="1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21.75" customHeight="1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21.75" customHeight="1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21.75" customHeight="1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21.75" customHeight="1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21.75" customHeight="1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21.75" customHeight="1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21.75" customHeight="1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21.7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21.75" customHeight="1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21.7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</sheetData>
  <mergeCells count="14">
    <mergeCell ref="BE2:CD2"/>
    <mergeCell ref="BA2:BD2"/>
    <mergeCell ref="T2:V2"/>
    <mergeCell ref="W2:Y2"/>
    <mergeCell ref="AY2:AZ2"/>
    <mergeCell ref="AQ2:AX2"/>
    <mergeCell ref="AL2:AP2"/>
    <mergeCell ref="A1:Y1"/>
    <mergeCell ref="AI2:AK2"/>
    <mergeCell ref="Z2:AH2"/>
    <mergeCell ref="H2:K2"/>
    <mergeCell ref="Q2:S2"/>
    <mergeCell ref="L2:P2"/>
    <mergeCell ref="A2:G2"/>
  </mergeCells>
  <dataValidations disablePrompts="1" count="6">
    <dataValidation type="list" allowBlank="1" showInputMessage="1" showErrorMessage="1" sqref="N4:N8" xr:uid="{436DD16F-0D7E-4D18-A30D-EBF034CEA5D7}">
      <formula1>$CJ$4:$CJ$5</formula1>
    </dataValidation>
    <dataValidation type="list" sqref="E4:E8" xr:uid="{50363D11-D550-4E35-8E66-E23327D64BE7}">
      <formula1>$CR$4:$CR$7</formula1>
    </dataValidation>
    <dataValidation type="list" sqref="F4:F8" xr:uid="{8470FEA8-9DEC-46B6-BB51-2949320B7519}">
      <formula1>$CP$4:$CP$10</formula1>
    </dataValidation>
    <dataValidation type="list" sqref="G4:G8" xr:uid="{6A483386-0782-4E43-BBA8-9197CB9F0E90}">
      <formula1>$CL$4:$CL$14</formula1>
    </dataValidation>
    <dataValidation type="list" allowBlank="1" showInputMessage="1" showErrorMessage="1" sqref="I4:I8" xr:uid="{EBAFE757-1489-4867-865B-AFADC159D2E2}">
      <formula1>$CU$4:$CU$9</formula1>
    </dataValidation>
    <dataValidation type="list" allowBlank="1" showInputMessage="1" showErrorMessage="1" sqref="J4:J8" xr:uid="{FFC394C2-8432-459A-9D2C-19F411F6D62F}">
      <formula1>$CV$4:$CV$10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N22"/>
  <sheetViews>
    <sheetView showGridLines="0" zoomScaleNormal="100" workbookViewId="0">
      <selection sqref="A1:N1"/>
    </sheetView>
  </sheetViews>
  <sheetFormatPr defaultColWidth="8.54296875" defaultRowHeight="14.5" x14ac:dyDescent="0.35"/>
  <cols>
    <col min="1" max="1" width="25" customWidth="1"/>
    <col min="2" max="2" width="30" customWidth="1"/>
    <col min="3" max="5" width="18" customWidth="1"/>
    <col min="6" max="7" width="12" customWidth="1"/>
    <col min="8" max="8" width="25" customWidth="1"/>
    <col min="9" max="10" width="12" customWidth="1"/>
    <col min="11" max="13" width="10" customWidth="1"/>
    <col min="14" max="14" width="20" customWidth="1"/>
  </cols>
  <sheetData>
    <row r="1" spans="1:14" ht="34.5" customHeight="1" x14ac:dyDescent="0.35">
      <c r="A1" s="40" t="s">
        <v>220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18" customHeight="1" x14ac:dyDescent="0.35">
      <c r="A2" s="47" t="s">
        <v>221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7.5" customHeight="1" x14ac:dyDescent="0.35"/>
    <row r="4" spans="1:14" ht="21.75" customHeight="1" x14ac:dyDescent="0.35">
      <c r="A4" s="45" t="s">
        <v>222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1:14" ht="34.5" customHeight="1" x14ac:dyDescent="0.35">
      <c r="A5" s="14" t="s">
        <v>223</v>
      </c>
      <c r="B5" s="14" t="s">
        <v>224</v>
      </c>
      <c r="C5" s="14" t="s">
        <v>225</v>
      </c>
      <c r="D5" s="14" t="s">
        <v>226</v>
      </c>
      <c r="E5" s="14" t="s">
        <v>227</v>
      </c>
      <c r="F5" s="14" t="s">
        <v>228</v>
      </c>
      <c r="G5" s="14" t="s">
        <v>229</v>
      </c>
      <c r="H5" s="62" t="s">
        <v>230</v>
      </c>
      <c r="I5" s="39"/>
      <c r="J5" s="39"/>
      <c r="K5" s="39"/>
      <c r="L5" s="39"/>
      <c r="M5" s="39"/>
      <c r="N5" s="44"/>
    </row>
    <row r="6" spans="1:14" ht="27.75" customHeight="1" x14ac:dyDescent="0.35">
      <c r="A6" s="15" t="s">
        <v>231</v>
      </c>
      <c r="B6" s="9" t="s">
        <v>232</v>
      </c>
      <c r="C6" s="8" t="s">
        <v>233</v>
      </c>
      <c r="D6" s="8" t="s">
        <v>234</v>
      </c>
      <c r="E6" s="8" t="s">
        <v>234</v>
      </c>
      <c r="F6" s="16" t="s">
        <v>235</v>
      </c>
      <c r="G6" s="8" t="s">
        <v>236</v>
      </c>
      <c r="H6" s="61" t="s">
        <v>237</v>
      </c>
      <c r="I6" s="39"/>
      <c r="J6" s="39"/>
      <c r="K6" s="39"/>
      <c r="L6" s="39"/>
      <c r="M6" s="39"/>
      <c r="N6" s="44"/>
    </row>
    <row r="7" spans="1:14" ht="27.75" customHeight="1" x14ac:dyDescent="0.35">
      <c r="A7" s="17" t="s">
        <v>238</v>
      </c>
      <c r="B7" s="11" t="s">
        <v>239</v>
      </c>
      <c r="C7" s="10" t="s">
        <v>240</v>
      </c>
      <c r="D7" s="10" t="s">
        <v>241</v>
      </c>
      <c r="E7" s="10" t="s">
        <v>241</v>
      </c>
      <c r="F7" s="18" t="s">
        <v>242</v>
      </c>
      <c r="G7" s="10" t="s">
        <v>243</v>
      </c>
      <c r="H7" s="60" t="s">
        <v>244</v>
      </c>
      <c r="I7" s="39"/>
      <c r="J7" s="39"/>
      <c r="K7" s="39"/>
      <c r="L7" s="39"/>
      <c r="M7" s="39"/>
      <c r="N7" s="44"/>
    </row>
    <row r="8" spans="1:14" ht="27.75" customHeight="1" x14ac:dyDescent="0.35">
      <c r="A8" s="15" t="s">
        <v>245</v>
      </c>
      <c r="B8" s="9" t="s">
        <v>246</v>
      </c>
      <c r="C8" s="8" t="s">
        <v>247</v>
      </c>
      <c r="D8" s="8" t="s">
        <v>248</v>
      </c>
      <c r="E8" s="8" t="s">
        <v>248</v>
      </c>
      <c r="F8" s="18" t="s">
        <v>242</v>
      </c>
      <c r="G8" s="8" t="s">
        <v>249</v>
      </c>
      <c r="H8" s="61" t="s">
        <v>250</v>
      </c>
      <c r="I8" s="39"/>
      <c r="J8" s="39"/>
      <c r="K8" s="39"/>
      <c r="L8" s="39"/>
      <c r="M8" s="39"/>
      <c r="N8" s="44"/>
    </row>
    <row r="9" spans="1:14" ht="27.75" customHeight="1" x14ac:dyDescent="0.35">
      <c r="A9" s="17" t="s">
        <v>251</v>
      </c>
      <c r="B9" s="11" t="s">
        <v>252</v>
      </c>
      <c r="C9" s="10" t="s">
        <v>253</v>
      </c>
      <c r="D9" s="10" t="s">
        <v>254</v>
      </c>
      <c r="E9" s="10" t="s">
        <v>254</v>
      </c>
      <c r="F9" s="16" t="s">
        <v>235</v>
      </c>
      <c r="G9" s="10" t="s">
        <v>249</v>
      </c>
      <c r="H9" s="60" t="s">
        <v>255</v>
      </c>
      <c r="I9" s="39"/>
      <c r="J9" s="39"/>
      <c r="K9" s="39"/>
      <c r="L9" s="39"/>
      <c r="M9" s="39"/>
      <c r="N9" s="44"/>
    </row>
    <row r="10" spans="1:14" ht="27.75" customHeight="1" x14ac:dyDescent="0.35">
      <c r="A10" s="15" t="s">
        <v>256</v>
      </c>
      <c r="B10" s="9" t="s">
        <v>257</v>
      </c>
      <c r="C10" s="8" t="s">
        <v>258</v>
      </c>
      <c r="D10" s="8" t="s">
        <v>259</v>
      </c>
      <c r="E10" s="8" t="s">
        <v>259</v>
      </c>
      <c r="F10" s="16" t="s">
        <v>235</v>
      </c>
      <c r="G10" s="8" t="s">
        <v>243</v>
      </c>
      <c r="H10" s="61" t="s">
        <v>260</v>
      </c>
      <c r="I10" s="39"/>
      <c r="J10" s="39"/>
      <c r="K10" s="39"/>
      <c r="L10" s="39"/>
      <c r="M10" s="39"/>
      <c r="N10" s="44"/>
    </row>
    <row r="11" spans="1:14" ht="27.75" customHeight="1" x14ac:dyDescent="0.35">
      <c r="A11" s="17" t="s">
        <v>261</v>
      </c>
      <c r="B11" s="11" t="s">
        <v>262</v>
      </c>
      <c r="C11" s="10" t="s">
        <v>263</v>
      </c>
      <c r="D11" s="10" t="s">
        <v>264</v>
      </c>
      <c r="E11" s="10" t="s">
        <v>264</v>
      </c>
      <c r="F11" s="16" t="s">
        <v>235</v>
      </c>
      <c r="G11" s="10" t="s">
        <v>249</v>
      </c>
      <c r="H11" s="60" t="s">
        <v>265</v>
      </c>
      <c r="I11" s="39"/>
      <c r="J11" s="39"/>
      <c r="K11" s="39"/>
      <c r="L11" s="39"/>
      <c r="M11" s="39"/>
      <c r="N11" s="44"/>
    </row>
    <row r="12" spans="1:14" ht="27.75" customHeight="1" x14ac:dyDescent="0.35">
      <c r="A12" s="15" t="s">
        <v>266</v>
      </c>
      <c r="B12" s="9" t="s">
        <v>267</v>
      </c>
      <c r="C12" s="8" t="s">
        <v>268</v>
      </c>
      <c r="D12" s="8" t="s">
        <v>269</v>
      </c>
      <c r="E12" s="8" t="s">
        <v>269</v>
      </c>
      <c r="F12" s="19" t="s">
        <v>270</v>
      </c>
      <c r="G12" s="8" t="s">
        <v>243</v>
      </c>
      <c r="H12" s="61" t="s">
        <v>271</v>
      </c>
      <c r="I12" s="39"/>
      <c r="J12" s="39"/>
      <c r="K12" s="39"/>
      <c r="L12" s="39"/>
      <c r="M12" s="39"/>
      <c r="N12" s="44"/>
    </row>
    <row r="13" spans="1:14" ht="27.75" customHeight="1" x14ac:dyDescent="0.35">
      <c r="A13" s="17" t="s">
        <v>272</v>
      </c>
      <c r="B13" s="11" t="s">
        <v>273</v>
      </c>
      <c r="C13" s="10" t="s">
        <v>274</v>
      </c>
      <c r="D13" s="10" t="s">
        <v>275</v>
      </c>
      <c r="E13" s="10" t="s">
        <v>275</v>
      </c>
      <c r="F13" s="16" t="s">
        <v>235</v>
      </c>
      <c r="G13" s="10" t="s">
        <v>249</v>
      </c>
      <c r="H13" s="60" t="s">
        <v>276</v>
      </c>
      <c r="I13" s="39"/>
      <c r="J13" s="39"/>
      <c r="K13" s="39"/>
      <c r="L13" s="39"/>
      <c r="M13" s="39"/>
      <c r="N13" s="44"/>
    </row>
    <row r="15" spans="1:14" ht="9.75" customHeight="1" x14ac:dyDescent="0.35"/>
    <row r="16" spans="1:14" ht="21.75" customHeight="1" x14ac:dyDescent="0.35">
      <c r="A16" s="46" t="s">
        <v>277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1:14" ht="39.75" customHeight="1" x14ac:dyDescent="0.35">
      <c r="A17" s="3" t="s">
        <v>278</v>
      </c>
      <c r="B17" s="3" t="s">
        <v>279</v>
      </c>
      <c r="C17" s="3" t="s">
        <v>280</v>
      </c>
      <c r="D17" s="3" t="s">
        <v>281</v>
      </c>
      <c r="E17" s="3" t="s">
        <v>282</v>
      </c>
      <c r="F17" s="3" t="s">
        <v>283</v>
      </c>
      <c r="G17" s="3" t="s">
        <v>284</v>
      </c>
      <c r="H17" s="3" t="s">
        <v>285</v>
      </c>
      <c r="I17" s="3" t="s">
        <v>286</v>
      </c>
      <c r="J17" s="3" t="s">
        <v>287</v>
      </c>
    </row>
    <row r="18" spans="1:14" ht="19.5" customHeight="1" x14ac:dyDescent="0.35">
      <c r="A18" s="20" t="s">
        <v>75</v>
      </c>
      <c r="B18" s="21">
        <v>8</v>
      </c>
      <c r="C18" s="21">
        <v>5</v>
      </c>
      <c r="D18" s="21">
        <v>120</v>
      </c>
      <c r="E18" s="21">
        <v>52</v>
      </c>
      <c r="F18" s="21">
        <v>22</v>
      </c>
      <c r="G18" s="21">
        <v>8</v>
      </c>
      <c r="H18" s="21">
        <v>6</v>
      </c>
      <c r="I18" s="21" t="s">
        <v>288</v>
      </c>
      <c r="J18" s="21" t="s">
        <v>289</v>
      </c>
      <c r="K18" s="22"/>
      <c r="L18" s="22"/>
      <c r="M18" s="22"/>
      <c r="N18" s="22"/>
    </row>
    <row r="19" spans="1:14" ht="19.5" customHeight="1" x14ac:dyDescent="0.35">
      <c r="A19" s="23" t="s">
        <v>84</v>
      </c>
      <c r="B19" s="24">
        <v>6</v>
      </c>
      <c r="C19" s="24">
        <v>4</v>
      </c>
      <c r="D19" s="24">
        <v>88</v>
      </c>
      <c r="E19" s="24">
        <v>38</v>
      </c>
      <c r="F19" s="24">
        <v>16</v>
      </c>
      <c r="G19" s="24">
        <v>5</v>
      </c>
      <c r="H19" s="24">
        <v>4</v>
      </c>
      <c r="I19" s="24" t="s">
        <v>290</v>
      </c>
      <c r="J19" s="24" t="s">
        <v>291</v>
      </c>
      <c r="K19" s="25"/>
      <c r="L19" s="25"/>
      <c r="M19" s="25"/>
      <c r="N19" s="25"/>
    </row>
    <row r="20" spans="1:14" ht="19.5" customHeight="1" x14ac:dyDescent="0.35">
      <c r="A20" s="20" t="s">
        <v>93</v>
      </c>
      <c r="B20" s="21">
        <v>10</v>
      </c>
      <c r="C20" s="21">
        <v>7</v>
      </c>
      <c r="D20" s="21">
        <v>145</v>
      </c>
      <c r="E20" s="21">
        <v>68</v>
      </c>
      <c r="F20" s="21">
        <v>30</v>
      </c>
      <c r="G20" s="21">
        <v>10</v>
      </c>
      <c r="H20" s="21">
        <v>8</v>
      </c>
      <c r="I20" s="21" t="s">
        <v>292</v>
      </c>
      <c r="J20" s="21" t="s">
        <v>289</v>
      </c>
      <c r="K20" s="22"/>
      <c r="L20" s="22"/>
      <c r="M20" s="22"/>
      <c r="N20" s="22"/>
    </row>
    <row r="21" spans="1:14" ht="19.5" customHeight="1" x14ac:dyDescent="0.35">
      <c r="A21" s="23" t="s">
        <v>101</v>
      </c>
      <c r="B21" s="24">
        <v>5</v>
      </c>
      <c r="C21" s="24">
        <v>3</v>
      </c>
      <c r="D21" s="24">
        <v>65</v>
      </c>
      <c r="E21" s="24">
        <v>28</v>
      </c>
      <c r="F21" s="24">
        <v>12</v>
      </c>
      <c r="G21" s="24">
        <v>4</v>
      </c>
      <c r="H21" s="24">
        <v>2</v>
      </c>
      <c r="I21" s="24" t="s">
        <v>293</v>
      </c>
      <c r="J21" s="24" t="s">
        <v>294</v>
      </c>
      <c r="K21" s="25"/>
      <c r="L21" s="25"/>
      <c r="M21" s="25"/>
      <c r="N21" s="25"/>
    </row>
    <row r="22" spans="1:14" ht="19.5" customHeight="1" x14ac:dyDescent="0.35">
      <c r="A22" s="20" t="s">
        <v>109</v>
      </c>
      <c r="B22" s="21">
        <v>4</v>
      </c>
      <c r="C22" s="21">
        <v>3</v>
      </c>
      <c r="D22" s="21">
        <v>48</v>
      </c>
      <c r="E22" s="21">
        <v>20</v>
      </c>
      <c r="F22" s="21">
        <v>8</v>
      </c>
      <c r="G22" s="21">
        <v>2</v>
      </c>
      <c r="H22" s="21">
        <v>1</v>
      </c>
      <c r="I22" s="21" t="s">
        <v>295</v>
      </c>
      <c r="J22" s="21" t="s">
        <v>294</v>
      </c>
      <c r="K22" s="22"/>
      <c r="L22" s="22"/>
      <c r="M22" s="22"/>
      <c r="N22" s="22"/>
    </row>
  </sheetData>
  <mergeCells count="13">
    <mergeCell ref="A1:N1"/>
    <mergeCell ref="A16:N16"/>
    <mergeCell ref="A2:N2"/>
    <mergeCell ref="H11:N11"/>
    <mergeCell ref="H12:N12"/>
    <mergeCell ref="H7:N7"/>
    <mergeCell ref="H6:N6"/>
    <mergeCell ref="H10:N10"/>
    <mergeCell ref="H5:N5"/>
    <mergeCell ref="H8:N8"/>
    <mergeCell ref="H13:N13"/>
    <mergeCell ref="A4:N4"/>
    <mergeCell ref="H9:N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J29"/>
  <sheetViews>
    <sheetView showGridLines="0" zoomScaleNormal="100" workbookViewId="0">
      <selection sqref="A1:J1"/>
    </sheetView>
  </sheetViews>
  <sheetFormatPr defaultColWidth="8.54296875" defaultRowHeight="14.5" x14ac:dyDescent="0.35"/>
  <cols>
    <col min="1" max="1" width="10" customWidth="1"/>
    <col min="2" max="2" width="14" customWidth="1"/>
    <col min="3" max="3" width="16" customWidth="1"/>
    <col min="4" max="4" width="26" customWidth="1"/>
    <col min="5" max="5" width="28" customWidth="1"/>
    <col min="6" max="6" width="36" customWidth="1"/>
    <col min="7" max="7" width="30" customWidth="1"/>
    <col min="8" max="8" width="16" customWidth="1"/>
    <col min="9" max="9" width="14" customWidth="1"/>
    <col min="10" max="10" width="12" customWidth="1"/>
  </cols>
  <sheetData>
    <row r="1" spans="1:10" ht="34.5" customHeight="1" x14ac:dyDescent="0.35">
      <c r="A1" s="40" t="s">
        <v>296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18" customHeight="1" x14ac:dyDescent="0.35">
      <c r="A2" s="47" t="s">
        <v>297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ht="49.5" customHeight="1" x14ac:dyDescent="0.35">
      <c r="A3" s="3" t="s">
        <v>298</v>
      </c>
      <c r="B3" s="3" t="s">
        <v>299</v>
      </c>
      <c r="C3" s="3" t="s">
        <v>300</v>
      </c>
      <c r="D3" s="3" t="s">
        <v>301</v>
      </c>
      <c r="E3" s="3" t="s">
        <v>302</v>
      </c>
      <c r="F3" s="3" t="s">
        <v>303</v>
      </c>
      <c r="G3" s="3" t="s">
        <v>304</v>
      </c>
      <c r="H3" s="3" t="s">
        <v>305</v>
      </c>
      <c r="I3" s="3" t="s">
        <v>306</v>
      </c>
      <c r="J3" s="3" t="s">
        <v>307</v>
      </c>
    </row>
    <row r="4" spans="1:10" ht="60" customHeight="1" x14ac:dyDescent="0.35">
      <c r="A4" s="8" t="s">
        <v>308</v>
      </c>
      <c r="B4" s="8" t="s">
        <v>69</v>
      </c>
      <c r="C4" s="8" t="s">
        <v>309</v>
      </c>
      <c r="D4" s="9" t="s">
        <v>310</v>
      </c>
      <c r="E4" s="9" t="s">
        <v>311</v>
      </c>
      <c r="F4" s="9" t="s">
        <v>312</v>
      </c>
      <c r="G4" s="9" t="s">
        <v>313</v>
      </c>
      <c r="H4" s="8" t="s">
        <v>84</v>
      </c>
      <c r="I4" s="8" t="s">
        <v>79</v>
      </c>
      <c r="J4" s="16" t="s">
        <v>314</v>
      </c>
    </row>
    <row r="5" spans="1:10" ht="60" customHeight="1" x14ac:dyDescent="0.35">
      <c r="A5" s="10" t="s">
        <v>315</v>
      </c>
      <c r="B5" s="10" t="s">
        <v>88</v>
      </c>
      <c r="C5" s="10" t="s">
        <v>309</v>
      </c>
      <c r="D5" s="11" t="s">
        <v>316</v>
      </c>
      <c r="E5" s="11" t="s">
        <v>317</v>
      </c>
      <c r="F5" s="11" t="s">
        <v>318</v>
      </c>
      <c r="G5" s="11" t="s">
        <v>319</v>
      </c>
      <c r="H5" s="10" t="s">
        <v>75</v>
      </c>
      <c r="I5" s="10" t="s">
        <v>97</v>
      </c>
      <c r="J5" s="16" t="s">
        <v>314</v>
      </c>
    </row>
    <row r="6" spans="1:10" ht="60" customHeight="1" x14ac:dyDescent="0.35">
      <c r="A6" s="8" t="s">
        <v>320</v>
      </c>
      <c r="B6" s="8" t="s">
        <v>321</v>
      </c>
      <c r="C6" s="8" t="s">
        <v>322</v>
      </c>
      <c r="D6" s="9" t="s">
        <v>323</v>
      </c>
      <c r="E6" s="9" t="s">
        <v>324</v>
      </c>
      <c r="F6" s="9" t="s">
        <v>325</v>
      </c>
      <c r="G6" s="9" t="s">
        <v>326</v>
      </c>
      <c r="H6" s="8" t="s">
        <v>93</v>
      </c>
      <c r="I6" s="8" t="s">
        <v>327</v>
      </c>
      <c r="J6" s="19" t="s">
        <v>328</v>
      </c>
    </row>
    <row r="7" spans="1:10" ht="45" customHeight="1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 ht="45" customHeight="1" x14ac:dyDescent="0.35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ht="45" customHeight="1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 ht="45" customHeight="1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45" customHeight="1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 ht="45" customHeight="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ht="45" customHeight="1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45" customHeight="1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45" customHeight="1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 ht="45" customHeight="1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45" customHeight="1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45" customHeight="1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45" customHeight="1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45" customHeight="1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45" customHeight="1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45" customHeight="1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45" customHeight="1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ht="45" customHeight="1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45" customHeight="1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spans="1:10" ht="45" customHeight="1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ht="45" customHeight="1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spans="1:10" ht="45" customHeight="1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ht="45" customHeight="1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A1:AT29"/>
  <sheetViews>
    <sheetView showGridLines="0" zoomScaleNormal="100" workbookViewId="0">
      <pane ySplit="4" topLeftCell="A5" activePane="bottomLeft" state="frozen"/>
      <selection pane="bottomLeft" activeCell="A4" sqref="A4"/>
    </sheetView>
  </sheetViews>
  <sheetFormatPr defaultColWidth="8.54296875" defaultRowHeight="14.5" x14ac:dyDescent="0.35"/>
  <cols>
    <col min="1" max="1" width="10" customWidth="1"/>
    <col min="2" max="2" width="20" customWidth="1"/>
    <col min="3" max="3" width="10" customWidth="1"/>
    <col min="4" max="4" width="20" customWidth="1"/>
    <col min="5" max="5" width="18" customWidth="1"/>
    <col min="6" max="6" width="20" customWidth="1"/>
    <col min="7" max="7" width="22" customWidth="1"/>
    <col min="8" max="8" width="12" customWidth="1"/>
    <col min="9" max="9" width="14" customWidth="1"/>
    <col min="10" max="10" width="10" customWidth="1"/>
    <col min="11" max="11" width="22" customWidth="1"/>
    <col min="12" max="12" width="14" customWidth="1"/>
    <col min="13" max="13" width="12" customWidth="1"/>
    <col min="14" max="18" width="14" customWidth="1"/>
    <col min="19" max="19" width="18" customWidth="1"/>
    <col min="20" max="22" width="14" customWidth="1"/>
    <col min="23" max="23" width="22" customWidth="1"/>
    <col min="24" max="24" width="16" customWidth="1"/>
    <col min="25" max="25" width="18" customWidth="1"/>
    <col min="26" max="27" width="16" customWidth="1"/>
    <col min="28" max="28" width="18" customWidth="1"/>
    <col min="29" max="29" width="24" customWidth="1"/>
    <col min="30" max="30" width="20" customWidth="1"/>
    <col min="31" max="32" width="14" customWidth="1"/>
    <col min="33" max="33" width="10" customWidth="1"/>
    <col min="34" max="35" width="16" customWidth="1"/>
    <col min="36" max="36" width="22" customWidth="1"/>
    <col min="37" max="37" width="18" customWidth="1"/>
    <col min="38" max="38" width="14" customWidth="1"/>
    <col min="39" max="39" width="18" customWidth="1"/>
    <col min="40" max="40" width="16" customWidth="1"/>
    <col min="41" max="41" width="14" customWidth="1"/>
    <col min="42" max="42" width="22" customWidth="1"/>
  </cols>
  <sheetData>
    <row r="1" spans="1:46" ht="34.5" customHeight="1" x14ac:dyDescent="0.35">
      <c r="A1" s="40" t="s">
        <v>329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46" ht="18" customHeight="1" x14ac:dyDescent="0.35">
      <c r="A2" s="47" t="s">
        <v>330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46" ht="21.75" customHeight="1" x14ac:dyDescent="0.35">
      <c r="A3" s="45" t="s">
        <v>331</v>
      </c>
      <c r="B3" s="39"/>
      <c r="C3" s="39"/>
      <c r="D3" s="39"/>
      <c r="E3" s="39"/>
      <c r="F3" s="39"/>
      <c r="G3" s="39"/>
      <c r="H3" s="42" t="s">
        <v>114</v>
      </c>
      <c r="I3" s="39"/>
      <c r="J3" s="39"/>
      <c r="K3" s="39"/>
      <c r="L3" s="46" t="s">
        <v>115</v>
      </c>
      <c r="M3" s="39"/>
      <c r="N3" s="39"/>
      <c r="O3" s="38" t="s">
        <v>332</v>
      </c>
      <c r="P3" s="39"/>
      <c r="Q3" s="39"/>
      <c r="R3" s="39"/>
      <c r="S3" s="43" t="s">
        <v>333</v>
      </c>
      <c r="T3" s="39"/>
      <c r="U3" s="39"/>
      <c r="V3" s="39"/>
      <c r="W3" s="44"/>
      <c r="X3" s="43" t="s">
        <v>120</v>
      </c>
      <c r="Y3" s="39"/>
      <c r="Z3" s="39"/>
      <c r="AA3" s="39"/>
      <c r="AB3" s="39"/>
      <c r="AC3" s="39"/>
      <c r="AD3" s="39"/>
      <c r="AE3" s="39"/>
      <c r="AF3" s="44"/>
      <c r="AG3" s="43" t="s">
        <v>334</v>
      </c>
      <c r="AH3" s="39"/>
      <c r="AI3" s="39"/>
      <c r="AJ3" s="39"/>
      <c r="AK3" s="39"/>
      <c r="AL3" s="44"/>
      <c r="AM3" s="43" t="s">
        <v>335</v>
      </c>
      <c r="AN3" s="39"/>
      <c r="AO3" s="39"/>
      <c r="AP3" s="44"/>
    </row>
    <row r="4" spans="1:46" ht="49.5" customHeight="1" x14ac:dyDescent="0.35">
      <c r="A4" s="3" t="s">
        <v>123</v>
      </c>
      <c r="B4" s="3" t="s">
        <v>336</v>
      </c>
      <c r="C4" s="3" t="s">
        <v>14</v>
      </c>
      <c r="D4" s="3" t="s">
        <v>337</v>
      </c>
      <c r="E4" s="3" t="s">
        <v>466</v>
      </c>
      <c r="F4" s="3" t="s">
        <v>471</v>
      </c>
      <c r="G4" s="3" t="s">
        <v>338</v>
      </c>
      <c r="H4" s="3" t="s">
        <v>339</v>
      </c>
      <c r="I4" s="3" t="s">
        <v>340</v>
      </c>
      <c r="J4" s="3" t="s">
        <v>341</v>
      </c>
      <c r="K4" s="3" t="s">
        <v>342</v>
      </c>
      <c r="L4" s="3" t="s">
        <v>343</v>
      </c>
      <c r="M4" s="3" t="s">
        <v>138</v>
      </c>
      <c r="N4" s="3" t="s">
        <v>344</v>
      </c>
      <c r="O4" s="3" t="s">
        <v>345</v>
      </c>
      <c r="P4" s="3" t="s">
        <v>346</v>
      </c>
      <c r="Q4" s="3" t="s">
        <v>347</v>
      </c>
      <c r="R4" s="3" t="s">
        <v>348</v>
      </c>
      <c r="S4" s="1" t="s">
        <v>349</v>
      </c>
      <c r="T4" s="1" t="s">
        <v>350</v>
      </c>
      <c r="U4" s="1" t="s">
        <v>351</v>
      </c>
      <c r="V4" s="1" t="s">
        <v>352</v>
      </c>
      <c r="W4" s="1" t="s">
        <v>353</v>
      </c>
      <c r="X4" s="1" t="s">
        <v>46</v>
      </c>
      <c r="Y4" s="1" t="s">
        <v>161</v>
      </c>
      <c r="Z4" s="1" t="s">
        <v>160</v>
      </c>
      <c r="AA4" s="1" t="s">
        <v>354</v>
      </c>
      <c r="AB4" s="1" t="s">
        <v>355</v>
      </c>
      <c r="AC4" s="1" t="s">
        <v>162</v>
      </c>
      <c r="AD4" s="1" t="s">
        <v>159</v>
      </c>
      <c r="AE4" s="1" t="s">
        <v>356</v>
      </c>
      <c r="AF4" s="1" t="s">
        <v>357</v>
      </c>
      <c r="AG4" s="1" t="s">
        <v>62</v>
      </c>
      <c r="AH4" s="1" t="s">
        <v>59</v>
      </c>
      <c r="AI4" s="1" t="s">
        <v>147</v>
      </c>
      <c r="AJ4" s="1" t="s">
        <v>165</v>
      </c>
      <c r="AK4" s="1" t="s">
        <v>358</v>
      </c>
      <c r="AL4" s="1" t="s">
        <v>163</v>
      </c>
      <c r="AM4" s="1" t="s">
        <v>359</v>
      </c>
      <c r="AN4" s="1" t="s">
        <v>166</v>
      </c>
      <c r="AO4" s="1" t="s">
        <v>41</v>
      </c>
      <c r="AP4" s="1" t="s">
        <v>168</v>
      </c>
    </row>
    <row r="5" spans="1:46" ht="30" customHeight="1" x14ac:dyDescent="0.35">
      <c r="A5" s="8" t="s">
        <v>169</v>
      </c>
      <c r="B5" s="9" t="s">
        <v>170</v>
      </c>
      <c r="C5" s="8" t="s">
        <v>67</v>
      </c>
      <c r="D5" s="8" t="s">
        <v>68</v>
      </c>
      <c r="E5" s="9"/>
      <c r="F5" s="9"/>
      <c r="G5" s="9" t="s">
        <v>360</v>
      </c>
      <c r="H5" s="8" t="s">
        <v>180</v>
      </c>
      <c r="I5" s="8" t="s">
        <v>181</v>
      </c>
      <c r="J5" s="8" t="s">
        <v>361</v>
      </c>
      <c r="K5" s="9"/>
      <c r="L5" s="8" t="s">
        <v>183</v>
      </c>
      <c r="M5" s="8"/>
      <c r="N5" s="26" t="s">
        <v>362</v>
      </c>
      <c r="O5" s="8" t="s">
        <v>363</v>
      </c>
      <c r="P5" s="8" t="s">
        <v>363</v>
      </c>
      <c r="Q5" s="8" t="s">
        <v>363</v>
      </c>
      <c r="R5" s="26" t="s">
        <v>364</v>
      </c>
      <c r="AT5" t="s">
        <v>467</v>
      </c>
    </row>
    <row r="6" spans="1:46" ht="30" customHeight="1" x14ac:dyDescent="0.35">
      <c r="A6" s="10" t="s">
        <v>194</v>
      </c>
      <c r="B6" s="11" t="s">
        <v>195</v>
      </c>
      <c r="C6" s="10" t="s">
        <v>77</v>
      </c>
      <c r="D6" s="10" t="s">
        <v>365</v>
      </c>
      <c r="E6" s="9"/>
      <c r="F6" s="11"/>
      <c r="G6" s="11" t="s">
        <v>81</v>
      </c>
      <c r="H6" s="10" t="s">
        <v>202</v>
      </c>
      <c r="I6" s="10" t="s">
        <v>203</v>
      </c>
      <c r="J6" s="10" t="s">
        <v>361</v>
      </c>
      <c r="K6" s="11"/>
      <c r="L6" s="10" t="s">
        <v>204</v>
      </c>
      <c r="M6" s="10"/>
      <c r="N6" s="26" t="s">
        <v>362</v>
      </c>
      <c r="O6" s="10" t="s">
        <v>363</v>
      </c>
      <c r="P6" s="10" t="s">
        <v>363</v>
      </c>
      <c r="Q6" s="10" t="s">
        <v>363</v>
      </c>
      <c r="R6" s="27" t="s">
        <v>366</v>
      </c>
      <c r="AT6" t="s">
        <v>74</v>
      </c>
    </row>
    <row r="7" spans="1:46" ht="30" customHeight="1" x14ac:dyDescent="0.35">
      <c r="A7" s="8" t="s">
        <v>367</v>
      </c>
      <c r="B7" s="9" t="s">
        <v>368</v>
      </c>
      <c r="C7" s="8" t="s">
        <v>86</v>
      </c>
      <c r="D7" s="8" t="s">
        <v>369</v>
      </c>
      <c r="E7" s="9"/>
      <c r="F7" s="9"/>
      <c r="G7" s="9" t="s">
        <v>90</v>
      </c>
      <c r="H7" s="8" t="s">
        <v>370</v>
      </c>
      <c r="I7" s="8" t="s">
        <v>371</v>
      </c>
      <c r="J7" s="8" t="s">
        <v>372</v>
      </c>
      <c r="K7" s="9" t="s">
        <v>373</v>
      </c>
      <c r="L7" s="8"/>
      <c r="M7" s="8"/>
      <c r="N7" s="28" t="s">
        <v>374</v>
      </c>
      <c r="O7" s="8" t="s">
        <v>375</v>
      </c>
      <c r="P7" s="8" t="s">
        <v>375</v>
      </c>
      <c r="Q7" s="8" t="s">
        <v>375</v>
      </c>
      <c r="R7" s="28" t="s">
        <v>376</v>
      </c>
      <c r="AT7" t="s">
        <v>469</v>
      </c>
    </row>
    <row r="8" spans="1:46" ht="24.75" customHeight="1" x14ac:dyDescent="0.3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AT8" t="s">
        <v>510</v>
      </c>
    </row>
    <row r="9" spans="1:46" ht="24.75" customHeight="1" x14ac:dyDescent="0.3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46" ht="24.75" customHeight="1" x14ac:dyDescent="0.3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spans="1:46" ht="24.75" customHeight="1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46" ht="24.75" customHeight="1" x14ac:dyDescent="0.3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spans="1:46" ht="24.75" customHeight="1" x14ac:dyDescent="0.3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46" ht="24.75" customHeight="1" x14ac:dyDescent="0.3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46" ht="24.75" customHeight="1" x14ac:dyDescent="0.3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46" ht="24.75" customHeight="1" x14ac:dyDescent="0.3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24.75" customHeight="1" x14ac:dyDescent="0.3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24.75" customHeight="1" x14ac:dyDescent="0.3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24.75" customHeight="1" x14ac:dyDescent="0.3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24.75" customHeight="1" x14ac:dyDescent="0.3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24.75" customHeight="1" x14ac:dyDescent="0.3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24.75" customHeight="1" x14ac:dyDescent="0.3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24.75" customHeight="1" x14ac:dyDescent="0.3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24.75" customHeight="1" x14ac:dyDescent="0.3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24.75" customHeight="1" x14ac:dyDescent="0.3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24.75" customHeight="1" x14ac:dyDescent="0.3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ht="24.75" customHeight="1" x14ac:dyDescent="0.3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ht="24.75" customHeight="1" x14ac:dyDescent="0.3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ht="24.75" customHeight="1" x14ac:dyDescent="0.3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</sheetData>
  <mergeCells count="10">
    <mergeCell ref="O3:R3"/>
    <mergeCell ref="A1:R1"/>
    <mergeCell ref="H3:K3"/>
    <mergeCell ref="S3:W3"/>
    <mergeCell ref="AM3:AP3"/>
    <mergeCell ref="A3:G3"/>
    <mergeCell ref="X3:AF3"/>
    <mergeCell ref="AG3:AL3"/>
    <mergeCell ref="L3:N3"/>
    <mergeCell ref="A2:R2"/>
  </mergeCells>
  <dataValidations count="1">
    <dataValidation type="list" allowBlank="1" showInputMessage="1" showErrorMessage="1" sqref="E5:E7" xr:uid="{DBB0C60D-AC53-4F2F-9F2A-5CAE3D0CC84F}">
      <formula1>$AT$5:$AT$8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70D2-40B4-4586-9D32-9D917428B9E4}">
  <dimension ref="A1:H33"/>
  <sheetViews>
    <sheetView topLeftCell="A13" workbookViewId="0">
      <selection activeCell="B32" sqref="B32:H32"/>
    </sheetView>
  </sheetViews>
  <sheetFormatPr defaultRowHeight="14.5" x14ac:dyDescent="0.35"/>
  <cols>
    <col min="1" max="1" width="51.81640625" bestFit="1" customWidth="1"/>
    <col min="7" max="7" width="14.08984375" bestFit="1" customWidth="1"/>
  </cols>
  <sheetData>
    <row r="1" spans="1:1" x14ac:dyDescent="0.35">
      <c r="A1" s="34" t="s">
        <v>455</v>
      </c>
    </row>
    <row r="3" spans="1:1" x14ac:dyDescent="0.35">
      <c r="A3" s="36" t="s">
        <v>456</v>
      </c>
    </row>
    <row r="4" spans="1:1" x14ac:dyDescent="0.35">
      <c r="A4" s="34" t="s">
        <v>457</v>
      </c>
    </row>
    <row r="6" spans="1:1" x14ac:dyDescent="0.35">
      <c r="A6" s="34" t="s">
        <v>458</v>
      </c>
    </row>
    <row r="9" spans="1:1" x14ac:dyDescent="0.35">
      <c r="A9" s="36" t="s">
        <v>464</v>
      </c>
    </row>
    <row r="10" spans="1:1" x14ac:dyDescent="0.35">
      <c r="A10" t="s">
        <v>460</v>
      </c>
    </row>
    <row r="11" spans="1:1" x14ac:dyDescent="0.35">
      <c r="A11" t="s">
        <v>461</v>
      </c>
    </row>
    <row r="12" spans="1:1" x14ac:dyDescent="0.35">
      <c r="A12" t="s">
        <v>462</v>
      </c>
    </row>
    <row r="13" spans="1:1" x14ac:dyDescent="0.35">
      <c r="A13" t="s">
        <v>463</v>
      </c>
    </row>
    <row r="16" spans="1:1" x14ac:dyDescent="0.35">
      <c r="A16" t="s">
        <v>465</v>
      </c>
    </row>
    <row r="18" spans="1:8" x14ac:dyDescent="0.35">
      <c r="A18" s="3" t="s">
        <v>466</v>
      </c>
    </row>
    <row r="19" spans="1:8" x14ac:dyDescent="0.35">
      <c r="A19" t="s">
        <v>467</v>
      </c>
    </row>
    <row r="20" spans="1:8" x14ac:dyDescent="0.35">
      <c r="A20" t="s">
        <v>468</v>
      </c>
    </row>
    <row r="21" spans="1:8" x14ac:dyDescent="0.35">
      <c r="A21" t="s">
        <v>470</v>
      </c>
    </row>
    <row r="22" spans="1:8" x14ac:dyDescent="0.35">
      <c r="A22" t="s">
        <v>469</v>
      </c>
    </row>
    <row r="24" spans="1:8" x14ac:dyDescent="0.35">
      <c r="A24" s="36" t="s">
        <v>472</v>
      </c>
    </row>
    <row r="25" spans="1:8" x14ac:dyDescent="0.35">
      <c r="A25" t="s">
        <v>473</v>
      </c>
    </row>
    <row r="27" spans="1:8" x14ac:dyDescent="0.35">
      <c r="A27" s="36" t="s">
        <v>474</v>
      </c>
    </row>
    <row r="28" spans="1:8" x14ac:dyDescent="0.35">
      <c r="A28" t="s">
        <v>475</v>
      </c>
    </row>
    <row r="29" spans="1:8" x14ac:dyDescent="0.35">
      <c r="A29" t="s">
        <v>476</v>
      </c>
    </row>
    <row r="30" spans="1:8" x14ac:dyDescent="0.35">
      <c r="A30" t="s">
        <v>209</v>
      </c>
    </row>
    <row r="31" spans="1:8" x14ac:dyDescent="0.35">
      <c r="A31" t="s">
        <v>477</v>
      </c>
      <c r="B31" s="63" t="s">
        <v>486</v>
      </c>
      <c r="C31" s="63"/>
      <c r="D31" s="63"/>
      <c r="E31" s="63"/>
      <c r="F31" s="63"/>
      <c r="G31" s="63"/>
      <c r="H31" s="63"/>
    </row>
    <row r="32" spans="1:8" x14ac:dyDescent="0.35">
      <c r="A32" s="34" t="s">
        <v>478</v>
      </c>
      <c r="B32" t="s">
        <v>480</v>
      </c>
      <c r="C32" t="s">
        <v>481</v>
      </c>
      <c r="D32" t="s">
        <v>173</v>
      </c>
      <c r="E32" t="s">
        <v>482</v>
      </c>
      <c r="F32" t="s">
        <v>483</v>
      </c>
      <c r="G32" t="s">
        <v>484</v>
      </c>
      <c r="H32" t="s">
        <v>485</v>
      </c>
    </row>
    <row r="33" spans="1:1" x14ac:dyDescent="0.35">
      <c r="A33" t="s">
        <v>479</v>
      </c>
    </row>
  </sheetData>
  <mergeCells count="1">
    <mergeCell ref="B31:H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H31"/>
  <sheetViews>
    <sheetView showGridLines="0" zoomScaleNormal="100" workbookViewId="0">
      <selection sqref="A1:H1"/>
    </sheetView>
  </sheetViews>
  <sheetFormatPr defaultColWidth="8.54296875" defaultRowHeight="14.5" x14ac:dyDescent="0.35"/>
  <cols>
    <col min="1" max="1" width="18" customWidth="1"/>
    <col min="2" max="3" width="16" customWidth="1"/>
    <col min="4" max="4" width="18" customWidth="1"/>
    <col min="5" max="7" width="16" customWidth="1"/>
    <col min="8" max="8" width="20" customWidth="1"/>
  </cols>
  <sheetData>
    <row r="1" spans="1:8" ht="34.5" customHeight="1" x14ac:dyDescent="0.35">
      <c r="A1" s="40" t="s">
        <v>377</v>
      </c>
      <c r="B1" s="41"/>
      <c r="C1" s="41"/>
      <c r="D1" s="41"/>
      <c r="E1" s="41"/>
      <c r="F1" s="41"/>
      <c r="G1" s="41"/>
      <c r="H1" s="41"/>
    </row>
    <row r="3" spans="1:8" ht="21.75" customHeight="1" x14ac:dyDescent="0.35">
      <c r="A3" s="71" t="s">
        <v>378</v>
      </c>
      <c r="B3" s="41"/>
      <c r="C3" s="41"/>
      <c r="D3" s="41"/>
      <c r="E3" s="41"/>
      <c r="F3" s="41"/>
      <c r="G3" s="41"/>
      <c r="H3" s="41"/>
    </row>
    <row r="4" spans="1:8" ht="21.75" customHeight="1" x14ac:dyDescent="0.35">
      <c r="A4" s="66" t="s">
        <v>379</v>
      </c>
      <c r="B4" s="41"/>
      <c r="C4" s="41"/>
      <c r="D4" s="41"/>
      <c r="E4" s="41"/>
      <c r="F4" s="41"/>
      <c r="G4" s="41"/>
      <c r="H4" s="41"/>
    </row>
    <row r="5" spans="1:8" ht="21.75" customHeight="1" x14ac:dyDescent="0.35">
      <c r="A5" s="66" t="s">
        <v>380</v>
      </c>
      <c r="B5" s="41"/>
      <c r="C5" s="41"/>
      <c r="D5" s="41"/>
      <c r="E5" s="41"/>
      <c r="F5" s="41"/>
      <c r="G5" s="41"/>
      <c r="H5" s="41"/>
    </row>
    <row r="6" spans="1:8" ht="21.75" customHeight="1" x14ac:dyDescent="0.35">
      <c r="A6" s="66" t="s">
        <v>381</v>
      </c>
      <c r="B6" s="41"/>
      <c r="C6" s="41"/>
      <c r="D6" s="41"/>
      <c r="E6" s="41"/>
      <c r="F6" s="41"/>
      <c r="G6" s="41"/>
      <c r="H6" s="41"/>
    </row>
    <row r="7" spans="1:8" ht="21.75" customHeight="1" x14ac:dyDescent="0.35">
      <c r="A7" s="66" t="s">
        <v>382</v>
      </c>
      <c r="B7" s="41"/>
      <c r="C7" s="41"/>
      <c r="D7" s="41"/>
      <c r="E7" s="41"/>
      <c r="F7" s="41"/>
      <c r="G7" s="41"/>
      <c r="H7" s="41"/>
    </row>
    <row r="8" spans="1:8" ht="21.75" customHeight="1" x14ac:dyDescent="0.35">
      <c r="A8" s="66" t="s">
        <v>383</v>
      </c>
      <c r="B8" s="41"/>
      <c r="C8" s="41"/>
      <c r="D8" s="41"/>
      <c r="E8" s="41"/>
      <c r="F8" s="41"/>
      <c r="G8" s="41"/>
      <c r="H8" s="41"/>
    </row>
    <row r="10" spans="1:8" ht="21.75" customHeight="1" x14ac:dyDescent="0.35">
      <c r="A10" s="71" t="s">
        <v>384</v>
      </c>
      <c r="B10" s="41"/>
      <c r="C10" s="41"/>
      <c r="D10" s="41"/>
      <c r="E10" s="41"/>
      <c r="F10" s="41"/>
      <c r="G10" s="41"/>
      <c r="H10" s="41"/>
    </row>
    <row r="11" spans="1:8" ht="21.75" customHeight="1" x14ac:dyDescent="0.35">
      <c r="A11" s="65" t="s">
        <v>385</v>
      </c>
      <c r="B11" s="39"/>
      <c r="C11" s="39"/>
      <c r="D11" s="68" t="s">
        <v>386</v>
      </c>
      <c r="E11" s="39"/>
      <c r="F11" s="39"/>
      <c r="G11" s="70" t="s">
        <v>387</v>
      </c>
      <c r="H11" s="39"/>
    </row>
    <row r="12" spans="1:8" ht="21.75" customHeight="1" x14ac:dyDescent="0.35">
      <c r="A12" s="65" t="s">
        <v>388</v>
      </c>
      <c r="B12" s="39"/>
      <c r="C12" s="39"/>
      <c r="D12" s="68" t="s">
        <v>389</v>
      </c>
      <c r="E12" s="39"/>
      <c r="F12" s="39"/>
      <c r="G12" s="70" t="s">
        <v>390</v>
      </c>
      <c r="H12" s="39"/>
    </row>
    <row r="14" spans="1:8" ht="21.75" customHeight="1" x14ac:dyDescent="0.35">
      <c r="A14" s="45" t="s">
        <v>391</v>
      </c>
      <c r="B14" s="39"/>
      <c r="C14" s="39"/>
      <c r="D14" s="39"/>
      <c r="E14" s="39"/>
      <c r="F14" s="39"/>
      <c r="G14" s="39"/>
      <c r="H14" s="39"/>
    </row>
    <row r="15" spans="1:8" ht="19.5" customHeight="1" x14ac:dyDescent="0.35">
      <c r="A15" s="69" t="s">
        <v>392</v>
      </c>
      <c r="B15" s="41"/>
      <c r="C15" s="41"/>
      <c r="D15" s="41"/>
      <c r="E15" s="41"/>
      <c r="F15" s="41"/>
      <c r="G15" s="41"/>
      <c r="H15" s="41"/>
    </row>
    <row r="16" spans="1:8" ht="19.5" customHeight="1" x14ac:dyDescent="0.35">
      <c r="A16" s="67" t="s">
        <v>393</v>
      </c>
      <c r="B16" s="41"/>
      <c r="C16" s="41"/>
      <c r="D16" s="41"/>
      <c r="E16" s="41"/>
      <c r="F16" s="41"/>
      <c r="G16" s="41"/>
      <c r="H16" s="41"/>
    </row>
    <row r="17" spans="1:8" ht="19.5" customHeight="1" x14ac:dyDescent="0.35">
      <c r="A17" s="69" t="s">
        <v>394</v>
      </c>
      <c r="B17" s="41"/>
      <c r="C17" s="41"/>
      <c r="D17" s="41"/>
      <c r="E17" s="41"/>
      <c r="F17" s="41"/>
      <c r="G17" s="41"/>
      <c r="H17" s="41"/>
    </row>
    <row r="18" spans="1:8" ht="19.5" customHeight="1" x14ac:dyDescent="0.35">
      <c r="A18" s="67" t="s">
        <v>395</v>
      </c>
      <c r="B18" s="41"/>
      <c r="C18" s="41"/>
      <c r="D18" s="41"/>
      <c r="E18" s="41"/>
      <c r="F18" s="41"/>
      <c r="G18" s="41"/>
      <c r="H18" s="41"/>
    </row>
    <row r="19" spans="1:8" ht="19.5" customHeight="1" x14ac:dyDescent="0.35">
      <c r="A19" s="69" t="s">
        <v>396</v>
      </c>
      <c r="B19" s="41"/>
      <c r="C19" s="41"/>
      <c r="D19" s="41"/>
      <c r="E19" s="41"/>
      <c r="F19" s="41"/>
      <c r="G19" s="41"/>
      <c r="H19" s="41"/>
    </row>
    <row r="20" spans="1:8" ht="19.5" customHeight="1" x14ac:dyDescent="0.35">
      <c r="A20" s="67" t="s">
        <v>397</v>
      </c>
      <c r="B20" s="41"/>
      <c r="C20" s="41"/>
      <c r="D20" s="41"/>
      <c r="E20" s="41"/>
      <c r="F20" s="41"/>
      <c r="G20" s="41"/>
      <c r="H20" s="41"/>
    </row>
    <row r="21" spans="1:8" ht="19.5" customHeight="1" x14ac:dyDescent="0.35">
      <c r="A21" s="69" t="s">
        <v>398</v>
      </c>
      <c r="B21" s="41"/>
      <c r="C21" s="41"/>
      <c r="D21" s="41"/>
      <c r="E21" s="41"/>
      <c r="F21" s="41"/>
      <c r="G21" s="41"/>
      <c r="H21" s="41"/>
    </row>
    <row r="22" spans="1:8" ht="19.5" customHeight="1" x14ac:dyDescent="0.35">
      <c r="A22" s="67" t="s">
        <v>399</v>
      </c>
      <c r="B22" s="41"/>
      <c r="C22" s="41"/>
      <c r="D22" s="41"/>
      <c r="E22" s="41"/>
      <c r="F22" s="41"/>
      <c r="G22" s="41"/>
      <c r="H22" s="41"/>
    </row>
    <row r="23" spans="1:8" ht="19.5" customHeight="1" x14ac:dyDescent="0.35">
      <c r="A23" s="69" t="s">
        <v>400</v>
      </c>
      <c r="B23" s="41"/>
      <c r="C23" s="41"/>
      <c r="D23" s="41"/>
      <c r="E23" s="41"/>
      <c r="F23" s="41"/>
      <c r="G23" s="41"/>
      <c r="H23" s="41"/>
    </row>
    <row r="24" spans="1:8" ht="19.5" customHeight="1" x14ac:dyDescent="0.35">
      <c r="A24" s="67" t="s">
        <v>401</v>
      </c>
      <c r="B24" s="41"/>
      <c r="C24" s="41"/>
      <c r="D24" s="41"/>
      <c r="E24" s="41"/>
      <c r="F24" s="41"/>
      <c r="G24" s="41"/>
      <c r="H24" s="41"/>
    </row>
    <row r="25" spans="1:8" ht="10" customHeight="1" x14ac:dyDescent="0.35"/>
    <row r="26" spans="1:8" ht="22" customHeight="1" x14ac:dyDescent="0.35">
      <c r="A26" s="72" t="s">
        <v>402</v>
      </c>
      <c r="B26" s="41"/>
      <c r="C26" s="41"/>
      <c r="D26" s="41"/>
      <c r="E26" s="41"/>
      <c r="F26" s="41"/>
      <c r="G26" s="41"/>
      <c r="H26" s="41"/>
    </row>
    <row r="27" spans="1:8" ht="16" customHeight="1" x14ac:dyDescent="0.35">
      <c r="A27" s="2" t="s">
        <v>403</v>
      </c>
      <c r="B27" s="64" t="s">
        <v>404</v>
      </c>
      <c r="C27" s="41"/>
      <c r="D27" s="41"/>
      <c r="E27" s="41"/>
      <c r="F27" s="41"/>
      <c r="G27" s="41"/>
      <c r="H27" s="41"/>
    </row>
    <row r="28" spans="1:8" ht="16" customHeight="1" x14ac:dyDescent="0.35">
      <c r="A28" s="2" t="s">
        <v>405</v>
      </c>
      <c r="B28" s="64" t="s">
        <v>406</v>
      </c>
      <c r="C28" s="41"/>
      <c r="D28" s="41"/>
      <c r="E28" s="41"/>
      <c r="F28" s="41"/>
      <c r="G28" s="41"/>
      <c r="H28" s="41"/>
    </row>
    <row r="29" spans="1:8" ht="16" customHeight="1" x14ac:dyDescent="0.35">
      <c r="A29" s="2" t="s">
        <v>407</v>
      </c>
      <c r="B29" s="64" t="s">
        <v>408</v>
      </c>
      <c r="C29" s="41"/>
      <c r="D29" s="41"/>
      <c r="E29" s="41"/>
      <c r="F29" s="41"/>
      <c r="G29" s="41"/>
      <c r="H29" s="41"/>
    </row>
    <row r="30" spans="1:8" ht="16" customHeight="1" x14ac:dyDescent="0.35">
      <c r="A30" s="2" t="s">
        <v>409</v>
      </c>
      <c r="B30" s="64" t="s">
        <v>410</v>
      </c>
      <c r="C30" s="41"/>
      <c r="D30" s="41"/>
      <c r="E30" s="41"/>
      <c r="F30" s="41"/>
      <c r="G30" s="41"/>
      <c r="H30" s="41"/>
    </row>
    <row r="31" spans="1:8" ht="16" customHeight="1" x14ac:dyDescent="0.35">
      <c r="A31" s="2" t="s">
        <v>411</v>
      </c>
      <c r="B31" s="64" t="s">
        <v>412</v>
      </c>
      <c r="C31" s="41"/>
      <c r="D31" s="41"/>
      <c r="E31" s="41"/>
      <c r="F31" s="41"/>
      <c r="G31" s="41"/>
      <c r="H31" s="41"/>
    </row>
  </sheetData>
  <mergeCells count="31">
    <mergeCell ref="B31:H31"/>
    <mergeCell ref="A18:H18"/>
    <mergeCell ref="A3:H3"/>
    <mergeCell ref="A21:H21"/>
    <mergeCell ref="A26:H26"/>
    <mergeCell ref="B27:H27"/>
    <mergeCell ref="A14:H14"/>
    <mergeCell ref="A5:H5"/>
    <mergeCell ref="A23:H23"/>
    <mergeCell ref="A8:H8"/>
    <mergeCell ref="A22:H22"/>
    <mergeCell ref="A17:H17"/>
    <mergeCell ref="A4:H4"/>
    <mergeCell ref="A11:C11"/>
    <mergeCell ref="A20:H20"/>
    <mergeCell ref="A10:H10"/>
    <mergeCell ref="B30:H30"/>
    <mergeCell ref="A1:H1"/>
    <mergeCell ref="A12:C12"/>
    <mergeCell ref="A6:H6"/>
    <mergeCell ref="A7:H7"/>
    <mergeCell ref="A16:H16"/>
    <mergeCell ref="D12:F12"/>
    <mergeCell ref="A19:H19"/>
    <mergeCell ref="B29:H29"/>
    <mergeCell ref="B28:H28"/>
    <mergeCell ref="G12:H12"/>
    <mergeCell ref="D11:F11"/>
    <mergeCell ref="A15:H15"/>
    <mergeCell ref="A24:H24"/>
    <mergeCell ref="G11:H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Requisition Tracker</vt:lpstr>
      <vt:lpstr>Candidate Tracker</vt:lpstr>
      <vt:lpstr>SLA &amp; KPI Dashboard</vt:lpstr>
      <vt:lpstr>Client MOM</vt:lpstr>
      <vt:lpstr>Offer &amp; Onboarding</vt:lpstr>
      <vt:lpstr>Sheet1</vt:lpstr>
      <vt:lpstr>Instructions &amp; 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Baljeet Singh</cp:lastModifiedBy>
  <cp:revision>0</cp:revision>
  <dcterms:created xsi:type="dcterms:W3CDTF">2026-03-30T10:05:56Z</dcterms:created>
  <dcterms:modified xsi:type="dcterms:W3CDTF">2026-04-03T07:39:29Z</dcterms:modified>
  <cp:category/>
  <cp:contentStatus/>
</cp:coreProperties>
</file>