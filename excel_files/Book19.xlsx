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552344C1-9591-4DFA-8BF1-200DA226DB53}" xr6:coauthVersionLast="47" xr6:coauthVersionMax="47" xr10:uidLastSave="{00000000-0000-0000-0000-000000000000}"/>
  <bookViews>
    <workbookView xWindow="-110" yWindow="-110" windowWidth="19420" windowHeight="11500" xr2:uid="{59CA45BC-F735-43A9-97D5-70959EF1DE09}"/>
  </bookViews>
  <sheets>
    <sheet name="Budget Template" sheetId="1" r:id="rId1"/>
    <sheet name="Forecast Templ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E16" i="2"/>
  <c r="F16" i="2"/>
  <c r="G16" i="2"/>
  <c r="H16" i="2"/>
  <c r="I16" i="2"/>
  <c r="J16" i="2"/>
  <c r="K16" i="2"/>
  <c r="L16" i="2"/>
  <c r="M16" i="2"/>
  <c r="N16" i="2"/>
  <c r="C16" i="2"/>
  <c r="D11" i="2"/>
  <c r="E11" i="2"/>
  <c r="F11" i="2"/>
  <c r="G11" i="2"/>
  <c r="H11" i="2"/>
  <c r="I11" i="2"/>
  <c r="J11" i="2"/>
  <c r="K11" i="2"/>
  <c r="L11" i="2"/>
  <c r="M11" i="2"/>
  <c r="N11" i="2"/>
  <c r="C11" i="2"/>
  <c r="D6" i="2"/>
  <c r="E6" i="2"/>
  <c r="F6" i="2"/>
  <c r="G6" i="2"/>
  <c r="H6" i="2"/>
  <c r="I6" i="2"/>
  <c r="J6" i="2"/>
  <c r="K6" i="2"/>
  <c r="L6" i="2"/>
  <c r="M6" i="2"/>
  <c r="N6" i="2"/>
  <c r="C6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tc={928F3B5C-33E6-4205-A91F-937C3C97ABA2}</author>
  </authors>
  <commentList>
    <comment ref="A35" authorId="0" shapeId="0" xr:uid="{928F3B5C-33E6-4205-A91F-937C3C97ABA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Check HC</t>
      </text>
    </comment>
  </commentList>
</comments>
</file>

<file path=xl/sharedStrings.xml><?xml version="1.0" encoding="utf-8"?>
<sst xmlns="http://schemas.openxmlformats.org/spreadsheetml/2006/main" count="88" uniqueCount="75">
  <si>
    <t>Project</t>
  </si>
  <si>
    <t>Honeywell</t>
  </si>
  <si>
    <t>Pfizer</t>
  </si>
  <si>
    <t>SKF India</t>
  </si>
  <si>
    <t>Siemens (Advatnta &amp; GBS)</t>
  </si>
  <si>
    <t>Siemens Energy</t>
  </si>
  <si>
    <t>Pidilite</t>
  </si>
  <si>
    <t>Vertiv</t>
  </si>
  <si>
    <t>Birla Paints</t>
  </si>
  <si>
    <t>Ingram Micro</t>
  </si>
  <si>
    <t>HPE</t>
  </si>
  <si>
    <t>Isuzu</t>
  </si>
  <si>
    <t>Mahindra Holidays</t>
  </si>
  <si>
    <t>BITS</t>
  </si>
  <si>
    <t>M&amp;M</t>
  </si>
  <si>
    <t>P&amp;G</t>
  </si>
  <si>
    <t>Wipro</t>
  </si>
  <si>
    <t>DP World</t>
  </si>
  <si>
    <t>Ametek</t>
  </si>
  <si>
    <t>AMNS</t>
  </si>
  <si>
    <t>Tata Electronics</t>
  </si>
  <si>
    <t>Jindal Stainless</t>
  </si>
  <si>
    <t>Schaeffler</t>
  </si>
  <si>
    <t>Royal Enfield</t>
  </si>
  <si>
    <t>SBI Card</t>
  </si>
  <si>
    <t>Hyundai Motor</t>
  </si>
  <si>
    <t>Maruti Suzuki(MSIL)</t>
  </si>
  <si>
    <t>Excelacom</t>
  </si>
  <si>
    <t>Tata Consumer</t>
  </si>
  <si>
    <t>Tata Play</t>
  </si>
  <si>
    <t>Mahindra Finance</t>
  </si>
  <si>
    <t>Suzuki</t>
  </si>
  <si>
    <t>Subros Ltd</t>
  </si>
  <si>
    <t>Atomberg Technologies</t>
  </si>
  <si>
    <t>Ambuja Cement</t>
  </si>
  <si>
    <t>Ashok Leyland</t>
  </si>
  <si>
    <t>Bridgestone</t>
  </si>
  <si>
    <t>M2P Fintech</t>
  </si>
  <si>
    <t>Sterling Tools</t>
  </si>
  <si>
    <t>Pernod Ricard</t>
  </si>
  <si>
    <t>Ngarjuna Leadership</t>
  </si>
  <si>
    <t>ABB</t>
  </si>
  <si>
    <t>Siemens Healthnier</t>
  </si>
  <si>
    <t>LEAP India</t>
  </si>
  <si>
    <t>UniCharm</t>
  </si>
  <si>
    <t xml:space="preserve">TCG Group </t>
  </si>
  <si>
    <t>Optum</t>
  </si>
  <si>
    <t>Saint Gobain</t>
  </si>
  <si>
    <t>Proterial</t>
  </si>
  <si>
    <t>Neo Soft</t>
  </si>
  <si>
    <t>M&amp;M Leadership</t>
  </si>
  <si>
    <t>Honeywell Leadership</t>
  </si>
  <si>
    <t>Vertiv Leadership</t>
  </si>
  <si>
    <t>Subros Leadership</t>
  </si>
  <si>
    <t>AMNS Leadership</t>
  </si>
  <si>
    <t>Hyundai Leadership</t>
  </si>
  <si>
    <t>Mahindra Holidays Leadership</t>
  </si>
  <si>
    <t>Siemens Leadership</t>
  </si>
  <si>
    <t>Royal Enfield Leadership</t>
  </si>
  <si>
    <t>Sterling Tools Leadership</t>
  </si>
  <si>
    <t>CG Power</t>
  </si>
  <si>
    <t>Exclusive</t>
  </si>
  <si>
    <t>Middle East</t>
  </si>
  <si>
    <t>Q1</t>
  </si>
  <si>
    <t>Q2</t>
  </si>
  <si>
    <t>Q3</t>
  </si>
  <si>
    <t>Q4</t>
  </si>
  <si>
    <t>FY'26</t>
  </si>
  <si>
    <t>MMF</t>
  </si>
  <si>
    <t>Open Req</t>
  </si>
  <si>
    <t>Opening Fee</t>
  </si>
  <si>
    <t>Joiner</t>
  </si>
  <si>
    <t>Joining Fee</t>
  </si>
  <si>
    <t>Mahindra &amp; Mahindra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</si>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</sst>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ljeet Singh" id="{A958FC4E-715D-4AFB-B718-5035981370B8}" userId="S::baljeet.singh@taggd.in::78b1aa4d-2884-44cb-a65b-52b83283dcf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5" dT="2025-05-12T12:40:20.95" personId="{A958FC4E-715D-4AFB-B718-5035981370B8}" id="{928F3B5C-33E6-4205-A91F-937C3C97ABA2}">
    <text>Need to Check HC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EA76-5C09-45EE-A58E-B6E078A4E649}">
  <dimension ref="A1:F63"/>
  <sheetViews>
    <sheetView tabSelected="1" workbookViewId="0"/>
  </sheetViews>
  <sheetFormatPr defaultRowHeight="14.5" x14ac:dyDescent="0.35"/>
  <cols>
    <col min="1" max="1" width="25.26953125" bestFit="1" customWidth="1"/>
  </cols>
  <sheetData>
    <row r="1" spans="1:6" x14ac:dyDescent="0.35">
      <c r="A1" s="3" t="s">
        <v>0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</row>
    <row r="2" spans="1:6" x14ac:dyDescent="0.35">
      <c r="A2" s="1" t="s">
        <v>1</v>
      </c>
      <c r="B2" s="2">
        <v>100</v>
      </c>
      <c r="C2" s="2">
        <v>100</v>
      </c>
      <c r="D2" s="2">
        <v>100</v>
      </c>
      <c r="E2" s="2">
        <v>100</v>
      </c>
      <c r="F2" s="2">
        <f>SUM(B2:E2)</f>
        <v>400</v>
      </c>
    </row>
    <row r="3" spans="1:6" x14ac:dyDescent="0.35">
      <c r="A3" s="1" t="s">
        <v>2</v>
      </c>
      <c r="B3" s="2">
        <v>25</v>
      </c>
      <c r="C3" s="2">
        <v>25</v>
      </c>
      <c r="D3" s="2">
        <v>25</v>
      </c>
      <c r="E3" s="2">
        <v>25</v>
      </c>
      <c r="F3" s="2">
        <f t="shared" ref="F3:F63" si="0">SUM(B3:E3)</f>
        <v>100</v>
      </c>
    </row>
    <row r="4" spans="1:6" x14ac:dyDescent="0.35">
      <c r="A4" s="1" t="s">
        <v>3</v>
      </c>
      <c r="B4" s="2">
        <v>56</v>
      </c>
      <c r="C4" s="2">
        <v>56</v>
      </c>
      <c r="D4" s="2">
        <v>56</v>
      </c>
      <c r="E4" s="2">
        <v>56</v>
      </c>
      <c r="F4" s="2">
        <f t="shared" si="0"/>
        <v>224</v>
      </c>
    </row>
    <row r="5" spans="1:6" x14ac:dyDescent="0.35">
      <c r="A5" s="1" t="s">
        <v>4</v>
      </c>
      <c r="B5" s="2">
        <v>28.499999999999996</v>
      </c>
      <c r="C5" s="2">
        <v>28.499999999999996</v>
      </c>
      <c r="D5" s="2">
        <v>28.499999999999996</v>
      </c>
      <c r="E5" s="2">
        <v>28.499999999999996</v>
      </c>
      <c r="F5" s="2">
        <f t="shared" si="0"/>
        <v>113.99999999999999</v>
      </c>
    </row>
    <row r="6" spans="1:6" x14ac:dyDescent="0.35">
      <c r="A6" s="1" t="s">
        <v>5</v>
      </c>
      <c r="B6" s="2">
        <v>33</v>
      </c>
      <c r="C6" s="2">
        <v>33</v>
      </c>
      <c r="D6" s="2">
        <v>30.6</v>
      </c>
      <c r="E6" s="2">
        <v>30.6</v>
      </c>
      <c r="F6" s="2">
        <f t="shared" si="0"/>
        <v>127.19999999999999</v>
      </c>
    </row>
    <row r="7" spans="1:6" x14ac:dyDescent="0.35">
      <c r="A7" s="1" t="s">
        <v>6</v>
      </c>
      <c r="B7" s="2">
        <v>51.75</v>
      </c>
      <c r="C7" s="2">
        <v>51.75</v>
      </c>
      <c r="D7" s="2">
        <v>48</v>
      </c>
      <c r="E7" s="2">
        <v>48</v>
      </c>
      <c r="F7" s="2">
        <f t="shared" si="0"/>
        <v>199.5</v>
      </c>
    </row>
    <row r="8" spans="1:6" x14ac:dyDescent="0.35">
      <c r="A8" s="1" t="s">
        <v>7</v>
      </c>
      <c r="B8" s="2">
        <v>10</v>
      </c>
      <c r="C8" s="2">
        <v>10</v>
      </c>
      <c r="D8" s="2">
        <v>13</v>
      </c>
      <c r="E8" s="2">
        <v>13</v>
      </c>
      <c r="F8" s="2">
        <f t="shared" si="0"/>
        <v>46</v>
      </c>
    </row>
    <row r="9" spans="1:6" x14ac:dyDescent="0.35">
      <c r="A9" s="1" t="s">
        <v>8</v>
      </c>
      <c r="B9" s="2">
        <v>51.5</v>
      </c>
      <c r="C9" s="2">
        <v>51.5</v>
      </c>
      <c r="D9" s="2">
        <v>49.800000000000004</v>
      </c>
      <c r="E9" s="2">
        <v>49.800000000000004</v>
      </c>
      <c r="F9" s="2">
        <f t="shared" si="0"/>
        <v>202.60000000000002</v>
      </c>
    </row>
    <row r="10" spans="1:6" x14ac:dyDescent="0.35">
      <c r="A10" s="1" t="s">
        <v>9</v>
      </c>
      <c r="B10" s="2">
        <v>0</v>
      </c>
      <c r="C10" s="2">
        <v>0</v>
      </c>
      <c r="D10" s="2">
        <v>0</v>
      </c>
      <c r="E10" s="2">
        <v>0</v>
      </c>
      <c r="F10" s="2">
        <f t="shared" si="0"/>
        <v>0</v>
      </c>
    </row>
    <row r="11" spans="1:6" x14ac:dyDescent="0.35">
      <c r="A11" s="1" t="s">
        <v>10</v>
      </c>
      <c r="B11" s="2">
        <v>329.30417599999998</v>
      </c>
      <c r="C11" s="2">
        <v>329.30417599999998</v>
      </c>
      <c r="D11" s="2">
        <v>329.57126269999998</v>
      </c>
      <c r="E11" s="2">
        <v>329.57126269999998</v>
      </c>
      <c r="F11" s="2">
        <f t="shared" si="0"/>
        <v>1317.7508774</v>
      </c>
    </row>
    <row r="12" spans="1:6" x14ac:dyDescent="0.35">
      <c r="A12" s="1" t="s">
        <v>11</v>
      </c>
      <c r="B12" s="2">
        <v>27</v>
      </c>
      <c r="C12" s="2">
        <v>27</v>
      </c>
      <c r="D12" s="2">
        <v>20</v>
      </c>
      <c r="E12" s="2">
        <v>20</v>
      </c>
      <c r="F12" s="2">
        <f t="shared" si="0"/>
        <v>94</v>
      </c>
    </row>
    <row r="13" spans="1:6" x14ac:dyDescent="0.35">
      <c r="A13" s="1" t="s">
        <v>12</v>
      </c>
      <c r="B13" s="2">
        <v>0</v>
      </c>
      <c r="C13" s="2">
        <v>0</v>
      </c>
      <c r="D13" s="2">
        <v>0</v>
      </c>
      <c r="E13" s="2">
        <v>0</v>
      </c>
      <c r="F13" s="2">
        <f t="shared" si="0"/>
        <v>0</v>
      </c>
    </row>
    <row r="14" spans="1:6" x14ac:dyDescent="0.35">
      <c r="A14" s="1" t="s">
        <v>13</v>
      </c>
      <c r="B14" s="2">
        <v>12</v>
      </c>
      <c r="C14" s="2">
        <v>12</v>
      </c>
      <c r="D14" s="2">
        <v>11</v>
      </c>
      <c r="E14" s="2">
        <v>11</v>
      </c>
      <c r="F14" s="2">
        <f t="shared" si="0"/>
        <v>46</v>
      </c>
    </row>
    <row r="15" spans="1:6" x14ac:dyDescent="0.35">
      <c r="A15" s="1" t="s">
        <v>14</v>
      </c>
      <c r="B15" s="2">
        <v>305</v>
      </c>
      <c r="C15" s="2">
        <v>305</v>
      </c>
      <c r="D15" s="2">
        <v>360</v>
      </c>
      <c r="E15" s="2">
        <v>360</v>
      </c>
      <c r="F15" s="2">
        <f t="shared" si="0"/>
        <v>1330</v>
      </c>
    </row>
    <row r="16" spans="1:6" x14ac:dyDescent="0.35">
      <c r="A16" s="1" t="s">
        <v>15</v>
      </c>
      <c r="B16" s="2">
        <v>0</v>
      </c>
      <c r="C16" s="2">
        <v>0</v>
      </c>
      <c r="D16" s="2">
        <v>0</v>
      </c>
      <c r="E16" s="2">
        <v>0</v>
      </c>
      <c r="F16" s="2">
        <f t="shared" si="0"/>
        <v>0</v>
      </c>
    </row>
    <row r="17" spans="1:6" x14ac:dyDescent="0.35">
      <c r="A17" s="1" t="s">
        <v>16</v>
      </c>
      <c r="B17" s="2">
        <v>150</v>
      </c>
      <c r="C17" s="2">
        <v>150</v>
      </c>
      <c r="D17" s="2">
        <v>100</v>
      </c>
      <c r="E17" s="2">
        <v>150</v>
      </c>
      <c r="F17" s="2">
        <f t="shared" si="0"/>
        <v>550</v>
      </c>
    </row>
    <row r="18" spans="1:6" x14ac:dyDescent="0.35">
      <c r="A18" s="1" t="s">
        <v>17</v>
      </c>
      <c r="B18" s="2">
        <v>20.110000000000003</v>
      </c>
      <c r="C18" s="2">
        <v>20.110000000000003</v>
      </c>
      <c r="D18" s="2">
        <v>25.634999999999998</v>
      </c>
      <c r="E18" s="2">
        <v>25.634999999999998</v>
      </c>
      <c r="F18" s="2">
        <f t="shared" si="0"/>
        <v>91.490000000000009</v>
      </c>
    </row>
    <row r="19" spans="1:6" x14ac:dyDescent="0.35">
      <c r="A19" s="1" t="s">
        <v>18</v>
      </c>
      <c r="B19" s="2">
        <v>0</v>
      </c>
      <c r="C19" s="2">
        <v>0</v>
      </c>
      <c r="D19" s="2">
        <v>0</v>
      </c>
      <c r="E19" s="2">
        <v>0</v>
      </c>
      <c r="F19" s="2">
        <f t="shared" si="0"/>
        <v>0</v>
      </c>
    </row>
    <row r="20" spans="1:6" x14ac:dyDescent="0.35">
      <c r="A20" s="1" t="s">
        <v>19</v>
      </c>
      <c r="B20" s="2">
        <v>90</v>
      </c>
      <c r="C20" s="2">
        <v>90</v>
      </c>
      <c r="D20" s="2">
        <v>90</v>
      </c>
      <c r="E20" s="2">
        <v>90</v>
      </c>
      <c r="F20" s="2">
        <f t="shared" si="0"/>
        <v>360</v>
      </c>
    </row>
    <row r="21" spans="1:6" x14ac:dyDescent="0.35">
      <c r="A21" s="1" t="s">
        <v>20</v>
      </c>
      <c r="B21" s="2">
        <v>4</v>
      </c>
      <c r="C21" s="2">
        <v>4</v>
      </c>
      <c r="D21" s="2">
        <v>0</v>
      </c>
      <c r="E21" s="2">
        <v>0</v>
      </c>
      <c r="F21" s="2">
        <f t="shared" si="0"/>
        <v>8</v>
      </c>
    </row>
    <row r="22" spans="1:6" x14ac:dyDescent="0.35">
      <c r="A22" s="1" t="s">
        <v>21</v>
      </c>
      <c r="B22" s="2">
        <v>32</v>
      </c>
      <c r="C22" s="2">
        <v>32</v>
      </c>
      <c r="D22" s="2">
        <v>29</v>
      </c>
      <c r="E22" s="2">
        <v>29</v>
      </c>
      <c r="F22" s="2">
        <f t="shared" si="0"/>
        <v>122</v>
      </c>
    </row>
    <row r="23" spans="1:6" x14ac:dyDescent="0.35">
      <c r="A23" s="1" t="s">
        <v>22</v>
      </c>
      <c r="B23" s="2">
        <v>21</v>
      </c>
      <c r="C23" s="2">
        <v>21</v>
      </c>
      <c r="D23" s="2">
        <v>22</v>
      </c>
      <c r="E23" s="2">
        <v>22</v>
      </c>
      <c r="F23" s="2">
        <f t="shared" si="0"/>
        <v>86</v>
      </c>
    </row>
    <row r="24" spans="1:6" x14ac:dyDescent="0.35">
      <c r="A24" s="1" t="s">
        <v>23</v>
      </c>
      <c r="B24" s="2">
        <v>48</v>
      </c>
      <c r="C24" s="2">
        <v>48</v>
      </c>
      <c r="D24" s="2">
        <v>48</v>
      </c>
      <c r="E24" s="2">
        <v>48</v>
      </c>
      <c r="F24" s="2">
        <f t="shared" si="0"/>
        <v>192</v>
      </c>
    </row>
    <row r="25" spans="1:6" x14ac:dyDescent="0.35">
      <c r="A25" s="1" t="s">
        <v>24</v>
      </c>
      <c r="B25" s="2">
        <v>33</v>
      </c>
      <c r="C25" s="2">
        <v>33</v>
      </c>
      <c r="D25" s="2">
        <v>58</v>
      </c>
      <c r="E25" s="2">
        <v>58</v>
      </c>
      <c r="F25" s="2">
        <f t="shared" si="0"/>
        <v>182</v>
      </c>
    </row>
    <row r="26" spans="1:6" x14ac:dyDescent="0.35">
      <c r="A26" s="1" t="s">
        <v>25</v>
      </c>
      <c r="B26" s="2">
        <v>12</v>
      </c>
      <c r="C26" s="2">
        <v>16</v>
      </c>
      <c r="D26" s="2">
        <v>16</v>
      </c>
      <c r="E26" s="2">
        <v>16</v>
      </c>
      <c r="F26" s="2">
        <f t="shared" si="0"/>
        <v>60</v>
      </c>
    </row>
    <row r="27" spans="1:6" x14ac:dyDescent="0.35">
      <c r="A27" s="1" t="s">
        <v>26</v>
      </c>
      <c r="B27" s="2">
        <v>100</v>
      </c>
      <c r="C27" s="2">
        <v>100</v>
      </c>
      <c r="D27" s="2">
        <v>133</v>
      </c>
      <c r="E27" s="2">
        <v>133</v>
      </c>
      <c r="F27" s="2">
        <f t="shared" si="0"/>
        <v>466</v>
      </c>
    </row>
    <row r="28" spans="1:6" x14ac:dyDescent="0.35">
      <c r="A28" s="1" t="s">
        <v>27</v>
      </c>
      <c r="B28" s="2">
        <v>0</v>
      </c>
      <c r="C28" s="2">
        <v>0</v>
      </c>
      <c r="D28" s="2">
        <v>0</v>
      </c>
      <c r="E28" s="2">
        <v>0</v>
      </c>
      <c r="F28" s="2">
        <f t="shared" si="0"/>
        <v>0</v>
      </c>
    </row>
    <row r="29" spans="1:6" x14ac:dyDescent="0.35">
      <c r="A29" s="1" t="s">
        <v>28</v>
      </c>
      <c r="B29" s="2">
        <v>62.730000000000004</v>
      </c>
      <c r="C29" s="2">
        <v>63.39</v>
      </c>
      <c r="D29" s="2">
        <v>59.099999999999994</v>
      </c>
      <c r="E29" s="2">
        <v>59.099999999999994</v>
      </c>
      <c r="F29" s="2">
        <f t="shared" si="0"/>
        <v>244.32</v>
      </c>
    </row>
    <row r="30" spans="1:6" x14ac:dyDescent="0.35">
      <c r="A30" s="1" t="s">
        <v>29</v>
      </c>
      <c r="B30" s="2">
        <v>3.5</v>
      </c>
      <c r="C30" s="2">
        <v>3.5</v>
      </c>
      <c r="D30" s="2">
        <v>3.5</v>
      </c>
      <c r="E30" s="2">
        <v>3</v>
      </c>
      <c r="F30" s="2">
        <f t="shared" si="0"/>
        <v>13.5</v>
      </c>
    </row>
    <row r="31" spans="1:6" x14ac:dyDescent="0.35">
      <c r="A31" s="1" t="s">
        <v>30</v>
      </c>
      <c r="B31" s="2">
        <v>0</v>
      </c>
      <c r="C31" s="2">
        <v>0</v>
      </c>
      <c r="D31" s="2">
        <v>0</v>
      </c>
      <c r="E31" s="2">
        <v>0</v>
      </c>
      <c r="F31" s="2">
        <f t="shared" si="0"/>
        <v>0</v>
      </c>
    </row>
    <row r="32" spans="1:6" x14ac:dyDescent="0.35">
      <c r="A32" s="1" t="s">
        <v>31</v>
      </c>
      <c r="B32" s="2">
        <v>0</v>
      </c>
      <c r="C32" s="2">
        <v>0</v>
      </c>
      <c r="D32" s="2">
        <v>0</v>
      </c>
      <c r="E32" s="2">
        <v>0</v>
      </c>
      <c r="F32" s="2">
        <f t="shared" si="0"/>
        <v>0</v>
      </c>
    </row>
    <row r="33" spans="1:6" x14ac:dyDescent="0.35">
      <c r="A33" s="1" t="s">
        <v>32</v>
      </c>
      <c r="B33" s="2">
        <v>8.6</v>
      </c>
      <c r="C33" s="2">
        <v>9.1</v>
      </c>
      <c r="D33" s="2">
        <v>11</v>
      </c>
      <c r="E33" s="2">
        <v>12.399999999999999</v>
      </c>
      <c r="F33" s="2">
        <f t="shared" si="0"/>
        <v>41.099999999999994</v>
      </c>
    </row>
    <row r="34" spans="1:6" x14ac:dyDescent="0.35">
      <c r="A34" s="1" t="s">
        <v>33</v>
      </c>
      <c r="B34" s="2">
        <v>23.61</v>
      </c>
      <c r="C34" s="2">
        <v>23.61</v>
      </c>
      <c r="D34" s="2">
        <v>25.78</v>
      </c>
      <c r="E34" s="2">
        <v>25.78</v>
      </c>
      <c r="F34" s="2">
        <f t="shared" si="0"/>
        <v>98.78</v>
      </c>
    </row>
    <row r="35" spans="1:6" x14ac:dyDescent="0.35">
      <c r="A35" s="1" t="s">
        <v>34</v>
      </c>
      <c r="B35" s="2">
        <v>112</v>
      </c>
      <c r="C35" s="2">
        <v>99</v>
      </c>
      <c r="D35" s="2">
        <v>104</v>
      </c>
      <c r="E35" s="2">
        <v>111</v>
      </c>
      <c r="F35" s="2">
        <f t="shared" si="0"/>
        <v>426</v>
      </c>
    </row>
    <row r="36" spans="1:6" x14ac:dyDescent="0.35">
      <c r="A36" s="1" t="s">
        <v>35</v>
      </c>
      <c r="B36" s="2">
        <v>46</v>
      </c>
      <c r="C36" s="2">
        <v>46</v>
      </c>
      <c r="D36" s="2">
        <v>60</v>
      </c>
      <c r="E36" s="2">
        <v>60</v>
      </c>
      <c r="F36" s="2">
        <f t="shared" si="0"/>
        <v>212</v>
      </c>
    </row>
    <row r="37" spans="1:6" x14ac:dyDescent="0.35">
      <c r="A37" s="1" t="s">
        <v>36</v>
      </c>
      <c r="B37" s="2">
        <v>15.5</v>
      </c>
      <c r="C37" s="2">
        <v>15.5</v>
      </c>
      <c r="D37" s="2">
        <v>17</v>
      </c>
      <c r="E37" s="2">
        <v>17</v>
      </c>
      <c r="F37" s="2">
        <f t="shared" si="0"/>
        <v>65</v>
      </c>
    </row>
    <row r="38" spans="1:6" x14ac:dyDescent="0.35">
      <c r="A38" s="1" t="s">
        <v>37</v>
      </c>
      <c r="B38" s="2">
        <v>0</v>
      </c>
      <c r="C38" s="2">
        <v>0</v>
      </c>
      <c r="D38" s="2">
        <v>0</v>
      </c>
      <c r="E38" s="2">
        <v>0</v>
      </c>
      <c r="F38" s="2">
        <f t="shared" si="0"/>
        <v>0</v>
      </c>
    </row>
    <row r="39" spans="1:6" x14ac:dyDescent="0.35">
      <c r="A39" s="1" t="s">
        <v>38</v>
      </c>
      <c r="B39" s="2">
        <v>12</v>
      </c>
      <c r="C39" s="2">
        <v>12</v>
      </c>
      <c r="D39" s="2">
        <v>15</v>
      </c>
      <c r="E39" s="2">
        <v>15</v>
      </c>
      <c r="F39" s="2">
        <f t="shared" si="0"/>
        <v>54</v>
      </c>
    </row>
    <row r="40" spans="1:6" x14ac:dyDescent="0.35">
      <c r="A40" s="1" t="s">
        <v>39</v>
      </c>
      <c r="B40" s="2">
        <v>28.5</v>
      </c>
      <c r="C40" s="2">
        <v>28.5</v>
      </c>
      <c r="D40" s="2">
        <v>33</v>
      </c>
      <c r="E40" s="2">
        <v>33</v>
      </c>
      <c r="F40" s="2">
        <f t="shared" si="0"/>
        <v>123</v>
      </c>
    </row>
    <row r="41" spans="1:6" x14ac:dyDescent="0.35">
      <c r="A41" s="1" t="s">
        <v>40</v>
      </c>
      <c r="B41" s="2">
        <v>0</v>
      </c>
      <c r="C41" s="2">
        <v>0</v>
      </c>
      <c r="D41" s="2">
        <v>0</v>
      </c>
      <c r="E41" s="2">
        <v>0</v>
      </c>
      <c r="F41" s="2">
        <f t="shared" si="0"/>
        <v>0</v>
      </c>
    </row>
    <row r="42" spans="1:6" x14ac:dyDescent="0.35">
      <c r="A42" s="1" t="s">
        <v>41</v>
      </c>
      <c r="B42" s="2">
        <v>20</v>
      </c>
      <c r="C42" s="2">
        <v>20</v>
      </c>
      <c r="D42" s="2">
        <v>12</v>
      </c>
      <c r="E42" s="2">
        <v>15</v>
      </c>
      <c r="F42" s="2">
        <f t="shared" si="0"/>
        <v>67</v>
      </c>
    </row>
    <row r="43" spans="1:6" x14ac:dyDescent="0.35">
      <c r="A43" s="1" t="s">
        <v>42</v>
      </c>
      <c r="B43" s="2">
        <v>33.580799999999996</v>
      </c>
      <c r="C43" s="2">
        <v>33.580799999999996</v>
      </c>
      <c r="D43" s="2">
        <v>43.296000000000006</v>
      </c>
      <c r="E43" s="2">
        <v>43.296000000000006</v>
      </c>
      <c r="F43" s="2">
        <f t="shared" si="0"/>
        <v>153.75360000000001</v>
      </c>
    </row>
    <row r="44" spans="1:6" x14ac:dyDescent="0.35">
      <c r="A44" s="1" t="s">
        <v>43</v>
      </c>
      <c r="B44" s="2">
        <v>19.099999999999998</v>
      </c>
      <c r="C44" s="2">
        <v>19.099999999999998</v>
      </c>
      <c r="D44" s="2">
        <v>21.65</v>
      </c>
      <c r="E44" s="2">
        <v>20.100000000000001</v>
      </c>
      <c r="F44" s="2">
        <f t="shared" si="0"/>
        <v>79.949999999999989</v>
      </c>
    </row>
    <row r="45" spans="1:6" x14ac:dyDescent="0.35">
      <c r="A45" s="1" t="s">
        <v>44</v>
      </c>
      <c r="B45" s="2">
        <v>12</v>
      </c>
      <c r="C45" s="2">
        <v>12</v>
      </c>
      <c r="D45" s="2">
        <v>12</v>
      </c>
      <c r="E45" s="2">
        <v>12</v>
      </c>
      <c r="F45" s="2">
        <f t="shared" si="0"/>
        <v>48</v>
      </c>
    </row>
    <row r="46" spans="1:6" x14ac:dyDescent="0.35">
      <c r="A46" s="1" t="s">
        <v>45</v>
      </c>
      <c r="B46" s="2">
        <v>0</v>
      </c>
      <c r="C46" s="2">
        <v>0</v>
      </c>
      <c r="D46" s="2">
        <v>0</v>
      </c>
      <c r="E46" s="2">
        <v>0</v>
      </c>
      <c r="F46" s="2">
        <f t="shared" si="0"/>
        <v>0</v>
      </c>
    </row>
    <row r="47" spans="1:6" x14ac:dyDescent="0.35">
      <c r="A47" s="1" t="s">
        <v>46</v>
      </c>
      <c r="B47" s="2">
        <v>137.5</v>
      </c>
      <c r="C47" s="2">
        <v>137.5</v>
      </c>
      <c r="D47" s="2">
        <v>137.5</v>
      </c>
      <c r="E47" s="2">
        <v>137.5</v>
      </c>
      <c r="F47" s="2">
        <f t="shared" si="0"/>
        <v>550</v>
      </c>
    </row>
    <row r="48" spans="1:6" x14ac:dyDescent="0.35">
      <c r="A48" s="1" t="s">
        <v>47</v>
      </c>
      <c r="B48" s="2">
        <v>81.63</v>
      </c>
      <c r="C48" s="2">
        <v>81.63</v>
      </c>
      <c r="D48" s="2">
        <v>122.78999999999999</v>
      </c>
      <c r="E48" s="2">
        <v>122.78999999999999</v>
      </c>
      <c r="F48" s="2">
        <f t="shared" si="0"/>
        <v>408.83999999999992</v>
      </c>
    </row>
    <row r="49" spans="1:6" x14ac:dyDescent="0.35">
      <c r="A49" s="1" t="s">
        <v>48</v>
      </c>
      <c r="B49" s="2">
        <v>21.75</v>
      </c>
      <c r="C49" s="2">
        <v>21.75</v>
      </c>
      <c r="D49" s="2">
        <v>23.700000000000003</v>
      </c>
      <c r="E49" s="2">
        <v>23.700000000000003</v>
      </c>
      <c r="F49" s="2">
        <f t="shared" si="0"/>
        <v>90.9</v>
      </c>
    </row>
    <row r="50" spans="1:6" x14ac:dyDescent="0.35">
      <c r="A50" s="1" t="s">
        <v>49</v>
      </c>
      <c r="B50" s="2">
        <v>57</v>
      </c>
      <c r="C50" s="2">
        <v>57</v>
      </c>
      <c r="D50" s="2">
        <v>139.5</v>
      </c>
      <c r="E50" s="2">
        <v>139.5</v>
      </c>
      <c r="F50" s="2">
        <f t="shared" si="0"/>
        <v>393</v>
      </c>
    </row>
    <row r="51" spans="1:6" x14ac:dyDescent="0.35">
      <c r="A51" s="1" t="s">
        <v>50</v>
      </c>
      <c r="B51" s="2">
        <v>70</v>
      </c>
      <c r="C51" s="2">
        <v>70</v>
      </c>
      <c r="D51" s="2">
        <v>40</v>
      </c>
      <c r="E51" s="2">
        <v>40</v>
      </c>
      <c r="F51" s="2">
        <f t="shared" si="0"/>
        <v>220</v>
      </c>
    </row>
    <row r="52" spans="1:6" x14ac:dyDescent="0.35">
      <c r="A52" s="1" t="s">
        <v>51</v>
      </c>
      <c r="B52" s="2">
        <v>5</v>
      </c>
      <c r="C52" s="2">
        <v>5</v>
      </c>
      <c r="D52" s="2">
        <v>5</v>
      </c>
      <c r="E52" s="2">
        <v>5</v>
      </c>
      <c r="F52" s="2">
        <f t="shared" si="0"/>
        <v>20</v>
      </c>
    </row>
    <row r="53" spans="1:6" x14ac:dyDescent="0.35">
      <c r="A53" s="1" t="s">
        <v>52</v>
      </c>
      <c r="B53" s="2">
        <v>8</v>
      </c>
      <c r="C53" s="2">
        <v>6</v>
      </c>
      <c r="D53" s="2">
        <v>9</v>
      </c>
      <c r="E53" s="2">
        <v>7</v>
      </c>
      <c r="F53" s="2">
        <f t="shared" si="0"/>
        <v>30</v>
      </c>
    </row>
    <row r="54" spans="1:6" x14ac:dyDescent="0.35">
      <c r="A54" s="1" t="s">
        <v>53</v>
      </c>
      <c r="B54" s="2">
        <v>1</v>
      </c>
      <c r="C54" s="2">
        <v>1</v>
      </c>
      <c r="D54" s="2">
        <v>1</v>
      </c>
      <c r="E54" s="2">
        <v>2</v>
      </c>
      <c r="F54" s="2">
        <f t="shared" si="0"/>
        <v>5</v>
      </c>
    </row>
    <row r="55" spans="1:6" x14ac:dyDescent="0.35">
      <c r="A55" s="1" t="s">
        <v>54</v>
      </c>
      <c r="B55" s="2">
        <v>15</v>
      </c>
      <c r="C55" s="2">
        <v>15</v>
      </c>
      <c r="D55" s="2">
        <v>26</v>
      </c>
      <c r="E55" s="2">
        <v>26</v>
      </c>
      <c r="F55" s="2">
        <f t="shared" si="0"/>
        <v>82</v>
      </c>
    </row>
    <row r="56" spans="1:6" x14ac:dyDescent="0.35">
      <c r="A56" s="1" t="s">
        <v>55</v>
      </c>
      <c r="B56" s="2">
        <v>3</v>
      </c>
      <c r="C56" s="2">
        <v>3</v>
      </c>
      <c r="D56" s="2">
        <v>2</v>
      </c>
      <c r="E56" s="2">
        <v>2</v>
      </c>
      <c r="F56" s="2">
        <f t="shared" si="0"/>
        <v>10</v>
      </c>
    </row>
    <row r="57" spans="1:6" x14ac:dyDescent="0.35">
      <c r="A57" s="1" t="s">
        <v>56</v>
      </c>
      <c r="B57" s="2">
        <v>0</v>
      </c>
      <c r="C57" s="2">
        <v>0</v>
      </c>
      <c r="D57" s="2">
        <v>0</v>
      </c>
      <c r="E57" s="2">
        <v>0</v>
      </c>
      <c r="F57" s="2">
        <f t="shared" si="0"/>
        <v>0</v>
      </c>
    </row>
    <row r="58" spans="1:6" x14ac:dyDescent="0.35">
      <c r="A58" s="1" t="s">
        <v>57</v>
      </c>
      <c r="B58" s="2">
        <v>0</v>
      </c>
      <c r="C58" s="2">
        <v>0</v>
      </c>
      <c r="D58" s="2">
        <v>0</v>
      </c>
      <c r="E58" s="2">
        <v>0</v>
      </c>
      <c r="F58" s="2">
        <f t="shared" si="0"/>
        <v>0</v>
      </c>
    </row>
    <row r="59" spans="1:6" x14ac:dyDescent="0.35">
      <c r="A59" s="1" t="s">
        <v>58</v>
      </c>
      <c r="B59" s="2">
        <v>18</v>
      </c>
      <c r="C59" s="2">
        <v>18</v>
      </c>
      <c r="D59" s="2">
        <v>18</v>
      </c>
      <c r="E59" s="2">
        <v>18</v>
      </c>
      <c r="F59" s="2">
        <f t="shared" si="0"/>
        <v>72</v>
      </c>
    </row>
    <row r="60" spans="1:6" x14ac:dyDescent="0.35">
      <c r="A60" s="1" t="s">
        <v>59</v>
      </c>
      <c r="B60" s="2">
        <v>0</v>
      </c>
      <c r="C60" s="2">
        <v>0</v>
      </c>
      <c r="D60" s="2">
        <v>0</v>
      </c>
      <c r="E60" s="2">
        <v>0</v>
      </c>
      <c r="F60" s="2">
        <f t="shared" si="0"/>
        <v>0</v>
      </c>
    </row>
    <row r="61" spans="1:6" x14ac:dyDescent="0.35">
      <c r="A61" s="1" t="s">
        <v>60</v>
      </c>
      <c r="B61" s="2">
        <v>60.514180000000003</v>
      </c>
      <c r="C61" s="2">
        <v>60.514180000000003</v>
      </c>
      <c r="D61" s="2">
        <v>149.51603</v>
      </c>
      <c r="E61" s="2">
        <v>149.51603</v>
      </c>
      <c r="F61" s="2">
        <f t="shared" si="0"/>
        <v>420.06042000000002</v>
      </c>
    </row>
    <row r="62" spans="1:6" x14ac:dyDescent="0.35">
      <c r="A62" s="1" t="s">
        <v>61</v>
      </c>
      <c r="B62" s="2">
        <v>36.664500000000004</v>
      </c>
      <c r="C62" s="2">
        <v>36.664500000000004</v>
      </c>
      <c r="D62" s="2">
        <v>36.664500000000004</v>
      </c>
      <c r="E62" s="2">
        <v>36.664500000000004</v>
      </c>
      <c r="F62" s="2">
        <f t="shared" si="0"/>
        <v>146.65800000000002</v>
      </c>
    </row>
    <row r="63" spans="1:6" x14ac:dyDescent="0.35">
      <c r="A63" s="1" t="s">
        <v>62</v>
      </c>
      <c r="B63" s="2">
        <v>17.4129</v>
      </c>
      <c r="C63" s="2">
        <v>17.4129</v>
      </c>
      <c r="D63" s="2">
        <v>17.4129</v>
      </c>
      <c r="E63" s="2">
        <v>17.4129</v>
      </c>
      <c r="F63" s="2">
        <f t="shared" si="0"/>
        <v>69.651600000000002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906B-766C-49C0-9835-999778C1A12E}">
  <dimension ref="A1:N16"/>
  <sheetViews>
    <sheetView workbookViewId="0"/>
  </sheetViews>
  <sheetFormatPr defaultRowHeight="14.5" x14ac:dyDescent="0.35"/>
  <cols>
    <col min="2" max="2" width="10.90625" bestFit="1" customWidth="1"/>
    <col min="3" max="3" width="10.08984375" bestFit="1" customWidth="1"/>
    <col min="4" max="4" width="9.36328125" bestFit="1" customWidth="1"/>
    <col min="7" max="9" width="9.08984375" bestFit="1" customWidth="1"/>
    <col min="10" max="10" width="9.1796875" bestFit="1" customWidth="1"/>
    <col min="11" max="11" width="9.36328125" bestFit="1" customWidth="1"/>
    <col min="13" max="13" width="9.08984375" bestFit="1" customWidth="1"/>
    <col min="14" max="14" width="9.1796875" bestFit="1" customWidth="1"/>
  </cols>
  <sheetData>
    <row r="1" spans="1:14" x14ac:dyDescent="0.35">
      <c r="A1" t="s">
        <v>0</v>
      </c>
      <c r="B1" t="s">
        <v>74</v>
      </c>
      <c r="C1" s="5">
        <v>46113</v>
      </c>
      <c r="D1" s="5">
        <v>46143</v>
      </c>
      <c r="E1" s="5">
        <v>46174</v>
      </c>
      <c r="F1" s="5">
        <v>46204</v>
      </c>
      <c r="G1" s="5">
        <v>46235</v>
      </c>
      <c r="H1" s="5">
        <v>46266</v>
      </c>
      <c r="I1" s="5">
        <v>46296</v>
      </c>
      <c r="J1" s="5">
        <v>46327</v>
      </c>
      <c r="K1" s="5">
        <v>46357</v>
      </c>
      <c r="L1" s="5">
        <v>46388</v>
      </c>
      <c r="M1" s="5">
        <v>46419</v>
      </c>
      <c r="N1" s="5">
        <v>46447</v>
      </c>
    </row>
    <row r="2" spans="1:14" x14ac:dyDescent="0.35">
      <c r="A2" s="6" t="s">
        <v>1</v>
      </c>
      <c r="B2" t="s">
        <v>68</v>
      </c>
      <c r="C2">
        <v>4100000</v>
      </c>
      <c r="D2">
        <v>4100000</v>
      </c>
      <c r="E2">
        <v>4100000</v>
      </c>
      <c r="F2">
        <v>4100000</v>
      </c>
      <c r="G2">
        <v>4100000</v>
      </c>
      <c r="H2">
        <v>4100000</v>
      </c>
      <c r="I2">
        <v>4100000</v>
      </c>
      <c r="J2">
        <v>4100000</v>
      </c>
      <c r="K2">
        <v>4100000</v>
      </c>
      <c r="L2">
        <v>4100000</v>
      </c>
      <c r="M2">
        <v>4100000</v>
      </c>
      <c r="N2">
        <v>4100000</v>
      </c>
    </row>
    <row r="3" spans="1:14" x14ac:dyDescent="0.35">
      <c r="A3" s="6"/>
      <c r="B3" t="s">
        <v>69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 s="6"/>
      <c r="B4" t="s">
        <v>70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 s="6"/>
      <c r="B5" t="s">
        <v>71</v>
      </c>
      <c r="C5">
        <v>100</v>
      </c>
      <c r="D5">
        <v>150</v>
      </c>
      <c r="E5">
        <v>250</v>
      </c>
      <c r="F5">
        <v>300</v>
      </c>
      <c r="G5">
        <v>400</v>
      </c>
      <c r="H5">
        <v>350</v>
      </c>
      <c r="I5">
        <v>250</v>
      </c>
      <c r="J5">
        <v>275</v>
      </c>
      <c r="K5">
        <v>300</v>
      </c>
      <c r="L5">
        <v>325</v>
      </c>
      <c r="M5">
        <v>425</v>
      </c>
      <c r="N5">
        <v>350</v>
      </c>
    </row>
    <row r="6" spans="1:14" x14ac:dyDescent="0.35">
      <c r="A6" s="6"/>
      <c r="B6" t="s">
        <v>72</v>
      </c>
      <c r="C6">
        <f>C5*35000</f>
        <v>3500000</v>
      </c>
      <c r="D6">
        <f t="shared" ref="D6:N6" si="0">D5*35000</f>
        <v>5250000</v>
      </c>
      <c r="E6">
        <f t="shared" si="0"/>
        <v>8750000</v>
      </c>
      <c r="F6">
        <f t="shared" si="0"/>
        <v>10500000</v>
      </c>
      <c r="G6">
        <f t="shared" si="0"/>
        <v>14000000</v>
      </c>
      <c r="H6">
        <f t="shared" si="0"/>
        <v>12250000</v>
      </c>
      <c r="I6">
        <f t="shared" si="0"/>
        <v>8750000</v>
      </c>
      <c r="J6">
        <f t="shared" si="0"/>
        <v>9625000</v>
      </c>
      <c r="K6">
        <f t="shared" si="0"/>
        <v>10500000</v>
      </c>
      <c r="L6">
        <f t="shared" si="0"/>
        <v>11375000</v>
      </c>
      <c r="M6">
        <f t="shared" si="0"/>
        <v>14875000</v>
      </c>
      <c r="N6">
        <f t="shared" si="0"/>
        <v>12250000</v>
      </c>
    </row>
    <row r="7" spans="1:14" x14ac:dyDescent="0.35">
      <c r="A7" s="6" t="s">
        <v>19</v>
      </c>
      <c r="B7" t="s">
        <v>68</v>
      </c>
      <c r="C7">
        <v>800000</v>
      </c>
      <c r="D7">
        <v>800000</v>
      </c>
      <c r="E7">
        <v>800000</v>
      </c>
      <c r="F7">
        <v>800000</v>
      </c>
      <c r="G7">
        <v>800000</v>
      </c>
      <c r="H7">
        <v>800000</v>
      </c>
      <c r="I7">
        <v>800000</v>
      </c>
      <c r="J7">
        <v>800000</v>
      </c>
      <c r="K7">
        <v>800000</v>
      </c>
      <c r="L7">
        <v>800000</v>
      </c>
      <c r="M7">
        <v>800000</v>
      </c>
      <c r="N7">
        <v>800000</v>
      </c>
    </row>
    <row r="8" spans="1:14" x14ac:dyDescent="0.35">
      <c r="A8" s="6"/>
      <c r="B8" t="s">
        <v>69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5">
      <c r="A9" s="6"/>
      <c r="B9" t="s">
        <v>70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 s="6"/>
      <c r="B10" t="s">
        <v>71</v>
      </c>
      <c r="C10">
        <v>70</v>
      </c>
      <c r="D10">
        <v>80</v>
      </c>
      <c r="E10">
        <v>65</v>
      </c>
      <c r="F10">
        <v>55</v>
      </c>
      <c r="G10">
        <v>120</v>
      </c>
      <c r="H10">
        <v>110</v>
      </c>
      <c r="I10">
        <v>35</v>
      </c>
      <c r="J10">
        <v>40</v>
      </c>
      <c r="K10">
        <v>45</v>
      </c>
      <c r="L10">
        <v>60</v>
      </c>
      <c r="M10">
        <v>70</v>
      </c>
      <c r="N10">
        <v>80</v>
      </c>
    </row>
    <row r="11" spans="1:14" x14ac:dyDescent="0.35">
      <c r="A11" s="6"/>
      <c r="B11" t="s">
        <v>72</v>
      </c>
      <c r="C11">
        <f>C10*25000</f>
        <v>1750000</v>
      </c>
      <c r="D11">
        <f t="shared" ref="D11:N11" si="1">D10*25000</f>
        <v>2000000</v>
      </c>
      <c r="E11">
        <f t="shared" si="1"/>
        <v>1625000</v>
      </c>
      <c r="F11">
        <f t="shared" si="1"/>
        <v>1375000</v>
      </c>
      <c r="G11">
        <f t="shared" si="1"/>
        <v>3000000</v>
      </c>
      <c r="H11">
        <f t="shared" si="1"/>
        <v>2750000</v>
      </c>
      <c r="I11">
        <f t="shared" si="1"/>
        <v>875000</v>
      </c>
      <c r="J11">
        <f t="shared" si="1"/>
        <v>1000000</v>
      </c>
      <c r="K11">
        <f t="shared" si="1"/>
        <v>1125000</v>
      </c>
      <c r="L11">
        <f t="shared" si="1"/>
        <v>1500000</v>
      </c>
      <c r="M11">
        <f t="shared" si="1"/>
        <v>1750000</v>
      </c>
      <c r="N11">
        <f t="shared" si="1"/>
        <v>2000000</v>
      </c>
    </row>
    <row r="12" spans="1:14" x14ac:dyDescent="0.35">
      <c r="A12" s="7" t="s">
        <v>73</v>
      </c>
      <c r="B12" t="s">
        <v>68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 s="7"/>
      <c r="B13" t="s">
        <v>69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 s="7"/>
      <c r="B14" t="s">
        <v>70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 s="7"/>
      <c r="B15" t="s">
        <v>71</v>
      </c>
      <c r="C15">
        <v>70</v>
      </c>
      <c r="D15">
        <v>80</v>
      </c>
      <c r="E15">
        <v>65</v>
      </c>
      <c r="F15">
        <v>55</v>
      </c>
      <c r="G15">
        <v>120</v>
      </c>
      <c r="H15">
        <v>110</v>
      </c>
      <c r="I15">
        <v>35</v>
      </c>
      <c r="J15">
        <v>40</v>
      </c>
      <c r="K15">
        <v>45</v>
      </c>
      <c r="L15">
        <v>60</v>
      </c>
      <c r="M15">
        <v>70</v>
      </c>
      <c r="N15">
        <v>80</v>
      </c>
    </row>
    <row r="16" spans="1:14" x14ac:dyDescent="0.35">
      <c r="A16" s="7"/>
      <c r="B16" t="s">
        <v>72</v>
      </c>
      <c r="C16">
        <f>C15*45000</f>
        <v>3150000</v>
      </c>
      <c r="D16">
        <f t="shared" ref="D16:N16" si="2">D15*45000</f>
        <v>3600000</v>
      </c>
      <c r="E16">
        <f t="shared" si="2"/>
        <v>2925000</v>
      </c>
      <c r="F16">
        <f t="shared" si="2"/>
        <v>2475000</v>
      </c>
      <c r="G16">
        <f t="shared" si="2"/>
        <v>5400000</v>
      </c>
      <c r="H16">
        <f t="shared" si="2"/>
        <v>4950000</v>
      </c>
      <c r="I16">
        <f t="shared" si="2"/>
        <v>1575000</v>
      </c>
      <c r="J16">
        <f t="shared" si="2"/>
        <v>1800000</v>
      </c>
      <c r="K16">
        <f t="shared" si="2"/>
        <v>2025000</v>
      </c>
      <c r="L16">
        <f t="shared" si="2"/>
        <v>2700000</v>
      </c>
      <c r="M16">
        <f t="shared" si="2"/>
        <v>3150000</v>
      </c>
      <c r="N16">
        <f t="shared" si="2"/>
        <v>3600000</v>
      </c>
    </row>
  </sheetData>
  <mergeCells count="3">
    <mergeCell ref="A2:A6"/>
    <mergeCell ref="A7:A11"/>
    <mergeCell ref="A12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Template</vt:lpstr>
      <vt:lpstr>Forecast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Baljeet Singh</cp:lastModifiedBy>
  <dcterms:created xsi:type="dcterms:W3CDTF">2026-02-28T03:40:12Z</dcterms:created>
  <dcterms:modified xsi:type="dcterms:W3CDTF">2026-02-28T03:49:27Z</dcterms:modified>
</cp:coreProperties>
</file>