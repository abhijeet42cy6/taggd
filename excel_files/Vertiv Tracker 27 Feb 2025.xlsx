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baljeet.singh\Downloads\"/>
    </mc:Choice>
  </mc:AlternateContent>
  <xr:revisionPtr revIDLastSave="0" documentId="13_ncr:1_{5459BEF7-799B-4314-A93B-66EBE87AD70A}" xr6:coauthVersionLast="47" xr6:coauthVersionMax="47" xr10:uidLastSave="{00000000-0000-0000-0000-000000000000}"/>
  <bookViews>
    <workbookView xWindow="-110" yWindow="-110" windowWidth="19420" windowHeight="11500" xr2:uid="{88573773-369E-4DAD-A6C6-4DB82D1927E5}"/>
  </bookViews>
  <sheets>
    <sheet name="Positions Tracker" sheetId="3" r:id="rId1"/>
    <sheet name="Candidate Tracker" sheetId="1" r:id="rId2"/>
    <sheet name="Drop downs" sheetId="2" state="hidden" r:id="rId3"/>
  </sheets>
  <definedNames>
    <definedName name="_xlnm._FilterDatabase" localSheetId="1" hidden="1">'Candidate Tracker'!$A$1:$AS$1000</definedName>
    <definedName name="_xlnm._FilterDatabase" localSheetId="2" hidden="1">'Drop downs'!$D$25:$I$59</definedName>
    <definedName name="_xlnm._FilterDatabase" localSheetId="0" hidden="1">'Positions Tracker'!$A$1:$BG$988</definedName>
    <definedName name="Pivot">OFFSET('Positions Tracker'!$A$1,0,0,COUNTA('Positions Tracker'!A:A),COUNTA('Positions Tracker'!1048575:1048575))</definedName>
    <definedName name="Pivots">OFFSET('Positions Tracker'!$A$1,0,0,COUNTA('Positions Tracker'!$A:$A),COUNTA('Positions Tracker'!$1:$1))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 i="3" l="1"/>
  <c r="AU3" i="3"/>
  <c r="AV3" i="3" s="1" a="1"/>
  <c r="AV3" i="3" s="1"/>
  <c r="AY3" i="3"/>
  <c r="AZ3" i="3"/>
  <c r="BA3" i="3"/>
  <c r="BB3" i="3"/>
  <c r="BC3" i="3"/>
  <c r="BD3" i="3"/>
  <c r="BE3" i="3"/>
  <c r="BF3" i="3"/>
  <c r="BG3" i="3"/>
  <c r="AT4" i="3"/>
  <c r="AU4" i="3"/>
  <c r="AV4" i="3" s="1" a="1"/>
  <c r="AV4" i="3" s="1"/>
  <c r="AY4" i="3"/>
  <c r="AZ4" i="3"/>
  <c r="BA4" i="3"/>
  <c r="BB4" i="3"/>
  <c r="BC4" i="3"/>
  <c r="BD4" i="3"/>
  <c r="BE4" i="3"/>
  <c r="BF4" i="3"/>
  <c r="BG4" i="3"/>
  <c r="AT5" i="3"/>
  <c r="AU5" i="3"/>
  <c r="AV5" i="3" s="1" a="1"/>
  <c r="AV5" i="3" s="1"/>
  <c r="AY5" i="3"/>
  <c r="AZ5" i="3"/>
  <c r="BA5" i="3"/>
  <c r="BB5" i="3"/>
  <c r="BC5" i="3"/>
  <c r="BD5" i="3"/>
  <c r="BE5" i="3"/>
  <c r="BF5" i="3"/>
  <c r="BG5" i="3"/>
  <c r="AT6" i="3"/>
  <c r="AU6" i="3"/>
  <c r="AV6" i="3" s="1" a="1"/>
  <c r="AV6" i="3" s="1"/>
  <c r="AY6" i="3"/>
  <c r="AZ6" i="3"/>
  <c r="BA6" i="3"/>
  <c r="BB6" i="3"/>
  <c r="BC6" i="3"/>
  <c r="BD6" i="3"/>
  <c r="BE6" i="3"/>
  <c r="BF6" i="3"/>
  <c r="BG6" i="3"/>
  <c r="AT7" i="3"/>
  <c r="AU7" i="3"/>
  <c r="AV7" i="3" s="1" a="1"/>
  <c r="AV7" i="3" s="1"/>
  <c r="AY7" i="3"/>
  <c r="AZ7" i="3"/>
  <c r="BA7" i="3"/>
  <c r="BB7" i="3"/>
  <c r="BC7" i="3"/>
  <c r="BD7" i="3"/>
  <c r="BE7" i="3"/>
  <c r="BF7" i="3"/>
  <c r="BG7" i="3"/>
  <c r="AT8" i="3"/>
  <c r="AU8" i="3"/>
  <c r="AV8" i="3" s="1" a="1"/>
  <c r="AV8" i="3" s="1"/>
  <c r="AY8" i="3"/>
  <c r="AZ8" i="3"/>
  <c r="BA8" i="3"/>
  <c r="BB8" i="3"/>
  <c r="BC8" i="3"/>
  <c r="BD8" i="3"/>
  <c r="BE8" i="3"/>
  <c r="BF8" i="3"/>
  <c r="BG8" i="3"/>
  <c r="AT9" i="3"/>
  <c r="AU9" i="3"/>
  <c r="AV9" i="3" s="1" a="1"/>
  <c r="AV9" i="3" s="1"/>
  <c r="AY9" i="3"/>
  <c r="AZ9" i="3"/>
  <c r="BA9" i="3"/>
  <c r="BB9" i="3"/>
  <c r="BC9" i="3"/>
  <c r="BD9" i="3"/>
  <c r="BE9" i="3"/>
  <c r="BF9" i="3"/>
  <c r="BG9" i="3"/>
  <c r="AT10" i="3"/>
  <c r="AU10" i="3"/>
  <c r="AV10" i="3" s="1" a="1"/>
  <c r="AV10" i="3" s="1"/>
  <c r="AY10" i="3"/>
  <c r="AZ10" i="3"/>
  <c r="BA10" i="3"/>
  <c r="BB10" i="3"/>
  <c r="BC10" i="3"/>
  <c r="BD10" i="3"/>
  <c r="BE10" i="3"/>
  <c r="BF10" i="3"/>
  <c r="BG10" i="3"/>
  <c r="AT11" i="3"/>
  <c r="AU11" i="3"/>
  <c r="AV11" i="3" s="1" a="1"/>
  <c r="AV11" i="3" s="1"/>
  <c r="AY11" i="3"/>
  <c r="AZ11" i="3"/>
  <c r="BA11" i="3"/>
  <c r="BB11" i="3"/>
  <c r="BC11" i="3"/>
  <c r="BD11" i="3"/>
  <c r="BE11" i="3"/>
  <c r="BF11" i="3"/>
  <c r="BG11" i="3"/>
  <c r="AT12" i="3"/>
  <c r="AU12" i="3"/>
  <c r="AV12" i="3" s="1" a="1"/>
  <c r="AV12" i="3" s="1"/>
  <c r="AY12" i="3"/>
  <c r="AZ12" i="3"/>
  <c r="BA12" i="3"/>
  <c r="BB12" i="3"/>
  <c r="BC12" i="3"/>
  <c r="BD12" i="3"/>
  <c r="BE12" i="3"/>
  <c r="BF12" i="3"/>
  <c r="BG12" i="3"/>
  <c r="AT13" i="3"/>
  <c r="AU13" i="3"/>
  <c r="AV13" i="3" s="1" a="1"/>
  <c r="AV13" i="3" s="1"/>
  <c r="AY13" i="3"/>
  <c r="AZ13" i="3"/>
  <c r="BA13" i="3"/>
  <c r="BB13" i="3"/>
  <c r="BC13" i="3"/>
  <c r="BD13" i="3"/>
  <c r="BE13" i="3"/>
  <c r="BF13" i="3"/>
  <c r="BG13" i="3"/>
  <c r="AT14" i="3"/>
  <c r="AU14" i="3"/>
  <c r="AV14" i="3" s="1" a="1"/>
  <c r="AV14" i="3" s="1"/>
  <c r="AY14" i="3"/>
  <c r="AZ14" i="3"/>
  <c r="BA14" i="3"/>
  <c r="BB14" i="3"/>
  <c r="BC14" i="3"/>
  <c r="BD14" i="3"/>
  <c r="BE14" i="3"/>
  <c r="BF14" i="3"/>
  <c r="BG14" i="3"/>
  <c r="AT15" i="3"/>
  <c r="AU15" i="3"/>
  <c r="AV15" i="3" s="1" a="1"/>
  <c r="AV15" i="3" s="1"/>
  <c r="AY15" i="3"/>
  <c r="AZ15" i="3"/>
  <c r="BA15" i="3"/>
  <c r="BB15" i="3"/>
  <c r="BC15" i="3"/>
  <c r="BD15" i="3"/>
  <c r="BE15" i="3"/>
  <c r="BF15" i="3"/>
  <c r="BG15" i="3"/>
  <c r="AT16" i="3"/>
  <c r="AU16" i="3"/>
  <c r="AV16" i="3" s="1" a="1"/>
  <c r="AV16" i="3" s="1"/>
  <c r="AY16" i="3"/>
  <c r="AZ16" i="3"/>
  <c r="BA16" i="3"/>
  <c r="BB16" i="3"/>
  <c r="BC16" i="3"/>
  <c r="BD16" i="3"/>
  <c r="BE16" i="3"/>
  <c r="BF16" i="3"/>
  <c r="BG16" i="3"/>
  <c r="AT17" i="3"/>
  <c r="AU17" i="3"/>
  <c r="AV17" i="3" s="1" a="1"/>
  <c r="AV17" i="3" s="1"/>
  <c r="AY17" i="3"/>
  <c r="AZ17" i="3"/>
  <c r="BA17" i="3"/>
  <c r="BB17" i="3"/>
  <c r="BC17" i="3"/>
  <c r="BD17" i="3"/>
  <c r="BE17" i="3"/>
  <c r="BF17" i="3"/>
  <c r="BG17" i="3"/>
  <c r="AT18" i="3"/>
  <c r="AU18" i="3"/>
  <c r="AV18" i="3" s="1" a="1"/>
  <c r="AV18" i="3" s="1"/>
  <c r="AY18" i="3"/>
  <c r="AZ18" i="3"/>
  <c r="BA18" i="3"/>
  <c r="BB18" i="3"/>
  <c r="BC18" i="3"/>
  <c r="BD18" i="3"/>
  <c r="BE18" i="3"/>
  <c r="BF18" i="3"/>
  <c r="BG18" i="3"/>
  <c r="AT19" i="3"/>
  <c r="AU19" i="3"/>
  <c r="AV19" i="3" s="1" a="1"/>
  <c r="AV19" i="3" s="1"/>
  <c r="AY19" i="3"/>
  <c r="AZ19" i="3"/>
  <c r="BA19" i="3"/>
  <c r="BB19" i="3"/>
  <c r="BC19" i="3"/>
  <c r="BD19" i="3"/>
  <c r="BE19" i="3"/>
  <c r="BF19" i="3"/>
  <c r="BG19" i="3"/>
  <c r="AT20" i="3"/>
  <c r="AU20" i="3"/>
  <c r="AV20" i="3" s="1" a="1"/>
  <c r="AV20" i="3" s="1"/>
  <c r="AY20" i="3"/>
  <c r="AZ20" i="3"/>
  <c r="BA20" i="3"/>
  <c r="BB20" i="3"/>
  <c r="BC20" i="3"/>
  <c r="BD20" i="3"/>
  <c r="BE20" i="3"/>
  <c r="BF20" i="3"/>
  <c r="BG20" i="3"/>
  <c r="AT21" i="3"/>
  <c r="AU21" i="3"/>
  <c r="AV21" i="3" s="1" a="1"/>
  <c r="AV21" i="3" s="1"/>
  <c r="AY21" i="3"/>
  <c r="AZ21" i="3"/>
  <c r="BA21" i="3"/>
  <c r="BB21" i="3"/>
  <c r="BC21" i="3"/>
  <c r="BD21" i="3"/>
  <c r="BE21" i="3"/>
  <c r="BF21" i="3"/>
  <c r="BG21" i="3"/>
  <c r="AT22" i="3"/>
  <c r="AU22" i="3"/>
  <c r="AV22" i="3" s="1" a="1"/>
  <c r="AV22" i="3" s="1"/>
  <c r="AY22" i="3"/>
  <c r="AZ22" i="3"/>
  <c r="BA22" i="3"/>
  <c r="BB22" i="3"/>
  <c r="BC22" i="3"/>
  <c r="BD22" i="3"/>
  <c r="BE22" i="3"/>
  <c r="BF22" i="3"/>
  <c r="BG22" i="3"/>
  <c r="AT23" i="3"/>
  <c r="AU23" i="3"/>
  <c r="AV23" i="3" s="1" a="1"/>
  <c r="AV23" i="3" s="1"/>
  <c r="AY23" i="3"/>
  <c r="AZ23" i="3"/>
  <c r="BA23" i="3"/>
  <c r="BB23" i="3"/>
  <c r="BC23" i="3"/>
  <c r="BD23" i="3"/>
  <c r="BE23" i="3"/>
  <c r="BF23" i="3"/>
  <c r="BG23" i="3"/>
  <c r="AT24" i="3"/>
  <c r="AU24" i="3"/>
  <c r="AV24" i="3" s="1" a="1"/>
  <c r="AV24" i="3" s="1"/>
  <c r="AY24" i="3"/>
  <c r="AZ24" i="3"/>
  <c r="BA24" i="3"/>
  <c r="BB24" i="3"/>
  <c r="BC24" i="3"/>
  <c r="BD24" i="3"/>
  <c r="BE24" i="3"/>
  <c r="BF24" i="3"/>
  <c r="BG24" i="3"/>
  <c r="AT25" i="3"/>
  <c r="AU25" i="3"/>
  <c r="AV25" i="3" s="1" a="1"/>
  <c r="AV25" i="3" s="1"/>
  <c r="AY25" i="3"/>
  <c r="AZ25" i="3"/>
  <c r="BA25" i="3"/>
  <c r="BB25" i="3"/>
  <c r="BC25" i="3"/>
  <c r="BD25" i="3"/>
  <c r="BE25" i="3"/>
  <c r="BF25" i="3"/>
  <c r="BG25" i="3"/>
  <c r="AT26" i="3"/>
  <c r="AU26" i="3"/>
  <c r="AV26" i="3" s="1" a="1"/>
  <c r="AV26" i="3" s="1"/>
  <c r="AY26" i="3"/>
  <c r="AZ26" i="3"/>
  <c r="BA26" i="3"/>
  <c r="BB26" i="3"/>
  <c r="BC26" i="3"/>
  <c r="BD26" i="3"/>
  <c r="BE26" i="3"/>
  <c r="BF26" i="3"/>
  <c r="BG26" i="3"/>
  <c r="AT27" i="3"/>
  <c r="AU27" i="3"/>
  <c r="AV27" i="3" s="1" a="1"/>
  <c r="AV27" i="3" s="1"/>
  <c r="AY27" i="3"/>
  <c r="AZ27" i="3"/>
  <c r="BA27" i="3"/>
  <c r="BB27" i="3"/>
  <c r="BC27" i="3"/>
  <c r="BD27" i="3"/>
  <c r="BE27" i="3"/>
  <c r="BF27" i="3"/>
  <c r="BG27" i="3"/>
  <c r="AT28" i="3"/>
  <c r="AU28" i="3"/>
  <c r="AV28" i="3" s="1" a="1"/>
  <c r="AV28" i="3" s="1"/>
  <c r="AY28" i="3"/>
  <c r="AZ28" i="3"/>
  <c r="BA28" i="3"/>
  <c r="BB28" i="3"/>
  <c r="BC28" i="3"/>
  <c r="BD28" i="3"/>
  <c r="BE28" i="3"/>
  <c r="BF28" i="3"/>
  <c r="BG28" i="3"/>
  <c r="AT29" i="3"/>
  <c r="AU29" i="3"/>
  <c r="AV29" i="3" s="1" a="1"/>
  <c r="AV29" i="3" s="1"/>
  <c r="AY29" i="3"/>
  <c r="AZ29" i="3"/>
  <c r="BA29" i="3"/>
  <c r="BB29" i="3"/>
  <c r="BC29" i="3"/>
  <c r="BD29" i="3"/>
  <c r="BE29" i="3"/>
  <c r="BF29" i="3"/>
  <c r="BG29" i="3"/>
  <c r="AT30" i="3"/>
  <c r="AU30" i="3"/>
  <c r="AV30" i="3" s="1" a="1"/>
  <c r="AV30" i="3" s="1"/>
  <c r="AY30" i="3"/>
  <c r="AZ30" i="3"/>
  <c r="BA30" i="3"/>
  <c r="BB30" i="3"/>
  <c r="BC30" i="3"/>
  <c r="BD30" i="3"/>
  <c r="BE30" i="3"/>
  <c r="BF30" i="3"/>
  <c r="BG30" i="3"/>
  <c r="AT31" i="3"/>
  <c r="AU31" i="3"/>
  <c r="AV31" i="3" s="1" a="1"/>
  <c r="AV31" i="3" s="1"/>
  <c r="AY31" i="3"/>
  <c r="AZ31" i="3"/>
  <c r="BA31" i="3"/>
  <c r="BB31" i="3"/>
  <c r="BC31" i="3"/>
  <c r="BD31" i="3"/>
  <c r="BE31" i="3"/>
  <c r="BF31" i="3"/>
  <c r="BG31" i="3"/>
  <c r="AT32" i="3"/>
  <c r="AU32" i="3"/>
  <c r="AV32" i="3" s="1" a="1"/>
  <c r="AV32" i="3" s="1"/>
  <c r="AY32" i="3"/>
  <c r="AZ32" i="3"/>
  <c r="BA32" i="3"/>
  <c r="BB32" i="3"/>
  <c r="BC32" i="3"/>
  <c r="BD32" i="3"/>
  <c r="BE32" i="3"/>
  <c r="BF32" i="3"/>
  <c r="BG32" i="3"/>
  <c r="AT33" i="3"/>
  <c r="AU33" i="3"/>
  <c r="AV33" i="3" s="1" a="1"/>
  <c r="AV33" i="3" s="1"/>
  <c r="AY33" i="3"/>
  <c r="AZ33" i="3"/>
  <c r="BA33" i="3"/>
  <c r="BB33" i="3"/>
  <c r="BC33" i="3"/>
  <c r="BD33" i="3"/>
  <c r="BE33" i="3"/>
  <c r="BF33" i="3"/>
  <c r="BG33" i="3"/>
  <c r="AT34" i="3"/>
  <c r="AU34" i="3"/>
  <c r="AV34" i="3" s="1" a="1"/>
  <c r="AV34" i="3" s="1"/>
  <c r="AY34" i="3"/>
  <c r="AZ34" i="3"/>
  <c r="BA34" i="3"/>
  <c r="BB34" i="3"/>
  <c r="BC34" i="3"/>
  <c r="BD34" i="3"/>
  <c r="BE34" i="3"/>
  <c r="BF34" i="3"/>
  <c r="BG34" i="3"/>
  <c r="AT35" i="3"/>
  <c r="AU35" i="3"/>
  <c r="AV35" i="3" s="1" a="1"/>
  <c r="AV35" i="3" s="1"/>
  <c r="AY35" i="3"/>
  <c r="AZ35" i="3"/>
  <c r="BA35" i="3"/>
  <c r="BB35" i="3"/>
  <c r="BC35" i="3"/>
  <c r="BD35" i="3"/>
  <c r="BE35" i="3"/>
  <c r="BF35" i="3"/>
  <c r="BG35" i="3"/>
  <c r="AT36" i="3"/>
  <c r="AU36" i="3"/>
  <c r="AV36" i="3" s="1" a="1"/>
  <c r="AV36" i="3" s="1"/>
  <c r="AY36" i="3"/>
  <c r="AZ36" i="3"/>
  <c r="BA36" i="3"/>
  <c r="BB36" i="3"/>
  <c r="BC36" i="3"/>
  <c r="BD36" i="3"/>
  <c r="BE36" i="3"/>
  <c r="BF36" i="3"/>
  <c r="BG36" i="3"/>
  <c r="AT37" i="3"/>
  <c r="AU37" i="3"/>
  <c r="AV37" i="3" s="1" a="1"/>
  <c r="AV37" i="3" s="1"/>
  <c r="AY37" i="3"/>
  <c r="AZ37" i="3"/>
  <c r="BA37" i="3"/>
  <c r="BB37" i="3"/>
  <c r="BC37" i="3"/>
  <c r="BD37" i="3"/>
  <c r="BE37" i="3"/>
  <c r="BF37" i="3"/>
  <c r="BG37" i="3"/>
  <c r="AT38" i="3"/>
  <c r="AU38" i="3"/>
  <c r="AV38" i="3" s="1" a="1"/>
  <c r="AV38" i="3" s="1"/>
  <c r="AY38" i="3"/>
  <c r="AZ38" i="3"/>
  <c r="BA38" i="3"/>
  <c r="BB38" i="3"/>
  <c r="BC38" i="3"/>
  <c r="BD38" i="3"/>
  <c r="BE38" i="3"/>
  <c r="BF38" i="3"/>
  <c r="BG38" i="3"/>
  <c r="AT39" i="3"/>
  <c r="AU39" i="3"/>
  <c r="AV39" i="3" s="1" a="1"/>
  <c r="AV39" i="3" s="1"/>
  <c r="AY39" i="3"/>
  <c r="AZ39" i="3"/>
  <c r="BA39" i="3"/>
  <c r="BB39" i="3"/>
  <c r="BC39" i="3"/>
  <c r="BD39" i="3"/>
  <c r="BE39" i="3"/>
  <c r="BF39" i="3"/>
  <c r="BG39" i="3"/>
  <c r="AT40" i="3"/>
  <c r="AU40" i="3"/>
  <c r="AV40" i="3" s="1" a="1"/>
  <c r="AV40" i="3" s="1"/>
  <c r="AY40" i="3"/>
  <c r="AZ40" i="3"/>
  <c r="BA40" i="3"/>
  <c r="BB40" i="3"/>
  <c r="BC40" i="3"/>
  <c r="BD40" i="3"/>
  <c r="BE40" i="3"/>
  <c r="BF40" i="3"/>
  <c r="BG40" i="3"/>
  <c r="AT41" i="3"/>
  <c r="AU41" i="3"/>
  <c r="AV41" i="3" s="1" a="1"/>
  <c r="AV41" i="3" s="1"/>
  <c r="AY41" i="3"/>
  <c r="AZ41" i="3"/>
  <c r="BA41" i="3"/>
  <c r="BB41" i="3"/>
  <c r="BC41" i="3"/>
  <c r="BD41" i="3"/>
  <c r="BE41" i="3"/>
  <c r="BF41" i="3"/>
  <c r="BG41" i="3"/>
  <c r="AT42" i="3"/>
  <c r="AU42" i="3"/>
  <c r="AV42" i="3" s="1" a="1"/>
  <c r="AV42" i="3" s="1"/>
  <c r="AY42" i="3"/>
  <c r="AZ42" i="3"/>
  <c r="BA42" i="3"/>
  <c r="BB42" i="3"/>
  <c r="BC42" i="3"/>
  <c r="BD42" i="3"/>
  <c r="BE42" i="3"/>
  <c r="BF42" i="3"/>
  <c r="BG42" i="3"/>
  <c r="AT43" i="3"/>
  <c r="AU43" i="3"/>
  <c r="AV43" i="3" s="1" a="1"/>
  <c r="AV43" i="3" s="1"/>
  <c r="AY43" i="3"/>
  <c r="AZ43" i="3"/>
  <c r="BA43" i="3"/>
  <c r="BB43" i="3"/>
  <c r="BC43" i="3"/>
  <c r="BD43" i="3"/>
  <c r="BE43" i="3"/>
  <c r="BF43" i="3"/>
  <c r="BG43" i="3"/>
  <c r="AT44" i="3"/>
  <c r="AU44" i="3"/>
  <c r="AV44" i="3" s="1" a="1"/>
  <c r="AV44" i="3" s="1"/>
  <c r="AY44" i="3"/>
  <c r="AZ44" i="3"/>
  <c r="BA44" i="3"/>
  <c r="BB44" i="3"/>
  <c r="BC44" i="3"/>
  <c r="BD44" i="3"/>
  <c r="BE44" i="3"/>
  <c r="BF44" i="3"/>
  <c r="BG44" i="3"/>
  <c r="AT45" i="3"/>
  <c r="AU45" i="3"/>
  <c r="AV45" i="3" s="1" a="1"/>
  <c r="AV45" i="3" s="1"/>
  <c r="AY45" i="3"/>
  <c r="AZ45" i="3"/>
  <c r="BA45" i="3"/>
  <c r="BB45" i="3"/>
  <c r="BC45" i="3"/>
  <c r="BD45" i="3"/>
  <c r="BE45" i="3"/>
  <c r="BF45" i="3"/>
  <c r="BG45" i="3"/>
  <c r="AT46" i="3"/>
  <c r="AU46" i="3"/>
  <c r="AV46" i="3" s="1" a="1"/>
  <c r="AV46" i="3" s="1"/>
  <c r="AY46" i="3"/>
  <c r="AZ46" i="3"/>
  <c r="BA46" i="3"/>
  <c r="BB46" i="3"/>
  <c r="BC46" i="3"/>
  <c r="BD46" i="3"/>
  <c r="BE46" i="3"/>
  <c r="BF46" i="3"/>
  <c r="BG46" i="3"/>
  <c r="AT47" i="3"/>
  <c r="AU47" i="3"/>
  <c r="AV47" i="3" s="1" a="1"/>
  <c r="AV47" i="3" s="1"/>
  <c r="AY47" i="3"/>
  <c r="AZ47" i="3"/>
  <c r="BA47" i="3"/>
  <c r="BB47" i="3"/>
  <c r="BC47" i="3"/>
  <c r="BD47" i="3"/>
  <c r="BE47" i="3"/>
  <c r="BF47" i="3"/>
  <c r="BG47" i="3"/>
  <c r="AT48" i="3"/>
  <c r="AU48" i="3"/>
  <c r="AV48" i="3" s="1" a="1"/>
  <c r="AV48" i="3" s="1"/>
  <c r="AY48" i="3"/>
  <c r="AZ48" i="3"/>
  <c r="BA48" i="3"/>
  <c r="BB48" i="3"/>
  <c r="BC48" i="3"/>
  <c r="BD48" i="3"/>
  <c r="BE48" i="3"/>
  <c r="BF48" i="3"/>
  <c r="BG48" i="3"/>
  <c r="AT49" i="3"/>
  <c r="AU49" i="3"/>
  <c r="AV49" i="3" s="1" a="1"/>
  <c r="AV49" i="3" s="1"/>
  <c r="AY49" i="3"/>
  <c r="AZ49" i="3"/>
  <c r="BA49" i="3"/>
  <c r="BB49" i="3"/>
  <c r="BC49" i="3"/>
  <c r="BD49" i="3"/>
  <c r="BE49" i="3"/>
  <c r="BF49" i="3"/>
  <c r="BG49" i="3"/>
  <c r="AT50" i="3"/>
  <c r="AU50" i="3"/>
  <c r="AV50" i="3" s="1" a="1"/>
  <c r="AV50" i="3" s="1"/>
  <c r="AY50" i="3"/>
  <c r="AZ50" i="3"/>
  <c r="BA50" i="3"/>
  <c r="BB50" i="3"/>
  <c r="BC50" i="3"/>
  <c r="BD50" i="3"/>
  <c r="BE50" i="3"/>
  <c r="BF50" i="3"/>
  <c r="BG50" i="3"/>
  <c r="AT51" i="3"/>
  <c r="AU51" i="3"/>
  <c r="AV51" i="3" s="1" a="1"/>
  <c r="AV51" i="3" s="1"/>
  <c r="AY51" i="3"/>
  <c r="AZ51" i="3"/>
  <c r="BA51" i="3"/>
  <c r="BB51" i="3"/>
  <c r="BC51" i="3"/>
  <c r="BD51" i="3"/>
  <c r="BE51" i="3"/>
  <c r="BF51" i="3"/>
  <c r="BG51" i="3"/>
  <c r="AT52" i="3"/>
  <c r="AU52" i="3"/>
  <c r="AV52" i="3" s="1" a="1"/>
  <c r="AV52" i="3" s="1"/>
  <c r="AY52" i="3"/>
  <c r="AZ52" i="3"/>
  <c r="BA52" i="3"/>
  <c r="BB52" i="3"/>
  <c r="BC52" i="3"/>
  <c r="BD52" i="3"/>
  <c r="BE52" i="3"/>
  <c r="BF52" i="3"/>
  <c r="BG52" i="3"/>
  <c r="AT53" i="3"/>
  <c r="AU53" i="3"/>
  <c r="AV53" i="3" s="1" a="1"/>
  <c r="AV53" i="3" s="1"/>
  <c r="AY53" i="3"/>
  <c r="AZ53" i="3"/>
  <c r="BA53" i="3"/>
  <c r="BB53" i="3"/>
  <c r="BC53" i="3"/>
  <c r="BD53" i="3"/>
  <c r="BE53" i="3"/>
  <c r="BF53" i="3"/>
  <c r="BG53" i="3"/>
  <c r="AT54" i="3"/>
  <c r="AU54" i="3"/>
  <c r="AV54" i="3" s="1" a="1"/>
  <c r="AV54" i="3" s="1"/>
  <c r="AY54" i="3"/>
  <c r="AZ54" i="3"/>
  <c r="BA54" i="3"/>
  <c r="BB54" i="3"/>
  <c r="BC54" i="3"/>
  <c r="BD54" i="3"/>
  <c r="BE54" i="3"/>
  <c r="BF54" i="3"/>
  <c r="BG54" i="3"/>
  <c r="AT55" i="3"/>
  <c r="AU55" i="3"/>
  <c r="AV55" i="3" s="1" a="1"/>
  <c r="AV55" i="3" s="1"/>
  <c r="AY55" i="3"/>
  <c r="AZ55" i="3"/>
  <c r="BA55" i="3"/>
  <c r="BB55" i="3"/>
  <c r="BC55" i="3"/>
  <c r="BD55" i="3"/>
  <c r="BE55" i="3"/>
  <c r="BF55" i="3"/>
  <c r="BG55" i="3"/>
  <c r="AT56" i="3"/>
  <c r="AU56" i="3"/>
  <c r="AV56" i="3" s="1" a="1"/>
  <c r="AV56" i="3" s="1"/>
  <c r="AY56" i="3"/>
  <c r="AZ56" i="3"/>
  <c r="BA56" i="3"/>
  <c r="BB56" i="3"/>
  <c r="BC56" i="3"/>
  <c r="BD56" i="3"/>
  <c r="BE56" i="3"/>
  <c r="BF56" i="3"/>
  <c r="BG56" i="3"/>
  <c r="AT57" i="3"/>
  <c r="AU57" i="3"/>
  <c r="AV57" i="3" s="1" a="1"/>
  <c r="AV57" i="3" s="1"/>
  <c r="AY57" i="3"/>
  <c r="AZ57" i="3"/>
  <c r="BA57" i="3"/>
  <c r="BB57" i="3"/>
  <c r="BC57" i="3"/>
  <c r="BD57" i="3"/>
  <c r="BE57" i="3"/>
  <c r="BF57" i="3"/>
  <c r="BG57" i="3"/>
  <c r="AT58" i="3"/>
  <c r="AU58" i="3"/>
  <c r="AV58" i="3" s="1" a="1"/>
  <c r="AV58" i="3" s="1"/>
  <c r="AY58" i="3"/>
  <c r="AZ58" i="3"/>
  <c r="BA58" i="3"/>
  <c r="BB58" i="3"/>
  <c r="BC58" i="3"/>
  <c r="BD58" i="3"/>
  <c r="BE58" i="3"/>
  <c r="BF58" i="3"/>
  <c r="BG58" i="3"/>
  <c r="AT59" i="3"/>
  <c r="AU59" i="3"/>
  <c r="AV59" i="3" s="1" a="1"/>
  <c r="AV59" i="3" s="1"/>
  <c r="AY59" i="3"/>
  <c r="AZ59" i="3"/>
  <c r="BA59" i="3"/>
  <c r="BB59" i="3"/>
  <c r="BC59" i="3"/>
  <c r="BD59" i="3"/>
  <c r="BE59" i="3"/>
  <c r="BF59" i="3"/>
  <c r="BG59" i="3"/>
  <c r="AT60" i="3"/>
  <c r="AU60" i="3"/>
  <c r="AV60" i="3" s="1" a="1"/>
  <c r="AV60" i="3" s="1"/>
  <c r="AY60" i="3"/>
  <c r="AZ60" i="3"/>
  <c r="BA60" i="3"/>
  <c r="BB60" i="3"/>
  <c r="BC60" i="3"/>
  <c r="BD60" i="3"/>
  <c r="BE60" i="3"/>
  <c r="BF60" i="3"/>
  <c r="BG60" i="3"/>
  <c r="AT61" i="3"/>
  <c r="AU61" i="3"/>
  <c r="AV61" i="3" s="1" a="1"/>
  <c r="AV61" i="3" s="1"/>
  <c r="AY61" i="3"/>
  <c r="AZ61" i="3"/>
  <c r="BA61" i="3"/>
  <c r="BB61" i="3"/>
  <c r="BC61" i="3"/>
  <c r="BD61" i="3"/>
  <c r="BE61" i="3"/>
  <c r="BF61" i="3"/>
  <c r="BG61" i="3"/>
  <c r="AT62" i="3"/>
  <c r="AU62" i="3"/>
  <c r="AV62" i="3" s="1" a="1"/>
  <c r="AV62" i="3" s="1"/>
  <c r="AY62" i="3"/>
  <c r="AZ62" i="3"/>
  <c r="BA62" i="3"/>
  <c r="BB62" i="3"/>
  <c r="BC62" i="3"/>
  <c r="BD62" i="3"/>
  <c r="BE62" i="3"/>
  <c r="BF62" i="3"/>
  <c r="BG62" i="3"/>
  <c r="AT63" i="3"/>
  <c r="AU63" i="3"/>
  <c r="AV63" i="3" s="1" a="1"/>
  <c r="AV63" i="3" s="1"/>
  <c r="AY63" i="3"/>
  <c r="AZ63" i="3"/>
  <c r="BA63" i="3"/>
  <c r="BB63" i="3"/>
  <c r="BC63" i="3"/>
  <c r="BD63" i="3"/>
  <c r="BE63" i="3"/>
  <c r="BF63" i="3"/>
  <c r="BG63" i="3"/>
  <c r="AT64" i="3"/>
  <c r="AU64" i="3"/>
  <c r="AV64" i="3" s="1" a="1"/>
  <c r="AV64" i="3" s="1"/>
  <c r="AY64" i="3"/>
  <c r="AZ64" i="3"/>
  <c r="BA64" i="3"/>
  <c r="BB64" i="3"/>
  <c r="BC64" i="3"/>
  <c r="BD64" i="3"/>
  <c r="BE64" i="3"/>
  <c r="BF64" i="3"/>
  <c r="BG64" i="3"/>
  <c r="AT65" i="3"/>
  <c r="AU65" i="3"/>
  <c r="AV65" i="3" s="1" a="1"/>
  <c r="AV65" i="3" s="1"/>
  <c r="AY65" i="3"/>
  <c r="AZ65" i="3"/>
  <c r="BA65" i="3"/>
  <c r="BB65" i="3"/>
  <c r="BC65" i="3"/>
  <c r="BD65" i="3"/>
  <c r="BE65" i="3"/>
  <c r="BF65" i="3"/>
  <c r="BG65" i="3"/>
  <c r="AT66" i="3"/>
  <c r="AU66" i="3"/>
  <c r="AV66" i="3" s="1" a="1"/>
  <c r="AV66" i="3" s="1"/>
  <c r="AY66" i="3"/>
  <c r="AZ66" i="3"/>
  <c r="BA66" i="3"/>
  <c r="BB66" i="3"/>
  <c r="BC66" i="3"/>
  <c r="BD66" i="3"/>
  <c r="BE66" i="3"/>
  <c r="BF66" i="3"/>
  <c r="BG66" i="3"/>
  <c r="AT67" i="3"/>
  <c r="AU67" i="3"/>
  <c r="AV67" i="3" s="1" a="1"/>
  <c r="AV67" i="3" s="1"/>
  <c r="AY67" i="3"/>
  <c r="AZ67" i="3"/>
  <c r="BA67" i="3"/>
  <c r="BB67" i="3"/>
  <c r="BC67" i="3"/>
  <c r="BD67" i="3"/>
  <c r="BE67" i="3"/>
  <c r="BF67" i="3"/>
  <c r="BG67" i="3"/>
  <c r="AT68" i="3"/>
  <c r="AU68" i="3"/>
  <c r="AV68" i="3" s="1" a="1"/>
  <c r="AV68" i="3" s="1"/>
  <c r="AY68" i="3"/>
  <c r="AZ68" i="3"/>
  <c r="BA68" i="3"/>
  <c r="BB68" i="3"/>
  <c r="BC68" i="3"/>
  <c r="BD68" i="3"/>
  <c r="BE68" i="3"/>
  <c r="BF68" i="3"/>
  <c r="BG68" i="3"/>
  <c r="AT69" i="3"/>
  <c r="AU69" i="3"/>
  <c r="AV69" i="3" s="1" a="1"/>
  <c r="AV69" i="3" s="1"/>
  <c r="AY69" i="3"/>
  <c r="AZ69" i="3"/>
  <c r="BA69" i="3"/>
  <c r="BB69" i="3"/>
  <c r="BC69" i="3"/>
  <c r="BD69" i="3"/>
  <c r="BE69" i="3"/>
  <c r="BF69" i="3"/>
  <c r="BG69" i="3"/>
  <c r="AT70" i="3"/>
  <c r="AU70" i="3"/>
  <c r="AV70" i="3" s="1" a="1"/>
  <c r="AV70" i="3" s="1"/>
  <c r="AY70" i="3"/>
  <c r="AZ70" i="3"/>
  <c r="BA70" i="3"/>
  <c r="BB70" i="3"/>
  <c r="BC70" i="3"/>
  <c r="BD70" i="3"/>
  <c r="BE70" i="3"/>
  <c r="BF70" i="3"/>
  <c r="BG70" i="3"/>
  <c r="AT71" i="3"/>
  <c r="AU71" i="3"/>
  <c r="AV71" i="3" s="1" a="1"/>
  <c r="AV71" i="3" s="1"/>
  <c r="AY71" i="3"/>
  <c r="AZ71" i="3"/>
  <c r="BA71" i="3"/>
  <c r="BB71" i="3"/>
  <c r="BC71" i="3"/>
  <c r="BD71" i="3"/>
  <c r="BE71" i="3"/>
  <c r="BF71" i="3"/>
  <c r="BG71" i="3"/>
  <c r="AT72" i="3"/>
  <c r="AU72" i="3"/>
  <c r="AV72" i="3" s="1" a="1"/>
  <c r="AV72" i="3" s="1"/>
  <c r="AY72" i="3"/>
  <c r="AZ72" i="3"/>
  <c r="BA72" i="3"/>
  <c r="BB72" i="3"/>
  <c r="BC72" i="3"/>
  <c r="BD72" i="3"/>
  <c r="BE72" i="3"/>
  <c r="BF72" i="3"/>
  <c r="BG72" i="3"/>
  <c r="AT73" i="3"/>
  <c r="AU73" i="3"/>
  <c r="AV73" i="3" s="1" a="1"/>
  <c r="AV73" i="3" s="1"/>
  <c r="AY73" i="3"/>
  <c r="AZ73" i="3"/>
  <c r="BA73" i="3"/>
  <c r="BB73" i="3"/>
  <c r="BC73" i="3"/>
  <c r="BD73" i="3"/>
  <c r="BE73" i="3"/>
  <c r="BF73" i="3"/>
  <c r="BG73" i="3"/>
  <c r="AT74" i="3"/>
  <c r="AU74" i="3"/>
  <c r="AV74" i="3" s="1" a="1"/>
  <c r="AV74" i="3" s="1"/>
  <c r="AY74" i="3"/>
  <c r="AZ74" i="3"/>
  <c r="BA74" i="3"/>
  <c r="BB74" i="3"/>
  <c r="BC74" i="3"/>
  <c r="BD74" i="3"/>
  <c r="BE74" i="3"/>
  <c r="BF74" i="3"/>
  <c r="BG74" i="3"/>
  <c r="AT75" i="3"/>
  <c r="AU75" i="3"/>
  <c r="AV75" i="3" s="1" a="1"/>
  <c r="AV75" i="3" s="1"/>
  <c r="AY75" i="3"/>
  <c r="AZ75" i="3"/>
  <c r="BA75" i="3"/>
  <c r="BB75" i="3"/>
  <c r="BC75" i="3"/>
  <c r="BD75" i="3"/>
  <c r="BE75" i="3"/>
  <c r="BF75" i="3"/>
  <c r="BG75" i="3"/>
  <c r="AT76" i="3"/>
  <c r="AU76" i="3"/>
  <c r="AV76" i="3" s="1" a="1"/>
  <c r="AV76" i="3" s="1"/>
  <c r="AY76" i="3"/>
  <c r="AZ76" i="3"/>
  <c r="BA76" i="3"/>
  <c r="BB76" i="3"/>
  <c r="BC76" i="3"/>
  <c r="BD76" i="3"/>
  <c r="BE76" i="3"/>
  <c r="BF76" i="3"/>
  <c r="BG76" i="3"/>
  <c r="AT77" i="3"/>
  <c r="AU77" i="3"/>
  <c r="AV77" i="3" s="1" a="1"/>
  <c r="AV77" i="3" s="1"/>
  <c r="AY77" i="3"/>
  <c r="AZ77" i="3"/>
  <c r="BA77" i="3"/>
  <c r="BB77" i="3"/>
  <c r="BC77" i="3"/>
  <c r="BD77" i="3"/>
  <c r="BE77" i="3"/>
  <c r="BF77" i="3"/>
  <c r="BG77" i="3"/>
  <c r="AT78" i="3"/>
  <c r="AU78" i="3"/>
  <c r="AV78" i="3" s="1" a="1"/>
  <c r="AV78" i="3" s="1"/>
  <c r="AY78" i="3"/>
  <c r="AZ78" i="3"/>
  <c r="BA78" i="3"/>
  <c r="BB78" i="3"/>
  <c r="BC78" i="3"/>
  <c r="BD78" i="3"/>
  <c r="BE78" i="3"/>
  <c r="BF78" i="3"/>
  <c r="BG78" i="3"/>
  <c r="AT79" i="3"/>
  <c r="AU79" i="3"/>
  <c r="AV79" i="3" s="1" a="1"/>
  <c r="AV79" i="3" s="1"/>
  <c r="AY79" i="3"/>
  <c r="AZ79" i="3"/>
  <c r="BA79" i="3"/>
  <c r="BB79" i="3"/>
  <c r="BC79" i="3"/>
  <c r="BD79" i="3"/>
  <c r="BE79" i="3"/>
  <c r="BF79" i="3"/>
  <c r="BG79" i="3"/>
  <c r="AT80" i="3"/>
  <c r="AU80" i="3"/>
  <c r="AV80" i="3" s="1" a="1"/>
  <c r="AV80" i="3" s="1"/>
  <c r="AY80" i="3"/>
  <c r="AZ80" i="3"/>
  <c r="BA80" i="3"/>
  <c r="BB80" i="3"/>
  <c r="BC80" i="3"/>
  <c r="BD80" i="3"/>
  <c r="BE80" i="3"/>
  <c r="BF80" i="3"/>
  <c r="BG80" i="3"/>
  <c r="AT81" i="3"/>
  <c r="AU81" i="3"/>
  <c r="AV81" i="3" s="1" a="1"/>
  <c r="AV81" i="3" s="1"/>
  <c r="AY81" i="3"/>
  <c r="AZ81" i="3"/>
  <c r="BA81" i="3"/>
  <c r="BB81" i="3"/>
  <c r="BC81" i="3"/>
  <c r="BD81" i="3"/>
  <c r="BE81" i="3"/>
  <c r="BF81" i="3"/>
  <c r="BG81" i="3"/>
  <c r="AT82" i="3"/>
  <c r="AU82" i="3"/>
  <c r="AV82" i="3" s="1" a="1"/>
  <c r="AV82" i="3" s="1"/>
  <c r="AY82" i="3"/>
  <c r="AZ82" i="3"/>
  <c r="BA82" i="3"/>
  <c r="BB82" i="3"/>
  <c r="BC82" i="3"/>
  <c r="BD82" i="3"/>
  <c r="BE82" i="3"/>
  <c r="BF82" i="3"/>
  <c r="BG82" i="3"/>
  <c r="AT83" i="3"/>
  <c r="AU83" i="3"/>
  <c r="AV83" i="3" s="1" a="1"/>
  <c r="AV83" i="3" s="1"/>
  <c r="AY83" i="3"/>
  <c r="AZ83" i="3"/>
  <c r="BA83" i="3"/>
  <c r="BB83" i="3"/>
  <c r="BC83" i="3"/>
  <c r="BD83" i="3"/>
  <c r="BE83" i="3"/>
  <c r="BF83" i="3"/>
  <c r="BG83" i="3"/>
  <c r="AT84" i="3"/>
  <c r="AU84" i="3"/>
  <c r="AV84" i="3" s="1" a="1"/>
  <c r="AV84" i="3" s="1"/>
  <c r="AY84" i="3"/>
  <c r="AZ84" i="3"/>
  <c r="BA84" i="3"/>
  <c r="BB84" i="3"/>
  <c r="BC84" i="3"/>
  <c r="BD84" i="3"/>
  <c r="BE84" i="3"/>
  <c r="BF84" i="3"/>
  <c r="BG84" i="3"/>
  <c r="AT85" i="3"/>
  <c r="AU85" i="3"/>
  <c r="AV85" i="3" s="1" a="1"/>
  <c r="AV85" i="3" s="1"/>
  <c r="AY85" i="3"/>
  <c r="AZ85" i="3"/>
  <c r="BA85" i="3"/>
  <c r="BB85" i="3"/>
  <c r="BC85" i="3"/>
  <c r="BD85" i="3"/>
  <c r="BE85" i="3"/>
  <c r="BG85" i="3"/>
  <c r="AT86" i="3"/>
  <c r="AU86" i="3"/>
  <c r="AV86" i="3" s="1" a="1"/>
  <c r="AV86" i="3" s="1"/>
  <c r="AY86" i="3"/>
  <c r="AZ86" i="3"/>
  <c r="BA86" i="3"/>
  <c r="BB86" i="3"/>
  <c r="BC86" i="3"/>
  <c r="BD86" i="3"/>
  <c r="BE86" i="3"/>
  <c r="BG86" i="3"/>
  <c r="AT87" i="3"/>
  <c r="AU87" i="3"/>
  <c r="AV87" i="3" s="1" a="1"/>
  <c r="AV87" i="3" s="1"/>
  <c r="AY87" i="3"/>
  <c r="AZ87" i="3"/>
  <c r="BA87" i="3"/>
  <c r="BB87" i="3"/>
  <c r="BC87" i="3"/>
  <c r="BD87" i="3"/>
  <c r="BE87" i="3"/>
  <c r="BG87" i="3"/>
  <c r="AT88" i="3"/>
  <c r="AU88" i="3"/>
  <c r="AV88" i="3" s="1" a="1"/>
  <c r="AV88" i="3" s="1"/>
  <c r="AY88" i="3"/>
  <c r="AZ88" i="3"/>
  <c r="BA88" i="3"/>
  <c r="BB88" i="3"/>
  <c r="BC88" i="3"/>
  <c r="BD88" i="3"/>
  <c r="BE88" i="3"/>
  <c r="BG88" i="3"/>
  <c r="AT89" i="3"/>
  <c r="AU89" i="3"/>
  <c r="AV89" i="3" s="1" a="1"/>
  <c r="AV89" i="3" s="1"/>
  <c r="AY89" i="3"/>
  <c r="AZ89" i="3"/>
  <c r="BA89" i="3"/>
  <c r="BB89" i="3"/>
  <c r="BC89" i="3"/>
  <c r="BD89" i="3"/>
  <c r="BE89" i="3"/>
  <c r="BF89" i="3"/>
  <c r="BG89" i="3"/>
  <c r="AT90" i="3"/>
  <c r="AU90" i="3"/>
  <c r="AV90" i="3" s="1" a="1"/>
  <c r="AV90" i="3" s="1"/>
  <c r="AY90" i="3"/>
  <c r="AZ90" i="3"/>
  <c r="BA90" i="3"/>
  <c r="BB90" i="3"/>
  <c r="BC90" i="3"/>
  <c r="BD90" i="3"/>
  <c r="BE90" i="3"/>
  <c r="BG90" i="3"/>
  <c r="AT91" i="3"/>
  <c r="AU91" i="3"/>
  <c r="AV91" i="3" s="1" a="1"/>
  <c r="AV91" i="3" s="1"/>
  <c r="AY91" i="3"/>
  <c r="AZ91" i="3"/>
  <c r="BA91" i="3"/>
  <c r="BB91" i="3"/>
  <c r="BC91" i="3"/>
  <c r="BD91" i="3"/>
  <c r="BE91" i="3"/>
  <c r="BG91" i="3"/>
  <c r="AT92" i="3"/>
  <c r="AU92" i="3"/>
  <c r="AV92" i="3" s="1" a="1"/>
  <c r="AV92" i="3" s="1"/>
  <c r="AY92" i="3"/>
  <c r="AZ92" i="3"/>
  <c r="BA92" i="3"/>
  <c r="BB92" i="3"/>
  <c r="BC92" i="3"/>
  <c r="BD92" i="3"/>
  <c r="BE92" i="3"/>
  <c r="BG92" i="3"/>
  <c r="AT93" i="3"/>
  <c r="AU93" i="3"/>
  <c r="AV93" i="3" s="1" a="1"/>
  <c r="AV93" i="3" s="1"/>
  <c r="AY93" i="3"/>
  <c r="AZ93" i="3"/>
  <c r="BA93" i="3"/>
  <c r="BB93" i="3"/>
  <c r="BC93" i="3"/>
  <c r="BD93" i="3"/>
  <c r="BE93" i="3"/>
  <c r="BG93" i="3"/>
  <c r="AT94" i="3"/>
  <c r="AU94" i="3"/>
  <c r="AV94" i="3" s="1" a="1"/>
  <c r="AV94" i="3" s="1"/>
  <c r="AY94" i="3"/>
  <c r="AZ94" i="3"/>
  <c r="BA94" i="3"/>
  <c r="BB94" i="3"/>
  <c r="BC94" i="3"/>
  <c r="BD94" i="3"/>
  <c r="BE94" i="3"/>
  <c r="BF94" i="3"/>
  <c r="BG94" i="3"/>
  <c r="AT95" i="3"/>
  <c r="AU95" i="3"/>
  <c r="AV95" i="3" s="1" a="1"/>
  <c r="AV95" i="3" s="1"/>
  <c r="AY95" i="3"/>
  <c r="AZ95" i="3"/>
  <c r="BA95" i="3"/>
  <c r="BB95" i="3"/>
  <c r="BC95" i="3"/>
  <c r="BD95" i="3"/>
  <c r="BE95" i="3"/>
  <c r="BG95" i="3"/>
  <c r="AT96" i="3"/>
  <c r="AU96" i="3"/>
  <c r="AV96" i="3" s="1" a="1"/>
  <c r="AV96" i="3" s="1"/>
  <c r="AY96" i="3"/>
  <c r="AZ96" i="3"/>
  <c r="BA96" i="3"/>
  <c r="BB96" i="3"/>
  <c r="BC96" i="3"/>
  <c r="BD96" i="3"/>
  <c r="BE96" i="3"/>
  <c r="BG96" i="3"/>
  <c r="AT97" i="3"/>
  <c r="AU97" i="3"/>
  <c r="AV97" i="3" s="1" a="1"/>
  <c r="AV97" i="3" s="1"/>
  <c r="AY97" i="3"/>
  <c r="AZ97" i="3"/>
  <c r="BA97" i="3"/>
  <c r="BB97" i="3"/>
  <c r="BC97" i="3"/>
  <c r="BD97" i="3"/>
  <c r="BE97" i="3"/>
  <c r="BG97" i="3"/>
  <c r="AT98" i="3"/>
  <c r="AU98" i="3"/>
  <c r="AV98" i="3" s="1" a="1"/>
  <c r="AV98" i="3" s="1"/>
  <c r="AY98" i="3"/>
  <c r="AZ98" i="3"/>
  <c r="BA98" i="3"/>
  <c r="BB98" i="3"/>
  <c r="BC98" i="3"/>
  <c r="BD98" i="3"/>
  <c r="BE98" i="3"/>
  <c r="BG98" i="3"/>
  <c r="AT99" i="3"/>
  <c r="AU99" i="3"/>
  <c r="AV99" i="3" s="1" a="1"/>
  <c r="AV99" i="3" s="1"/>
  <c r="AY99" i="3"/>
  <c r="AZ99" i="3"/>
  <c r="BA99" i="3"/>
  <c r="BB99" i="3"/>
  <c r="BC99" i="3"/>
  <c r="BD99" i="3"/>
  <c r="BE99" i="3"/>
  <c r="BG99" i="3"/>
  <c r="AT100" i="3"/>
  <c r="AU100" i="3"/>
  <c r="AV100" i="3" s="1" a="1"/>
  <c r="AV100" i="3" s="1"/>
  <c r="AY100" i="3"/>
  <c r="AZ100" i="3"/>
  <c r="BA100" i="3"/>
  <c r="BB100" i="3"/>
  <c r="BC100" i="3"/>
  <c r="BD100" i="3"/>
  <c r="BE100" i="3"/>
  <c r="BG100" i="3"/>
  <c r="AT101" i="3"/>
  <c r="AU101" i="3"/>
  <c r="AV101" i="3" s="1" a="1"/>
  <c r="AV101" i="3" s="1"/>
  <c r="AY101" i="3"/>
  <c r="AZ101" i="3"/>
  <c r="BA101" i="3"/>
  <c r="BB101" i="3"/>
  <c r="BC101" i="3"/>
  <c r="BD101" i="3"/>
  <c r="BE101" i="3"/>
  <c r="BG101" i="3"/>
  <c r="AT102" i="3"/>
  <c r="AU102" i="3"/>
  <c r="AV102" i="3" s="1" a="1"/>
  <c r="AV102" i="3" s="1"/>
  <c r="AY102" i="3"/>
  <c r="AZ102" i="3"/>
  <c r="BA102" i="3"/>
  <c r="BB102" i="3"/>
  <c r="BC102" i="3"/>
  <c r="BD102" i="3"/>
  <c r="BE102" i="3"/>
  <c r="BG102" i="3"/>
  <c r="AT103" i="3"/>
  <c r="AU103" i="3"/>
  <c r="AV103" i="3" s="1" a="1"/>
  <c r="AV103" i="3" s="1"/>
  <c r="AY103" i="3"/>
  <c r="AZ103" i="3"/>
  <c r="BA103" i="3"/>
  <c r="BB103" i="3"/>
  <c r="BC103" i="3"/>
  <c r="BD103" i="3"/>
  <c r="BE103" i="3"/>
  <c r="BG103" i="3"/>
  <c r="AT104" i="3"/>
  <c r="AU104" i="3"/>
  <c r="AV104" i="3" s="1" a="1"/>
  <c r="AV104" i="3" s="1"/>
  <c r="AY104" i="3"/>
  <c r="AZ104" i="3"/>
  <c r="BA104" i="3"/>
  <c r="BB104" i="3"/>
  <c r="BC104" i="3"/>
  <c r="BD104" i="3"/>
  <c r="BE104" i="3"/>
  <c r="BF104" i="3"/>
  <c r="BG104" i="3"/>
  <c r="AT105" i="3"/>
  <c r="AU105" i="3"/>
  <c r="AV105" i="3" s="1" a="1"/>
  <c r="AV105" i="3" s="1"/>
  <c r="AY105" i="3"/>
  <c r="AZ105" i="3"/>
  <c r="BA105" i="3"/>
  <c r="BB105" i="3"/>
  <c r="BC105" i="3"/>
  <c r="BD105" i="3"/>
  <c r="BE105" i="3"/>
  <c r="BF105" i="3"/>
  <c r="BG105" i="3"/>
  <c r="AT106" i="3"/>
  <c r="AU106" i="3"/>
  <c r="AV106" i="3" s="1" a="1"/>
  <c r="AV106" i="3" s="1"/>
  <c r="AY106" i="3"/>
  <c r="AZ106" i="3"/>
  <c r="BA106" i="3"/>
  <c r="BB106" i="3"/>
  <c r="BC106" i="3"/>
  <c r="BD106" i="3"/>
  <c r="BE106" i="3"/>
  <c r="BG106" i="3"/>
  <c r="AT107" i="3"/>
  <c r="AU107" i="3"/>
  <c r="AV107" i="3" s="1" a="1"/>
  <c r="AV107" i="3" s="1"/>
  <c r="AY107" i="3"/>
  <c r="AZ107" i="3"/>
  <c r="BA107" i="3"/>
  <c r="BB107" i="3"/>
  <c r="BC107" i="3"/>
  <c r="BD107" i="3"/>
  <c r="BE107" i="3"/>
  <c r="BF107" i="3"/>
  <c r="BG107" i="3"/>
  <c r="AT108" i="3"/>
  <c r="AU108" i="3"/>
  <c r="AV108" i="3" s="1" a="1"/>
  <c r="AV108" i="3" s="1"/>
  <c r="AY108" i="3"/>
  <c r="AZ108" i="3"/>
  <c r="BA108" i="3"/>
  <c r="BB108" i="3"/>
  <c r="BC108" i="3"/>
  <c r="BD108" i="3"/>
  <c r="BE108" i="3"/>
  <c r="BF108" i="3"/>
  <c r="BG108" i="3"/>
  <c r="AT109" i="3"/>
  <c r="AU109" i="3"/>
  <c r="AV109" i="3" s="1" a="1"/>
  <c r="AV109" i="3" s="1"/>
  <c r="AY109" i="3"/>
  <c r="AZ109" i="3"/>
  <c r="BA109" i="3"/>
  <c r="BB109" i="3"/>
  <c r="BC109" i="3"/>
  <c r="BD109" i="3"/>
  <c r="BE109" i="3"/>
  <c r="BG109" i="3"/>
  <c r="AT110" i="3"/>
  <c r="AU110" i="3"/>
  <c r="AV110" i="3" s="1" a="1"/>
  <c r="AV110" i="3" s="1"/>
  <c r="AY110" i="3"/>
  <c r="AZ110" i="3"/>
  <c r="BA110" i="3"/>
  <c r="BB110" i="3"/>
  <c r="BC110" i="3"/>
  <c r="BD110" i="3"/>
  <c r="BE110" i="3"/>
  <c r="BF110" i="3"/>
  <c r="BG110" i="3"/>
  <c r="AT111" i="3"/>
  <c r="AU111" i="3"/>
  <c r="AV111" i="3" s="1" a="1"/>
  <c r="AV111" i="3" s="1"/>
  <c r="AY111" i="3"/>
  <c r="AZ111" i="3"/>
  <c r="BA111" i="3"/>
  <c r="BB111" i="3"/>
  <c r="BC111" i="3"/>
  <c r="BD111" i="3"/>
  <c r="BE111" i="3"/>
  <c r="BF111" i="3"/>
  <c r="BG111" i="3"/>
  <c r="AT112" i="3"/>
  <c r="AU112" i="3"/>
  <c r="AV112" i="3" s="1" a="1"/>
  <c r="AV112" i="3" s="1"/>
  <c r="AY112" i="3"/>
  <c r="AZ112" i="3"/>
  <c r="BA112" i="3"/>
  <c r="BB112" i="3"/>
  <c r="BC112" i="3"/>
  <c r="BD112" i="3"/>
  <c r="BE112" i="3"/>
  <c r="BF112" i="3"/>
  <c r="BG112" i="3"/>
  <c r="AT113" i="3"/>
  <c r="AU113" i="3"/>
  <c r="AV113" i="3" s="1" a="1"/>
  <c r="AV113" i="3" s="1"/>
  <c r="AY113" i="3"/>
  <c r="AZ113" i="3"/>
  <c r="BA113" i="3"/>
  <c r="BB113" i="3"/>
  <c r="BC113" i="3"/>
  <c r="BD113" i="3"/>
  <c r="BE113" i="3"/>
  <c r="BF113" i="3"/>
  <c r="BG113" i="3"/>
  <c r="AT114" i="3"/>
  <c r="AU114" i="3"/>
  <c r="AV114" i="3" s="1" a="1"/>
  <c r="AV114" i="3" s="1"/>
  <c r="AY114" i="3"/>
  <c r="AZ114" i="3"/>
  <c r="BA114" i="3"/>
  <c r="BB114" i="3"/>
  <c r="BC114" i="3"/>
  <c r="BD114" i="3"/>
  <c r="BE114" i="3"/>
  <c r="BF114" i="3"/>
  <c r="BG114" i="3"/>
  <c r="AT115" i="3"/>
  <c r="AU115" i="3"/>
  <c r="AV115" i="3" s="1" a="1"/>
  <c r="AV115" i="3" s="1"/>
  <c r="AY115" i="3"/>
  <c r="AZ115" i="3"/>
  <c r="BA115" i="3"/>
  <c r="BB115" i="3"/>
  <c r="BC115" i="3"/>
  <c r="BD115" i="3"/>
  <c r="BE115" i="3"/>
  <c r="BF115" i="3"/>
  <c r="BG115" i="3"/>
  <c r="AT116" i="3"/>
  <c r="AU116" i="3"/>
  <c r="AV116" i="3" s="1" a="1"/>
  <c r="AV116" i="3" s="1"/>
  <c r="AY116" i="3"/>
  <c r="AZ116" i="3"/>
  <c r="BA116" i="3"/>
  <c r="BB116" i="3"/>
  <c r="BC116" i="3"/>
  <c r="BD116" i="3"/>
  <c r="BE116" i="3"/>
  <c r="BF116" i="3"/>
  <c r="BG116" i="3"/>
  <c r="AT117" i="3"/>
  <c r="AU117" i="3"/>
  <c r="AV117" i="3" s="1" a="1"/>
  <c r="AV117" i="3" s="1"/>
  <c r="AY117" i="3"/>
  <c r="AZ117" i="3"/>
  <c r="BA117" i="3"/>
  <c r="BB117" i="3"/>
  <c r="BC117" i="3"/>
  <c r="BD117" i="3"/>
  <c r="BE117" i="3"/>
  <c r="BF117" i="3"/>
  <c r="BG117" i="3"/>
  <c r="AT118" i="3"/>
  <c r="AU118" i="3"/>
  <c r="AV118" i="3" s="1" a="1"/>
  <c r="AV118" i="3" s="1"/>
  <c r="AY118" i="3"/>
  <c r="AZ118" i="3"/>
  <c r="BA118" i="3"/>
  <c r="BB118" i="3"/>
  <c r="BC118" i="3"/>
  <c r="BD118" i="3"/>
  <c r="BE118" i="3"/>
  <c r="BF118" i="3"/>
  <c r="BG118" i="3"/>
  <c r="AT119" i="3"/>
  <c r="AU119" i="3"/>
  <c r="AV119" i="3" s="1" a="1"/>
  <c r="AV119" i="3" s="1"/>
  <c r="AY119" i="3"/>
  <c r="AZ119" i="3"/>
  <c r="BA119" i="3"/>
  <c r="BB119" i="3"/>
  <c r="BC119" i="3"/>
  <c r="BD119" i="3"/>
  <c r="BE119" i="3"/>
  <c r="BF119" i="3"/>
  <c r="BG119" i="3"/>
  <c r="AT120" i="3"/>
  <c r="AU120" i="3"/>
  <c r="AV120" i="3" s="1" a="1"/>
  <c r="AV120" i="3" s="1"/>
  <c r="AY120" i="3"/>
  <c r="AZ120" i="3"/>
  <c r="BA120" i="3"/>
  <c r="BB120" i="3"/>
  <c r="BC120" i="3"/>
  <c r="BD120" i="3"/>
  <c r="BE120" i="3"/>
  <c r="BF120" i="3"/>
  <c r="BG120" i="3"/>
  <c r="AT121" i="3"/>
  <c r="AU121" i="3"/>
  <c r="AV121" i="3" s="1" a="1"/>
  <c r="AV121" i="3" s="1"/>
  <c r="AY121" i="3"/>
  <c r="AZ121" i="3"/>
  <c r="BA121" i="3"/>
  <c r="BB121" i="3"/>
  <c r="BC121" i="3"/>
  <c r="BD121" i="3"/>
  <c r="BE121" i="3"/>
  <c r="BF121" i="3"/>
  <c r="BG121" i="3"/>
  <c r="AT122" i="3"/>
  <c r="AU122" i="3"/>
  <c r="AV122" i="3" s="1" a="1"/>
  <c r="AV122" i="3" s="1"/>
  <c r="AY122" i="3"/>
  <c r="AZ122" i="3"/>
  <c r="BA122" i="3"/>
  <c r="BB122" i="3"/>
  <c r="BC122" i="3"/>
  <c r="BD122" i="3"/>
  <c r="BE122" i="3"/>
  <c r="BF122" i="3"/>
  <c r="BG122" i="3"/>
  <c r="AT123" i="3"/>
  <c r="AU123" i="3"/>
  <c r="AV123" i="3" s="1" a="1"/>
  <c r="AV123" i="3" s="1"/>
  <c r="AY123" i="3"/>
  <c r="AZ123" i="3"/>
  <c r="BA123" i="3"/>
  <c r="BB123" i="3"/>
  <c r="BC123" i="3"/>
  <c r="BD123" i="3"/>
  <c r="BE123" i="3"/>
  <c r="BF123" i="3"/>
  <c r="BG123" i="3"/>
  <c r="AT124" i="3"/>
  <c r="AU124" i="3"/>
  <c r="AV124" i="3" s="1" a="1"/>
  <c r="AV124" i="3" s="1"/>
  <c r="AY124" i="3"/>
  <c r="AZ124" i="3"/>
  <c r="BA124" i="3"/>
  <c r="BB124" i="3"/>
  <c r="BC124" i="3"/>
  <c r="BD124" i="3"/>
  <c r="BE124" i="3"/>
  <c r="BF124" i="3"/>
  <c r="BG124" i="3"/>
  <c r="AT125" i="3"/>
  <c r="AU125" i="3"/>
  <c r="AV125" i="3" s="1" a="1"/>
  <c r="AV125" i="3" s="1"/>
  <c r="AY125" i="3"/>
  <c r="AZ125" i="3"/>
  <c r="BA125" i="3"/>
  <c r="BB125" i="3"/>
  <c r="BC125" i="3"/>
  <c r="BD125" i="3"/>
  <c r="BE125" i="3"/>
  <c r="BF125" i="3"/>
  <c r="BG125" i="3"/>
  <c r="AT126" i="3"/>
  <c r="AU126" i="3"/>
  <c r="AV126" i="3" s="1" a="1"/>
  <c r="AV126" i="3" s="1"/>
  <c r="AY126" i="3"/>
  <c r="AZ126" i="3"/>
  <c r="BA126" i="3"/>
  <c r="BB126" i="3"/>
  <c r="BC126" i="3"/>
  <c r="BD126" i="3"/>
  <c r="BE126" i="3"/>
  <c r="BF126" i="3"/>
  <c r="BG126" i="3"/>
  <c r="AT127" i="3"/>
  <c r="AU127" i="3"/>
  <c r="AV127" i="3" s="1" a="1"/>
  <c r="AV127" i="3" s="1"/>
  <c r="AY127" i="3"/>
  <c r="AZ127" i="3"/>
  <c r="BA127" i="3"/>
  <c r="BB127" i="3"/>
  <c r="BC127" i="3"/>
  <c r="BD127" i="3"/>
  <c r="BE127" i="3"/>
  <c r="BF127" i="3"/>
  <c r="BG127" i="3"/>
  <c r="AT128" i="3"/>
  <c r="AU128" i="3"/>
  <c r="AV128" i="3" s="1" a="1"/>
  <c r="AV128" i="3" s="1"/>
  <c r="AY128" i="3"/>
  <c r="AZ128" i="3"/>
  <c r="BA128" i="3"/>
  <c r="BB128" i="3"/>
  <c r="BC128" i="3"/>
  <c r="BD128" i="3"/>
  <c r="BE128" i="3"/>
  <c r="BF128" i="3"/>
  <c r="BG128" i="3"/>
  <c r="AT129" i="3"/>
  <c r="AU129" i="3"/>
  <c r="AV129" i="3" s="1" a="1"/>
  <c r="AV129" i="3" s="1"/>
  <c r="AY129" i="3"/>
  <c r="AZ129" i="3"/>
  <c r="BA129" i="3"/>
  <c r="BB129" i="3"/>
  <c r="BC129" i="3"/>
  <c r="BD129" i="3"/>
  <c r="BE129" i="3"/>
  <c r="BF129" i="3"/>
  <c r="BG129" i="3"/>
  <c r="AT130" i="3"/>
  <c r="AU130" i="3"/>
  <c r="AV130" i="3" s="1" a="1"/>
  <c r="AV130" i="3" s="1"/>
  <c r="AY130" i="3"/>
  <c r="AZ130" i="3"/>
  <c r="BA130" i="3"/>
  <c r="BB130" i="3"/>
  <c r="BC130" i="3"/>
  <c r="BD130" i="3"/>
  <c r="BE130" i="3"/>
  <c r="BF130" i="3"/>
  <c r="BG130" i="3"/>
  <c r="AT131" i="3"/>
  <c r="AU131" i="3"/>
  <c r="AV131" i="3" s="1" a="1"/>
  <c r="AV131" i="3" s="1"/>
  <c r="AY131" i="3"/>
  <c r="AZ131" i="3"/>
  <c r="BA131" i="3"/>
  <c r="BB131" i="3"/>
  <c r="BC131" i="3"/>
  <c r="BD131" i="3"/>
  <c r="BE131" i="3"/>
  <c r="BF131" i="3"/>
  <c r="BG131" i="3"/>
  <c r="AT132" i="3"/>
  <c r="AU132" i="3"/>
  <c r="AV132" i="3" s="1" a="1"/>
  <c r="AV132" i="3" s="1"/>
  <c r="AY132" i="3"/>
  <c r="AZ132" i="3"/>
  <c r="BA132" i="3"/>
  <c r="BB132" i="3"/>
  <c r="BC132" i="3"/>
  <c r="BD132" i="3"/>
  <c r="BE132" i="3"/>
  <c r="BF132" i="3"/>
  <c r="BG132" i="3"/>
  <c r="AT133" i="3"/>
  <c r="AU133" i="3"/>
  <c r="AV133" i="3" s="1" a="1"/>
  <c r="AV133" i="3" s="1"/>
  <c r="AY133" i="3"/>
  <c r="AZ133" i="3"/>
  <c r="BA133" i="3"/>
  <c r="BB133" i="3"/>
  <c r="BC133" i="3"/>
  <c r="BD133" i="3"/>
  <c r="BE133" i="3"/>
  <c r="BF133" i="3"/>
  <c r="BG133" i="3"/>
  <c r="AT134" i="3"/>
  <c r="AU134" i="3"/>
  <c r="AV134" i="3" s="1" a="1"/>
  <c r="AV134" i="3" s="1"/>
  <c r="AY134" i="3"/>
  <c r="AZ134" i="3"/>
  <c r="BA134" i="3"/>
  <c r="BB134" i="3"/>
  <c r="BC134" i="3"/>
  <c r="BD134" i="3"/>
  <c r="BE134" i="3"/>
  <c r="BF134" i="3"/>
  <c r="BG134" i="3"/>
  <c r="AT135" i="3"/>
  <c r="AU135" i="3"/>
  <c r="AV135" i="3" s="1" a="1"/>
  <c r="AV135" i="3" s="1"/>
  <c r="AY135" i="3"/>
  <c r="AZ135" i="3"/>
  <c r="BA135" i="3"/>
  <c r="BB135" i="3"/>
  <c r="BC135" i="3"/>
  <c r="BD135" i="3"/>
  <c r="BE135" i="3"/>
  <c r="BF135" i="3"/>
  <c r="BG135" i="3"/>
  <c r="AT136" i="3"/>
  <c r="AU136" i="3"/>
  <c r="AV136" i="3" s="1" a="1"/>
  <c r="AV136" i="3" s="1"/>
  <c r="AY136" i="3"/>
  <c r="AZ136" i="3"/>
  <c r="BA136" i="3"/>
  <c r="BB136" i="3"/>
  <c r="BC136" i="3"/>
  <c r="BD136" i="3"/>
  <c r="BE136" i="3"/>
  <c r="BF136" i="3"/>
  <c r="BG136" i="3"/>
  <c r="AT137" i="3"/>
  <c r="AU137" i="3"/>
  <c r="AV137" i="3" s="1" a="1"/>
  <c r="AV137" i="3" s="1"/>
  <c r="AY137" i="3"/>
  <c r="AZ137" i="3"/>
  <c r="BA137" i="3"/>
  <c r="BB137" i="3"/>
  <c r="BC137" i="3"/>
  <c r="BD137" i="3"/>
  <c r="BE137" i="3"/>
  <c r="BG137" i="3"/>
  <c r="AT138" i="3"/>
  <c r="AU138" i="3"/>
  <c r="AV138" i="3" s="1" a="1"/>
  <c r="AV138" i="3" s="1"/>
  <c r="AY138" i="3"/>
  <c r="AZ138" i="3"/>
  <c r="BA138" i="3"/>
  <c r="BB138" i="3"/>
  <c r="BC138" i="3"/>
  <c r="BD138" i="3"/>
  <c r="BE138" i="3"/>
  <c r="BF138" i="3"/>
  <c r="BG138" i="3"/>
  <c r="AT139" i="3"/>
  <c r="AU139" i="3"/>
  <c r="AV139" i="3" s="1" a="1"/>
  <c r="AV139" i="3" s="1"/>
  <c r="AY139" i="3"/>
  <c r="AZ139" i="3"/>
  <c r="BA139" i="3"/>
  <c r="BB139" i="3"/>
  <c r="BC139" i="3"/>
  <c r="BD139" i="3"/>
  <c r="BE139" i="3"/>
  <c r="BG139" i="3"/>
  <c r="AT140" i="3"/>
  <c r="AU140" i="3"/>
  <c r="AV140" i="3" s="1" a="1"/>
  <c r="AV140" i="3" s="1"/>
  <c r="AY140" i="3"/>
  <c r="AZ140" i="3"/>
  <c r="BA140" i="3"/>
  <c r="BB140" i="3"/>
  <c r="BC140" i="3"/>
  <c r="BD140" i="3"/>
  <c r="BE140" i="3"/>
  <c r="BF140" i="3"/>
  <c r="BG140" i="3"/>
  <c r="AT141" i="3"/>
  <c r="AU141" i="3"/>
  <c r="AV141" i="3" s="1" a="1"/>
  <c r="AV141" i="3" s="1"/>
  <c r="AY141" i="3"/>
  <c r="AZ141" i="3"/>
  <c r="BA141" i="3"/>
  <c r="BB141" i="3"/>
  <c r="BC141" i="3"/>
  <c r="BD141" i="3"/>
  <c r="BE141" i="3"/>
  <c r="BF141" i="3"/>
  <c r="BG141" i="3"/>
  <c r="AT142" i="3"/>
  <c r="AU142" i="3"/>
  <c r="AV142" i="3" s="1" a="1"/>
  <c r="AV142" i="3" s="1"/>
  <c r="AY142" i="3"/>
  <c r="AZ142" i="3"/>
  <c r="BA142" i="3"/>
  <c r="BB142" i="3"/>
  <c r="BC142" i="3"/>
  <c r="BD142" i="3"/>
  <c r="BE142" i="3"/>
  <c r="BF142" i="3"/>
  <c r="BG142" i="3"/>
  <c r="AT143" i="3"/>
  <c r="AU143" i="3"/>
  <c r="AV143" i="3" s="1" a="1"/>
  <c r="AV143" i="3" s="1"/>
  <c r="AY143" i="3"/>
  <c r="AZ143" i="3"/>
  <c r="BA143" i="3"/>
  <c r="BB143" i="3"/>
  <c r="BC143" i="3"/>
  <c r="BD143" i="3"/>
  <c r="BE143" i="3"/>
  <c r="BF143" i="3"/>
  <c r="BG143" i="3"/>
  <c r="AT144" i="3"/>
  <c r="AU144" i="3"/>
  <c r="AV144" i="3" s="1" a="1"/>
  <c r="AV144" i="3" s="1"/>
  <c r="AY144" i="3"/>
  <c r="AZ144" i="3"/>
  <c r="BA144" i="3"/>
  <c r="BB144" i="3"/>
  <c r="BC144" i="3"/>
  <c r="BD144" i="3"/>
  <c r="BE144" i="3"/>
  <c r="BF144" i="3"/>
  <c r="BG144" i="3"/>
  <c r="AT145" i="3"/>
  <c r="AU145" i="3"/>
  <c r="AV145" i="3" s="1" a="1"/>
  <c r="AV145" i="3" s="1"/>
  <c r="AY145" i="3"/>
  <c r="AZ145" i="3"/>
  <c r="BA145" i="3"/>
  <c r="BB145" i="3"/>
  <c r="BC145" i="3"/>
  <c r="BD145" i="3"/>
  <c r="BE145" i="3"/>
  <c r="BF145" i="3"/>
  <c r="BG145" i="3"/>
  <c r="AT146" i="3"/>
  <c r="AU146" i="3"/>
  <c r="AV146" i="3" s="1" a="1"/>
  <c r="AV146" i="3" s="1"/>
  <c r="AY146" i="3"/>
  <c r="AZ146" i="3"/>
  <c r="BA146" i="3"/>
  <c r="BB146" i="3"/>
  <c r="BC146" i="3"/>
  <c r="BD146" i="3"/>
  <c r="BE146" i="3"/>
  <c r="BF146" i="3"/>
  <c r="BG146" i="3"/>
  <c r="AT147" i="3"/>
  <c r="AU147" i="3"/>
  <c r="AV147" i="3" s="1" a="1"/>
  <c r="AV147" i="3" s="1"/>
  <c r="AY147" i="3"/>
  <c r="AZ147" i="3"/>
  <c r="BA147" i="3"/>
  <c r="BB147" i="3"/>
  <c r="BC147" i="3"/>
  <c r="BD147" i="3"/>
  <c r="BE147" i="3"/>
  <c r="BF147" i="3"/>
  <c r="BG147" i="3"/>
  <c r="AT148" i="3"/>
  <c r="AU148" i="3"/>
  <c r="AV148" i="3" s="1" a="1"/>
  <c r="AV148" i="3" s="1"/>
  <c r="AY148" i="3"/>
  <c r="AZ148" i="3"/>
  <c r="BA148" i="3"/>
  <c r="BB148" i="3"/>
  <c r="BC148" i="3"/>
  <c r="BD148" i="3"/>
  <c r="BE148" i="3"/>
  <c r="BF148" i="3"/>
  <c r="BG148" i="3"/>
  <c r="AT149" i="3"/>
  <c r="AU149" i="3"/>
  <c r="AV149" i="3" s="1" a="1"/>
  <c r="AV149" i="3" s="1"/>
  <c r="AY149" i="3"/>
  <c r="AZ149" i="3"/>
  <c r="BA149" i="3"/>
  <c r="BB149" i="3"/>
  <c r="BC149" i="3"/>
  <c r="BD149" i="3"/>
  <c r="BE149" i="3"/>
  <c r="BF149" i="3"/>
  <c r="BG149" i="3"/>
  <c r="AT150" i="3"/>
  <c r="AU150" i="3"/>
  <c r="AV150" i="3" s="1" a="1"/>
  <c r="AV150" i="3" s="1"/>
  <c r="AY150" i="3"/>
  <c r="AZ150" i="3"/>
  <c r="BA150" i="3"/>
  <c r="BB150" i="3"/>
  <c r="BC150" i="3"/>
  <c r="BD150" i="3"/>
  <c r="BE150" i="3"/>
  <c r="BF150" i="3"/>
  <c r="BG150" i="3"/>
  <c r="AT151" i="3"/>
  <c r="AU151" i="3"/>
  <c r="AV151" i="3" s="1" a="1"/>
  <c r="AV151" i="3" s="1"/>
  <c r="AY151" i="3"/>
  <c r="AZ151" i="3"/>
  <c r="BA151" i="3"/>
  <c r="BB151" i="3"/>
  <c r="BC151" i="3"/>
  <c r="BD151" i="3"/>
  <c r="BE151" i="3"/>
  <c r="BF151" i="3"/>
  <c r="BG151" i="3"/>
  <c r="AT152" i="3"/>
  <c r="AU152" i="3"/>
  <c r="AV152" i="3" s="1" a="1"/>
  <c r="AV152" i="3" s="1"/>
  <c r="AY152" i="3"/>
  <c r="AZ152" i="3"/>
  <c r="BA152" i="3"/>
  <c r="BB152" i="3"/>
  <c r="BC152" i="3"/>
  <c r="BD152" i="3"/>
  <c r="BE152" i="3"/>
  <c r="BF152" i="3"/>
  <c r="BG152" i="3"/>
  <c r="AT153" i="3"/>
  <c r="AU153" i="3"/>
  <c r="AV153" i="3" s="1" a="1"/>
  <c r="AV153" i="3" s="1"/>
  <c r="AY153" i="3"/>
  <c r="AZ153" i="3"/>
  <c r="BA153" i="3"/>
  <c r="BB153" i="3"/>
  <c r="BC153" i="3"/>
  <c r="BD153" i="3"/>
  <c r="BE153" i="3"/>
  <c r="BF153" i="3"/>
  <c r="BG153" i="3"/>
  <c r="AT154" i="3"/>
  <c r="AU154" i="3"/>
  <c r="AV154" i="3" s="1" a="1"/>
  <c r="AV154" i="3" s="1"/>
  <c r="AY154" i="3"/>
  <c r="AZ154" i="3"/>
  <c r="BA154" i="3"/>
  <c r="BB154" i="3"/>
  <c r="BC154" i="3"/>
  <c r="BD154" i="3"/>
  <c r="BE154" i="3"/>
  <c r="BF154" i="3"/>
  <c r="BG154" i="3"/>
  <c r="AT155" i="3"/>
  <c r="AU155" i="3"/>
  <c r="AV155" i="3" s="1" a="1"/>
  <c r="AV155" i="3" s="1"/>
  <c r="AY155" i="3"/>
  <c r="AZ155" i="3"/>
  <c r="BA155" i="3"/>
  <c r="BB155" i="3"/>
  <c r="BC155" i="3"/>
  <c r="BD155" i="3"/>
  <c r="BE155" i="3"/>
  <c r="BF155" i="3"/>
  <c r="BG155" i="3"/>
  <c r="AT156" i="3"/>
  <c r="AU156" i="3"/>
  <c r="AV156" i="3" s="1" a="1"/>
  <c r="AV156" i="3" s="1"/>
  <c r="AY156" i="3"/>
  <c r="AZ156" i="3"/>
  <c r="BA156" i="3"/>
  <c r="BB156" i="3"/>
  <c r="BC156" i="3"/>
  <c r="BD156" i="3"/>
  <c r="BE156" i="3"/>
  <c r="BF156" i="3"/>
  <c r="BG156" i="3"/>
  <c r="AT157" i="3"/>
  <c r="AU157" i="3"/>
  <c r="AV157" i="3" s="1" a="1"/>
  <c r="AV157" i="3" s="1"/>
  <c r="AY157" i="3"/>
  <c r="AZ157" i="3"/>
  <c r="BA157" i="3"/>
  <c r="BB157" i="3"/>
  <c r="BC157" i="3"/>
  <c r="BD157" i="3"/>
  <c r="BE157" i="3"/>
  <c r="BF157" i="3"/>
  <c r="BG157" i="3"/>
  <c r="AT158" i="3"/>
  <c r="AU158" i="3"/>
  <c r="AV158" i="3" s="1" a="1"/>
  <c r="AV158" i="3" s="1"/>
  <c r="AY158" i="3"/>
  <c r="AZ158" i="3"/>
  <c r="BA158" i="3"/>
  <c r="BB158" i="3"/>
  <c r="BC158" i="3"/>
  <c r="BD158" i="3"/>
  <c r="BE158" i="3"/>
  <c r="BF158" i="3"/>
  <c r="BG158" i="3"/>
  <c r="AT159" i="3"/>
  <c r="AU159" i="3"/>
  <c r="AV159" i="3" s="1" a="1"/>
  <c r="AV159" i="3" s="1"/>
  <c r="AY159" i="3"/>
  <c r="AZ159" i="3"/>
  <c r="BA159" i="3"/>
  <c r="BB159" i="3"/>
  <c r="BC159" i="3"/>
  <c r="BD159" i="3"/>
  <c r="BE159" i="3"/>
  <c r="BF159" i="3"/>
  <c r="BG159" i="3"/>
  <c r="AT160" i="3"/>
  <c r="AU160" i="3"/>
  <c r="AV160" i="3" s="1" a="1"/>
  <c r="AV160" i="3" s="1"/>
  <c r="AY160" i="3"/>
  <c r="AZ160" i="3"/>
  <c r="BA160" i="3"/>
  <c r="BB160" i="3"/>
  <c r="BC160" i="3"/>
  <c r="BD160" i="3"/>
  <c r="BE160" i="3"/>
  <c r="BF160" i="3"/>
  <c r="BG160" i="3"/>
  <c r="AT161" i="3"/>
  <c r="AU161" i="3"/>
  <c r="AV161" i="3" s="1" a="1"/>
  <c r="AV161" i="3" s="1"/>
  <c r="AY161" i="3"/>
  <c r="AZ161" i="3"/>
  <c r="BA161" i="3"/>
  <c r="BB161" i="3"/>
  <c r="BC161" i="3"/>
  <c r="BD161" i="3"/>
  <c r="BE161" i="3"/>
  <c r="BF161" i="3"/>
  <c r="BG161" i="3"/>
  <c r="AT162" i="3"/>
  <c r="AU162" i="3"/>
  <c r="AV162" i="3" s="1" a="1"/>
  <c r="AV162" i="3" s="1"/>
  <c r="AY162" i="3"/>
  <c r="AZ162" i="3"/>
  <c r="BA162" i="3"/>
  <c r="BB162" i="3"/>
  <c r="BC162" i="3"/>
  <c r="BD162" i="3"/>
  <c r="BE162" i="3"/>
  <c r="BF162" i="3"/>
  <c r="BG162" i="3"/>
  <c r="AT163" i="3"/>
  <c r="AU163" i="3"/>
  <c r="AV163" i="3" s="1" a="1"/>
  <c r="AV163" i="3" s="1"/>
  <c r="AY163" i="3"/>
  <c r="AZ163" i="3"/>
  <c r="BA163" i="3"/>
  <c r="BB163" i="3"/>
  <c r="BC163" i="3"/>
  <c r="BD163" i="3"/>
  <c r="BE163" i="3"/>
  <c r="BF163" i="3"/>
  <c r="BG163" i="3"/>
  <c r="AT164" i="3"/>
  <c r="AU164" i="3"/>
  <c r="AV164" i="3" s="1" a="1"/>
  <c r="AV164" i="3" s="1"/>
  <c r="AY164" i="3"/>
  <c r="AZ164" i="3"/>
  <c r="BA164" i="3"/>
  <c r="BB164" i="3"/>
  <c r="BC164" i="3"/>
  <c r="BD164" i="3"/>
  <c r="BE164" i="3"/>
  <c r="BF164" i="3"/>
  <c r="BG164" i="3"/>
  <c r="AT165" i="3"/>
  <c r="AU165" i="3"/>
  <c r="AV165" i="3" s="1" a="1"/>
  <c r="AV165" i="3" s="1"/>
  <c r="AY165" i="3"/>
  <c r="AZ165" i="3"/>
  <c r="BA165" i="3"/>
  <c r="BB165" i="3"/>
  <c r="BC165" i="3"/>
  <c r="BD165" i="3"/>
  <c r="BE165" i="3"/>
  <c r="BF165" i="3"/>
  <c r="BG165" i="3"/>
  <c r="AT166" i="3"/>
  <c r="AU166" i="3"/>
  <c r="AV166" i="3" s="1" a="1"/>
  <c r="AV166" i="3" s="1"/>
  <c r="AY166" i="3"/>
  <c r="AZ166" i="3"/>
  <c r="BA166" i="3"/>
  <c r="BB166" i="3"/>
  <c r="BC166" i="3"/>
  <c r="BD166" i="3"/>
  <c r="BE166" i="3"/>
  <c r="BF166" i="3"/>
  <c r="BG166" i="3"/>
  <c r="AT167" i="3"/>
  <c r="AU167" i="3"/>
  <c r="AV167" i="3" s="1" a="1"/>
  <c r="AV167" i="3" s="1"/>
  <c r="AY167" i="3"/>
  <c r="AZ167" i="3"/>
  <c r="BA167" i="3"/>
  <c r="BB167" i="3"/>
  <c r="BC167" i="3"/>
  <c r="BD167" i="3"/>
  <c r="BE167" i="3"/>
  <c r="BF167" i="3"/>
  <c r="BG167" i="3"/>
  <c r="AT168" i="3"/>
  <c r="AU168" i="3"/>
  <c r="AV168" i="3" s="1" a="1"/>
  <c r="AV168" i="3" s="1"/>
  <c r="AY168" i="3"/>
  <c r="AZ168" i="3"/>
  <c r="BA168" i="3"/>
  <c r="BB168" i="3"/>
  <c r="BC168" i="3"/>
  <c r="BD168" i="3"/>
  <c r="BE168" i="3"/>
  <c r="BF168" i="3"/>
  <c r="BG168" i="3"/>
  <c r="AT169" i="3"/>
  <c r="AU169" i="3"/>
  <c r="AV169" i="3" s="1" a="1"/>
  <c r="AV169" i="3" s="1"/>
  <c r="AY169" i="3"/>
  <c r="AZ169" i="3"/>
  <c r="BA169" i="3"/>
  <c r="BB169" i="3"/>
  <c r="BC169" i="3"/>
  <c r="BD169" i="3"/>
  <c r="BE169" i="3"/>
  <c r="BF169" i="3"/>
  <c r="BG169" i="3"/>
  <c r="AT170" i="3"/>
  <c r="AU170" i="3"/>
  <c r="AV170" i="3" s="1" a="1"/>
  <c r="AV170" i="3" s="1"/>
  <c r="AY170" i="3"/>
  <c r="AZ170" i="3"/>
  <c r="BA170" i="3"/>
  <c r="BB170" i="3"/>
  <c r="BC170" i="3"/>
  <c r="BD170" i="3"/>
  <c r="BE170" i="3"/>
  <c r="BF170" i="3"/>
  <c r="BG170" i="3"/>
  <c r="AT171" i="3"/>
  <c r="AU171" i="3"/>
  <c r="AV171" i="3" s="1" a="1"/>
  <c r="AV171" i="3" s="1"/>
  <c r="AY171" i="3"/>
  <c r="AZ171" i="3"/>
  <c r="BA171" i="3"/>
  <c r="BB171" i="3"/>
  <c r="BC171" i="3"/>
  <c r="BD171" i="3"/>
  <c r="BE171" i="3"/>
  <c r="BF171" i="3"/>
  <c r="BG171" i="3"/>
  <c r="AT172" i="3"/>
  <c r="AU172" i="3"/>
  <c r="AV172" i="3" s="1" a="1"/>
  <c r="AV172" i="3" s="1"/>
  <c r="AY172" i="3"/>
  <c r="AZ172" i="3"/>
  <c r="BA172" i="3"/>
  <c r="BB172" i="3"/>
  <c r="BC172" i="3"/>
  <c r="BD172" i="3"/>
  <c r="BE172" i="3"/>
  <c r="BF172" i="3"/>
  <c r="BG172" i="3"/>
  <c r="AT173" i="3"/>
  <c r="AU173" i="3"/>
  <c r="AV173" i="3" s="1" a="1"/>
  <c r="AV173" i="3" s="1"/>
  <c r="AY173" i="3"/>
  <c r="AZ173" i="3"/>
  <c r="BA173" i="3"/>
  <c r="BB173" i="3"/>
  <c r="BC173" i="3"/>
  <c r="BD173" i="3"/>
  <c r="BE173" i="3"/>
  <c r="BF173" i="3"/>
  <c r="BG173" i="3"/>
  <c r="AT174" i="3"/>
  <c r="AU174" i="3"/>
  <c r="AV174" i="3" s="1" a="1"/>
  <c r="AV174" i="3" s="1"/>
  <c r="AY174" i="3"/>
  <c r="AZ174" i="3"/>
  <c r="BA174" i="3"/>
  <c r="BB174" i="3"/>
  <c r="BC174" i="3"/>
  <c r="BD174" i="3"/>
  <c r="BE174" i="3"/>
  <c r="BF174" i="3"/>
  <c r="BG174" i="3"/>
  <c r="AT175" i="3"/>
  <c r="AU175" i="3"/>
  <c r="AV175" i="3" s="1" a="1"/>
  <c r="AV175" i="3" s="1"/>
  <c r="AY175" i="3"/>
  <c r="AZ175" i="3"/>
  <c r="BA175" i="3"/>
  <c r="BB175" i="3"/>
  <c r="BC175" i="3"/>
  <c r="BD175" i="3"/>
  <c r="BE175" i="3"/>
  <c r="BF175" i="3"/>
  <c r="BG175" i="3"/>
  <c r="AT176" i="3"/>
  <c r="AU176" i="3"/>
  <c r="AV176" i="3" s="1" a="1"/>
  <c r="AV176" i="3" s="1"/>
  <c r="AY176" i="3"/>
  <c r="AZ176" i="3"/>
  <c r="BA176" i="3"/>
  <c r="BB176" i="3"/>
  <c r="BC176" i="3"/>
  <c r="BD176" i="3"/>
  <c r="BE176" i="3"/>
  <c r="BF176" i="3"/>
  <c r="BG176" i="3"/>
  <c r="AT177" i="3"/>
  <c r="AU177" i="3"/>
  <c r="AV177" i="3" s="1" a="1"/>
  <c r="AV177" i="3" s="1"/>
  <c r="AY177" i="3"/>
  <c r="AZ177" i="3"/>
  <c r="BA177" i="3"/>
  <c r="BB177" i="3"/>
  <c r="BC177" i="3"/>
  <c r="BD177" i="3"/>
  <c r="BE177" i="3"/>
  <c r="BF177" i="3"/>
  <c r="BG177" i="3"/>
  <c r="AT178" i="3"/>
  <c r="AU178" i="3"/>
  <c r="AV178" i="3" s="1" a="1"/>
  <c r="AV178" i="3" s="1"/>
  <c r="AY178" i="3"/>
  <c r="AZ178" i="3"/>
  <c r="BA178" i="3"/>
  <c r="BB178" i="3"/>
  <c r="BC178" i="3"/>
  <c r="BD178" i="3"/>
  <c r="BE178" i="3"/>
  <c r="BF178" i="3"/>
  <c r="BG178" i="3"/>
  <c r="AT179" i="3"/>
  <c r="AU179" i="3"/>
  <c r="AV179" i="3" s="1" a="1"/>
  <c r="AV179" i="3" s="1"/>
  <c r="AY179" i="3"/>
  <c r="AZ179" i="3"/>
  <c r="BA179" i="3"/>
  <c r="BB179" i="3"/>
  <c r="BC179" i="3"/>
  <c r="BD179" i="3"/>
  <c r="BE179" i="3"/>
  <c r="BF179" i="3"/>
  <c r="BG179" i="3"/>
  <c r="AT180" i="3"/>
  <c r="AU180" i="3"/>
  <c r="AV180" i="3" s="1" a="1"/>
  <c r="AV180" i="3" s="1"/>
  <c r="AY180" i="3"/>
  <c r="AZ180" i="3"/>
  <c r="BA180" i="3"/>
  <c r="BB180" i="3"/>
  <c r="BC180" i="3"/>
  <c r="BD180" i="3"/>
  <c r="BE180" i="3"/>
  <c r="BF180" i="3"/>
  <c r="BG180" i="3"/>
  <c r="AT181" i="3"/>
  <c r="AU181" i="3"/>
  <c r="AV181" i="3" s="1" a="1"/>
  <c r="AV181" i="3" s="1"/>
  <c r="AY181" i="3"/>
  <c r="AZ181" i="3"/>
  <c r="BA181" i="3"/>
  <c r="BB181" i="3"/>
  <c r="BC181" i="3"/>
  <c r="BD181" i="3"/>
  <c r="BE181" i="3"/>
  <c r="BF181" i="3"/>
  <c r="BG181" i="3"/>
  <c r="AT182" i="3"/>
  <c r="AU182" i="3"/>
  <c r="AV182" i="3" s="1" a="1"/>
  <c r="AV182" i="3" s="1"/>
  <c r="AY182" i="3"/>
  <c r="AZ182" i="3"/>
  <c r="BA182" i="3"/>
  <c r="BB182" i="3"/>
  <c r="BC182" i="3"/>
  <c r="BD182" i="3"/>
  <c r="BE182" i="3"/>
  <c r="BF182" i="3"/>
  <c r="BG182" i="3"/>
  <c r="AT183" i="3"/>
  <c r="AU183" i="3"/>
  <c r="AV183" i="3" s="1" a="1"/>
  <c r="AV183" i="3" s="1"/>
  <c r="AY183" i="3"/>
  <c r="AZ183" i="3"/>
  <c r="BA183" i="3"/>
  <c r="BB183" i="3"/>
  <c r="BC183" i="3"/>
  <c r="BD183" i="3"/>
  <c r="BE183" i="3"/>
  <c r="BF183" i="3"/>
  <c r="BG183" i="3"/>
  <c r="AT184" i="3"/>
  <c r="AU184" i="3"/>
  <c r="AV184" i="3" s="1" a="1"/>
  <c r="AV184" i="3" s="1"/>
  <c r="AY184" i="3"/>
  <c r="AZ184" i="3"/>
  <c r="BA184" i="3"/>
  <c r="BB184" i="3"/>
  <c r="BC184" i="3"/>
  <c r="BD184" i="3"/>
  <c r="BE184" i="3"/>
  <c r="BF184" i="3"/>
  <c r="BG184" i="3"/>
  <c r="AT185" i="3"/>
  <c r="AU185" i="3"/>
  <c r="AV185" i="3" s="1" a="1"/>
  <c r="AV185" i="3" s="1"/>
  <c r="AY185" i="3"/>
  <c r="AZ185" i="3"/>
  <c r="BA185" i="3"/>
  <c r="BB185" i="3"/>
  <c r="BC185" i="3"/>
  <c r="BD185" i="3"/>
  <c r="BE185" i="3"/>
  <c r="BF185" i="3"/>
  <c r="BG185" i="3"/>
  <c r="AT186" i="3"/>
  <c r="AU186" i="3"/>
  <c r="AV186" i="3" s="1" a="1"/>
  <c r="AV186" i="3" s="1"/>
  <c r="AY186" i="3"/>
  <c r="AZ186" i="3"/>
  <c r="BA186" i="3"/>
  <c r="BB186" i="3"/>
  <c r="BC186" i="3"/>
  <c r="BD186" i="3"/>
  <c r="BE186" i="3"/>
  <c r="BF186" i="3"/>
  <c r="BG186" i="3"/>
  <c r="AT187" i="3"/>
  <c r="AU187" i="3"/>
  <c r="AV187" i="3" s="1" a="1"/>
  <c r="AV187" i="3" s="1"/>
  <c r="AY187" i="3"/>
  <c r="AZ187" i="3"/>
  <c r="BA187" i="3"/>
  <c r="BB187" i="3"/>
  <c r="BC187" i="3"/>
  <c r="BD187" i="3"/>
  <c r="BE187" i="3"/>
  <c r="BF187" i="3"/>
  <c r="BG187" i="3"/>
  <c r="AT188" i="3"/>
  <c r="AU188" i="3"/>
  <c r="AV188" i="3" s="1" a="1"/>
  <c r="AV188" i="3" s="1"/>
  <c r="AY188" i="3"/>
  <c r="AZ188" i="3"/>
  <c r="BA188" i="3"/>
  <c r="BB188" i="3"/>
  <c r="BC188" i="3"/>
  <c r="BD188" i="3"/>
  <c r="BE188" i="3"/>
  <c r="BF188" i="3"/>
  <c r="BG188" i="3"/>
  <c r="AT189" i="3"/>
  <c r="AU189" i="3"/>
  <c r="AV189" i="3" s="1" a="1"/>
  <c r="AV189" i="3" s="1"/>
  <c r="AY189" i="3"/>
  <c r="AZ189" i="3"/>
  <c r="BA189" i="3"/>
  <c r="BB189" i="3"/>
  <c r="BC189" i="3"/>
  <c r="BD189" i="3"/>
  <c r="BE189" i="3"/>
  <c r="BF189" i="3"/>
  <c r="BG189" i="3"/>
  <c r="AT190" i="3"/>
  <c r="AU190" i="3"/>
  <c r="AV190" i="3" s="1" a="1"/>
  <c r="AV190" i="3" s="1"/>
  <c r="AY190" i="3"/>
  <c r="AZ190" i="3"/>
  <c r="BA190" i="3"/>
  <c r="BB190" i="3"/>
  <c r="BC190" i="3"/>
  <c r="BD190" i="3"/>
  <c r="BE190" i="3"/>
  <c r="BF190" i="3"/>
  <c r="BG190" i="3"/>
  <c r="AT191" i="3"/>
  <c r="AU191" i="3"/>
  <c r="AV191" i="3" s="1" a="1"/>
  <c r="AV191" i="3" s="1"/>
  <c r="AY191" i="3"/>
  <c r="AZ191" i="3"/>
  <c r="BA191" i="3"/>
  <c r="BB191" i="3"/>
  <c r="BC191" i="3"/>
  <c r="BD191" i="3"/>
  <c r="BE191" i="3"/>
  <c r="BF191" i="3"/>
  <c r="BG191" i="3"/>
  <c r="AT192" i="3"/>
  <c r="AU192" i="3"/>
  <c r="AV192" i="3" s="1" a="1"/>
  <c r="AV192" i="3" s="1"/>
  <c r="AY192" i="3"/>
  <c r="AZ192" i="3"/>
  <c r="BA192" i="3"/>
  <c r="BB192" i="3"/>
  <c r="BC192" i="3"/>
  <c r="BD192" i="3"/>
  <c r="BE192" i="3"/>
  <c r="BF192" i="3"/>
  <c r="BG192" i="3"/>
  <c r="AT193" i="3"/>
  <c r="AU193" i="3"/>
  <c r="AV193" i="3" s="1" a="1"/>
  <c r="AV193" i="3" s="1"/>
  <c r="AY193" i="3"/>
  <c r="AZ193" i="3"/>
  <c r="BA193" i="3"/>
  <c r="BB193" i="3"/>
  <c r="BC193" i="3"/>
  <c r="BD193" i="3"/>
  <c r="BE193" i="3"/>
  <c r="BF193" i="3"/>
  <c r="BG193" i="3"/>
  <c r="AT194" i="3"/>
  <c r="AU194" i="3"/>
  <c r="AV194" i="3" s="1" a="1"/>
  <c r="AV194" i="3" s="1"/>
  <c r="AY194" i="3"/>
  <c r="AZ194" i="3"/>
  <c r="BA194" i="3"/>
  <c r="BB194" i="3"/>
  <c r="BC194" i="3"/>
  <c r="BD194" i="3"/>
  <c r="BE194" i="3"/>
  <c r="BF194" i="3"/>
  <c r="BG194" i="3"/>
  <c r="AT195" i="3"/>
  <c r="AU195" i="3"/>
  <c r="AV195" i="3" s="1" a="1"/>
  <c r="AV195" i="3" s="1"/>
  <c r="AY195" i="3"/>
  <c r="AZ195" i="3"/>
  <c r="BA195" i="3"/>
  <c r="BB195" i="3"/>
  <c r="BC195" i="3"/>
  <c r="BD195" i="3"/>
  <c r="BE195" i="3"/>
  <c r="BF195" i="3"/>
  <c r="BG195" i="3"/>
  <c r="AT196" i="3"/>
  <c r="AU196" i="3"/>
  <c r="AV196" i="3" s="1" a="1"/>
  <c r="AV196" i="3" s="1"/>
  <c r="AY196" i="3"/>
  <c r="AZ196" i="3"/>
  <c r="BA196" i="3"/>
  <c r="BB196" i="3"/>
  <c r="BC196" i="3"/>
  <c r="BD196" i="3"/>
  <c r="BE196" i="3"/>
  <c r="BF196" i="3"/>
  <c r="BG196" i="3"/>
  <c r="AT197" i="3"/>
  <c r="AU197" i="3"/>
  <c r="AV197" i="3" s="1" a="1"/>
  <c r="AV197" i="3" s="1"/>
  <c r="AY197" i="3"/>
  <c r="AZ197" i="3"/>
  <c r="BA197" i="3"/>
  <c r="BB197" i="3"/>
  <c r="BC197" i="3"/>
  <c r="BD197" i="3"/>
  <c r="BE197" i="3"/>
  <c r="BF197" i="3"/>
  <c r="BG197" i="3"/>
  <c r="AT198" i="3"/>
  <c r="AU198" i="3"/>
  <c r="AV198" i="3" s="1" a="1"/>
  <c r="AV198" i="3" s="1"/>
  <c r="AY198" i="3"/>
  <c r="AZ198" i="3"/>
  <c r="BA198" i="3"/>
  <c r="BB198" i="3"/>
  <c r="BC198" i="3"/>
  <c r="BD198" i="3"/>
  <c r="BE198" i="3"/>
  <c r="BF198" i="3"/>
  <c r="BG198" i="3"/>
  <c r="AT199" i="3"/>
  <c r="AU199" i="3"/>
  <c r="AV199" i="3" s="1" a="1"/>
  <c r="AV199" i="3" s="1"/>
  <c r="AY199" i="3"/>
  <c r="AZ199" i="3"/>
  <c r="BA199" i="3"/>
  <c r="BB199" i="3"/>
  <c r="BC199" i="3"/>
  <c r="BD199" i="3"/>
  <c r="BE199" i="3"/>
  <c r="BF199" i="3"/>
  <c r="BG199" i="3"/>
  <c r="AT200" i="3"/>
  <c r="AU200" i="3"/>
  <c r="AV200" i="3" s="1" a="1"/>
  <c r="AV200" i="3" s="1"/>
  <c r="AY200" i="3"/>
  <c r="AZ200" i="3"/>
  <c r="BA200" i="3"/>
  <c r="BB200" i="3"/>
  <c r="BC200" i="3"/>
  <c r="BD200" i="3"/>
  <c r="BE200" i="3"/>
  <c r="BF200" i="3"/>
  <c r="BG200" i="3"/>
  <c r="AT201" i="3"/>
  <c r="AU201" i="3"/>
  <c r="AV201" i="3" s="1" a="1"/>
  <c r="AV201" i="3" s="1"/>
  <c r="AY201" i="3"/>
  <c r="AZ201" i="3"/>
  <c r="BA201" i="3"/>
  <c r="BB201" i="3"/>
  <c r="BC201" i="3"/>
  <c r="BD201" i="3"/>
  <c r="BE201" i="3"/>
  <c r="BF201" i="3"/>
  <c r="BG201" i="3"/>
  <c r="AT202" i="3"/>
  <c r="AU202" i="3" s="1"/>
  <c r="AV202" i="3" s="1" a="1"/>
  <c r="AV202" i="3" s="1"/>
  <c r="AY202" i="3"/>
  <c r="AZ202" i="3"/>
  <c r="BA202" i="3"/>
  <c r="BB202" i="3"/>
  <c r="BC202" i="3"/>
  <c r="BD202" i="3"/>
  <c r="BE202" i="3"/>
  <c r="BF202" i="3"/>
  <c r="BG202" i="3"/>
  <c r="AT203" i="3"/>
  <c r="AU203" i="3"/>
  <c r="AV203" i="3" s="1" a="1"/>
  <c r="AV203" i="3" s="1"/>
  <c r="AY203" i="3"/>
  <c r="AZ203" i="3"/>
  <c r="BA203" i="3"/>
  <c r="BB203" i="3"/>
  <c r="BC203" i="3"/>
  <c r="BD203" i="3"/>
  <c r="BE203" i="3"/>
  <c r="BF203" i="3"/>
  <c r="BG203" i="3"/>
  <c r="AT204" i="3"/>
  <c r="AU204" i="3"/>
  <c r="AV204" i="3" s="1" a="1"/>
  <c r="AV204" i="3" s="1"/>
  <c r="AY204" i="3"/>
  <c r="AZ204" i="3"/>
  <c r="BA204" i="3"/>
  <c r="BB204" i="3"/>
  <c r="BC204" i="3"/>
  <c r="BD204" i="3"/>
  <c r="BE204" i="3"/>
  <c r="BF204" i="3"/>
  <c r="BG204" i="3"/>
  <c r="AT205" i="3"/>
  <c r="AU205" i="3"/>
  <c r="AV205" i="3" s="1" a="1"/>
  <c r="AV205" i="3" s="1"/>
  <c r="AY205" i="3"/>
  <c r="AZ205" i="3"/>
  <c r="BA205" i="3"/>
  <c r="BB205" i="3"/>
  <c r="BC205" i="3"/>
  <c r="BD205" i="3"/>
  <c r="BE205" i="3"/>
  <c r="BF205" i="3"/>
  <c r="BG205" i="3"/>
  <c r="AT206" i="3"/>
  <c r="AU206" i="3"/>
  <c r="AV206" i="3" s="1" a="1"/>
  <c r="AV206" i="3" s="1"/>
  <c r="AY206" i="3"/>
  <c r="AZ206" i="3"/>
  <c r="BA206" i="3"/>
  <c r="BB206" i="3"/>
  <c r="BC206" i="3"/>
  <c r="BD206" i="3"/>
  <c r="BE206" i="3"/>
  <c r="BF206" i="3"/>
  <c r="BG206" i="3"/>
  <c r="AT207" i="3"/>
  <c r="AU207" i="3"/>
  <c r="AV207" i="3" s="1" a="1"/>
  <c r="AV207" i="3" s="1"/>
  <c r="AY207" i="3"/>
  <c r="AZ207" i="3"/>
  <c r="BA207" i="3"/>
  <c r="BB207" i="3"/>
  <c r="BC207" i="3"/>
  <c r="BD207" i="3"/>
  <c r="BE207" i="3"/>
  <c r="BF207" i="3"/>
  <c r="BG207" i="3"/>
  <c r="AT208" i="3"/>
  <c r="AU208" i="3"/>
  <c r="AV208" i="3" s="1" a="1"/>
  <c r="AV208" i="3" s="1"/>
  <c r="AY208" i="3"/>
  <c r="AZ208" i="3"/>
  <c r="BA208" i="3"/>
  <c r="BB208" i="3"/>
  <c r="BC208" i="3"/>
  <c r="BD208" i="3"/>
  <c r="BE208" i="3"/>
  <c r="BF208" i="3"/>
  <c r="BG208" i="3"/>
  <c r="AT209" i="3"/>
  <c r="AU209" i="3"/>
  <c r="AV209" i="3" s="1" a="1"/>
  <c r="AV209" i="3" s="1"/>
  <c r="AY209" i="3"/>
  <c r="AZ209" i="3"/>
  <c r="BA209" i="3"/>
  <c r="BB209" i="3"/>
  <c r="BC209" i="3"/>
  <c r="BD209" i="3"/>
  <c r="BE209" i="3"/>
  <c r="BF209" i="3"/>
  <c r="BG209" i="3"/>
  <c r="AT210" i="3"/>
  <c r="AU210" i="3"/>
  <c r="AV210" i="3" s="1" a="1"/>
  <c r="AV210" i="3" s="1"/>
  <c r="AY210" i="3"/>
  <c r="AZ210" i="3"/>
  <c r="BA210" i="3"/>
  <c r="BB210" i="3"/>
  <c r="BC210" i="3"/>
  <c r="BD210" i="3"/>
  <c r="BE210" i="3"/>
  <c r="BF210" i="3"/>
  <c r="BG210" i="3"/>
  <c r="AT211" i="3"/>
  <c r="AU211" i="3"/>
  <c r="AV211" i="3" s="1" a="1"/>
  <c r="AV211" i="3" s="1"/>
  <c r="AY211" i="3"/>
  <c r="AZ211" i="3"/>
  <c r="BA211" i="3"/>
  <c r="BB211" i="3"/>
  <c r="BC211" i="3"/>
  <c r="BD211" i="3"/>
  <c r="BE211" i="3"/>
  <c r="BF211" i="3"/>
  <c r="BG211" i="3"/>
  <c r="AT212" i="3"/>
  <c r="AU212" i="3"/>
  <c r="AV212" i="3" s="1" a="1"/>
  <c r="AV212" i="3" s="1"/>
  <c r="AY212" i="3"/>
  <c r="AZ212" i="3"/>
  <c r="BA212" i="3"/>
  <c r="BB212" i="3"/>
  <c r="BC212" i="3"/>
  <c r="BD212" i="3"/>
  <c r="BE212" i="3"/>
  <c r="BF212" i="3"/>
  <c r="BG212" i="3"/>
  <c r="AT213" i="3"/>
  <c r="AU213" i="3"/>
  <c r="AV213" i="3" s="1" a="1"/>
  <c r="AV213" i="3" s="1"/>
  <c r="AY213" i="3"/>
  <c r="AZ213" i="3"/>
  <c r="BA213" i="3"/>
  <c r="BB213" i="3"/>
  <c r="BC213" i="3"/>
  <c r="BD213" i="3"/>
  <c r="BE213" i="3"/>
  <c r="BF213" i="3"/>
  <c r="BG213" i="3"/>
  <c r="AT214" i="3"/>
  <c r="AU214" i="3"/>
  <c r="AV214" i="3" s="1" a="1"/>
  <c r="AV214" i="3" s="1"/>
  <c r="AY214" i="3"/>
  <c r="AZ214" i="3"/>
  <c r="BA214" i="3"/>
  <c r="BB214" i="3"/>
  <c r="BC214" i="3"/>
  <c r="BD214" i="3"/>
  <c r="BE214" i="3"/>
  <c r="BF214" i="3"/>
  <c r="BG214" i="3"/>
  <c r="AT215" i="3"/>
  <c r="AU215" i="3"/>
  <c r="AV215" i="3" s="1" a="1"/>
  <c r="AV215" i="3" s="1"/>
  <c r="AY215" i="3"/>
  <c r="AZ215" i="3"/>
  <c r="BA215" i="3"/>
  <c r="BB215" i="3"/>
  <c r="BC215" i="3"/>
  <c r="BD215" i="3"/>
  <c r="BE215" i="3"/>
  <c r="BF215" i="3"/>
  <c r="BG215" i="3"/>
  <c r="AT216" i="3"/>
  <c r="AU216" i="3"/>
  <c r="AV216" i="3" s="1" a="1"/>
  <c r="AV216" i="3" s="1"/>
  <c r="AY216" i="3"/>
  <c r="AZ216" i="3"/>
  <c r="BA216" i="3"/>
  <c r="BB216" i="3"/>
  <c r="BC216" i="3"/>
  <c r="BD216" i="3"/>
  <c r="BE216" i="3"/>
  <c r="BF216" i="3"/>
  <c r="BG216" i="3"/>
  <c r="AT217" i="3"/>
  <c r="AU217" i="3"/>
  <c r="AV217" i="3" s="1" a="1"/>
  <c r="AV217" i="3" s="1"/>
  <c r="AY217" i="3"/>
  <c r="AZ217" i="3"/>
  <c r="BA217" i="3"/>
  <c r="BB217" i="3"/>
  <c r="BC217" i="3"/>
  <c r="BD217" i="3"/>
  <c r="BE217" i="3"/>
  <c r="BF217" i="3"/>
  <c r="BG217" i="3"/>
  <c r="AT218" i="3"/>
  <c r="AU218" i="3"/>
  <c r="AV218" i="3" s="1" a="1"/>
  <c r="AV218" i="3" s="1"/>
  <c r="AY218" i="3"/>
  <c r="AZ218" i="3"/>
  <c r="BA218" i="3"/>
  <c r="BB218" i="3"/>
  <c r="BC218" i="3"/>
  <c r="BD218" i="3"/>
  <c r="BE218" i="3"/>
  <c r="BF218" i="3"/>
  <c r="BG218" i="3"/>
  <c r="AT219" i="3"/>
  <c r="AU219" i="3" s="1"/>
  <c r="AV219" i="3" s="1" a="1"/>
  <c r="AV219" i="3" s="1"/>
  <c r="AY219" i="3"/>
  <c r="AZ219" i="3"/>
  <c r="BA219" i="3"/>
  <c r="BB219" i="3"/>
  <c r="BC219" i="3"/>
  <c r="BD219" i="3"/>
  <c r="BE219" i="3"/>
  <c r="BF219" i="3"/>
  <c r="BG219" i="3"/>
  <c r="AT220" i="3"/>
  <c r="AU220" i="3"/>
  <c r="AV220" i="3" s="1" a="1"/>
  <c r="AV220" i="3" s="1"/>
  <c r="AY220" i="3"/>
  <c r="AZ220" i="3"/>
  <c r="BA220" i="3"/>
  <c r="BB220" i="3"/>
  <c r="BC220" i="3"/>
  <c r="BD220" i="3"/>
  <c r="BE220" i="3"/>
  <c r="BF220" i="3"/>
  <c r="BG220" i="3"/>
  <c r="AT221" i="3"/>
  <c r="AU221" i="3"/>
  <c r="AV221" i="3" s="1" a="1"/>
  <c r="AV221" i="3" s="1"/>
  <c r="AY221" i="3"/>
  <c r="AZ221" i="3"/>
  <c r="BA221" i="3"/>
  <c r="BB221" i="3"/>
  <c r="BC221" i="3"/>
  <c r="BD221" i="3"/>
  <c r="BE221" i="3"/>
  <c r="BF221" i="3"/>
  <c r="BG221" i="3"/>
  <c r="AT222" i="3"/>
  <c r="AU222" i="3" s="1"/>
  <c r="AV222" i="3" s="1" a="1"/>
  <c r="AV222" i="3" s="1"/>
  <c r="AY222" i="3"/>
  <c r="AZ222" i="3"/>
  <c r="BA222" i="3"/>
  <c r="BB222" i="3"/>
  <c r="BC222" i="3"/>
  <c r="BD222" i="3"/>
  <c r="BE222" i="3"/>
  <c r="BF222" i="3"/>
  <c r="BG222" i="3"/>
  <c r="AT223" i="3"/>
  <c r="AU223" i="3"/>
  <c r="AV223" i="3" s="1" a="1"/>
  <c r="AV223" i="3" s="1"/>
  <c r="AY223" i="3"/>
  <c r="AZ223" i="3"/>
  <c r="BA223" i="3"/>
  <c r="BB223" i="3"/>
  <c r="BC223" i="3"/>
  <c r="BD223" i="3"/>
  <c r="BE223" i="3"/>
  <c r="BF223" i="3"/>
  <c r="BG223" i="3"/>
  <c r="AT224" i="3"/>
  <c r="AU224" i="3"/>
  <c r="AV224" i="3" s="1" a="1"/>
  <c r="AV224" i="3" s="1"/>
  <c r="AY224" i="3"/>
  <c r="AZ224" i="3"/>
  <c r="BA224" i="3"/>
  <c r="BB224" i="3"/>
  <c r="BC224" i="3"/>
  <c r="BD224" i="3"/>
  <c r="BE224" i="3"/>
  <c r="BF224" i="3"/>
  <c r="BG224" i="3"/>
  <c r="AT225" i="3"/>
  <c r="AU225" i="3" s="1"/>
  <c r="AV225" i="3" s="1" a="1"/>
  <c r="AV225" i="3" s="1"/>
  <c r="AY225" i="3"/>
  <c r="AZ225" i="3"/>
  <c r="BA225" i="3"/>
  <c r="BB225" i="3"/>
  <c r="BC225" i="3"/>
  <c r="BD225" i="3"/>
  <c r="BE225" i="3"/>
  <c r="BF225" i="3"/>
  <c r="BG225" i="3"/>
  <c r="AT226" i="3"/>
  <c r="AU226" i="3"/>
  <c r="AV226" i="3" s="1" a="1"/>
  <c r="AV226" i="3" s="1"/>
  <c r="AY226" i="3"/>
  <c r="AZ226" i="3"/>
  <c r="BA226" i="3"/>
  <c r="BB226" i="3"/>
  <c r="BC226" i="3"/>
  <c r="BD226" i="3"/>
  <c r="BE226" i="3"/>
  <c r="BF226" i="3"/>
  <c r="BG226" i="3"/>
  <c r="AT227" i="3"/>
  <c r="AU227" i="3"/>
  <c r="AV227" i="3" s="1" a="1"/>
  <c r="AV227" i="3" s="1"/>
  <c r="AY227" i="3"/>
  <c r="AZ227" i="3"/>
  <c r="BA227" i="3"/>
  <c r="BB227" i="3"/>
  <c r="BC227" i="3"/>
  <c r="BD227" i="3"/>
  <c r="BE227" i="3"/>
  <c r="BF227" i="3"/>
  <c r="BG227" i="3"/>
  <c r="AT229" i="3"/>
  <c r="AU229" i="3"/>
  <c r="AV229" i="3" s="1" a="1"/>
  <c r="AV229" i="3" s="1"/>
  <c r="AY229" i="3"/>
  <c r="AZ229" i="3"/>
  <c r="BA229" i="3"/>
  <c r="BB229" i="3"/>
  <c r="BC229" i="3"/>
  <c r="BD229" i="3"/>
  <c r="BE229" i="3"/>
  <c r="BF229" i="3"/>
  <c r="BG229" i="3"/>
  <c r="AT230" i="3"/>
  <c r="AU230" i="3" s="1"/>
  <c r="AV230" i="3" s="1" a="1"/>
  <c r="AV230" i="3" s="1"/>
  <c r="AY230" i="3"/>
  <c r="AZ230" i="3"/>
  <c r="BA230" i="3"/>
  <c r="BB230" i="3"/>
  <c r="BC230" i="3"/>
  <c r="BD230" i="3"/>
  <c r="BE230" i="3"/>
  <c r="BF230" i="3"/>
  <c r="BG230" i="3"/>
  <c r="AT231" i="3"/>
  <c r="AU231" i="3"/>
  <c r="AV231" i="3" s="1" a="1"/>
  <c r="AV231" i="3" s="1"/>
  <c r="AY231" i="3"/>
  <c r="AZ231" i="3"/>
  <c r="BA231" i="3"/>
  <c r="BB231" i="3"/>
  <c r="BC231" i="3"/>
  <c r="BD231" i="3"/>
  <c r="BE231" i="3"/>
  <c r="BF231" i="3"/>
  <c r="BG231" i="3"/>
  <c r="AT232" i="3"/>
  <c r="AU232" i="3"/>
  <c r="AV232" i="3" s="1" a="1"/>
  <c r="AV232" i="3" s="1"/>
  <c r="AY232" i="3"/>
  <c r="AZ232" i="3"/>
  <c r="BA232" i="3"/>
  <c r="BB232" i="3"/>
  <c r="BC232" i="3"/>
  <c r="BD232" i="3"/>
  <c r="BE232" i="3"/>
  <c r="BF232" i="3"/>
  <c r="BG232" i="3"/>
  <c r="AT233" i="3"/>
  <c r="AU233" i="3"/>
  <c r="AV233" i="3" s="1" a="1"/>
  <c r="AV233" i="3" s="1"/>
  <c r="AY233" i="3"/>
  <c r="AZ233" i="3"/>
  <c r="BA233" i="3"/>
  <c r="BB233" i="3"/>
  <c r="BC233" i="3"/>
  <c r="BD233" i="3"/>
  <c r="BE233" i="3"/>
  <c r="BF233" i="3"/>
  <c r="BG233" i="3"/>
  <c r="AT234" i="3"/>
  <c r="AU234" i="3"/>
  <c r="AV234" i="3" s="1" a="1"/>
  <c r="AV234" i="3" s="1"/>
  <c r="AY234" i="3"/>
  <c r="AZ234" i="3"/>
  <c r="BA234" i="3"/>
  <c r="BB234" i="3"/>
  <c r="BC234" i="3"/>
  <c r="BD234" i="3"/>
  <c r="BE234" i="3"/>
  <c r="BF234" i="3"/>
  <c r="BG234" i="3"/>
  <c r="AT235" i="3"/>
  <c r="AU235" i="3" s="1"/>
  <c r="AV235" i="3" s="1" a="1"/>
  <c r="AV235" i="3" s="1"/>
  <c r="AY235" i="3"/>
  <c r="AZ235" i="3"/>
  <c r="BA235" i="3"/>
  <c r="BB235" i="3"/>
  <c r="BC235" i="3"/>
  <c r="BD235" i="3"/>
  <c r="BE235" i="3"/>
  <c r="BF235" i="3"/>
  <c r="BG235" i="3"/>
  <c r="AT236" i="3"/>
  <c r="AU236" i="3" s="1"/>
  <c r="AV236" i="3" s="1" a="1"/>
  <c r="AV236" i="3" s="1"/>
  <c r="AY236" i="3"/>
  <c r="AZ236" i="3"/>
  <c r="BA236" i="3"/>
  <c r="BB236" i="3"/>
  <c r="BC236" i="3"/>
  <c r="BD236" i="3"/>
  <c r="BE236" i="3"/>
  <c r="BF236" i="3"/>
  <c r="BG236" i="3"/>
  <c r="AT237" i="3"/>
  <c r="AU237" i="3" s="1"/>
  <c r="AV237" i="3" s="1" a="1"/>
  <c r="AV237" i="3" s="1"/>
  <c r="AY237" i="3"/>
  <c r="AZ237" i="3"/>
  <c r="BA237" i="3"/>
  <c r="BB237" i="3"/>
  <c r="BC237" i="3"/>
  <c r="BD237" i="3"/>
  <c r="BE237" i="3"/>
  <c r="BF237" i="3"/>
  <c r="BG237" i="3"/>
  <c r="AT238" i="3"/>
  <c r="AU238" i="3"/>
  <c r="AV238" i="3" s="1" a="1"/>
  <c r="AV238" i="3" s="1"/>
  <c r="AY238" i="3"/>
  <c r="AZ238" i="3"/>
  <c r="BA238" i="3"/>
  <c r="BB238" i="3"/>
  <c r="BC238" i="3"/>
  <c r="BD238" i="3"/>
  <c r="BE238" i="3"/>
  <c r="BF238" i="3"/>
  <c r="BG238" i="3"/>
  <c r="AT239" i="3"/>
  <c r="AU239" i="3"/>
  <c r="AV239" i="3" s="1" a="1"/>
  <c r="AV239" i="3" s="1"/>
  <c r="AY239" i="3"/>
  <c r="AZ239" i="3"/>
  <c r="BA239" i="3"/>
  <c r="BB239" i="3"/>
  <c r="BC239" i="3"/>
  <c r="BD239" i="3"/>
  <c r="BE239" i="3"/>
  <c r="BF239" i="3"/>
  <c r="BG239" i="3"/>
  <c r="AT240" i="3"/>
  <c r="AU240" i="3" s="1"/>
  <c r="AV240" i="3" s="1" a="1"/>
  <c r="AV240" i="3" s="1"/>
  <c r="AY240" i="3"/>
  <c r="AZ240" i="3"/>
  <c r="BA240" i="3"/>
  <c r="BB240" i="3"/>
  <c r="BC240" i="3"/>
  <c r="BD240" i="3"/>
  <c r="BE240" i="3"/>
  <c r="BF240" i="3"/>
  <c r="BG240" i="3"/>
  <c r="AT241" i="3"/>
  <c r="AU241" i="3" s="1"/>
  <c r="AV241" i="3" s="1" a="1"/>
  <c r="AV241" i="3" s="1"/>
  <c r="AY241" i="3"/>
  <c r="AZ241" i="3"/>
  <c r="BA241" i="3"/>
  <c r="BB241" i="3"/>
  <c r="BC241" i="3"/>
  <c r="BD241" i="3"/>
  <c r="BE241" i="3"/>
  <c r="BF241" i="3"/>
  <c r="BG241" i="3"/>
  <c r="AT242" i="3"/>
  <c r="AU242" i="3" s="1"/>
  <c r="AV242" i="3" s="1" a="1"/>
  <c r="AV242" i="3" s="1"/>
  <c r="AY242" i="3"/>
  <c r="AZ242" i="3"/>
  <c r="BA242" i="3"/>
  <c r="BB242" i="3"/>
  <c r="BC242" i="3"/>
  <c r="BD242" i="3"/>
  <c r="BE242" i="3"/>
  <c r="BF242" i="3"/>
  <c r="BG242" i="3"/>
  <c r="AT243" i="3"/>
  <c r="AU243" i="3"/>
  <c r="AV243" i="3" s="1" a="1"/>
  <c r="AV243" i="3" s="1"/>
  <c r="AY243" i="3"/>
  <c r="AZ243" i="3"/>
  <c r="BA243" i="3"/>
  <c r="BB243" i="3"/>
  <c r="BC243" i="3"/>
  <c r="BD243" i="3"/>
  <c r="BE243" i="3"/>
  <c r="BF243" i="3"/>
  <c r="BG243" i="3"/>
  <c r="AT244" i="3"/>
  <c r="AU244" i="3" s="1"/>
  <c r="AV244" i="3" s="1" a="1"/>
  <c r="AV244" i="3" s="1"/>
  <c r="AY244" i="3"/>
  <c r="AZ244" i="3"/>
  <c r="BA244" i="3"/>
  <c r="BB244" i="3"/>
  <c r="BC244" i="3"/>
  <c r="BD244" i="3"/>
  <c r="BE244" i="3"/>
  <c r="BF244" i="3"/>
  <c r="BG244" i="3"/>
  <c r="AT245" i="3"/>
  <c r="AU245" i="3"/>
  <c r="AV245" i="3" s="1" a="1"/>
  <c r="AV245" i="3" s="1"/>
  <c r="AY245" i="3"/>
  <c r="AZ245" i="3"/>
  <c r="BA245" i="3"/>
  <c r="BB245" i="3"/>
  <c r="BC245" i="3"/>
  <c r="BD245" i="3"/>
  <c r="BE245" i="3"/>
  <c r="BF245" i="3"/>
  <c r="BG245" i="3"/>
  <c r="AT246" i="3"/>
  <c r="AU246" i="3"/>
  <c r="AV246" i="3" s="1" a="1"/>
  <c r="AV246" i="3" s="1"/>
  <c r="AY246" i="3"/>
  <c r="AZ246" i="3"/>
  <c r="BA246" i="3"/>
  <c r="BB246" i="3"/>
  <c r="BC246" i="3"/>
  <c r="BD246" i="3"/>
  <c r="BE246" i="3"/>
  <c r="BF246" i="3"/>
  <c r="AT247" i="3"/>
  <c r="AU247" i="3"/>
  <c r="AV247" i="3" s="1" a="1"/>
  <c r="AV247" i="3" s="1"/>
  <c r="AY247" i="3"/>
  <c r="AZ247" i="3"/>
  <c r="BA247" i="3"/>
  <c r="BB247" i="3"/>
  <c r="BC247" i="3"/>
  <c r="BD247" i="3"/>
  <c r="BE247" i="3"/>
  <c r="BF247" i="3"/>
  <c r="BG247" i="3"/>
  <c r="AT248" i="3"/>
  <c r="AU248" i="3"/>
  <c r="AV248" i="3" s="1" a="1"/>
  <c r="AV248" i="3" s="1"/>
  <c r="AY248" i="3"/>
  <c r="AZ248" i="3"/>
  <c r="BA248" i="3"/>
  <c r="BB248" i="3"/>
  <c r="BC248" i="3"/>
  <c r="BD248" i="3"/>
  <c r="BE248" i="3"/>
  <c r="BF248" i="3"/>
  <c r="BG248" i="3"/>
  <c r="AT249" i="3"/>
  <c r="AU249" i="3"/>
  <c r="AV249" i="3" s="1" a="1"/>
  <c r="AV249" i="3" s="1"/>
  <c r="AY249" i="3"/>
  <c r="AZ249" i="3"/>
  <c r="BA249" i="3"/>
  <c r="BB249" i="3"/>
  <c r="BC249" i="3"/>
  <c r="BD249" i="3"/>
  <c r="BE249" i="3"/>
  <c r="BF249" i="3"/>
  <c r="BG249" i="3"/>
  <c r="AT250" i="3"/>
  <c r="AU250" i="3"/>
  <c r="AV250" i="3" s="1" a="1"/>
  <c r="AV250" i="3" s="1"/>
  <c r="AY250" i="3"/>
  <c r="AZ250" i="3"/>
  <c r="BA250" i="3"/>
  <c r="BB250" i="3"/>
  <c r="BC250" i="3"/>
  <c r="BD250" i="3"/>
  <c r="BE250" i="3"/>
  <c r="BF250" i="3"/>
  <c r="AT251" i="3"/>
  <c r="AU251" i="3" s="1"/>
  <c r="AV251" i="3" s="1" a="1"/>
  <c r="AV251" i="3" s="1"/>
  <c r="AY251" i="3"/>
  <c r="AZ251" i="3"/>
  <c r="BA251" i="3"/>
  <c r="BB251" i="3"/>
  <c r="BC251" i="3"/>
  <c r="BD251" i="3"/>
  <c r="BE251" i="3"/>
  <c r="BF251" i="3"/>
  <c r="BG251" i="3"/>
  <c r="AT252" i="3"/>
  <c r="AU252" i="3" s="1"/>
  <c r="AV252" i="3" s="1" a="1"/>
  <c r="AV252" i="3" s="1"/>
  <c r="AY252" i="3"/>
  <c r="AZ252" i="3"/>
  <c r="BA252" i="3"/>
  <c r="BB252" i="3"/>
  <c r="BC252" i="3"/>
  <c r="BD252" i="3"/>
  <c r="BE252" i="3"/>
  <c r="BF252" i="3"/>
  <c r="BG252" i="3"/>
  <c r="AT253" i="3"/>
  <c r="AU253" i="3"/>
  <c r="AV253" i="3" s="1" a="1"/>
  <c r="AV253" i="3" s="1"/>
  <c r="AY253" i="3"/>
  <c r="AZ253" i="3"/>
  <c r="BA253" i="3"/>
  <c r="BB253" i="3"/>
  <c r="BC253" i="3"/>
  <c r="BD253" i="3"/>
  <c r="BE253" i="3"/>
  <c r="BF253" i="3"/>
  <c r="AT254" i="3"/>
  <c r="AU254" i="3"/>
  <c r="AV254" i="3" s="1" a="1"/>
  <c r="AV254" i="3" s="1"/>
  <c r="AY254" i="3"/>
  <c r="AZ254" i="3"/>
  <c r="BA254" i="3"/>
  <c r="BB254" i="3"/>
  <c r="BC254" i="3"/>
  <c r="BD254" i="3"/>
  <c r="BE254" i="3"/>
  <c r="BF254" i="3"/>
  <c r="AT255" i="3"/>
  <c r="AU255" i="3" s="1"/>
  <c r="AV255" i="3" s="1" a="1"/>
  <c r="AV255" i="3" s="1"/>
  <c r="AY255" i="3"/>
  <c r="AZ255" i="3"/>
  <c r="BA255" i="3"/>
  <c r="BB255" i="3"/>
  <c r="BC255" i="3"/>
  <c r="BD255" i="3"/>
  <c r="BE255" i="3"/>
  <c r="BF255" i="3"/>
  <c r="BG255" i="3"/>
  <c r="AT256" i="3"/>
  <c r="AU256" i="3" s="1"/>
  <c r="AV256" i="3" s="1" a="1"/>
  <c r="AV256" i="3" s="1"/>
  <c r="AY256" i="3"/>
  <c r="AZ256" i="3"/>
  <c r="BA256" i="3"/>
  <c r="BB256" i="3"/>
  <c r="BC256" i="3"/>
  <c r="BD256" i="3"/>
  <c r="BE256" i="3"/>
  <c r="BF256" i="3"/>
  <c r="AT257" i="3"/>
  <c r="AU257" i="3" s="1"/>
  <c r="AV257" i="3" s="1" a="1"/>
  <c r="AV257" i="3" s="1"/>
  <c r="AY257" i="3"/>
  <c r="AZ257" i="3"/>
  <c r="BA257" i="3"/>
  <c r="BB257" i="3"/>
  <c r="BC257" i="3"/>
  <c r="BD257" i="3"/>
  <c r="BE257" i="3"/>
  <c r="BF257" i="3"/>
  <c r="BG257" i="3"/>
  <c r="AT258" i="3"/>
  <c r="AU258" i="3" s="1"/>
  <c r="AV258" i="3" s="1" a="1"/>
  <c r="AV258" i="3" s="1"/>
  <c r="AY258" i="3"/>
  <c r="AZ258" i="3"/>
  <c r="BA258" i="3"/>
  <c r="BB258" i="3"/>
  <c r="BC258" i="3"/>
  <c r="BD258" i="3"/>
  <c r="BE258" i="3"/>
  <c r="BF258" i="3"/>
  <c r="BG258" i="3"/>
  <c r="AT259" i="3"/>
  <c r="AU259" i="3" s="1"/>
  <c r="AV259" i="3" s="1" a="1"/>
  <c r="AV259" i="3" s="1"/>
  <c r="AY259" i="3"/>
  <c r="AZ259" i="3"/>
  <c r="BA259" i="3"/>
  <c r="BB259" i="3"/>
  <c r="BC259" i="3"/>
  <c r="BD259" i="3"/>
  <c r="BE259" i="3"/>
  <c r="BF259" i="3"/>
  <c r="BG259" i="3"/>
  <c r="AT260" i="3"/>
  <c r="AU260" i="3" s="1"/>
  <c r="AV260" i="3" s="1" a="1"/>
  <c r="AV260" i="3" s="1"/>
  <c r="AY260" i="3"/>
  <c r="AZ260" i="3"/>
  <c r="BA260" i="3"/>
  <c r="BB260" i="3"/>
  <c r="BC260" i="3"/>
  <c r="BD260" i="3"/>
  <c r="BE260" i="3"/>
  <c r="BF260" i="3"/>
  <c r="BG260" i="3"/>
  <c r="AT261" i="3"/>
  <c r="AU261" i="3" s="1"/>
  <c r="AV261" i="3" s="1" a="1"/>
  <c r="AV261" i="3" s="1"/>
  <c r="AY261" i="3"/>
  <c r="AZ261" i="3"/>
  <c r="BA261" i="3"/>
  <c r="BB261" i="3"/>
  <c r="BC261" i="3"/>
  <c r="BD261" i="3"/>
  <c r="BE261" i="3"/>
  <c r="BF261" i="3"/>
  <c r="BG261" i="3"/>
  <c r="AT262" i="3"/>
  <c r="AU262" i="3" s="1"/>
  <c r="AV262" i="3" s="1" a="1"/>
  <c r="AV262" i="3" s="1"/>
  <c r="AY262" i="3"/>
  <c r="AZ262" i="3"/>
  <c r="BA262" i="3"/>
  <c r="BB262" i="3"/>
  <c r="BC262" i="3"/>
  <c r="BD262" i="3"/>
  <c r="BE262" i="3"/>
  <c r="BF262" i="3"/>
  <c r="BG262" i="3"/>
  <c r="AT263" i="3"/>
  <c r="AU263" i="3" s="1"/>
  <c r="AV263" i="3" s="1" a="1"/>
  <c r="AV263" i="3" s="1"/>
  <c r="AY263" i="3"/>
  <c r="AZ263" i="3"/>
  <c r="BA263" i="3"/>
  <c r="BB263" i="3"/>
  <c r="BC263" i="3"/>
  <c r="BD263" i="3"/>
  <c r="BE263" i="3"/>
  <c r="BF263" i="3"/>
  <c r="BG263" i="3"/>
  <c r="AT264" i="3"/>
  <c r="AU264" i="3" s="1"/>
  <c r="AV264" i="3" s="1" a="1"/>
  <c r="AV264" i="3" s="1"/>
  <c r="AY264" i="3"/>
  <c r="AZ264" i="3"/>
  <c r="BA264" i="3"/>
  <c r="BB264" i="3"/>
  <c r="BC264" i="3"/>
  <c r="BD264" i="3"/>
  <c r="BE264" i="3"/>
  <c r="BF264" i="3"/>
  <c r="BG264" i="3"/>
  <c r="AT265" i="3"/>
  <c r="AU265" i="3" s="1"/>
  <c r="AV265" i="3" s="1" a="1"/>
  <c r="AV265" i="3" s="1"/>
  <c r="AY265" i="3"/>
  <c r="AZ265" i="3"/>
  <c r="BA265" i="3"/>
  <c r="BB265" i="3"/>
  <c r="BC265" i="3"/>
  <c r="BD265" i="3"/>
  <c r="BE265" i="3"/>
  <c r="BF265" i="3"/>
  <c r="BG265" i="3"/>
  <c r="AT266" i="3"/>
  <c r="AU266" i="3" s="1"/>
  <c r="AV266" i="3" s="1" a="1"/>
  <c r="AV266" i="3" s="1"/>
  <c r="AY266" i="3"/>
  <c r="AZ266" i="3"/>
  <c r="BA266" i="3"/>
  <c r="BB266" i="3"/>
  <c r="BC266" i="3"/>
  <c r="BD266" i="3"/>
  <c r="BE266" i="3"/>
  <c r="BF266" i="3"/>
  <c r="BG266" i="3"/>
  <c r="AT267" i="3"/>
  <c r="AU267" i="3" s="1"/>
  <c r="AV267" i="3" s="1" a="1"/>
  <c r="AV267" i="3" s="1"/>
  <c r="AY267" i="3"/>
  <c r="AZ267" i="3"/>
  <c r="BA267" i="3"/>
  <c r="BB267" i="3"/>
  <c r="BC267" i="3"/>
  <c r="BD267" i="3"/>
  <c r="BE267" i="3"/>
  <c r="BF267" i="3"/>
  <c r="BG267" i="3"/>
  <c r="AT268" i="3"/>
  <c r="AU268" i="3"/>
  <c r="AV268" i="3" s="1" a="1"/>
  <c r="AV268" i="3" s="1"/>
  <c r="AY268" i="3"/>
  <c r="AZ268" i="3"/>
  <c r="BA268" i="3"/>
  <c r="BB268" i="3"/>
  <c r="BC268" i="3"/>
  <c r="BD268" i="3"/>
  <c r="BE268" i="3"/>
  <c r="BF268" i="3"/>
  <c r="BG268" i="3"/>
  <c r="AT269" i="3"/>
  <c r="AU269" i="3"/>
  <c r="AV269" i="3" s="1" a="1"/>
  <c r="AV269" i="3" s="1"/>
  <c r="AY269" i="3"/>
  <c r="AZ269" i="3"/>
  <c r="BA269" i="3"/>
  <c r="BB269" i="3"/>
  <c r="BC269" i="3"/>
  <c r="BD269" i="3"/>
  <c r="BE269" i="3"/>
  <c r="BF269" i="3"/>
  <c r="BG269" i="3"/>
  <c r="AT270" i="3"/>
  <c r="AU270" i="3"/>
  <c r="AV270" i="3" s="1" a="1"/>
  <c r="AV270" i="3" s="1"/>
  <c r="AY270" i="3"/>
  <c r="AZ270" i="3"/>
  <c r="BA270" i="3"/>
  <c r="BB270" i="3"/>
  <c r="BC270" i="3"/>
  <c r="BD270" i="3"/>
  <c r="BE270" i="3"/>
  <c r="BF270" i="3"/>
  <c r="BG270" i="3"/>
  <c r="AT271" i="3"/>
  <c r="AU271" i="3"/>
  <c r="AV271" i="3" s="1" a="1"/>
  <c r="AV271" i="3" s="1"/>
  <c r="AY271" i="3"/>
  <c r="AZ271" i="3"/>
  <c r="BA271" i="3"/>
  <c r="BB271" i="3"/>
  <c r="BC271" i="3"/>
  <c r="BD271" i="3"/>
  <c r="BE271" i="3"/>
  <c r="BF271" i="3"/>
  <c r="BG271" i="3"/>
  <c r="AT272" i="3"/>
  <c r="AU272" i="3"/>
  <c r="AV272" i="3" s="1" a="1"/>
  <c r="AV272" i="3" s="1"/>
  <c r="AY272" i="3"/>
  <c r="AZ272" i="3"/>
  <c r="BA272" i="3"/>
  <c r="BB272" i="3"/>
  <c r="BC272" i="3"/>
  <c r="BD272" i="3"/>
  <c r="BE272" i="3"/>
  <c r="BF272" i="3"/>
  <c r="BG272" i="3"/>
  <c r="AT273" i="3"/>
  <c r="AU273" i="3"/>
  <c r="AV273" i="3" s="1" a="1"/>
  <c r="AV273" i="3" s="1"/>
  <c r="AY273" i="3"/>
  <c r="AZ273" i="3"/>
  <c r="BA273" i="3"/>
  <c r="BB273" i="3"/>
  <c r="BC273" i="3"/>
  <c r="BD273" i="3"/>
  <c r="BE273" i="3"/>
  <c r="BF273" i="3"/>
  <c r="BG273" i="3"/>
  <c r="AT274" i="3"/>
  <c r="AU274" i="3"/>
  <c r="AV274" i="3" s="1" a="1"/>
  <c r="AV274" i="3" s="1"/>
  <c r="AY274" i="3"/>
  <c r="AZ274" i="3"/>
  <c r="BA274" i="3"/>
  <c r="BB274" i="3"/>
  <c r="BC274" i="3"/>
  <c r="BD274" i="3"/>
  <c r="BE274" i="3"/>
  <c r="BF274" i="3"/>
  <c r="BG274" i="3"/>
  <c r="AT275" i="3"/>
  <c r="AU275" i="3"/>
  <c r="AV275" i="3" s="1" a="1"/>
  <c r="AV275" i="3" s="1"/>
  <c r="AY275" i="3"/>
  <c r="AZ275" i="3"/>
  <c r="BA275" i="3"/>
  <c r="BB275" i="3"/>
  <c r="BC275" i="3"/>
  <c r="BD275" i="3"/>
  <c r="BE275" i="3"/>
  <c r="BF275" i="3"/>
  <c r="BG275" i="3"/>
  <c r="AT276" i="3"/>
  <c r="AU276" i="3"/>
  <c r="AV276" i="3" s="1" a="1"/>
  <c r="AV276" i="3" s="1"/>
  <c r="AY276" i="3"/>
  <c r="AZ276" i="3"/>
  <c r="BA276" i="3"/>
  <c r="BB276" i="3"/>
  <c r="BC276" i="3"/>
  <c r="BD276" i="3"/>
  <c r="BE276" i="3"/>
  <c r="BF276" i="3"/>
  <c r="BG276" i="3"/>
  <c r="AT277" i="3"/>
  <c r="AU277" i="3"/>
  <c r="AV277" i="3" s="1" a="1"/>
  <c r="AV277" i="3" s="1"/>
  <c r="AY277" i="3"/>
  <c r="AZ277" i="3"/>
  <c r="BA277" i="3"/>
  <c r="BB277" i="3"/>
  <c r="BC277" i="3"/>
  <c r="BD277" i="3"/>
  <c r="BE277" i="3"/>
  <c r="BF277" i="3"/>
  <c r="BG277" i="3"/>
  <c r="AT278" i="3"/>
  <c r="AU278" i="3"/>
  <c r="AV278" i="3" s="1" a="1"/>
  <c r="AV278" i="3" s="1"/>
  <c r="AY278" i="3"/>
  <c r="AZ278" i="3"/>
  <c r="BA278" i="3"/>
  <c r="BB278" i="3"/>
  <c r="BC278" i="3"/>
  <c r="BD278" i="3"/>
  <c r="BE278" i="3"/>
  <c r="BF278" i="3"/>
  <c r="BG278" i="3"/>
  <c r="AT279" i="3"/>
  <c r="AU279" i="3"/>
  <c r="AV279" i="3" s="1" a="1"/>
  <c r="AV279" i="3" s="1"/>
  <c r="AY279" i="3"/>
  <c r="AZ279" i="3"/>
  <c r="BA279" i="3"/>
  <c r="BB279" i="3"/>
  <c r="BC279" i="3"/>
  <c r="BD279" i="3"/>
  <c r="BE279" i="3"/>
  <c r="BF279" i="3"/>
  <c r="BG279" i="3"/>
  <c r="AT280" i="3"/>
  <c r="AU280" i="3"/>
  <c r="AV280" i="3" s="1" a="1"/>
  <c r="AV280" i="3" s="1"/>
  <c r="AY280" i="3"/>
  <c r="AZ280" i="3"/>
  <c r="BA280" i="3"/>
  <c r="BB280" i="3"/>
  <c r="BC280" i="3"/>
  <c r="BD280" i="3"/>
  <c r="BE280" i="3"/>
  <c r="BF280" i="3"/>
  <c r="BG280" i="3"/>
  <c r="AT281" i="3"/>
  <c r="AU281" i="3"/>
  <c r="AV281" i="3" s="1" a="1"/>
  <c r="AV281" i="3" s="1"/>
  <c r="AY281" i="3"/>
  <c r="AZ281" i="3"/>
  <c r="BA281" i="3"/>
  <c r="BB281" i="3"/>
  <c r="BC281" i="3"/>
  <c r="BD281" i="3"/>
  <c r="BE281" i="3"/>
  <c r="BF281" i="3"/>
  <c r="BG281" i="3"/>
  <c r="AT282" i="3"/>
  <c r="AU282" i="3"/>
  <c r="AV282" i="3" s="1" a="1"/>
  <c r="AV282" i="3" s="1"/>
  <c r="AY282" i="3"/>
  <c r="AZ282" i="3"/>
  <c r="BA282" i="3"/>
  <c r="BB282" i="3"/>
  <c r="BC282" i="3"/>
  <c r="BD282" i="3"/>
  <c r="BE282" i="3"/>
  <c r="BF282" i="3"/>
  <c r="BG282" i="3"/>
  <c r="AT283" i="3"/>
  <c r="AU283" i="3"/>
  <c r="AV283" i="3" s="1" a="1"/>
  <c r="AV283" i="3" s="1"/>
  <c r="AY283" i="3"/>
  <c r="AZ283" i="3"/>
  <c r="BA283" i="3"/>
  <c r="BB283" i="3"/>
  <c r="BC283" i="3"/>
  <c r="BD283" i="3"/>
  <c r="BE283" i="3"/>
  <c r="BF283" i="3"/>
  <c r="BG283" i="3"/>
  <c r="AT284" i="3"/>
  <c r="AU284" i="3"/>
  <c r="AV284" i="3" s="1" a="1"/>
  <c r="AV284" i="3" s="1"/>
  <c r="AY284" i="3"/>
  <c r="AZ284" i="3"/>
  <c r="BA284" i="3"/>
  <c r="BB284" i="3"/>
  <c r="BC284" i="3"/>
  <c r="BD284" i="3"/>
  <c r="BE284" i="3"/>
  <c r="BF284" i="3"/>
  <c r="BG284" i="3"/>
  <c r="AT285" i="3"/>
  <c r="AU285" i="3"/>
  <c r="AV285" i="3" s="1" a="1"/>
  <c r="AV285" i="3" s="1"/>
  <c r="AY285" i="3"/>
  <c r="AZ285" i="3"/>
  <c r="BA285" i="3"/>
  <c r="BB285" i="3"/>
  <c r="BC285" i="3"/>
  <c r="BD285" i="3"/>
  <c r="BE285" i="3"/>
  <c r="BF285" i="3"/>
  <c r="BG285" i="3"/>
  <c r="AT286" i="3"/>
  <c r="AU286" i="3"/>
  <c r="AV286" i="3" s="1" a="1"/>
  <c r="AV286" i="3" s="1"/>
  <c r="AY286" i="3"/>
  <c r="AZ286" i="3"/>
  <c r="BA286" i="3"/>
  <c r="BB286" i="3"/>
  <c r="BC286" i="3"/>
  <c r="BD286" i="3"/>
  <c r="BE286" i="3"/>
  <c r="BF286" i="3"/>
  <c r="BG286" i="3"/>
  <c r="AT287" i="3"/>
  <c r="AU287" i="3"/>
  <c r="AV287" i="3" s="1" a="1"/>
  <c r="AV287" i="3" s="1"/>
  <c r="AY287" i="3"/>
  <c r="AZ287" i="3"/>
  <c r="BA287" i="3"/>
  <c r="BB287" i="3"/>
  <c r="BC287" i="3"/>
  <c r="BD287" i="3"/>
  <c r="BE287" i="3"/>
  <c r="BF287" i="3"/>
  <c r="BG287" i="3"/>
  <c r="AT288" i="3"/>
  <c r="AU288" i="3"/>
  <c r="AV288" i="3" s="1" a="1"/>
  <c r="AV288" i="3" s="1"/>
  <c r="AY288" i="3"/>
  <c r="AZ288" i="3"/>
  <c r="BA288" i="3"/>
  <c r="BB288" i="3"/>
  <c r="BC288" i="3"/>
  <c r="BD288" i="3"/>
  <c r="BE288" i="3"/>
  <c r="BF288" i="3"/>
  <c r="BG288" i="3"/>
  <c r="AT289" i="3"/>
  <c r="AU289" i="3"/>
  <c r="AV289" i="3" s="1" a="1"/>
  <c r="AV289" i="3" s="1"/>
  <c r="AY289" i="3"/>
  <c r="AZ289" i="3"/>
  <c r="BA289" i="3"/>
  <c r="BB289" i="3"/>
  <c r="BC289" i="3"/>
  <c r="BD289" i="3"/>
  <c r="BE289" i="3"/>
  <c r="BF289" i="3"/>
  <c r="BG289" i="3"/>
  <c r="AT290" i="3"/>
  <c r="AU290" i="3"/>
  <c r="AV290" i="3" s="1" a="1"/>
  <c r="AV290" i="3" s="1"/>
  <c r="AY290" i="3"/>
  <c r="AZ290" i="3"/>
  <c r="BA290" i="3"/>
  <c r="BB290" i="3"/>
  <c r="BC290" i="3"/>
  <c r="BD290" i="3"/>
  <c r="BE290" i="3"/>
  <c r="BF290" i="3"/>
  <c r="BG290" i="3"/>
  <c r="AT291" i="3"/>
  <c r="AU291" i="3"/>
  <c r="AV291" i="3" s="1" a="1"/>
  <c r="AV291" i="3" s="1"/>
  <c r="AY291" i="3"/>
  <c r="AZ291" i="3"/>
  <c r="BA291" i="3"/>
  <c r="BB291" i="3"/>
  <c r="BC291" i="3"/>
  <c r="BD291" i="3"/>
  <c r="BE291" i="3"/>
  <c r="BF291" i="3"/>
  <c r="BG291" i="3"/>
  <c r="AT292" i="3"/>
  <c r="AU292" i="3"/>
  <c r="AV292" i="3" s="1" a="1"/>
  <c r="AV292" i="3" s="1"/>
  <c r="AY292" i="3"/>
  <c r="AZ292" i="3"/>
  <c r="BA292" i="3"/>
  <c r="BB292" i="3"/>
  <c r="BC292" i="3"/>
  <c r="BD292" i="3"/>
  <c r="BE292" i="3"/>
  <c r="BF292" i="3"/>
  <c r="BG292" i="3"/>
  <c r="AT293" i="3"/>
  <c r="AU293" i="3"/>
  <c r="AV293" i="3" s="1" a="1"/>
  <c r="AV293" i="3" s="1"/>
  <c r="AY293" i="3"/>
  <c r="AZ293" i="3"/>
  <c r="BA293" i="3"/>
  <c r="BB293" i="3"/>
  <c r="BC293" i="3"/>
  <c r="BD293" i="3"/>
  <c r="BE293" i="3"/>
  <c r="BF293" i="3"/>
  <c r="BG293" i="3"/>
  <c r="AT294" i="3"/>
  <c r="AU294" i="3"/>
  <c r="AV294" i="3" s="1" a="1"/>
  <c r="AV294" i="3" s="1"/>
  <c r="AY294" i="3"/>
  <c r="AZ294" i="3"/>
  <c r="BA294" i="3"/>
  <c r="BB294" i="3"/>
  <c r="BC294" i="3"/>
  <c r="BD294" i="3"/>
  <c r="BE294" i="3"/>
  <c r="BF294" i="3"/>
  <c r="BG294" i="3"/>
  <c r="AT295" i="3"/>
  <c r="AU295" i="3"/>
  <c r="AV295" i="3" s="1" a="1"/>
  <c r="AV295" i="3" s="1"/>
  <c r="AY295" i="3"/>
  <c r="AZ295" i="3"/>
  <c r="BA295" i="3"/>
  <c r="BB295" i="3"/>
  <c r="BC295" i="3"/>
  <c r="BD295" i="3"/>
  <c r="BE295" i="3"/>
  <c r="BF295" i="3"/>
  <c r="BG295" i="3"/>
  <c r="AT296" i="3"/>
  <c r="AU296" i="3"/>
  <c r="AV296" i="3" s="1" a="1"/>
  <c r="AV296" i="3" s="1"/>
  <c r="AY296" i="3"/>
  <c r="AZ296" i="3"/>
  <c r="BA296" i="3"/>
  <c r="BB296" i="3"/>
  <c r="BC296" i="3"/>
  <c r="BD296" i="3"/>
  <c r="BE296" i="3"/>
  <c r="BF296" i="3"/>
  <c r="BG296" i="3"/>
  <c r="AT297" i="3"/>
  <c r="AU297" i="3"/>
  <c r="AV297" i="3" s="1" a="1"/>
  <c r="AV297" i="3" s="1"/>
  <c r="AY297" i="3"/>
  <c r="AZ297" i="3"/>
  <c r="BA297" i="3"/>
  <c r="BB297" i="3"/>
  <c r="BC297" i="3"/>
  <c r="BD297" i="3"/>
  <c r="BE297" i="3"/>
  <c r="BF297" i="3"/>
  <c r="BG297" i="3"/>
  <c r="AT298" i="3"/>
  <c r="AU298" i="3"/>
  <c r="AV298" i="3" s="1" a="1"/>
  <c r="AV298" i="3" s="1"/>
  <c r="AY298" i="3"/>
  <c r="AZ298" i="3"/>
  <c r="BA298" i="3"/>
  <c r="BB298" i="3"/>
  <c r="BC298" i="3"/>
  <c r="BD298" i="3"/>
  <c r="BE298" i="3"/>
  <c r="BF298" i="3"/>
  <c r="BG298" i="3"/>
  <c r="AT299" i="3"/>
  <c r="AU299" i="3"/>
  <c r="AV299" i="3" s="1" a="1"/>
  <c r="AV299" i="3" s="1"/>
  <c r="AY299" i="3"/>
  <c r="AZ299" i="3"/>
  <c r="BA299" i="3"/>
  <c r="BB299" i="3"/>
  <c r="BC299" i="3"/>
  <c r="BD299" i="3"/>
  <c r="BE299" i="3"/>
  <c r="BF299" i="3"/>
  <c r="BG299" i="3"/>
  <c r="AT300" i="3"/>
  <c r="AU300" i="3"/>
  <c r="AV300" i="3" s="1" a="1"/>
  <c r="AV300" i="3" s="1"/>
  <c r="AY300" i="3"/>
  <c r="AZ300" i="3"/>
  <c r="BA300" i="3"/>
  <c r="BB300" i="3"/>
  <c r="BC300" i="3"/>
  <c r="BD300" i="3"/>
  <c r="BE300" i="3"/>
  <c r="BF300" i="3"/>
  <c r="BG300" i="3"/>
  <c r="AT301" i="3"/>
  <c r="AU301" i="3"/>
  <c r="AV301" i="3" s="1" a="1"/>
  <c r="AV301" i="3" s="1"/>
  <c r="AY301" i="3"/>
  <c r="AZ301" i="3"/>
  <c r="BA301" i="3"/>
  <c r="BB301" i="3"/>
  <c r="BC301" i="3"/>
  <c r="BD301" i="3"/>
  <c r="BE301" i="3"/>
  <c r="BF301" i="3"/>
  <c r="BG301" i="3"/>
  <c r="AT302" i="3"/>
  <c r="AU302" i="3"/>
  <c r="AV302" i="3" s="1" a="1"/>
  <c r="AV302" i="3" s="1"/>
  <c r="AY302" i="3"/>
  <c r="AZ302" i="3"/>
  <c r="BA302" i="3"/>
  <c r="BB302" i="3"/>
  <c r="BC302" i="3"/>
  <c r="BD302" i="3"/>
  <c r="BE302" i="3"/>
  <c r="BF302" i="3"/>
  <c r="BG302" i="3"/>
  <c r="AT303" i="3"/>
  <c r="AU303" i="3"/>
  <c r="AV303" i="3" s="1" a="1"/>
  <c r="AV303" i="3" s="1"/>
  <c r="AY303" i="3"/>
  <c r="AZ303" i="3"/>
  <c r="BA303" i="3"/>
  <c r="BB303" i="3"/>
  <c r="BC303" i="3"/>
  <c r="BD303" i="3"/>
  <c r="BE303" i="3"/>
  <c r="BF303" i="3"/>
  <c r="BG303" i="3"/>
  <c r="AT304" i="3"/>
  <c r="AU304" i="3"/>
  <c r="AV304" i="3" s="1" a="1"/>
  <c r="AV304" i="3" s="1"/>
  <c r="AY304" i="3"/>
  <c r="AZ304" i="3"/>
  <c r="BA304" i="3"/>
  <c r="BB304" i="3"/>
  <c r="BC304" i="3"/>
  <c r="BD304" i="3"/>
  <c r="BE304" i="3"/>
  <c r="BF304" i="3"/>
  <c r="BG304" i="3"/>
  <c r="AT305" i="3"/>
  <c r="AU305" i="3"/>
  <c r="AV305" i="3" s="1" a="1"/>
  <c r="AV305" i="3" s="1"/>
  <c r="AY305" i="3"/>
  <c r="AZ305" i="3"/>
  <c r="BA305" i="3"/>
  <c r="BB305" i="3"/>
  <c r="BC305" i="3"/>
  <c r="BD305" i="3"/>
  <c r="BE305" i="3"/>
  <c r="BF305" i="3"/>
  <c r="BG305" i="3"/>
  <c r="AT306" i="3"/>
  <c r="AU306" i="3"/>
  <c r="AV306" i="3" s="1" a="1"/>
  <c r="AV306" i="3" s="1"/>
  <c r="AY306" i="3"/>
  <c r="AZ306" i="3"/>
  <c r="BA306" i="3"/>
  <c r="BB306" i="3"/>
  <c r="BC306" i="3"/>
  <c r="BD306" i="3"/>
  <c r="BE306" i="3"/>
  <c r="BF306" i="3"/>
  <c r="BG306" i="3"/>
  <c r="AT307" i="3"/>
  <c r="AU307" i="3"/>
  <c r="AV307" i="3" s="1" a="1"/>
  <c r="AV307" i="3" s="1"/>
  <c r="AY307" i="3"/>
  <c r="AZ307" i="3"/>
  <c r="BA307" i="3"/>
  <c r="BB307" i="3"/>
  <c r="BC307" i="3"/>
  <c r="BD307" i="3"/>
  <c r="BE307" i="3"/>
  <c r="BF307" i="3"/>
  <c r="BG307" i="3"/>
  <c r="AT308" i="3"/>
  <c r="AU308" i="3"/>
  <c r="AV308" i="3" s="1" a="1"/>
  <c r="AV308" i="3" s="1"/>
  <c r="AY308" i="3"/>
  <c r="AZ308" i="3"/>
  <c r="BA308" i="3"/>
  <c r="BB308" i="3"/>
  <c r="BC308" i="3"/>
  <c r="BD308" i="3"/>
  <c r="BE308" i="3"/>
  <c r="BF308" i="3"/>
  <c r="BG308" i="3"/>
  <c r="AT309" i="3"/>
  <c r="AU309" i="3"/>
  <c r="AV309" i="3" s="1" a="1"/>
  <c r="AV309" i="3" s="1"/>
  <c r="AY309" i="3"/>
  <c r="AZ309" i="3"/>
  <c r="BA309" i="3"/>
  <c r="BB309" i="3"/>
  <c r="BC309" i="3"/>
  <c r="BD309" i="3"/>
  <c r="BE309" i="3"/>
  <c r="BF309" i="3"/>
  <c r="BG309" i="3"/>
  <c r="AT310" i="3"/>
  <c r="AU310" i="3"/>
  <c r="AV310" i="3" s="1" a="1"/>
  <c r="AV310" i="3" s="1"/>
  <c r="AY310" i="3"/>
  <c r="AZ310" i="3"/>
  <c r="BA310" i="3"/>
  <c r="BB310" i="3"/>
  <c r="BC310" i="3"/>
  <c r="BD310" i="3"/>
  <c r="BE310" i="3"/>
  <c r="BF310" i="3"/>
  <c r="BG310" i="3"/>
  <c r="AT311" i="3"/>
  <c r="AU311" i="3"/>
  <c r="AV311" i="3" s="1" a="1"/>
  <c r="AV311" i="3" s="1"/>
  <c r="AY311" i="3"/>
  <c r="AZ311" i="3"/>
  <c r="BA311" i="3"/>
  <c r="BB311" i="3"/>
  <c r="BC311" i="3"/>
  <c r="BD311" i="3"/>
  <c r="BE311" i="3"/>
  <c r="BF311" i="3"/>
  <c r="BG311" i="3"/>
  <c r="AT312" i="3"/>
  <c r="AU312" i="3"/>
  <c r="AV312" i="3" s="1" a="1"/>
  <c r="AV312" i="3" s="1"/>
  <c r="AY312" i="3"/>
  <c r="AZ312" i="3"/>
  <c r="BA312" i="3"/>
  <c r="BB312" i="3"/>
  <c r="BC312" i="3"/>
  <c r="BD312" i="3"/>
  <c r="BE312" i="3"/>
  <c r="BF312" i="3"/>
  <c r="BG312" i="3"/>
  <c r="AT313" i="3"/>
  <c r="AU313" i="3"/>
  <c r="AV313" i="3" s="1" a="1"/>
  <c r="AV313" i="3" s="1"/>
  <c r="AY313" i="3"/>
  <c r="AZ313" i="3"/>
  <c r="BA313" i="3"/>
  <c r="BB313" i="3"/>
  <c r="BC313" i="3"/>
  <c r="BD313" i="3"/>
  <c r="BE313" i="3"/>
  <c r="BF313" i="3"/>
  <c r="BG313" i="3"/>
  <c r="AT314" i="3"/>
  <c r="AU314" i="3"/>
  <c r="AV314" i="3" s="1" a="1"/>
  <c r="AV314" i="3" s="1"/>
  <c r="AY314" i="3"/>
  <c r="AZ314" i="3"/>
  <c r="BA314" i="3"/>
  <c r="BB314" i="3"/>
  <c r="BC314" i="3"/>
  <c r="BD314" i="3"/>
  <c r="BE314" i="3"/>
  <c r="BF314" i="3"/>
  <c r="BG314" i="3"/>
  <c r="AT315" i="3"/>
  <c r="AU315" i="3"/>
  <c r="AV315" i="3" s="1" a="1"/>
  <c r="AV315" i="3" s="1"/>
  <c r="AY315" i="3"/>
  <c r="AZ315" i="3"/>
  <c r="BA315" i="3"/>
  <c r="BB315" i="3"/>
  <c r="BC315" i="3"/>
  <c r="BD315" i="3"/>
  <c r="BE315" i="3"/>
  <c r="BF315" i="3"/>
  <c r="BG315" i="3"/>
  <c r="AT316" i="3"/>
  <c r="AU316" i="3"/>
  <c r="AV316" i="3" s="1" a="1"/>
  <c r="AV316" i="3" s="1"/>
  <c r="AY316" i="3"/>
  <c r="AZ316" i="3"/>
  <c r="BA316" i="3"/>
  <c r="BB316" i="3"/>
  <c r="BC316" i="3"/>
  <c r="BD316" i="3"/>
  <c r="BE316" i="3"/>
  <c r="BF316" i="3"/>
  <c r="BG316" i="3"/>
  <c r="AT317" i="3"/>
  <c r="AU317" i="3"/>
  <c r="AV317" i="3" s="1" a="1"/>
  <c r="AV317" i="3" s="1"/>
  <c r="AY317" i="3"/>
  <c r="AZ317" i="3"/>
  <c r="BA317" i="3"/>
  <c r="BB317" i="3"/>
  <c r="BC317" i="3"/>
  <c r="BD317" i="3"/>
  <c r="BE317" i="3"/>
  <c r="BF317" i="3"/>
  <c r="BG317" i="3"/>
  <c r="AT318" i="3"/>
  <c r="AU318" i="3"/>
  <c r="AV318" i="3" s="1" a="1"/>
  <c r="AV318" i="3" s="1"/>
  <c r="AY318" i="3"/>
  <c r="AZ318" i="3"/>
  <c r="BA318" i="3"/>
  <c r="BB318" i="3"/>
  <c r="BC318" i="3"/>
  <c r="BD318" i="3"/>
  <c r="BE318" i="3"/>
  <c r="BF318" i="3"/>
  <c r="BG318" i="3"/>
  <c r="AT319" i="3"/>
  <c r="AU319" i="3"/>
  <c r="AV319" i="3" s="1" a="1"/>
  <c r="AV319" i="3" s="1"/>
  <c r="AY319" i="3"/>
  <c r="AZ319" i="3"/>
  <c r="BA319" i="3"/>
  <c r="BB319" i="3"/>
  <c r="BC319" i="3"/>
  <c r="BD319" i="3"/>
  <c r="BE319" i="3"/>
  <c r="BF319" i="3"/>
  <c r="BG319" i="3"/>
  <c r="AT320" i="3"/>
  <c r="AU320" i="3"/>
  <c r="AV320" i="3" s="1" a="1"/>
  <c r="AV320" i="3" s="1"/>
  <c r="AY320" i="3"/>
  <c r="AZ320" i="3"/>
  <c r="BA320" i="3"/>
  <c r="BB320" i="3"/>
  <c r="BC320" i="3"/>
  <c r="BD320" i="3"/>
  <c r="BE320" i="3"/>
  <c r="BF320" i="3"/>
  <c r="BG320" i="3"/>
  <c r="AT321" i="3"/>
  <c r="AU321" i="3"/>
  <c r="AV321" i="3" s="1" a="1"/>
  <c r="AV321" i="3" s="1"/>
  <c r="AY321" i="3"/>
  <c r="AZ321" i="3"/>
  <c r="BA321" i="3"/>
  <c r="BB321" i="3"/>
  <c r="BC321" i="3"/>
  <c r="BD321" i="3"/>
  <c r="BE321" i="3"/>
  <c r="BF321" i="3"/>
  <c r="BG321" i="3"/>
  <c r="AT322" i="3"/>
  <c r="AU322" i="3"/>
  <c r="AV322" i="3" s="1" a="1"/>
  <c r="AV322" i="3" s="1"/>
  <c r="AY322" i="3"/>
  <c r="AZ322" i="3"/>
  <c r="BA322" i="3"/>
  <c r="BB322" i="3"/>
  <c r="BC322" i="3"/>
  <c r="BD322" i="3"/>
  <c r="BE322" i="3"/>
  <c r="BF322" i="3"/>
  <c r="BG322" i="3"/>
  <c r="AT323" i="3"/>
  <c r="AU323" i="3"/>
  <c r="AV323" i="3" s="1" a="1"/>
  <c r="AV323" i="3" s="1"/>
  <c r="AY323" i="3"/>
  <c r="AZ323" i="3"/>
  <c r="BA323" i="3"/>
  <c r="BB323" i="3"/>
  <c r="BC323" i="3"/>
  <c r="BD323" i="3"/>
  <c r="BE323" i="3"/>
  <c r="BF323" i="3"/>
  <c r="BG323" i="3"/>
  <c r="AT324" i="3"/>
  <c r="AU324" i="3"/>
  <c r="AV324" i="3" s="1" a="1"/>
  <c r="AV324" i="3" s="1"/>
  <c r="AY324" i="3"/>
  <c r="AZ324" i="3"/>
  <c r="BA324" i="3"/>
  <c r="BB324" i="3"/>
  <c r="BC324" i="3"/>
  <c r="BD324" i="3"/>
  <c r="BE324" i="3"/>
  <c r="BF324" i="3"/>
  <c r="BG324" i="3"/>
  <c r="AT325" i="3"/>
  <c r="AU325" i="3"/>
  <c r="AV325" i="3" s="1" a="1"/>
  <c r="AV325" i="3" s="1"/>
  <c r="AY325" i="3"/>
  <c r="AZ325" i="3"/>
  <c r="BA325" i="3"/>
  <c r="BB325" i="3"/>
  <c r="BC325" i="3"/>
  <c r="BD325" i="3"/>
  <c r="BE325" i="3"/>
  <c r="BF325" i="3"/>
  <c r="BG325" i="3"/>
  <c r="AT326" i="3"/>
  <c r="AU326" i="3"/>
  <c r="AV326" i="3" s="1" a="1"/>
  <c r="AV326" i="3" s="1"/>
  <c r="AY326" i="3"/>
  <c r="AZ326" i="3"/>
  <c r="BA326" i="3"/>
  <c r="BB326" i="3"/>
  <c r="BC326" i="3"/>
  <c r="BD326" i="3"/>
  <c r="BE326" i="3"/>
  <c r="BF326" i="3"/>
  <c r="BG326" i="3"/>
  <c r="AT327" i="3"/>
  <c r="AU327" i="3"/>
  <c r="AV327" i="3" s="1" a="1"/>
  <c r="AV327" i="3" s="1"/>
  <c r="AY327" i="3"/>
  <c r="AZ327" i="3"/>
  <c r="BA327" i="3"/>
  <c r="BB327" i="3"/>
  <c r="BC327" i="3"/>
  <c r="BD327" i="3"/>
  <c r="BE327" i="3"/>
  <c r="BF327" i="3"/>
  <c r="BG327" i="3"/>
  <c r="AT328" i="3"/>
  <c r="AU328" i="3"/>
  <c r="AV328" i="3" s="1" a="1"/>
  <c r="AV328" i="3" s="1"/>
  <c r="AY328" i="3"/>
  <c r="AZ328" i="3"/>
  <c r="BA328" i="3"/>
  <c r="BB328" i="3"/>
  <c r="BC328" i="3"/>
  <c r="BD328" i="3"/>
  <c r="BE328" i="3"/>
  <c r="BF328" i="3"/>
  <c r="BG328" i="3"/>
  <c r="AT329" i="3"/>
  <c r="AU329" i="3"/>
  <c r="AV329" i="3" s="1" a="1"/>
  <c r="AV329" i="3" s="1"/>
  <c r="AY329" i="3"/>
  <c r="AZ329" i="3"/>
  <c r="BA329" i="3"/>
  <c r="BB329" i="3"/>
  <c r="BC329" i="3"/>
  <c r="BD329" i="3"/>
  <c r="BE329" i="3"/>
  <c r="BF329" i="3"/>
  <c r="BG329" i="3"/>
  <c r="AT330" i="3"/>
  <c r="AU330" i="3"/>
  <c r="AV330" i="3" s="1" a="1"/>
  <c r="AV330" i="3" s="1"/>
  <c r="AY330" i="3"/>
  <c r="AZ330" i="3"/>
  <c r="BA330" i="3"/>
  <c r="BB330" i="3"/>
  <c r="BC330" i="3"/>
  <c r="BD330" i="3"/>
  <c r="BE330" i="3"/>
  <c r="BF330" i="3"/>
  <c r="BG330" i="3"/>
  <c r="AT331" i="3"/>
  <c r="AU331" i="3"/>
  <c r="AV331" i="3" s="1" a="1"/>
  <c r="AV331" i="3" s="1"/>
  <c r="AY331" i="3"/>
  <c r="AZ331" i="3"/>
  <c r="BA331" i="3"/>
  <c r="BB331" i="3"/>
  <c r="BC331" i="3"/>
  <c r="BD331" i="3"/>
  <c r="BE331" i="3"/>
  <c r="BF331" i="3"/>
  <c r="BG331" i="3"/>
  <c r="AT332" i="3"/>
  <c r="AU332" i="3"/>
  <c r="AV332" i="3" s="1" a="1"/>
  <c r="AV332" i="3" s="1"/>
  <c r="AY332" i="3"/>
  <c r="AZ332" i="3"/>
  <c r="BA332" i="3"/>
  <c r="BB332" i="3"/>
  <c r="BC332" i="3"/>
  <c r="BD332" i="3"/>
  <c r="BE332" i="3"/>
  <c r="BF332" i="3"/>
  <c r="BG332" i="3"/>
  <c r="AT333" i="3"/>
  <c r="AU333" i="3"/>
  <c r="AV333" i="3" s="1" a="1"/>
  <c r="AV333" i="3" s="1"/>
  <c r="AY333" i="3"/>
  <c r="AZ333" i="3"/>
  <c r="BA333" i="3"/>
  <c r="BB333" i="3"/>
  <c r="BC333" i="3"/>
  <c r="BD333" i="3"/>
  <c r="BE333" i="3"/>
  <c r="BF333" i="3"/>
  <c r="BG333" i="3"/>
  <c r="AT334" i="3"/>
  <c r="AU334" i="3"/>
  <c r="AV334" i="3" s="1" a="1"/>
  <c r="AV334" i="3" s="1"/>
  <c r="AY334" i="3"/>
  <c r="AZ334" i="3"/>
  <c r="BA334" i="3"/>
  <c r="BB334" i="3"/>
  <c r="BC334" i="3"/>
  <c r="BD334" i="3"/>
  <c r="BE334" i="3"/>
  <c r="BF334" i="3"/>
  <c r="BG334" i="3"/>
  <c r="AT335" i="3"/>
  <c r="AU335" i="3"/>
  <c r="AV335" i="3" s="1" a="1"/>
  <c r="AV335" i="3" s="1"/>
  <c r="AY335" i="3"/>
  <c r="AZ335" i="3"/>
  <c r="BA335" i="3"/>
  <c r="BB335" i="3"/>
  <c r="BC335" i="3"/>
  <c r="BD335" i="3"/>
  <c r="BE335" i="3"/>
  <c r="BF335" i="3"/>
  <c r="BG335" i="3"/>
  <c r="AT336" i="3"/>
  <c r="AU336" i="3"/>
  <c r="AV336" i="3" s="1" a="1"/>
  <c r="AV336" i="3" s="1"/>
  <c r="AY336" i="3"/>
  <c r="AZ336" i="3"/>
  <c r="BA336" i="3"/>
  <c r="BB336" i="3"/>
  <c r="BC336" i="3"/>
  <c r="BD336" i="3"/>
  <c r="BE336" i="3"/>
  <c r="BF336" i="3"/>
  <c r="BG336" i="3"/>
  <c r="AT337" i="3"/>
  <c r="AU337" i="3"/>
  <c r="AV337" i="3" s="1" a="1"/>
  <c r="AV337" i="3" s="1"/>
  <c r="AY337" i="3"/>
  <c r="AZ337" i="3"/>
  <c r="BA337" i="3"/>
  <c r="BB337" i="3"/>
  <c r="BC337" i="3"/>
  <c r="BD337" i="3"/>
  <c r="BE337" i="3"/>
  <c r="BF337" i="3"/>
  <c r="BG337" i="3"/>
  <c r="AT338" i="3"/>
  <c r="AU338" i="3"/>
  <c r="AV338" i="3" s="1" a="1"/>
  <c r="AV338" i="3" s="1"/>
  <c r="AY338" i="3"/>
  <c r="AZ338" i="3"/>
  <c r="BA338" i="3"/>
  <c r="BB338" i="3"/>
  <c r="BC338" i="3"/>
  <c r="BD338" i="3"/>
  <c r="BE338" i="3"/>
  <c r="BF338" i="3"/>
  <c r="BG338" i="3"/>
  <c r="AT339" i="3"/>
  <c r="AU339" i="3"/>
  <c r="AV339" i="3" s="1" a="1"/>
  <c r="AV339" i="3" s="1"/>
  <c r="AY339" i="3"/>
  <c r="AZ339" i="3"/>
  <c r="BA339" i="3"/>
  <c r="BB339" i="3"/>
  <c r="BC339" i="3"/>
  <c r="BD339" i="3"/>
  <c r="BE339" i="3"/>
  <c r="BF339" i="3"/>
  <c r="BG339" i="3"/>
  <c r="AT340" i="3"/>
  <c r="AU340" i="3"/>
  <c r="AV340" i="3" s="1" a="1"/>
  <c r="AV340" i="3" s="1"/>
  <c r="AY340" i="3"/>
  <c r="AZ340" i="3"/>
  <c r="BA340" i="3"/>
  <c r="BB340" i="3"/>
  <c r="BC340" i="3"/>
  <c r="BD340" i="3"/>
  <c r="BE340" i="3"/>
  <c r="BF340" i="3"/>
  <c r="BG340" i="3"/>
  <c r="AT341" i="3"/>
  <c r="AU341" i="3"/>
  <c r="AV341" i="3" s="1" a="1"/>
  <c r="AV341" i="3" s="1"/>
  <c r="AY341" i="3"/>
  <c r="AZ341" i="3"/>
  <c r="BA341" i="3"/>
  <c r="BB341" i="3"/>
  <c r="BC341" i="3"/>
  <c r="BD341" i="3"/>
  <c r="BE341" i="3"/>
  <c r="BF341" i="3"/>
  <c r="BG341" i="3"/>
  <c r="AT342" i="3"/>
  <c r="AU342" i="3"/>
  <c r="AV342" i="3" s="1" a="1"/>
  <c r="AV342" i="3" s="1"/>
  <c r="AY342" i="3"/>
  <c r="AZ342" i="3"/>
  <c r="BA342" i="3"/>
  <c r="BB342" i="3"/>
  <c r="BC342" i="3"/>
  <c r="BD342" i="3"/>
  <c r="BE342" i="3"/>
  <c r="BF342" i="3"/>
  <c r="BG342" i="3"/>
  <c r="AT343" i="3"/>
  <c r="AU343" i="3"/>
  <c r="AV343" i="3" s="1" a="1"/>
  <c r="AV343" i="3" s="1"/>
  <c r="AY343" i="3"/>
  <c r="AZ343" i="3"/>
  <c r="BA343" i="3"/>
  <c r="BB343" i="3"/>
  <c r="BC343" i="3"/>
  <c r="BD343" i="3"/>
  <c r="BE343" i="3"/>
  <c r="BF343" i="3"/>
  <c r="BG343" i="3"/>
  <c r="AT344" i="3"/>
  <c r="AU344" i="3"/>
  <c r="AV344" i="3" s="1" a="1"/>
  <c r="AV344" i="3" s="1"/>
  <c r="AY344" i="3"/>
  <c r="AZ344" i="3"/>
  <c r="BA344" i="3"/>
  <c r="BB344" i="3"/>
  <c r="BC344" i="3"/>
  <c r="BD344" i="3"/>
  <c r="BE344" i="3"/>
  <c r="BF344" i="3"/>
  <c r="BG344" i="3"/>
  <c r="AT345" i="3"/>
  <c r="AU345" i="3"/>
  <c r="AV345" i="3" s="1" a="1"/>
  <c r="AV345" i="3" s="1"/>
  <c r="AY345" i="3"/>
  <c r="AZ345" i="3"/>
  <c r="BA345" i="3"/>
  <c r="BB345" i="3"/>
  <c r="BC345" i="3"/>
  <c r="BD345" i="3"/>
  <c r="BE345" i="3"/>
  <c r="BF345" i="3"/>
  <c r="BG345" i="3"/>
  <c r="AT346" i="3"/>
  <c r="AU346" i="3"/>
  <c r="AV346" i="3" s="1" a="1"/>
  <c r="AV346" i="3" s="1"/>
  <c r="AY346" i="3"/>
  <c r="AZ346" i="3"/>
  <c r="BA346" i="3"/>
  <c r="BB346" i="3"/>
  <c r="BC346" i="3"/>
  <c r="BD346" i="3"/>
  <c r="BE346" i="3"/>
  <c r="BF346" i="3"/>
  <c r="BG346" i="3"/>
  <c r="AT347" i="3"/>
  <c r="AU347" i="3"/>
  <c r="AV347" i="3" s="1" a="1"/>
  <c r="AV347" i="3" s="1"/>
  <c r="AY347" i="3"/>
  <c r="AZ347" i="3"/>
  <c r="BA347" i="3"/>
  <c r="BB347" i="3"/>
  <c r="BC347" i="3"/>
  <c r="BD347" i="3"/>
  <c r="BE347" i="3"/>
  <c r="BF347" i="3"/>
  <c r="BG347" i="3"/>
  <c r="AT348" i="3"/>
  <c r="AU348" i="3"/>
  <c r="AV348" i="3" s="1" a="1"/>
  <c r="AV348" i="3" s="1"/>
  <c r="AY348" i="3"/>
  <c r="AZ348" i="3"/>
  <c r="BA348" i="3"/>
  <c r="BB348" i="3"/>
  <c r="BC348" i="3"/>
  <c r="BD348" i="3"/>
  <c r="BE348" i="3"/>
  <c r="BF348" i="3"/>
  <c r="BG348" i="3"/>
  <c r="AT349" i="3"/>
  <c r="AU349" i="3"/>
  <c r="AV349" i="3" s="1" a="1"/>
  <c r="AV349" i="3" s="1"/>
  <c r="AY349" i="3"/>
  <c r="AZ349" i="3"/>
  <c r="BA349" i="3"/>
  <c r="BB349" i="3"/>
  <c r="BC349" i="3"/>
  <c r="BD349" i="3"/>
  <c r="BE349" i="3"/>
  <c r="BF349" i="3"/>
  <c r="BG349" i="3"/>
  <c r="AT350" i="3"/>
  <c r="AU350" i="3"/>
  <c r="AV350" i="3" s="1" a="1"/>
  <c r="AV350" i="3" s="1"/>
  <c r="AY350" i="3"/>
  <c r="AZ350" i="3"/>
  <c r="BA350" i="3"/>
  <c r="BB350" i="3"/>
  <c r="BC350" i="3"/>
  <c r="BD350" i="3"/>
  <c r="BE350" i="3"/>
  <c r="BF350" i="3"/>
  <c r="BG350" i="3"/>
  <c r="AT351" i="3"/>
  <c r="AU351" i="3"/>
  <c r="AV351" i="3" s="1" a="1"/>
  <c r="AV351" i="3" s="1"/>
  <c r="AY351" i="3"/>
  <c r="AZ351" i="3"/>
  <c r="BA351" i="3"/>
  <c r="BB351" i="3"/>
  <c r="BC351" i="3"/>
  <c r="BD351" i="3"/>
  <c r="BE351" i="3"/>
  <c r="BF351" i="3"/>
  <c r="BG351" i="3"/>
  <c r="AT352" i="3"/>
  <c r="AU352" i="3"/>
  <c r="AV352" i="3" s="1" a="1"/>
  <c r="AV352" i="3" s="1"/>
  <c r="AY352" i="3"/>
  <c r="AZ352" i="3"/>
  <c r="BA352" i="3"/>
  <c r="BB352" i="3"/>
  <c r="BC352" i="3"/>
  <c r="BD352" i="3"/>
  <c r="BE352" i="3"/>
  <c r="BF352" i="3"/>
  <c r="BG352" i="3"/>
  <c r="AT353" i="3"/>
  <c r="AU353" i="3"/>
  <c r="AV353" i="3" s="1" a="1"/>
  <c r="AV353" i="3" s="1"/>
  <c r="AY353" i="3"/>
  <c r="AZ353" i="3"/>
  <c r="BA353" i="3"/>
  <c r="BB353" i="3"/>
  <c r="BC353" i="3"/>
  <c r="BD353" i="3"/>
  <c r="BE353" i="3"/>
  <c r="BF353" i="3"/>
  <c r="BG353" i="3"/>
  <c r="AT354" i="3"/>
  <c r="AU354" i="3"/>
  <c r="AV354" i="3" s="1" a="1"/>
  <c r="AV354" i="3" s="1"/>
  <c r="AY354" i="3"/>
  <c r="AZ354" i="3"/>
  <c r="BA354" i="3"/>
  <c r="BB354" i="3"/>
  <c r="BC354" i="3"/>
  <c r="BD354" i="3"/>
  <c r="BE354" i="3"/>
  <c r="BF354" i="3"/>
  <c r="BG354" i="3"/>
  <c r="AT355" i="3"/>
  <c r="AU355" i="3"/>
  <c r="AV355" i="3" s="1" a="1"/>
  <c r="AV355" i="3" s="1"/>
  <c r="AY355" i="3"/>
  <c r="AZ355" i="3"/>
  <c r="BA355" i="3"/>
  <c r="BB355" i="3"/>
  <c r="BC355" i="3"/>
  <c r="BD355" i="3"/>
  <c r="BE355" i="3"/>
  <c r="BF355" i="3"/>
  <c r="BG355" i="3"/>
  <c r="AT356" i="3"/>
  <c r="AU356" i="3"/>
  <c r="AV356" i="3" s="1" a="1"/>
  <c r="AV356" i="3" s="1"/>
  <c r="AY356" i="3"/>
  <c r="AZ356" i="3"/>
  <c r="BA356" i="3"/>
  <c r="BB356" i="3"/>
  <c r="BC356" i="3"/>
  <c r="BD356" i="3"/>
  <c r="BE356" i="3"/>
  <c r="BF356" i="3"/>
  <c r="BG356" i="3"/>
  <c r="AT357" i="3"/>
  <c r="AU357" i="3"/>
  <c r="AV357" i="3" s="1" a="1"/>
  <c r="AV357" i="3" s="1"/>
  <c r="AY357" i="3"/>
  <c r="AZ357" i="3"/>
  <c r="BA357" i="3"/>
  <c r="BB357" i="3"/>
  <c r="BC357" i="3"/>
  <c r="BD357" i="3"/>
  <c r="BE357" i="3"/>
  <c r="BF357" i="3"/>
  <c r="BG357" i="3"/>
  <c r="AT358" i="3"/>
  <c r="AU358" i="3"/>
  <c r="AV358" i="3" s="1" a="1"/>
  <c r="AV358" i="3" s="1"/>
  <c r="AY358" i="3"/>
  <c r="AZ358" i="3"/>
  <c r="BA358" i="3"/>
  <c r="BB358" i="3"/>
  <c r="BC358" i="3"/>
  <c r="BD358" i="3"/>
  <c r="BE358" i="3"/>
  <c r="BF358" i="3"/>
  <c r="BG358" i="3"/>
  <c r="AT359" i="3"/>
  <c r="AU359" i="3"/>
  <c r="AV359" i="3" s="1" a="1"/>
  <c r="AV359" i="3" s="1"/>
  <c r="AY359" i="3"/>
  <c r="AZ359" i="3"/>
  <c r="BA359" i="3"/>
  <c r="BB359" i="3"/>
  <c r="BC359" i="3"/>
  <c r="BD359" i="3"/>
  <c r="BE359" i="3"/>
  <c r="BF359" i="3"/>
  <c r="BG359" i="3"/>
  <c r="AT360" i="3"/>
  <c r="AU360" i="3"/>
  <c r="AV360" i="3" s="1" a="1"/>
  <c r="AV360" i="3" s="1"/>
  <c r="AY360" i="3"/>
  <c r="AZ360" i="3"/>
  <c r="BA360" i="3"/>
  <c r="BB360" i="3"/>
  <c r="BC360" i="3"/>
  <c r="BD360" i="3"/>
  <c r="BE360" i="3"/>
  <c r="BF360" i="3"/>
  <c r="BG360" i="3"/>
  <c r="AT361" i="3"/>
  <c r="AU361" i="3"/>
  <c r="AV361" i="3" s="1" a="1"/>
  <c r="AV361" i="3" s="1"/>
  <c r="AY361" i="3"/>
  <c r="AZ361" i="3"/>
  <c r="BA361" i="3"/>
  <c r="BB361" i="3"/>
  <c r="BC361" i="3"/>
  <c r="BD361" i="3"/>
  <c r="BE361" i="3"/>
  <c r="BF361" i="3"/>
  <c r="BG361" i="3"/>
  <c r="AT362" i="3"/>
  <c r="AU362" i="3"/>
  <c r="AV362" i="3" s="1" a="1"/>
  <c r="AV362" i="3" s="1"/>
  <c r="AY362" i="3"/>
  <c r="AZ362" i="3"/>
  <c r="BA362" i="3"/>
  <c r="BB362" i="3"/>
  <c r="BC362" i="3"/>
  <c r="BD362" i="3"/>
  <c r="BE362" i="3"/>
  <c r="BF362" i="3"/>
  <c r="BG362" i="3"/>
  <c r="AT363" i="3"/>
  <c r="AU363" i="3"/>
  <c r="AV363" i="3" s="1" a="1"/>
  <c r="AV363" i="3" s="1"/>
  <c r="AY363" i="3"/>
  <c r="AZ363" i="3"/>
  <c r="BA363" i="3"/>
  <c r="BB363" i="3"/>
  <c r="BC363" i="3"/>
  <c r="BD363" i="3"/>
  <c r="BE363" i="3"/>
  <c r="BF363" i="3"/>
  <c r="BG363" i="3"/>
  <c r="AT364" i="3"/>
  <c r="AU364" i="3"/>
  <c r="AV364" i="3" s="1" a="1"/>
  <c r="AV364" i="3" s="1"/>
  <c r="AY364" i="3"/>
  <c r="AZ364" i="3"/>
  <c r="BA364" i="3"/>
  <c r="BB364" i="3"/>
  <c r="BC364" i="3"/>
  <c r="BD364" i="3"/>
  <c r="BE364" i="3"/>
  <c r="BF364" i="3"/>
  <c r="BG364" i="3"/>
  <c r="AT365" i="3"/>
  <c r="AU365" i="3"/>
  <c r="AV365" i="3" s="1" a="1"/>
  <c r="AV365" i="3" s="1"/>
  <c r="AY365" i="3"/>
  <c r="AZ365" i="3"/>
  <c r="BA365" i="3"/>
  <c r="BB365" i="3"/>
  <c r="BC365" i="3"/>
  <c r="BD365" i="3"/>
  <c r="BE365" i="3"/>
  <c r="BF365" i="3"/>
  <c r="BG365" i="3"/>
  <c r="AT366" i="3"/>
  <c r="AU366" i="3"/>
  <c r="AV366" i="3" s="1" a="1"/>
  <c r="AV366" i="3" s="1"/>
  <c r="AY366" i="3"/>
  <c r="AZ366" i="3"/>
  <c r="BA366" i="3"/>
  <c r="BB366" i="3"/>
  <c r="BC366" i="3"/>
  <c r="BD366" i="3"/>
  <c r="BE366" i="3"/>
  <c r="BF366" i="3"/>
  <c r="BG366" i="3"/>
  <c r="AT367" i="3"/>
  <c r="AU367" i="3"/>
  <c r="AV367" i="3" s="1" a="1"/>
  <c r="AV367" i="3" s="1"/>
  <c r="AY367" i="3"/>
  <c r="AZ367" i="3"/>
  <c r="BA367" i="3"/>
  <c r="BB367" i="3"/>
  <c r="BC367" i="3"/>
  <c r="BD367" i="3"/>
  <c r="BE367" i="3"/>
  <c r="BF367" i="3"/>
  <c r="BG367" i="3"/>
  <c r="AT368" i="3"/>
  <c r="AU368" i="3"/>
  <c r="AV368" i="3" s="1" a="1"/>
  <c r="AV368" i="3" s="1"/>
  <c r="AY368" i="3"/>
  <c r="AZ368" i="3"/>
  <c r="BA368" i="3"/>
  <c r="BB368" i="3"/>
  <c r="BC368" i="3"/>
  <c r="BD368" i="3"/>
  <c r="BE368" i="3"/>
  <c r="BF368" i="3"/>
  <c r="BG368" i="3"/>
  <c r="AT369" i="3"/>
  <c r="AU369" i="3"/>
  <c r="AV369" i="3" s="1" a="1"/>
  <c r="AV369" i="3" s="1"/>
  <c r="AY369" i="3"/>
  <c r="AZ369" i="3"/>
  <c r="BA369" i="3"/>
  <c r="BB369" i="3"/>
  <c r="BC369" i="3"/>
  <c r="BD369" i="3"/>
  <c r="BE369" i="3"/>
  <c r="BF369" i="3"/>
  <c r="BG369" i="3"/>
  <c r="AT370" i="3"/>
  <c r="AU370" i="3"/>
  <c r="AV370" i="3" s="1" a="1"/>
  <c r="AV370" i="3" s="1"/>
  <c r="AY370" i="3"/>
  <c r="AZ370" i="3"/>
  <c r="BA370" i="3"/>
  <c r="BB370" i="3"/>
  <c r="BC370" i="3"/>
  <c r="BD370" i="3"/>
  <c r="BE370" i="3"/>
  <c r="BF370" i="3"/>
  <c r="BG370" i="3"/>
  <c r="AT371" i="3"/>
  <c r="AU371" i="3"/>
  <c r="AV371" i="3" s="1" a="1"/>
  <c r="AV371" i="3" s="1"/>
  <c r="AY371" i="3"/>
  <c r="AZ371" i="3"/>
  <c r="BA371" i="3"/>
  <c r="BB371" i="3"/>
  <c r="BC371" i="3"/>
  <c r="BD371" i="3"/>
  <c r="BE371" i="3"/>
  <c r="BF371" i="3"/>
  <c r="BG371" i="3"/>
  <c r="AT372" i="3"/>
  <c r="AU372" i="3"/>
  <c r="AV372" i="3" s="1" a="1"/>
  <c r="AV372" i="3" s="1"/>
  <c r="AY372" i="3"/>
  <c r="AZ372" i="3"/>
  <c r="BA372" i="3"/>
  <c r="BB372" i="3"/>
  <c r="BC372" i="3"/>
  <c r="BD372" i="3"/>
  <c r="BE372" i="3"/>
  <c r="BF372" i="3"/>
  <c r="BG372" i="3"/>
  <c r="AT373" i="3"/>
  <c r="AU373" i="3"/>
  <c r="AV373" i="3" s="1" a="1"/>
  <c r="AV373" i="3" s="1"/>
  <c r="AY373" i="3"/>
  <c r="AZ373" i="3"/>
  <c r="BA373" i="3"/>
  <c r="BB373" i="3"/>
  <c r="BC373" i="3"/>
  <c r="BD373" i="3"/>
  <c r="BE373" i="3"/>
  <c r="BF373" i="3"/>
  <c r="BG373" i="3"/>
  <c r="AT374" i="3"/>
  <c r="AU374" i="3"/>
  <c r="AV374" i="3" s="1" a="1"/>
  <c r="AV374" i="3" s="1"/>
  <c r="AY374" i="3"/>
  <c r="AZ374" i="3"/>
  <c r="BA374" i="3"/>
  <c r="BB374" i="3"/>
  <c r="BC374" i="3"/>
  <c r="BD374" i="3"/>
  <c r="BE374" i="3"/>
  <c r="BF374" i="3"/>
  <c r="BG374" i="3"/>
  <c r="AT375" i="3"/>
  <c r="AU375" i="3"/>
  <c r="AV375" i="3" s="1" a="1"/>
  <c r="AV375" i="3" s="1"/>
  <c r="AY375" i="3"/>
  <c r="AZ375" i="3"/>
  <c r="BA375" i="3"/>
  <c r="BB375" i="3"/>
  <c r="BC375" i="3"/>
  <c r="BD375" i="3"/>
  <c r="BE375" i="3"/>
  <c r="BF375" i="3"/>
  <c r="BG375" i="3"/>
  <c r="AT376" i="3"/>
  <c r="AU376" i="3"/>
  <c r="AV376" i="3" s="1" a="1"/>
  <c r="AV376" i="3" s="1"/>
  <c r="AY376" i="3"/>
  <c r="AZ376" i="3"/>
  <c r="BA376" i="3"/>
  <c r="BB376" i="3"/>
  <c r="BC376" i="3"/>
  <c r="BD376" i="3"/>
  <c r="BE376" i="3"/>
  <c r="BF376" i="3"/>
  <c r="BG376" i="3"/>
  <c r="AT377" i="3"/>
  <c r="AU377" i="3"/>
  <c r="AV377" i="3" s="1" a="1"/>
  <c r="AV377" i="3" s="1"/>
  <c r="AY377" i="3"/>
  <c r="AZ377" i="3"/>
  <c r="BA377" i="3"/>
  <c r="BB377" i="3"/>
  <c r="BC377" i="3"/>
  <c r="BD377" i="3"/>
  <c r="BE377" i="3"/>
  <c r="BF377" i="3"/>
  <c r="BG377" i="3"/>
  <c r="AT378" i="3"/>
  <c r="AU378" i="3"/>
  <c r="AV378" i="3" s="1" a="1"/>
  <c r="AV378" i="3" s="1"/>
  <c r="AY378" i="3"/>
  <c r="AZ378" i="3"/>
  <c r="BA378" i="3"/>
  <c r="BB378" i="3"/>
  <c r="BC378" i="3"/>
  <c r="BD378" i="3"/>
  <c r="BE378" i="3"/>
  <c r="BF378" i="3"/>
  <c r="BG378" i="3"/>
  <c r="AT379" i="3"/>
  <c r="AU379" i="3"/>
  <c r="AV379" i="3" s="1" a="1"/>
  <c r="AV379" i="3" s="1"/>
  <c r="AY379" i="3"/>
  <c r="AZ379" i="3"/>
  <c r="BA379" i="3"/>
  <c r="BB379" i="3"/>
  <c r="BC379" i="3"/>
  <c r="BD379" i="3"/>
  <c r="BE379" i="3"/>
  <c r="BF379" i="3"/>
  <c r="BG379" i="3"/>
  <c r="AT380" i="3"/>
  <c r="AU380" i="3"/>
  <c r="AV380" i="3" s="1" a="1"/>
  <c r="AV380" i="3" s="1"/>
  <c r="AY380" i="3"/>
  <c r="AZ380" i="3"/>
  <c r="BA380" i="3"/>
  <c r="BB380" i="3"/>
  <c r="BC380" i="3"/>
  <c r="BD380" i="3"/>
  <c r="BE380" i="3"/>
  <c r="BF380" i="3"/>
  <c r="BG380" i="3"/>
  <c r="AT381" i="3"/>
  <c r="AU381" i="3"/>
  <c r="AV381" i="3" s="1" a="1"/>
  <c r="AV381" i="3" s="1"/>
  <c r="AY381" i="3"/>
  <c r="AZ381" i="3"/>
  <c r="BA381" i="3"/>
  <c r="BB381" i="3"/>
  <c r="BC381" i="3"/>
  <c r="BD381" i="3"/>
  <c r="BE381" i="3"/>
  <c r="BF381" i="3"/>
  <c r="BG381" i="3"/>
  <c r="AT382" i="3"/>
  <c r="AU382" i="3"/>
  <c r="AV382" i="3" s="1" a="1"/>
  <c r="AV382" i="3" s="1"/>
  <c r="AY382" i="3"/>
  <c r="AZ382" i="3"/>
  <c r="BA382" i="3"/>
  <c r="BB382" i="3"/>
  <c r="BC382" i="3"/>
  <c r="BD382" i="3"/>
  <c r="BE382" i="3"/>
  <c r="BF382" i="3"/>
  <c r="BG382" i="3"/>
  <c r="AT383" i="3"/>
  <c r="AU383" i="3"/>
  <c r="AV383" i="3" s="1" a="1"/>
  <c r="AV383" i="3" s="1"/>
  <c r="AY383" i="3"/>
  <c r="AZ383" i="3"/>
  <c r="BA383" i="3"/>
  <c r="BB383" i="3"/>
  <c r="BC383" i="3"/>
  <c r="BD383" i="3"/>
  <c r="BE383" i="3"/>
  <c r="BF383" i="3"/>
  <c r="BG383" i="3"/>
  <c r="AT384" i="3"/>
  <c r="AU384" i="3"/>
  <c r="AV384" i="3" s="1" a="1"/>
  <c r="AV384" i="3" s="1"/>
  <c r="AY384" i="3"/>
  <c r="AZ384" i="3"/>
  <c r="BA384" i="3"/>
  <c r="BB384" i="3"/>
  <c r="BC384" i="3"/>
  <c r="BD384" i="3"/>
  <c r="BE384" i="3"/>
  <c r="BF384" i="3"/>
  <c r="BG384" i="3"/>
  <c r="AT385" i="3"/>
  <c r="AU385" i="3"/>
  <c r="AV385" i="3" s="1" a="1"/>
  <c r="AV385" i="3" s="1"/>
  <c r="AY385" i="3"/>
  <c r="AZ385" i="3"/>
  <c r="BA385" i="3"/>
  <c r="BB385" i="3"/>
  <c r="BC385" i="3"/>
  <c r="BD385" i="3"/>
  <c r="BE385" i="3"/>
  <c r="BF385" i="3"/>
  <c r="BG385" i="3"/>
  <c r="AT386" i="3"/>
  <c r="AU386" i="3"/>
  <c r="AV386" i="3" s="1" a="1"/>
  <c r="AV386" i="3" s="1"/>
  <c r="AY386" i="3"/>
  <c r="AZ386" i="3"/>
  <c r="BA386" i="3"/>
  <c r="BB386" i="3"/>
  <c r="BC386" i="3"/>
  <c r="BD386" i="3"/>
  <c r="BE386" i="3"/>
  <c r="BF386" i="3"/>
  <c r="BG386" i="3"/>
  <c r="AT387" i="3"/>
  <c r="AU387" i="3"/>
  <c r="AV387" i="3" s="1" a="1"/>
  <c r="AV387" i="3" s="1"/>
  <c r="AY387" i="3"/>
  <c r="AZ387" i="3"/>
  <c r="BA387" i="3"/>
  <c r="BB387" i="3"/>
  <c r="BC387" i="3"/>
  <c r="BD387" i="3"/>
  <c r="BE387" i="3"/>
  <c r="BF387" i="3"/>
  <c r="BG387" i="3"/>
  <c r="AT388" i="3"/>
  <c r="AU388" i="3"/>
  <c r="AV388" i="3" s="1" a="1"/>
  <c r="AV388" i="3" s="1"/>
  <c r="AY388" i="3"/>
  <c r="AZ388" i="3"/>
  <c r="BA388" i="3"/>
  <c r="BB388" i="3"/>
  <c r="BC388" i="3"/>
  <c r="BD388" i="3"/>
  <c r="BE388" i="3"/>
  <c r="BF388" i="3"/>
  <c r="BG388" i="3"/>
  <c r="AT389" i="3"/>
  <c r="AU389" i="3"/>
  <c r="AV389" i="3" s="1" a="1"/>
  <c r="AV389" i="3" s="1"/>
  <c r="AY389" i="3"/>
  <c r="AZ389" i="3"/>
  <c r="BA389" i="3"/>
  <c r="BB389" i="3"/>
  <c r="BC389" i="3"/>
  <c r="BD389" i="3"/>
  <c r="BE389" i="3"/>
  <c r="BF389" i="3"/>
  <c r="BG389" i="3"/>
  <c r="AT390" i="3"/>
  <c r="AU390" i="3"/>
  <c r="AV390" i="3" s="1" a="1"/>
  <c r="AV390" i="3" s="1"/>
  <c r="AY390" i="3"/>
  <c r="AZ390" i="3"/>
  <c r="BA390" i="3"/>
  <c r="BB390" i="3"/>
  <c r="BC390" i="3"/>
  <c r="BD390" i="3"/>
  <c r="BE390" i="3"/>
  <c r="BF390" i="3"/>
  <c r="BG390" i="3"/>
  <c r="AT391" i="3"/>
  <c r="AU391" i="3"/>
  <c r="AV391" i="3" s="1" a="1"/>
  <c r="AV391" i="3" s="1"/>
  <c r="AY391" i="3"/>
  <c r="AZ391" i="3"/>
  <c r="BA391" i="3"/>
  <c r="BB391" i="3"/>
  <c r="BC391" i="3"/>
  <c r="BD391" i="3"/>
  <c r="BE391" i="3"/>
  <c r="BF391" i="3"/>
  <c r="BG391" i="3"/>
  <c r="AT392" i="3"/>
  <c r="AU392" i="3"/>
  <c r="AV392" i="3" s="1" a="1"/>
  <c r="AV392" i="3" s="1"/>
  <c r="AY392" i="3"/>
  <c r="AZ392" i="3"/>
  <c r="BA392" i="3"/>
  <c r="BB392" i="3"/>
  <c r="BC392" i="3"/>
  <c r="BD392" i="3"/>
  <c r="BE392" i="3"/>
  <c r="BF392" i="3"/>
  <c r="BG392" i="3"/>
  <c r="AT393" i="3"/>
  <c r="AU393" i="3"/>
  <c r="AV393" i="3" s="1" a="1"/>
  <c r="AV393" i="3" s="1"/>
  <c r="AY393" i="3"/>
  <c r="AZ393" i="3"/>
  <c r="BA393" i="3"/>
  <c r="BB393" i="3"/>
  <c r="BC393" i="3"/>
  <c r="BD393" i="3"/>
  <c r="BE393" i="3"/>
  <c r="BF393" i="3"/>
  <c r="BG393" i="3"/>
  <c r="AT394" i="3"/>
  <c r="AU394" i="3"/>
  <c r="AV394" i="3" s="1" a="1"/>
  <c r="AV394" i="3" s="1"/>
  <c r="AY394" i="3"/>
  <c r="AZ394" i="3"/>
  <c r="BA394" i="3"/>
  <c r="BB394" i="3"/>
  <c r="BC394" i="3"/>
  <c r="BD394" i="3"/>
  <c r="BE394" i="3"/>
  <c r="BF394" i="3"/>
  <c r="BG394" i="3"/>
  <c r="AT395" i="3"/>
  <c r="AU395" i="3"/>
  <c r="AV395" i="3" s="1" a="1"/>
  <c r="AV395" i="3" s="1"/>
  <c r="AY395" i="3"/>
  <c r="AZ395" i="3"/>
  <c r="BA395" i="3"/>
  <c r="BB395" i="3"/>
  <c r="BC395" i="3"/>
  <c r="BD395" i="3"/>
  <c r="BE395" i="3"/>
  <c r="BF395" i="3"/>
  <c r="BG395" i="3"/>
  <c r="AT396" i="3"/>
  <c r="AU396" i="3"/>
  <c r="AV396" i="3" s="1" a="1"/>
  <c r="AV396" i="3" s="1"/>
  <c r="AY396" i="3"/>
  <c r="AZ396" i="3"/>
  <c r="BA396" i="3"/>
  <c r="BB396" i="3"/>
  <c r="BC396" i="3"/>
  <c r="BD396" i="3"/>
  <c r="BE396" i="3"/>
  <c r="BF396" i="3"/>
  <c r="BG396" i="3"/>
  <c r="AT397" i="3"/>
  <c r="AU397" i="3"/>
  <c r="AV397" i="3" s="1" a="1"/>
  <c r="AV397" i="3" s="1"/>
  <c r="AY397" i="3"/>
  <c r="AZ397" i="3"/>
  <c r="BA397" i="3"/>
  <c r="BB397" i="3"/>
  <c r="BC397" i="3"/>
  <c r="BD397" i="3"/>
  <c r="BE397" i="3"/>
  <c r="BF397" i="3"/>
  <c r="BG397" i="3"/>
  <c r="AT398" i="3"/>
  <c r="AU398" i="3"/>
  <c r="AV398" i="3" s="1" a="1"/>
  <c r="AV398" i="3" s="1"/>
  <c r="AY398" i="3"/>
  <c r="AZ398" i="3"/>
  <c r="BA398" i="3"/>
  <c r="BB398" i="3"/>
  <c r="BC398" i="3"/>
  <c r="BD398" i="3"/>
  <c r="BE398" i="3"/>
  <c r="BF398" i="3"/>
  <c r="BG398" i="3"/>
  <c r="AT399" i="3"/>
  <c r="AU399" i="3"/>
  <c r="AV399" i="3" s="1" a="1"/>
  <c r="AV399" i="3" s="1"/>
  <c r="AY399" i="3"/>
  <c r="AZ399" i="3"/>
  <c r="BA399" i="3"/>
  <c r="BB399" i="3"/>
  <c r="BC399" i="3"/>
  <c r="BD399" i="3"/>
  <c r="BE399" i="3"/>
  <c r="BF399" i="3"/>
  <c r="BG399" i="3"/>
  <c r="AT400" i="3"/>
  <c r="AU400" i="3"/>
  <c r="AV400" i="3" s="1" a="1"/>
  <c r="AV400" i="3" s="1"/>
  <c r="AY400" i="3"/>
  <c r="AZ400" i="3"/>
  <c r="BA400" i="3"/>
  <c r="BB400" i="3"/>
  <c r="BC400" i="3"/>
  <c r="BD400" i="3"/>
  <c r="BE400" i="3"/>
  <c r="BF400" i="3"/>
  <c r="BG400" i="3"/>
  <c r="AT401" i="3"/>
  <c r="AU401" i="3"/>
  <c r="AV401" i="3" s="1" a="1"/>
  <c r="AV401" i="3" s="1"/>
  <c r="AY401" i="3"/>
  <c r="AZ401" i="3"/>
  <c r="BA401" i="3"/>
  <c r="BB401" i="3"/>
  <c r="BC401" i="3"/>
  <c r="BD401" i="3"/>
  <c r="BE401" i="3"/>
  <c r="BF401" i="3"/>
  <c r="BG401" i="3"/>
  <c r="AT402" i="3"/>
  <c r="AU402" i="3"/>
  <c r="AV402" i="3" s="1" a="1"/>
  <c r="AV402" i="3" s="1"/>
  <c r="AY402" i="3"/>
  <c r="AZ402" i="3"/>
  <c r="BA402" i="3"/>
  <c r="BB402" i="3"/>
  <c r="BC402" i="3"/>
  <c r="BD402" i="3"/>
  <c r="BE402" i="3"/>
  <c r="BF402" i="3"/>
  <c r="BG402" i="3"/>
  <c r="AT403" i="3"/>
  <c r="AU403" i="3"/>
  <c r="AV403" i="3" s="1" a="1"/>
  <c r="AV403" i="3" s="1"/>
  <c r="AY403" i="3"/>
  <c r="AZ403" i="3"/>
  <c r="BA403" i="3"/>
  <c r="BB403" i="3"/>
  <c r="BC403" i="3"/>
  <c r="BD403" i="3"/>
  <c r="BE403" i="3"/>
  <c r="BF403" i="3"/>
  <c r="BG403" i="3"/>
  <c r="AT404" i="3"/>
  <c r="AU404" i="3"/>
  <c r="AV404" i="3" s="1" a="1"/>
  <c r="AV404" i="3" s="1"/>
  <c r="AY404" i="3"/>
  <c r="AZ404" i="3"/>
  <c r="BA404" i="3"/>
  <c r="BB404" i="3"/>
  <c r="BC404" i="3"/>
  <c r="BD404" i="3"/>
  <c r="BE404" i="3"/>
  <c r="BF404" i="3"/>
  <c r="BG404" i="3"/>
  <c r="AT405" i="3"/>
  <c r="AU405" i="3"/>
  <c r="AV405" i="3" s="1" a="1"/>
  <c r="AV405" i="3" s="1"/>
  <c r="AY405" i="3"/>
  <c r="AZ405" i="3"/>
  <c r="BA405" i="3"/>
  <c r="BB405" i="3"/>
  <c r="BC405" i="3"/>
  <c r="BD405" i="3"/>
  <c r="BE405" i="3"/>
  <c r="BF405" i="3"/>
  <c r="BG405" i="3"/>
  <c r="AT406" i="3"/>
  <c r="AU406" i="3"/>
  <c r="AV406" i="3" s="1" a="1"/>
  <c r="AV406" i="3" s="1"/>
  <c r="AY406" i="3"/>
  <c r="AZ406" i="3"/>
  <c r="BA406" i="3"/>
  <c r="BB406" i="3"/>
  <c r="BC406" i="3"/>
  <c r="BD406" i="3"/>
  <c r="BE406" i="3"/>
  <c r="BF406" i="3"/>
  <c r="BG406" i="3"/>
  <c r="AT407" i="3"/>
  <c r="AU407" i="3"/>
  <c r="AV407" i="3" s="1" a="1"/>
  <c r="AV407" i="3" s="1"/>
  <c r="AY407" i="3"/>
  <c r="AZ407" i="3"/>
  <c r="BA407" i="3"/>
  <c r="BB407" i="3"/>
  <c r="BC407" i="3"/>
  <c r="BD407" i="3"/>
  <c r="BE407" i="3"/>
  <c r="BF407" i="3"/>
  <c r="BG407" i="3"/>
  <c r="AT408" i="3"/>
  <c r="AU408" i="3"/>
  <c r="AV408" i="3" s="1" a="1"/>
  <c r="AV408" i="3" s="1"/>
  <c r="AY408" i="3"/>
  <c r="AZ408" i="3"/>
  <c r="BA408" i="3"/>
  <c r="BB408" i="3"/>
  <c r="BC408" i="3"/>
  <c r="BD408" i="3"/>
  <c r="BE408" i="3"/>
  <c r="BF408" i="3"/>
  <c r="BG408" i="3"/>
  <c r="AT409" i="3"/>
  <c r="AU409" i="3"/>
  <c r="AV409" i="3" s="1" a="1"/>
  <c r="AV409" i="3" s="1"/>
  <c r="AY409" i="3"/>
  <c r="AZ409" i="3"/>
  <c r="BA409" i="3"/>
  <c r="BB409" i="3"/>
  <c r="BC409" i="3"/>
  <c r="BD409" i="3"/>
  <c r="BE409" i="3"/>
  <c r="BF409" i="3"/>
  <c r="BG409" i="3"/>
  <c r="AT410" i="3"/>
  <c r="AU410" i="3"/>
  <c r="AV410" i="3" s="1" a="1"/>
  <c r="AV410" i="3" s="1"/>
  <c r="AY410" i="3"/>
  <c r="AZ410" i="3"/>
  <c r="BA410" i="3"/>
  <c r="BB410" i="3"/>
  <c r="BC410" i="3"/>
  <c r="BD410" i="3"/>
  <c r="BE410" i="3"/>
  <c r="BF410" i="3"/>
  <c r="BG410" i="3"/>
  <c r="AT411" i="3"/>
  <c r="AU411" i="3"/>
  <c r="AV411" i="3" s="1" a="1"/>
  <c r="AV411" i="3" s="1"/>
  <c r="AY411" i="3"/>
  <c r="AZ411" i="3"/>
  <c r="BA411" i="3"/>
  <c r="BB411" i="3"/>
  <c r="BC411" i="3"/>
  <c r="BD411" i="3"/>
  <c r="BE411" i="3"/>
  <c r="BF411" i="3"/>
  <c r="BG411" i="3"/>
  <c r="AT412" i="3"/>
  <c r="AU412" i="3"/>
  <c r="AV412" i="3" s="1" a="1"/>
  <c r="AV412" i="3" s="1"/>
  <c r="AY412" i="3"/>
  <c r="AZ412" i="3"/>
  <c r="BA412" i="3"/>
  <c r="BB412" i="3"/>
  <c r="BC412" i="3"/>
  <c r="BD412" i="3"/>
  <c r="BE412" i="3"/>
  <c r="BF412" i="3"/>
  <c r="BG412" i="3"/>
  <c r="AT413" i="3"/>
  <c r="AU413" i="3"/>
  <c r="AV413" i="3" s="1" a="1"/>
  <c r="AV413" i="3" s="1"/>
  <c r="AY413" i="3"/>
  <c r="AZ413" i="3"/>
  <c r="BA413" i="3"/>
  <c r="BB413" i="3"/>
  <c r="BC413" i="3"/>
  <c r="BD413" i="3"/>
  <c r="BE413" i="3"/>
  <c r="BF413" i="3"/>
  <c r="BG413" i="3"/>
  <c r="AT414" i="3"/>
  <c r="AU414" i="3"/>
  <c r="AV414" i="3" s="1" a="1"/>
  <c r="AV414" i="3" s="1"/>
  <c r="AY414" i="3"/>
  <c r="AZ414" i="3"/>
  <c r="BA414" i="3"/>
  <c r="BB414" i="3"/>
  <c r="BC414" i="3"/>
  <c r="BD414" i="3"/>
  <c r="BE414" i="3"/>
  <c r="BF414" i="3"/>
  <c r="BG414" i="3"/>
  <c r="AT415" i="3"/>
  <c r="AU415" i="3"/>
  <c r="AV415" i="3" s="1" a="1"/>
  <c r="AV415" i="3" s="1"/>
  <c r="AY415" i="3"/>
  <c r="AZ415" i="3"/>
  <c r="BA415" i="3"/>
  <c r="BB415" i="3"/>
  <c r="BC415" i="3"/>
  <c r="BD415" i="3"/>
  <c r="BE415" i="3"/>
  <c r="BF415" i="3"/>
  <c r="BG415" i="3"/>
  <c r="AT416" i="3"/>
  <c r="AU416" i="3"/>
  <c r="AV416" i="3" s="1" a="1"/>
  <c r="AV416" i="3" s="1"/>
  <c r="AY416" i="3"/>
  <c r="AZ416" i="3"/>
  <c r="BA416" i="3"/>
  <c r="BB416" i="3"/>
  <c r="BC416" i="3"/>
  <c r="BD416" i="3"/>
  <c r="BE416" i="3"/>
  <c r="BF416" i="3"/>
  <c r="BG416" i="3"/>
  <c r="AT417" i="3"/>
  <c r="AU417" i="3"/>
  <c r="AV417" i="3" s="1" a="1"/>
  <c r="AV417" i="3" s="1"/>
  <c r="AY417" i="3"/>
  <c r="AZ417" i="3"/>
  <c r="BA417" i="3"/>
  <c r="BB417" i="3"/>
  <c r="BC417" i="3"/>
  <c r="BD417" i="3"/>
  <c r="BE417" i="3"/>
  <c r="BF417" i="3"/>
  <c r="BG417" i="3"/>
  <c r="AT418" i="3"/>
  <c r="AU418" i="3"/>
  <c r="AV418" i="3" s="1" a="1"/>
  <c r="AV418" i="3" s="1"/>
  <c r="AY418" i="3"/>
  <c r="AZ418" i="3"/>
  <c r="BA418" i="3"/>
  <c r="BB418" i="3"/>
  <c r="BC418" i="3"/>
  <c r="BD418" i="3"/>
  <c r="BE418" i="3"/>
  <c r="BF418" i="3"/>
  <c r="BG418" i="3"/>
  <c r="AT419" i="3"/>
  <c r="AU419" i="3"/>
  <c r="AV419" i="3" s="1" a="1"/>
  <c r="AV419" i="3" s="1"/>
  <c r="AY419" i="3"/>
  <c r="AZ419" i="3"/>
  <c r="BA419" i="3"/>
  <c r="BB419" i="3"/>
  <c r="BC419" i="3"/>
  <c r="BD419" i="3"/>
  <c r="BE419" i="3"/>
  <c r="BF419" i="3"/>
  <c r="BG419" i="3"/>
  <c r="AT420" i="3"/>
  <c r="AU420" i="3"/>
  <c r="AV420" i="3" s="1" a="1"/>
  <c r="AV420" i="3" s="1"/>
  <c r="AY420" i="3"/>
  <c r="AZ420" i="3"/>
  <c r="BA420" i="3"/>
  <c r="BB420" i="3"/>
  <c r="BC420" i="3"/>
  <c r="BD420" i="3"/>
  <c r="BE420" i="3"/>
  <c r="BF420" i="3"/>
  <c r="BG420" i="3"/>
  <c r="AT421" i="3"/>
  <c r="AU421" i="3"/>
  <c r="AV421" i="3" s="1" a="1"/>
  <c r="AV421" i="3" s="1"/>
  <c r="AY421" i="3"/>
  <c r="AZ421" i="3"/>
  <c r="BA421" i="3"/>
  <c r="BB421" i="3"/>
  <c r="BC421" i="3"/>
  <c r="BD421" i="3"/>
  <c r="BE421" i="3"/>
  <c r="BF421" i="3"/>
  <c r="BG421" i="3"/>
  <c r="AT422" i="3"/>
  <c r="AU422" i="3"/>
  <c r="AV422" i="3" s="1" a="1"/>
  <c r="AV422" i="3" s="1"/>
  <c r="AY422" i="3"/>
  <c r="AZ422" i="3"/>
  <c r="BA422" i="3"/>
  <c r="BB422" i="3"/>
  <c r="BC422" i="3"/>
  <c r="BD422" i="3"/>
  <c r="BE422" i="3"/>
  <c r="BF422" i="3"/>
  <c r="BG422" i="3"/>
  <c r="AT423" i="3"/>
  <c r="AU423" i="3"/>
  <c r="AV423" i="3" s="1" a="1"/>
  <c r="AV423" i="3" s="1"/>
  <c r="AY423" i="3"/>
  <c r="AZ423" i="3"/>
  <c r="BA423" i="3"/>
  <c r="BB423" i="3"/>
  <c r="BC423" i="3"/>
  <c r="BD423" i="3"/>
  <c r="BE423" i="3"/>
  <c r="BF423" i="3"/>
  <c r="BG423" i="3"/>
  <c r="AT424" i="3"/>
  <c r="AU424" i="3"/>
  <c r="AV424" i="3" s="1" a="1"/>
  <c r="AV424" i="3" s="1"/>
  <c r="AY424" i="3"/>
  <c r="AZ424" i="3"/>
  <c r="BA424" i="3"/>
  <c r="BB424" i="3"/>
  <c r="BC424" i="3"/>
  <c r="BD424" i="3"/>
  <c r="BE424" i="3"/>
  <c r="BF424" i="3"/>
  <c r="BG424" i="3"/>
  <c r="AT425" i="3"/>
  <c r="AU425" i="3"/>
  <c r="AV425" i="3" s="1" a="1"/>
  <c r="AV425" i="3" s="1"/>
  <c r="AY425" i="3"/>
  <c r="AZ425" i="3"/>
  <c r="BA425" i="3"/>
  <c r="BB425" i="3"/>
  <c r="BC425" i="3"/>
  <c r="BD425" i="3"/>
  <c r="BE425" i="3"/>
  <c r="BF425" i="3"/>
  <c r="BG425" i="3"/>
  <c r="AT426" i="3"/>
  <c r="AU426" i="3"/>
  <c r="AV426" i="3" s="1" a="1"/>
  <c r="AV426" i="3" s="1"/>
  <c r="AY426" i="3"/>
  <c r="AZ426" i="3"/>
  <c r="BA426" i="3"/>
  <c r="BB426" i="3"/>
  <c r="BC426" i="3"/>
  <c r="BD426" i="3"/>
  <c r="BE426" i="3"/>
  <c r="BF426" i="3"/>
  <c r="BG426" i="3"/>
  <c r="AT427" i="3"/>
  <c r="AU427" i="3"/>
  <c r="AV427" i="3" s="1" a="1"/>
  <c r="AV427" i="3" s="1"/>
  <c r="AY427" i="3"/>
  <c r="AZ427" i="3"/>
  <c r="BA427" i="3"/>
  <c r="BB427" i="3"/>
  <c r="BC427" i="3"/>
  <c r="BD427" i="3"/>
  <c r="BE427" i="3"/>
  <c r="BF427" i="3"/>
  <c r="BG427" i="3"/>
  <c r="AT428" i="3"/>
  <c r="AU428" i="3"/>
  <c r="AV428" i="3" s="1" a="1"/>
  <c r="AV428" i="3" s="1"/>
  <c r="AY428" i="3"/>
  <c r="AZ428" i="3"/>
  <c r="BA428" i="3"/>
  <c r="BB428" i="3"/>
  <c r="BC428" i="3"/>
  <c r="BD428" i="3"/>
  <c r="BE428" i="3"/>
  <c r="BF428" i="3"/>
  <c r="BG428" i="3"/>
  <c r="AT429" i="3"/>
  <c r="AU429" i="3"/>
  <c r="AV429" i="3" s="1" a="1"/>
  <c r="AV429" i="3" s="1"/>
  <c r="AY429" i="3"/>
  <c r="AZ429" i="3"/>
  <c r="BA429" i="3"/>
  <c r="BB429" i="3"/>
  <c r="BC429" i="3"/>
  <c r="BD429" i="3"/>
  <c r="BE429" i="3"/>
  <c r="BF429" i="3"/>
  <c r="BG429" i="3"/>
  <c r="AT430" i="3"/>
  <c r="AU430" i="3"/>
  <c r="AV430" i="3" s="1" a="1"/>
  <c r="AV430" i="3" s="1"/>
  <c r="AY430" i="3"/>
  <c r="AZ430" i="3"/>
  <c r="BA430" i="3"/>
  <c r="BB430" i="3"/>
  <c r="BC430" i="3"/>
  <c r="BD430" i="3"/>
  <c r="BE430" i="3"/>
  <c r="BF430" i="3"/>
  <c r="BG430" i="3"/>
  <c r="AT431" i="3"/>
  <c r="AU431" i="3"/>
  <c r="AV431" i="3" s="1" a="1"/>
  <c r="AV431" i="3" s="1"/>
  <c r="AY431" i="3"/>
  <c r="AZ431" i="3"/>
  <c r="BA431" i="3"/>
  <c r="BB431" i="3"/>
  <c r="BC431" i="3"/>
  <c r="BD431" i="3"/>
  <c r="BE431" i="3"/>
  <c r="BF431" i="3"/>
  <c r="BG431" i="3"/>
  <c r="AT432" i="3"/>
  <c r="AU432" i="3"/>
  <c r="AV432" i="3" s="1" a="1"/>
  <c r="AV432" i="3" s="1"/>
  <c r="AY432" i="3"/>
  <c r="AZ432" i="3"/>
  <c r="BA432" i="3"/>
  <c r="BB432" i="3"/>
  <c r="BC432" i="3"/>
  <c r="BD432" i="3"/>
  <c r="BE432" i="3"/>
  <c r="BF432" i="3"/>
  <c r="BG432" i="3"/>
  <c r="AT433" i="3"/>
  <c r="AU433" i="3"/>
  <c r="AV433" i="3" s="1" a="1"/>
  <c r="AV433" i="3" s="1"/>
  <c r="AY433" i="3"/>
  <c r="AZ433" i="3"/>
  <c r="BA433" i="3"/>
  <c r="BB433" i="3"/>
  <c r="BC433" i="3"/>
  <c r="BD433" i="3"/>
  <c r="BE433" i="3"/>
  <c r="BF433" i="3"/>
  <c r="BG433" i="3"/>
  <c r="AT434" i="3"/>
  <c r="AU434" i="3"/>
  <c r="AV434" i="3" s="1" a="1"/>
  <c r="AV434" i="3" s="1"/>
  <c r="AY434" i="3"/>
  <c r="AZ434" i="3"/>
  <c r="BA434" i="3"/>
  <c r="BB434" i="3"/>
  <c r="BC434" i="3"/>
  <c r="BD434" i="3"/>
  <c r="BE434" i="3"/>
  <c r="BF434" i="3"/>
  <c r="BG434" i="3"/>
  <c r="AT435" i="3"/>
  <c r="AU435" i="3"/>
  <c r="AV435" i="3" s="1" a="1"/>
  <c r="AV435" i="3" s="1"/>
  <c r="AY435" i="3"/>
  <c r="AZ435" i="3"/>
  <c r="BA435" i="3"/>
  <c r="BB435" i="3"/>
  <c r="BC435" i="3"/>
  <c r="BD435" i="3"/>
  <c r="BE435" i="3"/>
  <c r="BF435" i="3"/>
  <c r="BG435" i="3"/>
  <c r="AT436" i="3"/>
  <c r="AU436" i="3"/>
  <c r="AV436" i="3" s="1" a="1"/>
  <c r="AV436" i="3" s="1"/>
  <c r="AY436" i="3"/>
  <c r="AZ436" i="3"/>
  <c r="BA436" i="3"/>
  <c r="BB436" i="3"/>
  <c r="BC436" i="3"/>
  <c r="BD436" i="3"/>
  <c r="BE436" i="3"/>
  <c r="BF436" i="3"/>
  <c r="BG436" i="3"/>
  <c r="AT437" i="3"/>
  <c r="AU437" i="3"/>
  <c r="AV437" i="3" s="1" a="1"/>
  <c r="AV437" i="3" s="1"/>
  <c r="AY437" i="3"/>
  <c r="AZ437" i="3"/>
  <c r="BA437" i="3"/>
  <c r="BB437" i="3"/>
  <c r="BC437" i="3"/>
  <c r="BD437" i="3"/>
  <c r="BE437" i="3"/>
  <c r="BF437" i="3"/>
  <c r="BG437" i="3"/>
  <c r="AT438" i="3"/>
  <c r="AU438" i="3"/>
  <c r="AV438" i="3" s="1" a="1"/>
  <c r="AV438" i="3" s="1"/>
  <c r="AY438" i="3"/>
  <c r="AZ438" i="3"/>
  <c r="BA438" i="3"/>
  <c r="BB438" i="3"/>
  <c r="BC438" i="3"/>
  <c r="BD438" i="3"/>
  <c r="BE438" i="3"/>
  <c r="BF438" i="3"/>
  <c r="BG438" i="3"/>
  <c r="AT439" i="3"/>
  <c r="AU439" i="3"/>
  <c r="AV439" i="3" s="1" a="1"/>
  <c r="AV439" i="3" s="1"/>
  <c r="AY439" i="3"/>
  <c r="AZ439" i="3"/>
  <c r="BA439" i="3"/>
  <c r="BB439" i="3"/>
  <c r="BC439" i="3"/>
  <c r="BD439" i="3"/>
  <c r="BE439" i="3"/>
  <c r="BF439" i="3"/>
  <c r="BG439" i="3"/>
  <c r="AT440" i="3"/>
  <c r="AU440" i="3"/>
  <c r="AV440" i="3" s="1" a="1"/>
  <c r="AV440" i="3" s="1"/>
  <c r="AY440" i="3"/>
  <c r="AZ440" i="3"/>
  <c r="BA440" i="3"/>
  <c r="BB440" i="3"/>
  <c r="BC440" i="3"/>
  <c r="BD440" i="3"/>
  <c r="BE440" i="3"/>
  <c r="BF440" i="3"/>
  <c r="BG440" i="3"/>
  <c r="AT441" i="3"/>
  <c r="AU441" i="3"/>
  <c r="AV441" i="3" s="1" a="1"/>
  <c r="AV441" i="3" s="1"/>
  <c r="AY441" i="3"/>
  <c r="AZ441" i="3"/>
  <c r="BA441" i="3"/>
  <c r="BB441" i="3"/>
  <c r="BC441" i="3"/>
  <c r="BD441" i="3"/>
  <c r="BE441" i="3"/>
  <c r="BF441" i="3"/>
  <c r="BG441" i="3"/>
  <c r="AT442" i="3"/>
  <c r="AU442" i="3"/>
  <c r="AV442" i="3" s="1" a="1"/>
  <c r="AV442" i="3" s="1"/>
  <c r="AY442" i="3"/>
  <c r="AZ442" i="3"/>
  <c r="BA442" i="3"/>
  <c r="BB442" i="3"/>
  <c r="BC442" i="3"/>
  <c r="BD442" i="3"/>
  <c r="BE442" i="3"/>
  <c r="BF442" i="3"/>
  <c r="BG442" i="3"/>
  <c r="AT443" i="3"/>
  <c r="AU443" i="3"/>
  <c r="AV443" i="3" s="1" a="1"/>
  <c r="AV443" i="3" s="1"/>
  <c r="AY443" i="3"/>
  <c r="AZ443" i="3"/>
  <c r="BA443" i="3"/>
  <c r="BB443" i="3"/>
  <c r="BC443" i="3"/>
  <c r="BD443" i="3"/>
  <c r="BE443" i="3"/>
  <c r="BF443" i="3"/>
  <c r="BG443" i="3"/>
  <c r="AT444" i="3"/>
  <c r="AU444" i="3"/>
  <c r="AV444" i="3" s="1" a="1"/>
  <c r="AV444" i="3" s="1"/>
  <c r="AY444" i="3"/>
  <c r="AZ444" i="3"/>
  <c r="BA444" i="3"/>
  <c r="BB444" i="3"/>
  <c r="BC444" i="3"/>
  <c r="BD444" i="3"/>
  <c r="BE444" i="3"/>
  <c r="BF444" i="3"/>
  <c r="BG444" i="3"/>
  <c r="AT445" i="3"/>
  <c r="AU445" i="3"/>
  <c r="AV445" i="3" s="1" a="1"/>
  <c r="AV445" i="3" s="1"/>
  <c r="AY445" i="3"/>
  <c r="AZ445" i="3"/>
  <c r="BA445" i="3"/>
  <c r="BB445" i="3"/>
  <c r="BC445" i="3"/>
  <c r="BD445" i="3"/>
  <c r="BE445" i="3"/>
  <c r="BF445" i="3"/>
  <c r="BG445" i="3"/>
  <c r="AT446" i="3"/>
  <c r="AU446" i="3"/>
  <c r="AV446" i="3" s="1" a="1"/>
  <c r="AV446" i="3" s="1"/>
  <c r="AY446" i="3"/>
  <c r="AZ446" i="3"/>
  <c r="BA446" i="3"/>
  <c r="BB446" i="3"/>
  <c r="BC446" i="3"/>
  <c r="BD446" i="3"/>
  <c r="BE446" i="3"/>
  <c r="BF446" i="3"/>
  <c r="BG446" i="3"/>
  <c r="AT447" i="3"/>
  <c r="AU447" i="3"/>
  <c r="AV447" i="3" s="1" a="1"/>
  <c r="AV447" i="3" s="1"/>
  <c r="AY447" i="3"/>
  <c r="AZ447" i="3"/>
  <c r="BA447" i="3"/>
  <c r="BB447" i="3"/>
  <c r="BC447" i="3"/>
  <c r="BD447" i="3"/>
  <c r="BE447" i="3"/>
  <c r="BF447" i="3"/>
  <c r="BG447" i="3"/>
  <c r="AT448" i="3"/>
  <c r="AU448" i="3"/>
  <c r="AV448" i="3" s="1" a="1"/>
  <c r="AV448" i="3" s="1"/>
  <c r="AY448" i="3"/>
  <c r="AZ448" i="3"/>
  <c r="BA448" i="3"/>
  <c r="BB448" i="3"/>
  <c r="BC448" i="3"/>
  <c r="BD448" i="3"/>
  <c r="BE448" i="3"/>
  <c r="BF448" i="3"/>
  <c r="BG448" i="3"/>
  <c r="AT449" i="3"/>
  <c r="AU449" i="3"/>
  <c r="AV449" i="3" s="1" a="1"/>
  <c r="AV449" i="3" s="1"/>
  <c r="AY449" i="3"/>
  <c r="AZ449" i="3"/>
  <c r="BA449" i="3"/>
  <c r="BB449" i="3"/>
  <c r="BC449" i="3"/>
  <c r="BD449" i="3"/>
  <c r="BE449" i="3"/>
  <c r="BF449" i="3"/>
  <c r="BG449" i="3"/>
  <c r="AT450" i="3"/>
  <c r="AU450" i="3"/>
  <c r="AV450" i="3" s="1" a="1"/>
  <c r="AV450" i="3" s="1"/>
  <c r="AY450" i="3"/>
  <c r="AZ450" i="3"/>
  <c r="BA450" i="3"/>
  <c r="BB450" i="3"/>
  <c r="BC450" i="3"/>
  <c r="BD450" i="3"/>
  <c r="BE450" i="3"/>
  <c r="BF450" i="3"/>
  <c r="BG450" i="3"/>
  <c r="AT451" i="3"/>
  <c r="AU451" i="3"/>
  <c r="AV451" i="3" s="1" a="1"/>
  <c r="AV451" i="3" s="1"/>
  <c r="AY451" i="3"/>
  <c r="AZ451" i="3"/>
  <c r="BA451" i="3"/>
  <c r="BB451" i="3"/>
  <c r="BC451" i="3"/>
  <c r="BD451" i="3"/>
  <c r="BE451" i="3"/>
  <c r="BF451" i="3"/>
  <c r="BG451" i="3"/>
  <c r="AT452" i="3"/>
  <c r="AU452" i="3"/>
  <c r="AV452" i="3" s="1" a="1"/>
  <c r="AV452" i="3" s="1"/>
  <c r="AY452" i="3"/>
  <c r="AZ452" i="3"/>
  <c r="BA452" i="3"/>
  <c r="BB452" i="3"/>
  <c r="BC452" i="3"/>
  <c r="BD452" i="3"/>
  <c r="BE452" i="3"/>
  <c r="BF452" i="3"/>
  <c r="BG452" i="3"/>
  <c r="AT453" i="3"/>
  <c r="AU453" i="3"/>
  <c r="AV453" i="3" s="1" a="1"/>
  <c r="AV453" i="3" s="1"/>
  <c r="AY453" i="3"/>
  <c r="AZ453" i="3"/>
  <c r="BA453" i="3"/>
  <c r="BB453" i="3"/>
  <c r="BC453" i="3"/>
  <c r="BD453" i="3"/>
  <c r="BE453" i="3"/>
  <c r="BF453" i="3"/>
  <c r="BG453" i="3"/>
  <c r="AT454" i="3"/>
  <c r="AU454" i="3"/>
  <c r="AV454" i="3" s="1" a="1"/>
  <c r="AV454" i="3" s="1"/>
  <c r="AY454" i="3"/>
  <c r="AZ454" i="3"/>
  <c r="BA454" i="3"/>
  <c r="BB454" i="3"/>
  <c r="BC454" i="3"/>
  <c r="BD454" i="3"/>
  <c r="BE454" i="3"/>
  <c r="BF454" i="3"/>
  <c r="BG454" i="3"/>
  <c r="AT455" i="3"/>
  <c r="AU455" i="3"/>
  <c r="AV455" i="3" s="1" a="1"/>
  <c r="AV455" i="3" s="1"/>
  <c r="AY455" i="3"/>
  <c r="AZ455" i="3"/>
  <c r="BA455" i="3"/>
  <c r="BB455" i="3"/>
  <c r="BC455" i="3"/>
  <c r="BD455" i="3"/>
  <c r="BE455" i="3"/>
  <c r="BF455" i="3"/>
  <c r="BG455" i="3"/>
  <c r="AT456" i="3"/>
  <c r="AU456" i="3"/>
  <c r="AV456" i="3" s="1" a="1"/>
  <c r="AV456" i="3" s="1"/>
  <c r="AY456" i="3"/>
  <c r="AZ456" i="3"/>
  <c r="BA456" i="3"/>
  <c r="BB456" i="3"/>
  <c r="BC456" i="3"/>
  <c r="BD456" i="3"/>
  <c r="BE456" i="3"/>
  <c r="BF456" i="3"/>
  <c r="BG456" i="3"/>
  <c r="AT457" i="3"/>
  <c r="AU457" i="3"/>
  <c r="AV457" i="3" s="1" a="1"/>
  <c r="AV457" i="3" s="1"/>
  <c r="AY457" i="3"/>
  <c r="AZ457" i="3"/>
  <c r="BA457" i="3"/>
  <c r="BB457" i="3"/>
  <c r="BC457" i="3"/>
  <c r="BD457" i="3"/>
  <c r="BE457" i="3"/>
  <c r="BF457" i="3"/>
  <c r="BG457" i="3"/>
  <c r="AT458" i="3"/>
  <c r="AU458" i="3"/>
  <c r="AV458" i="3" s="1" a="1"/>
  <c r="AV458" i="3" s="1"/>
  <c r="AY458" i="3"/>
  <c r="AZ458" i="3"/>
  <c r="BA458" i="3"/>
  <c r="BB458" i="3"/>
  <c r="BC458" i="3"/>
  <c r="BD458" i="3"/>
  <c r="BE458" i="3"/>
  <c r="BF458" i="3"/>
  <c r="BG458" i="3"/>
  <c r="AT459" i="3"/>
  <c r="AU459" i="3"/>
  <c r="AV459" i="3" s="1" a="1"/>
  <c r="AV459" i="3" s="1"/>
  <c r="AY459" i="3"/>
  <c r="AZ459" i="3"/>
  <c r="BA459" i="3"/>
  <c r="BB459" i="3"/>
  <c r="BC459" i="3"/>
  <c r="BD459" i="3"/>
  <c r="BE459" i="3"/>
  <c r="BF459" i="3"/>
  <c r="BG459" i="3"/>
  <c r="AT460" i="3"/>
  <c r="AU460" i="3"/>
  <c r="AV460" i="3" s="1" a="1"/>
  <c r="AV460" i="3" s="1"/>
  <c r="AY460" i="3"/>
  <c r="AZ460" i="3"/>
  <c r="BA460" i="3"/>
  <c r="BB460" i="3"/>
  <c r="BC460" i="3"/>
  <c r="BD460" i="3"/>
  <c r="BE460" i="3"/>
  <c r="BF460" i="3"/>
  <c r="BG460" i="3"/>
  <c r="AT461" i="3"/>
  <c r="AU461" i="3"/>
  <c r="AV461" i="3" s="1" a="1"/>
  <c r="AV461" i="3" s="1"/>
  <c r="AY461" i="3"/>
  <c r="AZ461" i="3"/>
  <c r="BA461" i="3"/>
  <c r="BB461" i="3"/>
  <c r="BC461" i="3"/>
  <c r="BD461" i="3"/>
  <c r="BE461" i="3"/>
  <c r="BF461" i="3"/>
  <c r="BG461" i="3"/>
  <c r="AT462" i="3"/>
  <c r="AU462" i="3"/>
  <c r="AV462" i="3" s="1" a="1"/>
  <c r="AV462" i="3" s="1"/>
  <c r="AY462" i="3"/>
  <c r="AZ462" i="3"/>
  <c r="BA462" i="3"/>
  <c r="BB462" i="3"/>
  <c r="BC462" i="3"/>
  <c r="BD462" i="3"/>
  <c r="BE462" i="3"/>
  <c r="BF462" i="3"/>
  <c r="BG462" i="3"/>
  <c r="AT463" i="3"/>
  <c r="AU463" i="3"/>
  <c r="AV463" i="3" s="1" a="1"/>
  <c r="AV463" i="3" s="1"/>
  <c r="AY463" i="3"/>
  <c r="AZ463" i="3"/>
  <c r="BA463" i="3"/>
  <c r="BB463" i="3"/>
  <c r="BC463" i="3"/>
  <c r="BD463" i="3"/>
  <c r="BE463" i="3"/>
  <c r="BF463" i="3"/>
  <c r="BG463" i="3"/>
  <c r="AT464" i="3"/>
  <c r="AU464" i="3"/>
  <c r="AV464" i="3" s="1" a="1"/>
  <c r="AV464" i="3" s="1"/>
  <c r="AY464" i="3"/>
  <c r="AZ464" i="3"/>
  <c r="BA464" i="3"/>
  <c r="BB464" i="3"/>
  <c r="BC464" i="3"/>
  <c r="BD464" i="3"/>
  <c r="BE464" i="3"/>
  <c r="BF464" i="3"/>
  <c r="BG464" i="3"/>
  <c r="AT465" i="3"/>
  <c r="AU465" i="3"/>
  <c r="AV465" i="3" s="1" a="1"/>
  <c r="AV465" i="3" s="1"/>
  <c r="AY465" i="3"/>
  <c r="AZ465" i="3"/>
  <c r="BA465" i="3"/>
  <c r="BB465" i="3"/>
  <c r="BC465" i="3"/>
  <c r="BD465" i="3"/>
  <c r="BE465" i="3"/>
  <c r="BF465" i="3"/>
  <c r="BG465" i="3"/>
  <c r="AT466" i="3"/>
  <c r="AU466" i="3"/>
  <c r="AV466" i="3" s="1" a="1"/>
  <c r="AV466" i="3" s="1"/>
  <c r="AY466" i="3"/>
  <c r="AZ466" i="3"/>
  <c r="BA466" i="3"/>
  <c r="BB466" i="3"/>
  <c r="BC466" i="3"/>
  <c r="BD466" i="3"/>
  <c r="BE466" i="3"/>
  <c r="BF466" i="3"/>
  <c r="BG466" i="3"/>
  <c r="AT467" i="3"/>
  <c r="AU467" i="3"/>
  <c r="AV467" i="3" s="1" a="1"/>
  <c r="AV467" i="3" s="1"/>
  <c r="AY467" i="3"/>
  <c r="AZ467" i="3"/>
  <c r="BA467" i="3"/>
  <c r="BB467" i="3"/>
  <c r="BC467" i="3"/>
  <c r="BD467" i="3"/>
  <c r="BE467" i="3"/>
  <c r="BF467" i="3"/>
  <c r="BG467" i="3"/>
  <c r="AT468" i="3"/>
  <c r="AU468" i="3"/>
  <c r="AV468" i="3" s="1" a="1"/>
  <c r="AV468" i="3" s="1"/>
  <c r="AY468" i="3"/>
  <c r="AZ468" i="3"/>
  <c r="BA468" i="3"/>
  <c r="BB468" i="3"/>
  <c r="BC468" i="3"/>
  <c r="BD468" i="3"/>
  <c r="BE468" i="3"/>
  <c r="BF468" i="3"/>
  <c r="BG468" i="3"/>
  <c r="AT469" i="3"/>
  <c r="AU469" i="3"/>
  <c r="AV469" i="3" s="1" a="1"/>
  <c r="AV469" i="3" s="1"/>
  <c r="AY469" i="3"/>
  <c r="AZ469" i="3"/>
  <c r="BA469" i="3"/>
  <c r="BB469" i="3"/>
  <c r="BC469" i="3"/>
  <c r="BD469" i="3"/>
  <c r="BE469" i="3"/>
  <c r="BF469" i="3"/>
  <c r="BG469" i="3"/>
  <c r="AT470" i="3"/>
  <c r="AU470" i="3"/>
  <c r="AV470" i="3" s="1" a="1"/>
  <c r="AV470" i="3" s="1"/>
  <c r="AY470" i="3"/>
  <c r="AZ470" i="3"/>
  <c r="BA470" i="3"/>
  <c r="BB470" i="3"/>
  <c r="BC470" i="3"/>
  <c r="BD470" i="3"/>
  <c r="BE470" i="3"/>
  <c r="BF470" i="3"/>
  <c r="BG470" i="3"/>
  <c r="AT471" i="3"/>
  <c r="AU471" i="3"/>
  <c r="AV471" i="3" s="1" a="1"/>
  <c r="AV471" i="3" s="1"/>
  <c r="AY471" i="3"/>
  <c r="AZ471" i="3"/>
  <c r="BA471" i="3"/>
  <c r="BB471" i="3"/>
  <c r="BC471" i="3"/>
  <c r="BD471" i="3"/>
  <c r="BE471" i="3"/>
  <c r="BF471" i="3"/>
  <c r="BG471" i="3"/>
  <c r="AT472" i="3"/>
  <c r="AU472" i="3"/>
  <c r="AV472" i="3" s="1" a="1"/>
  <c r="AV472" i="3" s="1"/>
  <c r="AY472" i="3"/>
  <c r="AZ472" i="3"/>
  <c r="BA472" i="3"/>
  <c r="BB472" i="3"/>
  <c r="BC472" i="3"/>
  <c r="BD472" i="3"/>
  <c r="BE472" i="3"/>
  <c r="BF472" i="3"/>
  <c r="BG472" i="3"/>
  <c r="AT473" i="3"/>
  <c r="AU473" i="3"/>
  <c r="AV473" i="3" s="1" a="1"/>
  <c r="AV473" i="3" s="1"/>
  <c r="AY473" i="3"/>
  <c r="AZ473" i="3"/>
  <c r="BA473" i="3"/>
  <c r="BB473" i="3"/>
  <c r="BC473" i="3"/>
  <c r="BD473" i="3"/>
  <c r="BE473" i="3"/>
  <c r="BF473" i="3"/>
  <c r="BG473" i="3"/>
  <c r="AT474" i="3"/>
  <c r="AU474" i="3"/>
  <c r="AV474" i="3" s="1" a="1"/>
  <c r="AV474" i="3" s="1"/>
  <c r="AY474" i="3"/>
  <c r="AZ474" i="3"/>
  <c r="BA474" i="3"/>
  <c r="BB474" i="3"/>
  <c r="BC474" i="3"/>
  <c r="BD474" i="3"/>
  <c r="BE474" i="3"/>
  <c r="BF474" i="3"/>
  <c r="BG474" i="3"/>
  <c r="AT475" i="3"/>
  <c r="AU475" i="3"/>
  <c r="AV475" i="3" s="1" a="1"/>
  <c r="AV475" i="3" s="1"/>
  <c r="AY475" i="3"/>
  <c r="AZ475" i="3"/>
  <c r="BA475" i="3"/>
  <c r="BB475" i="3"/>
  <c r="BC475" i="3"/>
  <c r="BD475" i="3"/>
  <c r="BE475" i="3"/>
  <c r="BF475" i="3"/>
  <c r="BG475" i="3"/>
  <c r="AT476" i="3"/>
  <c r="AU476" i="3"/>
  <c r="AV476" i="3" s="1" a="1"/>
  <c r="AV476" i="3" s="1"/>
  <c r="AY476" i="3"/>
  <c r="AZ476" i="3"/>
  <c r="BA476" i="3"/>
  <c r="BB476" i="3"/>
  <c r="BC476" i="3"/>
  <c r="BD476" i="3"/>
  <c r="BE476" i="3"/>
  <c r="BF476" i="3"/>
  <c r="BG476" i="3"/>
  <c r="AT477" i="3"/>
  <c r="AU477" i="3"/>
  <c r="AV477" i="3" s="1" a="1"/>
  <c r="AV477" i="3" s="1"/>
  <c r="AY477" i="3"/>
  <c r="AZ477" i="3"/>
  <c r="BA477" i="3"/>
  <c r="BB477" i="3"/>
  <c r="BC477" i="3"/>
  <c r="BD477" i="3"/>
  <c r="BE477" i="3"/>
  <c r="BF477" i="3"/>
  <c r="BG477" i="3"/>
  <c r="AT478" i="3"/>
  <c r="AU478" i="3"/>
  <c r="AV478" i="3" s="1" a="1"/>
  <c r="AV478" i="3" s="1"/>
  <c r="AY478" i="3"/>
  <c r="AZ478" i="3"/>
  <c r="BA478" i="3"/>
  <c r="BB478" i="3"/>
  <c r="BC478" i="3"/>
  <c r="BD478" i="3"/>
  <c r="BE478" i="3"/>
  <c r="BF478" i="3"/>
  <c r="BG478" i="3"/>
  <c r="AT479" i="3"/>
  <c r="AU479" i="3"/>
  <c r="AV479" i="3" s="1" a="1"/>
  <c r="AV479" i="3" s="1"/>
  <c r="AY479" i="3"/>
  <c r="AZ479" i="3"/>
  <c r="BA479" i="3"/>
  <c r="BB479" i="3"/>
  <c r="BC479" i="3"/>
  <c r="BD479" i="3"/>
  <c r="BE479" i="3"/>
  <c r="BF479" i="3"/>
  <c r="BG479" i="3"/>
  <c r="AT480" i="3"/>
  <c r="AU480" i="3"/>
  <c r="AV480" i="3" s="1" a="1"/>
  <c r="AV480" i="3" s="1"/>
  <c r="AY480" i="3"/>
  <c r="AZ480" i="3"/>
  <c r="BA480" i="3"/>
  <c r="BB480" i="3"/>
  <c r="BC480" i="3"/>
  <c r="BD480" i="3"/>
  <c r="BE480" i="3"/>
  <c r="BF480" i="3"/>
  <c r="BG480" i="3"/>
  <c r="AT481" i="3"/>
  <c r="AU481" i="3"/>
  <c r="AV481" i="3" s="1" a="1"/>
  <c r="AV481" i="3" s="1"/>
  <c r="AY481" i="3"/>
  <c r="AZ481" i="3"/>
  <c r="BA481" i="3"/>
  <c r="BB481" i="3"/>
  <c r="BC481" i="3"/>
  <c r="BD481" i="3"/>
  <c r="BE481" i="3"/>
  <c r="BF481" i="3"/>
  <c r="BG481" i="3"/>
  <c r="AT482" i="3"/>
  <c r="AU482" i="3"/>
  <c r="AV482" i="3" s="1" a="1"/>
  <c r="AV482" i="3" s="1"/>
  <c r="AY482" i="3"/>
  <c r="AZ482" i="3"/>
  <c r="BA482" i="3"/>
  <c r="BB482" i="3"/>
  <c r="BC482" i="3"/>
  <c r="BD482" i="3"/>
  <c r="BE482" i="3"/>
  <c r="BF482" i="3"/>
  <c r="BG482" i="3"/>
  <c r="AT483" i="3"/>
  <c r="AU483" i="3"/>
  <c r="AV483" i="3" s="1" a="1"/>
  <c r="AV483" i="3" s="1"/>
  <c r="AY483" i="3"/>
  <c r="AZ483" i="3"/>
  <c r="BA483" i="3"/>
  <c r="BB483" i="3"/>
  <c r="BC483" i="3"/>
  <c r="BD483" i="3"/>
  <c r="BE483" i="3"/>
  <c r="BF483" i="3"/>
  <c r="BG483" i="3"/>
  <c r="AT484" i="3"/>
  <c r="AU484" i="3"/>
  <c r="AV484" i="3" s="1" a="1"/>
  <c r="AV484" i="3" s="1"/>
  <c r="AY484" i="3"/>
  <c r="AZ484" i="3"/>
  <c r="BA484" i="3"/>
  <c r="BB484" i="3"/>
  <c r="BC484" i="3"/>
  <c r="BD484" i="3"/>
  <c r="BE484" i="3"/>
  <c r="BF484" i="3"/>
  <c r="BG484" i="3"/>
  <c r="AT485" i="3"/>
  <c r="AU485" i="3"/>
  <c r="AV485" i="3" s="1" a="1"/>
  <c r="AV485" i="3" s="1"/>
  <c r="AY485" i="3"/>
  <c r="AZ485" i="3"/>
  <c r="BA485" i="3"/>
  <c r="BB485" i="3"/>
  <c r="BC485" i="3"/>
  <c r="BD485" i="3"/>
  <c r="BE485" i="3"/>
  <c r="BF485" i="3"/>
  <c r="BG485" i="3"/>
  <c r="AT486" i="3"/>
  <c r="AU486" i="3"/>
  <c r="AV486" i="3" s="1" a="1"/>
  <c r="AV486" i="3" s="1"/>
  <c r="AY486" i="3"/>
  <c r="AZ486" i="3"/>
  <c r="BA486" i="3"/>
  <c r="BB486" i="3"/>
  <c r="BC486" i="3"/>
  <c r="BD486" i="3"/>
  <c r="BE486" i="3"/>
  <c r="BF486" i="3"/>
  <c r="BG486" i="3"/>
  <c r="AT487" i="3"/>
  <c r="AU487" i="3"/>
  <c r="AV487" i="3" s="1" a="1"/>
  <c r="AV487" i="3" s="1"/>
  <c r="AY487" i="3"/>
  <c r="AZ487" i="3"/>
  <c r="BA487" i="3"/>
  <c r="BB487" i="3"/>
  <c r="BC487" i="3"/>
  <c r="BD487" i="3"/>
  <c r="BE487" i="3"/>
  <c r="BF487" i="3"/>
  <c r="BG487" i="3"/>
  <c r="AT488" i="3"/>
  <c r="AU488" i="3"/>
  <c r="AV488" i="3" s="1" a="1"/>
  <c r="AV488" i="3" s="1"/>
  <c r="AY488" i="3"/>
  <c r="AZ488" i="3"/>
  <c r="BA488" i="3"/>
  <c r="BB488" i="3"/>
  <c r="BC488" i="3"/>
  <c r="BD488" i="3"/>
  <c r="BE488" i="3"/>
  <c r="BF488" i="3"/>
  <c r="BG488" i="3"/>
  <c r="AT489" i="3"/>
  <c r="AU489" i="3"/>
  <c r="AV489" i="3" s="1" a="1"/>
  <c r="AV489" i="3" s="1"/>
  <c r="AY489" i="3"/>
  <c r="AZ489" i="3"/>
  <c r="BA489" i="3"/>
  <c r="BB489" i="3"/>
  <c r="BC489" i="3"/>
  <c r="BD489" i="3"/>
  <c r="BE489" i="3"/>
  <c r="BF489" i="3"/>
  <c r="BG489" i="3"/>
  <c r="AT490" i="3"/>
  <c r="AU490" i="3"/>
  <c r="AV490" i="3" s="1" a="1"/>
  <c r="AV490" i="3" s="1"/>
  <c r="AY490" i="3"/>
  <c r="AZ490" i="3"/>
  <c r="BA490" i="3"/>
  <c r="BB490" i="3"/>
  <c r="BC490" i="3"/>
  <c r="BD490" i="3"/>
  <c r="BE490" i="3"/>
  <c r="BF490" i="3"/>
  <c r="BG490" i="3"/>
  <c r="AT491" i="3"/>
  <c r="AU491" i="3"/>
  <c r="AV491" i="3" s="1" a="1"/>
  <c r="AV491" i="3" s="1"/>
  <c r="AY491" i="3"/>
  <c r="AZ491" i="3"/>
  <c r="BA491" i="3"/>
  <c r="BB491" i="3"/>
  <c r="BC491" i="3"/>
  <c r="BD491" i="3"/>
  <c r="BE491" i="3"/>
  <c r="BF491" i="3"/>
  <c r="BG491" i="3"/>
  <c r="AT492" i="3"/>
  <c r="AU492" i="3"/>
  <c r="AV492" i="3" s="1" a="1"/>
  <c r="AV492" i="3" s="1"/>
  <c r="AY492" i="3"/>
  <c r="AZ492" i="3"/>
  <c r="BA492" i="3"/>
  <c r="BB492" i="3"/>
  <c r="BC492" i="3"/>
  <c r="BD492" i="3"/>
  <c r="BE492" i="3"/>
  <c r="BF492" i="3"/>
  <c r="BG492" i="3"/>
  <c r="AT493" i="3"/>
  <c r="AU493" i="3"/>
  <c r="AV493" i="3" s="1" a="1"/>
  <c r="AV493" i="3" s="1"/>
  <c r="AY493" i="3"/>
  <c r="AZ493" i="3"/>
  <c r="BA493" i="3"/>
  <c r="BB493" i="3"/>
  <c r="BC493" i="3"/>
  <c r="BD493" i="3"/>
  <c r="BE493" i="3"/>
  <c r="BF493" i="3"/>
  <c r="BG493" i="3"/>
  <c r="AT494" i="3"/>
  <c r="AU494" i="3"/>
  <c r="AV494" i="3" s="1" a="1"/>
  <c r="AV494" i="3" s="1"/>
  <c r="AY494" i="3"/>
  <c r="AZ494" i="3"/>
  <c r="BA494" i="3"/>
  <c r="BB494" i="3"/>
  <c r="BC494" i="3"/>
  <c r="BD494" i="3"/>
  <c r="BE494" i="3"/>
  <c r="BF494" i="3"/>
  <c r="BG494" i="3"/>
  <c r="AT495" i="3"/>
  <c r="AU495" i="3"/>
  <c r="AV495" i="3" s="1" a="1"/>
  <c r="AV495" i="3" s="1"/>
  <c r="AY495" i="3"/>
  <c r="AZ495" i="3"/>
  <c r="BA495" i="3"/>
  <c r="BB495" i="3"/>
  <c r="BC495" i="3"/>
  <c r="BD495" i="3"/>
  <c r="BE495" i="3"/>
  <c r="BF495" i="3"/>
  <c r="BG495" i="3"/>
  <c r="AT496" i="3"/>
  <c r="AU496" i="3"/>
  <c r="AV496" i="3" s="1" a="1"/>
  <c r="AV496" i="3" s="1"/>
  <c r="AY496" i="3"/>
  <c r="AZ496" i="3"/>
  <c r="BA496" i="3"/>
  <c r="BB496" i="3"/>
  <c r="BC496" i="3"/>
  <c r="BD496" i="3"/>
  <c r="BE496" i="3"/>
  <c r="BF496" i="3"/>
  <c r="BG496" i="3"/>
  <c r="AT497" i="3"/>
  <c r="AU497" i="3"/>
  <c r="AV497" i="3" s="1" a="1"/>
  <c r="AV497" i="3" s="1"/>
  <c r="AY497" i="3"/>
  <c r="AZ497" i="3"/>
  <c r="BA497" i="3"/>
  <c r="BB497" i="3"/>
  <c r="BC497" i="3"/>
  <c r="BD497" i="3"/>
  <c r="BE497" i="3"/>
  <c r="BF497" i="3"/>
  <c r="BG497" i="3"/>
  <c r="AT498" i="3"/>
  <c r="AU498" i="3"/>
  <c r="AV498" i="3" s="1" a="1"/>
  <c r="AV498" i="3" s="1"/>
  <c r="AY498" i="3"/>
  <c r="AZ498" i="3"/>
  <c r="BA498" i="3"/>
  <c r="BB498" i="3"/>
  <c r="BC498" i="3"/>
  <c r="BD498" i="3"/>
  <c r="BE498" i="3"/>
  <c r="BF498" i="3"/>
  <c r="BG498" i="3"/>
  <c r="AT499" i="3"/>
  <c r="AU499" i="3"/>
  <c r="AV499" i="3" s="1" a="1"/>
  <c r="AV499" i="3" s="1"/>
  <c r="AY499" i="3"/>
  <c r="AZ499" i="3"/>
  <c r="BA499" i="3"/>
  <c r="BB499" i="3"/>
  <c r="BC499" i="3"/>
  <c r="BD499" i="3"/>
  <c r="BE499" i="3"/>
  <c r="BF499" i="3"/>
  <c r="BG499" i="3"/>
  <c r="AT500" i="3"/>
  <c r="AU500" i="3"/>
  <c r="AV500" i="3" s="1" a="1"/>
  <c r="AV500" i="3" s="1"/>
  <c r="AY500" i="3"/>
  <c r="AZ500" i="3"/>
  <c r="BA500" i="3"/>
  <c r="BB500" i="3"/>
  <c r="BC500" i="3"/>
  <c r="BD500" i="3"/>
  <c r="BE500" i="3"/>
  <c r="BF500" i="3"/>
  <c r="BG500" i="3"/>
  <c r="AT501" i="3"/>
  <c r="AU501" i="3"/>
  <c r="AV501" i="3" s="1" a="1"/>
  <c r="AV501" i="3" s="1"/>
  <c r="AY501" i="3"/>
  <c r="AZ501" i="3"/>
  <c r="BA501" i="3"/>
  <c r="BB501" i="3"/>
  <c r="BC501" i="3"/>
  <c r="BD501" i="3"/>
  <c r="BE501" i="3"/>
  <c r="BF501" i="3"/>
  <c r="BG501" i="3"/>
  <c r="AT502" i="3"/>
  <c r="AU502" i="3"/>
  <c r="AV502" i="3" s="1" a="1"/>
  <c r="AV502" i="3" s="1"/>
  <c r="AY502" i="3"/>
  <c r="AZ502" i="3"/>
  <c r="BA502" i="3"/>
  <c r="BB502" i="3"/>
  <c r="BC502" i="3"/>
  <c r="BD502" i="3"/>
  <c r="BE502" i="3"/>
  <c r="BF502" i="3"/>
  <c r="BG502" i="3"/>
  <c r="AT503" i="3"/>
  <c r="AU503" i="3"/>
  <c r="AV503" i="3" s="1" a="1"/>
  <c r="AV503" i="3" s="1"/>
  <c r="AY503" i="3"/>
  <c r="AZ503" i="3"/>
  <c r="BA503" i="3"/>
  <c r="BB503" i="3"/>
  <c r="BC503" i="3"/>
  <c r="BD503" i="3"/>
  <c r="BE503" i="3"/>
  <c r="BF503" i="3"/>
  <c r="BG503" i="3"/>
  <c r="AT504" i="3"/>
  <c r="AU504" i="3"/>
  <c r="AV504" i="3" s="1" a="1"/>
  <c r="AV504" i="3" s="1"/>
  <c r="AY504" i="3"/>
  <c r="AZ504" i="3"/>
  <c r="BA504" i="3"/>
  <c r="BB504" i="3"/>
  <c r="BC504" i="3"/>
  <c r="BD504" i="3"/>
  <c r="BE504" i="3"/>
  <c r="BF504" i="3"/>
  <c r="BG504" i="3"/>
  <c r="AT505" i="3"/>
  <c r="AU505" i="3"/>
  <c r="AV505" i="3" s="1" a="1"/>
  <c r="AV505" i="3" s="1"/>
  <c r="AY505" i="3"/>
  <c r="AZ505" i="3"/>
  <c r="BA505" i="3"/>
  <c r="BB505" i="3"/>
  <c r="BC505" i="3"/>
  <c r="BD505" i="3"/>
  <c r="BE505" i="3"/>
  <c r="BF505" i="3"/>
  <c r="BG505" i="3"/>
  <c r="AT506" i="3"/>
  <c r="AU506" i="3"/>
  <c r="AV506" i="3" s="1" a="1"/>
  <c r="AV506" i="3" s="1"/>
  <c r="AY506" i="3"/>
  <c r="AZ506" i="3"/>
  <c r="BA506" i="3"/>
  <c r="BB506" i="3"/>
  <c r="BC506" i="3"/>
  <c r="BD506" i="3"/>
  <c r="BE506" i="3"/>
  <c r="BF506" i="3"/>
  <c r="BG506" i="3"/>
  <c r="AT507" i="3"/>
  <c r="AU507" i="3"/>
  <c r="AV507" i="3" s="1" a="1"/>
  <c r="AV507" i="3" s="1"/>
  <c r="AY507" i="3"/>
  <c r="AZ507" i="3"/>
  <c r="BA507" i="3"/>
  <c r="BB507" i="3"/>
  <c r="BC507" i="3"/>
  <c r="BD507" i="3"/>
  <c r="BE507" i="3"/>
  <c r="BF507" i="3"/>
  <c r="BG507" i="3"/>
  <c r="AT508" i="3"/>
  <c r="AU508" i="3"/>
  <c r="AV508" i="3" s="1" a="1"/>
  <c r="AV508" i="3" s="1"/>
  <c r="AY508" i="3"/>
  <c r="AZ508" i="3"/>
  <c r="BA508" i="3"/>
  <c r="BB508" i="3"/>
  <c r="BC508" i="3"/>
  <c r="BD508" i="3"/>
  <c r="BE508" i="3"/>
  <c r="BF508" i="3"/>
  <c r="BG508" i="3"/>
  <c r="AT509" i="3"/>
  <c r="AU509" i="3"/>
  <c r="AV509" i="3" s="1" a="1"/>
  <c r="AV509" i="3" s="1"/>
  <c r="AY509" i="3"/>
  <c r="AZ509" i="3"/>
  <c r="BA509" i="3"/>
  <c r="BB509" i="3"/>
  <c r="BC509" i="3"/>
  <c r="BD509" i="3"/>
  <c r="BE509" i="3"/>
  <c r="BF509" i="3"/>
  <c r="BG509" i="3"/>
  <c r="AT510" i="3"/>
  <c r="AU510" i="3"/>
  <c r="AV510" i="3" s="1" a="1"/>
  <c r="AV510" i="3" s="1"/>
  <c r="AY510" i="3"/>
  <c r="AZ510" i="3"/>
  <c r="BA510" i="3"/>
  <c r="BB510" i="3"/>
  <c r="BC510" i="3"/>
  <c r="BD510" i="3"/>
  <c r="BE510" i="3"/>
  <c r="BF510" i="3"/>
  <c r="BG510" i="3"/>
  <c r="AT511" i="3"/>
  <c r="AU511" i="3"/>
  <c r="AV511" i="3" s="1" a="1"/>
  <c r="AV511" i="3" s="1"/>
  <c r="AY511" i="3"/>
  <c r="AZ511" i="3"/>
  <c r="BA511" i="3"/>
  <c r="BB511" i="3"/>
  <c r="BC511" i="3"/>
  <c r="BD511" i="3"/>
  <c r="BE511" i="3"/>
  <c r="BF511" i="3"/>
  <c r="BG511" i="3"/>
  <c r="AT512" i="3"/>
  <c r="AU512" i="3"/>
  <c r="AV512" i="3" s="1" a="1"/>
  <c r="AV512" i="3" s="1"/>
  <c r="AY512" i="3"/>
  <c r="AZ512" i="3"/>
  <c r="BA512" i="3"/>
  <c r="BB512" i="3"/>
  <c r="BC512" i="3"/>
  <c r="BD512" i="3"/>
  <c r="BE512" i="3"/>
  <c r="BF512" i="3"/>
  <c r="BG512" i="3"/>
  <c r="AT513" i="3"/>
  <c r="AU513" i="3"/>
  <c r="AV513" i="3" s="1" a="1"/>
  <c r="AV513" i="3" s="1"/>
  <c r="AY513" i="3"/>
  <c r="AZ513" i="3"/>
  <c r="BA513" i="3"/>
  <c r="BB513" i="3"/>
  <c r="BC513" i="3"/>
  <c r="BD513" i="3"/>
  <c r="BE513" i="3"/>
  <c r="BF513" i="3"/>
  <c r="BG513" i="3"/>
  <c r="AT514" i="3"/>
  <c r="AU514" i="3"/>
  <c r="AV514" i="3" s="1" a="1"/>
  <c r="AV514" i="3" s="1"/>
  <c r="AY514" i="3"/>
  <c r="AZ514" i="3"/>
  <c r="BA514" i="3"/>
  <c r="BB514" i="3"/>
  <c r="BC514" i="3"/>
  <c r="BD514" i="3"/>
  <c r="BE514" i="3"/>
  <c r="BF514" i="3"/>
  <c r="BG514" i="3"/>
  <c r="AT515" i="3"/>
  <c r="AU515" i="3"/>
  <c r="AV515" i="3" s="1" a="1"/>
  <c r="AV515" i="3" s="1"/>
  <c r="AY515" i="3"/>
  <c r="AZ515" i="3"/>
  <c r="BA515" i="3"/>
  <c r="BB515" i="3"/>
  <c r="BC515" i="3"/>
  <c r="BD515" i="3"/>
  <c r="BE515" i="3"/>
  <c r="BF515" i="3"/>
  <c r="BG515" i="3"/>
  <c r="AT516" i="3"/>
  <c r="AU516" i="3"/>
  <c r="AV516" i="3" s="1" a="1"/>
  <c r="AV516" i="3" s="1"/>
  <c r="AY516" i="3"/>
  <c r="AZ516" i="3"/>
  <c r="BA516" i="3"/>
  <c r="BB516" i="3"/>
  <c r="BC516" i="3"/>
  <c r="BD516" i="3"/>
  <c r="BE516" i="3"/>
  <c r="BF516" i="3"/>
  <c r="BG516" i="3"/>
  <c r="AT517" i="3"/>
  <c r="AU517" i="3"/>
  <c r="AV517" i="3" s="1" a="1"/>
  <c r="AV517" i="3" s="1"/>
  <c r="AY517" i="3"/>
  <c r="AZ517" i="3"/>
  <c r="BA517" i="3"/>
  <c r="BB517" i="3"/>
  <c r="BC517" i="3"/>
  <c r="BD517" i="3"/>
  <c r="BE517" i="3"/>
  <c r="BF517" i="3"/>
  <c r="BG517" i="3"/>
  <c r="AT518" i="3"/>
  <c r="AU518" i="3"/>
  <c r="AV518" i="3" s="1" a="1"/>
  <c r="AV518" i="3" s="1"/>
  <c r="AY518" i="3"/>
  <c r="AZ518" i="3"/>
  <c r="BA518" i="3"/>
  <c r="BB518" i="3"/>
  <c r="BC518" i="3"/>
  <c r="BD518" i="3"/>
  <c r="BE518" i="3"/>
  <c r="BF518" i="3"/>
  <c r="BG518" i="3"/>
  <c r="AT519" i="3"/>
  <c r="AU519" i="3"/>
  <c r="AV519" i="3" s="1" a="1"/>
  <c r="AV519" i="3" s="1"/>
  <c r="AY519" i="3"/>
  <c r="AZ519" i="3"/>
  <c r="BA519" i="3"/>
  <c r="BB519" i="3"/>
  <c r="BC519" i="3"/>
  <c r="BD519" i="3"/>
  <c r="BE519" i="3"/>
  <c r="BF519" i="3"/>
  <c r="BG519" i="3"/>
  <c r="AT520" i="3"/>
  <c r="AU520" i="3"/>
  <c r="AV520" i="3" s="1" a="1"/>
  <c r="AV520" i="3" s="1"/>
  <c r="AY520" i="3"/>
  <c r="AZ520" i="3"/>
  <c r="BA520" i="3"/>
  <c r="BB520" i="3"/>
  <c r="BC520" i="3"/>
  <c r="BD520" i="3"/>
  <c r="BE520" i="3"/>
  <c r="BF520" i="3"/>
  <c r="BG520" i="3"/>
  <c r="AT521" i="3"/>
  <c r="AU521" i="3"/>
  <c r="AV521" i="3" s="1" a="1"/>
  <c r="AV521" i="3" s="1"/>
  <c r="AY521" i="3"/>
  <c r="AZ521" i="3"/>
  <c r="BA521" i="3"/>
  <c r="BB521" i="3"/>
  <c r="BC521" i="3"/>
  <c r="BD521" i="3"/>
  <c r="BE521" i="3"/>
  <c r="BF521" i="3"/>
  <c r="BG521" i="3"/>
  <c r="AT522" i="3"/>
  <c r="AU522" i="3"/>
  <c r="AV522" i="3" s="1" a="1"/>
  <c r="AV522" i="3" s="1"/>
  <c r="AY522" i="3"/>
  <c r="AZ522" i="3"/>
  <c r="BA522" i="3"/>
  <c r="BB522" i="3"/>
  <c r="BC522" i="3"/>
  <c r="BD522" i="3"/>
  <c r="BE522" i="3"/>
  <c r="BF522" i="3"/>
  <c r="BG522" i="3"/>
  <c r="AT523" i="3"/>
  <c r="AU523" i="3"/>
  <c r="AV523" i="3" s="1" a="1"/>
  <c r="AV523" i="3" s="1"/>
  <c r="AY523" i="3"/>
  <c r="AZ523" i="3"/>
  <c r="BA523" i="3"/>
  <c r="BB523" i="3"/>
  <c r="BC523" i="3"/>
  <c r="BD523" i="3"/>
  <c r="BE523" i="3"/>
  <c r="BF523" i="3"/>
  <c r="BG523" i="3"/>
  <c r="AT524" i="3"/>
  <c r="AU524" i="3"/>
  <c r="AV524" i="3" s="1" a="1"/>
  <c r="AV524" i="3" s="1"/>
  <c r="AY524" i="3"/>
  <c r="AZ524" i="3"/>
  <c r="BA524" i="3"/>
  <c r="BB524" i="3"/>
  <c r="BC524" i="3"/>
  <c r="BD524" i="3"/>
  <c r="BE524" i="3"/>
  <c r="BF524" i="3"/>
  <c r="BG524" i="3"/>
  <c r="AT525" i="3"/>
  <c r="AU525" i="3"/>
  <c r="AV525" i="3" s="1" a="1"/>
  <c r="AV525" i="3" s="1"/>
  <c r="AY525" i="3"/>
  <c r="AZ525" i="3"/>
  <c r="BA525" i="3"/>
  <c r="BB525" i="3"/>
  <c r="BC525" i="3"/>
  <c r="BD525" i="3"/>
  <c r="BE525" i="3"/>
  <c r="BF525" i="3"/>
  <c r="BG525" i="3"/>
  <c r="AT526" i="3"/>
  <c r="AU526" i="3"/>
  <c r="AV526" i="3" s="1" a="1"/>
  <c r="AV526" i="3" s="1"/>
  <c r="AY526" i="3"/>
  <c r="AZ526" i="3"/>
  <c r="BA526" i="3"/>
  <c r="BB526" i="3"/>
  <c r="BC526" i="3"/>
  <c r="BD526" i="3"/>
  <c r="BE526" i="3"/>
  <c r="BF526" i="3"/>
  <c r="BG526" i="3"/>
  <c r="AT527" i="3"/>
  <c r="AU527" i="3"/>
  <c r="AV527" i="3" s="1" a="1"/>
  <c r="AV527" i="3" s="1"/>
  <c r="AY527" i="3"/>
  <c r="AZ527" i="3"/>
  <c r="BA527" i="3"/>
  <c r="BB527" i="3"/>
  <c r="BC527" i="3"/>
  <c r="BD527" i="3"/>
  <c r="BE527" i="3"/>
  <c r="BF527" i="3"/>
  <c r="BG527" i="3"/>
  <c r="AT528" i="3"/>
  <c r="AU528" i="3"/>
  <c r="AV528" i="3" s="1" a="1"/>
  <c r="AV528" i="3" s="1"/>
  <c r="AY528" i="3"/>
  <c r="AZ528" i="3"/>
  <c r="BA528" i="3"/>
  <c r="BB528" i="3"/>
  <c r="BC528" i="3"/>
  <c r="BD528" i="3"/>
  <c r="BE528" i="3"/>
  <c r="BF528" i="3"/>
  <c r="BG528" i="3"/>
  <c r="AT529" i="3"/>
  <c r="AU529" i="3"/>
  <c r="AV529" i="3" s="1" a="1"/>
  <c r="AV529" i="3" s="1"/>
  <c r="AY529" i="3"/>
  <c r="AZ529" i="3"/>
  <c r="BA529" i="3"/>
  <c r="BB529" i="3"/>
  <c r="BC529" i="3"/>
  <c r="BD529" i="3"/>
  <c r="BE529" i="3"/>
  <c r="BF529" i="3"/>
  <c r="BG529" i="3"/>
  <c r="AT530" i="3"/>
  <c r="AU530" i="3"/>
  <c r="AV530" i="3" s="1" a="1"/>
  <c r="AV530" i="3" s="1"/>
  <c r="AY530" i="3"/>
  <c r="AZ530" i="3"/>
  <c r="BA530" i="3"/>
  <c r="BB530" i="3"/>
  <c r="BC530" i="3"/>
  <c r="BD530" i="3"/>
  <c r="BE530" i="3"/>
  <c r="BF530" i="3"/>
  <c r="BG530" i="3"/>
  <c r="AT531" i="3"/>
  <c r="AU531" i="3"/>
  <c r="AV531" i="3" s="1" a="1"/>
  <c r="AV531" i="3" s="1"/>
  <c r="AY531" i="3"/>
  <c r="AZ531" i="3"/>
  <c r="BA531" i="3"/>
  <c r="BB531" i="3"/>
  <c r="BC531" i="3"/>
  <c r="BD531" i="3"/>
  <c r="BE531" i="3"/>
  <c r="BF531" i="3"/>
  <c r="BG531" i="3"/>
  <c r="AT532" i="3"/>
  <c r="AU532" i="3"/>
  <c r="AV532" i="3" s="1" a="1"/>
  <c r="AV532" i="3" s="1"/>
  <c r="AY532" i="3"/>
  <c r="AZ532" i="3"/>
  <c r="BA532" i="3"/>
  <c r="BB532" i="3"/>
  <c r="BC532" i="3"/>
  <c r="BD532" i="3"/>
  <c r="BE532" i="3"/>
  <c r="BF532" i="3"/>
  <c r="BG532" i="3"/>
  <c r="AT533" i="3"/>
  <c r="AU533" i="3"/>
  <c r="AV533" i="3" s="1" a="1"/>
  <c r="AV533" i="3" s="1"/>
  <c r="AY533" i="3"/>
  <c r="AZ533" i="3"/>
  <c r="BA533" i="3"/>
  <c r="BB533" i="3"/>
  <c r="BC533" i="3"/>
  <c r="BD533" i="3"/>
  <c r="BE533" i="3"/>
  <c r="BF533" i="3"/>
  <c r="BG533" i="3"/>
  <c r="AT534" i="3"/>
  <c r="AU534" i="3"/>
  <c r="AV534" i="3" s="1" a="1"/>
  <c r="AV534" i="3" s="1"/>
  <c r="AY534" i="3"/>
  <c r="AZ534" i="3"/>
  <c r="BA534" i="3"/>
  <c r="BB534" i="3"/>
  <c r="BC534" i="3"/>
  <c r="BD534" i="3"/>
  <c r="BE534" i="3"/>
  <c r="BF534" i="3"/>
  <c r="BG534" i="3"/>
  <c r="AT535" i="3"/>
  <c r="AU535" i="3"/>
  <c r="AV535" i="3" s="1" a="1"/>
  <c r="AV535" i="3" s="1"/>
  <c r="AY535" i="3"/>
  <c r="AZ535" i="3"/>
  <c r="BA535" i="3"/>
  <c r="BB535" i="3"/>
  <c r="BC535" i="3"/>
  <c r="BD535" i="3"/>
  <c r="BE535" i="3"/>
  <c r="BF535" i="3"/>
  <c r="BG535" i="3"/>
  <c r="AT536" i="3"/>
  <c r="AU536" i="3"/>
  <c r="AV536" i="3" s="1" a="1"/>
  <c r="AV536" i="3" s="1"/>
  <c r="AY536" i="3"/>
  <c r="AZ536" i="3"/>
  <c r="BA536" i="3"/>
  <c r="BB536" i="3"/>
  <c r="BC536" i="3"/>
  <c r="BD536" i="3"/>
  <c r="BE536" i="3"/>
  <c r="BF536" i="3"/>
  <c r="BG536" i="3"/>
  <c r="AT537" i="3"/>
  <c r="AU537" i="3"/>
  <c r="AV537" i="3" s="1" a="1"/>
  <c r="AV537" i="3" s="1"/>
  <c r="AY537" i="3"/>
  <c r="AZ537" i="3"/>
  <c r="BA537" i="3"/>
  <c r="BB537" i="3"/>
  <c r="BC537" i="3"/>
  <c r="BD537" i="3"/>
  <c r="BE537" i="3"/>
  <c r="BF537" i="3"/>
  <c r="BG537" i="3"/>
  <c r="AT538" i="3"/>
  <c r="AU538" i="3"/>
  <c r="AV538" i="3" s="1" a="1"/>
  <c r="AV538" i="3" s="1"/>
  <c r="AY538" i="3"/>
  <c r="AZ538" i="3"/>
  <c r="BA538" i="3"/>
  <c r="BB538" i="3"/>
  <c r="BC538" i="3"/>
  <c r="BD538" i="3"/>
  <c r="BE538" i="3"/>
  <c r="BF538" i="3"/>
  <c r="BG538" i="3"/>
  <c r="AT539" i="3"/>
  <c r="AU539" i="3"/>
  <c r="AV539" i="3" s="1" a="1"/>
  <c r="AV539" i="3" s="1"/>
  <c r="AY539" i="3"/>
  <c r="AZ539" i="3"/>
  <c r="BA539" i="3"/>
  <c r="BB539" i="3"/>
  <c r="BC539" i="3"/>
  <c r="BD539" i="3"/>
  <c r="BE539" i="3"/>
  <c r="BF539" i="3"/>
  <c r="BG539" i="3"/>
  <c r="AT540" i="3"/>
  <c r="AU540" i="3"/>
  <c r="AV540" i="3" s="1" a="1"/>
  <c r="AV540" i="3" s="1"/>
  <c r="AY540" i="3"/>
  <c r="AZ540" i="3"/>
  <c r="BA540" i="3"/>
  <c r="BB540" i="3"/>
  <c r="BC540" i="3"/>
  <c r="BD540" i="3"/>
  <c r="BE540" i="3"/>
  <c r="BF540" i="3"/>
  <c r="BG540" i="3"/>
  <c r="AT541" i="3"/>
  <c r="AU541" i="3"/>
  <c r="AV541" i="3" s="1" a="1"/>
  <c r="AV541" i="3" s="1"/>
  <c r="AY541" i="3"/>
  <c r="AZ541" i="3"/>
  <c r="BA541" i="3"/>
  <c r="BB541" i="3"/>
  <c r="BC541" i="3"/>
  <c r="BD541" i="3"/>
  <c r="BE541" i="3"/>
  <c r="BF541" i="3"/>
  <c r="BG541" i="3"/>
  <c r="AT542" i="3"/>
  <c r="AU542" i="3"/>
  <c r="AV542" i="3" s="1" a="1"/>
  <c r="AV542" i="3" s="1"/>
  <c r="AY542" i="3"/>
  <c r="AZ542" i="3"/>
  <c r="BA542" i="3"/>
  <c r="BB542" i="3"/>
  <c r="BC542" i="3"/>
  <c r="BD542" i="3"/>
  <c r="BE542" i="3"/>
  <c r="BF542" i="3"/>
  <c r="BG542" i="3"/>
  <c r="AT543" i="3"/>
  <c r="AU543" i="3"/>
  <c r="AV543" i="3" s="1" a="1"/>
  <c r="AV543" i="3" s="1"/>
  <c r="AY543" i="3"/>
  <c r="AZ543" i="3"/>
  <c r="BA543" i="3"/>
  <c r="BB543" i="3"/>
  <c r="BC543" i="3"/>
  <c r="BD543" i="3"/>
  <c r="BE543" i="3"/>
  <c r="BF543" i="3"/>
  <c r="BG543" i="3"/>
  <c r="AT544" i="3"/>
  <c r="AU544" i="3"/>
  <c r="AV544" i="3" s="1" a="1"/>
  <c r="AV544" i="3" s="1"/>
  <c r="AY544" i="3"/>
  <c r="AZ544" i="3"/>
  <c r="BA544" i="3"/>
  <c r="BB544" i="3"/>
  <c r="BC544" i="3"/>
  <c r="BD544" i="3"/>
  <c r="BE544" i="3"/>
  <c r="BF544" i="3"/>
  <c r="BG544" i="3"/>
  <c r="AT545" i="3"/>
  <c r="AU545" i="3"/>
  <c r="AV545" i="3" s="1" a="1"/>
  <c r="AV545" i="3" s="1"/>
  <c r="AY545" i="3"/>
  <c r="AZ545" i="3"/>
  <c r="BA545" i="3"/>
  <c r="BB545" i="3"/>
  <c r="BC545" i="3"/>
  <c r="BD545" i="3"/>
  <c r="BE545" i="3"/>
  <c r="BF545" i="3"/>
  <c r="BG545" i="3"/>
  <c r="AT546" i="3"/>
  <c r="AU546" i="3"/>
  <c r="AV546" i="3" s="1" a="1"/>
  <c r="AV546" i="3" s="1"/>
  <c r="AY546" i="3"/>
  <c r="AZ546" i="3"/>
  <c r="BA546" i="3"/>
  <c r="BB546" i="3"/>
  <c r="BC546" i="3"/>
  <c r="BD546" i="3"/>
  <c r="BE546" i="3"/>
  <c r="BF546" i="3"/>
  <c r="BG546" i="3"/>
  <c r="AT547" i="3"/>
  <c r="AU547" i="3"/>
  <c r="AV547" i="3" s="1" a="1"/>
  <c r="AV547" i="3" s="1"/>
  <c r="AY547" i="3"/>
  <c r="AZ547" i="3"/>
  <c r="BA547" i="3"/>
  <c r="BB547" i="3"/>
  <c r="BC547" i="3"/>
  <c r="BD547" i="3"/>
  <c r="BE547" i="3"/>
  <c r="BF547" i="3"/>
  <c r="BG547" i="3"/>
  <c r="AT548" i="3"/>
  <c r="AU548" i="3"/>
  <c r="AV548" i="3" s="1" a="1"/>
  <c r="AV548" i="3" s="1"/>
  <c r="AY548" i="3"/>
  <c r="AZ548" i="3"/>
  <c r="BA548" i="3"/>
  <c r="BB548" i="3"/>
  <c r="BC548" i="3"/>
  <c r="BD548" i="3"/>
  <c r="BE548" i="3"/>
  <c r="BF548" i="3"/>
  <c r="BG548" i="3"/>
  <c r="AT549" i="3"/>
  <c r="AU549" i="3"/>
  <c r="AV549" i="3" s="1" a="1"/>
  <c r="AV549" i="3" s="1"/>
  <c r="AY549" i="3"/>
  <c r="AZ549" i="3"/>
  <c r="BA549" i="3"/>
  <c r="BB549" i="3"/>
  <c r="BC549" i="3"/>
  <c r="BD549" i="3"/>
  <c r="BE549" i="3"/>
  <c r="BF549" i="3"/>
  <c r="BG549" i="3"/>
  <c r="AT550" i="3"/>
  <c r="AU550" i="3"/>
  <c r="AV550" i="3" s="1" a="1"/>
  <c r="AV550" i="3" s="1"/>
  <c r="AY550" i="3"/>
  <c r="AZ550" i="3"/>
  <c r="BA550" i="3"/>
  <c r="BB550" i="3"/>
  <c r="BC550" i="3"/>
  <c r="BD550" i="3"/>
  <c r="BE550" i="3"/>
  <c r="BF550" i="3"/>
  <c r="BG550" i="3"/>
  <c r="AT551" i="3"/>
  <c r="AU551" i="3"/>
  <c r="AV551" i="3" s="1" a="1"/>
  <c r="AV551" i="3" s="1"/>
  <c r="AY551" i="3"/>
  <c r="AZ551" i="3"/>
  <c r="BA551" i="3"/>
  <c r="BB551" i="3"/>
  <c r="BC551" i="3"/>
  <c r="BD551" i="3"/>
  <c r="BE551" i="3"/>
  <c r="BF551" i="3"/>
  <c r="BG551" i="3"/>
  <c r="AT552" i="3"/>
  <c r="AU552" i="3"/>
  <c r="AV552" i="3" s="1" a="1"/>
  <c r="AV552" i="3" s="1"/>
  <c r="AY552" i="3"/>
  <c r="AZ552" i="3"/>
  <c r="BA552" i="3"/>
  <c r="BB552" i="3"/>
  <c r="BC552" i="3"/>
  <c r="BD552" i="3"/>
  <c r="BE552" i="3"/>
  <c r="BF552" i="3"/>
  <c r="BG552" i="3"/>
  <c r="AT553" i="3"/>
  <c r="AU553" i="3"/>
  <c r="AV553" i="3" s="1" a="1"/>
  <c r="AV553" i="3" s="1"/>
  <c r="AY553" i="3"/>
  <c r="AZ553" i="3"/>
  <c r="BA553" i="3"/>
  <c r="BB553" i="3"/>
  <c r="BC553" i="3"/>
  <c r="BD553" i="3"/>
  <c r="BE553" i="3"/>
  <c r="BF553" i="3"/>
  <c r="BG553" i="3"/>
  <c r="AT554" i="3"/>
  <c r="AU554" i="3"/>
  <c r="AV554" i="3" s="1" a="1"/>
  <c r="AV554" i="3" s="1"/>
  <c r="AY554" i="3"/>
  <c r="AZ554" i="3"/>
  <c r="BA554" i="3"/>
  <c r="BB554" i="3"/>
  <c r="BC554" i="3"/>
  <c r="BD554" i="3"/>
  <c r="BE554" i="3"/>
  <c r="BF554" i="3"/>
  <c r="BG554" i="3"/>
  <c r="AT555" i="3"/>
  <c r="AU555" i="3"/>
  <c r="AV555" i="3" s="1" a="1"/>
  <c r="AV555" i="3" s="1"/>
  <c r="AY555" i="3"/>
  <c r="AZ555" i="3"/>
  <c r="BA555" i="3"/>
  <c r="BB555" i="3"/>
  <c r="BC555" i="3"/>
  <c r="BD555" i="3"/>
  <c r="BE555" i="3"/>
  <c r="BF555" i="3"/>
  <c r="BG555" i="3"/>
  <c r="AT556" i="3"/>
  <c r="AU556" i="3"/>
  <c r="AV556" i="3" s="1" a="1"/>
  <c r="AV556" i="3" s="1"/>
  <c r="AY556" i="3"/>
  <c r="AZ556" i="3"/>
  <c r="BA556" i="3"/>
  <c r="BB556" i="3"/>
  <c r="BC556" i="3"/>
  <c r="BD556" i="3"/>
  <c r="BE556" i="3"/>
  <c r="BF556" i="3"/>
  <c r="BG556" i="3"/>
  <c r="AT557" i="3"/>
  <c r="AU557" i="3"/>
  <c r="AV557" i="3" s="1" a="1"/>
  <c r="AV557" i="3" s="1"/>
  <c r="AY557" i="3"/>
  <c r="AZ557" i="3"/>
  <c r="BA557" i="3"/>
  <c r="BB557" i="3"/>
  <c r="BC557" i="3"/>
  <c r="BD557" i="3"/>
  <c r="BE557" i="3"/>
  <c r="BF557" i="3"/>
  <c r="BG557" i="3"/>
  <c r="AT558" i="3"/>
  <c r="AU558" i="3"/>
  <c r="AV558" i="3" s="1" a="1"/>
  <c r="AV558" i="3" s="1"/>
  <c r="AY558" i="3"/>
  <c r="AZ558" i="3"/>
  <c r="BA558" i="3"/>
  <c r="BB558" i="3"/>
  <c r="BC558" i="3"/>
  <c r="BD558" i="3"/>
  <c r="BE558" i="3"/>
  <c r="BF558" i="3"/>
  <c r="BG558" i="3"/>
  <c r="AT559" i="3"/>
  <c r="AU559" i="3"/>
  <c r="AV559" i="3" s="1" a="1"/>
  <c r="AV559" i="3" s="1"/>
  <c r="AY559" i="3"/>
  <c r="AZ559" i="3"/>
  <c r="BA559" i="3"/>
  <c r="BB559" i="3"/>
  <c r="BC559" i="3"/>
  <c r="BD559" i="3"/>
  <c r="BE559" i="3"/>
  <c r="BF559" i="3"/>
  <c r="BG559" i="3"/>
  <c r="AT560" i="3"/>
  <c r="AU560" i="3"/>
  <c r="AV560" i="3" s="1" a="1"/>
  <c r="AV560" i="3" s="1"/>
  <c r="AY560" i="3"/>
  <c r="AZ560" i="3"/>
  <c r="BA560" i="3"/>
  <c r="BB560" i="3"/>
  <c r="BC560" i="3"/>
  <c r="BD560" i="3"/>
  <c r="BE560" i="3"/>
  <c r="BF560" i="3"/>
  <c r="BG560" i="3"/>
  <c r="AT561" i="3"/>
  <c r="AU561" i="3"/>
  <c r="AV561" i="3" s="1" a="1"/>
  <c r="AV561" i="3" s="1"/>
  <c r="AY561" i="3"/>
  <c r="AZ561" i="3"/>
  <c r="BA561" i="3"/>
  <c r="BB561" i="3"/>
  <c r="BC561" i="3"/>
  <c r="BD561" i="3"/>
  <c r="BE561" i="3"/>
  <c r="BF561" i="3"/>
  <c r="BG561" i="3"/>
  <c r="AT562" i="3"/>
  <c r="AU562" i="3"/>
  <c r="AV562" i="3" s="1" a="1"/>
  <c r="AV562" i="3" s="1"/>
  <c r="AY562" i="3"/>
  <c r="AZ562" i="3"/>
  <c r="BA562" i="3"/>
  <c r="BB562" i="3"/>
  <c r="BC562" i="3"/>
  <c r="BD562" i="3"/>
  <c r="BE562" i="3"/>
  <c r="BF562" i="3"/>
  <c r="BG562" i="3"/>
  <c r="AT563" i="3"/>
  <c r="AU563" i="3"/>
  <c r="AV563" i="3" s="1" a="1"/>
  <c r="AV563" i="3" s="1"/>
  <c r="AY563" i="3"/>
  <c r="AZ563" i="3"/>
  <c r="BA563" i="3"/>
  <c r="BB563" i="3"/>
  <c r="BC563" i="3"/>
  <c r="BD563" i="3"/>
  <c r="BE563" i="3"/>
  <c r="BF563" i="3"/>
  <c r="BG563" i="3"/>
  <c r="AT564" i="3"/>
  <c r="AU564" i="3"/>
  <c r="AV564" i="3" s="1" a="1"/>
  <c r="AV564" i="3" s="1"/>
  <c r="AY564" i="3"/>
  <c r="AZ564" i="3"/>
  <c r="BA564" i="3"/>
  <c r="BB564" i="3"/>
  <c r="BC564" i="3"/>
  <c r="BD564" i="3"/>
  <c r="BE564" i="3"/>
  <c r="BF564" i="3"/>
  <c r="BG564" i="3"/>
  <c r="AT565" i="3"/>
  <c r="AU565" i="3"/>
  <c r="AV565" i="3" s="1" a="1"/>
  <c r="AV565" i="3" s="1"/>
  <c r="AY565" i="3"/>
  <c r="AZ565" i="3"/>
  <c r="BA565" i="3"/>
  <c r="BB565" i="3"/>
  <c r="BC565" i="3"/>
  <c r="BD565" i="3"/>
  <c r="BE565" i="3"/>
  <c r="BF565" i="3"/>
  <c r="BG565" i="3"/>
  <c r="AT566" i="3"/>
  <c r="AU566" i="3"/>
  <c r="AV566" i="3" s="1" a="1"/>
  <c r="AV566" i="3" s="1"/>
  <c r="AY566" i="3"/>
  <c r="AZ566" i="3"/>
  <c r="BA566" i="3"/>
  <c r="BB566" i="3"/>
  <c r="BC566" i="3"/>
  <c r="BD566" i="3"/>
  <c r="BE566" i="3"/>
  <c r="BF566" i="3"/>
  <c r="BG566" i="3"/>
  <c r="AT567" i="3"/>
  <c r="AU567" i="3"/>
  <c r="AV567" i="3" s="1" a="1"/>
  <c r="AV567" i="3" s="1"/>
  <c r="AY567" i="3"/>
  <c r="AZ567" i="3"/>
  <c r="BA567" i="3"/>
  <c r="BB567" i="3"/>
  <c r="BC567" i="3"/>
  <c r="BD567" i="3"/>
  <c r="BE567" i="3"/>
  <c r="BF567" i="3"/>
  <c r="BG567" i="3"/>
  <c r="AT568" i="3"/>
  <c r="AU568" i="3"/>
  <c r="AV568" i="3" s="1" a="1"/>
  <c r="AV568" i="3" s="1"/>
  <c r="AY568" i="3"/>
  <c r="AZ568" i="3"/>
  <c r="BA568" i="3"/>
  <c r="BB568" i="3"/>
  <c r="BC568" i="3"/>
  <c r="BD568" i="3"/>
  <c r="BE568" i="3"/>
  <c r="BF568" i="3"/>
  <c r="BG568" i="3"/>
  <c r="AT569" i="3"/>
  <c r="AU569" i="3"/>
  <c r="AV569" i="3" s="1" a="1"/>
  <c r="AV569" i="3" s="1"/>
  <c r="AY569" i="3"/>
  <c r="AZ569" i="3"/>
  <c r="BA569" i="3"/>
  <c r="BB569" i="3"/>
  <c r="BC569" i="3"/>
  <c r="BD569" i="3"/>
  <c r="BE569" i="3"/>
  <c r="BF569" i="3"/>
  <c r="BG569" i="3"/>
  <c r="AT570" i="3"/>
  <c r="AU570" i="3"/>
  <c r="AV570" i="3" s="1" a="1"/>
  <c r="AV570" i="3" s="1"/>
  <c r="AY570" i="3"/>
  <c r="AZ570" i="3"/>
  <c r="BA570" i="3"/>
  <c r="BB570" i="3"/>
  <c r="BC570" i="3"/>
  <c r="BD570" i="3"/>
  <c r="BE570" i="3"/>
  <c r="BF570" i="3"/>
  <c r="BG570" i="3"/>
  <c r="AT571" i="3"/>
  <c r="AU571" i="3"/>
  <c r="AV571" i="3" s="1" a="1"/>
  <c r="AV571" i="3" s="1"/>
  <c r="AY571" i="3"/>
  <c r="AZ571" i="3"/>
  <c r="BA571" i="3"/>
  <c r="BB571" i="3"/>
  <c r="BC571" i="3"/>
  <c r="BD571" i="3"/>
  <c r="BE571" i="3"/>
  <c r="BF571" i="3"/>
  <c r="BG571" i="3"/>
  <c r="AT572" i="3"/>
  <c r="AU572" i="3"/>
  <c r="AV572" i="3" s="1" a="1"/>
  <c r="AV572" i="3" s="1"/>
  <c r="AY572" i="3"/>
  <c r="AZ572" i="3"/>
  <c r="BA572" i="3"/>
  <c r="BB572" i="3"/>
  <c r="BC572" i="3"/>
  <c r="BD572" i="3"/>
  <c r="BE572" i="3"/>
  <c r="BF572" i="3"/>
  <c r="BG572" i="3"/>
  <c r="AT573" i="3"/>
  <c r="AU573" i="3"/>
  <c r="AV573" i="3" s="1" a="1"/>
  <c r="AV573" i="3" s="1"/>
  <c r="AY573" i="3"/>
  <c r="AZ573" i="3"/>
  <c r="BA573" i="3"/>
  <c r="BB573" i="3"/>
  <c r="BC573" i="3"/>
  <c r="BD573" i="3"/>
  <c r="BE573" i="3"/>
  <c r="BF573" i="3"/>
  <c r="BG573" i="3"/>
  <c r="AT574" i="3"/>
  <c r="AU574" i="3"/>
  <c r="AV574" i="3" s="1" a="1"/>
  <c r="AV574" i="3" s="1"/>
  <c r="AY574" i="3"/>
  <c r="AZ574" i="3"/>
  <c r="BA574" i="3"/>
  <c r="BB574" i="3"/>
  <c r="BC574" i="3"/>
  <c r="BD574" i="3"/>
  <c r="BE574" i="3"/>
  <c r="BF574" i="3"/>
  <c r="BG574" i="3"/>
  <c r="AT575" i="3"/>
  <c r="AU575" i="3"/>
  <c r="AV575" i="3" s="1" a="1"/>
  <c r="AV575" i="3" s="1"/>
  <c r="AY575" i="3"/>
  <c r="AZ575" i="3"/>
  <c r="BA575" i="3"/>
  <c r="BB575" i="3"/>
  <c r="BC575" i="3"/>
  <c r="BD575" i="3"/>
  <c r="BE575" i="3"/>
  <c r="BF575" i="3"/>
  <c r="BG575" i="3"/>
  <c r="AT576" i="3"/>
  <c r="AU576" i="3"/>
  <c r="AV576" i="3" s="1" a="1"/>
  <c r="AV576" i="3" s="1"/>
  <c r="AY576" i="3"/>
  <c r="AZ576" i="3"/>
  <c r="BA576" i="3"/>
  <c r="BB576" i="3"/>
  <c r="BC576" i="3"/>
  <c r="BD576" i="3"/>
  <c r="BE576" i="3"/>
  <c r="BF576" i="3"/>
  <c r="BG576" i="3"/>
  <c r="AT577" i="3"/>
  <c r="AU577" i="3"/>
  <c r="AV577" i="3" s="1" a="1"/>
  <c r="AV577" i="3" s="1"/>
  <c r="AY577" i="3"/>
  <c r="AZ577" i="3"/>
  <c r="BA577" i="3"/>
  <c r="BB577" i="3"/>
  <c r="BC577" i="3"/>
  <c r="BD577" i="3"/>
  <c r="BE577" i="3"/>
  <c r="BF577" i="3"/>
  <c r="BG577" i="3"/>
  <c r="AT578" i="3"/>
  <c r="AU578" i="3"/>
  <c r="AV578" i="3" s="1" a="1"/>
  <c r="AV578" i="3" s="1"/>
  <c r="AY578" i="3"/>
  <c r="AZ578" i="3"/>
  <c r="BA578" i="3"/>
  <c r="BB578" i="3"/>
  <c r="BC578" i="3"/>
  <c r="BD578" i="3"/>
  <c r="BE578" i="3"/>
  <c r="BF578" i="3"/>
  <c r="BG578" i="3"/>
  <c r="AT579" i="3"/>
  <c r="AU579" i="3"/>
  <c r="AV579" i="3" s="1" a="1"/>
  <c r="AV579" i="3" s="1"/>
  <c r="AY579" i="3"/>
  <c r="AZ579" i="3"/>
  <c r="BA579" i="3"/>
  <c r="BB579" i="3"/>
  <c r="BC579" i="3"/>
  <c r="BD579" i="3"/>
  <c r="BE579" i="3"/>
  <c r="BF579" i="3"/>
  <c r="BG579" i="3"/>
  <c r="AT580" i="3"/>
  <c r="AU580" i="3"/>
  <c r="AV580" i="3" s="1" a="1"/>
  <c r="AV580" i="3" s="1"/>
  <c r="AY580" i="3"/>
  <c r="AZ580" i="3"/>
  <c r="BA580" i="3"/>
  <c r="BB580" i="3"/>
  <c r="BC580" i="3"/>
  <c r="BD580" i="3"/>
  <c r="BE580" i="3"/>
  <c r="BF580" i="3"/>
  <c r="BG580" i="3"/>
  <c r="AT581" i="3"/>
  <c r="AU581" i="3"/>
  <c r="AV581" i="3" s="1" a="1"/>
  <c r="AV581" i="3" s="1"/>
  <c r="AY581" i="3"/>
  <c r="AZ581" i="3"/>
  <c r="BA581" i="3"/>
  <c r="BB581" i="3"/>
  <c r="BC581" i="3"/>
  <c r="BD581" i="3"/>
  <c r="BE581" i="3"/>
  <c r="BF581" i="3"/>
  <c r="BG581" i="3"/>
  <c r="AT582" i="3"/>
  <c r="AU582" i="3"/>
  <c r="AV582" i="3" s="1" a="1"/>
  <c r="AV582" i="3" s="1"/>
  <c r="AY582" i="3"/>
  <c r="AZ582" i="3"/>
  <c r="BA582" i="3"/>
  <c r="BB582" i="3"/>
  <c r="BC582" i="3"/>
  <c r="BD582" i="3"/>
  <c r="BE582" i="3"/>
  <c r="BF582" i="3"/>
  <c r="BG582" i="3"/>
  <c r="AT583" i="3"/>
  <c r="AU583" i="3"/>
  <c r="AV583" i="3" s="1" a="1"/>
  <c r="AV583" i="3" s="1"/>
  <c r="AY583" i="3"/>
  <c r="AZ583" i="3"/>
  <c r="BA583" i="3"/>
  <c r="BB583" i="3"/>
  <c r="BC583" i="3"/>
  <c r="BD583" i="3"/>
  <c r="BE583" i="3"/>
  <c r="BF583" i="3"/>
  <c r="BG583" i="3"/>
  <c r="AT584" i="3"/>
  <c r="AU584" i="3"/>
  <c r="AV584" i="3" s="1" a="1"/>
  <c r="AV584" i="3" s="1"/>
  <c r="AY584" i="3"/>
  <c r="AZ584" i="3"/>
  <c r="BA584" i="3"/>
  <c r="BB584" i="3"/>
  <c r="BC584" i="3"/>
  <c r="BD584" i="3"/>
  <c r="BE584" i="3"/>
  <c r="BF584" i="3"/>
  <c r="BG584" i="3"/>
  <c r="AT585" i="3"/>
  <c r="AU585" i="3"/>
  <c r="AV585" i="3" s="1" a="1"/>
  <c r="AV585" i="3" s="1"/>
  <c r="AY585" i="3"/>
  <c r="AZ585" i="3"/>
  <c r="BA585" i="3"/>
  <c r="BB585" i="3"/>
  <c r="BC585" i="3"/>
  <c r="BD585" i="3"/>
  <c r="BE585" i="3"/>
  <c r="BF585" i="3"/>
  <c r="BG585" i="3"/>
  <c r="AT586" i="3"/>
  <c r="AU586" i="3"/>
  <c r="AV586" i="3" s="1" a="1"/>
  <c r="AV586" i="3" s="1"/>
  <c r="AY586" i="3"/>
  <c r="AZ586" i="3"/>
  <c r="BA586" i="3"/>
  <c r="BB586" i="3"/>
  <c r="BC586" i="3"/>
  <c r="BD586" i="3"/>
  <c r="BE586" i="3"/>
  <c r="BF586" i="3"/>
  <c r="BG586" i="3"/>
  <c r="AT587" i="3"/>
  <c r="AU587" i="3"/>
  <c r="AV587" i="3" s="1" a="1"/>
  <c r="AV587" i="3" s="1"/>
  <c r="AY587" i="3"/>
  <c r="AZ587" i="3"/>
  <c r="BA587" i="3"/>
  <c r="BB587" i="3"/>
  <c r="BC587" i="3"/>
  <c r="BD587" i="3"/>
  <c r="BE587" i="3"/>
  <c r="BF587" i="3"/>
  <c r="BG587" i="3"/>
  <c r="AT588" i="3"/>
  <c r="AU588" i="3"/>
  <c r="AV588" i="3" s="1" a="1"/>
  <c r="AV588" i="3" s="1"/>
  <c r="AY588" i="3"/>
  <c r="AZ588" i="3"/>
  <c r="BA588" i="3"/>
  <c r="BB588" i="3"/>
  <c r="BC588" i="3"/>
  <c r="BD588" i="3"/>
  <c r="BE588" i="3"/>
  <c r="BF588" i="3"/>
  <c r="BG588" i="3"/>
  <c r="AT589" i="3"/>
  <c r="AU589" i="3"/>
  <c r="AV589" i="3" s="1" a="1"/>
  <c r="AV589" i="3" s="1"/>
  <c r="AY589" i="3"/>
  <c r="AZ589" i="3"/>
  <c r="BA589" i="3"/>
  <c r="BB589" i="3"/>
  <c r="BC589" i="3"/>
  <c r="BD589" i="3"/>
  <c r="BE589" i="3"/>
  <c r="BF589" i="3"/>
  <c r="BG589" i="3"/>
  <c r="AT590" i="3"/>
  <c r="AU590" i="3"/>
  <c r="AV590" i="3" s="1" a="1"/>
  <c r="AV590" i="3" s="1"/>
  <c r="AY590" i="3"/>
  <c r="AZ590" i="3"/>
  <c r="BA590" i="3"/>
  <c r="BB590" i="3"/>
  <c r="BC590" i="3"/>
  <c r="BD590" i="3"/>
  <c r="BE590" i="3"/>
  <c r="BF590" i="3"/>
  <c r="BG590" i="3"/>
  <c r="AT591" i="3"/>
  <c r="AU591" i="3"/>
  <c r="AV591" i="3" s="1" a="1"/>
  <c r="AV591" i="3" s="1"/>
  <c r="AY591" i="3"/>
  <c r="AZ591" i="3"/>
  <c r="BA591" i="3"/>
  <c r="BB591" i="3"/>
  <c r="BC591" i="3"/>
  <c r="BD591" i="3"/>
  <c r="BE591" i="3"/>
  <c r="BF591" i="3"/>
  <c r="BG591" i="3"/>
  <c r="AT592" i="3"/>
  <c r="AU592" i="3"/>
  <c r="AV592" i="3" s="1" a="1"/>
  <c r="AV592" i="3" s="1"/>
  <c r="AY592" i="3"/>
  <c r="AZ592" i="3"/>
  <c r="BA592" i="3"/>
  <c r="BB592" i="3"/>
  <c r="BC592" i="3"/>
  <c r="BD592" i="3"/>
  <c r="BE592" i="3"/>
  <c r="BF592" i="3"/>
  <c r="BG592" i="3"/>
  <c r="AT593" i="3"/>
  <c r="AU593" i="3"/>
  <c r="AV593" i="3" s="1" a="1"/>
  <c r="AV593" i="3" s="1"/>
  <c r="AY593" i="3"/>
  <c r="AZ593" i="3"/>
  <c r="BA593" i="3"/>
  <c r="BB593" i="3"/>
  <c r="BC593" i="3"/>
  <c r="BD593" i="3"/>
  <c r="BE593" i="3"/>
  <c r="BF593" i="3"/>
  <c r="BG593" i="3"/>
  <c r="AT594" i="3"/>
  <c r="AU594" i="3"/>
  <c r="AV594" i="3" s="1" a="1"/>
  <c r="AV594" i="3" s="1"/>
  <c r="AY594" i="3"/>
  <c r="AZ594" i="3"/>
  <c r="BA594" i="3"/>
  <c r="BB594" i="3"/>
  <c r="BC594" i="3"/>
  <c r="BD594" i="3"/>
  <c r="BE594" i="3"/>
  <c r="BF594" i="3"/>
  <c r="BG594" i="3"/>
  <c r="AT595" i="3"/>
  <c r="AU595" i="3"/>
  <c r="AV595" i="3" s="1" a="1"/>
  <c r="AV595" i="3" s="1"/>
  <c r="AY595" i="3"/>
  <c r="AZ595" i="3"/>
  <c r="BA595" i="3"/>
  <c r="BB595" i="3"/>
  <c r="BC595" i="3"/>
  <c r="BD595" i="3"/>
  <c r="BE595" i="3"/>
  <c r="BF595" i="3"/>
  <c r="BG595" i="3"/>
  <c r="AT596" i="3"/>
  <c r="AU596" i="3"/>
  <c r="AV596" i="3" s="1" a="1"/>
  <c r="AV596" i="3" s="1"/>
  <c r="AY596" i="3"/>
  <c r="AZ596" i="3"/>
  <c r="BA596" i="3"/>
  <c r="BB596" i="3"/>
  <c r="BC596" i="3"/>
  <c r="BD596" i="3"/>
  <c r="BE596" i="3"/>
  <c r="BF596" i="3"/>
  <c r="BG596" i="3"/>
  <c r="AT597" i="3"/>
  <c r="AU597" i="3"/>
  <c r="AV597" i="3" s="1" a="1"/>
  <c r="AV597" i="3" s="1"/>
  <c r="AY597" i="3"/>
  <c r="AZ597" i="3"/>
  <c r="BA597" i="3"/>
  <c r="BB597" i="3"/>
  <c r="BC597" i="3"/>
  <c r="BD597" i="3"/>
  <c r="BE597" i="3"/>
  <c r="BF597" i="3"/>
  <c r="BG597" i="3"/>
  <c r="AT598" i="3"/>
  <c r="AU598" i="3"/>
  <c r="AV598" i="3" s="1" a="1"/>
  <c r="AV598" i="3" s="1"/>
  <c r="AY598" i="3"/>
  <c r="AZ598" i="3"/>
  <c r="BA598" i="3"/>
  <c r="BB598" i="3"/>
  <c r="BC598" i="3"/>
  <c r="BD598" i="3"/>
  <c r="BE598" i="3"/>
  <c r="BF598" i="3"/>
  <c r="BG598" i="3"/>
  <c r="AT599" i="3"/>
  <c r="AU599" i="3"/>
  <c r="AV599" i="3" s="1" a="1"/>
  <c r="AV599" i="3" s="1"/>
  <c r="AY599" i="3"/>
  <c r="AZ599" i="3"/>
  <c r="BA599" i="3"/>
  <c r="BB599" i="3"/>
  <c r="BC599" i="3"/>
  <c r="BD599" i="3"/>
  <c r="BE599" i="3"/>
  <c r="BF599" i="3"/>
  <c r="BG599" i="3"/>
  <c r="AT600" i="3"/>
  <c r="AU600" i="3"/>
  <c r="AV600" i="3" s="1" a="1"/>
  <c r="AV600" i="3" s="1"/>
  <c r="AY600" i="3"/>
  <c r="AZ600" i="3"/>
  <c r="BA600" i="3"/>
  <c r="BB600" i="3"/>
  <c r="BC600" i="3"/>
  <c r="BD600" i="3"/>
  <c r="BE600" i="3"/>
  <c r="BF600" i="3"/>
  <c r="BG600" i="3"/>
  <c r="AT601" i="3"/>
  <c r="AU601" i="3"/>
  <c r="AV601" i="3" s="1" a="1"/>
  <c r="AV601" i="3" s="1"/>
  <c r="AY601" i="3"/>
  <c r="AZ601" i="3"/>
  <c r="BA601" i="3"/>
  <c r="BB601" i="3"/>
  <c r="BC601" i="3"/>
  <c r="BD601" i="3"/>
  <c r="BE601" i="3"/>
  <c r="BF601" i="3"/>
  <c r="BG601" i="3"/>
  <c r="AT602" i="3"/>
  <c r="AU602" i="3"/>
  <c r="AV602" i="3" s="1" a="1"/>
  <c r="AV602" i="3" s="1"/>
  <c r="AY602" i="3"/>
  <c r="AZ602" i="3"/>
  <c r="BA602" i="3"/>
  <c r="BB602" i="3"/>
  <c r="BC602" i="3"/>
  <c r="BD602" i="3"/>
  <c r="BE602" i="3"/>
  <c r="BF602" i="3"/>
  <c r="BG602" i="3"/>
  <c r="AT603" i="3"/>
  <c r="AU603" i="3"/>
  <c r="AV603" i="3" s="1" a="1"/>
  <c r="AV603" i="3" s="1"/>
  <c r="AY603" i="3"/>
  <c r="AZ603" i="3"/>
  <c r="BA603" i="3"/>
  <c r="BB603" i="3"/>
  <c r="BC603" i="3"/>
  <c r="BD603" i="3"/>
  <c r="BE603" i="3"/>
  <c r="BF603" i="3"/>
  <c r="BG603" i="3"/>
  <c r="AT604" i="3"/>
  <c r="AU604" i="3"/>
  <c r="AV604" i="3" s="1" a="1"/>
  <c r="AV604" i="3" s="1"/>
  <c r="AY604" i="3"/>
  <c r="AZ604" i="3"/>
  <c r="BA604" i="3"/>
  <c r="BB604" i="3"/>
  <c r="BC604" i="3"/>
  <c r="BD604" i="3"/>
  <c r="BE604" i="3"/>
  <c r="BF604" i="3"/>
  <c r="BG604" i="3"/>
  <c r="AT605" i="3"/>
  <c r="AU605" i="3"/>
  <c r="AV605" i="3" s="1" a="1"/>
  <c r="AV605" i="3" s="1"/>
  <c r="AY605" i="3"/>
  <c r="AZ605" i="3"/>
  <c r="BA605" i="3"/>
  <c r="BB605" i="3"/>
  <c r="BC605" i="3"/>
  <c r="BD605" i="3"/>
  <c r="BE605" i="3"/>
  <c r="BF605" i="3"/>
  <c r="BG605" i="3"/>
  <c r="AT606" i="3"/>
  <c r="AU606" i="3"/>
  <c r="AV606" i="3" s="1" a="1"/>
  <c r="AV606" i="3" s="1"/>
  <c r="AY606" i="3"/>
  <c r="AZ606" i="3"/>
  <c r="BA606" i="3"/>
  <c r="BB606" i="3"/>
  <c r="BC606" i="3"/>
  <c r="BD606" i="3"/>
  <c r="BE606" i="3"/>
  <c r="BF606" i="3"/>
  <c r="BG606" i="3"/>
  <c r="AT607" i="3"/>
  <c r="AU607" i="3"/>
  <c r="AV607" i="3" s="1" a="1"/>
  <c r="AV607" i="3" s="1"/>
  <c r="AY607" i="3"/>
  <c r="AZ607" i="3"/>
  <c r="BA607" i="3"/>
  <c r="BB607" i="3"/>
  <c r="BC607" i="3"/>
  <c r="BD607" i="3"/>
  <c r="BE607" i="3"/>
  <c r="BF607" i="3"/>
  <c r="BG607" i="3"/>
  <c r="AT608" i="3"/>
  <c r="AU608" i="3"/>
  <c r="AV608" i="3" s="1" a="1"/>
  <c r="AV608" i="3" s="1"/>
  <c r="AY608" i="3"/>
  <c r="AZ608" i="3"/>
  <c r="BA608" i="3"/>
  <c r="BB608" i="3"/>
  <c r="BC608" i="3"/>
  <c r="BD608" i="3"/>
  <c r="BE608" i="3"/>
  <c r="BF608" i="3"/>
  <c r="BG608" i="3"/>
  <c r="AT609" i="3"/>
  <c r="AU609" i="3"/>
  <c r="AV609" i="3" s="1" a="1"/>
  <c r="AV609" i="3" s="1"/>
  <c r="AY609" i="3"/>
  <c r="AZ609" i="3"/>
  <c r="BA609" i="3"/>
  <c r="BB609" i="3"/>
  <c r="BC609" i="3"/>
  <c r="BD609" i="3"/>
  <c r="BE609" i="3"/>
  <c r="BF609" i="3"/>
  <c r="BG609" i="3"/>
  <c r="AT610" i="3"/>
  <c r="AU610" i="3"/>
  <c r="AV610" i="3" s="1" a="1"/>
  <c r="AV610" i="3" s="1"/>
  <c r="AY610" i="3"/>
  <c r="AZ610" i="3"/>
  <c r="BA610" i="3"/>
  <c r="BB610" i="3"/>
  <c r="BC610" i="3"/>
  <c r="BD610" i="3"/>
  <c r="BE610" i="3"/>
  <c r="BF610" i="3"/>
  <c r="BG610" i="3"/>
  <c r="AT611" i="3"/>
  <c r="AU611" i="3"/>
  <c r="AV611" i="3" s="1" a="1"/>
  <c r="AV611" i="3" s="1"/>
  <c r="AY611" i="3"/>
  <c r="AZ611" i="3"/>
  <c r="BA611" i="3"/>
  <c r="BB611" i="3"/>
  <c r="BC611" i="3"/>
  <c r="BD611" i="3"/>
  <c r="BE611" i="3"/>
  <c r="BF611" i="3"/>
  <c r="BG611" i="3"/>
  <c r="AT612" i="3"/>
  <c r="AU612" i="3"/>
  <c r="AV612" i="3" s="1" a="1"/>
  <c r="AV612" i="3" s="1"/>
  <c r="AY612" i="3"/>
  <c r="AZ612" i="3"/>
  <c r="BA612" i="3"/>
  <c r="BB612" i="3"/>
  <c r="BC612" i="3"/>
  <c r="BD612" i="3"/>
  <c r="BE612" i="3"/>
  <c r="BF612" i="3"/>
  <c r="BG612" i="3"/>
  <c r="AT613" i="3"/>
  <c r="AU613" i="3"/>
  <c r="AV613" i="3" s="1" a="1"/>
  <c r="AV613" i="3" s="1"/>
  <c r="AY613" i="3"/>
  <c r="AZ613" i="3"/>
  <c r="BA613" i="3"/>
  <c r="BB613" i="3"/>
  <c r="BC613" i="3"/>
  <c r="BD613" i="3"/>
  <c r="BE613" i="3"/>
  <c r="BF613" i="3"/>
  <c r="BG613" i="3"/>
  <c r="AT614" i="3"/>
  <c r="AU614" i="3"/>
  <c r="AV614" i="3" s="1" a="1"/>
  <c r="AV614" i="3" s="1"/>
  <c r="AY614" i="3"/>
  <c r="AZ614" i="3"/>
  <c r="BA614" i="3"/>
  <c r="BB614" i="3"/>
  <c r="BC614" i="3"/>
  <c r="BD614" i="3"/>
  <c r="BE614" i="3"/>
  <c r="BF614" i="3"/>
  <c r="BG614" i="3"/>
  <c r="AT615" i="3"/>
  <c r="AU615" i="3"/>
  <c r="AV615" i="3" s="1" a="1"/>
  <c r="AV615" i="3" s="1"/>
  <c r="AY615" i="3"/>
  <c r="AZ615" i="3"/>
  <c r="BA615" i="3"/>
  <c r="BB615" i="3"/>
  <c r="BC615" i="3"/>
  <c r="BD615" i="3"/>
  <c r="BE615" i="3"/>
  <c r="BF615" i="3"/>
  <c r="BG615" i="3"/>
  <c r="AT616" i="3"/>
  <c r="AU616" i="3"/>
  <c r="AV616" i="3" s="1" a="1"/>
  <c r="AV616" i="3" s="1"/>
  <c r="AY616" i="3"/>
  <c r="AZ616" i="3"/>
  <c r="BA616" i="3"/>
  <c r="BB616" i="3"/>
  <c r="BC616" i="3"/>
  <c r="BD616" i="3"/>
  <c r="BE616" i="3"/>
  <c r="BF616" i="3"/>
  <c r="BG616" i="3"/>
  <c r="AT617" i="3"/>
  <c r="AU617" i="3"/>
  <c r="AV617" i="3" s="1" a="1"/>
  <c r="AV617" i="3" s="1"/>
  <c r="AY617" i="3"/>
  <c r="AZ617" i="3"/>
  <c r="BA617" i="3"/>
  <c r="BB617" i="3"/>
  <c r="BC617" i="3"/>
  <c r="BD617" i="3"/>
  <c r="BE617" i="3"/>
  <c r="BF617" i="3"/>
  <c r="BG617" i="3"/>
  <c r="AT618" i="3"/>
  <c r="AU618" i="3"/>
  <c r="AV618" i="3" s="1" a="1"/>
  <c r="AV618" i="3" s="1"/>
  <c r="AY618" i="3"/>
  <c r="AZ618" i="3"/>
  <c r="BA618" i="3"/>
  <c r="BB618" i="3"/>
  <c r="BC618" i="3"/>
  <c r="BD618" i="3"/>
  <c r="BE618" i="3"/>
  <c r="BF618" i="3"/>
  <c r="BG618" i="3"/>
  <c r="AT619" i="3"/>
  <c r="AU619" i="3"/>
  <c r="AV619" i="3" s="1" a="1"/>
  <c r="AV619" i="3" s="1"/>
  <c r="AY619" i="3"/>
  <c r="AZ619" i="3"/>
  <c r="BA619" i="3"/>
  <c r="BB619" i="3"/>
  <c r="BC619" i="3"/>
  <c r="BD619" i="3"/>
  <c r="BE619" i="3"/>
  <c r="BF619" i="3"/>
  <c r="BG619" i="3"/>
  <c r="AT620" i="3"/>
  <c r="AU620" i="3"/>
  <c r="AV620" i="3" s="1" a="1"/>
  <c r="AV620" i="3" s="1"/>
  <c r="AY620" i="3"/>
  <c r="AZ620" i="3"/>
  <c r="BA620" i="3"/>
  <c r="BB620" i="3"/>
  <c r="BC620" i="3"/>
  <c r="BD620" i="3"/>
  <c r="BE620" i="3"/>
  <c r="BF620" i="3"/>
  <c r="BG620" i="3"/>
  <c r="AT621" i="3"/>
  <c r="AU621" i="3"/>
  <c r="AV621" i="3" s="1" a="1"/>
  <c r="AV621" i="3" s="1"/>
  <c r="AY621" i="3"/>
  <c r="AZ621" i="3"/>
  <c r="BA621" i="3"/>
  <c r="BB621" i="3"/>
  <c r="BC621" i="3"/>
  <c r="BD621" i="3"/>
  <c r="BE621" i="3"/>
  <c r="BF621" i="3"/>
  <c r="BG621" i="3"/>
  <c r="AT622" i="3"/>
  <c r="AU622" i="3"/>
  <c r="AV622" i="3" s="1" a="1"/>
  <c r="AV622" i="3" s="1"/>
  <c r="AY622" i="3"/>
  <c r="AZ622" i="3"/>
  <c r="BA622" i="3"/>
  <c r="BB622" i="3"/>
  <c r="BC622" i="3"/>
  <c r="BD622" i="3"/>
  <c r="BE622" i="3"/>
  <c r="BF622" i="3"/>
  <c r="BG622" i="3"/>
  <c r="AT623" i="3"/>
  <c r="AU623" i="3"/>
  <c r="AV623" i="3" s="1" a="1"/>
  <c r="AV623" i="3" s="1"/>
  <c r="AY623" i="3"/>
  <c r="AZ623" i="3"/>
  <c r="BA623" i="3"/>
  <c r="BB623" i="3"/>
  <c r="BC623" i="3"/>
  <c r="BD623" i="3"/>
  <c r="BE623" i="3"/>
  <c r="BF623" i="3"/>
  <c r="BG623" i="3"/>
  <c r="AT624" i="3"/>
  <c r="AU624" i="3"/>
  <c r="AV624" i="3" s="1" a="1"/>
  <c r="AV624" i="3" s="1"/>
  <c r="AY624" i="3"/>
  <c r="AZ624" i="3"/>
  <c r="BA624" i="3"/>
  <c r="BB624" i="3"/>
  <c r="BC624" i="3"/>
  <c r="BD624" i="3"/>
  <c r="BE624" i="3"/>
  <c r="BF624" i="3"/>
  <c r="BG624" i="3"/>
  <c r="AT625" i="3"/>
  <c r="AU625" i="3"/>
  <c r="AV625" i="3" s="1" a="1"/>
  <c r="AV625" i="3" s="1"/>
  <c r="AY625" i="3"/>
  <c r="AZ625" i="3"/>
  <c r="BA625" i="3"/>
  <c r="BB625" i="3"/>
  <c r="BC625" i="3"/>
  <c r="BD625" i="3"/>
  <c r="BE625" i="3"/>
  <c r="BF625" i="3"/>
  <c r="BG625" i="3"/>
  <c r="AT626" i="3"/>
  <c r="AU626" i="3"/>
  <c r="AV626" i="3" s="1" a="1"/>
  <c r="AV626" i="3" s="1"/>
  <c r="AY626" i="3"/>
  <c r="AZ626" i="3"/>
  <c r="BA626" i="3"/>
  <c r="BB626" i="3"/>
  <c r="BC626" i="3"/>
  <c r="BD626" i="3"/>
  <c r="BE626" i="3"/>
  <c r="BF626" i="3"/>
  <c r="BG626" i="3"/>
  <c r="AT627" i="3"/>
  <c r="AU627" i="3"/>
  <c r="AV627" i="3" s="1" a="1"/>
  <c r="AV627" i="3" s="1"/>
  <c r="AY627" i="3"/>
  <c r="AZ627" i="3"/>
  <c r="BA627" i="3"/>
  <c r="BB627" i="3"/>
  <c r="BC627" i="3"/>
  <c r="BD627" i="3"/>
  <c r="BE627" i="3"/>
  <c r="BF627" i="3"/>
  <c r="BG627" i="3"/>
  <c r="AT628" i="3"/>
  <c r="AU628" i="3"/>
  <c r="AV628" i="3" s="1" a="1"/>
  <c r="AV628" i="3" s="1"/>
  <c r="AY628" i="3"/>
  <c r="AZ628" i="3"/>
  <c r="BA628" i="3"/>
  <c r="BB628" i="3"/>
  <c r="BC628" i="3"/>
  <c r="BD628" i="3"/>
  <c r="BE628" i="3"/>
  <c r="BF628" i="3"/>
  <c r="BG628" i="3"/>
  <c r="AT629" i="3"/>
  <c r="AU629" i="3"/>
  <c r="AV629" i="3" s="1" a="1"/>
  <c r="AV629" i="3" s="1"/>
  <c r="AY629" i="3"/>
  <c r="AZ629" i="3"/>
  <c r="BA629" i="3"/>
  <c r="BB629" i="3"/>
  <c r="BC629" i="3"/>
  <c r="BD629" i="3"/>
  <c r="BE629" i="3"/>
  <c r="BF629" i="3"/>
  <c r="BG629" i="3"/>
  <c r="AT630" i="3"/>
  <c r="AU630" i="3"/>
  <c r="AV630" i="3" s="1" a="1"/>
  <c r="AV630" i="3" s="1"/>
  <c r="AY630" i="3"/>
  <c r="AZ630" i="3"/>
  <c r="BA630" i="3"/>
  <c r="BB630" i="3"/>
  <c r="BC630" i="3"/>
  <c r="BD630" i="3"/>
  <c r="BE630" i="3"/>
  <c r="BF630" i="3"/>
  <c r="BG630" i="3"/>
  <c r="AT631" i="3"/>
  <c r="AU631" i="3"/>
  <c r="AV631" i="3" s="1" a="1"/>
  <c r="AV631" i="3" s="1"/>
  <c r="AY631" i="3"/>
  <c r="AZ631" i="3"/>
  <c r="BA631" i="3"/>
  <c r="BB631" i="3"/>
  <c r="BC631" i="3"/>
  <c r="BD631" i="3"/>
  <c r="BE631" i="3"/>
  <c r="BF631" i="3"/>
  <c r="BG631" i="3"/>
  <c r="AT632" i="3"/>
  <c r="AU632" i="3"/>
  <c r="AV632" i="3" s="1" a="1"/>
  <c r="AV632" i="3" s="1"/>
  <c r="AY632" i="3"/>
  <c r="AZ632" i="3"/>
  <c r="BA632" i="3"/>
  <c r="BB632" i="3"/>
  <c r="BC632" i="3"/>
  <c r="BD632" i="3"/>
  <c r="BE632" i="3"/>
  <c r="BF632" i="3"/>
  <c r="BG632" i="3"/>
  <c r="AT633" i="3"/>
  <c r="AU633" i="3"/>
  <c r="AV633" i="3" s="1" a="1"/>
  <c r="AV633" i="3" s="1"/>
  <c r="AY633" i="3"/>
  <c r="AZ633" i="3"/>
  <c r="BA633" i="3"/>
  <c r="BB633" i="3"/>
  <c r="BC633" i="3"/>
  <c r="BD633" i="3"/>
  <c r="BE633" i="3"/>
  <c r="BF633" i="3"/>
  <c r="BG633" i="3"/>
  <c r="AT634" i="3"/>
  <c r="AU634" i="3"/>
  <c r="AV634" i="3" s="1" a="1"/>
  <c r="AV634" i="3" s="1"/>
  <c r="AY634" i="3"/>
  <c r="AZ634" i="3"/>
  <c r="BA634" i="3"/>
  <c r="BB634" i="3"/>
  <c r="BC634" i="3"/>
  <c r="BD634" i="3"/>
  <c r="BE634" i="3"/>
  <c r="BF634" i="3"/>
  <c r="BG634" i="3"/>
  <c r="AT635" i="3"/>
  <c r="AU635" i="3"/>
  <c r="AV635" i="3" s="1" a="1"/>
  <c r="AV635" i="3" s="1"/>
  <c r="AY635" i="3"/>
  <c r="AZ635" i="3"/>
  <c r="BA635" i="3"/>
  <c r="BB635" i="3"/>
  <c r="BC635" i="3"/>
  <c r="BD635" i="3"/>
  <c r="BE635" i="3"/>
  <c r="BF635" i="3"/>
  <c r="BG635" i="3"/>
  <c r="AT636" i="3"/>
  <c r="AU636" i="3"/>
  <c r="AV636" i="3" s="1" a="1"/>
  <c r="AV636" i="3" s="1"/>
  <c r="AY636" i="3"/>
  <c r="AZ636" i="3"/>
  <c r="BA636" i="3"/>
  <c r="BB636" i="3"/>
  <c r="BC636" i="3"/>
  <c r="BD636" i="3"/>
  <c r="BE636" i="3"/>
  <c r="BF636" i="3"/>
  <c r="BG636" i="3"/>
  <c r="AT637" i="3"/>
  <c r="AU637" i="3"/>
  <c r="AV637" i="3" s="1" a="1"/>
  <c r="AV637" i="3" s="1"/>
  <c r="AY637" i="3"/>
  <c r="AZ637" i="3"/>
  <c r="BA637" i="3"/>
  <c r="BB637" i="3"/>
  <c r="BC637" i="3"/>
  <c r="BD637" i="3"/>
  <c r="BE637" i="3"/>
  <c r="BF637" i="3"/>
  <c r="BG637" i="3"/>
  <c r="AT638" i="3"/>
  <c r="AU638" i="3"/>
  <c r="AV638" i="3" s="1" a="1"/>
  <c r="AV638" i="3" s="1"/>
  <c r="AY638" i="3"/>
  <c r="AZ638" i="3"/>
  <c r="BA638" i="3"/>
  <c r="BB638" i="3"/>
  <c r="BC638" i="3"/>
  <c r="BD638" i="3"/>
  <c r="BE638" i="3"/>
  <c r="BF638" i="3"/>
  <c r="BG638" i="3"/>
  <c r="AT639" i="3"/>
  <c r="AU639" i="3"/>
  <c r="AV639" i="3" s="1" a="1"/>
  <c r="AV639" i="3" s="1"/>
  <c r="AY639" i="3"/>
  <c r="AZ639" i="3"/>
  <c r="BA639" i="3"/>
  <c r="BB639" i="3"/>
  <c r="BC639" i="3"/>
  <c r="BD639" i="3"/>
  <c r="BE639" i="3"/>
  <c r="BF639" i="3"/>
  <c r="BG639" i="3"/>
  <c r="AT640" i="3"/>
  <c r="AU640" i="3"/>
  <c r="AV640" i="3" s="1" a="1"/>
  <c r="AV640" i="3" s="1"/>
  <c r="AY640" i="3"/>
  <c r="AZ640" i="3"/>
  <c r="BA640" i="3"/>
  <c r="BB640" i="3"/>
  <c r="BC640" i="3"/>
  <c r="BD640" i="3"/>
  <c r="BE640" i="3"/>
  <c r="BF640" i="3"/>
  <c r="BG640" i="3"/>
  <c r="AT641" i="3"/>
  <c r="AU641" i="3"/>
  <c r="AV641" i="3" s="1" a="1"/>
  <c r="AV641" i="3" s="1"/>
  <c r="AY641" i="3"/>
  <c r="AZ641" i="3"/>
  <c r="BA641" i="3"/>
  <c r="BB641" i="3"/>
  <c r="BC641" i="3"/>
  <c r="BD641" i="3"/>
  <c r="BE641" i="3"/>
  <c r="BF641" i="3"/>
  <c r="BG641" i="3"/>
  <c r="AT642" i="3"/>
  <c r="AU642" i="3"/>
  <c r="AV642" i="3" s="1" a="1"/>
  <c r="AV642" i="3" s="1"/>
  <c r="AY642" i="3"/>
  <c r="AZ642" i="3"/>
  <c r="BA642" i="3"/>
  <c r="BB642" i="3"/>
  <c r="BC642" i="3"/>
  <c r="BD642" i="3"/>
  <c r="BE642" i="3"/>
  <c r="BF642" i="3"/>
  <c r="BG642" i="3"/>
  <c r="AT643" i="3"/>
  <c r="AU643" i="3"/>
  <c r="AV643" i="3" s="1" a="1"/>
  <c r="AV643" i="3" s="1"/>
  <c r="AY643" i="3"/>
  <c r="AZ643" i="3"/>
  <c r="BA643" i="3"/>
  <c r="BB643" i="3"/>
  <c r="BC643" i="3"/>
  <c r="BD643" i="3"/>
  <c r="BE643" i="3"/>
  <c r="BF643" i="3"/>
  <c r="BG643" i="3"/>
  <c r="AT644" i="3"/>
  <c r="AU644" i="3"/>
  <c r="AV644" i="3" s="1" a="1"/>
  <c r="AV644" i="3" s="1"/>
  <c r="AY644" i="3"/>
  <c r="AZ644" i="3"/>
  <c r="BA644" i="3"/>
  <c r="BB644" i="3"/>
  <c r="BC644" i="3"/>
  <c r="BD644" i="3"/>
  <c r="BE644" i="3"/>
  <c r="BF644" i="3"/>
  <c r="BG644" i="3"/>
  <c r="AT645" i="3"/>
  <c r="AU645" i="3"/>
  <c r="AV645" i="3" s="1" a="1"/>
  <c r="AV645" i="3" s="1"/>
  <c r="AY645" i="3"/>
  <c r="AZ645" i="3"/>
  <c r="BA645" i="3"/>
  <c r="BB645" i="3"/>
  <c r="BC645" i="3"/>
  <c r="BD645" i="3"/>
  <c r="BE645" i="3"/>
  <c r="BF645" i="3"/>
  <c r="BG645" i="3"/>
  <c r="AT646" i="3"/>
  <c r="AU646" i="3"/>
  <c r="AV646" i="3" s="1" a="1"/>
  <c r="AV646" i="3" s="1"/>
  <c r="AY646" i="3"/>
  <c r="AZ646" i="3"/>
  <c r="BA646" i="3"/>
  <c r="BB646" i="3"/>
  <c r="BC646" i="3"/>
  <c r="BD646" i="3"/>
  <c r="BE646" i="3"/>
  <c r="BF646" i="3"/>
  <c r="BG646" i="3"/>
  <c r="AT647" i="3"/>
  <c r="AU647" i="3"/>
  <c r="AV647" i="3" s="1" a="1"/>
  <c r="AV647" i="3" s="1"/>
  <c r="AY647" i="3"/>
  <c r="AZ647" i="3"/>
  <c r="BA647" i="3"/>
  <c r="BB647" i="3"/>
  <c r="BC647" i="3"/>
  <c r="BD647" i="3"/>
  <c r="BE647" i="3"/>
  <c r="BF647" i="3"/>
  <c r="BG647" i="3"/>
  <c r="AT648" i="3"/>
  <c r="AU648" i="3"/>
  <c r="AV648" i="3" s="1" a="1"/>
  <c r="AV648" i="3" s="1"/>
  <c r="AY648" i="3"/>
  <c r="AZ648" i="3"/>
  <c r="BA648" i="3"/>
  <c r="BB648" i="3"/>
  <c r="BC648" i="3"/>
  <c r="BD648" i="3"/>
  <c r="BE648" i="3"/>
  <c r="BF648" i="3"/>
  <c r="BG648" i="3"/>
  <c r="AT649" i="3"/>
  <c r="AU649" i="3"/>
  <c r="AV649" i="3" s="1" a="1"/>
  <c r="AV649" i="3" s="1"/>
  <c r="AY649" i="3"/>
  <c r="AZ649" i="3"/>
  <c r="BA649" i="3"/>
  <c r="BB649" i="3"/>
  <c r="BC649" i="3"/>
  <c r="BD649" i="3"/>
  <c r="BE649" i="3"/>
  <c r="BF649" i="3"/>
  <c r="BG649" i="3"/>
  <c r="AT650" i="3"/>
  <c r="AU650" i="3"/>
  <c r="AV650" i="3" s="1" a="1"/>
  <c r="AV650" i="3" s="1"/>
  <c r="AY650" i="3"/>
  <c r="AZ650" i="3"/>
  <c r="BA650" i="3"/>
  <c r="BB650" i="3"/>
  <c r="BC650" i="3"/>
  <c r="BD650" i="3"/>
  <c r="BE650" i="3"/>
  <c r="BF650" i="3"/>
  <c r="BG650" i="3"/>
  <c r="AT651" i="3"/>
  <c r="AU651" i="3"/>
  <c r="AV651" i="3" s="1" a="1"/>
  <c r="AV651" i="3" s="1"/>
  <c r="AY651" i="3"/>
  <c r="AZ651" i="3"/>
  <c r="BA651" i="3"/>
  <c r="BB651" i="3"/>
  <c r="BC651" i="3"/>
  <c r="BD651" i="3"/>
  <c r="BE651" i="3"/>
  <c r="BF651" i="3"/>
  <c r="BG651" i="3"/>
  <c r="AT652" i="3"/>
  <c r="AU652" i="3"/>
  <c r="AV652" i="3" s="1" a="1"/>
  <c r="AV652" i="3" s="1"/>
  <c r="AY652" i="3"/>
  <c r="AZ652" i="3"/>
  <c r="BA652" i="3"/>
  <c r="BB652" i="3"/>
  <c r="BC652" i="3"/>
  <c r="BD652" i="3"/>
  <c r="BE652" i="3"/>
  <c r="BF652" i="3"/>
  <c r="BG652" i="3"/>
  <c r="AT653" i="3"/>
  <c r="AU653" i="3"/>
  <c r="AV653" i="3" s="1" a="1"/>
  <c r="AV653" i="3" s="1"/>
  <c r="AY653" i="3"/>
  <c r="AZ653" i="3"/>
  <c r="BA653" i="3"/>
  <c r="BB653" i="3"/>
  <c r="BC653" i="3"/>
  <c r="BD653" i="3"/>
  <c r="BE653" i="3"/>
  <c r="BF653" i="3"/>
  <c r="BG653" i="3"/>
  <c r="AT654" i="3"/>
  <c r="AU654" i="3"/>
  <c r="AV654" i="3" s="1" a="1"/>
  <c r="AV654" i="3" s="1"/>
  <c r="AY654" i="3"/>
  <c r="AZ654" i="3"/>
  <c r="BA654" i="3"/>
  <c r="BB654" i="3"/>
  <c r="BC654" i="3"/>
  <c r="BD654" i="3"/>
  <c r="BE654" i="3"/>
  <c r="BF654" i="3"/>
  <c r="BG654" i="3"/>
  <c r="AT655" i="3"/>
  <c r="AU655" i="3"/>
  <c r="AV655" i="3" s="1" a="1"/>
  <c r="AV655" i="3" s="1"/>
  <c r="AY655" i="3"/>
  <c r="AZ655" i="3"/>
  <c r="BA655" i="3"/>
  <c r="BB655" i="3"/>
  <c r="BC655" i="3"/>
  <c r="BD655" i="3"/>
  <c r="BE655" i="3"/>
  <c r="BF655" i="3"/>
  <c r="BG655" i="3"/>
  <c r="AT656" i="3"/>
  <c r="AU656" i="3"/>
  <c r="AV656" i="3" s="1" a="1"/>
  <c r="AV656" i="3" s="1"/>
  <c r="AY656" i="3"/>
  <c r="AZ656" i="3"/>
  <c r="BA656" i="3"/>
  <c r="BB656" i="3"/>
  <c r="BC656" i="3"/>
  <c r="BD656" i="3"/>
  <c r="BE656" i="3"/>
  <c r="BF656" i="3"/>
  <c r="BG656" i="3"/>
  <c r="AT657" i="3"/>
  <c r="AU657" i="3"/>
  <c r="AV657" i="3" s="1" a="1"/>
  <c r="AV657" i="3" s="1"/>
  <c r="AY657" i="3"/>
  <c r="AZ657" i="3"/>
  <c r="BA657" i="3"/>
  <c r="BB657" i="3"/>
  <c r="BC657" i="3"/>
  <c r="BD657" i="3"/>
  <c r="BE657" i="3"/>
  <c r="BF657" i="3"/>
  <c r="BG657" i="3"/>
  <c r="AT658" i="3"/>
  <c r="AU658" i="3"/>
  <c r="AV658" i="3" s="1" a="1"/>
  <c r="AV658" i="3" s="1"/>
  <c r="AY658" i="3"/>
  <c r="AZ658" i="3"/>
  <c r="BA658" i="3"/>
  <c r="BB658" i="3"/>
  <c r="BC658" i="3"/>
  <c r="BD658" i="3"/>
  <c r="BE658" i="3"/>
  <c r="BF658" i="3"/>
  <c r="BG658" i="3"/>
  <c r="AT659" i="3"/>
  <c r="AU659" i="3"/>
  <c r="AV659" i="3" s="1" a="1"/>
  <c r="AV659" i="3" s="1"/>
  <c r="AY659" i="3"/>
  <c r="AZ659" i="3"/>
  <c r="BA659" i="3"/>
  <c r="BB659" i="3"/>
  <c r="BC659" i="3"/>
  <c r="BD659" i="3"/>
  <c r="BE659" i="3"/>
  <c r="BF659" i="3"/>
  <c r="BG659" i="3"/>
  <c r="AT660" i="3"/>
  <c r="AU660" i="3"/>
  <c r="AV660" i="3" s="1" a="1"/>
  <c r="AV660" i="3" s="1"/>
  <c r="AY660" i="3"/>
  <c r="AZ660" i="3"/>
  <c r="BA660" i="3"/>
  <c r="BB660" i="3"/>
  <c r="BC660" i="3"/>
  <c r="BD660" i="3"/>
  <c r="BE660" i="3"/>
  <c r="BF660" i="3"/>
  <c r="BG660" i="3"/>
  <c r="AT661" i="3"/>
  <c r="AU661" i="3"/>
  <c r="AV661" i="3" s="1" a="1"/>
  <c r="AV661" i="3" s="1"/>
  <c r="AY661" i="3"/>
  <c r="AZ661" i="3"/>
  <c r="BA661" i="3"/>
  <c r="BB661" i="3"/>
  <c r="BC661" i="3"/>
  <c r="BD661" i="3"/>
  <c r="BE661" i="3"/>
  <c r="BF661" i="3"/>
  <c r="BG661" i="3"/>
  <c r="AT662" i="3"/>
  <c r="AU662" i="3"/>
  <c r="AV662" i="3" s="1" a="1"/>
  <c r="AV662" i="3" s="1"/>
  <c r="AY662" i="3"/>
  <c r="AZ662" i="3"/>
  <c r="BA662" i="3"/>
  <c r="BB662" i="3"/>
  <c r="BC662" i="3"/>
  <c r="BD662" i="3"/>
  <c r="BE662" i="3"/>
  <c r="BF662" i="3"/>
  <c r="BG662" i="3"/>
  <c r="AT663" i="3"/>
  <c r="AU663" i="3"/>
  <c r="AV663" i="3" s="1" a="1"/>
  <c r="AV663" i="3" s="1"/>
  <c r="AY663" i="3"/>
  <c r="AZ663" i="3"/>
  <c r="BA663" i="3"/>
  <c r="BB663" i="3"/>
  <c r="BC663" i="3"/>
  <c r="BD663" i="3"/>
  <c r="BE663" i="3"/>
  <c r="BF663" i="3"/>
  <c r="BG663" i="3"/>
  <c r="AT664" i="3"/>
  <c r="AU664" i="3"/>
  <c r="AV664" i="3" s="1" a="1"/>
  <c r="AV664" i="3" s="1"/>
  <c r="AY664" i="3"/>
  <c r="AZ664" i="3"/>
  <c r="BA664" i="3"/>
  <c r="BB664" i="3"/>
  <c r="BC664" i="3"/>
  <c r="BD664" i="3"/>
  <c r="BE664" i="3"/>
  <c r="BF664" i="3"/>
  <c r="BG664" i="3"/>
  <c r="AT665" i="3"/>
  <c r="AU665" i="3"/>
  <c r="AV665" i="3" s="1" a="1"/>
  <c r="AV665" i="3" s="1"/>
  <c r="AY665" i="3"/>
  <c r="AZ665" i="3"/>
  <c r="BA665" i="3"/>
  <c r="BB665" i="3"/>
  <c r="BC665" i="3"/>
  <c r="BD665" i="3"/>
  <c r="BE665" i="3"/>
  <c r="BF665" i="3"/>
  <c r="BG665" i="3"/>
  <c r="AT666" i="3"/>
  <c r="AU666" i="3"/>
  <c r="AV666" i="3" s="1" a="1"/>
  <c r="AV666" i="3" s="1"/>
  <c r="AY666" i="3"/>
  <c r="AZ666" i="3"/>
  <c r="BA666" i="3"/>
  <c r="BB666" i="3"/>
  <c r="BC666" i="3"/>
  <c r="BD666" i="3"/>
  <c r="BE666" i="3"/>
  <c r="BF666" i="3"/>
  <c r="BG666" i="3"/>
  <c r="AT667" i="3"/>
  <c r="AU667" i="3"/>
  <c r="AV667" i="3" s="1" a="1"/>
  <c r="AV667" i="3" s="1"/>
  <c r="AY667" i="3"/>
  <c r="AZ667" i="3"/>
  <c r="BA667" i="3"/>
  <c r="BB667" i="3"/>
  <c r="BC667" i="3"/>
  <c r="BD667" i="3"/>
  <c r="BE667" i="3"/>
  <c r="BF667" i="3"/>
  <c r="BG667" i="3"/>
  <c r="AT668" i="3"/>
  <c r="AU668" i="3"/>
  <c r="AV668" i="3" s="1" a="1"/>
  <c r="AV668" i="3" s="1"/>
  <c r="AY668" i="3"/>
  <c r="AZ668" i="3"/>
  <c r="BA668" i="3"/>
  <c r="BB668" i="3"/>
  <c r="BC668" i="3"/>
  <c r="BD668" i="3"/>
  <c r="BE668" i="3"/>
  <c r="BF668" i="3"/>
  <c r="BG668" i="3"/>
  <c r="AT669" i="3"/>
  <c r="AU669" i="3"/>
  <c r="AV669" i="3" s="1" a="1"/>
  <c r="AV669" i="3" s="1"/>
  <c r="AY669" i="3"/>
  <c r="AZ669" i="3"/>
  <c r="BA669" i="3"/>
  <c r="BB669" i="3"/>
  <c r="BC669" i="3"/>
  <c r="BD669" i="3"/>
  <c r="BE669" i="3"/>
  <c r="BF669" i="3"/>
  <c r="BG669" i="3"/>
  <c r="AT670" i="3"/>
  <c r="AU670" i="3"/>
  <c r="AV670" i="3" s="1" a="1"/>
  <c r="AV670" i="3" s="1"/>
  <c r="AY670" i="3"/>
  <c r="AZ670" i="3"/>
  <c r="BA670" i="3"/>
  <c r="BB670" i="3"/>
  <c r="BC670" i="3"/>
  <c r="BD670" i="3"/>
  <c r="BE670" i="3"/>
  <c r="BF670" i="3"/>
  <c r="BG670" i="3"/>
  <c r="AT671" i="3"/>
  <c r="AU671" i="3"/>
  <c r="AV671" i="3" s="1" a="1"/>
  <c r="AV671" i="3" s="1"/>
  <c r="AY671" i="3"/>
  <c r="AZ671" i="3"/>
  <c r="BA671" i="3"/>
  <c r="BB671" i="3"/>
  <c r="BC671" i="3"/>
  <c r="BD671" i="3"/>
  <c r="BE671" i="3"/>
  <c r="BF671" i="3"/>
  <c r="BG671" i="3"/>
  <c r="AT672" i="3"/>
  <c r="AU672" i="3"/>
  <c r="AV672" i="3" s="1" a="1"/>
  <c r="AV672" i="3" s="1"/>
  <c r="AY672" i="3"/>
  <c r="AZ672" i="3"/>
  <c r="BA672" i="3"/>
  <c r="BB672" i="3"/>
  <c r="BC672" i="3"/>
  <c r="BD672" i="3"/>
  <c r="BE672" i="3"/>
  <c r="BF672" i="3"/>
  <c r="BG672" i="3"/>
  <c r="AT673" i="3"/>
  <c r="AU673" i="3"/>
  <c r="AV673" i="3" s="1" a="1"/>
  <c r="AV673" i="3" s="1"/>
  <c r="AY673" i="3"/>
  <c r="AZ673" i="3"/>
  <c r="BA673" i="3"/>
  <c r="BB673" i="3"/>
  <c r="BC673" i="3"/>
  <c r="BD673" i="3"/>
  <c r="BE673" i="3"/>
  <c r="BF673" i="3"/>
  <c r="BG673" i="3"/>
  <c r="AT674" i="3"/>
  <c r="AU674" i="3"/>
  <c r="AV674" i="3" s="1" a="1"/>
  <c r="AV674" i="3" s="1"/>
  <c r="AY674" i="3"/>
  <c r="AZ674" i="3"/>
  <c r="BA674" i="3"/>
  <c r="BB674" i="3"/>
  <c r="BC674" i="3"/>
  <c r="BD674" i="3"/>
  <c r="BE674" i="3"/>
  <c r="BF674" i="3"/>
  <c r="BG674" i="3"/>
  <c r="AT675" i="3"/>
  <c r="AU675" i="3"/>
  <c r="AV675" i="3" s="1" a="1"/>
  <c r="AV675" i="3" s="1"/>
  <c r="AY675" i="3"/>
  <c r="AZ675" i="3"/>
  <c r="BA675" i="3"/>
  <c r="BB675" i="3"/>
  <c r="BC675" i="3"/>
  <c r="BD675" i="3"/>
  <c r="BE675" i="3"/>
  <c r="BF675" i="3"/>
  <c r="BG675" i="3"/>
  <c r="AT676" i="3"/>
  <c r="AU676" i="3"/>
  <c r="AV676" i="3" s="1" a="1"/>
  <c r="AV676" i="3" s="1"/>
  <c r="AY676" i="3"/>
  <c r="AZ676" i="3"/>
  <c r="BA676" i="3"/>
  <c r="BB676" i="3"/>
  <c r="BC676" i="3"/>
  <c r="BD676" i="3"/>
  <c r="BE676" i="3"/>
  <c r="BF676" i="3"/>
  <c r="BG676" i="3"/>
  <c r="AT677" i="3"/>
  <c r="AU677" i="3"/>
  <c r="AV677" i="3" s="1" a="1"/>
  <c r="AV677" i="3" s="1"/>
  <c r="AY677" i="3"/>
  <c r="AZ677" i="3"/>
  <c r="BA677" i="3"/>
  <c r="BB677" i="3"/>
  <c r="BC677" i="3"/>
  <c r="BD677" i="3"/>
  <c r="BE677" i="3"/>
  <c r="BF677" i="3"/>
  <c r="BG677" i="3"/>
  <c r="AT678" i="3"/>
  <c r="AU678" i="3"/>
  <c r="AV678" i="3" s="1" a="1"/>
  <c r="AV678" i="3" s="1"/>
  <c r="AY678" i="3"/>
  <c r="AZ678" i="3"/>
  <c r="BA678" i="3"/>
  <c r="BB678" i="3"/>
  <c r="BC678" i="3"/>
  <c r="BD678" i="3"/>
  <c r="BE678" i="3"/>
  <c r="BF678" i="3"/>
  <c r="BG678" i="3"/>
  <c r="AT679" i="3"/>
  <c r="AU679" i="3"/>
  <c r="AV679" i="3" s="1" a="1"/>
  <c r="AV679" i="3" s="1"/>
  <c r="AY679" i="3"/>
  <c r="AZ679" i="3"/>
  <c r="BA679" i="3"/>
  <c r="BB679" i="3"/>
  <c r="BC679" i="3"/>
  <c r="BD679" i="3"/>
  <c r="BE679" i="3"/>
  <c r="BF679" i="3"/>
  <c r="BG679" i="3"/>
  <c r="AT680" i="3"/>
  <c r="AU680" i="3"/>
  <c r="AV680" i="3" s="1" a="1"/>
  <c r="AV680" i="3" s="1"/>
  <c r="AY680" i="3"/>
  <c r="AZ680" i="3"/>
  <c r="BA680" i="3"/>
  <c r="BB680" i="3"/>
  <c r="BC680" i="3"/>
  <c r="BD680" i="3"/>
  <c r="BE680" i="3"/>
  <c r="BF680" i="3"/>
  <c r="BG680" i="3"/>
  <c r="AT681" i="3"/>
  <c r="AU681" i="3"/>
  <c r="AV681" i="3" s="1" a="1"/>
  <c r="AV681" i="3" s="1"/>
  <c r="AY681" i="3"/>
  <c r="AZ681" i="3"/>
  <c r="BA681" i="3"/>
  <c r="BB681" i="3"/>
  <c r="BC681" i="3"/>
  <c r="BD681" i="3"/>
  <c r="BE681" i="3"/>
  <c r="BF681" i="3"/>
  <c r="BG681" i="3"/>
  <c r="AT682" i="3"/>
  <c r="AU682" i="3"/>
  <c r="AV682" i="3" s="1" a="1"/>
  <c r="AV682" i="3" s="1"/>
  <c r="AY682" i="3"/>
  <c r="AZ682" i="3"/>
  <c r="BA682" i="3"/>
  <c r="BB682" i="3"/>
  <c r="BC682" i="3"/>
  <c r="BD682" i="3"/>
  <c r="BE682" i="3"/>
  <c r="BF682" i="3"/>
  <c r="BG682" i="3"/>
  <c r="AT683" i="3"/>
  <c r="AU683" i="3"/>
  <c r="AV683" i="3" s="1" a="1"/>
  <c r="AV683" i="3" s="1"/>
  <c r="AY683" i="3"/>
  <c r="AZ683" i="3"/>
  <c r="BA683" i="3"/>
  <c r="BB683" i="3"/>
  <c r="BC683" i="3"/>
  <c r="BD683" i="3"/>
  <c r="BE683" i="3"/>
  <c r="BF683" i="3"/>
  <c r="BG683" i="3"/>
  <c r="AT684" i="3"/>
  <c r="AU684" i="3"/>
  <c r="AV684" i="3" s="1" a="1"/>
  <c r="AV684" i="3" s="1"/>
  <c r="AY684" i="3"/>
  <c r="AZ684" i="3"/>
  <c r="BA684" i="3"/>
  <c r="BB684" i="3"/>
  <c r="BC684" i="3"/>
  <c r="BD684" i="3"/>
  <c r="BE684" i="3"/>
  <c r="BF684" i="3"/>
  <c r="BG684" i="3"/>
  <c r="AT685" i="3"/>
  <c r="AU685" i="3"/>
  <c r="AV685" i="3" s="1" a="1"/>
  <c r="AV685" i="3" s="1"/>
  <c r="AY685" i="3"/>
  <c r="AZ685" i="3"/>
  <c r="BA685" i="3"/>
  <c r="BB685" i="3"/>
  <c r="BC685" i="3"/>
  <c r="BD685" i="3"/>
  <c r="BE685" i="3"/>
  <c r="BF685" i="3"/>
  <c r="BG685" i="3"/>
  <c r="AT686" i="3"/>
  <c r="AU686" i="3"/>
  <c r="AV686" i="3" s="1" a="1"/>
  <c r="AV686" i="3" s="1"/>
  <c r="AY686" i="3"/>
  <c r="AZ686" i="3"/>
  <c r="BA686" i="3"/>
  <c r="BB686" i="3"/>
  <c r="BC686" i="3"/>
  <c r="BD686" i="3"/>
  <c r="BE686" i="3"/>
  <c r="BF686" i="3"/>
  <c r="BG686" i="3"/>
  <c r="AT687" i="3"/>
  <c r="AU687" i="3"/>
  <c r="AV687" i="3" s="1" a="1"/>
  <c r="AV687" i="3" s="1"/>
  <c r="AY687" i="3"/>
  <c r="AZ687" i="3"/>
  <c r="BA687" i="3"/>
  <c r="BB687" i="3"/>
  <c r="BC687" i="3"/>
  <c r="BD687" i="3"/>
  <c r="BE687" i="3"/>
  <c r="BF687" i="3"/>
  <c r="BG687" i="3"/>
  <c r="AT688" i="3"/>
  <c r="AU688" i="3"/>
  <c r="AV688" i="3" s="1" a="1"/>
  <c r="AV688" i="3" s="1"/>
  <c r="AY688" i="3"/>
  <c r="AZ688" i="3"/>
  <c r="BA688" i="3"/>
  <c r="BB688" i="3"/>
  <c r="BC688" i="3"/>
  <c r="BD688" i="3"/>
  <c r="BE688" i="3"/>
  <c r="BF688" i="3"/>
  <c r="BG688" i="3"/>
  <c r="AT689" i="3"/>
  <c r="AU689" i="3"/>
  <c r="AV689" i="3" s="1" a="1"/>
  <c r="AV689" i="3" s="1"/>
  <c r="AY689" i="3"/>
  <c r="AZ689" i="3"/>
  <c r="BA689" i="3"/>
  <c r="BB689" i="3"/>
  <c r="BC689" i="3"/>
  <c r="BD689" i="3"/>
  <c r="BE689" i="3"/>
  <c r="BF689" i="3"/>
  <c r="BG689" i="3"/>
  <c r="AT690" i="3"/>
  <c r="AU690" i="3"/>
  <c r="AV690" i="3" s="1" a="1"/>
  <c r="AV690" i="3" s="1"/>
  <c r="AY690" i="3"/>
  <c r="AZ690" i="3"/>
  <c r="BA690" i="3"/>
  <c r="BB690" i="3"/>
  <c r="BC690" i="3"/>
  <c r="BD690" i="3"/>
  <c r="BE690" i="3"/>
  <c r="BF690" i="3"/>
  <c r="BG690" i="3"/>
  <c r="AT691" i="3"/>
  <c r="AU691" i="3"/>
  <c r="AV691" i="3" s="1" a="1"/>
  <c r="AV691" i="3" s="1"/>
  <c r="AY691" i="3"/>
  <c r="AZ691" i="3"/>
  <c r="BA691" i="3"/>
  <c r="BB691" i="3"/>
  <c r="BC691" i="3"/>
  <c r="BD691" i="3"/>
  <c r="BE691" i="3"/>
  <c r="BF691" i="3"/>
  <c r="BG691" i="3"/>
  <c r="AT692" i="3"/>
  <c r="AU692" i="3"/>
  <c r="AV692" i="3" s="1" a="1"/>
  <c r="AV692" i="3" s="1"/>
  <c r="AY692" i="3"/>
  <c r="AZ692" i="3"/>
  <c r="BA692" i="3"/>
  <c r="BB692" i="3"/>
  <c r="BC692" i="3"/>
  <c r="BD692" i="3"/>
  <c r="BE692" i="3"/>
  <c r="BF692" i="3"/>
  <c r="BG692" i="3"/>
  <c r="AT693" i="3"/>
  <c r="AU693" i="3"/>
  <c r="AV693" i="3" s="1" a="1"/>
  <c r="AV693" i="3" s="1"/>
  <c r="AY693" i="3"/>
  <c r="AZ693" i="3"/>
  <c r="BA693" i="3"/>
  <c r="BB693" i="3"/>
  <c r="BC693" i="3"/>
  <c r="BD693" i="3"/>
  <c r="BE693" i="3"/>
  <c r="BF693" i="3"/>
  <c r="BG693" i="3"/>
  <c r="AT694" i="3"/>
  <c r="AU694" i="3"/>
  <c r="AV694" i="3" s="1" a="1"/>
  <c r="AV694" i="3" s="1"/>
  <c r="AY694" i="3"/>
  <c r="AZ694" i="3"/>
  <c r="BA694" i="3"/>
  <c r="BB694" i="3"/>
  <c r="BC694" i="3"/>
  <c r="BD694" i="3"/>
  <c r="BE694" i="3"/>
  <c r="BF694" i="3"/>
  <c r="BG694" i="3"/>
  <c r="AT695" i="3"/>
  <c r="AU695" i="3"/>
  <c r="AV695" i="3" s="1" a="1"/>
  <c r="AV695" i="3" s="1"/>
  <c r="AY695" i="3"/>
  <c r="AZ695" i="3"/>
  <c r="BA695" i="3"/>
  <c r="BB695" i="3"/>
  <c r="BC695" i="3"/>
  <c r="BD695" i="3"/>
  <c r="BE695" i="3"/>
  <c r="BF695" i="3"/>
  <c r="BG695" i="3"/>
  <c r="AT696" i="3"/>
  <c r="AU696" i="3"/>
  <c r="AV696" i="3" s="1" a="1"/>
  <c r="AV696" i="3" s="1"/>
  <c r="AY696" i="3"/>
  <c r="AZ696" i="3"/>
  <c r="BA696" i="3"/>
  <c r="BB696" i="3"/>
  <c r="BC696" i="3"/>
  <c r="BD696" i="3"/>
  <c r="BE696" i="3"/>
  <c r="BF696" i="3"/>
  <c r="BG696" i="3"/>
  <c r="AT697" i="3"/>
  <c r="AU697" i="3"/>
  <c r="AV697" i="3" s="1" a="1"/>
  <c r="AV697" i="3" s="1"/>
  <c r="AY697" i="3"/>
  <c r="AZ697" i="3"/>
  <c r="BA697" i="3"/>
  <c r="BB697" i="3"/>
  <c r="BC697" i="3"/>
  <c r="BD697" i="3"/>
  <c r="BE697" i="3"/>
  <c r="BF697" i="3"/>
  <c r="BG697" i="3"/>
  <c r="AT698" i="3"/>
  <c r="AU698" i="3"/>
  <c r="AV698" i="3" s="1" a="1"/>
  <c r="AV698" i="3" s="1"/>
  <c r="AY698" i="3"/>
  <c r="AZ698" i="3"/>
  <c r="BA698" i="3"/>
  <c r="BB698" i="3"/>
  <c r="BC698" i="3"/>
  <c r="BD698" i="3"/>
  <c r="BE698" i="3"/>
  <c r="BF698" i="3"/>
  <c r="BG698" i="3"/>
  <c r="AT699" i="3"/>
  <c r="AU699" i="3"/>
  <c r="AV699" i="3" s="1" a="1"/>
  <c r="AV699" i="3" s="1"/>
  <c r="AY699" i="3"/>
  <c r="AZ699" i="3"/>
  <c r="BA699" i="3"/>
  <c r="BB699" i="3"/>
  <c r="BC699" i="3"/>
  <c r="BD699" i="3"/>
  <c r="BE699" i="3"/>
  <c r="BF699" i="3"/>
  <c r="BG699" i="3"/>
  <c r="AT700" i="3"/>
  <c r="AU700" i="3"/>
  <c r="AV700" i="3" s="1" a="1"/>
  <c r="AV700" i="3" s="1"/>
  <c r="AY700" i="3"/>
  <c r="AZ700" i="3"/>
  <c r="BA700" i="3"/>
  <c r="BB700" i="3"/>
  <c r="BC700" i="3"/>
  <c r="BD700" i="3"/>
  <c r="BE700" i="3"/>
  <c r="BF700" i="3"/>
  <c r="BG700" i="3"/>
  <c r="AT701" i="3"/>
  <c r="AU701" i="3"/>
  <c r="AV701" i="3" s="1" a="1"/>
  <c r="AV701" i="3" s="1"/>
  <c r="AY701" i="3"/>
  <c r="AZ701" i="3"/>
  <c r="BA701" i="3"/>
  <c r="BB701" i="3"/>
  <c r="BC701" i="3"/>
  <c r="BD701" i="3"/>
  <c r="BE701" i="3"/>
  <c r="BF701" i="3"/>
  <c r="BG701" i="3"/>
  <c r="AT702" i="3"/>
  <c r="AU702" i="3"/>
  <c r="AV702" i="3" s="1" a="1"/>
  <c r="AV702" i="3" s="1"/>
  <c r="AY702" i="3"/>
  <c r="AZ702" i="3"/>
  <c r="BA702" i="3"/>
  <c r="BB702" i="3"/>
  <c r="BC702" i="3"/>
  <c r="BD702" i="3"/>
  <c r="BE702" i="3"/>
  <c r="BF702" i="3"/>
  <c r="BG702" i="3"/>
  <c r="AT703" i="3"/>
  <c r="AU703" i="3"/>
  <c r="AV703" i="3" s="1" a="1"/>
  <c r="AV703" i="3" s="1"/>
  <c r="AY703" i="3"/>
  <c r="AZ703" i="3"/>
  <c r="BA703" i="3"/>
  <c r="BB703" i="3"/>
  <c r="BC703" i="3"/>
  <c r="BD703" i="3"/>
  <c r="BE703" i="3"/>
  <c r="BF703" i="3"/>
  <c r="BG703" i="3"/>
  <c r="AT704" i="3"/>
  <c r="AU704" i="3"/>
  <c r="AV704" i="3" s="1" a="1"/>
  <c r="AV704" i="3" s="1"/>
  <c r="AY704" i="3"/>
  <c r="AZ704" i="3"/>
  <c r="BA704" i="3"/>
  <c r="BB704" i="3"/>
  <c r="BC704" i="3"/>
  <c r="BD704" i="3"/>
  <c r="BE704" i="3"/>
  <c r="BF704" i="3"/>
  <c r="BG704" i="3"/>
  <c r="AT705" i="3"/>
  <c r="AU705" i="3"/>
  <c r="AV705" i="3" s="1" a="1"/>
  <c r="AV705" i="3" s="1"/>
  <c r="AY705" i="3"/>
  <c r="AZ705" i="3"/>
  <c r="BA705" i="3"/>
  <c r="BB705" i="3"/>
  <c r="BC705" i="3"/>
  <c r="BD705" i="3"/>
  <c r="BE705" i="3"/>
  <c r="BF705" i="3"/>
  <c r="BG705" i="3"/>
  <c r="AT706" i="3"/>
  <c r="AU706" i="3"/>
  <c r="AV706" i="3" s="1" a="1"/>
  <c r="AV706" i="3" s="1"/>
  <c r="AY706" i="3"/>
  <c r="AZ706" i="3"/>
  <c r="BA706" i="3"/>
  <c r="BB706" i="3"/>
  <c r="BC706" i="3"/>
  <c r="BD706" i="3"/>
  <c r="BE706" i="3"/>
  <c r="BF706" i="3"/>
  <c r="BG706" i="3"/>
  <c r="AT707" i="3"/>
  <c r="AU707" i="3"/>
  <c r="AV707" i="3" s="1" a="1"/>
  <c r="AV707" i="3" s="1"/>
  <c r="AY707" i="3"/>
  <c r="AZ707" i="3"/>
  <c r="BA707" i="3"/>
  <c r="BB707" i="3"/>
  <c r="BC707" i="3"/>
  <c r="BD707" i="3"/>
  <c r="BE707" i="3"/>
  <c r="BF707" i="3"/>
  <c r="BG707" i="3"/>
  <c r="AT708" i="3"/>
  <c r="AU708" i="3"/>
  <c r="AV708" i="3" s="1" a="1"/>
  <c r="AV708" i="3" s="1"/>
  <c r="AY708" i="3"/>
  <c r="AZ708" i="3"/>
  <c r="BA708" i="3"/>
  <c r="BB708" i="3"/>
  <c r="BC708" i="3"/>
  <c r="BD708" i="3"/>
  <c r="BE708" i="3"/>
  <c r="BF708" i="3"/>
  <c r="BG708" i="3"/>
  <c r="AT709" i="3"/>
  <c r="AU709" i="3"/>
  <c r="AV709" i="3" s="1" a="1"/>
  <c r="AV709" i="3" s="1"/>
  <c r="AY709" i="3"/>
  <c r="AZ709" i="3"/>
  <c r="BA709" i="3"/>
  <c r="BB709" i="3"/>
  <c r="BC709" i="3"/>
  <c r="BD709" i="3"/>
  <c r="BE709" i="3"/>
  <c r="BF709" i="3"/>
  <c r="BG709" i="3"/>
  <c r="AT710" i="3"/>
  <c r="AU710" i="3"/>
  <c r="AV710" i="3" s="1" a="1"/>
  <c r="AV710" i="3" s="1"/>
  <c r="AY710" i="3"/>
  <c r="AZ710" i="3"/>
  <c r="BA710" i="3"/>
  <c r="BB710" i="3"/>
  <c r="BC710" i="3"/>
  <c r="BD710" i="3"/>
  <c r="BE710" i="3"/>
  <c r="BF710" i="3"/>
  <c r="BG710" i="3"/>
  <c r="AT711" i="3"/>
  <c r="AU711" i="3"/>
  <c r="AV711" i="3" s="1" a="1"/>
  <c r="AV711" i="3" s="1"/>
  <c r="AY711" i="3"/>
  <c r="AZ711" i="3"/>
  <c r="BA711" i="3"/>
  <c r="BB711" i="3"/>
  <c r="BC711" i="3"/>
  <c r="BD711" i="3"/>
  <c r="BE711" i="3"/>
  <c r="BF711" i="3"/>
  <c r="BG711" i="3"/>
  <c r="AT712" i="3"/>
  <c r="AU712" i="3"/>
  <c r="AV712" i="3" s="1" a="1"/>
  <c r="AV712" i="3" s="1"/>
  <c r="AY712" i="3"/>
  <c r="AZ712" i="3"/>
  <c r="BA712" i="3"/>
  <c r="BB712" i="3"/>
  <c r="BC712" i="3"/>
  <c r="BD712" i="3"/>
  <c r="BE712" i="3"/>
  <c r="BF712" i="3"/>
  <c r="BG712" i="3"/>
  <c r="AT713" i="3"/>
  <c r="AU713" i="3"/>
  <c r="AV713" i="3" s="1" a="1"/>
  <c r="AV713" i="3" s="1"/>
  <c r="AY713" i="3"/>
  <c r="AZ713" i="3"/>
  <c r="BA713" i="3"/>
  <c r="BB713" i="3"/>
  <c r="BC713" i="3"/>
  <c r="BD713" i="3"/>
  <c r="BE713" i="3"/>
  <c r="BF713" i="3"/>
  <c r="BG713" i="3"/>
  <c r="AT714" i="3"/>
  <c r="AU714" i="3"/>
  <c r="AV714" i="3" s="1" a="1"/>
  <c r="AV714" i="3" s="1"/>
  <c r="AY714" i="3"/>
  <c r="AZ714" i="3"/>
  <c r="BA714" i="3"/>
  <c r="BB714" i="3"/>
  <c r="BC714" i="3"/>
  <c r="BD714" i="3"/>
  <c r="BE714" i="3"/>
  <c r="BF714" i="3"/>
  <c r="BG714" i="3"/>
  <c r="AT715" i="3"/>
  <c r="AU715" i="3"/>
  <c r="AV715" i="3" s="1" a="1"/>
  <c r="AV715" i="3" s="1"/>
  <c r="AY715" i="3"/>
  <c r="AZ715" i="3"/>
  <c r="BA715" i="3"/>
  <c r="BB715" i="3"/>
  <c r="BC715" i="3"/>
  <c r="BD715" i="3"/>
  <c r="BE715" i="3"/>
  <c r="BF715" i="3"/>
  <c r="BG715" i="3"/>
  <c r="AT716" i="3"/>
  <c r="AU716" i="3"/>
  <c r="AV716" i="3" s="1" a="1"/>
  <c r="AV716" i="3" s="1"/>
  <c r="AY716" i="3"/>
  <c r="AZ716" i="3"/>
  <c r="BA716" i="3"/>
  <c r="BB716" i="3"/>
  <c r="BC716" i="3"/>
  <c r="BD716" i="3"/>
  <c r="BE716" i="3"/>
  <c r="BF716" i="3"/>
  <c r="BG716" i="3"/>
  <c r="AT717" i="3"/>
  <c r="AU717" i="3"/>
  <c r="AV717" i="3" s="1" a="1"/>
  <c r="AV717" i="3" s="1"/>
  <c r="AY717" i="3"/>
  <c r="AZ717" i="3"/>
  <c r="BA717" i="3"/>
  <c r="BB717" i="3"/>
  <c r="BC717" i="3"/>
  <c r="BD717" i="3"/>
  <c r="BE717" i="3"/>
  <c r="BF717" i="3"/>
  <c r="BG717" i="3"/>
  <c r="AT718" i="3"/>
  <c r="AU718" i="3"/>
  <c r="AV718" i="3" s="1" a="1"/>
  <c r="AV718" i="3" s="1"/>
  <c r="AY718" i="3"/>
  <c r="AZ718" i="3"/>
  <c r="BA718" i="3"/>
  <c r="BB718" i="3"/>
  <c r="BC718" i="3"/>
  <c r="BD718" i="3"/>
  <c r="BE718" i="3"/>
  <c r="BF718" i="3"/>
  <c r="BG718" i="3"/>
  <c r="AT719" i="3"/>
  <c r="AU719" i="3"/>
  <c r="AV719" i="3" s="1" a="1"/>
  <c r="AV719" i="3" s="1"/>
  <c r="AY719" i="3"/>
  <c r="AZ719" i="3"/>
  <c r="BA719" i="3"/>
  <c r="BB719" i="3"/>
  <c r="BC719" i="3"/>
  <c r="BD719" i="3"/>
  <c r="BE719" i="3"/>
  <c r="BF719" i="3"/>
  <c r="BG719" i="3"/>
  <c r="AT720" i="3"/>
  <c r="AU720" i="3"/>
  <c r="AV720" i="3" s="1" a="1"/>
  <c r="AV720" i="3" s="1"/>
  <c r="AY720" i="3"/>
  <c r="AZ720" i="3"/>
  <c r="BA720" i="3"/>
  <c r="BB720" i="3"/>
  <c r="BC720" i="3"/>
  <c r="BD720" i="3"/>
  <c r="BE720" i="3"/>
  <c r="BF720" i="3"/>
  <c r="BG720" i="3"/>
  <c r="AT721" i="3"/>
  <c r="AU721" i="3"/>
  <c r="AV721" i="3" s="1" a="1"/>
  <c r="AV721" i="3" s="1"/>
  <c r="AY721" i="3"/>
  <c r="AZ721" i="3"/>
  <c r="BA721" i="3"/>
  <c r="BB721" i="3"/>
  <c r="BC721" i="3"/>
  <c r="BD721" i="3"/>
  <c r="BE721" i="3"/>
  <c r="BF721" i="3"/>
  <c r="BG721" i="3"/>
  <c r="AT722" i="3"/>
  <c r="AU722" i="3"/>
  <c r="AV722" i="3" s="1" a="1"/>
  <c r="AV722" i="3" s="1"/>
  <c r="AY722" i="3"/>
  <c r="AZ722" i="3"/>
  <c r="BA722" i="3"/>
  <c r="BB722" i="3"/>
  <c r="BC722" i="3"/>
  <c r="BD722" i="3"/>
  <c r="BE722" i="3"/>
  <c r="BF722" i="3"/>
  <c r="BG722" i="3"/>
  <c r="AT723" i="3"/>
  <c r="AU723" i="3"/>
  <c r="AV723" i="3" s="1" a="1"/>
  <c r="AV723" i="3" s="1"/>
  <c r="AY723" i="3"/>
  <c r="AZ723" i="3"/>
  <c r="BA723" i="3"/>
  <c r="BB723" i="3"/>
  <c r="BC723" i="3"/>
  <c r="BD723" i="3"/>
  <c r="BE723" i="3"/>
  <c r="BF723" i="3"/>
  <c r="BG723" i="3"/>
  <c r="AT724" i="3"/>
  <c r="AU724" i="3"/>
  <c r="AV724" i="3" s="1" a="1"/>
  <c r="AV724" i="3" s="1"/>
  <c r="AY724" i="3"/>
  <c r="AZ724" i="3"/>
  <c r="BA724" i="3"/>
  <c r="BB724" i="3"/>
  <c r="BC724" i="3"/>
  <c r="BD724" i="3"/>
  <c r="BE724" i="3"/>
  <c r="BF724" i="3"/>
  <c r="BG724" i="3"/>
  <c r="AT725" i="3"/>
  <c r="AU725" i="3"/>
  <c r="AV725" i="3" s="1" a="1"/>
  <c r="AV725" i="3" s="1"/>
  <c r="AY725" i="3"/>
  <c r="AZ725" i="3"/>
  <c r="BA725" i="3"/>
  <c r="BB725" i="3"/>
  <c r="BC725" i="3"/>
  <c r="BD725" i="3"/>
  <c r="BE725" i="3"/>
  <c r="BF725" i="3"/>
  <c r="BG725" i="3"/>
  <c r="AT726" i="3"/>
  <c r="AU726" i="3"/>
  <c r="AV726" i="3" s="1" a="1"/>
  <c r="AV726" i="3" s="1"/>
  <c r="AY726" i="3"/>
  <c r="AZ726" i="3"/>
  <c r="BA726" i="3"/>
  <c r="BB726" i="3"/>
  <c r="BC726" i="3"/>
  <c r="BD726" i="3"/>
  <c r="BE726" i="3"/>
  <c r="BF726" i="3"/>
  <c r="BG726" i="3"/>
  <c r="AT727" i="3"/>
  <c r="AU727" i="3"/>
  <c r="AV727" i="3" s="1" a="1"/>
  <c r="AV727" i="3" s="1"/>
  <c r="AY727" i="3"/>
  <c r="AZ727" i="3"/>
  <c r="BA727" i="3"/>
  <c r="BB727" i="3"/>
  <c r="BC727" i="3"/>
  <c r="BD727" i="3"/>
  <c r="BE727" i="3"/>
  <c r="BF727" i="3"/>
  <c r="BG727" i="3"/>
  <c r="AT728" i="3"/>
  <c r="AU728" i="3"/>
  <c r="AV728" i="3" s="1" a="1"/>
  <c r="AV728" i="3" s="1"/>
  <c r="AY728" i="3"/>
  <c r="AZ728" i="3"/>
  <c r="BA728" i="3"/>
  <c r="BB728" i="3"/>
  <c r="BC728" i="3"/>
  <c r="BD728" i="3"/>
  <c r="BE728" i="3"/>
  <c r="BF728" i="3"/>
  <c r="BG728" i="3"/>
  <c r="AT729" i="3"/>
  <c r="AU729" i="3"/>
  <c r="AV729" i="3" s="1" a="1"/>
  <c r="AV729" i="3" s="1"/>
  <c r="AY729" i="3"/>
  <c r="AZ729" i="3"/>
  <c r="BA729" i="3"/>
  <c r="BB729" i="3"/>
  <c r="BC729" i="3"/>
  <c r="BD729" i="3"/>
  <c r="BE729" i="3"/>
  <c r="BF729" i="3"/>
  <c r="BG729" i="3"/>
  <c r="AT730" i="3"/>
  <c r="AU730" i="3"/>
  <c r="AV730" i="3" s="1" a="1"/>
  <c r="AV730" i="3" s="1"/>
  <c r="AY730" i="3"/>
  <c r="AZ730" i="3"/>
  <c r="BA730" i="3"/>
  <c r="BB730" i="3"/>
  <c r="BC730" i="3"/>
  <c r="BD730" i="3"/>
  <c r="BE730" i="3"/>
  <c r="BF730" i="3"/>
  <c r="BG730" i="3"/>
  <c r="AT731" i="3"/>
  <c r="AU731" i="3"/>
  <c r="AV731" i="3" s="1" a="1"/>
  <c r="AV731" i="3" s="1"/>
  <c r="AY731" i="3"/>
  <c r="AZ731" i="3"/>
  <c r="BA731" i="3"/>
  <c r="BB731" i="3"/>
  <c r="BC731" i="3"/>
  <c r="BD731" i="3"/>
  <c r="BE731" i="3"/>
  <c r="BF731" i="3"/>
  <c r="BG731" i="3"/>
  <c r="AT732" i="3"/>
  <c r="AU732" i="3"/>
  <c r="AV732" i="3" s="1" a="1"/>
  <c r="AV732" i="3" s="1"/>
  <c r="AY732" i="3"/>
  <c r="AZ732" i="3"/>
  <c r="BA732" i="3"/>
  <c r="BB732" i="3"/>
  <c r="BC732" i="3"/>
  <c r="BD732" i="3"/>
  <c r="BE732" i="3"/>
  <c r="BF732" i="3"/>
  <c r="BG732" i="3"/>
  <c r="AT733" i="3"/>
  <c r="AU733" i="3"/>
  <c r="AV733" i="3" s="1" a="1"/>
  <c r="AV733" i="3" s="1"/>
  <c r="AY733" i="3"/>
  <c r="AZ733" i="3"/>
  <c r="BA733" i="3"/>
  <c r="BB733" i="3"/>
  <c r="BC733" i="3"/>
  <c r="BD733" i="3"/>
  <c r="BE733" i="3"/>
  <c r="BF733" i="3"/>
  <c r="BG733" i="3"/>
  <c r="AT734" i="3"/>
  <c r="AU734" i="3"/>
  <c r="AV734" i="3" s="1" a="1"/>
  <c r="AV734" i="3" s="1"/>
  <c r="AY734" i="3"/>
  <c r="AZ734" i="3"/>
  <c r="BA734" i="3"/>
  <c r="BB734" i="3"/>
  <c r="BC734" i="3"/>
  <c r="BD734" i="3"/>
  <c r="BE734" i="3"/>
  <c r="BF734" i="3"/>
  <c r="BG734" i="3"/>
  <c r="AT735" i="3"/>
  <c r="AU735" i="3"/>
  <c r="AV735" i="3" s="1" a="1"/>
  <c r="AV735" i="3" s="1"/>
  <c r="AY735" i="3"/>
  <c r="AZ735" i="3"/>
  <c r="BA735" i="3"/>
  <c r="BB735" i="3"/>
  <c r="BC735" i="3"/>
  <c r="BD735" i="3"/>
  <c r="BE735" i="3"/>
  <c r="BF735" i="3"/>
  <c r="BG735" i="3"/>
  <c r="AT736" i="3"/>
  <c r="AU736" i="3"/>
  <c r="AV736" i="3" s="1" a="1"/>
  <c r="AV736" i="3" s="1"/>
  <c r="AY736" i="3"/>
  <c r="AZ736" i="3"/>
  <c r="BA736" i="3"/>
  <c r="BB736" i="3"/>
  <c r="BC736" i="3"/>
  <c r="BD736" i="3"/>
  <c r="BE736" i="3"/>
  <c r="BF736" i="3"/>
  <c r="BG736" i="3"/>
  <c r="AT737" i="3"/>
  <c r="AU737" i="3"/>
  <c r="AV737" i="3" s="1" a="1"/>
  <c r="AV737" i="3" s="1"/>
  <c r="AY737" i="3"/>
  <c r="AZ737" i="3"/>
  <c r="BA737" i="3"/>
  <c r="BB737" i="3"/>
  <c r="BC737" i="3"/>
  <c r="BD737" i="3"/>
  <c r="BE737" i="3"/>
  <c r="BF737" i="3"/>
  <c r="BG737" i="3"/>
  <c r="AT738" i="3"/>
  <c r="AU738" i="3"/>
  <c r="AV738" i="3" s="1" a="1"/>
  <c r="AV738" i="3" s="1"/>
  <c r="AY738" i="3"/>
  <c r="AZ738" i="3"/>
  <c r="BA738" i="3"/>
  <c r="BB738" i="3"/>
  <c r="BC738" i="3"/>
  <c r="BD738" i="3"/>
  <c r="BE738" i="3"/>
  <c r="BF738" i="3"/>
  <c r="BG738" i="3"/>
  <c r="AT739" i="3"/>
  <c r="AU739" i="3"/>
  <c r="AV739" i="3" s="1" a="1"/>
  <c r="AV739" i="3" s="1"/>
  <c r="AY739" i="3"/>
  <c r="AZ739" i="3"/>
  <c r="BA739" i="3"/>
  <c r="BB739" i="3"/>
  <c r="BC739" i="3"/>
  <c r="BD739" i="3"/>
  <c r="BE739" i="3"/>
  <c r="BF739" i="3"/>
  <c r="BG739" i="3"/>
  <c r="AT740" i="3"/>
  <c r="AU740" i="3"/>
  <c r="AV740" i="3" s="1" a="1"/>
  <c r="AV740" i="3" s="1"/>
  <c r="AY740" i="3"/>
  <c r="AZ740" i="3"/>
  <c r="BA740" i="3"/>
  <c r="BB740" i="3"/>
  <c r="BC740" i="3"/>
  <c r="BD740" i="3"/>
  <c r="BE740" i="3"/>
  <c r="BF740" i="3"/>
  <c r="BG740" i="3"/>
  <c r="AT741" i="3"/>
  <c r="AU741" i="3"/>
  <c r="AV741" i="3" s="1" a="1"/>
  <c r="AV741" i="3" s="1"/>
  <c r="AY741" i="3"/>
  <c r="AZ741" i="3"/>
  <c r="BA741" i="3"/>
  <c r="BB741" i="3"/>
  <c r="BC741" i="3"/>
  <c r="BD741" i="3"/>
  <c r="BE741" i="3"/>
  <c r="BF741" i="3"/>
  <c r="BG741" i="3"/>
  <c r="AT742" i="3"/>
  <c r="AU742" i="3"/>
  <c r="AV742" i="3" s="1" a="1"/>
  <c r="AV742" i="3" s="1"/>
  <c r="AY742" i="3"/>
  <c r="AZ742" i="3"/>
  <c r="BA742" i="3"/>
  <c r="BB742" i="3"/>
  <c r="BC742" i="3"/>
  <c r="BD742" i="3"/>
  <c r="BE742" i="3"/>
  <c r="BF742" i="3"/>
  <c r="BG742" i="3"/>
  <c r="AT743" i="3"/>
  <c r="AU743" i="3"/>
  <c r="AV743" i="3" s="1" a="1"/>
  <c r="AV743" i="3" s="1"/>
  <c r="AY743" i="3"/>
  <c r="AZ743" i="3"/>
  <c r="BA743" i="3"/>
  <c r="BB743" i="3"/>
  <c r="BC743" i="3"/>
  <c r="BD743" i="3"/>
  <c r="BE743" i="3"/>
  <c r="BF743" i="3"/>
  <c r="BG743" i="3"/>
  <c r="AT744" i="3"/>
  <c r="AU744" i="3"/>
  <c r="AV744" i="3" s="1" a="1"/>
  <c r="AV744" i="3" s="1"/>
  <c r="AY744" i="3"/>
  <c r="AZ744" i="3"/>
  <c r="BA744" i="3"/>
  <c r="BB744" i="3"/>
  <c r="BC744" i="3"/>
  <c r="BD744" i="3"/>
  <c r="BE744" i="3"/>
  <c r="BF744" i="3"/>
  <c r="BG744" i="3"/>
  <c r="AT745" i="3"/>
  <c r="AU745" i="3"/>
  <c r="AV745" i="3" s="1" a="1"/>
  <c r="AV745" i="3" s="1"/>
  <c r="AY745" i="3"/>
  <c r="AZ745" i="3"/>
  <c r="BA745" i="3"/>
  <c r="BB745" i="3"/>
  <c r="BC745" i="3"/>
  <c r="BD745" i="3"/>
  <c r="BE745" i="3"/>
  <c r="BF745" i="3"/>
  <c r="BG745" i="3"/>
  <c r="AT746" i="3"/>
  <c r="AU746" i="3"/>
  <c r="AV746" i="3" s="1" a="1"/>
  <c r="AV746" i="3" s="1"/>
  <c r="AY746" i="3"/>
  <c r="AZ746" i="3"/>
  <c r="BA746" i="3"/>
  <c r="BB746" i="3"/>
  <c r="BC746" i="3"/>
  <c r="BD746" i="3"/>
  <c r="BE746" i="3"/>
  <c r="BF746" i="3"/>
  <c r="BG746" i="3"/>
  <c r="AT747" i="3"/>
  <c r="AU747" i="3"/>
  <c r="AV747" i="3" s="1" a="1"/>
  <c r="AV747" i="3" s="1"/>
  <c r="AY747" i="3"/>
  <c r="AZ747" i="3"/>
  <c r="BA747" i="3"/>
  <c r="BB747" i="3"/>
  <c r="BC747" i="3"/>
  <c r="BD747" i="3"/>
  <c r="BE747" i="3"/>
  <c r="BF747" i="3"/>
  <c r="BG747" i="3"/>
  <c r="AT748" i="3"/>
  <c r="AU748" i="3"/>
  <c r="AV748" i="3" s="1" a="1"/>
  <c r="AV748" i="3" s="1"/>
  <c r="AY748" i="3"/>
  <c r="AZ748" i="3"/>
  <c r="BA748" i="3"/>
  <c r="BB748" i="3"/>
  <c r="BC748" i="3"/>
  <c r="BD748" i="3"/>
  <c r="BE748" i="3"/>
  <c r="BF748" i="3"/>
  <c r="BG748" i="3"/>
  <c r="AT749" i="3"/>
  <c r="AU749" i="3"/>
  <c r="AV749" i="3" s="1" a="1"/>
  <c r="AV749" i="3" s="1"/>
  <c r="AY749" i="3"/>
  <c r="AZ749" i="3"/>
  <c r="BA749" i="3"/>
  <c r="BB749" i="3"/>
  <c r="BC749" i="3"/>
  <c r="BD749" i="3"/>
  <c r="BE749" i="3"/>
  <c r="BF749" i="3"/>
  <c r="BG749" i="3"/>
  <c r="AT750" i="3"/>
  <c r="AU750" i="3"/>
  <c r="AV750" i="3" s="1" a="1"/>
  <c r="AV750" i="3" s="1"/>
  <c r="AY750" i="3"/>
  <c r="AZ750" i="3"/>
  <c r="BA750" i="3"/>
  <c r="BB750" i="3"/>
  <c r="BC750" i="3"/>
  <c r="BD750" i="3"/>
  <c r="BE750" i="3"/>
  <c r="BF750" i="3"/>
  <c r="BG750" i="3"/>
  <c r="AT751" i="3"/>
  <c r="AU751" i="3"/>
  <c r="AV751" i="3" s="1" a="1"/>
  <c r="AV751" i="3" s="1"/>
  <c r="AY751" i="3"/>
  <c r="AZ751" i="3"/>
  <c r="BA751" i="3"/>
  <c r="BB751" i="3"/>
  <c r="BC751" i="3"/>
  <c r="BD751" i="3"/>
  <c r="BE751" i="3"/>
  <c r="BF751" i="3"/>
  <c r="BG751" i="3"/>
  <c r="AT752" i="3"/>
  <c r="AU752" i="3"/>
  <c r="AV752" i="3" s="1" a="1"/>
  <c r="AV752" i="3" s="1"/>
  <c r="AY752" i="3"/>
  <c r="AZ752" i="3"/>
  <c r="BA752" i="3"/>
  <c r="BB752" i="3"/>
  <c r="BC752" i="3"/>
  <c r="BD752" i="3"/>
  <c r="BE752" i="3"/>
  <c r="BF752" i="3"/>
  <c r="BG752" i="3"/>
  <c r="AT753" i="3"/>
  <c r="AU753" i="3"/>
  <c r="AV753" i="3" s="1" a="1"/>
  <c r="AV753" i="3" s="1"/>
  <c r="AY753" i="3"/>
  <c r="AZ753" i="3"/>
  <c r="BA753" i="3"/>
  <c r="BB753" i="3"/>
  <c r="BC753" i="3"/>
  <c r="BD753" i="3"/>
  <c r="BE753" i="3"/>
  <c r="BF753" i="3"/>
  <c r="BG753" i="3"/>
  <c r="AT754" i="3"/>
  <c r="AU754" i="3"/>
  <c r="AV754" i="3" s="1" a="1"/>
  <c r="AV754" i="3" s="1"/>
  <c r="AY754" i="3"/>
  <c r="AZ754" i="3"/>
  <c r="BA754" i="3"/>
  <c r="BB754" i="3"/>
  <c r="BC754" i="3"/>
  <c r="BD754" i="3"/>
  <c r="BE754" i="3"/>
  <c r="BF754" i="3"/>
  <c r="BG754" i="3"/>
  <c r="AT755" i="3"/>
  <c r="AU755" i="3"/>
  <c r="AV755" i="3" s="1" a="1"/>
  <c r="AV755" i="3" s="1"/>
  <c r="AY755" i="3"/>
  <c r="AZ755" i="3"/>
  <c r="BA755" i="3"/>
  <c r="BB755" i="3"/>
  <c r="BC755" i="3"/>
  <c r="BD755" i="3"/>
  <c r="BE755" i="3"/>
  <c r="BF755" i="3"/>
  <c r="BG755" i="3"/>
  <c r="AT756" i="3"/>
  <c r="AU756" i="3"/>
  <c r="AV756" i="3" s="1" a="1"/>
  <c r="AV756" i="3" s="1"/>
  <c r="AY756" i="3"/>
  <c r="AZ756" i="3"/>
  <c r="BA756" i="3"/>
  <c r="BB756" i="3"/>
  <c r="BC756" i="3"/>
  <c r="BD756" i="3"/>
  <c r="BE756" i="3"/>
  <c r="BF756" i="3"/>
  <c r="BG756" i="3"/>
  <c r="AT757" i="3"/>
  <c r="AU757" i="3"/>
  <c r="AV757" i="3" s="1" a="1"/>
  <c r="AV757" i="3" s="1"/>
  <c r="AY757" i="3"/>
  <c r="AZ757" i="3"/>
  <c r="BA757" i="3"/>
  <c r="BB757" i="3"/>
  <c r="BC757" i="3"/>
  <c r="BD757" i="3"/>
  <c r="BE757" i="3"/>
  <c r="BF757" i="3"/>
  <c r="BG757" i="3"/>
  <c r="AT758" i="3"/>
  <c r="AU758" i="3"/>
  <c r="AV758" i="3" s="1" a="1"/>
  <c r="AV758" i="3" s="1"/>
  <c r="AY758" i="3"/>
  <c r="AZ758" i="3"/>
  <c r="BA758" i="3"/>
  <c r="BB758" i="3"/>
  <c r="BC758" i="3"/>
  <c r="BD758" i="3"/>
  <c r="BE758" i="3"/>
  <c r="BF758" i="3"/>
  <c r="BG758" i="3"/>
  <c r="AT759" i="3"/>
  <c r="AU759" i="3"/>
  <c r="AV759" i="3" s="1" a="1"/>
  <c r="AV759" i="3" s="1"/>
  <c r="AY759" i="3"/>
  <c r="AZ759" i="3"/>
  <c r="BA759" i="3"/>
  <c r="BB759" i="3"/>
  <c r="BC759" i="3"/>
  <c r="BD759" i="3"/>
  <c r="BE759" i="3"/>
  <c r="BF759" i="3"/>
  <c r="BG759" i="3"/>
  <c r="AT760" i="3"/>
  <c r="AU760" i="3"/>
  <c r="AV760" i="3" s="1" a="1"/>
  <c r="AV760" i="3" s="1"/>
  <c r="AY760" i="3"/>
  <c r="AZ760" i="3"/>
  <c r="BA760" i="3"/>
  <c r="BB760" i="3"/>
  <c r="BC760" i="3"/>
  <c r="BD760" i="3"/>
  <c r="BE760" i="3"/>
  <c r="BF760" i="3"/>
  <c r="BG760" i="3"/>
  <c r="AT761" i="3"/>
  <c r="AU761" i="3"/>
  <c r="AV761" i="3" s="1" a="1"/>
  <c r="AV761" i="3" s="1"/>
  <c r="AY761" i="3"/>
  <c r="AZ761" i="3"/>
  <c r="BA761" i="3"/>
  <c r="BB761" i="3"/>
  <c r="BC761" i="3"/>
  <c r="BD761" i="3"/>
  <c r="BE761" i="3"/>
  <c r="BF761" i="3"/>
  <c r="BG761" i="3"/>
  <c r="AT762" i="3"/>
  <c r="AU762" i="3"/>
  <c r="AV762" i="3" s="1" a="1"/>
  <c r="AV762" i="3" s="1"/>
  <c r="AY762" i="3"/>
  <c r="AZ762" i="3"/>
  <c r="BA762" i="3"/>
  <c r="BB762" i="3"/>
  <c r="BC762" i="3"/>
  <c r="BD762" i="3"/>
  <c r="BE762" i="3"/>
  <c r="BF762" i="3"/>
  <c r="BG762" i="3"/>
  <c r="AT763" i="3"/>
  <c r="AU763" i="3"/>
  <c r="AV763" i="3" s="1" a="1"/>
  <c r="AV763" i="3" s="1"/>
  <c r="AY763" i="3"/>
  <c r="AZ763" i="3"/>
  <c r="BA763" i="3"/>
  <c r="BB763" i="3"/>
  <c r="BC763" i="3"/>
  <c r="BD763" i="3"/>
  <c r="BE763" i="3"/>
  <c r="BF763" i="3"/>
  <c r="BG763" i="3"/>
  <c r="AT764" i="3"/>
  <c r="AU764" i="3"/>
  <c r="AV764" i="3" s="1" a="1"/>
  <c r="AV764" i="3" s="1"/>
  <c r="AY764" i="3"/>
  <c r="AZ764" i="3"/>
  <c r="BA764" i="3"/>
  <c r="BB764" i="3"/>
  <c r="BC764" i="3"/>
  <c r="BD764" i="3"/>
  <c r="BE764" i="3"/>
  <c r="BF764" i="3"/>
  <c r="BG764" i="3"/>
  <c r="AT765" i="3"/>
  <c r="AU765" i="3"/>
  <c r="AV765" i="3" s="1" a="1"/>
  <c r="AV765" i="3" s="1"/>
  <c r="AY765" i="3"/>
  <c r="AZ765" i="3"/>
  <c r="BA765" i="3"/>
  <c r="BB765" i="3"/>
  <c r="BC765" i="3"/>
  <c r="BD765" i="3"/>
  <c r="BE765" i="3"/>
  <c r="BF765" i="3"/>
  <c r="BG765" i="3"/>
  <c r="AT766" i="3"/>
  <c r="AU766" i="3"/>
  <c r="AV766" i="3" s="1" a="1"/>
  <c r="AV766" i="3" s="1"/>
  <c r="AY766" i="3"/>
  <c r="AZ766" i="3"/>
  <c r="BA766" i="3"/>
  <c r="BB766" i="3"/>
  <c r="BC766" i="3"/>
  <c r="BD766" i="3"/>
  <c r="BE766" i="3"/>
  <c r="BF766" i="3"/>
  <c r="BG766" i="3"/>
  <c r="AT767" i="3"/>
  <c r="AU767" i="3"/>
  <c r="AV767" i="3" s="1" a="1"/>
  <c r="AV767" i="3" s="1"/>
  <c r="AY767" i="3"/>
  <c r="AZ767" i="3"/>
  <c r="BA767" i="3"/>
  <c r="BB767" i="3"/>
  <c r="BC767" i="3"/>
  <c r="BD767" i="3"/>
  <c r="BE767" i="3"/>
  <c r="BF767" i="3"/>
  <c r="BG767" i="3"/>
  <c r="AT768" i="3"/>
  <c r="AU768" i="3"/>
  <c r="AV768" i="3" s="1" a="1"/>
  <c r="AV768" i="3" s="1"/>
  <c r="AY768" i="3"/>
  <c r="AZ768" i="3"/>
  <c r="BA768" i="3"/>
  <c r="BB768" i="3"/>
  <c r="BC768" i="3"/>
  <c r="BD768" i="3"/>
  <c r="BE768" i="3"/>
  <c r="BF768" i="3"/>
  <c r="BG768" i="3"/>
  <c r="AT769" i="3"/>
  <c r="AU769" i="3"/>
  <c r="AV769" i="3" s="1" a="1"/>
  <c r="AV769" i="3" s="1"/>
  <c r="AY769" i="3"/>
  <c r="AZ769" i="3"/>
  <c r="BA769" i="3"/>
  <c r="BB769" i="3"/>
  <c r="BC769" i="3"/>
  <c r="BD769" i="3"/>
  <c r="BE769" i="3"/>
  <c r="BF769" i="3"/>
  <c r="BG769" i="3"/>
  <c r="AT770" i="3"/>
  <c r="AU770" i="3"/>
  <c r="AV770" i="3" s="1" a="1"/>
  <c r="AV770" i="3" s="1"/>
  <c r="AY770" i="3"/>
  <c r="AZ770" i="3"/>
  <c r="BA770" i="3"/>
  <c r="BB770" i="3"/>
  <c r="BC770" i="3"/>
  <c r="BD770" i="3"/>
  <c r="BE770" i="3"/>
  <c r="BF770" i="3"/>
  <c r="BG770" i="3"/>
  <c r="AT771" i="3"/>
  <c r="AU771" i="3"/>
  <c r="AV771" i="3" s="1" a="1"/>
  <c r="AV771" i="3" s="1"/>
  <c r="AY771" i="3"/>
  <c r="AZ771" i="3"/>
  <c r="BA771" i="3"/>
  <c r="BB771" i="3"/>
  <c r="BC771" i="3"/>
  <c r="BD771" i="3"/>
  <c r="BE771" i="3"/>
  <c r="BF771" i="3"/>
  <c r="BG771" i="3"/>
  <c r="AT772" i="3"/>
  <c r="AU772" i="3"/>
  <c r="AV772" i="3" s="1" a="1"/>
  <c r="AV772" i="3" s="1"/>
  <c r="AY772" i="3"/>
  <c r="AZ772" i="3"/>
  <c r="BA772" i="3"/>
  <c r="BB772" i="3"/>
  <c r="BC772" i="3"/>
  <c r="BD772" i="3"/>
  <c r="BE772" i="3"/>
  <c r="BF772" i="3"/>
  <c r="BG772" i="3"/>
  <c r="AT773" i="3"/>
  <c r="AU773" i="3"/>
  <c r="AV773" i="3" s="1" a="1"/>
  <c r="AV773" i="3" s="1"/>
  <c r="AY773" i="3"/>
  <c r="AZ773" i="3"/>
  <c r="BA773" i="3"/>
  <c r="BB773" i="3"/>
  <c r="BC773" i="3"/>
  <c r="BD773" i="3"/>
  <c r="BE773" i="3"/>
  <c r="BF773" i="3"/>
  <c r="BG773" i="3"/>
  <c r="AT774" i="3"/>
  <c r="AU774" i="3"/>
  <c r="AV774" i="3" s="1" a="1"/>
  <c r="AV774" i="3" s="1"/>
  <c r="AY774" i="3"/>
  <c r="AZ774" i="3"/>
  <c r="BA774" i="3"/>
  <c r="BB774" i="3"/>
  <c r="BC774" i="3"/>
  <c r="BD774" i="3"/>
  <c r="BE774" i="3"/>
  <c r="BF774" i="3"/>
  <c r="BG774" i="3"/>
  <c r="AT775" i="3"/>
  <c r="AU775" i="3"/>
  <c r="AV775" i="3" s="1" a="1"/>
  <c r="AV775" i="3" s="1"/>
  <c r="AY775" i="3"/>
  <c r="AZ775" i="3"/>
  <c r="BA775" i="3"/>
  <c r="BB775" i="3"/>
  <c r="BC775" i="3"/>
  <c r="BD775" i="3"/>
  <c r="BE775" i="3"/>
  <c r="BF775" i="3"/>
  <c r="BG775" i="3"/>
  <c r="AT776" i="3"/>
  <c r="AU776" i="3"/>
  <c r="AV776" i="3" s="1" a="1"/>
  <c r="AV776" i="3" s="1"/>
  <c r="AY776" i="3"/>
  <c r="AZ776" i="3"/>
  <c r="BA776" i="3"/>
  <c r="BB776" i="3"/>
  <c r="BC776" i="3"/>
  <c r="BD776" i="3"/>
  <c r="BE776" i="3"/>
  <c r="BF776" i="3"/>
  <c r="BG776" i="3"/>
  <c r="AT777" i="3"/>
  <c r="AU777" i="3"/>
  <c r="AV777" i="3" s="1" a="1"/>
  <c r="AV777" i="3" s="1"/>
  <c r="AY777" i="3"/>
  <c r="AZ777" i="3"/>
  <c r="BA777" i="3"/>
  <c r="BB777" i="3"/>
  <c r="BC777" i="3"/>
  <c r="BD777" i="3"/>
  <c r="BE777" i="3"/>
  <c r="BF777" i="3"/>
  <c r="BG777" i="3"/>
  <c r="AT778" i="3"/>
  <c r="AU778" i="3"/>
  <c r="AV778" i="3" s="1" a="1"/>
  <c r="AV778" i="3" s="1"/>
  <c r="AY778" i="3"/>
  <c r="AZ778" i="3"/>
  <c r="BA778" i="3"/>
  <c r="BB778" i="3"/>
  <c r="BC778" i="3"/>
  <c r="BD778" i="3"/>
  <c r="BE778" i="3"/>
  <c r="BF778" i="3"/>
  <c r="BG778" i="3"/>
  <c r="AT779" i="3"/>
  <c r="AU779" i="3"/>
  <c r="AV779" i="3" s="1" a="1"/>
  <c r="AV779" i="3" s="1"/>
  <c r="AY779" i="3"/>
  <c r="AZ779" i="3"/>
  <c r="BA779" i="3"/>
  <c r="BB779" i="3"/>
  <c r="BC779" i="3"/>
  <c r="BD779" i="3"/>
  <c r="BE779" i="3"/>
  <c r="BF779" i="3"/>
  <c r="BG779" i="3"/>
  <c r="AT780" i="3"/>
  <c r="AU780" i="3"/>
  <c r="AV780" i="3" s="1" a="1"/>
  <c r="AV780" i="3" s="1"/>
  <c r="AY780" i="3"/>
  <c r="AZ780" i="3"/>
  <c r="BA780" i="3"/>
  <c r="BB780" i="3"/>
  <c r="BC780" i="3"/>
  <c r="BD780" i="3"/>
  <c r="BE780" i="3"/>
  <c r="BF780" i="3"/>
  <c r="BG780" i="3"/>
  <c r="AT781" i="3"/>
  <c r="AU781" i="3"/>
  <c r="AV781" i="3" s="1" a="1"/>
  <c r="AV781" i="3" s="1"/>
  <c r="AY781" i="3"/>
  <c r="AZ781" i="3"/>
  <c r="BA781" i="3"/>
  <c r="BB781" i="3"/>
  <c r="BC781" i="3"/>
  <c r="BD781" i="3"/>
  <c r="BE781" i="3"/>
  <c r="BF781" i="3"/>
  <c r="BG781" i="3"/>
  <c r="AT782" i="3"/>
  <c r="AU782" i="3"/>
  <c r="AV782" i="3" s="1" a="1"/>
  <c r="AV782" i="3" s="1"/>
  <c r="AY782" i="3"/>
  <c r="AZ782" i="3"/>
  <c r="BA782" i="3"/>
  <c r="BB782" i="3"/>
  <c r="BC782" i="3"/>
  <c r="BD782" i="3"/>
  <c r="BE782" i="3"/>
  <c r="BF782" i="3"/>
  <c r="BG782" i="3"/>
  <c r="AT783" i="3"/>
  <c r="AU783" i="3"/>
  <c r="AV783" i="3" s="1" a="1"/>
  <c r="AV783" i="3" s="1"/>
  <c r="AY783" i="3"/>
  <c r="AZ783" i="3"/>
  <c r="BA783" i="3"/>
  <c r="BB783" i="3"/>
  <c r="BC783" i="3"/>
  <c r="BD783" i="3"/>
  <c r="BE783" i="3"/>
  <c r="BF783" i="3"/>
  <c r="BG783" i="3"/>
  <c r="AT784" i="3"/>
  <c r="AU784" i="3"/>
  <c r="AV784" i="3" s="1" a="1"/>
  <c r="AV784" i="3" s="1"/>
  <c r="AY784" i="3"/>
  <c r="AZ784" i="3"/>
  <c r="BA784" i="3"/>
  <c r="BB784" i="3"/>
  <c r="BC784" i="3"/>
  <c r="BD784" i="3"/>
  <c r="BE784" i="3"/>
  <c r="BF784" i="3"/>
  <c r="BG784" i="3"/>
  <c r="AT785" i="3"/>
  <c r="AU785" i="3"/>
  <c r="AV785" i="3" s="1" a="1"/>
  <c r="AV785" i="3" s="1"/>
  <c r="AY785" i="3"/>
  <c r="AZ785" i="3"/>
  <c r="BA785" i="3"/>
  <c r="BB785" i="3"/>
  <c r="BC785" i="3"/>
  <c r="BD785" i="3"/>
  <c r="BE785" i="3"/>
  <c r="BF785" i="3"/>
  <c r="BG785" i="3"/>
  <c r="AT786" i="3"/>
  <c r="AU786" i="3"/>
  <c r="AV786" i="3" s="1" a="1"/>
  <c r="AV786" i="3" s="1"/>
  <c r="AY786" i="3"/>
  <c r="AZ786" i="3"/>
  <c r="BA786" i="3"/>
  <c r="BB786" i="3"/>
  <c r="BC786" i="3"/>
  <c r="BD786" i="3"/>
  <c r="BE786" i="3"/>
  <c r="BF786" i="3"/>
  <c r="BG786" i="3"/>
  <c r="AT787" i="3"/>
  <c r="AU787" i="3"/>
  <c r="AV787" i="3" s="1" a="1"/>
  <c r="AV787" i="3" s="1"/>
  <c r="AY787" i="3"/>
  <c r="AZ787" i="3"/>
  <c r="BA787" i="3"/>
  <c r="BB787" i="3"/>
  <c r="BC787" i="3"/>
  <c r="BD787" i="3"/>
  <c r="BE787" i="3"/>
  <c r="BF787" i="3"/>
  <c r="BG787" i="3"/>
  <c r="AT788" i="3"/>
  <c r="AU788" i="3"/>
  <c r="AV788" i="3" s="1" a="1"/>
  <c r="AV788" i="3" s="1"/>
  <c r="AY788" i="3"/>
  <c r="AZ788" i="3"/>
  <c r="BA788" i="3"/>
  <c r="BB788" i="3"/>
  <c r="BC788" i="3"/>
  <c r="BD788" i="3"/>
  <c r="BE788" i="3"/>
  <c r="BF788" i="3"/>
  <c r="BG788" i="3"/>
  <c r="AT789" i="3"/>
  <c r="AU789" i="3"/>
  <c r="AV789" i="3" s="1" a="1"/>
  <c r="AV789" i="3" s="1"/>
  <c r="AY789" i="3"/>
  <c r="AZ789" i="3"/>
  <c r="BA789" i="3"/>
  <c r="BB789" i="3"/>
  <c r="BC789" i="3"/>
  <c r="BD789" i="3"/>
  <c r="BE789" i="3"/>
  <c r="BF789" i="3"/>
  <c r="BG789" i="3"/>
  <c r="AT790" i="3"/>
  <c r="AU790" i="3"/>
  <c r="AV790" i="3" s="1" a="1"/>
  <c r="AV790" i="3" s="1"/>
  <c r="AY790" i="3"/>
  <c r="AZ790" i="3"/>
  <c r="BA790" i="3"/>
  <c r="BB790" i="3"/>
  <c r="BC790" i="3"/>
  <c r="BD790" i="3"/>
  <c r="BE790" i="3"/>
  <c r="BF790" i="3"/>
  <c r="BG790" i="3"/>
  <c r="AT791" i="3"/>
  <c r="AU791" i="3"/>
  <c r="AV791" i="3" s="1" a="1"/>
  <c r="AV791" i="3" s="1"/>
  <c r="AY791" i="3"/>
  <c r="AZ791" i="3"/>
  <c r="BA791" i="3"/>
  <c r="BB791" i="3"/>
  <c r="BC791" i="3"/>
  <c r="BD791" i="3"/>
  <c r="BE791" i="3"/>
  <c r="BF791" i="3"/>
  <c r="BG791" i="3"/>
  <c r="AT792" i="3"/>
  <c r="AU792" i="3"/>
  <c r="AV792" i="3" s="1" a="1"/>
  <c r="AV792" i="3" s="1"/>
  <c r="AY792" i="3"/>
  <c r="AZ792" i="3"/>
  <c r="BA792" i="3"/>
  <c r="BB792" i="3"/>
  <c r="BC792" i="3"/>
  <c r="BD792" i="3"/>
  <c r="BE792" i="3"/>
  <c r="BF792" i="3"/>
  <c r="BG792" i="3"/>
  <c r="AT793" i="3"/>
  <c r="AU793" i="3"/>
  <c r="AV793" i="3" s="1" a="1"/>
  <c r="AV793" i="3" s="1"/>
  <c r="AY793" i="3"/>
  <c r="AZ793" i="3"/>
  <c r="BA793" i="3"/>
  <c r="BB793" i="3"/>
  <c r="BC793" i="3"/>
  <c r="BD793" i="3"/>
  <c r="BE793" i="3"/>
  <c r="BF793" i="3"/>
  <c r="BG793" i="3"/>
  <c r="AT794" i="3"/>
  <c r="AU794" i="3"/>
  <c r="AV794" i="3" s="1" a="1"/>
  <c r="AV794" i="3" s="1"/>
  <c r="AY794" i="3"/>
  <c r="AZ794" i="3"/>
  <c r="BA794" i="3"/>
  <c r="BB794" i="3"/>
  <c r="BC794" i="3"/>
  <c r="BD794" i="3"/>
  <c r="BE794" i="3"/>
  <c r="BF794" i="3"/>
  <c r="BG794" i="3"/>
  <c r="AT795" i="3"/>
  <c r="AU795" i="3"/>
  <c r="AV795" i="3" s="1" a="1"/>
  <c r="AV795" i="3" s="1"/>
  <c r="AY795" i="3"/>
  <c r="AZ795" i="3"/>
  <c r="BA795" i="3"/>
  <c r="BB795" i="3"/>
  <c r="BC795" i="3"/>
  <c r="BD795" i="3"/>
  <c r="BE795" i="3"/>
  <c r="BF795" i="3"/>
  <c r="BG795" i="3"/>
  <c r="AT796" i="3"/>
  <c r="AU796" i="3"/>
  <c r="AV796" i="3" s="1" a="1"/>
  <c r="AV796" i="3" s="1"/>
  <c r="AY796" i="3"/>
  <c r="AZ796" i="3"/>
  <c r="BA796" i="3"/>
  <c r="BB796" i="3"/>
  <c r="BC796" i="3"/>
  <c r="BD796" i="3"/>
  <c r="BE796" i="3"/>
  <c r="BF796" i="3"/>
  <c r="BG796" i="3"/>
  <c r="AT797" i="3"/>
  <c r="AU797" i="3"/>
  <c r="AV797" i="3" s="1" a="1"/>
  <c r="AV797" i="3" s="1"/>
  <c r="AY797" i="3"/>
  <c r="AZ797" i="3"/>
  <c r="BA797" i="3"/>
  <c r="BB797" i="3"/>
  <c r="BC797" i="3"/>
  <c r="BD797" i="3"/>
  <c r="BE797" i="3"/>
  <c r="BF797" i="3"/>
  <c r="BG797" i="3"/>
  <c r="AT798" i="3"/>
  <c r="AU798" i="3"/>
  <c r="AV798" i="3" s="1" a="1"/>
  <c r="AV798" i="3" s="1"/>
  <c r="AY798" i="3"/>
  <c r="AZ798" i="3"/>
  <c r="BA798" i="3"/>
  <c r="BB798" i="3"/>
  <c r="BC798" i="3"/>
  <c r="BD798" i="3"/>
  <c r="BE798" i="3"/>
  <c r="BF798" i="3"/>
  <c r="BG798" i="3"/>
  <c r="AT799" i="3"/>
  <c r="AU799" i="3"/>
  <c r="AV799" i="3" s="1" a="1"/>
  <c r="AV799" i="3" s="1"/>
  <c r="AY799" i="3"/>
  <c r="AZ799" i="3"/>
  <c r="BA799" i="3"/>
  <c r="BB799" i="3"/>
  <c r="BC799" i="3"/>
  <c r="BD799" i="3"/>
  <c r="BE799" i="3"/>
  <c r="BF799" i="3"/>
  <c r="BG799" i="3"/>
  <c r="AT800" i="3"/>
  <c r="AU800" i="3"/>
  <c r="AV800" i="3" s="1" a="1"/>
  <c r="AV800" i="3" s="1"/>
  <c r="AY800" i="3"/>
  <c r="AZ800" i="3"/>
  <c r="BA800" i="3"/>
  <c r="BB800" i="3"/>
  <c r="BC800" i="3"/>
  <c r="BD800" i="3"/>
  <c r="BE800" i="3"/>
  <c r="BF800" i="3"/>
  <c r="BG800" i="3"/>
  <c r="AT801" i="3"/>
  <c r="AU801" i="3"/>
  <c r="AV801" i="3" s="1" a="1"/>
  <c r="AV801" i="3" s="1"/>
  <c r="AY801" i="3"/>
  <c r="AZ801" i="3"/>
  <c r="BA801" i="3"/>
  <c r="BB801" i="3"/>
  <c r="BC801" i="3"/>
  <c r="BD801" i="3"/>
  <c r="BE801" i="3"/>
  <c r="BF801" i="3"/>
  <c r="BG801" i="3"/>
  <c r="AT802" i="3"/>
  <c r="AU802" i="3"/>
  <c r="AV802" i="3" s="1" a="1"/>
  <c r="AV802" i="3" s="1"/>
  <c r="AY802" i="3"/>
  <c r="AZ802" i="3"/>
  <c r="BA802" i="3"/>
  <c r="BB802" i="3"/>
  <c r="BC802" i="3"/>
  <c r="BD802" i="3"/>
  <c r="BE802" i="3"/>
  <c r="BF802" i="3"/>
  <c r="BG802" i="3"/>
  <c r="AT803" i="3"/>
  <c r="AU803" i="3"/>
  <c r="AV803" i="3" s="1" a="1"/>
  <c r="AV803" i="3" s="1"/>
  <c r="AY803" i="3"/>
  <c r="AZ803" i="3"/>
  <c r="BA803" i="3"/>
  <c r="BB803" i="3"/>
  <c r="BC803" i="3"/>
  <c r="BD803" i="3"/>
  <c r="BE803" i="3"/>
  <c r="BF803" i="3"/>
  <c r="BG803" i="3"/>
  <c r="AT804" i="3"/>
  <c r="AU804" i="3"/>
  <c r="AV804" i="3" s="1" a="1"/>
  <c r="AV804" i="3" s="1"/>
  <c r="AY804" i="3"/>
  <c r="AZ804" i="3"/>
  <c r="BA804" i="3"/>
  <c r="BB804" i="3"/>
  <c r="BC804" i="3"/>
  <c r="BD804" i="3"/>
  <c r="BE804" i="3"/>
  <c r="BF804" i="3"/>
  <c r="BG804" i="3"/>
  <c r="AT805" i="3"/>
  <c r="AU805" i="3"/>
  <c r="AV805" i="3" s="1" a="1"/>
  <c r="AV805" i="3" s="1"/>
  <c r="AY805" i="3"/>
  <c r="AZ805" i="3"/>
  <c r="BA805" i="3"/>
  <c r="BB805" i="3"/>
  <c r="BC805" i="3"/>
  <c r="BD805" i="3"/>
  <c r="BE805" i="3"/>
  <c r="BF805" i="3"/>
  <c r="BG805" i="3"/>
  <c r="AT806" i="3"/>
  <c r="AU806" i="3"/>
  <c r="AV806" i="3" s="1" a="1"/>
  <c r="AV806" i="3" s="1"/>
  <c r="AY806" i="3"/>
  <c r="AZ806" i="3"/>
  <c r="BA806" i="3"/>
  <c r="BB806" i="3"/>
  <c r="BC806" i="3"/>
  <c r="BD806" i="3"/>
  <c r="BE806" i="3"/>
  <c r="BF806" i="3"/>
  <c r="BG806" i="3"/>
  <c r="AT807" i="3"/>
  <c r="AU807" i="3"/>
  <c r="AV807" i="3" s="1" a="1"/>
  <c r="AV807" i="3" s="1"/>
  <c r="AY807" i="3"/>
  <c r="AZ807" i="3"/>
  <c r="BA807" i="3"/>
  <c r="BB807" i="3"/>
  <c r="BC807" i="3"/>
  <c r="BD807" i="3"/>
  <c r="BE807" i="3"/>
  <c r="BF807" i="3"/>
  <c r="BG807" i="3"/>
  <c r="AT808" i="3"/>
  <c r="AU808" i="3"/>
  <c r="AV808" i="3" s="1" a="1"/>
  <c r="AV808" i="3" s="1"/>
  <c r="AY808" i="3"/>
  <c r="AZ808" i="3"/>
  <c r="BA808" i="3"/>
  <c r="BB808" i="3"/>
  <c r="BC808" i="3"/>
  <c r="BD808" i="3"/>
  <c r="BE808" i="3"/>
  <c r="BF808" i="3"/>
  <c r="BG808" i="3"/>
  <c r="AT809" i="3"/>
  <c r="AU809" i="3"/>
  <c r="AV809" i="3" s="1" a="1"/>
  <c r="AV809" i="3" s="1"/>
  <c r="AY809" i="3"/>
  <c r="AZ809" i="3"/>
  <c r="BA809" i="3"/>
  <c r="BB809" i="3"/>
  <c r="BC809" i="3"/>
  <c r="BD809" i="3"/>
  <c r="BE809" i="3"/>
  <c r="BF809" i="3"/>
  <c r="BG809" i="3"/>
  <c r="AT810" i="3"/>
  <c r="AU810" i="3"/>
  <c r="AV810" i="3" s="1" a="1"/>
  <c r="AV810" i="3" s="1"/>
  <c r="AY810" i="3"/>
  <c r="AZ810" i="3"/>
  <c r="BA810" i="3"/>
  <c r="BB810" i="3"/>
  <c r="BC810" i="3"/>
  <c r="BD810" i="3"/>
  <c r="BE810" i="3"/>
  <c r="BF810" i="3"/>
  <c r="BG810" i="3"/>
  <c r="AT811" i="3"/>
  <c r="AU811" i="3"/>
  <c r="AV811" i="3" s="1" a="1"/>
  <c r="AV811" i="3" s="1"/>
  <c r="AY811" i="3"/>
  <c r="AZ811" i="3"/>
  <c r="BA811" i="3"/>
  <c r="BB811" i="3"/>
  <c r="BC811" i="3"/>
  <c r="BD811" i="3"/>
  <c r="BE811" i="3"/>
  <c r="BF811" i="3"/>
  <c r="BG811" i="3"/>
  <c r="AT812" i="3"/>
  <c r="AU812" i="3"/>
  <c r="AV812" i="3" s="1" a="1"/>
  <c r="AV812" i="3" s="1"/>
  <c r="AY812" i="3"/>
  <c r="AZ812" i="3"/>
  <c r="BA812" i="3"/>
  <c r="BB812" i="3"/>
  <c r="BC812" i="3"/>
  <c r="BD812" i="3"/>
  <c r="BE812" i="3"/>
  <c r="BF812" i="3"/>
  <c r="BG812" i="3"/>
  <c r="AT813" i="3"/>
  <c r="AU813" i="3"/>
  <c r="AV813" i="3" s="1" a="1"/>
  <c r="AV813" i="3" s="1"/>
  <c r="AY813" i="3"/>
  <c r="AZ813" i="3"/>
  <c r="BA813" i="3"/>
  <c r="BB813" i="3"/>
  <c r="BC813" i="3"/>
  <c r="BD813" i="3"/>
  <c r="BE813" i="3"/>
  <c r="BF813" i="3"/>
  <c r="BG813" i="3"/>
  <c r="AT814" i="3"/>
  <c r="AU814" i="3"/>
  <c r="AV814" i="3" s="1" a="1"/>
  <c r="AV814" i="3" s="1"/>
  <c r="AY814" i="3"/>
  <c r="AZ814" i="3"/>
  <c r="BA814" i="3"/>
  <c r="BB814" i="3"/>
  <c r="BC814" i="3"/>
  <c r="BD814" i="3"/>
  <c r="BE814" i="3"/>
  <c r="BF814" i="3"/>
  <c r="BG814" i="3"/>
  <c r="AT815" i="3"/>
  <c r="AU815" i="3"/>
  <c r="AV815" i="3" s="1" a="1"/>
  <c r="AV815" i="3" s="1"/>
  <c r="AY815" i="3"/>
  <c r="AZ815" i="3"/>
  <c r="BA815" i="3"/>
  <c r="BB815" i="3"/>
  <c r="BC815" i="3"/>
  <c r="BD815" i="3"/>
  <c r="BE815" i="3"/>
  <c r="BF815" i="3"/>
  <c r="BG815" i="3"/>
  <c r="AT816" i="3"/>
  <c r="AU816" i="3"/>
  <c r="AV816" i="3" s="1" a="1"/>
  <c r="AV816" i="3" s="1"/>
  <c r="AY816" i="3"/>
  <c r="AZ816" i="3"/>
  <c r="BA816" i="3"/>
  <c r="BB816" i="3"/>
  <c r="BC816" i="3"/>
  <c r="BD816" i="3"/>
  <c r="BE816" i="3"/>
  <c r="BF816" i="3"/>
  <c r="BG816" i="3"/>
  <c r="AT817" i="3"/>
  <c r="AU817" i="3"/>
  <c r="AV817" i="3" s="1" a="1"/>
  <c r="AV817" i="3" s="1"/>
  <c r="AY817" i="3"/>
  <c r="AZ817" i="3"/>
  <c r="BA817" i="3"/>
  <c r="BB817" i="3"/>
  <c r="BC817" i="3"/>
  <c r="BD817" i="3"/>
  <c r="BE817" i="3"/>
  <c r="BF817" i="3"/>
  <c r="BG817" i="3"/>
  <c r="AT818" i="3"/>
  <c r="AU818" i="3"/>
  <c r="AV818" i="3" s="1" a="1"/>
  <c r="AV818" i="3" s="1"/>
  <c r="AY818" i="3"/>
  <c r="AZ818" i="3"/>
  <c r="BA818" i="3"/>
  <c r="BB818" i="3"/>
  <c r="BC818" i="3"/>
  <c r="BD818" i="3"/>
  <c r="BE818" i="3"/>
  <c r="BF818" i="3"/>
  <c r="BG818" i="3"/>
  <c r="AT819" i="3"/>
  <c r="AU819" i="3"/>
  <c r="AV819" i="3" s="1" a="1"/>
  <c r="AV819" i="3" s="1"/>
  <c r="AY819" i="3"/>
  <c r="AZ819" i="3"/>
  <c r="BA819" i="3"/>
  <c r="BB819" i="3"/>
  <c r="BC819" i="3"/>
  <c r="BD819" i="3"/>
  <c r="BE819" i="3"/>
  <c r="BF819" i="3"/>
  <c r="BG819" i="3"/>
  <c r="AT820" i="3"/>
  <c r="AU820" i="3"/>
  <c r="AV820" i="3" s="1" a="1"/>
  <c r="AV820" i="3" s="1"/>
  <c r="AY820" i="3"/>
  <c r="AZ820" i="3"/>
  <c r="BA820" i="3"/>
  <c r="BB820" i="3"/>
  <c r="BC820" i="3"/>
  <c r="BD820" i="3"/>
  <c r="BE820" i="3"/>
  <c r="BF820" i="3"/>
  <c r="BG820" i="3"/>
  <c r="AT821" i="3"/>
  <c r="AU821" i="3"/>
  <c r="AV821" i="3" s="1" a="1"/>
  <c r="AV821" i="3" s="1"/>
  <c r="AY821" i="3"/>
  <c r="AZ821" i="3"/>
  <c r="BA821" i="3"/>
  <c r="BB821" i="3"/>
  <c r="BC821" i="3"/>
  <c r="BD821" i="3"/>
  <c r="BE821" i="3"/>
  <c r="BF821" i="3"/>
  <c r="BG821" i="3"/>
  <c r="AT822" i="3"/>
  <c r="AU822" i="3"/>
  <c r="AV822" i="3" s="1" a="1"/>
  <c r="AV822" i="3" s="1"/>
  <c r="AY822" i="3"/>
  <c r="AZ822" i="3"/>
  <c r="BA822" i="3"/>
  <c r="BB822" i="3"/>
  <c r="BC822" i="3"/>
  <c r="BD822" i="3"/>
  <c r="BE822" i="3"/>
  <c r="BF822" i="3"/>
  <c r="BG822" i="3"/>
  <c r="AT823" i="3"/>
  <c r="AU823" i="3"/>
  <c r="AV823" i="3" s="1" a="1"/>
  <c r="AV823" i="3" s="1"/>
  <c r="AY823" i="3"/>
  <c r="AZ823" i="3"/>
  <c r="BA823" i="3"/>
  <c r="BB823" i="3"/>
  <c r="BC823" i="3"/>
  <c r="BD823" i="3"/>
  <c r="BE823" i="3"/>
  <c r="BF823" i="3"/>
  <c r="BG823" i="3"/>
  <c r="AT824" i="3"/>
  <c r="AU824" i="3"/>
  <c r="AV824" i="3" s="1" a="1"/>
  <c r="AV824" i="3" s="1"/>
  <c r="AY824" i="3"/>
  <c r="AZ824" i="3"/>
  <c r="BA824" i="3"/>
  <c r="BB824" i="3"/>
  <c r="BC824" i="3"/>
  <c r="BD824" i="3"/>
  <c r="BE824" i="3"/>
  <c r="BF824" i="3"/>
  <c r="BG824" i="3"/>
  <c r="AT825" i="3"/>
  <c r="AU825" i="3"/>
  <c r="AV825" i="3" s="1" a="1"/>
  <c r="AV825" i="3" s="1"/>
  <c r="AY825" i="3"/>
  <c r="AZ825" i="3"/>
  <c r="BA825" i="3"/>
  <c r="BB825" i="3"/>
  <c r="BC825" i="3"/>
  <c r="BD825" i="3"/>
  <c r="BE825" i="3"/>
  <c r="BF825" i="3"/>
  <c r="BG825" i="3"/>
  <c r="AT826" i="3"/>
  <c r="AU826" i="3"/>
  <c r="AV826" i="3" s="1" a="1"/>
  <c r="AV826" i="3" s="1"/>
  <c r="AY826" i="3"/>
  <c r="AZ826" i="3"/>
  <c r="BA826" i="3"/>
  <c r="BB826" i="3"/>
  <c r="BC826" i="3"/>
  <c r="BD826" i="3"/>
  <c r="BE826" i="3"/>
  <c r="BF826" i="3"/>
  <c r="BG826" i="3"/>
  <c r="AT827" i="3"/>
  <c r="AU827" i="3"/>
  <c r="AV827" i="3" s="1" a="1"/>
  <c r="AV827" i="3" s="1"/>
  <c r="AY827" i="3"/>
  <c r="AZ827" i="3"/>
  <c r="BA827" i="3"/>
  <c r="BB827" i="3"/>
  <c r="BC827" i="3"/>
  <c r="BD827" i="3"/>
  <c r="BE827" i="3"/>
  <c r="BF827" i="3"/>
  <c r="BG827" i="3"/>
  <c r="AT828" i="3"/>
  <c r="AU828" i="3"/>
  <c r="AV828" i="3" s="1" a="1"/>
  <c r="AV828" i="3" s="1"/>
  <c r="AY828" i="3"/>
  <c r="AZ828" i="3"/>
  <c r="BA828" i="3"/>
  <c r="BB828" i="3"/>
  <c r="BC828" i="3"/>
  <c r="BD828" i="3"/>
  <c r="BE828" i="3"/>
  <c r="BF828" i="3"/>
  <c r="BG828" i="3"/>
  <c r="AT829" i="3"/>
  <c r="AU829" i="3"/>
  <c r="AV829" i="3" s="1" a="1"/>
  <c r="AV829" i="3" s="1"/>
  <c r="AY829" i="3"/>
  <c r="AZ829" i="3"/>
  <c r="BA829" i="3"/>
  <c r="BB829" i="3"/>
  <c r="BC829" i="3"/>
  <c r="BD829" i="3"/>
  <c r="BE829" i="3"/>
  <c r="BF829" i="3"/>
  <c r="BG829" i="3"/>
  <c r="AT830" i="3"/>
  <c r="AU830" i="3"/>
  <c r="AV830" i="3" s="1" a="1"/>
  <c r="AV830" i="3" s="1"/>
  <c r="AY830" i="3"/>
  <c r="AZ830" i="3"/>
  <c r="BA830" i="3"/>
  <c r="BB830" i="3"/>
  <c r="BC830" i="3"/>
  <c r="BD830" i="3"/>
  <c r="BE830" i="3"/>
  <c r="BF830" i="3"/>
  <c r="BG830" i="3"/>
  <c r="AT831" i="3"/>
  <c r="AU831" i="3"/>
  <c r="AV831" i="3" s="1" a="1"/>
  <c r="AV831" i="3" s="1"/>
  <c r="AY831" i="3"/>
  <c r="AZ831" i="3"/>
  <c r="BA831" i="3"/>
  <c r="BB831" i="3"/>
  <c r="BC831" i="3"/>
  <c r="BD831" i="3"/>
  <c r="BE831" i="3"/>
  <c r="BF831" i="3"/>
  <c r="BG831" i="3"/>
  <c r="AT832" i="3"/>
  <c r="AU832" i="3"/>
  <c r="AV832" i="3" s="1" a="1"/>
  <c r="AV832" i="3" s="1"/>
  <c r="AY832" i="3"/>
  <c r="AZ832" i="3"/>
  <c r="BA832" i="3"/>
  <c r="BB832" i="3"/>
  <c r="BC832" i="3"/>
  <c r="BD832" i="3"/>
  <c r="BE832" i="3"/>
  <c r="BF832" i="3"/>
  <c r="BG832" i="3"/>
  <c r="AT833" i="3"/>
  <c r="AU833" i="3"/>
  <c r="AV833" i="3" s="1" a="1"/>
  <c r="AV833" i="3" s="1"/>
  <c r="AY833" i="3"/>
  <c r="AZ833" i="3"/>
  <c r="BA833" i="3"/>
  <c r="BB833" i="3"/>
  <c r="BC833" i="3"/>
  <c r="BD833" i="3"/>
  <c r="BE833" i="3"/>
  <c r="BF833" i="3"/>
  <c r="BG833" i="3"/>
  <c r="AT834" i="3"/>
  <c r="AU834" i="3"/>
  <c r="AV834" i="3" s="1" a="1"/>
  <c r="AV834" i="3" s="1"/>
  <c r="AY834" i="3"/>
  <c r="AZ834" i="3"/>
  <c r="BA834" i="3"/>
  <c r="BB834" i="3"/>
  <c r="BC834" i="3"/>
  <c r="BD834" i="3"/>
  <c r="BE834" i="3"/>
  <c r="BF834" i="3"/>
  <c r="BG834" i="3"/>
  <c r="AT835" i="3"/>
  <c r="AU835" i="3"/>
  <c r="AV835" i="3" s="1" a="1"/>
  <c r="AV835" i="3" s="1"/>
  <c r="AY835" i="3"/>
  <c r="AZ835" i="3"/>
  <c r="BA835" i="3"/>
  <c r="BB835" i="3"/>
  <c r="BC835" i="3"/>
  <c r="BD835" i="3"/>
  <c r="BE835" i="3"/>
  <c r="BF835" i="3"/>
  <c r="BG835" i="3"/>
  <c r="AT836" i="3"/>
  <c r="AU836" i="3"/>
  <c r="AV836" i="3" s="1" a="1"/>
  <c r="AV836" i="3" s="1"/>
  <c r="AY836" i="3"/>
  <c r="AZ836" i="3"/>
  <c r="BA836" i="3"/>
  <c r="BB836" i="3"/>
  <c r="BC836" i="3"/>
  <c r="BD836" i="3"/>
  <c r="BE836" i="3"/>
  <c r="BF836" i="3"/>
  <c r="BG836" i="3"/>
  <c r="AT837" i="3"/>
  <c r="AU837" i="3"/>
  <c r="AV837" i="3" s="1" a="1"/>
  <c r="AV837" i="3" s="1"/>
  <c r="AY837" i="3"/>
  <c r="AZ837" i="3"/>
  <c r="BA837" i="3"/>
  <c r="BB837" i="3"/>
  <c r="BC837" i="3"/>
  <c r="BD837" i="3"/>
  <c r="BE837" i="3"/>
  <c r="BF837" i="3"/>
  <c r="BG837" i="3"/>
  <c r="AT838" i="3"/>
  <c r="AU838" i="3"/>
  <c r="AV838" i="3" s="1" a="1"/>
  <c r="AV838" i="3" s="1"/>
  <c r="AY838" i="3"/>
  <c r="AZ838" i="3"/>
  <c r="BA838" i="3"/>
  <c r="BB838" i="3"/>
  <c r="BC838" i="3"/>
  <c r="BD838" i="3"/>
  <c r="BE838" i="3"/>
  <c r="BF838" i="3"/>
  <c r="BG838" i="3"/>
  <c r="AT839" i="3"/>
  <c r="AU839" i="3"/>
  <c r="AV839" i="3" s="1" a="1"/>
  <c r="AV839" i="3" s="1"/>
  <c r="AY839" i="3"/>
  <c r="AZ839" i="3"/>
  <c r="BA839" i="3"/>
  <c r="BB839" i="3"/>
  <c r="BC839" i="3"/>
  <c r="BD839" i="3"/>
  <c r="BE839" i="3"/>
  <c r="BF839" i="3"/>
  <c r="BG839" i="3"/>
  <c r="AT840" i="3"/>
  <c r="AU840" i="3"/>
  <c r="AV840" i="3" s="1" a="1"/>
  <c r="AV840" i="3" s="1"/>
  <c r="AY840" i="3"/>
  <c r="AZ840" i="3"/>
  <c r="BA840" i="3"/>
  <c r="BB840" i="3"/>
  <c r="BC840" i="3"/>
  <c r="BD840" i="3"/>
  <c r="BE840" i="3"/>
  <c r="BF840" i="3"/>
  <c r="BG840" i="3"/>
  <c r="AT841" i="3"/>
  <c r="AU841" i="3"/>
  <c r="AV841" i="3" s="1" a="1"/>
  <c r="AV841" i="3" s="1"/>
  <c r="AY841" i="3"/>
  <c r="AZ841" i="3"/>
  <c r="BA841" i="3"/>
  <c r="BB841" i="3"/>
  <c r="BC841" i="3"/>
  <c r="BD841" i="3"/>
  <c r="BE841" i="3"/>
  <c r="BF841" i="3"/>
  <c r="BG841" i="3"/>
  <c r="AT842" i="3"/>
  <c r="AU842" i="3"/>
  <c r="AV842" i="3" s="1" a="1"/>
  <c r="AV842" i="3" s="1"/>
  <c r="AY842" i="3"/>
  <c r="AZ842" i="3"/>
  <c r="BA842" i="3"/>
  <c r="BB842" i="3"/>
  <c r="BC842" i="3"/>
  <c r="BD842" i="3"/>
  <c r="BE842" i="3"/>
  <c r="BF842" i="3"/>
  <c r="BG842" i="3"/>
  <c r="AT843" i="3"/>
  <c r="AU843" i="3"/>
  <c r="AV843" i="3" s="1" a="1"/>
  <c r="AV843" i="3" s="1"/>
  <c r="AY843" i="3"/>
  <c r="AZ843" i="3"/>
  <c r="BA843" i="3"/>
  <c r="BB843" i="3"/>
  <c r="BC843" i="3"/>
  <c r="BD843" i="3"/>
  <c r="BE843" i="3"/>
  <c r="BF843" i="3"/>
  <c r="BG843" i="3"/>
  <c r="AT844" i="3"/>
  <c r="AU844" i="3"/>
  <c r="AV844" i="3" s="1" a="1"/>
  <c r="AV844" i="3" s="1"/>
  <c r="AY844" i="3"/>
  <c r="AZ844" i="3"/>
  <c r="BA844" i="3"/>
  <c r="BB844" i="3"/>
  <c r="BC844" i="3"/>
  <c r="BD844" i="3"/>
  <c r="BE844" i="3"/>
  <c r="BF844" i="3"/>
  <c r="BG844" i="3"/>
  <c r="AT845" i="3"/>
  <c r="AU845" i="3"/>
  <c r="AV845" i="3" s="1" a="1"/>
  <c r="AV845" i="3" s="1"/>
  <c r="AY845" i="3"/>
  <c r="AZ845" i="3"/>
  <c r="BA845" i="3"/>
  <c r="BB845" i="3"/>
  <c r="BC845" i="3"/>
  <c r="BD845" i="3"/>
  <c r="BE845" i="3"/>
  <c r="BF845" i="3"/>
  <c r="BG845" i="3"/>
  <c r="AT846" i="3"/>
  <c r="AU846" i="3"/>
  <c r="AV846" i="3" s="1" a="1"/>
  <c r="AV846" i="3" s="1"/>
  <c r="AY846" i="3"/>
  <c r="AZ846" i="3"/>
  <c r="BA846" i="3"/>
  <c r="BB846" i="3"/>
  <c r="BC846" i="3"/>
  <c r="BD846" i="3"/>
  <c r="BE846" i="3"/>
  <c r="BF846" i="3"/>
  <c r="BG846" i="3"/>
  <c r="AT847" i="3"/>
  <c r="AU847" i="3"/>
  <c r="AV847" i="3" s="1" a="1"/>
  <c r="AV847" i="3" s="1"/>
  <c r="AY847" i="3"/>
  <c r="AZ847" i="3"/>
  <c r="BA847" i="3"/>
  <c r="BB847" i="3"/>
  <c r="BC847" i="3"/>
  <c r="BD847" i="3"/>
  <c r="BE847" i="3"/>
  <c r="BF847" i="3"/>
  <c r="BG847" i="3"/>
  <c r="AT848" i="3"/>
  <c r="AU848" i="3"/>
  <c r="AV848" i="3" s="1" a="1"/>
  <c r="AV848" i="3" s="1"/>
  <c r="AY848" i="3"/>
  <c r="AZ848" i="3"/>
  <c r="BA848" i="3"/>
  <c r="BB848" i="3"/>
  <c r="BC848" i="3"/>
  <c r="BD848" i="3"/>
  <c r="BE848" i="3"/>
  <c r="BF848" i="3"/>
  <c r="BG848" i="3"/>
  <c r="AT849" i="3"/>
  <c r="AU849" i="3"/>
  <c r="AV849" i="3" s="1" a="1"/>
  <c r="AV849" i="3" s="1"/>
  <c r="AY849" i="3"/>
  <c r="AZ849" i="3"/>
  <c r="BA849" i="3"/>
  <c r="BB849" i="3"/>
  <c r="BC849" i="3"/>
  <c r="BD849" i="3"/>
  <c r="BE849" i="3"/>
  <c r="BF849" i="3"/>
  <c r="BG849" i="3"/>
  <c r="AT850" i="3"/>
  <c r="AU850" i="3"/>
  <c r="AV850" i="3" s="1" a="1"/>
  <c r="AV850" i="3" s="1"/>
  <c r="AY850" i="3"/>
  <c r="AZ850" i="3"/>
  <c r="BA850" i="3"/>
  <c r="BB850" i="3"/>
  <c r="BC850" i="3"/>
  <c r="BD850" i="3"/>
  <c r="BE850" i="3"/>
  <c r="BF850" i="3"/>
  <c r="BG850" i="3"/>
  <c r="AT851" i="3"/>
  <c r="AU851" i="3"/>
  <c r="AV851" i="3" s="1" a="1"/>
  <c r="AV851" i="3" s="1"/>
  <c r="AY851" i="3"/>
  <c r="AZ851" i="3"/>
  <c r="BA851" i="3"/>
  <c r="BB851" i="3"/>
  <c r="BC851" i="3"/>
  <c r="BD851" i="3"/>
  <c r="BE851" i="3"/>
  <c r="BF851" i="3"/>
  <c r="BG851" i="3"/>
  <c r="AT852" i="3"/>
  <c r="AU852" i="3"/>
  <c r="AV852" i="3" s="1" a="1"/>
  <c r="AV852" i="3" s="1"/>
  <c r="AY852" i="3"/>
  <c r="AZ852" i="3"/>
  <c r="BA852" i="3"/>
  <c r="BB852" i="3"/>
  <c r="BC852" i="3"/>
  <c r="BD852" i="3"/>
  <c r="BE852" i="3"/>
  <c r="BF852" i="3"/>
  <c r="BG852" i="3"/>
  <c r="AT853" i="3"/>
  <c r="AU853" i="3"/>
  <c r="AV853" i="3" s="1" a="1"/>
  <c r="AV853" i="3" s="1"/>
  <c r="AY853" i="3"/>
  <c r="AZ853" i="3"/>
  <c r="BA853" i="3"/>
  <c r="BB853" i="3"/>
  <c r="BC853" i="3"/>
  <c r="BD853" i="3"/>
  <c r="BE853" i="3"/>
  <c r="BF853" i="3"/>
  <c r="BG853" i="3"/>
  <c r="AT854" i="3"/>
  <c r="AU854" i="3"/>
  <c r="AV854" i="3" s="1" a="1"/>
  <c r="AV854" i="3" s="1"/>
  <c r="AY854" i="3"/>
  <c r="AZ854" i="3"/>
  <c r="BA854" i="3"/>
  <c r="BB854" i="3"/>
  <c r="BC854" i="3"/>
  <c r="BD854" i="3"/>
  <c r="BE854" i="3"/>
  <c r="BF854" i="3"/>
  <c r="BG854" i="3"/>
  <c r="AT855" i="3"/>
  <c r="AU855" i="3"/>
  <c r="AV855" i="3" s="1" a="1"/>
  <c r="AV855" i="3" s="1"/>
  <c r="AY855" i="3"/>
  <c r="AZ855" i="3"/>
  <c r="BA855" i="3"/>
  <c r="BB855" i="3"/>
  <c r="BC855" i="3"/>
  <c r="BD855" i="3"/>
  <c r="BE855" i="3"/>
  <c r="BF855" i="3"/>
  <c r="BG855" i="3"/>
  <c r="AT856" i="3"/>
  <c r="AU856" i="3"/>
  <c r="AV856" i="3" s="1" a="1"/>
  <c r="AV856" i="3" s="1"/>
  <c r="AY856" i="3"/>
  <c r="AZ856" i="3"/>
  <c r="BA856" i="3"/>
  <c r="BB856" i="3"/>
  <c r="BC856" i="3"/>
  <c r="BD856" i="3"/>
  <c r="BE856" i="3"/>
  <c r="BF856" i="3"/>
  <c r="BG856" i="3"/>
  <c r="AT857" i="3"/>
  <c r="AU857" i="3"/>
  <c r="AV857" i="3" s="1" a="1"/>
  <c r="AV857" i="3" s="1"/>
  <c r="AY857" i="3"/>
  <c r="AZ857" i="3"/>
  <c r="BA857" i="3"/>
  <c r="BB857" i="3"/>
  <c r="BC857" i="3"/>
  <c r="BD857" i="3"/>
  <c r="BE857" i="3"/>
  <c r="BF857" i="3"/>
  <c r="BG857" i="3"/>
  <c r="AT858" i="3"/>
  <c r="AU858" i="3"/>
  <c r="AV858" i="3" s="1" a="1"/>
  <c r="AV858" i="3" s="1"/>
  <c r="AY858" i="3"/>
  <c r="AZ858" i="3"/>
  <c r="BA858" i="3"/>
  <c r="BB858" i="3"/>
  <c r="BC858" i="3"/>
  <c r="BD858" i="3"/>
  <c r="BE858" i="3"/>
  <c r="BF858" i="3"/>
  <c r="BG858" i="3"/>
  <c r="AT859" i="3"/>
  <c r="AU859" i="3"/>
  <c r="AV859" i="3" s="1" a="1"/>
  <c r="AV859" i="3" s="1"/>
  <c r="AY859" i="3"/>
  <c r="AZ859" i="3"/>
  <c r="BA859" i="3"/>
  <c r="BB859" i="3"/>
  <c r="BC859" i="3"/>
  <c r="BD859" i="3"/>
  <c r="BE859" i="3"/>
  <c r="BF859" i="3"/>
  <c r="BG859" i="3"/>
  <c r="AT860" i="3"/>
  <c r="AU860" i="3"/>
  <c r="AV860" i="3" s="1" a="1"/>
  <c r="AV860" i="3" s="1"/>
  <c r="AY860" i="3"/>
  <c r="AZ860" i="3"/>
  <c r="BA860" i="3"/>
  <c r="BB860" i="3"/>
  <c r="BC860" i="3"/>
  <c r="BD860" i="3"/>
  <c r="BE860" i="3"/>
  <c r="BF860" i="3"/>
  <c r="BG860" i="3"/>
  <c r="AT861" i="3"/>
  <c r="AU861" i="3"/>
  <c r="AV861" i="3" s="1" a="1"/>
  <c r="AV861" i="3" s="1"/>
  <c r="AY861" i="3"/>
  <c r="AZ861" i="3"/>
  <c r="BA861" i="3"/>
  <c r="BB861" i="3"/>
  <c r="BC861" i="3"/>
  <c r="BD861" i="3"/>
  <c r="BE861" i="3"/>
  <c r="BF861" i="3"/>
  <c r="BG861" i="3"/>
  <c r="AT862" i="3"/>
  <c r="AU862" i="3"/>
  <c r="AV862" i="3" s="1" a="1"/>
  <c r="AV862" i="3" s="1"/>
  <c r="AY862" i="3"/>
  <c r="AZ862" i="3"/>
  <c r="BA862" i="3"/>
  <c r="BB862" i="3"/>
  <c r="BC862" i="3"/>
  <c r="BD862" i="3"/>
  <c r="BE862" i="3"/>
  <c r="BF862" i="3"/>
  <c r="BG862" i="3"/>
  <c r="AT863" i="3"/>
  <c r="AU863" i="3"/>
  <c r="AV863" i="3" s="1" a="1"/>
  <c r="AV863" i="3" s="1"/>
  <c r="AY863" i="3"/>
  <c r="AZ863" i="3"/>
  <c r="BA863" i="3"/>
  <c r="BB863" i="3"/>
  <c r="BC863" i="3"/>
  <c r="BD863" i="3"/>
  <c r="BE863" i="3"/>
  <c r="BF863" i="3"/>
  <c r="BG863" i="3"/>
  <c r="AT864" i="3"/>
  <c r="AU864" i="3"/>
  <c r="AV864" i="3" s="1" a="1"/>
  <c r="AV864" i="3" s="1"/>
  <c r="AY864" i="3"/>
  <c r="AZ864" i="3"/>
  <c r="BA864" i="3"/>
  <c r="BB864" i="3"/>
  <c r="BC864" i="3"/>
  <c r="BD864" i="3"/>
  <c r="BE864" i="3"/>
  <c r="BF864" i="3"/>
  <c r="BG864" i="3"/>
  <c r="AT865" i="3"/>
  <c r="AU865" i="3"/>
  <c r="AV865" i="3" s="1" a="1"/>
  <c r="AV865" i="3" s="1"/>
  <c r="AY865" i="3"/>
  <c r="AZ865" i="3"/>
  <c r="BA865" i="3"/>
  <c r="BB865" i="3"/>
  <c r="BC865" i="3"/>
  <c r="BD865" i="3"/>
  <c r="BE865" i="3"/>
  <c r="BF865" i="3"/>
  <c r="BG865" i="3"/>
  <c r="AT866" i="3"/>
  <c r="AU866" i="3"/>
  <c r="AV866" i="3" s="1" a="1"/>
  <c r="AV866" i="3" s="1"/>
  <c r="AY866" i="3"/>
  <c r="AZ866" i="3"/>
  <c r="BA866" i="3"/>
  <c r="BB866" i="3"/>
  <c r="BC866" i="3"/>
  <c r="BD866" i="3"/>
  <c r="BE866" i="3"/>
  <c r="BF866" i="3"/>
  <c r="BG866" i="3"/>
  <c r="AT867" i="3"/>
  <c r="AU867" i="3"/>
  <c r="AV867" i="3" s="1" a="1"/>
  <c r="AV867" i="3" s="1"/>
  <c r="AY867" i="3"/>
  <c r="AZ867" i="3"/>
  <c r="BA867" i="3"/>
  <c r="BB867" i="3"/>
  <c r="BC867" i="3"/>
  <c r="BD867" i="3"/>
  <c r="BE867" i="3"/>
  <c r="BF867" i="3"/>
  <c r="BG867" i="3"/>
  <c r="AT868" i="3"/>
  <c r="AU868" i="3"/>
  <c r="AV868" i="3" s="1" a="1"/>
  <c r="AV868" i="3" s="1"/>
  <c r="AY868" i="3"/>
  <c r="AZ868" i="3"/>
  <c r="BA868" i="3"/>
  <c r="BB868" i="3"/>
  <c r="BC868" i="3"/>
  <c r="BD868" i="3"/>
  <c r="BE868" i="3"/>
  <c r="BF868" i="3"/>
  <c r="BG868" i="3"/>
  <c r="AT869" i="3"/>
  <c r="AU869" i="3"/>
  <c r="AV869" i="3" s="1" a="1"/>
  <c r="AV869" i="3" s="1"/>
  <c r="AY869" i="3"/>
  <c r="AZ869" i="3"/>
  <c r="BA869" i="3"/>
  <c r="BB869" i="3"/>
  <c r="BC869" i="3"/>
  <c r="BD869" i="3"/>
  <c r="BE869" i="3"/>
  <c r="BF869" i="3"/>
  <c r="BG869" i="3"/>
  <c r="AT870" i="3"/>
  <c r="AU870" i="3"/>
  <c r="AV870" i="3" s="1" a="1"/>
  <c r="AV870" i="3" s="1"/>
  <c r="AY870" i="3"/>
  <c r="AZ870" i="3"/>
  <c r="BA870" i="3"/>
  <c r="BB870" i="3"/>
  <c r="BC870" i="3"/>
  <c r="BD870" i="3"/>
  <c r="BE870" i="3"/>
  <c r="BF870" i="3"/>
  <c r="BG870" i="3"/>
  <c r="AT871" i="3"/>
  <c r="AU871" i="3"/>
  <c r="AV871" i="3" s="1" a="1"/>
  <c r="AV871" i="3" s="1"/>
  <c r="AY871" i="3"/>
  <c r="AZ871" i="3"/>
  <c r="BA871" i="3"/>
  <c r="BB871" i="3"/>
  <c r="BC871" i="3"/>
  <c r="BD871" i="3"/>
  <c r="BE871" i="3"/>
  <c r="BF871" i="3"/>
  <c r="BG871" i="3"/>
  <c r="AT872" i="3"/>
  <c r="AU872" i="3"/>
  <c r="AV872" i="3" s="1" a="1"/>
  <c r="AV872" i="3" s="1"/>
  <c r="AY872" i="3"/>
  <c r="AZ872" i="3"/>
  <c r="BA872" i="3"/>
  <c r="BB872" i="3"/>
  <c r="BC872" i="3"/>
  <c r="BD872" i="3"/>
  <c r="BE872" i="3"/>
  <c r="BF872" i="3"/>
  <c r="BG872" i="3"/>
  <c r="AT873" i="3"/>
  <c r="AU873" i="3"/>
  <c r="AV873" i="3" s="1" a="1"/>
  <c r="AV873" i="3" s="1"/>
  <c r="AY873" i="3"/>
  <c r="AZ873" i="3"/>
  <c r="BA873" i="3"/>
  <c r="BB873" i="3"/>
  <c r="BC873" i="3"/>
  <c r="BD873" i="3"/>
  <c r="BE873" i="3"/>
  <c r="BF873" i="3"/>
  <c r="BG873" i="3"/>
  <c r="AT874" i="3"/>
  <c r="AU874" i="3"/>
  <c r="AV874" i="3" s="1" a="1"/>
  <c r="AV874" i="3" s="1"/>
  <c r="AY874" i="3"/>
  <c r="AZ874" i="3"/>
  <c r="BA874" i="3"/>
  <c r="BB874" i="3"/>
  <c r="BC874" i="3"/>
  <c r="BD874" i="3"/>
  <c r="BE874" i="3"/>
  <c r="BF874" i="3"/>
  <c r="BG874" i="3"/>
  <c r="AT875" i="3"/>
  <c r="AU875" i="3"/>
  <c r="AV875" i="3" s="1" a="1"/>
  <c r="AV875" i="3" s="1"/>
  <c r="AY875" i="3"/>
  <c r="AZ875" i="3"/>
  <c r="BA875" i="3"/>
  <c r="BB875" i="3"/>
  <c r="BC875" i="3"/>
  <c r="BD875" i="3"/>
  <c r="BE875" i="3"/>
  <c r="BF875" i="3"/>
  <c r="BG875" i="3"/>
  <c r="AT876" i="3"/>
  <c r="AU876" i="3"/>
  <c r="AV876" i="3" s="1" a="1"/>
  <c r="AV876" i="3" s="1"/>
  <c r="AY876" i="3"/>
  <c r="AZ876" i="3"/>
  <c r="BA876" i="3"/>
  <c r="BB876" i="3"/>
  <c r="BC876" i="3"/>
  <c r="BD876" i="3"/>
  <c r="BE876" i="3"/>
  <c r="BF876" i="3"/>
  <c r="BG876" i="3"/>
  <c r="AT877" i="3"/>
  <c r="AU877" i="3"/>
  <c r="AV877" i="3" s="1" a="1"/>
  <c r="AV877" i="3" s="1"/>
  <c r="AY877" i="3"/>
  <c r="AZ877" i="3"/>
  <c r="BA877" i="3"/>
  <c r="BB877" i="3"/>
  <c r="BC877" i="3"/>
  <c r="BD877" i="3"/>
  <c r="BE877" i="3"/>
  <c r="BF877" i="3"/>
  <c r="BG877" i="3"/>
  <c r="AT878" i="3"/>
  <c r="AU878" i="3"/>
  <c r="AV878" i="3" s="1" a="1"/>
  <c r="AV878" i="3" s="1"/>
  <c r="AY878" i="3"/>
  <c r="AZ878" i="3"/>
  <c r="BA878" i="3"/>
  <c r="BB878" i="3"/>
  <c r="BC878" i="3"/>
  <c r="BD878" i="3"/>
  <c r="BE878" i="3"/>
  <c r="BF878" i="3"/>
  <c r="BG878" i="3"/>
  <c r="AT879" i="3"/>
  <c r="AU879" i="3"/>
  <c r="AV879" i="3" s="1" a="1"/>
  <c r="AV879" i="3" s="1"/>
  <c r="AY879" i="3"/>
  <c r="AZ879" i="3"/>
  <c r="BA879" i="3"/>
  <c r="BB879" i="3"/>
  <c r="BC879" i="3"/>
  <c r="BD879" i="3"/>
  <c r="BE879" i="3"/>
  <c r="BF879" i="3"/>
  <c r="BG879" i="3"/>
  <c r="AT880" i="3"/>
  <c r="AU880" i="3"/>
  <c r="AV880" i="3" s="1" a="1"/>
  <c r="AV880" i="3" s="1"/>
  <c r="AY880" i="3"/>
  <c r="AZ880" i="3"/>
  <c r="BA880" i="3"/>
  <c r="BB880" i="3"/>
  <c r="BC880" i="3"/>
  <c r="BD880" i="3"/>
  <c r="BE880" i="3"/>
  <c r="BF880" i="3"/>
  <c r="BG880" i="3"/>
  <c r="AT881" i="3"/>
  <c r="AU881" i="3"/>
  <c r="AV881" i="3" s="1" a="1"/>
  <c r="AV881" i="3" s="1"/>
  <c r="AY881" i="3"/>
  <c r="AZ881" i="3"/>
  <c r="BA881" i="3"/>
  <c r="BB881" i="3"/>
  <c r="BC881" i="3"/>
  <c r="BD881" i="3"/>
  <c r="BE881" i="3"/>
  <c r="BF881" i="3"/>
  <c r="BG881" i="3"/>
  <c r="AT882" i="3"/>
  <c r="AU882" i="3"/>
  <c r="AV882" i="3" s="1" a="1"/>
  <c r="AV882" i="3" s="1"/>
  <c r="AY882" i="3"/>
  <c r="AZ882" i="3"/>
  <c r="BA882" i="3"/>
  <c r="BB882" i="3"/>
  <c r="BC882" i="3"/>
  <c r="BD882" i="3"/>
  <c r="BE882" i="3"/>
  <c r="BF882" i="3"/>
  <c r="BG882" i="3"/>
  <c r="AT883" i="3"/>
  <c r="AU883" i="3"/>
  <c r="AV883" i="3" s="1" a="1"/>
  <c r="AV883" i="3" s="1"/>
  <c r="AY883" i="3"/>
  <c r="AZ883" i="3"/>
  <c r="BA883" i="3"/>
  <c r="BB883" i="3"/>
  <c r="BC883" i="3"/>
  <c r="BD883" i="3"/>
  <c r="BE883" i="3"/>
  <c r="BF883" i="3"/>
  <c r="BG883" i="3"/>
  <c r="AT884" i="3"/>
  <c r="AU884" i="3"/>
  <c r="AV884" i="3" s="1" a="1"/>
  <c r="AV884" i="3" s="1"/>
  <c r="AY884" i="3"/>
  <c r="AZ884" i="3"/>
  <c r="BA884" i="3"/>
  <c r="BB884" i="3"/>
  <c r="BC884" i="3"/>
  <c r="BD884" i="3"/>
  <c r="BE884" i="3"/>
  <c r="BF884" i="3"/>
  <c r="BG884" i="3"/>
  <c r="AT885" i="3"/>
  <c r="AU885" i="3"/>
  <c r="AV885" i="3" s="1" a="1"/>
  <c r="AV885" i="3" s="1"/>
  <c r="AY885" i="3"/>
  <c r="AZ885" i="3"/>
  <c r="BA885" i="3"/>
  <c r="BB885" i="3"/>
  <c r="BC885" i="3"/>
  <c r="BD885" i="3"/>
  <c r="BE885" i="3"/>
  <c r="BF885" i="3"/>
  <c r="BG885" i="3"/>
  <c r="AT886" i="3"/>
  <c r="AU886" i="3"/>
  <c r="AV886" i="3" s="1" a="1"/>
  <c r="AV886" i="3" s="1"/>
  <c r="AY886" i="3"/>
  <c r="AZ886" i="3"/>
  <c r="BA886" i="3"/>
  <c r="BB886" i="3"/>
  <c r="BC886" i="3"/>
  <c r="BD886" i="3"/>
  <c r="BE886" i="3"/>
  <c r="BF886" i="3"/>
  <c r="BG886" i="3"/>
  <c r="AT887" i="3"/>
  <c r="AU887" i="3"/>
  <c r="AV887" i="3" s="1" a="1"/>
  <c r="AV887" i="3" s="1"/>
  <c r="AY887" i="3"/>
  <c r="AZ887" i="3"/>
  <c r="BA887" i="3"/>
  <c r="BB887" i="3"/>
  <c r="BC887" i="3"/>
  <c r="BD887" i="3"/>
  <c r="BE887" i="3"/>
  <c r="BF887" i="3"/>
  <c r="BG887" i="3"/>
  <c r="AT888" i="3"/>
  <c r="AU888" i="3"/>
  <c r="AV888" i="3" s="1" a="1"/>
  <c r="AV888" i="3" s="1"/>
  <c r="AY888" i="3"/>
  <c r="AZ888" i="3"/>
  <c r="BA888" i="3"/>
  <c r="BB888" i="3"/>
  <c r="BC888" i="3"/>
  <c r="BD888" i="3"/>
  <c r="BE888" i="3"/>
  <c r="BF888" i="3"/>
  <c r="BG888" i="3"/>
  <c r="AT889" i="3"/>
  <c r="AU889" i="3"/>
  <c r="AV889" i="3" s="1" a="1"/>
  <c r="AV889" i="3" s="1"/>
  <c r="AY889" i="3"/>
  <c r="AZ889" i="3"/>
  <c r="BA889" i="3"/>
  <c r="BB889" i="3"/>
  <c r="BC889" i="3"/>
  <c r="BD889" i="3"/>
  <c r="BE889" i="3"/>
  <c r="BF889" i="3"/>
  <c r="BG889" i="3"/>
  <c r="AT890" i="3"/>
  <c r="AU890" i="3"/>
  <c r="AV890" i="3" s="1" a="1"/>
  <c r="AV890" i="3" s="1"/>
  <c r="AY890" i="3"/>
  <c r="AZ890" i="3"/>
  <c r="BA890" i="3"/>
  <c r="BB890" i="3"/>
  <c r="BC890" i="3"/>
  <c r="BD890" i="3"/>
  <c r="BE890" i="3"/>
  <c r="BF890" i="3"/>
  <c r="BG890" i="3"/>
  <c r="AT891" i="3"/>
  <c r="AU891" i="3"/>
  <c r="AV891" i="3" s="1" a="1"/>
  <c r="AV891" i="3" s="1"/>
  <c r="AY891" i="3"/>
  <c r="AZ891" i="3"/>
  <c r="BA891" i="3"/>
  <c r="BB891" i="3"/>
  <c r="BC891" i="3"/>
  <c r="BD891" i="3"/>
  <c r="BE891" i="3"/>
  <c r="BF891" i="3"/>
  <c r="BG891" i="3"/>
  <c r="AT892" i="3"/>
  <c r="AU892" i="3"/>
  <c r="AV892" i="3" s="1" a="1"/>
  <c r="AV892" i="3" s="1"/>
  <c r="AY892" i="3"/>
  <c r="AZ892" i="3"/>
  <c r="BA892" i="3"/>
  <c r="BB892" i="3"/>
  <c r="BC892" i="3"/>
  <c r="BD892" i="3"/>
  <c r="BE892" i="3"/>
  <c r="BF892" i="3"/>
  <c r="BG892" i="3"/>
  <c r="AT893" i="3"/>
  <c r="AU893" i="3"/>
  <c r="AV893" i="3" s="1" a="1"/>
  <c r="AV893" i="3" s="1"/>
  <c r="AY893" i="3"/>
  <c r="AZ893" i="3"/>
  <c r="BA893" i="3"/>
  <c r="BB893" i="3"/>
  <c r="BC893" i="3"/>
  <c r="BD893" i="3"/>
  <c r="BE893" i="3"/>
  <c r="BF893" i="3"/>
  <c r="BG893" i="3"/>
  <c r="AT894" i="3"/>
  <c r="AU894" i="3"/>
  <c r="AV894" i="3" s="1" a="1"/>
  <c r="AV894" i="3" s="1"/>
  <c r="AY894" i="3"/>
  <c r="AZ894" i="3"/>
  <c r="BA894" i="3"/>
  <c r="BB894" i="3"/>
  <c r="BC894" i="3"/>
  <c r="BD894" i="3"/>
  <c r="BE894" i="3"/>
  <c r="BF894" i="3"/>
  <c r="BG894" i="3"/>
  <c r="AT895" i="3"/>
  <c r="AU895" i="3"/>
  <c r="AV895" i="3" s="1" a="1"/>
  <c r="AV895" i="3" s="1"/>
  <c r="AY895" i="3"/>
  <c r="AZ895" i="3"/>
  <c r="BA895" i="3"/>
  <c r="BB895" i="3"/>
  <c r="BC895" i="3"/>
  <c r="BD895" i="3"/>
  <c r="BE895" i="3"/>
  <c r="BF895" i="3"/>
  <c r="BG895" i="3"/>
  <c r="AT896" i="3"/>
  <c r="AU896" i="3"/>
  <c r="AV896" i="3" s="1" a="1"/>
  <c r="AV896" i="3" s="1"/>
  <c r="AY896" i="3"/>
  <c r="AZ896" i="3"/>
  <c r="BA896" i="3"/>
  <c r="BB896" i="3"/>
  <c r="BC896" i="3"/>
  <c r="BD896" i="3"/>
  <c r="BE896" i="3"/>
  <c r="BF896" i="3"/>
  <c r="BG896" i="3"/>
  <c r="AT897" i="3"/>
  <c r="AU897" i="3"/>
  <c r="AV897" i="3" s="1" a="1"/>
  <c r="AV897" i="3" s="1"/>
  <c r="AY897" i="3"/>
  <c r="AZ897" i="3"/>
  <c r="BA897" i="3"/>
  <c r="BB897" i="3"/>
  <c r="BC897" i="3"/>
  <c r="BD897" i="3"/>
  <c r="BE897" i="3"/>
  <c r="BF897" i="3"/>
  <c r="BG897" i="3"/>
  <c r="AT898" i="3"/>
  <c r="AU898" i="3"/>
  <c r="AV898" i="3" s="1" a="1"/>
  <c r="AV898" i="3" s="1"/>
  <c r="AY898" i="3"/>
  <c r="AZ898" i="3"/>
  <c r="BA898" i="3"/>
  <c r="BB898" i="3"/>
  <c r="BC898" i="3"/>
  <c r="BD898" i="3"/>
  <c r="BE898" i="3"/>
  <c r="BF898" i="3"/>
  <c r="BG898" i="3"/>
  <c r="AT899" i="3"/>
  <c r="AU899" i="3"/>
  <c r="AV899" i="3" s="1" a="1"/>
  <c r="AV899" i="3" s="1"/>
  <c r="AY899" i="3"/>
  <c r="AZ899" i="3"/>
  <c r="BA899" i="3"/>
  <c r="BB899" i="3"/>
  <c r="BC899" i="3"/>
  <c r="BD899" i="3"/>
  <c r="BE899" i="3"/>
  <c r="BF899" i="3"/>
  <c r="BG899" i="3"/>
  <c r="AT900" i="3"/>
  <c r="AU900" i="3"/>
  <c r="AV900" i="3" s="1" a="1"/>
  <c r="AV900" i="3" s="1"/>
  <c r="AY900" i="3"/>
  <c r="AZ900" i="3"/>
  <c r="BA900" i="3"/>
  <c r="BB900" i="3"/>
  <c r="BC900" i="3"/>
  <c r="BD900" i="3"/>
  <c r="BE900" i="3"/>
  <c r="BF900" i="3"/>
  <c r="BG900" i="3"/>
  <c r="AT901" i="3"/>
  <c r="AU901" i="3"/>
  <c r="AV901" i="3" s="1" a="1"/>
  <c r="AV901" i="3" s="1"/>
  <c r="AY901" i="3"/>
  <c r="AZ901" i="3"/>
  <c r="BA901" i="3"/>
  <c r="BB901" i="3"/>
  <c r="BC901" i="3"/>
  <c r="BD901" i="3"/>
  <c r="BE901" i="3"/>
  <c r="BF901" i="3"/>
  <c r="BG901" i="3"/>
  <c r="AT902" i="3"/>
  <c r="AU902" i="3"/>
  <c r="AV902" i="3" s="1" a="1"/>
  <c r="AV902" i="3" s="1"/>
  <c r="AY902" i="3"/>
  <c r="AZ902" i="3"/>
  <c r="BA902" i="3"/>
  <c r="BB902" i="3"/>
  <c r="BC902" i="3"/>
  <c r="BD902" i="3"/>
  <c r="BE902" i="3"/>
  <c r="BF902" i="3"/>
  <c r="BG902" i="3"/>
  <c r="AT903" i="3"/>
  <c r="AU903" i="3"/>
  <c r="AV903" i="3" s="1" a="1"/>
  <c r="AV903" i="3" s="1"/>
  <c r="AY903" i="3"/>
  <c r="AZ903" i="3"/>
  <c r="BA903" i="3"/>
  <c r="BB903" i="3"/>
  <c r="BC903" i="3"/>
  <c r="BD903" i="3"/>
  <c r="BE903" i="3"/>
  <c r="BF903" i="3"/>
  <c r="BG903" i="3"/>
  <c r="AT904" i="3"/>
  <c r="AU904" i="3"/>
  <c r="AV904" i="3" s="1" a="1"/>
  <c r="AV904" i="3" s="1"/>
  <c r="AY904" i="3"/>
  <c r="AZ904" i="3"/>
  <c r="BA904" i="3"/>
  <c r="BB904" i="3"/>
  <c r="BC904" i="3"/>
  <c r="BD904" i="3"/>
  <c r="BE904" i="3"/>
  <c r="BF904" i="3"/>
  <c r="BG904" i="3"/>
  <c r="AT905" i="3"/>
  <c r="AU905" i="3"/>
  <c r="AV905" i="3" s="1" a="1"/>
  <c r="AV905" i="3" s="1"/>
  <c r="AY905" i="3"/>
  <c r="AZ905" i="3"/>
  <c r="BA905" i="3"/>
  <c r="BB905" i="3"/>
  <c r="BC905" i="3"/>
  <c r="BD905" i="3"/>
  <c r="BE905" i="3"/>
  <c r="BF905" i="3"/>
  <c r="BG905" i="3"/>
  <c r="AT906" i="3"/>
  <c r="AU906" i="3"/>
  <c r="AV906" i="3" s="1" a="1"/>
  <c r="AV906" i="3" s="1"/>
  <c r="AY906" i="3"/>
  <c r="AZ906" i="3"/>
  <c r="BA906" i="3"/>
  <c r="BB906" i="3"/>
  <c r="BC906" i="3"/>
  <c r="BD906" i="3"/>
  <c r="BE906" i="3"/>
  <c r="BF906" i="3"/>
  <c r="BG906" i="3"/>
  <c r="AT907" i="3"/>
  <c r="AU907" i="3"/>
  <c r="AV907" i="3" s="1" a="1"/>
  <c r="AV907" i="3" s="1"/>
  <c r="AY907" i="3"/>
  <c r="AZ907" i="3"/>
  <c r="BA907" i="3"/>
  <c r="BB907" i="3"/>
  <c r="BC907" i="3"/>
  <c r="BD907" i="3"/>
  <c r="BE907" i="3"/>
  <c r="BF907" i="3"/>
  <c r="BG907" i="3"/>
  <c r="AT908" i="3"/>
  <c r="AU908" i="3"/>
  <c r="AV908" i="3" s="1" a="1"/>
  <c r="AV908" i="3" s="1"/>
  <c r="AY908" i="3"/>
  <c r="AZ908" i="3"/>
  <c r="BA908" i="3"/>
  <c r="BB908" i="3"/>
  <c r="BC908" i="3"/>
  <c r="BD908" i="3"/>
  <c r="BE908" i="3"/>
  <c r="BF908" i="3"/>
  <c r="BG908" i="3"/>
  <c r="AT909" i="3"/>
  <c r="AU909" i="3"/>
  <c r="AV909" i="3" s="1" a="1"/>
  <c r="AV909" i="3" s="1"/>
  <c r="AY909" i="3"/>
  <c r="AZ909" i="3"/>
  <c r="BA909" i="3"/>
  <c r="BB909" i="3"/>
  <c r="BC909" i="3"/>
  <c r="BD909" i="3"/>
  <c r="BE909" i="3"/>
  <c r="BF909" i="3"/>
  <c r="BG909" i="3"/>
  <c r="AT910" i="3"/>
  <c r="AU910" i="3"/>
  <c r="AV910" i="3" s="1" a="1"/>
  <c r="AV910" i="3" s="1"/>
  <c r="AY910" i="3"/>
  <c r="AZ910" i="3"/>
  <c r="BA910" i="3"/>
  <c r="BB910" i="3"/>
  <c r="BC910" i="3"/>
  <c r="BD910" i="3"/>
  <c r="BE910" i="3"/>
  <c r="BF910" i="3"/>
  <c r="BG910" i="3"/>
  <c r="AT911" i="3"/>
  <c r="AU911" i="3"/>
  <c r="AV911" i="3" s="1" a="1"/>
  <c r="AV911" i="3" s="1"/>
  <c r="AY911" i="3"/>
  <c r="AZ911" i="3"/>
  <c r="BA911" i="3"/>
  <c r="BB911" i="3"/>
  <c r="BC911" i="3"/>
  <c r="BD911" i="3"/>
  <c r="BE911" i="3"/>
  <c r="BF911" i="3"/>
  <c r="BG911" i="3"/>
  <c r="AT912" i="3"/>
  <c r="AU912" i="3"/>
  <c r="AV912" i="3" s="1" a="1"/>
  <c r="AV912" i="3" s="1"/>
  <c r="AY912" i="3"/>
  <c r="AZ912" i="3"/>
  <c r="BA912" i="3"/>
  <c r="BB912" i="3"/>
  <c r="BC912" i="3"/>
  <c r="BD912" i="3"/>
  <c r="BE912" i="3"/>
  <c r="BF912" i="3"/>
  <c r="BG912" i="3"/>
  <c r="AT913" i="3"/>
  <c r="AU913" i="3"/>
  <c r="AV913" i="3" s="1" a="1"/>
  <c r="AV913" i="3" s="1"/>
  <c r="AY913" i="3"/>
  <c r="AZ913" i="3"/>
  <c r="BA913" i="3"/>
  <c r="BB913" i="3"/>
  <c r="BC913" i="3"/>
  <c r="BD913" i="3"/>
  <c r="BE913" i="3"/>
  <c r="BF913" i="3"/>
  <c r="BG913" i="3"/>
  <c r="AT914" i="3"/>
  <c r="AU914" i="3"/>
  <c r="AV914" i="3" s="1" a="1"/>
  <c r="AV914" i="3" s="1"/>
  <c r="AY914" i="3"/>
  <c r="AZ914" i="3"/>
  <c r="BA914" i="3"/>
  <c r="BB914" i="3"/>
  <c r="BC914" i="3"/>
  <c r="BD914" i="3"/>
  <c r="BE914" i="3"/>
  <c r="BF914" i="3"/>
  <c r="BG914" i="3"/>
  <c r="AT915" i="3"/>
  <c r="AU915" i="3"/>
  <c r="AV915" i="3" s="1" a="1"/>
  <c r="AV915" i="3" s="1"/>
  <c r="AY915" i="3"/>
  <c r="AZ915" i="3"/>
  <c r="BA915" i="3"/>
  <c r="BB915" i="3"/>
  <c r="BC915" i="3"/>
  <c r="BD915" i="3"/>
  <c r="BE915" i="3"/>
  <c r="BF915" i="3"/>
  <c r="BG915" i="3"/>
  <c r="AT916" i="3"/>
  <c r="AU916" i="3"/>
  <c r="AV916" i="3" s="1" a="1"/>
  <c r="AV916" i="3" s="1"/>
  <c r="AY916" i="3"/>
  <c r="AZ916" i="3"/>
  <c r="BA916" i="3"/>
  <c r="BB916" i="3"/>
  <c r="BC916" i="3"/>
  <c r="BD916" i="3"/>
  <c r="BE916" i="3"/>
  <c r="BF916" i="3"/>
  <c r="BG916" i="3"/>
  <c r="AT917" i="3"/>
  <c r="AU917" i="3"/>
  <c r="AV917" i="3" s="1" a="1"/>
  <c r="AV917" i="3" s="1"/>
  <c r="AY917" i="3"/>
  <c r="AZ917" i="3"/>
  <c r="BA917" i="3"/>
  <c r="BB917" i="3"/>
  <c r="BC917" i="3"/>
  <c r="BD917" i="3"/>
  <c r="BE917" i="3"/>
  <c r="BF917" i="3"/>
  <c r="BG917" i="3"/>
  <c r="AT918" i="3"/>
  <c r="AU918" i="3"/>
  <c r="AV918" i="3" s="1" a="1"/>
  <c r="AV918" i="3" s="1"/>
  <c r="AY918" i="3"/>
  <c r="AZ918" i="3"/>
  <c r="BA918" i="3"/>
  <c r="BB918" i="3"/>
  <c r="BC918" i="3"/>
  <c r="BD918" i="3"/>
  <c r="BE918" i="3"/>
  <c r="BF918" i="3"/>
  <c r="BG918" i="3"/>
  <c r="AT919" i="3"/>
  <c r="AU919" i="3"/>
  <c r="AV919" i="3" s="1" a="1"/>
  <c r="AV919" i="3" s="1"/>
  <c r="AY919" i="3"/>
  <c r="AZ919" i="3"/>
  <c r="BA919" i="3"/>
  <c r="BB919" i="3"/>
  <c r="BC919" i="3"/>
  <c r="BD919" i="3"/>
  <c r="BE919" i="3"/>
  <c r="BF919" i="3"/>
  <c r="BG919" i="3"/>
  <c r="AT920" i="3"/>
  <c r="AU920" i="3"/>
  <c r="AV920" i="3" s="1" a="1"/>
  <c r="AV920" i="3" s="1"/>
  <c r="AY920" i="3"/>
  <c r="AZ920" i="3"/>
  <c r="BA920" i="3"/>
  <c r="BB920" i="3"/>
  <c r="BC920" i="3"/>
  <c r="BD920" i="3"/>
  <c r="BE920" i="3"/>
  <c r="BF920" i="3"/>
  <c r="BG920" i="3"/>
  <c r="AT921" i="3"/>
  <c r="AU921" i="3"/>
  <c r="AV921" i="3" s="1" a="1"/>
  <c r="AV921" i="3" s="1"/>
  <c r="AY921" i="3"/>
  <c r="AZ921" i="3"/>
  <c r="BA921" i="3"/>
  <c r="BB921" i="3"/>
  <c r="BC921" i="3"/>
  <c r="BD921" i="3"/>
  <c r="BE921" i="3"/>
  <c r="BF921" i="3"/>
  <c r="BG921" i="3"/>
  <c r="AT922" i="3"/>
  <c r="AU922" i="3"/>
  <c r="AV922" i="3" s="1" a="1"/>
  <c r="AV922" i="3" s="1"/>
  <c r="AY922" i="3"/>
  <c r="AZ922" i="3"/>
  <c r="BA922" i="3"/>
  <c r="BB922" i="3"/>
  <c r="BC922" i="3"/>
  <c r="BD922" i="3"/>
  <c r="BE922" i="3"/>
  <c r="BF922" i="3"/>
  <c r="BG922" i="3"/>
  <c r="AT923" i="3"/>
  <c r="AU923" i="3"/>
  <c r="AV923" i="3" s="1" a="1"/>
  <c r="AV923" i="3" s="1"/>
  <c r="AY923" i="3"/>
  <c r="AZ923" i="3"/>
  <c r="BA923" i="3"/>
  <c r="BB923" i="3"/>
  <c r="BC923" i="3"/>
  <c r="BD923" i="3"/>
  <c r="BE923" i="3"/>
  <c r="BF923" i="3"/>
  <c r="BG923" i="3"/>
  <c r="AT924" i="3"/>
  <c r="AU924" i="3"/>
  <c r="AV924" i="3" s="1" a="1"/>
  <c r="AV924" i="3" s="1"/>
  <c r="AY924" i="3"/>
  <c r="AZ924" i="3"/>
  <c r="BA924" i="3"/>
  <c r="BB924" i="3"/>
  <c r="BC924" i="3"/>
  <c r="BD924" i="3"/>
  <c r="BE924" i="3"/>
  <c r="BF924" i="3"/>
  <c r="BG924" i="3"/>
  <c r="AT925" i="3"/>
  <c r="AU925" i="3"/>
  <c r="AV925" i="3" s="1" a="1"/>
  <c r="AV925" i="3" s="1"/>
  <c r="AY925" i="3"/>
  <c r="AZ925" i="3"/>
  <c r="BA925" i="3"/>
  <c r="BB925" i="3"/>
  <c r="BC925" i="3"/>
  <c r="BD925" i="3"/>
  <c r="BE925" i="3"/>
  <c r="BF925" i="3"/>
  <c r="BG925" i="3"/>
  <c r="AT926" i="3"/>
  <c r="AU926" i="3"/>
  <c r="AV926" i="3" s="1" a="1"/>
  <c r="AV926" i="3" s="1"/>
  <c r="AY926" i="3"/>
  <c r="AZ926" i="3"/>
  <c r="BA926" i="3"/>
  <c r="BB926" i="3"/>
  <c r="BC926" i="3"/>
  <c r="BD926" i="3"/>
  <c r="BE926" i="3"/>
  <c r="BF926" i="3"/>
  <c r="BG926" i="3"/>
  <c r="AT927" i="3"/>
  <c r="AU927" i="3"/>
  <c r="AV927" i="3" s="1" a="1"/>
  <c r="AV927" i="3" s="1"/>
  <c r="AY927" i="3"/>
  <c r="AZ927" i="3"/>
  <c r="BA927" i="3"/>
  <c r="BB927" i="3"/>
  <c r="BC927" i="3"/>
  <c r="BD927" i="3"/>
  <c r="BE927" i="3"/>
  <c r="BF927" i="3"/>
  <c r="BG927" i="3"/>
  <c r="AT928" i="3"/>
  <c r="AU928" i="3"/>
  <c r="AV928" i="3" s="1" a="1"/>
  <c r="AV928" i="3" s="1"/>
  <c r="AY928" i="3"/>
  <c r="AZ928" i="3"/>
  <c r="BA928" i="3"/>
  <c r="BB928" i="3"/>
  <c r="BC928" i="3"/>
  <c r="BD928" i="3"/>
  <c r="BE928" i="3"/>
  <c r="BF928" i="3"/>
  <c r="BG928" i="3"/>
  <c r="AT929" i="3"/>
  <c r="AU929" i="3"/>
  <c r="AV929" i="3" s="1" a="1"/>
  <c r="AV929" i="3" s="1"/>
  <c r="AY929" i="3"/>
  <c r="AZ929" i="3"/>
  <c r="BA929" i="3"/>
  <c r="BB929" i="3"/>
  <c r="BC929" i="3"/>
  <c r="BD929" i="3"/>
  <c r="BE929" i="3"/>
  <c r="BF929" i="3"/>
  <c r="BG929" i="3"/>
  <c r="AT930" i="3"/>
  <c r="AU930" i="3"/>
  <c r="AV930" i="3" s="1" a="1"/>
  <c r="AV930" i="3" s="1"/>
  <c r="AY930" i="3"/>
  <c r="AZ930" i="3"/>
  <c r="BA930" i="3"/>
  <c r="BB930" i="3"/>
  <c r="BC930" i="3"/>
  <c r="BD930" i="3"/>
  <c r="BE930" i="3"/>
  <c r="BF930" i="3"/>
  <c r="BG930" i="3"/>
  <c r="AT931" i="3"/>
  <c r="AU931" i="3"/>
  <c r="AV931" i="3" s="1" a="1"/>
  <c r="AV931" i="3" s="1"/>
  <c r="AY931" i="3"/>
  <c r="AZ931" i="3"/>
  <c r="BA931" i="3"/>
  <c r="BB931" i="3"/>
  <c r="BC931" i="3"/>
  <c r="BD931" i="3"/>
  <c r="BE931" i="3"/>
  <c r="BF931" i="3"/>
  <c r="BG931" i="3"/>
  <c r="AT932" i="3"/>
  <c r="AU932" i="3"/>
  <c r="AV932" i="3" s="1" a="1"/>
  <c r="AV932" i="3" s="1"/>
  <c r="AY932" i="3"/>
  <c r="AZ932" i="3"/>
  <c r="BA932" i="3"/>
  <c r="BB932" i="3"/>
  <c r="BC932" i="3"/>
  <c r="BD932" i="3"/>
  <c r="BE932" i="3"/>
  <c r="BF932" i="3"/>
  <c r="BG932" i="3"/>
  <c r="AT933" i="3"/>
  <c r="AU933" i="3"/>
  <c r="AV933" i="3" s="1" a="1"/>
  <c r="AV933" i="3" s="1"/>
  <c r="AY933" i="3"/>
  <c r="AZ933" i="3"/>
  <c r="BA933" i="3"/>
  <c r="BB933" i="3"/>
  <c r="BC933" i="3"/>
  <c r="BD933" i="3"/>
  <c r="BE933" i="3"/>
  <c r="BF933" i="3"/>
  <c r="BG933" i="3"/>
  <c r="AT934" i="3"/>
  <c r="AU934" i="3"/>
  <c r="AV934" i="3" s="1" a="1"/>
  <c r="AV934" i="3" s="1"/>
  <c r="AY934" i="3"/>
  <c r="AZ934" i="3"/>
  <c r="BA934" i="3"/>
  <c r="BB934" i="3"/>
  <c r="BC934" i="3"/>
  <c r="BD934" i="3"/>
  <c r="BE934" i="3"/>
  <c r="BF934" i="3"/>
  <c r="BG934" i="3"/>
  <c r="AT935" i="3"/>
  <c r="AU935" i="3"/>
  <c r="AV935" i="3" s="1" a="1"/>
  <c r="AV935" i="3" s="1"/>
  <c r="AY935" i="3"/>
  <c r="AZ935" i="3"/>
  <c r="BA935" i="3"/>
  <c r="BB935" i="3"/>
  <c r="BC935" i="3"/>
  <c r="BD935" i="3"/>
  <c r="BE935" i="3"/>
  <c r="BF935" i="3"/>
  <c r="BG935" i="3"/>
  <c r="AT936" i="3"/>
  <c r="AU936" i="3"/>
  <c r="AV936" i="3" s="1" a="1"/>
  <c r="AV936" i="3" s="1"/>
  <c r="AY936" i="3"/>
  <c r="AZ936" i="3"/>
  <c r="BA936" i="3"/>
  <c r="BB936" i="3"/>
  <c r="BC936" i="3"/>
  <c r="BD936" i="3"/>
  <c r="BE936" i="3"/>
  <c r="BF936" i="3"/>
  <c r="BG936" i="3"/>
  <c r="AT937" i="3"/>
  <c r="AU937" i="3"/>
  <c r="AV937" i="3" s="1" a="1"/>
  <c r="AV937" i="3" s="1"/>
  <c r="AY937" i="3"/>
  <c r="AZ937" i="3"/>
  <c r="BA937" i="3"/>
  <c r="BB937" i="3"/>
  <c r="BC937" i="3"/>
  <c r="BD937" i="3"/>
  <c r="BE937" i="3"/>
  <c r="BF937" i="3"/>
  <c r="BG937" i="3"/>
  <c r="AT938" i="3"/>
  <c r="AU938" i="3"/>
  <c r="AV938" i="3" s="1" a="1"/>
  <c r="AV938" i="3" s="1"/>
  <c r="AY938" i="3"/>
  <c r="AZ938" i="3"/>
  <c r="BA938" i="3"/>
  <c r="BB938" i="3"/>
  <c r="BC938" i="3"/>
  <c r="BD938" i="3"/>
  <c r="BE938" i="3"/>
  <c r="BF938" i="3"/>
  <c r="BG938" i="3"/>
  <c r="AT939" i="3"/>
  <c r="AU939" i="3"/>
  <c r="AV939" i="3" s="1" a="1"/>
  <c r="AV939" i="3" s="1"/>
  <c r="AY939" i="3"/>
  <c r="AZ939" i="3"/>
  <c r="BA939" i="3"/>
  <c r="BB939" i="3"/>
  <c r="BC939" i="3"/>
  <c r="BD939" i="3"/>
  <c r="BE939" i="3"/>
  <c r="BF939" i="3"/>
  <c r="BG939" i="3"/>
  <c r="AT940" i="3"/>
  <c r="AU940" i="3"/>
  <c r="AV940" i="3" s="1" a="1"/>
  <c r="AV940" i="3" s="1"/>
  <c r="AY940" i="3"/>
  <c r="AZ940" i="3"/>
  <c r="BA940" i="3"/>
  <c r="BB940" i="3"/>
  <c r="BC940" i="3"/>
  <c r="BD940" i="3"/>
  <c r="BE940" i="3"/>
  <c r="BF940" i="3"/>
  <c r="BG940" i="3"/>
  <c r="AT941" i="3"/>
  <c r="AU941" i="3"/>
  <c r="AV941" i="3" s="1" a="1"/>
  <c r="AV941" i="3" s="1"/>
  <c r="AY941" i="3"/>
  <c r="AZ941" i="3"/>
  <c r="BA941" i="3"/>
  <c r="BB941" i="3"/>
  <c r="BC941" i="3"/>
  <c r="BD941" i="3"/>
  <c r="BE941" i="3"/>
  <c r="BF941" i="3"/>
  <c r="BG941" i="3"/>
  <c r="AT942" i="3"/>
  <c r="AU942" i="3"/>
  <c r="AV942" i="3" s="1" a="1"/>
  <c r="AV942" i="3" s="1"/>
  <c r="AY942" i="3"/>
  <c r="AZ942" i="3"/>
  <c r="BA942" i="3"/>
  <c r="BB942" i="3"/>
  <c r="BC942" i="3"/>
  <c r="BD942" i="3"/>
  <c r="BE942" i="3"/>
  <c r="BF942" i="3"/>
  <c r="BG942" i="3"/>
  <c r="AT943" i="3"/>
  <c r="AU943" i="3"/>
  <c r="AV943" i="3" s="1" a="1"/>
  <c r="AV943" i="3" s="1"/>
  <c r="AY943" i="3"/>
  <c r="AZ943" i="3"/>
  <c r="BA943" i="3"/>
  <c r="BB943" i="3"/>
  <c r="BC943" i="3"/>
  <c r="BD943" i="3"/>
  <c r="BE943" i="3"/>
  <c r="BF943" i="3"/>
  <c r="BG943" i="3"/>
  <c r="AT944" i="3"/>
  <c r="AU944" i="3"/>
  <c r="AV944" i="3" s="1" a="1"/>
  <c r="AV944" i="3" s="1"/>
  <c r="AY944" i="3"/>
  <c r="AZ944" i="3"/>
  <c r="BA944" i="3"/>
  <c r="BB944" i="3"/>
  <c r="BC944" i="3"/>
  <c r="BD944" i="3"/>
  <c r="BE944" i="3"/>
  <c r="BF944" i="3"/>
  <c r="BG944" i="3"/>
  <c r="AT945" i="3"/>
  <c r="AU945" i="3"/>
  <c r="AV945" i="3" s="1" a="1"/>
  <c r="AV945" i="3" s="1"/>
  <c r="AY945" i="3"/>
  <c r="AZ945" i="3"/>
  <c r="BA945" i="3"/>
  <c r="BB945" i="3"/>
  <c r="BC945" i="3"/>
  <c r="BD945" i="3"/>
  <c r="BE945" i="3"/>
  <c r="BF945" i="3"/>
  <c r="BG945" i="3"/>
  <c r="AT946" i="3"/>
  <c r="AU946" i="3"/>
  <c r="AV946" i="3" s="1" a="1"/>
  <c r="AV946" i="3" s="1"/>
  <c r="AY946" i="3"/>
  <c r="AZ946" i="3"/>
  <c r="BA946" i="3"/>
  <c r="BB946" i="3"/>
  <c r="BC946" i="3"/>
  <c r="BD946" i="3"/>
  <c r="BE946" i="3"/>
  <c r="BF946" i="3"/>
  <c r="BG946" i="3"/>
  <c r="AT947" i="3"/>
  <c r="AU947" i="3"/>
  <c r="AV947" i="3" s="1" a="1"/>
  <c r="AV947" i="3" s="1"/>
  <c r="AY947" i="3"/>
  <c r="AZ947" i="3"/>
  <c r="BA947" i="3"/>
  <c r="BB947" i="3"/>
  <c r="BC947" i="3"/>
  <c r="BD947" i="3"/>
  <c r="BE947" i="3"/>
  <c r="BF947" i="3"/>
  <c r="BG947" i="3"/>
  <c r="AT948" i="3"/>
  <c r="AU948" i="3"/>
  <c r="AV948" i="3" s="1" a="1"/>
  <c r="AV948" i="3" s="1"/>
  <c r="AY948" i="3"/>
  <c r="AZ948" i="3"/>
  <c r="BA948" i="3"/>
  <c r="BB948" i="3"/>
  <c r="BC948" i="3"/>
  <c r="BD948" i="3"/>
  <c r="BE948" i="3"/>
  <c r="BF948" i="3"/>
  <c r="BG948" i="3"/>
  <c r="AT949" i="3"/>
  <c r="AU949" i="3"/>
  <c r="AV949" i="3" s="1" a="1"/>
  <c r="AV949" i="3" s="1"/>
  <c r="AY949" i="3"/>
  <c r="AZ949" i="3"/>
  <c r="BA949" i="3"/>
  <c r="BB949" i="3"/>
  <c r="BC949" i="3"/>
  <c r="BD949" i="3"/>
  <c r="BE949" i="3"/>
  <c r="BF949" i="3"/>
  <c r="BG949" i="3"/>
  <c r="AT950" i="3"/>
  <c r="AU950" i="3"/>
  <c r="AV950" i="3" s="1" a="1"/>
  <c r="AV950" i="3" s="1"/>
  <c r="AY950" i="3"/>
  <c r="AZ950" i="3"/>
  <c r="BA950" i="3"/>
  <c r="BB950" i="3"/>
  <c r="BC950" i="3"/>
  <c r="BD950" i="3"/>
  <c r="BE950" i="3"/>
  <c r="BF950" i="3"/>
  <c r="BG950" i="3"/>
  <c r="AT951" i="3"/>
  <c r="AU951" i="3"/>
  <c r="AV951" i="3" s="1" a="1"/>
  <c r="AV951" i="3" s="1"/>
  <c r="AY951" i="3"/>
  <c r="AZ951" i="3"/>
  <c r="BA951" i="3"/>
  <c r="BB951" i="3"/>
  <c r="BC951" i="3"/>
  <c r="BD951" i="3"/>
  <c r="BE951" i="3"/>
  <c r="BF951" i="3"/>
  <c r="BG951" i="3"/>
  <c r="AT952" i="3"/>
  <c r="AU952" i="3"/>
  <c r="AV952" i="3" s="1" a="1"/>
  <c r="AV952" i="3" s="1"/>
  <c r="AY952" i="3"/>
  <c r="AZ952" i="3"/>
  <c r="BA952" i="3"/>
  <c r="BB952" i="3"/>
  <c r="BC952" i="3"/>
  <c r="BD952" i="3"/>
  <c r="BE952" i="3"/>
  <c r="BF952" i="3"/>
  <c r="BG952" i="3"/>
  <c r="AT953" i="3"/>
  <c r="AU953" i="3"/>
  <c r="AV953" i="3" s="1" a="1"/>
  <c r="AV953" i="3" s="1"/>
  <c r="AY953" i="3"/>
  <c r="AZ953" i="3"/>
  <c r="BA953" i="3"/>
  <c r="BB953" i="3"/>
  <c r="BC953" i="3"/>
  <c r="BD953" i="3"/>
  <c r="BE953" i="3"/>
  <c r="BF953" i="3"/>
  <c r="BG953" i="3"/>
  <c r="AT954" i="3"/>
  <c r="AU954" i="3"/>
  <c r="AV954" i="3" s="1" a="1"/>
  <c r="AV954" i="3" s="1"/>
  <c r="AY954" i="3"/>
  <c r="AZ954" i="3"/>
  <c r="BA954" i="3"/>
  <c r="BB954" i="3"/>
  <c r="BC954" i="3"/>
  <c r="BD954" i="3"/>
  <c r="BE954" i="3"/>
  <c r="BF954" i="3"/>
  <c r="BG954" i="3"/>
  <c r="AT955" i="3"/>
  <c r="AU955" i="3"/>
  <c r="AV955" i="3" s="1" a="1"/>
  <c r="AV955" i="3" s="1"/>
  <c r="AY955" i="3"/>
  <c r="AZ955" i="3"/>
  <c r="BA955" i="3"/>
  <c r="BB955" i="3"/>
  <c r="BC955" i="3"/>
  <c r="BD955" i="3"/>
  <c r="BE955" i="3"/>
  <c r="BF955" i="3"/>
  <c r="BG955" i="3"/>
  <c r="AT956" i="3"/>
  <c r="AU956" i="3"/>
  <c r="AV956" i="3" s="1" a="1"/>
  <c r="AV956" i="3" s="1"/>
  <c r="AY956" i="3"/>
  <c r="AZ956" i="3"/>
  <c r="BA956" i="3"/>
  <c r="BB956" i="3"/>
  <c r="BC956" i="3"/>
  <c r="BD956" i="3"/>
  <c r="BE956" i="3"/>
  <c r="BF956" i="3"/>
  <c r="BG956" i="3"/>
  <c r="AT957" i="3"/>
  <c r="AU957" i="3"/>
  <c r="AV957" i="3" s="1" a="1"/>
  <c r="AV957" i="3" s="1"/>
  <c r="AY957" i="3"/>
  <c r="AZ957" i="3"/>
  <c r="BA957" i="3"/>
  <c r="BB957" i="3"/>
  <c r="BC957" i="3"/>
  <c r="BD957" i="3"/>
  <c r="BE957" i="3"/>
  <c r="BF957" i="3"/>
  <c r="BG957" i="3"/>
  <c r="AT958" i="3"/>
  <c r="AU958" i="3"/>
  <c r="AV958" i="3" s="1" a="1"/>
  <c r="AV958" i="3" s="1"/>
  <c r="AY958" i="3"/>
  <c r="AZ958" i="3"/>
  <c r="BA958" i="3"/>
  <c r="BB958" i="3"/>
  <c r="BC958" i="3"/>
  <c r="BD958" i="3"/>
  <c r="BE958" i="3"/>
  <c r="BF958" i="3"/>
  <c r="BG958" i="3"/>
  <c r="AT959" i="3"/>
  <c r="AU959" i="3"/>
  <c r="AV959" i="3" s="1" a="1"/>
  <c r="AV959" i="3" s="1"/>
  <c r="AY959" i="3"/>
  <c r="AZ959" i="3"/>
  <c r="BA959" i="3"/>
  <c r="BB959" i="3"/>
  <c r="BC959" i="3"/>
  <c r="BD959" i="3"/>
  <c r="BE959" i="3"/>
  <c r="BF959" i="3"/>
  <c r="BG959" i="3"/>
  <c r="AT960" i="3"/>
  <c r="AU960" i="3"/>
  <c r="AV960" i="3" s="1" a="1"/>
  <c r="AV960" i="3" s="1"/>
  <c r="AY960" i="3"/>
  <c r="AZ960" i="3"/>
  <c r="BA960" i="3"/>
  <c r="BB960" i="3"/>
  <c r="BC960" i="3"/>
  <c r="BD960" i="3"/>
  <c r="BE960" i="3"/>
  <c r="BF960" i="3"/>
  <c r="BG960" i="3"/>
  <c r="AT961" i="3"/>
  <c r="AU961" i="3"/>
  <c r="AV961" i="3" s="1" a="1"/>
  <c r="AV961" i="3" s="1"/>
  <c r="AY961" i="3"/>
  <c r="AZ961" i="3"/>
  <c r="BA961" i="3"/>
  <c r="BB961" i="3"/>
  <c r="BC961" i="3"/>
  <c r="BD961" i="3"/>
  <c r="BE961" i="3"/>
  <c r="BF961" i="3"/>
  <c r="BG961" i="3"/>
  <c r="AT962" i="3"/>
  <c r="AU962" i="3"/>
  <c r="AV962" i="3" s="1" a="1"/>
  <c r="AV962" i="3" s="1"/>
  <c r="AY962" i="3"/>
  <c r="AZ962" i="3"/>
  <c r="BA962" i="3"/>
  <c r="BB962" i="3"/>
  <c r="BC962" i="3"/>
  <c r="BD962" i="3"/>
  <c r="BE962" i="3"/>
  <c r="BF962" i="3"/>
  <c r="BG962" i="3"/>
  <c r="AT963" i="3"/>
  <c r="AU963" i="3"/>
  <c r="AV963" i="3" s="1" a="1"/>
  <c r="AV963" i="3" s="1"/>
  <c r="AY963" i="3"/>
  <c r="AZ963" i="3"/>
  <c r="BA963" i="3"/>
  <c r="BB963" i="3"/>
  <c r="BC963" i="3"/>
  <c r="BD963" i="3"/>
  <c r="BE963" i="3"/>
  <c r="BF963" i="3"/>
  <c r="BG963" i="3"/>
  <c r="AT964" i="3"/>
  <c r="AU964" i="3"/>
  <c r="AV964" i="3" s="1" a="1"/>
  <c r="AV964" i="3" s="1"/>
  <c r="AY964" i="3"/>
  <c r="AZ964" i="3"/>
  <c r="BA964" i="3"/>
  <c r="BB964" i="3"/>
  <c r="BC964" i="3"/>
  <c r="BD964" i="3"/>
  <c r="BE964" i="3"/>
  <c r="BF964" i="3"/>
  <c r="BG964" i="3"/>
  <c r="AT965" i="3"/>
  <c r="AU965" i="3"/>
  <c r="AV965" i="3" s="1" a="1"/>
  <c r="AV965" i="3" s="1"/>
  <c r="AY965" i="3"/>
  <c r="AZ965" i="3"/>
  <c r="BA965" i="3"/>
  <c r="BB965" i="3"/>
  <c r="BC965" i="3"/>
  <c r="BD965" i="3"/>
  <c r="BE965" i="3"/>
  <c r="BF965" i="3"/>
  <c r="BG965" i="3"/>
  <c r="AT966" i="3"/>
  <c r="AU966" i="3"/>
  <c r="AV966" i="3" s="1" a="1"/>
  <c r="AV966" i="3" s="1"/>
  <c r="AY966" i="3"/>
  <c r="AZ966" i="3"/>
  <c r="BA966" i="3"/>
  <c r="BB966" i="3"/>
  <c r="BC966" i="3"/>
  <c r="BD966" i="3"/>
  <c r="BE966" i="3"/>
  <c r="BF966" i="3"/>
  <c r="BG966" i="3"/>
  <c r="AT967" i="3"/>
  <c r="AU967" i="3"/>
  <c r="AV967" i="3" s="1" a="1"/>
  <c r="AV967" i="3" s="1"/>
  <c r="AY967" i="3"/>
  <c r="AZ967" i="3"/>
  <c r="BA967" i="3"/>
  <c r="BB967" i="3"/>
  <c r="BC967" i="3"/>
  <c r="BD967" i="3"/>
  <c r="BE967" i="3"/>
  <c r="BF967" i="3"/>
  <c r="BG967" i="3"/>
  <c r="AT968" i="3"/>
  <c r="AU968" i="3"/>
  <c r="AV968" i="3" s="1" a="1"/>
  <c r="AV968" i="3" s="1"/>
  <c r="AY968" i="3"/>
  <c r="AZ968" i="3"/>
  <c r="BA968" i="3"/>
  <c r="BB968" i="3"/>
  <c r="BC968" i="3"/>
  <c r="BD968" i="3"/>
  <c r="BE968" i="3"/>
  <c r="BF968" i="3"/>
  <c r="BG968" i="3"/>
  <c r="AT969" i="3"/>
  <c r="AU969" i="3"/>
  <c r="AV969" i="3" s="1" a="1"/>
  <c r="AV969" i="3" s="1"/>
  <c r="AY969" i="3"/>
  <c r="AZ969" i="3"/>
  <c r="BA969" i="3"/>
  <c r="BB969" i="3"/>
  <c r="BC969" i="3"/>
  <c r="BD969" i="3"/>
  <c r="BE969" i="3"/>
  <c r="BF969" i="3"/>
  <c r="BG969" i="3"/>
  <c r="AT970" i="3"/>
  <c r="AU970" i="3"/>
  <c r="AV970" i="3" s="1" a="1"/>
  <c r="AV970" i="3" s="1"/>
  <c r="AY970" i="3"/>
  <c r="AZ970" i="3"/>
  <c r="BA970" i="3"/>
  <c r="BB970" i="3"/>
  <c r="BC970" i="3"/>
  <c r="BD970" i="3"/>
  <c r="BE970" i="3"/>
  <c r="BF970" i="3"/>
  <c r="BG970" i="3"/>
  <c r="AT971" i="3"/>
  <c r="AU971" i="3"/>
  <c r="AV971" i="3" s="1" a="1"/>
  <c r="AV971" i="3" s="1"/>
  <c r="AY971" i="3"/>
  <c r="AZ971" i="3"/>
  <c r="BA971" i="3"/>
  <c r="BB971" i="3"/>
  <c r="BC971" i="3"/>
  <c r="BD971" i="3"/>
  <c r="BE971" i="3"/>
  <c r="BF971" i="3"/>
  <c r="BG971" i="3"/>
  <c r="AT972" i="3"/>
  <c r="AU972" i="3"/>
  <c r="AV972" i="3" s="1" a="1"/>
  <c r="AV972" i="3" s="1"/>
  <c r="AY972" i="3"/>
  <c r="AZ972" i="3"/>
  <c r="BA972" i="3"/>
  <c r="BB972" i="3"/>
  <c r="BC972" i="3"/>
  <c r="BD972" i="3"/>
  <c r="BE972" i="3"/>
  <c r="BF972" i="3"/>
  <c r="BG972" i="3"/>
  <c r="AT973" i="3"/>
  <c r="AU973" i="3"/>
  <c r="AV973" i="3" s="1" a="1"/>
  <c r="AV973" i="3" s="1"/>
  <c r="AY973" i="3"/>
  <c r="AZ973" i="3"/>
  <c r="BA973" i="3"/>
  <c r="BB973" i="3"/>
  <c r="BC973" i="3"/>
  <c r="BD973" i="3"/>
  <c r="BE973" i="3"/>
  <c r="BF973" i="3"/>
  <c r="BG973" i="3"/>
  <c r="AT974" i="3"/>
  <c r="AU974" i="3"/>
  <c r="AV974" i="3" s="1" a="1"/>
  <c r="AV974" i="3" s="1"/>
  <c r="AY974" i="3"/>
  <c r="AZ974" i="3"/>
  <c r="BA974" i="3"/>
  <c r="BB974" i="3"/>
  <c r="BC974" i="3"/>
  <c r="BD974" i="3"/>
  <c r="BE974" i="3"/>
  <c r="BF974" i="3"/>
  <c r="BG974" i="3"/>
  <c r="AT975" i="3"/>
  <c r="AU975" i="3"/>
  <c r="AV975" i="3" s="1" a="1"/>
  <c r="AV975" i="3" s="1"/>
  <c r="AY975" i="3"/>
  <c r="AZ975" i="3"/>
  <c r="BA975" i="3"/>
  <c r="BB975" i="3"/>
  <c r="BC975" i="3"/>
  <c r="BD975" i="3"/>
  <c r="BE975" i="3"/>
  <c r="BF975" i="3"/>
  <c r="BG975" i="3"/>
  <c r="AT976" i="3"/>
  <c r="AU976" i="3"/>
  <c r="AV976" i="3" s="1" a="1"/>
  <c r="AV976" i="3" s="1"/>
  <c r="AY976" i="3"/>
  <c r="AZ976" i="3"/>
  <c r="BA976" i="3"/>
  <c r="BB976" i="3"/>
  <c r="BC976" i="3"/>
  <c r="BD976" i="3"/>
  <c r="BE976" i="3"/>
  <c r="BF976" i="3"/>
  <c r="BG976" i="3"/>
  <c r="AT977" i="3"/>
  <c r="AU977" i="3"/>
  <c r="AV977" i="3" s="1" a="1"/>
  <c r="AV977" i="3" s="1"/>
  <c r="AY977" i="3"/>
  <c r="AZ977" i="3"/>
  <c r="BA977" i="3"/>
  <c r="BB977" i="3"/>
  <c r="BC977" i="3"/>
  <c r="BD977" i="3"/>
  <c r="BE977" i="3"/>
  <c r="BF977" i="3"/>
  <c r="BG977" i="3"/>
  <c r="AT978" i="3"/>
  <c r="AU978" i="3"/>
  <c r="AV978" i="3" s="1" a="1"/>
  <c r="AV978" i="3" s="1"/>
  <c r="AY978" i="3"/>
  <c r="AZ978" i="3"/>
  <c r="BA978" i="3"/>
  <c r="BB978" i="3"/>
  <c r="BC978" i="3"/>
  <c r="BD978" i="3"/>
  <c r="BE978" i="3"/>
  <c r="BF978" i="3"/>
  <c r="BG978" i="3"/>
  <c r="AT979" i="3"/>
  <c r="AU979" i="3"/>
  <c r="AV979" i="3" s="1" a="1"/>
  <c r="AV979" i="3" s="1"/>
  <c r="AY979" i="3"/>
  <c r="AZ979" i="3"/>
  <c r="BA979" i="3"/>
  <c r="BB979" i="3"/>
  <c r="BC979" i="3"/>
  <c r="BD979" i="3"/>
  <c r="BE979" i="3"/>
  <c r="BF979" i="3"/>
  <c r="BG979" i="3"/>
  <c r="AT980" i="3"/>
  <c r="AU980" i="3"/>
  <c r="AV980" i="3" s="1" a="1"/>
  <c r="AV980" i="3" s="1"/>
  <c r="AY980" i="3"/>
  <c r="AZ980" i="3"/>
  <c r="BA980" i="3"/>
  <c r="BB980" i="3"/>
  <c r="BC980" i="3"/>
  <c r="BD980" i="3"/>
  <c r="BE980" i="3"/>
  <c r="BF980" i="3"/>
  <c r="BG980" i="3"/>
  <c r="AT981" i="3"/>
  <c r="AU981" i="3"/>
  <c r="AV981" i="3" s="1" a="1"/>
  <c r="AV981" i="3" s="1"/>
  <c r="AY981" i="3"/>
  <c r="AZ981" i="3"/>
  <c r="BA981" i="3"/>
  <c r="BB981" i="3"/>
  <c r="BC981" i="3"/>
  <c r="BD981" i="3"/>
  <c r="BE981" i="3"/>
  <c r="BF981" i="3"/>
  <c r="BG981" i="3"/>
  <c r="AT982" i="3"/>
  <c r="AU982" i="3"/>
  <c r="AV982" i="3" s="1" a="1"/>
  <c r="AV982" i="3" s="1"/>
  <c r="AY982" i="3"/>
  <c r="AZ982" i="3"/>
  <c r="BA982" i="3"/>
  <c r="BB982" i="3"/>
  <c r="BC982" i="3"/>
  <c r="BD982" i="3"/>
  <c r="BE982" i="3"/>
  <c r="BF982" i="3"/>
  <c r="BG982" i="3"/>
  <c r="AT983" i="3"/>
  <c r="AU983" i="3"/>
  <c r="AV983" i="3" s="1" a="1"/>
  <c r="AV983" i="3" s="1"/>
  <c r="AY983" i="3"/>
  <c r="AZ983" i="3"/>
  <c r="BA983" i="3"/>
  <c r="BB983" i="3"/>
  <c r="BC983" i="3"/>
  <c r="BD983" i="3"/>
  <c r="BE983" i="3"/>
  <c r="BF983" i="3"/>
  <c r="BG983" i="3"/>
  <c r="AT984" i="3"/>
  <c r="AU984" i="3"/>
  <c r="AV984" i="3" s="1" a="1"/>
  <c r="AV984" i="3" s="1"/>
  <c r="AY984" i="3"/>
  <c r="AZ984" i="3"/>
  <c r="BA984" i="3"/>
  <c r="BB984" i="3"/>
  <c r="BC984" i="3"/>
  <c r="BD984" i="3"/>
  <c r="BE984" i="3"/>
  <c r="BF984" i="3"/>
  <c r="BG984" i="3"/>
  <c r="AT985" i="3"/>
  <c r="AU985" i="3"/>
  <c r="AV985" i="3" s="1" a="1"/>
  <c r="AV985" i="3" s="1"/>
  <c r="AY985" i="3"/>
  <c r="AZ985" i="3"/>
  <c r="BA985" i="3"/>
  <c r="BB985" i="3"/>
  <c r="BC985" i="3"/>
  <c r="BD985" i="3"/>
  <c r="BE985" i="3"/>
  <c r="BF985" i="3"/>
  <c r="BG985" i="3"/>
  <c r="AX985" i="3" l="1" a="1"/>
  <c r="AX985" i="3" s="1"/>
  <c r="AW985" i="3" a="1"/>
  <c r="AW985" i="3" s="1"/>
  <c r="AX984" i="3" a="1"/>
  <c r="AX984" i="3" s="1"/>
  <c r="AW984" i="3" a="1"/>
  <c r="AW984" i="3" s="1"/>
  <c r="AX983" i="3" a="1"/>
  <c r="AX983" i="3" s="1"/>
  <c r="AW983" i="3" a="1"/>
  <c r="AW983" i="3" s="1"/>
  <c r="AX982" i="3" a="1"/>
  <c r="AX982" i="3" s="1"/>
  <c r="AW982" i="3" a="1"/>
  <c r="AW982" i="3" s="1"/>
  <c r="AX981" i="3" a="1"/>
  <c r="AX981" i="3" s="1"/>
  <c r="AW981" i="3" a="1"/>
  <c r="AW981" i="3" s="1"/>
  <c r="AX980" i="3" a="1"/>
  <c r="AX980" i="3" s="1"/>
  <c r="AW980" i="3" a="1"/>
  <c r="AW980" i="3" s="1"/>
  <c r="AX979" i="3" a="1"/>
  <c r="AX979" i="3" s="1"/>
  <c r="AW979" i="3" a="1"/>
  <c r="AW979" i="3" s="1"/>
  <c r="AX978" i="3" a="1"/>
  <c r="AX978" i="3" s="1"/>
  <c r="AW978" i="3" a="1"/>
  <c r="AW978" i="3" s="1"/>
  <c r="AX977" i="3" a="1"/>
  <c r="AX977" i="3" s="1"/>
  <c r="AW977" i="3" a="1"/>
  <c r="AW977" i="3" s="1"/>
  <c r="AX976" i="3" a="1"/>
  <c r="AX976" i="3" s="1"/>
  <c r="AW976" i="3" a="1"/>
  <c r="AW976" i="3" s="1"/>
  <c r="AX975" i="3" a="1"/>
  <c r="AX975" i="3" s="1"/>
  <c r="AW975" i="3" a="1"/>
  <c r="AW975" i="3" s="1"/>
  <c r="AX974" i="3" a="1"/>
  <c r="AX974" i="3" s="1"/>
  <c r="AW974" i="3" a="1"/>
  <c r="AW974" i="3" s="1"/>
  <c r="AX973" i="3" a="1"/>
  <c r="AX973" i="3" s="1"/>
  <c r="AW973" i="3" a="1"/>
  <c r="AW973" i="3" s="1"/>
  <c r="AX972" i="3" a="1"/>
  <c r="AX972" i="3" s="1"/>
  <c r="AW972" i="3" a="1"/>
  <c r="AW972" i="3" s="1"/>
  <c r="AX971" i="3" a="1"/>
  <c r="AX971" i="3" s="1"/>
  <c r="AW971" i="3" a="1"/>
  <c r="AW971" i="3" s="1"/>
  <c r="AX970" i="3" a="1"/>
  <c r="AX970" i="3" s="1"/>
  <c r="AW970" i="3" a="1"/>
  <c r="AW970" i="3" s="1"/>
  <c r="AX969" i="3" a="1"/>
  <c r="AX969" i="3" s="1"/>
  <c r="AW969" i="3" a="1"/>
  <c r="AW969" i="3" s="1"/>
  <c r="AX968" i="3" a="1"/>
  <c r="AX968" i="3" s="1"/>
  <c r="AW968" i="3" a="1"/>
  <c r="AW968" i="3" s="1"/>
  <c r="AX967" i="3" a="1"/>
  <c r="AX967" i="3" s="1"/>
  <c r="AW967" i="3" a="1"/>
  <c r="AW967" i="3" s="1"/>
  <c r="AX966" i="3" a="1"/>
  <c r="AX966" i="3" s="1"/>
  <c r="AW966" i="3" a="1"/>
  <c r="AW966" i="3" s="1"/>
  <c r="AX965" i="3" a="1"/>
  <c r="AX965" i="3" s="1"/>
  <c r="AW965" i="3" a="1"/>
  <c r="AW965" i="3" s="1"/>
  <c r="AX964" i="3" a="1"/>
  <c r="AX964" i="3" s="1"/>
  <c r="AW964" i="3" a="1"/>
  <c r="AW964" i="3" s="1"/>
  <c r="AX963" i="3" a="1"/>
  <c r="AX963" i="3" s="1"/>
  <c r="AW963" i="3" a="1"/>
  <c r="AW963" i="3" s="1"/>
  <c r="AX962" i="3" a="1"/>
  <c r="AX962" i="3" s="1"/>
  <c r="AW962" i="3" a="1"/>
  <c r="AW962" i="3" s="1"/>
  <c r="AX961" i="3" a="1"/>
  <c r="AX961" i="3" s="1"/>
  <c r="AW961" i="3" a="1"/>
  <c r="AW961" i="3" s="1"/>
  <c r="AX960" i="3" a="1"/>
  <c r="AX960" i="3" s="1"/>
  <c r="AW960" i="3" a="1"/>
  <c r="AW960" i="3" s="1"/>
  <c r="AX959" i="3" a="1"/>
  <c r="AX959" i="3" s="1"/>
  <c r="AW959" i="3" a="1"/>
  <c r="AW959" i="3" s="1"/>
  <c r="AX958" i="3" a="1"/>
  <c r="AX958" i="3" s="1"/>
  <c r="AW958" i="3" a="1"/>
  <c r="AW958" i="3" s="1"/>
  <c r="AX957" i="3" a="1"/>
  <c r="AX957" i="3" s="1"/>
  <c r="AW957" i="3" a="1"/>
  <c r="AW957" i="3" s="1"/>
  <c r="AX956" i="3" a="1"/>
  <c r="AX956" i="3" s="1"/>
  <c r="AW956" i="3" a="1"/>
  <c r="AW956" i="3" s="1"/>
  <c r="AX955" i="3" a="1"/>
  <c r="AX955" i="3" s="1"/>
  <c r="AW955" i="3" a="1"/>
  <c r="AW955" i="3" s="1"/>
  <c r="AX954" i="3" a="1"/>
  <c r="AX954" i="3" s="1"/>
  <c r="AW954" i="3" a="1"/>
  <c r="AW954" i="3" s="1"/>
  <c r="AX953" i="3" a="1"/>
  <c r="AX953" i="3" s="1"/>
  <c r="AW953" i="3" a="1"/>
  <c r="AW953" i="3" s="1"/>
  <c r="AX952" i="3" a="1"/>
  <c r="AX952" i="3" s="1"/>
  <c r="AW952" i="3" a="1"/>
  <c r="AW952" i="3" s="1"/>
  <c r="AX951" i="3" a="1"/>
  <c r="AX951" i="3" s="1"/>
  <c r="AW951" i="3" a="1"/>
  <c r="AW951" i="3" s="1"/>
  <c r="AX950" i="3" a="1"/>
  <c r="AX950" i="3" s="1"/>
  <c r="AW950" i="3" a="1"/>
  <c r="AW950" i="3" s="1"/>
  <c r="AX949" i="3" a="1"/>
  <c r="AX949" i="3" s="1"/>
  <c r="AW949" i="3" a="1"/>
  <c r="AW949" i="3" s="1"/>
  <c r="AX948" i="3" a="1"/>
  <c r="AX948" i="3" s="1"/>
  <c r="AW948" i="3" a="1"/>
  <c r="AW948" i="3" s="1"/>
  <c r="AX947" i="3" a="1"/>
  <c r="AX947" i="3" s="1"/>
  <c r="AW947" i="3" a="1"/>
  <c r="AW947" i="3" s="1"/>
  <c r="AX946" i="3" a="1"/>
  <c r="AX946" i="3" s="1"/>
  <c r="AW946" i="3" a="1"/>
  <c r="AW946" i="3" s="1"/>
  <c r="AX945" i="3" a="1"/>
  <c r="AX945" i="3" s="1"/>
  <c r="AW945" i="3" a="1"/>
  <c r="AW945" i="3" s="1"/>
  <c r="AX944" i="3" a="1"/>
  <c r="AX944" i="3" s="1"/>
  <c r="AW944" i="3" a="1"/>
  <c r="AW944" i="3" s="1"/>
  <c r="AX943" i="3" a="1"/>
  <c r="AX943" i="3" s="1"/>
  <c r="AW943" i="3" a="1"/>
  <c r="AW943" i="3" s="1"/>
  <c r="AX942" i="3" a="1"/>
  <c r="AX942" i="3" s="1"/>
  <c r="AW942" i="3" a="1"/>
  <c r="AW942" i="3" s="1"/>
  <c r="AX941" i="3" a="1"/>
  <c r="AX941" i="3" s="1"/>
  <c r="AW941" i="3" a="1"/>
  <c r="AW941" i="3" s="1"/>
  <c r="AX940" i="3" a="1"/>
  <c r="AX940" i="3" s="1"/>
  <c r="AW940" i="3" a="1"/>
  <c r="AW940" i="3" s="1"/>
  <c r="AX939" i="3" a="1"/>
  <c r="AX939" i="3" s="1"/>
  <c r="AW939" i="3" a="1"/>
  <c r="AW939" i="3" s="1"/>
  <c r="AX938" i="3" a="1"/>
  <c r="AX938" i="3" s="1"/>
  <c r="AW938" i="3" a="1"/>
  <c r="AW938" i="3" s="1"/>
  <c r="AX937" i="3" a="1"/>
  <c r="AX937" i="3" s="1"/>
  <c r="AW937" i="3" a="1"/>
  <c r="AW937" i="3" s="1"/>
  <c r="AX936" i="3" a="1"/>
  <c r="AX936" i="3" s="1"/>
  <c r="AW936" i="3" a="1"/>
  <c r="AW936" i="3" s="1"/>
  <c r="AX935" i="3" a="1"/>
  <c r="AX935" i="3" s="1"/>
  <c r="AW935" i="3" a="1"/>
  <c r="AW935" i="3" s="1"/>
  <c r="AX934" i="3" a="1"/>
  <c r="AX934" i="3" s="1"/>
  <c r="AW934" i="3" a="1"/>
  <c r="AW934" i="3" s="1"/>
  <c r="AX933" i="3" a="1"/>
  <c r="AX933" i="3" s="1"/>
  <c r="AW933" i="3" a="1"/>
  <c r="AW933" i="3" s="1"/>
  <c r="AX932" i="3" a="1"/>
  <c r="AX932" i="3" s="1"/>
  <c r="AW932" i="3" a="1"/>
  <c r="AW932" i="3" s="1"/>
  <c r="AX931" i="3" a="1"/>
  <c r="AX931" i="3" s="1"/>
  <c r="AW931" i="3" a="1"/>
  <c r="AW931" i="3" s="1"/>
  <c r="AX930" i="3" a="1"/>
  <c r="AX930" i="3" s="1"/>
  <c r="AW930" i="3" a="1"/>
  <c r="AW930" i="3" s="1"/>
  <c r="AX929" i="3" a="1"/>
  <c r="AX929" i="3" s="1"/>
  <c r="AW929" i="3" a="1"/>
  <c r="AW929" i="3" s="1"/>
  <c r="AX928" i="3" a="1"/>
  <c r="AX928" i="3" s="1"/>
  <c r="AW928" i="3" a="1"/>
  <c r="AW928" i="3" s="1"/>
  <c r="AX927" i="3" a="1"/>
  <c r="AX927" i="3" s="1"/>
  <c r="AW927" i="3" a="1"/>
  <c r="AW927" i="3" s="1"/>
  <c r="AX926" i="3" a="1"/>
  <c r="AX926" i="3" s="1"/>
  <c r="AW926" i="3" a="1"/>
  <c r="AW926" i="3" s="1"/>
  <c r="AX925" i="3" a="1"/>
  <c r="AX925" i="3" s="1"/>
  <c r="AW925" i="3" a="1"/>
  <c r="AW925" i="3" s="1"/>
  <c r="AX924" i="3" a="1"/>
  <c r="AX924" i="3" s="1"/>
  <c r="AW924" i="3" a="1"/>
  <c r="AW924" i="3" s="1"/>
  <c r="AX923" i="3" a="1"/>
  <c r="AX923" i="3" s="1"/>
  <c r="AW923" i="3" a="1"/>
  <c r="AW923" i="3" s="1"/>
  <c r="AX922" i="3" a="1"/>
  <c r="AX922" i="3" s="1"/>
  <c r="AW922" i="3" a="1"/>
  <c r="AW922" i="3" s="1"/>
  <c r="AX921" i="3" a="1"/>
  <c r="AX921" i="3" s="1"/>
  <c r="AW921" i="3" a="1"/>
  <c r="AW921" i="3" s="1"/>
  <c r="AX920" i="3" a="1"/>
  <c r="AX920" i="3" s="1"/>
  <c r="AW920" i="3" a="1"/>
  <c r="AW920" i="3" s="1"/>
  <c r="AX919" i="3" a="1"/>
  <c r="AX919" i="3" s="1"/>
  <c r="AW919" i="3" a="1"/>
  <c r="AW919" i="3" s="1"/>
  <c r="AX918" i="3" a="1"/>
  <c r="AX918" i="3" s="1"/>
  <c r="AW918" i="3" a="1"/>
  <c r="AW918" i="3" s="1"/>
  <c r="AX917" i="3" a="1"/>
  <c r="AX917" i="3" s="1"/>
  <c r="AW917" i="3" a="1"/>
  <c r="AW917" i="3" s="1"/>
  <c r="AX916" i="3" a="1"/>
  <c r="AX916" i="3" s="1"/>
  <c r="AW916" i="3" a="1"/>
  <c r="AW916" i="3" s="1"/>
  <c r="AX915" i="3" a="1"/>
  <c r="AX915" i="3" s="1"/>
  <c r="AW915" i="3" a="1"/>
  <c r="AW915" i="3" s="1"/>
  <c r="AX914" i="3" a="1"/>
  <c r="AX914" i="3" s="1"/>
  <c r="AW914" i="3" a="1"/>
  <c r="AW914" i="3" s="1"/>
  <c r="AX913" i="3" a="1"/>
  <c r="AX913" i="3" s="1"/>
  <c r="AW913" i="3" a="1"/>
  <c r="AW913" i="3" s="1"/>
  <c r="AX912" i="3" a="1"/>
  <c r="AX912" i="3" s="1"/>
  <c r="AW912" i="3" a="1"/>
  <c r="AW912" i="3" s="1"/>
  <c r="AX911" i="3" a="1"/>
  <c r="AX911" i="3" s="1"/>
  <c r="AW911" i="3" a="1"/>
  <c r="AW911" i="3" s="1"/>
  <c r="AX910" i="3" a="1"/>
  <c r="AX910" i="3" s="1"/>
  <c r="AW910" i="3" a="1"/>
  <c r="AW910" i="3" s="1"/>
  <c r="AX909" i="3" a="1"/>
  <c r="AX909" i="3" s="1"/>
  <c r="AW909" i="3" a="1"/>
  <c r="AW909" i="3" s="1"/>
  <c r="AX908" i="3" a="1"/>
  <c r="AX908" i="3" s="1"/>
  <c r="AW908" i="3" a="1"/>
  <c r="AW908" i="3" s="1"/>
  <c r="AX907" i="3" a="1"/>
  <c r="AX907" i="3" s="1"/>
  <c r="AW907" i="3" a="1"/>
  <c r="AW907" i="3" s="1"/>
  <c r="AX906" i="3" a="1"/>
  <c r="AX906" i="3" s="1"/>
  <c r="AW906" i="3" a="1"/>
  <c r="AW906" i="3" s="1"/>
  <c r="AX905" i="3" a="1"/>
  <c r="AX905" i="3" s="1"/>
  <c r="AW905" i="3" a="1"/>
  <c r="AW905" i="3" s="1"/>
  <c r="AX904" i="3" a="1"/>
  <c r="AX904" i="3" s="1"/>
  <c r="AW904" i="3" a="1"/>
  <c r="AW904" i="3" s="1"/>
  <c r="AX903" i="3" a="1"/>
  <c r="AX903" i="3" s="1"/>
  <c r="AW903" i="3" a="1"/>
  <c r="AW903" i="3" s="1"/>
  <c r="AX902" i="3" a="1"/>
  <c r="AX902" i="3" s="1"/>
  <c r="AW902" i="3" a="1"/>
  <c r="AW902" i="3" s="1"/>
  <c r="AX901" i="3" a="1"/>
  <c r="AX901" i="3" s="1"/>
  <c r="AW901" i="3" a="1"/>
  <c r="AW901" i="3" s="1"/>
  <c r="AX900" i="3" a="1"/>
  <c r="AX900" i="3" s="1"/>
  <c r="AW900" i="3" a="1"/>
  <c r="AW900" i="3" s="1"/>
  <c r="AX899" i="3" a="1"/>
  <c r="AX899" i="3" s="1"/>
  <c r="AW899" i="3" a="1"/>
  <c r="AW899" i="3" s="1"/>
  <c r="AX898" i="3" a="1"/>
  <c r="AX898" i="3" s="1"/>
  <c r="AW898" i="3" a="1"/>
  <c r="AW898" i="3" s="1"/>
  <c r="AX897" i="3" a="1"/>
  <c r="AX897" i="3" s="1"/>
  <c r="AW897" i="3" a="1"/>
  <c r="AW897" i="3" s="1"/>
  <c r="AX896" i="3" a="1"/>
  <c r="AX896" i="3" s="1"/>
  <c r="AW896" i="3" a="1"/>
  <c r="AW896" i="3" s="1"/>
  <c r="AX895" i="3" a="1"/>
  <c r="AX895" i="3" s="1"/>
  <c r="AW895" i="3" a="1"/>
  <c r="AW895" i="3" s="1"/>
  <c r="AX894" i="3" a="1"/>
  <c r="AX894" i="3" s="1"/>
  <c r="AW894" i="3" a="1"/>
  <c r="AW894" i="3" s="1"/>
  <c r="AX893" i="3" a="1"/>
  <c r="AX893" i="3" s="1"/>
  <c r="AW893" i="3" a="1"/>
  <c r="AW893" i="3" s="1"/>
  <c r="AX892" i="3" a="1"/>
  <c r="AX892" i="3" s="1"/>
  <c r="AW892" i="3" a="1"/>
  <c r="AW892" i="3" s="1"/>
  <c r="AX891" i="3" a="1"/>
  <c r="AX891" i="3" s="1"/>
  <c r="AW891" i="3" a="1"/>
  <c r="AW891" i="3" s="1"/>
  <c r="AX890" i="3" a="1"/>
  <c r="AX890" i="3" s="1"/>
  <c r="AW890" i="3" a="1"/>
  <c r="AW890" i="3" s="1"/>
  <c r="AX889" i="3" a="1"/>
  <c r="AX889" i="3" s="1"/>
  <c r="AW889" i="3" a="1"/>
  <c r="AW889" i="3" s="1"/>
  <c r="AX888" i="3" a="1"/>
  <c r="AX888" i="3" s="1"/>
  <c r="AW888" i="3" a="1"/>
  <c r="AW888" i="3" s="1"/>
  <c r="AX887" i="3" a="1"/>
  <c r="AX887" i="3" s="1"/>
  <c r="AW887" i="3" a="1"/>
  <c r="AW887" i="3" s="1"/>
  <c r="AX886" i="3" a="1"/>
  <c r="AX886" i="3" s="1"/>
  <c r="AW886" i="3" a="1"/>
  <c r="AW886" i="3" s="1"/>
  <c r="AX885" i="3" a="1"/>
  <c r="AX885" i="3" s="1"/>
  <c r="AW885" i="3" a="1"/>
  <c r="AW885" i="3" s="1"/>
  <c r="AX884" i="3" a="1"/>
  <c r="AX884" i="3" s="1"/>
  <c r="AW884" i="3" a="1"/>
  <c r="AW884" i="3" s="1"/>
  <c r="AX883" i="3" a="1"/>
  <c r="AX883" i="3" s="1"/>
  <c r="AW883" i="3" a="1"/>
  <c r="AW883" i="3" s="1"/>
  <c r="AX882" i="3" a="1"/>
  <c r="AX882" i="3" s="1"/>
  <c r="AW882" i="3" a="1"/>
  <c r="AW882" i="3" s="1"/>
  <c r="AX881" i="3" a="1"/>
  <c r="AX881" i="3" s="1"/>
  <c r="AW881" i="3" a="1"/>
  <c r="AW881" i="3" s="1"/>
  <c r="AX880" i="3" a="1"/>
  <c r="AX880" i="3" s="1"/>
  <c r="AW880" i="3" a="1"/>
  <c r="AW880" i="3" s="1"/>
  <c r="AX879" i="3" a="1"/>
  <c r="AX879" i="3" s="1"/>
  <c r="AW879" i="3" a="1"/>
  <c r="AW879" i="3" s="1"/>
  <c r="AX878" i="3" a="1"/>
  <c r="AX878" i="3" s="1"/>
  <c r="AW878" i="3" a="1"/>
  <c r="AW878" i="3" s="1"/>
  <c r="AX877" i="3" a="1"/>
  <c r="AX877" i="3" s="1"/>
  <c r="AW877" i="3" a="1"/>
  <c r="AW877" i="3" s="1"/>
  <c r="AX876" i="3" a="1"/>
  <c r="AX876" i="3" s="1"/>
  <c r="AW876" i="3" a="1"/>
  <c r="AW876" i="3" s="1"/>
  <c r="AX875" i="3" a="1"/>
  <c r="AX875" i="3" s="1"/>
  <c r="AW875" i="3" a="1"/>
  <c r="AW875" i="3" s="1"/>
  <c r="AX874" i="3" a="1"/>
  <c r="AX874" i="3" s="1"/>
  <c r="AW874" i="3" a="1"/>
  <c r="AW874" i="3" s="1"/>
  <c r="AX873" i="3" a="1"/>
  <c r="AX873" i="3" s="1"/>
  <c r="AW873" i="3" a="1"/>
  <c r="AW873" i="3" s="1"/>
  <c r="AX872" i="3" a="1"/>
  <c r="AX872" i="3" s="1"/>
  <c r="AW872" i="3" a="1"/>
  <c r="AW872" i="3" s="1"/>
  <c r="AX871" i="3" a="1"/>
  <c r="AX871" i="3" s="1"/>
  <c r="AW871" i="3" a="1"/>
  <c r="AW871" i="3" s="1"/>
  <c r="AX870" i="3" a="1"/>
  <c r="AX870" i="3" s="1"/>
  <c r="AW870" i="3" a="1"/>
  <c r="AW870" i="3" s="1"/>
  <c r="AX869" i="3" a="1"/>
  <c r="AX869" i="3" s="1"/>
  <c r="AW869" i="3" a="1"/>
  <c r="AW869" i="3" s="1"/>
  <c r="AX868" i="3" a="1"/>
  <c r="AX868" i="3" s="1"/>
  <c r="AW868" i="3" a="1"/>
  <c r="AW868" i="3" s="1"/>
  <c r="AX867" i="3" a="1"/>
  <c r="AX867" i="3" s="1"/>
  <c r="AW867" i="3" a="1"/>
  <c r="AW867" i="3" s="1"/>
  <c r="AX866" i="3" a="1"/>
  <c r="AX866" i="3" s="1"/>
  <c r="AW866" i="3" a="1"/>
  <c r="AW866" i="3" s="1"/>
  <c r="AX865" i="3" a="1"/>
  <c r="AX865" i="3" s="1"/>
  <c r="AW865" i="3" a="1"/>
  <c r="AW865" i="3" s="1"/>
  <c r="AX864" i="3" a="1"/>
  <c r="AX864" i="3" s="1"/>
  <c r="AW864" i="3" a="1"/>
  <c r="AW864" i="3" s="1"/>
  <c r="AX863" i="3" a="1"/>
  <c r="AX863" i="3" s="1"/>
  <c r="AW863" i="3" a="1"/>
  <c r="AW863" i="3" s="1"/>
  <c r="AX862" i="3" a="1"/>
  <c r="AX862" i="3" s="1"/>
  <c r="AW862" i="3" a="1"/>
  <c r="AW862" i="3" s="1"/>
  <c r="AX861" i="3" a="1"/>
  <c r="AX861" i="3" s="1"/>
  <c r="AW861" i="3" a="1"/>
  <c r="AW861" i="3" s="1"/>
  <c r="AX860" i="3" a="1"/>
  <c r="AX860" i="3" s="1"/>
  <c r="AW860" i="3" a="1"/>
  <c r="AW860" i="3" s="1"/>
  <c r="AX859" i="3" a="1"/>
  <c r="AX859" i="3" s="1"/>
  <c r="AW859" i="3" a="1"/>
  <c r="AW859" i="3" s="1"/>
  <c r="AX858" i="3" a="1"/>
  <c r="AX858" i="3" s="1"/>
  <c r="AW858" i="3" a="1"/>
  <c r="AW858" i="3" s="1"/>
  <c r="AX857" i="3" a="1"/>
  <c r="AX857" i="3" s="1"/>
  <c r="AW857" i="3" a="1"/>
  <c r="AW857" i="3" s="1"/>
  <c r="AX856" i="3" a="1"/>
  <c r="AX856" i="3" s="1"/>
  <c r="AW856" i="3" a="1"/>
  <c r="AW856" i="3" s="1"/>
  <c r="AX855" i="3" a="1"/>
  <c r="AX855" i="3" s="1"/>
  <c r="AW855" i="3" a="1"/>
  <c r="AW855" i="3" s="1"/>
  <c r="AX854" i="3" a="1"/>
  <c r="AX854" i="3" s="1"/>
  <c r="AW854" i="3" a="1"/>
  <c r="AW854" i="3" s="1"/>
  <c r="AX853" i="3" a="1"/>
  <c r="AX853" i="3" s="1"/>
  <c r="AW853" i="3" a="1"/>
  <c r="AW853" i="3" s="1"/>
  <c r="AX852" i="3" a="1"/>
  <c r="AX852" i="3" s="1"/>
  <c r="AW852" i="3" a="1"/>
  <c r="AW852" i="3" s="1"/>
  <c r="AX851" i="3" a="1"/>
  <c r="AX851" i="3" s="1"/>
  <c r="AW851" i="3" a="1"/>
  <c r="AW851" i="3" s="1"/>
  <c r="AX850" i="3" a="1"/>
  <c r="AX850" i="3" s="1"/>
  <c r="AW850" i="3" a="1"/>
  <c r="AW850" i="3" s="1"/>
  <c r="AX849" i="3" a="1"/>
  <c r="AX849" i="3" s="1"/>
  <c r="AW849" i="3" a="1"/>
  <c r="AW849" i="3" s="1"/>
  <c r="AX848" i="3" a="1"/>
  <c r="AX848" i="3" s="1"/>
  <c r="AW848" i="3" a="1"/>
  <c r="AW848" i="3" s="1"/>
  <c r="AX847" i="3" a="1"/>
  <c r="AX847" i="3" s="1"/>
  <c r="AW847" i="3" a="1"/>
  <c r="AW847" i="3" s="1"/>
  <c r="AX846" i="3" a="1"/>
  <c r="AX846" i="3" s="1"/>
  <c r="AW846" i="3" a="1"/>
  <c r="AW846" i="3" s="1"/>
  <c r="AX845" i="3" a="1"/>
  <c r="AX845" i="3" s="1"/>
  <c r="AW845" i="3" a="1"/>
  <c r="AW845" i="3" s="1"/>
  <c r="AX844" i="3" a="1"/>
  <c r="AX844" i="3" s="1"/>
  <c r="AW844" i="3" a="1"/>
  <c r="AW844" i="3" s="1"/>
  <c r="AX843" i="3" a="1"/>
  <c r="AX843" i="3" s="1"/>
  <c r="AW843" i="3" a="1"/>
  <c r="AW843" i="3" s="1"/>
  <c r="AX842" i="3" a="1"/>
  <c r="AX842" i="3" s="1"/>
  <c r="AW842" i="3" a="1"/>
  <c r="AW842" i="3" s="1"/>
  <c r="AX841" i="3" a="1"/>
  <c r="AX841" i="3" s="1"/>
  <c r="AW841" i="3" a="1"/>
  <c r="AW841" i="3" s="1"/>
  <c r="AX840" i="3" a="1"/>
  <c r="AX840" i="3" s="1"/>
  <c r="AW840" i="3" a="1"/>
  <c r="AW840" i="3" s="1"/>
  <c r="AX839" i="3" a="1"/>
  <c r="AX839" i="3" s="1"/>
  <c r="AW839" i="3" a="1"/>
  <c r="AW839" i="3" s="1"/>
  <c r="AX838" i="3" a="1"/>
  <c r="AX838" i="3" s="1"/>
  <c r="AW838" i="3" a="1"/>
  <c r="AW838" i="3" s="1"/>
  <c r="AX837" i="3" a="1"/>
  <c r="AX837" i="3" s="1"/>
  <c r="AW837" i="3" a="1"/>
  <c r="AW837" i="3" s="1"/>
  <c r="AX836" i="3" a="1"/>
  <c r="AX836" i="3" s="1"/>
  <c r="AW836" i="3" a="1"/>
  <c r="AW836" i="3" s="1"/>
  <c r="AX835" i="3" a="1"/>
  <c r="AX835" i="3" s="1"/>
  <c r="AW835" i="3" a="1"/>
  <c r="AW835" i="3" s="1"/>
  <c r="AX834" i="3" a="1"/>
  <c r="AX834" i="3" s="1"/>
  <c r="AW834" i="3" a="1"/>
  <c r="AW834" i="3" s="1"/>
  <c r="AX833" i="3" a="1"/>
  <c r="AX833" i="3" s="1"/>
  <c r="AW833" i="3" a="1"/>
  <c r="AW833" i="3" s="1"/>
  <c r="AX832" i="3" a="1"/>
  <c r="AX832" i="3" s="1"/>
  <c r="AW832" i="3" a="1"/>
  <c r="AW832" i="3" s="1"/>
  <c r="AX831" i="3" a="1"/>
  <c r="AX831" i="3" s="1"/>
  <c r="AW831" i="3" a="1"/>
  <c r="AW831" i="3" s="1"/>
  <c r="AX830" i="3" a="1"/>
  <c r="AX830" i="3" s="1"/>
  <c r="AW830" i="3" a="1"/>
  <c r="AW830" i="3" s="1"/>
  <c r="AX829" i="3" a="1"/>
  <c r="AX829" i="3" s="1"/>
  <c r="AW829" i="3" a="1"/>
  <c r="AW829" i="3" s="1"/>
  <c r="AX828" i="3" a="1"/>
  <c r="AX828" i="3" s="1"/>
  <c r="AW828" i="3" a="1"/>
  <c r="AW828" i="3" s="1"/>
  <c r="AX827" i="3" a="1"/>
  <c r="AX827" i="3" s="1"/>
  <c r="AW827" i="3" a="1"/>
  <c r="AW827" i="3" s="1"/>
  <c r="AX826" i="3" a="1"/>
  <c r="AX826" i="3" s="1"/>
  <c r="AW826" i="3" a="1"/>
  <c r="AW826" i="3" s="1"/>
  <c r="AX825" i="3" a="1"/>
  <c r="AX825" i="3" s="1"/>
  <c r="AW825" i="3" a="1"/>
  <c r="AW825" i="3" s="1"/>
  <c r="AX824" i="3" a="1"/>
  <c r="AX824" i="3" s="1"/>
  <c r="AW824" i="3" a="1"/>
  <c r="AW824" i="3" s="1"/>
  <c r="AX823" i="3" a="1"/>
  <c r="AX823" i="3" s="1"/>
  <c r="AW823" i="3" a="1"/>
  <c r="AW823" i="3" s="1"/>
  <c r="AX822" i="3" a="1"/>
  <c r="AX822" i="3" s="1"/>
  <c r="AW822" i="3" a="1"/>
  <c r="AW822" i="3" s="1"/>
  <c r="AX821" i="3" a="1"/>
  <c r="AX821" i="3" s="1"/>
  <c r="AW821" i="3" a="1"/>
  <c r="AW821" i="3" s="1"/>
  <c r="AX820" i="3" a="1"/>
  <c r="AX820" i="3" s="1"/>
  <c r="AW820" i="3" a="1"/>
  <c r="AW820" i="3" s="1"/>
  <c r="AX819" i="3" a="1"/>
  <c r="AX819" i="3" s="1"/>
  <c r="AW819" i="3" a="1"/>
  <c r="AW819" i="3" s="1"/>
  <c r="AX818" i="3" a="1"/>
  <c r="AX818" i="3" s="1"/>
  <c r="AW818" i="3" a="1"/>
  <c r="AW818" i="3" s="1"/>
  <c r="AX817" i="3" a="1"/>
  <c r="AX817" i="3" s="1"/>
  <c r="AW817" i="3" a="1"/>
  <c r="AW817" i="3" s="1"/>
  <c r="AX816" i="3" a="1"/>
  <c r="AX816" i="3" s="1"/>
  <c r="AW816" i="3" a="1"/>
  <c r="AW816" i="3" s="1"/>
  <c r="AX815" i="3" a="1"/>
  <c r="AX815" i="3" s="1"/>
  <c r="AW815" i="3" a="1"/>
  <c r="AW815" i="3" s="1"/>
  <c r="AX814" i="3" a="1"/>
  <c r="AX814" i="3" s="1"/>
  <c r="AW814" i="3" a="1"/>
  <c r="AW814" i="3" s="1"/>
  <c r="AX813" i="3" a="1"/>
  <c r="AX813" i="3" s="1"/>
  <c r="AW813" i="3" a="1"/>
  <c r="AW813" i="3" s="1"/>
  <c r="AX812" i="3" a="1"/>
  <c r="AX812" i="3" s="1"/>
  <c r="AW812" i="3" a="1"/>
  <c r="AW812" i="3" s="1"/>
  <c r="AX811" i="3" a="1"/>
  <c r="AX811" i="3" s="1"/>
  <c r="AW811" i="3" a="1"/>
  <c r="AW811" i="3" s="1"/>
  <c r="AX810" i="3" a="1"/>
  <c r="AX810" i="3" s="1"/>
  <c r="AW810" i="3" a="1"/>
  <c r="AW810" i="3" s="1"/>
  <c r="AX809" i="3" a="1"/>
  <c r="AX809" i="3" s="1"/>
  <c r="AW809" i="3" a="1"/>
  <c r="AW809" i="3" s="1"/>
  <c r="AX808" i="3" a="1"/>
  <c r="AX808" i="3" s="1"/>
  <c r="AW808" i="3" a="1"/>
  <c r="AW808" i="3" s="1"/>
  <c r="AX807" i="3" a="1"/>
  <c r="AX807" i="3" s="1"/>
  <c r="AW807" i="3" a="1"/>
  <c r="AW807" i="3" s="1"/>
  <c r="AX806" i="3" a="1"/>
  <c r="AX806" i="3" s="1"/>
  <c r="AW806" i="3" a="1"/>
  <c r="AW806" i="3" s="1"/>
  <c r="AX805" i="3" a="1"/>
  <c r="AX805" i="3" s="1"/>
  <c r="AW805" i="3" a="1"/>
  <c r="AW805" i="3" s="1"/>
  <c r="AX804" i="3" a="1"/>
  <c r="AX804" i="3" s="1"/>
  <c r="AW804" i="3" a="1"/>
  <c r="AW804" i="3" s="1"/>
  <c r="AX803" i="3" a="1"/>
  <c r="AX803" i="3" s="1"/>
  <c r="AW803" i="3" a="1"/>
  <c r="AW803" i="3" s="1"/>
  <c r="AX802" i="3" a="1"/>
  <c r="AX802" i="3" s="1"/>
  <c r="AW802" i="3" a="1"/>
  <c r="AW802" i="3" s="1"/>
  <c r="AX801" i="3" a="1"/>
  <c r="AX801" i="3" s="1"/>
  <c r="AW801" i="3" a="1"/>
  <c r="AW801" i="3" s="1"/>
  <c r="AX800" i="3" a="1"/>
  <c r="AX800" i="3" s="1"/>
  <c r="AW800" i="3" a="1"/>
  <c r="AW800" i="3" s="1"/>
  <c r="AX799" i="3" a="1"/>
  <c r="AX799" i="3" s="1"/>
  <c r="AW799" i="3" a="1"/>
  <c r="AW799" i="3" s="1"/>
  <c r="AX798" i="3" a="1"/>
  <c r="AX798" i="3" s="1"/>
  <c r="AW798" i="3" a="1"/>
  <c r="AW798" i="3" s="1"/>
  <c r="AX797" i="3" a="1"/>
  <c r="AX797" i="3" s="1"/>
  <c r="AW797" i="3" a="1"/>
  <c r="AW797" i="3" s="1"/>
  <c r="AX796" i="3" a="1"/>
  <c r="AX796" i="3" s="1"/>
  <c r="AW796" i="3" a="1"/>
  <c r="AW796" i="3" s="1"/>
  <c r="AX795" i="3" a="1"/>
  <c r="AX795" i="3" s="1"/>
  <c r="AW795" i="3" a="1"/>
  <c r="AW795" i="3" s="1"/>
  <c r="AX794" i="3" a="1"/>
  <c r="AX794" i="3" s="1"/>
  <c r="AW794" i="3" a="1"/>
  <c r="AW794" i="3" s="1"/>
  <c r="AX793" i="3" a="1"/>
  <c r="AX793" i="3" s="1"/>
  <c r="AW793" i="3" a="1"/>
  <c r="AW793" i="3" s="1"/>
  <c r="AX792" i="3" a="1"/>
  <c r="AX792" i="3" s="1"/>
  <c r="AW792" i="3" a="1"/>
  <c r="AW792" i="3" s="1"/>
  <c r="AX791" i="3" a="1"/>
  <c r="AX791" i="3" s="1"/>
  <c r="AW791" i="3" a="1"/>
  <c r="AW791" i="3" s="1"/>
  <c r="AX790" i="3" a="1"/>
  <c r="AX790" i="3" s="1"/>
  <c r="AW790" i="3" a="1"/>
  <c r="AW790" i="3" s="1"/>
  <c r="AX789" i="3" a="1"/>
  <c r="AX789" i="3" s="1"/>
  <c r="AW789" i="3" a="1"/>
  <c r="AW789" i="3" s="1"/>
  <c r="AX788" i="3" a="1"/>
  <c r="AX788" i="3" s="1"/>
  <c r="AW788" i="3" a="1"/>
  <c r="AW788" i="3" s="1"/>
  <c r="AX787" i="3" a="1"/>
  <c r="AX787" i="3" s="1"/>
  <c r="AW787" i="3" a="1"/>
  <c r="AW787" i="3" s="1"/>
  <c r="AX786" i="3" a="1"/>
  <c r="AX786" i="3" s="1"/>
  <c r="AW786" i="3" a="1"/>
  <c r="AW786" i="3" s="1"/>
  <c r="AX785" i="3" a="1"/>
  <c r="AX785" i="3" s="1"/>
  <c r="AW785" i="3" a="1"/>
  <c r="AW785" i="3" s="1"/>
  <c r="AX784" i="3" a="1"/>
  <c r="AX784" i="3" s="1"/>
  <c r="AW784" i="3" a="1"/>
  <c r="AW784" i="3" s="1"/>
  <c r="AX783" i="3" a="1"/>
  <c r="AX783" i="3" s="1"/>
  <c r="AW783" i="3" a="1"/>
  <c r="AW783" i="3" s="1"/>
  <c r="AX782" i="3" a="1"/>
  <c r="AX782" i="3" s="1"/>
  <c r="AW782" i="3" a="1"/>
  <c r="AW782" i="3" s="1"/>
  <c r="AX781" i="3" a="1"/>
  <c r="AX781" i="3" s="1"/>
  <c r="AW781" i="3" a="1"/>
  <c r="AW781" i="3" s="1"/>
  <c r="AX780" i="3" a="1"/>
  <c r="AX780" i="3" s="1"/>
  <c r="AW780" i="3" a="1"/>
  <c r="AW780" i="3" s="1"/>
  <c r="AX779" i="3" a="1"/>
  <c r="AX779" i="3" s="1"/>
  <c r="AW779" i="3" a="1"/>
  <c r="AW779" i="3" s="1"/>
  <c r="AX778" i="3" a="1"/>
  <c r="AX778" i="3" s="1"/>
  <c r="AW778" i="3" a="1"/>
  <c r="AW778" i="3" s="1"/>
  <c r="AX777" i="3" a="1"/>
  <c r="AX777" i="3" s="1"/>
  <c r="AW777" i="3" a="1"/>
  <c r="AW777" i="3" s="1"/>
  <c r="AX776" i="3" a="1"/>
  <c r="AX776" i="3" s="1"/>
  <c r="AW776" i="3" a="1"/>
  <c r="AW776" i="3" s="1"/>
  <c r="AX775" i="3" a="1"/>
  <c r="AX775" i="3" s="1"/>
  <c r="AW775" i="3" a="1"/>
  <c r="AW775" i="3" s="1"/>
  <c r="AX774" i="3" a="1"/>
  <c r="AX774" i="3" s="1"/>
  <c r="AW774" i="3" a="1"/>
  <c r="AW774" i="3" s="1"/>
  <c r="AX773" i="3" a="1"/>
  <c r="AX773" i="3" s="1"/>
  <c r="AW773" i="3" a="1"/>
  <c r="AW773" i="3" s="1"/>
  <c r="AX772" i="3" a="1"/>
  <c r="AX772" i="3" s="1"/>
  <c r="AW772" i="3" a="1"/>
  <c r="AW772" i="3" s="1"/>
  <c r="AX771" i="3" a="1"/>
  <c r="AX771" i="3" s="1"/>
  <c r="AW771" i="3" a="1"/>
  <c r="AW771" i="3" s="1"/>
  <c r="AX770" i="3" a="1"/>
  <c r="AX770" i="3" s="1"/>
  <c r="AW770" i="3" a="1"/>
  <c r="AW770" i="3" s="1"/>
  <c r="AX769" i="3" a="1"/>
  <c r="AX769" i="3" s="1"/>
  <c r="AW769" i="3" a="1"/>
  <c r="AW769" i="3" s="1"/>
  <c r="AX768" i="3" a="1"/>
  <c r="AX768" i="3" s="1"/>
  <c r="AW768" i="3" a="1"/>
  <c r="AW768" i="3" s="1"/>
  <c r="AX767" i="3" a="1"/>
  <c r="AX767" i="3" s="1"/>
  <c r="AW767" i="3" a="1"/>
  <c r="AW767" i="3" s="1"/>
  <c r="AX766" i="3" a="1"/>
  <c r="AX766" i="3" s="1"/>
  <c r="AW766" i="3" a="1"/>
  <c r="AW766" i="3" s="1"/>
  <c r="AX765" i="3" a="1"/>
  <c r="AX765" i="3" s="1"/>
  <c r="AW765" i="3" a="1"/>
  <c r="AW765" i="3" s="1"/>
  <c r="AX764" i="3" a="1"/>
  <c r="AX764" i="3" s="1"/>
  <c r="AW764" i="3" a="1"/>
  <c r="AW764" i="3" s="1"/>
  <c r="AX763" i="3" a="1"/>
  <c r="AX763" i="3" s="1"/>
  <c r="AW763" i="3" a="1"/>
  <c r="AW763" i="3" s="1"/>
  <c r="AX762" i="3" a="1"/>
  <c r="AX762" i="3" s="1"/>
  <c r="AW762" i="3" a="1"/>
  <c r="AW762" i="3" s="1"/>
  <c r="AX761" i="3" a="1"/>
  <c r="AX761" i="3" s="1"/>
  <c r="AW761" i="3" a="1"/>
  <c r="AW761" i="3" s="1"/>
  <c r="AX760" i="3" a="1"/>
  <c r="AX760" i="3" s="1"/>
  <c r="AW760" i="3" a="1"/>
  <c r="AW760" i="3" s="1"/>
  <c r="AX759" i="3" a="1"/>
  <c r="AX759" i="3" s="1"/>
  <c r="AW759" i="3" a="1"/>
  <c r="AW759" i="3" s="1"/>
  <c r="AX758" i="3" a="1"/>
  <c r="AX758" i="3" s="1"/>
  <c r="AW758" i="3" a="1"/>
  <c r="AW758" i="3" s="1"/>
  <c r="AX757" i="3" a="1"/>
  <c r="AX757" i="3" s="1"/>
  <c r="AW757" i="3" a="1"/>
  <c r="AW757" i="3" s="1"/>
  <c r="AX756" i="3" a="1"/>
  <c r="AX756" i="3" s="1"/>
  <c r="AW756" i="3" a="1"/>
  <c r="AW756" i="3" s="1"/>
  <c r="AX755" i="3" a="1"/>
  <c r="AX755" i="3" s="1"/>
  <c r="AW755" i="3" a="1"/>
  <c r="AW755" i="3" s="1"/>
  <c r="AX754" i="3" a="1"/>
  <c r="AX754" i="3" s="1"/>
  <c r="AW754" i="3" a="1"/>
  <c r="AW754" i="3" s="1"/>
  <c r="AX753" i="3" a="1"/>
  <c r="AX753" i="3" s="1"/>
  <c r="AW753" i="3" a="1"/>
  <c r="AW753" i="3" s="1"/>
  <c r="AX752" i="3" a="1"/>
  <c r="AX752" i="3" s="1"/>
  <c r="AW752" i="3" a="1"/>
  <c r="AW752" i="3" s="1"/>
  <c r="AX751" i="3" a="1"/>
  <c r="AX751" i="3" s="1"/>
  <c r="AW751" i="3" a="1"/>
  <c r="AW751" i="3" s="1"/>
  <c r="AX750" i="3" a="1"/>
  <c r="AX750" i="3" s="1"/>
  <c r="AW750" i="3" a="1"/>
  <c r="AW750" i="3" s="1"/>
  <c r="AX749" i="3" a="1"/>
  <c r="AX749" i="3" s="1"/>
  <c r="AW749" i="3" a="1"/>
  <c r="AW749" i="3" s="1"/>
  <c r="AX748" i="3" a="1"/>
  <c r="AX748" i="3" s="1"/>
  <c r="AW748" i="3" a="1"/>
  <c r="AW748" i="3" s="1"/>
  <c r="AX747" i="3" a="1"/>
  <c r="AX747" i="3" s="1"/>
  <c r="AW747" i="3" a="1"/>
  <c r="AW747" i="3" s="1"/>
  <c r="AX746" i="3" a="1"/>
  <c r="AX746" i="3" s="1"/>
  <c r="AW746" i="3" a="1"/>
  <c r="AW746" i="3" s="1"/>
  <c r="AX745" i="3" a="1"/>
  <c r="AX745" i="3" s="1"/>
  <c r="AW745" i="3" a="1"/>
  <c r="AW745" i="3" s="1"/>
  <c r="AX744" i="3" a="1"/>
  <c r="AX744" i="3" s="1"/>
  <c r="AW744" i="3" a="1"/>
  <c r="AW744" i="3" s="1"/>
  <c r="AX743" i="3" a="1"/>
  <c r="AX743" i="3" s="1"/>
  <c r="AW743" i="3" a="1"/>
  <c r="AW743" i="3" s="1"/>
  <c r="AX742" i="3" a="1"/>
  <c r="AX742" i="3" s="1"/>
  <c r="AW742" i="3" a="1"/>
  <c r="AW742" i="3" s="1"/>
  <c r="AX741" i="3" a="1"/>
  <c r="AX741" i="3" s="1"/>
  <c r="AW741" i="3" a="1"/>
  <c r="AW741" i="3" s="1"/>
  <c r="AX740" i="3" a="1"/>
  <c r="AX740" i="3" s="1"/>
  <c r="AW740" i="3" a="1"/>
  <c r="AW740" i="3" s="1"/>
  <c r="AX739" i="3" a="1"/>
  <c r="AX739" i="3" s="1"/>
  <c r="AW739" i="3" a="1"/>
  <c r="AW739" i="3" s="1"/>
  <c r="AX738" i="3" a="1"/>
  <c r="AX738" i="3" s="1"/>
  <c r="AW738" i="3" a="1"/>
  <c r="AW738" i="3" s="1"/>
  <c r="AX737" i="3" a="1"/>
  <c r="AX737" i="3" s="1"/>
  <c r="AW737" i="3" a="1"/>
  <c r="AW737" i="3" s="1"/>
  <c r="AX736" i="3" a="1"/>
  <c r="AX736" i="3" s="1"/>
  <c r="AW736" i="3" a="1"/>
  <c r="AW736" i="3" s="1"/>
  <c r="AX735" i="3" a="1"/>
  <c r="AX735" i="3" s="1"/>
  <c r="AW735" i="3" a="1"/>
  <c r="AW735" i="3" s="1"/>
  <c r="AX734" i="3" a="1"/>
  <c r="AX734" i="3" s="1"/>
  <c r="AW734" i="3" a="1"/>
  <c r="AW734" i="3" s="1"/>
  <c r="AX733" i="3" a="1"/>
  <c r="AX733" i="3" s="1"/>
  <c r="AW733" i="3" a="1"/>
  <c r="AW733" i="3" s="1"/>
  <c r="AX732" i="3" a="1"/>
  <c r="AX732" i="3" s="1"/>
  <c r="AW732" i="3" a="1"/>
  <c r="AW732" i="3" s="1"/>
  <c r="AX731" i="3" a="1"/>
  <c r="AX731" i="3" s="1"/>
  <c r="AW731" i="3" a="1"/>
  <c r="AW731" i="3" s="1"/>
  <c r="AX730" i="3" a="1"/>
  <c r="AX730" i="3" s="1"/>
  <c r="AW730" i="3" a="1"/>
  <c r="AW730" i="3" s="1"/>
  <c r="AX729" i="3" a="1"/>
  <c r="AX729" i="3" s="1"/>
  <c r="AW729" i="3" a="1"/>
  <c r="AW729" i="3" s="1"/>
  <c r="AX728" i="3" a="1"/>
  <c r="AX728" i="3" s="1"/>
  <c r="AW728" i="3" a="1"/>
  <c r="AW728" i="3" s="1"/>
  <c r="AX727" i="3" a="1"/>
  <c r="AX727" i="3" s="1"/>
  <c r="AW727" i="3" a="1"/>
  <c r="AW727" i="3" s="1"/>
  <c r="AX726" i="3" a="1"/>
  <c r="AX726" i="3" s="1"/>
  <c r="AW726" i="3" a="1"/>
  <c r="AW726" i="3" s="1"/>
  <c r="AX725" i="3" a="1"/>
  <c r="AX725" i="3" s="1"/>
  <c r="AW725" i="3" a="1"/>
  <c r="AW725" i="3" s="1"/>
  <c r="AX724" i="3" a="1"/>
  <c r="AX724" i="3" s="1"/>
  <c r="AW724" i="3" a="1"/>
  <c r="AW724" i="3" s="1"/>
  <c r="AX723" i="3" a="1"/>
  <c r="AX723" i="3" s="1"/>
  <c r="AW723" i="3" a="1"/>
  <c r="AW723" i="3" s="1"/>
  <c r="AX722" i="3" a="1"/>
  <c r="AX722" i="3" s="1"/>
  <c r="AW722" i="3" a="1"/>
  <c r="AW722" i="3" s="1"/>
  <c r="AX721" i="3" a="1"/>
  <c r="AX721" i="3" s="1"/>
  <c r="AW721" i="3" a="1"/>
  <c r="AW721" i="3" s="1"/>
  <c r="AX720" i="3" a="1"/>
  <c r="AX720" i="3" s="1"/>
  <c r="AW720" i="3" a="1"/>
  <c r="AW720" i="3" s="1"/>
  <c r="AX719" i="3" a="1"/>
  <c r="AX719" i="3" s="1"/>
  <c r="AW719" i="3" a="1"/>
  <c r="AW719" i="3" s="1"/>
  <c r="AX718" i="3" a="1"/>
  <c r="AX718" i="3" s="1"/>
  <c r="AW718" i="3" a="1"/>
  <c r="AW718" i="3" s="1"/>
  <c r="AX717" i="3" a="1"/>
  <c r="AX717" i="3" s="1"/>
  <c r="AW717" i="3" a="1"/>
  <c r="AW717" i="3" s="1"/>
  <c r="AX716" i="3" a="1"/>
  <c r="AX716" i="3" s="1"/>
  <c r="AW716" i="3" a="1"/>
  <c r="AW716" i="3" s="1"/>
  <c r="AX715" i="3" a="1"/>
  <c r="AX715" i="3" s="1"/>
  <c r="AW715" i="3" a="1"/>
  <c r="AW715" i="3" s="1"/>
  <c r="AX714" i="3" a="1"/>
  <c r="AX714" i="3" s="1"/>
  <c r="AW714" i="3" a="1"/>
  <c r="AW714" i="3" s="1"/>
  <c r="AX713" i="3" a="1"/>
  <c r="AX713" i="3" s="1"/>
  <c r="AW713" i="3" a="1"/>
  <c r="AW713" i="3" s="1"/>
  <c r="AX712" i="3" a="1"/>
  <c r="AX712" i="3" s="1"/>
  <c r="AW712" i="3" a="1"/>
  <c r="AW712" i="3" s="1"/>
  <c r="AX711" i="3" a="1"/>
  <c r="AX711" i="3" s="1"/>
  <c r="AW711" i="3" a="1"/>
  <c r="AW711" i="3" s="1"/>
  <c r="AX710" i="3" a="1"/>
  <c r="AX710" i="3" s="1"/>
  <c r="AW710" i="3" a="1"/>
  <c r="AW710" i="3" s="1"/>
  <c r="AX709" i="3" a="1"/>
  <c r="AX709" i="3" s="1"/>
  <c r="AW709" i="3" a="1"/>
  <c r="AW709" i="3" s="1"/>
  <c r="AX708" i="3" a="1"/>
  <c r="AX708" i="3" s="1"/>
  <c r="AW708" i="3" a="1"/>
  <c r="AW708" i="3" s="1"/>
  <c r="AX707" i="3" a="1"/>
  <c r="AX707" i="3" s="1"/>
  <c r="AW707" i="3" a="1"/>
  <c r="AW707" i="3" s="1"/>
  <c r="AX706" i="3" a="1"/>
  <c r="AX706" i="3" s="1"/>
  <c r="AW706" i="3" a="1"/>
  <c r="AW706" i="3" s="1"/>
  <c r="AX705" i="3" a="1"/>
  <c r="AX705" i="3" s="1"/>
  <c r="AW705" i="3" a="1"/>
  <c r="AW705" i="3" s="1"/>
  <c r="AX704" i="3" a="1"/>
  <c r="AX704" i="3" s="1"/>
  <c r="AW704" i="3" a="1"/>
  <c r="AW704" i="3" s="1"/>
  <c r="AX703" i="3" a="1"/>
  <c r="AX703" i="3" s="1"/>
  <c r="AW703" i="3" a="1"/>
  <c r="AW703" i="3" s="1"/>
  <c r="AX702" i="3" a="1"/>
  <c r="AX702" i="3" s="1"/>
  <c r="AW702" i="3" a="1"/>
  <c r="AW702" i="3" s="1"/>
  <c r="AX701" i="3" a="1"/>
  <c r="AX701" i="3" s="1"/>
  <c r="AW701" i="3" a="1"/>
  <c r="AW701" i="3" s="1"/>
  <c r="AX700" i="3" a="1"/>
  <c r="AX700" i="3" s="1"/>
  <c r="AW700" i="3" a="1"/>
  <c r="AW700" i="3" s="1"/>
  <c r="AX699" i="3" a="1"/>
  <c r="AX699" i="3" s="1"/>
  <c r="AW699" i="3" a="1"/>
  <c r="AW699" i="3" s="1"/>
  <c r="AX698" i="3" a="1"/>
  <c r="AX698" i="3" s="1"/>
  <c r="AW698" i="3" a="1"/>
  <c r="AW698" i="3" s="1"/>
  <c r="AX697" i="3" a="1"/>
  <c r="AX697" i="3" s="1"/>
  <c r="AW697" i="3" a="1"/>
  <c r="AW697" i="3" s="1"/>
  <c r="AX696" i="3" a="1"/>
  <c r="AX696" i="3" s="1"/>
  <c r="AW696" i="3" a="1"/>
  <c r="AW696" i="3" s="1"/>
  <c r="AX695" i="3" a="1"/>
  <c r="AX695" i="3" s="1"/>
  <c r="AW695" i="3" a="1"/>
  <c r="AW695" i="3" s="1"/>
  <c r="AX694" i="3" a="1"/>
  <c r="AX694" i="3" s="1"/>
  <c r="AW694" i="3" a="1"/>
  <c r="AW694" i="3" s="1"/>
  <c r="AX693" i="3" a="1"/>
  <c r="AX693" i="3" s="1"/>
  <c r="AW693" i="3" a="1"/>
  <c r="AW693" i="3" s="1"/>
  <c r="AX692" i="3" a="1"/>
  <c r="AX692" i="3" s="1"/>
  <c r="AW692" i="3" a="1"/>
  <c r="AW692" i="3" s="1"/>
  <c r="AX691" i="3" a="1"/>
  <c r="AX691" i="3" s="1"/>
  <c r="AW691" i="3" a="1"/>
  <c r="AW691" i="3" s="1"/>
  <c r="AX690" i="3" a="1"/>
  <c r="AX690" i="3" s="1"/>
  <c r="AW690" i="3" a="1"/>
  <c r="AW690" i="3" s="1"/>
  <c r="AX689" i="3" a="1"/>
  <c r="AX689" i="3" s="1"/>
  <c r="AW689" i="3" a="1"/>
  <c r="AW689" i="3" s="1"/>
  <c r="AX688" i="3" a="1"/>
  <c r="AX688" i="3" s="1"/>
  <c r="AW688" i="3" a="1"/>
  <c r="AW688" i="3" s="1"/>
  <c r="AX687" i="3" a="1"/>
  <c r="AX687" i="3" s="1"/>
  <c r="AW687" i="3" a="1"/>
  <c r="AW687" i="3" s="1"/>
  <c r="AX686" i="3" a="1"/>
  <c r="AX686" i="3" s="1"/>
  <c r="AW686" i="3" a="1"/>
  <c r="AW686" i="3" s="1"/>
  <c r="AX685" i="3" a="1"/>
  <c r="AX685" i="3" s="1"/>
  <c r="AW685" i="3" a="1"/>
  <c r="AW685" i="3" s="1"/>
  <c r="AX684" i="3" a="1"/>
  <c r="AX684" i="3" s="1"/>
  <c r="AW684" i="3" a="1"/>
  <c r="AW684" i="3" s="1"/>
  <c r="AX683" i="3" a="1"/>
  <c r="AX683" i="3" s="1"/>
  <c r="AW683" i="3" a="1"/>
  <c r="AW683" i="3" s="1"/>
  <c r="AX682" i="3" a="1"/>
  <c r="AX682" i="3" s="1"/>
  <c r="AW682" i="3" a="1"/>
  <c r="AW682" i="3" s="1"/>
  <c r="AX681" i="3" a="1"/>
  <c r="AX681" i="3" s="1"/>
  <c r="AW681" i="3" a="1"/>
  <c r="AW681" i="3" s="1"/>
  <c r="AX680" i="3" a="1"/>
  <c r="AX680" i="3" s="1"/>
  <c r="AW680" i="3" a="1"/>
  <c r="AW680" i="3" s="1"/>
  <c r="AX679" i="3" a="1"/>
  <c r="AX679" i="3" s="1"/>
  <c r="AW679" i="3" a="1"/>
  <c r="AW679" i="3" s="1"/>
  <c r="AX678" i="3" a="1"/>
  <c r="AX678" i="3" s="1"/>
  <c r="AW678" i="3" a="1"/>
  <c r="AW678" i="3" s="1"/>
  <c r="AX677" i="3" a="1"/>
  <c r="AX677" i="3" s="1"/>
  <c r="AW677" i="3" a="1"/>
  <c r="AW677" i="3" s="1"/>
  <c r="AX676" i="3" a="1"/>
  <c r="AX676" i="3" s="1"/>
  <c r="AW676" i="3" a="1"/>
  <c r="AW676" i="3" s="1"/>
  <c r="AX675" i="3" a="1"/>
  <c r="AX675" i="3" s="1"/>
  <c r="AW675" i="3" a="1"/>
  <c r="AW675" i="3" s="1"/>
  <c r="AX674" i="3" a="1"/>
  <c r="AX674" i="3" s="1"/>
  <c r="AW674" i="3" a="1"/>
  <c r="AW674" i="3" s="1"/>
  <c r="AX673" i="3" a="1"/>
  <c r="AX673" i="3" s="1"/>
  <c r="AW673" i="3" a="1"/>
  <c r="AW673" i="3" s="1"/>
  <c r="AX672" i="3" a="1"/>
  <c r="AX672" i="3" s="1"/>
  <c r="AW672" i="3" a="1"/>
  <c r="AW672" i="3" s="1"/>
  <c r="AX671" i="3" a="1"/>
  <c r="AX671" i="3" s="1"/>
  <c r="AW671" i="3" a="1"/>
  <c r="AW671" i="3" s="1"/>
  <c r="AX670" i="3" a="1"/>
  <c r="AX670" i="3" s="1"/>
  <c r="AW670" i="3" a="1"/>
  <c r="AW670" i="3" s="1"/>
  <c r="AX669" i="3" a="1"/>
  <c r="AX669" i="3" s="1"/>
  <c r="AW669" i="3" a="1"/>
  <c r="AW669" i="3" s="1"/>
  <c r="AX668" i="3" a="1"/>
  <c r="AX668" i="3" s="1"/>
  <c r="AW668" i="3" a="1"/>
  <c r="AW668" i="3" s="1"/>
  <c r="AX667" i="3" a="1"/>
  <c r="AX667" i="3" s="1"/>
  <c r="AW667" i="3" a="1"/>
  <c r="AW667" i="3" s="1"/>
  <c r="AX666" i="3" a="1"/>
  <c r="AX666" i="3" s="1"/>
  <c r="AW666" i="3" a="1"/>
  <c r="AW666" i="3" s="1"/>
  <c r="AX665" i="3" a="1"/>
  <c r="AX665" i="3" s="1"/>
  <c r="AW665" i="3" a="1"/>
  <c r="AW665" i="3" s="1"/>
  <c r="AX664" i="3" a="1"/>
  <c r="AX664" i="3" s="1"/>
  <c r="AW664" i="3" a="1"/>
  <c r="AW664" i="3" s="1"/>
  <c r="AX663" i="3" a="1"/>
  <c r="AX663" i="3" s="1"/>
  <c r="AW663" i="3" a="1"/>
  <c r="AW663" i="3" s="1"/>
  <c r="AX662" i="3" a="1"/>
  <c r="AX662" i="3" s="1"/>
  <c r="AW662" i="3" a="1"/>
  <c r="AW662" i="3" s="1"/>
  <c r="AX661" i="3" a="1"/>
  <c r="AX661" i="3" s="1"/>
  <c r="AW661" i="3" a="1"/>
  <c r="AW661" i="3" s="1"/>
  <c r="AX660" i="3" a="1"/>
  <c r="AX660" i="3" s="1"/>
  <c r="AW660" i="3" a="1"/>
  <c r="AW660" i="3" s="1"/>
  <c r="AX659" i="3" a="1"/>
  <c r="AX659" i="3" s="1"/>
  <c r="AW659" i="3" a="1"/>
  <c r="AW659" i="3" s="1"/>
  <c r="AX658" i="3" a="1"/>
  <c r="AX658" i="3" s="1"/>
  <c r="AW658" i="3" a="1"/>
  <c r="AW658" i="3" s="1"/>
  <c r="AX657" i="3" a="1"/>
  <c r="AX657" i="3" s="1"/>
  <c r="AW657" i="3" a="1"/>
  <c r="AW657" i="3" s="1"/>
  <c r="AX656" i="3" a="1"/>
  <c r="AX656" i="3" s="1"/>
  <c r="AW656" i="3" a="1"/>
  <c r="AW656" i="3" s="1"/>
  <c r="AX655" i="3" a="1"/>
  <c r="AX655" i="3" s="1"/>
  <c r="AW655" i="3" a="1"/>
  <c r="AW655" i="3" s="1"/>
  <c r="AX654" i="3" a="1"/>
  <c r="AX654" i="3" s="1"/>
  <c r="AW654" i="3" a="1"/>
  <c r="AW654" i="3" s="1"/>
  <c r="AX653" i="3" a="1"/>
  <c r="AX653" i="3" s="1"/>
  <c r="AW653" i="3" a="1"/>
  <c r="AW653" i="3" s="1"/>
  <c r="AX652" i="3" a="1"/>
  <c r="AX652" i="3" s="1"/>
  <c r="AW652" i="3" a="1"/>
  <c r="AW652" i="3" s="1"/>
  <c r="AX651" i="3" a="1"/>
  <c r="AX651" i="3" s="1"/>
  <c r="AW651" i="3" a="1"/>
  <c r="AW651" i="3" s="1"/>
  <c r="AX650" i="3" a="1"/>
  <c r="AX650" i="3" s="1"/>
  <c r="AW650" i="3" a="1"/>
  <c r="AW650" i="3" s="1"/>
  <c r="AX649" i="3" a="1"/>
  <c r="AX649" i="3" s="1"/>
  <c r="AW649" i="3" a="1"/>
  <c r="AW649" i="3" s="1"/>
  <c r="AX648" i="3" a="1"/>
  <c r="AX648" i="3" s="1"/>
  <c r="AW648" i="3" a="1"/>
  <c r="AW648" i="3" s="1"/>
  <c r="AX647" i="3" a="1"/>
  <c r="AX647" i="3" s="1"/>
  <c r="AW647" i="3" a="1"/>
  <c r="AW647" i="3" s="1"/>
  <c r="AX646" i="3" a="1"/>
  <c r="AX646" i="3" s="1"/>
  <c r="AW646" i="3" a="1"/>
  <c r="AW646" i="3" s="1"/>
  <c r="AX645" i="3" a="1"/>
  <c r="AX645" i="3" s="1"/>
  <c r="AW645" i="3" a="1"/>
  <c r="AW645" i="3" s="1"/>
  <c r="AX644" i="3" a="1"/>
  <c r="AX644" i="3" s="1"/>
  <c r="AW644" i="3" a="1"/>
  <c r="AW644" i="3" s="1"/>
  <c r="AX643" i="3" a="1"/>
  <c r="AX643" i="3" s="1"/>
  <c r="AW643" i="3" a="1"/>
  <c r="AW643" i="3" s="1"/>
  <c r="AX642" i="3" a="1"/>
  <c r="AX642" i="3" s="1"/>
  <c r="AW642" i="3" a="1"/>
  <c r="AW642" i="3" s="1"/>
  <c r="AX641" i="3" a="1"/>
  <c r="AX641" i="3" s="1"/>
  <c r="AW641" i="3" a="1"/>
  <c r="AW641" i="3" s="1"/>
  <c r="AX640" i="3" a="1"/>
  <c r="AX640" i="3" s="1"/>
  <c r="AW640" i="3" a="1"/>
  <c r="AW640" i="3" s="1"/>
  <c r="AX639" i="3" a="1"/>
  <c r="AX639" i="3" s="1"/>
  <c r="AW639" i="3" a="1"/>
  <c r="AW639" i="3" s="1"/>
  <c r="AX638" i="3" a="1"/>
  <c r="AX638" i="3" s="1"/>
  <c r="AW638" i="3" a="1"/>
  <c r="AW638" i="3" s="1"/>
  <c r="AX637" i="3" a="1"/>
  <c r="AX637" i="3" s="1"/>
  <c r="AW637" i="3" a="1"/>
  <c r="AW637" i="3" s="1"/>
  <c r="AX636" i="3" a="1"/>
  <c r="AX636" i="3" s="1"/>
  <c r="AW636" i="3" a="1"/>
  <c r="AW636" i="3" s="1"/>
  <c r="AX635" i="3" a="1"/>
  <c r="AX635" i="3" s="1"/>
  <c r="AW635" i="3" a="1"/>
  <c r="AW635" i="3" s="1"/>
  <c r="AX634" i="3" a="1"/>
  <c r="AX634" i="3" s="1"/>
  <c r="AW634" i="3" a="1"/>
  <c r="AW634" i="3" s="1"/>
  <c r="AX633" i="3" a="1"/>
  <c r="AX633" i="3" s="1"/>
  <c r="AW633" i="3" a="1"/>
  <c r="AW633" i="3" s="1"/>
  <c r="AX632" i="3" a="1"/>
  <c r="AX632" i="3" s="1"/>
  <c r="AW632" i="3" a="1"/>
  <c r="AW632" i="3" s="1"/>
  <c r="AX631" i="3" a="1"/>
  <c r="AX631" i="3" s="1"/>
  <c r="AW631" i="3" a="1"/>
  <c r="AW631" i="3" s="1"/>
  <c r="AX630" i="3" a="1"/>
  <c r="AX630" i="3" s="1"/>
  <c r="AW630" i="3" a="1"/>
  <c r="AW630" i="3" s="1"/>
  <c r="AX629" i="3" a="1"/>
  <c r="AX629" i="3" s="1"/>
  <c r="AW629" i="3" a="1"/>
  <c r="AW629" i="3" s="1"/>
  <c r="AX628" i="3" a="1"/>
  <c r="AX628" i="3" s="1"/>
  <c r="AW628" i="3" a="1"/>
  <c r="AW628" i="3" s="1"/>
  <c r="AX627" i="3" a="1"/>
  <c r="AX627" i="3" s="1"/>
  <c r="AW627" i="3" a="1"/>
  <c r="AW627" i="3" s="1"/>
  <c r="AX626" i="3" a="1"/>
  <c r="AX626" i="3" s="1"/>
  <c r="AW626" i="3" a="1"/>
  <c r="AW626" i="3" s="1"/>
  <c r="AX625" i="3" a="1"/>
  <c r="AX625" i="3" s="1"/>
  <c r="AW625" i="3" a="1"/>
  <c r="AW625" i="3" s="1"/>
  <c r="AX624" i="3" a="1"/>
  <c r="AX624" i="3" s="1"/>
  <c r="AW624" i="3" a="1"/>
  <c r="AW624" i="3" s="1"/>
  <c r="AX623" i="3" a="1"/>
  <c r="AX623" i="3" s="1"/>
  <c r="AW623" i="3" a="1"/>
  <c r="AW623" i="3" s="1"/>
  <c r="AX622" i="3" a="1"/>
  <c r="AX622" i="3" s="1"/>
  <c r="AW622" i="3" a="1"/>
  <c r="AW622" i="3" s="1"/>
  <c r="AX621" i="3" a="1"/>
  <c r="AX621" i="3" s="1"/>
  <c r="AW621" i="3" a="1"/>
  <c r="AW621" i="3" s="1"/>
  <c r="AX620" i="3" a="1"/>
  <c r="AX620" i="3" s="1"/>
  <c r="AW620" i="3" a="1"/>
  <c r="AW620" i="3" s="1"/>
  <c r="AX619" i="3" a="1"/>
  <c r="AX619" i="3" s="1"/>
  <c r="AW619" i="3" a="1"/>
  <c r="AW619" i="3" s="1"/>
  <c r="AX618" i="3" a="1"/>
  <c r="AX618" i="3" s="1"/>
  <c r="AW618" i="3" a="1"/>
  <c r="AW618" i="3" s="1"/>
  <c r="AX617" i="3" a="1"/>
  <c r="AX617" i="3" s="1"/>
  <c r="AW617" i="3" a="1"/>
  <c r="AW617" i="3" s="1"/>
  <c r="AX616" i="3" a="1"/>
  <c r="AX616" i="3" s="1"/>
  <c r="AW616" i="3" a="1"/>
  <c r="AW616" i="3" s="1"/>
  <c r="AX615" i="3" a="1"/>
  <c r="AX615" i="3" s="1"/>
  <c r="AW615" i="3" a="1"/>
  <c r="AW615" i="3" s="1"/>
  <c r="AX614" i="3" a="1"/>
  <c r="AX614" i="3" s="1"/>
  <c r="AW614" i="3" a="1"/>
  <c r="AW614" i="3" s="1"/>
  <c r="AX613" i="3" a="1"/>
  <c r="AX613" i="3" s="1"/>
  <c r="AW613" i="3" a="1"/>
  <c r="AW613" i="3" s="1"/>
  <c r="AX612" i="3" a="1"/>
  <c r="AX612" i="3" s="1"/>
  <c r="AW612" i="3" a="1"/>
  <c r="AW612" i="3" s="1"/>
  <c r="AX611" i="3" a="1"/>
  <c r="AX611" i="3" s="1"/>
  <c r="AW611" i="3" a="1"/>
  <c r="AW611" i="3" s="1"/>
  <c r="AX610" i="3" a="1"/>
  <c r="AX610" i="3" s="1"/>
  <c r="AW610" i="3" a="1"/>
  <c r="AW610" i="3" s="1"/>
  <c r="AX609" i="3" a="1"/>
  <c r="AX609" i="3" s="1"/>
  <c r="AW609" i="3" a="1"/>
  <c r="AW609" i="3" s="1"/>
  <c r="AX608" i="3" a="1"/>
  <c r="AX608" i="3" s="1"/>
  <c r="AW608" i="3" a="1"/>
  <c r="AW608" i="3" s="1"/>
  <c r="AX607" i="3" a="1"/>
  <c r="AX607" i="3" s="1"/>
  <c r="AW607" i="3" a="1"/>
  <c r="AW607" i="3" s="1"/>
  <c r="AX606" i="3" a="1"/>
  <c r="AX606" i="3" s="1"/>
  <c r="AW606" i="3" a="1"/>
  <c r="AW606" i="3" s="1"/>
  <c r="AX605" i="3" a="1"/>
  <c r="AX605" i="3" s="1"/>
  <c r="AW605" i="3" a="1"/>
  <c r="AW605" i="3" s="1"/>
  <c r="AX604" i="3" a="1"/>
  <c r="AX604" i="3" s="1"/>
  <c r="AW604" i="3" a="1"/>
  <c r="AW604" i="3" s="1"/>
  <c r="AX603" i="3" a="1"/>
  <c r="AX603" i="3" s="1"/>
  <c r="AW603" i="3" a="1"/>
  <c r="AW603" i="3" s="1"/>
  <c r="AX602" i="3" a="1"/>
  <c r="AX602" i="3" s="1"/>
  <c r="AW602" i="3" a="1"/>
  <c r="AW602" i="3" s="1"/>
  <c r="AX601" i="3" a="1"/>
  <c r="AX601" i="3" s="1"/>
  <c r="AW601" i="3" a="1"/>
  <c r="AW601" i="3" s="1"/>
  <c r="AX600" i="3" a="1"/>
  <c r="AX600" i="3" s="1"/>
  <c r="AW600" i="3" a="1"/>
  <c r="AW600" i="3" s="1"/>
  <c r="AX599" i="3" a="1"/>
  <c r="AX599" i="3" s="1"/>
  <c r="AW599" i="3" a="1"/>
  <c r="AW599" i="3" s="1"/>
  <c r="AX598" i="3" a="1"/>
  <c r="AX598" i="3" s="1"/>
  <c r="AW598" i="3" a="1"/>
  <c r="AW598" i="3" s="1"/>
  <c r="AX597" i="3" a="1"/>
  <c r="AX597" i="3" s="1"/>
  <c r="AW597" i="3" a="1"/>
  <c r="AW597" i="3" s="1"/>
  <c r="AX596" i="3" a="1"/>
  <c r="AX596" i="3" s="1"/>
  <c r="AW596" i="3" a="1"/>
  <c r="AW596" i="3" s="1"/>
  <c r="AX595" i="3" a="1"/>
  <c r="AX595" i="3" s="1"/>
  <c r="AW595" i="3" a="1"/>
  <c r="AW595" i="3" s="1"/>
  <c r="AX594" i="3" a="1"/>
  <c r="AX594" i="3" s="1"/>
  <c r="AW594" i="3" a="1"/>
  <c r="AW594" i="3" s="1"/>
  <c r="AX593" i="3" a="1"/>
  <c r="AX593" i="3" s="1"/>
  <c r="AW593" i="3" a="1"/>
  <c r="AW593" i="3" s="1"/>
  <c r="AX592" i="3" a="1"/>
  <c r="AX592" i="3" s="1"/>
  <c r="AW592" i="3" a="1"/>
  <c r="AW592" i="3" s="1"/>
  <c r="AX591" i="3" a="1"/>
  <c r="AX591" i="3" s="1"/>
  <c r="AW591" i="3" a="1"/>
  <c r="AW591" i="3" s="1"/>
  <c r="AX590" i="3" a="1"/>
  <c r="AX590" i="3" s="1"/>
  <c r="AW590" i="3" a="1"/>
  <c r="AW590" i="3" s="1"/>
  <c r="AX589" i="3" a="1"/>
  <c r="AX589" i="3" s="1"/>
  <c r="AW589" i="3" a="1"/>
  <c r="AW589" i="3" s="1"/>
  <c r="AX588" i="3" a="1"/>
  <c r="AX588" i="3" s="1"/>
  <c r="AW588" i="3" a="1"/>
  <c r="AW588" i="3" s="1"/>
  <c r="AX587" i="3" a="1"/>
  <c r="AX587" i="3" s="1"/>
  <c r="AW587" i="3" a="1"/>
  <c r="AW587" i="3" s="1"/>
  <c r="AX586" i="3" a="1"/>
  <c r="AX586" i="3" s="1"/>
  <c r="AW586" i="3" a="1"/>
  <c r="AW586" i="3" s="1"/>
  <c r="AX585" i="3" a="1"/>
  <c r="AX585" i="3" s="1"/>
  <c r="AW585" i="3" a="1"/>
  <c r="AW585" i="3" s="1"/>
  <c r="AX584" i="3" a="1"/>
  <c r="AX584" i="3" s="1"/>
  <c r="AW584" i="3" a="1"/>
  <c r="AW584" i="3" s="1"/>
  <c r="AX583" i="3" a="1"/>
  <c r="AX583" i="3" s="1"/>
  <c r="AW583" i="3" a="1"/>
  <c r="AW583" i="3" s="1"/>
  <c r="AX582" i="3" a="1"/>
  <c r="AX582" i="3" s="1"/>
  <c r="AW582" i="3" a="1"/>
  <c r="AW582" i="3" s="1"/>
  <c r="AX581" i="3" a="1"/>
  <c r="AX581" i="3" s="1"/>
  <c r="AW581" i="3" a="1"/>
  <c r="AW581" i="3" s="1"/>
  <c r="AX580" i="3" a="1"/>
  <c r="AX580" i="3" s="1"/>
  <c r="AW580" i="3" a="1"/>
  <c r="AW580" i="3" s="1"/>
  <c r="AX579" i="3" a="1"/>
  <c r="AX579" i="3" s="1"/>
  <c r="AW579" i="3" a="1"/>
  <c r="AW579" i="3" s="1"/>
  <c r="AX578" i="3" a="1"/>
  <c r="AX578" i="3" s="1"/>
  <c r="AW578" i="3" a="1"/>
  <c r="AW578" i="3" s="1"/>
  <c r="AX577" i="3" a="1"/>
  <c r="AX577" i="3" s="1"/>
  <c r="AW577" i="3" a="1"/>
  <c r="AW577" i="3" s="1"/>
  <c r="AX576" i="3" a="1"/>
  <c r="AX576" i="3" s="1"/>
  <c r="AW576" i="3" a="1"/>
  <c r="AW576" i="3" s="1"/>
  <c r="AX575" i="3" a="1"/>
  <c r="AX575" i="3" s="1"/>
  <c r="AW575" i="3" a="1"/>
  <c r="AW575" i="3" s="1"/>
  <c r="AX574" i="3" a="1"/>
  <c r="AX574" i="3" s="1"/>
  <c r="AW574" i="3" a="1"/>
  <c r="AW574" i="3" s="1"/>
  <c r="AX573" i="3" a="1"/>
  <c r="AX573" i="3" s="1"/>
  <c r="AW573" i="3" a="1"/>
  <c r="AW573" i="3" s="1"/>
  <c r="AX572" i="3" a="1"/>
  <c r="AX572" i="3" s="1"/>
  <c r="AW572" i="3" a="1"/>
  <c r="AW572" i="3" s="1"/>
  <c r="AX571" i="3" a="1"/>
  <c r="AX571" i="3" s="1"/>
  <c r="AW571" i="3" a="1"/>
  <c r="AW571" i="3" s="1"/>
  <c r="AX570" i="3" a="1"/>
  <c r="AX570" i="3" s="1"/>
  <c r="AW570" i="3" a="1"/>
  <c r="AW570" i="3" s="1"/>
  <c r="AX569" i="3" a="1"/>
  <c r="AX569" i="3" s="1"/>
  <c r="AW569" i="3" a="1"/>
  <c r="AW569" i="3" s="1"/>
  <c r="AX568" i="3" a="1"/>
  <c r="AX568" i="3" s="1"/>
  <c r="AW568" i="3" a="1"/>
  <c r="AW568" i="3" s="1"/>
  <c r="AX567" i="3" a="1"/>
  <c r="AX567" i="3" s="1"/>
  <c r="AW567" i="3" a="1"/>
  <c r="AW567" i="3" s="1"/>
  <c r="AX566" i="3" a="1"/>
  <c r="AX566" i="3" s="1"/>
  <c r="AW566" i="3" a="1"/>
  <c r="AW566" i="3" s="1"/>
  <c r="AX565" i="3" a="1"/>
  <c r="AX565" i="3" s="1"/>
  <c r="AW565" i="3" a="1"/>
  <c r="AW565" i="3" s="1"/>
  <c r="AX564" i="3" a="1"/>
  <c r="AX564" i="3" s="1"/>
  <c r="AW564" i="3" a="1"/>
  <c r="AW564" i="3" s="1"/>
  <c r="AX563" i="3" a="1"/>
  <c r="AX563" i="3" s="1"/>
  <c r="AW563" i="3" a="1"/>
  <c r="AW563" i="3" s="1"/>
  <c r="AX562" i="3" a="1"/>
  <c r="AX562" i="3" s="1"/>
  <c r="AW562" i="3" a="1"/>
  <c r="AW562" i="3" s="1"/>
  <c r="AX561" i="3" a="1"/>
  <c r="AX561" i="3" s="1"/>
  <c r="AW561" i="3" a="1"/>
  <c r="AW561" i="3" s="1"/>
  <c r="AX560" i="3" a="1"/>
  <c r="AX560" i="3" s="1"/>
  <c r="AW560" i="3" a="1"/>
  <c r="AW560" i="3" s="1"/>
  <c r="AX559" i="3" a="1"/>
  <c r="AX559" i="3" s="1"/>
  <c r="AW559" i="3" a="1"/>
  <c r="AW559" i="3" s="1"/>
  <c r="AX558" i="3" a="1"/>
  <c r="AX558" i="3" s="1"/>
  <c r="AW558" i="3" a="1"/>
  <c r="AW558" i="3" s="1"/>
  <c r="AX557" i="3" a="1"/>
  <c r="AX557" i="3" s="1"/>
  <c r="AW557" i="3" a="1"/>
  <c r="AW557" i="3" s="1"/>
  <c r="AX556" i="3" a="1"/>
  <c r="AX556" i="3" s="1"/>
  <c r="AW556" i="3" a="1"/>
  <c r="AW556" i="3" s="1"/>
  <c r="AX555" i="3" a="1"/>
  <c r="AX555" i="3" s="1"/>
  <c r="AW555" i="3" a="1"/>
  <c r="AW555" i="3" s="1"/>
  <c r="AX554" i="3" a="1"/>
  <c r="AX554" i="3" s="1"/>
  <c r="AW554" i="3" a="1"/>
  <c r="AW554" i="3" s="1"/>
  <c r="AX553" i="3" a="1"/>
  <c r="AX553" i="3" s="1"/>
  <c r="AW553" i="3" a="1"/>
  <c r="AW553" i="3" s="1"/>
  <c r="AX552" i="3" a="1"/>
  <c r="AX552" i="3" s="1"/>
  <c r="AW552" i="3" a="1"/>
  <c r="AW552" i="3" s="1"/>
  <c r="AX551" i="3" a="1"/>
  <c r="AX551" i="3" s="1"/>
  <c r="AW551" i="3" a="1"/>
  <c r="AW551" i="3" s="1"/>
  <c r="AX550" i="3" a="1"/>
  <c r="AX550" i="3" s="1"/>
  <c r="AW550" i="3" a="1"/>
  <c r="AW550" i="3" s="1"/>
  <c r="AX549" i="3" a="1"/>
  <c r="AX549" i="3" s="1"/>
  <c r="AW549" i="3" a="1"/>
  <c r="AW549" i="3" s="1"/>
  <c r="AX548" i="3" a="1"/>
  <c r="AX548" i="3" s="1"/>
  <c r="AW548" i="3" a="1"/>
  <c r="AW548" i="3" s="1"/>
  <c r="AX547" i="3" a="1"/>
  <c r="AX547" i="3" s="1"/>
  <c r="AW547" i="3" a="1"/>
  <c r="AW547" i="3" s="1"/>
  <c r="AX546" i="3" a="1"/>
  <c r="AX546" i="3" s="1"/>
  <c r="AW546" i="3" a="1"/>
  <c r="AW546" i="3" s="1"/>
  <c r="AX545" i="3" a="1"/>
  <c r="AX545" i="3" s="1"/>
  <c r="AW545" i="3" a="1"/>
  <c r="AW545" i="3" s="1"/>
  <c r="AX544" i="3" a="1"/>
  <c r="AX544" i="3" s="1"/>
  <c r="AW544" i="3" a="1"/>
  <c r="AW544" i="3" s="1"/>
  <c r="AX543" i="3" a="1"/>
  <c r="AX543" i="3" s="1"/>
  <c r="AW543" i="3" a="1"/>
  <c r="AW543" i="3" s="1"/>
  <c r="AX542" i="3" a="1"/>
  <c r="AX542" i="3" s="1"/>
  <c r="AW542" i="3" a="1"/>
  <c r="AW542" i="3" s="1"/>
  <c r="AX541" i="3" a="1"/>
  <c r="AX541" i="3" s="1"/>
  <c r="AW541" i="3" a="1"/>
  <c r="AW541" i="3" s="1"/>
  <c r="AX540" i="3" a="1"/>
  <c r="AX540" i="3" s="1"/>
  <c r="AW540" i="3" a="1"/>
  <c r="AW540" i="3" s="1"/>
  <c r="AX539" i="3" a="1"/>
  <c r="AX539" i="3" s="1"/>
  <c r="AW539" i="3" a="1"/>
  <c r="AW539" i="3" s="1"/>
  <c r="AX538" i="3" a="1"/>
  <c r="AX538" i="3" s="1"/>
  <c r="AW538" i="3" a="1"/>
  <c r="AW538" i="3" s="1"/>
  <c r="AX537" i="3" a="1"/>
  <c r="AX537" i="3" s="1"/>
  <c r="AW537" i="3" a="1"/>
  <c r="AW537" i="3" s="1"/>
  <c r="AX536" i="3" a="1"/>
  <c r="AX536" i="3" s="1"/>
  <c r="AW536" i="3" a="1"/>
  <c r="AW536" i="3" s="1"/>
  <c r="AX535" i="3" a="1"/>
  <c r="AX535" i="3" s="1"/>
  <c r="AW535" i="3" a="1"/>
  <c r="AW535" i="3" s="1"/>
  <c r="AX534" i="3" a="1"/>
  <c r="AX534" i="3" s="1"/>
  <c r="AW534" i="3" a="1"/>
  <c r="AW534" i="3" s="1"/>
  <c r="AX533" i="3" a="1"/>
  <c r="AX533" i="3" s="1"/>
  <c r="AW533" i="3" a="1"/>
  <c r="AW533" i="3" s="1"/>
  <c r="AX532" i="3" a="1"/>
  <c r="AX532" i="3" s="1"/>
  <c r="AW532" i="3" a="1"/>
  <c r="AW532" i="3" s="1"/>
  <c r="AX531" i="3" a="1"/>
  <c r="AX531" i="3" s="1"/>
  <c r="AW531" i="3" a="1"/>
  <c r="AW531" i="3" s="1"/>
  <c r="AX530" i="3" a="1"/>
  <c r="AX530" i="3" s="1"/>
  <c r="AW530" i="3" a="1"/>
  <c r="AW530" i="3" s="1"/>
  <c r="AX529" i="3" a="1"/>
  <c r="AX529" i="3" s="1"/>
  <c r="AW529" i="3" a="1"/>
  <c r="AW529" i="3" s="1"/>
  <c r="AX528" i="3" a="1"/>
  <c r="AX528" i="3" s="1"/>
  <c r="AW528" i="3" a="1"/>
  <c r="AW528" i="3" s="1"/>
  <c r="AX527" i="3" a="1"/>
  <c r="AX527" i="3" s="1"/>
  <c r="AW527" i="3" a="1"/>
  <c r="AW527" i="3" s="1"/>
  <c r="AX526" i="3" a="1"/>
  <c r="AX526" i="3" s="1"/>
  <c r="AW526" i="3" a="1"/>
  <c r="AW526" i="3" s="1"/>
  <c r="AX525" i="3" a="1"/>
  <c r="AX525" i="3" s="1"/>
  <c r="AW525" i="3" a="1"/>
  <c r="AW525" i="3" s="1"/>
  <c r="AX524" i="3" a="1"/>
  <c r="AX524" i="3" s="1"/>
  <c r="AW524" i="3" a="1"/>
  <c r="AW524" i="3" s="1"/>
  <c r="AX523" i="3" a="1"/>
  <c r="AX523" i="3" s="1"/>
  <c r="AW523" i="3" a="1"/>
  <c r="AW523" i="3" s="1"/>
  <c r="AX522" i="3" a="1"/>
  <c r="AX522" i="3" s="1"/>
  <c r="AW522" i="3" a="1"/>
  <c r="AW522" i="3" s="1"/>
  <c r="AX521" i="3" a="1"/>
  <c r="AX521" i="3" s="1"/>
  <c r="AW521" i="3" a="1"/>
  <c r="AW521" i="3" s="1"/>
  <c r="AX520" i="3" a="1"/>
  <c r="AX520" i="3" s="1"/>
  <c r="AW520" i="3" a="1"/>
  <c r="AW520" i="3" s="1"/>
  <c r="AX519" i="3" a="1"/>
  <c r="AX519" i="3" s="1"/>
  <c r="AW519" i="3" a="1"/>
  <c r="AW519" i="3" s="1"/>
  <c r="AX518" i="3" a="1"/>
  <c r="AX518" i="3" s="1"/>
  <c r="AW518" i="3" a="1"/>
  <c r="AW518" i="3" s="1"/>
  <c r="AX517" i="3" a="1"/>
  <c r="AX517" i="3" s="1"/>
  <c r="AW517" i="3" a="1"/>
  <c r="AW517" i="3" s="1"/>
  <c r="AX516" i="3" a="1"/>
  <c r="AX516" i="3" s="1"/>
  <c r="AW516" i="3" a="1"/>
  <c r="AW516" i="3" s="1"/>
  <c r="AX515" i="3" a="1"/>
  <c r="AX515" i="3" s="1"/>
  <c r="AW515" i="3" a="1"/>
  <c r="AW515" i="3" s="1"/>
  <c r="AX514" i="3" a="1"/>
  <c r="AX514" i="3" s="1"/>
  <c r="AW514" i="3" a="1"/>
  <c r="AW514" i="3" s="1"/>
  <c r="AX513" i="3" a="1"/>
  <c r="AX513" i="3" s="1"/>
  <c r="AW513" i="3" a="1"/>
  <c r="AW513" i="3" s="1"/>
  <c r="AX512" i="3" a="1"/>
  <c r="AX512" i="3" s="1"/>
  <c r="AW512" i="3" a="1"/>
  <c r="AW512" i="3" s="1"/>
  <c r="AX511" i="3" a="1"/>
  <c r="AX511" i="3" s="1"/>
  <c r="AW511" i="3" a="1"/>
  <c r="AW511" i="3" s="1"/>
  <c r="AX510" i="3" a="1"/>
  <c r="AX510" i="3" s="1"/>
  <c r="AW510" i="3" a="1"/>
  <c r="AW510" i="3" s="1"/>
  <c r="AX509" i="3" a="1"/>
  <c r="AX509" i="3" s="1"/>
  <c r="AW509" i="3" a="1"/>
  <c r="AW509" i="3" s="1"/>
  <c r="AX508" i="3" a="1"/>
  <c r="AX508" i="3" s="1"/>
  <c r="AW508" i="3" a="1"/>
  <c r="AW508" i="3" s="1"/>
  <c r="AX507" i="3" a="1"/>
  <c r="AX507" i="3" s="1"/>
  <c r="AW507" i="3" a="1"/>
  <c r="AW507" i="3" s="1"/>
  <c r="AX506" i="3" a="1"/>
  <c r="AX506" i="3" s="1"/>
  <c r="AW506" i="3" a="1"/>
  <c r="AW506" i="3" s="1"/>
  <c r="AX505" i="3" a="1"/>
  <c r="AX505" i="3" s="1"/>
  <c r="AW505" i="3" a="1"/>
  <c r="AW505" i="3" s="1"/>
  <c r="AX504" i="3" a="1"/>
  <c r="AX504" i="3" s="1"/>
  <c r="AW504" i="3" a="1"/>
  <c r="AW504" i="3" s="1"/>
  <c r="AX503" i="3" a="1"/>
  <c r="AX503" i="3" s="1"/>
  <c r="AW503" i="3" a="1"/>
  <c r="AW503" i="3" s="1"/>
  <c r="AX502" i="3" a="1"/>
  <c r="AX502" i="3" s="1"/>
  <c r="AW502" i="3" a="1"/>
  <c r="AW502" i="3" s="1"/>
  <c r="AX501" i="3" a="1"/>
  <c r="AX501" i="3" s="1"/>
  <c r="AW501" i="3" a="1"/>
  <c r="AW501" i="3" s="1"/>
  <c r="AX500" i="3" a="1"/>
  <c r="AX500" i="3" s="1"/>
  <c r="AW500" i="3" a="1"/>
  <c r="AW500" i="3" s="1"/>
  <c r="AX499" i="3" a="1"/>
  <c r="AX499" i="3" s="1"/>
  <c r="AW499" i="3" a="1"/>
  <c r="AW499" i="3" s="1"/>
  <c r="AX498" i="3" a="1"/>
  <c r="AX498" i="3" s="1"/>
  <c r="AW498" i="3" a="1"/>
  <c r="AW498" i="3" s="1"/>
  <c r="AX497" i="3" a="1"/>
  <c r="AX497" i="3" s="1"/>
  <c r="AW497" i="3" a="1"/>
  <c r="AW497" i="3" s="1"/>
  <c r="AX496" i="3" a="1"/>
  <c r="AX496" i="3" s="1"/>
  <c r="AW496" i="3" a="1"/>
  <c r="AW496" i="3" s="1"/>
  <c r="AX495" i="3" a="1"/>
  <c r="AX495" i="3" s="1"/>
  <c r="AW495" i="3" a="1"/>
  <c r="AW495" i="3" s="1"/>
  <c r="AX494" i="3" a="1"/>
  <c r="AX494" i="3" s="1"/>
  <c r="AW494" i="3" a="1"/>
  <c r="AW494" i="3" s="1"/>
  <c r="AX493" i="3" a="1"/>
  <c r="AX493" i="3" s="1"/>
  <c r="AW493" i="3" a="1"/>
  <c r="AW493" i="3" s="1"/>
  <c r="AX492" i="3" a="1"/>
  <c r="AX492" i="3" s="1"/>
  <c r="AW492" i="3" a="1"/>
  <c r="AW492" i="3" s="1"/>
  <c r="AX491" i="3" a="1"/>
  <c r="AX491" i="3" s="1"/>
  <c r="AW491" i="3" a="1"/>
  <c r="AW491" i="3" s="1"/>
  <c r="AX490" i="3" a="1"/>
  <c r="AX490" i="3" s="1"/>
  <c r="AW490" i="3" a="1"/>
  <c r="AW490" i="3" s="1"/>
  <c r="AX489" i="3" a="1"/>
  <c r="AX489" i="3" s="1"/>
  <c r="AW489" i="3" a="1"/>
  <c r="AW489" i="3" s="1"/>
  <c r="AX488" i="3" a="1"/>
  <c r="AX488" i="3" s="1"/>
  <c r="AW488" i="3" a="1"/>
  <c r="AW488" i="3" s="1"/>
  <c r="AX487" i="3" a="1"/>
  <c r="AX487" i="3" s="1"/>
  <c r="AW487" i="3" a="1"/>
  <c r="AW487" i="3" s="1"/>
  <c r="AX486" i="3" a="1"/>
  <c r="AX486" i="3" s="1"/>
  <c r="AW486" i="3" a="1"/>
  <c r="AW486" i="3" s="1"/>
  <c r="AX485" i="3" a="1"/>
  <c r="AX485" i="3" s="1"/>
  <c r="AW485" i="3" a="1"/>
  <c r="AW485" i="3" s="1"/>
  <c r="AX484" i="3" a="1"/>
  <c r="AX484" i="3" s="1"/>
  <c r="AW484" i="3" a="1"/>
  <c r="AW484" i="3" s="1"/>
  <c r="AX483" i="3" a="1"/>
  <c r="AX483" i="3" s="1"/>
  <c r="AW483" i="3" a="1"/>
  <c r="AW483" i="3" s="1"/>
  <c r="AX482" i="3" a="1"/>
  <c r="AX482" i="3" s="1"/>
  <c r="AW482" i="3" a="1"/>
  <c r="AW482" i="3" s="1"/>
  <c r="AX481" i="3" a="1"/>
  <c r="AX481" i="3" s="1"/>
  <c r="AW481" i="3" a="1"/>
  <c r="AW481" i="3" s="1"/>
  <c r="AX480" i="3" a="1"/>
  <c r="AX480" i="3" s="1"/>
  <c r="AW480" i="3" a="1"/>
  <c r="AW480" i="3" s="1"/>
  <c r="AX479" i="3" a="1"/>
  <c r="AX479" i="3" s="1"/>
  <c r="AW479" i="3" a="1"/>
  <c r="AW479" i="3" s="1"/>
  <c r="AX478" i="3" a="1"/>
  <c r="AX478" i="3" s="1"/>
  <c r="AW478" i="3" a="1"/>
  <c r="AW478" i="3" s="1"/>
  <c r="AX477" i="3" a="1"/>
  <c r="AX477" i="3" s="1"/>
  <c r="AW477" i="3" a="1"/>
  <c r="AW477" i="3" s="1"/>
  <c r="AX476" i="3" a="1"/>
  <c r="AX476" i="3" s="1"/>
  <c r="AW476" i="3" a="1"/>
  <c r="AW476" i="3" s="1"/>
  <c r="AX475" i="3" a="1"/>
  <c r="AX475" i="3" s="1"/>
  <c r="AW475" i="3" a="1"/>
  <c r="AW475" i="3" s="1"/>
  <c r="AX474" i="3" a="1"/>
  <c r="AX474" i="3" s="1"/>
  <c r="AW474" i="3" a="1"/>
  <c r="AW474" i="3" s="1"/>
  <c r="AX473" i="3" a="1"/>
  <c r="AX473" i="3" s="1"/>
  <c r="AW473" i="3" a="1"/>
  <c r="AW473" i="3" s="1"/>
  <c r="AX472" i="3" a="1"/>
  <c r="AX472" i="3" s="1"/>
  <c r="AW472" i="3" a="1"/>
  <c r="AW472" i="3" s="1"/>
  <c r="AX471" i="3" a="1"/>
  <c r="AX471" i="3" s="1"/>
  <c r="AW471" i="3" a="1"/>
  <c r="AW471" i="3" s="1"/>
  <c r="AX470" i="3" a="1"/>
  <c r="AX470" i="3" s="1"/>
  <c r="AW470" i="3" a="1"/>
  <c r="AW470" i="3" s="1"/>
  <c r="AX469" i="3" a="1"/>
  <c r="AX469" i="3" s="1"/>
  <c r="AW469" i="3" a="1"/>
  <c r="AW469" i="3" s="1"/>
  <c r="AX468" i="3" a="1"/>
  <c r="AX468" i="3" s="1"/>
  <c r="AW468" i="3" a="1"/>
  <c r="AW468" i="3" s="1"/>
  <c r="AX467" i="3" a="1"/>
  <c r="AX467" i="3" s="1"/>
  <c r="AW467" i="3" a="1"/>
  <c r="AW467" i="3" s="1"/>
  <c r="AX466" i="3" a="1"/>
  <c r="AX466" i="3" s="1"/>
  <c r="AW466" i="3" a="1"/>
  <c r="AW466" i="3" s="1"/>
  <c r="AX465" i="3" a="1"/>
  <c r="AX465" i="3" s="1"/>
  <c r="AW465" i="3" a="1"/>
  <c r="AW465" i="3" s="1"/>
  <c r="AX464" i="3" a="1"/>
  <c r="AX464" i="3" s="1"/>
  <c r="AW464" i="3" a="1"/>
  <c r="AW464" i="3" s="1"/>
  <c r="AX463" i="3" a="1"/>
  <c r="AX463" i="3" s="1"/>
  <c r="AW463" i="3" a="1"/>
  <c r="AW463" i="3" s="1"/>
  <c r="AX462" i="3" a="1"/>
  <c r="AX462" i="3" s="1"/>
  <c r="AW462" i="3" a="1"/>
  <c r="AW462" i="3" s="1"/>
  <c r="AX461" i="3" a="1"/>
  <c r="AX461" i="3" s="1"/>
  <c r="AW461" i="3" a="1"/>
  <c r="AW461" i="3" s="1"/>
  <c r="AX460" i="3" a="1"/>
  <c r="AX460" i="3" s="1"/>
  <c r="AW460" i="3" a="1"/>
  <c r="AW460" i="3" s="1"/>
  <c r="AX459" i="3" a="1"/>
  <c r="AX459" i="3" s="1"/>
  <c r="AW459" i="3" a="1"/>
  <c r="AW459" i="3" s="1"/>
  <c r="AX458" i="3" a="1"/>
  <c r="AX458" i="3" s="1"/>
  <c r="AW458" i="3" a="1"/>
  <c r="AW458" i="3" s="1"/>
  <c r="AX457" i="3" a="1"/>
  <c r="AX457" i="3" s="1"/>
  <c r="AW457" i="3" a="1"/>
  <c r="AW457" i="3" s="1"/>
  <c r="AX456" i="3" a="1"/>
  <c r="AX456" i="3" s="1"/>
  <c r="AW456" i="3" a="1"/>
  <c r="AW456" i="3" s="1"/>
  <c r="AX455" i="3" a="1"/>
  <c r="AX455" i="3" s="1"/>
  <c r="AW455" i="3" a="1"/>
  <c r="AW455" i="3" s="1"/>
  <c r="AX454" i="3" a="1"/>
  <c r="AX454" i="3" s="1"/>
  <c r="AW454" i="3" a="1"/>
  <c r="AW454" i="3" s="1"/>
  <c r="AX453" i="3" a="1"/>
  <c r="AX453" i="3" s="1"/>
  <c r="AW453" i="3" a="1"/>
  <c r="AW453" i="3" s="1"/>
  <c r="AX452" i="3" a="1"/>
  <c r="AX452" i="3" s="1"/>
  <c r="AW452" i="3" a="1"/>
  <c r="AW452" i="3" s="1"/>
  <c r="AX451" i="3" a="1"/>
  <c r="AX451" i="3" s="1"/>
  <c r="AW451" i="3" a="1"/>
  <c r="AW451" i="3" s="1"/>
  <c r="AX450" i="3" a="1"/>
  <c r="AX450" i="3" s="1"/>
  <c r="AW450" i="3" a="1"/>
  <c r="AW450" i="3" s="1"/>
  <c r="AX449" i="3" a="1"/>
  <c r="AX449" i="3" s="1"/>
  <c r="AW449" i="3" a="1"/>
  <c r="AW449" i="3" s="1"/>
  <c r="AX448" i="3" a="1"/>
  <c r="AX448" i="3" s="1"/>
  <c r="AW448" i="3" a="1"/>
  <c r="AW448" i="3" s="1"/>
  <c r="AX447" i="3" a="1"/>
  <c r="AX447" i="3" s="1"/>
  <c r="AW447" i="3" a="1"/>
  <c r="AW447" i="3" s="1"/>
  <c r="AX446" i="3" a="1"/>
  <c r="AX446" i="3" s="1"/>
  <c r="AW446" i="3" a="1"/>
  <c r="AW446" i="3" s="1"/>
  <c r="AX445" i="3" a="1"/>
  <c r="AX445" i="3" s="1"/>
  <c r="AW445" i="3" a="1"/>
  <c r="AW445" i="3" s="1"/>
  <c r="AX444" i="3" a="1"/>
  <c r="AX444" i="3" s="1"/>
  <c r="AW444" i="3" a="1"/>
  <c r="AW444" i="3" s="1"/>
  <c r="AX443" i="3" a="1"/>
  <c r="AX443" i="3" s="1"/>
  <c r="AW443" i="3" a="1"/>
  <c r="AW443" i="3" s="1"/>
  <c r="AX442" i="3" a="1"/>
  <c r="AX442" i="3" s="1"/>
  <c r="AW442" i="3" a="1"/>
  <c r="AW442" i="3" s="1"/>
  <c r="AX441" i="3" a="1"/>
  <c r="AX441" i="3" s="1"/>
  <c r="AW441" i="3" a="1"/>
  <c r="AW441" i="3" s="1"/>
  <c r="AX440" i="3" a="1"/>
  <c r="AX440" i="3" s="1"/>
  <c r="AW440" i="3" a="1"/>
  <c r="AW440" i="3" s="1"/>
  <c r="AX439" i="3" a="1"/>
  <c r="AX439" i="3" s="1"/>
  <c r="AW439" i="3" a="1"/>
  <c r="AW439" i="3" s="1"/>
  <c r="AX438" i="3" a="1"/>
  <c r="AX438" i="3" s="1"/>
  <c r="AW438" i="3" a="1"/>
  <c r="AW438" i="3" s="1"/>
  <c r="AX437" i="3" a="1"/>
  <c r="AX437" i="3" s="1"/>
  <c r="AW437" i="3" a="1"/>
  <c r="AW437" i="3" s="1"/>
  <c r="AX436" i="3" a="1"/>
  <c r="AX436" i="3" s="1"/>
  <c r="AW436" i="3" a="1"/>
  <c r="AW436" i="3" s="1"/>
  <c r="AX435" i="3" a="1"/>
  <c r="AX435" i="3" s="1"/>
  <c r="AW435" i="3" a="1"/>
  <c r="AW435" i="3" s="1"/>
  <c r="AX434" i="3" a="1"/>
  <c r="AX434" i="3" s="1"/>
  <c r="AW434" i="3" a="1"/>
  <c r="AW434" i="3" s="1"/>
  <c r="AX433" i="3" a="1"/>
  <c r="AX433" i="3" s="1"/>
  <c r="AW433" i="3" a="1"/>
  <c r="AW433" i="3" s="1"/>
  <c r="AX432" i="3" a="1"/>
  <c r="AX432" i="3" s="1"/>
  <c r="AW432" i="3" a="1"/>
  <c r="AW432" i="3" s="1"/>
  <c r="AX431" i="3" a="1"/>
  <c r="AX431" i="3" s="1"/>
  <c r="AW431" i="3" a="1"/>
  <c r="AW431" i="3" s="1"/>
  <c r="AX430" i="3" a="1"/>
  <c r="AX430" i="3" s="1"/>
  <c r="AW430" i="3" a="1"/>
  <c r="AW430" i="3" s="1"/>
  <c r="AX429" i="3" a="1"/>
  <c r="AX429" i="3" s="1"/>
  <c r="AW429" i="3" a="1"/>
  <c r="AW429" i="3" s="1"/>
  <c r="AX428" i="3" a="1"/>
  <c r="AX428" i="3" s="1"/>
  <c r="AW428" i="3" a="1"/>
  <c r="AW428" i="3" s="1"/>
  <c r="AX427" i="3" a="1"/>
  <c r="AX427" i="3" s="1"/>
  <c r="AW427" i="3" a="1"/>
  <c r="AW427" i="3" s="1"/>
  <c r="AX426" i="3" a="1"/>
  <c r="AX426" i="3" s="1"/>
  <c r="AW426" i="3" a="1"/>
  <c r="AW426" i="3" s="1"/>
  <c r="AX425" i="3" a="1"/>
  <c r="AX425" i="3" s="1"/>
  <c r="AW425" i="3" a="1"/>
  <c r="AW425" i="3" s="1"/>
  <c r="AX424" i="3" a="1"/>
  <c r="AX424" i="3" s="1"/>
  <c r="AW424" i="3" a="1"/>
  <c r="AW424" i="3" s="1"/>
  <c r="AX423" i="3" a="1"/>
  <c r="AX423" i="3" s="1"/>
  <c r="AW423" i="3" a="1"/>
  <c r="AW423" i="3" s="1"/>
  <c r="AX422" i="3" a="1"/>
  <c r="AX422" i="3" s="1"/>
  <c r="AW422" i="3" a="1"/>
  <c r="AW422" i="3" s="1"/>
  <c r="AX421" i="3" a="1"/>
  <c r="AX421" i="3" s="1"/>
  <c r="AW421" i="3" a="1"/>
  <c r="AW421" i="3" s="1"/>
  <c r="AX420" i="3" a="1"/>
  <c r="AX420" i="3" s="1"/>
  <c r="AW420" i="3" a="1"/>
  <c r="AW420" i="3" s="1"/>
  <c r="AX419" i="3" a="1"/>
  <c r="AX419" i="3" s="1"/>
  <c r="AW419" i="3" a="1"/>
  <c r="AW419" i="3" s="1"/>
  <c r="AX418" i="3" a="1"/>
  <c r="AX418" i="3" s="1"/>
  <c r="AW418" i="3" a="1"/>
  <c r="AW418" i="3" s="1"/>
  <c r="AX417" i="3" a="1"/>
  <c r="AX417" i="3" s="1"/>
  <c r="AW417" i="3" a="1"/>
  <c r="AW417" i="3" s="1"/>
  <c r="AX416" i="3" a="1"/>
  <c r="AX416" i="3" s="1"/>
  <c r="AW416" i="3" a="1"/>
  <c r="AW416" i="3" s="1"/>
  <c r="AX415" i="3" a="1"/>
  <c r="AX415" i="3" s="1"/>
  <c r="AW415" i="3" a="1"/>
  <c r="AW415" i="3" s="1"/>
  <c r="AX414" i="3" a="1"/>
  <c r="AX414" i="3" s="1"/>
  <c r="AW414" i="3" a="1"/>
  <c r="AW414" i="3" s="1"/>
  <c r="AX413" i="3" a="1"/>
  <c r="AX413" i="3" s="1"/>
  <c r="AW413" i="3" a="1"/>
  <c r="AW413" i="3" s="1"/>
  <c r="AX412" i="3" a="1"/>
  <c r="AX412" i="3" s="1"/>
  <c r="AW412" i="3" a="1"/>
  <c r="AW412" i="3" s="1"/>
  <c r="AX411" i="3" a="1"/>
  <c r="AX411" i="3" s="1"/>
  <c r="AW411" i="3" a="1"/>
  <c r="AW411" i="3" s="1"/>
  <c r="AX410" i="3" a="1"/>
  <c r="AX410" i="3" s="1"/>
  <c r="AW410" i="3" a="1"/>
  <c r="AW410" i="3" s="1"/>
  <c r="AX409" i="3" a="1"/>
  <c r="AX409" i="3" s="1"/>
  <c r="AW409" i="3" a="1"/>
  <c r="AW409" i="3" s="1"/>
  <c r="AX408" i="3" a="1"/>
  <c r="AX408" i="3" s="1"/>
  <c r="AW408" i="3" a="1"/>
  <c r="AW408" i="3" s="1"/>
  <c r="AX407" i="3" a="1"/>
  <c r="AX407" i="3" s="1"/>
  <c r="AW407" i="3" a="1"/>
  <c r="AW407" i="3" s="1"/>
  <c r="AX406" i="3" a="1"/>
  <c r="AX406" i="3" s="1"/>
  <c r="AW406" i="3" a="1"/>
  <c r="AW406" i="3" s="1"/>
  <c r="AX405" i="3" a="1"/>
  <c r="AX405" i="3" s="1"/>
  <c r="AW405" i="3" a="1"/>
  <c r="AW405" i="3" s="1"/>
  <c r="AX404" i="3" a="1"/>
  <c r="AX404" i="3" s="1"/>
  <c r="AW404" i="3" a="1"/>
  <c r="AW404" i="3" s="1"/>
  <c r="AX403" i="3" a="1"/>
  <c r="AX403" i="3" s="1"/>
  <c r="AW403" i="3" a="1"/>
  <c r="AW403" i="3" s="1"/>
  <c r="AX402" i="3" a="1"/>
  <c r="AX402" i="3" s="1"/>
  <c r="AW402" i="3" a="1"/>
  <c r="AW402" i="3" s="1"/>
  <c r="AX401" i="3" a="1"/>
  <c r="AX401" i="3" s="1"/>
  <c r="AW401" i="3" a="1"/>
  <c r="AW401" i="3" s="1"/>
  <c r="AX400" i="3" a="1"/>
  <c r="AX400" i="3" s="1"/>
  <c r="AW400" i="3" a="1"/>
  <c r="AW400" i="3" s="1"/>
  <c r="AX399" i="3" a="1"/>
  <c r="AX399" i="3" s="1"/>
  <c r="AW399" i="3" a="1"/>
  <c r="AW399" i="3" s="1"/>
  <c r="AX398" i="3" a="1"/>
  <c r="AX398" i="3" s="1"/>
  <c r="AW398" i="3" a="1"/>
  <c r="AW398" i="3" s="1"/>
  <c r="AX397" i="3" a="1"/>
  <c r="AX397" i="3" s="1"/>
  <c r="AW397" i="3" a="1"/>
  <c r="AW397" i="3" s="1"/>
  <c r="AX396" i="3" a="1"/>
  <c r="AX396" i="3" s="1"/>
  <c r="AW396" i="3" a="1"/>
  <c r="AW396" i="3" s="1"/>
  <c r="AX395" i="3" a="1"/>
  <c r="AX395" i="3" s="1"/>
  <c r="AW395" i="3" a="1"/>
  <c r="AW395" i="3" s="1"/>
  <c r="AX394" i="3" a="1"/>
  <c r="AX394" i="3" s="1"/>
  <c r="AW394" i="3" a="1"/>
  <c r="AW394" i="3" s="1"/>
  <c r="AX393" i="3" a="1"/>
  <c r="AX393" i="3" s="1"/>
  <c r="AW393" i="3" a="1"/>
  <c r="AW393" i="3" s="1"/>
  <c r="AX392" i="3" a="1"/>
  <c r="AX392" i="3" s="1"/>
  <c r="AW392" i="3" a="1"/>
  <c r="AW392" i="3" s="1"/>
  <c r="AX391" i="3" a="1"/>
  <c r="AX391" i="3" s="1"/>
  <c r="AW391" i="3" a="1"/>
  <c r="AW391" i="3" s="1"/>
  <c r="AX390" i="3" a="1"/>
  <c r="AX390" i="3" s="1"/>
  <c r="AW390" i="3" a="1"/>
  <c r="AW390" i="3" s="1"/>
  <c r="AX389" i="3" a="1"/>
  <c r="AX389" i="3" s="1"/>
  <c r="AW389" i="3" a="1"/>
  <c r="AW389" i="3" s="1"/>
  <c r="AX388" i="3" a="1"/>
  <c r="AX388" i="3" s="1"/>
  <c r="AW388" i="3" a="1"/>
  <c r="AW388" i="3" s="1"/>
  <c r="AX387" i="3" a="1"/>
  <c r="AX387" i="3" s="1"/>
  <c r="AW387" i="3" a="1"/>
  <c r="AW387" i="3" s="1"/>
  <c r="AX386" i="3" a="1"/>
  <c r="AX386" i="3" s="1"/>
  <c r="AW386" i="3" a="1"/>
  <c r="AW386" i="3" s="1"/>
  <c r="AX385" i="3" a="1"/>
  <c r="AX385" i="3" s="1"/>
  <c r="AW385" i="3" a="1"/>
  <c r="AW385" i="3" s="1"/>
  <c r="AX384" i="3" a="1"/>
  <c r="AX384" i="3" s="1"/>
  <c r="AW384" i="3" a="1"/>
  <c r="AW384" i="3" s="1"/>
  <c r="AX383" i="3" a="1"/>
  <c r="AX383" i="3" s="1"/>
  <c r="AW383" i="3" a="1"/>
  <c r="AW383" i="3" s="1"/>
  <c r="AX382" i="3" a="1"/>
  <c r="AX382" i="3" s="1"/>
  <c r="AW382" i="3" a="1"/>
  <c r="AW382" i="3" s="1"/>
  <c r="AX381" i="3" a="1"/>
  <c r="AX381" i="3" s="1"/>
  <c r="AW381" i="3" a="1"/>
  <c r="AW381" i="3" s="1"/>
  <c r="AX380" i="3" a="1"/>
  <c r="AX380" i="3" s="1"/>
  <c r="AW380" i="3" a="1"/>
  <c r="AW380" i="3" s="1"/>
  <c r="AX379" i="3" a="1"/>
  <c r="AX379" i="3" s="1"/>
  <c r="AW379" i="3" a="1"/>
  <c r="AW379" i="3" s="1"/>
  <c r="AX378" i="3" a="1"/>
  <c r="AX378" i="3" s="1"/>
  <c r="AW378" i="3" a="1"/>
  <c r="AW378" i="3" s="1"/>
  <c r="AX377" i="3" a="1"/>
  <c r="AX377" i="3" s="1"/>
  <c r="AW377" i="3" a="1"/>
  <c r="AW377" i="3" s="1"/>
  <c r="AX376" i="3" a="1"/>
  <c r="AX376" i="3" s="1"/>
  <c r="AW376" i="3" a="1"/>
  <c r="AW376" i="3" s="1"/>
  <c r="AX375" i="3" a="1"/>
  <c r="AX375" i="3" s="1"/>
  <c r="AW375" i="3" a="1"/>
  <c r="AW375" i="3" s="1"/>
  <c r="AX374" i="3" a="1"/>
  <c r="AX374" i="3" s="1"/>
  <c r="AW374" i="3" a="1"/>
  <c r="AW374" i="3" s="1"/>
  <c r="AX373" i="3" a="1"/>
  <c r="AX373" i="3" s="1"/>
  <c r="AW373" i="3" a="1"/>
  <c r="AW373" i="3" s="1"/>
  <c r="AX372" i="3" a="1"/>
  <c r="AX372" i="3" s="1"/>
  <c r="AW372" i="3" a="1"/>
  <c r="AW372" i="3" s="1"/>
  <c r="AX371" i="3" a="1"/>
  <c r="AX371" i="3" s="1"/>
  <c r="AW371" i="3" a="1"/>
  <c r="AW371" i="3" s="1"/>
  <c r="AX370" i="3" a="1"/>
  <c r="AX370" i="3" s="1"/>
  <c r="AW370" i="3" a="1"/>
  <c r="AW370" i="3" s="1"/>
  <c r="AX369" i="3" a="1"/>
  <c r="AX369" i="3" s="1"/>
  <c r="AW369" i="3" a="1"/>
  <c r="AW369" i="3" s="1"/>
  <c r="AX368" i="3" a="1"/>
  <c r="AX368" i="3" s="1"/>
  <c r="AW368" i="3" a="1"/>
  <c r="AW368" i="3" s="1"/>
  <c r="AX367" i="3" a="1"/>
  <c r="AX367" i="3" s="1"/>
  <c r="AW367" i="3" a="1"/>
  <c r="AW367" i="3" s="1"/>
  <c r="AX366" i="3" a="1"/>
  <c r="AX366" i="3" s="1"/>
  <c r="AW366" i="3" a="1"/>
  <c r="AW366" i="3" s="1"/>
  <c r="AX365" i="3" a="1"/>
  <c r="AX365" i="3" s="1"/>
  <c r="AW365" i="3" a="1"/>
  <c r="AW365" i="3" s="1"/>
  <c r="AX364" i="3" a="1"/>
  <c r="AX364" i="3" s="1"/>
  <c r="AW364" i="3" a="1"/>
  <c r="AW364" i="3" s="1"/>
  <c r="AX363" i="3" a="1"/>
  <c r="AX363" i="3" s="1"/>
  <c r="AW363" i="3" a="1"/>
  <c r="AW363" i="3" s="1"/>
  <c r="AX362" i="3" a="1"/>
  <c r="AX362" i="3" s="1"/>
  <c r="AW362" i="3" a="1"/>
  <c r="AW362" i="3" s="1"/>
  <c r="AX361" i="3" a="1"/>
  <c r="AX361" i="3" s="1"/>
  <c r="AW361" i="3" a="1"/>
  <c r="AW361" i="3" s="1"/>
  <c r="AX360" i="3" a="1"/>
  <c r="AX360" i="3" s="1"/>
  <c r="AW360" i="3" a="1"/>
  <c r="AW360" i="3" s="1"/>
  <c r="AX359" i="3" a="1"/>
  <c r="AX359" i="3" s="1"/>
  <c r="AW359" i="3" a="1"/>
  <c r="AW359" i="3" s="1"/>
  <c r="AX358" i="3" a="1"/>
  <c r="AX358" i="3" s="1"/>
  <c r="AW358" i="3" a="1"/>
  <c r="AW358" i="3" s="1"/>
  <c r="AX357" i="3" a="1"/>
  <c r="AX357" i="3" s="1"/>
  <c r="AW357" i="3" a="1"/>
  <c r="AW357" i="3" s="1"/>
  <c r="AX356" i="3" a="1"/>
  <c r="AX356" i="3" s="1"/>
  <c r="AW356" i="3" a="1"/>
  <c r="AW356" i="3" s="1"/>
  <c r="AX355" i="3" a="1"/>
  <c r="AX355" i="3" s="1"/>
  <c r="AW355" i="3" a="1"/>
  <c r="AW355" i="3" s="1"/>
  <c r="AX354" i="3" a="1"/>
  <c r="AX354" i="3" s="1"/>
  <c r="AW354" i="3" a="1"/>
  <c r="AW354" i="3" s="1"/>
  <c r="AX353" i="3" a="1"/>
  <c r="AX353" i="3" s="1"/>
  <c r="AW353" i="3" a="1"/>
  <c r="AW353" i="3" s="1"/>
  <c r="AX352" i="3" a="1"/>
  <c r="AX352" i="3" s="1"/>
  <c r="AW352" i="3" a="1"/>
  <c r="AW352" i="3" s="1"/>
  <c r="AX351" i="3" a="1"/>
  <c r="AX351" i="3" s="1"/>
  <c r="AW351" i="3" a="1"/>
  <c r="AW351" i="3" s="1"/>
  <c r="AX350" i="3" a="1"/>
  <c r="AX350" i="3" s="1"/>
  <c r="AW350" i="3" a="1"/>
  <c r="AW350" i="3" s="1"/>
  <c r="AX349" i="3" a="1"/>
  <c r="AX349" i="3" s="1"/>
  <c r="AW349" i="3" a="1"/>
  <c r="AW349" i="3" s="1"/>
  <c r="AX348" i="3" a="1"/>
  <c r="AX348" i="3" s="1"/>
  <c r="AW348" i="3" a="1"/>
  <c r="AW348" i="3" s="1"/>
  <c r="AX347" i="3" a="1"/>
  <c r="AX347" i="3" s="1"/>
  <c r="AW347" i="3" a="1"/>
  <c r="AW347" i="3" s="1"/>
  <c r="AX346" i="3" a="1"/>
  <c r="AX346" i="3" s="1"/>
  <c r="AW346" i="3" a="1"/>
  <c r="AW346" i="3" s="1"/>
  <c r="AX345" i="3" a="1"/>
  <c r="AX345" i="3" s="1"/>
  <c r="AW345" i="3" a="1"/>
  <c r="AW345" i="3" s="1"/>
  <c r="AX344" i="3" a="1"/>
  <c r="AX344" i="3" s="1"/>
  <c r="AW344" i="3" a="1"/>
  <c r="AW344" i="3" s="1"/>
  <c r="AX343" i="3" a="1"/>
  <c r="AX343" i="3" s="1"/>
  <c r="AW343" i="3" a="1"/>
  <c r="AW343" i="3" s="1"/>
  <c r="AX342" i="3" a="1"/>
  <c r="AX342" i="3" s="1"/>
  <c r="AW342" i="3" a="1"/>
  <c r="AW342" i="3" s="1"/>
  <c r="AX341" i="3" a="1"/>
  <c r="AX341" i="3" s="1"/>
  <c r="AW341" i="3" a="1"/>
  <c r="AW341" i="3" s="1"/>
  <c r="AX340" i="3" a="1"/>
  <c r="AX340" i="3" s="1"/>
  <c r="AW340" i="3" a="1"/>
  <c r="AW340" i="3" s="1"/>
  <c r="AX339" i="3" a="1"/>
  <c r="AX339" i="3" s="1"/>
  <c r="AW339" i="3" a="1"/>
  <c r="AW339" i="3" s="1"/>
  <c r="AX338" i="3" a="1"/>
  <c r="AX338" i="3" s="1"/>
  <c r="AW338" i="3" a="1"/>
  <c r="AW338" i="3" s="1"/>
  <c r="AX337" i="3" a="1"/>
  <c r="AX337" i="3" s="1"/>
  <c r="AW337" i="3" a="1"/>
  <c r="AW337" i="3" s="1"/>
  <c r="AX336" i="3" a="1"/>
  <c r="AX336" i="3" s="1"/>
  <c r="AW336" i="3" a="1"/>
  <c r="AW336" i="3" s="1"/>
  <c r="AX335" i="3" a="1"/>
  <c r="AX335" i="3" s="1"/>
  <c r="AW335" i="3" a="1"/>
  <c r="AW335" i="3" s="1"/>
  <c r="AX334" i="3" a="1"/>
  <c r="AX334" i="3" s="1"/>
  <c r="AW334" i="3" a="1"/>
  <c r="AW334" i="3" s="1"/>
  <c r="AX333" i="3" a="1"/>
  <c r="AX333" i="3" s="1"/>
  <c r="AW333" i="3" a="1"/>
  <c r="AW333" i="3" s="1"/>
  <c r="AX332" i="3" a="1"/>
  <c r="AX332" i="3" s="1"/>
  <c r="AW332" i="3" a="1"/>
  <c r="AW332" i="3" s="1"/>
  <c r="AX331" i="3" a="1"/>
  <c r="AX331" i="3" s="1"/>
  <c r="AW331" i="3" a="1"/>
  <c r="AW331" i="3" s="1"/>
  <c r="AX330" i="3" a="1"/>
  <c r="AX330" i="3" s="1"/>
  <c r="AW330" i="3" a="1"/>
  <c r="AW330" i="3" s="1"/>
  <c r="AX329" i="3" a="1"/>
  <c r="AX329" i="3" s="1"/>
  <c r="AW329" i="3" a="1"/>
  <c r="AW329" i="3" s="1"/>
  <c r="AX328" i="3" a="1"/>
  <c r="AX328" i="3" s="1"/>
  <c r="AW328" i="3" a="1"/>
  <c r="AW328" i="3" s="1"/>
  <c r="AX327" i="3" a="1"/>
  <c r="AX327" i="3" s="1"/>
  <c r="AW327" i="3" a="1"/>
  <c r="AW327" i="3" s="1"/>
  <c r="AX326" i="3" a="1"/>
  <c r="AX326" i="3" s="1"/>
  <c r="AW326" i="3" a="1"/>
  <c r="AW326" i="3" s="1"/>
  <c r="AX325" i="3" a="1"/>
  <c r="AX325" i="3" s="1"/>
  <c r="AW325" i="3" a="1"/>
  <c r="AW325" i="3" s="1"/>
  <c r="AX324" i="3" a="1"/>
  <c r="AX324" i="3" s="1"/>
  <c r="AW324" i="3" a="1"/>
  <c r="AW324" i="3" s="1"/>
  <c r="AX323" i="3" a="1"/>
  <c r="AX323" i="3" s="1"/>
  <c r="AW323" i="3" a="1"/>
  <c r="AW323" i="3" s="1"/>
  <c r="AX322" i="3" a="1"/>
  <c r="AX322" i="3" s="1"/>
  <c r="AW322" i="3" a="1"/>
  <c r="AW322" i="3" s="1"/>
  <c r="AX321" i="3" a="1"/>
  <c r="AX321" i="3" s="1"/>
  <c r="AW321" i="3" a="1"/>
  <c r="AW321" i="3" s="1"/>
  <c r="AX320" i="3" a="1"/>
  <c r="AX320" i="3" s="1"/>
  <c r="AW320" i="3" a="1"/>
  <c r="AW320" i="3" s="1"/>
  <c r="AX319" i="3" a="1"/>
  <c r="AX319" i="3" s="1"/>
  <c r="AW319" i="3" a="1"/>
  <c r="AW319" i="3" s="1"/>
  <c r="AX318" i="3" a="1"/>
  <c r="AX318" i="3" s="1"/>
  <c r="AW318" i="3" a="1"/>
  <c r="AW318" i="3" s="1"/>
  <c r="AX317" i="3" a="1"/>
  <c r="AX317" i="3" s="1"/>
  <c r="AW317" i="3" a="1"/>
  <c r="AW317" i="3" s="1"/>
  <c r="AX316" i="3" a="1"/>
  <c r="AX316" i="3" s="1"/>
  <c r="AW316" i="3" a="1"/>
  <c r="AW316" i="3" s="1"/>
  <c r="AX315" i="3" a="1"/>
  <c r="AX315" i="3" s="1"/>
  <c r="AW315" i="3" a="1"/>
  <c r="AW315" i="3" s="1"/>
  <c r="AX314" i="3" a="1"/>
  <c r="AX314" i="3" s="1"/>
  <c r="AW314" i="3" a="1"/>
  <c r="AW314" i="3" s="1"/>
  <c r="AX313" i="3" a="1"/>
  <c r="AX313" i="3" s="1"/>
  <c r="AW313" i="3" a="1"/>
  <c r="AW313" i="3" s="1"/>
  <c r="AX312" i="3" a="1"/>
  <c r="AX312" i="3" s="1"/>
  <c r="AW312" i="3" a="1"/>
  <c r="AW312" i="3" s="1"/>
  <c r="AX311" i="3" a="1"/>
  <c r="AX311" i="3" s="1"/>
  <c r="AW311" i="3" a="1"/>
  <c r="AW311" i="3" s="1"/>
  <c r="AX310" i="3" a="1"/>
  <c r="AX310" i="3" s="1"/>
  <c r="AW310" i="3" a="1"/>
  <c r="AW310" i="3" s="1"/>
  <c r="AX309" i="3" a="1"/>
  <c r="AX309" i="3" s="1"/>
  <c r="AW309" i="3" a="1"/>
  <c r="AW309" i="3" s="1"/>
  <c r="AX308" i="3" a="1"/>
  <c r="AX308" i="3" s="1"/>
  <c r="AW308" i="3" a="1"/>
  <c r="AW308" i="3" s="1"/>
  <c r="AX307" i="3" a="1"/>
  <c r="AX307" i="3" s="1"/>
  <c r="AW307" i="3" a="1"/>
  <c r="AW307" i="3" s="1"/>
  <c r="AX306" i="3" a="1"/>
  <c r="AX306" i="3" s="1"/>
  <c r="AW306" i="3" a="1"/>
  <c r="AW306" i="3" s="1"/>
  <c r="AX305" i="3" a="1"/>
  <c r="AX305" i="3" s="1"/>
  <c r="AW305" i="3" a="1"/>
  <c r="AW305" i="3" s="1"/>
  <c r="AX304" i="3" a="1"/>
  <c r="AX304" i="3" s="1"/>
  <c r="AW304" i="3" a="1"/>
  <c r="AW304" i="3" s="1"/>
  <c r="AX303" i="3" a="1"/>
  <c r="AX303" i="3" s="1"/>
  <c r="AW303" i="3" a="1"/>
  <c r="AW303" i="3" s="1"/>
  <c r="AX302" i="3" a="1"/>
  <c r="AX302" i="3" s="1"/>
  <c r="AW302" i="3" a="1"/>
  <c r="AW302" i="3" s="1"/>
  <c r="AX301" i="3" a="1"/>
  <c r="AX301" i="3" s="1"/>
  <c r="AW301" i="3" a="1"/>
  <c r="AW301" i="3" s="1"/>
  <c r="AX300" i="3" a="1"/>
  <c r="AX300" i="3" s="1"/>
  <c r="AW300" i="3" a="1"/>
  <c r="AW300" i="3" s="1"/>
  <c r="AX299" i="3" a="1"/>
  <c r="AX299" i="3" s="1"/>
  <c r="AW299" i="3" a="1"/>
  <c r="AW299" i="3" s="1"/>
  <c r="AX298" i="3" a="1"/>
  <c r="AX298" i="3" s="1"/>
  <c r="AW298" i="3" a="1"/>
  <c r="AW298" i="3" s="1"/>
  <c r="AX297" i="3" a="1"/>
  <c r="AX297" i="3" s="1"/>
  <c r="AW297" i="3" a="1"/>
  <c r="AW297" i="3" s="1"/>
  <c r="AX296" i="3" a="1"/>
  <c r="AX296" i="3" s="1"/>
  <c r="AW296" i="3" a="1"/>
  <c r="AW296" i="3" s="1"/>
  <c r="AX295" i="3" a="1"/>
  <c r="AX295" i="3" s="1"/>
  <c r="AW295" i="3" a="1"/>
  <c r="AW295" i="3" s="1"/>
  <c r="AX294" i="3" a="1"/>
  <c r="AX294" i="3" s="1"/>
  <c r="AW294" i="3" a="1"/>
  <c r="AW294" i="3" s="1"/>
  <c r="AX293" i="3" a="1"/>
  <c r="AX293" i="3" s="1"/>
  <c r="AW293" i="3" a="1"/>
  <c r="AW293" i="3" s="1"/>
  <c r="AX292" i="3" a="1"/>
  <c r="AX292" i="3" s="1"/>
  <c r="AW292" i="3" a="1"/>
  <c r="AW292" i="3" s="1"/>
  <c r="AX291" i="3" a="1"/>
  <c r="AX291" i="3" s="1"/>
  <c r="AW291" i="3" a="1"/>
  <c r="AW291" i="3" s="1"/>
  <c r="AX290" i="3" a="1"/>
  <c r="AX290" i="3" s="1"/>
  <c r="AW290" i="3" a="1"/>
  <c r="AW290" i="3" s="1"/>
  <c r="AX289" i="3" a="1"/>
  <c r="AX289" i="3" s="1"/>
  <c r="AW289" i="3" a="1"/>
  <c r="AW289" i="3" s="1"/>
  <c r="AX288" i="3" a="1"/>
  <c r="AX288" i="3" s="1"/>
  <c r="AW288" i="3" a="1"/>
  <c r="AW288" i="3" s="1"/>
  <c r="AX287" i="3" a="1"/>
  <c r="AX287" i="3" s="1"/>
  <c r="AW287" i="3" a="1"/>
  <c r="AW287" i="3" s="1"/>
  <c r="AX286" i="3" a="1"/>
  <c r="AX286" i="3" s="1"/>
  <c r="AW286" i="3" a="1"/>
  <c r="AW286" i="3" s="1"/>
  <c r="AX285" i="3" a="1"/>
  <c r="AX285" i="3" s="1"/>
  <c r="AW285" i="3" a="1"/>
  <c r="AW285" i="3" s="1"/>
  <c r="AX284" i="3" a="1"/>
  <c r="AX284" i="3" s="1"/>
  <c r="AW284" i="3" a="1"/>
  <c r="AW284" i="3" s="1"/>
  <c r="AX283" i="3" a="1"/>
  <c r="AX283" i="3" s="1"/>
  <c r="AW283" i="3" a="1"/>
  <c r="AW283" i="3" s="1"/>
  <c r="AX282" i="3" a="1"/>
  <c r="AX282" i="3" s="1"/>
  <c r="AW282" i="3" a="1"/>
  <c r="AW282" i="3" s="1"/>
  <c r="AX281" i="3" a="1"/>
  <c r="AX281" i="3" s="1"/>
  <c r="AW281" i="3" a="1"/>
  <c r="AW281" i="3" s="1"/>
  <c r="AX280" i="3" a="1"/>
  <c r="AX280" i="3" s="1"/>
  <c r="AW280" i="3" a="1"/>
  <c r="AW280" i="3" s="1"/>
  <c r="AX279" i="3" a="1"/>
  <c r="AX279" i="3" s="1"/>
  <c r="AW279" i="3" a="1"/>
  <c r="AW279" i="3" s="1"/>
  <c r="AX278" i="3" a="1"/>
  <c r="AX278" i="3" s="1"/>
  <c r="AW278" i="3" a="1"/>
  <c r="AW278" i="3" s="1"/>
  <c r="AX277" i="3" a="1"/>
  <c r="AX277" i="3" s="1"/>
  <c r="AW277" i="3" a="1"/>
  <c r="AW277" i="3" s="1"/>
  <c r="AX276" i="3" a="1"/>
  <c r="AX276" i="3" s="1"/>
  <c r="AW276" i="3" a="1"/>
  <c r="AW276" i="3" s="1"/>
  <c r="AX275" i="3" a="1"/>
  <c r="AX275" i="3" s="1"/>
  <c r="AW275" i="3" a="1"/>
  <c r="AW275" i="3" s="1"/>
  <c r="AX274" i="3" a="1"/>
  <c r="AX274" i="3" s="1"/>
  <c r="AW274" i="3" a="1"/>
  <c r="AW274" i="3" s="1"/>
  <c r="AX273" i="3" a="1"/>
  <c r="AX273" i="3" s="1"/>
  <c r="AW273" i="3" a="1"/>
  <c r="AW273" i="3" s="1"/>
  <c r="AX272" i="3" a="1"/>
  <c r="AX272" i="3" s="1"/>
  <c r="AW272" i="3" a="1"/>
  <c r="AW272" i="3" s="1"/>
  <c r="AX271" i="3" a="1"/>
  <c r="AX271" i="3" s="1"/>
  <c r="AW271" i="3" a="1"/>
  <c r="AW271" i="3" s="1"/>
  <c r="AX270" i="3" a="1"/>
  <c r="AX270" i="3" s="1"/>
  <c r="AW270" i="3" a="1"/>
  <c r="AW270" i="3" s="1"/>
  <c r="AX269" i="3" a="1"/>
  <c r="AX269" i="3" s="1"/>
  <c r="AW269" i="3" a="1"/>
  <c r="AW269" i="3" s="1"/>
  <c r="AX268" i="3" a="1"/>
  <c r="AX268" i="3" s="1"/>
  <c r="AW268" i="3" a="1"/>
  <c r="AW268" i="3" s="1"/>
  <c r="AX267" i="3" a="1"/>
  <c r="AX267" i="3" s="1"/>
  <c r="AW267" i="3" a="1"/>
  <c r="AW267" i="3" s="1"/>
  <c r="AX266" i="3" a="1"/>
  <c r="AX266" i="3" s="1"/>
  <c r="AW266" i="3" a="1"/>
  <c r="AW266" i="3" s="1"/>
  <c r="AX265" i="3" a="1"/>
  <c r="AX265" i="3" s="1"/>
  <c r="AW265" i="3" a="1"/>
  <c r="AW265" i="3" s="1"/>
  <c r="AX264" i="3" a="1"/>
  <c r="AX264" i="3" s="1"/>
  <c r="AW264" i="3" a="1"/>
  <c r="AW264" i="3" s="1"/>
  <c r="AX263" i="3" a="1"/>
  <c r="AX263" i="3" s="1"/>
  <c r="AW263" i="3" a="1"/>
  <c r="AW263" i="3" s="1"/>
  <c r="AX262" i="3" a="1"/>
  <c r="AX262" i="3" s="1"/>
  <c r="AW262" i="3" a="1"/>
  <c r="AW262" i="3" s="1"/>
  <c r="AX261" i="3" a="1"/>
  <c r="AX261" i="3" s="1"/>
  <c r="AW261" i="3" a="1"/>
  <c r="AW261" i="3" s="1"/>
  <c r="AX260" i="3" a="1"/>
  <c r="AX260" i="3" s="1"/>
  <c r="AW260" i="3" a="1"/>
  <c r="AW260" i="3" s="1"/>
  <c r="AX259" i="3" a="1"/>
  <c r="AX259" i="3" s="1"/>
  <c r="AW259" i="3" a="1"/>
  <c r="AW259" i="3" s="1"/>
  <c r="AX258" i="3" a="1"/>
  <c r="AX258" i="3" s="1"/>
  <c r="AW258" i="3" a="1"/>
  <c r="AW258" i="3" s="1"/>
  <c r="AX257" i="3" a="1"/>
  <c r="AX257" i="3" s="1"/>
  <c r="AW257" i="3" a="1"/>
  <c r="AW257" i="3" s="1"/>
  <c r="AX256" i="3" a="1"/>
  <c r="AX256" i="3" s="1"/>
  <c r="AW256" i="3" a="1"/>
  <c r="AW256" i="3" s="1"/>
  <c r="AX255" i="3" a="1"/>
  <c r="AX255" i="3" s="1"/>
  <c r="AW255" i="3" a="1"/>
  <c r="AW255" i="3" s="1"/>
  <c r="AX254" i="3" a="1"/>
  <c r="AX254" i="3" s="1"/>
  <c r="AW254" i="3" a="1"/>
  <c r="AW254" i="3" s="1"/>
  <c r="AX253" i="3" a="1"/>
  <c r="AX253" i="3" s="1"/>
  <c r="AW253" i="3" a="1"/>
  <c r="AW253" i="3" s="1"/>
  <c r="AX252" i="3" a="1"/>
  <c r="AX252" i="3" s="1"/>
  <c r="AW252" i="3" a="1"/>
  <c r="AW252" i="3" s="1"/>
  <c r="AX251" i="3" a="1"/>
  <c r="AX251" i="3" s="1"/>
  <c r="AW251" i="3" a="1"/>
  <c r="AW251" i="3" s="1"/>
  <c r="AX250" i="3" a="1"/>
  <c r="AX250" i="3" s="1"/>
  <c r="AW250" i="3" a="1"/>
  <c r="AW250" i="3" s="1"/>
  <c r="AX249" i="3" a="1"/>
  <c r="AX249" i="3" s="1"/>
  <c r="AW249" i="3" a="1"/>
  <c r="AW249" i="3" s="1"/>
  <c r="AX248" i="3" a="1"/>
  <c r="AX248" i="3" s="1"/>
  <c r="AW248" i="3" a="1"/>
  <c r="AW248" i="3" s="1"/>
  <c r="AX247" i="3" a="1"/>
  <c r="AX247" i="3" s="1"/>
  <c r="AW247" i="3" a="1"/>
  <c r="AW247" i="3" s="1"/>
  <c r="AX246" i="3" a="1"/>
  <c r="AX246" i="3" s="1"/>
  <c r="AW246" i="3" a="1"/>
  <c r="AW246" i="3" s="1"/>
  <c r="AX245" i="3" a="1"/>
  <c r="AX245" i="3" s="1"/>
  <c r="AW245" i="3" a="1"/>
  <c r="AW245" i="3" s="1"/>
  <c r="AX244" i="3" a="1"/>
  <c r="AX244" i="3" s="1"/>
  <c r="AW244" i="3" a="1"/>
  <c r="AW244" i="3" s="1"/>
  <c r="AX243" i="3" a="1"/>
  <c r="AX243" i="3" s="1"/>
  <c r="AW243" i="3" a="1"/>
  <c r="AW243" i="3" s="1"/>
  <c r="AX242" i="3" a="1"/>
  <c r="AX242" i="3" s="1"/>
  <c r="AW242" i="3" a="1"/>
  <c r="AW242" i="3" s="1"/>
  <c r="AX241" i="3" a="1"/>
  <c r="AX241" i="3" s="1"/>
  <c r="AW241" i="3" a="1"/>
  <c r="AW241" i="3" s="1"/>
  <c r="AX240" i="3" a="1"/>
  <c r="AX240" i="3" s="1"/>
  <c r="AW240" i="3" a="1"/>
  <c r="AW240" i="3" s="1"/>
  <c r="AX239" i="3" a="1"/>
  <c r="AX239" i="3" s="1"/>
  <c r="AW239" i="3" a="1"/>
  <c r="AW239" i="3" s="1"/>
  <c r="AX238" i="3" a="1"/>
  <c r="AX238" i="3" s="1"/>
  <c r="AW238" i="3" a="1"/>
  <c r="AW238" i="3" s="1"/>
  <c r="AX237" i="3" a="1"/>
  <c r="AX237" i="3" s="1"/>
  <c r="AW237" i="3" a="1"/>
  <c r="AW237" i="3" s="1"/>
  <c r="AX236" i="3" a="1"/>
  <c r="AX236" i="3" s="1"/>
  <c r="AW236" i="3" a="1"/>
  <c r="AW236" i="3" s="1"/>
  <c r="AX235" i="3" a="1"/>
  <c r="AX235" i="3" s="1"/>
  <c r="AW235" i="3" a="1"/>
  <c r="AW235" i="3" s="1"/>
  <c r="AX234" i="3" a="1"/>
  <c r="AX234" i="3" s="1"/>
  <c r="AW234" i="3" a="1"/>
  <c r="AW234" i="3" s="1"/>
  <c r="AX233" i="3" a="1"/>
  <c r="AX233" i="3" s="1"/>
  <c r="AW233" i="3" a="1"/>
  <c r="AW233" i="3" s="1"/>
  <c r="AX232" i="3" a="1"/>
  <c r="AX232" i="3" s="1"/>
  <c r="AW232" i="3" a="1"/>
  <c r="AW232" i="3" s="1"/>
  <c r="AX231" i="3" a="1"/>
  <c r="AX231" i="3" s="1"/>
  <c r="AW231" i="3" a="1"/>
  <c r="AW231" i="3" s="1"/>
  <c r="AX230" i="3" a="1"/>
  <c r="AX230" i="3" s="1"/>
  <c r="AW230" i="3" a="1"/>
  <c r="AW230" i="3" s="1"/>
  <c r="AX229" i="3" a="1"/>
  <c r="AX229" i="3" s="1"/>
  <c r="AW229" i="3" a="1"/>
  <c r="AW229" i="3" s="1"/>
  <c r="AX227" i="3" a="1"/>
  <c r="AX227" i="3" s="1"/>
  <c r="AW227" i="3" a="1"/>
  <c r="AW227" i="3" s="1"/>
  <c r="AX226" i="3" a="1"/>
  <c r="AX226" i="3" s="1"/>
  <c r="AW226" i="3" a="1"/>
  <c r="AW226" i="3" s="1"/>
  <c r="AX225" i="3" a="1"/>
  <c r="AX225" i="3" s="1"/>
  <c r="AW225" i="3" a="1"/>
  <c r="AW225" i="3" s="1"/>
  <c r="AX224" i="3" a="1"/>
  <c r="AX224" i="3" s="1"/>
  <c r="AW224" i="3" a="1"/>
  <c r="AW224" i="3" s="1"/>
  <c r="AX223" i="3" a="1"/>
  <c r="AX223" i="3" s="1"/>
  <c r="AW223" i="3" a="1"/>
  <c r="AW223" i="3" s="1"/>
  <c r="AX222" i="3" a="1"/>
  <c r="AX222" i="3" s="1"/>
  <c r="AW222" i="3" a="1"/>
  <c r="AW222" i="3" s="1"/>
  <c r="AX221" i="3" a="1"/>
  <c r="AX221" i="3" s="1"/>
  <c r="AW221" i="3" a="1"/>
  <c r="AW221" i="3" s="1"/>
  <c r="AX220" i="3" a="1"/>
  <c r="AX220" i="3" s="1"/>
  <c r="AW220" i="3" a="1"/>
  <c r="AW220" i="3" s="1"/>
  <c r="AX219" i="3" a="1"/>
  <c r="AX219" i="3" s="1"/>
  <c r="AW219" i="3" a="1"/>
  <c r="AW219" i="3" s="1"/>
  <c r="AX218" i="3" a="1"/>
  <c r="AX218" i="3" s="1"/>
  <c r="AW218" i="3" a="1"/>
  <c r="AW218" i="3" s="1"/>
  <c r="AX217" i="3" a="1"/>
  <c r="AX217" i="3" s="1"/>
  <c r="AW217" i="3" a="1"/>
  <c r="AW217" i="3" s="1"/>
  <c r="AX216" i="3" a="1"/>
  <c r="AX216" i="3" s="1"/>
  <c r="AW216" i="3" a="1"/>
  <c r="AW216" i="3" s="1"/>
  <c r="AX215" i="3" a="1"/>
  <c r="AX215" i="3" s="1"/>
  <c r="AW215" i="3" a="1"/>
  <c r="AW215" i="3" s="1"/>
  <c r="AX214" i="3" a="1"/>
  <c r="AX214" i="3" s="1"/>
  <c r="AW214" i="3" a="1"/>
  <c r="AW214" i="3" s="1"/>
  <c r="AX213" i="3" a="1"/>
  <c r="AX213" i="3" s="1"/>
  <c r="AW213" i="3" a="1"/>
  <c r="AW213" i="3" s="1"/>
  <c r="AX212" i="3" a="1"/>
  <c r="AX212" i="3" s="1"/>
  <c r="AW212" i="3" a="1"/>
  <c r="AW212" i="3" s="1"/>
  <c r="AX211" i="3" a="1"/>
  <c r="AX211" i="3" s="1"/>
  <c r="AW211" i="3" a="1"/>
  <c r="AW211" i="3" s="1"/>
  <c r="AX210" i="3" a="1"/>
  <c r="AX210" i="3" s="1"/>
  <c r="AW210" i="3" a="1"/>
  <c r="AW210" i="3" s="1"/>
  <c r="AX209" i="3" a="1"/>
  <c r="AX209" i="3" s="1"/>
  <c r="AW209" i="3" a="1"/>
  <c r="AW209" i="3" s="1"/>
  <c r="AX208" i="3" a="1"/>
  <c r="AX208" i="3" s="1"/>
  <c r="AW208" i="3" a="1"/>
  <c r="AW208" i="3" s="1"/>
  <c r="AX207" i="3" a="1"/>
  <c r="AX207" i="3" s="1"/>
  <c r="AW207" i="3" a="1"/>
  <c r="AW207" i="3" s="1"/>
  <c r="AX206" i="3" a="1"/>
  <c r="AX206" i="3" s="1"/>
  <c r="AW206" i="3" a="1"/>
  <c r="AW206" i="3" s="1"/>
  <c r="AX205" i="3" a="1"/>
  <c r="AX205" i="3" s="1"/>
  <c r="AW205" i="3" a="1"/>
  <c r="AW205" i="3" s="1"/>
  <c r="AX204" i="3" a="1"/>
  <c r="AX204" i="3" s="1"/>
  <c r="AW204" i="3" a="1"/>
  <c r="AW204" i="3" s="1"/>
  <c r="AX203" i="3" a="1"/>
  <c r="AX203" i="3" s="1"/>
  <c r="AW203" i="3" a="1"/>
  <c r="AW203" i="3" s="1"/>
  <c r="AX202" i="3" a="1"/>
  <c r="AX202" i="3" s="1"/>
  <c r="AW202" i="3" a="1"/>
  <c r="AW202" i="3" s="1"/>
  <c r="AX201" i="3" a="1"/>
  <c r="AX201" i="3" s="1"/>
  <c r="AW201" i="3" a="1"/>
  <c r="AW201" i="3" s="1"/>
  <c r="AX200" i="3" a="1"/>
  <c r="AX200" i="3" s="1"/>
  <c r="AW200" i="3" a="1"/>
  <c r="AW200" i="3" s="1"/>
  <c r="AX199" i="3" a="1"/>
  <c r="AX199" i="3" s="1"/>
  <c r="AW199" i="3" a="1"/>
  <c r="AW199" i="3" s="1"/>
  <c r="AX198" i="3" a="1"/>
  <c r="AX198" i="3" s="1"/>
  <c r="AW198" i="3" a="1"/>
  <c r="AW198" i="3" s="1"/>
  <c r="AX197" i="3" a="1"/>
  <c r="AX197" i="3" s="1"/>
  <c r="AW197" i="3" a="1"/>
  <c r="AW197" i="3" s="1"/>
  <c r="AX196" i="3" a="1"/>
  <c r="AX196" i="3" s="1"/>
  <c r="AW196" i="3" a="1"/>
  <c r="AW196" i="3" s="1"/>
  <c r="AX195" i="3" a="1"/>
  <c r="AX195" i="3" s="1"/>
  <c r="AW195" i="3" a="1"/>
  <c r="AW195" i="3" s="1"/>
  <c r="AX194" i="3" a="1"/>
  <c r="AX194" i="3" s="1"/>
  <c r="AW194" i="3" a="1"/>
  <c r="AW194" i="3" s="1"/>
  <c r="AX193" i="3" a="1"/>
  <c r="AX193" i="3" s="1"/>
  <c r="AW193" i="3" a="1"/>
  <c r="AW193" i="3" s="1"/>
  <c r="AX192" i="3" a="1"/>
  <c r="AX192" i="3" s="1"/>
  <c r="AW192" i="3" a="1"/>
  <c r="AW192" i="3" s="1"/>
  <c r="AX191" i="3" a="1"/>
  <c r="AX191" i="3" s="1"/>
  <c r="AW191" i="3" a="1"/>
  <c r="AW191" i="3" s="1"/>
  <c r="AX190" i="3" a="1"/>
  <c r="AX190" i="3" s="1"/>
  <c r="AW190" i="3" a="1"/>
  <c r="AW190" i="3" s="1"/>
  <c r="AX189" i="3" a="1"/>
  <c r="AX189" i="3" s="1"/>
  <c r="AW189" i="3" a="1"/>
  <c r="AW189" i="3" s="1"/>
  <c r="AX188" i="3" a="1"/>
  <c r="AX188" i="3" s="1"/>
  <c r="AW188" i="3" a="1"/>
  <c r="AW188" i="3" s="1"/>
  <c r="AX187" i="3" a="1"/>
  <c r="AX187" i="3" s="1"/>
  <c r="AW187" i="3" a="1"/>
  <c r="AW187" i="3" s="1"/>
  <c r="AX186" i="3" a="1"/>
  <c r="AX186" i="3" s="1"/>
  <c r="AW186" i="3" a="1"/>
  <c r="AW186" i="3" s="1"/>
  <c r="AX185" i="3" a="1"/>
  <c r="AX185" i="3" s="1"/>
  <c r="AW185" i="3" a="1"/>
  <c r="AW185" i="3" s="1"/>
  <c r="AX184" i="3" a="1"/>
  <c r="AX184" i="3" s="1"/>
  <c r="AW184" i="3" a="1"/>
  <c r="AW184" i="3" s="1"/>
  <c r="AX183" i="3" a="1"/>
  <c r="AX183" i="3" s="1"/>
  <c r="AW183" i="3" a="1"/>
  <c r="AW183" i="3" s="1"/>
  <c r="AX182" i="3" a="1"/>
  <c r="AX182" i="3" s="1"/>
  <c r="AW182" i="3" a="1"/>
  <c r="AW182" i="3" s="1"/>
  <c r="AX181" i="3" a="1"/>
  <c r="AX181" i="3" s="1"/>
  <c r="AW181" i="3" a="1"/>
  <c r="AW181" i="3" s="1"/>
  <c r="AX180" i="3" a="1"/>
  <c r="AX180" i="3" s="1"/>
  <c r="AW180" i="3" a="1"/>
  <c r="AW180" i="3" s="1"/>
  <c r="AX179" i="3" a="1"/>
  <c r="AX179" i="3" s="1"/>
  <c r="AW179" i="3" a="1"/>
  <c r="AW179" i="3" s="1"/>
  <c r="AX178" i="3" a="1"/>
  <c r="AX178" i="3" s="1"/>
  <c r="AW178" i="3" a="1"/>
  <c r="AW178" i="3" s="1"/>
  <c r="AX177" i="3" a="1"/>
  <c r="AX177" i="3" s="1"/>
  <c r="AW177" i="3" a="1"/>
  <c r="AW177" i="3" s="1"/>
  <c r="AX176" i="3" a="1"/>
  <c r="AX176" i="3" s="1"/>
  <c r="AW176" i="3" a="1"/>
  <c r="AW176" i="3" s="1"/>
  <c r="AX175" i="3" a="1"/>
  <c r="AX175" i="3" s="1"/>
  <c r="AW175" i="3" a="1"/>
  <c r="AW175" i="3" s="1"/>
  <c r="AX174" i="3" a="1"/>
  <c r="AX174" i="3" s="1"/>
  <c r="AW174" i="3" a="1"/>
  <c r="AW174" i="3" s="1"/>
  <c r="AX173" i="3" a="1"/>
  <c r="AX173" i="3" s="1"/>
  <c r="AW173" i="3" a="1"/>
  <c r="AW173" i="3" s="1"/>
  <c r="AX172" i="3" a="1"/>
  <c r="AX172" i="3" s="1"/>
  <c r="AW172" i="3" a="1"/>
  <c r="AW172" i="3" s="1"/>
  <c r="AX171" i="3" a="1"/>
  <c r="AX171" i="3" s="1"/>
  <c r="AW171" i="3" a="1"/>
  <c r="AW171" i="3" s="1"/>
  <c r="AX170" i="3" a="1"/>
  <c r="AX170" i="3" s="1"/>
  <c r="AW170" i="3" a="1"/>
  <c r="AW170" i="3" s="1"/>
  <c r="AX169" i="3" a="1"/>
  <c r="AX169" i="3" s="1"/>
  <c r="AW169" i="3" a="1"/>
  <c r="AW169" i="3" s="1"/>
  <c r="AX168" i="3" a="1"/>
  <c r="AX168" i="3" s="1"/>
  <c r="AW168" i="3" a="1"/>
  <c r="AW168" i="3" s="1"/>
  <c r="AX167" i="3" a="1"/>
  <c r="AX167" i="3" s="1"/>
  <c r="AW167" i="3" a="1"/>
  <c r="AW167" i="3" s="1"/>
  <c r="AX166" i="3" a="1"/>
  <c r="AX166" i="3" s="1"/>
  <c r="AW166" i="3" a="1"/>
  <c r="AW166" i="3" s="1"/>
  <c r="AX165" i="3" a="1"/>
  <c r="AX165" i="3" s="1"/>
  <c r="AW165" i="3" a="1"/>
  <c r="AW165" i="3" s="1"/>
  <c r="AX164" i="3" a="1"/>
  <c r="AX164" i="3" s="1"/>
  <c r="AW164" i="3" a="1"/>
  <c r="AW164" i="3" s="1"/>
  <c r="AX163" i="3" a="1"/>
  <c r="AX163" i="3" s="1"/>
  <c r="AW163" i="3" a="1"/>
  <c r="AW163" i="3" s="1"/>
  <c r="AX162" i="3" a="1"/>
  <c r="AX162" i="3" s="1"/>
  <c r="AW162" i="3" a="1"/>
  <c r="AW162" i="3" s="1"/>
  <c r="AX161" i="3" a="1"/>
  <c r="AX161" i="3" s="1"/>
  <c r="AW161" i="3" a="1"/>
  <c r="AW161" i="3" s="1"/>
  <c r="AX160" i="3" a="1"/>
  <c r="AX160" i="3" s="1"/>
  <c r="AW160" i="3" a="1"/>
  <c r="AW160" i="3" s="1"/>
  <c r="AX159" i="3" a="1"/>
  <c r="AX159" i="3" s="1"/>
  <c r="AW159" i="3" a="1"/>
  <c r="AW159" i="3" s="1"/>
  <c r="AX158" i="3" a="1"/>
  <c r="AX158" i="3" s="1"/>
  <c r="AW158" i="3" a="1"/>
  <c r="AW158" i="3" s="1"/>
  <c r="AX157" i="3" a="1"/>
  <c r="AX157" i="3" s="1"/>
  <c r="AW157" i="3" a="1"/>
  <c r="AW157" i="3" s="1"/>
  <c r="AX156" i="3" a="1"/>
  <c r="AX156" i="3" s="1"/>
  <c r="AW156" i="3" a="1"/>
  <c r="AW156" i="3" s="1"/>
  <c r="AX155" i="3" a="1"/>
  <c r="AX155" i="3" s="1"/>
  <c r="AW155" i="3" a="1"/>
  <c r="AW155" i="3" s="1"/>
  <c r="AX154" i="3" a="1"/>
  <c r="AX154" i="3" s="1"/>
  <c r="AW154" i="3" a="1"/>
  <c r="AW154" i="3" s="1"/>
  <c r="AX153" i="3" a="1"/>
  <c r="AX153" i="3" s="1"/>
  <c r="AW153" i="3" a="1"/>
  <c r="AW153" i="3" s="1"/>
  <c r="AX152" i="3" a="1"/>
  <c r="AX152" i="3" s="1"/>
  <c r="AW152" i="3" a="1"/>
  <c r="AW152" i="3" s="1"/>
  <c r="AX151" i="3" a="1"/>
  <c r="AX151" i="3" s="1"/>
  <c r="AW151" i="3" a="1"/>
  <c r="AW151" i="3" s="1"/>
  <c r="AX150" i="3" a="1"/>
  <c r="AX150" i="3" s="1"/>
  <c r="AW150" i="3" a="1"/>
  <c r="AW150" i="3" s="1"/>
  <c r="AX149" i="3" a="1"/>
  <c r="AX149" i="3" s="1"/>
  <c r="AW149" i="3" a="1"/>
  <c r="AW149" i="3" s="1"/>
  <c r="AX148" i="3" a="1"/>
  <c r="AX148" i="3" s="1"/>
  <c r="AW148" i="3" a="1"/>
  <c r="AW148" i="3" s="1"/>
  <c r="AX147" i="3" a="1"/>
  <c r="AX147" i="3" s="1"/>
  <c r="AW147" i="3" a="1"/>
  <c r="AW147" i="3" s="1"/>
  <c r="AX146" i="3" a="1"/>
  <c r="AX146" i="3" s="1"/>
  <c r="AW146" i="3" a="1"/>
  <c r="AW146" i="3" s="1"/>
  <c r="AX145" i="3" a="1"/>
  <c r="AX145" i="3" s="1"/>
  <c r="AW145" i="3" a="1"/>
  <c r="AW145" i="3" s="1"/>
  <c r="AX144" i="3" a="1"/>
  <c r="AX144" i="3" s="1"/>
  <c r="AW144" i="3" a="1"/>
  <c r="AW144" i="3" s="1"/>
  <c r="AX143" i="3" a="1"/>
  <c r="AX143" i="3" s="1"/>
  <c r="AW143" i="3" a="1"/>
  <c r="AW143" i="3" s="1"/>
  <c r="AX142" i="3" a="1"/>
  <c r="AX142" i="3" s="1"/>
  <c r="AW142" i="3" a="1"/>
  <c r="AW142" i="3" s="1"/>
  <c r="AX141" i="3" a="1"/>
  <c r="AX141" i="3" s="1"/>
  <c r="AW141" i="3" a="1"/>
  <c r="AW141" i="3" s="1"/>
  <c r="AX140" i="3" a="1"/>
  <c r="AX140" i="3" s="1"/>
  <c r="AW140" i="3" a="1"/>
  <c r="AW140" i="3" s="1"/>
  <c r="AX139" i="3" a="1"/>
  <c r="AX139" i="3" s="1"/>
  <c r="AX138" i="3" a="1"/>
  <c r="AX138" i="3" s="1"/>
  <c r="AW138" i="3" a="1"/>
  <c r="AW138" i="3" s="1"/>
  <c r="AX137" i="3" a="1"/>
  <c r="AX137" i="3" s="1"/>
  <c r="AX136" i="3" a="1"/>
  <c r="AX136" i="3" s="1"/>
  <c r="AW136" i="3" a="1"/>
  <c r="AW136" i="3" s="1"/>
  <c r="AX135" i="3" a="1"/>
  <c r="AX135" i="3" s="1"/>
  <c r="AW135" i="3" a="1"/>
  <c r="AW135" i="3" s="1"/>
  <c r="AX134" i="3" a="1"/>
  <c r="AX134" i="3" s="1"/>
  <c r="AW134" i="3" a="1"/>
  <c r="AW134" i="3" s="1"/>
  <c r="AX133" i="3" a="1"/>
  <c r="AX133" i="3" s="1"/>
  <c r="AW133" i="3" a="1"/>
  <c r="AW133" i="3" s="1"/>
  <c r="AX132" i="3" a="1"/>
  <c r="AX132" i="3" s="1"/>
  <c r="AW132" i="3" a="1"/>
  <c r="AW132" i="3" s="1"/>
  <c r="AX131" i="3" a="1"/>
  <c r="AX131" i="3" s="1"/>
  <c r="AW131" i="3" a="1"/>
  <c r="AW131" i="3" s="1"/>
  <c r="AX130" i="3" a="1"/>
  <c r="AX130" i="3" s="1"/>
  <c r="AW130" i="3" a="1"/>
  <c r="AW130" i="3" s="1"/>
  <c r="AX129" i="3" a="1"/>
  <c r="AX129" i="3" s="1"/>
  <c r="AW129" i="3" a="1"/>
  <c r="AW129" i="3" s="1"/>
  <c r="AX128" i="3" a="1"/>
  <c r="AX128" i="3" s="1"/>
  <c r="AW128" i="3" a="1"/>
  <c r="AW128" i="3" s="1"/>
  <c r="AX127" i="3" a="1"/>
  <c r="AX127" i="3" s="1"/>
  <c r="AW127" i="3" a="1"/>
  <c r="AW127" i="3" s="1"/>
  <c r="AX126" i="3" a="1"/>
  <c r="AX126" i="3" s="1"/>
  <c r="AW126" i="3" a="1"/>
  <c r="AW126" i="3" s="1"/>
  <c r="AX125" i="3" a="1"/>
  <c r="AX125" i="3" s="1"/>
  <c r="AW125" i="3" a="1"/>
  <c r="AW125" i="3" s="1"/>
  <c r="AX124" i="3" a="1"/>
  <c r="AX124" i="3" s="1"/>
  <c r="AW124" i="3" a="1"/>
  <c r="AW124" i="3" s="1"/>
  <c r="AX123" i="3" a="1"/>
  <c r="AX123" i="3" s="1"/>
  <c r="AW123" i="3" a="1"/>
  <c r="AW123" i="3" s="1"/>
  <c r="AX122" i="3" a="1"/>
  <c r="AX122" i="3" s="1"/>
  <c r="AW122" i="3" a="1"/>
  <c r="AW122" i="3" s="1"/>
  <c r="AX121" i="3" a="1"/>
  <c r="AX121" i="3" s="1"/>
  <c r="AW121" i="3" a="1"/>
  <c r="AW121" i="3" s="1"/>
  <c r="AX120" i="3" a="1"/>
  <c r="AX120" i="3" s="1"/>
  <c r="AW120" i="3" a="1"/>
  <c r="AW120" i="3" s="1"/>
  <c r="AX119" i="3" a="1"/>
  <c r="AX119" i="3" s="1"/>
  <c r="AW119" i="3" a="1"/>
  <c r="AW119" i="3" s="1"/>
  <c r="AX118" i="3" a="1"/>
  <c r="AX118" i="3" s="1"/>
  <c r="AW118" i="3" a="1"/>
  <c r="AW118" i="3" s="1"/>
  <c r="AX117" i="3" a="1"/>
  <c r="AX117" i="3" s="1"/>
  <c r="AW117" i="3" a="1"/>
  <c r="AW117" i="3" s="1"/>
  <c r="AX116" i="3" a="1"/>
  <c r="AX116" i="3" s="1"/>
  <c r="AW116" i="3" a="1"/>
  <c r="AW116" i="3" s="1"/>
  <c r="AX115" i="3" a="1"/>
  <c r="AX115" i="3" s="1"/>
  <c r="AW115" i="3" a="1"/>
  <c r="AW115" i="3" s="1"/>
  <c r="AX114" i="3" a="1"/>
  <c r="AX114" i="3" s="1"/>
  <c r="AW114" i="3" a="1"/>
  <c r="AW114" i="3" s="1"/>
  <c r="AX113" i="3" a="1"/>
  <c r="AX113" i="3" s="1"/>
  <c r="AW113" i="3" a="1"/>
  <c r="AW113" i="3" s="1"/>
  <c r="AX112" i="3" a="1"/>
  <c r="AX112" i="3" s="1"/>
  <c r="AW112" i="3" a="1"/>
  <c r="AW112" i="3" s="1"/>
  <c r="AX111" i="3" a="1"/>
  <c r="AX111" i="3" s="1"/>
  <c r="AW111" i="3" a="1"/>
  <c r="AW111" i="3" s="1"/>
  <c r="AX110" i="3" a="1"/>
  <c r="AX110" i="3" s="1"/>
  <c r="AW110" i="3" a="1"/>
  <c r="AW110" i="3" s="1"/>
  <c r="AX109" i="3" a="1"/>
  <c r="AX109" i="3" s="1"/>
  <c r="AX108" i="3" a="1"/>
  <c r="AX108" i="3" s="1"/>
  <c r="AW108" i="3" a="1"/>
  <c r="AW108" i="3" s="1"/>
  <c r="AX107" i="3" a="1"/>
  <c r="AX107" i="3" s="1"/>
  <c r="AW107" i="3" a="1"/>
  <c r="AW107" i="3" s="1"/>
  <c r="AX106" i="3" a="1"/>
  <c r="AX106" i="3" s="1"/>
  <c r="AX105" i="3" a="1"/>
  <c r="AX105" i="3" s="1"/>
  <c r="AW105" i="3" a="1"/>
  <c r="AW105" i="3" s="1"/>
  <c r="AX104" i="3" a="1"/>
  <c r="AX104" i="3" s="1"/>
  <c r="AW104" i="3" a="1"/>
  <c r="AW104" i="3" s="1"/>
  <c r="AX103" i="3" a="1"/>
  <c r="AX103" i="3" s="1"/>
  <c r="AX102" i="3" a="1"/>
  <c r="AX102" i="3" s="1"/>
  <c r="AX101" i="3" a="1"/>
  <c r="AX101" i="3" s="1"/>
  <c r="AX100" i="3" a="1"/>
  <c r="AX100" i="3" s="1"/>
  <c r="AX99" i="3" a="1"/>
  <c r="AX99" i="3" s="1"/>
  <c r="AX98" i="3" a="1"/>
  <c r="AX98" i="3" s="1"/>
  <c r="AX97" i="3" a="1"/>
  <c r="AX97" i="3" s="1"/>
  <c r="AX96" i="3" a="1"/>
  <c r="AX96" i="3" s="1"/>
  <c r="AX95" i="3" a="1"/>
  <c r="AX95" i="3" s="1"/>
  <c r="AX94" i="3" a="1"/>
  <c r="AX94" i="3" s="1"/>
  <c r="AW94" i="3" a="1"/>
  <c r="AW94" i="3" s="1"/>
  <c r="AX93" i="3" a="1"/>
  <c r="AX93" i="3" s="1"/>
  <c r="AX92" i="3" a="1"/>
  <c r="AX92" i="3" s="1"/>
  <c r="AX91" i="3" a="1"/>
  <c r="AX91" i="3" s="1"/>
  <c r="AX90" i="3" a="1"/>
  <c r="AX90" i="3" s="1"/>
  <c r="AX89" i="3" a="1"/>
  <c r="AX89" i="3" s="1"/>
  <c r="AW89" i="3" a="1"/>
  <c r="AW89" i="3" s="1"/>
  <c r="AX88" i="3" a="1"/>
  <c r="AX88" i="3" s="1"/>
  <c r="AX87" i="3" a="1"/>
  <c r="AX87" i="3" s="1"/>
  <c r="AX86" i="3" a="1"/>
  <c r="AX86" i="3" s="1"/>
  <c r="AX85" i="3" a="1"/>
  <c r="AX85" i="3" s="1"/>
  <c r="AX84" i="3" a="1"/>
  <c r="AX84" i="3" s="1"/>
  <c r="AW84" i="3" a="1"/>
  <c r="AW84" i="3" s="1"/>
  <c r="AX83" i="3" a="1"/>
  <c r="AX83" i="3" s="1"/>
  <c r="AW83" i="3" a="1"/>
  <c r="AW83" i="3" s="1"/>
  <c r="AX82" i="3" a="1"/>
  <c r="AX82" i="3" s="1"/>
  <c r="AW82" i="3" a="1"/>
  <c r="AW82" i="3" s="1"/>
  <c r="AX81" i="3" a="1"/>
  <c r="AX81" i="3" s="1"/>
  <c r="AW81" i="3" a="1"/>
  <c r="AW81" i="3" s="1"/>
  <c r="AX80" i="3" a="1"/>
  <c r="AX80" i="3" s="1"/>
  <c r="AW80" i="3" a="1"/>
  <c r="AW80" i="3" s="1"/>
  <c r="AX79" i="3" a="1"/>
  <c r="AX79" i="3" s="1"/>
  <c r="AW79" i="3" a="1"/>
  <c r="AW79" i="3" s="1"/>
  <c r="AX78" i="3" a="1"/>
  <c r="AX78" i="3" s="1"/>
  <c r="AW78" i="3" a="1"/>
  <c r="AW78" i="3" s="1"/>
  <c r="AX77" i="3" a="1"/>
  <c r="AX77" i="3" s="1"/>
  <c r="AW77" i="3" a="1"/>
  <c r="AW77" i="3" s="1"/>
  <c r="AX76" i="3" a="1"/>
  <c r="AX76" i="3" s="1"/>
  <c r="AW76" i="3" a="1"/>
  <c r="AW76" i="3" s="1"/>
  <c r="AX75" i="3" a="1"/>
  <c r="AX75" i="3" s="1"/>
  <c r="AW75" i="3" a="1"/>
  <c r="AW75" i="3" s="1"/>
  <c r="AX74" i="3" a="1"/>
  <c r="AX74" i="3" s="1"/>
  <c r="AW74" i="3" a="1"/>
  <c r="AW74" i="3" s="1"/>
  <c r="AX73" i="3" a="1"/>
  <c r="AX73" i="3" s="1"/>
  <c r="AW73" i="3" a="1"/>
  <c r="AW73" i="3" s="1"/>
  <c r="AX72" i="3" a="1"/>
  <c r="AX72" i="3" s="1"/>
  <c r="AW72" i="3" a="1"/>
  <c r="AW72" i="3" s="1"/>
  <c r="AX71" i="3" a="1"/>
  <c r="AX71" i="3" s="1"/>
  <c r="AW71" i="3" a="1"/>
  <c r="AW71" i="3" s="1"/>
  <c r="AX70" i="3" a="1"/>
  <c r="AX70" i="3" s="1"/>
  <c r="AW70" i="3" a="1"/>
  <c r="AW70" i="3" s="1"/>
  <c r="AX69" i="3" a="1"/>
  <c r="AX69" i="3" s="1"/>
  <c r="AW69" i="3" a="1"/>
  <c r="AW69" i="3" s="1"/>
  <c r="AX68" i="3" a="1"/>
  <c r="AX68" i="3" s="1"/>
  <c r="AW68" i="3" a="1"/>
  <c r="AW68" i="3" s="1"/>
  <c r="AX67" i="3" a="1"/>
  <c r="AX67" i="3" s="1"/>
  <c r="AW67" i="3" a="1"/>
  <c r="AW67" i="3" s="1"/>
  <c r="AX66" i="3" a="1"/>
  <c r="AX66" i="3" s="1"/>
  <c r="AW66" i="3" a="1"/>
  <c r="AW66" i="3" s="1"/>
  <c r="AX65" i="3" a="1"/>
  <c r="AX65" i="3" s="1"/>
  <c r="AW65" i="3" a="1"/>
  <c r="AW65" i="3" s="1"/>
  <c r="AX64" i="3" a="1"/>
  <c r="AX64" i="3" s="1"/>
  <c r="AW64" i="3" a="1"/>
  <c r="AW64" i="3" s="1"/>
  <c r="AX63" i="3" a="1"/>
  <c r="AX63" i="3" s="1"/>
  <c r="AW63" i="3" a="1"/>
  <c r="AW63" i="3" s="1"/>
  <c r="AX62" i="3" a="1"/>
  <c r="AX62" i="3" s="1"/>
  <c r="AW62" i="3" a="1"/>
  <c r="AW62" i="3" s="1"/>
  <c r="AX61" i="3" a="1"/>
  <c r="AX61" i="3" s="1"/>
  <c r="AW61" i="3" a="1"/>
  <c r="AW61" i="3" s="1"/>
  <c r="AX60" i="3" a="1"/>
  <c r="AX60" i="3" s="1"/>
  <c r="AW60" i="3" a="1"/>
  <c r="AW60" i="3" s="1"/>
  <c r="AX59" i="3" a="1"/>
  <c r="AX59" i="3" s="1"/>
  <c r="AW59" i="3" a="1"/>
  <c r="AW59" i="3" s="1"/>
  <c r="AX58" i="3" a="1"/>
  <c r="AX58" i="3" s="1"/>
  <c r="AW58" i="3" a="1"/>
  <c r="AW58" i="3" s="1"/>
  <c r="AX57" i="3" a="1"/>
  <c r="AX57" i="3" s="1"/>
  <c r="AW57" i="3" a="1"/>
  <c r="AW57" i="3" s="1"/>
  <c r="AX56" i="3" a="1"/>
  <c r="AX56" i="3" s="1"/>
  <c r="AW56" i="3" a="1"/>
  <c r="AW56" i="3" s="1"/>
  <c r="AX55" i="3" a="1"/>
  <c r="AX55" i="3" s="1"/>
  <c r="AW55" i="3" a="1"/>
  <c r="AW55" i="3" s="1"/>
  <c r="AX54" i="3" a="1"/>
  <c r="AX54" i="3" s="1"/>
  <c r="AW54" i="3" a="1"/>
  <c r="AW54" i="3" s="1"/>
  <c r="AX53" i="3" a="1"/>
  <c r="AX53" i="3" s="1"/>
  <c r="AW53" i="3" a="1"/>
  <c r="AW53" i="3" s="1"/>
  <c r="AX52" i="3" a="1"/>
  <c r="AX52" i="3" s="1"/>
  <c r="AW52" i="3" a="1"/>
  <c r="AW52" i="3" s="1"/>
  <c r="AX51" i="3" a="1"/>
  <c r="AX51" i="3" s="1"/>
  <c r="AW51" i="3" a="1"/>
  <c r="AW51" i="3" s="1"/>
  <c r="AX50" i="3" a="1"/>
  <c r="AX50" i="3" s="1"/>
  <c r="AW50" i="3" a="1"/>
  <c r="AW50" i="3" s="1"/>
  <c r="AX49" i="3" a="1"/>
  <c r="AX49" i="3" s="1"/>
  <c r="AW49" i="3" a="1"/>
  <c r="AW49" i="3" s="1"/>
  <c r="AX48" i="3" a="1"/>
  <c r="AX48" i="3" s="1"/>
  <c r="AW48" i="3" a="1"/>
  <c r="AW48" i="3" s="1"/>
  <c r="AX47" i="3" a="1"/>
  <c r="AX47" i="3" s="1"/>
  <c r="AW47" i="3" a="1"/>
  <c r="AW47" i="3" s="1"/>
  <c r="AX46" i="3" a="1"/>
  <c r="AX46" i="3" s="1"/>
  <c r="AW46" i="3" a="1"/>
  <c r="AW46" i="3" s="1"/>
  <c r="AX45" i="3" a="1"/>
  <c r="AX45" i="3" s="1"/>
  <c r="AW45" i="3" a="1"/>
  <c r="AW45" i="3" s="1"/>
  <c r="AX44" i="3" a="1"/>
  <c r="AX44" i="3" s="1"/>
  <c r="AW44" i="3" a="1"/>
  <c r="AW44" i="3" s="1"/>
  <c r="AX43" i="3" a="1"/>
  <c r="AX43" i="3" s="1"/>
  <c r="AW43" i="3" a="1"/>
  <c r="AW43" i="3" s="1"/>
  <c r="AX42" i="3" a="1"/>
  <c r="AX42" i="3" s="1"/>
  <c r="AW42" i="3" a="1"/>
  <c r="AW42" i="3" s="1"/>
  <c r="AX41" i="3" a="1"/>
  <c r="AX41" i="3" s="1"/>
  <c r="AW41" i="3" a="1"/>
  <c r="AW41" i="3" s="1"/>
  <c r="AX40" i="3" a="1"/>
  <c r="AX40" i="3" s="1"/>
  <c r="AW40" i="3" a="1"/>
  <c r="AW40" i="3" s="1"/>
  <c r="AX39" i="3" a="1"/>
  <c r="AX39" i="3" s="1"/>
  <c r="AW39" i="3" a="1"/>
  <c r="AW39" i="3" s="1"/>
  <c r="AX38" i="3" a="1"/>
  <c r="AX38" i="3" s="1"/>
  <c r="AW38" i="3" a="1"/>
  <c r="AW38" i="3" s="1"/>
  <c r="AX37" i="3" a="1"/>
  <c r="AX37" i="3" s="1"/>
  <c r="AW37" i="3" a="1"/>
  <c r="AW37" i="3" s="1"/>
  <c r="AX36" i="3" a="1"/>
  <c r="AX36" i="3" s="1"/>
  <c r="AW36" i="3" a="1"/>
  <c r="AW36" i="3" s="1"/>
  <c r="AX35" i="3" a="1"/>
  <c r="AX35" i="3" s="1"/>
  <c r="AW35" i="3" a="1"/>
  <c r="AW35" i="3" s="1"/>
  <c r="AX34" i="3" a="1"/>
  <c r="AX34" i="3" s="1"/>
  <c r="AW34" i="3" a="1"/>
  <c r="AW34" i="3" s="1"/>
  <c r="AX33" i="3" a="1"/>
  <c r="AX33" i="3" s="1"/>
  <c r="AW33" i="3" a="1"/>
  <c r="AW33" i="3" s="1"/>
  <c r="AX32" i="3" a="1"/>
  <c r="AX32" i="3" s="1"/>
  <c r="AW32" i="3" a="1"/>
  <c r="AW32" i="3" s="1"/>
  <c r="AX31" i="3" a="1"/>
  <c r="AX31" i="3" s="1"/>
  <c r="AW31" i="3" a="1"/>
  <c r="AW31" i="3" s="1"/>
  <c r="AX30" i="3" a="1"/>
  <c r="AX30" i="3" s="1"/>
  <c r="AW30" i="3" a="1"/>
  <c r="AW30" i="3" s="1"/>
  <c r="AX29" i="3" a="1"/>
  <c r="AX29" i="3" s="1"/>
  <c r="AW29" i="3" a="1"/>
  <c r="AW29" i="3" s="1"/>
  <c r="AX28" i="3" a="1"/>
  <c r="AX28" i="3" s="1"/>
  <c r="AW28" i="3" a="1"/>
  <c r="AW28" i="3" s="1"/>
  <c r="AX27" i="3" a="1"/>
  <c r="AX27" i="3" s="1"/>
  <c r="AW27" i="3" a="1"/>
  <c r="AW27" i="3" s="1"/>
  <c r="AX26" i="3" a="1"/>
  <c r="AX26" i="3" s="1"/>
  <c r="AW26" i="3" a="1"/>
  <c r="AW26" i="3" s="1"/>
  <c r="AX25" i="3" a="1"/>
  <c r="AX25" i="3" s="1"/>
  <c r="AW25" i="3" a="1"/>
  <c r="AW25" i="3" s="1"/>
  <c r="AX24" i="3" a="1"/>
  <c r="AX24" i="3" s="1"/>
  <c r="AW24" i="3" a="1"/>
  <c r="AW24" i="3" s="1"/>
  <c r="AX23" i="3" a="1"/>
  <c r="AX23" i="3" s="1"/>
  <c r="AW23" i="3" a="1"/>
  <c r="AW23" i="3" s="1"/>
  <c r="AX22" i="3" a="1"/>
  <c r="AX22" i="3" s="1"/>
  <c r="AW22" i="3" a="1"/>
  <c r="AW22" i="3" s="1"/>
  <c r="AX21" i="3" a="1"/>
  <c r="AX21" i="3" s="1"/>
  <c r="AW21" i="3" a="1"/>
  <c r="AW21" i="3" s="1"/>
  <c r="AX20" i="3" a="1"/>
  <c r="AX20" i="3" s="1"/>
  <c r="AW20" i="3" a="1"/>
  <c r="AW20" i="3" s="1"/>
  <c r="AX19" i="3" a="1"/>
  <c r="AX19" i="3" s="1"/>
  <c r="AW19" i="3" a="1"/>
  <c r="AW19" i="3" s="1"/>
  <c r="AX18" i="3" a="1"/>
  <c r="AX18" i="3" s="1"/>
  <c r="AW18" i="3" a="1"/>
  <c r="AW18" i="3" s="1"/>
  <c r="AX17" i="3" a="1"/>
  <c r="AX17" i="3" s="1"/>
  <c r="AW17" i="3" a="1"/>
  <c r="AW17" i="3" s="1"/>
  <c r="AX16" i="3" a="1"/>
  <c r="AX16" i="3" s="1"/>
  <c r="AW16" i="3" a="1"/>
  <c r="AW16" i="3" s="1"/>
  <c r="AX15" i="3" a="1"/>
  <c r="AX15" i="3" s="1"/>
  <c r="AW15" i="3" a="1"/>
  <c r="AW15" i="3" s="1"/>
  <c r="AX14" i="3" a="1"/>
  <c r="AX14" i="3" s="1"/>
  <c r="AW14" i="3" a="1"/>
  <c r="AW14" i="3" s="1"/>
  <c r="AX13" i="3" a="1"/>
  <c r="AX13" i="3" s="1"/>
  <c r="AW13" i="3" a="1"/>
  <c r="AW13" i="3" s="1"/>
  <c r="AX12" i="3" a="1"/>
  <c r="AX12" i="3" s="1"/>
  <c r="AW12" i="3" a="1"/>
  <c r="AW12" i="3" s="1"/>
  <c r="AX11" i="3" a="1"/>
  <c r="AX11" i="3" s="1"/>
  <c r="AW11" i="3" a="1"/>
  <c r="AW11" i="3" s="1"/>
  <c r="AX10" i="3" a="1"/>
  <c r="AX10" i="3" s="1"/>
  <c r="AW10" i="3" a="1"/>
  <c r="AW10" i="3" s="1"/>
  <c r="AX9" i="3" a="1"/>
  <c r="AX9" i="3" s="1"/>
  <c r="AW9" i="3" a="1"/>
  <c r="AW9" i="3" s="1"/>
  <c r="AX8" i="3" a="1"/>
  <c r="AX8" i="3" s="1"/>
  <c r="AW8" i="3" a="1"/>
  <c r="AW8" i="3" s="1"/>
  <c r="AX7" i="3" a="1"/>
  <c r="AX7" i="3" s="1"/>
  <c r="AW7" i="3" a="1"/>
  <c r="AW7" i="3" s="1"/>
  <c r="AX6" i="3" a="1"/>
  <c r="AX6" i="3" s="1"/>
  <c r="AW6" i="3" a="1"/>
  <c r="AW6" i="3" s="1"/>
  <c r="AX5" i="3" a="1"/>
  <c r="AX5" i="3" s="1"/>
  <c r="AW5" i="3" a="1"/>
  <c r="AW5" i="3" s="1"/>
  <c r="AX4" i="3" a="1"/>
  <c r="AX4" i="3" s="1"/>
  <c r="AW4" i="3" a="1"/>
  <c r="AW4" i="3" s="1"/>
  <c r="AX3" i="3" a="1"/>
  <c r="AX3" i="3" s="1"/>
  <c r="AW3" i="3" a="1"/>
  <c r="AW3" i="3" s="1"/>
  <c r="K147" i="3"/>
  <c r="K146" i="3"/>
  <c r="K145" i="3"/>
  <c r="K144" i="3"/>
  <c r="K143" i="3"/>
  <c r="K142" i="3"/>
  <c r="K141" i="3"/>
  <c r="K137" i="3"/>
  <c r="K136" i="3"/>
  <c r="K135" i="3"/>
  <c r="AT2" i="3" l="1"/>
  <c r="AW2" i="3" s="1" a="1"/>
  <c r="AW2" i="3" s="1"/>
  <c r="AU2" i="3"/>
  <c r="AV2" i="3" s="1" a="1"/>
  <c r="AV2" i="3" s="1"/>
  <c r="AY2" i="3"/>
  <c r="AZ2" i="3"/>
  <c r="BA2" i="3"/>
  <c r="BB2" i="3"/>
  <c r="BC2" i="3"/>
  <c r="BD2" i="3"/>
  <c r="BE2" i="3"/>
  <c r="BF2" i="3"/>
  <c r="BG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M85" i="3"/>
  <c r="AM86" i="3"/>
  <c r="AM87" i="3"/>
  <c r="AM88" i="3"/>
  <c r="AM90" i="3"/>
  <c r="AM91" i="3"/>
  <c r="AM92" i="3"/>
  <c r="AM93" i="3"/>
  <c r="AM95" i="3"/>
  <c r="AM96" i="3"/>
  <c r="AM97" i="3"/>
  <c r="AM98" i="3"/>
  <c r="AM99" i="3"/>
  <c r="AM100" i="3"/>
  <c r="AM101" i="3"/>
  <c r="AM102" i="3"/>
  <c r="AM103" i="3"/>
  <c r="AM106" i="3"/>
  <c r="AM109" i="3"/>
  <c r="AM137" i="3"/>
  <c r="AM139" i="3"/>
  <c r="BF139" i="3" l="1"/>
  <c r="AW139" i="3" a="1"/>
  <c r="AW139" i="3" s="1"/>
  <c r="BF137" i="3"/>
  <c r="AW137" i="3" a="1"/>
  <c r="AW137" i="3" s="1"/>
  <c r="BF109" i="3"/>
  <c r="AW109" i="3" a="1"/>
  <c r="AW109" i="3" s="1"/>
  <c r="BF106" i="3"/>
  <c r="AW106" i="3" a="1"/>
  <c r="AW106" i="3" s="1"/>
  <c r="BF103" i="3"/>
  <c r="AW103" i="3" a="1"/>
  <c r="AW103" i="3" s="1"/>
  <c r="BF102" i="3"/>
  <c r="AW102" i="3" a="1"/>
  <c r="AW102" i="3" s="1"/>
  <c r="BF101" i="3"/>
  <c r="AW101" i="3" a="1"/>
  <c r="AW101" i="3" s="1"/>
  <c r="BF100" i="3"/>
  <c r="AW100" i="3" a="1"/>
  <c r="AW100" i="3" s="1"/>
  <c r="BF99" i="3"/>
  <c r="AW99" i="3" a="1"/>
  <c r="AW99" i="3" s="1"/>
  <c r="BF98" i="3"/>
  <c r="AW98" i="3" a="1"/>
  <c r="AW98" i="3" s="1"/>
  <c r="BF97" i="3"/>
  <c r="AW97" i="3" a="1"/>
  <c r="AW97" i="3" s="1"/>
  <c r="BF96" i="3"/>
  <c r="AW96" i="3" a="1"/>
  <c r="AW96" i="3" s="1"/>
  <c r="BF95" i="3"/>
  <c r="AW95" i="3" a="1"/>
  <c r="AW95" i="3" s="1"/>
  <c r="BF93" i="3"/>
  <c r="AW93" i="3" a="1"/>
  <c r="AW93" i="3" s="1"/>
  <c r="BF92" i="3"/>
  <c r="AW92" i="3" a="1"/>
  <c r="AW92" i="3" s="1"/>
  <c r="BF91" i="3"/>
  <c r="AW91" i="3" a="1"/>
  <c r="AW91" i="3" s="1"/>
  <c r="BF90" i="3"/>
  <c r="AW90" i="3" a="1"/>
  <c r="AW90" i="3" s="1"/>
  <c r="BF88" i="3"/>
  <c r="AW88" i="3" a="1"/>
  <c r="AW88" i="3" s="1"/>
  <c r="BF87" i="3"/>
  <c r="AW87" i="3" a="1"/>
  <c r="AW87" i="3" s="1"/>
  <c r="BF86" i="3"/>
  <c r="AW86" i="3" a="1"/>
  <c r="AW86" i="3" s="1"/>
  <c r="BF85" i="3"/>
  <c r="AW85" i="3" a="1"/>
  <c r="AW85" i="3" s="1"/>
  <c r="AX2" i="3" a="1"/>
  <c r="AX2" i="3" s="1"/>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1"/>
        </ext>
      </extLst>
    </bk>
    <bk>
      <extLst>
        <ext uri="{3e2802c4-a4d2-4d8b-9148-e3be6c30e623}">
          <xlrd:rvb i="23"/>
        </ext>
      </extLst>
    </bk>
    <bk>
      <extLst>
        <ext uri="{3e2802c4-a4d2-4d8b-9148-e3be6c30e623}">
          <xlrd:rvb i="33"/>
        </ext>
      </extLst>
    </bk>
    <bk>
      <extLst>
        <ext uri="{3e2802c4-a4d2-4d8b-9148-e3be6c30e623}">
          <xlrd:rvb i="4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<sst xmlns="http://schemas.openxmlformats.org/spreadsheetml/2006/main" count="18870" uniqueCount="4555">
  <si>
    <t>WIP/Hold</t>
  </si>
  <si>
    <t>India Business</t>
  </si>
  <si>
    <t>WIP/New</t>
  </si>
  <si>
    <t>Integrated Business Services</t>
  </si>
  <si>
    <t>Intake Meeting Date</t>
  </si>
  <si>
    <t>Req Received  Date- RPO</t>
  </si>
  <si>
    <t xml:space="preserve"> </t>
  </si>
  <si>
    <t>Sr. No.</t>
  </si>
  <si>
    <t>Date</t>
  </si>
  <si>
    <t>Final Status</t>
  </si>
  <si>
    <t>Current Stage</t>
  </si>
  <si>
    <t>ORC ID</t>
  </si>
  <si>
    <t>Candidate Name</t>
  </si>
  <si>
    <t>Contact No.</t>
  </si>
  <si>
    <t>Email ID</t>
  </si>
  <si>
    <t>Gender</t>
  </si>
  <si>
    <t xml:space="preserve">Position </t>
  </si>
  <si>
    <t>HM</t>
  </si>
  <si>
    <t>Total Yrs of Exp.</t>
  </si>
  <si>
    <t>Current Company</t>
  </si>
  <si>
    <t>Fixed CTC</t>
  </si>
  <si>
    <t>Variable CTC</t>
  </si>
  <si>
    <t>Expected CTC</t>
  </si>
  <si>
    <t>Current Location</t>
  </si>
  <si>
    <t>Preferred Location</t>
  </si>
  <si>
    <t>Notice Period</t>
  </si>
  <si>
    <t>Comments / Remark</t>
  </si>
  <si>
    <t>DOJ</t>
  </si>
  <si>
    <t>Offer Drop Date</t>
  </si>
  <si>
    <t>Recruiter</t>
  </si>
  <si>
    <t>Sourcer</t>
  </si>
  <si>
    <t xml:space="preserve">Source Hire </t>
  </si>
  <si>
    <t>Department</t>
  </si>
  <si>
    <t>Cv S/L date</t>
  </si>
  <si>
    <t>L1 Date</t>
  </si>
  <si>
    <t>L1 F/b date</t>
  </si>
  <si>
    <t>L2 Date</t>
  </si>
  <si>
    <t>L2 F/b date</t>
  </si>
  <si>
    <t>L3 Date</t>
  </si>
  <si>
    <t>L3 f/b date</t>
  </si>
  <si>
    <t>Intake Date</t>
  </si>
  <si>
    <t>Date of Selection</t>
  </si>
  <si>
    <t>Fitment Approval Date</t>
  </si>
  <si>
    <t>Offered location</t>
  </si>
  <si>
    <t>CTC offered</t>
  </si>
  <si>
    <t>Fitment released Date</t>
  </si>
  <si>
    <t>Fitment Acceptance Date</t>
  </si>
  <si>
    <t>Offer Reject Date</t>
  </si>
  <si>
    <t>AL relesaed date</t>
  </si>
  <si>
    <t>AL Acceptance Date</t>
  </si>
  <si>
    <t>OB Trigger Date</t>
  </si>
  <si>
    <t>Joined</t>
  </si>
  <si>
    <t>TG13</t>
  </si>
  <si>
    <t>Dhananjay Bhosale</t>
  </si>
  <si>
    <t>dbhosale9895@gmail.com</t>
  </si>
  <si>
    <t>Male</t>
  </si>
  <si>
    <t>Hardware Cotroller Design &amp; Development Eng</t>
  </si>
  <si>
    <t>Sanket Pandit</t>
  </si>
  <si>
    <t>5 yrs</t>
  </si>
  <si>
    <t>Previous- Onward Technologies</t>
  </si>
  <si>
    <t>9 LPA</t>
  </si>
  <si>
    <t> </t>
  </si>
  <si>
    <t>11-12 LPA</t>
  </si>
  <si>
    <t>Pune</t>
  </si>
  <si>
    <t>Immediate</t>
  </si>
  <si>
    <t>Hiwrale, Sanjana</t>
  </si>
  <si>
    <t>Core Engineering</t>
  </si>
  <si>
    <t>TG14</t>
  </si>
  <si>
    <t>HAWARE Sujit BHAGAWAN</t>
  </si>
  <si>
    <t>sujitkumarhaware@gmail.com</t>
  </si>
  <si>
    <t>Engineer Automation</t>
  </si>
  <si>
    <t>Sheetal Raut</t>
  </si>
  <si>
    <t>TG15</t>
  </si>
  <si>
    <t>Rishav Kumar Verma</t>
  </si>
  <si>
    <t>rishav0603@gmail.com</t>
  </si>
  <si>
    <t>Sr.Hardware Engineer</t>
  </si>
  <si>
    <t>DC Power</t>
  </si>
  <si>
    <t>TG16</t>
  </si>
  <si>
    <t>Kunal Bhangale</t>
  </si>
  <si>
    <t>kunalcbhangale@gmail.com</t>
  </si>
  <si>
    <t>Sr Eng FEA</t>
  </si>
  <si>
    <t>Amit Kumar</t>
  </si>
  <si>
    <t>TG17</t>
  </si>
  <si>
    <t>Gaurav Kumar Sahu</t>
  </si>
  <si>
    <t>bkgks005@gmail.com</t>
  </si>
  <si>
    <t>Associate Engineer-FEA</t>
  </si>
  <si>
    <t>TG19</t>
  </si>
  <si>
    <t>Shravan Kumar</t>
  </si>
  <si>
    <t>shravanbsangavi@gmail.com</t>
  </si>
  <si>
    <t>Engineer FEA</t>
  </si>
  <si>
    <t>TG18</t>
  </si>
  <si>
    <t>Rushikesh Nalawade</t>
  </si>
  <si>
    <t>rushikeshn75@gmail.com</t>
  </si>
  <si>
    <t>Raisoni, Rushabh</t>
  </si>
  <si>
    <t>TG20</t>
  </si>
  <si>
    <t>Shubham Namdev Kale</t>
  </si>
  <si>
    <t>lshubham.kale@gmail.com</t>
  </si>
  <si>
    <t>Associate Automation Eng</t>
  </si>
  <si>
    <t>TG21</t>
  </si>
  <si>
    <t>Pallavi Wankhade</t>
  </si>
  <si>
    <t>pallaviwankhade24@gmail.com</t>
  </si>
  <si>
    <t>Female</t>
  </si>
  <si>
    <t>Sr. Automation Eng</t>
  </si>
  <si>
    <t>TG22</t>
  </si>
  <si>
    <t>Praveen Ingavle</t>
  </si>
  <si>
    <t>praveeningavle21@gmail.com</t>
  </si>
  <si>
    <t>TG23</t>
  </si>
  <si>
    <t>Vimalkumar Dubey</t>
  </si>
  <si>
    <t>vdube003@gmail.com</t>
  </si>
  <si>
    <t>TG25</t>
  </si>
  <si>
    <t>Ganesh Thorkar</t>
  </si>
  <si>
    <t>gthorkar@gmail.com</t>
  </si>
  <si>
    <t>Team Lead FEA</t>
  </si>
  <si>
    <t>TG24</t>
  </si>
  <si>
    <t>Shubham Dalavi</t>
  </si>
  <si>
    <t>Fullstack Developer(Angular)</t>
  </si>
  <si>
    <t>Nitin Kudale</t>
  </si>
  <si>
    <t>1200000+50k JB</t>
  </si>
  <si>
    <t>GSP</t>
  </si>
  <si>
    <t>TG26</t>
  </si>
  <si>
    <t>Jyotesh Dhuriya</t>
  </si>
  <si>
    <t>dhuriyajoteshdj@gmail.com</t>
  </si>
  <si>
    <t>Assistant Manager Full Stack Developer(Security)</t>
  </si>
  <si>
    <t>Priyanka Shahu</t>
  </si>
  <si>
    <t>TG6</t>
  </si>
  <si>
    <t>Sharikh Shaikh</t>
  </si>
  <si>
    <t>sharikhshaikh@gmail.com</t>
  </si>
  <si>
    <t>Engineer - Firmware</t>
  </si>
  <si>
    <t>Yogesh Sonawane</t>
  </si>
  <si>
    <t>4 Years</t>
  </si>
  <si>
    <t>TATA AutoComp</t>
  </si>
  <si>
    <t>4 LPA</t>
  </si>
  <si>
    <t>7.5 LPA</t>
  </si>
  <si>
    <t>90 Days</t>
  </si>
  <si>
    <t>NA</t>
  </si>
  <si>
    <t>External</t>
  </si>
  <si>
    <t>TG7</t>
  </si>
  <si>
    <t>Tejaswini Chikhale</t>
  </si>
  <si>
    <t>tejaswini.it.2023@gmail.com</t>
  </si>
  <si>
    <t>Engineer - Angular Developer</t>
  </si>
  <si>
    <t>Vaibhav Tapare</t>
  </si>
  <si>
    <t>4.4 Years</t>
  </si>
  <si>
    <t>Cybage</t>
  </si>
  <si>
    <t>11.5 LPA</t>
  </si>
  <si>
    <t>16 LPA</t>
  </si>
  <si>
    <t>LWD - 30 May 2024</t>
  </si>
  <si>
    <t>14.5 LPA</t>
  </si>
  <si>
    <t>Thermal</t>
  </si>
  <si>
    <t>TG8</t>
  </si>
  <si>
    <t>Shubham Khairnar</t>
  </si>
  <si>
    <t>shubhamk.khairnar@gmail.com</t>
  </si>
  <si>
    <t>5.7 Years</t>
  </si>
  <si>
    <t>aioneers technologies</t>
  </si>
  <si>
    <t>6.25 LPA</t>
  </si>
  <si>
    <t>10 LPA</t>
  </si>
  <si>
    <t>LWD - 8th Dec</t>
  </si>
  <si>
    <t>TG9</t>
  </si>
  <si>
    <t>Sujit Barman</t>
  </si>
  <si>
    <t>sujitmbarman@gmail.com</t>
  </si>
  <si>
    <t>Sr. Engineer - Electrical</t>
  </si>
  <si>
    <t>Dipak Gaikwad</t>
  </si>
  <si>
    <t>18 Years</t>
  </si>
  <si>
    <t>CG Power and Industrial Solutions</t>
  </si>
  <si>
    <t>15.75 LPA</t>
  </si>
  <si>
    <t>20 LPA</t>
  </si>
  <si>
    <t>Nasik</t>
  </si>
  <si>
    <t>SP UPS</t>
  </si>
  <si>
    <t>TG10</t>
  </si>
  <si>
    <t>Nikhil Bodele</t>
  </si>
  <si>
    <t>b.nikhil1890@gmail.com</t>
  </si>
  <si>
    <t>5 Years</t>
  </si>
  <si>
    <t>VNIT, Nagpur</t>
  </si>
  <si>
    <t>42k Stipend</t>
  </si>
  <si>
    <t>13 LPA</t>
  </si>
  <si>
    <t>Nagpur</t>
  </si>
  <si>
    <t>30 Days</t>
  </si>
  <si>
    <t>TG11</t>
  </si>
  <si>
    <t>Chandrashekar Yashoda</t>
  </si>
  <si>
    <t>y.chandra.chari@gmail.com</t>
  </si>
  <si>
    <t>Engineer - PCB Design</t>
  </si>
  <si>
    <t>8.5 Years</t>
  </si>
  <si>
    <t>Ador Powertron Ltd</t>
  </si>
  <si>
    <t>19 LPA</t>
  </si>
  <si>
    <t>LWD - 30th Oct 2023</t>
  </si>
  <si>
    <t>18 - Bangalore</t>
  </si>
  <si>
    <t>HMI</t>
  </si>
  <si>
    <t>TG31</t>
  </si>
  <si>
    <t>Ashutosh Ashok Shinde</t>
  </si>
  <si>
    <t>ashutoshshinde@ymail.com</t>
  </si>
  <si>
    <t>Deputy Manager</t>
  </si>
  <si>
    <t>Kiran More</t>
  </si>
  <si>
    <t>TG27</t>
  </si>
  <si>
    <t>Vinod Balaso Patil</t>
  </si>
  <si>
    <t xml:space="preserve">vinodpatil.5236@gmail.com </t>
  </si>
  <si>
    <t>TG29</t>
  </si>
  <si>
    <t>Rahul Chande</t>
  </si>
  <si>
    <t>rahulchande48@gmail.com</t>
  </si>
  <si>
    <t>TG30</t>
  </si>
  <si>
    <t>Dimple Sagar</t>
  </si>
  <si>
    <t>dmplsagar@gmail.com</t>
  </si>
  <si>
    <t>TG28</t>
  </si>
  <si>
    <t>Rajkumar</t>
  </si>
  <si>
    <t>Full Stack Developer(React JS)</t>
  </si>
  <si>
    <t>10,00,000</t>
  </si>
  <si>
    <t>TG34</t>
  </si>
  <si>
    <t>Niteen Vitthal Murtadak</t>
  </si>
  <si>
    <t>murtadakn@gmail.com</t>
  </si>
  <si>
    <t>.Net Developer</t>
  </si>
  <si>
    <t>WIP</t>
  </si>
  <si>
    <t>L1 Rejected</t>
  </si>
  <si>
    <t>Seema Jadhav</t>
  </si>
  <si>
    <t>seema.jadhav4562@gmail.com</t>
  </si>
  <si>
    <t>Mid Mendix Developer</t>
  </si>
  <si>
    <t>Vlase Lucian</t>
  </si>
  <si>
    <t>HCL Tech</t>
  </si>
  <si>
    <t>Pune-Hindewadi</t>
  </si>
  <si>
    <t>LWD:2nd sep 24</t>
  </si>
  <si>
    <t>NI</t>
  </si>
  <si>
    <t>Bharwade, Amruta</t>
  </si>
  <si>
    <t>Sameer Patil</t>
  </si>
  <si>
    <t>veerpatilsam20@gmail.com</t>
  </si>
  <si>
    <t>Verforce</t>
  </si>
  <si>
    <t>7 to 8 (Negotiable)</t>
  </si>
  <si>
    <t xml:space="preserve">Pune-Hindewadi, </t>
  </si>
  <si>
    <t>LWD: 31 oct 24</t>
  </si>
  <si>
    <t>L1 need to be reschedule</t>
  </si>
  <si>
    <t>RASHMI SAKAT</t>
  </si>
  <si>
    <t>rashmisakat21@gmail.com</t>
  </si>
  <si>
    <t>Omnepresent Technology</t>
  </si>
  <si>
    <t>Pune- Hadaspar</t>
  </si>
  <si>
    <t>60 days</t>
  </si>
  <si>
    <t>LOB Reject</t>
  </si>
  <si>
    <t>Prathmesh Borse</t>
  </si>
  <si>
    <t>prathmeshborse99@gmail.com</t>
  </si>
  <si>
    <t>Springer Nature Group</t>
  </si>
  <si>
    <t>Company Norms</t>
  </si>
  <si>
    <t>Pune-Aundh</t>
  </si>
  <si>
    <t>LWD:29th Nov 24</t>
  </si>
  <si>
    <t>On hold</t>
  </si>
  <si>
    <t>TG38</t>
  </si>
  <si>
    <t>Tejas Krishna Mane</t>
  </si>
  <si>
    <t>tejasmane621@gmail.com</t>
  </si>
  <si>
    <t>Hardware Engineer</t>
  </si>
  <si>
    <t>Dilesh Raut</t>
  </si>
  <si>
    <t>PRASHANTH KORADALA</t>
  </si>
  <si>
    <t>prashanthkoradala1@gmail.com</t>
  </si>
  <si>
    <t>PERSISTENT SYSTEMS LTD</t>
  </si>
  <si>
    <t>Telanagna</t>
  </si>
  <si>
    <t>LWD: 29th Nov 24, Immediate Joiner</t>
  </si>
  <si>
    <t>MAHESH MALI</t>
  </si>
  <si>
    <t>maheshmali0303@gmail.com</t>
  </si>
  <si>
    <t>Senior Multimedia Designer</t>
  </si>
  <si>
    <t>Rashmin Patel</t>
  </si>
  <si>
    <t>Wai technologies</t>
  </si>
  <si>
    <t>Pune- Wagholi</t>
  </si>
  <si>
    <t>30 days</t>
  </si>
  <si>
    <t>L1 Interview</t>
  </si>
  <si>
    <t>Vishajit Jadhav</t>
  </si>
  <si>
    <t>vishajityadav6290@gmail.com</t>
  </si>
  <si>
    <t>Ennotova Pvr</t>
  </si>
  <si>
    <t>Pune-Katraj</t>
  </si>
  <si>
    <t>Sakshi Kolhe</t>
  </si>
  <si>
    <t>8669778584/9067848525</t>
  </si>
  <si>
    <t>sakshikolhe0407@gmail.com</t>
  </si>
  <si>
    <t>Multimedia Designer</t>
  </si>
  <si>
    <t>Aagneya Productions LLP</t>
  </si>
  <si>
    <t>Pune-Baner, Native place is apart from pune</t>
  </si>
  <si>
    <t>AJAY BHANDARE</t>
  </si>
  <si>
    <t>abhandare65@gmail.com</t>
  </si>
  <si>
    <t>Abk Imports</t>
  </si>
  <si>
    <t>Pune-Keshavgar</t>
  </si>
  <si>
    <t>TG36</t>
  </si>
  <si>
    <t>Dhruv Bharat Saboo</t>
  </si>
  <si>
    <t>bharatsaboo1973@gmail.com</t>
  </si>
  <si>
    <t>Hardware Design eng</t>
  </si>
  <si>
    <t>TG3</t>
  </si>
  <si>
    <t>Avik Bhowmik</t>
  </si>
  <si>
    <t>avik.bhowmik@gmail.com</t>
  </si>
  <si>
    <t>Sr. Firmware Engineer</t>
  </si>
  <si>
    <t>Sameer Upasani</t>
  </si>
  <si>
    <t xml:space="preserve">10.5 Years </t>
  </si>
  <si>
    <t>RISHABH INSTRUMENTS LTD</t>
  </si>
  <si>
    <t>25 LPA</t>
  </si>
  <si>
    <t>Nashik</t>
  </si>
  <si>
    <t>60 Days</t>
  </si>
  <si>
    <t>TG33</t>
  </si>
  <si>
    <t>Shivam Kanoria</t>
  </si>
  <si>
    <t>shivamkanoria1711@gmail.com</t>
  </si>
  <si>
    <t xml:space="preserve">Hardware Design </t>
  </si>
  <si>
    <t>TG37</t>
  </si>
  <si>
    <t>Piyush Dinkar Chikhalkar</t>
  </si>
  <si>
    <t>Piyush@gmail.com</t>
  </si>
  <si>
    <t xml:space="preserve">Deputy Software </t>
  </si>
  <si>
    <t>L2 Rejected</t>
  </si>
  <si>
    <t>RAHUL PATIL</t>
  </si>
  <si>
    <t>rkpatil1612@gmail.com</t>
  </si>
  <si>
    <t>Sr Mendix Developer</t>
  </si>
  <si>
    <t>ACCENTURE</t>
  </si>
  <si>
    <t>90 days, will check for negotiation</t>
  </si>
  <si>
    <t>Ashishkumar Pawar</t>
  </si>
  <si>
    <t>ashishpwr930@gmail.com</t>
  </si>
  <si>
    <t>8 (2.5 yrs)</t>
  </si>
  <si>
    <t>OmnePresent Technologies</t>
  </si>
  <si>
    <t>16 to 17</t>
  </si>
  <si>
    <t>Pune-PCMC</t>
  </si>
  <si>
    <t>LWD: 16 th dec 24</t>
  </si>
  <si>
    <t xml:space="preserve">offer holding 14.5, </t>
  </si>
  <si>
    <t>Ajay Chimanpure</t>
  </si>
  <si>
    <t>ajaychimanpure@gmail.com</t>
  </si>
  <si>
    <t xml:space="preserve">HCL Technologies PVT </t>
  </si>
  <si>
    <t>Rahul Hasule</t>
  </si>
  <si>
    <t>rahulhasule@gmail.com</t>
  </si>
  <si>
    <t>INtelizign Lifecyle Services</t>
  </si>
  <si>
    <t>Pune-Hindewa</t>
  </si>
  <si>
    <t>90 days, will check for buyout</t>
  </si>
  <si>
    <t>Screen R</t>
  </si>
  <si>
    <t>TG32</t>
  </si>
  <si>
    <t>Karthik V</t>
  </si>
  <si>
    <t>Karti.v@gmail.com</t>
  </si>
  <si>
    <t>Testing - Firmware Engineer</t>
  </si>
  <si>
    <t>Offer Decline</t>
  </si>
  <si>
    <t>TG51</t>
  </si>
  <si>
    <t>Siddarth Verma</t>
  </si>
  <si>
    <t>vermasiddarth17@gmail.com</t>
  </si>
  <si>
    <t>3D Magic Infosolutions Pvt Ltd</t>
  </si>
  <si>
    <t>₹2.8 Lacs</t>
  </si>
  <si>
    <t>6 LPA</t>
  </si>
  <si>
    <t>TG1</t>
  </si>
  <si>
    <t>Trupti Malekar</t>
  </si>
  <si>
    <t>malekartrupti@gmail.com</t>
  </si>
  <si>
    <t>3 Years</t>
  </si>
  <si>
    <t>Messung System Pvt Ltd</t>
  </si>
  <si>
    <t>5.5 LPA</t>
  </si>
  <si>
    <t>8 LPA</t>
  </si>
  <si>
    <t>Aijaz Baig</t>
  </si>
  <si>
    <t>aijazbaig1@gmail.com</t>
  </si>
  <si>
    <t>Sr Engineer - Firmware</t>
  </si>
  <si>
    <t>Jitesh Verma</t>
  </si>
  <si>
    <t>12 Years</t>
  </si>
  <si>
    <t>E-Infochips Pvt. Ltd Pune</t>
  </si>
  <si>
    <t>22 LPA</t>
  </si>
  <si>
    <t>27 LPA</t>
  </si>
  <si>
    <t>90 - 30 Days</t>
  </si>
  <si>
    <t> Rutuja Nafade </t>
  </si>
  <si>
    <t> 7378871101 </t>
  </si>
  <si>
    <t> rutujadnaphade@gmail.com </t>
  </si>
  <si>
    <t>Engineer - Full stack Developer</t>
  </si>
  <si>
    <t>2.2 Years</t>
  </si>
  <si>
    <t> Assimilate Technologies Pvt. Ltd </t>
  </si>
  <si>
    <t>3.3 LPA</t>
  </si>
  <si>
    <t>5 LPA</t>
  </si>
  <si>
    <t>Referral</t>
  </si>
  <si>
    <t>TG35</t>
  </si>
  <si>
    <t>Shinde Balaji Navanath</t>
  </si>
  <si>
    <t>balajishinde102@gmail.com</t>
  </si>
  <si>
    <t>Assistant Manager VCI</t>
  </si>
  <si>
    <t>ANUJ DUBEY</t>
  </si>
  <si>
    <t>anujd885@gmail.com</t>
  </si>
  <si>
    <t>Value Momentum</t>
  </si>
  <si>
    <t>20, (Negitiable)</t>
  </si>
  <si>
    <t>MP</t>
  </si>
  <si>
    <t>90 days</t>
  </si>
  <si>
    <t xml:space="preserve">Working in pune in hybrid mode, Ready for wfo </t>
  </si>
  <si>
    <t>Omkar Shinde</t>
  </si>
  <si>
    <t>omkars7003@gmail.com</t>
  </si>
  <si>
    <t>Infosys</t>
  </si>
  <si>
    <t>90 days, Will be negotiation</t>
  </si>
  <si>
    <t>Candidate Hold</t>
  </si>
  <si>
    <t>Ishaan Deshpande</t>
  </si>
  <si>
    <t>ishaan.deshpande5@gmail.com</t>
  </si>
  <si>
    <t>Exela Technologies</t>
  </si>
  <si>
    <t>Pune-Sadashiv Peth</t>
  </si>
  <si>
    <t>LWD:13th Dec 24</t>
  </si>
  <si>
    <t>Navneet Kakvipure</t>
  </si>
  <si>
    <t>navneetkakvipure@gmail.com</t>
  </si>
  <si>
    <t>Zlade</t>
  </si>
  <si>
    <t>Pune-Aalandi</t>
  </si>
  <si>
    <t>Pranay Badhe</t>
  </si>
  <si>
    <t>pranaybadhe@gmail.com</t>
  </si>
  <si>
    <t>Lead Writer</t>
  </si>
  <si>
    <t>Hemantkumar Shinde</t>
  </si>
  <si>
    <t xml:space="preserve"> Vertiv Energy India Pvt Ltd</t>
  </si>
  <si>
    <t>TG4</t>
  </si>
  <si>
    <t>Chaitanya Jibhakate</t>
  </si>
  <si>
    <t>chaitanya.n.jibhakate@gmail.com</t>
  </si>
  <si>
    <t>9 Years</t>
  </si>
  <si>
    <t>TATA CONSULTANCY LTD</t>
  </si>
  <si>
    <t>46 LPA</t>
  </si>
  <si>
    <t>30 LPA</t>
  </si>
  <si>
    <t>UK</t>
  </si>
  <si>
    <t>TG5</t>
  </si>
  <si>
    <t>Gaurav Badgujar</t>
  </si>
  <si>
    <t>3015gaurav@gmail.com</t>
  </si>
  <si>
    <t>7.5 Years</t>
  </si>
  <si>
    <t>ANSHUMAN INCUBATION PVT. LTD</t>
  </si>
  <si>
    <t>5.4 LPA</t>
  </si>
  <si>
    <t>18 LPA</t>
  </si>
  <si>
    <t>45 Days</t>
  </si>
  <si>
    <t>Suvarna Thoke</t>
  </si>
  <si>
    <t>suvarnaahire251192@gmail.com</t>
  </si>
  <si>
    <t>Sr. Engineer - Full stack Developer</t>
  </si>
  <si>
    <t>6.9 Years</t>
  </si>
  <si>
    <t>kanaka software</t>
  </si>
  <si>
    <t>15 LPA</t>
  </si>
  <si>
    <t>LWD: 30th May 2024</t>
  </si>
  <si>
    <t>TG40</t>
  </si>
  <si>
    <t>Mahesh Shinde</t>
  </si>
  <si>
    <t>shindemahesh58@gmail.com</t>
  </si>
  <si>
    <t>FSD - Security</t>
  </si>
  <si>
    <t>TG39</t>
  </si>
  <si>
    <t>Sangeet Sachdeva</t>
  </si>
  <si>
    <t>Sangeet@gmail.com</t>
  </si>
  <si>
    <t>Java Developer</t>
  </si>
  <si>
    <t>TG41</t>
  </si>
  <si>
    <t>Kedar Joshi</t>
  </si>
  <si>
    <t>Kedar.Joshi@gmail.com</t>
  </si>
  <si>
    <t>Test Lead</t>
  </si>
  <si>
    <t>Girish Padiyar</t>
  </si>
  <si>
    <t>TG2</t>
  </si>
  <si>
    <t>Anvit Khare</t>
  </si>
  <si>
    <t>anvitkhare@yahoo.co.in</t>
  </si>
  <si>
    <t>6 Years</t>
  </si>
  <si>
    <t>NIT, Mangalore</t>
  </si>
  <si>
    <t>Mangalore</t>
  </si>
  <si>
    <t>TG43</t>
  </si>
  <si>
    <t>Jaykumar Joshi</t>
  </si>
  <si>
    <t>Jaykumar@gmail.com</t>
  </si>
  <si>
    <t>CFD Eng</t>
  </si>
  <si>
    <t>Srini</t>
  </si>
  <si>
    <t>Ahmdabad</t>
  </si>
  <si>
    <t>Samik Ganguly</t>
  </si>
  <si>
    <t>samik.ganguly@outlook.com</t>
  </si>
  <si>
    <t>Sr. Engineer Firmware</t>
  </si>
  <si>
    <t>Ankur Singh</t>
  </si>
  <si>
    <t>TG42</t>
  </si>
  <si>
    <t>9028751738 / 9420155948</t>
  </si>
  <si>
    <t>hemantvshinde@gmail.com</t>
  </si>
  <si>
    <t>Manager – Technical Publication</t>
  </si>
  <si>
    <t>Avinash Attarde</t>
  </si>
  <si>
    <t>TG46</t>
  </si>
  <si>
    <t>DHRUV SRIVASTAVA</t>
  </si>
  <si>
    <t>dhruvsrivastava04@gmail.com</t>
  </si>
  <si>
    <t>TG48</t>
  </si>
  <si>
    <t>Shrikant Dandhare</t>
  </si>
  <si>
    <t>shrikantdandhare123@gmail.com</t>
  </si>
  <si>
    <t>Sr. Technical Publication</t>
  </si>
  <si>
    <t>TG47</t>
  </si>
  <si>
    <t>Geetanjali Anand Redkar</t>
  </si>
  <si>
    <t>geetanjaliredkar2312@gmail.com</t>
  </si>
  <si>
    <t>Associate Tech Publication</t>
  </si>
  <si>
    <t>TG45</t>
  </si>
  <si>
    <t>Mahesh Suryawanshi</t>
  </si>
  <si>
    <t>suryawanshi.mahesh7@gmail.com</t>
  </si>
  <si>
    <t>UI Developer</t>
  </si>
  <si>
    <t>TG49</t>
  </si>
  <si>
    <t>MOHAN DURGA PHANINDRA</t>
  </si>
  <si>
    <t>kmd.phanindra@gmail.com</t>
  </si>
  <si>
    <t>Engineer Firmware DSP</t>
  </si>
  <si>
    <t>Nitin Trivedi</t>
  </si>
  <si>
    <t>Hyderabad</t>
  </si>
  <si>
    <t>Shivam Agarwal</t>
  </si>
  <si>
    <t>agarwalshivam1401@gmail.com</t>
  </si>
  <si>
    <t>Amber Student</t>
  </si>
  <si>
    <t>Pune-Swargate</t>
  </si>
  <si>
    <t>Shubham Ghodke</t>
  </si>
  <si>
    <t>mr.shubhamghodke@gmail.com</t>
  </si>
  <si>
    <t>Neilsoft Private Limited</t>
  </si>
  <si>
    <t>8 to 9</t>
  </si>
  <si>
    <t>Immediate joiner, Last company project ramramped down since 2 months</t>
  </si>
  <si>
    <t>Atul Thaware</t>
  </si>
  <si>
    <t>atulthaware099@gmail.com</t>
  </si>
  <si>
    <t>EKSAQ EDTECH LLP</t>
  </si>
  <si>
    <t>Hyderabad, Native place is nearby pune</t>
  </si>
  <si>
    <t>Swapnil Desai</t>
  </si>
  <si>
    <t>desaiswapnil00@gmail.com</t>
  </si>
  <si>
    <t>Tech Mahindra Pvt. Ltd.</t>
  </si>
  <si>
    <t>90 days, will try to reduce 30 days</t>
  </si>
  <si>
    <t>MANOHAR</t>
  </si>
  <si>
    <t>934-733-2349</t>
  </si>
  <si>
    <t>chinnibommalu@outlook.com</t>
  </si>
  <si>
    <t>Xoriant Inc</t>
  </si>
  <si>
    <t>LWD:19th Dec</t>
  </si>
  <si>
    <t>HARSHAL P. RAJPUT</t>
  </si>
  <si>
    <t>rajputharshal1993@gmail.com</t>
  </si>
  <si>
    <t>Pune-Hinjewadi</t>
  </si>
  <si>
    <t>LWD: 10th Jan 25</t>
  </si>
  <si>
    <t>Test Reject</t>
  </si>
  <si>
    <t>Rasika Ankush Bhalerao</t>
  </si>
  <si>
    <t>rasikabhalerao933@gmail.com</t>
  </si>
  <si>
    <t>Rehlko (Formerly known as Kohler Energy)</t>
  </si>
  <si>
    <t>Pune-Hadapsar</t>
  </si>
  <si>
    <t>Sarang Dondal</t>
  </si>
  <si>
    <t> sarangdondal123@gmail.com </t>
  </si>
  <si>
    <t> Tata Elxsi, Pune </t>
  </si>
  <si>
    <t>12 LPA</t>
  </si>
  <si>
    <t>Sagar Wajire</t>
  </si>
  <si>
    <t>sagarwajire123@gmail.com</t>
  </si>
  <si>
    <t>Sr. Fullstack Developer</t>
  </si>
  <si>
    <t>ARSHIN SAYYAD</t>
  </si>
  <si>
    <t>arshin3105@gmail.com</t>
  </si>
  <si>
    <t>SmartQ Bottle Lab Technologies Pvt Ltd -</t>
  </si>
  <si>
    <t>Immediate Joiner</t>
  </si>
  <si>
    <t>Offer Holding 18.5 L</t>
  </si>
  <si>
    <t>Mazhar Ahmed</t>
  </si>
  <si>
    <t>mazharahmed196@gmail.com</t>
  </si>
  <si>
    <t>Tata Consultancy Services</t>
  </si>
  <si>
    <t>LWD:28th Feb 24</t>
  </si>
  <si>
    <t>Kausar Shaikh</t>
  </si>
  <si>
    <t>kausarsk416@gmail.com</t>
  </si>
  <si>
    <t xml:space="preserve">Gilbarco Veeder-Root </t>
  </si>
  <si>
    <t>Guntur</t>
  </si>
  <si>
    <t>60 days, will check for negotitation for 30 days</t>
  </si>
  <si>
    <t>NEHA MADKAR</t>
  </si>
  <si>
    <t>nehamadkar40@gmail.com</t>
  </si>
  <si>
    <t>90 days, will check for negotitation for 30 days</t>
  </si>
  <si>
    <t>Dadu Shaikh</t>
  </si>
  <si>
    <t>7058626533 / 8237171432</t>
  </si>
  <si>
    <t>dadushaikh724@gmail.com</t>
  </si>
  <si>
    <t>Fullstack Java Developer</t>
  </si>
  <si>
    <t>nCircle Tech</t>
  </si>
  <si>
    <t>Pune-Nashik Phata</t>
  </si>
  <si>
    <t>LWD:31st Jan  24</t>
  </si>
  <si>
    <t>Vishnu Panchal</t>
  </si>
  <si>
    <t>vishpanchal2015@gmail.com</t>
  </si>
  <si>
    <t>Unify</t>
  </si>
  <si>
    <t>Pune-Kothrud</t>
  </si>
  <si>
    <t>Offer holding 9.5 L</t>
  </si>
  <si>
    <t>Vedant Dhage</t>
  </si>
  <si>
    <t>Vedant.dhage2008@gmail.com</t>
  </si>
  <si>
    <t>TATA CONSULTANCY SERVICES</t>
  </si>
  <si>
    <t>Pune-Hindewaji</t>
  </si>
  <si>
    <t>LWD:24th Dec 24</t>
  </si>
  <si>
    <t>Nakka Nikhil</t>
  </si>
  <si>
    <t xml:space="preserve">n.nikhil020296@gmail.com </t>
  </si>
  <si>
    <t>Cognizant</t>
  </si>
  <si>
    <t>Asmita Kulkarni</t>
  </si>
  <si>
    <t>asmibhalvankar@gmail.com</t>
  </si>
  <si>
    <t>Principal Engineer - Firmware</t>
  </si>
  <si>
    <t>13 Years</t>
  </si>
  <si>
    <t>Seagate Technology</t>
  </si>
  <si>
    <t>28 LPA</t>
  </si>
  <si>
    <t>40 LPA</t>
  </si>
  <si>
    <t>Suraj Bhand</t>
  </si>
  <si>
    <t> 8605172315 </t>
  </si>
  <si>
    <t> bhands.d@gmail.com </t>
  </si>
  <si>
    <t>5.6 Years</t>
  </si>
  <si>
    <t>Agiliad Technologies Pvt. Ltd </t>
  </si>
  <si>
    <t>16.2 LPA</t>
  </si>
  <si>
    <t>22.75  LPA</t>
  </si>
  <si>
    <t>SUBBARAO M</t>
  </si>
  <si>
    <t>Subbarao.msr.in@gmail.com</t>
  </si>
  <si>
    <t>Acronotics</t>
  </si>
  <si>
    <t>Banglore, Native AP</t>
  </si>
  <si>
    <t>Ready to relocate</t>
  </si>
  <si>
    <t>SANCHITA AGGARWAL</t>
  </si>
  <si>
    <t>sanchi_138@yahoo.co.in</t>
  </si>
  <si>
    <t xml:space="preserve">5.6 (2 yrs </t>
  </si>
  <si>
    <t>Nityo Infotech Pvt Ltd</t>
  </si>
  <si>
    <t>Faridabad</t>
  </si>
  <si>
    <t>LWD: Oct 23</t>
  </si>
  <si>
    <t>Maheshkumar Chandak</t>
  </si>
  <si>
    <t>m.chandak444@gmail.com</t>
  </si>
  <si>
    <t>Design Engineer - Electrical</t>
  </si>
  <si>
    <t>Vinayak Bhat</t>
  </si>
  <si>
    <t>8 Years</t>
  </si>
  <si>
    <t>KPM Engineering Consultant</t>
  </si>
  <si>
    <t>16.5 LPA</t>
  </si>
  <si>
    <t>IMS</t>
  </si>
  <si>
    <t>Tejas Korde</t>
  </si>
  <si>
    <t>Tejaskorde503@gmail.com</t>
  </si>
  <si>
    <t>Jalgi Technologies Pvt Ltd</t>
  </si>
  <si>
    <t>Pune-Singhwad</t>
  </si>
  <si>
    <t>0, LWD May 24</t>
  </si>
  <si>
    <t>Project rampped down</t>
  </si>
  <si>
    <t>Aishwarya Chavan</t>
  </si>
  <si>
    <t>aishuhc@gmail.com</t>
  </si>
  <si>
    <t>HCL</t>
  </si>
  <si>
    <t>13 (Negotiation)</t>
  </si>
  <si>
    <t>LWD:6th Aug 24</t>
  </si>
  <si>
    <t>Project rampped down, SQL, Java</t>
  </si>
  <si>
    <t>DNYANESHWARI MARADKAR</t>
  </si>
  <si>
    <t>dnyaneshwarismaradkar@gmail.com</t>
  </si>
  <si>
    <t>Intelizign Engineering Services</t>
  </si>
  <si>
    <t>Pune-Hindewaji,</t>
  </si>
  <si>
    <t>60 days, will check for negotitation</t>
  </si>
  <si>
    <t>Dhanshri Bhikaji Bhawari</t>
  </si>
  <si>
    <t>dhanshribhawari05@gmail.com</t>
  </si>
  <si>
    <t>2.7 (rel 2 yrs)</t>
  </si>
  <si>
    <t>BEAM DYNAMICS</t>
  </si>
  <si>
    <t>LWD : 6th Sep 24</t>
  </si>
  <si>
    <t>Nikita Takalikar </t>
  </si>
  <si>
    <t> 8329013101/ 8552882800 </t>
  </si>
  <si>
    <t> nikitatakalikar94@gmail.com </t>
  </si>
  <si>
    <t>5.8 Years</t>
  </si>
  <si>
    <t> Samsung Semiconductor India Research </t>
  </si>
  <si>
    <t>25.4 LPA</t>
  </si>
  <si>
    <t>26 LPA</t>
  </si>
  <si>
    <t>Madhuri Khule</t>
  </si>
  <si>
    <t>khulemadhuri@gmail.com</t>
  </si>
  <si>
    <t>Tier 2 Support</t>
  </si>
  <si>
    <t>Aarti Kesare</t>
  </si>
  <si>
    <t>aartikesare1997@gmail.com</t>
  </si>
  <si>
    <t>OmnePresent Technologies Pvt Ltd</t>
  </si>
  <si>
    <t>Pune-Ravet</t>
  </si>
  <si>
    <t>ADITYA BHAT</t>
  </si>
  <si>
    <t>adityabhat0408@gmail.com</t>
  </si>
  <si>
    <t>7 to 8</t>
  </si>
  <si>
    <t>LWD:25th Nov 24</t>
  </si>
  <si>
    <t>No offer in hand</t>
  </si>
  <si>
    <t>Aishwarya Gorane</t>
  </si>
  <si>
    <t>aishwarya.gorane32@gmail.com</t>
  </si>
  <si>
    <t>Atos Syntel</t>
  </si>
  <si>
    <t>Ajay Phalke</t>
  </si>
  <si>
    <t>ajaysamphalke@gmail.com</t>
  </si>
  <si>
    <t>n PLM Indishtech Limited</t>
  </si>
  <si>
    <t>Bangalore</t>
  </si>
  <si>
    <t>Nikhil Jadhav</t>
  </si>
  <si>
    <t>nikhilj028@gmail.com</t>
  </si>
  <si>
    <t>Lead Engineer - BIM</t>
  </si>
  <si>
    <t>Hitesh Shende</t>
  </si>
  <si>
    <t>9.1 Years</t>
  </si>
  <si>
    <t> vConstruct Pvt. Ltd </t>
  </si>
  <si>
    <t>17 LPA</t>
  </si>
  <si>
    <t>20th Oct 24</t>
  </si>
  <si>
    <t>LOB Interview</t>
  </si>
  <si>
    <t>Satyajeet Pardeshi</t>
  </si>
  <si>
    <t>pardeshisatyajeet@gmail.com</t>
  </si>
  <si>
    <t>Pune-Chinchwad, Ready to relocate</t>
  </si>
  <si>
    <t>LWD: 30th Jan 24</t>
  </si>
  <si>
    <t>VAIBHAVI PARANJPE</t>
  </si>
  <si>
    <t>vaibhaviparanjpe14900@gmail.com</t>
  </si>
  <si>
    <t>14 (negotiable)</t>
  </si>
  <si>
    <t>Pune-Hinjewadi, ready for relocation</t>
  </si>
  <si>
    <t>45 days</t>
  </si>
  <si>
    <t>Shariq Mohd</t>
  </si>
  <si>
    <t>shariqmohd9621@gmail.com</t>
  </si>
  <si>
    <t>Delhi</t>
  </si>
  <si>
    <t xml:space="preserve">90 days, </t>
  </si>
  <si>
    <t>Rohit Raj</t>
  </si>
  <si>
    <t>luckyraj9501@gmail.com</t>
  </si>
  <si>
    <t xml:space="preserve"> Saffron Synaptiq Software Lab,</t>
  </si>
  <si>
    <t>Patna- Ready for relocation</t>
  </si>
  <si>
    <t>LWD:27th Sep 24, Immediate Joiner</t>
  </si>
  <si>
    <t>Last job was contract basis</t>
  </si>
  <si>
    <t>Shubham Pekhale</t>
  </si>
  <si>
    <t>shubhampe22@gmail.com</t>
  </si>
  <si>
    <t>Dr.Reddy's</t>
  </si>
  <si>
    <t>15-16</t>
  </si>
  <si>
    <t>TG12</t>
  </si>
  <si>
    <t>Sourav Vishwakarma</t>
  </si>
  <si>
    <t>sk9801366@gmail.com</t>
  </si>
  <si>
    <t>CPQ Engineer</t>
  </si>
  <si>
    <t>TG52</t>
  </si>
  <si>
    <t>Omkar Shewale</t>
  </si>
  <si>
    <t xml:space="preserve">omkar7077@gmail.com </t>
  </si>
  <si>
    <t>Lead Eng CFD</t>
  </si>
  <si>
    <t>10 yrs</t>
  </si>
  <si>
    <t xml:space="preserve">Pune </t>
  </si>
  <si>
    <t>LWD-11th Nov 24</t>
  </si>
  <si>
    <t>1 offer 19.8, DOJ- 25th Nov, ref by Dhiraj Patil</t>
  </si>
  <si>
    <t>Siva Kumar Varri</t>
  </si>
  <si>
    <t>sivakumar.varri9@gmail.com</t>
  </si>
  <si>
    <t>Abhishek Jakhotia</t>
  </si>
  <si>
    <t>abhishekjakhotia99@gmail.com</t>
  </si>
  <si>
    <t>INDIUMSOFT</t>
  </si>
  <si>
    <t>13 to 14</t>
  </si>
  <si>
    <t xml:space="preserve">counter offer </t>
  </si>
  <si>
    <t>Screen Reject</t>
  </si>
  <si>
    <t>Ann George</t>
  </si>
  <si>
    <t>anngeorgeag2@gmail.com</t>
  </si>
  <si>
    <t>Sr. Software Eng - Security</t>
  </si>
  <si>
    <t>7 Years</t>
  </si>
  <si>
    <t>SecureThings.AI</t>
  </si>
  <si>
    <t>LWD: 15th Dec 24</t>
  </si>
  <si>
    <t>Pune - 17 LPA</t>
  </si>
  <si>
    <t>Anup Rahate</t>
  </si>
  <si>
    <t>anup.rahate2903@gmail.com</t>
  </si>
  <si>
    <t>14.4 LPA</t>
  </si>
  <si>
    <t>LWD: 26 Nov 24</t>
  </si>
  <si>
    <t>Pune - 21 LPA</t>
  </si>
  <si>
    <t>Netra Potnis</t>
  </si>
  <si>
    <t>netra.potnis@gmail.com</t>
  </si>
  <si>
    <t>6.2 Years</t>
  </si>
  <si>
    <t>Accenture</t>
  </si>
  <si>
    <t>11 LPA</t>
  </si>
  <si>
    <t> Nilesh Kumar Narware </t>
  </si>
  <si>
    <t> 7974014081</t>
  </si>
  <si>
    <t> nilesh.narware01@gmail.com </t>
  </si>
  <si>
    <t>10 Years</t>
  </si>
  <si>
    <t>Infosys Technology </t>
  </si>
  <si>
    <t>15.4 LPA</t>
  </si>
  <si>
    <t>90 Days - 45 Days</t>
  </si>
  <si>
    <t>Sagar Supekar</t>
  </si>
  <si>
    <t>Supekarsagar04@gmail.com</t>
  </si>
  <si>
    <t>5.5 Years</t>
  </si>
  <si>
    <t>Birla Soft</t>
  </si>
  <si>
    <t> Swapnil Wadkar </t>
  </si>
  <si>
    <t> 9545530531 </t>
  </si>
  <si>
    <t> swapnilwadkar096@gmail.com </t>
  </si>
  <si>
    <t>Ashish Deulkar</t>
  </si>
  <si>
    <t>deulkarashish@gmail.com</t>
  </si>
  <si>
    <t>Sr. Engineer Mechanical - RPDU</t>
  </si>
  <si>
    <t>Kevin Ferguson</t>
  </si>
  <si>
    <t>6.6 Years</t>
  </si>
  <si>
    <t>ULTRA CORPOTECH PVT.LT</t>
  </si>
  <si>
    <t> Akshay Joshi </t>
  </si>
  <si>
    <t> 9767046256 </t>
  </si>
  <si>
    <t> akshayjoshi877@gmail.com </t>
  </si>
  <si>
    <t> Volvo Eicher Commercial Vehicle </t>
  </si>
  <si>
    <t>11.25 LPA</t>
  </si>
  <si>
    <t>Indore</t>
  </si>
  <si>
    <t>Mohammed Muzammil</t>
  </si>
  <si>
    <t> 8892743798 </t>
  </si>
  <si>
    <t> bablunalband123@gmail.com </t>
  </si>
  <si>
    <t>HIKOKI POWER TOOLS </t>
  </si>
  <si>
    <t>8.5 LPA</t>
  </si>
  <si>
    <t>Sachin Lokhande</t>
  </si>
  <si>
    <t>sn.lokhande03@gmail.com</t>
  </si>
  <si>
    <t>7.8 Years</t>
  </si>
  <si>
    <t>Cummins Technologies India Pvt Ltd</t>
  </si>
  <si>
    <t>5.8 LPA</t>
  </si>
  <si>
    <t>Amit Chauhan</t>
  </si>
  <si>
    <t>amit.chavan123@gmail.com</t>
  </si>
  <si>
    <t>Principal Engineer - Electrical</t>
  </si>
  <si>
    <t>15 Years</t>
  </si>
  <si>
    <t>Eaton</t>
  </si>
  <si>
    <t>63 LPA</t>
  </si>
  <si>
    <t>75 LPA</t>
  </si>
  <si>
    <t>LWD: 6th Dec 24</t>
  </si>
  <si>
    <t>Mahesh Thodupunuri</t>
  </si>
  <si>
    <t>mahesh.k.thodupunuri@gmail.com</t>
  </si>
  <si>
    <t>19 Years</t>
  </si>
  <si>
    <t xml:space="preserve">Emerson Electric </t>
  </si>
  <si>
    <t xml:space="preserve">62 LPA </t>
  </si>
  <si>
    <t>65 LPA</t>
  </si>
  <si>
    <t>Pawan Shiv Vadakattu</t>
  </si>
  <si>
    <t>pawanshiv@outlook.com</t>
  </si>
  <si>
    <t>17 Years</t>
  </si>
  <si>
    <t>Intel Technology India</t>
  </si>
  <si>
    <t>55 LPA</t>
  </si>
  <si>
    <t>70 LPA</t>
  </si>
  <si>
    <t>Rajesh Thanigachalam</t>
  </si>
  <si>
    <t>rajesh.thanigachalam393@gmail.com</t>
  </si>
  <si>
    <t>20 Years</t>
  </si>
  <si>
    <t>Expanse Power Pvt Limited</t>
  </si>
  <si>
    <t>Vinay Chauhan</t>
  </si>
  <si>
    <t>vinaychauhan.ece@gmail.com</t>
  </si>
  <si>
    <t>16 Years</t>
  </si>
  <si>
    <t>Graco India Pvt. Ltd</t>
  </si>
  <si>
    <t>18.5 LPA</t>
  </si>
  <si>
    <t>Gurgaon</t>
  </si>
  <si>
    <t>Mahendar Reddy</t>
  </si>
  <si>
    <t xml:space="preserve">mahendar_baddam@outlook.com </t>
  </si>
  <si>
    <t>12.4 Years</t>
  </si>
  <si>
    <t>Pending Updated Resume</t>
  </si>
  <si>
    <t>25.5 LPA</t>
  </si>
  <si>
    <t>34 LPA</t>
  </si>
  <si>
    <t>Janardhanan.S</t>
  </si>
  <si>
    <t>Janans15@gmail.com</t>
  </si>
  <si>
    <t>Sun Mobility Pvt Ltd</t>
  </si>
  <si>
    <t>As per company norms</t>
  </si>
  <si>
    <t>Jignesh Patel</t>
  </si>
  <si>
    <t>patel.jignesh4949@gmail.com</t>
  </si>
  <si>
    <t>14 Years</t>
  </si>
  <si>
    <t>40.6 LPA</t>
  </si>
  <si>
    <t>52 LPA</t>
  </si>
  <si>
    <t>Amol Sanap</t>
  </si>
  <si>
    <t>amolsanap26@gmail.com</t>
  </si>
  <si>
    <t>Sr. Test Engineer - Electrical</t>
  </si>
  <si>
    <t>Rahul Dhende</t>
  </si>
  <si>
    <t>90 Days - Neg 30 Days</t>
  </si>
  <si>
    <t>Ananda Kakade</t>
  </si>
  <si>
    <t>anandakakade555@gmail.com</t>
  </si>
  <si>
    <t>Electrodrive powertrain solutions PVT LTD</t>
  </si>
  <si>
    <t>Dnyaneshwar Jare</t>
  </si>
  <si>
    <t>jaredany05@gmail.com</t>
  </si>
  <si>
    <t>Speed Engineering Solutions (On-site - Cummins)</t>
  </si>
  <si>
    <t>Vaibhav Patil</t>
  </si>
  <si>
    <t>patilvaibhav.vp@gmail.com</t>
  </si>
  <si>
    <t>Clean Electric</t>
  </si>
  <si>
    <t>14 LPA</t>
  </si>
  <si>
    <t>Ravindra Rathod</t>
  </si>
  <si>
    <t>ravindrathod@gmail.com</t>
  </si>
  <si>
    <t>Onward Tech</t>
  </si>
  <si>
    <t>12.50 LPA</t>
  </si>
  <si>
    <t>Sachin Baviskar</t>
  </si>
  <si>
    <t> 8600593799 </t>
  </si>
  <si>
    <t> sachin250697@gmail.com </t>
  </si>
  <si>
    <t> Hella India Automotive </t>
  </si>
  <si>
    <t>Nikita Modi</t>
  </si>
  <si>
    <t>nikita.modi0601@gmail.com</t>
  </si>
  <si>
    <t>TCS</t>
  </si>
  <si>
    <t>Pune-Baner</t>
  </si>
  <si>
    <t xml:space="preserve">Sonali Subhash Varpe  </t>
  </si>
  <si>
    <t>sonalivarpe.3103@gmail.com</t>
  </si>
  <si>
    <t>10 (8 yrs)</t>
  </si>
  <si>
    <t>Pune-Kharadi</t>
  </si>
  <si>
    <t>90 days, Will be negotiable</t>
  </si>
  <si>
    <t>SHUBHAM BHALLA</t>
  </si>
  <si>
    <t>shubhambhalla4@gmail.com</t>
  </si>
  <si>
    <t>Kapil Vasita</t>
  </si>
  <si>
    <t>kapilvasita@icloud.com</t>
  </si>
  <si>
    <t>Banglore</t>
  </si>
  <si>
    <t>SANKET DHAMDHERE</t>
  </si>
  <si>
    <t>sanketdhamdhere3110@gmail.com</t>
  </si>
  <si>
    <t>DELOS CONSULTING PVT LTD</t>
  </si>
  <si>
    <t>15 days, Offer holding-4.5 L,  DOJ: January 25</t>
  </si>
  <si>
    <t>INDRAJEET PATIL</t>
  </si>
  <si>
    <t>indrajeet279@gmail.com</t>
  </si>
  <si>
    <t>John Deere India Pvt. Ltd</t>
  </si>
  <si>
    <t>Shital Gandule</t>
  </si>
  <si>
    <t>ganduledshital@gmail.com</t>
  </si>
  <si>
    <t xml:space="preserve"> JDIT Business Solution</t>
  </si>
  <si>
    <t>Pune-Katraj, Ready to relocate</t>
  </si>
  <si>
    <t>LWD:14th Dec 24</t>
  </si>
  <si>
    <t>Offer holding 15 L, DOJ: 10th Jan 25</t>
  </si>
  <si>
    <t>Shankar Pawar</t>
  </si>
  <si>
    <t>shankarpawarsr7@gmail.com</t>
  </si>
  <si>
    <t>60K</t>
  </si>
  <si>
    <t>Sambhajinagar</t>
  </si>
  <si>
    <t>LWD:10th Jan 25</t>
  </si>
  <si>
    <t>SNEHAL SAHAN</t>
  </si>
  <si>
    <t>snehalsahane2519@gmail.com</t>
  </si>
  <si>
    <t>Phi Commerce India Private Ltd</t>
  </si>
  <si>
    <t>Pune-Yerawada</t>
  </si>
  <si>
    <t>LOKENDRA MEWADA</t>
  </si>
  <si>
    <t>7999 964957</t>
  </si>
  <si>
    <t>lokendratech001@gmail.com</t>
  </si>
  <si>
    <t>Nenosystems Consulting Services</t>
  </si>
  <si>
    <t>Pune-Hindewadi, Ready to relocate</t>
  </si>
  <si>
    <t>20 days</t>
  </si>
  <si>
    <t> Bhausaheb Tambare </t>
  </si>
  <si>
    <t> 8884403740 </t>
  </si>
  <si>
    <t> tambare.bhausaheb@gmail.com </t>
  </si>
  <si>
    <t>Infosys. Ltd., Mysore </t>
  </si>
  <si>
    <t>Mysore</t>
  </si>
  <si>
    <t>Shambhu Singh</t>
  </si>
  <si>
    <t>Shambhumailbox@gmail.com</t>
  </si>
  <si>
    <t>Sterling Gtake E-mobility</t>
  </si>
  <si>
    <t>31.5 LPA</t>
  </si>
  <si>
    <t>Offered</t>
  </si>
  <si>
    <t>Yet to Join</t>
  </si>
  <si>
    <t>Dr. Naveenkumar Marati</t>
  </si>
  <si>
    <t>naveen0724@gmail.com</t>
  </si>
  <si>
    <t>Hitachi Energy</t>
  </si>
  <si>
    <t>35 LPA</t>
  </si>
  <si>
    <t>Chennai</t>
  </si>
  <si>
    <t>Ravinder Kalsi</t>
  </si>
  <si>
    <t>ravinderkalsi73@gmail.com</t>
  </si>
  <si>
    <t>25 Years</t>
  </si>
  <si>
    <t>Sona Comstar Automotive</t>
  </si>
  <si>
    <t>LWD: 31st Jan 25</t>
  </si>
  <si>
    <t>35 LPA - Chennai (DOJ 6th Feb)</t>
  </si>
  <si>
    <t>Subrat Kumar Prusty</t>
  </si>
  <si>
    <t>subratprusty009@gmail.com</t>
  </si>
  <si>
    <t>Schneider Electric</t>
  </si>
  <si>
    <t>Shrihari Shinde</t>
  </si>
  <si>
    <t>shindehari1802@gmail.com</t>
  </si>
  <si>
    <t>32.5 LPA</t>
  </si>
  <si>
    <t>Sanket Patodi</t>
  </si>
  <si>
    <t>sanketpatodi92@gmail.com</t>
  </si>
  <si>
    <t>Cybage Software</t>
  </si>
  <si>
    <t>Saroj Lade</t>
  </si>
  <si>
    <t>lade.saroj@gmail.com</t>
  </si>
  <si>
    <t>Capgemini</t>
  </si>
  <si>
    <t>Mayank Raj</t>
  </si>
  <si>
    <t>mayank_r_a_j@yahoo.com</t>
  </si>
  <si>
    <t>Principal Firmware Eng</t>
  </si>
  <si>
    <t>18 yrs</t>
  </si>
  <si>
    <t>KPIT</t>
  </si>
  <si>
    <t>45-48 LPA</t>
  </si>
  <si>
    <t>90 days negotiable</t>
  </si>
  <si>
    <t>Mayuri Danej</t>
  </si>
  <si>
    <t>mayuridanej127@gmail.com</t>
  </si>
  <si>
    <t>Asso. Creo</t>
  </si>
  <si>
    <t xml:space="preserve">Ajim </t>
  </si>
  <si>
    <t>2.5 yrs</t>
  </si>
  <si>
    <t>PACCAR</t>
  </si>
  <si>
    <t>90 days negotiable 60 days</t>
  </si>
  <si>
    <t>Referred by Sanjay</t>
  </si>
  <si>
    <t>Akash Mishra</t>
  </si>
  <si>
    <t>makash859@gmail.com</t>
  </si>
  <si>
    <t>Deloitte Touche Tohmatsu India LLP</t>
  </si>
  <si>
    <t>LWD: 17th March 25</t>
  </si>
  <si>
    <t>19 LPA - Pune</t>
  </si>
  <si>
    <t>Premnath Shinde</t>
  </si>
  <si>
    <t>premnathshinde0494@gmail.com</t>
  </si>
  <si>
    <t xml:space="preserve">Maximus Infoware </t>
  </si>
  <si>
    <t>12.6 LPA</t>
  </si>
  <si>
    <t xml:space="preserve">As per company </t>
  </si>
  <si>
    <t>Mumbai</t>
  </si>
  <si>
    <t>Shubham Pawade</t>
  </si>
  <si>
    <t>spawade99@gmail.com</t>
  </si>
  <si>
    <t>5.2 Years</t>
  </si>
  <si>
    <t xml:space="preserve">Bentley Systems </t>
  </si>
  <si>
    <t>Ahemdnagar</t>
  </si>
  <si>
    <t>Sudhakar B</t>
  </si>
  <si>
    <t>sudhakar92b@gmail.co</t>
  </si>
  <si>
    <t>HCL Technologies Pvt Ltd</t>
  </si>
  <si>
    <t>LWD: 16th Jan 25</t>
  </si>
  <si>
    <t>Nishant Singh</t>
  </si>
  <si>
    <t>nishantsinghsirt@gmail.com</t>
  </si>
  <si>
    <t>10.5 Years</t>
  </si>
  <si>
    <t>CRANE PROCESS FLOW TECHNOLOGIEs</t>
  </si>
  <si>
    <t>13.06 LPA</t>
  </si>
  <si>
    <t>Ankit Patil</t>
  </si>
  <si>
    <t>ankitpatil2709@gmail.com</t>
  </si>
  <si>
    <t>Carraro Technologies India Pvt</t>
  </si>
  <si>
    <t>Ram Gopala Gupta Pabolu</t>
  </si>
  <si>
    <t>ramgopalpabolu@gmail.com</t>
  </si>
  <si>
    <t>13.6 YEARS</t>
  </si>
  <si>
    <t>44 LPA</t>
  </si>
  <si>
    <t>Krishnam Raaju</t>
  </si>
  <si>
    <t>krishnamraaju93@gmail.com</t>
  </si>
  <si>
    <t>11 Years</t>
  </si>
  <si>
    <t>Spark Minda Green Mobilty Ltd</t>
  </si>
  <si>
    <t>Akash Kakekar</t>
  </si>
  <si>
    <t>akashkakekar1997@gmail.com</t>
  </si>
  <si>
    <t>TATA Technologies Ltd</t>
  </si>
  <si>
    <t>10.5 LPA</t>
  </si>
  <si>
    <t>Atul Mhaske</t>
  </si>
  <si>
    <t>atulmhaske.mhaske3@gmail.com</t>
  </si>
  <si>
    <t>Philips India Pvt Ltd</t>
  </si>
  <si>
    <t>Kartik Gadag</t>
  </si>
  <si>
    <t>d</t>
  </si>
  <si>
    <t>Dnyanesh Mirikar</t>
  </si>
  <si>
    <t>dnyanesh.mirikar.iiti@gmail.com</t>
  </si>
  <si>
    <t>CFD Engineer</t>
  </si>
  <si>
    <t>4 yrs</t>
  </si>
  <si>
    <t>IIT Indore</t>
  </si>
  <si>
    <t>50k stipend</t>
  </si>
  <si>
    <t>As per company Std</t>
  </si>
  <si>
    <t>Can join by last week of Jan 25</t>
  </si>
  <si>
    <t>Referred by Jay Joshi</t>
  </si>
  <si>
    <t>KIRAN PANDURANG</t>
  </si>
  <si>
    <t>kirankhandagale74@gmai l.com</t>
  </si>
  <si>
    <t>Automation test Eng</t>
  </si>
  <si>
    <t>Abhijeet</t>
  </si>
  <si>
    <t>6 yrs</t>
  </si>
  <si>
    <t>KPIT Technologies pvt ltd</t>
  </si>
  <si>
    <t>18-19 LPA</t>
  </si>
  <si>
    <t xml:space="preserve">90 days </t>
  </si>
  <si>
    <t>VENKATA SAI SASANK</t>
  </si>
  <si>
    <t>sasankpasupuleti007@gmail.com</t>
  </si>
  <si>
    <t>Cyient</t>
  </si>
  <si>
    <t>Immediate, LWD-Nov 1st 24</t>
  </si>
  <si>
    <t>Offer in pipeline</t>
  </si>
  <si>
    <t xml:space="preserve">Pranali Awari </t>
  </si>
  <si>
    <t>pranaliawari25@gmail.com</t>
  </si>
  <si>
    <t>2 months.</t>
  </si>
  <si>
    <t>Purushottam C Chachare</t>
  </si>
  <si>
    <t>pchachare0210@gmail.com</t>
  </si>
  <si>
    <t>Napino Auto and Electronics Ltd</t>
  </si>
  <si>
    <t>2 months negotiable 30 days</t>
  </si>
  <si>
    <t>L1 TBS</t>
  </si>
  <si>
    <t>TWINKLE SHARMA</t>
  </si>
  <si>
    <t>twinklesharma0086@gmail.com</t>
  </si>
  <si>
    <t>Engineer I Fluid Dynamics Engineering IX (20251172)</t>
  </si>
  <si>
    <t>2.8 yrs</t>
  </si>
  <si>
    <t>HD Hyundai Technology center India</t>
  </si>
  <si>
    <t>As per company std</t>
  </si>
  <si>
    <t>2 months</t>
  </si>
  <si>
    <t>Referred by Aatif ali</t>
  </si>
  <si>
    <t>Screen reject</t>
  </si>
  <si>
    <t>TG50</t>
  </si>
  <si>
    <t>Kumar Bhushan</t>
  </si>
  <si>
    <t>kumar0510iitb@gmail.com</t>
  </si>
  <si>
    <t>Team lead CFD</t>
  </si>
  <si>
    <t>9.6 yrs</t>
  </si>
  <si>
    <t>Arup India Pvt Ltd</t>
  </si>
  <si>
    <t>As per market std</t>
  </si>
  <si>
    <t>Referred by Kapil Shelar</t>
  </si>
  <si>
    <t>L1 on hold</t>
  </si>
  <si>
    <t>Kalyana Bhargavi Vepuri</t>
  </si>
  <si>
    <t>bhargavisrinivas666@gmail.com</t>
  </si>
  <si>
    <t>1.8 yrs</t>
  </si>
  <si>
    <t>Whirlpool</t>
  </si>
  <si>
    <t>8-9 LPA</t>
  </si>
  <si>
    <t>Andhra Pradesh</t>
  </si>
  <si>
    <t>Referred by Pallab, currently on bench</t>
  </si>
  <si>
    <t>Sagar Kalukhe</t>
  </si>
  <si>
    <t>sagar.kalukhe@gmail.com</t>
  </si>
  <si>
    <t>Cummins</t>
  </si>
  <si>
    <t>Referred by Kiran Kadam</t>
  </si>
  <si>
    <t>HARSHAL PRAMOD CHOPADE</t>
  </si>
  <si>
    <t>charshal1993@gmail.com</t>
  </si>
  <si>
    <t>30 days negotiable</t>
  </si>
  <si>
    <t>Rahul Hanmant Salunkhe</t>
  </si>
  <si>
    <t>rahulmemech@outlook.com</t>
  </si>
  <si>
    <t>13 yrs</t>
  </si>
  <si>
    <t>Intel Technology Bangalore</t>
  </si>
  <si>
    <t>60 days.</t>
  </si>
  <si>
    <t>Referred by Rajesh Pawar</t>
  </si>
  <si>
    <t>Ronak Kadam</t>
  </si>
  <si>
    <t>kadamronak10@gmail.com</t>
  </si>
  <si>
    <t>Tata Technologies</t>
  </si>
  <si>
    <t>12.2 LPA</t>
  </si>
  <si>
    <t>Jafer Babude </t>
  </si>
  <si>
    <t> 9130420354 </t>
  </si>
  <si>
    <t> jaferbabude54@gmail.com </t>
  </si>
  <si>
    <t> Danfoss India </t>
  </si>
  <si>
    <t>10.6 LPA</t>
  </si>
  <si>
    <t>Sajid Momin</t>
  </si>
  <si>
    <t>mominsajid603@gmail.com</t>
  </si>
  <si>
    <t>3.5 yrs</t>
  </si>
  <si>
    <t>Skyroot Aerospace -</t>
  </si>
  <si>
    <t>30% hike</t>
  </si>
  <si>
    <t>VARADRAJ V. MALANDKAR</t>
  </si>
  <si>
    <t>varadraj.malandkar1@gmail.com</t>
  </si>
  <si>
    <t>Team Lead CFD</t>
  </si>
  <si>
    <t>7+ yrs</t>
  </si>
  <si>
    <t>TITANX HOLDING AB (TACO)</t>
  </si>
  <si>
    <t>3.3 Lacs per month</t>
  </si>
  <si>
    <t>LWD-17th Jan 25</t>
  </si>
  <si>
    <t>1 offer with  15.3 for Pune, DOJ 1st Feb</t>
  </si>
  <si>
    <t>SAGAR SHIVAJI YADAV</t>
  </si>
  <si>
    <t>ysagar611@gmail.com</t>
  </si>
  <si>
    <t>Principal Engineer</t>
  </si>
  <si>
    <t>15 yrs</t>
  </si>
  <si>
    <t>Kalyani center Technology Information LTD</t>
  </si>
  <si>
    <t xml:space="preserve">90 days negotiable </t>
  </si>
  <si>
    <t>Girish Balkrishna Brahme</t>
  </si>
  <si>
    <t>Brahme.girish@gmail.com</t>
  </si>
  <si>
    <t>17 yrs</t>
  </si>
  <si>
    <t xml:space="preserve">TDK India Private Limited Nasik </t>
  </si>
  <si>
    <t>1 Months</t>
  </si>
  <si>
    <t>Previously worked in Vertiv, Mumbai location.</t>
  </si>
  <si>
    <t>Anil Andewadi</t>
  </si>
  <si>
    <t>anilsandewadi@gmail.com</t>
  </si>
  <si>
    <t>Sr. Engineer - Reliability</t>
  </si>
  <si>
    <t>Krupejova, Dasa</t>
  </si>
  <si>
    <t>Netshape (Shape Corp.) Engineering.</t>
  </si>
  <si>
    <t>90 Days - Negotiable</t>
  </si>
  <si>
    <t> Aniket More </t>
  </si>
  <si>
    <t> 9850382625 </t>
  </si>
  <si>
    <t> aniketmore2625@gmail.com </t>
  </si>
  <si>
    <t>Engineer 2 - Reliability</t>
  </si>
  <si>
    <t>4.2 Years</t>
  </si>
  <si>
    <t> Flextronics Technology </t>
  </si>
  <si>
    <t>4.5 LPA</t>
  </si>
  <si>
    <t>Bhavana Hegde</t>
  </si>
  <si>
    <t>9513222947 </t>
  </si>
  <si>
    <t>bhavanashegde@gmail.com </t>
  </si>
  <si>
    <t>Thales</t>
  </si>
  <si>
    <t>Offer Drop</t>
  </si>
  <si>
    <t>Mohammed Sohail Sheikh</t>
  </si>
  <si>
    <t>mdsohailapr@gmail.com</t>
  </si>
  <si>
    <t>Johnson Controls</t>
  </si>
  <si>
    <t>60 Days - Negotiable</t>
  </si>
  <si>
    <t>RAHUL PACHAURI</t>
  </si>
  <si>
    <t>786.pachauri@gmail.com</t>
  </si>
  <si>
    <t>Sr. Firmware Eng</t>
  </si>
  <si>
    <t>Ankur</t>
  </si>
  <si>
    <t>7 yrs</t>
  </si>
  <si>
    <t>TATA Elxsi</t>
  </si>
  <si>
    <t>1 months, immediate</t>
  </si>
  <si>
    <t>Screening</t>
  </si>
  <si>
    <t>Praveenraj K G</t>
  </si>
  <si>
    <t>k.g.praveenraj@gmail.com</t>
  </si>
  <si>
    <t>Team lead Firmware</t>
  </si>
  <si>
    <t>9.3 yrs</t>
  </si>
  <si>
    <t>26-27 LPA</t>
  </si>
  <si>
    <t>LWD-10th March 25</t>
  </si>
  <si>
    <t>1 offer with 25 L for Bangalore</t>
  </si>
  <si>
    <t xml:space="preserve">PRAVEEN KUMAR MUNESHWAR </t>
  </si>
  <si>
    <t>M.Praveen363@gmail.com</t>
  </si>
  <si>
    <t>Quest Global Engineering Services Pvt Ltd</t>
  </si>
  <si>
    <t>LWD-3rd Feb 25</t>
  </si>
  <si>
    <t>1 offer with 22 L for Bangalore, preffered location is Pune, looking for team lead role</t>
  </si>
  <si>
    <t>SHREYANS SHAH</t>
  </si>
  <si>
    <t>shreyansk21@gmail.com</t>
  </si>
  <si>
    <t>9 yrs</t>
  </si>
  <si>
    <t xml:space="preserve">Capgemini  Technology Services India Limited </t>
  </si>
  <si>
    <t>Raj Oza</t>
  </si>
  <si>
    <t>rajoza99@gmail.com</t>
  </si>
  <si>
    <t>7.5 yrs</t>
  </si>
  <si>
    <t>APTIV</t>
  </si>
  <si>
    <t>Bengaluru.</t>
  </si>
  <si>
    <t>LWD-25th Feb 25</t>
  </si>
  <si>
    <t>1 offer with 33 L</t>
  </si>
  <si>
    <t>Girish P</t>
  </si>
  <si>
    <t>Candidate drop</t>
  </si>
  <si>
    <t>Pramod Shejul</t>
  </si>
  <si>
    <t>pramod.shejul52@gmail.com</t>
  </si>
  <si>
    <t>5.5 yrs</t>
  </si>
  <si>
    <t>As per comp Std</t>
  </si>
  <si>
    <t>LWD-10th Nov 24</t>
  </si>
  <si>
    <t>Available Monday</t>
  </si>
  <si>
    <t>Gangarao GV</t>
  </si>
  <si>
    <t>gangaraogv516@gmail.com</t>
  </si>
  <si>
    <t>6.5 yrs</t>
  </si>
  <si>
    <t>Vijayavada</t>
  </si>
  <si>
    <t>LWD-1st Dec 23</t>
  </si>
  <si>
    <t>Relocation issue</t>
  </si>
  <si>
    <t>Samiksha Bolakhe</t>
  </si>
  <si>
    <t>bolakhesamiksha@gmail.com</t>
  </si>
  <si>
    <t>Apurv Soni</t>
  </si>
  <si>
    <t>apurvsoni0910@gmail.com</t>
  </si>
  <si>
    <t>5.4 yrs</t>
  </si>
  <si>
    <t>ForageAI</t>
  </si>
  <si>
    <t xml:space="preserve">60 days </t>
  </si>
  <si>
    <t>1 offer in pipeline</t>
  </si>
  <si>
    <t>Ashish Mohurle</t>
  </si>
  <si>
    <t>ashishdmohurle@gmail.com</t>
  </si>
  <si>
    <t>5.7 yrs</t>
  </si>
  <si>
    <t>LWD-17th March 25</t>
  </si>
  <si>
    <t>Ashwini Dhobale</t>
  </si>
  <si>
    <t>ashwiniidhoble@gmail.com</t>
  </si>
  <si>
    <t>Mphasis</t>
  </si>
  <si>
    <t>LWD- 13 Feb 25</t>
  </si>
  <si>
    <t>Pranav Maturkar</t>
  </si>
  <si>
    <t>pranavmaturkar9@gmail.com</t>
  </si>
  <si>
    <t>Amdocs</t>
  </si>
  <si>
    <t>24 negotiable</t>
  </si>
  <si>
    <t>Immediate, LWD-10th Jan 25</t>
  </si>
  <si>
    <t>1 offer with 22LPA</t>
  </si>
  <si>
    <t>RAHMANI AWAIS</t>
  </si>
  <si>
    <t>awais.rahm@gmail.com</t>
  </si>
  <si>
    <t>Quest Global Engineering</t>
  </si>
  <si>
    <t>1L</t>
  </si>
  <si>
    <t>35% hike</t>
  </si>
  <si>
    <t>Dnyaneshwar Sutar</t>
  </si>
  <si>
    <t>dnyaneshwarsutar1895@gmail.com</t>
  </si>
  <si>
    <t>Senior Writer, Power Management</t>
  </si>
  <si>
    <t>Digitise IT (India) Pvt. Ltd.</t>
  </si>
  <si>
    <t>5-20%</t>
  </si>
  <si>
    <t>Pune-Somwar peth</t>
  </si>
  <si>
    <t>90 days, will check  for negotiation</t>
  </si>
  <si>
    <t>Test reject</t>
  </si>
  <si>
    <t>Manisha Korpe</t>
  </si>
  <si>
    <t>manisha20korpe@gmail.com</t>
  </si>
  <si>
    <t>AM Fullstack</t>
  </si>
  <si>
    <t>Nitin</t>
  </si>
  <si>
    <t>11 yrs</t>
  </si>
  <si>
    <t>Fiserv</t>
  </si>
  <si>
    <t>27-28 lpa</t>
  </si>
  <si>
    <t>60 days negotiable</t>
  </si>
  <si>
    <t>Dipak Bajirao Ghuge</t>
  </si>
  <si>
    <t>ghuged1989@gmail.com</t>
  </si>
  <si>
    <t>Platform Engineer</t>
  </si>
  <si>
    <t>7.5 years</t>
  </si>
  <si>
    <t>Wipro Technologies Ltd</t>
  </si>
  <si>
    <t>23 negotiable</t>
  </si>
  <si>
    <t>3 months negotiable 45 days</t>
  </si>
  <si>
    <t>Not having project currently</t>
  </si>
  <si>
    <t>Dnyaneshwar Ratnakar Patil</t>
  </si>
  <si>
    <t>drpatil9970@gmail.com</t>
  </si>
  <si>
    <t>45 days negotiable 30 days</t>
  </si>
  <si>
    <t>1 offer with 22LPA for bangalore, looking for Pune</t>
  </si>
  <si>
    <t>Karishma Kale</t>
  </si>
  <si>
    <t>karishmakale04@gmail.com</t>
  </si>
  <si>
    <t>7.3 years</t>
  </si>
  <si>
    <t>LTIMindtree</t>
  </si>
  <si>
    <t>1 week</t>
  </si>
  <si>
    <t>Currently on bench</t>
  </si>
  <si>
    <t xml:space="preserve">SIDDHANATH NIKAM </t>
  </si>
  <si>
    <t>siddhanathnkm29@gmail.com</t>
  </si>
  <si>
    <t>10.6 yrs</t>
  </si>
  <si>
    <t>ORC application Offer in pipeline</t>
  </si>
  <si>
    <t>AMOL ROHIDAS SALUNKE</t>
  </si>
  <si>
    <t>SalunkeAmol251@gmail.com</t>
  </si>
  <si>
    <t>Valuesoft info services pvt ltd</t>
  </si>
  <si>
    <t>1 month</t>
  </si>
  <si>
    <t>Abhishek Marathe</t>
  </si>
  <si>
    <t>maratheabhi7@gmail.com</t>
  </si>
  <si>
    <t>8.6 years</t>
  </si>
  <si>
    <t>1 offer with 24 LPA</t>
  </si>
  <si>
    <t>Mohseen I Momin</t>
  </si>
  <si>
    <t>Mohseen.Momin44@gmail.com</t>
  </si>
  <si>
    <t>Vishay components India Pvt Ltd</t>
  </si>
  <si>
    <t>Nitin Shinde</t>
  </si>
  <si>
    <t>nitin.shinde2203@gmail.com</t>
  </si>
  <si>
    <t>Associate Engineer - Reliability</t>
  </si>
  <si>
    <t>3.5 Years</t>
  </si>
  <si>
    <t>ATLAS COPCO - Payroll- Expert Global Solution</t>
  </si>
  <si>
    <t>5.58 LPA</t>
  </si>
  <si>
    <t>Siddhesh Chavan</t>
  </si>
  <si>
    <t>chavansiddhesh828@gmail.com</t>
  </si>
  <si>
    <t>3.4 Years</t>
  </si>
  <si>
    <t>MedLine India Pvt Ltd.</t>
  </si>
  <si>
    <t>Shruti Nale</t>
  </si>
  <si>
    <t> 9552601108 </t>
  </si>
  <si>
    <t> shrutinale13@gmail.com </t>
  </si>
  <si>
    <t>6.5 Years</t>
  </si>
  <si>
    <t> Mahle Engineering Services </t>
  </si>
  <si>
    <t>6.5 LPA</t>
  </si>
  <si>
    <t>LWD: 3 April 25</t>
  </si>
  <si>
    <t>9.5 LPA - Pune</t>
  </si>
  <si>
    <t>Rohit Kamble</t>
  </si>
  <si>
    <t> 8329844440 </t>
  </si>
  <si>
    <t>rohitskamble111@gmail.com</t>
  </si>
  <si>
    <t>2.3 Years</t>
  </si>
  <si>
    <t>Flextronics Technology</t>
  </si>
  <si>
    <t>8.2 LPA</t>
  </si>
  <si>
    <t>Sagar Joshi</t>
  </si>
  <si>
    <t>sagarjoshi11173@gmail.com</t>
  </si>
  <si>
    <t>Sr Production Manager</t>
  </si>
  <si>
    <t>Ankush Mehta</t>
  </si>
  <si>
    <t>Thermo Fisher Scientific India Pvt. Ltd</t>
  </si>
  <si>
    <t>Chakan</t>
  </si>
  <si>
    <t>YEDDULA SIVAIAH</t>
  </si>
  <si>
    <t>Yeddula@gmail.com</t>
  </si>
  <si>
    <t>Manual test Eng</t>
  </si>
  <si>
    <t>D. SHANKAR</t>
  </si>
  <si>
    <t>dhanabal.shankar@gmail.com</t>
  </si>
  <si>
    <t>12 yrs</t>
  </si>
  <si>
    <t>Continental Automotive</t>
  </si>
  <si>
    <t>Interviews in pipeline</t>
  </si>
  <si>
    <t>LOB reject</t>
  </si>
  <si>
    <t>Sachin Bhagwat Umbarkar</t>
  </si>
  <si>
    <t>sachin.umb@gmail.com</t>
  </si>
  <si>
    <t>Eaton Pune</t>
  </si>
  <si>
    <t>20% hike</t>
  </si>
  <si>
    <t>SHAILESH SONALIKAR</t>
  </si>
  <si>
    <t>shaileshsonalikar@gmail.com</t>
  </si>
  <si>
    <t>10.4 yrs</t>
  </si>
  <si>
    <t>Mercedes Benz Research and Development India</t>
  </si>
  <si>
    <t>3 months negotiable</t>
  </si>
  <si>
    <t>Buy-out option, looking for Pune only</t>
  </si>
  <si>
    <t>Sagar Satish Zankar</t>
  </si>
  <si>
    <t>sagarzankar@gmail.com</t>
  </si>
  <si>
    <t>Marquardt India LTD</t>
  </si>
  <si>
    <t>PRINCE DINANATH SINH</t>
  </si>
  <si>
    <t>prince.billimora@gmail.com</t>
  </si>
  <si>
    <t>8 yrs</t>
  </si>
  <si>
    <t>Samarth E-Mobility Pvt. Ltd</t>
  </si>
  <si>
    <t>Radha Parab</t>
  </si>
  <si>
    <t>9757363904/9004990114</t>
  </si>
  <si>
    <t>Radha.parab23@gmail.com</t>
  </si>
  <si>
    <t>Senior Writer, Software and IT Systems</t>
  </si>
  <si>
    <t>L&amp;T Defence,</t>
  </si>
  <si>
    <t>Varsha Jain</t>
  </si>
  <si>
    <t>jain.varshabecse@gmail.com</t>
  </si>
  <si>
    <t>Senior Writer, Portfolio Content Creation</t>
  </si>
  <si>
    <t>Grand View Research</t>
  </si>
  <si>
    <t>30-40%</t>
  </si>
  <si>
    <t>LWD:10th Sep 24</t>
  </si>
  <si>
    <t>No</t>
  </si>
  <si>
    <t>Komal Dhumal</t>
  </si>
  <si>
    <t>9021440872/7709030818</t>
  </si>
  <si>
    <t>dhumalkomal2904@gmail.com</t>
  </si>
  <si>
    <t>L &amp; T Technology Services Ltd</t>
  </si>
  <si>
    <t>5,50,000</t>
  </si>
  <si>
    <t>50k</t>
  </si>
  <si>
    <t>Offer Accepted</t>
  </si>
  <si>
    <t>Anuj Gade</t>
  </si>
  <si>
    <t>gadeanuj07@gmail.com</t>
  </si>
  <si>
    <t>ZS Associates</t>
  </si>
  <si>
    <t>15-17 (Negotiable)</t>
  </si>
  <si>
    <t>Anukul Kumar Sah</t>
  </si>
  <si>
    <t>anuabs1996@gmail.com</t>
  </si>
  <si>
    <t>MAI LABS</t>
  </si>
  <si>
    <t>50K</t>
  </si>
  <si>
    <t>Sonal Jadhav</t>
  </si>
  <si>
    <t>sonaljadhav2796@gmail.com</t>
  </si>
  <si>
    <t>John Deere</t>
  </si>
  <si>
    <t>30-35%</t>
  </si>
  <si>
    <t>Pune-Magarpatta</t>
  </si>
  <si>
    <t>9,71,942</t>
  </si>
  <si>
    <t>PRANJAL KHANDURI</t>
  </si>
  <si>
    <t>pkhanduri259@gmail.com</t>
  </si>
  <si>
    <t>Harman Connected Services</t>
  </si>
  <si>
    <t>Bhushan Saraf</t>
  </si>
  <si>
    <t>saraf.bhushan@gmail.com</t>
  </si>
  <si>
    <t>19 yrs</t>
  </si>
  <si>
    <t>Webasto India Pvt Ltd, Pune</t>
  </si>
  <si>
    <t>Shailendra Kumar Gupta</t>
  </si>
  <si>
    <t>kgshail@yahoo.com</t>
  </si>
  <si>
    <t>25 yrs</t>
  </si>
  <si>
    <t>NXP</t>
  </si>
  <si>
    <t>SURABHI DIXIT</t>
  </si>
  <si>
    <t>dixitsurabhi224@gmail.com</t>
  </si>
  <si>
    <t>RITESH ACHARYA</t>
  </si>
  <si>
    <t>riteshacharya31@gmail.com</t>
  </si>
  <si>
    <t>Marelli India</t>
  </si>
  <si>
    <t>Shivram Kshirsagar</t>
  </si>
  <si>
    <t>kshirsagarshivram@gmail.com</t>
  </si>
  <si>
    <t>3 yrs</t>
  </si>
  <si>
    <t>9-10 lpa</t>
  </si>
  <si>
    <t>M VAMSHI KUMAR</t>
  </si>
  <si>
    <t>vamshinaukri1243@gmail.com</t>
  </si>
  <si>
    <t xml:space="preserve">KR ELIXIR PRIVATE LIMITED </t>
  </si>
  <si>
    <t>BARISH BALASO MALSHIKARE</t>
  </si>
  <si>
    <t>malshikare.barish@gmail.com</t>
  </si>
  <si>
    <t>Signify</t>
  </si>
  <si>
    <t>swapnil nalawade</t>
  </si>
  <si>
    <t>swapnil70737@gmail.com</t>
  </si>
  <si>
    <t>8.9 yrs</t>
  </si>
  <si>
    <t>Cigniti Technologies</t>
  </si>
  <si>
    <t>LWD- 9th Dec 24</t>
  </si>
  <si>
    <t>Left company due to company takeover</t>
  </si>
  <si>
    <t>ESHWAR P JORVEKAR</t>
  </si>
  <si>
    <t>989019 3495</t>
  </si>
  <si>
    <t>eshwarjorvekar@gmail.com</t>
  </si>
  <si>
    <t>7.2 yrs</t>
  </si>
  <si>
    <t>ACCOLADE ELECTRONICS PVT LTD</t>
  </si>
  <si>
    <t>25-26 LPA</t>
  </si>
  <si>
    <t>Shubham Sunil Kharat</t>
  </si>
  <si>
    <t>shubhamkh40@gmail.com</t>
  </si>
  <si>
    <t>Electrical Design Engineer</t>
  </si>
  <si>
    <t>MEP System Designs Solutions</t>
  </si>
  <si>
    <t>Ganesh Suryawnashi</t>
  </si>
  <si>
    <t>ganesh43112@gmail.com</t>
  </si>
  <si>
    <t>T-Design Engineers</t>
  </si>
  <si>
    <t>Thane</t>
  </si>
  <si>
    <t>15 days</t>
  </si>
  <si>
    <t>Mahendra Kotapati</t>
  </si>
  <si>
    <t>kotapatimahendra955@gmail.com</t>
  </si>
  <si>
    <t>Quest Global</t>
  </si>
  <si>
    <t>LWD-8th March 24</t>
  </si>
  <si>
    <t>Left as no projects were there</t>
  </si>
  <si>
    <t>VINAY S. VELUKAR</t>
  </si>
  <si>
    <t>vinayvelukar27@gmail.com</t>
  </si>
  <si>
    <t>Larsen &amp; Toubro Technology Services</t>
  </si>
  <si>
    <t>Project is going to over</t>
  </si>
  <si>
    <t>Jaichandran S</t>
  </si>
  <si>
    <t>jaichandransundaram@gmail.com</t>
  </si>
  <si>
    <t>5+ yrs</t>
  </si>
  <si>
    <t>Delta-Iot Solutions</t>
  </si>
  <si>
    <t>13-14 LPA</t>
  </si>
  <si>
    <t>HARENDRA LODHI</t>
  </si>
  <si>
    <t>lodhi.harendra03@gmail.com</t>
  </si>
  <si>
    <t>L&amp;T Technology Service</t>
  </si>
  <si>
    <t>19-20 LPA</t>
  </si>
  <si>
    <t>K. Sabarish</t>
  </si>
  <si>
    <t>ksabarish416@gmail.com</t>
  </si>
  <si>
    <t>Bosch</t>
  </si>
  <si>
    <t>LWD-Nov 29th 24</t>
  </si>
  <si>
    <t>1 offer in hand with 23 for service based not considering</t>
  </si>
  <si>
    <t xml:space="preserve">Shubham Suresh Chopade    </t>
  </si>
  <si>
    <t>chopade60@gmail.com</t>
  </si>
  <si>
    <t xml:space="preserve">KPIT  </t>
  </si>
  <si>
    <t>Project on hold can join early</t>
  </si>
  <si>
    <t>Mallayya Hiremath</t>
  </si>
  <si>
    <t>mshiremath013@gmail.com</t>
  </si>
  <si>
    <t>Philips - On role</t>
  </si>
  <si>
    <t>18.3 LPA</t>
  </si>
  <si>
    <t>Chandra Reddy</t>
  </si>
  <si>
    <t>dineshreddygc@gmail.com</t>
  </si>
  <si>
    <t xml:space="preserve">INTEGRA LIFE SCIENCES </t>
  </si>
  <si>
    <t>98,000 USD</t>
  </si>
  <si>
    <t>Kiran Shinde</t>
  </si>
  <si>
    <t>shindekiran406@gmail.com</t>
  </si>
  <si>
    <t>8.2 Years</t>
  </si>
  <si>
    <t>Varroc Engineering Ltd</t>
  </si>
  <si>
    <t>12.85 LPA</t>
  </si>
  <si>
    <t>Abhijit Bhagat </t>
  </si>
  <si>
    <t>8698004479 </t>
  </si>
  <si>
    <t>abhijitbhagat7990@gmail.com </t>
  </si>
  <si>
    <t>10.8 Years</t>
  </si>
  <si>
    <t>Incedo Inc.</t>
  </si>
  <si>
    <t>13.9 LPA</t>
  </si>
  <si>
    <t>Ajit Pande</t>
  </si>
  <si>
    <t>ajit23pande@gmail.com</t>
  </si>
  <si>
    <t>Mahle Engineering Services</t>
  </si>
  <si>
    <t>Balaji Chavan</t>
  </si>
  <si>
    <t>brc9604@gmail.com</t>
  </si>
  <si>
    <t>Bufab India Fasteners Pvt Ltd</t>
  </si>
  <si>
    <t>Yogesh Shingare</t>
  </si>
  <si>
    <t>yshingare123@gmail.com</t>
  </si>
  <si>
    <t>Daccess Security System PVT.LTD</t>
  </si>
  <si>
    <t>7.8 LPA</t>
  </si>
  <si>
    <t>Yogesh Gupta</t>
  </si>
  <si>
    <t>gyogesh536@gmail.com</t>
  </si>
  <si>
    <t>Cognizant Technology Solutions Ltd</t>
  </si>
  <si>
    <t>22.25 LPA</t>
  </si>
  <si>
    <t>26.5 LPA</t>
  </si>
  <si>
    <t>90 Days - 60 days Neg</t>
  </si>
  <si>
    <t>Nemish Sheth</t>
  </si>
  <si>
    <t>9428225488 </t>
  </si>
  <si>
    <t>nemish.sheth.cr@gmail.com </t>
  </si>
  <si>
    <t>Gateway Group of Companies</t>
  </si>
  <si>
    <t>9.5 LPA</t>
  </si>
  <si>
    <t>Gujrat</t>
  </si>
  <si>
    <t>Awdhesh Kumar</t>
  </si>
  <si>
    <t>awdheshkumar645@gmail.com</t>
  </si>
  <si>
    <t>7.2 Years</t>
  </si>
  <si>
    <t>Nic Headquarters - Payroll ADG Online Solutions Pvt</t>
  </si>
  <si>
    <t>13.20 LPA</t>
  </si>
  <si>
    <t>Sagar Nale</t>
  </si>
  <si>
    <t>sagarnale90@gmail.com</t>
  </si>
  <si>
    <t>4.3 Years</t>
  </si>
  <si>
    <t>Hoerbiger India Pvt. Ltd</t>
  </si>
  <si>
    <t>7.7 Years</t>
  </si>
  <si>
    <t>LWD: 28th April 25</t>
  </si>
  <si>
    <t>Minakshi J. Karche</t>
  </si>
  <si>
    <t>minakshikarche.j@gmail.com</t>
  </si>
  <si>
    <t>Husys</t>
  </si>
  <si>
    <t>Pune-Kasaba Peth</t>
  </si>
  <si>
    <t>JAYA MISHRA</t>
  </si>
  <si>
    <t>jaya.kmishra@gmail.com</t>
  </si>
  <si>
    <t>Valethi Technologies</t>
  </si>
  <si>
    <t>LWD:16th Jan 24</t>
  </si>
  <si>
    <t>HIMANSU SEKHAR SAHU</t>
  </si>
  <si>
    <t>himansusahu9090@gmail.com</t>
  </si>
  <si>
    <t>ITL</t>
  </si>
  <si>
    <t>Banglore,</t>
  </si>
  <si>
    <t xml:space="preserve">90 days, Can check for 45 days </t>
  </si>
  <si>
    <t>Bhushan Wasekar</t>
  </si>
  <si>
    <t>82083 52036 / 86863 64278</t>
  </si>
  <si>
    <t>bhushanwasekar02@gmail.com</t>
  </si>
  <si>
    <t>Equinix Pvt. Ltd</t>
  </si>
  <si>
    <t>LWD:10th Dec 24, Immediate Joiner</t>
  </si>
  <si>
    <t>Shriganesh Patil</t>
  </si>
  <si>
    <t>Shriganesh.patil@hotmail.com</t>
  </si>
  <si>
    <t>Applus Idida</t>
  </si>
  <si>
    <t>Nagesh Jamge</t>
  </si>
  <si>
    <t>nageshjamge@gmail.com</t>
  </si>
  <si>
    <t>Spark minda</t>
  </si>
  <si>
    <t>16-17 lpa</t>
  </si>
  <si>
    <t>ROHIT CHOTHAVE</t>
  </si>
  <si>
    <t>rohitaer@gmail.com</t>
  </si>
  <si>
    <t>4.5 yrs</t>
  </si>
  <si>
    <t>EQUILIBRIUM SOLUTIONS</t>
  </si>
  <si>
    <t>LWD- 8th March 25</t>
  </si>
  <si>
    <t>1 offer with 11.3 for Chennai</t>
  </si>
  <si>
    <t>Jayant Patel</t>
  </si>
  <si>
    <t>jayantpatel525@gmail.com</t>
  </si>
  <si>
    <t>Principal Engineer - Java</t>
  </si>
  <si>
    <t>Sun, Kai Fhili</t>
  </si>
  <si>
    <t>Tech Mahindra Limited</t>
  </si>
  <si>
    <t>LWD: 25th March 25</t>
  </si>
  <si>
    <t>20 LPA - Pune</t>
  </si>
  <si>
    <t>Prajakta Kulkarni</t>
  </si>
  <si>
    <t>prajakta.b.deshpande@gmail.com</t>
  </si>
  <si>
    <t>11.8 Years</t>
  </si>
  <si>
    <t>Sarvatra Technologies Pvt Ltd</t>
  </si>
  <si>
    <t>25 LPA - Pune</t>
  </si>
  <si>
    <t> Revati Waghmare </t>
  </si>
  <si>
    <t> 8007402912 </t>
  </si>
  <si>
    <t> revatiwagamare666@gmail.com </t>
  </si>
  <si>
    <t>5.4 Years</t>
  </si>
  <si>
    <t>LTMindtree</t>
  </si>
  <si>
    <t>LWD: 2nd Dec 24</t>
  </si>
  <si>
    <t xml:space="preserve">Parvez Saiyed </t>
  </si>
  <si>
    <t>parvezsaiyed91@gmail.com</t>
  </si>
  <si>
    <t>Kiya.Ai</t>
  </si>
  <si>
    <t>21 LPA</t>
  </si>
  <si>
    <t>Kamal Tewari</t>
  </si>
  <si>
    <t>kamal12feb@gmail.com</t>
  </si>
  <si>
    <t>Samin Tekmindz India Pvt Ltd</t>
  </si>
  <si>
    <t>19.33 LPA</t>
  </si>
  <si>
    <t>Noida</t>
  </si>
  <si>
    <t>LWD: 3rd Jan 25</t>
  </si>
  <si>
    <t>Arnab Bhattacharya</t>
  </si>
  <si>
    <t>arnabb.official@gmail.com</t>
  </si>
  <si>
    <t>6.8 Years</t>
  </si>
  <si>
    <t>GoDigit</t>
  </si>
  <si>
    <t>LWD: 13 March 25</t>
  </si>
  <si>
    <t>28 LPA - Pune</t>
  </si>
  <si>
    <t>Swapnil Pendhari</t>
  </si>
  <si>
    <t>pendhari.swapnil@gmail.com</t>
  </si>
  <si>
    <t xml:space="preserve">AURIONPRO SOLUTIONS LIMITED </t>
  </si>
  <si>
    <t>24 LPA</t>
  </si>
  <si>
    <t>LWD: 4th Jan 25</t>
  </si>
  <si>
    <t>Johnson Rajkamal Punvatkar</t>
  </si>
  <si>
    <t>punvatkarjohnson@gmail.com</t>
  </si>
  <si>
    <t>JIGNESH SONGIRE</t>
  </si>
  <si>
    <t>jigneshsongire0990@gmail.com</t>
  </si>
  <si>
    <t>Virtuoso projects and Engineers Pvt.Ltd</t>
  </si>
  <si>
    <t>Rushikesh Pachgade</t>
  </si>
  <si>
    <t>rushikeshpachgade97@gmail.com</t>
  </si>
  <si>
    <t>Spark Minda Technical Centre</t>
  </si>
  <si>
    <t xml:space="preserve">3 months </t>
  </si>
  <si>
    <t>1 offer 15 for Pune, not considering due to role assigned</t>
  </si>
  <si>
    <t>Uttam M. Bhujbal</t>
  </si>
  <si>
    <t>uttambhujbal@gmail.com</t>
  </si>
  <si>
    <t>FFS India Pvt Ltd, Pune</t>
  </si>
  <si>
    <t>45 days negotiable</t>
  </si>
  <si>
    <t>HEMANT KANADE</t>
  </si>
  <si>
    <t>kanadehemant93@outlook.com</t>
  </si>
  <si>
    <t>6.6 yrs</t>
  </si>
  <si>
    <t>Growell softech Pvt Ltd</t>
  </si>
  <si>
    <t>9.5-10 LPA</t>
  </si>
  <si>
    <t>1 months</t>
  </si>
  <si>
    <t>L2 Interview</t>
  </si>
  <si>
    <t xml:space="preserve">RAVITEJA   </t>
  </si>
  <si>
    <t>itsraviteja712@gmail.com</t>
  </si>
  <si>
    <t>Forvia</t>
  </si>
  <si>
    <t>LWD-28th feb 25</t>
  </si>
  <si>
    <t>SHUBHAM SHINGOTE</t>
  </si>
  <si>
    <t>shubhampvtacc@gmail.com</t>
  </si>
  <si>
    <t>Pune-Wakad</t>
  </si>
  <si>
    <t>NIKHIL SANJAY JOSHI</t>
  </si>
  <si>
    <t>njnikhil2606@gmail.com</t>
  </si>
  <si>
    <t>Medulla Communications Pvt. Ltd</t>
  </si>
  <si>
    <t>Amit Chavan</t>
  </si>
  <si>
    <t>amitpc26@gmail.com</t>
  </si>
  <si>
    <t>Tech Mahindra</t>
  </si>
  <si>
    <t>DARSHAN M HONKALSE</t>
  </si>
  <si>
    <t>darshanhonkalse96@gmail.com</t>
  </si>
  <si>
    <t>NEXTEER AUTOMOTIVE</t>
  </si>
  <si>
    <t>Kolkata</t>
  </si>
  <si>
    <t>RUSHIK PATHAK</t>
  </si>
  <si>
    <t>rushikpathak@gmail.com</t>
  </si>
  <si>
    <t>Cyient Limited</t>
  </si>
  <si>
    <t>Ujjwal Dinkar Khobragade</t>
  </si>
  <si>
    <t>khobragade.ujjwal08@gmail.com</t>
  </si>
  <si>
    <t>Pune-</t>
  </si>
  <si>
    <t>Rohit Mane</t>
  </si>
  <si>
    <t>8888904771/9307331972</t>
  </si>
  <si>
    <t>rohitmanee007@gmail.com</t>
  </si>
  <si>
    <t>Larsen &amp; Toubro Limited</t>
  </si>
  <si>
    <t>30K</t>
  </si>
  <si>
    <t>Pune-Talegaon</t>
  </si>
  <si>
    <t>Akshay Bapuji Wagh</t>
  </si>
  <si>
    <t>akshay_wagh26@yahoo.in</t>
  </si>
  <si>
    <t>Software Engineer</t>
  </si>
  <si>
    <t>Ajit</t>
  </si>
  <si>
    <t>Zenith</t>
  </si>
  <si>
    <t>20-21 LPA</t>
  </si>
  <si>
    <t>LWD-23rd Jan 25</t>
  </si>
  <si>
    <t>Left company as contract was over</t>
  </si>
  <si>
    <t>Narayan Bhosale</t>
  </si>
  <si>
    <t>Narayan.bhosale11@gmail.com</t>
  </si>
  <si>
    <t>6.1 Years</t>
  </si>
  <si>
    <t>Scadea Software Solutions Pvt. Ltd</t>
  </si>
  <si>
    <t>23 LPA</t>
  </si>
  <si>
    <t>Immediate, LWD: 10th Jan 25</t>
  </si>
  <si>
    <t xml:space="preserve">Vyankatesh Manwade  </t>
  </si>
  <si>
    <t>vyankymanwade8187@gmail.com</t>
  </si>
  <si>
    <t>LWD: 17th March</t>
  </si>
  <si>
    <t>14.5 LPA - Pune</t>
  </si>
  <si>
    <t> Pooja Nimbokar </t>
  </si>
  <si>
    <t> 8390748846 </t>
  </si>
  <si>
    <t> nimbokarp.28@gmail.com </t>
  </si>
  <si>
    <t>5.9 Years</t>
  </si>
  <si>
    <t> Vodafone India Shared Services </t>
  </si>
  <si>
    <t>Chhaya Goyal</t>
  </si>
  <si>
    <t>Shivani Yadav</t>
  </si>
  <si>
    <t>shivani75yadav@gmail.com</t>
  </si>
  <si>
    <t>4.2 yrs</t>
  </si>
  <si>
    <t>LWD 29 April</t>
  </si>
  <si>
    <t>Pipeline</t>
  </si>
  <si>
    <t>MOHSIN ABBAS KALBE HASAN SHAIKH</t>
  </si>
  <si>
    <t>shaikhabbas191@gmail.com</t>
  </si>
  <si>
    <t>D2K Tech</t>
  </si>
  <si>
    <t>Drashti Desai</t>
  </si>
  <si>
    <t>9737084745 </t>
  </si>
  <si>
    <t>dkdesai2012@gmail.com</t>
  </si>
  <si>
    <t>Technotron Softech</t>
  </si>
  <si>
    <t>BHUSHAN BHASME</t>
  </si>
  <si>
    <t>bhasmebhushan10@gmail.com</t>
  </si>
  <si>
    <t>e-zest Digital solutions pvt ltd</t>
  </si>
  <si>
    <t>Mayur Kamble</t>
  </si>
  <si>
    <t>mayur.kamble3@gmail.com</t>
  </si>
  <si>
    <t>VOLTAIRA</t>
  </si>
  <si>
    <t>11.70 LPA</t>
  </si>
  <si>
    <t>LWD: 16 Jan 25</t>
  </si>
  <si>
    <t>Akshay Wavhal</t>
  </si>
  <si>
    <t>wavhalakshay7@gmail.com</t>
  </si>
  <si>
    <t>Engineer - Reliability</t>
  </si>
  <si>
    <t>Blue Star Limited </t>
  </si>
  <si>
    <t>7.75 LPA</t>
  </si>
  <si>
    <t>Vikram Shinde</t>
  </si>
  <si>
    <t>vikramshinde166@gmail.com</t>
  </si>
  <si>
    <t>UST Global Client: Philips</t>
  </si>
  <si>
    <t> Anup Kulkarni </t>
  </si>
  <si>
    <t>7756055999 </t>
  </si>
  <si>
    <t>anup.1112@gmail.com </t>
  </si>
  <si>
    <t> Varian – A Siemens Healthineers Company </t>
  </si>
  <si>
    <t>14.7 LPA</t>
  </si>
  <si>
    <t>Meera Bakhal</t>
  </si>
  <si>
    <t>meerabakhal@gmail.com</t>
  </si>
  <si>
    <t>Krishna Antioxidant Pvt LTD</t>
  </si>
  <si>
    <t>Vaishali Bedge</t>
  </si>
  <si>
    <t>vaishalibedge85@gmail.com</t>
  </si>
  <si>
    <t>4.5 Years</t>
  </si>
  <si>
    <t>Flextronics PVT LTD</t>
  </si>
  <si>
    <t>3.2 LPA</t>
  </si>
  <si>
    <t>7 LPA</t>
  </si>
  <si>
    <t>Saurabh Rane</t>
  </si>
  <si>
    <t>saurabhrane22@gmail.com</t>
  </si>
  <si>
    <t>Payroll - First Meridian. Client - Danfoss Technologies</t>
  </si>
  <si>
    <t>4.1 LPA</t>
  </si>
  <si>
    <t>Zeba Dhalayat</t>
  </si>
  <si>
    <t>zeba.dhalayat@gmail.com</t>
  </si>
  <si>
    <t>8.7 Years</t>
  </si>
  <si>
    <t>RENAULT NISSAN Technology</t>
  </si>
  <si>
    <t>14 LPA - Pune</t>
  </si>
  <si>
    <t>Suparna Sarkar</t>
  </si>
  <si>
    <t>suparna.mepl@gmail.com</t>
  </si>
  <si>
    <t>SPX Flow Technology India</t>
  </si>
  <si>
    <t>14.85 LPA</t>
  </si>
  <si>
    <t>Madivallaya K</t>
  </si>
  <si>
    <t>Mahesh.k.k.008@gmail.com</t>
  </si>
  <si>
    <t>MAHLE Engineering</t>
  </si>
  <si>
    <t>10.8 LPA</t>
  </si>
  <si>
    <t>Kiran Aajagekar</t>
  </si>
  <si>
    <t> 8379971919</t>
  </si>
  <si>
    <t> kiranaajagekar30@gmail.com </t>
  </si>
  <si>
    <t> Mitsubishi Electric India </t>
  </si>
  <si>
    <t>Hemraj V. Tiple</t>
  </si>
  <si>
    <t>htiple90@gmail.com</t>
  </si>
  <si>
    <t>Magna Automotive</t>
  </si>
  <si>
    <t>Ajit Kale</t>
  </si>
  <si>
    <t>ajitrkale@gmail.com</t>
  </si>
  <si>
    <t>MAHLE ENGINEERING</t>
  </si>
  <si>
    <t>Abhishek M</t>
  </si>
  <si>
    <t>abhishekmotichand@gmail.com</t>
  </si>
  <si>
    <t>12.1 LPA</t>
  </si>
  <si>
    <t>Prajakta Londhe</t>
  </si>
  <si>
    <t xml:space="preserve">prajaktalondhe9@gmail.com    </t>
  </si>
  <si>
    <t xml:space="preserve">Plastic Omnium Intelligent Exterior Systems </t>
  </si>
  <si>
    <t>Yogesh Newal</t>
  </si>
  <si>
    <t>yogeshnewal04@gmail.com</t>
  </si>
  <si>
    <t>Sr. Engineer - Firmware</t>
  </si>
  <si>
    <t>Shiwani M. Fasate</t>
  </si>
  <si>
    <t>shiwanimilindfasate@outlook.com</t>
  </si>
  <si>
    <t>Devise Electronics Pvt Ltd</t>
  </si>
  <si>
    <t>Jayashri Gokul Arote</t>
  </si>
  <si>
    <t>9579298725/8975336903 </t>
  </si>
  <si>
    <t>jayashriarote9@gmail.com</t>
  </si>
  <si>
    <t>8.7 yrs</t>
  </si>
  <si>
    <t>Kohler</t>
  </si>
  <si>
    <t>Immediate, LWD 8 Oct</t>
  </si>
  <si>
    <t>Amol Ghogare</t>
  </si>
  <si>
    <t>7709386115 / 7744883438</t>
  </si>
  <si>
    <t>amolsp78@gmail.com</t>
  </si>
  <si>
    <t>Chemito Infotech Pvt Ltd</t>
  </si>
  <si>
    <t>7.2 LPA</t>
  </si>
  <si>
    <t>Aditya Ashok Deshmukh</t>
  </si>
  <si>
    <t>adidshmkh92@gmail.com</t>
  </si>
  <si>
    <t>John Deere TCI</t>
  </si>
  <si>
    <t>22.5 LPA</t>
  </si>
  <si>
    <t>Neeraj Badhani</t>
  </si>
  <si>
    <t>mr.neeraj.nb@gmail.com</t>
  </si>
  <si>
    <t>30 days due to on bench</t>
  </si>
  <si>
    <t>Ankush D. Shirbhate</t>
  </si>
  <si>
    <t>ankush9096@gmail.com</t>
  </si>
  <si>
    <t>4.3 yrs</t>
  </si>
  <si>
    <t>Wipro</t>
  </si>
  <si>
    <t>Immediate, LWD 2 April 2024</t>
  </si>
  <si>
    <t>In Pipeline</t>
  </si>
  <si>
    <t>Archana Udar</t>
  </si>
  <si>
    <t>archanaudar47@gmail.com</t>
  </si>
  <si>
    <t>HYC Technologies</t>
  </si>
  <si>
    <t>LWD 20 Feb</t>
  </si>
  <si>
    <t>Dhanraj Upase</t>
  </si>
  <si>
    <t>d.rajupase@gmail.com</t>
  </si>
  <si>
    <t>TATA Motors</t>
  </si>
  <si>
    <t>Sanyam Jain</t>
  </si>
  <si>
    <t>er.sanyamjain08@gmail.com</t>
  </si>
  <si>
    <t>5.9 yrs</t>
  </si>
  <si>
    <t>Immediate, LWD 2 Dec</t>
  </si>
  <si>
    <t>Harshraj Singh</t>
  </si>
  <si>
    <t>harshsir7755@gmail.com</t>
  </si>
  <si>
    <t>LWD: 15 April 25</t>
  </si>
  <si>
    <t>Offer holding 10L.DOJ: 6th May 25</t>
  </si>
  <si>
    <t>PRAVEEN KUMAR</t>
  </si>
  <si>
    <t>7002307820, 9667555404</t>
  </si>
  <si>
    <t>praveen1.kumar97@gmail.com</t>
  </si>
  <si>
    <t>Nagarro Software</t>
  </si>
  <si>
    <t>0, LWD: 31 Jan 25</t>
  </si>
  <si>
    <t xml:space="preserve">Offer  holding 12L, Gurgaon DOJ last week </t>
  </si>
  <si>
    <t>AAYUSH ANAND</t>
  </si>
  <si>
    <t>Aayushanand039@gmail.com</t>
  </si>
  <si>
    <t>FEA - Associate</t>
  </si>
  <si>
    <t>Amitkumar Devra</t>
  </si>
  <si>
    <t>SIMULATION LAB</t>
  </si>
  <si>
    <t>Bihar</t>
  </si>
  <si>
    <t>ANUJA KAILAS SONAR</t>
  </si>
  <si>
    <t>anujasonar99@gmail.com</t>
  </si>
  <si>
    <t>CG Power &amp; Industrial Solutions Ltd</t>
  </si>
  <si>
    <t>DR. Y SHRIRAJ RAO</t>
  </si>
  <si>
    <t>shrirajrao@gmail.com</t>
  </si>
  <si>
    <t>Assistant Professor-Department of Aeronautical Engineering</t>
  </si>
  <si>
    <t>Udpi</t>
  </si>
  <si>
    <t>OMKAR TAGADE</t>
  </si>
  <si>
    <t>omkartagade1@gmail.com</t>
  </si>
  <si>
    <t>F.E Solutions</t>
  </si>
  <si>
    <t>7 to 10</t>
  </si>
  <si>
    <t>Pune-Shukrawar Peth</t>
  </si>
  <si>
    <t>P.Ramya</t>
  </si>
  <si>
    <t>ramyasrinu1997@gmail.com</t>
  </si>
  <si>
    <t>Willing to relocate to Pune</t>
  </si>
  <si>
    <t>Not reachable</t>
  </si>
  <si>
    <t>Vikas Manoha r Patil</t>
  </si>
  <si>
    <t>vikasmanoharpatil@gmail.com</t>
  </si>
  <si>
    <t>Continental</t>
  </si>
  <si>
    <t xml:space="preserve">As per comp </t>
  </si>
  <si>
    <t>Dhiraj R. Khade</t>
  </si>
  <si>
    <t>dhirajkhade4@gmail.com</t>
  </si>
  <si>
    <t xml:space="preserve">Knorr-Bremse India </t>
  </si>
  <si>
    <t>Madhuri Sonvane</t>
  </si>
  <si>
    <t>mrsonvane29@gmail.com</t>
  </si>
  <si>
    <t>Atonarp Micro-Systems India Pvt. Ltd</t>
  </si>
  <si>
    <t>Immediate, LWD- 19th Nov 24</t>
  </si>
  <si>
    <t>Left due to bangalore location</t>
  </si>
  <si>
    <t>L3 reject</t>
  </si>
  <si>
    <t>PRIYAL TIBDEWAL</t>
  </si>
  <si>
    <t>pmtibdewal1993@gmail.com</t>
  </si>
  <si>
    <t>9.2 years</t>
  </si>
  <si>
    <t>Tata Consultancy Services Limited, Pune</t>
  </si>
  <si>
    <t>LWD-18th Feb 25</t>
  </si>
  <si>
    <t>1 offer with 14 LPA-24th Feb DOJ</t>
  </si>
  <si>
    <t>Vaibhav Bajirao Deore</t>
  </si>
  <si>
    <t>deorevaibhav015@gmail.com</t>
  </si>
  <si>
    <t>4.4 yrs</t>
  </si>
  <si>
    <t>Aptly Technology Corporation</t>
  </si>
  <si>
    <t>LWD-30th June 24</t>
  </si>
  <si>
    <t>1 offer in pipeline 13 LPA</t>
  </si>
  <si>
    <t>Pawan Warulkar</t>
  </si>
  <si>
    <t>Pawanwarulkar95@gmail.com</t>
  </si>
  <si>
    <t>Subblelabs Software solution</t>
  </si>
  <si>
    <t>Rushikesh Kamtam</t>
  </si>
  <si>
    <t>rushi.kamtam@gmail.com</t>
  </si>
  <si>
    <t>A2 Digi Solutions</t>
  </si>
  <si>
    <t>SaurabhKumar</t>
  </si>
  <si>
    <t>saurabh.k_mail@yahoo.in</t>
  </si>
  <si>
    <t>AffinityX</t>
  </si>
  <si>
    <t>Pune-Lohgaon</t>
  </si>
  <si>
    <t>0,30th Oct 24 Immediate Joiner</t>
  </si>
  <si>
    <t>Pranav Phulware</t>
  </si>
  <si>
    <t>pranavphulware98@gmail.com</t>
  </si>
  <si>
    <t>Codebase</t>
  </si>
  <si>
    <t>Pune-Bhavdan</t>
  </si>
  <si>
    <t>KAMINI SHINDE</t>
  </si>
  <si>
    <t>kaminishinde71@gmail.com</t>
  </si>
  <si>
    <t>amberstudent</t>
  </si>
  <si>
    <t>60 days, LWD:11th April 25</t>
  </si>
  <si>
    <t>BANSARI SHAH</t>
  </si>
  <si>
    <t>mebansarishah@gmail.com</t>
  </si>
  <si>
    <t>Ecostic Wallpapers
Pvt. Ltd</t>
  </si>
  <si>
    <t>15 days, LWD:5th March 25</t>
  </si>
  <si>
    <t>L1 FBA</t>
  </si>
  <si>
    <t>Akshay Shindolkar</t>
  </si>
  <si>
    <t>akshays9979@gmail.com</t>
  </si>
  <si>
    <t>QuEST Global Engineering Services Pvt Ltd Bangalore</t>
  </si>
  <si>
    <t>MOHIT</t>
  </si>
  <si>
    <t>mohsids4u@gmail.com</t>
  </si>
  <si>
    <t>18.6 LPA</t>
  </si>
  <si>
    <t xml:space="preserve">30+ </t>
  </si>
  <si>
    <t>LWD 31 March</t>
  </si>
  <si>
    <t>He's an offer of 30 LPA fixed</t>
  </si>
  <si>
    <t>Not Suitable, don’t have embedded experience</t>
  </si>
  <si>
    <t>Rahul Shah  </t>
  </si>
  <si>
    <t>Rah4shah@gmail.com</t>
  </si>
  <si>
    <t>7.6 yrs</t>
  </si>
  <si>
    <t>LWD 28 Feb</t>
  </si>
  <si>
    <t>doesn't have any offer</t>
  </si>
  <si>
    <t>Suitable, Please schedule L1 round</t>
  </si>
  <si>
    <t>VISHAL KUMAR</t>
  </si>
  <si>
    <t>kvishaldhiman@outlook.com</t>
  </si>
  <si>
    <t>in probation period</t>
  </si>
  <si>
    <t>DEEPAK KRISHNA</t>
  </si>
  <si>
    <t xml:space="preserve">deepakkrishna0206@gmail.com </t>
  </si>
  <si>
    <t>John Dheere</t>
  </si>
  <si>
    <t>LWD-1st Apr 25</t>
  </si>
  <si>
    <t>1 offer with 23</t>
  </si>
  <si>
    <t xml:space="preserve">Laxman Agwan Chavan </t>
  </si>
  <si>
    <t>chavanlaxman2015@gmail.com</t>
  </si>
  <si>
    <t>EINFOCHIPS</t>
  </si>
  <si>
    <t>Pradip Gade</t>
  </si>
  <si>
    <t>gadepradip34@gmail.com</t>
  </si>
  <si>
    <t>4.6 yrs</t>
  </si>
  <si>
    <t>Apex</t>
  </si>
  <si>
    <t>As per comp</t>
  </si>
  <si>
    <t>2 month negotiable</t>
  </si>
  <si>
    <t>Akanksha Omprakash Shrivastav</t>
  </si>
  <si>
    <t>akankshashrivastav911@gmail.com</t>
  </si>
  <si>
    <t>Shivaji PATIL</t>
  </si>
  <si>
    <t>shivajijadhavp95@gmail.com</t>
  </si>
  <si>
    <t>Sunstone</t>
  </si>
  <si>
    <t>Niyati Prajapati</t>
  </si>
  <si>
    <t>94090 66989</t>
  </si>
  <si>
    <t>nayi.niyati@gmail.com</t>
  </si>
  <si>
    <t>L3 TBS</t>
  </si>
  <si>
    <t>Kedar Kharavtekar</t>
  </si>
  <si>
    <t>kedarkk2000@gmail.com</t>
  </si>
  <si>
    <t>As per Comp</t>
  </si>
  <si>
    <t>Shriansh Rasekar</t>
  </si>
  <si>
    <t>shrianshrasekar123@gmail.com</t>
  </si>
  <si>
    <t>9.49 LPA</t>
  </si>
  <si>
    <t>LWD: 26th Feb 25</t>
  </si>
  <si>
    <t>13 LPA - Pune</t>
  </si>
  <si>
    <t>Mrunalini Pattanaik</t>
  </si>
  <si>
    <t>mrunalinipattanaik142@gmail.com</t>
  </si>
  <si>
    <t>LWD: 25th April 25</t>
  </si>
  <si>
    <t>16.5 LPA - Pune</t>
  </si>
  <si>
    <t>Sujay Patil</t>
  </si>
  <si>
    <t>mr.sujay.patil@outlook.com</t>
  </si>
  <si>
    <t>Allstate Solutions Private Limited</t>
  </si>
  <si>
    <t>Pravin Deulkar</t>
  </si>
  <si>
    <t xml:space="preserve">deulkarpravin1@gmail.com    </t>
  </si>
  <si>
    <t>5.3 Years</t>
  </si>
  <si>
    <t>15.5 LPA</t>
  </si>
  <si>
    <t>Vicky Bandiwaddar</t>
  </si>
  <si>
    <t> 7507130066 </t>
  </si>
  <si>
    <t>vickybandiwaddar9481@gmail.com</t>
  </si>
  <si>
    <t>9.5 Years</t>
  </si>
  <si>
    <t> Trejhara Solution Ltd </t>
  </si>
  <si>
    <t>Meet Sureliya</t>
  </si>
  <si>
    <t>meetsureliya@gmail.com</t>
  </si>
  <si>
    <t>17.7 LPA</t>
  </si>
  <si>
    <t>Rakesh Chitade</t>
  </si>
  <si>
    <t>rakesh.chitade23@gmail.com </t>
  </si>
  <si>
    <t>14.20 LPA</t>
  </si>
  <si>
    <t>Mayur Chaudhari</t>
  </si>
  <si>
    <t>chaudharim22@gmail.com</t>
  </si>
  <si>
    <t>19.45 LPA</t>
  </si>
  <si>
    <t>LWD 18 Feb</t>
  </si>
  <si>
    <t>have an offer of 28 LPA</t>
  </si>
  <si>
    <t>Adarsh Gupta</t>
  </si>
  <si>
    <t>addy91222@gmail.com</t>
  </si>
  <si>
    <t>Aspire Software Systems pvt. Ltd</t>
  </si>
  <si>
    <t>11.7 LPA</t>
  </si>
  <si>
    <t>Rishabh Patil</t>
  </si>
  <si>
    <t>rishabhpatil49991@gmail.com</t>
  </si>
  <si>
    <t>Ellicium Solutions Pvt. Ltd</t>
  </si>
  <si>
    <t>9.21 LPA</t>
  </si>
  <si>
    <t>Ashwini Sunil Pawar</t>
  </si>
  <si>
    <t>ashwinipawar0417@gmail.com</t>
  </si>
  <si>
    <t>Nice Interactive Solutions</t>
  </si>
  <si>
    <t>Priyanka Karne</t>
  </si>
  <si>
    <t>8766823311 </t>
  </si>
  <si>
    <t>priyankakarne97@gmail.com</t>
  </si>
  <si>
    <t>Synechron Technologies</t>
  </si>
  <si>
    <t>7.3 LPA</t>
  </si>
  <si>
    <t>LWD 5 March</t>
  </si>
  <si>
    <t>Anjali Kumari</t>
  </si>
  <si>
    <t>anjali123450kumari@gmail.com</t>
  </si>
  <si>
    <t>Tata Consultancy services</t>
  </si>
  <si>
    <t>11 to 12</t>
  </si>
  <si>
    <t xml:space="preserve">Pune-Hinjewadi, </t>
  </si>
  <si>
    <t>LWD: 28th Fev 25</t>
  </si>
  <si>
    <t>Laxmi Davuluri</t>
  </si>
  <si>
    <t>lakshmidavuluri04@gmail.com</t>
  </si>
  <si>
    <t>Eviden (Atos business partner)</t>
  </si>
  <si>
    <t>9 to 10 (negotiable)</t>
  </si>
  <si>
    <t>Pune-Talwadi, Native place is Andra Pradesh</t>
  </si>
  <si>
    <t>Kishor Dharmaraj Chandanshive</t>
  </si>
  <si>
    <t>kishor.chandanshive9890@gmail.com</t>
  </si>
  <si>
    <t>Atos (Eviden)</t>
  </si>
  <si>
    <t>offer holding 11 L, DOJ: Not yet pune, Hybrid</t>
  </si>
  <si>
    <t>Tejashvi Siddharam Koli</t>
  </si>
  <si>
    <t>kolitejashvi95@gmail.com</t>
  </si>
  <si>
    <t>Pune-Pimple saudar</t>
  </si>
  <si>
    <t>Aniket Patil</t>
  </si>
  <si>
    <t>aniketpatil963@gmail.com</t>
  </si>
  <si>
    <t>Fujitsu Consulting India</t>
  </si>
  <si>
    <t>12 (negotiable)</t>
  </si>
  <si>
    <t>Offer holding 12 L</t>
  </si>
  <si>
    <t>YATIN LAYGUDE</t>
  </si>
  <si>
    <t>yatinwrites@gmail.com</t>
  </si>
  <si>
    <t>VTP Realty</t>
  </si>
  <si>
    <t>Saurabh Salokhe</t>
  </si>
  <si>
    <t>9405465919 +918088034200</t>
  </si>
  <si>
    <t>saurabhsalokhe2000@gmail.com</t>
  </si>
  <si>
    <t>Pune-Nigadi</t>
  </si>
  <si>
    <t>9.5 L, DOJ:  18th march</t>
  </si>
  <si>
    <t>Anuja Sharma</t>
  </si>
  <si>
    <t>9764235736/7588200000</t>
  </si>
  <si>
    <t>sanuja49@gmail.com</t>
  </si>
  <si>
    <t>Accelya Solutions</t>
  </si>
  <si>
    <t>Ajinkya
Datir</t>
  </si>
  <si>
    <t>7588512925/ 7058682169</t>
  </si>
  <si>
    <t>ajdatir2@gmail.com</t>
  </si>
  <si>
    <t>Varahe Analytics</t>
  </si>
  <si>
    <t>Abhijit Patne</t>
  </si>
  <si>
    <t>abhitpatne@gmail.com</t>
  </si>
  <si>
    <t>Wolters Kluwer Ltd (</t>
  </si>
  <si>
    <t xml:space="preserve"> Pune-Rahatani</t>
  </si>
  <si>
    <t>Harikrishna.N</t>
  </si>
  <si>
    <t>haridiyu@gmail.com</t>
  </si>
  <si>
    <t>Tata Elxsi Pvt Ltd.</t>
  </si>
  <si>
    <t>ADITYA PRAKASH SINGH</t>
  </si>
  <si>
    <t>adityaprakashsingh02@gmail.com</t>
  </si>
  <si>
    <t>FIS Global</t>
  </si>
  <si>
    <t>75 days</t>
  </si>
  <si>
    <t>Buyout option</t>
  </si>
  <si>
    <t>Lakabshetti Anand Shivasharan</t>
  </si>
  <si>
    <t>anandlakabshetti@gmail.com</t>
  </si>
  <si>
    <t>Veritas Technologies LLC(Cohesity)</t>
  </si>
  <si>
    <t xml:space="preserve">Gaurav Khandelwal                     </t>
  </si>
  <si>
    <t>divine.gaurav@gmail.com</t>
  </si>
  <si>
    <t>Team lead firmware</t>
  </si>
  <si>
    <t xml:space="preserve">Beyondsoft </t>
  </si>
  <si>
    <t>27+ 1 L JB</t>
  </si>
  <si>
    <t>Ready to join in lesser CTC as currently on bench and ready to relocate</t>
  </si>
  <si>
    <t>Shweta Patil</t>
  </si>
  <si>
    <t>shwetabhagavantjadhav@gmail.com</t>
  </si>
  <si>
    <t>Neosmart Solution</t>
  </si>
  <si>
    <t>Harshit Shrivastava</t>
  </si>
  <si>
    <t>harshitshrivastava13041996@gmail.com</t>
  </si>
  <si>
    <t>RAAP OMNICORP</t>
  </si>
  <si>
    <t>Worked before in pune, ready to relocate</t>
  </si>
  <si>
    <t>JUSTIN THOMAS</t>
  </si>
  <si>
    <t>justinthomas1992@gmail.com</t>
  </si>
  <si>
    <t>9+ yrs</t>
  </si>
  <si>
    <t>GERSON &amp; LEHRMAN GROUP</t>
  </si>
  <si>
    <t>80k/Per month</t>
  </si>
  <si>
    <t>30-40% hike</t>
  </si>
  <si>
    <t>Kerala</t>
  </si>
  <si>
    <t>PRATIK KUMAR KAR</t>
  </si>
  <si>
    <t>pratik.iitbbs@gmail.com</t>
  </si>
  <si>
    <t>Eaton India Innovation Center</t>
  </si>
  <si>
    <t>25-30% hike</t>
  </si>
  <si>
    <t>Ayesha Singh</t>
  </si>
  <si>
    <t>singh.ayesha01@gmail.com</t>
  </si>
  <si>
    <t>KPIT Technologies Ltd</t>
  </si>
  <si>
    <t>3 months</t>
  </si>
  <si>
    <t>Manhar Joshi</t>
  </si>
  <si>
    <t>manharjoshi@yahoo.com</t>
  </si>
  <si>
    <t>15.9 LPA</t>
  </si>
  <si>
    <t>1.2 LPA</t>
  </si>
  <si>
    <t>90 days negotiable till 60 days</t>
  </si>
  <si>
    <t>Saurabh Kashinath Lokare</t>
  </si>
  <si>
    <t>saurabhlokare55@gmail.com</t>
  </si>
  <si>
    <t>TSYS</t>
  </si>
  <si>
    <t>14.2 LPA</t>
  </si>
  <si>
    <t>SURYA PRAKASH SHUKLA</t>
  </si>
  <si>
    <t>suryashukla944@gmail.com</t>
  </si>
  <si>
    <t>Navnath Kalhatkar</t>
  </si>
  <si>
    <t>navnathkalhatkar7505@gmail.com</t>
  </si>
  <si>
    <t>BLUEBENZ DIGITIZATIONS</t>
  </si>
  <si>
    <t>Khursheed Alam</t>
  </si>
  <si>
    <t>skalamaaa@gmail.com</t>
  </si>
  <si>
    <t>Simulation Engineer (CAE)</t>
  </si>
  <si>
    <t>New delhi, Nativ place is Lucknow</t>
  </si>
  <si>
    <t>Position Cancelled</t>
  </si>
  <si>
    <t>Amulya Gupta</t>
  </si>
  <si>
    <t>amulyaaguptaa@gmail.com</t>
  </si>
  <si>
    <t>Atlas Copco India</t>
  </si>
  <si>
    <t>90 days, have buyout option, will try for negotiation</t>
  </si>
  <si>
    <t>Screen FBA</t>
  </si>
  <si>
    <t>Amal Gore</t>
  </si>
  <si>
    <t>goreamal@gmail.com</t>
  </si>
  <si>
    <t>3 LPA</t>
  </si>
  <si>
    <t>Vilas P. Ingle</t>
  </si>
  <si>
    <t>vlasingle@gmail.com</t>
  </si>
  <si>
    <t>Faurecia India Pvt Ltd</t>
  </si>
  <si>
    <t>15.7 LPA</t>
  </si>
  <si>
    <t>Ravi Kumar</t>
  </si>
  <si>
    <t>ravisalgar@gmail.com</t>
  </si>
  <si>
    <t>TATA Tech</t>
  </si>
  <si>
    <t>1.5 LPA</t>
  </si>
  <si>
    <t>Devesh Baghel</t>
  </si>
  <si>
    <t>DEVESH.BAGHEL@GMAIL.COM</t>
  </si>
  <si>
    <t>2 LPA</t>
  </si>
  <si>
    <t>Sushila Junjarwad</t>
  </si>
  <si>
    <t>sushilajunjarwad@gmail.com</t>
  </si>
  <si>
    <t>Junior Writer, Portfolio Content Creation</t>
  </si>
  <si>
    <t>Clevertech PAS PVT LTD</t>
  </si>
  <si>
    <t>6.5 L</t>
  </si>
  <si>
    <t>Siddheshwar Patil</t>
  </si>
  <si>
    <t>sid.patil1553@gmail.com</t>
  </si>
  <si>
    <t xml:space="preserve">Associate Technical Publication </t>
  </si>
  <si>
    <t>GGS Information Services</t>
  </si>
  <si>
    <t>Raja Kumar Yadav</t>
  </si>
  <si>
    <t>raja.rex92@gmail.com</t>
  </si>
  <si>
    <t>Engineer Technical Publication</t>
  </si>
  <si>
    <t>HCLTech</t>
  </si>
  <si>
    <t>7,50,000</t>
  </si>
  <si>
    <t>10,50,000</t>
  </si>
  <si>
    <t>Mahendra Patil</t>
  </si>
  <si>
    <t>patilmahendra1442000@gmail.com</t>
  </si>
  <si>
    <t>Gaowham Naidu</t>
  </si>
  <si>
    <t>lavetigowthamnaidu@gmail.com</t>
  </si>
  <si>
    <t>Pune- Hinjewadi</t>
  </si>
  <si>
    <t>90 days, ngotiable upto 30 days</t>
  </si>
  <si>
    <t>Mahesh Maruti Kendre</t>
  </si>
  <si>
    <t>legacy.shashib@gmail.com</t>
  </si>
  <si>
    <t>Sonovision Aetos Technical Services Pvt. Ltd</t>
  </si>
  <si>
    <t>8 o 10%</t>
  </si>
  <si>
    <t>Pune-Viman Nagar</t>
  </si>
  <si>
    <t>Someshwar Sutar</t>
  </si>
  <si>
    <t>sbs95976@gmail.com</t>
  </si>
  <si>
    <t>Whirlpool Corporation</t>
  </si>
  <si>
    <t>Vipul Bhagwat</t>
  </si>
  <si>
    <t>vipulbhagwat29@gmail.com</t>
  </si>
  <si>
    <t>Voltas</t>
  </si>
  <si>
    <t>SRIHARI</t>
  </si>
  <si>
    <t>srihari.hari7881@gmail.com</t>
  </si>
  <si>
    <t>Vijaywada</t>
  </si>
  <si>
    <t>Immediate, LWD 16 Dec</t>
  </si>
  <si>
    <t>SUMEDH DONGRE</t>
  </si>
  <si>
    <t>sumedhdongre27@gmail.com</t>
  </si>
  <si>
    <t>Global Logic</t>
  </si>
  <si>
    <t>16.6 LPA</t>
  </si>
  <si>
    <t>LWD 5 April</t>
  </si>
  <si>
    <t>Pooja Shimpi</t>
  </si>
  <si>
    <t>pooja96shimpi@gmail.com</t>
  </si>
  <si>
    <t>5+ years</t>
  </si>
  <si>
    <t>Persistent</t>
  </si>
  <si>
    <t>Sonam Kumari</t>
  </si>
  <si>
    <t>sonamlpu657@gmail.com</t>
  </si>
  <si>
    <t>EvonSys India Private Limited</t>
  </si>
  <si>
    <t>Jharkhand</t>
  </si>
  <si>
    <t>Pranali Rajendra Malwadkar</t>
  </si>
  <si>
    <t>malwadkarpranali1@gmail.com</t>
  </si>
  <si>
    <t>3.1 yrs</t>
  </si>
  <si>
    <t>Cognizant </t>
  </si>
  <si>
    <t>40% hike</t>
  </si>
  <si>
    <t>LWD 26 Dec</t>
  </si>
  <si>
    <t>Pruthviraj More</t>
  </si>
  <si>
    <t>pruthvirajmore8390@gmail.com</t>
  </si>
  <si>
    <t>3.3 yrs</t>
  </si>
  <si>
    <t>Jalgi Technology P</t>
  </si>
  <si>
    <t>Looking for hybrid</t>
  </si>
  <si>
    <t>Prince Keshri</t>
  </si>
  <si>
    <t>princeguptakeshri@gmail.com</t>
  </si>
  <si>
    <t>4.2 LPA</t>
  </si>
  <si>
    <t>LWD 6 May</t>
  </si>
  <si>
    <t>Have an offer 11.95 LPA</t>
  </si>
  <si>
    <t>Neha Swami</t>
  </si>
  <si>
    <t>nehaswami0695@gmail.com</t>
  </si>
  <si>
    <t>CDAC</t>
  </si>
  <si>
    <t>9.7 LPA</t>
  </si>
  <si>
    <t>Out of network</t>
  </si>
  <si>
    <t>Suraj Singh</t>
  </si>
  <si>
    <t>surajkumarsingh1053@gmail.com</t>
  </si>
  <si>
    <t>40k</t>
  </si>
  <si>
    <t>10 to 12</t>
  </si>
  <si>
    <t>LWD:8 th March 25</t>
  </si>
  <si>
    <t>No offer</t>
  </si>
  <si>
    <t>Swapnil Muneshwar</t>
  </si>
  <si>
    <t>smuneshwar00@gmail.com</t>
  </si>
  <si>
    <t>DMC software</t>
  </si>
  <si>
    <t>15 to 16</t>
  </si>
  <si>
    <t>Pratik Choudhary</t>
  </si>
  <si>
    <t>pratikc323@gmail.com</t>
  </si>
  <si>
    <t>50k-1L</t>
  </si>
  <si>
    <t>10L, Pune, WFO</t>
  </si>
  <si>
    <t>Aayushi Tiwari</t>
  </si>
  <si>
    <t>aayushi02tiwari@gmail.com</t>
  </si>
  <si>
    <t>Pune- Pashan</t>
  </si>
  <si>
    <t>90 days, Buyout</t>
  </si>
  <si>
    <t>Sujit Pataskar</t>
  </si>
  <si>
    <t>pataskar.mayur@gmail.com</t>
  </si>
  <si>
    <t>Koshan Pro</t>
  </si>
  <si>
    <t>30 days, LWD:17th March 25</t>
  </si>
  <si>
    <t>Nikhil Jagtap</t>
  </si>
  <si>
    <t>nikhiljagtap2029@gmail.com</t>
  </si>
  <si>
    <t>Sachin Kumar Singh</t>
  </si>
  <si>
    <t>infosachin2@gmail.com</t>
  </si>
  <si>
    <t>Bolansys</t>
  </si>
  <si>
    <t>Ahamdabad</t>
  </si>
  <si>
    <t>Aniket Kantilal Karanje</t>
  </si>
  <si>
    <t>aniketkaranje@hotmail.com</t>
  </si>
  <si>
    <t>Aanchal Thakur</t>
  </si>
  <si>
    <t>aanchal861@gmail.com</t>
  </si>
  <si>
    <t>IBM</t>
  </si>
  <si>
    <t>TEJAS SHILAMKAR</t>
  </si>
  <si>
    <t>8446431125/ 8208912144</t>
  </si>
  <si>
    <t>tejasshilamkar@gmail.com</t>
  </si>
  <si>
    <t>7.5yrs</t>
  </si>
  <si>
    <t>Euronit</t>
  </si>
  <si>
    <t>14.84 LPA</t>
  </si>
  <si>
    <t>Vishal Prajapati</t>
  </si>
  <si>
    <t>vrprajapati1310@gmail.com</t>
  </si>
  <si>
    <t>E Infochips</t>
  </si>
  <si>
    <t>LWD 7 March</t>
  </si>
  <si>
    <t>NIKHIL VIJAY CHAUDHARI</t>
  </si>
  <si>
    <t>nikhilchaudhari104@gmail.com</t>
  </si>
  <si>
    <t>9.5 yrs</t>
  </si>
  <si>
    <t>Siemens</t>
  </si>
  <si>
    <t>30% Hike</t>
  </si>
  <si>
    <t>Ashish Sunil Deshmukh</t>
  </si>
  <si>
    <t>ashish.deshmukh@gmail.com</t>
  </si>
  <si>
    <t>Sr. Purchase Engineer</t>
  </si>
  <si>
    <t>Mehta, Ankush</t>
  </si>
  <si>
    <t>Hemant Prateek</t>
  </si>
  <si>
    <t>-9699429920, +244 931726633</t>
  </si>
  <si>
    <t>hemant.pareek12@gmail.com</t>
  </si>
  <si>
    <t>New Product Development Engineer</t>
  </si>
  <si>
    <t>Dilip Patange</t>
  </si>
  <si>
    <t>Sumit Jadhav</t>
  </si>
  <si>
    <t>1sumitjadhav@gmail.com</t>
  </si>
  <si>
    <t>Services Product Manager Specialist</t>
  </si>
  <si>
    <t>Willams Brian</t>
  </si>
  <si>
    <t>Thotnr Consulting Private Limited</t>
  </si>
  <si>
    <t>Smita Kale</t>
  </si>
  <si>
    <t>smita.kale2020@gmail.com</t>
  </si>
  <si>
    <t>Honeywell Automation India Limited</t>
  </si>
  <si>
    <t>Avinash Khadbade</t>
  </si>
  <si>
    <t>9405116793 / 9370240572</t>
  </si>
  <si>
    <t>Er.RahulGhante@gmail.com</t>
  </si>
  <si>
    <t>LT Mintree</t>
  </si>
  <si>
    <t>0, LWD: 24th April 24</t>
  </si>
  <si>
    <t>Piyanka Yadav</t>
  </si>
  <si>
    <t>priyankajadhav0624@gmail.com</t>
  </si>
  <si>
    <t>HONEYWELL AUTOMATION</t>
  </si>
  <si>
    <t>Pune-Indrayaninagar</t>
  </si>
  <si>
    <t>LWD:20th Jan 25</t>
  </si>
  <si>
    <t>Amar Lahoti</t>
  </si>
  <si>
    <t>amar.lahoti123@gmail.com</t>
  </si>
  <si>
    <t>RATNESH RAI</t>
  </si>
  <si>
    <t xml:space="preserve">90492 39388 </t>
  </si>
  <si>
    <t xml:space="preserve"> rairatnesh403@gmail.com</t>
  </si>
  <si>
    <t>GE</t>
  </si>
  <si>
    <t>NILAY PATEL</t>
  </si>
  <si>
    <t>nilayrpatel29@gmail.com</t>
  </si>
  <si>
    <t>Einfochips</t>
  </si>
  <si>
    <t>Ahemdabad</t>
  </si>
  <si>
    <t>Nilesh Patel</t>
  </si>
  <si>
    <t>patelnileshec2010@gmail.com</t>
  </si>
  <si>
    <t>8.5 yrs</t>
  </si>
  <si>
    <t>Shilpa Sondhiya</t>
  </si>
  <si>
    <t>shilpasondhiyass615@gmail.com</t>
  </si>
  <si>
    <t>17-18 LPA</t>
  </si>
  <si>
    <t>90 days negotiable 45 days</t>
  </si>
  <si>
    <t>Not having project currently so  can join early</t>
  </si>
  <si>
    <t>Ashish Namdeo</t>
  </si>
  <si>
    <t>ashish.namdeo89@gmail.com</t>
  </si>
  <si>
    <t>7.8 yrs</t>
  </si>
  <si>
    <t>Freelancer</t>
  </si>
  <si>
    <t>22 Previous</t>
  </si>
  <si>
    <t>Bhopal</t>
  </si>
  <si>
    <t>Left previous company in 2024</t>
  </si>
  <si>
    <t>GANESH SONWANE</t>
  </si>
  <si>
    <t xml:space="preserve"> sonwaneganesh@gmail.com</t>
  </si>
  <si>
    <t>Embitel Technologies, Bangalore</t>
  </si>
  <si>
    <t xml:space="preserve">Sachin Chaudhari </t>
  </si>
  <si>
    <t>sachinchaudhari388@gmail.com</t>
  </si>
  <si>
    <t>Excellon Software Pvt.Ltd, Pune</t>
  </si>
  <si>
    <t>26 fixed</t>
  </si>
  <si>
    <t>LWD-15th March 25</t>
  </si>
  <si>
    <t>PAVAN SHEGOKAR</t>
  </si>
  <si>
    <t xml:space="preserve">pawanh5590@gmail.com </t>
  </si>
  <si>
    <t>11:11 Systems India Pvt Ltd</t>
  </si>
  <si>
    <t>28+1 L JB</t>
  </si>
  <si>
    <t>Immediate, LWD-Sept 24</t>
  </si>
  <si>
    <t xml:space="preserve">Laidoff, </t>
  </si>
  <si>
    <t>Prajakta Ingale</t>
  </si>
  <si>
    <t>prajaktafrequent@gmail.com</t>
  </si>
  <si>
    <t>16 yrs</t>
  </si>
  <si>
    <t>Ranweer Kumar</t>
  </si>
  <si>
    <t>ranweermk@gmail.com</t>
  </si>
  <si>
    <t>LWD- 11th Apr 25</t>
  </si>
  <si>
    <t>1 offer 26 Pune</t>
  </si>
  <si>
    <t>VISHAL NINA RANE</t>
  </si>
  <si>
    <t xml:space="preserve">ranevishal55@gmail.com </t>
  </si>
  <si>
    <t>HCL Technology</t>
  </si>
  <si>
    <t>Ajay Yadav</t>
  </si>
  <si>
    <t>ajysingh03@gmail.com</t>
  </si>
  <si>
    <t>Yogeshwar Wani</t>
  </si>
  <si>
    <t>9921778220/9511761889</t>
  </si>
  <si>
    <t>yogeshwar.wani@gmail.com</t>
  </si>
  <si>
    <t>Wuerth Industrial Services India Pvt Ltd</t>
  </si>
  <si>
    <t>Amir Mahat</t>
  </si>
  <si>
    <t>mahat.amir@gmail.com</t>
  </si>
  <si>
    <t>Qualis</t>
  </si>
  <si>
    <t>Pune-Kondhwa</t>
  </si>
  <si>
    <t>Asif Mujawar</t>
  </si>
  <si>
    <t>mujawarasif90@gmail.com</t>
  </si>
  <si>
    <t>NEWAGE INDUSTRIES PVT.LTD.</t>
  </si>
  <si>
    <t>Pune-Khopoli</t>
  </si>
  <si>
    <t>Neeharika Singh</t>
  </si>
  <si>
    <t>neeharikasingh97@gmail.com</t>
  </si>
  <si>
    <t>Sensata</t>
  </si>
  <si>
    <t>2 Lac</t>
  </si>
  <si>
    <t xml:space="preserve">Sreenivasula Reddy G </t>
  </si>
  <si>
    <t>gsreddy7814@gmail.com</t>
  </si>
  <si>
    <t>7.7 yrs</t>
  </si>
  <si>
    <t>1 Lacs</t>
  </si>
  <si>
    <t>20 LPA negotiable</t>
  </si>
  <si>
    <t>LWD- 2nd March 24</t>
  </si>
  <si>
    <t>1 offer in pipeline, left due to project movement</t>
  </si>
  <si>
    <t>Prashant Kumar</t>
  </si>
  <si>
    <t>prashantkumar.nist@gmail.com</t>
  </si>
  <si>
    <t>5.6 yrs</t>
  </si>
  <si>
    <t>LWD-5th Feb 25</t>
  </si>
  <si>
    <t>1 offer with 17 Lpa, for Hyderabad, DOJ-15th Feb</t>
  </si>
  <si>
    <t>Vishvajit Rajput</t>
  </si>
  <si>
    <t>vishv096@gmail.com</t>
  </si>
  <si>
    <t>Rakesh Yadav</t>
  </si>
  <si>
    <t>rakeshkmryadav89@g mail.com</t>
  </si>
  <si>
    <t>Devops Eng</t>
  </si>
  <si>
    <t>13 LPA negotiable</t>
  </si>
  <si>
    <t>ALAMKHAN BIJALI</t>
  </si>
  <si>
    <t>alambijali95@gmail.com</t>
  </si>
  <si>
    <t>5.3 yrs</t>
  </si>
  <si>
    <t>Ericsson India Global Services Pvt. Ltd</t>
  </si>
  <si>
    <t>SUMIT BATRA</t>
  </si>
  <si>
    <t>batras780@gmail.com</t>
  </si>
  <si>
    <t>3.7 yrs</t>
  </si>
  <si>
    <t>AcquireX</t>
  </si>
  <si>
    <t>LWD-25th March 25</t>
  </si>
  <si>
    <t>Vaibhav Kale</t>
  </si>
  <si>
    <t>vaibhavbkale13@gmail.com</t>
  </si>
  <si>
    <t>LtiMindtree</t>
  </si>
  <si>
    <t>6.8 LPA</t>
  </si>
  <si>
    <t>12-13 LPA</t>
  </si>
  <si>
    <t>AMIT KUMAR GUPTA</t>
  </si>
  <si>
    <t>kumaramitcts021995@gmail.com</t>
  </si>
  <si>
    <t>UST Global</t>
  </si>
  <si>
    <t xml:space="preserve">2 months </t>
  </si>
  <si>
    <t>Shubham Kokane</t>
  </si>
  <si>
    <t>shubhamkokane2@gmail.com</t>
  </si>
  <si>
    <t>LWD: 11th April 25</t>
  </si>
  <si>
    <t>Sachin Pawar</t>
  </si>
  <si>
    <t>sachinpawar6467@gmail.com</t>
  </si>
  <si>
    <t xml:space="preserve"> Capgemini Technology</t>
  </si>
  <si>
    <t>11-12 (Negotiatio)</t>
  </si>
  <si>
    <t>90 days, will try for 60 days</t>
  </si>
  <si>
    <t>Rutuja Chavan</t>
  </si>
  <si>
    <t>rutujachavan2599@gmail.com</t>
  </si>
  <si>
    <t>Offer Holding 8.5 L</t>
  </si>
  <si>
    <t>Ajinkya Bobade</t>
  </si>
  <si>
    <t>ajinkyabobade289@gmail.com</t>
  </si>
  <si>
    <t xml:space="preserve">PDB Technologies &amp; Solutions Pvt. Ltd. </t>
  </si>
  <si>
    <t>0, LWD: 17th Oct 24</t>
  </si>
  <si>
    <t>Himanshi Sharma</t>
  </si>
  <si>
    <t>himanshi2580@gmail.com</t>
  </si>
  <si>
    <t>Nagarro</t>
  </si>
  <si>
    <t>Gurugaon</t>
  </si>
  <si>
    <t>Java 8, Angular, holding an offer of 12 lpa</t>
  </si>
  <si>
    <t>MOHAMMED SAIF KHAN</t>
  </si>
  <si>
    <t>ms.kh0426@gmail.com</t>
  </si>
  <si>
    <t>LWD-March</t>
  </si>
  <si>
    <t>1 offer</t>
  </si>
  <si>
    <t>Jyoti Agrawal</t>
  </si>
  <si>
    <t>jyotigovindagrawal@gmail.com</t>
  </si>
  <si>
    <t>10+ yrs</t>
  </si>
  <si>
    <t>Tata Autocomp</t>
  </si>
  <si>
    <t>As per comp std</t>
  </si>
  <si>
    <t>Have buyout opt for 60 days</t>
  </si>
  <si>
    <t>Manoj Narsing Chakole</t>
  </si>
  <si>
    <t>manojchakole4@gmail.com</t>
  </si>
  <si>
    <t>6.10 yrs</t>
  </si>
  <si>
    <t xml:space="preserve">GS labs, Pune </t>
  </si>
  <si>
    <t>LWD-7th Jan 25</t>
  </si>
  <si>
    <t>DEVANSHI V. BHATT</t>
  </si>
  <si>
    <t>devanshibhatt2310@gmail.com</t>
  </si>
  <si>
    <t>LWD-28th Feb 25</t>
  </si>
  <si>
    <t>F2F scheduled</t>
  </si>
  <si>
    <t>Anshiki Saxena</t>
  </si>
  <si>
    <t>anshikisaxena20@gmail.com</t>
  </si>
  <si>
    <t>Intellivision</t>
  </si>
  <si>
    <t>LWD-30th Sept 24</t>
  </si>
  <si>
    <t>RITESH RAJSHEKHAR KHATAKALLE</t>
  </si>
  <si>
    <t xml:space="preserve">ritesh.khatakalle@gmail.com </t>
  </si>
  <si>
    <t>7.1 yrs</t>
  </si>
  <si>
    <t>Alten India</t>
  </si>
  <si>
    <t>LWD-14th Mar 25</t>
  </si>
  <si>
    <t>Sachin Pratap Kaware</t>
  </si>
  <si>
    <t xml:space="preserve">sachinkaware198@gmail.com </t>
  </si>
  <si>
    <t>OLA</t>
  </si>
  <si>
    <t>LWD-12th Mar</t>
  </si>
  <si>
    <t>1 offer with 12.5 LPA</t>
  </si>
  <si>
    <t>ANKIT GUPTA</t>
  </si>
  <si>
    <t>ankit.gupta979@gmail.com</t>
  </si>
  <si>
    <t>LTTS</t>
  </si>
  <si>
    <t>Mysur</t>
  </si>
  <si>
    <t>Darshan Hole</t>
  </si>
  <si>
    <t>hole.darshan@outlook.com</t>
  </si>
  <si>
    <t>5.8 yrs</t>
  </si>
  <si>
    <t>Qinecsa</t>
  </si>
  <si>
    <t>LWD-7th Aug 24</t>
  </si>
  <si>
    <t>Left due to personal reasn</t>
  </si>
  <si>
    <t>Vasim Ramjan Nadaf</t>
  </si>
  <si>
    <t>vrnadaf@gmail.com</t>
  </si>
  <si>
    <t>Mahindra and Mahindra</t>
  </si>
  <si>
    <t>Hyderbad</t>
  </si>
  <si>
    <t xml:space="preserve">0, </t>
  </si>
  <si>
    <t>relocation is possible</t>
  </si>
  <si>
    <t>Sneha Dilip Gangurde</t>
  </si>
  <si>
    <t>gangurdesneha08@gmail.com</t>
  </si>
  <si>
    <t>Capgemini Pvt</t>
  </si>
  <si>
    <t>90 days, (45 to 60 days buyout option)</t>
  </si>
  <si>
    <t>Akash Patil</t>
  </si>
  <si>
    <t>patilakash229@gmail.com</t>
  </si>
  <si>
    <t xml:space="preserve">Capgemini </t>
  </si>
  <si>
    <t>11 (Negotiable 10 L)</t>
  </si>
  <si>
    <t>Abhishek Singh Sikarwar</t>
  </si>
  <si>
    <t>Abhisheksikarwar007@gmail.com</t>
  </si>
  <si>
    <t>Techrefic Technology pvt.lmt</t>
  </si>
  <si>
    <t>Offer holding 9 L, Pune, DOJ: yet to be confirmed</t>
  </si>
  <si>
    <t>V Swapna</t>
  </si>
  <si>
    <t>swapnasir1423@gmail.com</t>
  </si>
  <si>
    <t>People Tech Group Inc</t>
  </si>
  <si>
    <t>LWD-Nov 6th 24</t>
  </si>
  <si>
    <t>GURUCHARAN VASANT KHARE</t>
  </si>
  <si>
    <t>kharegurucharan@gmail.com</t>
  </si>
  <si>
    <t>L&amp;T Technology Services</t>
  </si>
  <si>
    <t>LWD-3rd Jan 25</t>
  </si>
  <si>
    <t>1 offer 16 for Hyd, not considering</t>
  </si>
  <si>
    <t>Shivam Shaw</t>
  </si>
  <si>
    <t>shivamshaw50666@gmail.com</t>
  </si>
  <si>
    <t>SONAL UTTAM AWARE</t>
  </si>
  <si>
    <t>awaresonal44@gmail.com</t>
  </si>
  <si>
    <t>Previous- WESTERN DIGITAL</t>
  </si>
  <si>
    <t>LWD-10th feb 23</t>
  </si>
  <si>
    <t>Was on maternity break</t>
  </si>
  <si>
    <t>S PADMAVATHI</t>
  </si>
  <si>
    <t>paddu0120@gmail.com</t>
  </si>
  <si>
    <t>DANLAW TECHNOLOGIES INDIA LTD</t>
  </si>
  <si>
    <t>1 offer 18 lpa</t>
  </si>
  <si>
    <t>Sanjeev Pradhan</t>
  </si>
  <si>
    <t>sanjeevpr7@gmail.com</t>
  </si>
  <si>
    <t>Magna International</t>
  </si>
  <si>
    <t>90 days Negotiable</t>
  </si>
  <si>
    <t>Mayuri Jadhav</t>
  </si>
  <si>
    <t> 8378024668 </t>
  </si>
  <si>
    <t> mayuri.wid2800@gmail.com </t>
  </si>
  <si>
    <t>Service Technical Support</t>
  </si>
  <si>
    <t> Infosys Ltd </t>
  </si>
  <si>
    <t>Pritamkumar Kadlag</t>
  </si>
  <si>
    <t> 8390373904 </t>
  </si>
  <si>
    <t> pritamkadlag@gmail.com </t>
  </si>
  <si>
    <t>ICE Mortgage Tecnology (ELLIE MAE)</t>
  </si>
  <si>
    <t>L1 scheduled</t>
  </si>
  <si>
    <t>Parthik Shah</t>
  </si>
  <si>
    <t>parthik1999@gmail.com</t>
  </si>
  <si>
    <t>45k</t>
  </si>
  <si>
    <t>15 to 17</t>
  </si>
  <si>
    <t>LWD:20th May 25</t>
  </si>
  <si>
    <t>Ashish Sahu</t>
  </si>
  <si>
    <t>its.sahuashish@gmail.com</t>
  </si>
  <si>
    <t>Avinash Kale</t>
  </si>
  <si>
    <t>avinashkale2717@gmail.com</t>
  </si>
  <si>
    <t>30  days</t>
  </si>
  <si>
    <t>Shubham Bharati</t>
  </si>
  <si>
    <t>shubhambharati30@gmail.com</t>
  </si>
  <si>
    <t>Aniket Arvind Khule</t>
  </si>
  <si>
    <t>aniketkhule7@gmail.com</t>
  </si>
  <si>
    <t>Raj Process Equipment’s &amp; Systems Pvt Ltd.</t>
  </si>
  <si>
    <t>Ajit P Mulik</t>
  </si>
  <si>
    <t>ajitmulik3776@gmail.com</t>
  </si>
  <si>
    <t>Siddharth Shivsharan Gunjoti</t>
  </si>
  <si>
    <t>siddharthgunjoti@gmail.com</t>
  </si>
  <si>
    <t>Pune-Shivaji Nagar</t>
  </si>
  <si>
    <t>Dnyaneshwar Bhagwat Kshirsagar</t>
  </si>
  <si>
    <t>-kdnyaneshwar2000@gmail.com</t>
  </si>
  <si>
    <t>8 to9</t>
  </si>
  <si>
    <t>Pune-Margarpatta</t>
  </si>
  <si>
    <t>Sayeed Mohammadi</t>
  </si>
  <si>
    <t>Saeedmhmdi2000@gmail.com</t>
  </si>
  <si>
    <t>ANKIT
KUMAR
MISHR</t>
  </si>
  <si>
    <t>7007 57365 1,+91 8115 84822 6</t>
  </si>
  <si>
    <t>ankitmishra610@gmail.com</t>
  </si>
  <si>
    <t>Neha Dixit</t>
  </si>
  <si>
    <t>9503550926, 919423504795</t>
  </si>
  <si>
    <t>kneha26@gmail.com</t>
  </si>
  <si>
    <t>Sugali Saikumar Naik</t>
  </si>
  <si>
    <t>saikumarn045@gmail.com</t>
  </si>
  <si>
    <t>Shivam Agrawal</t>
  </si>
  <si>
    <t>shivam.agrawal1501@gmail.com</t>
  </si>
  <si>
    <t>23 to 24 (negotiable)</t>
  </si>
  <si>
    <t>90 days, 30 days</t>
  </si>
  <si>
    <t>Shivam Pandey</t>
  </si>
  <si>
    <t>shivampandeyhcp@gmail.com</t>
  </si>
  <si>
    <t>Himatkumar Purohit</t>
  </si>
  <si>
    <t>himatpurohit1607@gmail.com</t>
  </si>
  <si>
    <t>Rohit Raikwal</t>
  </si>
  <si>
    <t>rohitraikwal@gmail.com</t>
  </si>
  <si>
    <t>Xebia IT Architects</t>
  </si>
  <si>
    <t>0, Immediate joiner</t>
  </si>
  <si>
    <t>Omkar Dige</t>
  </si>
  <si>
    <t>8208068459/ +918600170980</t>
  </si>
  <si>
    <t>omkardige14@gmail.com</t>
  </si>
  <si>
    <t>80k</t>
  </si>
  <si>
    <t>30 to 60 days</t>
  </si>
  <si>
    <t>Vrushali Medhe</t>
  </si>
  <si>
    <t>vrushalimedhe614@gmail.com</t>
  </si>
  <si>
    <t>Product Testing</t>
  </si>
  <si>
    <t>Pravin Vaishampayan</t>
  </si>
  <si>
    <t>Accolade Electronics Pvt.Ltd</t>
  </si>
  <si>
    <t>Shekhar Pawar</t>
  </si>
  <si>
    <t>shekharpawarbe@gmail.com</t>
  </si>
  <si>
    <t>Global Tech Info solutions Pvt Ltd.</t>
  </si>
  <si>
    <t>Pune-Karve Nagar</t>
  </si>
  <si>
    <t>Karnam dhanunjay rao</t>
  </si>
  <si>
    <t>karnamdhanunjay@gmail.com</t>
  </si>
  <si>
    <t>Sciemetric technologies India Pvt Ltd</t>
  </si>
  <si>
    <t>9 to 10</t>
  </si>
  <si>
    <t>Pune-Warje</t>
  </si>
  <si>
    <t>Prawej Alam</t>
  </si>
  <si>
    <t>alamprawej7@gmail.com</t>
  </si>
  <si>
    <t>Jabil</t>
  </si>
  <si>
    <t>Pune-Ranjangaon</t>
  </si>
  <si>
    <t>Abhishek Baglane</t>
  </si>
  <si>
    <t>abhibaglane97@gmail.com</t>
  </si>
  <si>
    <t>LWD:12th Aug 24, Immedidate joiner</t>
  </si>
  <si>
    <t>K Mahendra babu</t>
  </si>
  <si>
    <t>mahendrababukeerthi@gmail.com</t>
  </si>
  <si>
    <t>Pune-Indira Nagar</t>
  </si>
  <si>
    <t>LWD: 31st March 25</t>
  </si>
  <si>
    <t>Prashant Gadge</t>
  </si>
  <si>
    <t>prashantgadage9011@gmail.com</t>
  </si>
  <si>
    <t>8 to 10</t>
  </si>
  <si>
    <t>Pune-Karve nagar</t>
  </si>
  <si>
    <t>Sulthan</t>
  </si>
  <si>
    <t>shaiksulthan103@gmail.com</t>
  </si>
  <si>
    <t>Pune-Chinchwad</t>
  </si>
  <si>
    <t>LWD: 3 March 25, Immediate Joiner</t>
  </si>
  <si>
    <r>
      <t>Shubham Gopal Ingle</t>
    </r>
    <r>
      <rPr>
        <b/>
        <sz val="15"/>
        <color rgb="FF000000"/>
        <rFont val="Times New Roman"/>
        <family val="1"/>
      </rPr>
      <t xml:space="preserve"> </t>
    </r>
    <r>
      <rPr>
        <b/>
        <sz val="15"/>
        <color rgb="FF000000"/>
        <rFont val="Arial"/>
        <family val="2"/>
      </rPr>
      <t xml:space="preserve"> </t>
    </r>
    <r>
      <rPr>
        <b/>
        <sz val="15"/>
        <color rgb="FF000000"/>
        <rFont val="Times New Roman"/>
        <family val="1"/>
      </rPr>
      <t xml:space="preserve">                           </t>
    </r>
  </si>
  <si>
    <t>shubhamingle9130@gmail.com</t>
  </si>
  <si>
    <t>Venkata Rajulapati</t>
  </si>
  <si>
    <t>venurajulapati2@gmail.com</t>
  </si>
  <si>
    <t>Ramanjaneya Reddy</t>
  </si>
  <si>
    <t>ramanjaneya.reddy963@gmail.com</t>
  </si>
  <si>
    <t>Gouri Patre</t>
  </si>
  <si>
    <t>8308722207, 9518316548</t>
  </si>
  <si>
    <t>gouritele14@gmail.com</t>
  </si>
  <si>
    <t>Nikhil Balasaheb Kale</t>
  </si>
  <si>
    <t>nikksskale@gmail.com</t>
  </si>
  <si>
    <t>Vaishali Naga Kurella</t>
  </si>
  <si>
    <t>vaishalikurella@gmail.com</t>
  </si>
  <si>
    <t>LWD: 28th May 25</t>
  </si>
  <si>
    <t>Anagha Ramane </t>
  </si>
  <si>
    <t>ramaneanagha10@gmail.com</t>
  </si>
  <si>
    <t>Sr Engineer Devops Firmware</t>
  </si>
  <si>
    <t>Starkenn Technologies Ltd</t>
  </si>
  <si>
    <t>17.16 LPA</t>
  </si>
  <si>
    <t>23LPA</t>
  </si>
  <si>
    <t>60Days</t>
  </si>
  <si>
    <t>Motwani, Hani</t>
  </si>
  <si>
    <t>Operations</t>
  </si>
  <si>
    <t>Vaibhav Pramod Dhobe</t>
  </si>
  <si>
    <t>dhobevaibhav@gmail.com</t>
  </si>
  <si>
    <t> Veritas Technologies Pvt. Ltd.</t>
  </si>
  <si>
    <t>16LPA</t>
  </si>
  <si>
    <t>open to discuss</t>
  </si>
  <si>
    <t>Narendra Sonawane</t>
  </si>
  <si>
    <t>narendrasonawane001@gmail.com</t>
  </si>
  <si>
    <t>Signify Innovations India Ltd</t>
  </si>
  <si>
    <t>17.5LPA (10% variable)</t>
  </si>
  <si>
    <t>25LPA</t>
  </si>
  <si>
    <t>90Days(Negotiable)</t>
  </si>
  <si>
    <t>Mahesh Achyut Bhintade</t>
  </si>
  <si>
    <t>maheshbhintade19@gmail.com</t>
  </si>
  <si>
    <t>Production Supervisor</t>
  </si>
  <si>
    <t>Shashikant Phartale</t>
  </si>
  <si>
    <t>10.5Years</t>
  </si>
  <si>
    <t>Emerson Process Management Pvt Ltd.</t>
  </si>
  <si>
    <t>8.80LPA</t>
  </si>
  <si>
    <t>12LPA</t>
  </si>
  <si>
    <t>90days(Negotiable to 30-45days)</t>
  </si>
  <si>
    <t>Anil Varade</t>
  </si>
  <si>
    <t>anilvarade55@gmail.com</t>
  </si>
  <si>
    <t>10Years</t>
  </si>
  <si>
    <t>Tata Autocomp GY Batteries Pvt Ltd</t>
  </si>
  <si>
    <t>6.5LPA</t>
  </si>
  <si>
    <t>9.1LPA</t>
  </si>
  <si>
    <t>Akhilesh Bharat Kale</t>
  </si>
  <si>
    <t>8652537061/9768028287</t>
  </si>
  <si>
    <t>Akhileshkale737@gmail.com</t>
  </si>
  <si>
    <t>Hyosung T&amp;D India Pvt ltd</t>
  </si>
  <si>
    <t>3.8LPA</t>
  </si>
  <si>
    <t>5LPA</t>
  </si>
  <si>
    <t xml:space="preserve">Sanket Tidke </t>
  </si>
  <si>
    <t>sankettidke17@gmail.com</t>
  </si>
  <si>
    <t>4Years</t>
  </si>
  <si>
    <t xml:space="preserve">Solar </t>
  </si>
  <si>
    <t>2.80 LPA</t>
  </si>
  <si>
    <t>4.5LPA</t>
  </si>
  <si>
    <t>Akshay Choudhary</t>
  </si>
  <si>
    <t xml:space="preserve"> akshaychoudhari1997@gmail.com</t>
  </si>
  <si>
    <t>Jabil Circuit India Pvt Ltd</t>
  </si>
  <si>
    <t>5.6LPA</t>
  </si>
  <si>
    <t>7LPA</t>
  </si>
  <si>
    <t>31 Days</t>
  </si>
  <si>
    <t>Kali Charan Mahto</t>
  </si>
  <si>
    <t>kcmahto337@gmail.com</t>
  </si>
  <si>
    <t>Mahindra &amp; Mahindra</t>
  </si>
  <si>
    <t>3.47LPA</t>
  </si>
  <si>
    <t>32 Days</t>
  </si>
  <si>
    <t>Pramod Suresh Takale</t>
  </si>
  <si>
    <t>pramodtakle62@gmail.com</t>
  </si>
  <si>
    <t>5Years</t>
  </si>
  <si>
    <t>Ashra Consultants Pvt.Ltd</t>
  </si>
  <si>
    <t>3.16LPA</t>
  </si>
  <si>
    <t>4.2LPA</t>
  </si>
  <si>
    <t>33 Days</t>
  </si>
  <si>
    <t>Akhil Ahmed ShaikhSaheb Shaikh</t>
  </si>
  <si>
    <t>shaikh.akhilahmed2186@gmail.com</t>
  </si>
  <si>
    <t>HR Ops</t>
  </si>
  <si>
    <t>ESSEM INDUSTRIES PVT LTD</t>
  </si>
  <si>
    <t>6.8LPA</t>
  </si>
  <si>
    <t>30%hike</t>
  </si>
  <si>
    <t>45Days</t>
  </si>
  <si>
    <t>AJAY MOHAN PATOLE</t>
  </si>
  <si>
    <t>ajaypatole1717@gmail.com</t>
  </si>
  <si>
    <t>6.5Years</t>
  </si>
  <si>
    <t>Maharashtra Enviro Power</t>
  </si>
  <si>
    <t>5.75LPA</t>
  </si>
  <si>
    <t>30Days</t>
  </si>
  <si>
    <t>Test Engineer</t>
  </si>
  <si>
    <t>4.4 LPA</t>
  </si>
  <si>
    <t>Ganesh Maharanawar</t>
  </si>
  <si>
    <t>ganeshmaharanawar@gmail.com</t>
  </si>
  <si>
    <t xml:space="preserve">Principal Engineer - Java </t>
  </si>
  <si>
    <t>3.6yrs</t>
  </si>
  <si>
    <t>6.40LPA</t>
  </si>
  <si>
    <t>10LPA</t>
  </si>
  <si>
    <t>PRATIK JAID</t>
  </si>
  <si>
    <t>patikjaid19@gmail.com</t>
  </si>
  <si>
    <t>6yrs</t>
  </si>
  <si>
    <t>22LPA</t>
  </si>
  <si>
    <t>27LPA</t>
  </si>
  <si>
    <t>90Days</t>
  </si>
  <si>
    <t>Syam Doddi</t>
  </si>
  <si>
    <t>naidusyamdoddi@gmail.com</t>
  </si>
  <si>
    <t>5.6yrs</t>
  </si>
  <si>
    <t>Nabla Infotech Private Limited</t>
  </si>
  <si>
    <t>14LPA</t>
  </si>
  <si>
    <t>20LPA</t>
  </si>
  <si>
    <t>Vishakhapatnam</t>
  </si>
  <si>
    <t>SNP-LWD- June 1st week</t>
  </si>
  <si>
    <t xml:space="preserve">offer in hand - 20LPA from Hyderabad </t>
  </si>
  <si>
    <t>Ankita Khanderao Jadhav</t>
  </si>
  <si>
    <t>jadhav.ankitaa98@gmail.com</t>
  </si>
  <si>
    <t>Grid technology</t>
  </si>
  <si>
    <t>LWD 4 March'</t>
  </si>
  <si>
    <t>NSM Urban Modeling CyberInfrastructur</t>
  </si>
  <si>
    <t>Akash Subhash Shevgan</t>
  </si>
  <si>
    <t>akashshevgan11@gmail.com</t>
  </si>
  <si>
    <t>Pune- Wakad</t>
  </si>
  <si>
    <t>Offer in Progress</t>
  </si>
  <si>
    <t>Documentaion</t>
  </si>
  <si>
    <t>Utkarsh Joshi</t>
  </si>
  <si>
    <t>joshiutkarsh080@gmail.com</t>
  </si>
  <si>
    <t>Pune-Wadgaon</t>
  </si>
  <si>
    <t>LWD:24th April 25</t>
  </si>
  <si>
    <t>offer holding 13.5L fixed, Pune, hybrid</t>
  </si>
  <si>
    <t>Saurav Muni</t>
  </si>
  <si>
    <t>ssourav387@gmail.com</t>
  </si>
  <si>
    <t>10 to 11</t>
  </si>
  <si>
    <t>LWD: 20th April 25</t>
  </si>
  <si>
    <t xml:space="preserve">Porassingh Patle </t>
  </si>
  <si>
    <t>poraspatle@gmail.com</t>
  </si>
  <si>
    <t>Songpoem Labs</t>
  </si>
  <si>
    <t>Pune-Tatawade</t>
  </si>
  <si>
    <t>15 days to 30 days</t>
  </si>
  <si>
    <r>
      <t xml:space="preserve">Pallavi B Sandokar </t>
    </r>
    <r>
      <rPr>
        <sz val="11"/>
        <color rgb="FF000000"/>
        <rFont val="Calibri"/>
        <family val="2"/>
      </rPr>
      <t xml:space="preserve">  </t>
    </r>
  </si>
  <si>
    <t>9021750162, 9823967989</t>
  </si>
  <si>
    <r>
      <t xml:space="preserve">pallavisandokar@gmail.com </t>
    </r>
    <r>
      <rPr>
        <sz val="11"/>
        <color rgb="FF000000"/>
        <rFont val="Calibri"/>
        <family val="2"/>
      </rPr>
      <t xml:space="preserve">  </t>
    </r>
  </si>
  <si>
    <t xml:space="preserve">Crescenza Consulting Group </t>
  </si>
  <si>
    <t>Chandrapur</t>
  </si>
  <si>
    <t>60 days, Buyout</t>
  </si>
  <si>
    <t>Veluru Gnanadeep</t>
  </si>
  <si>
    <t>velurugnanadeep@gmail.com</t>
  </si>
  <si>
    <t>11 to 12, (negotiable)</t>
  </si>
  <si>
    <t>90 days, buyout option for 30 days</t>
  </si>
  <si>
    <t>Ranjith N</t>
  </si>
  <si>
    <t>noreplymendix54@gmail.com</t>
  </si>
  <si>
    <t>Prakhar Pincha</t>
  </si>
  <si>
    <t>prakharpincha002@gmail.com</t>
  </si>
  <si>
    <t>Omnipresent</t>
  </si>
  <si>
    <t>good with data structure, algorithum</t>
  </si>
  <si>
    <t>Anmol Jain</t>
  </si>
  <si>
    <t>mahaviranmol97@gmail.com</t>
  </si>
  <si>
    <t>PWC</t>
  </si>
  <si>
    <t>2L</t>
  </si>
  <si>
    <t>Jabalpur</t>
  </si>
  <si>
    <t>LWD: 29th May 25</t>
  </si>
  <si>
    <t>offer holding 18L, Pune, Hybrid</t>
  </si>
  <si>
    <t>Manul Gupta</t>
  </si>
  <si>
    <t>manulgupta16@gmail.com</t>
  </si>
  <si>
    <t>Prathamesh Bolade</t>
  </si>
  <si>
    <t>prathameshbolade@gmail.com</t>
  </si>
  <si>
    <t>PwC</t>
  </si>
  <si>
    <t>1.5 L</t>
  </si>
  <si>
    <t>offer holding 19 L, Mumbai, hybrid</t>
  </si>
  <si>
    <t>Sagar Giri</t>
  </si>
  <si>
    <t>8928426271/+91 8600433607.</t>
  </si>
  <si>
    <t>sagar.giri21@gmail.com</t>
  </si>
  <si>
    <t>Project Management</t>
  </si>
  <si>
    <t>Sagar Hirave</t>
  </si>
  <si>
    <t>Rejected</t>
  </si>
  <si>
    <t>Akshay Wajge</t>
  </si>
  <si>
    <t>akshaywajge56@gmail.com</t>
  </si>
  <si>
    <t>Tata Auto Comp GY Battery Ltd</t>
  </si>
  <si>
    <t>4LPA</t>
  </si>
  <si>
    <t>5.2LPA</t>
  </si>
  <si>
    <t>30days</t>
  </si>
  <si>
    <t> Arjun Nandgude</t>
  </si>
  <si>
    <t>arjunnandgude5@gmail.com</t>
  </si>
  <si>
    <t>Haier Appliances India Ltd</t>
  </si>
  <si>
    <t>6.76LPA</t>
  </si>
  <si>
    <t>Anirban Saha</t>
  </si>
  <si>
    <t>anirbansahapapai@gmail.com</t>
  </si>
  <si>
    <t>Automation Manager</t>
  </si>
  <si>
    <t>Honeywell Automation Ltd</t>
  </si>
  <si>
    <t>17LPA</t>
  </si>
  <si>
    <t>60days</t>
  </si>
  <si>
    <t>Mahesh Mungase</t>
  </si>
  <si>
    <t>Mahesh.mungase1@gmail.com</t>
  </si>
  <si>
    <t> Experis IT Pvt Ltd</t>
  </si>
  <si>
    <t>13.5LPA</t>
  </si>
  <si>
    <t>Biswanath Padhy</t>
  </si>
  <si>
    <t>biswanath.qa@gmail.com</t>
  </si>
  <si>
    <t>Jetsynthesys Pvt Ltd</t>
  </si>
  <si>
    <t>15.6LPA</t>
  </si>
  <si>
    <t>18LPA</t>
  </si>
  <si>
    <t>60days(Negotiable)</t>
  </si>
  <si>
    <t>Bajarang Joshilkar</t>
  </si>
  <si>
    <t>bajarang981@gmail.com</t>
  </si>
  <si>
    <t>Brillio </t>
  </si>
  <si>
    <t>16.7LPA</t>
  </si>
  <si>
    <t>24LPA(Negotiable)</t>
  </si>
  <si>
    <t>immedaite</t>
  </si>
  <si>
    <t>Arvind Kamandar</t>
  </si>
  <si>
    <t>kamandararvind12@gmail.com</t>
  </si>
  <si>
    <t>Manager Purchase</t>
  </si>
  <si>
    <t>SCM Renom Energy Services Pvt Ltd</t>
  </si>
  <si>
    <t>6.45LPA</t>
  </si>
  <si>
    <t>7.5LPA</t>
  </si>
  <si>
    <t>Shrikar Patil</t>
  </si>
  <si>
    <t>shreepatil170060@gmail.com</t>
  </si>
  <si>
    <t>Suzlon Energy</t>
  </si>
  <si>
    <t>8LPA</t>
  </si>
  <si>
    <t>Vishal  Patil</t>
  </si>
  <si>
    <t>vishaltakle77@gmail.com</t>
  </si>
  <si>
    <t>Green En Solution Pvt Ltd.    </t>
  </si>
  <si>
    <t>8.50LPA</t>
  </si>
  <si>
    <t>11.05(Negotiable)</t>
  </si>
  <si>
    <t>30days(Negotiable)</t>
  </si>
  <si>
    <t>Sony Agrawal</t>
  </si>
  <si>
    <t>sonuagrawal0798@gmail.com</t>
  </si>
  <si>
    <t>Full Stack Java</t>
  </si>
  <si>
    <t>QMetry </t>
  </si>
  <si>
    <t>Ahmedabad</t>
  </si>
  <si>
    <t>Previously worked in pune</t>
  </si>
  <si>
    <t>Dnyaneshwar Bhadane</t>
  </si>
  <si>
    <t>bhadanednyaneshwar11@gmail.com</t>
  </si>
  <si>
    <t>Wishtree </t>
  </si>
  <si>
    <t>Pune-Pimpri</t>
  </si>
  <si>
    <t>Nirmal Vaskale</t>
  </si>
  <si>
    <t>NirmalVaskale1998@gmail.com</t>
  </si>
  <si>
    <t>Xebia</t>
  </si>
  <si>
    <t>LWD:30th April 25</t>
  </si>
  <si>
    <t>Dhanushant</t>
  </si>
  <si>
    <t>Dhanushant0029@gmail.com</t>
  </si>
  <si>
    <t>Jaipur</t>
  </si>
  <si>
    <t>Komal Chandolukar</t>
  </si>
  <si>
    <t>chkomal1503@gmail.com</t>
  </si>
  <si>
    <t>LARSEN AND TOUBRO HEAVY ENGINEERING</t>
  </si>
  <si>
    <t>Surat</t>
  </si>
  <si>
    <t>satyam anil jaju</t>
  </si>
  <si>
    <t>satyamjaju77@gmail.com</t>
  </si>
  <si>
    <t xml:space="preserve">Softra Systems Pvt Ltd  </t>
  </si>
  <si>
    <t>Aditya Vinod Bhat</t>
  </si>
  <si>
    <t>PLM INDISHTECH</t>
  </si>
  <si>
    <t>Vinayak Shere</t>
  </si>
  <si>
    <t>svinayak21@gmail.com</t>
  </si>
  <si>
    <t>Engineer II Technical Publications X: Sr Technical Writer</t>
  </si>
  <si>
    <t>Sami Kar</t>
  </si>
  <si>
    <t>Pune- Ravet</t>
  </si>
  <si>
    <t>Vaishali N Natikar</t>
  </si>
  <si>
    <t>vaishali92aero@gmail.com</t>
  </si>
  <si>
    <t>Ingersoll Rand,</t>
  </si>
  <si>
    <t>Mukund Pawar</t>
  </si>
  <si>
    <t>mukundpawar7767@gmail.com</t>
  </si>
  <si>
    <t>JCB</t>
  </si>
  <si>
    <t>Pune-Mundhwa</t>
  </si>
  <si>
    <t>Utkarsh Vishwasrao Patil</t>
  </si>
  <si>
    <t>patilutkarsh025@gmail.com</t>
  </si>
  <si>
    <t>Pune-Karwenar</t>
  </si>
  <si>
    <t>Yogesh nanabhau salake</t>
  </si>
  <si>
    <t>yogesh.salke@outlook.com</t>
  </si>
  <si>
    <t>Durgesh P</t>
  </si>
  <si>
    <t>Matel Motion&amp; Energy Sol. Pvt ltd</t>
  </si>
  <si>
    <t>9.84LPA</t>
  </si>
  <si>
    <t>13LPA</t>
  </si>
  <si>
    <t>60Days(Negotiable)</t>
  </si>
  <si>
    <t xml:space="preserve">Quality Management </t>
  </si>
  <si>
    <t>Sachin  shripannavar  </t>
  </si>
  <si>
    <t>8446625582/8956375834</t>
  </si>
  <si>
    <t>shripannavarsachin@gmail.com</t>
  </si>
  <si>
    <t>Santosh h. Pachpute</t>
  </si>
  <si>
    <t>8087909226 / 9325218634</t>
  </si>
  <si>
    <t>santosh.hpachpute@gmail.com</t>
  </si>
  <si>
    <t xml:space="preserve">T. K. Elevator India Ltd </t>
  </si>
  <si>
    <t>Pravin Vitthal Kumbhar</t>
  </si>
  <si>
    <t>pravinkumbhar003@gmail.com</t>
  </si>
  <si>
    <t>Thermax Bioenergy Solutions Private Limited</t>
  </si>
  <si>
    <t>9.75LPA</t>
  </si>
  <si>
    <t>90days(30days Negotiable)</t>
  </si>
  <si>
    <t xml:space="preserve">RejecetdL1Rejected - L1 </t>
  </si>
  <si>
    <t>Nitin Dattatray Patil</t>
  </si>
  <si>
    <t>pnitin9529@gmail.com</t>
  </si>
  <si>
    <t>Associate Engineer Mechanical</t>
  </si>
  <si>
    <t>2.4Yrs</t>
  </si>
  <si>
    <t>Benninger Ltd.,</t>
  </si>
  <si>
    <t>4.80LPA</t>
  </si>
  <si>
    <t>Immediately joiner</t>
  </si>
  <si>
    <t xml:space="preserve">Bangar, Anuradha </t>
  </si>
  <si>
    <t xml:space="preserve">Slected - Backup candidate </t>
  </si>
  <si>
    <t>Krishna mohan</t>
  </si>
  <si>
    <t>km591144@gmail.com</t>
  </si>
  <si>
    <t>2yrs</t>
  </si>
  <si>
    <t>Mepstra Engineering</t>
  </si>
  <si>
    <t xml:space="preserve">2 Months - Neg 45 days </t>
  </si>
  <si>
    <t>L1 rejected</t>
  </si>
  <si>
    <t>G PRAVEEN KUMAR</t>
  </si>
  <si>
    <t>praveen.g.kumar.316@gmail.com</t>
  </si>
  <si>
    <t>2.1yrs</t>
  </si>
  <si>
    <t> L&amp;T Technology Services </t>
  </si>
  <si>
    <t xml:space="preserve">3 Months </t>
  </si>
  <si>
    <t>CAD Test - Rejected</t>
  </si>
  <si>
    <t>Prasanna Modi</t>
  </si>
  <si>
    <t>prasannamodi001@gmail.com</t>
  </si>
  <si>
    <t>4.50PLA</t>
  </si>
  <si>
    <t>Bengaluru</t>
  </si>
  <si>
    <t>1 Month</t>
  </si>
  <si>
    <t>Gaurav Nandkishor Pote</t>
  </si>
  <si>
    <t>potegaurav09@gmail.com</t>
  </si>
  <si>
    <t>AB TECH SOLUTIONS PVT.LTD.</t>
  </si>
  <si>
    <t>3.50LPA</t>
  </si>
  <si>
    <t>1Month</t>
  </si>
  <si>
    <t>Chaitali Sonune</t>
  </si>
  <si>
    <t>shitalsonune704@gmail.com</t>
  </si>
  <si>
    <t> Agri Cad Technology </t>
  </si>
  <si>
    <t>2.5LPA</t>
  </si>
  <si>
    <t>6LPA</t>
  </si>
  <si>
    <t>15 Days</t>
  </si>
  <si>
    <t>Vinayak Patil</t>
  </si>
  <si>
    <t>vinayak21sep@gmail.com</t>
  </si>
  <si>
    <t xml:space="preserve"> Mechanical Engineering IX</t>
  </si>
  <si>
    <t>4.5yrs</t>
  </si>
  <si>
    <t>Cummins Technical center India</t>
  </si>
  <si>
    <t>4.7LPA</t>
  </si>
  <si>
    <t>9LPA</t>
  </si>
  <si>
    <t>Gaurav Patil</t>
  </si>
  <si>
    <t>gauravp0798@gmail.com</t>
  </si>
  <si>
    <t>4yrs</t>
  </si>
  <si>
    <t>komatsu india private limited </t>
  </si>
  <si>
    <t>5.09LPA</t>
  </si>
  <si>
    <t>2 Months</t>
  </si>
  <si>
    <t>Sunil Balu Ambhore</t>
  </si>
  <si>
    <t>+91 9146980633</t>
  </si>
  <si>
    <t>ambhoresunil90@gmail.com</t>
  </si>
  <si>
    <t>1.8yrs</t>
  </si>
  <si>
    <t>CSign Engineering and Technology</t>
  </si>
  <si>
    <t>4.3LPA</t>
  </si>
  <si>
    <t>8LPA - Neg</t>
  </si>
  <si>
    <t xml:space="preserve">Immediately </t>
  </si>
  <si>
    <t>L2rejected</t>
  </si>
  <si>
    <t>Samruddhi D Salunkhe</t>
  </si>
  <si>
    <t>+91 9146359030</t>
  </si>
  <si>
    <t>samruddhisalunkhe4@gmail.com</t>
  </si>
  <si>
    <t>2.5yrs</t>
  </si>
  <si>
    <t> KPIT </t>
  </si>
  <si>
    <t>5.25LPA</t>
  </si>
  <si>
    <t xml:space="preserve">8LPA </t>
  </si>
  <si>
    <t>2Months - Neg</t>
  </si>
  <si>
    <t>Umesh Dilip Teli</t>
  </si>
  <si>
    <t>umeshteli592@gmail.com</t>
  </si>
  <si>
    <t>1.2yrs</t>
  </si>
  <si>
    <t>CAD-Alpha Technologies]</t>
  </si>
  <si>
    <t>2.20LPA</t>
  </si>
  <si>
    <t xml:space="preserve">15Days </t>
  </si>
  <si>
    <t>Devendra Manoj Bhujbal</t>
  </si>
  <si>
    <t>bhujbaldevendram@gmail.com</t>
  </si>
  <si>
    <t>1yrs</t>
  </si>
  <si>
    <t>Bluechip Infocorp </t>
  </si>
  <si>
    <t>3.12LPA</t>
  </si>
  <si>
    <t>Veeranna gururaj banagar</t>
  </si>
  <si>
    <t>amoghgb27@gmail.com</t>
  </si>
  <si>
    <t>2.6yrs</t>
  </si>
  <si>
    <t>4.20LPA</t>
  </si>
  <si>
    <t>Harshal Arun Saindane</t>
  </si>
  <si>
    <t>+91 9112417177</t>
  </si>
  <si>
    <t>harshal02072000@gmail.com</t>
  </si>
  <si>
    <t>2.4yrs</t>
  </si>
  <si>
    <t>AB Tech Solution </t>
  </si>
  <si>
    <t>3.45LPA</t>
  </si>
  <si>
    <t>Pranav Vilas Sonawane</t>
  </si>
  <si>
    <t>pranavvsonawane2000@gmail.com</t>
  </si>
  <si>
    <t>2.9yrs</t>
  </si>
  <si>
    <t>Macrospark Engineering Pvt Ltd</t>
  </si>
  <si>
    <t>3.36LPA</t>
  </si>
  <si>
    <t>Rushikesh Deshmukh</t>
  </si>
  <si>
    <t>rd8398@gmail.com</t>
  </si>
  <si>
    <t>1.9yrs</t>
  </si>
  <si>
    <t>Lucy Electric </t>
  </si>
  <si>
    <t>3.35LPA</t>
  </si>
  <si>
    <t>6.5yrs</t>
  </si>
  <si>
    <t>Abhishek Kanawade</t>
  </si>
  <si>
    <t>abhishekkanawade828@gmail.com</t>
  </si>
  <si>
    <t>2.3yrs</t>
  </si>
  <si>
    <t>3D Engineering </t>
  </si>
  <si>
    <t>3.30LPA</t>
  </si>
  <si>
    <t>Krishnarao Annasaheb Shepal</t>
  </si>
  <si>
    <t>krishnashepal@gmail.com</t>
  </si>
  <si>
    <t> L&amp;T Technology Services</t>
  </si>
  <si>
    <t xml:space="preserve">3Months </t>
  </si>
  <si>
    <t>Final round rejeted</t>
  </si>
  <si>
    <t>Kaushal Patel</t>
  </si>
  <si>
    <t>kaushal6147@gmail.com</t>
  </si>
  <si>
    <t>Newen Company</t>
  </si>
  <si>
    <t>Varodara</t>
  </si>
  <si>
    <t>60 days, will check for negotiation</t>
  </si>
  <si>
    <t xml:space="preserve">Shortlisted for backup </t>
  </si>
  <si>
    <t>Avinash.M.V</t>
  </si>
  <si>
    <t>mv.avinash9@gmail.com</t>
  </si>
  <si>
    <t>Rittal India Pvt </t>
  </si>
  <si>
    <t xml:space="preserve">L1 -  shortliested </t>
  </si>
  <si>
    <t>Guruprasad</t>
  </si>
  <si>
    <t>guru141997@gmail.com</t>
  </si>
  <si>
    <t xml:space="preserve">L1- Shorlisted </t>
  </si>
  <si>
    <t xml:space="preserve">Dadaso Davare </t>
  </si>
  <si>
    <t>Elcom </t>
  </si>
  <si>
    <t>Kohlapur</t>
  </si>
  <si>
    <t>18-06-2025</t>
  </si>
  <si>
    <t>Namdev Gawade</t>
  </si>
  <si>
    <t>namdevgawade76@gmail.com</t>
  </si>
  <si>
    <t>Design Engineer Creo</t>
  </si>
  <si>
    <t>Amol Khaire</t>
  </si>
  <si>
    <t>Khaireamol23@gmail.com</t>
  </si>
  <si>
    <t>Pune-moshi</t>
  </si>
  <si>
    <t>90 days, buyout option for 60 days</t>
  </si>
  <si>
    <t>Satyam Gorakh Pawar</t>
  </si>
  <si>
    <t>satyampawar009@gmail.com</t>
  </si>
  <si>
    <t>Arro Eng</t>
  </si>
  <si>
    <t>Pune-Aakurdi</t>
  </si>
  <si>
    <t>Sushant Bhalerao</t>
  </si>
  <si>
    <t>9595416516 / 91 9604240132</t>
  </si>
  <si>
    <t>Sushantbhalerao855@gmail.com</t>
  </si>
  <si>
    <t>Expert Global</t>
  </si>
  <si>
    <t>40-50%</t>
  </si>
  <si>
    <t>Pune-New Sangavi</t>
  </si>
  <si>
    <t>Harshal Nitinrao Pawar</t>
  </si>
  <si>
    <t>8668586013 /9096006659</t>
  </si>
  <si>
    <t>hpawar567@gmail.com</t>
  </si>
  <si>
    <t>Coral</t>
  </si>
  <si>
    <t>Pune-Bhumkar Chawk</t>
  </si>
  <si>
    <t>LWD: 1st March 2024</t>
  </si>
  <si>
    <t>Mayuri Chinde</t>
  </si>
  <si>
    <t>mayurischinde@gmail.com</t>
  </si>
  <si>
    <t>Jaisingpur</t>
  </si>
  <si>
    <t>LWD: 24th August 2025</t>
  </si>
  <si>
    <t>19-06-2025</t>
  </si>
  <si>
    <t>GANESH RAJKUMAR KURKULE</t>
  </si>
  <si>
    <t>@ kurkuleganesh@gmail.com</t>
  </si>
  <si>
    <t>Kohler Co</t>
  </si>
  <si>
    <t>7LPA curent , 5LPA</t>
  </si>
  <si>
    <t xml:space="preserve">1 Month - 15 Days </t>
  </si>
  <si>
    <t>Yogesh Wadhankar</t>
  </si>
  <si>
    <t>yogeshwadhankar@gmail.com</t>
  </si>
  <si>
    <t>3yrs</t>
  </si>
  <si>
    <t>PACCAR India</t>
  </si>
  <si>
    <t>6.35LPA</t>
  </si>
  <si>
    <t xml:space="preserve">60Days </t>
  </si>
  <si>
    <t>Raghvendra Sanjay Raikhelkar</t>
  </si>
  <si>
    <t>raghav01950@gmail.com</t>
  </si>
  <si>
    <t>5.7yrs</t>
  </si>
  <si>
    <t>Bestall Machining And Fabrications</t>
  </si>
  <si>
    <t>6.50LPA</t>
  </si>
  <si>
    <t xml:space="preserve">LDW 30 May </t>
  </si>
  <si>
    <t>Shubham Vishnupant Anajekar</t>
  </si>
  <si>
    <t>shubhamanajekar@gmail.com</t>
  </si>
  <si>
    <t>4.6yrs</t>
  </si>
  <si>
    <t>15Days</t>
  </si>
  <si>
    <t>9595416516 /9604240132</t>
  </si>
  <si>
    <t>Harshal Pawar</t>
  </si>
  <si>
    <t>NANDU MALI</t>
  </si>
  <si>
    <t>Nandu.Mali1993@gmail.com</t>
  </si>
  <si>
    <t>6.8yrs</t>
  </si>
  <si>
    <t>CAE Solutions</t>
  </si>
  <si>
    <t>9.6LPA</t>
  </si>
  <si>
    <t xml:space="preserve">2 months - nrg 1 month </t>
  </si>
  <si>
    <t>KHAN TAIYYAB MAHAMADSHAFI</t>
  </si>
  <si>
    <t>7620059137, 9552506835</t>
  </si>
  <si>
    <t>taiyabktm6835@gmail.com</t>
  </si>
  <si>
    <t>Speed Engineering Solutions, Pune Onsite: Cummins Technical Center India</t>
  </si>
  <si>
    <t>6.7LPA</t>
  </si>
  <si>
    <t>8.5LPA</t>
  </si>
  <si>
    <t>Sachin Kanhere</t>
  </si>
  <si>
    <t>sachinkanhere6836@gmail.com</t>
  </si>
  <si>
    <t>Inventive Drive System</t>
  </si>
  <si>
    <t>3LPA</t>
  </si>
  <si>
    <t>Ashutosh Anil Shinde</t>
  </si>
  <si>
    <t>ashutoshshinde189@gmail.com</t>
  </si>
  <si>
    <t>1.6yrs</t>
  </si>
  <si>
    <t>Servesh Analytics</t>
  </si>
  <si>
    <t>2.64LPA</t>
  </si>
  <si>
    <t>Rahul Dongare</t>
  </si>
  <si>
    <t>rsdongare535@gmail.com</t>
  </si>
  <si>
    <t>3.60PA</t>
  </si>
  <si>
    <t>5.5LPA</t>
  </si>
  <si>
    <t xml:space="preserve">Screen Rejeted </t>
  </si>
  <si>
    <t>Gaurav Deepak Kakade</t>
  </si>
  <si>
    <t>gauravkakade186@gmail.com</t>
  </si>
  <si>
    <t>3.7yrs</t>
  </si>
  <si>
    <t>SDN Enterprise &amp; Services</t>
  </si>
  <si>
    <t>20-06-2025</t>
  </si>
  <si>
    <t>Piyush Ingole</t>
  </si>
  <si>
    <t>ingolepiyush81@gmail.com</t>
  </si>
  <si>
    <t> Speed Engineering </t>
  </si>
  <si>
    <t>4.40LPA</t>
  </si>
  <si>
    <t>Akshay Bade</t>
  </si>
  <si>
    <t>badeakshay52@gmail.com</t>
  </si>
  <si>
    <t>3.11yrs</t>
  </si>
  <si>
    <t>Tata Auto Comp Technical Center,</t>
  </si>
  <si>
    <t>5.3LPA</t>
  </si>
  <si>
    <t>ROHIT YASHWANT PATIL</t>
  </si>
  <si>
    <t>rohitypatil05@gmail.com</t>
  </si>
  <si>
    <t>3.5yrs</t>
  </si>
  <si>
    <t xml:space="preserve"> GGS Engineering Services (Deputed to John Deere.)</t>
  </si>
  <si>
    <t>Nishigandha Jayesh Chavan</t>
  </si>
  <si>
    <t>7378794841 / 8010769672</t>
  </si>
  <si>
    <t>nishukatake27@gmail.com</t>
  </si>
  <si>
    <t>5.4yrs</t>
  </si>
  <si>
    <t>TK Elevator India Pvt Ltd</t>
  </si>
  <si>
    <t>Dharmapuri Markandeya sharma</t>
  </si>
  <si>
    <t>markandeyasharma2233@gmail.com</t>
  </si>
  <si>
    <t>1.11yrs</t>
  </si>
  <si>
    <t>Onward Technologies</t>
  </si>
  <si>
    <t>Murkute Rushikesh</t>
  </si>
  <si>
    <t>murkuterushikesh4@gmail.com</t>
  </si>
  <si>
    <t>Cummins technical center India</t>
  </si>
  <si>
    <t>Rahul Baban Bande</t>
  </si>
  <si>
    <t>rahulbande18@gmail.com</t>
  </si>
  <si>
    <t>5.5yrs</t>
  </si>
  <si>
    <t>Cummins technical center India (</t>
  </si>
  <si>
    <t>deepak pawar</t>
  </si>
  <si>
    <t>dpawar276@gmail.com</t>
  </si>
  <si>
    <t>7yrs</t>
  </si>
  <si>
    <t>omwards- cumminis</t>
  </si>
  <si>
    <t>26-06-2025</t>
  </si>
  <si>
    <t>Swapnil Kailas Khairnar</t>
  </si>
  <si>
    <t>swapnilkhairnar111@gmail.com</t>
  </si>
  <si>
    <t xml:space="preserve">Technorethem </t>
  </si>
  <si>
    <t>7.8LPA</t>
  </si>
  <si>
    <t xml:space="preserve">Immediated </t>
  </si>
  <si>
    <t>Mohamed Ali Hussain K</t>
  </si>
  <si>
    <t>Mohdalihussain07@gmail.com</t>
  </si>
  <si>
    <t xml:space="preserve">pondecheery </t>
  </si>
  <si>
    <t>L0 Rejected</t>
  </si>
  <si>
    <t>Pranav Kapil</t>
  </si>
  <si>
    <t>pranavkapil12@gmail.com</t>
  </si>
  <si>
    <t>Sr Engineer - Automation</t>
  </si>
  <si>
    <t>5yrs</t>
  </si>
  <si>
    <t>1Months</t>
  </si>
  <si>
    <t>Aishwarya S Shelke.</t>
  </si>
  <si>
    <t>aishwaryashelke30@gmail.com</t>
  </si>
  <si>
    <t>5.3yrs</t>
  </si>
  <si>
    <t>Magna Automotive india</t>
  </si>
  <si>
    <t>8.99LPA</t>
  </si>
  <si>
    <t>3 Months</t>
  </si>
  <si>
    <t>Aniket Anil Deshmukh</t>
  </si>
  <si>
    <t>aniketamt@gmail.com</t>
  </si>
  <si>
    <t>KPIT </t>
  </si>
  <si>
    <t>Mohammad Fayaz</t>
  </si>
  <si>
    <t>mohammedfayaz109@gmail.com</t>
  </si>
  <si>
    <t>Test Automation</t>
  </si>
  <si>
    <t>KPIT Technologies</t>
  </si>
  <si>
    <t>90 days,</t>
  </si>
  <si>
    <t>Shubham Sakharkar</t>
  </si>
  <si>
    <t>shubhamsakharkar196@gmail.com</t>
  </si>
  <si>
    <t>SantoshKumar</t>
  </si>
  <si>
    <t>Santhosh16598@gmail.com</t>
  </si>
  <si>
    <t>Coimbatore</t>
  </si>
  <si>
    <t>Monika Sanivarapu</t>
  </si>
  <si>
    <t>monika.sanivarapu@gmail.com</t>
  </si>
  <si>
    <t>LWD:6th June 25</t>
  </si>
  <si>
    <t>Varun Soni</t>
  </si>
  <si>
    <t>varunarya786@gmail.com</t>
  </si>
  <si>
    <t>Neha Sharma</t>
  </si>
  <si>
    <t>atnehasharma@outlook.com</t>
  </si>
  <si>
    <t> Alten</t>
  </si>
  <si>
    <t>90 days, buyout option 30 days</t>
  </si>
  <si>
    <t>16-06-2025</t>
  </si>
  <si>
    <t>Omkar Annaso Patil</t>
  </si>
  <si>
    <t>omkarpatil10.93@gmail.com</t>
  </si>
  <si>
    <t>Firmware</t>
  </si>
  <si>
    <t>8.5yrs</t>
  </si>
  <si>
    <t>BlueBinaries Technologies</t>
  </si>
  <si>
    <t>22.79LPA including 1.5Lacs variable</t>
  </si>
  <si>
    <t>3Months - neg 1 Month</t>
  </si>
  <si>
    <t>Sunidhi Dixit</t>
  </si>
  <si>
    <t>s786dikshit@gmail.com</t>
  </si>
  <si>
    <t xml:space="preserve">VVND Technologies </t>
  </si>
  <si>
    <t>SNP - LWD - 9th- June</t>
  </si>
  <si>
    <t>Tejas Abhang</t>
  </si>
  <si>
    <t>tejabhang92@gmail.com</t>
  </si>
  <si>
    <t>Bit Mapper Integration Technologies</t>
  </si>
  <si>
    <t>26LPA</t>
  </si>
  <si>
    <t xml:space="preserve">3Months - Neg  </t>
  </si>
  <si>
    <t>17-06-2025</t>
  </si>
  <si>
    <t>ASHOK MACHINDRA GIRME</t>
  </si>
  <si>
    <t>ashokgirme007@gmail.com</t>
  </si>
  <si>
    <t xml:space="preserve">Software Engineer -Fullstack </t>
  </si>
  <si>
    <t>9yrs</t>
  </si>
  <si>
    <t>Nihilent Limited</t>
  </si>
  <si>
    <t>20.89LPA</t>
  </si>
  <si>
    <t>29LPA</t>
  </si>
  <si>
    <t>2Months</t>
  </si>
  <si>
    <t>Ajinkya Gawande</t>
  </si>
  <si>
    <t>gawandeajinkya16@gmail.com</t>
  </si>
  <si>
    <t xml:space="preserve">Software Engineer Fullstack </t>
  </si>
  <si>
    <t>6.6yrs</t>
  </si>
  <si>
    <t> Tietoevry</t>
  </si>
  <si>
    <t>15LPA</t>
  </si>
  <si>
    <t>ADITYA KHANDALE</t>
  </si>
  <si>
    <t>adityarkhandale97@gmail.com</t>
  </si>
  <si>
    <t>Ocean Wizard Software Pvt. Ltd</t>
  </si>
  <si>
    <t> 6.50 LPA</t>
  </si>
  <si>
    <t>Akriti Shrivastava</t>
  </si>
  <si>
    <t>akritishrivastava08@gmail.com</t>
  </si>
  <si>
    <t> BNY</t>
  </si>
  <si>
    <t>Arohi Ligde</t>
  </si>
  <si>
    <t>ligdearohi72@gmail.com</t>
  </si>
  <si>
    <t>5.9yrs</t>
  </si>
  <si>
    <t> Syren Cloud </t>
  </si>
  <si>
    <t xml:space="preserve"> 22.77 LPA</t>
  </si>
  <si>
    <t>Vinod Bhagat</t>
  </si>
  <si>
    <t>vinodpbhagat@gmail.com</t>
  </si>
  <si>
    <t>Supervisor Software Engineering - 20253386</t>
  </si>
  <si>
    <t>25.25LPA</t>
  </si>
  <si>
    <t>28LPA</t>
  </si>
  <si>
    <t>SNP - 30th June LWD</t>
  </si>
  <si>
    <t>Baxkout</t>
  </si>
  <si>
    <t>Nilkanth Shridhar Unde</t>
  </si>
  <si>
    <t>nil.unde@gmail.com</t>
  </si>
  <si>
    <t>8yrs</t>
  </si>
  <si>
    <t>18.27LPA including 80K variable</t>
  </si>
  <si>
    <t>24LPA</t>
  </si>
  <si>
    <t xml:space="preserve">90Days - Neg 45 Days </t>
  </si>
  <si>
    <t>Backout</t>
  </si>
  <si>
    <t>Manisha Khatke</t>
  </si>
  <si>
    <t>manishakhatke1490@gmail.com</t>
  </si>
  <si>
    <t>9+yrs</t>
  </si>
  <si>
    <t>Tech Mahindra </t>
  </si>
  <si>
    <t>20LPA - Neg</t>
  </si>
  <si>
    <t>L! rejected</t>
  </si>
  <si>
    <t>Pratikkumar Mukeshbhai Panchal</t>
  </si>
  <si>
    <t>pratikkumar.mpanchal@gmail.com</t>
  </si>
  <si>
    <t>10yrs</t>
  </si>
  <si>
    <t>Infosys </t>
  </si>
  <si>
    <t>17.46LPA</t>
  </si>
  <si>
    <t xml:space="preserve">3 Months - Neg -45 Days </t>
  </si>
  <si>
    <t>L2 rejecyted</t>
  </si>
  <si>
    <t>Parthkumar Dave</t>
  </si>
  <si>
    <t>parthodave@gmail.com</t>
  </si>
  <si>
    <t>11yrs</t>
  </si>
  <si>
    <t xml:space="preserve">21.50LPA </t>
  </si>
  <si>
    <t>3Months - Neg  45 Days</t>
  </si>
  <si>
    <t>Shivam Malhotra</t>
  </si>
  <si>
    <t>shivam.malhotra1612@gmail.com</t>
  </si>
  <si>
    <t>Deloitte</t>
  </si>
  <si>
    <t>19.5LPA - variable 17.72LPA</t>
  </si>
  <si>
    <t xml:space="preserve">2Months </t>
  </si>
  <si>
    <t>ASHOK KAVLE</t>
  </si>
  <si>
    <t>ashokkawle9@gmail.com</t>
  </si>
  <si>
    <t> Clover infotech</t>
  </si>
  <si>
    <t>10.80LPA</t>
  </si>
  <si>
    <t>ANIKET VERMA</t>
  </si>
  <si>
    <t>aniket7969@gmail.com</t>
  </si>
  <si>
    <t>Planet Ecom Solutions Pvt. Ltd</t>
  </si>
  <si>
    <t xml:space="preserve">Hariyana </t>
  </si>
  <si>
    <t>BIPIN DHANSINGH RAWAT</t>
  </si>
  <si>
    <t>95946 09793</t>
  </si>
  <si>
    <t>rawatbipin9594@gmail.com</t>
  </si>
  <si>
    <t>WE3 Work.Tech, Mumbai (Client: Motilal Oswal</t>
  </si>
  <si>
    <t>LWD - July - 13</t>
  </si>
  <si>
    <t>L1 shortlisted</t>
  </si>
  <si>
    <t>Premnath Vitthal Shinde.</t>
  </si>
  <si>
    <t>12.6LPA</t>
  </si>
  <si>
    <t xml:space="preserve">Pavel - Mumbai </t>
  </si>
  <si>
    <t>90Days - neg</t>
  </si>
  <si>
    <t xml:space="preserve">L1 shortliested </t>
  </si>
  <si>
    <t>Peram.Sivareddy</t>
  </si>
  <si>
    <t>peramsivareddy496@gmail.com</t>
  </si>
  <si>
    <t>7.6yrs</t>
  </si>
  <si>
    <t>BANCTECINDIA PVT LTD </t>
  </si>
  <si>
    <t>7.50LPA</t>
  </si>
  <si>
    <t>2 Months - Neg</t>
  </si>
  <si>
    <t>VENKATA SRIHARI M</t>
  </si>
  <si>
    <t>vsriharim1430@gmail.com</t>
  </si>
  <si>
    <t>4.3yrs</t>
  </si>
  <si>
    <t>Net Connect </t>
  </si>
  <si>
    <t>11LPA</t>
  </si>
  <si>
    <t>Priyanka Lalge</t>
  </si>
  <si>
    <t>lalgepriyanka1410@gmail.com</t>
  </si>
  <si>
    <t>Product Material Complaince</t>
  </si>
  <si>
    <t>MAN Truck &amp; Bus</t>
  </si>
  <si>
    <t xml:space="preserve">3 Months - Neg </t>
  </si>
  <si>
    <t>8.3yrs</t>
  </si>
  <si>
    <t>Varroc</t>
  </si>
  <si>
    <t>17 to 18</t>
  </si>
  <si>
    <t>Sameer Shinde</t>
  </si>
  <si>
    <t>shindesameer1395@gmail.com</t>
  </si>
  <si>
    <t>VISHAY Intertechnology Pvt. Ltd</t>
  </si>
  <si>
    <t>Prerna Nagpal</t>
  </si>
  <si>
    <t>prernanagpal13@gmail.com</t>
  </si>
  <si>
    <t>Netweb Technologies India ltd</t>
  </si>
  <si>
    <t>Ankita Malusare</t>
  </si>
  <si>
    <t>ankitamalusare225@gmail.com</t>
  </si>
  <si>
    <t>Mahale</t>
  </si>
  <si>
    <t>90 days, negotiable upto option 30 days</t>
  </si>
  <si>
    <t>Akshay Antapurkar</t>
  </si>
  <si>
    <t>7020928134 / 9823487209</t>
  </si>
  <si>
    <t>akshay.antapurkar@gmail.com</t>
  </si>
  <si>
    <t>rehlko</t>
  </si>
  <si>
    <t>60 days, buyout option 30 days</t>
  </si>
  <si>
    <t>MELVIA J PEREIRA</t>
  </si>
  <si>
    <t>melviap95@gmail.com</t>
  </si>
  <si>
    <t>SunStream</t>
  </si>
  <si>
    <t>LWD:Sep 2024</t>
  </si>
  <si>
    <t>Kashi Nayak</t>
  </si>
  <si>
    <t>Kashi.nayak08@gmail.com</t>
  </si>
  <si>
    <t>12yrs</t>
  </si>
  <si>
    <t>Tata Autocom</t>
  </si>
  <si>
    <t>30 days, join in 15 days</t>
  </si>
  <si>
    <t xml:space="preserve">L1 Rejected </t>
  </si>
  <si>
    <t>Ankita Jadhav                                                                                                                                                                                                                   </t>
  </si>
  <si>
    <t>Saleem R</t>
  </si>
  <si>
    <t>saleem.chemical@gmail.com</t>
  </si>
  <si>
    <t>Praveen Naik</t>
  </si>
  <si>
    <t>Praveen.naik98@gmail.com </t>
  </si>
  <si>
    <t>Rani</t>
  </si>
  <si>
    <t>Siva S</t>
  </si>
  <si>
    <t>sivamuruga@gmail.com</t>
  </si>
  <si>
    <t>MAN trucks</t>
  </si>
  <si>
    <t>3Months</t>
  </si>
  <si>
    <t xml:space="preserve">KASHIMAPPA </t>
  </si>
  <si>
    <t>on Hold</t>
  </si>
  <si>
    <t>Chaitanya Yadav</t>
  </si>
  <si>
    <t>Quality product Testing Analyst</t>
  </si>
  <si>
    <t>6.7yrs</t>
  </si>
  <si>
    <t>Ambernath</t>
  </si>
  <si>
    <t>Khan Asrar Ahmad</t>
  </si>
  <si>
    <t>4.8LPA</t>
  </si>
  <si>
    <t>5.8LPA</t>
  </si>
  <si>
    <t>pune</t>
  </si>
  <si>
    <t>Vaibhav Shankar Raut</t>
  </si>
  <si>
    <t>3.5LPA</t>
  </si>
  <si>
    <t>90days(Negotiable</t>
  </si>
  <si>
    <t>Akash Sanjay Shirose</t>
  </si>
  <si>
    <t>7-8LPA</t>
  </si>
  <si>
    <t>Navi mumbai</t>
  </si>
  <si>
    <t>Suraj Santosh khanvilkar</t>
  </si>
  <si>
    <t>Naigoan</t>
  </si>
  <si>
    <t>Abhishek Kanerkar</t>
  </si>
  <si>
    <t>VISHAL RAJENDRA SAINDANE</t>
  </si>
  <si>
    <t>Ajinkya Deepak Hadage</t>
  </si>
  <si>
    <t>Kalyan</t>
  </si>
  <si>
    <t>90days(Negotiable)</t>
  </si>
  <si>
    <t>Interview Rejected</t>
  </si>
  <si>
    <t>Sanchita Sabale</t>
  </si>
  <si>
    <t>LWD 9th Aug 2025</t>
  </si>
  <si>
    <t>Pranav Mahajan</t>
  </si>
  <si>
    <t>Vashi</t>
  </si>
  <si>
    <t>PRATIK BUDHAJI PAWAR</t>
  </si>
  <si>
    <t>4.9yrs</t>
  </si>
  <si>
    <t>Badlapur</t>
  </si>
  <si>
    <t>Jagendra kushwaha</t>
  </si>
  <si>
    <t>90days(Nego</t>
  </si>
  <si>
    <t>Ganesh.narkhede</t>
  </si>
  <si>
    <t>bhiwandi</t>
  </si>
  <si>
    <t>Akshay Dnyaneshwar Temkar</t>
  </si>
  <si>
    <t>ASHWINI JAISWAL</t>
  </si>
  <si>
    <t>7.7LPA</t>
  </si>
  <si>
    <t>immedaitely</t>
  </si>
  <si>
    <t>Swapnil M Sale</t>
  </si>
  <si>
    <t>Nilesh Thorat</t>
  </si>
  <si>
    <t>6.1LPA</t>
  </si>
  <si>
    <t>Shailesh N. Gaikwad</t>
  </si>
  <si>
    <t>7.2LPA</t>
  </si>
  <si>
    <t>Manoj Palodkar</t>
  </si>
  <si>
    <t>90days</t>
  </si>
  <si>
    <t>Nilesh Patil</t>
  </si>
  <si>
    <t>10.6LPA</t>
  </si>
  <si>
    <t>Mira</t>
  </si>
  <si>
    <t>JYOTIBA GUND</t>
  </si>
  <si>
    <t>mumbai</t>
  </si>
  <si>
    <t>AMOL D. GALBALE</t>
  </si>
  <si>
    <t>45days</t>
  </si>
  <si>
    <t>Nikhil Napte</t>
  </si>
  <si>
    <t>Omkar Patil</t>
  </si>
  <si>
    <t>7.6LPA 10%variable</t>
  </si>
  <si>
    <t>11.5LPA</t>
  </si>
  <si>
    <t>Abhishek Raut</t>
  </si>
  <si>
    <t>Navi Mumbai</t>
  </si>
  <si>
    <t>Sagar Jagdale</t>
  </si>
  <si>
    <t>6Years</t>
  </si>
  <si>
    <t>12lpa</t>
  </si>
  <si>
    <t>Krushna Chandra Dakua</t>
  </si>
  <si>
    <t>Supply Quality Management Analyst</t>
  </si>
  <si>
    <t>7Years</t>
  </si>
  <si>
    <t>Aurangabad</t>
  </si>
  <si>
    <t>Sagar Rathod</t>
  </si>
  <si>
    <t>8Years</t>
  </si>
  <si>
    <t>Ganesh Kale</t>
  </si>
  <si>
    <t>9.8LPA</t>
  </si>
  <si>
    <t>Diva</t>
  </si>
  <si>
    <t>Kishore Kadam</t>
  </si>
  <si>
    <t>6.6LPA</t>
  </si>
  <si>
    <t>Mira bhayander</t>
  </si>
  <si>
    <t>Amol Jaybhaye</t>
  </si>
  <si>
    <t>Shubham Visave</t>
  </si>
  <si>
    <t>ABHISHEK VIKAS RAUT</t>
  </si>
  <si>
    <t>Abhishek Sunil Dahale</t>
  </si>
  <si>
    <t>Abhijit Ingle</t>
  </si>
  <si>
    <t>8.2LPA</t>
  </si>
  <si>
    <t>MAHESH MAHADEV BHOSALE </t>
  </si>
  <si>
    <t> LANDGE DHANANJAY PRAVIN</t>
  </si>
  <si>
    <t>SWAPNIL M. DAPHAL</t>
  </si>
  <si>
    <t>Gaurav Sharma</t>
  </si>
  <si>
    <t>45days(Negotiable)</t>
  </si>
  <si>
    <t>Harish Humbe</t>
  </si>
  <si>
    <t>Supply Quality Management Specialist</t>
  </si>
  <si>
    <t>Abhijit Kumar Bubanale</t>
  </si>
  <si>
    <t>Swapnil Mhatre</t>
  </si>
  <si>
    <t>13years</t>
  </si>
  <si>
    <t>Rajendra Avhad</t>
  </si>
  <si>
    <t>12years</t>
  </si>
  <si>
    <t>Mahadev Rathod</t>
  </si>
  <si>
    <t>12Years</t>
  </si>
  <si>
    <t>Sibanath Nayak</t>
  </si>
  <si>
    <t>Sanjay Mena</t>
  </si>
  <si>
    <t>Amol Devidas Behere</t>
  </si>
  <si>
    <t>Ajit Palkar</t>
  </si>
  <si>
    <t>10.5LPA</t>
  </si>
  <si>
    <t>90days(negotiable</t>
  </si>
  <si>
    <t xml:space="preserve">
Mundhe Sujit shivram</t>
  </si>
  <si>
    <t>14Years</t>
  </si>
  <si>
    <t>Pankaj Gehlot</t>
  </si>
  <si>
    <t>13.6Years</t>
  </si>
  <si>
    <t>10.4LPA</t>
  </si>
  <si>
    <t>Amol Balasaheb Auti</t>
  </si>
  <si>
    <t>Rahul Vasant Datir</t>
  </si>
  <si>
    <t>Subhash Chikankar</t>
  </si>
  <si>
    <t>10.50LPA</t>
  </si>
  <si>
    <t>. Swapnil Ashok Gagare</t>
  </si>
  <si>
    <t>13Years</t>
  </si>
  <si>
    <t>Chandan Kumar</t>
  </si>
  <si>
    <t>15Years</t>
  </si>
  <si>
    <t>Shubham yevale</t>
  </si>
  <si>
    <t>Supply Quality Management Senior Analyst</t>
  </si>
  <si>
    <t>18Years</t>
  </si>
  <si>
    <t>11.11LPA</t>
  </si>
  <si>
    <t>Vishal Mahajan Khandare</t>
  </si>
  <si>
    <t>9.1Years</t>
  </si>
  <si>
    <t>Vikas Andegaonkar  </t>
  </si>
  <si>
    <t>7.8Years</t>
  </si>
  <si>
    <t>Milind N. Salunke</t>
  </si>
  <si>
    <t>9Years</t>
  </si>
  <si>
    <t>Rohankumar Ghegadmal</t>
  </si>
  <si>
    <t>8.8Years</t>
  </si>
  <si>
    <t>10.8LPA</t>
  </si>
  <si>
    <t>Amar Raghunath Suryavanshi</t>
  </si>
  <si>
    <t>11.80LPA</t>
  </si>
  <si>
    <t>Pawan Choubey</t>
  </si>
  <si>
    <t>9.9LPA</t>
  </si>
  <si>
    <t>Abhijit Eknath Pati</t>
  </si>
  <si>
    <t>9.3LPA</t>
  </si>
  <si>
    <t>Chetan Devalekar</t>
  </si>
  <si>
    <t>Kavita Amol Khalkar</t>
  </si>
  <si>
    <t>Quality Management Manager</t>
  </si>
  <si>
    <t>12.7LPA</t>
  </si>
  <si>
    <t>10.3Years</t>
  </si>
  <si>
    <t>Ajit Varpe</t>
  </si>
  <si>
    <t>Vinay Patil </t>
  </si>
  <si>
    <t>Sudhanshu Pandey</t>
  </si>
  <si>
    <t>40%hike</t>
  </si>
  <si>
    <t>8.51LPA</t>
  </si>
  <si>
    <t>15%hike</t>
  </si>
  <si>
    <t xml:space="preserve">ArunKumar K </t>
  </si>
  <si>
    <t>17Years</t>
  </si>
  <si>
    <t>Sahil Parashar</t>
  </si>
  <si>
    <t>Production Analyst</t>
  </si>
  <si>
    <t>22Years</t>
  </si>
  <si>
    <t>Ashwini Jaiswal</t>
  </si>
  <si>
    <t>15years</t>
  </si>
  <si>
    <t>18LPA(3.5LPA Variable)</t>
  </si>
  <si>
    <t>Open to Discuss</t>
  </si>
  <si>
    <t>Sushil Harne</t>
  </si>
  <si>
    <t>11years</t>
  </si>
  <si>
    <t>Sumit Singh</t>
  </si>
  <si>
    <t>16years</t>
  </si>
  <si>
    <t>Sandesh kajrolkar</t>
  </si>
  <si>
    <t>Abhijeet Ramesh Karma</t>
  </si>
  <si>
    <t>Deepak Gebise</t>
  </si>
  <si>
    <t>18LPA(4LPA variavle)</t>
  </si>
  <si>
    <t>Mudassar Mirza</t>
  </si>
  <si>
    <t>Senior Production Analyst</t>
  </si>
  <si>
    <t>Mahesh Pajankar</t>
  </si>
  <si>
    <t xml:space="preserve">Sreenu Balaga </t>
  </si>
  <si>
    <t>21.5LPA</t>
  </si>
  <si>
    <t>Selected</t>
  </si>
  <si>
    <t>Ravi Kudali</t>
  </si>
  <si>
    <t>Sagar igole</t>
  </si>
  <si>
    <t>Pravin Ghuge</t>
  </si>
  <si>
    <t>PPC Analyst</t>
  </si>
  <si>
    <t>Mrs. Ragini Yeole</t>
  </si>
  <si>
    <t>Khan Azharuddin Nizamuddin</t>
  </si>
  <si>
    <t>3.9yrs</t>
  </si>
  <si>
    <t>AP</t>
  </si>
  <si>
    <t>Pratik Sambhaji</t>
  </si>
  <si>
    <t>Damodhar Balla</t>
  </si>
  <si>
    <t xml:space="preserve">Offer in Process </t>
  </si>
  <si>
    <t>RITWIK PRATAP SINGH</t>
  </si>
  <si>
    <t>Screen Rejected</t>
  </si>
  <si>
    <t>Shubham Dabhade</t>
  </si>
  <si>
    <t>SANTHOSHKUMAR A</t>
  </si>
  <si>
    <t>Aditya Waikar</t>
  </si>
  <si>
    <t>Sameer Deshpande</t>
  </si>
  <si>
    <t xml:space="preserve">L1 interview schedule </t>
  </si>
  <si>
    <t>Surya Prakash Shukla</t>
  </si>
  <si>
    <t xml:space="preserve">L2 interview schedule </t>
  </si>
  <si>
    <t>K Satya Narayan</t>
  </si>
  <si>
    <t>ASHUTOSH</t>
  </si>
  <si>
    <t>Ravi Pratap Singh</t>
  </si>
  <si>
    <t>Madhavi Shelake</t>
  </si>
  <si>
    <t>Prashant Devkate</t>
  </si>
  <si>
    <t>Pramod Parisa Upadhye</t>
  </si>
  <si>
    <t>Sooraj Mali</t>
  </si>
  <si>
    <t>Manoj Raghunath Ambekar</t>
  </si>
  <si>
    <t>L2 rejected</t>
  </si>
  <si>
    <t>Nandkumar Taur</t>
  </si>
  <si>
    <t>Subham Wagh</t>
  </si>
  <si>
    <t>Kalpesh Patil</t>
  </si>
  <si>
    <t>Sagar Patil</t>
  </si>
  <si>
    <t>Gauri Pawar</t>
  </si>
  <si>
    <t>Anil Kumar U</t>
  </si>
  <si>
    <t>Tushar Potadar</t>
  </si>
  <si>
    <t>Ankit Dubey</t>
  </si>
  <si>
    <t>Babu</t>
  </si>
  <si>
    <t>Pravin Ganesh Chawle</t>
  </si>
  <si>
    <t>Ria Jain</t>
  </si>
  <si>
    <t>Santosh Bhausaheb Ghule</t>
  </si>
  <si>
    <t>Mahendra kumar Yadav</t>
  </si>
  <si>
    <t>Vishal Ramesh Singh</t>
  </si>
  <si>
    <t>Priyanka Jaiswal</t>
  </si>
  <si>
    <t>Umesh Balasaheb Waghmare</t>
  </si>
  <si>
    <t>Bhumika Sharma</t>
  </si>
  <si>
    <t>Rahul More </t>
  </si>
  <si>
    <t>Amol Anandrao Magadum</t>
  </si>
  <si>
    <t>Vinayak Suresh Kokane</t>
  </si>
  <si>
    <t>abhishek kiran deshmukh</t>
  </si>
  <si>
    <t>Santosh Balasaheb Tambe</t>
  </si>
  <si>
    <t>CHANDRAKANT S. NADKAR</t>
  </si>
  <si>
    <t>Harikesh Manoj Patil</t>
  </si>
  <si>
    <t>Pavankumar Shriram Mehtre</t>
  </si>
  <si>
    <t>Venkatesh Gunja</t>
  </si>
  <si>
    <t>Manikant kumar</t>
  </si>
  <si>
    <t>MAYANK KUMAR SRIVASTAVA</t>
  </si>
  <si>
    <t>SAYYED YASEENUDDIN</t>
  </si>
  <si>
    <t>Dr. Hari Babu Gobburi</t>
  </si>
  <si>
    <t>SOURABH KUNDU</t>
  </si>
  <si>
    <t>Rajesh Patil</t>
  </si>
  <si>
    <t>Vinod G Nikam</t>
  </si>
  <si>
    <t>Pravin Desai</t>
  </si>
  <si>
    <t>L1 Reject</t>
  </si>
  <si>
    <t>Narendra Bhutkar</t>
  </si>
  <si>
    <t>Abhijit Gaikwad</t>
  </si>
  <si>
    <t>Soham Honrao</t>
  </si>
  <si>
    <t>Pravin Bhosale</t>
  </si>
  <si>
    <t>Samir Gaikwad</t>
  </si>
  <si>
    <t>Atish Gonade</t>
  </si>
  <si>
    <t>Sandeep Suman</t>
  </si>
  <si>
    <t>Chandan Kumar Sahu</t>
  </si>
  <si>
    <t>Indrajeet Maruti Dhokane</t>
  </si>
  <si>
    <t>Saurabh sharma</t>
  </si>
  <si>
    <t>L2 Reject</t>
  </si>
  <si>
    <t>Pritesh Sanchaniya</t>
  </si>
  <si>
    <t>Akash Mane</t>
  </si>
  <si>
    <t>Ashish Kumar</t>
  </si>
  <si>
    <t>Bhagwan Pawar</t>
  </si>
  <si>
    <t>Sagar Chaudhari</t>
  </si>
  <si>
    <t>Yogesh Balusing Girase</t>
  </si>
  <si>
    <t>Abhishek Panchal</t>
  </si>
  <si>
    <t>Deepchand Rajput</t>
  </si>
  <si>
    <t>Sanish Singh</t>
  </si>
  <si>
    <t>Manoj Mahata</t>
  </si>
  <si>
    <t>Yogesh Supekar</t>
  </si>
  <si>
    <t>Shekhar Kumar</t>
  </si>
  <si>
    <t>Vivek Dave</t>
  </si>
  <si>
    <t>Vasant Rane</t>
  </si>
  <si>
    <t>l1 Select</t>
  </si>
  <si>
    <t>Vaibhav Zade </t>
  </si>
  <si>
    <t>Prafull Uttekar</t>
  </si>
  <si>
    <t>Pradum Maurya</t>
  </si>
  <si>
    <t>beingmaurya76@gmail.com </t>
  </si>
  <si>
    <t>LTIMINDTREE</t>
  </si>
  <si>
    <t>Devendra Khasgiwale</t>
  </si>
  <si>
    <t>khasgiwaled@gmail.com</t>
  </si>
  <si>
    <t>Sagar Chopade</t>
  </si>
  <si>
    <t>ssagarchopade1995@gmail.com</t>
  </si>
  <si>
    <t>Einfochips </t>
  </si>
  <si>
    <t>Immedidate Joiner</t>
  </si>
  <si>
    <t>.jn</t>
  </si>
  <si>
    <t>nirbhay57@gmail.com</t>
  </si>
  <si>
    <t>Eviden </t>
  </si>
  <si>
    <t>Pune-Pashan</t>
  </si>
  <si>
    <t>15-30 days</t>
  </si>
  <si>
    <t>ANGIRA MAJUMDER</t>
  </si>
  <si>
    <t>angira691@gmail.com</t>
  </si>
  <si>
    <t xml:space="preserve"> Tech Mahindra ltd</t>
  </si>
  <si>
    <t>Raj Arvindkumar Prajapati</t>
  </si>
  <si>
    <t>rajprajapati07@gmail.com</t>
  </si>
  <si>
    <t> Accenture </t>
  </si>
  <si>
    <t>20LAP</t>
  </si>
  <si>
    <t>SNP- 5th- May LWD</t>
  </si>
  <si>
    <t>KIRAN NIRMAL</t>
  </si>
  <si>
    <t> 9930435947 · 8655770018</t>
  </si>
  <si>
    <t>kirannirmal05@gmail.com</t>
  </si>
  <si>
    <t>SYMPHONY FINTECH</t>
  </si>
  <si>
    <t>16.50LPA</t>
  </si>
  <si>
    <t>Utsav Vats</t>
  </si>
  <si>
    <t>8377040020 </t>
  </si>
  <si>
    <t>utsav.vats22@gmail.com</t>
  </si>
  <si>
    <t>NTT DATA</t>
  </si>
  <si>
    <t>Mendix</t>
  </si>
  <si>
    <t>Softra Systems Pvt Ltd  </t>
  </si>
  <si>
    <t>Darshan Honkalse</t>
  </si>
  <si>
    <t>Tejas Takbhate</t>
  </si>
  <si>
    <t>tejastakbhate1994@gmail.com</t>
  </si>
  <si>
    <t>Cyient </t>
  </si>
  <si>
    <t>LWD: 19th May 25</t>
  </si>
  <si>
    <t>Gaurav Nerurkar</t>
  </si>
  <si>
    <t>gauravrajput9401@gmail.com</t>
  </si>
  <si>
    <t>LWD:19th April 25</t>
  </si>
  <si>
    <t>Mohammad Amer</t>
  </si>
  <si>
    <t>mohammadamert95@gmail.com</t>
  </si>
  <si>
    <t>LWD:21 st 25</t>
  </si>
  <si>
    <t>LOB rejected</t>
  </si>
  <si>
    <t>Swapnil S. Ahire</t>
  </si>
  <si>
    <t>swapnilahire1@gmail.com</t>
  </si>
  <si>
    <t>Sr Engineer-Material Compliance </t>
  </si>
  <si>
    <t>APPL Industries Ltd</t>
  </si>
  <si>
    <t>             Meera M Bakhal</t>
  </si>
  <si>
    <t>9503738181  </t>
  </si>
  <si>
    <t>meerabakhal@gmail.com </t>
  </si>
  <si>
    <t>Krishna Antioxidant Pvt LTD,</t>
  </si>
  <si>
    <t>Bharath HS</t>
  </si>
  <si>
    <t>bharath12.h.s@gmail.com</t>
  </si>
  <si>
    <t>Product Material</t>
  </si>
  <si>
    <t>TE Connectivity</t>
  </si>
  <si>
    <t>Rees Cherian</t>
  </si>
  <si>
    <t>cherianrees@gmail.com</t>
  </si>
  <si>
    <t>Amphenol FCI</t>
  </si>
  <si>
    <t>8.20LPA</t>
  </si>
  <si>
    <t>Kochi</t>
  </si>
  <si>
    <t>11.6yrs</t>
  </si>
  <si>
    <t>Magna Automotive India Pvt Ltd </t>
  </si>
  <si>
    <t>11.25LPA</t>
  </si>
  <si>
    <t>19LPA</t>
  </si>
  <si>
    <t>Ajit Ravindra Kale</t>
  </si>
  <si>
    <t>MAHLE Engineering Services India Pvt. Ltd,</t>
  </si>
  <si>
    <t>SPX Flow Technology India Pvt. Ltd</t>
  </si>
  <si>
    <t>14.80LPA</t>
  </si>
  <si>
    <t>Dhiraj Kumar Singh</t>
  </si>
  <si>
    <t>singhdhiraj255@gmail.com</t>
  </si>
  <si>
    <t>Amazon Development Centre (India) Private Limited</t>
  </si>
  <si>
    <t>11.52LPA</t>
  </si>
  <si>
    <t>50%hike</t>
  </si>
  <si>
    <t xml:space="preserve">30 Days </t>
  </si>
  <si>
    <t>Pravin Prakash Desai</t>
  </si>
  <si>
    <t>pravinrajedesai@gmail.com</t>
  </si>
  <si>
    <t>10+yrs</t>
  </si>
  <si>
    <t>QUEST GLOBAL</t>
  </si>
  <si>
    <t>MAHLE Engineering Services India Pvt. Ldt</t>
  </si>
  <si>
    <t>13.49LPA</t>
  </si>
  <si>
    <t>Sridhar Kumar G</t>
  </si>
  <si>
    <t>sridharkumarja@gmail.com</t>
  </si>
  <si>
    <t>Schneider Electric India Pvt Ltd, Bangalore (Payroll of Adiz Digitech Pvt Ltd.) </t>
  </si>
  <si>
    <t>Currently serving till 16 May</t>
  </si>
  <si>
    <t>Ajay Sanjay Kadam</t>
  </si>
  <si>
    <t>kadamajay819@gmail.com</t>
  </si>
  <si>
    <t>1.4yrs</t>
  </si>
  <si>
    <t>Tata Consultancy Service</t>
  </si>
  <si>
    <t>Hariprasad S</t>
  </si>
  <si>
    <t>harihp2k@gmail.com</t>
  </si>
  <si>
    <t>Tata Technologies </t>
  </si>
  <si>
    <t>5.60LPA</t>
  </si>
  <si>
    <t xml:space="preserve">3 Months - Neg - 60 Days / Buyout opt </t>
  </si>
  <si>
    <t>Sanket Namdev Bramhane</t>
  </si>
  <si>
    <t>ersanket007@gmail.com</t>
  </si>
  <si>
    <t>Speed Engineering Solutions</t>
  </si>
  <si>
    <t xml:space="preserve">3 Months - Neg   </t>
  </si>
  <si>
    <t>Rushikesh Dusane</t>
  </si>
  <si>
    <t>dusanerushi2001@gmail.com</t>
  </si>
  <si>
    <t>Kirloskar Oil Engines Ltd</t>
  </si>
  <si>
    <t>3 Months - Neg</t>
  </si>
  <si>
    <t>Ashwini Kadam</t>
  </si>
  <si>
    <t>ashwinirk262@gmail.com</t>
  </si>
  <si>
    <t>ACE Technologies</t>
  </si>
  <si>
    <t xml:space="preserve">2 Months - Neg </t>
  </si>
  <si>
    <t>CHIRAG TAYADE</t>
  </si>
  <si>
    <t>chiragtayade7@gmail.com</t>
  </si>
  <si>
    <t>1.5yrs</t>
  </si>
  <si>
    <t>Knorr-Bremse Technology Center India</t>
  </si>
  <si>
    <t>2.4LPA</t>
  </si>
  <si>
    <t>Bhavnesh Ravindra Patil</t>
  </si>
  <si>
    <t>bhavneshpatil85@gmail.com</t>
  </si>
  <si>
    <t>Delval Flow Controls Pvt Ltd</t>
  </si>
  <si>
    <t>4LPA current , 3.60LPA</t>
  </si>
  <si>
    <t xml:space="preserve">Immediately - 15 Days </t>
  </si>
  <si>
    <t>LOB Rejeceted</t>
  </si>
  <si>
    <t>joined</t>
  </si>
  <si>
    <t>S. Bharath kumar</t>
  </si>
  <si>
    <t xml:space="preserve"> bharathsiva01@gmail.com</t>
  </si>
  <si>
    <t>t Tata Technologies Limited,</t>
  </si>
  <si>
    <t xml:space="preserve">90 Days - neg 60 Days </t>
  </si>
  <si>
    <t>Shrungeri Shubham Jadhav</t>
  </si>
  <si>
    <t>shrungerimohite1996@gmail.com</t>
  </si>
  <si>
    <t>KPIT technology</t>
  </si>
  <si>
    <t>Sourabh arun kudale</t>
  </si>
  <si>
    <t>sourabhkudale5511@gmail.com</t>
  </si>
  <si>
    <t> INITIATIVE</t>
  </si>
  <si>
    <t>2.50LPA</t>
  </si>
  <si>
    <t>Mukul Patil</t>
  </si>
  <si>
    <t>patilmukul251097@gmail.com</t>
  </si>
  <si>
    <t>SS Group Of Enterprises </t>
  </si>
  <si>
    <t>2.90LPA</t>
  </si>
  <si>
    <t>ROHIT ANNASO SHITOLE</t>
  </si>
  <si>
    <t>rohitshitole@hotmail.com</t>
  </si>
  <si>
    <t>Tata Motors</t>
  </si>
  <si>
    <t>4.50LPA</t>
  </si>
  <si>
    <t>Rahul Patel</t>
  </si>
  <si>
    <t>rp7644370@gmail.com</t>
  </si>
  <si>
    <t>TAFE Motors and Tractors (TMTL)</t>
  </si>
  <si>
    <t>Palash Lonare</t>
  </si>
  <si>
    <t>palashlonare786@gmail.com</t>
  </si>
  <si>
    <t>4.75LPA</t>
  </si>
  <si>
    <t>PRATHAMESH JAGTAP</t>
  </si>
  <si>
    <t>psjagtap.03@gmail.com</t>
  </si>
  <si>
    <t>3.3yrs</t>
  </si>
  <si>
    <t>ZF India </t>
  </si>
  <si>
    <t>Rahul Bondre</t>
  </si>
  <si>
    <t>rbondre06@gmail.com</t>
  </si>
  <si>
    <t>Tata International Vehicle Application</t>
  </si>
  <si>
    <t>3.75LPA</t>
  </si>
  <si>
    <t>SADGURU PAWAR</t>
  </si>
  <si>
    <t>sadguruvpawar@gmail.com</t>
  </si>
  <si>
    <t>2.2yrs</t>
  </si>
  <si>
    <t>Godrej &amp; Boyce Mfg. Co. Ltd</t>
  </si>
  <si>
    <t>4.59LPA</t>
  </si>
  <si>
    <t>Shreyash Chavan</t>
  </si>
  <si>
    <t>shreyashchavan211@gmail.com</t>
  </si>
  <si>
    <t>Talbros Automotive Components Ltd</t>
  </si>
  <si>
    <t xml:space="preserve">15Days - Neg 1 week </t>
  </si>
  <si>
    <t>Ajay Ramesh Chavan</t>
  </si>
  <si>
    <t>chavanajay2606@gmail.com</t>
  </si>
  <si>
    <t>IT Racks - Design</t>
  </si>
  <si>
    <t>Cyient (John Deere)</t>
  </si>
  <si>
    <t>7.32LPA</t>
  </si>
  <si>
    <t xml:space="preserve">15days </t>
  </si>
  <si>
    <t>HIMANSHU</t>
  </si>
  <si>
    <t>himanshubhaihimanshubhai07@gmail.com</t>
  </si>
  <si>
    <t>3.60LPA</t>
  </si>
  <si>
    <t>Kanpur</t>
  </si>
  <si>
    <t>Vinay babu mareedu</t>
  </si>
  <si>
    <t>vinaymareedu777@gmail.com</t>
  </si>
  <si>
    <t>Tao Digital </t>
  </si>
  <si>
    <t>Pranit Jadhav</t>
  </si>
  <si>
    <t>pranitjadhav311098@gmail.com</t>
  </si>
  <si>
    <t>Avion Exim </t>
  </si>
  <si>
    <t>Nilesh Bhosale</t>
  </si>
  <si>
    <t>bhosalenilesh47@gmail.com</t>
  </si>
  <si>
    <t>Manager Reliability Engineering</t>
  </si>
  <si>
    <t>Emerson Innovation Center</t>
  </si>
  <si>
    <t>16.80LPA</t>
  </si>
  <si>
    <t>Praveen chaplot</t>
  </si>
  <si>
    <t>praveen.chaplot@gmail.com</t>
  </si>
  <si>
    <t xml:space="preserve">Manager Reliability </t>
  </si>
  <si>
    <t>19yrs</t>
  </si>
  <si>
    <t>Rishabh Instruments LTD </t>
  </si>
  <si>
    <t>21.50LPA</t>
  </si>
  <si>
    <t>32LPA</t>
  </si>
  <si>
    <t>Komal Akash Patil</t>
  </si>
  <si>
    <t>kapatil1112@gmail.com</t>
  </si>
  <si>
    <t>Emerson Innovation Center</t>
  </si>
  <si>
    <t>11.04LPA</t>
  </si>
  <si>
    <t>Piraji Kubade</t>
  </si>
  <si>
    <t>kubadepiraji@gmail.com</t>
  </si>
  <si>
    <t> Emerson Innovation Center</t>
  </si>
  <si>
    <t>Vikash Kushwaha</t>
  </si>
  <si>
    <t>kushwahavj@gmail.com</t>
  </si>
  <si>
    <t>15+yrs</t>
  </si>
  <si>
    <t>Havells</t>
  </si>
  <si>
    <t>25.5LPA</t>
  </si>
  <si>
    <t>36LPA</t>
  </si>
  <si>
    <t>60 Days (Negotiable)</t>
  </si>
  <si>
    <t>RAHUL GENDLAL RAHANGDALE</t>
  </si>
  <si>
    <t>rahul.rahangdale36@gmail.com</t>
  </si>
  <si>
    <t>Sr Engineer - Product</t>
  </si>
  <si>
    <t>Ador Powertron</t>
  </si>
  <si>
    <t>Sunil Ashok Piprade</t>
  </si>
  <si>
    <t>piprade.sunil@gmail.com</t>
  </si>
  <si>
    <t> Eaton Technologies</t>
  </si>
  <si>
    <t>Pradyumna Sengupta</t>
  </si>
  <si>
    <t>pradyumnasengupta@yahoo.com</t>
  </si>
  <si>
    <t>Exide Indus</t>
  </si>
  <si>
    <t>9.50LPA</t>
  </si>
  <si>
    <t>Devendra Mali</t>
  </si>
  <si>
    <t>devendramali03@gmail.com</t>
  </si>
  <si>
    <t>Greenko Group LTD</t>
  </si>
  <si>
    <t>10.88 LPA</t>
  </si>
  <si>
    <t>Kuldeep D. Dasadiya</t>
  </si>
  <si>
    <t>kuldeepdasadiya08@gmail.com</t>
  </si>
  <si>
    <t>Mindra Green Energy LLP.</t>
  </si>
  <si>
    <t>Kousik Karan</t>
  </si>
  <si>
    <t>karankousik143@gmail.com</t>
  </si>
  <si>
    <t>Hitachi Hi Rel Power Electronics</t>
  </si>
  <si>
    <t>7.4LPA</t>
  </si>
  <si>
    <t>Bhubaneswar</t>
  </si>
  <si>
    <t>PRADYUMNA SENGUPTA</t>
  </si>
  <si>
    <t xml:space="preserve">pradyumnasengupta@yahoo.com </t>
  </si>
  <si>
    <t>12.11yrs</t>
  </si>
  <si>
    <t>EXIDE INDUSTRIES LTD</t>
  </si>
  <si>
    <t>19.5LPA</t>
  </si>
  <si>
    <t>Ghanshyam Swarnkar</t>
  </si>
  <si>
    <t>Swarnkar1993@yahoo.com</t>
  </si>
  <si>
    <t>BorgWarner India Private Limited</t>
  </si>
  <si>
    <t>40% Hike</t>
  </si>
  <si>
    <t>17.5LPA</t>
  </si>
  <si>
    <t>ALOK KUMAR SINGH</t>
  </si>
  <si>
    <t xml:space="preserve"> kumaraalok707@gmail.com</t>
  </si>
  <si>
    <t>CG Power &amp; Industrial Solutions Ltd. (</t>
  </si>
  <si>
    <t>BHARTI VERMA</t>
  </si>
  <si>
    <t xml:space="preserve">bharti787varma@gmail.com </t>
  </si>
  <si>
    <t>11+yrs</t>
  </si>
  <si>
    <t xml:space="preserve">Toshiba Mitsubishi-Electric Industrial Systems Corporation </t>
  </si>
  <si>
    <t>13.4LPA</t>
  </si>
  <si>
    <t xml:space="preserve">2Months- buyout </t>
  </si>
  <si>
    <t>988-117-2248</t>
  </si>
  <si>
    <t>nadkarchandrakant@gmail.com</t>
  </si>
  <si>
    <t>ALPHA ICT</t>
  </si>
  <si>
    <t xml:space="preserve">Past 2months not working  - Lay off - Immediate joiner </t>
  </si>
  <si>
    <t>Final Round rejected</t>
  </si>
  <si>
    <t>ABUZAR A TOPINKATTI</t>
  </si>
  <si>
    <t xml:space="preserve"> abuzar.suvidha@gmail.com</t>
  </si>
  <si>
    <t>9.10yrs</t>
  </si>
  <si>
    <t>Rohm Semiconductor India Private Limited,</t>
  </si>
  <si>
    <t>19.4LPA</t>
  </si>
  <si>
    <t>Aditya Narayan Rasal</t>
  </si>
  <si>
    <t>adityarasal@gmail.com</t>
  </si>
  <si>
    <t>7.4yrs</t>
  </si>
  <si>
    <t>Spark Minda</t>
  </si>
  <si>
    <t>17.51LPA</t>
  </si>
  <si>
    <t>3Months - Neg</t>
  </si>
  <si>
    <t xml:space="preserve">Final interview scheduled </t>
  </si>
  <si>
    <t xml:space="preserve">Final round </t>
  </si>
  <si>
    <t>AISWARYA REMESH</t>
  </si>
  <si>
    <t>aiswarya.remesh@gmail.com</t>
  </si>
  <si>
    <t>Eaton India Innovation Centre</t>
  </si>
  <si>
    <t xml:space="preserve">20LPA </t>
  </si>
  <si>
    <t xml:space="preserve">90Days </t>
  </si>
  <si>
    <t>Prajal Takalkar</t>
  </si>
  <si>
    <t>takalkar.prajal@icloud.com</t>
  </si>
  <si>
    <t>Tata Autocomp Systems Limited</t>
  </si>
  <si>
    <t>SNP- LWD - Nov 29th</t>
  </si>
  <si>
    <t>Avinash Kumar</t>
  </si>
  <si>
    <t>72041 21083</t>
  </si>
  <si>
    <t>avinashkmr476@gmail.com</t>
  </si>
  <si>
    <t>Marelli Motherson Automotive Lighting India Pvt. Ltd</t>
  </si>
  <si>
    <t xml:space="preserve">19.2LPA +Car +Petrol </t>
  </si>
  <si>
    <t>Dr. Y BHASKAR S S GUPTA</t>
  </si>
  <si>
    <t xml:space="preserve"> 8143153279 &amp; +91 8330929788 </t>
  </si>
  <si>
    <t xml:space="preserve">   bhaskargupta260@gmail.com     </t>
  </si>
  <si>
    <t>10.5yrs …7.5LPA</t>
  </si>
  <si>
    <t>Ador Digatron Private Limited</t>
  </si>
  <si>
    <t xml:space="preserve">3Months - Neg </t>
  </si>
  <si>
    <t>KOMAL AKASH PATIL</t>
  </si>
  <si>
    <t xml:space="preserve">kapatil1112@gmail.com </t>
  </si>
  <si>
    <t>LOB Rejected</t>
  </si>
  <si>
    <t xml:space="preserve">Vinod Balvant Sugave </t>
  </si>
  <si>
    <t xml:space="preserve">Vinodsugave456@gmail.com </t>
  </si>
  <si>
    <t>8.4yrs</t>
  </si>
  <si>
    <t>Creat Uno Minda</t>
  </si>
  <si>
    <t>28th-April-25</t>
  </si>
  <si>
    <t>SAROJ LADE</t>
  </si>
  <si>
    <t xml:space="preserve"> lade.saroj@gmail.com</t>
  </si>
  <si>
    <t xml:space="preserve">Software Engg Security </t>
  </si>
  <si>
    <t>Capgemini India</t>
  </si>
  <si>
    <t>SANKET</t>
  </si>
  <si>
    <t>9.5yrs</t>
  </si>
  <si>
    <t>Manan Shah</t>
  </si>
  <si>
    <t>mananshah2901@gmail.com</t>
  </si>
  <si>
    <t>Netweb Software </t>
  </si>
  <si>
    <t>17.28LPA</t>
  </si>
  <si>
    <t>Shweta Joshi</t>
  </si>
  <si>
    <t>shwetajoshi2208@gmail.com</t>
  </si>
  <si>
    <t>6+yrs</t>
  </si>
  <si>
    <t>Accenture Solutions Private Limited</t>
  </si>
  <si>
    <t xml:space="preserve">3 Months - neg </t>
  </si>
  <si>
    <t>Shivangi Srivastava</t>
  </si>
  <si>
    <t>shivangisri300@gmail.com</t>
  </si>
  <si>
    <t>Cybersecurity</t>
  </si>
  <si>
    <t>14.50LPA</t>
  </si>
  <si>
    <t>Paras Deogirkar</t>
  </si>
  <si>
    <t>parasdeogirkar@gmail.com</t>
  </si>
  <si>
    <t>BMC Software</t>
  </si>
  <si>
    <t xml:space="preserve">2 Months - SNP - 24th- July </t>
  </si>
  <si>
    <t>Khushboo Saw</t>
  </si>
  <si>
    <t>khushboosw@gmail.com</t>
  </si>
  <si>
    <t>Accenture,</t>
  </si>
  <si>
    <t xml:space="preserve">17LPA including 2 lacs variable </t>
  </si>
  <si>
    <t>Dipali A.Devkar</t>
  </si>
  <si>
    <t xml:space="preserve"> jobfolio.dip@gmail.com</t>
  </si>
  <si>
    <t>4.2yrs</t>
  </si>
  <si>
    <t>Deepminds Infotech Pvt Ltd</t>
  </si>
  <si>
    <t xml:space="preserve">30Days </t>
  </si>
  <si>
    <t>7.20LPA</t>
  </si>
  <si>
    <t>13.60LPA</t>
  </si>
  <si>
    <t>9.10LPA</t>
  </si>
  <si>
    <t>Vikram D</t>
  </si>
  <si>
    <t>vikramd1224@gmail.com</t>
  </si>
  <si>
    <t>Newel Technologies </t>
  </si>
  <si>
    <t>7.40LPA</t>
  </si>
  <si>
    <t>Kuldeep Patil</t>
  </si>
  <si>
    <t>kuldeepspatil@gmail.com</t>
  </si>
  <si>
    <t>Thebigword India</t>
  </si>
  <si>
    <t>3 Months - neg 45 Days</t>
  </si>
  <si>
    <t>Sumit G</t>
  </si>
  <si>
    <t>sumitgund10@gmail.com</t>
  </si>
  <si>
    <t>Enrichepro Software Private Ltd</t>
  </si>
  <si>
    <t>2 Months - Neg - 1 Month</t>
  </si>
  <si>
    <t>Shah Tej Mehulkumar</t>
  </si>
  <si>
    <t>tejshah50@gmail.com</t>
  </si>
  <si>
    <t>Eclinicalworks</t>
  </si>
  <si>
    <t>Tarate Vishal Kantilal</t>
  </si>
  <si>
    <t>taratevk@gmail.com</t>
  </si>
  <si>
    <t> Fujitsu</t>
  </si>
  <si>
    <t>AKSHAY VITTHAL BHAMARE</t>
  </si>
  <si>
    <t>akshaybhamarepatil606@gmail.com</t>
  </si>
  <si>
    <t>AIC ENGINEERING SERVICE</t>
  </si>
  <si>
    <t>3Months- buyout</t>
  </si>
  <si>
    <t>JAVED AKHTER</t>
  </si>
  <si>
    <t xml:space="preserve"> akhterjaved294@gmail.com</t>
  </si>
  <si>
    <t>Medline Industries India Pvt Ltd</t>
  </si>
  <si>
    <t xml:space="preserve">16LPA Inluding 1.40Lacs variables </t>
  </si>
  <si>
    <t>Vivek Singh</t>
  </si>
  <si>
    <t>viveksingh7954@gmail.com</t>
  </si>
  <si>
    <t>8+yrs</t>
  </si>
  <si>
    <t>Iraje Software</t>
  </si>
  <si>
    <t>TUSHAR GADE</t>
  </si>
  <si>
    <t>tushar.gade@rediffmail.com</t>
  </si>
  <si>
    <t>7+yrs</t>
  </si>
  <si>
    <t>Wipro Limited</t>
  </si>
  <si>
    <t>MALIK PATHAN</t>
  </si>
  <si>
    <t>malikpathan3003@gmail.com</t>
  </si>
  <si>
    <t>4.1yrs</t>
  </si>
  <si>
    <t>Sagitec Solutions </t>
  </si>
  <si>
    <t>6.65LPA</t>
  </si>
  <si>
    <t>Currently serving till 22 Aug - offer ctc -9.5LPA</t>
  </si>
  <si>
    <t>gauripawar2303@gmail.com</t>
  </si>
  <si>
    <t> IVY Mobility</t>
  </si>
  <si>
    <t>8.30LPA</t>
  </si>
  <si>
    <t>Currently serving till 12 Sep</t>
  </si>
  <si>
    <t>Yash Bhakre</t>
  </si>
  <si>
    <t>bhakreyash18@gmail.com</t>
  </si>
  <si>
    <t>LTIMindtree </t>
  </si>
  <si>
    <t>Vivek Tiwari</t>
  </si>
  <si>
    <t> 8889403325 </t>
  </si>
  <si>
    <t>mail.vivekst@gmail.com</t>
  </si>
  <si>
    <t>Corecard Software India Pvt Ltd </t>
  </si>
  <si>
    <t xml:space="preserve">9.2LPA including variable </t>
  </si>
  <si>
    <t xml:space="preserve">Currently serving till 20 Aug - service based company - Friday after 8:30pm </t>
  </si>
  <si>
    <t>Kiran Mahadev Indalkar</t>
  </si>
  <si>
    <t>7776004341  </t>
  </si>
  <si>
    <t>kiranindalkar44@gmail.com</t>
  </si>
  <si>
    <t>Rexaware solution Pvt.Ltd </t>
  </si>
  <si>
    <t>Harshid Soni</t>
  </si>
  <si>
    <t>+91 9173762851</t>
  </si>
  <si>
    <t>harshidsoni2396@gmail.com</t>
  </si>
  <si>
    <t xml:space="preserve">Senior Engineer - Firmware Engineering </t>
  </si>
  <si>
    <t> Wipro Limited</t>
  </si>
  <si>
    <t>Devendra Kumar Mishra</t>
  </si>
  <si>
    <t>imdevendra258@gmail.com</t>
  </si>
  <si>
    <t>Magna Vehicle Engineering India Pvt. Ltd</t>
  </si>
  <si>
    <t>Surekha Murlidhar Ubale</t>
  </si>
  <si>
    <t>subale255@gmail.com</t>
  </si>
  <si>
    <t>Amdocs </t>
  </si>
  <si>
    <t>17.50LPA</t>
  </si>
  <si>
    <t>PRABAL VARSHNEY</t>
  </si>
  <si>
    <t>prabalvarshney@gmail.com</t>
  </si>
  <si>
    <t>Sushant Tanaji Indalkar</t>
  </si>
  <si>
    <t>sushant.indalkar482@gmail.com</t>
  </si>
  <si>
    <t>Siemens Technology And Servi</t>
  </si>
  <si>
    <t>1Month - Neg</t>
  </si>
  <si>
    <t>Gaurav Jaiswal</t>
  </si>
  <si>
    <t>gauravjaiswal77@gmail.com</t>
  </si>
  <si>
    <t>Trio Motion india</t>
  </si>
  <si>
    <t>22.50LPA</t>
  </si>
  <si>
    <t>28LPA- Neg</t>
  </si>
  <si>
    <t>Reshma Baban kharat</t>
  </si>
  <si>
    <t>reshma.kharat19@gmail.com</t>
  </si>
  <si>
    <t>Agiliad technology</t>
  </si>
  <si>
    <t>8.11LPA</t>
  </si>
  <si>
    <t xml:space="preserve">2Months - Neg </t>
  </si>
  <si>
    <t>Vishwanath Anilkumar Jadhav</t>
  </si>
  <si>
    <t>jvishwanath66@gmail.com</t>
  </si>
  <si>
    <t>13yrs</t>
  </si>
  <si>
    <t>Protegrity</t>
  </si>
  <si>
    <t>Ruchita Ambre</t>
  </si>
  <si>
    <t>ruchitaa24@gmail.com</t>
  </si>
  <si>
    <t>14yrs</t>
  </si>
  <si>
    <t>Technosoft Engineering </t>
  </si>
  <si>
    <t>Sayli Hisvankar</t>
  </si>
  <si>
    <t xml:space="preserve">hisvankar.say@gmail.com </t>
  </si>
  <si>
    <t>Synechron</t>
  </si>
  <si>
    <t>28LPA- NEg</t>
  </si>
  <si>
    <t>Viharika D. Patel</t>
  </si>
  <si>
    <t xml:space="preserve">viharika_ec@yahoo.co.in </t>
  </si>
  <si>
    <t>21LPA</t>
  </si>
  <si>
    <t>Bengaluru </t>
  </si>
  <si>
    <t>SATISH SHARMA</t>
  </si>
  <si>
    <t xml:space="preserve"> satishsharma31096@gmail.com</t>
  </si>
  <si>
    <t>L&amp;T Technology Service Limited</t>
  </si>
  <si>
    <t>New Delhi</t>
  </si>
  <si>
    <t>ALEENA JOSE K</t>
  </si>
  <si>
    <t>aleenajosek4@gmail.com</t>
  </si>
  <si>
    <t>VVDN TECHNOLOGIES PVT LTD</t>
  </si>
  <si>
    <t>Abhijit Ratan Kashid</t>
  </si>
  <si>
    <t>9075500312 / 9148262015</t>
  </si>
  <si>
    <t>abhijitkashid25@gmail.com</t>
  </si>
  <si>
    <t>Amit Suhas Chavan</t>
  </si>
  <si>
    <t>+91 9769092658 / +91 7977160312</t>
  </si>
  <si>
    <t>amitchavan462002@gmail.com</t>
  </si>
  <si>
    <t>Magna Steyr India Pvt Ltd</t>
  </si>
  <si>
    <t>23.60LPA</t>
  </si>
  <si>
    <t>S.No</t>
  </si>
  <si>
    <t xml:space="preserve">Current Stage </t>
  </si>
  <si>
    <t>Position Title</t>
  </si>
  <si>
    <t>Skills</t>
  </si>
  <si>
    <t>BU</t>
  </si>
  <si>
    <t>Source of Hire</t>
  </si>
  <si>
    <t>ORC Open Date</t>
  </si>
  <si>
    <t>Track Level</t>
  </si>
  <si>
    <t>Hold Date 1</t>
  </si>
  <si>
    <t>Hold Date 2</t>
  </si>
  <si>
    <t>Hold Date 3</t>
  </si>
  <si>
    <t>Re - Open Date 1</t>
  </si>
  <si>
    <t>Re - Open Date 2</t>
  </si>
  <si>
    <t>Re - Open Date 3</t>
  </si>
  <si>
    <t>Years of Experience</t>
  </si>
  <si>
    <t>Min Salary</t>
  </si>
  <si>
    <t>Max Salary</t>
  </si>
  <si>
    <t>Job Location</t>
  </si>
  <si>
    <t>Remarks</t>
  </si>
  <si>
    <t>Total CV</t>
  </si>
  <si>
    <t>Active CV</t>
  </si>
  <si>
    <t>Diversity CV</t>
  </si>
  <si>
    <t>Contact Number</t>
  </si>
  <si>
    <t>Email Address</t>
  </si>
  <si>
    <t>RSLA</t>
  </si>
  <si>
    <t>Ageing</t>
  </si>
  <si>
    <t>Bucket</t>
  </si>
  <si>
    <t>TTO</t>
  </si>
  <si>
    <t>TTH</t>
  </si>
  <si>
    <t>FTR%</t>
  </si>
  <si>
    <t>Diversity of Supply Female</t>
  </si>
  <si>
    <t>Diversity of Supply Male</t>
  </si>
  <si>
    <t>Hit Ratio</t>
  </si>
  <si>
    <t>Intake Month</t>
  </si>
  <si>
    <t>Selection Month</t>
  </si>
  <si>
    <t>Offer Month</t>
  </si>
  <si>
    <t>Joining Month</t>
  </si>
  <si>
    <t>Cancelled</t>
  </si>
  <si>
    <t>FEM</t>
  </si>
  <si>
    <t>AmitKumar</t>
  </si>
  <si>
    <t>T8</t>
  </si>
  <si>
    <t>Updated as on 21 Feb 25- 1 F2f interview scheduled, 1 L1 interview scheduled Update as on 8th Feb- 3 L1 interview are scheduled 11th, 12th and 14 feb</t>
  </si>
  <si>
    <t>CAM</t>
  </si>
  <si>
    <t>Hemantkumar shinde</t>
  </si>
  <si>
    <t>Update on 13th feb- Offer declined pooja sawant,  Update as on 21st Feb 3 profiles shared for shortlisting</t>
  </si>
  <si>
    <t>T10</t>
  </si>
  <si>
    <t>Komal has backout - CTC Compensation .
Update as on 8th Feb: Komal Dhumal  comp breakup to be sent to HM on 8thFeb</t>
  </si>
  <si>
    <t>Hold</t>
  </si>
  <si>
    <t>23-June-25: Position on hold
18-June-25: 1 candidates Final interview done - F/b pending , 3 cvs shared with HM feedback pending - 11 june.
17-June-25 : 1 candidates Final interview done - F/b pending , 3 cvs shared with HM feedback pending - 11 june.
9-Jun-25: 3 L1 Interviews scheduled, 4 profiles shared for shortlisting awaiting on 27th May 25 for feedback
2-May-25: 2 candidates Test to be schedule , 1 candidates L2 to be schedule (Vinayak)
12th April 25: 2 L1 interview feedback is pending since 8th April 25, 1 L1 interview scheduled on 14th April 25
7th April 25: 2 L1 interviews scheduled
Update on 8th feb- 1 candidate on hold, Update as on 21st Feb 3 profiles shared for shortlisting</t>
  </si>
  <si>
    <t>Update on 8th feb- 2 L1 interviews scheduled on 12 Feb 14th feb 21st Feb 25 Rutvik P final satge</t>
  </si>
  <si>
    <t>Sr. Engineer Technical Publications XI: Lead Writer</t>
  </si>
  <si>
    <t>T11</t>
  </si>
  <si>
    <t>23-June-25: Position on hold
18-June- 25: Test interview feedback pending , 3 cvs shared with HM on 11th June - Feedback is pending . Position is on HOLD in ORC.
17-June-25 : Test interview feedback pending , 3 cvs shared with HM on 11th June - Feedback is pending . Position is on HOLD in ORC.
7th April 25: 1 LOB interview scheduled
Update on 8th feb- 1 Final interview feedback is awaiting, 2 L3 interview scheduled Update as on 21 Feb 25 Nigar shaikh rehired case</t>
  </si>
  <si>
    <t>Nigar Shaikh</t>
  </si>
  <si>
    <t>nigarshaikh89@gmail.com</t>
  </si>
  <si>
    <t>Adobe after Effect</t>
  </si>
  <si>
    <t>Update as on 8th feb: 2 L1 interviews  scheduled on 11 feb and 13 Feb , 1 candidate on hold Update as on 21st Feb 25</t>
  </si>
  <si>
    <t>Update as on 8th Feb:I shaan Deshpande Offer revovked Update as on 21st Feb 5 L1 interviews scheduled</t>
  </si>
  <si>
    <t>Sr Test Engineer</t>
  </si>
  <si>
    <t>HIL</t>
  </si>
  <si>
    <t>Update as on 21st Feb 25- Position cancelled in the sys</t>
  </si>
  <si>
    <t>Lucian</t>
  </si>
  <si>
    <t>21st April 25: 3 L1 interviews scheduled
12th April: 3 Profiles shared for shortlisting feedback awaited from 9th April
7th April 25: 5 profiles shared for shortlisting
28th Feb 25: 1 candidate scheduled 28th Feb 252 candidates L1 scheduled 3rd and 4th March
21st Feb 25- 3 L1 interviews scheidledUpdate as on 8th Feb 25Abhishek J Offer Declined, Satyjeet Pardeshi TBO Update as on 21st Feb 3 L1 scheduled, 2 L1 to be scheduled</t>
  </si>
  <si>
    <t>21st April 25: 2 L1 interviews scheduled
12th April 25: 2  L1 feedback is pending  2 L1 interviews scheduled
7th April 25: 2 L1 interviews scheduled, 2 L1 interview feedback pending
28-Feb-25: L1 interview to be schedule 4 and 5 March .
8th Feb- 2 L1 interview to be scheduled, Update as on 21st Feb 25 3 L1 interviews scheduled</t>
  </si>
  <si>
    <t>Revit, Load Calculations</t>
  </si>
  <si>
    <t>7th April 25: 1 LOB interview TBS, 1 L1 interview scheduled
Update as on 8th Feb-   3 L1 to be scheduled Update as on 21st Feb 25-1 F2f scheduled</t>
  </si>
  <si>
    <t>Utkarsh Patil</t>
  </si>
  <si>
    <t>CAM, DAM</t>
  </si>
  <si>
    <t>Update as on 8th Feb: Siddheshwar Patil comp &lt;80% Uodate as on 21st Feb Siddheshwar Patil Offer accepted</t>
  </si>
  <si>
    <t>Engineer I Technical Publications IX</t>
  </si>
  <si>
    <t>Update as on 8th Feb: comp approval shared with HM on 7th Feb, approval awaited Update as on 21st Feb: Raja Kumar yadav offered</t>
  </si>
  <si>
    <t>Raja Kumar Yadhav</t>
  </si>
  <si>
    <t>Manager Materials and Manufacturing Planning</t>
  </si>
  <si>
    <t>PPC</t>
  </si>
  <si>
    <t>M2</t>
  </si>
  <si>
    <t>Update on 8th feb-2 Interviews scheduled, 3 profiles shared for shortlisting Update as on 21st Feb 1 final interview is scheduled</t>
  </si>
  <si>
    <t>Yogesh S</t>
  </si>
  <si>
    <t>Priyanka Gupta</t>
  </si>
  <si>
    <t>8793916009</t>
  </si>
  <si>
    <t>Sr. Engineer - Full Stack Developer</t>
  </si>
  <si>
    <t>Dot Net</t>
  </si>
  <si>
    <t>Vaibhav T</t>
  </si>
  <si>
    <t>T12</t>
  </si>
  <si>
    <t>8421691758</t>
  </si>
  <si>
    <t xml:space="preserve">Sr. Engineer Firmware </t>
  </si>
  <si>
    <t>28-Feb-25: 2 candidates L2 rejected  , 1 candidate L2 schedule on 3 March .
27 Feb - 3 L2 Scheduled</t>
  </si>
  <si>
    <t xml:space="preserve">Engineer Firmware </t>
  </si>
  <si>
    <t>T9</t>
  </si>
  <si>
    <t>9823065456</t>
  </si>
  <si>
    <t>sarangdondal123@gmail.com</t>
  </si>
  <si>
    <t>PCB Design</t>
  </si>
  <si>
    <t>7989696428</t>
  </si>
  <si>
    <t>Engineer - Full Stack Developer</t>
  </si>
  <si>
    <t>ASP.NET</t>
  </si>
  <si>
    <t>Rutuja Nafade</t>
  </si>
  <si>
    <t>7378871101</t>
  </si>
  <si>
    <t>rutujadnaphade@gmail.com</t>
  </si>
  <si>
    <t>Engineer - Angular</t>
  </si>
  <si>
    <t>Full Stack/ Angular</t>
  </si>
  <si>
    <t>9850569538</t>
  </si>
  <si>
    <t>Full Stack</t>
  </si>
  <si>
    <t>Tejaswini Chikhale</t>
  </si>
  <si>
    <t>8668520481</t>
  </si>
  <si>
    <t>Electrical</t>
  </si>
  <si>
    <t xml:space="preserve">SP UPS </t>
  </si>
  <si>
    <t>Dipak G</t>
  </si>
  <si>
    <t>8097756156</t>
  </si>
  <si>
    <t>Sr Firmware Engineer</t>
  </si>
  <si>
    <t>ITS</t>
  </si>
  <si>
    <t>Sameer U</t>
  </si>
  <si>
    <t>T14</t>
  </si>
  <si>
    <t>9096115118</t>
  </si>
  <si>
    <t>Associate Engineer - Firmware</t>
  </si>
  <si>
    <t>Trupti malekar</t>
  </si>
  <si>
    <t>7767934337</t>
  </si>
  <si>
    <t>Engineer - Electrical</t>
  </si>
  <si>
    <t>T13</t>
  </si>
  <si>
    <t>7709985010</t>
  </si>
  <si>
    <t>KVM</t>
  </si>
  <si>
    <t>7875200079</t>
  </si>
  <si>
    <t>8238422816</t>
  </si>
  <si>
    <t>Principal Eng - Java</t>
  </si>
  <si>
    <t>Java</t>
  </si>
  <si>
    <t>Global Monitoring Solutions</t>
  </si>
  <si>
    <t>21 Feb - Cancelled on 21st Feb by Business</t>
  </si>
  <si>
    <t>8097346716</t>
  </si>
  <si>
    <t>9960004432</t>
  </si>
  <si>
    <t>Application Support</t>
  </si>
  <si>
    <t>Selection - Mayuri Jadhav</t>
  </si>
  <si>
    <t>8378024668</t>
  </si>
  <si>
    <t>mayuri.wid2800@gmail.com</t>
  </si>
  <si>
    <t>850000</t>
  </si>
  <si>
    <t>Mahendra Pitamber Kolambe - Offer Decline. Position was under Sanjana, Transferred to Rushabh on 20-Feb-25</t>
  </si>
  <si>
    <t>Mahendra Pitamber Kolambe</t>
  </si>
  <si>
    <t>9096041070</t>
  </si>
  <si>
    <t>Sr. Engineer - Electrical Design</t>
  </si>
  <si>
    <t>IMS Design</t>
  </si>
  <si>
    <t>7030678844</t>
  </si>
  <si>
    <t>M1</t>
  </si>
  <si>
    <t>Selection - Pritam Kadlag</t>
  </si>
  <si>
    <t>Pritam Kadlag</t>
  </si>
  <si>
    <t>8390373904</t>
  </si>
  <si>
    <t>pritamkadlag@gmail.com</t>
  </si>
  <si>
    <t>8605172315</t>
  </si>
  <si>
    <t>bhands.d@gmail.com</t>
  </si>
  <si>
    <t>MEPF</t>
  </si>
  <si>
    <t>BIM</t>
  </si>
  <si>
    <t>9975965098</t>
  </si>
  <si>
    <t>Nikita Taklikar</t>
  </si>
  <si>
    <t>8552882800</t>
  </si>
  <si>
    <t>nikitatakalikar94@gmail.com</t>
  </si>
  <si>
    <t>Offer decline - Vyankatesh Manwade Decline date - 17 March</t>
  </si>
  <si>
    <t>Vyankatesh Manwade</t>
  </si>
  <si>
    <t>7057700769</t>
  </si>
  <si>
    <t>Pricipal Eng - Electrical</t>
  </si>
  <si>
    <t>3 Mar- Selection: Naveenkumar Marati</t>
  </si>
  <si>
    <t>Naveenkumar Marati</t>
  </si>
  <si>
    <t xml:space="preserve"> 18-Mar-25</t>
  </si>
  <si>
    <t>Mechanical</t>
  </si>
  <si>
    <t>RPDU</t>
  </si>
  <si>
    <t>Selection - Jafer Babude</t>
  </si>
  <si>
    <t>Jafer Babude</t>
  </si>
  <si>
    <t>9130420354</t>
  </si>
  <si>
    <t>jaferbabude54@gmail.com</t>
  </si>
  <si>
    <t>1650000</t>
  </si>
  <si>
    <t>Selection - Ronak Kadam</t>
  </si>
  <si>
    <t>1850000</t>
  </si>
  <si>
    <t>Selection - Nishant Singh</t>
  </si>
  <si>
    <t>7000553986</t>
  </si>
  <si>
    <t>1800000</t>
  </si>
  <si>
    <t>Sr. Test Engineer</t>
  </si>
  <si>
    <t>Selection - Atul Mhaske</t>
  </si>
  <si>
    <t>1250000</t>
  </si>
  <si>
    <t>Associate Engineer - Structural</t>
  </si>
  <si>
    <t>Reliability</t>
  </si>
  <si>
    <t>Dasa K</t>
  </si>
  <si>
    <t>Selection - Rohit Kamble</t>
  </si>
  <si>
    <t>820000</t>
  </si>
  <si>
    <t>Selection - Mohseen Momin</t>
  </si>
  <si>
    <t>Mohseen Momin</t>
  </si>
  <si>
    <t>1100000</t>
  </si>
  <si>
    <t>Sr. Engineer - Structural</t>
  </si>
  <si>
    <t>Selection - Mohammed Sohail Shaikh</t>
  </si>
  <si>
    <t>Mohammed Sohail Shaikh</t>
  </si>
  <si>
    <t>1300000</t>
  </si>
  <si>
    <t>Selection - Madivallaya K</t>
  </si>
  <si>
    <t>9503192369</t>
  </si>
  <si>
    <t>Electrical Testing</t>
  </si>
  <si>
    <t>Sr. Engineer Automation Testing</t>
  </si>
  <si>
    <t>Firmware - Testing</t>
  </si>
  <si>
    <t>Update as on 21st Feb 25 internal ref selected</t>
  </si>
  <si>
    <t>Production Supervisor DC Power</t>
  </si>
  <si>
    <t>Production Engineer</t>
  </si>
  <si>
    <t>Luthra, Vikas</t>
  </si>
  <si>
    <t>Update as on 21st Feb 25 On Hold</t>
  </si>
  <si>
    <t>Testing Engineer DC Power</t>
  </si>
  <si>
    <t>Testing</t>
  </si>
  <si>
    <t>ME + IE DC Power</t>
  </si>
  <si>
    <t>Manufacturing Engineer</t>
  </si>
  <si>
    <t>Purchase DC Power</t>
  </si>
  <si>
    <t>Purchase</t>
  </si>
  <si>
    <t>Dange, Nandkumar</t>
  </si>
  <si>
    <t>1 L1 Feedback awaited | 3 CV's Shared feedback awaited</t>
  </si>
  <si>
    <t>Materials and Manufacturing Planning Senior Analyst</t>
  </si>
  <si>
    <t>Production Planning</t>
  </si>
  <si>
    <t>Engineer I Test Engineering IX</t>
  </si>
  <si>
    <t xml:space="preserve">Pravin Vaishampayan, </t>
  </si>
  <si>
    <t>Update as on 21st Feb 25 Cancelled</t>
  </si>
  <si>
    <t>Smarnika Kalaskar-Offer Accepted-27/01/2025</t>
  </si>
  <si>
    <t>Smarnika Kalaskar</t>
  </si>
  <si>
    <t>Smarnika.p@gmail.com</t>
  </si>
  <si>
    <t>NPDI</t>
  </si>
  <si>
    <t>Update as on 21st Feb 25 Hemant is Rehire Case. Offer accepted- DOJ 12-2-2024</t>
  </si>
  <si>
    <t>Hemant Pareek</t>
  </si>
  <si>
    <t>Senior Engineer Planning</t>
  </si>
  <si>
    <t>Planning</t>
  </si>
  <si>
    <t xml:space="preserve"> Update as on 21st Feb 25 Rameshwar fitment approval pending from HRBP, Offe declined</t>
  </si>
  <si>
    <t>Rameshwar Jadhav</t>
  </si>
  <si>
    <t>rameshware3035@gmail.com</t>
  </si>
  <si>
    <t>Manager Quality</t>
  </si>
  <si>
    <t>Quality</t>
  </si>
  <si>
    <t>Pawar, Ramesh</t>
  </si>
  <si>
    <t>Update as on 21st Feb 25 joined</t>
  </si>
  <si>
    <t>Ashish Deshmukh</t>
  </si>
  <si>
    <t>Supervisor Production</t>
  </si>
  <si>
    <t>Production</t>
  </si>
  <si>
    <t>Pawar, Ravindra</t>
  </si>
  <si>
    <t>Update as on 21st Feb 25 Hold by HM</t>
  </si>
  <si>
    <t>BA</t>
  </si>
  <si>
    <t>Williams Brian</t>
  </si>
  <si>
    <t>Update as on 21st Feb 25 Sumit Jadhav joined</t>
  </si>
  <si>
    <t>sumit.jadhav01@gmail.com</t>
  </si>
  <si>
    <t>Sr. Engineer Firmware  C++</t>
  </si>
  <si>
    <t>Update as on 21st Feb- Cancelled today
Update as on 8th Feb- 2 L1 scheduled</t>
  </si>
  <si>
    <t>Update as on 21st Feb- Cancelled today
Update as on 8th Feb More CVs to share, Jino Abraham- offer declined, DOJ-20th Jan</t>
  </si>
  <si>
    <t>Offer accepted, DOJ- 14th Apr
28-Feb-25 : 1 candidates L1 interview scheduled on 3rd - March.
21st Feb- 3 Behavioural rounds feedback awaited, 
8th Feb- 1 L2 FBA, 1 L1 TBS, Rohit Jadhav Offer rejected by Janine, Reopened, Chinmay Rojindar offer declined, Karthik V Joined-15th May 24, resigned due to work load</t>
  </si>
  <si>
    <t>Pavan Werulkar</t>
  </si>
  <si>
    <t>Pawanwerulkar95@gmail.com</t>
  </si>
  <si>
    <t>Assistant Manager - Platform</t>
  </si>
  <si>
    <t>M01</t>
  </si>
  <si>
    <t>Update as on 21st Feb- Cancelled today
Update as on 8th Feb- 1 final review call pending, 3 L1 in pipeline for 11th Feb, Ashish Jadhav offer decline- 11th Nov doj, 1 test shared with candidate Final stage</t>
  </si>
  <si>
    <t>Sr. Eng - Automation</t>
  </si>
  <si>
    <t>Python</t>
  </si>
  <si>
    <t>Srikumar Neriyanuri / Abhijit Deshmukh</t>
  </si>
  <si>
    <t>22-July 24: 1 final f2f in scheduled. 1 L1 TBS, Need to add more profiles
21-July-24 : 2 Candidates Interview scheduled ths week
15-07-2025: 2 L1 Interviews scheduled, 1 L1 Interview feedback is pending, 1 Interview to be sheduled
01-July-2025: 3 L1 interviews scheduled, 4 profiles shared for shortlisting on 30th June 2025
23-June-25: 1 interview scheduled, 3 cvs shared with HM - F/B pending ,
18-June-25:7 cvs shared with HM - F/B pending - If we not get the feedback will suspended the position today 
17-June-25: 7 cvs shared with HM - F/B pending 
Offer accepted, DOJ- 7th Apr
 28-Feb-25 : 1candidates L2 done on 24th Feb and 2  candidates L2 done on 17 &amp; 18 Feb , Feedback pending from HM side .
21st Feb-2 L2 FBA, 1 L2 scheduled
8th Feb- 1 L1 scheduled, 1 to be scheduled, more CVs to be shared</t>
  </si>
  <si>
    <t>Ritesh Khatakalle</t>
  </si>
  <si>
    <t>22-July-24: 4 L1 interviews feedback pending, 3 L1 interviews scheduled
15-July-2025: 2 L1 Interviews scheduled, 3 profiles to be shared
1-July-2025: 3 profiles shared for shortlisting on 27th June 2025
23-June-25: 3 L1 interview lined up, 1 L1 interview  profiles shared for shortlisting
18-June- 25: 4 candidates interview schedule - L1.
17-June: 1 candidate interview schedule , 4 yet to be schedule 
17- June -25 : 1 candidate interview schedule , 4 candidates yet to be schedule .
2-May-25: 2cvs shared on 24th April - F/A .
24-April-25: 3 candidates L1 rejected , 2 cvs shared on 24-April -25 F/A
22- April- 3 candidates yet to be schedule .
12-April-24: 3 Profiles shared on 11-April with HM - feedback pending 
21-Mar-25: 3 L1 scheduled with HM 
17-Mar-25:  1 candidates inertivew schedule on 18-Mar , 2 candidates L1 Scheduled 19-Mar.
15-Mar-25: 2candidates  interview schedule - 1 candidates L1 rejected , 2 candidates to be reschedule .
11th Mar 25: 3 L1 To be schedule
28-Feb-25: 1 candidate L1 interview done on 24-Feb - feedback awaited. need to share more cvs .
21st Feb-1 F2F scheduled
8th Feb- 2 L1 scheduled</t>
  </si>
  <si>
    <t>Sr. Firmware Eng CICD</t>
  </si>
  <si>
    <t>CICD</t>
  </si>
  <si>
    <t>17-Mar-25:  6 profiles feedback awaited - reminder mail send to HM on 17-Mar . 
11th- Mar25: 5th - March 6 profiles shared - Feedback awaited .</t>
  </si>
  <si>
    <t>Jaypal Reddy</t>
  </si>
  <si>
    <t>jaipalreddy6040@gmail.com</t>
  </si>
  <si>
    <t>Srikumar</t>
  </si>
  <si>
    <t>22-July 25: 2 L1 interviews scheduled, 1 L1 interview TBS
30-June-25: 3 cvs shared HM feedback pending
23-June-25: 3 cvs shared with HM  - Feedback pending .
18-June-25 : will do live sourcing today .
17-June- 25 : 3 cvs shared with HM - Feedback pending .
2-May-25: 1 candidate rejected - Geetanjali , 1 more candidate schedule today at 7PM - Arun .
24-April-25: 1 candidate interview schedule on Monday - 28th-April-25
22-April - 1 final select -2 candidates schedule on 22- April and 23 April 
11-April- 2cvs shared for backup - Feedback pending.
9th- April : F2F schedule with Mahesh J - Feedback pending .
21-Mar-25: 3 L1 scheduled with HM
17-Mar-25: 5cvs shared with HM on 14-March , 4 L1 scheduled, 1 TBS
11th Mar 25: 4 CVs shared 10th Mar, FBA
Update as on 21st Feb-  Kept on hold as manager not providing availability for Interviews
3 L1 interviews are scheduled, 1 selected-Pravin Virkud</t>
  </si>
  <si>
    <t>Maheshn J</t>
  </si>
  <si>
    <t>Sr. Software Engineer - Engineer II Software Engineering X</t>
  </si>
  <si>
    <t>C++</t>
  </si>
  <si>
    <t>Ajit Gupta</t>
  </si>
  <si>
    <t>21st April 25: 1 final interview is scheduled, 2 L1 interviews scheduled, 3 profiles shared for shortlisting
12th- April : 2cvs yet to be shared by 14th-April.
9th-April: 2 candidates L1 schedule , Jd  changed from HM side .
21-Mar-25: 2 L1 to be reschedule
17-Mar-25: 13-March - Jd / Skills sets changed - 3 profiles share with HM on 13-Mar , 2 cnadidates L1 to be schedule on 18 and 19 Mar. 
11th Mar 25: 4 L1 To be schedule
28-Feb 25: 2 L1 interviews done on 24th and 25th Feb 25, awaiting for feedback, 1 L1 TBS21st Feb- 2 L1 scheduled with HM, 1 L1 rejected yesterday
Update as on 8th Feb- 2 L1 to be scheduled, 1 rehire case pending with HRBP</t>
  </si>
  <si>
    <t>Principal Engineer Firmware Engineering XIII</t>
  </si>
  <si>
    <t>Embedded C</t>
  </si>
  <si>
    <t>Rajkumar Isapure</t>
  </si>
  <si>
    <t>Update as on 21st Feb- Cancelled today
Update as on 8th Feb- 1 L1 done, 3 CV to be shared 8th feb</t>
  </si>
  <si>
    <t>Offer accepted, DOJ- 12th May</t>
  </si>
  <si>
    <t>Eshwar Jorvekar</t>
  </si>
  <si>
    <t>Mechanical Eng Creo</t>
  </si>
  <si>
    <t>Solidworks</t>
  </si>
  <si>
    <t>Ajim Vantmuri</t>
  </si>
  <si>
    <t>T7</t>
  </si>
  <si>
    <t>Offer accepted, DOJ- 31st Mar</t>
  </si>
  <si>
    <t>Engineer- CFD</t>
  </si>
  <si>
    <t>CFD</t>
  </si>
  <si>
    <t>Offer accepted, DOJ- 10th Mar</t>
  </si>
  <si>
    <t>Dnayanesh Mirikar</t>
  </si>
  <si>
    <t>Sr Engineer - Firmware SP UPS</t>
  </si>
  <si>
    <t>Offer accepted, DOJ- 7th Apr</t>
  </si>
  <si>
    <t>Srinivas N</t>
  </si>
  <si>
    <t>Offer accepted, DOJ- 28th Apr</t>
  </si>
  <si>
    <t>Hardware</t>
  </si>
  <si>
    <t>FEA</t>
  </si>
  <si>
    <t>shubham.dalavi@vertivco.com</t>
  </si>
  <si>
    <t xml:space="preserve">dhuriyajoteshdj@gmail.com
</t>
  </si>
  <si>
    <t xml:space="preserve"> vinodpatil.5236@gmail.com </t>
  </si>
  <si>
    <t>Avinash Gulabrao Patil</t>
  </si>
  <si>
    <t>patiavinash223@gmail.com</t>
  </si>
  <si>
    <t>9657766648 (M)</t>
  </si>
  <si>
    <t>.net</t>
  </si>
  <si>
    <t>Amitkumar</t>
  </si>
  <si>
    <t xml:space="preserve"> 29-Jul-24</t>
  </si>
  <si>
    <t>Software</t>
  </si>
  <si>
    <t>kedar.joshi@vertivco.com</t>
  </si>
  <si>
    <t>TG44</t>
  </si>
  <si>
    <t>UI</t>
  </si>
  <si>
    <t>Tech Publication</t>
  </si>
  <si>
    <t>DSP</t>
  </si>
  <si>
    <t>Not yet open in ORC, but work is going on</t>
  </si>
  <si>
    <t>Java+Angular Framework</t>
  </si>
  <si>
    <t>7th April 25: 2 LOB Test feedback is pending, 4 L1 interview scheduled</t>
  </si>
  <si>
    <t>Sonu Agarwal</t>
  </si>
  <si>
    <t>sonuagrawal3323@gmail.com</t>
  </si>
  <si>
    <t>CPQ</t>
  </si>
  <si>
    <t>T09</t>
  </si>
  <si>
    <t>Vishwakarma1234@gmail.com</t>
  </si>
  <si>
    <t>Software Engineering</t>
  </si>
  <si>
    <t>kartik.gadag23@gmail.com</t>
  </si>
  <si>
    <t>shivayr1234@gmail.com</t>
  </si>
  <si>
    <t>22-April - 4 candidates test is pending , need to share more cvs 
12th-April: 3cvs yet to share on 14th April.
9th-April: 2 candidates L1 schedule on 14th nad 15th , 4 candidates appear for JAVA Test .
27-March - 25: 3cvs shared on 26th-MArch-25 feedback pending from HM.
28-Feb 25- 5 profiles shared for shortlisting on 25th Feb 25, Reminder sent on 27th Feb 25
21 Feb - 5 Test Scheduled.</t>
  </si>
  <si>
    <t>1st March- Shraddha Parkale Back out, 1 L1 scheduled, few more CVs to be shared</t>
  </si>
  <si>
    <t>Shraddha Parkale</t>
  </si>
  <si>
    <t>Smrnika P-Offer Declined/ Abhishek Baglane DOJ: 24th March 25</t>
  </si>
  <si>
    <t>17-Mar-25: 2 candidates L1 interview feedback awaited - 15- Mar-25.
11th Mar 25: 3 L1 To be schedule
Offer drop candidate- Shraddha Parkale</t>
  </si>
  <si>
    <t>25-10-202</t>
  </si>
  <si>
    <t>T08</t>
  </si>
  <si>
    <t>Terminated</t>
  </si>
  <si>
    <t>Lead Engineer CFD</t>
  </si>
  <si>
    <t>Budget issue</t>
  </si>
  <si>
    <t>Karthiyogan K</t>
  </si>
  <si>
    <t>DSP Firmware</t>
  </si>
  <si>
    <t>Retained by current company</t>
  </si>
  <si>
    <t>Siddhartho Chaudhuri</t>
  </si>
  <si>
    <t>Sr Full Stack Developer</t>
  </si>
  <si>
    <t>Fullstack</t>
  </si>
  <si>
    <t>Ragini Singh</t>
  </si>
  <si>
    <t>Sr. Engineer - ASP.NET</t>
  </si>
  <si>
    <t>.Net</t>
  </si>
  <si>
    <t>Accepted other offer</t>
  </si>
  <si>
    <t>Ganesh Waghmode</t>
  </si>
  <si>
    <t>Mendix Developement</t>
  </si>
  <si>
    <t>Atul Kulkarni</t>
  </si>
  <si>
    <t>Better opportunity</t>
  </si>
  <si>
    <t>Kulkarniatul18@gmail.com</t>
  </si>
  <si>
    <t>Ashish Sai Jonnalagadda</t>
  </si>
  <si>
    <t>Surbhi Srivastive</t>
  </si>
  <si>
    <t>Surbhistar@gmail.com</t>
  </si>
  <si>
    <t>Test Lead Eng</t>
  </si>
  <si>
    <t>Firmware Testing</t>
  </si>
  <si>
    <t>20-05-2024</t>
  </si>
  <si>
    <t>Sanika Hadge</t>
  </si>
  <si>
    <t>Sr. Software Engineer Angular</t>
  </si>
  <si>
    <t>Angular</t>
  </si>
  <si>
    <t>Nikhil Zambare</t>
  </si>
  <si>
    <t>Sr. Software Engineer ASP.NET</t>
  </si>
  <si>
    <t>Hariom Varma</t>
  </si>
  <si>
    <t>Deputy Manager - ASP.NET</t>
  </si>
  <si>
    <t>Swapnil Nirhali</t>
  </si>
  <si>
    <t>Hari Praneet</t>
  </si>
  <si>
    <t>Sr Engineer - PCB Design</t>
  </si>
  <si>
    <t>Sanjog Rajput</t>
  </si>
  <si>
    <t>Kiran Malshikhare</t>
  </si>
  <si>
    <t>Assistant Manager Java</t>
  </si>
  <si>
    <t>Nitin kudale</t>
  </si>
  <si>
    <t>25-06-2024</t>
  </si>
  <si>
    <t>Sr Engineer Firmware</t>
  </si>
  <si>
    <t>Shraddha Swami</t>
  </si>
  <si>
    <t>27-05-2024</t>
  </si>
  <si>
    <t>Manisha Bharad</t>
  </si>
  <si>
    <t>Sr. engineer Automation</t>
  </si>
  <si>
    <t>Automation Testing</t>
  </si>
  <si>
    <t>Accepted Other Offer</t>
  </si>
  <si>
    <t>Ankit Mistri</t>
  </si>
  <si>
    <t>8359917534_x000D_</t>
  </si>
  <si>
    <t>ankitmistri34@gmail.com</t>
  </si>
  <si>
    <t>Platform Developer</t>
  </si>
  <si>
    <t>17-06-2024</t>
  </si>
  <si>
    <t>Akash Miskar</t>
  </si>
  <si>
    <t>26-08-2024</t>
  </si>
  <si>
    <t>Madhuri Kathawate</t>
  </si>
  <si>
    <t>23-08-2024</t>
  </si>
  <si>
    <t>Platform AM</t>
  </si>
  <si>
    <t>20-08-2024</t>
  </si>
  <si>
    <t>Ashish Patil</t>
  </si>
  <si>
    <t>Sr Engineer - Angular</t>
  </si>
  <si>
    <t>Hybrid Work Model</t>
  </si>
  <si>
    <t>Kanchan Chungade</t>
  </si>
  <si>
    <t>Firmware Test Engineer</t>
  </si>
  <si>
    <t>Chinmay Rojindar</t>
  </si>
  <si>
    <t>Swapnil Kesare</t>
  </si>
  <si>
    <t>Hardware Testing</t>
  </si>
  <si>
    <t>Pravin</t>
  </si>
  <si>
    <t>Snehal Pauskar</t>
  </si>
  <si>
    <t>snehal.pauskar@gmail.com</t>
  </si>
  <si>
    <t>TG53</t>
  </si>
  <si>
    <t>Tushar Swain</t>
  </si>
  <si>
    <t>Sr. Java Developer</t>
  </si>
  <si>
    <t>Prateek Pandey</t>
  </si>
  <si>
    <t>Low Code Apps Developer</t>
  </si>
  <si>
    <t>Vlase, Lucian</t>
  </si>
  <si>
    <t>jakhotiaabhi2121@gmail.com</t>
  </si>
  <si>
    <t>Sr Engineer</t>
  </si>
  <si>
    <t>JAVA</t>
  </si>
  <si>
    <t>vishnu.panchal11999@gmail.com</t>
  </si>
  <si>
    <t>Shubhangi</t>
  </si>
  <si>
    <t>Naukri</t>
  </si>
  <si>
    <t>Neeta Patil</t>
  </si>
  <si>
    <t>Sr, Manager Firmware</t>
  </si>
  <si>
    <t>Kiran Dahimiwal</t>
  </si>
  <si>
    <t>ORC</t>
  </si>
  <si>
    <t>Associate Engineer Firmware</t>
  </si>
  <si>
    <t>Deep Makwana</t>
  </si>
  <si>
    <t>Senior Materials Buyer - NPD</t>
  </si>
  <si>
    <t>Vikas Luthra</t>
  </si>
  <si>
    <t>Ambarnath</t>
  </si>
  <si>
    <t>MAHESH WERULKAR</t>
  </si>
  <si>
    <t>Operations Senior Analyst RPDU</t>
  </si>
  <si>
    <t>Rohit Sonawane</t>
  </si>
  <si>
    <t>Sr. Manager AME</t>
  </si>
  <si>
    <t>Mahesh Bhendale</t>
  </si>
  <si>
    <t>Store</t>
  </si>
  <si>
    <t>Hemant Dalavi</t>
  </si>
  <si>
    <t>Jagdish Ramesh Thakare</t>
  </si>
  <si>
    <t>Asst.Manager-Planning</t>
  </si>
  <si>
    <t>Vaibhav more</t>
  </si>
  <si>
    <t>Operations Senior Analyst</t>
  </si>
  <si>
    <t>Prashant Dudgu</t>
  </si>
  <si>
    <t>Deshana Bhagat</t>
  </si>
  <si>
    <t xml:space="preserve">Quality </t>
  </si>
  <si>
    <t>Ramesh Pawar</t>
  </si>
  <si>
    <t>Purushottam Nalankar</t>
  </si>
  <si>
    <t>PM</t>
  </si>
  <si>
    <t>Support</t>
  </si>
  <si>
    <t>Project Manager</t>
  </si>
  <si>
    <t>Electrical Design</t>
  </si>
  <si>
    <t>Vinay Kinnal</t>
  </si>
  <si>
    <t>Tech Pub</t>
  </si>
  <si>
    <t>Retained By Current Company</t>
  </si>
  <si>
    <t xml:space="preserve">
PAVAN KASTURI</t>
  </si>
  <si>
    <t>Facilities YODA</t>
  </si>
  <si>
    <t>Facilities</t>
  </si>
  <si>
    <t>Patil,Satyakam</t>
  </si>
  <si>
    <t>Navjyot Mahajan</t>
  </si>
  <si>
    <t>Jino Abraham</t>
  </si>
  <si>
    <t>Engineer - Electrical Design</t>
  </si>
  <si>
    <t>Priti Gite</t>
  </si>
  <si>
    <t>Vikrant Deshmukh</t>
  </si>
  <si>
    <t>Abhishek Behra</t>
  </si>
  <si>
    <t>Sr.Multimedia Designer</t>
  </si>
  <si>
    <t>After Effect</t>
  </si>
  <si>
    <t>Ishann Despande</t>
  </si>
  <si>
    <t>ishaan.deshpande32@gmail.com</t>
  </si>
  <si>
    <t>Jr PCC Writer</t>
  </si>
  <si>
    <t>PCC</t>
  </si>
  <si>
    <t>Pooja Sawant</t>
  </si>
  <si>
    <t>pooja.sawant123@gmail.com</t>
  </si>
  <si>
    <t>Selection - Akshay Wavhal</t>
  </si>
  <si>
    <t>Internal Closed</t>
  </si>
  <si>
    <t>Production Supervisior</t>
  </si>
  <si>
    <t>Shasikant</t>
  </si>
  <si>
    <t>Closed through IJP</t>
  </si>
  <si>
    <t>21-July -25 : 1 candidate Final round done feedback pending and 2 candidatesL1  interview schedule .
30-June-25: 4cvs to be shared by 1st july .
23-June-25: 2 candidates L2 interview schedule . 
18-June- 25: Final round schedule 0n 19th - June - 
17-June: 3 candidates L2 interview schedule .
8-MAy-25: 2 candidates interview done - A/F , 2 more cvs shared with Panel on 8-May .
2-May-25 : 1 candidate L1 rejected , 1 candidate to be schedule - Sanket , need to be share new more profiles .
24-April-25: 2 candidates interview schedule 24 april and 25- april .
21st April 25: 3 profiles shared on 16th April 25, awaiting for feedback
12th April 25: 3 profiles shared for shortlisting
10th April 25: 2 LOB Test reject, need to add more profiles</t>
  </si>
  <si>
    <t> 8149004435</t>
  </si>
  <si>
    <t>17-June- 1 candidates final round done feedback pending - 
24-April-25: 1 candidate - Hemraj interview reschedule on 1 May . few more cvs to be shared .
22-April - 2 candidates lineup , 2 cvs shared feedback awaited .
12th-April : 3cvs shared on 11th April Feedback pending.
8 April: all profiles are rejected shared on 7 April. 2 cvs shared on 7th April .
7 April: Shared profiles with Sarath on 7th April. Feedback Pending</t>
  </si>
  <si>
    <t>Durgesh K</t>
  </si>
  <si>
    <t>Looking for IJP candidate-Asked to keep on hold</t>
  </si>
  <si>
    <t>Associate Engineer Mechanical Engineering Creo</t>
  </si>
  <si>
    <t>CREO</t>
  </si>
  <si>
    <t>30-June-25: Piyush ingole selected .
23-June-25: 10 candidates schedule for Drive - 28th- June-25
17-June-25: Drive conducted on 21st June 25 - 10 cvs shared to panel .
8-May-25: 1 candidate shortlisted for Test , 5 more cvs shared with HM F/A on 8-May.
25-April-25: Recviced shortlisting , HM available on 5th May 25 .
24-April-25: 4cvs shared on 23-April -25 F/A
12th-April : 11th-April: Mail drop to the HM for position status .
Offer accepted, DOJ- 31st Mar</t>
  </si>
  <si>
    <t xml:space="preserve">
8459324407</t>
  </si>
  <si>
    <t xml:space="preserve">
ingolepiyush81@gmail.com</t>
  </si>
  <si>
    <t>23-June-25: 1 candidate final interview round feedback is pending, Position on hold
17-June-25: 1 candidate is in Final Satge (Romana), 4 cvs shared on 3rd June - Feedback pending .
3-Jun-25: 2 L1 interviews scheduled, 1 Test feedback is pending, 4 Profiles shared for shortlisting awaiting for feedback.
2-May-25: 2 candidates L2 to be schedule for nest week .
25-April-25: 2 candidate test done - feedback pending , need to share more profiles .
21st April 25: 3 F2f test to be scheduled
12th April 25: 3 profiles shared for shortlisting on 12th Apr 25
11-Apr-Komal Dhumal drop
Restart</t>
  </si>
  <si>
    <t>Engineer I Firmware Engineering IX</t>
  </si>
  <si>
    <t xml:space="preserve">22-April- 2 candidates iinterview to be schedule </t>
  </si>
  <si>
    <t>Closed</t>
  </si>
  <si>
    <t>Supervisor Software Engineering</t>
  </si>
  <si>
    <t>30-June-25: 2 candidates lineup on thursday
23-June-25: 3 candidates L2 interview schedule .
18-June-25: 2 candidates L1 schedule .
17-June -25: 2 candidates interview schedule on 19th - June-25.
2-May-25: 5 cvs shared F/A .
24-April - 3 profiles shared with HM - feedback pending .</t>
  </si>
  <si>
    <t>Category Management Direct Specialist</t>
  </si>
  <si>
    <t>SCM</t>
  </si>
  <si>
    <t>Pankaj G</t>
  </si>
  <si>
    <t>P2</t>
  </si>
  <si>
    <t>18-june-25: Closed on IJP by preksha</t>
  </si>
  <si>
    <t>Operations Technical Learning and Development Specialist</t>
  </si>
  <si>
    <t>Training</t>
  </si>
  <si>
    <t>Eva</t>
  </si>
  <si>
    <t>17-June-25:Offer Released, DOJ 14-July 2025 &amp; 
18-June -25: Revised offer needs to be shared, DOJ 30-June 2025 
23 June 25- Offer accepted, DOJ 30 June 25 
24th June 2025- Same for ALL days 
10.7.2025-Onboarding done</t>
  </si>
  <si>
    <t>Deepak patil</t>
  </si>
  <si>
    <t xml:space="preserve"> deepakpatil291085@gmail.com</t>
  </si>
  <si>
    <t>Suspend</t>
  </si>
  <si>
    <t>Manufacturing Engineering Analyst</t>
  </si>
  <si>
    <t>Manufacturing Lean</t>
  </si>
  <si>
    <t>Prasad Girad</t>
  </si>
  <si>
    <t>P1</t>
  </si>
  <si>
    <t>23 June 25-ORC ID approval awaited 
18-June 25-ORC ID approval awaited 1
17-June 25 -ORC ID approval awaited .
23 June 25-ORC ID approval awaited 
24June 2025-ORC ID approval awaited ( Same for ALL) 
10.7.2025- ORC ID Approval Awaited</t>
  </si>
  <si>
    <t>Engineer I Mechanical Engineering IX</t>
  </si>
  <si>
    <t xml:space="preserve">Solidworks </t>
  </si>
  <si>
    <t>21-July - 25: 2 candidates shortlisted (1st select - Mohammed Husaain - Ajim wants to discussed with Management as candidates has 6+yrs Experience , Backup candidate - Gurupasad .)
30-June-25 : 2 candidates in LOB schedule thursday 
23-June-25: 10 candidates schedule for 28th-June Drive .
17-June-25:  Drive conducted on 21st June .</t>
  </si>
  <si>
    <t>Balasaheb Santosh Kale</t>
  </si>
  <si>
    <t>balakale61@gmail.com</t>
  </si>
  <si>
    <t>Engineer II Technical Publications X</t>
  </si>
  <si>
    <t>Content writer</t>
  </si>
  <si>
    <t>15th -July-2025: Revised AL sent to candidate with updated DOJ as 18th Aug 2025</t>
  </si>
  <si>
    <t>Shubham Chougale</t>
  </si>
  <si>
    <t>chshubham333@gmail.com</t>
  </si>
  <si>
    <t>Sr Software Developer</t>
  </si>
  <si>
    <t>C , C++</t>
  </si>
  <si>
    <t>Bandu Landge</t>
  </si>
  <si>
    <t>Selection - Sagar Chopde</t>
  </si>
  <si>
    <t>Sagar Chopde</t>
  </si>
  <si>
    <t>Supplier Quality Management Senior Analyst</t>
  </si>
  <si>
    <t xml:space="preserve">Supplier Quality </t>
  </si>
  <si>
    <t>Rupesh Patil</t>
  </si>
  <si>
    <t>Discussion are going on as candidate isn't aligned with offered CTC</t>
  </si>
  <si>
    <t>Jeevan Reddy</t>
  </si>
  <si>
    <t>gjeevankumarreddy2001@gmail.com</t>
  </si>
  <si>
    <t>Sunanda desar</t>
  </si>
  <si>
    <t>Internal</t>
  </si>
  <si>
    <t>Pune,India</t>
  </si>
  <si>
    <t>17-June-25: Nikhil Apte - selected - Documentation pending - waiting for Management approval
 18-June 2025 : Waiting for approval from management 
23 June-25: Fitment approved is pending 
10.7.2025 - L2 approval is pending on Fitment 
21-July 2025- L2 Interview to be scheduled , 2 back up 
26- June 2025- Fitment approved is pending 
21July 2025- Offer Released DOj 25th Aug 2025  
7 Aug-2025- Offer Released DOj 25th Aug 202</t>
  </si>
  <si>
    <t>Nikhil Apte</t>
  </si>
  <si>
    <t>Naptenikhil1@gmail.com</t>
  </si>
  <si>
    <t xml:space="preserve">Software Engineer - Security </t>
  </si>
  <si>
    <t>Security - .Net</t>
  </si>
  <si>
    <t xml:space="preserve">30-June-25: 2 candidates to be schedule 
23-June-25: 3 candidates L1 schedule .
18-June-25: 2 candidates iL1 rejected - 1 candidate L2 scheduled 
17-June- 25 : 3 candidates interview  schedule .
Intake meeting pending from HM </t>
  </si>
  <si>
    <t>Engineer Mechanical - Creo</t>
  </si>
  <si>
    <t>30-June-25: Balasaheb selected 
23-June-25: 2 candidates L1 interview schedule .
Drive on 28th-June-25</t>
  </si>
  <si>
    <t>Quality Product Testing Analyst</t>
  </si>
  <si>
    <t>Quality Testing</t>
  </si>
  <si>
    <t>Nageshwar Patil</t>
  </si>
  <si>
    <t>17-June-25 : 3cvs shared with HM  on 16th- June / Feedback pending  
18 June -25:Need to share new profiles, 1 interview is done  
23 June-25 :Got one selection, Docs is in process
 10.7.2025- Fitment Approval is pending by HRBP
26th June 2025-Fitment process is in going on
7 Aug 2025-Offer acceptance is pending
 14 Aug 2025- Offer accepted, 18 Aug 2025 DOJ</t>
  </si>
  <si>
    <t xml:space="preserve"> Ajinkya Deepak Hadage</t>
  </si>
  <si>
    <t>ajinkyahadage@gmail.com</t>
  </si>
  <si>
    <t>Supervisor Manufacturing quality</t>
  </si>
  <si>
    <t>Customer quality</t>
  </si>
  <si>
    <t>17-June-25:  3cvs shared with HM  on 16th- June / Feedback pending
 18 June 25- 1 interview to be scheduled &amp; need to share more profiles 
23 June 25-Need to share few profiles 
21-july 2025- Closed on IJP
26-June 25 Need to share few profiles 
21.7.2025-1 interview Scheduled, feedback pending on 3 profiles
 6 July-2025 2 interviews scheduled  
7 Aug-2025- Closed on IJP</t>
  </si>
  <si>
    <t>Shubham Sawant</t>
  </si>
  <si>
    <t>Service Quality</t>
  </si>
  <si>
    <t>Swaminathan</t>
  </si>
  <si>
    <t>P4</t>
  </si>
  <si>
    <t>17-June- 25: 2cvs shared with HM , Feedback pending 
18 June -25- 1 interview to be scheduled, Need to share more profiles 
23-June 25-  1 interview to be scheduled, Need to share more profiles 
 26 June 2025- On hold for sometime 
10.7.2025-L2 to be scheduled, one interview scheduled 
 21July 2025- 4 interviews to be scheduled
 6 Aug 2025- feedback pending on 3 profiles 
7 Aug 2025-2 interviews scheduled with Swami, need to share fresh profiles 
13 Aug 2025- 3 L2 scheduled 
14 Aug-25- One interview scheduled, feedback pending on 1
 18 Aug 2025-Received selection need final confirmation
 19 Aug 2025- Documentation in process 20 Aug 2025- Fitment Approval is pending</t>
  </si>
  <si>
    <t>8123316195 / 8095803111</t>
  </si>
  <si>
    <t>rnkudalli@gmail.com</t>
  </si>
  <si>
    <t>20255706</t>
  </si>
  <si>
    <t>Purchasing Specialist</t>
  </si>
  <si>
    <t>BOM</t>
  </si>
  <si>
    <t>Durgesh Chavan</t>
  </si>
  <si>
    <t>P3</t>
  </si>
  <si>
    <t>16 Sep 2025- 2 Interview Aligned</t>
  </si>
  <si>
    <t>Swapnil Bhoite</t>
  </si>
  <si>
    <t>swapbhoite14@gmail.com</t>
  </si>
  <si>
    <t>Purchasing Senior Analyst</t>
  </si>
  <si>
    <t>5.2Years</t>
  </si>
  <si>
    <t xml:space="preserve">
17-June-25-Fitment Approval is pending 
18 June-25- Appoved fitment , need to process offer
 23 June-25-Offer released, DOJ 21th July 2025 
26 June 2025- Offer accepted, Doj 21th July 2025 
10.7.2025-Offer accepted, Doj 21th July 2025 
21 July 2025- candidate backed out, Closed on IJP
 7 Aug 2025-Offer acceptance is pending  
14 Aug 2025- offer accepted.DOJ 15 Sep 2025</t>
  </si>
  <si>
    <t>Gaurav Chimote</t>
  </si>
  <si>
    <t>gauravchimote89@gmail.com</t>
  </si>
  <si>
    <t>Engineer I, Field Service</t>
  </si>
  <si>
    <t xml:space="preserve">Haresh </t>
  </si>
  <si>
    <t xml:space="preserve">26 June 25-Offer is in process
23 June 25- Waiting for Feedback
17 June 25- 2 profiles shared - Feedback pending ,
10.7.2025- offer accepted, DOJ before 29 September 2025
18 June 25 -2 profiles shared - Feedback pending 
21july 2025- Offer released Doj 22 sep 2025 
14 Aug 2025-Offer released Doj 22 sep 2025 </t>
  </si>
  <si>
    <t>Harshit Tyagi</t>
  </si>
  <si>
    <t>tyagi554433@gmail.com</t>
  </si>
  <si>
    <t>Market Research &amp; Intelligence Analyst</t>
  </si>
  <si>
    <t>30-June-2025 Offered-Romana Sharma</t>
  </si>
  <si>
    <t>Romana Sharma</t>
  </si>
  <si>
    <t>rumanasharmaroma@gmail.com</t>
  </si>
  <si>
    <t>Sr. Engineer I Mechanical Engineering X (Solidworks)</t>
  </si>
  <si>
    <t>Swapnil Khairner - selected -DOJ - 14-July -25</t>
  </si>
  <si>
    <t>Sr. Engineer Mechanical Engineering XII</t>
  </si>
  <si>
    <t>Chiller Design</t>
  </si>
  <si>
    <t>Santosh P</t>
  </si>
  <si>
    <t xml:space="preserve">
14 Aug 2025- Offer accepted, Doj 13th Oct 2025</t>
  </si>
  <si>
    <t>Nikhil Wakachure</t>
  </si>
  <si>
    <t>wakchaurenikhil35@gmail. com</t>
  </si>
  <si>
    <t>Sr. Engineer Electrical &amp; Electronics Engineering XII</t>
  </si>
  <si>
    <t xml:space="preserve">Power Electronics </t>
  </si>
  <si>
    <t>Vijay N</t>
  </si>
  <si>
    <t xml:space="preserve">9th-Dec-25: Akshay Thite selceted - AL to be shared today .
13-Nov-25: 1 candidates is in Final round scheduled on Wednesday , 2 candidates for L1 interview
 </t>
  </si>
  <si>
    <t>Akshay Thite</t>
  </si>
  <si>
    <t>akshaythite94@gmail.com</t>
  </si>
  <si>
    <t>UPS</t>
  </si>
  <si>
    <t>Mahadeo</t>
  </si>
  <si>
    <t>6-Aug-2025 2 interviews scheduled
 7 Aug-2025-3 interviews scheduled 
13 Aug 2025-Feedback pending on 3 interviews 
14 Aug 2025--Feedback pending on 3 interviews
 18 Aug 2025- Feedback pending on 3 interviews 
19 Aug 2025- Documentation is in process 20 Aug 2025-Fitment Approval is going on</t>
  </si>
  <si>
    <t>Avinash Pawar</t>
  </si>
  <si>
    <t>avipawar224@gmail.com</t>
  </si>
  <si>
    <t>Dayanand Pai</t>
  </si>
  <si>
    <t>6-July-2025 Feedback pending on 4 profiles  
7 Aug-2025-3 profiles shared, feedback pending 
13 Aug 2025- To be closed on Tentative IJP</t>
  </si>
  <si>
    <t>Manager Services Sales</t>
  </si>
  <si>
    <t>Contract Management</t>
  </si>
  <si>
    <t>Roger D</t>
  </si>
  <si>
    <t>6-July-2025 2 interviews scheduled
 7 Aug 2025-1 interview scheduled, feedback pending on 2 profiles 
13 Aug 2025- To be closed on Tentative IJP</t>
  </si>
  <si>
    <t>Services Sales Specialist</t>
  </si>
  <si>
    <t>Service</t>
  </si>
  <si>
    <t>Services Operation</t>
  </si>
  <si>
    <t>Namdeo Patil</t>
  </si>
  <si>
    <t>Thane,India</t>
  </si>
  <si>
    <t>24 Dec-25 :- 3 Profiles shared</t>
  </si>
  <si>
    <t xml:space="preserve">6-July-2025 2 interviews scheduled 
7 Aug-2025-3 profiles shared, feedback pending 
13 Aug 2025-3 interviews to be scheduled
 14 Aug 2025- 3 interview scheduled 
18 Aug 2025-Documentation is in process 
19 Aug 2025-Documentation is in process 20 Aug 2025-Documentation is in process </t>
  </si>
  <si>
    <t>Ramchandra Khade</t>
  </si>
  <si>
    <t>khaderamchandradse@gmail.com</t>
  </si>
  <si>
    <t>Manufacturing Quality Senior Analyst</t>
  </si>
  <si>
    <t>Inprocess Quality</t>
  </si>
  <si>
    <t>Sunanda</t>
  </si>
  <si>
    <t>14 Aug 2025- Feedback pending on 3 profiles
 18 Aug 2025-Feedback pending on 3 profiles  
19 Aug 2025--Feedback pending on 3 profiles 
20 Aug 2025-Feedback pending on 3 profiles 
28th Aug 2025-Feedback pending on 3 profiles 
2-Sep 2025- 2  Final interviews Scheduled 
3 Sep 2024-  2  Final interviews Scheduled
 5th Sep 2025- 1 Final interview to be scheduled</t>
  </si>
  <si>
    <t>Vaibhav Zede</t>
  </si>
  <si>
    <t>vaibhavzade11@gmail.com</t>
  </si>
  <si>
    <t>ME</t>
  </si>
  <si>
    <t>14 Aug 2025- 2 interviews scheduled 
18 Aug 2025- 2 final round scheduled with Swami 
19Aug 2025- 2 final round scheduled with Swami
 20 Aug 2025- 2 final round scheduled with Swami
 28th Aug 2025- One final round with Anandan 
 2-sept 2025- Received Selection,Fitment approval is pending</t>
  </si>
  <si>
    <t>Ravi Singh</t>
  </si>
  <si>
    <t>ravi.singh023@gmail.com</t>
  </si>
  <si>
    <t>19-Aug 2025- Documentation is in process 20 Aug 2025- Documentation is in process</t>
  </si>
  <si>
    <t>Pravinb9989@gmail.com</t>
  </si>
  <si>
    <t>Supplier Quality Management Senior Analyst NPD</t>
  </si>
  <si>
    <t>NPD</t>
  </si>
  <si>
    <t>6.11.2025- Feedback pending on Final Interview</t>
  </si>
  <si>
    <t>Swapnil Daphale</t>
  </si>
  <si>
    <t>swapnil157912@gmail.com</t>
  </si>
  <si>
    <t>Senior Engineer - Firmware Engineering X</t>
  </si>
  <si>
    <t xml:space="preserve">9th-Dec-25: 2 candidates Final round scheduled on 9th and 10th Dec.
</t>
  </si>
  <si>
    <t>Project Manager Technical Project Mgmt. (IT) Specialist</t>
  </si>
  <si>
    <t>Enrico Liboni</t>
  </si>
  <si>
    <t>Dayanand M</t>
  </si>
  <si>
    <t>16 Sep 2025- Feedback pending on 3 profiles</t>
  </si>
  <si>
    <t>Purchasing Analyst</t>
  </si>
  <si>
    <t>Vikas G</t>
  </si>
  <si>
    <t>24-Dec:- Candidate Backout, Need to share profiles</t>
  </si>
  <si>
    <t>Sr. Engineer - Product</t>
  </si>
  <si>
    <t>Design</t>
  </si>
  <si>
    <t xml:space="preserve">13-Nov-25: 1 candidates final round scheduled next week , 3 candidates  L1 interview done feedback pending , 1 candidate L1 interview to be scheduled </t>
  </si>
  <si>
    <t>9th-Dec-25: 1 candidate - Nikhil Thakkar HR round scheduled with Jayshree .
1 candidates final round to be shedule next week , 2 candidates interview on Monday .</t>
  </si>
  <si>
    <t>Nikhil Thakkar</t>
  </si>
  <si>
    <t>Fitment Accepted</t>
  </si>
  <si>
    <t>Production Senior Analyst-</t>
  </si>
  <si>
    <t>Thermal Management</t>
  </si>
  <si>
    <t>Manufacturing</t>
  </si>
  <si>
    <t>Shashikant P</t>
  </si>
  <si>
    <t>28-Oct 2025- Feedback pending on 3 Profiles</t>
  </si>
  <si>
    <t>Amulya Dey</t>
  </si>
  <si>
    <t>amulyadey37@gmail.com</t>
  </si>
  <si>
    <t>Material Planning</t>
  </si>
  <si>
    <t>Ankush mehta</t>
  </si>
  <si>
    <t>16 Sep 2025- 2 Interview Aligned,feedback pending on 3 profiles</t>
  </si>
  <si>
    <t>Pratik Kulkarni</t>
  </si>
  <si>
    <t xml:space="preserve">pratik.kulkarni127@gmail.com </t>
  </si>
  <si>
    <t>Ritwik Singh</t>
  </si>
  <si>
    <t>"ritwikpratapsingh111@gmail.com" &lt;ritwikpratapsingh111@gmail.com&gt;</t>
  </si>
  <si>
    <t>Sr. Engineer Mechanical Engineering</t>
  </si>
  <si>
    <t>K, Mohamed Ali Hussain</t>
  </si>
  <si>
    <t>mohdalihussain07@gmail.com</t>
  </si>
  <si>
    <t>Anant H</t>
  </si>
  <si>
    <t>P01</t>
  </si>
  <si>
    <t>28- Oct-2025-Approval pending form Management</t>
  </si>
  <si>
    <t>Fitment Shared</t>
  </si>
  <si>
    <t>Supervisor Manufacturing</t>
  </si>
  <si>
    <t>Nandwalkar, Jitendra</t>
  </si>
  <si>
    <t>P02</t>
  </si>
  <si>
    <t>Pratik Phad Selection</t>
  </si>
  <si>
    <t>Pratik Phad</t>
  </si>
  <si>
    <t>pratikphad2220@gmail.com</t>
  </si>
  <si>
    <t>24 Dec-25 :- Feedback Pending on 2 Final Interview</t>
  </si>
  <si>
    <t>6.11.2025- 3 Interview Scheduled</t>
  </si>
  <si>
    <t>Suraj Dhanuskar</t>
  </si>
  <si>
    <t>surajd312000@gmail.com</t>
  </si>
  <si>
    <t>6,00,000</t>
  </si>
  <si>
    <t>Nair, Sandeep</t>
  </si>
  <si>
    <t>6.11.2025- 2 Interview Scheduled</t>
  </si>
  <si>
    <t>Rajesh Mohite</t>
  </si>
  <si>
    <t>rajeshmohite595@gmail.com</t>
  </si>
  <si>
    <t>6,73,032</t>
  </si>
  <si>
    <t>Mali, Narsing</t>
  </si>
  <si>
    <t>Manager Automation</t>
  </si>
  <si>
    <t>M02</t>
  </si>
  <si>
    <t>9th- Dec-25: 2 candidates L@ scheduled on 9th- Dec -25 .</t>
  </si>
  <si>
    <t>Senior Engineer Firmware</t>
  </si>
  <si>
    <t>9th-Dec-25: 2 candidates L2 scheduled on Wednesday - 10th Dec.</t>
  </si>
  <si>
    <t>Sr Engineer Mechanical</t>
  </si>
  <si>
    <t>Guruprasad B G</t>
  </si>
  <si>
    <t>9th -Dec-25 : 1 candidate Final select (Praveen Chaplote) Kept on Hold , Panel want to see 2 more candidates before final select , 1 candidate L2 scheduled on 10th Dec , 1 candidate L1 scheduled  on 10 Dec.
4 profiles shared , 2 interview scheduled on 7-Nov-25</t>
  </si>
  <si>
    <t>Incoming Quality</t>
  </si>
  <si>
    <t>3 interview scheduled</t>
  </si>
  <si>
    <t>Supplier Quality Management Specialist</t>
  </si>
  <si>
    <t>Final approval pending From ashish</t>
  </si>
  <si>
    <t>sagarchaudhari2907@gmail.com</t>
  </si>
  <si>
    <t>12,00,005</t>
  </si>
  <si>
    <t xml:space="preserve">Service </t>
  </si>
  <si>
    <t>Pai, Dayanand</t>
  </si>
  <si>
    <t>14-Nov-25: Intake call scheduled on Monday 17-Nov with HM</t>
  </si>
  <si>
    <t>Manager, Field Service</t>
  </si>
  <si>
    <t>Kulkarni, Vijay</t>
  </si>
  <si>
    <t>Docs awaited</t>
  </si>
  <si>
    <t>Mukesh Vise</t>
  </si>
  <si>
    <t>mukeshvishe7999@gmail.com</t>
  </si>
  <si>
    <t>Advanced Manufacturing Engineering Senior Analyst</t>
  </si>
  <si>
    <t>Mahesh Bendale</t>
  </si>
  <si>
    <t>Sandeep Nair</t>
  </si>
  <si>
    <t>Fitment shared approval pending</t>
  </si>
  <si>
    <t>Divya Dudane</t>
  </si>
  <si>
    <t>divyadudande31@gmail.com</t>
  </si>
  <si>
    <t>9,25,000</t>
  </si>
  <si>
    <t>Abhay Pothare</t>
  </si>
  <si>
    <t>Potbhareabhay25@gmail.com</t>
  </si>
  <si>
    <t>Senior Quality Engineer (NPDI)</t>
  </si>
  <si>
    <t>Justin Van Hill</t>
  </si>
  <si>
    <t>24 Dec-25 :- 2 interview to be scheduled</t>
  </si>
  <si>
    <t>24 Dec-25 :- Tentative IJP</t>
  </si>
  <si>
    <t>Industrial Engineering</t>
  </si>
  <si>
    <t>Girap, Prasad</t>
  </si>
  <si>
    <t>24-Dec 25- 3 Interview scheduled</t>
  </si>
  <si>
    <t>Warehousing Analyst</t>
  </si>
  <si>
    <t>Warehouse Supervisor</t>
  </si>
  <si>
    <t>Beldar, Prasad</t>
  </si>
  <si>
    <t>Maintenance</t>
  </si>
  <si>
    <t>Luthra, Vikas Kumar</t>
  </si>
  <si>
    <t>24-Dec- Feedback pending on 2 Final Interviews</t>
  </si>
  <si>
    <t>ME+IE+AME</t>
  </si>
  <si>
    <t>24-Dec 25- 2 Interview scheduled</t>
  </si>
  <si>
    <t>Sourcing</t>
  </si>
  <si>
    <t>Supply Planning</t>
  </si>
  <si>
    <t>24- Dec- 1 interview Scheduled, Backup needs to be shared</t>
  </si>
  <si>
    <t>Manager production</t>
  </si>
  <si>
    <t>Assembly Line</t>
  </si>
  <si>
    <t>Milind Bhoyar</t>
  </si>
  <si>
    <t>AL Approval</t>
  </si>
  <si>
    <t xml:space="preserve">Engineer II - Feild service Engineer </t>
  </si>
  <si>
    <t xml:space="preserve">Field service </t>
  </si>
  <si>
    <t xml:space="preserve">Praveen S selceted </t>
  </si>
  <si>
    <t>Pravin Sarolkar</t>
  </si>
  <si>
    <t>"pasarolkar@gmail.com" &lt;pasarolkar@gmail.com&gt;</t>
  </si>
  <si>
    <t>Principal Engineer Firmware Engineering XIII:</t>
  </si>
  <si>
    <t>Chawla, Praveen</t>
  </si>
  <si>
    <t>Lean</t>
  </si>
  <si>
    <t>24-Dec- Need to share profile</t>
  </si>
  <si>
    <t>Continuous Improvement Specialist</t>
  </si>
  <si>
    <t>CI</t>
  </si>
  <si>
    <t>POSITION TRACKER</t>
  </si>
  <si>
    <t>Final Status for Position &amp; Candidate Tracker</t>
  </si>
  <si>
    <t>Fitment Approval</t>
  </si>
  <si>
    <t>WIP/Drop</t>
  </si>
  <si>
    <t>Liquid Cooling</t>
  </si>
  <si>
    <t>Source Of Hire</t>
  </si>
  <si>
    <t>AL Shared</t>
  </si>
  <si>
    <t>PDU</t>
  </si>
  <si>
    <t>GES</t>
  </si>
  <si>
    <t xml:space="preserve">AC Power </t>
  </si>
  <si>
    <t>Test</t>
  </si>
  <si>
    <t>Req not approved</t>
  </si>
  <si>
    <t>Fitment Decline</t>
  </si>
  <si>
    <t>Candidate TRACKER</t>
  </si>
  <si>
    <t>FTR</t>
  </si>
  <si>
    <t>Numerator</t>
  </si>
  <si>
    <t>Denominator</t>
  </si>
  <si>
    <t>Managerial/F2F Reject</t>
  </si>
  <si>
    <t>L2 FBA</t>
  </si>
  <si>
    <t>Test FBA</t>
  </si>
  <si>
    <t>LOB FBA</t>
  </si>
  <si>
    <t>Managerial/F2F FBA</t>
  </si>
  <si>
    <t>L2 TBS</t>
  </si>
  <si>
    <t>LOB TBS</t>
  </si>
  <si>
    <t>Managerial/F2F TBS</t>
  </si>
  <si>
    <t>Test TBS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</si>
</sst>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6">
    <font>
      <sz val="11"/>
      <color theme="1"/>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
      <sz val="11"/>
      <color theme="1"/>
      <name val="Aptos Narrow"/>
      <family val="2"/>
      <scheme val="minor"/>
    </font>
    <font>
      <b/>
      <sz val="11"/>
      <color theme="0"/>
      <name val="Aptos Narrow"/>
      <family val="2"/>
      <scheme val="minor"/>
    </font>
    <font>
      <sz val="11"/>
      <color rgb="FF000000"/>
      <name val="Calibri"/>
      <family val="2"/>
    </font>
    <font>
      <u/>
      <sz val="11"/>
      <color theme="10"/>
      <name val="Aptos Narrow"/>
      <family val="2"/>
      <scheme val="minor"/>
    </font>
    <font>
      <sz val="9"/>
      <color theme="1"/>
      <name val="Calibri (Body)"/>
    </font>
    <font>
      <sz val="9"/>
      <name val="Calibri (Body)"/>
    </font>
    <font>
      <b/>
      <sz val="15"/>
      <color rgb="FF000000"/>
      <name val="Times New Roman"/>
      <family val="1"/>
    </font>
    <font>
      <b/>
      <sz val="15"/>
      <color rgb="FF000000"/>
      <name val="Arial"/>
      <family val="2"/>
    </font>
    <font>
      <sz val="8"/>
      <name val="Aptos Narrow"/>
      <family val="2"/>
      <scheme val="minor"/>
    </font>
    <font>
      <sz val="11"/>
      <name val="Aptos Narrow"/>
      <family val="2"/>
      <scheme val="minor"/>
    </font>
    <font>
      <sz val="11"/>
      <name val="Consolas"/>
      <family val="3"/>
    </font>
    <font>
      <u/>
      <sz val="11"/>
      <color rgb="FF467886"/>
      <name val="Aptos Narrow"/>
      <family val="2"/>
    </font>
    <font>
      <sz val="11"/>
      <color rgb="FF010C1F"/>
      <name val="Calibri"/>
      <family val="2"/>
    </font>
    <font>
      <sz val="11"/>
      <color rgb="FF253858"/>
      <name val="Calibri"/>
      <family val="2"/>
    </font>
    <font>
      <u/>
      <sz val="11"/>
      <color rgb="FF467886"/>
      <name val="Calibri"/>
      <family val="2"/>
    </font>
    <font>
      <sz val="11"/>
      <color rgb="FF091E42"/>
      <name val="Calibri"/>
      <family val="2"/>
    </font>
    <font>
      <sz val="9"/>
      <color rgb="FF253858"/>
      <name val="Arial"/>
      <family val="2"/>
    </font>
    <font>
      <sz val="11"/>
      <color rgb="FFFF0000"/>
      <name val="Calibri"/>
      <family val="2"/>
    </font>
    <font>
      <sz val="11"/>
      <color rgb="FF000000"/>
      <name val="Aptos Narrow"/>
      <family val="2"/>
    </font>
    <font>
      <sz val="11"/>
      <name val="Calibri"/>
      <family val="2"/>
    </font>
    <font>
      <u/>
      <sz val="11"/>
      <name val="Calibri"/>
      <family val="2"/>
    </font>
    <font>
      <sz val="11"/>
      <color rgb="FF000000"/>
      <name val="Arial"/>
      <family val="2"/>
    </font>
    <font>
      <sz val="11"/>
      <name val="Aptos Narrow"/>
      <family val="2"/>
    </font>
    <font>
      <sz val="11"/>
      <color rgb="FFFF0000"/>
      <name val="Aptos Narrow"/>
      <family val="2"/>
    </font>
    <font>
      <u/>
      <sz val="11"/>
      <color rgb="FFFF0000"/>
      <name val="Aptos Narrow"/>
      <family val="2"/>
    </font>
    <font>
      <sz val="11"/>
      <color rgb="FFFF3300"/>
      <name val="Calibri"/>
      <family val="2"/>
    </font>
    <font>
      <b/>
      <sz val="11"/>
      <name val="Aptos Narrow"/>
      <family val="2"/>
      <scheme val="minor"/>
    </font>
    <font>
      <b/>
      <sz val="10"/>
      <name val="Calibri"/>
      <family val="2"/>
    </font>
    <font>
      <sz val="11"/>
      <color rgb="FF000000"/>
      <name val="Calibri"/>
      <family val="2"/>
      <charset val="1"/>
    </font>
    <font>
      <sz val="11"/>
      <color rgb="FF000000"/>
      <name val="Aptos Narrow"/>
      <family val="2"/>
      <charset val="1"/>
    </font>
    <font>
      <sz val="11"/>
      <color rgb="FFFF0000"/>
      <name val="Aptos Narrow"/>
      <family val="2"/>
      <scheme val="minor"/>
    </font>
    <font>
      <sz val="11"/>
      <color rgb="FFFF0000"/>
      <name val="Calibri"/>
      <family val="2"/>
      <charset val="1"/>
    </font>
  </fonts>
  <fills count="15">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0"/>
        <bgColor indexed="64"/>
      </patternFill>
    </fill>
    <fill>
      <patternFill patternType="solid">
        <fgColor rgb="FFFFFFFF"/>
        <bgColor rgb="FF000000"/>
      </patternFill>
    </fill>
    <fill>
      <patternFill patternType="solid">
        <fgColor rgb="FF83E28E"/>
        <bgColor rgb="FF000000"/>
      </patternFill>
    </fill>
    <fill>
      <patternFill patternType="solid">
        <fgColor rgb="FF4EA72E"/>
        <bgColor rgb="FF000000"/>
      </patternFill>
    </fill>
    <fill>
      <patternFill patternType="solid">
        <fgColor rgb="FF0F9ED5"/>
        <bgColor rgb="FF000000"/>
      </patternFill>
    </fill>
    <fill>
      <patternFill patternType="solid">
        <fgColor rgb="FFB5E6A2"/>
        <bgColor rgb="FF000000"/>
      </patternFill>
    </fill>
    <fill>
      <patternFill patternType="solid">
        <fgColor rgb="FF47D359"/>
        <bgColor rgb="FF000000"/>
      </patternFill>
    </fill>
    <fill>
      <patternFill patternType="solid">
        <fgColor rgb="FF44B3E1"/>
        <bgColor rgb="FF000000"/>
      </patternFill>
    </fill>
    <fill>
      <patternFill patternType="solid">
        <fgColor theme="4"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s>
  <cellStyleXfs count="3">
    <xf numFmtId="0" fontId="0" fillId="0" borderId="0"/>
    <xf numFmtId="9" fontId="4" fillId="0" borderId="0" applyFont="0" applyFill="0" applyBorder="0" applyAlignment="0" applyProtection="0"/>
    <xf numFmtId="0" fontId="7" fillId="0" borderId="0" applyNumberFormat="0" applyFill="0" applyBorder="0" applyAlignment="0" applyProtection="0"/>
  </cellStyleXfs>
  <cellXfs count="274">
    <xf numFmtId="0" fontId="0" fillId="0" borderId="0" xfId="0"/>
    <xf numFmtId="0" fontId="0" fillId="0" borderId="0" xfId="0" applyAlignment="1">
      <alignment horizontal="left" vertical="center"/>
    </xf>
    <xf numFmtId="0" fontId="2" fillId="0" borderId="0" xfId="0" applyFont="1"/>
    <xf numFmtId="0" fontId="2" fillId="0" borderId="2" xfId="0" applyFont="1" applyBorder="1"/>
    <xf numFmtId="0" fontId="2" fillId="0" borderId="1" xfId="0" applyFont="1" applyBorder="1"/>
    <xf numFmtId="0" fontId="2" fillId="0" borderId="5" xfId="0" applyFont="1" applyBorder="1"/>
    <xf numFmtId="0" fontId="3" fillId="0" borderId="0" xfId="0" applyFo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 xfId="0" applyFont="1" applyBorder="1" applyAlignment="1">
      <alignment horizontal="left"/>
    </xf>
    <xf numFmtId="0" fontId="0" fillId="0" borderId="1" xfId="0" applyBorder="1" applyAlignment="1">
      <alignment horizontal="left"/>
    </xf>
    <xf numFmtId="0" fontId="3" fillId="3" borderId="2"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0" borderId="3" xfId="0" applyFont="1" applyBorder="1"/>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15" fontId="5"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0" fillId="0" borderId="1" xfId="0" applyBorder="1" applyAlignment="1">
      <alignment horizontal="left" vertical="center"/>
    </xf>
    <xf numFmtId="15" fontId="0" fillId="0" borderId="1" xfId="0" applyNumberFormat="1" applyBorder="1" applyAlignment="1">
      <alignment horizontal="left" vertical="center"/>
    </xf>
    <xf numFmtId="15" fontId="8" fillId="6" borderId="1" xfId="0" applyNumberFormat="1" applyFont="1" applyFill="1" applyBorder="1" applyAlignment="1">
      <alignment horizontal="left" vertical="top"/>
    </xf>
    <xf numFmtId="14" fontId="0" fillId="0" borderId="1" xfId="0" applyNumberFormat="1" applyBorder="1" applyAlignment="1">
      <alignment horizontal="left" vertical="center"/>
    </xf>
    <xf numFmtId="0" fontId="2" fillId="0" borderId="5" xfId="0" applyFont="1" applyBorder="1" applyAlignment="1">
      <alignment horizontal="left" vertical="center"/>
    </xf>
    <xf numFmtId="0" fontId="0" fillId="6" borderId="0" xfId="0" applyFill="1" applyAlignment="1">
      <alignment horizontal="left" vertical="center"/>
    </xf>
    <xf numFmtId="15" fontId="0" fillId="6" borderId="0" xfId="0" applyNumberFormat="1" applyFill="1" applyAlignment="1">
      <alignment horizontal="left" vertical="center"/>
    </xf>
    <xf numFmtId="0" fontId="0" fillId="6" borderId="0" xfId="0" applyFill="1" applyAlignment="1">
      <alignment horizontal="center" vertical="center"/>
    </xf>
    <xf numFmtId="0" fontId="13" fillId="0" borderId="1" xfId="0" applyFont="1" applyBorder="1" applyAlignment="1">
      <alignment horizontal="left" vertical="center"/>
    </xf>
    <xf numFmtId="15" fontId="13" fillId="0" borderId="1" xfId="0" applyNumberFormat="1" applyFont="1" applyBorder="1" applyAlignment="1">
      <alignment horizontal="left" vertical="center"/>
    </xf>
    <xf numFmtId="0" fontId="14" fillId="0" borderId="1" xfId="0" applyFont="1" applyBorder="1" applyAlignment="1">
      <alignment horizontal="left" vertical="center"/>
    </xf>
    <xf numFmtId="9" fontId="13" fillId="0" borderId="1" xfId="1" applyFont="1" applyFill="1" applyBorder="1" applyAlignment="1">
      <alignment horizontal="left" vertical="center"/>
    </xf>
    <xf numFmtId="1" fontId="13" fillId="0" borderId="1" xfId="1" applyNumberFormat="1" applyFont="1" applyFill="1" applyBorder="1" applyAlignment="1">
      <alignment horizontal="left" vertical="center"/>
    </xf>
    <xf numFmtId="15" fontId="0" fillId="6" borderId="1" xfId="0" applyNumberFormat="1" applyFill="1" applyBorder="1" applyAlignment="1">
      <alignment horizontal="left" vertical="center"/>
    </xf>
    <xf numFmtId="15" fontId="5" fillId="4" borderId="1" xfId="0" applyNumberFormat="1" applyFont="1" applyFill="1" applyBorder="1" applyAlignment="1">
      <alignment horizontal="center" vertical="center"/>
    </xf>
    <xf numFmtId="15"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0" fillId="6" borderId="1" xfId="0" applyFill="1" applyBorder="1" applyAlignment="1">
      <alignment horizontal="left" vertical="center"/>
    </xf>
    <xf numFmtId="0" fontId="9" fillId="6" borderId="1" xfId="0" applyFont="1" applyFill="1" applyBorder="1" applyAlignment="1">
      <alignment horizontal="left" vertical="top"/>
    </xf>
    <xf numFmtId="0" fontId="0" fillId="0" borderId="12" xfId="0" applyBorder="1" applyAlignment="1">
      <alignment horizontal="left" vertical="center"/>
    </xf>
    <xf numFmtId="15" fontId="0" fillId="0" borderId="12" xfId="0" applyNumberFormat="1" applyBorder="1" applyAlignment="1">
      <alignment horizontal="left" vertical="center"/>
    </xf>
    <xf numFmtId="14" fontId="0" fillId="0" borderId="12" xfId="0" applyNumberFormat="1" applyBorder="1" applyAlignment="1">
      <alignment horizontal="left" vertical="center"/>
    </xf>
    <xf numFmtId="0" fontId="0" fillId="0" borderId="7" xfId="0" applyBorder="1" applyAlignment="1">
      <alignment horizontal="left" vertical="center"/>
    </xf>
    <xf numFmtId="0" fontId="23" fillId="0" borderId="7" xfId="0" applyFont="1" applyBorder="1"/>
    <xf numFmtId="0" fontId="23" fillId="0" borderId="11" xfId="0" applyFont="1" applyBorder="1"/>
    <xf numFmtId="0" fontId="7" fillId="9" borderId="10" xfId="2" applyFill="1" applyBorder="1"/>
    <xf numFmtId="0" fontId="0" fillId="6" borderId="2" xfId="0" applyFill="1" applyBorder="1" applyAlignment="1">
      <alignment horizontal="left" vertical="center"/>
    </xf>
    <xf numFmtId="15" fontId="8" fillId="6" borderId="12" xfId="0" applyNumberFormat="1" applyFont="1" applyFill="1" applyBorder="1" applyAlignment="1">
      <alignment horizontal="left" vertical="top"/>
    </xf>
    <xf numFmtId="15" fontId="0" fillId="0" borderId="7" xfId="0" applyNumberFormat="1" applyBorder="1" applyAlignment="1">
      <alignment horizontal="left" vertical="center"/>
    </xf>
    <xf numFmtId="15" fontId="8" fillId="6" borderId="7" xfId="0" applyNumberFormat="1" applyFont="1" applyFill="1" applyBorder="1" applyAlignment="1">
      <alignment horizontal="left" vertical="top"/>
    </xf>
    <xf numFmtId="14" fontId="0" fillId="0" borderId="7" xfId="0" applyNumberFormat="1" applyBorder="1" applyAlignment="1">
      <alignment horizontal="left" vertical="center"/>
    </xf>
    <xf numFmtId="0" fontId="0" fillId="6" borderId="2" xfId="0" applyFill="1" applyBorder="1"/>
    <xf numFmtId="15" fontId="0" fillId="6" borderId="2" xfId="0" applyNumberFormat="1" applyFill="1" applyBorder="1" applyAlignment="1">
      <alignment horizontal="left" vertical="center"/>
    </xf>
    <xf numFmtId="15" fontId="8" fillId="6" borderId="2" xfId="0" applyNumberFormat="1" applyFont="1" applyFill="1" applyBorder="1" applyAlignment="1">
      <alignment horizontal="left" vertical="top"/>
    </xf>
    <xf numFmtId="14" fontId="0" fillId="6" borderId="2" xfId="0" applyNumberFormat="1" applyFill="1" applyBorder="1" applyAlignment="1">
      <alignment horizontal="left" vertical="center"/>
    </xf>
    <xf numFmtId="0" fontId="15" fillId="6" borderId="2" xfId="0" applyFont="1" applyFill="1" applyBorder="1"/>
    <xf numFmtId="0" fontId="16" fillId="6" borderId="2" xfId="0" applyFont="1" applyFill="1" applyBorder="1"/>
    <xf numFmtId="0" fontId="17" fillId="6" borderId="2" xfId="0" applyFont="1" applyFill="1" applyBorder="1"/>
    <xf numFmtId="0" fontId="18" fillId="6" borderId="2" xfId="0" applyFont="1" applyFill="1" applyBorder="1"/>
    <xf numFmtId="0" fontId="19" fillId="6" borderId="2" xfId="0" applyFont="1" applyFill="1" applyBorder="1"/>
    <xf numFmtId="0" fontId="17" fillId="6" borderId="2" xfId="0" quotePrefix="1" applyFont="1" applyFill="1" applyBorder="1"/>
    <xf numFmtId="0" fontId="20" fillId="6" borderId="2" xfId="0" applyFont="1" applyFill="1" applyBorder="1"/>
    <xf numFmtId="0" fontId="7" fillId="6" borderId="2" xfId="2" applyFill="1" applyBorder="1"/>
    <xf numFmtId="15" fontId="21" fillId="6" borderId="2" xfId="0" applyNumberFormat="1" applyFont="1" applyFill="1" applyBorder="1"/>
    <xf numFmtId="0" fontId="21" fillId="6" borderId="2" xfId="0" applyFont="1" applyFill="1" applyBorder="1"/>
    <xf numFmtId="0" fontId="22" fillId="6" borderId="2" xfId="0" applyFont="1" applyFill="1" applyBorder="1"/>
    <xf numFmtId="14" fontId="23" fillId="6" borderId="2" xfId="0" applyNumberFormat="1" applyFont="1" applyFill="1" applyBorder="1"/>
    <xf numFmtId="0" fontId="23" fillId="6" borderId="2" xfId="0" applyFont="1" applyFill="1" applyBorder="1"/>
    <xf numFmtId="0" fontId="24" fillId="6" borderId="2" xfId="0" applyFont="1" applyFill="1" applyBorder="1"/>
    <xf numFmtId="0" fontId="25" fillId="6" borderId="2" xfId="0" applyFont="1" applyFill="1" applyBorder="1"/>
    <xf numFmtId="15" fontId="23" fillId="6" borderId="2" xfId="0" applyNumberFormat="1" applyFont="1" applyFill="1" applyBorder="1"/>
    <xf numFmtId="0" fontId="23" fillId="11" borderId="1" xfId="0" applyFont="1" applyFill="1" applyBorder="1"/>
    <xf numFmtId="0" fontId="23" fillId="11" borderId="7" xfId="0" applyFont="1" applyFill="1" applyBorder="1"/>
    <xf numFmtId="0" fontId="23" fillId="11" borderId="10" xfId="0" applyFont="1" applyFill="1" applyBorder="1"/>
    <xf numFmtId="11" fontId="23" fillId="11" borderId="10" xfId="0" applyNumberFormat="1" applyFont="1" applyFill="1" applyBorder="1"/>
    <xf numFmtId="0" fontId="23" fillId="11" borderId="11" xfId="0" applyFont="1" applyFill="1" applyBorder="1"/>
    <xf numFmtId="11" fontId="23" fillId="11" borderId="11" xfId="0" applyNumberFormat="1" applyFont="1" applyFill="1" applyBorder="1"/>
    <xf numFmtId="0" fontId="15" fillId="11" borderId="11" xfId="0" applyFont="1" applyFill="1" applyBorder="1"/>
    <xf numFmtId="11" fontId="23" fillId="0" borderId="11" xfId="0" applyNumberFormat="1" applyFont="1" applyBorder="1"/>
    <xf numFmtId="15" fontId="23" fillId="11" borderId="1" xfId="0" applyNumberFormat="1" applyFont="1" applyFill="1" applyBorder="1"/>
    <xf numFmtId="15" fontId="23" fillId="11" borderId="7" xfId="0" applyNumberFormat="1" applyFont="1" applyFill="1" applyBorder="1"/>
    <xf numFmtId="11" fontId="23" fillId="11" borderId="1" xfId="0" applyNumberFormat="1" applyFont="1" applyFill="1" applyBorder="1"/>
    <xf numFmtId="0" fontId="15" fillId="11" borderId="10" xfId="0" applyFont="1" applyFill="1" applyBorder="1"/>
    <xf numFmtId="11" fontId="23" fillId="11" borderId="7" xfId="0" applyNumberFormat="1" applyFont="1" applyFill="1" applyBorder="1"/>
    <xf numFmtId="0" fontId="22" fillId="7" borderId="1" xfId="0" applyFont="1" applyFill="1" applyBorder="1"/>
    <xf numFmtId="15" fontId="22" fillId="7" borderId="1" xfId="0" applyNumberFormat="1" applyFont="1" applyFill="1" applyBorder="1"/>
    <xf numFmtId="0" fontId="22" fillId="7" borderId="7" xfId="0" applyFont="1" applyFill="1" applyBorder="1"/>
    <xf numFmtId="15" fontId="22" fillId="7" borderId="7" xfId="0" applyNumberFormat="1" applyFont="1" applyFill="1" applyBorder="1"/>
    <xf numFmtId="0" fontId="22" fillId="10" borderId="7" xfId="0" applyFont="1" applyFill="1" applyBorder="1"/>
    <xf numFmtId="15" fontId="22" fillId="10" borderId="7" xfId="0" applyNumberFormat="1" applyFont="1" applyFill="1" applyBorder="1"/>
    <xf numFmtId="11" fontId="22" fillId="7" borderId="1" xfId="0" applyNumberFormat="1" applyFont="1" applyFill="1" applyBorder="1"/>
    <xf numFmtId="0" fontId="15" fillId="7" borderId="10" xfId="0" applyFont="1" applyFill="1" applyBorder="1"/>
    <xf numFmtId="11" fontId="22" fillId="7" borderId="7" xfId="0" applyNumberFormat="1" applyFont="1" applyFill="1" applyBorder="1"/>
    <xf numFmtId="0" fontId="15" fillId="7" borderId="11" xfId="0" applyFont="1" applyFill="1" applyBorder="1"/>
    <xf numFmtId="11" fontId="22" fillId="10" borderId="7" xfId="0" applyNumberFormat="1" applyFont="1" applyFill="1" applyBorder="1"/>
    <xf numFmtId="0" fontId="22" fillId="10" borderId="11" xfId="0" applyFont="1" applyFill="1" applyBorder="1"/>
    <xf numFmtId="0" fontId="22" fillId="7" borderId="10" xfId="0" applyFont="1" applyFill="1" applyBorder="1"/>
    <xf numFmtId="0" fontId="22" fillId="7" borderId="11" xfId="0" applyFont="1" applyFill="1" applyBorder="1"/>
    <xf numFmtId="0" fontId="22" fillId="9" borderId="7" xfId="0" applyFont="1" applyFill="1" applyBorder="1"/>
    <xf numFmtId="15" fontId="22" fillId="9" borderId="7" xfId="0" applyNumberFormat="1" applyFont="1" applyFill="1" applyBorder="1"/>
    <xf numFmtId="0" fontId="15" fillId="9" borderId="11" xfId="0" applyFont="1" applyFill="1" applyBorder="1"/>
    <xf numFmtId="0" fontId="22" fillId="9" borderId="11" xfId="0" applyFont="1" applyFill="1" applyBorder="1"/>
    <xf numFmtId="0" fontId="26" fillId="0" borderId="1" xfId="0" applyFont="1" applyBorder="1"/>
    <xf numFmtId="15" fontId="26" fillId="0" borderId="1" xfId="0" applyNumberFormat="1" applyFont="1" applyBorder="1"/>
    <xf numFmtId="0" fontId="27" fillId="0" borderId="7" xfId="0" applyFont="1" applyBorder="1"/>
    <xf numFmtId="15" fontId="27" fillId="0" borderId="7" xfId="0" applyNumberFormat="1" applyFont="1" applyBorder="1"/>
    <xf numFmtId="0" fontId="26" fillId="0" borderId="7" xfId="0" applyFont="1" applyBorder="1"/>
    <xf numFmtId="15" fontId="26" fillId="0" borderId="7" xfId="0" applyNumberFormat="1" applyFont="1" applyBorder="1"/>
    <xf numFmtId="0" fontId="26" fillId="12" borderId="7" xfId="0" applyFont="1" applyFill="1" applyBorder="1"/>
    <xf numFmtId="15" fontId="26" fillId="12" borderId="7" xfId="0" applyNumberFormat="1" applyFont="1" applyFill="1" applyBorder="1"/>
    <xf numFmtId="11" fontId="26" fillId="0" borderId="1" xfId="0" applyNumberFormat="1" applyFont="1" applyBorder="1"/>
    <xf numFmtId="0" fontId="15" fillId="0" borderId="10" xfId="0" applyFont="1" applyBorder="1"/>
    <xf numFmtId="11" fontId="27" fillId="0" borderId="7" xfId="0" applyNumberFormat="1" applyFont="1" applyBorder="1"/>
    <xf numFmtId="0" fontId="28" fillId="0" borderId="11" xfId="0" applyFont="1" applyBorder="1"/>
    <xf numFmtId="11" fontId="26" fillId="0" borderId="7" xfId="0" applyNumberFormat="1" applyFont="1" applyBorder="1"/>
    <xf numFmtId="0" fontId="26" fillId="0" borderId="11" xfId="0" applyFont="1" applyBorder="1"/>
    <xf numFmtId="11" fontId="26" fillId="12" borderId="7" xfId="0" applyNumberFormat="1" applyFont="1" applyFill="1" applyBorder="1"/>
    <xf numFmtId="0" fontId="15" fillId="12" borderId="11" xfId="0" applyFont="1" applyFill="1" applyBorder="1"/>
    <xf numFmtId="0" fontId="26" fillId="0" borderId="10" xfId="0" applyFont="1" applyBorder="1"/>
    <xf numFmtId="0" fontId="27" fillId="0" borderId="11" xfId="0" applyFont="1" applyBorder="1"/>
    <xf numFmtId="0" fontId="26" fillId="12" borderId="11" xfId="0" applyFont="1" applyFill="1" applyBorder="1"/>
    <xf numFmtId="0" fontId="22" fillId="0" borderId="1" xfId="0" applyFont="1" applyBorder="1"/>
    <xf numFmtId="15" fontId="22" fillId="0" borderId="1" xfId="0" applyNumberFormat="1" applyFont="1" applyBorder="1"/>
    <xf numFmtId="0" fontId="22" fillId="0" borderId="7" xfId="0" applyFont="1" applyBorder="1"/>
    <xf numFmtId="15" fontId="22" fillId="0" borderId="7" xfId="0" applyNumberFormat="1" applyFont="1" applyBorder="1"/>
    <xf numFmtId="0" fontId="22" fillId="8" borderId="7" xfId="0" applyFont="1" applyFill="1" applyBorder="1"/>
    <xf numFmtId="15" fontId="22" fillId="8" borderId="7" xfId="0" applyNumberFormat="1" applyFont="1" applyFill="1" applyBorder="1"/>
    <xf numFmtId="0" fontId="23" fillId="7" borderId="1" xfId="0" applyFont="1" applyFill="1" applyBorder="1"/>
    <xf numFmtId="0" fontId="23" fillId="7" borderId="7" xfId="0" applyFont="1" applyFill="1" applyBorder="1"/>
    <xf numFmtId="0" fontId="23" fillId="8" borderId="7" xfId="0" applyFont="1" applyFill="1" applyBorder="1"/>
    <xf numFmtId="11" fontId="22" fillId="0" borderId="1" xfId="0" applyNumberFormat="1" applyFont="1" applyBorder="1"/>
    <xf numFmtId="0" fontId="22" fillId="0" borderId="10" xfId="0" applyFont="1" applyBorder="1"/>
    <xf numFmtId="11" fontId="22" fillId="0" borderId="7" xfId="0" applyNumberFormat="1" applyFont="1" applyBorder="1"/>
    <xf numFmtId="0" fontId="15" fillId="0" borderId="11" xfId="0" applyFont="1" applyBorder="1"/>
    <xf numFmtId="11" fontId="22" fillId="8" borderId="7" xfId="0" applyNumberFormat="1" applyFont="1" applyFill="1" applyBorder="1"/>
    <xf numFmtId="0" fontId="15" fillId="8" borderId="11" xfId="0" applyFont="1" applyFill="1" applyBorder="1"/>
    <xf numFmtId="0" fontId="22" fillId="0" borderId="11" xfId="0" applyFont="1" applyBorder="1"/>
    <xf numFmtId="0" fontId="22" fillId="8" borderId="11" xfId="0" applyFont="1" applyFill="1" applyBorder="1"/>
    <xf numFmtId="0" fontId="22" fillId="13" borderId="7" xfId="0" applyFont="1" applyFill="1" applyBorder="1"/>
    <xf numFmtId="15" fontId="22" fillId="13" borderId="7" xfId="0" applyNumberFormat="1" applyFont="1" applyFill="1" applyBorder="1"/>
    <xf numFmtId="0" fontId="15" fillId="13" borderId="11" xfId="0" applyFont="1" applyFill="1" applyBorder="1"/>
    <xf numFmtId="0" fontId="22" fillId="13" borderId="11" xfId="0" applyFont="1" applyFill="1" applyBorder="1"/>
    <xf numFmtId="0" fontId="29" fillId="9" borderId="1" xfId="0" applyFont="1" applyFill="1" applyBorder="1"/>
    <xf numFmtId="15" fontId="29" fillId="9" borderId="1" xfId="0" applyNumberFormat="1" applyFont="1" applyFill="1" applyBorder="1"/>
    <xf numFmtId="0" fontId="29" fillId="9" borderId="10" xfId="0" applyFont="1" applyFill="1" applyBorder="1"/>
    <xf numFmtId="0" fontId="22" fillId="9" borderId="1" xfId="0" applyFont="1" applyFill="1" applyBorder="1"/>
    <xf numFmtId="15" fontId="22" fillId="9" borderId="1" xfId="0" applyNumberFormat="1" applyFont="1" applyFill="1" applyBorder="1"/>
    <xf numFmtId="0" fontId="22" fillId="7" borderId="7" xfId="0" quotePrefix="1" applyFont="1" applyFill="1" applyBorder="1"/>
    <xf numFmtId="0" fontId="7" fillId="7" borderId="11" xfId="2" applyFill="1" applyBorder="1"/>
    <xf numFmtId="0" fontId="22" fillId="9" borderId="10" xfId="0" applyFont="1" applyFill="1" applyBorder="1"/>
    <xf numFmtId="0" fontId="30" fillId="14" borderId="2" xfId="0" applyFont="1" applyFill="1" applyBorder="1" applyAlignment="1">
      <alignment horizontal="center" vertical="center"/>
    </xf>
    <xf numFmtId="15" fontId="30" fillId="14" borderId="2" xfId="0" applyNumberFormat="1" applyFont="1" applyFill="1" applyBorder="1" applyAlignment="1">
      <alignment horizontal="center" vertical="center"/>
    </xf>
    <xf numFmtId="0" fontId="30" fillId="14" borderId="2" xfId="0" applyFont="1" applyFill="1" applyBorder="1" applyAlignment="1">
      <alignment horizontal="left" vertical="center"/>
    </xf>
    <xf numFmtId="0" fontId="30" fillId="14" borderId="2" xfId="0" applyFont="1" applyFill="1" applyBorder="1" applyAlignment="1">
      <alignment horizontal="center" vertical="center" wrapText="1"/>
    </xf>
    <xf numFmtId="14" fontId="30" fillId="14" borderId="2" xfId="0" applyNumberFormat="1" applyFont="1" applyFill="1" applyBorder="1" applyAlignment="1">
      <alignment horizontal="center" vertical="center" wrapText="1"/>
    </xf>
    <xf numFmtId="14" fontId="31" fillId="14" borderId="2" xfId="0" applyNumberFormat="1" applyFont="1" applyFill="1" applyBorder="1" applyAlignment="1">
      <alignment horizontal="center" vertical="center" wrapText="1"/>
    </xf>
    <xf numFmtId="0" fontId="31" fillId="14" borderId="2" xfId="0" applyFont="1" applyFill="1" applyBorder="1" applyAlignment="1">
      <alignment horizontal="center" vertical="center" wrapText="1"/>
    </xf>
    <xf numFmtId="15" fontId="31" fillId="14" borderId="2" xfId="0" applyNumberFormat="1" applyFont="1" applyFill="1" applyBorder="1" applyAlignment="1">
      <alignment horizontal="center" vertical="center" wrapText="1"/>
    </xf>
    <xf numFmtId="0" fontId="13" fillId="0" borderId="1" xfId="0" applyFont="1" applyBorder="1" applyAlignment="1">
      <alignment horizontal="left" vertical="center" wrapText="1"/>
    </xf>
    <xf numFmtId="0" fontId="7" fillId="0" borderId="1" xfId="2" applyBorder="1" applyAlignment="1">
      <alignment horizontal="left" vertical="center"/>
    </xf>
    <xf numFmtId="0" fontId="13" fillId="0" borderId="12" xfId="0" applyFont="1" applyBorder="1" applyAlignment="1">
      <alignment horizontal="left" vertical="center"/>
    </xf>
    <xf numFmtId="0" fontId="0" fillId="0" borderId="2" xfId="0" applyBorder="1" applyAlignment="1">
      <alignment horizontal="center"/>
    </xf>
    <xf numFmtId="0" fontId="7" fillId="0" borderId="2" xfId="2" applyBorder="1" applyAlignment="1">
      <alignment horizontal="center" vertical="center"/>
    </xf>
    <xf numFmtId="0" fontId="13" fillId="0" borderId="2" xfId="0" applyFont="1" applyBorder="1" applyAlignment="1">
      <alignment horizontal="center" vertical="center"/>
    </xf>
    <xf numFmtId="0" fontId="13" fillId="0" borderId="6" xfId="0" applyFont="1" applyBorder="1" applyAlignment="1">
      <alignment horizontal="left" vertical="center"/>
    </xf>
    <xf numFmtId="0" fontId="0" fillId="6" borderId="6" xfId="0" applyFill="1" applyBorder="1" applyAlignment="1">
      <alignment horizontal="left" vertical="center"/>
    </xf>
    <xf numFmtId="15" fontId="13" fillId="0" borderId="10" xfId="0" applyNumberFormat="1" applyFont="1" applyBorder="1" applyAlignment="1">
      <alignment horizontal="left" vertical="center"/>
    </xf>
    <xf numFmtId="0" fontId="13" fillId="0" borderId="7" xfId="0" applyFont="1" applyBorder="1" applyAlignment="1">
      <alignment horizontal="left" vertical="center"/>
    </xf>
    <xf numFmtId="0" fontId="0" fillId="6" borderId="7" xfId="0" applyFill="1" applyBorder="1" applyAlignment="1">
      <alignment horizontal="left" vertical="center"/>
    </xf>
    <xf numFmtId="3" fontId="32" fillId="0" borderId="2" xfId="0" applyNumberFormat="1" applyFont="1" applyBorder="1" applyAlignment="1">
      <alignment horizontal="center"/>
    </xf>
    <xf numFmtId="15" fontId="13" fillId="0" borderId="2" xfId="0" applyNumberFormat="1" applyFont="1" applyBorder="1" applyAlignment="1">
      <alignment horizontal="left" vertical="center"/>
    </xf>
    <xf numFmtId="15" fontId="13" fillId="0" borderId="12" xfId="0" applyNumberFormat="1" applyFont="1" applyBorder="1" applyAlignment="1">
      <alignment horizontal="left" vertical="center"/>
    </xf>
    <xf numFmtId="15" fontId="13" fillId="0" borderId="7" xfId="0" applyNumberFormat="1" applyFont="1" applyBorder="1" applyAlignment="1">
      <alignment horizontal="left" vertical="center"/>
    </xf>
    <xf numFmtId="15" fontId="0" fillId="6" borderId="7" xfId="0" applyNumberFormat="1" applyFill="1" applyBorder="1" applyAlignment="1">
      <alignment horizontal="left" vertical="center"/>
    </xf>
    <xf numFmtId="0" fontId="13" fillId="0" borderId="2" xfId="0" applyFont="1" applyBorder="1" applyAlignment="1">
      <alignment horizontal="left" vertical="center"/>
    </xf>
    <xf numFmtId="0" fontId="9" fillId="6" borderId="2" xfId="0" applyFont="1" applyFill="1" applyBorder="1" applyAlignment="1">
      <alignment horizontal="left" vertical="top"/>
    </xf>
    <xf numFmtId="0" fontId="13" fillId="0" borderId="2" xfId="0" applyFont="1" applyBorder="1" applyAlignment="1">
      <alignment horizontal="left"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6" borderId="6" xfId="0" applyFill="1" applyBorder="1" applyAlignment="1">
      <alignment horizontal="left" vertical="center" wrapText="1"/>
    </xf>
    <xf numFmtId="0" fontId="13" fillId="0" borderId="10" xfId="0" applyFont="1" applyBorder="1" applyAlignment="1">
      <alignment horizontal="left" vertical="center"/>
    </xf>
    <xf numFmtId="0" fontId="13" fillId="0" borderId="11" xfId="0" applyFont="1" applyBorder="1" applyAlignment="1">
      <alignment horizontal="left" vertical="center"/>
    </xf>
    <xf numFmtId="0" fontId="13" fillId="0" borderId="13" xfId="0" applyFont="1" applyBorder="1" applyAlignment="1">
      <alignment horizontal="left" vertical="center"/>
    </xf>
    <xf numFmtId="0" fontId="0" fillId="6" borderId="11" xfId="0" applyFill="1" applyBorder="1" applyAlignment="1">
      <alignment horizontal="left" vertical="center"/>
    </xf>
    <xf numFmtId="0" fontId="0" fillId="6" borderId="10" xfId="0" applyFill="1" applyBorder="1" applyAlignment="1">
      <alignment horizontal="left" vertical="center"/>
    </xf>
    <xf numFmtId="0" fontId="13" fillId="0" borderId="3" xfId="0" applyFont="1" applyBorder="1" applyAlignment="1">
      <alignment horizontal="left" vertical="center"/>
    </xf>
    <xf numFmtId="15" fontId="13" fillId="0" borderId="3" xfId="0" applyNumberFormat="1" applyFont="1" applyBorder="1" applyAlignment="1">
      <alignment horizontal="left" vertical="center"/>
    </xf>
    <xf numFmtId="0" fontId="13" fillId="0" borderId="5" xfId="0" applyFont="1" applyBorder="1" applyAlignment="1">
      <alignment horizontal="left" vertical="center"/>
    </xf>
    <xf numFmtId="15" fontId="13" fillId="0" borderId="5" xfId="0" applyNumberFormat="1" applyFont="1" applyBorder="1" applyAlignment="1">
      <alignment horizontal="left" vertical="center"/>
    </xf>
    <xf numFmtId="0" fontId="9" fillId="6" borderId="7" xfId="0" applyFont="1" applyFill="1" applyBorder="1" applyAlignment="1">
      <alignment horizontal="left" vertical="top"/>
    </xf>
    <xf numFmtId="0" fontId="14" fillId="0" borderId="2" xfId="0" applyFont="1" applyBorder="1" applyAlignment="1">
      <alignment horizontal="left" vertical="center"/>
    </xf>
    <xf numFmtId="9" fontId="13" fillId="0" borderId="2" xfId="1" applyFont="1" applyFill="1" applyBorder="1" applyAlignment="1">
      <alignment horizontal="left" vertical="center"/>
    </xf>
    <xf numFmtId="1" fontId="13" fillId="0" borderId="2" xfId="1" applyNumberFormat="1" applyFont="1" applyFill="1" applyBorder="1" applyAlignment="1">
      <alignment horizontal="left" vertical="center"/>
    </xf>
    <xf numFmtId="16" fontId="13" fillId="0" borderId="2" xfId="0" applyNumberFormat="1" applyFont="1" applyBorder="1" applyAlignment="1">
      <alignment horizontal="left" vertical="center"/>
    </xf>
    <xf numFmtId="0" fontId="13" fillId="0" borderId="8" xfId="0" applyFont="1" applyBorder="1" applyAlignment="1">
      <alignment horizontal="left" vertical="center"/>
    </xf>
    <xf numFmtId="0" fontId="13" fillId="0" borderId="14" xfId="0" applyFont="1" applyBorder="1" applyAlignment="1">
      <alignment horizontal="left" vertical="center"/>
    </xf>
    <xf numFmtId="0" fontId="13" fillId="0" borderId="15" xfId="0" applyFont="1" applyBorder="1" applyAlignment="1">
      <alignment horizontal="left" vertical="center"/>
    </xf>
    <xf numFmtId="0" fontId="0" fillId="0" borderId="16" xfId="0" applyBorder="1" applyAlignment="1">
      <alignment horizontal="left" vertical="center" wrapText="1"/>
    </xf>
    <xf numFmtId="0" fontId="14" fillId="0" borderId="12" xfId="0" applyFont="1" applyBorder="1" applyAlignment="1">
      <alignment horizontal="left" vertical="center"/>
    </xf>
    <xf numFmtId="9" fontId="13" fillId="0" borderId="12" xfId="1" applyFont="1" applyFill="1" applyBorder="1" applyAlignment="1">
      <alignment horizontal="left" vertical="center"/>
    </xf>
    <xf numFmtId="1" fontId="13" fillId="0" borderId="12" xfId="1" applyNumberFormat="1" applyFont="1" applyFill="1" applyBorder="1" applyAlignment="1">
      <alignment horizontal="left" vertical="center"/>
    </xf>
    <xf numFmtId="15" fontId="0" fillId="6" borderId="3" xfId="0" applyNumberFormat="1" applyFill="1" applyBorder="1" applyAlignment="1">
      <alignment horizontal="left" vertical="center"/>
    </xf>
    <xf numFmtId="0" fontId="14" fillId="0" borderId="7" xfId="0" applyFont="1" applyBorder="1" applyAlignment="1">
      <alignment horizontal="left" vertical="center"/>
    </xf>
    <xf numFmtId="9" fontId="13" fillId="0" borderId="7" xfId="1" applyFont="1" applyFill="1" applyBorder="1" applyAlignment="1">
      <alignment horizontal="left" vertical="center"/>
    </xf>
    <xf numFmtId="1" fontId="13" fillId="0" borderId="7" xfId="1" applyNumberFormat="1" applyFont="1" applyFill="1" applyBorder="1" applyAlignment="1">
      <alignment horizontal="left" vertical="center"/>
    </xf>
    <xf numFmtId="0" fontId="13" fillId="0" borderId="5" xfId="0" applyFont="1" applyBorder="1" applyAlignment="1">
      <alignment horizontal="left" vertical="center" wrapText="1"/>
    </xf>
    <xf numFmtId="0" fontId="0" fillId="6" borderId="5" xfId="0" applyFill="1" applyBorder="1" applyAlignment="1">
      <alignment horizontal="left" vertical="center" wrapText="1"/>
    </xf>
    <xf numFmtId="0" fontId="0" fillId="0" borderId="5" xfId="0" applyBorder="1" applyAlignment="1">
      <alignment vertical="center" wrapText="1"/>
    </xf>
    <xf numFmtId="0" fontId="0" fillId="6" borderId="5" xfId="0" applyFill="1" applyBorder="1" applyAlignment="1">
      <alignment horizontal="left" vertical="center"/>
    </xf>
    <xf numFmtId="0" fontId="0" fillId="0" borderId="5" xfId="0" applyBorder="1"/>
    <xf numFmtId="15" fontId="0" fillId="6" borderId="5" xfId="0" applyNumberFormat="1" applyFill="1" applyBorder="1" applyAlignment="1">
      <alignment horizontal="left" vertical="center"/>
    </xf>
    <xf numFmtId="0" fontId="34" fillId="0" borderId="2" xfId="0" applyFont="1" applyBorder="1" applyAlignment="1">
      <alignment vertical="center" wrapText="1"/>
    </xf>
    <xf numFmtId="0" fontId="35" fillId="0" borderId="8" xfId="0" applyFont="1" applyBorder="1"/>
    <xf numFmtId="0" fontId="34" fillId="0" borderId="2" xfId="0" applyFont="1" applyBorder="1" applyAlignment="1">
      <alignment horizontal="left" vertical="center"/>
    </xf>
    <xf numFmtId="0" fontId="0" fillId="6" borderId="17" xfId="0" applyFill="1" applyBorder="1" applyAlignment="1">
      <alignment horizontal="left" vertical="center"/>
    </xf>
    <xf numFmtId="0" fontId="0" fillId="0" borderId="3" xfId="0" applyBorder="1" applyAlignment="1">
      <alignment vertical="center" wrapText="1"/>
    </xf>
    <xf numFmtId="0" fontId="13" fillId="0" borderId="3" xfId="0" applyFont="1" applyBorder="1" applyAlignment="1">
      <alignment horizontal="left" vertical="center" wrapText="1"/>
    </xf>
    <xf numFmtId="0" fontId="0" fillId="6" borderId="3" xfId="0" applyFill="1" applyBorder="1" applyAlignment="1">
      <alignment horizontal="left" vertical="center"/>
    </xf>
    <xf numFmtId="0" fontId="9" fillId="6" borderId="3" xfId="0" applyFont="1" applyFill="1" applyBorder="1" applyAlignment="1">
      <alignment horizontal="left" vertical="top"/>
    </xf>
    <xf numFmtId="0" fontId="0" fillId="6" borderId="13" xfId="0" applyFill="1" applyBorder="1" applyAlignment="1">
      <alignment horizontal="left" vertical="center"/>
    </xf>
    <xf numFmtId="0" fontId="0" fillId="6" borderId="12" xfId="0" applyFill="1" applyBorder="1" applyAlignment="1">
      <alignment horizontal="left" vertical="center"/>
    </xf>
    <xf numFmtId="15" fontId="0" fillId="6" borderId="12" xfId="0" applyNumberFormat="1" applyFill="1" applyBorder="1" applyAlignment="1">
      <alignment horizontal="left" vertical="center"/>
    </xf>
    <xf numFmtId="0" fontId="0" fillId="6" borderId="18" xfId="0" applyFill="1" applyBorder="1" applyAlignment="1">
      <alignment horizontal="left" vertical="center"/>
    </xf>
    <xf numFmtId="0" fontId="9" fillId="6" borderId="5" xfId="0" applyFont="1" applyFill="1" applyBorder="1" applyAlignment="1">
      <alignment horizontal="left" vertical="top"/>
    </xf>
    <xf numFmtId="0" fontId="0" fillId="0" borderId="1" xfId="0" applyBorder="1" applyAlignment="1">
      <alignment vertical="center" wrapText="1"/>
    </xf>
    <xf numFmtId="0" fontId="0" fillId="6" borderId="1" xfId="0" applyFill="1" applyBorder="1" applyAlignment="1">
      <alignment horizontal="center" vertical="center"/>
    </xf>
    <xf numFmtId="0" fontId="0" fillId="6" borderId="1" xfId="0" applyFill="1" applyBorder="1" applyAlignment="1">
      <alignment horizontal="left" vertical="center" wrapText="1"/>
    </xf>
    <xf numFmtId="0" fontId="1" fillId="2" borderId="10" xfId="0" applyFont="1" applyFill="1" applyBorder="1" applyAlignment="1">
      <alignment horizontal="center" vertical="center"/>
    </xf>
    <xf numFmtId="0" fontId="13" fillId="0" borderId="10" xfId="0" applyFont="1" applyBorder="1" applyAlignment="1">
      <alignment horizontal="left" vertical="center" wrapText="1"/>
    </xf>
    <xf numFmtId="0" fontId="0" fillId="6" borderId="19" xfId="0" applyFill="1" applyBorder="1" applyAlignment="1">
      <alignment horizontal="left" vertical="center" wrapText="1"/>
    </xf>
    <xf numFmtId="0" fontId="0" fillId="6" borderId="10" xfId="0" applyFill="1" applyBorder="1" applyAlignment="1">
      <alignment horizontal="left" vertical="center" wrapText="1"/>
    </xf>
    <xf numFmtId="0" fontId="0" fillId="0" borderId="3" xfId="0" applyBorder="1"/>
    <xf numFmtId="0" fontId="34" fillId="0" borderId="5" xfId="0" applyFont="1" applyBorder="1" applyAlignment="1">
      <alignment vertical="center" wrapText="1"/>
    </xf>
    <xf numFmtId="0" fontId="6" fillId="0" borderId="7" xfId="0" applyFont="1" applyBorder="1" applyAlignment="1">
      <alignment horizontal="left"/>
    </xf>
    <xf numFmtId="0" fontId="13" fillId="0" borderId="7" xfId="0" applyFont="1" applyBorder="1" applyAlignment="1">
      <alignment horizontal="left" vertical="center" wrapText="1"/>
    </xf>
    <xf numFmtId="0" fontId="34" fillId="0" borderId="1" xfId="0" applyFont="1" applyBorder="1" applyAlignment="1">
      <alignment vertical="center" wrapText="1"/>
    </xf>
    <xf numFmtId="0" fontId="0" fillId="0" borderId="2"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2" xfId="0" applyBorder="1" applyAlignment="1">
      <alignment wrapText="1"/>
    </xf>
    <xf numFmtId="0" fontId="9" fillId="6" borderId="1" xfId="0" applyFont="1" applyFill="1" applyBorder="1" applyAlignment="1">
      <alignment horizontal="left" vertical="top" wrapText="1"/>
    </xf>
    <xf numFmtId="0" fontId="13" fillId="0" borderId="1" xfId="0" applyFont="1" applyBorder="1" applyAlignment="1">
      <alignment horizontal="center" vertical="center"/>
    </xf>
    <xf numFmtId="15" fontId="13" fillId="0" borderId="1" xfId="0" applyNumberFormat="1" applyFont="1" applyBorder="1" applyAlignment="1">
      <alignment horizontal="center" vertical="center"/>
    </xf>
    <xf numFmtId="0" fontId="0" fillId="6" borderId="8" xfId="0" applyFill="1" applyBorder="1" applyAlignment="1">
      <alignment horizontal="left" vertical="center"/>
    </xf>
    <xf numFmtId="15" fontId="13" fillId="0" borderId="19" xfId="0" applyNumberFormat="1" applyFont="1" applyBorder="1" applyAlignment="1">
      <alignment horizontal="left" vertical="center"/>
    </xf>
    <xf numFmtId="0" fontId="0" fillId="6" borderId="19" xfId="0" applyFill="1" applyBorder="1" applyAlignment="1">
      <alignment horizontal="left" vertical="center"/>
    </xf>
    <xf numFmtId="0" fontId="0" fillId="0" borderId="3" xfId="0" applyBorder="1" applyAlignment="1">
      <alignment horizontal="center"/>
    </xf>
    <xf numFmtId="0" fontId="7" fillId="0" borderId="3" xfId="2" applyBorder="1" applyAlignment="1">
      <alignment horizontal="center" vertical="center"/>
    </xf>
    <xf numFmtId="0" fontId="13" fillId="0" borderId="20" xfId="0" applyFont="1" applyBorder="1" applyAlignment="1">
      <alignment horizontal="left" vertical="center"/>
    </xf>
    <xf numFmtId="15" fontId="13" fillId="0" borderId="20" xfId="0" applyNumberFormat="1" applyFont="1" applyBorder="1" applyAlignment="1">
      <alignment horizontal="left" vertical="center"/>
    </xf>
    <xf numFmtId="0" fontId="0" fillId="0" borderId="1" xfId="0" applyBorder="1" applyAlignment="1">
      <alignment horizontal="center"/>
    </xf>
    <xf numFmtId="0" fontId="7" fillId="0" borderId="1" xfId="2" applyBorder="1" applyAlignment="1">
      <alignment horizontal="center" vertical="center"/>
    </xf>
    <xf numFmtId="0" fontId="33" fillId="0" borderId="1" xfId="0" applyFont="1" applyBorder="1" applyAlignment="1">
      <alignment horizontal="center"/>
    </xf>
    <xf numFmtId="0" fontId="7" fillId="0" borderId="1" xfId="2" applyBorder="1" applyAlignment="1">
      <alignment horizontal="center"/>
    </xf>
    <xf numFmtId="15" fontId="0" fillId="6" borderId="1" xfId="0" applyNumberFormat="1" applyFill="1" applyBorder="1" applyAlignment="1">
      <alignment horizontal="center" vertical="center"/>
    </xf>
    <xf numFmtId="14" fontId="6" fillId="6" borderId="2" xfId="0" applyNumberFormat="1" applyFont="1" applyFill="1" applyBorder="1"/>
    <xf numFmtId="0" fontId="6" fillId="6" borderId="2" xfId="0" applyFont="1" applyFill="1" applyBorder="1"/>
    <xf numFmtId="15" fontId="6" fillId="6" borderId="2" xfId="0" applyNumberFormat="1" applyFont="1" applyFill="1" applyBorder="1"/>
    <xf numFmtId="11" fontId="6" fillId="6" borderId="2" xfId="0" applyNumberFormat="1" applyFont="1" applyFill="1" applyBorder="1"/>
    <xf numFmtId="0" fontId="6" fillId="0" borderId="1" xfId="0" applyFont="1" applyBorder="1"/>
    <xf numFmtId="0" fontId="6" fillId="0" borderId="7" xfId="0" applyFont="1" applyBorder="1"/>
    <xf numFmtId="15" fontId="6" fillId="0" borderId="7" xfId="0" applyNumberFormat="1" applyFont="1" applyBorder="1"/>
    <xf numFmtId="0" fontId="6" fillId="0" borderId="11" xfId="0" applyFont="1" applyBorder="1"/>
    <xf numFmtId="15" fontId="6" fillId="9" borderId="7" xfId="0" applyNumberFormat="1" applyFont="1" applyFill="1" applyBorder="1"/>
    <xf numFmtId="0" fontId="6" fillId="9" borderId="7" xfId="0" applyFont="1" applyFill="1" applyBorder="1"/>
    <xf numFmtId="0" fontId="6" fillId="9" borderId="11" xfId="0" applyFont="1" applyFill="1" applyBorder="1"/>
    <xf numFmtId="0" fontId="7" fillId="6" borderId="1" xfId="2" applyFill="1" applyBorder="1" applyAlignment="1">
      <alignment horizontal="left" vertical="center"/>
    </xf>
    <xf numFmtId="0" fontId="2" fillId="0" borderId="1" xfId="0" applyFont="1" applyBorder="1" applyAlignment="1">
      <alignment horizontal="center" vertical="center"/>
    </xf>
    <xf numFmtId="0" fontId="0" fillId="3" borderId="1" xfId="0" applyFill="1" applyBorder="1" applyAlignment="1">
      <alignment horizont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cellXfs>
  <cellStyles count="3">
    <cellStyle name="Hyperlink" xfId="2" builtinId="8"/>
    <cellStyle name="Normal" xfId="0" builtinId="0"/>
    <cellStyle name="Percent" xfId="1" builtinId="5"/>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s>
  <tableStyles count="1" defaultTableStyle="TableStyleMedium2" defaultPivotStyle="PivotStyleLight16">
    <tableStyle name="Slicer Style 1" pivot="0" table="0" count="1" xr9:uid="{39B4B269-D882-41FD-A540-D2646655A101}">
      <tableStyleElement type="wholeTable" dxfId="17"/>
    </tableStyle>
  </tableStyles>
  <colors>
    <mruColors>
      <color rgb="FFEE8F6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Noida" TargetMode="External"/><Relationship Id="rId3" Type="http://schemas.openxmlformats.org/officeDocument/2006/relationships/hyperlink" Target="https://www.bing.com/th?id=OSK.b14e92073be71cac78b9b93f7c710be0&amp;qlt=95" TargetMode="External"/><Relationship Id="rId7" Type="http://schemas.openxmlformats.org/officeDocument/2006/relationships/hyperlink" Target="https://www.bing.com/th?id=OSK.a0e43aa7b61d72101b1999db34c713b0&amp;qlt=95" TargetMode="External"/><Relationship Id="rId2" Type="http://schemas.openxmlformats.org/officeDocument/2006/relationships/hyperlink" Target="https://www.bing.com/images/search?form=xlimg&amp;q=Pune" TargetMode="External"/><Relationship Id="rId1" Type="http://schemas.openxmlformats.org/officeDocument/2006/relationships/hyperlink" Target="https://www.bing.com/th?id=OSK.hmlfFqOVqbL2htcNhGkOD0SLRoM8ZxntAGLh0RJmFpk&amp;qlt=95" TargetMode="External"/><Relationship Id="rId6" Type="http://schemas.openxmlformats.org/officeDocument/2006/relationships/hyperlink" Target="https://www.bing.com/images/search?form=xlimg&amp;q=Bengaluru" TargetMode="External"/><Relationship Id="rId5" Type="http://schemas.openxmlformats.org/officeDocument/2006/relationships/hyperlink" Target="https://www.bing.com/th?id=OSK.94d73da6f1fde5c0a8576dce809f89ee&amp;qlt=95" TargetMode="External"/><Relationship Id="rId10" Type="http://schemas.openxmlformats.org/officeDocument/2006/relationships/hyperlink" Target="https://www.bing.com/images/search?form=xlimg&amp;q=Kolkata" TargetMode="External"/><Relationship Id="rId4" Type="http://schemas.openxmlformats.org/officeDocument/2006/relationships/hyperlink" Target="https://www.bing.com/images/search?form=xlimg&amp;q=Ahmedabad" TargetMode="External"/><Relationship Id="rId9" Type="http://schemas.openxmlformats.org/officeDocument/2006/relationships/hyperlink" Target="https://www.bing.com/th?id=OSK.43aaf683d513aa9ed27ac92098a8cf26&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5">
  <a r="1">
    <v t="s">UTC+05:30</v>
  </a>
  <a r="2">
    <v t="r">16</v>
    <v t="r">17</v>
  </a>
  <a r="1">
    <v t="s">M Goutham Kumar (Mayor)</v>
  </a>
  <a r="1">
    <v t="r">38</v>
  </a>
  <a r="2">
    <v t="r">48</v>
    <v t="r">49</v>
  </a>
</arrayData>
</file>

<file path=xl/richData/rdrichvalue.xml><?xml version="1.0" encoding="utf-8"?>
<rvData xmlns="http://schemas.microsoft.com/office/spreadsheetml/2017/richdata" count="55">
  <rv s="0">
    <v>536870912</v>
    <v>Pune</v>
    <v>cf0cd580-e301-a362-0bc6-10980ed3fc50</v>
    <v>en-US</v>
    <v>Map</v>
  </rv>
  <rv s="0">
    <v>536870912</v>
    <v>Pune district</v>
    <v>2e0769ee-608b-33fd-6c72-91c492a7ca7d</v>
    <v>en-US</v>
    <v>Map</v>
  </rv>
  <rv s="1">
    <fb>710</fb>
    <v>8</v>
  </rv>
  <rv s="0">
    <v>536870912</v>
    <v>India</v>
    <v>85fa63d3-9596-adb9-b4eb-502273d84f56</v>
    <v>en-US</v>
    <v>Map</v>
  </rv>
  <rv s="2">
    <v>0</v>
    <v>6</v>
    <v>0</v>
    <v>7</v>
    <v>0</v>
    <v>Image of Pune</v>
  </rv>
  <rv s="1">
    <fb>18.519573999999999</fb>
    <v>9</v>
  </rv>
  <rv s="3">
    <v>https://www.bing.com/search?q=pune&amp;form=skydnc</v>
    <v>Learn more on Bing</v>
  </rv>
  <rv s="1">
    <fb>73.855287000000004</fb>
    <v>9</v>
  </rv>
  <rv s="1">
    <fb>5945000</fb>
    <v>8</v>
  </rv>
  <rv s="4">
    <v>0</v>
  </rv>
  <rv s="5">
    <v>#VALUE!</v>
    <v>en-US</v>
    <v>cf0cd580-e301-a362-0bc6-10980ed3fc50</v>
    <v>536870912</v>
    <v>1</v>
    <v>1</v>
    <v>2</v>
    <v>Pune</v>
    <v>4</v>
    <v>5</v>
    <v>Map</v>
    <v>6</v>
    <v>7</v>
    <v>1</v>
    <v>2</v>
    <v>3</v>
    <v>Pune, previously spelled in English as Poona, is a city in the state of Maharashtra in the Deccan plateau in Western India. It is the administrative headquarters of the Pune district, and of Pune division. According to the 2011 Census of India, ...</v>
    <v>4</v>
    <v>5</v>
    <v>6</v>
    <v>7</v>
    <v>Pune</v>
    <v>8</v>
    <v>9</v>
    <v>Pune</v>
    <v>mdp/vdpid/7461463064076877839</v>
  </rv>
  <rv s="0">
    <v>536870912</v>
    <v>Ahmedabad</v>
    <v>f741e2c0-a401-4bcb-2d92-c364fe683513</v>
    <v>en-US</v>
    <v>Map</v>
  </rv>
  <rv s="0">
    <v>536870912</v>
    <v>Gujarat</v>
    <v>c70b768e-21ab-4f53-a356-564e8da2291e</v>
    <v>en-US</v>
    <v>Map</v>
  </rv>
  <rv s="1">
    <fb>464.16500000000002</fb>
    <v>8</v>
  </rv>
  <rv s="2">
    <v>1</v>
    <v>6</v>
    <v>10</v>
    <v>7</v>
    <v>0</v>
    <v>Image of Ahmedabad</v>
  </rv>
  <rv s="1">
    <fb>23.021944444444401</fb>
    <v>9</v>
  </rv>
  <rv s="0">
    <v>805306368</v>
    <v>Pratibha Jain (Mayor)</v>
    <v>7cb51764-38d6-a29e-a43d-0df082af754a</v>
    <v>en-US</v>
    <v>Generic</v>
  </rv>
  <rv s="0">
    <v>805306368</v>
    <v>Jatin Patel (Deputy mayor)</v>
    <v>e59b1bcc-851a-4bdb-e331-88b779cd49dd</v>
    <v>en-US</v>
    <v>Generic</v>
  </rv>
  <rv s="4">
    <v>1</v>
  </rv>
  <rv s="3">
    <v>https://www.bing.com/search?q=ahmedabad&amp;form=skydnc</v>
    <v>Learn more on Bing</v>
  </rv>
  <rv s="1">
    <fb>72.579722222222202</fb>
    <v>9</v>
  </rv>
  <rv s="1">
    <fb>8854440</fb>
    <v>8</v>
  </rv>
  <rv s="6">
    <v>#VALUE!</v>
    <v>en-US</v>
    <v>f741e2c0-a401-4bcb-2d92-c364fe683513</v>
    <v>536870912</v>
    <v>1</v>
    <v>11</v>
    <v>12</v>
    <v>Ahmedabad</v>
    <v>4</v>
    <v>5</v>
    <v>Map</v>
    <v>6</v>
    <v>13</v>
    <v>12</v>
    <v>13</v>
    <v>3</v>
    <v>Ahmedabad, also spelled as Amdavad, is the most populous city in the Indian state of Gujarat. It is the administrative headquarters of the Ahmedabad district and the seat of the Gujarat High Court. Ahmedabad's population of 5,570,585 makes it ...</v>
    <v>14</v>
    <v>15</v>
    <v>18</v>
    <v>19</v>
    <v>20</v>
    <v>Ahmedabad</v>
    <v>21</v>
    <v>9</v>
    <v>Ahmedabad</v>
    <v>mdp/vdpid/7410643148977733636</v>
  </rv>
  <rv s="0">
    <v>536870912</v>
    <v>Bangalore</v>
    <v>2ab373f2-434a-45b8-c281-342ba82d97a0</v>
    <v>en-US</v>
    <v>Map</v>
  </rv>
  <rv s="1">
    <fb>741</fb>
    <v>8</v>
  </rv>
  <rv s="0">
    <v>536870912</v>
    <v>Company rule in India</v>
    <v>322aafcd-954d-0db7-5871-c26baa1b8358</v>
    <v>en-US</v>
    <v>Map</v>
  </rv>
  <rv s="2">
    <v>2</v>
    <v>6</v>
    <v>14</v>
    <v>7</v>
    <v>0</v>
    <v>Image of Bengaluru</v>
  </rv>
  <rv s="1">
    <fb>12.979119799999999</fb>
    <v>9</v>
  </rv>
  <rv s="4">
    <v>2</v>
  </rv>
  <rv s="3">
    <v>https://www.bing.com/search?q=bangalore&amp;form=skydnc</v>
    <v>Learn more on Bing</v>
  </rv>
  <rv s="1">
    <fb>77.591299699999993</fb>
    <v>9</v>
  </rv>
  <rv s="1">
    <fb>12327000</fb>
    <v>8</v>
  </rv>
  <rv s="7">
    <v>#VALUE!</v>
    <v>en-US</v>
    <v>2ab373f2-434a-45b8-c281-342ba82d97a0</v>
    <v>536870912</v>
    <v>1</v>
    <v>15</v>
    <v>16</v>
    <v>Bengaluru</v>
    <v>4</v>
    <v>5</v>
    <v>Map</v>
    <v>6</v>
    <v>17</v>
    <v>24</v>
    <v>25</v>
    <v>Bengaluru, formerly called Bangalore, is the capital and largest city of the southern Indian state of Karnataka. As per the 2011 census, the city had a population of 8.4 million, making it the third most populous city in India and the most ...</v>
    <v>26</v>
    <v>27</v>
    <v>28</v>
    <v>29</v>
    <v>30</v>
    <v>Bengaluru</v>
    <v>31</v>
    <v>9</v>
    <v>Bengaluru</v>
    <v>mdp/vdpid/7466620589789151233</v>
  </rv>
  <rv s="0">
    <v>536870912</v>
    <v>Noida</v>
    <v>9365503b-170f-0cda-2f58-b57e6b2b8450</v>
    <v>en-US</v>
    <v>Map</v>
  </rv>
  <rv s="0">
    <v>536870912</v>
    <v>Gautam Buddh Nagar district</v>
    <v>35fb9185-fc32-cfac-a2e8-47ffeb76ed30</v>
    <v>en-US</v>
    <v>Map</v>
  </rv>
  <rv s="1">
    <fb>92.1</fb>
    <v>8</v>
  </rv>
  <rv s="2">
    <v>3</v>
    <v>6</v>
    <v>18</v>
    <v>7</v>
    <v>0</v>
    <v>Image of Noida</v>
  </rv>
  <rv s="1">
    <fb>28.57</fb>
    <v>9</v>
  </rv>
  <rv s="0">
    <v>805306368</v>
    <v>Sanjeev Kumar Mittal (Chairman)</v>
    <v>3ee9babc-b402-cff4-05e6-9d485a54b63a</v>
    <v>en-US</v>
    <v>Generic</v>
  </rv>
  <rv s="4">
    <v>3</v>
  </rv>
  <rv s="3">
    <v>https://www.bing.com/search?q=noida&amp;form=skydnc</v>
    <v>Learn more on Bing</v>
  </rv>
  <rv s="1">
    <fb>77.319999999999993</fb>
    <v>9</v>
  </rv>
  <rv s="1">
    <fb>637272</fb>
    <v>8</v>
  </rv>
  <rv s="8">
    <v>#VALUE!</v>
    <v>en-US</v>
    <v>9365503b-170f-0cda-2f58-b57e6b2b8450</v>
    <v>536870912</v>
    <v>1</v>
    <v>19</v>
    <v>20</v>
    <v>Noida</v>
    <v>4</v>
    <v>5</v>
    <v>Map</v>
    <v>6</v>
    <v>21</v>
    <v>34</v>
    <v>35</v>
    <v>3</v>
    <v>Noida, short for New Okhla Industrial Development Authority, is a city located in Gautam Buddha Nagar district of the Indian state of Uttar Pradesh. Noida is a satellite city of Delhi and is a part of the National Capital Region. As per ...</v>
    <v>36</v>
    <v>37</v>
    <v>39</v>
    <v>40</v>
    <v>41</v>
    <v>Noida</v>
    <v>42</v>
    <v>Noida</v>
    <v>mdp/vdpid/7408355684812587009</v>
  </rv>
  <rv s="0">
    <v>536870912</v>
    <v>Kolkata</v>
    <v>e5f8e89d-f3e0-3a9e-7b62-24348d526819</v>
    <v>en-US</v>
    <v>Map</v>
  </rv>
  <rv s="1">
    <fb>206.08</fb>
    <v>8</v>
  </rv>
  <rv s="2">
    <v>4</v>
    <v>6</v>
    <v>22</v>
    <v>7</v>
    <v>0</v>
    <v>Image of Kolkata</v>
  </rv>
  <rv s="1">
    <fb>22.572672300000001</fb>
    <v>9</v>
  </rv>
  <rv s="0">
    <v>805306368</v>
    <v>Firhad Hakim (Mayor)</v>
    <v>899268aa-2ac9-4a09-bb3c-8fa5b3ea6848</v>
    <v>en-US</v>
    <v>Generic</v>
  </rv>
  <rv s="0">
    <v>805306368</v>
    <v>Atin Ghosh (Deputy mayor)</v>
    <v>adf686c6-c7c3-d05a-cbf1-7ef2a186f59b</v>
    <v>en-US</v>
    <v>Generic</v>
  </rv>
  <rv s="4">
    <v>4</v>
  </rv>
  <rv s="3">
    <v>https://www.bing.com/search?q=kolkata&amp;form=skydnc</v>
    <v>Learn more on Bing</v>
  </rv>
  <rv s="1">
    <fb>88.363881500000005</fb>
    <v>9</v>
  </rv>
  <rv s="1">
    <fb>4496694</fb>
    <v>8</v>
  </rv>
  <rv s="9">
    <v>#VALUE!</v>
    <v>en-US</v>
    <v>e5f8e89d-f3e0-3a9e-7b62-24348d526819</v>
    <v>536870912</v>
    <v>1</v>
    <v>23</v>
    <v>24</v>
    <v>Kolkata</v>
    <v>4</v>
    <v>5</v>
    <v>Map</v>
    <v>6</v>
    <v>21</v>
    <v>45</v>
    <v>3</v>
    <v>Kolkata is the capital and largest city of the Indian state of West Bengal. It lies on the eastern bank of the Hooghly River, 80 km west of the border with Bangladesh. It is the primary financial and commercial center of eastern and northeastern ...</v>
    <v>46</v>
    <v>47</v>
    <v>50</v>
    <v>51</v>
    <v>52</v>
    <v>Kolkata</v>
    <v>53</v>
    <v>Kolkata</v>
    <v>mdp/vdpid/7421784768603226114</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5">
    <a count="25">
      <v t="s">%EntityServiceId</v>
      <v t="s">%IsRefreshable</v>
      <v t="s">%EntityCulture</v>
      <v t="s">%EntityId</v>
      <v t="s">_Icon</v>
      <v t="s">_Provider</v>
      <v t="s">_Attribution</v>
      <v t="s">_Display</v>
      <v t="s">Name</v>
      <v t="s">_Format</v>
      <v t="s">Admin Division 2 (County/district/other)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spbArrays>
  <spbData count="25">
    <spb s="0">
      <v xml:space="preserve">Wikipedia	</v>
      <v xml:space="preserve">CC BY-SA 3.0	</v>
      <v xml:space="preserve">https://en.wikipedia.org/wiki/Pune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2016</v>
    </spb>
    <spb s="8">
      <v>3</v>
    </spb>
    <spb s="8">
      <v>4</v>
    </spb>
    <spb s="0">
      <v xml:space="preserve">Wikipedia	</v>
      <v xml:space="preserve">CC BY-SA 3.0	</v>
      <v xml:space="preserve">https://en.wikipedia.org/wiki/Ahmedabad	</v>
      <v xml:space="preserve">https://creativecommons.org/licenses/by-sa/3.0	</v>
    </spb>
    <spb s="9">
      <v>10</v>
      <v>10</v>
      <v>10</v>
      <v>10</v>
      <v>10</v>
      <v>10</v>
      <v>10</v>
      <v>10</v>
      <v>10</v>
    </spb>
    <spb s="2">
      <v>1</v>
      <v>Name</v>
      <v>LearnMoreOnLink</v>
    </spb>
    <spb s="7">
      <v>square km</v>
      <v>2024</v>
    </spb>
    <spb s="0">
      <v xml:space="preserve">Wikipedia	</v>
      <v xml:space="preserve">CC BY-SA 3.0	</v>
      <v xml:space="preserve">https://en.wikipedia.org/wiki/Bengaluru	</v>
      <v xml:space="preserve">https://creativecommons.org/licenses/by-sa/3.0	</v>
    </spb>
    <spb s="10">
      <v>14</v>
      <v>14</v>
      <v>14</v>
      <v>14</v>
      <v>14</v>
      <v>14</v>
      <v>14</v>
      <v>14</v>
    </spb>
    <spb s="2">
      <v>2</v>
      <v>Name</v>
      <v>LearnMoreOnLink</v>
    </spb>
    <spb s="7">
      <v>square km</v>
      <v>2020</v>
    </spb>
    <spb s="0">
      <v xml:space="preserve">Wikipedia	</v>
      <v xml:space="preserve">CC BY-SA 3.0	</v>
      <v xml:space="preserve">https://en.wikipedia.org/wiki/Noida	</v>
      <v xml:space="preserve">https://creativecommons.org/licenses/by-sa/3.0	</v>
    </spb>
    <spb s="1">
      <v>18</v>
      <v>18</v>
      <v>18</v>
      <v>18</v>
      <v>18</v>
      <v>18</v>
      <v>18</v>
      <v>18</v>
      <v>18</v>
    </spb>
    <spb s="2">
      <v>3</v>
      <v>Name</v>
      <v>LearnMoreOnLink</v>
    </spb>
    <spb s="7">
      <v>square km</v>
      <v>2011</v>
    </spb>
    <spb s="0">
      <v xml:space="preserve">Wikipedia	</v>
      <v xml:space="preserve">CC BY-SA 3.0	</v>
      <v xml:space="preserve">https://en.wikipedia.org/wiki/Kolkata	</v>
      <v xml:space="preserve">https://creativecommons.org/licenses/by-sa/3.0	</v>
    </spb>
    <spb s="10">
      <v>22</v>
      <v>22</v>
      <v>22</v>
      <v>22</v>
      <v>22</v>
      <v>22</v>
      <v>22</v>
      <v>22</v>
    </spb>
    <spb s="2">
      <v>4</v>
      <v>Name</v>
      <v>LearnMoreOnLink</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Latitude" t="spb"/>
    <k n="Longitude" t="spb"/>
    <k n="Population" t="spb"/>
    <k n="UniqueName" t="spb"/>
    <k n="Description" t="spb"/>
    <k n="Country/region"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pasarolkar@gmail.com%22%20%3cpasarolkar@gmail.com" TargetMode="External"/><Relationship Id="rId3" Type="http://schemas.openxmlformats.org/officeDocument/2006/relationships/hyperlink" Target="mailto:gjeevankumarreddy2001@gmail.com" TargetMode="External"/><Relationship Id="rId7" Type="http://schemas.openxmlformats.org/officeDocument/2006/relationships/hyperlink" Target="mailto:Potbhareabhay25@gmail.com" TargetMode="External"/><Relationship Id="rId2" Type="http://schemas.openxmlformats.org/officeDocument/2006/relationships/hyperlink" Target="mailto:akshaythite94@gmail.com" TargetMode="External"/><Relationship Id="rId1" Type="http://schemas.openxmlformats.org/officeDocument/2006/relationships/hyperlink" Target="mailto:guru141997@gmail.com" TargetMode="External"/><Relationship Id="rId6" Type="http://schemas.openxmlformats.org/officeDocument/2006/relationships/hyperlink" Target="mailto:divyadudande31@gmail.com" TargetMode="External"/><Relationship Id="rId5" Type="http://schemas.openxmlformats.org/officeDocument/2006/relationships/hyperlink" Target="mailto:mukeshvishe7999@gmail.com" TargetMode="External"/><Relationship Id="rId4" Type="http://schemas.openxmlformats.org/officeDocument/2006/relationships/hyperlink" Target="mailto:sagarchaudhari2907@gmail.com"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mailto:vrushalimedhe614@gmail.com" TargetMode="External"/><Relationship Id="rId21" Type="http://schemas.openxmlformats.org/officeDocument/2006/relationships/hyperlink" Target="mailto:Kedar.Joshi@gmail.com" TargetMode="External"/><Relationship Id="rId42" Type="http://schemas.openxmlformats.org/officeDocument/2006/relationships/hyperlink" Target="mailto:velurugnanadeep@gmail.com" TargetMode="External"/><Relationship Id="rId47" Type="http://schemas.openxmlformats.org/officeDocument/2006/relationships/hyperlink" Target="mailto:patilutkarsh025@gmail.com" TargetMode="External"/><Relationship Id="rId63" Type="http://schemas.openxmlformats.org/officeDocument/2006/relationships/hyperlink" Target="mailto:ashutoshshinde189@gmail.com" TargetMode="External"/><Relationship Id="rId68" Type="http://schemas.openxmlformats.org/officeDocument/2006/relationships/hyperlink" Target="mailto:rohitypatil05@gmail.com" TargetMode="External"/><Relationship Id="rId84" Type="http://schemas.openxmlformats.org/officeDocument/2006/relationships/hyperlink" Target="mailto:aniket7969@gmail.com" TargetMode="External"/><Relationship Id="rId89" Type="http://schemas.openxmlformats.org/officeDocument/2006/relationships/hyperlink" Target="mailto:akshay.antapurkar@gmail.com" TargetMode="External"/><Relationship Id="rId16" Type="http://schemas.openxmlformats.org/officeDocument/2006/relationships/hyperlink" Target="mailto:mominsajid603@gmail.com" TargetMode="External"/><Relationship Id="rId11" Type="http://schemas.openxmlformats.org/officeDocument/2006/relationships/hyperlink" Target="mailto:d.rajupase@gmail.com" TargetMode="External"/><Relationship Id="rId32" Type="http://schemas.openxmlformats.org/officeDocument/2006/relationships/hyperlink" Target="mailto:pramodtakle62@gmail.com" TargetMode="External"/><Relationship Id="rId37" Type="http://schemas.openxmlformats.org/officeDocument/2006/relationships/hyperlink" Target="mailto:pruthvirajmore8390@gmail.com" TargetMode="External"/><Relationship Id="rId53" Type="http://schemas.openxmlformats.org/officeDocument/2006/relationships/hyperlink" Target="mailto:shitalsonune704@gmail.com" TargetMode="External"/><Relationship Id="rId58" Type="http://schemas.openxmlformats.org/officeDocument/2006/relationships/hyperlink" Target="mailto:raghav01950@gmail.com" TargetMode="External"/><Relationship Id="rId74" Type="http://schemas.openxmlformats.org/officeDocument/2006/relationships/hyperlink" Target="mailto:vinayak21sep@gmail.com" TargetMode="External"/><Relationship Id="rId79" Type="http://schemas.openxmlformats.org/officeDocument/2006/relationships/hyperlink" Target="mailto:aishwaryashelke30@gmail.com" TargetMode="External"/><Relationship Id="rId5" Type="http://schemas.openxmlformats.org/officeDocument/2006/relationships/hyperlink" Target="mailto:jayashriarote9@gmail.com" TargetMode="External"/><Relationship Id="rId90" Type="http://schemas.openxmlformats.org/officeDocument/2006/relationships/hyperlink" Target="mailto:bhosalenilesh47@gmail.com" TargetMode="External"/><Relationship Id="rId95" Type="http://schemas.openxmlformats.org/officeDocument/2006/relationships/hyperlink" Target="mailto:adityarasal@gmail.com" TargetMode="External"/><Relationship Id="rId22" Type="http://schemas.openxmlformats.org/officeDocument/2006/relationships/hyperlink" Target="mailto:Jaykumar@gmail.com" TargetMode="External"/><Relationship Id="rId27" Type="http://schemas.openxmlformats.org/officeDocument/2006/relationships/hyperlink" Target="mailto:shekharpawarbe@gmail.com" TargetMode="External"/><Relationship Id="rId43" Type="http://schemas.openxmlformats.org/officeDocument/2006/relationships/hyperlink" Target="mailto:sagar.giri21@gmail.com" TargetMode="External"/><Relationship Id="rId48" Type="http://schemas.openxmlformats.org/officeDocument/2006/relationships/hyperlink" Target="mailto:pnitin9529@gmail.com" TargetMode="External"/><Relationship Id="rId64" Type="http://schemas.openxmlformats.org/officeDocument/2006/relationships/hyperlink" Target="mailto:rsdongare535@gmail.com" TargetMode="External"/><Relationship Id="rId69" Type="http://schemas.openxmlformats.org/officeDocument/2006/relationships/hyperlink" Target="mailto:nishukatake27@gmail.com" TargetMode="External"/><Relationship Id="rId80" Type="http://schemas.openxmlformats.org/officeDocument/2006/relationships/hyperlink" Target="mailto:shubhamsakharkar196@gmail.com" TargetMode="External"/><Relationship Id="rId85" Type="http://schemas.openxmlformats.org/officeDocument/2006/relationships/hyperlink" Target="mailto:rawatbipin9594@gmail.com" TargetMode="External"/><Relationship Id="rId12" Type="http://schemas.openxmlformats.org/officeDocument/2006/relationships/hyperlink" Target="mailto:er.sanyamjain08@gmail.com" TargetMode="External"/><Relationship Id="rId17" Type="http://schemas.openxmlformats.org/officeDocument/2006/relationships/hyperlink" Target="mailto:tejasmane621@gmail.com" TargetMode="External"/><Relationship Id="rId25" Type="http://schemas.openxmlformats.org/officeDocument/2006/relationships/hyperlink" Target="mailto:its.sahuashish@gmail.com" TargetMode="External"/><Relationship Id="rId33" Type="http://schemas.openxmlformats.org/officeDocument/2006/relationships/hyperlink" Target="mailto:sankettidke17@gmail.com" TargetMode="External"/><Relationship Id="rId38" Type="http://schemas.openxmlformats.org/officeDocument/2006/relationships/hyperlink" Target="mailto:jadhav.ankitaa98@gmail.com" TargetMode="External"/><Relationship Id="rId46" Type="http://schemas.openxmlformats.org/officeDocument/2006/relationships/hyperlink" Target="mailto:mukundpawar7767@gmail.com" TargetMode="External"/><Relationship Id="rId59" Type="http://schemas.openxmlformats.org/officeDocument/2006/relationships/hyperlink" Target="mailto:shubhamanajekar@gmail.com" TargetMode="External"/><Relationship Id="rId67" Type="http://schemas.openxmlformats.org/officeDocument/2006/relationships/hyperlink" Target="mailto:badeakshay52@gmail.com" TargetMode="External"/><Relationship Id="rId20" Type="http://schemas.openxmlformats.org/officeDocument/2006/relationships/hyperlink" Target="mailto:Sangeet@gmail.com" TargetMode="External"/><Relationship Id="rId41" Type="http://schemas.openxmlformats.org/officeDocument/2006/relationships/hyperlink" Target="mailto:its.sahuashish@gmail.com" TargetMode="External"/><Relationship Id="rId54" Type="http://schemas.openxmlformats.org/officeDocument/2006/relationships/hyperlink" Target="mailto:vinayak21sep@gmail.com" TargetMode="External"/><Relationship Id="rId62" Type="http://schemas.openxmlformats.org/officeDocument/2006/relationships/hyperlink" Target="mailto:sachinkanhere6836@gmail.com" TargetMode="External"/><Relationship Id="rId70" Type="http://schemas.openxmlformats.org/officeDocument/2006/relationships/hyperlink" Target="mailto:markandeyasharma2233@gmail.com" TargetMode="External"/><Relationship Id="rId75" Type="http://schemas.openxmlformats.org/officeDocument/2006/relationships/hyperlink" Target="mailto:km591144@gmail.com" TargetMode="External"/><Relationship Id="rId83" Type="http://schemas.openxmlformats.org/officeDocument/2006/relationships/hyperlink" Target="mailto:parthodave@gmail.com" TargetMode="External"/><Relationship Id="rId88" Type="http://schemas.openxmlformats.org/officeDocument/2006/relationships/hyperlink" Target="mailto:ankitamalusare225@gmail.com" TargetMode="External"/><Relationship Id="rId91" Type="http://schemas.openxmlformats.org/officeDocument/2006/relationships/hyperlink" Target="mailto:praveen.chaplot@gmail.com" TargetMode="External"/><Relationship Id="rId96" Type="http://schemas.openxmlformats.org/officeDocument/2006/relationships/hyperlink" Target="mailto:aiswarya.remesh@gmail.com" TargetMode="External"/><Relationship Id="rId1" Type="http://schemas.openxmlformats.org/officeDocument/2006/relationships/hyperlink" Target="mailto:hemant.pareek12@gmail.com" TargetMode="External"/><Relationship Id="rId6" Type="http://schemas.openxmlformats.org/officeDocument/2006/relationships/hyperlink" Target="mailto:amolsp78@gmail.com" TargetMode="External"/><Relationship Id="rId15" Type="http://schemas.openxmlformats.org/officeDocument/2006/relationships/hyperlink" Target="mailto:dnyanesh.mirikar.iiti@gmail.com" TargetMode="External"/><Relationship Id="rId23" Type="http://schemas.openxmlformats.org/officeDocument/2006/relationships/hyperlink" Target="mailto:Yeddula@gmail.com" TargetMode="External"/><Relationship Id="rId28" Type="http://schemas.openxmlformats.org/officeDocument/2006/relationships/hyperlink" Target="mailto:karnamdhanunjay@gmail.com" TargetMode="External"/><Relationship Id="rId36" Type="http://schemas.openxmlformats.org/officeDocument/2006/relationships/hyperlink" Target="mailto:naidusyamdoddi@gmail.com" TargetMode="External"/><Relationship Id="rId49" Type="http://schemas.openxmlformats.org/officeDocument/2006/relationships/hyperlink" Target="mailto:km591144@gmail.com" TargetMode="External"/><Relationship Id="rId57" Type="http://schemas.openxmlformats.org/officeDocument/2006/relationships/hyperlink" Target="mailto:yogeshwadhankar@gmail.com" TargetMode="External"/><Relationship Id="rId10" Type="http://schemas.openxmlformats.org/officeDocument/2006/relationships/hyperlink" Target="mailto:archanaudar47@gmail.com" TargetMode="External"/><Relationship Id="rId31" Type="http://schemas.openxmlformats.org/officeDocument/2006/relationships/hyperlink" Target="mailto:maheshbhintade19@gmail.com" TargetMode="External"/><Relationship Id="rId44" Type="http://schemas.openxmlformats.org/officeDocument/2006/relationships/hyperlink" Target="mailto:akshaywajge56@gmail.com" TargetMode="External"/><Relationship Id="rId52" Type="http://schemas.openxmlformats.org/officeDocument/2006/relationships/hyperlink" Target="mailto:potegaurav09@gmail.com" TargetMode="External"/><Relationship Id="rId60" Type="http://schemas.openxmlformats.org/officeDocument/2006/relationships/hyperlink" Target="mailto:Nandu.Mali1993@gmail.com" TargetMode="External"/><Relationship Id="rId65" Type="http://schemas.openxmlformats.org/officeDocument/2006/relationships/hyperlink" Target="mailto:gauravkakade186@gmail.com" TargetMode="External"/><Relationship Id="rId73" Type="http://schemas.openxmlformats.org/officeDocument/2006/relationships/hyperlink" Target="mailto:dpawar276@gmail.com" TargetMode="External"/><Relationship Id="rId78" Type="http://schemas.openxmlformats.org/officeDocument/2006/relationships/hyperlink" Target="mailto:Mohdalihussain07@gmail.com" TargetMode="External"/><Relationship Id="rId81" Type="http://schemas.openxmlformats.org/officeDocument/2006/relationships/hyperlink" Target="mailto:nil.unde@gmail.com" TargetMode="External"/><Relationship Id="rId86" Type="http://schemas.openxmlformats.org/officeDocument/2006/relationships/hyperlink" Target="mailto:ankitamalusare225@gmail.com" TargetMode="External"/><Relationship Id="rId94" Type="http://schemas.openxmlformats.org/officeDocument/2006/relationships/hyperlink" Target="mailto:kushwahavj@gmail.com" TargetMode="External"/><Relationship Id="rId99" Type="http://schemas.openxmlformats.org/officeDocument/2006/relationships/hyperlink" Target="mailto:Vinodsugave456@gmail.com" TargetMode="External"/><Relationship Id="rId101" Type="http://schemas.openxmlformats.org/officeDocument/2006/relationships/hyperlink" Target="mailto:satishsharma31096@gmail.com" TargetMode="External"/><Relationship Id="rId4" Type="http://schemas.openxmlformats.org/officeDocument/2006/relationships/hyperlink" Target="mailto:shiwanimilindfasate@outlook.com" TargetMode="External"/><Relationship Id="rId9" Type="http://schemas.openxmlformats.org/officeDocument/2006/relationships/hyperlink" Target="mailto:ankush9096@gmail.com" TargetMode="External"/><Relationship Id="rId13" Type="http://schemas.openxmlformats.org/officeDocument/2006/relationships/hyperlink" Target="mailto:omkar7077@gmail.com" TargetMode="External"/><Relationship Id="rId18" Type="http://schemas.openxmlformats.org/officeDocument/2006/relationships/hyperlink" Target="mailto:Karti.v@gmail.com" TargetMode="External"/><Relationship Id="rId39" Type="http://schemas.openxmlformats.org/officeDocument/2006/relationships/hyperlink" Target="mailto:princeguptakeshri@gmail.com" TargetMode="External"/><Relationship Id="rId34" Type="http://schemas.openxmlformats.org/officeDocument/2006/relationships/hyperlink" Target="mailto:abhibaglane97@gmail.com" TargetMode="External"/><Relationship Id="rId50" Type="http://schemas.openxmlformats.org/officeDocument/2006/relationships/hyperlink" Target="mailto:praveen.g.kumar.316@gmail.com" TargetMode="External"/><Relationship Id="rId55" Type="http://schemas.openxmlformats.org/officeDocument/2006/relationships/hyperlink" Target="mailto:gauravp0798@gmail.com" TargetMode="External"/><Relationship Id="rId76" Type="http://schemas.openxmlformats.org/officeDocument/2006/relationships/hyperlink" Target="mailto:praveen.g.kumar.316@gmail.com" TargetMode="External"/><Relationship Id="rId97" Type="http://schemas.openxmlformats.org/officeDocument/2006/relationships/hyperlink" Target="mailto:avinashkmr476@gmail.com" TargetMode="External"/><Relationship Id="rId7" Type="http://schemas.openxmlformats.org/officeDocument/2006/relationships/hyperlink" Target="mailto:adidshmkh92@gmail.com" TargetMode="External"/><Relationship Id="rId71" Type="http://schemas.openxmlformats.org/officeDocument/2006/relationships/hyperlink" Target="mailto:murkuterushikesh4@gmail.com" TargetMode="External"/><Relationship Id="rId92" Type="http://schemas.openxmlformats.org/officeDocument/2006/relationships/hyperlink" Target="mailto:kapatil1112@gmail.com" TargetMode="External"/><Relationship Id="rId2" Type="http://schemas.openxmlformats.org/officeDocument/2006/relationships/hyperlink" Target="mailto:ashish.deshmukh@gmail.com" TargetMode="External"/><Relationship Id="rId29" Type="http://schemas.openxmlformats.org/officeDocument/2006/relationships/hyperlink" Target="mailto:abhibaglane97@gmail.com" TargetMode="External"/><Relationship Id="rId24" Type="http://schemas.openxmlformats.org/officeDocument/2006/relationships/hyperlink" Target="mailto:mayank_r_a_j@yahoo.com" TargetMode="External"/><Relationship Id="rId40" Type="http://schemas.openxmlformats.org/officeDocument/2006/relationships/hyperlink" Target="mailto:nehaswami0695@gmail.com" TargetMode="External"/><Relationship Id="rId45" Type="http://schemas.openxmlformats.org/officeDocument/2006/relationships/hyperlink" Target="mailto:sonuagrawal0798@gmail.com" TargetMode="External"/><Relationship Id="rId66" Type="http://schemas.openxmlformats.org/officeDocument/2006/relationships/hyperlink" Target="mailto:ingolepiyush81@gmail.com" TargetMode="External"/><Relationship Id="rId87" Type="http://schemas.openxmlformats.org/officeDocument/2006/relationships/hyperlink" Target="mailto:akshay.antapurkar@gmail.com" TargetMode="External"/><Relationship Id="rId61" Type="http://schemas.openxmlformats.org/officeDocument/2006/relationships/hyperlink" Target="mailto:taiyabktm6835@gmail.com" TargetMode="External"/><Relationship Id="rId82" Type="http://schemas.openxmlformats.org/officeDocument/2006/relationships/hyperlink" Target="mailto:pratikkumar.mpanchal@gmail.com" TargetMode="External"/><Relationship Id="rId19" Type="http://schemas.openxmlformats.org/officeDocument/2006/relationships/hyperlink" Target="mailto:Piyush@gmail.com" TargetMode="External"/><Relationship Id="rId14" Type="http://schemas.openxmlformats.org/officeDocument/2006/relationships/hyperlink" Target="mailto:mayuridanej127@gmail.com" TargetMode="External"/><Relationship Id="rId30" Type="http://schemas.openxmlformats.org/officeDocument/2006/relationships/hyperlink" Target="mailto:shubhamingle9130@gmail.com" TargetMode="External"/><Relationship Id="rId35" Type="http://schemas.openxmlformats.org/officeDocument/2006/relationships/hyperlink" Target="mailto:patikjaid19@gmail.com" TargetMode="External"/><Relationship Id="rId56" Type="http://schemas.openxmlformats.org/officeDocument/2006/relationships/hyperlink" Target="mailto:guru141997@gmail.com" TargetMode="External"/><Relationship Id="rId77" Type="http://schemas.openxmlformats.org/officeDocument/2006/relationships/hyperlink" Target="mailto:swapnilkhairnar111@gmail.com" TargetMode="External"/><Relationship Id="rId100" Type="http://schemas.openxmlformats.org/officeDocument/2006/relationships/hyperlink" Target="mailto:viharika_ec@yahoo.co.in" TargetMode="External"/><Relationship Id="rId8" Type="http://schemas.openxmlformats.org/officeDocument/2006/relationships/hyperlink" Target="mailto:mr.neeraj.nb@gmail.com" TargetMode="External"/><Relationship Id="rId51" Type="http://schemas.openxmlformats.org/officeDocument/2006/relationships/hyperlink" Target="mailto:prasannamodi001@gmail.com" TargetMode="External"/><Relationship Id="rId72" Type="http://schemas.openxmlformats.org/officeDocument/2006/relationships/hyperlink" Target="mailto:rahulbande18@gmail.com" TargetMode="External"/><Relationship Id="rId93" Type="http://schemas.openxmlformats.org/officeDocument/2006/relationships/hyperlink" Target="mailto:kubadepiraji@gmail.com" TargetMode="External"/><Relationship Id="rId98" Type="http://schemas.openxmlformats.org/officeDocument/2006/relationships/hyperlink" Target="mailto:kapatil1112@gmail.com" TargetMode="External"/><Relationship Id="rId3" Type="http://schemas.openxmlformats.org/officeDocument/2006/relationships/hyperlink" Target="mailto:yogeshnewal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A24B-BF7B-4B12-B5EC-E8870776C403}">
  <dimension ref="A1:BG995"/>
  <sheetViews>
    <sheetView tabSelected="1" workbookViewId="0">
      <pane ySplit="1" topLeftCell="A2" activePane="bottomLeft" state="frozen"/>
      <selection pane="bottomLeft"/>
    </sheetView>
  </sheetViews>
  <sheetFormatPr defaultColWidth="9.1796875" defaultRowHeight="14.5"/>
  <cols>
    <col min="1" max="1" width="7.7265625" style="27" bestFit="1" customWidth="1"/>
    <col min="2" max="2" width="9.81640625" style="27" bestFit="1" customWidth="1"/>
    <col min="3" max="3" width="15.453125" style="27" bestFit="1" customWidth="1"/>
    <col min="4" max="4" width="17.453125" style="27" bestFit="1" customWidth="1"/>
    <col min="5" max="5" width="47.453125" style="27" customWidth="1"/>
    <col min="6" max="6" width="12.1796875" style="27" customWidth="1"/>
    <col min="7" max="7" width="17.81640625" style="27" customWidth="1"/>
    <col min="8" max="8" width="15.54296875" style="27" customWidth="1"/>
    <col min="9" max="9" width="19.26953125" style="27" customWidth="1"/>
    <col min="10" max="10" width="16.1796875" style="27" bestFit="1" customWidth="1"/>
    <col min="11" max="11" width="17.26953125" style="28" bestFit="1" customWidth="1"/>
    <col min="12" max="12" width="25.7265625" style="28" bestFit="1" customWidth="1"/>
    <col min="13" max="13" width="21.26953125" style="28" customWidth="1"/>
    <col min="14" max="14" width="13.26953125" style="27" customWidth="1"/>
    <col min="15" max="17" width="13.7265625" style="27" customWidth="1"/>
    <col min="18" max="20" width="18.1796875" style="27" customWidth="1"/>
    <col min="21" max="21" width="21.1796875" style="27" customWidth="1"/>
    <col min="22" max="22" width="12.54296875" style="27" customWidth="1"/>
    <col min="23" max="23" width="13" style="27" customWidth="1"/>
    <col min="24" max="24" width="14.453125" style="27" customWidth="1"/>
    <col min="25" max="26" width="17.1796875" style="27" customWidth="1"/>
    <col min="27" max="27" width="36" style="27" customWidth="1"/>
    <col min="28" max="28" width="10.7265625" style="27" customWidth="1"/>
    <col min="29" max="29" width="11.81640625" style="27" customWidth="1"/>
    <col min="30" max="30" width="14.1796875" style="27" customWidth="1"/>
    <col min="31" max="31" width="26.453125" style="27" customWidth="1"/>
    <col min="32" max="32" width="28.26953125" style="27" customWidth="1"/>
    <col min="33" max="33" width="64.54296875" style="27" customWidth="1"/>
    <col min="34" max="34" width="10" style="27" customWidth="1"/>
    <col min="35" max="35" width="18.7265625" style="29" customWidth="1"/>
    <col min="36" max="36" width="23.453125" style="29" customWidth="1"/>
    <col min="37" max="37" width="18" style="27" customWidth="1"/>
    <col min="38" max="38" width="15.26953125" style="27" customWidth="1"/>
    <col min="39" max="39" width="23.26953125" style="28" customWidth="1"/>
    <col min="40" max="40" width="26.26953125" style="28" customWidth="1"/>
    <col min="41" max="41" width="18.7265625" style="27" customWidth="1"/>
    <col min="42" max="42" width="18.26953125" style="27" customWidth="1"/>
    <col min="43" max="43" width="21.453125" style="28" customWidth="1"/>
    <col min="44" max="44" width="17.1796875" style="28" customWidth="1"/>
    <col min="45" max="45" width="10.26953125" style="28" customWidth="1"/>
    <col min="46" max="46" width="8" style="28" bestFit="1" customWidth="1"/>
    <col min="47" max="47" width="9.26953125" style="28" bestFit="1" customWidth="1"/>
    <col min="48" max="48" width="9.54296875" style="28" bestFit="1" customWidth="1"/>
    <col min="49" max="49" width="6.7265625" style="28" bestFit="1" customWidth="1"/>
    <col min="50" max="50" width="6.7265625" style="27" bestFit="1" customWidth="1"/>
    <col min="51" max="51" width="12.7265625" style="27" bestFit="1" customWidth="1"/>
    <col min="52" max="52" width="8.26953125" style="27" bestFit="1" customWidth="1"/>
    <col min="53" max="53" width="27.26953125" style="27" bestFit="1" customWidth="1"/>
    <col min="54" max="54" width="25" style="27" bestFit="1" customWidth="1"/>
    <col min="55" max="55" width="11" style="27" bestFit="1" customWidth="1"/>
    <col min="56" max="56" width="15" style="27" bestFit="1" customWidth="1"/>
    <col min="57" max="57" width="18" style="27" bestFit="1" customWidth="1"/>
    <col min="58" max="58" width="14" style="27" bestFit="1" customWidth="1"/>
    <col min="59" max="59" width="15.7265625" style="27" bestFit="1" customWidth="1"/>
    <col min="60" max="16384" width="9.1796875" style="27"/>
  </cols>
  <sheetData>
    <row r="1" spans="1:59">
      <c r="A1" s="19" t="s">
        <v>3810</v>
      </c>
      <c r="B1" s="21" t="s">
        <v>11</v>
      </c>
      <c r="C1" s="18" t="s">
        <v>9</v>
      </c>
      <c r="D1" s="18" t="s">
        <v>3811</v>
      </c>
      <c r="E1" s="21" t="s">
        <v>3812</v>
      </c>
      <c r="F1" s="19" t="s">
        <v>3813</v>
      </c>
      <c r="G1" s="18" t="s">
        <v>3814</v>
      </c>
      <c r="H1" s="18" t="s">
        <v>32</v>
      </c>
      <c r="I1" s="19" t="s">
        <v>17</v>
      </c>
      <c r="J1" s="18" t="s">
        <v>3815</v>
      </c>
      <c r="K1" s="20" t="s">
        <v>3816</v>
      </c>
      <c r="L1" s="20" t="s">
        <v>5</v>
      </c>
      <c r="M1" s="20" t="s">
        <v>4</v>
      </c>
      <c r="N1" s="21" t="s">
        <v>3817</v>
      </c>
      <c r="O1" s="21" t="s">
        <v>3818</v>
      </c>
      <c r="P1" s="21" t="s">
        <v>3819</v>
      </c>
      <c r="Q1" s="21" t="s">
        <v>3820</v>
      </c>
      <c r="R1" s="21" t="s">
        <v>3821</v>
      </c>
      <c r="S1" s="21" t="s">
        <v>3822</v>
      </c>
      <c r="T1" s="21" t="s">
        <v>3823</v>
      </c>
      <c r="U1" s="19" t="s">
        <v>3824</v>
      </c>
      <c r="V1" s="19" t="s">
        <v>3825</v>
      </c>
      <c r="W1" s="19" t="s">
        <v>3826</v>
      </c>
      <c r="X1" s="21" t="s">
        <v>3827</v>
      </c>
      <c r="Y1" s="18" t="s">
        <v>29</v>
      </c>
      <c r="Z1" s="18" t="s">
        <v>30</v>
      </c>
      <c r="AA1" s="229" t="s">
        <v>3828</v>
      </c>
      <c r="AB1" s="19" t="s">
        <v>3829</v>
      </c>
      <c r="AC1" s="19" t="s">
        <v>3830</v>
      </c>
      <c r="AD1" s="19" t="s">
        <v>3831</v>
      </c>
      <c r="AE1" s="19" t="s">
        <v>12</v>
      </c>
      <c r="AF1" s="19" t="s">
        <v>3832</v>
      </c>
      <c r="AG1" s="19" t="s">
        <v>3833</v>
      </c>
      <c r="AH1" s="18" t="s">
        <v>15</v>
      </c>
      <c r="AI1" s="21" t="s">
        <v>41</v>
      </c>
      <c r="AJ1" s="21" t="s">
        <v>42</v>
      </c>
      <c r="AK1" s="19" t="s">
        <v>43</v>
      </c>
      <c r="AL1" s="19" t="s">
        <v>44</v>
      </c>
      <c r="AM1" s="21" t="s">
        <v>45</v>
      </c>
      <c r="AN1" s="21" t="s">
        <v>46</v>
      </c>
      <c r="AO1" s="20" t="s">
        <v>47</v>
      </c>
      <c r="AP1" s="20" t="s">
        <v>48</v>
      </c>
      <c r="AQ1" s="20" t="s">
        <v>49</v>
      </c>
      <c r="AR1" s="20" t="s">
        <v>50</v>
      </c>
      <c r="AS1" s="36" t="s">
        <v>27</v>
      </c>
      <c r="AT1" s="37" t="s">
        <v>3834</v>
      </c>
      <c r="AU1" s="37" t="s">
        <v>3835</v>
      </c>
      <c r="AV1" s="37" t="s">
        <v>3836</v>
      </c>
      <c r="AW1" s="37" t="s">
        <v>3837</v>
      </c>
      <c r="AX1" s="37" t="s">
        <v>3838</v>
      </c>
      <c r="AY1" s="37" t="s">
        <v>1044</v>
      </c>
      <c r="AZ1" s="37" t="s">
        <v>3839</v>
      </c>
      <c r="BA1" s="37" t="s">
        <v>3840</v>
      </c>
      <c r="BB1" s="37" t="s">
        <v>3841</v>
      </c>
      <c r="BC1" s="37" t="s">
        <v>3842</v>
      </c>
      <c r="BD1" s="38" t="s">
        <v>3843</v>
      </c>
      <c r="BE1" s="38" t="s">
        <v>3844</v>
      </c>
      <c r="BF1" s="38" t="s">
        <v>3845</v>
      </c>
      <c r="BG1" s="38" t="s">
        <v>3846</v>
      </c>
    </row>
    <row r="2" spans="1:59">
      <c r="A2" s="169">
        <v>1</v>
      </c>
      <c r="B2" s="169">
        <v>20245762</v>
      </c>
      <c r="C2" s="169" t="s">
        <v>3847</v>
      </c>
      <c r="D2" s="169" t="s">
        <v>1920</v>
      </c>
      <c r="E2" s="169" t="s">
        <v>1657</v>
      </c>
      <c r="F2" s="169" t="s">
        <v>3848</v>
      </c>
      <c r="G2" s="169" t="s">
        <v>3</v>
      </c>
      <c r="H2" s="169" t="s">
        <v>66</v>
      </c>
      <c r="I2" s="169" t="s">
        <v>3849</v>
      </c>
      <c r="J2" s="169" t="s">
        <v>135</v>
      </c>
      <c r="K2" s="174">
        <v>45532</v>
      </c>
      <c r="L2" s="174">
        <v>45161</v>
      </c>
      <c r="M2" s="174">
        <v>45161</v>
      </c>
      <c r="N2" s="169" t="s">
        <v>3850</v>
      </c>
      <c r="O2" s="174"/>
      <c r="P2" s="174"/>
      <c r="Q2" s="174"/>
      <c r="R2" s="174"/>
      <c r="S2" s="174"/>
      <c r="T2" s="174"/>
      <c r="U2" s="169"/>
      <c r="V2" s="169"/>
      <c r="W2" s="169"/>
      <c r="X2" s="169" t="s">
        <v>63</v>
      </c>
      <c r="Y2" s="169" t="s">
        <v>2408</v>
      </c>
      <c r="Z2" s="169" t="s">
        <v>218</v>
      </c>
      <c r="AA2" s="30" t="s">
        <v>3851</v>
      </c>
      <c r="AB2" s="30">
        <v>30</v>
      </c>
      <c r="AC2" s="30">
        <v>19</v>
      </c>
      <c r="AD2" s="30"/>
      <c r="AE2" s="30" t="s">
        <v>6</v>
      </c>
      <c r="AF2" s="30"/>
      <c r="AG2" s="30"/>
      <c r="AH2" s="31"/>
      <c r="AI2" s="31"/>
      <c r="AJ2" s="31"/>
      <c r="AK2" s="30"/>
      <c r="AL2" s="30"/>
      <c r="AM2" s="31"/>
      <c r="AN2" s="31"/>
      <c r="AO2" s="31"/>
      <c r="AP2" s="31"/>
      <c r="AQ2" s="31"/>
      <c r="AR2" s="31"/>
      <c r="AS2" s="31"/>
      <c r="AT2" s="30">
        <f t="shared" ref="AT2" ca="1" si="0">IFERROR(SUM(IF(AND(ISBLANK(T2),ISBLANK(Q2)),0,IF(T2="",TODAY()-Q2,T2-Q2))+IF(AND(ISBLANK(S2),ISBLANK(P2)),0,IF(S2="",TODAY()-P2,S2-P2))+IF(AND(ISBLANK(O2),ISBLANK(R2)),0,IF(R2="",TODAY()-O2,R2-O2))),"")</f>
        <v>0</v>
      </c>
      <c r="AU2" s="32" t="str">
        <f t="shared" ref="AU2:AU65" ca="1" si="1">IFERROR(IF(($M2=""),"",IF(OR(,$C2="Offer in Progress",$C2="WIP",$C2="WIP/Drop",$C2="WIP/New",$C2="WIP/Hold"),(TODAY()-$M2)-$AT2,"")),"")</f>
        <v/>
      </c>
      <c r="AV2" s="32" t="str" cm="1">
        <f t="array" aca="1" ref="AV2" ca="1">IFERROR(_xlfn.IFS($AU2="","",$AU2&lt;=15,"0-15",AND($AU2&gt;=16,$AU2&lt;=30),"16-30",AND($AU2&gt;=31,$AU2&lt;=45),"31-45",AND($AU2&gt;=46,$AU2&lt;=60),"46-60",AND($AU2&gt;=61,$AU2&lt;=90),"61-90",AND($AU2&gt;=91),"&gt; 90",AND($AU2&gt;=2000),""),"")</f>
        <v/>
      </c>
      <c r="AW2" s="32" t="str" cm="1">
        <f t="array" aca="1" ref="AW2" ca="1">IFERROR(_xlfn.IFS(OR($M2="",$AM2=""),"",OR($C2="Offered",$C2="Joined"),($AM2-$M2)-$AT2),"")</f>
        <v/>
      </c>
      <c r="AX2" s="32" t="str" cm="1">
        <f t="array" aca="1" ref="AX2" ca="1">IFERROR(_xlfn.IFS(OR($M2="",$AS2=""),"",$C2="Joined",($AS2-$M2)-$AT2),"")</f>
        <v/>
      </c>
      <c r="AY2" s="30" t="str">
        <f>IFERROR(IF(COUNTIFS('Candidate Tracker'!$E:$E,'Positions Tracker'!$B2,'Candidate Tracker'!$C:$C,"Offer Drop")=0,"",COUNTIFS('Candidate Tracker'!$E:$E,'Positions Tracker'!$B2,'Candidate Tracker'!$C:$C,"Offer Drop")),"")</f>
        <v/>
      </c>
      <c r="AZ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 s="34" t="str">
        <f>IFERROR(IF(COUNTIFS('Candidate Tracker'!$E:$E,'Positions Tracker'!$B2,'Candidate Tracker'!$I:$I,"Female")=0,"",COUNTIFS('Candidate Tracker'!$E:$E,'Positions Tracker'!$B2,'Candidate Tracker'!$I:$I,"Female")),"")</f>
        <v/>
      </c>
      <c r="BB2" s="34">
        <f>IFERROR(IF(COUNTIFS('Candidate Tracker'!$E:$E,'Positions Tracker'!$B2,'Candidate Tracker'!$I:$I,"male")=0,"",COUNTIFS('Candidate Tracker'!$E:$E,'Positions Tracker'!$B2,'Candidate Tracker'!$I:$I,"male")),"")</f>
        <v>7</v>
      </c>
      <c r="BC2" s="33" t="str">
        <f>IFERROR(IF(COUNTIFS('Candidate Tracker'!$E:$E,'Positions Tracker'!$B2,'Candidate Tracker'!$C:$C,"&lt;&gt;WIP",'Candidate Tracker'!$C:$C,"&lt;&gt;Hold",'Candidate Tracker'!$C:$C,"&lt;&gt;Cancelled",'Candidate Tracker'!$C:$C,"&lt;&gt;Closed")/COUNTIFS('Candidate Tracker'!$E:$E,'Positions Tracker'!$B2)=0,"",COUNTIFS('Candidate Tracker'!$E:$E,'Positions Tracker'!$B2,'Candidate Tracker'!$C:$C,"&lt;&gt;WIP",'Candidate Tracker'!$C:$C,"&lt;&gt;Hold",'Candidate Tracker'!$C:$C,"&lt;&gt;Cancelled",'Candidate Tracker'!$C:$C,"&lt;&gt;Closed")/COUNTIFS('Candidate Tracker'!$E:$E,'Positions Tracker'!$B2)),"")</f>
        <v/>
      </c>
      <c r="BD2" s="30" t="str">
        <f t="shared" ref="BD2" si="2">IFERROR(IF($M2="","",TEXT($M2,"MMM-YY")),"")</f>
        <v>Aug-23</v>
      </c>
      <c r="BE2" s="30" t="str">
        <f t="shared" ref="BE2" si="3">IFERROR(IF($AI2="","",TEXT($AI2,"MMM-YY")),"")</f>
        <v/>
      </c>
      <c r="BF2" s="30" t="str">
        <f t="shared" ref="BF2" si="4">IFERROR(IF($AM2="","",TEXT($AM2,"MMM-YY")),"")</f>
        <v/>
      </c>
      <c r="BG2" s="30" t="str">
        <f t="shared" ref="BG2" si="5">IFERROR(IF($AS2="","",TEXT($AS2,"MMM-YY")),"")</f>
        <v/>
      </c>
    </row>
    <row r="3" spans="1:59">
      <c r="A3" s="30">
        <f t="shared" ref="A3:A66" si="6">A2+1</f>
        <v>2</v>
      </c>
      <c r="B3" s="30">
        <v>20250721</v>
      </c>
      <c r="C3" s="30" t="s">
        <v>3847</v>
      </c>
      <c r="D3" s="30" t="s">
        <v>1920</v>
      </c>
      <c r="E3" s="30" t="s">
        <v>1942</v>
      </c>
      <c r="F3" s="30" t="s">
        <v>3852</v>
      </c>
      <c r="G3" s="30" t="s">
        <v>3</v>
      </c>
      <c r="H3" s="30" t="s">
        <v>66</v>
      </c>
      <c r="I3" s="30" t="s">
        <v>3853</v>
      </c>
      <c r="J3" s="30" t="s">
        <v>135</v>
      </c>
      <c r="K3" s="31">
        <v>45625</v>
      </c>
      <c r="L3" s="31">
        <v>45625</v>
      </c>
      <c r="M3" s="31">
        <v>45625</v>
      </c>
      <c r="N3" s="30" t="s">
        <v>3850</v>
      </c>
      <c r="O3" s="31"/>
      <c r="P3" s="31"/>
      <c r="Q3" s="31"/>
      <c r="R3" s="31"/>
      <c r="S3" s="31"/>
      <c r="T3" s="31"/>
      <c r="U3" s="30"/>
      <c r="V3" s="30"/>
      <c r="W3" s="30"/>
      <c r="X3" s="30" t="s">
        <v>63</v>
      </c>
      <c r="Y3" s="30" t="s">
        <v>218</v>
      </c>
      <c r="Z3" s="30" t="s">
        <v>218</v>
      </c>
      <c r="AA3" s="30" t="s">
        <v>3854</v>
      </c>
      <c r="AB3" s="30">
        <v>15</v>
      </c>
      <c r="AC3" s="30">
        <v>12</v>
      </c>
      <c r="AD3" s="30">
        <v>5</v>
      </c>
      <c r="AE3" s="30"/>
      <c r="AF3" s="30"/>
      <c r="AG3" s="30"/>
      <c r="AH3" s="31"/>
      <c r="AI3" s="31"/>
      <c r="AJ3" s="31"/>
      <c r="AK3" s="30"/>
      <c r="AL3" s="30"/>
      <c r="AM3" s="31"/>
      <c r="AN3" s="31"/>
      <c r="AO3" s="31"/>
      <c r="AP3" s="31"/>
      <c r="AQ3" s="31"/>
      <c r="AR3" s="31"/>
      <c r="AS3" s="31"/>
      <c r="AT3" s="30">
        <f t="shared" ref="AT3:AT66" ca="1" si="7">IFERROR(SUM(IF(AND(ISBLANK(T3),ISBLANK(Q3)),0,IF(T3="",TODAY()-Q3,T3-Q3))+IF(AND(ISBLANK(S3),ISBLANK(P3)),0,IF(S3="",TODAY()-P3,S3-P3))+IF(AND(ISBLANK(O3),ISBLANK(R3)),0,IF(R3="",TODAY()-O3,R3-O3))),"")</f>
        <v>0</v>
      </c>
      <c r="AU3" s="32" t="str">
        <f t="shared" ca="1" si="1"/>
        <v/>
      </c>
      <c r="AV3" s="32" t="str" cm="1">
        <f t="array" aca="1" ref="AV3" ca="1">IFERROR(_xlfn.IFS($AU3="","",$AU3&lt;=15,"0-15",AND($AU3&gt;=16,$AU3&lt;=30),"16-30",AND($AU3&gt;=31,$AU3&lt;=45),"31-45",AND($AU3&gt;=46,$AU3&lt;=60),"46-60",AND($AU3&gt;=61,$AU3&lt;=90),"61-90",AND($AU3&gt;=91),"&gt; 90",AND($AU3&gt;=2000),""),"")</f>
        <v/>
      </c>
      <c r="AW3" s="32" t="str" cm="1">
        <f t="array" aca="1" ref="AW3" ca="1">IFERROR(_xlfn.IFS(OR($M3="",$AM3=""),"",OR($C3="Offered",$C3="Joined"),($AM3-$M3)-$AT3),"")</f>
        <v/>
      </c>
      <c r="AX3" s="32" t="str" cm="1">
        <f t="array" aca="1" ref="AX3" ca="1">IFERROR(_xlfn.IFS(OR($M3="",$AS3=""),"",$C3="Joined",($AS3-$M3)-$AT3),"")</f>
        <v/>
      </c>
      <c r="AY3" s="30" t="str">
        <f>IFERROR(IF(COUNTIFS('Candidate Tracker'!$E:$E,'Positions Tracker'!$B3,'Candidate Tracker'!$C:$C,"Offer Drop")=0,"",COUNTIFS('Candidate Tracker'!$E:$E,'Positions Tracker'!$B3,'Candidate Tracker'!$C:$C,"Offer Drop")),"")</f>
        <v/>
      </c>
      <c r="AZ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 s="34" t="str">
        <f>IFERROR(IF(COUNTIFS('Candidate Tracker'!$E:$E,'Positions Tracker'!$B3,'Candidate Tracker'!$I:$I,"Female")=0,"",COUNTIFS('Candidate Tracker'!$E:$E,'Positions Tracker'!$B3,'Candidate Tracker'!$I:$I,"Female")),"")</f>
        <v/>
      </c>
      <c r="BB3" s="34">
        <f>IFERROR(IF(COUNTIFS('Candidate Tracker'!$E:$E,'Positions Tracker'!$B3,'Candidate Tracker'!$I:$I,"male")=0,"",COUNTIFS('Candidate Tracker'!$E:$E,'Positions Tracker'!$B3,'Candidate Tracker'!$I:$I,"male")),"")</f>
        <v>9</v>
      </c>
      <c r="BC3" s="33" t="str">
        <f>IFERROR(IF(COUNTIFS('Candidate Tracker'!$E:$E,'Positions Tracker'!$B3,'Candidate Tracker'!$C:$C,"&lt;&gt;WIP",'Candidate Tracker'!$C:$C,"&lt;&gt;Hold",'Candidate Tracker'!$C:$C,"&lt;&gt;Cancelled",'Candidate Tracker'!$C:$C,"&lt;&gt;Closed")/COUNTIFS('Candidate Tracker'!$E:$E,'Positions Tracker'!$B3)=0,"",COUNTIFS('Candidate Tracker'!$E:$E,'Positions Tracker'!$B3,'Candidate Tracker'!$C:$C,"&lt;&gt;WIP",'Candidate Tracker'!$C:$C,"&lt;&gt;Hold",'Candidate Tracker'!$C:$C,"&lt;&gt;Cancelled",'Candidate Tracker'!$C:$C,"&lt;&gt;Closed")/COUNTIFS('Candidate Tracker'!$E:$E,'Positions Tracker'!$B3)),"")</f>
        <v/>
      </c>
      <c r="BD3" s="30" t="str">
        <f t="shared" ref="BD3:BD66" si="8">IFERROR(IF($M3="","",TEXT($M3,"MMM-YY")),"")</f>
        <v>Nov-24</v>
      </c>
      <c r="BE3" s="30" t="str">
        <f t="shared" ref="BE3:BE66" si="9">IFERROR(IF($AI3="","",TEXT($AI3,"MMM-YY")),"")</f>
        <v/>
      </c>
      <c r="BF3" s="30" t="str">
        <f t="shared" ref="BF3:BF66" si="10">IFERROR(IF($AM3="","",TEXT($AM3,"MMM-YY")),"")</f>
        <v/>
      </c>
      <c r="BG3" s="30" t="str">
        <f t="shared" ref="BG3:BG66" si="11">IFERROR(IF($AS3="","",TEXT($AS3,"MMM-YY")),"")</f>
        <v/>
      </c>
    </row>
    <row r="4" spans="1:59">
      <c r="A4" s="30">
        <f t="shared" si="6"/>
        <v>3</v>
      </c>
      <c r="B4" s="30">
        <v>20245969</v>
      </c>
      <c r="C4" s="30" t="s">
        <v>1044</v>
      </c>
      <c r="D4" s="30" t="s">
        <v>320</v>
      </c>
      <c r="E4" s="30" t="s">
        <v>1233</v>
      </c>
      <c r="F4" s="30" t="s">
        <v>3852</v>
      </c>
      <c r="G4" s="30" t="s">
        <v>3</v>
      </c>
      <c r="H4" s="30" t="s">
        <v>66</v>
      </c>
      <c r="I4" s="30" t="s">
        <v>3853</v>
      </c>
      <c r="J4" s="30" t="s">
        <v>135</v>
      </c>
      <c r="K4" s="31">
        <v>45625</v>
      </c>
      <c r="L4" s="31">
        <v>45625</v>
      </c>
      <c r="M4" s="31">
        <v>45625</v>
      </c>
      <c r="N4" s="30" t="s">
        <v>3855</v>
      </c>
      <c r="O4" s="31"/>
      <c r="P4" s="31"/>
      <c r="Q4" s="31"/>
      <c r="R4" s="31"/>
      <c r="S4" s="31"/>
      <c r="T4" s="31"/>
      <c r="U4" s="30"/>
      <c r="V4" s="30"/>
      <c r="W4" s="30"/>
      <c r="X4" s="30" t="s">
        <v>63</v>
      </c>
      <c r="Y4" s="30" t="s">
        <v>218</v>
      </c>
      <c r="Z4" s="30" t="s">
        <v>218</v>
      </c>
      <c r="AA4" s="30" t="s">
        <v>3856</v>
      </c>
      <c r="AB4" s="30">
        <v>11</v>
      </c>
      <c r="AC4" s="30">
        <v>8</v>
      </c>
      <c r="AD4" s="30"/>
      <c r="AE4" s="30" t="s">
        <v>1238</v>
      </c>
      <c r="AF4" s="30">
        <v>7709030818</v>
      </c>
      <c r="AG4" s="30" t="s">
        <v>1240</v>
      </c>
      <c r="AH4" s="31" t="s">
        <v>101</v>
      </c>
      <c r="AI4" s="31">
        <v>45695</v>
      </c>
      <c r="AJ4" s="31">
        <v>45693</v>
      </c>
      <c r="AK4" s="30" t="s">
        <v>63</v>
      </c>
      <c r="AL4" s="30">
        <v>1000000</v>
      </c>
      <c r="AM4" s="31">
        <v>45693</v>
      </c>
      <c r="AN4" s="31">
        <v>45693</v>
      </c>
      <c r="AO4" s="31"/>
      <c r="AP4" s="31">
        <v>45698</v>
      </c>
      <c r="AQ4" s="31">
        <v>45698</v>
      </c>
      <c r="AR4" s="31">
        <v>45757</v>
      </c>
      <c r="AS4" s="31">
        <v>45761</v>
      </c>
      <c r="AT4" s="30">
        <f t="shared" ca="1" si="7"/>
        <v>0</v>
      </c>
      <c r="AU4" s="32" t="str">
        <f t="shared" ca="1" si="1"/>
        <v/>
      </c>
      <c r="AV4" s="32" t="str" cm="1">
        <f t="array" aca="1" ref="AV4" ca="1">IFERROR(_xlfn.IFS($AU4="","",$AU4&lt;=15,"0-15",AND($AU4&gt;=16,$AU4&lt;=30),"16-30",AND($AU4&gt;=31,$AU4&lt;=45),"31-45",AND($AU4&gt;=46,$AU4&lt;=60),"46-60",AND($AU4&gt;=61,$AU4&lt;=90),"61-90",AND($AU4&gt;=91),"&gt; 90",AND($AU4&gt;=2000),""),"")</f>
        <v/>
      </c>
      <c r="AW4" s="32" t="str" cm="1">
        <f t="array" aca="1" ref="AW4" ca="1">IFERROR(_xlfn.IFS(OR($M4="",$AM4=""),"",OR($C4="Offered",$C4="Joined"),($AM4-$M4)-$AT4),"")</f>
        <v/>
      </c>
      <c r="AX4" s="32" t="str" cm="1">
        <f t="array" aca="1" ref="AX4" ca="1">IFERROR(_xlfn.IFS(OR($M4="",$AS4=""),"",$C4="Joined",($AS4-$M4)-$AT4),"")</f>
        <v/>
      </c>
      <c r="AY4" s="30" t="str">
        <f>IFERROR(IF(COUNTIFS('Candidate Tracker'!$E:$E,'Positions Tracker'!$B4,'Candidate Tracker'!$C:$C,"Offer Drop")=0,"",COUNTIFS('Candidate Tracker'!$E:$E,'Positions Tracker'!$B4,'Candidate Tracker'!$C:$C,"Offer Drop")),"")</f>
        <v/>
      </c>
      <c r="AZ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 s="34">
        <f>IFERROR(IF(COUNTIFS('Candidate Tracker'!$E:$E,'Positions Tracker'!$B4,'Candidate Tracker'!$I:$I,"Female")=0,"",COUNTIFS('Candidate Tracker'!$E:$E,'Positions Tracker'!$B4,'Candidate Tracker'!$I:$I,"Female")),"")</f>
        <v>4</v>
      </c>
      <c r="BB4" s="34">
        <f>IFERROR(IF(COUNTIFS('Candidate Tracker'!$E:$E,'Positions Tracker'!$B4,'Candidate Tracker'!$I:$I,"male")=0,"",COUNTIFS('Candidate Tracker'!$E:$E,'Positions Tracker'!$B4,'Candidate Tracker'!$I:$I,"male")),"")</f>
        <v>15</v>
      </c>
      <c r="BC4" s="33" t="str">
        <f>IFERROR(IF(COUNTIFS('Candidate Tracker'!$E:$E,'Positions Tracker'!$B4,'Candidate Tracker'!$C:$C,"&lt;&gt;WIP",'Candidate Tracker'!$C:$C,"&lt;&gt;Hold",'Candidate Tracker'!$C:$C,"&lt;&gt;Cancelled",'Candidate Tracker'!$C:$C,"&lt;&gt;Closed")/COUNTIFS('Candidate Tracker'!$E:$E,'Positions Tracker'!$B4)=0,"",COUNTIFS('Candidate Tracker'!$E:$E,'Positions Tracker'!$B4,'Candidate Tracker'!$C:$C,"&lt;&gt;WIP",'Candidate Tracker'!$C:$C,"&lt;&gt;Hold",'Candidate Tracker'!$C:$C,"&lt;&gt;Cancelled",'Candidate Tracker'!$C:$C,"&lt;&gt;Closed")/COUNTIFS('Candidate Tracker'!$E:$E,'Positions Tracker'!$B4)),"")</f>
        <v/>
      </c>
      <c r="BD4" s="30" t="str">
        <f t="shared" si="8"/>
        <v>Nov-24</v>
      </c>
      <c r="BE4" s="30" t="str">
        <f t="shared" si="9"/>
        <v>Feb-25</v>
      </c>
      <c r="BF4" s="30" t="str">
        <f t="shared" si="10"/>
        <v>Feb-25</v>
      </c>
      <c r="BG4" s="30" t="str">
        <f t="shared" si="11"/>
        <v>Apr-25</v>
      </c>
    </row>
    <row r="5" spans="1:59">
      <c r="A5" s="30">
        <f t="shared" si="6"/>
        <v>4</v>
      </c>
      <c r="B5" s="30">
        <v>20253846</v>
      </c>
      <c r="C5" s="30" t="s">
        <v>3857</v>
      </c>
      <c r="D5" s="30" t="s">
        <v>3857</v>
      </c>
      <c r="E5" s="30" t="s">
        <v>2638</v>
      </c>
      <c r="F5" s="30" t="s">
        <v>3852</v>
      </c>
      <c r="G5" s="30" t="s">
        <v>3</v>
      </c>
      <c r="H5" s="30" t="s">
        <v>66</v>
      </c>
      <c r="I5" s="30" t="s">
        <v>2639</v>
      </c>
      <c r="J5" s="30" t="s">
        <v>135</v>
      </c>
      <c r="K5" s="31">
        <v>45744</v>
      </c>
      <c r="L5" s="31">
        <v>45744</v>
      </c>
      <c r="M5" s="31">
        <v>45744</v>
      </c>
      <c r="N5" s="30" t="s">
        <v>3855</v>
      </c>
      <c r="O5" s="31">
        <v>45757</v>
      </c>
      <c r="P5" s="31"/>
      <c r="Q5" s="31"/>
      <c r="R5" s="31">
        <v>45776</v>
      </c>
      <c r="S5" s="31"/>
      <c r="T5" s="31"/>
      <c r="U5" s="30">
        <v>6</v>
      </c>
      <c r="V5" s="30"/>
      <c r="W5" s="30"/>
      <c r="X5" s="30" t="s">
        <v>63</v>
      </c>
      <c r="Y5" s="30" t="s">
        <v>218</v>
      </c>
      <c r="Z5" s="30" t="s">
        <v>218</v>
      </c>
      <c r="AA5" s="30" t="s">
        <v>3858</v>
      </c>
      <c r="AB5" s="30">
        <v>10</v>
      </c>
      <c r="AC5" s="30">
        <v>7</v>
      </c>
      <c r="AD5" s="30">
        <v>4</v>
      </c>
      <c r="AE5" s="30"/>
      <c r="AF5" s="30"/>
      <c r="AG5" s="30"/>
      <c r="AH5" s="31"/>
      <c r="AI5" s="31"/>
      <c r="AJ5" s="31"/>
      <c r="AK5" s="30"/>
      <c r="AL5" s="30"/>
      <c r="AM5" s="31"/>
      <c r="AN5" s="31"/>
      <c r="AO5" s="31"/>
      <c r="AP5" s="31"/>
      <c r="AQ5" s="31"/>
      <c r="AR5" s="31"/>
      <c r="AS5" s="31"/>
      <c r="AT5" s="30">
        <f t="shared" ca="1" si="7"/>
        <v>19</v>
      </c>
      <c r="AU5" s="32" t="str">
        <f t="shared" ca="1" si="1"/>
        <v/>
      </c>
      <c r="AV5" s="32" t="str" cm="1">
        <f t="array" aca="1" ref="AV5" ca="1">IFERROR(_xlfn.IFS($AU5="","",$AU5&lt;=15,"0-15",AND($AU5&gt;=16,$AU5&lt;=30),"16-30",AND($AU5&gt;=31,$AU5&lt;=45),"31-45",AND($AU5&gt;=46,$AU5&lt;=60),"46-60",AND($AU5&gt;=61,$AU5&lt;=90),"61-90",AND($AU5&gt;=91),"&gt; 90",AND($AU5&gt;=2000),""),"")</f>
        <v/>
      </c>
      <c r="AW5" s="32" t="str" cm="1">
        <f t="array" aca="1" ref="AW5" ca="1">IFERROR(_xlfn.IFS(OR($M5="",$AM5=""),"",OR($C5="Offered",$C5="Joined"),($AM5-$M5)-$AT5),"")</f>
        <v/>
      </c>
      <c r="AX5" s="32" t="str" cm="1">
        <f t="array" aca="1" ref="AX5" ca="1">IFERROR(_xlfn.IFS(OR($M5="",$AS5=""),"",$C5="Joined",($AS5-$M5)-$AT5),"")</f>
        <v/>
      </c>
      <c r="AY5" s="30" t="str">
        <f>IFERROR(IF(COUNTIFS('Candidate Tracker'!$E:$E,'Positions Tracker'!$B5,'Candidate Tracker'!$C:$C,"Offer Drop")=0,"",COUNTIFS('Candidate Tracker'!$E:$E,'Positions Tracker'!$B5,'Candidate Tracker'!$C:$C,"Offer Drop")),"")</f>
        <v/>
      </c>
      <c r="AZ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 s="34">
        <f>IFERROR(IF(COUNTIFS('Candidate Tracker'!$E:$E,'Positions Tracker'!$B5,'Candidate Tracker'!$I:$I,"Female")=0,"",COUNTIFS('Candidate Tracker'!$E:$E,'Positions Tracker'!$B5,'Candidate Tracker'!$I:$I,"Female")),"")</f>
        <v>1</v>
      </c>
      <c r="BB5" s="34">
        <f>IFERROR(IF(COUNTIFS('Candidate Tracker'!$E:$E,'Positions Tracker'!$B5,'Candidate Tracker'!$I:$I,"male")=0,"",COUNTIFS('Candidate Tracker'!$E:$E,'Positions Tracker'!$B5,'Candidate Tracker'!$I:$I,"male")),"")</f>
        <v>2</v>
      </c>
      <c r="BC5" s="33" t="str">
        <f>IFERROR(IF(COUNTIFS('Candidate Tracker'!$E:$E,'Positions Tracker'!$B5,'Candidate Tracker'!$C:$C,"&lt;&gt;WIP",'Candidate Tracker'!$C:$C,"&lt;&gt;Hold",'Candidate Tracker'!$C:$C,"&lt;&gt;Cancelled",'Candidate Tracker'!$C:$C,"&lt;&gt;Closed")/COUNTIFS('Candidate Tracker'!$E:$E,'Positions Tracker'!$B5)=0,"",COUNTIFS('Candidate Tracker'!$E:$E,'Positions Tracker'!$B5,'Candidate Tracker'!$C:$C,"&lt;&gt;WIP",'Candidate Tracker'!$C:$C,"&lt;&gt;Hold",'Candidate Tracker'!$C:$C,"&lt;&gt;Cancelled",'Candidate Tracker'!$C:$C,"&lt;&gt;Closed")/COUNTIFS('Candidate Tracker'!$E:$E,'Positions Tracker'!$B5)),"")</f>
        <v/>
      </c>
      <c r="BD5" s="30" t="str">
        <f t="shared" si="8"/>
        <v>Mar-25</v>
      </c>
      <c r="BE5" s="30" t="str">
        <f t="shared" si="9"/>
        <v/>
      </c>
      <c r="BF5" s="30" t="str">
        <f t="shared" si="10"/>
        <v/>
      </c>
      <c r="BG5" s="30" t="str">
        <f t="shared" si="11"/>
        <v/>
      </c>
    </row>
    <row r="6" spans="1:59">
      <c r="A6" s="30">
        <f t="shared" si="6"/>
        <v>5</v>
      </c>
      <c r="B6" s="30"/>
      <c r="C6" s="30" t="s">
        <v>3847</v>
      </c>
      <c r="D6" s="30" t="s">
        <v>1920</v>
      </c>
      <c r="E6" s="30" t="s">
        <v>1229</v>
      </c>
      <c r="F6" s="30" t="s">
        <v>3852</v>
      </c>
      <c r="G6" s="30" t="s">
        <v>3</v>
      </c>
      <c r="H6" s="30" t="s">
        <v>66</v>
      </c>
      <c r="I6" s="30" t="s">
        <v>3853</v>
      </c>
      <c r="J6" s="30" t="s">
        <v>135</v>
      </c>
      <c r="K6" s="31">
        <v>45625</v>
      </c>
      <c r="L6" s="31">
        <v>45625</v>
      </c>
      <c r="M6" s="31">
        <v>45625</v>
      </c>
      <c r="N6" s="30" t="s">
        <v>3855</v>
      </c>
      <c r="O6" s="31"/>
      <c r="P6" s="31"/>
      <c r="Q6" s="31"/>
      <c r="R6" s="31"/>
      <c r="S6" s="31"/>
      <c r="T6" s="31"/>
      <c r="U6" s="30"/>
      <c r="V6" s="30"/>
      <c r="W6" s="30"/>
      <c r="X6" s="30" t="s">
        <v>63</v>
      </c>
      <c r="Y6" s="30" t="s">
        <v>218</v>
      </c>
      <c r="Z6" s="30" t="s">
        <v>218</v>
      </c>
      <c r="AA6" s="30" t="s">
        <v>3859</v>
      </c>
      <c r="AB6" s="30">
        <v>12</v>
      </c>
      <c r="AC6" s="30">
        <v>9</v>
      </c>
      <c r="AD6" s="30"/>
      <c r="AE6" s="30"/>
      <c r="AF6" s="30"/>
      <c r="AG6" s="30"/>
      <c r="AH6" s="31"/>
      <c r="AI6" s="31"/>
      <c r="AJ6" s="31"/>
      <c r="AK6" s="30"/>
      <c r="AL6" s="30"/>
      <c r="AM6" s="31"/>
      <c r="AN6" s="31"/>
      <c r="AO6" s="31"/>
      <c r="AP6" s="31"/>
      <c r="AQ6" s="31"/>
      <c r="AR6" s="31"/>
      <c r="AS6" s="31"/>
      <c r="AT6" s="30">
        <f t="shared" ca="1" si="7"/>
        <v>0</v>
      </c>
      <c r="AU6" s="32" t="str">
        <f t="shared" ca="1" si="1"/>
        <v/>
      </c>
      <c r="AV6" s="32" t="str" cm="1">
        <f t="array" aca="1" ref="AV6" ca="1">IFERROR(_xlfn.IFS($AU6="","",$AU6&lt;=15,"0-15",AND($AU6&gt;=16,$AU6&lt;=30),"16-30",AND($AU6&gt;=31,$AU6&lt;=45),"31-45",AND($AU6&gt;=46,$AU6&lt;=60),"46-60",AND($AU6&gt;=61,$AU6&lt;=90),"61-90",AND($AU6&gt;=91),"&gt; 90",AND($AU6&gt;=2000),""),"")</f>
        <v/>
      </c>
      <c r="AW6" s="32" t="str" cm="1">
        <f t="array" aca="1" ref="AW6" ca="1">IFERROR(_xlfn.IFS(OR($M6="",$AM6=""),"",OR($C6="Offered",$C6="Joined"),($AM6-$M6)-$AT6),"")</f>
        <v/>
      </c>
      <c r="AX6" s="32" t="str" cm="1">
        <f t="array" aca="1" ref="AX6" ca="1">IFERROR(_xlfn.IFS(OR($M6="",$AS6=""),"",$C6="Joined",($AS6-$M6)-$AT6),"")</f>
        <v/>
      </c>
      <c r="AY6" s="30" t="str">
        <f>IFERROR(IF(COUNTIFS('Candidate Tracker'!$E:$E,'Positions Tracker'!$B6,'Candidate Tracker'!$C:$C,"Offer Drop")=0,"",COUNTIFS('Candidate Tracker'!$E:$E,'Positions Tracker'!$B6,'Candidate Tracker'!$C:$C,"Offer Drop")),"")</f>
        <v/>
      </c>
      <c r="AZ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 s="34" t="str">
        <f>IFERROR(IF(COUNTIFS('Candidate Tracker'!$E:$E,'Positions Tracker'!$B6,'Candidate Tracker'!$I:$I,"Female")=0,"",COUNTIFS('Candidate Tracker'!$E:$E,'Positions Tracker'!$B6,'Candidate Tracker'!$I:$I,"Female")),"")</f>
        <v/>
      </c>
      <c r="BB6" s="34" t="str">
        <f>IFERROR(IF(COUNTIFS('Candidate Tracker'!$E:$E,'Positions Tracker'!$B6,'Candidate Tracker'!$I:$I,"male")=0,"",COUNTIFS('Candidate Tracker'!$E:$E,'Positions Tracker'!$B6,'Candidate Tracker'!$I:$I,"male")),"")</f>
        <v/>
      </c>
      <c r="BC6" s="33" t="str">
        <f>IFERROR(IF(COUNTIFS('Candidate Tracker'!$E:$E,'Positions Tracker'!$B6,'Candidate Tracker'!$C:$C,"&lt;&gt;WIP",'Candidate Tracker'!$C:$C,"&lt;&gt;Hold",'Candidate Tracker'!$C:$C,"&lt;&gt;Cancelled",'Candidate Tracker'!$C:$C,"&lt;&gt;Closed")/COUNTIFS('Candidate Tracker'!$E:$E,'Positions Tracker'!$B6)=0,"",COUNTIFS('Candidate Tracker'!$E:$E,'Positions Tracker'!$B6,'Candidate Tracker'!$C:$C,"&lt;&gt;WIP",'Candidate Tracker'!$C:$C,"&lt;&gt;Hold",'Candidate Tracker'!$C:$C,"&lt;&gt;Cancelled",'Candidate Tracker'!$C:$C,"&lt;&gt;Closed")/COUNTIFS('Candidate Tracker'!$E:$E,'Positions Tracker'!$B6)),"")</f>
        <v/>
      </c>
      <c r="BD6" s="30" t="str">
        <f t="shared" si="8"/>
        <v>Nov-24</v>
      </c>
      <c r="BE6" s="30" t="str">
        <f t="shared" si="9"/>
        <v/>
      </c>
      <c r="BF6" s="30" t="str">
        <f t="shared" si="10"/>
        <v/>
      </c>
      <c r="BG6" s="30" t="str">
        <f t="shared" si="11"/>
        <v/>
      </c>
    </row>
    <row r="7" spans="1:59">
      <c r="A7" s="30">
        <f t="shared" si="6"/>
        <v>6</v>
      </c>
      <c r="B7" s="30">
        <v>20253845</v>
      </c>
      <c r="C7" s="30" t="s">
        <v>3857</v>
      </c>
      <c r="D7" s="30" t="s">
        <v>3857</v>
      </c>
      <c r="E7" s="30" t="s">
        <v>3860</v>
      </c>
      <c r="F7" s="30" t="s">
        <v>3852</v>
      </c>
      <c r="G7" s="30" t="s">
        <v>3</v>
      </c>
      <c r="H7" s="30" t="s">
        <v>66</v>
      </c>
      <c r="I7" s="30" t="s">
        <v>2639</v>
      </c>
      <c r="J7" s="30" t="s">
        <v>351</v>
      </c>
      <c r="K7" s="31">
        <v>45744</v>
      </c>
      <c r="L7" s="31">
        <v>45744</v>
      </c>
      <c r="M7" s="31">
        <v>45744</v>
      </c>
      <c r="N7" s="30" t="s">
        <v>3861</v>
      </c>
      <c r="O7" s="31"/>
      <c r="P7" s="31"/>
      <c r="Q7" s="31"/>
      <c r="R7" s="31"/>
      <c r="S7" s="31"/>
      <c r="T7" s="31"/>
      <c r="U7" s="30">
        <v>8</v>
      </c>
      <c r="V7" s="30"/>
      <c r="W7" s="30"/>
      <c r="X7" s="30" t="s">
        <v>63</v>
      </c>
      <c r="Y7" s="30" t="s">
        <v>218</v>
      </c>
      <c r="Z7" s="30" t="s">
        <v>218</v>
      </c>
      <c r="AA7" s="30" t="s">
        <v>3862</v>
      </c>
      <c r="AB7" s="30">
        <v>47</v>
      </c>
      <c r="AC7" s="30">
        <v>30</v>
      </c>
      <c r="AD7" s="30"/>
      <c r="AE7" s="30" t="s">
        <v>3863</v>
      </c>
      <c r="AF7" s="30">
        <v>7775960656</v>
      </c>
      <c r="AG7" s="30" t="s">
        <v>3864</v>
      </c>
      <c r="AH7" s="31" t="s">
        <v>101</v>
      </c>
      <c r="AI7" s="31">
        <v>45758</v>
      </c>
      <c r="AJ7" s="31">
        <v>45764</v>
      </c>
      <c r="AK7" s="30" t="s">
        <v>63</v>
      </c>
      <c r="AL7" s="30">
        <v>1800000</v>
      </c>
      <c r="AM7" s="31">
        <v>45764</v>
      </c>
      <c r="AN7" s="31">
        <v>45765</v>
      </c>
      <c r="AO7" s="31">
        <v>45810</v>
      </c>
      <c r="AP7" s="31">
        <v>45768</v>
      </c>
      <c r="AQ7" s="31">
        <v>45768</v>
      </c>
      <c r="AR7" s="31"/>
      <c r="AS7" s="31"/>
      <c r="AT7" s="30">
        <f t="shared" ca="1" si="7"/>
        <v>0</v>
      </c>
      <c r="AU7" s="32" t="str">
        <f t="shared" ca="1" si="1"/>
        <v/>
      </c>
      <c r="AV7" s="32" t="str" cm="1">
        <f t="array" aca="1" ref="AV7" ca="1">IFERROR(_xlfn.IFS($AU7="","",$AU7&lt;=15,"0-15",AND($AU7&gt;=16,$AU7&lt;=30),"16-30",AND($AU7&gt;=31,$AU7&lt;=45),"31-45",AND($AU7&gt;=46,$AU7&lt;=60),"46-60",AND($AU7&gt;=61,$AU7&lt;=90),"61-90",AND($AU7&gt;=91),"&gt; 90",AND($AU7&gt;=2000),""),"")</f>
        <v/>
      </c>
      <c r="AW7" s="32" t="str" cm="1">
        <f t="array" aca="1" ref="AW7" ca="1">IFERROR(_xlfn.IFS(OR($M7="",$AM7=""),"",OR($C7="Offered",$C7="Joined"),($AM7-$M7)-$AT7),"")</f>
        <v/>
      </c>
      <c r="AX7" s="32" t="str" cm="1">
        <f t="array" aca="1" ref="AX7" ca="1">IFERROR(_xlfn.IFS(OR($M7="",$AS7=""),"",$C7="Joined",($AS7-$M7)-$AT7),"")</f>
        <v/>
      </c>
      <c r="AY7" s="30" t="str">
        <f>IFERROR(IF(COUNTIFS('Candidate Tracker'!$E:$E,'Positions Tracker'!$B7,'Candidate Tracker'!$C:$C,"Offer Drop")=0,"",COUNTIFS('Candidate Tracker'!$E:$E,'Positions Tracker'!$B7,'Candidate Tracker'!$C:$C,"Offer Drop")),"")</f>
        <v/>
      </c>
      <c r="AZ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 s="34" t="str">
        <f>IFERROR(IF(COUNTIFS('Candidate Tracker'!$E:$E,'Positions Tracker'!$B7,'Candidate Tracker'!$I:$I,"Female")=0,"",COUNTIFS('Candidate Tracker'!$E:$E,'Positions Tracker'!$B7,'Candidate Tracker'!$I:$I,"Female")),"")</f>
        <v/>
      </c>
      <c r="BB7" s="34" t="str">
        <f>IFERROR(IF(COUNTIFS('Candidate Tracker'!$E:$E,'Positions Tracker'!$B7,'Candidate Tracker'!$I:$I,"male")=0,"",COUNTIFS('Candidate Tracker'!$E:$E,'Positions Tracker'!$B7,'Candidate Tracker'!$I:$I,"male")),"")</f>
        <v/>
      </c>
      <c r="BC7" s="33" t="str">
        <f>IFERROR(IF(COUNTIFS('Candidate Tracker'!$E:$E,'Positions Tracker'!$B7,'Candidate Tracker'!$C:$C,"&lt;&gt;WIP",'Candidate Tracker'!$C:$C,"&lt;&gt;Hold",'Candidate Tracker'!$C:$C,"&lt;&gt;Cancelled",'Candidate Tracker'!$C:$C,"&lt;&gt;Closed")/COUNTIFS('Candidate Tracker'!$E:$E,'Positions Tracker'!$B7)=0,"",COUNTIFS('Candidate Tracker'!$E:$E,'Positions Tracker'!$B7,'Candidate Tracker'!$C:$C,"&lt;&gt;WIP",'Candidate Tracker'!$C:$C,"&lt;&gt;Hold",'Candidate Tracker'!$C:$C,"&lt;&gt;Cancelled",'Candidate Tracker'!$C:$C,"&lt;&gt;Closed")/COUNTIFS('Candidate Tracker'!$E:$E,'Positions Tracker'!$B7)),"")</f>
        <v/>
      </c>
      <c r="BD7" s="30" t="str">
        <f t="shared" si="8"/>
        <v>Mar-25</v>
      </c>
      <c r="BE7" s="30" t="str">
        <f t="shared" si="9"/>
        <v>Apr-25</v>
      </c>
      <c r="BF7" s="30" t="str">
        <f t="shared" si="10"/>
        <v>Apr-25</v>
      </c>
      <c r="BG7" s="30" t="str">
        <f t="shared" si="11"/>
        <v/>
      </c>
    </row>
    <row r="8" spans="1:59">
      <c r="A8" s="30">
        <f t="shared" si="6"/>
        <v>7</v>
      </c>
      <c r="B8" s="30">
        <v>20250697</v>
      </c>
      <c r="C8" s="30" t="s">
        <v>3847</v>
      </c>
      <c r="D8" s="30" t="s">
        <v>1920</v>
      </c>
      <c r="E8" s="30" t="s">
        <v>264</v>
      </c>
      <c r="F8" s="30" t="s">
        <v>3865</v>
      </c>
      <c r="G8" s="30" t="s">
        <v>3</v>
      </c>
      <c r="H8" s="30" t="s">
        <v>66</v>
      </c>
      <c r="I8" s="30" t="s">
        <v>252</v>
      </c>
      <c r="J8" s="30" t="s">
        <v>135</v>
      </c>
      <c r="K8" s="31">
        <v>45625</v>
      </c>
      <c r="L8" s="31">
        <v>45625</v>
      </c>
      <c r="M8" s="31">
        <v>45625</v>
      </c>
      <c r="N8" s="30" t="s">
        <v>3855</v>
      </c>
      <c r="O8" s="31"/>
      <c r="P8" s="31"/>
      <c r="Q8" s="31"/>
      <c r="R8" s="31"/>
      <c r="S8" s="31"/>
      <c r="T8" s="31"/>
      <c r="U8" s="30"/>
      <c r="V8" s="30"/>
      <c r="W8" s="30"/>
      <c r="X8" s="30" t="s">
        <v>63</v>
      </c>
      <c r="Y8" s="30" t="s">
        <v>218</v>
      </c>
      <c r="Z8" s="30" t="s">
        <v>218</v>
      </c>
      <c r="AA8" s="30" t="s">
        <v>3866</v>
      </c>
      <c r="AB8" s="30">
        <v>12</v>
      </c>
      <c r="AC8" s="30">
        <v>9</v>
      </c>
      <c r="AD8" s="30"/>
      <c r="AE8" s="30"/>
      <c r="AF8" s="30"/>
      <c r="AG8" s="30"/>
      <c r="AH8" s="31"/>
      <c r="AI8" s="31"/>
      <c r="AJ8" s="31"/>
      <c r="AK8" s="30"/>
      <c r="AL8" s="30"/>
      <c r="AM8" s="31"/>
      <c r="AN8" s="31"/>
      <c r="AO8" s="31"/>
      <c r="AP8" s="31"/>
      <c r="AQ8" s="31"/>
      <c r="AR8" s="31"/>
      <c r="AS8" s="31"/>
      <c r="AT8" s="30">
        <f t="shared" ca="1" si="7"/>
        <v>0</v>
      </c>
      <c r="AU8" s="32" t="str">
        <f t="shared" ca="1" si="1"/>
        <v/>
      </c>
      <c r="AV8" s="32" t="str" cm="1">
        <f t="array" aca="1" ref="AV8" ca="1">IFERROR(_xlfn.IFS($AU8="","",$AU8&lt;=15,"0-15",AND($AU8&gt;=16,$AU8&lt;=30),"16-30",AND($AU8&gt;=31,$AU8&lt;=45),"31-45",AND($AU8&gt;=46,$AU8&lt;=60),"46-60",AND($AU8&gt;=61,$AU8&lt;=90),"61-90",AND($AU8&gt;=91),"&gt; 90",AND($AU8&gt;=2000),""),"")</f>
        <v/>
      </c>
      <c r="AW8" s="32" t="str" cm="1">
        <f t="array" aca="1" ref="AW8" ca="1">IFERROR(_xlfn.IFS(OR($M8="",$AM8=""),"",OR($C8="Offered",$C8="Joined"),($AM8-$M8)-$AT8),"")</f>
        <v/>
      </c>
      <c r="AX8" s="32" t="str" cm="1">
        <f t="array" aca="1" ref="AX8" ca="1">IFERROR(_xlfn.IFS(OR($M8="",$AS8=""),"",$C8="Joined",($AS8-$M8)-$AT8),"")</f>
        <v/>
      </c>
      <c r="AY8" s="30" t="str">
        <f>IFERROR(IF(COUNTIFS('Candidate Tracker'!$E:$E,'Positions Tracker'!$B8,'Candidate Tracker'!$C:$C,"Offer Drop")=0,"",COUNTIFS('Candidate Tracker'!$E:$E,'Positions Tracker'!$B8,'Candidate Tracker'!$C:$C,"Offer Drop")),"")</f>
        <v/>
      </c>
      <c r="AZ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 s="34">
        <f>IFERROR(IF(COUNTIFS('Candidate Tracker'!$E:$E,'Positions Tracker'!$B8,'Candidate Tracker'!$I:$I,"Female")=0,"",COUNTIFS('Candidate Tracker'!$E:$E,'Positions Tracker'!$B8,'Candidate Tracker'!$I:$I,"Female")),"")</f>
        <v>1</v>
      </c>
      <c r="BB8" s="34">
        <f>IFERROR(IF(COUNTIFS('Candidate Tracker'!$E:$E,'Positions Tracker'!$B8,'Candidate Tracker'!$I:$I,"male")=0,"",COUNTIFS('Candidate Tracker'!$E:$E,'Positions Tracker'!$B8,'Candidate Tracker'!$I:$I,"male")),"")</f>
        <v>7</v>
      </c>
      <c r="BC8" s="33" t="str">
        <f>IFERROR(IF(COUNTIFS('Candidate Tracker'!$E:$E,'Positions Tracker'!$B8,'Candidate Tracker'!$C:$C,"&lt;&gt;WIP",'Candidate Tracker'!$C:$C,"&lt;&gt;Hold",'Candidate Tracker'!$C:$C,"&lt;&gt;Cancelled",'Candidate Tracker'!$C:$C,"&lt;&gt;Closed")/COUNTIFS('Candidate Tracker'!$E:$E,'Positions Tracker'!$B8)=0,"",COUNTIFS('Candidate Tracker'!$E:$E,'Positions Tracker'!$B8,'Candidate Tracker'!$C:$C,"&lt;&gt;WIP",'Candidate Tracker'!$C:$C,"&lt;&gt;Hold",'Candidate Tracker'!$C:$C,"&lt;&gt;Cancelled",'Candidate Tracker'!$C:$C,"&lt;&gt;Closed")/COUNTIFS('Candidate Tracker'!$E:$E,'Positions Tracker'!$B8)),"")</f>
        <v/>
      </c>
      <c r="BD8" s="30" t="str">
        <f t="shared" si="8"/>
        <v>Nov-24</v>
      </c>
      <c r="BE8" s="30" t="str">
        <f t="shared" si="9"/>
        <v/>
      </c>
      <c r="BF8" s="30" t="str">
        <f t="shared" si="10"/>
        <v/>
      </c>
      <c r="BG8" s="30" t="str">
        <f t="shared" si="11"/>
        <v/>
      </c>
    </row>
    <row r="9" spans="1:59">
      <c r="A9" s="30">
        <f t="shared" si="6"/>
        <v>8</v>
      </c>
      <c r="B9" s="30">
        <v>20250696</v>
      </c>
      <c r="C9" s="30" t="s">
        <v>3847</v>
      </c>
      <c r="D9" s="30" t="s">
        <v>1920</v>
      </c>
      <c r="E9" s="30" t="s">
        <v>251</v>
      </c>
      <c r="F9" s="30" t="s">
        <v>3865</v>
      </c>
      <c r="G9" s="30" t="s">
        <v>3</v>
      </c>
      <c r="H9" s="30" t="s">
        <v>66</v>
      </c>
      <c r="I9" s="30" t="s">
        <v>252</v>
      </c>
      <c r="J9" s="30" t="s">
        <v>135</v>
      </c>
      <c r="K9" s="31">
        <v>45625</v>
      </c>
      <c r="L9" s="31">
        <v>45625</v>
      </c>
      <c r="M9" s="31">
        <v>45625</v>
      </c>
      <c r="N9" s="30" t="s">
        <v>3850</v>
      </c>
      <c r="O9" s="31"/>
      <c r="P9" s="31"/>
      <c r="Q9" s="31"/>
      <c r="R9" s="31"/>
      <c r="S9" s="31"/>
      <c r="T9" s="31"/>
      <c r="U9" s="30"/>
      <c r="V9" s="30"/>
      <c r="W9" s="30"/>
      <c r="X9" s="30" t="s">
        <v>63</v>
      </c>
      <c r="Y9" s="30" t="s">
        <v>218</v>
      </c>
      <c r="Z9" s="30" t="s">
        <v>218</v>
      </c>
      <c r="AA9" s="30" t="s">
        <v>3867</v>
      </c>
      <c r="AB9" s="30">
        <v>28</v>
      </c>
      <c r="AC9" s="30">
        <v>20</v>
      </c>
      <c r="AD9" s="30"/>
      <c r="AE9" s="30"/>
      <c r="AF9" s="30"/>
      <c r="AG9" s="30"/>
      <c r="AH9" s="31"/>
      <c r="AI9" s="31"/>
      <c r="AJ9" s="31"/>
      <c r="AK9" s="30"/>
      <c r="AL9" s="30"/>
      <c r="AM9" s="31"/>
      <c r="AN9" s="31"/>
      <c r="AO9" s="31"/>
      <c r="AP9" s="31"/>
      <c r="AQ9" s="31"/>
      <c r="AR9" s="31"/>
      <c r="AS9" s="31"/>
      <c r="AT9" s="30">
        <f t="shared" ca="1" si="7"/>
        <v>0</v>
      </c>
      <c r="AU9" s="32" t="str">
        <f t="shared" ca="1" si="1"/>
        <v/>
      </c>
      <c r="AV9" s="32" t="str" cm="1">
        <f t="array" aca="1" ref="AV9" ca="1">IFERROR(_xlfn.IFS($AU9="","",$AU9&lt;=15,"0-15",AND($AU9&gt;=16,$AU9&lt;=30),"16-30",AND($AU9&gt;=31,$AU9&lt;=45),"31-45",AND($AU9&gt;=46,$AU9&lt;=60),"46-60",AND($AU9&gt;=61,$AU9&lt;=90),"61-90",AND($AU9&gt;=91),"&gt; 90",AND($AU9&gt;=2000),""),"")</f>
        <v/>
      </c>
      <c r="AW9" s="32" t="str" cm="1">
        <f t="array" aca="1" ref="AW9" ca="1">IFERROR(_xlfn.IFS(OR($M9="",$AM9=""),"",OR($C9="Offered",$C9="Joined"),($AM9-$M9)-$AT9),"")</f>
        <v/>
      </c>
      <c r="AX9" s="32" t="str" cm="1">
        <f t="array" aca="1" ref="AX9" ca="1">IFERROR(_xlfn.IFS(OR($M9="",$AS9=""),"",$C9="Joined",($AS9-$M9)-$AT9),"")</f>
        <v/>
      </c>
      <c r="AY9" s="30" t="str">
        <f>IFERROR(IF(COUNTIFS('Candidate Tracker'!$E:$E,'Positions Tracker'!$B9,'Candidate Tracker'!$C:$C,"Offer Drop")=0,"",COUNTIFS('Candidate Tracker'!$E:$E,'Positions Tracker'!$B9,'Candidate Tracker'!$C:$C,"Offer Drop")),"")</f>
        <v/>
      </c>
      <c r="AZ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 s="34">
        <f>IFERROR(IF(COUNTIFS('Candidate Tracker'!$E:$E,'Positions Tracker'!$B9,'Candidate Tracker'!$I:$I,"Female")=0,"",COUNTIFS('Candidate Tracker'!$E:$E,'Positions Tracker'!$B9,'Candidate Tracker'!$I:$I,"Female")),"")</f>
        <v>2</v>
      </c>
      <c r="BB9" s="34">
        <f>IFERROR(IF(COUNTIFS('Candidate Tracker'!$E:$E,'Positions Tracker'!$B9,'Candidate Tracker'!$I:$I,"male")=0,"",COUNTIFS('Candidate Tracker'!$E:$E,'Positions Tracker'!$B9,'Candidate Tracker'!$I:$I,"male")),"")</f>
        <v>10</v>
      </c>
      <c r="BC9" s="33" t="str">
        <f>IFERROR(IF(COUNTIFS('Candidate Tracker'!$E:$E,'Positions Tracker'!$B9,'Candidate Tracker'!$C:$C,"&lt;&gt;WIP",'Candidate Tracker'!$C:$C,"&lt;&gt;Hold",'Candidate Tracker'!$C:$C,"&lt;&gt;Cancelled",'Candidate Tracker'!$C:$C,"&lt;&gt;Closed")/COUNTIFS('Candidate Tracker'!$E:$E,'Positions Tracker'!$B9)=0,"",COUNTIFS('Candidate Tracker'!$E:$E,'Positions Tracker'!$B9,'Candidate Tracker'!$C:$C,"&lt;&gt;WIP",'Candidate Tracker'!$C:$C,"&lt;&gt;Hold",'Candidate Tracker'!$C:$C,"&lt;&gt;Cancelled",'Candidate Tracker'!$C:$C,"&lt;&gt;Closed")/COUNTIFS('Candidate Tracker'!$E:$E,'Positions Tracker'!$B9)),"")</f>
        <v/>
      </c>
      <c r="BD9" s="30" t="str">
        <f t="shared" si="8"/>
        <v>Nov-24</v>
      </c>
      <c r="BE9" s="30" t="str">
        <f t="shared" si="9"/>
        <v/>
      </c>
      <c r="BF9" s="30" t="str">
        <f t="shared" si="10"/>
        <v/>
      </c>
      <c r="BG9" s="30" t="str">
        <f t="shared" si="11"/>
        <v/>
      </c>
    </row>
    <row r="10" spans="1:59">
      <c r="A10" s="30">
        <f t="shared" si="6"/>
        <v>9</v>
      </c>
      <c r="B10" s="30">
        <v>20251179</v>
      </c>
      <c r="C10" s="30" t="s">
        <v>3847</v>
      </c>
      <c r="D10" s="30" t="s">
        <v>1920</v>
      </c>
      <c r="E10" s="30" t="s">
        <v>3868</v>
      </c>
      <c r="F10" s="30" t="s">
        <v>3869</v>
      </c>
      <c r="G10" s="30" t="s">
        <v>3</v>
      </c>
      <c r="H10" s="30" t="s">
        <v>66</v>
      </c>
      <c r="I10" s="30" t="s">
        <v>433</v>
      </c>
      <c r="J10" s="30" t="s">
        <v>135</v>
      </c>
      <c r="K10" s="31">
        <v>45643</v>
      </c>
      <c r="L10" s="31">
        <v>45643</v>
      </c>
      <c r="M10" s="31">
        <v>45643</v>
      </c>
      <c r="N10" s="30" t="s">
        <v>3861</v>
      </c>
      <c r="O10" s="31"/>
      <c r="P10" s="31"/>
      <c r="Q10" s="31"/>
      <c r="R10" s="31"/>
      <c r="S10" s="31"/>
      <c r="T10" s="31"/>
      <c r="U10" s="30"/>
      <c r="V10" s="30"/>
      <c r="W10" s="30"/>
      <c r="X10" s="30" t="s">
        <v>63</v>
      </c>
      <c r="Y10" s="30" t="s">
        <v>218</v>
      </c>
      <c r="Z10" s="30" t="s">
        <v>218</v>
      </c>
      <c r="AA10" s="30" t="s">
        <v>3870</v>
      </c>
      <c r="AB10" s="30"/>
      <c r="AC10" s="30"/>
      <c r="AD10" s="30"/>
      <c r="AE10" s="30"/>
      <c r="AF10" s="30"/>
      <c r="AG10" s="30"/>
      <c r="AH10" s="31"/>
      <c r="AI10" s="31"/>
      <c r="AJ10" s="31"/>
      <c r="AK10" s="30"/>
      <c r="AL10" s="30"/>
      <c r="AM10" s="31"/>
      <c r="AN10" s="31"/>
      <c r="AO10" s="31"/>
      <c r="AP10" s="31"/>
      <c r="AQ10" s="31"/>
      <c r="AR10" s="31"/>
      <c r="AS10" s="31"/>
      <c r="AT10" s="30">
        <f t="shared" ca="1" si="7"/>
        <v>0</v>
      </c>
      <c r="AU10" s="32" t="str">
        <f t="shared" ca="1" si="1"/>
        <v/>
      </c>
      <c r="AV10" s="32" t="str" cm="1">
        <f t="array" aca="1" ref="AV10" ca="1">IFERROR(_xlfn.IFS($AU10="","",$AU10&lt;=15,"0-15",AND($AU10&gt;=16,$AU10&lt;=30),"16-30",AND($AU10&gt;=31,$AU10&lt;=45),"31-45",AND($AU10&gt;=46,$AU10&lt;=60),"46-60",AND($AU10&gt;=61,$AU10&lt;=90),"61-90",AND($AU10&gt;=91),"&gt; 90",AND($AU10&gt;=2000),""),"")</f>
        <v/>
      </c>
      <c r="AW10" s="32" t="str" cm="1">
        <f t="array" aca="1" ref="AW10" ca="1">IFERROR(_xlfn.IFS(OR($M10="",$AM10=""),"",OR($C10="Offered",$C10="Joined"),($AM10-$M10)-$AT10),"")</f>
        <v/>
      </c>
      <c r="AX10" s="32" t="str" cm="1">
        <f t="array" aca="1" ref="AX10" ca="1">IFERROR(_xlfn.IFS(OR($M10="",$AS10=""),"",$C10="Joined",($AS10-$M10)-$AT10),"")</f>
        <v/>
      </c>
      <c r="AY10" s="30" t="str">
        <f>IFERROR(IF(COUNTIFS('Candidate Tracker'!$E:$E,'Positions Tracker'!$B10,'Candidate Tracker'!$C:$C,"Offer Drop")=0,"",COUNTIFS('Candidate Tracker'!$E:$E,'Positions Tracker'!$B10,'Candidate Tracker'!$C:$C,"Offer Drop")),"")</f>
        <v/>
      </c>
      <c r="AZ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 s="34" t="str">
        <f>IFERROR(IF(COUNTIFS('Candidate Tracker'!$E:$E,'Positions Tracker'!$B10,'Candidate Tracker'!$I:$I,"Female")=0,"",COUNTIFS('Candidate Tracker'!$E:$E,'Positions Tracker'!$B10,'Candidate Tracker'!$I:$I,"Female")),"")</f>
        <v/>
      </c>
      <c r="BB10" s="34" t="str">
        <f>IFERROR(IF(COUNTIFS('Candidate Tracker'!$E:$E,'Positions Tracker'!$B10,'Candidate Tracker'!$I:$I,"male")=0,"",COUNTIFS('Candidate Tracker'!$E:$E,'Positions Tracker'!$B10,'Candidate Tracker'!$I:$I,"male")),"")</f>
        <v/>
      </c>
      <c r="BC10" s="33" t="str">
        <f>IFERROR(IF(COUNTIFS('Candidate Tracker'!$E:$E,'Positions Tracker'!$B10,'Candidate Tracker'!$C:$C,"&lt;&gt;WIP",'Candidate Tracker'!$C:$C,"&lt;&gt;Hold",'Candidate Tracker'!$C:$C,"&lt;&gt;Cancelled",'Candidate Tracker'!$C:$C,"&lt;&gt;Closed")/COUNTIFS('Candidate Tracker'!$E:$E,'Positions Tracker'!$B10)=0,"",COUNTIFS('Candidate Tracker'!$E:$E,'Positions Tracker'!$B10,'Candidate Tracker'!$C:$C,"&lt;&gt;WIP",'Candidate Tracker'!$C:$C,"&lt;&gt;Hold",'Candidate Tracker'!$C:$C,"&lt;&gt;Cancelled",'Candidate Tracker'!$C:$C,"&lt;&gt;Closed")/COUNTIFS('Candidate Tracker'!$E:$E,'Positions Tracker'!$B10)),"")</f>
        <v/>
      </c>
      <c r="BD10" s="30" t="str">
        <f t="shared" si="8"/>
        <v>Dec-24</v>
      </c>
      <c r="BE10" s="30" t="str">
        <f t="shared" si="9"/>
        <v/>
      </c>
      <c r="BF10" s="30" t="str">
        <f t="shared" si="10"/>
        <v/>
      </c>
      <c r="BG10" s="30" t="str">
        <f t="shared" si="11"/>
        <v/>
      </c>
    </row>
    <row r="11" spans="1:59">
      <c r="A11" s="30">
        <f t="shared" si="6"/>
        <v>10</v>
      </c>
      <c r="B11" s="30">
        <v>20242803</v>
      </c>
      <c r="C11" s="30" t="s">
        <v>3857</v>
      </c>
      <c r="D11" s="30" t="s">
        <v>3857</v>
      </c>
      <c r="E11" s="30" t="s">
        <v>212</v>
      </c>
      <c r="F11" s="30" t="s">
        <v>3399</v>
      </c>
      <c r="G11" s="30" t="s">
        <v>3</v>
      </c>
      <c r="H11" s="30" t="s">
        <v>118</v>
      </c>
      <c r="I11" s="30" t="s">
        <v>3871</v>
      </c>
      <c r="J11" s="30"/>
      <c r="K11" s="31">
        <v>45580</v>
      </c>
      <c r="L11" s="31">
        <v>45580</v>
      </c>
      <c r="M11" s="31">
        <v>45710</v>
      </c>
      <c r="N11" s="30" t="s">
        <v>3861</v>
      </c>
      <c r="O11" s="31">
        <v>45719</v>
      </c>
      <c r="P11" s="31"/>
      <c r="Q11" s="31"/>
      <c r="R11" s="31">
        <v>45737</v>
      </c>
      <c r="S11" s="31"/>
      <c r="T11" s="31"/>
      <c r="U11" s="30"/>
      <c r="V11" s="30"/>
      <c r="W11" s="30"/>
      <c r="X11" s="30" t="s">
        <v>63</v>
      </c>
      <c r="Y11" s="30" t="s">
        <v>218</v>
      </c>
      <c r="Z11" s="30" t="s">
        <v>218</v>
      </c>
      <c r="AA11" s="30" t="s">
        <v>3872</v>
      </c>
      <c r="AB11" s="30">
        <v>38</v>
      </c>
      <c r="AC11" s="30">
        <v>30</v>
      </c>
      <c r="AD11" s="30">
        <v>12</v>
      </c>
      <c r="AE11" s="30"/>
      <c r="AF11" s="30"/>
      <c r="AG11" s="30"/>
      <c r="AH11" s="31"/>
      <c r="AI11" s="31"/>
      <c r="AJ11" s="31"/>
      <c r="AK11" s="30"/>
      <c r="AL11" s="30"/>
      <c r="AM11" s="31"/>
      <c r="AN11" s="31"/>
      <c r="AO11" s="31"/>
      <c r="AP11" s="31"/>
      <c r="AQ11" s="31"/>
      <c r="AR11" s="31"/>
      <c r="AS11" s="31"/>
      <c r="AT11" s="30">
        <f t="shared" ca="1" si="7"/>
        <v>18</v>
      </c>
      <c r="AU11" s="32" t="str">
        <f t="shared" ca="1" si="1"/>
        <v/>
      </c>
      <c r="AV11" s="32" t="str" cm="1">
        <f t="array" aca="1" ref="AV11" ca="1">IFERROR(_xlfn.IFS($AU11="","",$AU11&lt;=15,"0-15",AND($AU11&gt;=16,$AU11&lt;=30),"16-30",AND($AU11&gt;=31,$AU11&lt;=45),"31-45",AND($AU11&gt;=46,$AU11&lt;=60),"46-60",AND($AU11&gt;=61,$AU11&lt;=90),"61-90",AND($AU11&gt;=91),"&gt; 90",AND($AU11&gt;=2000),""),"")</f>
        <v/>
      </c>
      <c r="AW11" s="32" t="str" cm="1">
        <f t="array" aca="1" ref="AW11" ca="1">IFERROR(_xlfn.IFS(OR($M11="",$AM11=""),"",OR($C11="Offered",$C11="Joined"),($AM11-$M11)-$AT11),"")</f>
        <v/>
      </c>
      <c r="AX11" s="32" t="str" cm="1">
        <f t="array" aca="1" ref="AX11" ca="1">IFERROR(_xlfn.IFS(OR($M11="",$AS11=""),"",$C11="Joined",($AS11-$M11)-$AT11),"")</f>
        <v/>
      </c>
      <c r="AY11" s="30" t="str">
        <f>IFERROR(IF(COUNTIFS('Candidate Tracker'!$E:$E,'Positions Tracker'!$B11,'Candidate Tracker'!$C:$C,"Offer Drop")=0,"",COUNTIFS('Candidate Tracker'!$E:$E,'Positions Tracker'!$B11,'Candidate Tracker'!$C:$C,"Offer Drop")),"")</f>
        <v/>
      </c>
      <c r="AZ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 s="34">
        <f>IFERROR(IF(COUNTIFS('Candidate Tracker'!$E:$E,'Positions Tracker'!$B11,'Candidate Tracker'!$I:$I,"Female")=0,"",COUNTIFS('Candidate Tracker'!$E:$E,'Positions Tracker'!$B11,'Candidate Tracker'!$I:$I,"Female")),"")</f>
        <v>14</v>
      </c>
      <c r="BB11" s="34">
        <f>IFERROR(IF(COUNTIFS('Candidate Tracker'!$E:$E,'Positions Tracker'!$B11,'Candidate Tracker'!$I:$I,"male")=0,"",COUNTIFS('Candidate Tracker'!$E:$E,'Positions Tracker'!$B11,'Candidate Tracker'!$I:$I,"male")),"")</f>
        <v>31</v>
      </c>
      <c r="BC11" s="33" t="str">
        <f>IFERROR(IF(COUNTIFS('Candidate Tracker'!$E:$E,'Positions Tracker'!$B11,'Candidate Tracker'!$C:$C,"&lt;&gt;WIP",'Candidate Tracker'!$C:$C,"&lt;&gt;Hold",'Candidate Tracker'!$C:$C,"&lt;&gt;Cancelled",'Candidate Tracker'!$C:$C,"&lt;&gt;Closed")/COUNTIFS('Candidate Tracker'!$E:$E,'Positions Tracker'!$B11)=0,"",COUNTIFS('Candidate Tracker'!$E:$E,'Positions Tracker'!$B11,'Candidate Tracker'!$C:$C,"&lt;&gt;WIP",'Candidate Tracker'!$C:$C,"&lt;&gt;Hold",'Candidate Tracker'!$C:$C,"&lt;&gt;Cancelled",'Candidate Tracker'!$C:$C,"&lt;&gt;Closed")/COUNTIFS('Candidate Tracker'!$E:$E,'Positions Tracker'!$B11)),"")</f>
        <v/>
      </c>
      <c r="BD11" s="30" t="str">
        <f t="shared" si="8"/>
        <v>Feb-25</v>
      </c>
      <c r="BE11" s="30" t="str">
        <f t="shared" si="9"/>
        <v/>
      </c>
      <c r="BF11" s="30" t="str">
        <f t="shared" si="10"/>
        <v/>
      </c>
      <c r="BG11" s="30" t="str">
        <f t="shared" si="11"/>
        <v/>
      </c>
    </row>
    <row r="12" spans="1:59">
      <c r="A12" s="30">
        <f t="shared" si="6"/>
        <v>11</v>
      </c>
      <c r="B12" s="30">
        <v>20245321</v>
      </c>
      <c r="C12" s="30" t="s">
        <v>3857</v>
      </c>
      <c r="D12" s="30" t="s">
        <v>3857</v>
      </c>
      <c r="E12" s="30" t="s">
        <v>296</v>
      </c>
      <c r="F12" s="30" t="s">
        <v>3399</v>
      </c>
      <c r="G12" s="30" t="s">
        <v>3</v>
      </c>
      <c r="H12" s="30" t="s">
        <v>118</v>
      </c>
      <c r="I12" s="30" t="s">
        <v>3871</v>
      </c>
      <c r="J12" s="30"/>
      <c r="K12" s="31">
        <v>45580</v>
      </c>
      <c r="L12" s="31">
        <v>45580</v>
      </c>
      <c r="M12" s="31">
        <v>45580</v>
      </c>
      <c r="N12" s="30" t="s">
        <v>3861</v>
      </c>
      <c r="O12" s="31">
        <v>45649</v>
      </c>
      <c r="P12" s="31"/>
      <c r="Q12" s="31"/>
      <c r="R12" s="31">
        <v>45664</v>
      </c>
      <c r="S12" s="31"/>
      <c r="T12" s="31"/>
      <c r="U12" s="30"/>
      <c r="V12" s="30"/>
      <c r="W12" s="30"/>
      <c r="X12" s="30" t="s">
        <v>63</v>
      </c>
      <c r="Y12" s="30" t="s">
        <v>218</v>
      </c>
      <c r="Z12" s="30" t="s">
        <v>218</v>
      </c>
      <c r="AA12" s="30" t="s">
        <v>3873</v>
      </c>
      <c r="AB12" s="30">
        <v>38</v>
      </c>
      <c r="AC12" s="30">
        <v>29</v>
      </c>
      <c r="AD12" s="30">
        <v>10</v>
      </c>
      <c r="AE12" s="30"/>
      <c r="AF12" s="30"/>
      <c r="AG12" s="30"/>
      <c r="AH12" s="31"/>
      <c r="AI12" s="31"/>
      <c r="AJ12" s="31"/>
      <c r="AK12" s="30"/>
      <c r="AL12" s="30"/>
      <c r="AM12" s="31"/>
      <c r="AN12" s="31"/>
      <c r="AO12" s="31"/>
      <c r="AP12" s="31"/>
      <c r="AQ12" s="31"/>
      <c r="AR12" s="31"/>
      <c r="AS12" s="31"/>
      <c r="AT12" s="30">
        <f t="shared" ca="1" si="7"/>
        <v>15</v>
      </c>
      <c r="AU12" s="32" t="str">
        <f t="shared" ca="1" si="1"/>
        <v/>
      </c>
      <c r="AV12" s="32" t="str" cm="1">
        <f t="array" aca="1" ref="AV12" ca="1">IFERROR(_xlfn.IFS($AU12="","",$AU12&lt;=15,"0-15",AND($AU12&gt;=16,$AU12&lt;=30),"16-30",AND($AU12&gt;=31,$AU12&lt;=45),"31-45",AND($AU12&gt;=46,$AU12&lt;=60),"46-60",AND($AU12&gt;=61,$AU12&lt;=90),"61-90",AND($AU12&gt;=91),"&gt; 90",AND($AU12&gt;=2000),""),"")</f>
        <v/>
      </c>
      <c r="AW12" s="32" t="str" cm="1">
        <f t="array" aca="1" ref="AW12" ca="1">IFERROR(_xlfn.IFS(OR($M12="",$AM12=""),"",OR($C12="Offered",$C12="Joined"),($AM12-$M12)-$AT12),"")</f>
        <v/>
      </c>
      <c r="AX12" s="32" t="str" cm="1">
        <f t="array" aca="1" ref="AX12" ca="1">IFERROR(_xlfn.IFS(OR($M12="",$AS12=""),"",$C12="Joined",($AS12-$M12)-$AT12),"")</f>
        <v/>
      </c>
      <c r="AY12" s="30" t="str">
        <f>IFERROR(IF(COUNTIFS('Candidate Tracker'!$E:$E,'Positions Tracker'!$B12,'Candidate Tracker'!$C:$C,"Offer Drop")=0,"",COUNTIFS('Candidate Tracker'!$E:$E,'Positions Tracker'!$B12,'Candidate Tracker'!$C:$C,"Offer Drop")),"")</f>
        <v/>
      </c>
      <c r="AZ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 s="34">
        <f>IFERROR(IF(COUNTIFS('Candidate Tracker'!$E:$E,'Positions Tracker'!$B12,'Candidate Tracker'!$I:$I,"Female")=0,"",COUNTIFS('Candidate Tracker'!$E:$E,'Positions Tracker'!$B12,'Candidate Tracker'!$I:$I,"Female")),"")</f>
        <v>9</v>
      </c>
      <c r="BB12" s="34">
        <f>IFERROR(IF(COUNTIFS('Candidate Tracker'!$E:$E,'Positions Tracker'!$B12,'Candidate Tracker'!$I:$I,"male")=0,"",COUNTIFS('Candidate Tracker'!$E:$E,'Positions Tracker'!$B12,'Candidate Tracker'!$I:$I,"male")),"")</f>
        <v>18</v>
      </c>
      <c r="BC12" s="33" t="str">
        <f>IFERROR(IF(COUNTIFS('Candidate Tracker'!$E:$E,'Positions Tracker'!$B12,'Candidate Tracker'!$C:$C,"&lt;&gt;WIP",'Candidate Tracker'!$C:$C,"&lt;&gt;Hold",'Candidate Tracker'!$C:$C,"&lt;&gt;Cancelled",'Candidate Tracker'!$C:$C,"&lt;&gt;Closed")/COUNTIFS('Candidate Tracker'!$E:$E,'Positions Tracker'!$B12)=0,"",COUNTIFS('Candidate Tracker'!$E:$E,'Positions Tracker'!$B12,'Candidate Tracker'!$C:$C,"&lt;&gt;WIP",'Candidate Tracker'!$C:$C,"&lt;&gt;Hold",'Candidate Tracker'!$C:$C,"&lt;&gt;Cancelled",'Candidate Tracker'!$C:$C,"&lt;&gt;Closed")/COUNTIFS('Candidate Tracker'!$E:$E,'Positions Tracker'!$B12)),"")</f>
        <v/>
      </c>
      <c r="BD12" s="30" t="str">
        <f t="shared" si="8"/>
        <v>Oct-24</v>
      </c>
      <c r="BE12" s="30" t="str">
        <f t="shared" si="9"/>
        <v/>
      </c>
      <c r="BF12" s="30" t="str">
        <f t="shared" si="10"/>
        <v/>
      </c>
      <c r="BG12" s="30" t="str">
        <f t="shared" si="11"/>
        <v/>
      </c>
    </row>
    <row r="13" spans="1:59">
      <c r="A13" s="30">
        <f t="shared" si="6"/>
        <v>12</v>
      </c>
      <c r="B13" s="30">
        <v>20243902</v>
      </c>
      <c r="C13" s="30" t="s">
        <v>51</v>
      </c>
      <c r="D13" s="30" t="s">
        <v>51</v>
      </c>
      <c r="E13" s="30" t="s">
        <v>1299</v>
      </c>
      <c r="F13" s="30" t="s">
        <v>3874</v>
      </c>
      <c r="G13" s="30" t="s">
        <v>3</v>
      </c>
      <c r="H13" s="30" t="s">
        <v>66</v>
      </c>
      <c r="I13" s="30" t="s">
        <v>563</v>
      </c>
      <c r="J13" s="30" t="s">
        <v>135</v>
      </c>
      <c r="K13" s="31">
        <v>45476</v>
      </c>
      <c r="L13" s="31">
        <v>45476</v>
      </c>
      <c r="M13" s="31">
        <v>45660</v>
      </c>
      <c r="N13" s="30" t="s">
        <v>3850</v>
      </c>
      <c r="O13" s="31">
        <v>45681</v>
      </c>
      <c r="P13" s="31">
        <v>45727</v>
      </c>
      <c r="Q13" s="31"/>
      <c r="R13" s="31">
        <v>45748</v>
      </c>
      <c r="S13" s="31"/>
      <c r="T13" s="31"/>
      <c r="U13" s="30"/>
      <c r="V13" s="30"/>
      <c r="W13" s="30"/>
      <c r="X13" s="30" t="s">
        <v>63</v>
      </c>
      <c r="Y13" s="30" t="s">
        <v>2679</v>
      </c>
      <c r="Z13" s="30" t="s">
        <v>2679</v>
      </c>
      <c r="AA13" s="30" t="s">
        <v>3875</v>
      </c>
      <c r="AB13" s="30">
        <v>25</v>
      </c>
      <c r="AC13" s="30">
        <v>17</v>
      </c>
      <c r="AD13" s="30"/>
      <c r="AE13" s="30" t="s">
        <v>3876</v>
      </c>
      <c r="AF13" s="30">
        <v>9637764488</v>
      </c>
      <c r="AG13" s="30" t="s">
        <v>2649</v>
      </c>
      <c r="AH13" s="31" t="s">
        <v>55</v>
      </c>
      <c r="AI13" s="31">
        <v>45756</v>
      </c>
      <c r="AJ13" s="31"/>
      <c r="AK13" s="30" t="s">
        <v>63</v>
      </c>
      <c r="AL13" s="30">
        <v>971942</v>
      </c>
      <c r="AM13" s="31">
        <v>45819</v>
      </c>
      <c r="AN13" s="31">
        <v>45819</v>
      </c>
      <c r="AO13" s="31"/>
      <c r="AP13" s="31">
        <v>45821</v>
      </c>
      <c r="AQ13" s="31">
        <v>45821</v>
      </c>
      <c r="AR13" s="31">
        <v>45855</v>
      </c>
      <c r="AS13" s="31">
        <v>45859</v>
      </c>
      <c r="AT13" s="30">
        <f t="shared" ca="1" si="7"/>
        <v>369</v>
      </c>
      <c r="AU13" s="32" t="str">
        <f t="shared" ca="1" si="1"/>
        <v/>
      </c>
      <c r="AV13" s="32" t="str" cm="1">
        <f t="array" aca="1" ref="AV13" ca="1">IFERROR(_xlfn.IFS($AU13="","",$AU13&lt;=15,"0-15",AND($AU13&gt;=16,$AU13&lt;=30),"16-30",AND($AU13&gt;=31,$AU13&lt;=45),"31-45",AND($AU13&gt;=46,$AU13&lt;=60),"46-60",AND($AU13&gt;=61,$AU13&lt;=90),"61-90",AND($AU13&gt;=91),"&gt; 90",AND($AU13&gt;=2000),""),"")</f>
        <v/>
      </c>
      <c r="AW13" s="32" cm="1">
        <f t="array" aca="1" ref="AW13" ca="1">IFERROR(_xlfn.IFS(OR($M13="",$AM13=""),"",OR($C13="Offered",$C13="Joined"),($AM13-$M13)-$AT13),"")</f>
        <v>-210</v>
      </c>
      <c r="AX13" s="32" cm="1">
        <f t="array" aca="1" ref="AX13" ca="1">IFERROR(_xlfn.IFS(OR($M13="",$AS13=""),"",$C13="Joined",($AS13-$M13)-$AT13),"")</f>
        <v>-170</v>
      </c>
      <c r="AY13" s="30" t="str">
        <f>IFERROR(IF(COUNTIFS('Candidate Tracker'!$E:$E,'Positions Tracker'!$B13,'Candidate Tracker'!$C:$C,"Offer Drop")=0,"",COUNTIFS('Candidate Tracker'!$E:$E,'Positions Tracker'!$B13,'Candidate Tracker'!$C:$C,"Offer Drop")),"")</f>
        <v/>
      </c>
      <c r="AZ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 s="34">
        <f>IFERROR(IF(COUNTIFS('Candidate Tracker'!$E:$E,'Positions Tracker'!$B13,'Candidate Tracker'!$I:$I,"Female")=0,"",COUNTIFS('Candidate Tracker'!$E:$E,'Positions Tracker'!$B13,'Candidate Tracker'!$I:$I,"Female")),"")</f>
        <v>2</v>
      </c>
      <c r="BB13" s="34">
        <f>IFERROR(IF(COUNTIFS('Candidate Tracker'!$E:$E,'Positions Tracker'!$B13,'Candidate Tracker'!$I:$I,"male")=0,"",COUNTIFS('Candidate Tracker'!$E:$E,'Positions Tracker'!$B13,'Candidate Tracker'!$I:$I,"male")),"")</f>
        <v>13</v>
      </c>
      <c r="BC13" s="33" t="str">
        <f>IFERROR(IF(COUNTIFS('Candidate Tracker'!$E:$E,'Positions Tracker'!$B13,'Candidate Tracker'!$C:$C,"&lt;&gt;WIP",'Candidate Tracker'!$C:$C,"&lt;&gt;Hold",'Candidate Tracker'!$C:$C,"&lt;&gt;Cancelled",'Candidate Tracker'!$C:$C,"&lt;&gt;Closed")/COUNTIFS('Candidate Tracker'!$E:$E,'Positions Tracker'!$B13)=0,"",COUNTIFS('Candidate Tracker'!$E:$E,'Positions Tracker'!$B13,'Candidate Tracker'!$C:$C,"&lt;&gt;WIP",'Candidate Tracker'!$C:$C,"&lt;&gt;Hold",'Candidate Tracker'!$C:$C,"&lt;&gt;Cancelled",'Candidate Tracker'!$C:$C,"&lt;&gt;Closed")/COUNTIFS('Candidate Tracker'!$E:$E,'Positions Tracker'!$B13)),"")</f>
        <v/>
      </c>
      <c r="BD13" s="30" t="str">
        <f t="shared" si="8"/>
        <v>Jan-25</v>
      </c>
      <c r="BE13" s="30" t="str">
        <f t="shared" si="9"/>
        <v>Apr-25</v>
      </c>
      <c r="BF13" s="30" t="str">
        <f t="shared" si="10"/>
        <v>Jun-25</v>
      </c>
      <c r="BG13" s="30" t="str">
        <f t="shared" si="11"/>
        <v>Jul-25</v>
      </c>
    </row>
    <row r="14" spans="1:59">
      <c r="A14" s="30">
        <f t="shared" si="6"/>
        <v>13</v>
      </c>
      <c r="B14" s="30">
        <v>20252045</v>
      </c>
      <c r="C14" s="30" t="s">
        <v>51</v>
      </c>
      <c r="D14" s="30" t="s">
        <v>51</v>
      </c>
      <c r="E14" s="30" t="s">
        <v>1947</v>
      </c>
      <c r="F14" s="30" t="s">
        <v>3877</v>
      </c>
      <c r="G14" s="30" t="s">
        <v>3</v>
      </c>
      <c r="H14" s="30" t="s">
        <v>66</v>
      </c>
      <c r="I14" s="30" t="s">
        <v>3853</v>
      </c>
      <c r="J14" s="30" t="s">
        <v>351</v>
      </c>
      <c r="K14" s="31">
        <v>45691</v>
      </c>
      <c r="L14" s="31">
        <v>45691</v>
      </c>
      <c r="M14" s="31">
        <v>45691</v>
      </c>
      <c r="N14" s="30" t="s">
        <v>3850</v>
      </c>
      <c r="O14" s="31"/>
      <c r="P14" s="31"/>
      <c r="Q14" s="31"/>
      <c r="R14" s="31"/>
      <c r="S14" s="31"/>
      <c r="T14" s="31"/>
      <c r="U14" s="30"/>
      <c r="V14" s="30"/>
      <c r="W14" s="30"/>
      <c r="X14" s="30" t="s">
        <v>63</v>
      </c>
      <c r="Y14" s="30" t="s">
        <v>218</v>
      </c>
      <c r="Z14" s="30" t="s">
        <v>218</v>
      </c>
      <c r="AA14" s="30" t="s">
        <v>3878</v>
      </c>
      <c r="AB14" s="30">
        <v>5</v>
      </c>
      <c r="AC14" s="30">
        <v>5</v>
      </c>
      <c r="AD14" s="30"/>
      <c r="AE14" s="30" t="s">
        <v>1945</v>
      </c>
      <c r="AF14" s="30">
        <v>8766529114</v>
      </c>
      <c r="AG14" s="30" t="s">
        <v>1946</v>
      </c>
      <c r="AH14" s="31" t="s">
        <v>55</v>
      </c>
      <c r="AI14" s="31">
        <v>45693</v>
      </c>
      <c r="AJ14" s="31">
        <v>45700</v>
      </c>
      <c r="AK14" s="30" t="s">
        <v>63</v>
      </c>
      <c r="AL14" s="30">
        <v>700000</v>
      </c>
      <c r="AM14" s="31">
        <v>45699</v>
      </c>
      <c r="AN14" s="31">
        <v>45702</v>
      </c>
      <c r="AO14" s="31"/>
      <c r="AP14" s="31">
        <v>45706</v>
      </c>
      <c r="AQ14" s="31">
        <v>45706</v>
      </c>
      <c r="AR14" s="31">
        <v>45751</v>
      </c>
      <c r="AS14" s="31">
        <v>45740</v>
      </c>
      <c r="AT14" s="30">
        <f t="shared" ca="1" si="7"/>
        <v>0</v>
      </c>
      <c r="AU14" s="32" t="str">
        <f t="shared" ca="1" si="1"/>
        <v/>
      </c>
      <c r="AV14" s="32" t="str" cm="1">
        <f t="array" aca="1" ref="AV14" ca="1">IFERROR(_xlfn.IFS($AU14="","",$AU14&lt;=15,"0-15",AND($AU14&gt;=16,$AU14&lt;=30),"16-30",AND($AU14&gt;=31,$AU14&lt;=45),"31-45",AND($AU14&gt;=46,$AU14&lt;=60),"46-60",AND($AU14&gt;=61,$AU14&lt;=90),"61-90",AND($AU14&gt;=91),"&gt; 90",AND($AU14&gt;=2000),""),"")</f>
        <v/>
      </c>
      <c r="AW14" s="32" cm="1">
        <f t="array" aca="1" ref="AW14" ca="1">IFERROR(_xlfn.IFS(OR($M14="",$AM14=""),"",OR($C14="Offered",$C14="Joined"),($AM14-$M14)-$AT14),"")</f>
        <v>8</v>
      </c>
      <c r="AX14" s="32" cm="1">
        <f t="array" aca="1" ref="AX14" ca="1">IFERROR(_xlfn.IFS(OR($M14="",$AS14=""),"",$C14="Joined",($AS14-$M14)-$AT14),"")</f>
        <v>49</v>
      </c>
      <c r="AY14" s="30" t="str">
        <f>IFERROR(IF(COUNTIFS('Candidate Tracker'!$E:$E,'Positions Tracker'!$B14,'Candidate Tracker'!$C:$C,"Offer Drop")=0,"",COUNTIFS('Candidate Tracker'!$E:$E,'Positions Tracker'!$B14,'Candidate Tracker'!$C:$C,"Offer Drop")),"")</f>
        <v/>
      </c>
      <c r="AZ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 s="34" t="str">
        <f>IFERROR(IF(COUNTIFS('Candidate Tracker'!$E:$E,'Positions Tracker'!$B14,'Candidate Tracker'!$I:$I,"Female")=0,"",COUNTIFS('Candidate Tracker'!$E:$E,'Positions Tracker'!$B14,'Candidate Tracker'!$I:$I,"Female")),"")</f>
        <v/>
      </c>
      <c r="BB14" s="34">
        <f>IFERROR(IF(COUNTIFS('Candidate Tracker'!$E:$E,'Positions Tracker'!$B14,'Candidate Tracker'!$I:$I,"male")=0,"",COUNTIFS('Candidate Tracker'!$E:$E,'Positions Tracker'!$B14,'Candidate Tracker'!$I:$I,"male")),"")</f>
        <v>1</v>
      </c>
      <c r="BC14" s="33">
        <f>IFERROR(IF(COUNTIFS('Candidate Tracker'!$E:$E,'Positions Tracker'!$B14,'Candidate Tracker'!$C:$C,"&lt;&gt;WIP",'Candidate Tracker'!$C:$C,"&lt;&gt;Hold",'Candidate Tracker'!$C:$C,"&lt;&gt;Cancelled",'Candidate Tracker'!$C:$C,"&lt;&gt;Closed")/COUNTIFS('Candidate Tracker'!$E:$E,'Positions Tracker'!$B14)=0,"",COUNTIFS('Candidate Tracker'!$E:$E,'Positions Tracker'!$B14,'Candidate Tracker'!$C:$C,"&lt;&gt;WIP",'Candidate Tracker'!$C:$C,"&lt;&gt;Hold",'Candidate Tracker'!$C:$C,"&lt;&gt;Cancelled",'Candidate Tracker'!$C:$C,"&lt;&gt;Closed")/COUNTIFS('Candidate Tracker'!$E:$E,'Positions Tracker'!$B14)),"")</f>
        <v>1</v>
      </c>
      <c r="BD14" s="30" t="str">
        <f t="shared" si="8"/>
        <v>Feb-25</v>
      </c>
      <c r="BE14" s="30" t="str">
        <f t="shared" si="9"/>
        <v>Feb-25</v>
      </c>
      <c r="BF14" s="30" t="str">
        <f t="shared" si="10"/>
        <v>Feb-25</v>
      </c>
      <c r="BG14" s="30" t="str">
        <f t="shared" si="11"/>
        <v>Mar-25</v>
      </c>
    </row>
    <row r="15" spans="1:59">
      <c r="A15" s="30">
        <f t="shared" si="6"/>
        <v>14</v>
      </c>
      <c r="B15" s="30">
        <v>20252046</v>
      </c>
      <c r="C15" s="30" t="s">
        <v>51</v>
      </c>
      <c r="D15" s="30" t="s">
        <v>51</v>
      </c>
      <c r="E15" s="30" t="s">
        <v>3879</v>
      </c>
      <c r="F15" s="30" t="s">
        <v>3877</v>
      </c>
      <c r="G15" s="30" t="s">
        <v>3</v>
      </c>
      <c r="H15" s="30" t="s">
        <v>66</v>
      </c>
      <c r="I15" s="30" t="s">
        <v>3853</v>
      </c>
      <c r="J15" s="30" t="s">
        <v>351</v>
      </c>
      <c r="K15" s="31">
        <v>45691</v>
      </c>
      <c r="L15" s="31">
        <v>45691</v>
      </c>
      <c r="M15" s="31">
        <v>45691</v>
      </c>
      <c r="N15" s="30" t="s">
        <v>3855</v>
      </c>
      <c r="O15" s="31"/>
      <c r="P15" s="31"/>
      <c r="Q15" s="31"/>
      <c r="R15" s="31"/>
      <c r="S15" s="31"/>
      <c r="T15" s="31"/>
      <c r="U15" s="30"/>
      <c r="V15" s="30"/>
      <c r="W15" s="30"/>
      <c r="X15" s="30" t="s">
        <v>63</v>
      </c>
      <c r="Y15" s="30" t="s">
        <v>218</v>
      </c>
      <c r="Z15" s="30" t="s">
        <v>218</v>
      </c>
      <c r="AA15" s="30" t="s">
        <v>3880</v>
      </c>
      <c r="AB15" s="30">
        <v>10</v>
      </c>
      <c r="AC15" s="30">
        <v>6</v>
      </c>
      <c r="AD15" s="30"/>
      <c r="AE15" s="30" t="s">
        <v>3881</v>
      </c>
      <c r="AF15" s="30">
        <v>9973287316</v>
      </c>
      <c r="AG15" s="30" t="s">
        <v>1950</v>
      </c>
      <c r="AH15" s="31" t="s">
        <v>55</v>
      </c>
      <c r="AI15" s="31">
        <v>45695</v>
      </c>
      <c r="AJ15" s="31">
        <v>45706</v>
      </c>
      <c r="AK15" s="30" t="s">
        <v>63</v>
      </c>
      <c r="AL15" s="30">
        <v>1050000</v>
      </c>
      <c r="AM15" s="31">
        <v>45709</v>
      </c>
      <c r="AN15" s="31">
        <v>45712</v>
      </c>
      <c r="AO15" s="31"/>
      <c r="AP15" s="31">
        <v>45713</v>
      </c>
      <c r="AQ15" s="31">
        <v>45713</v>
      </c>
      <c r="AR15" s="31">
        <v>45807</v>
      </c>
      <c r="AS15" s="31">
        <v>45810</v>
      </c>
      <c r="AT15" s="30">
        <f t="shared" ca="1" si="7"/>
        <v>0</v>
      </c>
      <c r="AU15" s="32" t="str">
        <f t="shared" ca="1" si="1"/>
        <v/>
      </c>
      <c r="AV15" s="32" t="str" cm="1">
        <f t="array" aca="1" ref="AV15" ca="1">IFERROR(_xlfn.IFS($AU15="","",$AU15&lt;=15,"0-15",AND($AU15&gt;=16,$AU15&lt;=30),"16-30",AND($AU15&gt;=31,$AU15&lt;=45),"31-45",AND($AU15&gt;=46,$AU15&lt;=60),"46-60",AND($AU15&gt;=61,$AU15&lt;=90),"61-90",AND($AU15&gt;=91),"&gt; 90",AND($AU15&gt;=2000),""),"")</f>
        <v/>
      </c>
      <c r="AW15" s="32" cm="1">
        <f t="array" aca="1" ref="AW15" ca="1">IFERROR(_xlfn.IFS(OR($M15="",$AM15=""),"",OR($C15="Offered",$C15="Joined"),($AM15-$M15)-$AT15),"")</f>
        <v>18</v>
      </c>
      <c r="AX15" s="32" cm="1">
        <f t="array" aca="1" ref="AX15" ca="1">IFERROR(_xlfn.IFS(OR($M15="",$AS15=""),"",$C15="Joined",($AS15-$M15)-$AT15),"")</f>
        <v>119</v>
      </c>
      <c r="AY15" s="30" t="str">
        <f>IFERROR(IF(COUNTIFS('Candidate Tracker'!$E:$E,'Positions Tracker'!$B15,'Candidate Tracker'!$C:$C,"Offer Drop")=0,"",COUNTIFS('Candidate Tracker'!$E:$E,'Positions Tracker'!$B15,'Candidate Tracker'!$C:$C,"Offer Drop")),"")</f>
        <v/>
      </c>
      <c r="AZ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 s="34" t="str">
        <f>IFERROR(IF(COUNTIFS('Candidate Tracker'!$E:$E,'Positions Tracker'!$B15,'Candidate Tracker'!$I:$I,"Female")=0,"",COUNTIFS('Candidate Tracker'!$E:$E,'Positions Tracker'!$B15,'Candidate Tracker'!$I:$I,"Female")),"")</f>
        <v/>
      </c>
      <c r="BB15" s="34">
        <f>IFERROR(IF(COUNTIFS('Candidate Tracker'!$E:$E,'Positions Tracker'!$B15,'Candidate Tracker'!$I:$I,"male")=0,"",COUNTIFS('Candidate Tracker'!$E:$E,'Positions Tracker'!$B15,'Candidate Tracker'!$I:$I,"male")),"")</f>
        <v>1</v>
      </c>
      <c r="BC15" s="33">
        <f>IFERROR(IF(COUNTIFS('Candidate Tracker'!$E:$E,'Positions Tracker'!$B15,'Candidate Tracker'!$C:$C,"&lt;&gt;WIP",'Candidate Tracker'!$C:$C,"&lt;&gt;Hold",'Candidate Tracker'!$C:$C,"&lt;&gt;Cancelled",'Candidate Tracker'!$C:$C,"&lt;&gt;Closed")/COUNTIFS('Candidate Tracker'!$E:$E,'Positions Tracker'!$B15)=0,"",COUNTIFS('Candidate Tracker'!$E:$E,'Positions Tracker'!$B15,'Candidate Tracker'!$C:$C,"&lt;&gt;WIP",'Candidate Tracker'!$C:$C,"&lt;&gt;Hold",'Candidate Tracker'!$C:$C,"&lt;&gt;Cancelled",'Candidate Tracker'!$C:$C,"&lt;&gt;Closed")/COUNTIFS('Candidate Tracker'!$E:$E,'Positions Tracker'!$B15)),"")</f>
        <v>1</v>
      </c>
      <c r="BD15" s="30" t="str">
        <f t="shared" si="8"/>
        <v>Feb-25</v>
      </c>
      <c r="BE15" s="30" t="str">
        <f t="shared" si="9"/>
        <v>Feb-25</v>
      </c>
      <c r="BF15" s="30" t="str">
        <f t="shared" si="10"/>
        <v>Feb-25</v>
      </c>
      <c r="BG15" s="30" t="str">
        <f t="shared" si="11"/>
        <v>Jun-25</v>
      </c>
    </row>
    <row r="16" spans="1:59">
      <c r="A16" s="30">
        <f t="shared" si="6"/>
        <v>15</v>
      </c>
      <c r="B16" s="30">
        <v>20254425</v>
      </c>
      <c r="C16" s="30" t="s">
        <v>51</v>
      </c>
      <c r="D16" s="30" t="s">
        <v>51</v>
      </c>
      <c r="E16" s="30" t="s">
        <v>3882</v>
      </c>
      <c r="F16" s="30" t="s">
        <v>3883</v>
      </c>
      <c r="G16" s="30" t="s">
        <v>1</v>
      </c>
      <c r="H16" s="30" t="s">
        <v>66</v>
      </c>
      <c r="I16" s="30" t="s">
        <v>1197</v>
      </c>
      <c r="J16" s="30" t="s">
        <v>135</v>
      </c>
      <c r="K16" s="31">
        <v>45580</v>
      </c>
      <c r="L16" s="31">
        <v>45580</v>
      </c>
      <c r="M16" s="31">
        <v>45580</v>
      </c>
      <c r="N16" s="30" t="s">
        <v>3884</v>
      </c>
      <c r="O16" s="31">
        <v>45615</v>
      </c>
      <c r="P16" s="31">
        <v>45649</v>
      </c>
      <c r="Q16" s="31">
        <v>45706</v>
      </c>
      <c r="R16" s="31"/>
      <c r="S16" s="31"/>
      <c r="T16" s="31"/>
      <c r="U16" s="30">
        <v>13</v>
      </c>
      <c r="V16" s="30"/>
      <c r="W16" s="30"/>
      <c r="X16" s="30" t="s">
        <v>63</v>
      </c>
      <c r="Y16" s="30" t="s">
        <v>218</v>
      </c>
      <c r="Z16" s="30" t="s">
        <v>218</v>
      </c>
      <c r="AA16" s="30" t="s">
        <v>3885</v>
      </c>
      <c r="AB16" s="30">
        <v>27</v>
      </c>
      <c r="AC16" s="30">
        <v>24</v>
      </c>
      <c r="AD16" s="30"/>
      <c r="AE16" s="30" t="s">
        <v>2085</v>
      </c>
      <c r="AF16" s="30">
        <v>8983128692</v>
      </c>
      <c r="AG16" s="30" t="s">
        <v>2086</v>
      </c>
      <c r="AH16" s="31" t="s">
        <v>55</v>
      </c>
      <c r="AI16" s="31">
        <v>45742</v>
      </c>
      <c r="AJ16" s="31">
        <v>45764</v>
      </c>
      <c r="AK16" s="30" t="s">
        <v>63</v>
      </c>
      <c r="AL16" s="30">
        <v>2341410</v>
      </c>
      <c r="AM16" s="31">
        <v>45764</v>
      </c>
      <c r="AN16" s="31">
        <v>45764</v>
      </c>
      <c r="AO16" s="31"/>
      <c r="AP16" s="31">
        <v>45765</v>
      </c>
      <c r="AQ16" s="31">
        <v>45765</v>
      </c>
      <c r="AR16" s="31">
        <v>45827</v>
      </c>
      <c r="AS16" s="31">
        <v>45831</v>
      </c>
      <c r="AT16" s="30">
        <f t="shared" ca="1" si="7"/>
        <v>1117</v>
      </c>
      <c r="AU16" s="32" t="str">
        <f t="shared" ca="1" si="1"/>
        <v/>
      </c>
      <c r="AV16" s="32" t="str" cm="1">
        <f t="array" aca="1" ref="AV16" ca="1">IFERROR(_xlfn.IFS($AU16="","",$AU16&lt;=15,"0-15",AND($AU16&gt;=16,$AU16&lt;=30),"16-30",AND($AU16&gt;=31,$AU16&lt;=45),"31-45",AND($AU16&gt;=46,$AU16&lt;=60),"46-60",AND($AU16&gt;=61,$AU16&lt;=90),"61-90",AND($AU16&gt;=91),"&gt; 90",AND($AU16&gt;=2000),""),"")</f>
        <v/>
      </c>
      <c r="AW16" s="32" cm="1">
        <f t="array" aca="1" ref="AW16" ca="1">IFERROR(_xlfn.IFS(OR($M16="",$AM16=""),"",OR($C16="Offered",$C16="Joined"),($AM16-$M16)-$AT16),"")</f>
        <v>-933</v>
      </c>
      <c r="AX16" s="32" cm="1">
        <f t="array" aca="1" ref="AX16" ca="1">IFERROR(_xlfn.IFS(OR($M16="",$AS16=""),"",$C16="Joined",($AS16-$M16)-$AT16),"")</f>
        <v>-866</v>
      </c>
      <c r="AY16" s="30" t="str">
        <f>IFERROR(IF(COUNTIFS('Candidate Tracker'!$E:$E,'Positions Tracker'!$B16,'Candidate Tracker'!$C:$C,"Offer Drop")=0,"",COUNTIFS('Candidate Tracker'!$E:$E,'Positions Tracker'!$B16,'Candidate Tracker'!$C:$C,"Offer Drop")),"")</f>
        <v/>
      </c>
      <c r="AZ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 s="34" t="str">
        <f>IFERROR(IF(COUNTIFS('Candidate Tracker'!$E:$E,'Positions Tracker'!$B16,'Candidate Tracker'!$I:$I,"Female")=0,"",COUNTIFS('Candidate Tracker'!$E:$E,'Positions Tracker'!$B16,'Candidate Tracker'!$I:$I,"Female")),"")</f>
        <v/>
      </c>
      <c r="BB16" s="34" t="str">
        <f>IFERROR(IF(COUNTIFS('Candidate Tracker'!$E:$E,'Positions Tracker'!$B16,'Candidate Tracker'!$I:$I,"male")=0,"",COUNTIFS('Candidate Tracker'!$E:$E,'Positions Tracker'!$B16,'Candidate Tracker'!$I:$I,"male")),"")</f>
        <v/>
      </c>
      <c r="BC16" s="33" t="str">
        <f>IFERROR(IF(COUNTIFS('Candidate Tracker'!$E:$E,'Positions Tracker'!$B16,'Candidate Tracker'!$C:$C,"&lt;&gt;WIP",'Candidate Tracker'!$C:$C,"&lt;&gt;Hold",'Candidate Tracker'!$C:$C,"&lt;&gt;Cancelled",'Candidate Tracker'!$C:$C,"&lt;&gt;Closed")/COUNTIFS('Candidate Tracker'!$E:$E,'Positions Tracker'!$B16)=0,"",COUNTIFS('Candidate Tracker'!$E:$E,'Positions Tracker'!$B16,'Candidate Tracker'!$C:$C,"&lt;&gt;WIP",'Candidate Tracker'!$C:$C,"&lt;&gt;Hold",'Candidate Tracker'!$C:$C,"&lt;&gt;Cancelled",'Candidate Tracker'!$C:$C,"&lt;&gt;Closed")/COUNTIFS('Candidate Tracker'!$E:$E,'Positions Tracker'!$B16)),"")</f>
        <v/>
      </c>
      <c r="BD16" s="30" t="str">
        <f t="shared" si="8"/>
        <v>Oct-24</v>
      </c>
      <c r="BE16" s="30" t="str">
        <f t="shared" si="9"/>
        <v>Mar-25</v>
      </c>
      <c r="BF16" s="30" t="str">
        <f t="shared" si="10"/>
        <v>Apr-25</v>
      </c>
      <c r="BG16" s="30" t="str">
        <f t="shared" si="11"/>
        <v>Jun-25</v>
      </c>
    </row>
    <row r="17" spans="1:59">
      <c r="A17" s="30">
        <f t="shared" si="6"/>
        <v>16</v>
      </c>
      <c r="B17" s="30" t="s">
        <v>124</v>
      </c>
      <c r="C17" s="30" t="s">
        <v>51</v>
      </c>
      <c r="D17" s="30" t="s">
        <v>51</v>
      </c>
      <c r="E17" s="30" t="s">
        <v>127</v>
      </c>
      <c r="F17" s="30" t="s">
        <v>185</v>
      </c>
      <c r="G17" s="30" t="s">
        <v>3</v>
      </c>
      <c r="H17" s="30" t="s">
        <v>185</v>
      </c>
      <c r="I17" s="30" t="s">
        <v>3886</v>
      </c>
      <c r="J17" s="30" t="s">
        <v>135</v>
      </c>
      <c r="K17" s="31">
        <v>44999</v>
      </c>
      <c r="L17" s="31">
        <v>44999</v>
      </c>
      <c r="M17" s="31">
        <v>45274</v>
      </c>
      <c r="N17" s="30" t="s">
        <v>3855</v>
      </c>
      <c r="O17" s="31"/>
      <c r="P17" s="31"/>
      <c r="Q17" s="31"/>
      <c r="R17" s="31"/>
      <c r="S17" s="31"/>
      <c r="T17" s="31"/>
      <c r="U17" s="30"/>
      <c r="V17" s="30"/>
      <c r="W17" s="30"/>
      <c r="X17" s="30" t="s">
        <v>63</v>
      </c>
      <c r="Y17" s="30" t="s">
        <v>93</v>
      </c>
      <c r="Z17" s="30" t="s">
        <v>3887</v>
      </c>
      <c r="AA17" s="30" t="s">
        <v>51</v>
      </c>
      <c r="AB17" s="30"/>
      <c r="AC17" s="30"/>
      <c r="AD17" s="30"/>
      <c r="AE17" s="30" t="s">
        <v>125</v>
      </c>
      <c r="AF17" s="30" t="s">
        <v>3888</v>
      </c>
      <c r="AG17" s="30" t="s">
        <v>126</v>
      </c>
      <c r="AH17" s="31" t="s">
        <v>55</v>
      </c>
      <c r="AI17" s="31">
        <v>45296</v>
      </c>
      <c r="AJ17" s="31">
        <v>45299</v>
      </c>
      <c r="AK17" s="30" t="s">
        <v>63</v>
      </c>
      <c r="AL17" s="30">
        <v>750000</v>
      </c>
      <c r="AM17" s="31">
        <v>45299</v>
      </c>
      <c r="AN17" s="31">
        <v>45299</v>
      </c>
      <c r="AO17" s="31"/>
      <c r="AP17" s="31">
        <v>45302</v>
      </c>
      <c r="AQ17" s="31">
        <v>45302</v>
      </c>
      <c r="AR17" s="31">
        <v>45360</v>
      </c>
      <c r="AS17" s="31">
        <v>45362</v>
      </c>
      <c r="AT17" s="30">
        <f t="shared" ca="1" si="7"/>
        <v>0</v>
      </c>
      <c r="AU17" s="32" t="str">
        <f t="shared" ca="1" si="1"/>
        <v/>
      </c>
      <c r="AV17" s="32" t="str" cm="1">
        <f t="array" aca="1" ref="AV17" ca="1">IFERROR(_xlfn.IFS($AU17="","",$AU17&lt;=15,"0-15",AND($AU17&gt;=16,$AU17&lt;=30),"16-30",AND($AU17&gt;=31,$AU17&lt;=45),"31-45",AND($AU17&gt;=46,$AU17&lt;=60),"46-60",AND($AU17&gt;=61,$AU17&lt;=90),"61-90",AND($AU17&gt;=91),"&gt; 90",AND($AU17&gt;=2000),""),"")</f>
        <v/>
      </c>
      <c r="AW17" s="32" cm="1">
        <f t="array" aca="1" ref="AW17" ca="1">IFERROR(_xlfn.IFS(OR($M17="",$AM17=""),"",OR($C17="Offered",$C17="Joined"),($AM17-$M17)-$AT17),"")</f>
        <v>25</v>
      </c>
      <c r="AX17" s="32" cm="1">
        <f t="array" aca="1" ref="AX17" ca="1">IFERROR(_xlfn.IFS(OR($M17="",$AS17=""),"",$C17="Joined",($AS17-$M17)-$AT17),"")</f>
        <v>88</v>
      </c>
      <c r="AY17" s="30" t="str">
        <f>IFERROR(IF(COUNTIFS('Candidate Tracker'!$E:$E,'Positions Tracker'!$B17,'Candidate Tracker'!$C:$C,"Offer Drop")=0,"",COUNTIFS('Candidate Tracker'!$E:$E,'Positions Tracker'!$B17,'Candidate Tracker'!$C:$C,"Offer Drop")),"")</f>
        <v/>
      </c>
      <c r="AZ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 s="34" t="str">
        <f>IFERROR(IF(COUNTIFS('Candidate Tracker'!$E:$E,'Positions Tracker'!$B17,'Candidate Tracker'!$I:$I,"Female")=0,"",COUNTIFS('Candidate Tracker'!$E:$E,'Positions Tracker'!$B17,'Candidate Tracker'!$I:$I,"Female")),"")</f>
        <v/>
      </c>
      <c r="BB17" s="34">
        <f>IFERROR(IF(COUNTIFS('Candidate Tracker'!$E:$E,'Positions Tracker'!$B17,'Candidate Tracker'!$I:$I,"male")=0,"",COUNTIFS('Candidate Tracker'!$E:$E,'Positions Tracker'!$B17,'Candidate Tracker'!$I:$I,"male")),"")</f>
        <v>1</v>
      </c>
      <c r="BC17" s="33">
        <f>IFERROR(IF(COUNTIFS('Candidate Tracker'!$E:$E,'Positions Tracker'!$B17,'Candidate Tracker'!$C:$C,"&lt;&gt;WIP",'Candidate Tracker'!$C:$C,"&lt;&gt;Hold",'Candidate Tracker'!$C:$C,"&lt;&gt;Cancelled",'Candidate Tracker'!$C:$C,"&lt;&gt;Closed")/COUNTIFS('Candidate Tracker'!$E:$E,'Positions Tracker'!$B17)=0,"",COUNTIFS('Candidate Tracker'!$E:$E,'Positions Tracker'!$B17,'Candidate Tracker'!$C:$C,"&lt;&gt;WIP",'Candidate Tracker'!$C:$C,"&lt;&gt;Hold",'Candidate Tracker'!$C:$C,"&lt;&gt;Cancelled",'Candidate Tracker'!$C:$C,"&lt;&gt;Closed")/COUNTIFS('Candidate Tracker'!$E:$E,'Positions Tracker'!$B17)),"")</f>
        <v>1</v>
      </c>
      <c r="BD17" s="30" t="str">
        <f t="shared" si="8"/>
        <v>Dec-23</v>
      </c>
      <c r="BE17" s="30" t="str">
        <f t="shared" si="9"/>
        <v>Jan-24</v>
      </c>
      <c r="BF17" s="30" t="str">
        <f t="shared" si="10"/>
        <v>Jan-24</v>
      </c>
      <c r="BG17" s="30" t="str">
        <f t="shared" si="11"/>
        <v>Mar-24</v>
      </c>
    </row>
    <row r="18" spans="1:59">
      <c r="A18" s="30">
        <f t="shared" si="6"/>
        <v>17</v>
      </c>
      <c r="B18" s="30">
        <v>20235907</v>
      </c>
      <c r="C18" s="30" t="s">
        <v>51</v>
      </c>
      <c r="D18" s="30" t="s">
        <v>51</v>
      </c>
      <c r="E18" s="30" t="s">
        <v>3889</v>
      </c>
      <c r="F18" s="30" t="s">
        <v>3890</v>
      </c>
      <c r="G18" s="30" t="s">
        <v>3</v>
      </c>
      <c r="H18" s="30" t="s">
        <v>147</v>
      </c>
      <c r="I18" s="30" t="s">
        <v>3891</v>
      </c>
      <c r="J18" s="30" t="s">
        <v>135</v>
      </c>
      <c r="K18" s="31">
        <v>45301</v>
      </c>
      <c r="L18" s="31">
        <v>45301</v>
      </c>
      <c r="M18" s="31">
        <v>45361</v>
      </c>
      <c r="N18" s="30" t="s">
        <v>3892</v>
      </c>
      <c r="O18" s="31"/>
      <c r="P18" s="31"/>
      <c r="Q18" s="31"/>
      <c r="R18" s="31"/>
      <c r="S18" s="31"/>
      <c r="T18" s="31"/>
      <c r="U18" s="30"/>
      <c r="V18" s="30"/>
      <c r="W18" s="30"/>
      <c r="X18" s="30" t="s">
        <v>63</v>
      </c>
      <c r="Y18" s="30" t="s">
        <v>93</v>
      </c>
      <c r="Z18" s="30" t="s">
        <v>93</v>
      </c>
      <c r="AA18" s="30" t="s">
        <v>51</v>
      </c>
      <c r="AB18" s="30"/>
      <c r="AC18" s="30"/>
      <c r="AD18" s="30"/>
      <c r="AE18" s="30" t="s">
        <v>398</v>
      </c>
      <c r="AF18" s="30" t="s">
        <v>3893</v>
      </c>
      <c r="AG18" s="30" t="s">
        <v>399</v>
      </c>
      <c r="AH18" s="31" t="s">
        <v>101</v>
      </c>
      <c r="AI18" s="31">
        <v>45443</v>
      </c>
      <c r="AJ18" s="31">
        <v>45384</v>
      </c>
      <c r="AK18" s="30" t="s">
        <v>63</v>
      </c>
      <c r="AL18" s="30">
        <v>2200000</v>
      </c>
      <c r="AM18" s="31">
        <v>45447</v>
      </c>
      <c r="AN18" s="31">
        <v>45384</v>
      </c>
      <c r="AO18" s="31"/>
      <c r="AP18" s="31">
        <v>45447</v>
      </c>
      <c r="AQ18" s="31">
        <v>45447</v>
      </c>
      <c r="AR18" s="31">
        <v>45445</v>
      </c>
      <c r="AS18" s="31">
        <v>45449</v>
      </c>
      <c r="AT18" s="30">
        <f t="shared" ca="1" si="7"/>
        <v>0</v>
      </c>
      <c r="AU18" s="32" t="str">
        <f t="shared" ca="1" si="1"/>
        <v/>
      </c>
      <c r="AV18" s="32" t="str" cm="1">
        <f t="array" aca="1" ref="AV18" ca="1">IFERROR(_xlfn.IFS($AU18="","",$AU18&lt;=15,"0-15",AND($AU18&gt;=16,$AU18&lt;=30),"16-30",AND($AU18&gt;=31,$AU18&lt;=45),"31-45",AND($AU18&gt;=46,$AU18&lt;=60),"46-60",AND($AU18&gt;=61,$AU18&lt;=90),"61-90",AND($AU18&gt;=91),"&gt; 90",AND($AU18&gt;=2000),""),"")</f>
        <v/>
      </c>
      <c r="AW18" s="32" cm="1">
        <f t="array" aca="1" ref="AW18" ca="1">IFERROR(_xlfn.IFS(OR($M18="",$AM18=""),"",OR($C18="Offered",$C18="Joined"),($AM18-$M18)-$AT18),"")</f>
        <v>86</v>
      </c>
      <c r="AX18" s="32" cm="1">
        <f t="array" aca="1" ref="AX18" ca="1">IFERROR(_xlfn.IFS(OR($M18="",$AS18=""),"",$C18="Joined",($AS18-$M18)-$AT18),"")</f>
        <v>88</v>
      </c>
      <c r="AY18" s="30" t="str">
        <f>IFERROR(IF(COUNTIFS('Candidate Tracker'!$E:$E,'Positions Tracker'!$B18,'Candidate Tracker'!$C:$C,"Offer Drop")=0,"",COUNTIFS('Candidate Tracker'!$E:$E,'Positions Tracker'!$B18,'Candidate Tracker'!$C:$C,"Offer Drop")),"")</f>
        <v/>
      </c>
      <c r="AZ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 s="34">
        <f>IFERROR(IF(COUNTIFS('Candidate Tracker'!$E:$E,'Positions Tracker'!$B18,'Candidate Tracker'!$I:$I,"Female")=0,"",COUNTIFS('Candidate Tracker'!$E:$E,'Positions Tracker'!$B18,'Candidate Tracker'!$I:$I,"Female")),"")</f>
        <v>1</v>
      </c>
      <c r="BB18" s="34" t="str">
        <f>IFERROR(IF(COUNTIFS('Candidate Tracker'!$E:$E,'Positions Tracker'!$B18,'Candidate Tracker'!$I:$I,"male")=0,"",COUNTIFS('Candidate Tracker'!$E:$E,'Positions Tracker'!$B18,'Candidate Tracker'!$I:$I,"male")),"")</f>
        <v/>
      </c>
      <c r="BC18" s="33">
        <f>IFERROR(IF(COUNTIFS('Candidate Tracker'!$E:$E,'Positions Tracker'!$B18,'Candidate Tracker'!$C:$C,"&lt;&gt;WIP",'Candidate Tracker'!$C:$C,"&lt;&gt;Hold",'Candidate Tracker'!$C:$C,"&lt;&gt;Cancelled",'Candidate Tracker'!$C:$C,"&lt;&gt;Closed")/COUNTIFS('Candidate Tracker'!$E:$E,'Positions Tracker'!$B18)=0,"",COUNTIFS('Candidate Tracker'!$E:$E,'Positions Tracker'!$B18,'Candidate Tracker'!$C:$C,"&lt;&gt;WIP",'Candidate Tracker'!$C:$C,"&lt;&gt;Hold",'Candidate Tracker'!$C:$C,"&lt;&gt;Cancelled",'Candidate Tracker'!$C:$C,"&lt;&gt;Closed")/COUNTIFS('Candidate Tracker'!$E:$E,'Positions Tracker'!$B18)),"")</f>
        <v>1</v>
      </c>
      <c r="BD18" s="30" t="str">
        <f t="shared" si="8"/>
        <v>Mar-24</v>
      </c>
      <c r="BE18" s="30" t="str">
        <f t="shared" si="9"/>
        <v>May-24</v>
      </c>
      <c r="BF18" s="30" t="str">
        <f t="shared" si="10"/>
        <v>Jun-24</v>
      </c>
      <c r="BG18" s="30" t="str">
        <f t="shared" si="11"/>
        <v>Jun-24</v>
      </c>
    </row>
    <row r="19" spans="1:59">
      <c r="A19" s="30">
        <f t="shared" si="6"/>
        <v>18</v>
      </c>
      <c r="B19" s="30">
        <v>20246741</v>
      </c>
      <c r="C19" s="30" t="s">
        <v>3847</v>
      </c>
      <c r="D19" s="30" t="s">
        <v>1920</v>
      </c>
      <c r="E19" s="30" t="s">
        <v>3894</v>
      </c>
      <c r="F19" s="30" t="s">
        <v>2959</v>
      </c>
      <c r="G19" s="30" t="s">
        <v>3</v>
      </c>
      <c r="H19" s="30" t="s">
        <v>147</v>
      </c>
      <c r="I19" s="30" t="s">
        <v>417</v>
      </c>
      <c r="J19" s="30" t="s">
        <v>135</v>
      </c>
      <c r="K19" s="31">
        <v>45203</v>
      </c>
      <c r="L19" s="31">
        <v>45203</v>
      </c>
      <c r="M19" s="31">
        <v>45398</v>
      </c>
      <c r="N19" s="30"/>
      <c r="O19" s="31"/>
      <c r="P19" s="31"/>
      <c r="Q19" s="31"/>
      <c r="R19" s="31"/>
      <c r="S19" s="31"/>
      <c r="T19" s="31"/>
      <c r="U19" s="30"/>
      <c r="V19" s="30"/>
      <c r="W19" s="30"/>
      <c r="X19" s="30" t="s">
        <v>63</v>
      </c>
      <c r="Y19" s="30" t="s">
        <v>93</v>
      </c>
      <c r="Z19" s="30" t="s">
        <v>93</v>
      </c>
      <c r="AA19" s="30" t="s">
        <v>3895</v>
      </c>
      <c r="AB19" s="30"/>
      <c r="AC19" s="30"/>
      <c r="AD19" s="30"/>
      <c r="AE19" s="30"/>
      <c r="AF19" s="30"/>
      <c r="AG19" s="30"/>
      <c r="AH19" s="31"/>
      <c r="AI19" s="31"/>
      <c r="AJ19" s="31"/>
      <c r="AK19" s="30"/>
      <c r="AL19" s="30"/>
      <c r="AM19" s="31"/>
      <c r="AN19" s="31"/>
      <c r="AO19" s="31"/>
      <c r="AP19" s="31"/>
      <c r="AQ19" s="31"/>
      <c r="AR19" s="31"/>
      <c r="AS19" s="31"/>
      <c r="AT19" s="30">
        <f t="shared" ca="1" si="7"/>
        <v>0</v>
      </c>
      <c r="AU19" s="32" t="str">
        <f t="shared" ca="1" si="1"/>
        <v/>
      </c>
      <c r="AV19" s="32" t="str" cm="1">
        <f t="array" aca="1" ref="AV19" ca="1">IFERROR(_xlfn.IFS($AU19="","",$AU19&lt;=15,"0-15",AND($AU19&gt;=16,$AU19&lt;=30),"16-30",AND($AU19&gt;=31,$AU19&lt;=45),"31-45",AND($AU19&gt;=46,$AU19&lt;=60),"46-60",AND($AU19&gt;=61,$AU19&lt;=90),"61-90",AND($AU19&gt;=91),"&gt; 90",AND($AU19&gt;=2000),""),"")</f>
        <v/>
      </c>
      <c r="AW19" s="32" t="str" cm="1">
        <f t="array" aca="1" ref="AW19" ca="1">IFERROR(_xlfn.IFS(OR($M19="",$AM19=""),"",OR($C19="Offered",$C19="Joined"),($AM19-$M19)-$AT19),"")</f>
        <v/>
      </c>
      <c r="AX19" s="32" t="str" cm="1">
        <f t="array" aca="1" ref="AX19" ca="1">IFERROR(_xlfn.IFS(OR($M19="",$AS19=""),"",$C19="Joined",($AS19-$M19)-$AT19),"")</f>
        <v/>
      </c>
      <c r="AY19" s="30" t="str">
        <f>IFERROR(IF(COUNTIFS('Candidate Tracker'!$E:$E,'Positions Tracker'!$B19,'Candidate Tracker'!$C:$C,"Offer Drop")=0,"",COUNTIFS('Candidate Tracker'!$E:$E,'Positions Tracker'!$B19,'Candidate Tracker'!$C:$C,"Offer Drop")),"")</f>
        <v/>
      </c>
      <c r="AZ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 s="34">
        <f>IFERROR(IF(COUNTIFS('Candidate Tracker'!$E:$E,'Positions Tracker'!$B19,'Candidate Tracker'!$I:$I,"Female")=0,"",COUNTIFS('Candidate Tracker'!$E:$E,'Positions Tracker'!$B19,'Candidate Tracker'!$I:$I,"Female")),"")</f>
        <v>3</v>
      </c>
      <c r="BB19" s="34">
        <f>IFERROR(IF(COUNTIFS('Candidate Tracker'!$E:$E,'Positions Tracker'!$B19,'Candidate Tracker'!$I:$I,"male")=0,"",COUNTIFS('Candidate Tracker'!$E:$E,'Positions Tracker'!$B19,'Candidate Tracker'!$I:$I,"male")),"")</f>
        <v>7</v>
      </c>
      <c r="BC19" s="33" t="str">
        <f>IFERROR(IF(COUNTIFS('Candidate Tracker'!$E:$E,'Positions Tracker'!$B19,'Candidate Tracker'!$C:$C,"&lt;&gt;WIP",'Candidate Tracker'!$C:$C,"&lt;&gt;Hold",'Candidate Tracker'!$C:$C,"&lt;&gt;Cancelled",'Candidate Tracker'!$C:$C,"&lt;&gt;Closed")/COUNTIFS('Candidate Tracker'!$E:$E,'Positions Tracker'!$B19)=0,"",COUNTIFS('Candidate Tracker'!$E:$E,'Positions Tracker'!$B19,'Candidate Tracker'!$C:$C,"&lt;&gt;WIP",'Candidate Tracker'!$C:$C,"&lt;&gt;Hold",'Candidate Tracker'!$C:$C,"&lt;&gt;Cancelled",'Candidate Tracker'!$C:$C,"&lt;&gt;Closed")/COUNTIFS('Candidate Tracker'!$E:$E,'Positions Tracker'!$B19)),"")</f>
        <v/>
      </c>
      <c r="BD19" s="30" t="str">
        <f t="shared" si="8"/>
        <v>Apr-24</v>
      </c>
      <c r="BE19" s="30" t="str">
        <f t="shared" si="9"/>
        <v/>
      </c>
      <c r="BF19" s="30" t="str">
        <f t="shared" si="10"/>
        <v/>
      </c>
      <c r="BG19" s="30" t="str">
        <f t="shared" si="11"/>
        <v/>
      </c>
    </row>
    <row r="20" spans="1:59">
      <c r="A20" s="30">
        <f t="shared" si="6"/>
        <v>19</v>
      </c>
      <c r="B20" s="30">
        <v>20245072</v>
      </c>
      <c r="C20" s="30" t="s">
        <v>51</v>
      </c>
      <c r="D20" s="30" t="s">
        <v>51</v>
      </c>
      <c r="E20" s="30" t="s">
        <v>3896</v>
      </c>
      <c r="F20" s="30" t="s">
        <v>2959</v>
      </c>
      <c r="G20" s="30" t="s">
        <v>3</v>
      </c>
      <c r="H20" s="30" t="s">
        <v>66</v>
      </c>
      <c r="I20" s="30" t="s">
        <v>433</v>
      </c>
      <c r="J20" s="30" t="s">
        <v>135</v>
      </c>
      <c r="K20" s="31">
        <v>45181</v>
      </c>
      <c r="L20" s="31">
        <v>45181</v>
      </c>
      <c r="M20" s="31">
        <v>45488</v>
      </c>
      <c r="N20" s="30" t="s">
        <v>3897</v>
      </c>
      <c r="O20" s="31"/>
      <c r="P20" s="31"/>
      <c r="Q20" s="31"/>
      <c r="R20" s="31"/>
      <c r="S20" s="31"/>
      <c r="T20" s="31"/>
      <c r="U20" s="30"/>
      <c r="V20" s="30"/>
      <c r="W20" s="30"/>
      <c r="X20" s="30" t="s">
        <v>63</v>
      </c>
      <c r="Y20" s="30" t="s">
        <v>93</v>
      </c>
      <c r="Z20" s="30" t="s">
        <v>93</v>
      </c>
      <c r="AA20" s="30" t="s">
        <v>51</v>
      </c>
      <c r="AB20" s="30"/>
      <c r="AC20" s="30"/>
      <c r="AD20" s="30"/>
      <c r="AE20" s="30" t="s">
        <v>491</v>
      </c>
      <c r="AF20" s="30" t="s">
        <v>3898</v>
      </c>
      <c r="AG20" s="30" t="s">
        <v>3899</v>
      </c>
      <c r="AH20" s="31" t="s">
        <v>55</v>
      </c>
      <c r="AI20" s="31">
        <v>45527</v>
      </c>
      <c r="AJ20" s="31">
        <v>45530</v>
      </c>
      <c r="AK20" s="30" t="s">
        <v>63</v>
      </c>
      <c r="AL20" s="30">
        <v>1100000</v>
      </c>
      <c r="AM20" s="31">
        <v>45541</v>
      </c>
      <c r="AN20" s="31">
        <v>45530</v>
      </c>
      <c r="AO20" s="31"/>
      <c r="AP20" s="31">
        <v>45541</v>
      </c>
      <c r="AQ20" s="31">
        <v>45541</v>
      </c>
      <c r="AR20" s="31">
        <v>45638</v>
      </c>
      <c r="AS20" s="31">
        <v>45642</v>
      </c>
      <c r="AT20" s="30">
        <f t="shared" ca="1" si="7"/>
        <v>0</v>
      </c>
      <c r="AU20" s="32" t="str">
        <f t="shared" ca="1" si="1"/>
        <v/>
      </c>
      <c r="AV20" s="32" t="str" cm="1">
        <f t="array" aca="1" ref="AV20" ca="1">IFERROR(_xlfn.IFS($AU20="","",$AU20&lt;=15,"0-15",AND($AU20&gt;=16,$AU20&lt;=30),"16-30",AND($AU20&gt;=31,$AU20&lt;=45),"31-45",AND($AU20&gt;=46,$AU20&lt;=60),"46-60",AND($AU20&gt;=61,$AU20&lt;=90),"61-90",AND($AU20&gt;=91),"&gt; 90",AND($AU20&gt;=2000),""),"")</f>
        <v/>
      </c>
      <c r="AW20" s="32" cm="1">
        <f t="array" aca="1" ref="AW20" ca="1">IFERROR(_xlfn.IFS(OR($M20="",$AM20=""),"",OR($C20="Offered",$C20="Joined"),($AM20-$M20)-$AT20),"")</f>
        <v>53</v>
      </c>
      <c r="AX20" s="32" cm="1">
        <f t="array" aca="1" ref="AX20" ca="1">IFERROR(_xlfn.IFS(OR($M20="",$AS20=""),"",$C20="Joined",($AS20-$M20)-$AT20),"")</f>
        <v>154</v>
      </c>
      <c r="AY20" s="30" t="str">
        <f>IFERROR(IF(COUNTIFS('Candidate Tracker'!$E:$E,'Positions Tracker'!$B20,'Candidate Tracker'!$C:$C,"Offer Drop")=0,"",COUNTIFS('Candidate Tracker'!$E:$E,'Positions Tracker'!$B20,'Candidate Tracker'!$C:$C,"Offer Drop")),"")</f>
        <v/>
      </c>
      <c r="AZ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 s="34" t="str">
        <f>IFERROR(IF(COUNTIFS('Candidate Tracker'!$E:$E,'Positions Tracker'!$B20,'Candidate Tracker'!$I:$I,"Female")=0,"",COUNTIFS('Candidate Tracker'!$E:$E,'Positions Tracker'!$B20,'Candidate Tracker'!$I:$I,"Female")),"")</f>
        <v/>
      </c>
      <c r="BB20" s="34">
        <f>IFERROR(IF(COUNTIFS('Candidate Tracker'!$E:$E,'Positions Tracker'!$B20,'Candidate Tracker'!$I:$I,"male")=0,"",COUNTIFS('Candidate Tracker'!$E:$E,'Positions Tracker'!$B20,'Candidate Tracker'!$I:$I,"male")),"")</f>
        <v>1</v>
      </c>
      <c r="BC20" s="33">
        <f>IFERROR(IF(COUNTIFS('Candidate Tracker'!$E:$E,'Positions Tracker'!$B20,'Candidate Tracker'!$C:$C,"&lt;&gt;WIP",'Candidate Tracker'!$C:$C,"&lt;&gt;Hold",'Candidate Tracker'!$C:$C,"&lt;&gt;Cancelled",'Candidate Tracker'!$C:$C,"&lt;&gt;Closed")/COUNTIFS('Candidate Tracker'!$E:$E,'Positions Tracker'!$B20)=0,"",COUNTIFS('Candidate Tracker'!$E:$E,'Positions Tracker'!$B20,'Candidate Tracker'!$C:$C,"&lt;&gt;WIP",'Candidate Tracker'!$C:$C,"&lt;&gt;Hold",'Candidate Tracker'!$C:$C,"&lt;&gt;Cancelled",'Candidate Tracker'!$C:$C,"&lt;&gt;Closed")/COUNTIFS('Candidate Tracker'!$E:$E,'Positions Tracker'!$B20)),"")</f>
        <v>1</v>
      </c>
      <c r="BD20" s="30" t="str">
        <f t="shared" si="8"/>
        <v>Jul-24</v>
      </c>
      <c r="BE20" s="30" t="str">
        <f t="shared" si="9"/>
        <v>Aug-24</v>
      </c>
      <c r="BF20" s="30" t="str">
        <f t="shared" si="10"/>
        <v>Sep-24</v>
      </c>
      <c r="BG20" s="30" t="str">
        <f t="shared" si="11"/>
        <v>Dec-24</v>
      </c>
    </row>
    <row r="21" spans="1:59">
      <c r="A21" s="30">
        <f t="shared" si="6"/>
        <v>20</v>
      </c>
      <c r="B21" s="30" t="s">
        <v>176</v>
      </c>
      <c r="C21" s="30" t="s">
        <v>51</v>
      </c>
      <c r="D21" s="30" t="s">
        <v>51</v>
      </c>
      <c r="E21" s="30" t="s">
        <v>179</v>
      </c>
      <c r="F21" s="30" t="s">
        <v>3900</v>
      </c>
      <c r="G21" s="30" t="s">
        <v>3</v>
      </c>
      <c r="H21" s="30" t="s">
        <v>185</v>
      </c>
      <c r="I21" s="30" t="s">
        <v>3886</v>
      </c>
      <c r="J21" s="30" t="s">
        <v>135</v>
      </c>
      <c r="K21" s="31">
        <v>45327</v>
      </c>
      <c r="L21" s="31">
        <v>45327</v>
      </c>
      <c r="M21" s="31">
        <v>45327</v>
      </c>
      <c r="N21" s="30" t="s">
        <v>3855</v>
      </c>
      <c r="O21" s="31"/>
      <c r="P21" s="31"/>
      <c r="Q21" s="31"/>
      <c r="R21" s="31"/>
      <c r="S21" s="31"/>
      <c r="T21" s="31"/>
      <c r="U21" s="30"/>
      <c r="V21" s="30"/>
      <c r="W21" s="30"/>
      <c r="X21" s="30" t="s">
        <v>63</v>
      </c>
      <c r="Y21" s="30" t="s">
        <v>93</v>
      </c>
      <c r="Z21" s="30" t="s">
        <v>93</v>
      </c>
      <c r="AA21" s="30" t="s">
        <v>51</v>
      </c>
      <c r="AB21" s="30"/>
      <c r="AC21" s="30"/>
      <c r="AD21" s="30"/>
      <c r="AE21" s="30" t="s">
        <v>177</v>
      </c>
      <c r="AF21" s="30" t="s">
        <v>3901</v>
      </c>
      <c r="AG21" s="30" t="s">
        <v>178</v>
      </c>
      <c r="AH21" s="31" t="s">
        <v>55</v>
      </c>
      <c r="AI21" s="31">
        <v>45363</v>
      </c>
      <c r="AJ21" s="31">
        <v>45368</v>
      </c>
      <c r="AK21" s="30" t="s">
        <v>63</v>
      </c>
      <c r="AL21" s="30">
        <v>1500000</v>
      </c>
      <c r="AM21" s="31">
        <v>45383</v>
      </c>
      <c r="AN21" s="31">
        <v>45368</v>
      </c>
      <c r="AO21" s="31"/>
      <c r="AP21" s="31">
        <v>45383</v>
      </c>
      <c r="AQ21" s="31">
        <v>45383</v>
      </c>
      <c r="AR21" s="31">
        <v>45386</v>
      </c>
      <c r="AS21" s="31">
        <v>45390</v>
      </c>
      <c r="AT21" s="30">
        <f t="shared" ca="1" si="7"/>
        <v>0</v>
      </c>
      <c r="AU21" s="32" t="str">
        <f t="shared" ca="1" si="1"/>
        <v/>
      </c>
      <c r="AV21" s="32" t="str" cm="1">
        <f t="array" aca="1" ref="AV21" ca="1">IFERROR(_xlfn.IFS($AU21="","",$AU21&lt;=15,"0-15",AND($AU21&gt;=16,$AU21&lt;=30),"16-30",AND($AU21&gt;=31,$AU21&lt;=45),"31-45",AND($AU21&gt;=46,$AU21&lt;=60),"46-60",AND($AU21&gt;=61,$AU21&lt;=90),"61-90",AND($AU21&gt;=91),"&gt; 90",AND($AU21&gt;=2000),""),"")</f>
        <v/>
      </c>
      <c r="AW21" s="32" cm="1">
        <f t="array" aca="1" ref="AW21" ca="1">IFERROR(_xlfn.IFS(OR($M21="",$AM21=""),"",OR($C21="Offered",$C21="Joined"),($AM21-$M21)-$AT21),"")</f>
        <v>56</v>
      </c>
      <c r="AX21" s="32" cm="1">
        <f t="array" aca="1" ref="AX21" ca="1">IFERROR(_xlfn.IFS(OR($M21="",$AS21=""),"",$C21="Joined",($AS21-$M21)-$AT21),"")</f>
        <v>63</v>
      </c>
      <c r="AY21" s="30" t="str">
        <f>IFERROR(IF(COUNTIFS('Candidate Tracker'!$E:$E,'Positions Tracker'!$B21,'Candidate Tracker'!$C:$C,"Offer Drop")=0,"",COUNTIFS('Candidate Tracker'!$E:$E,'Positions Tracker'!$B21,'Candidate Tracker'!$C:$C,"Offer Drop")),"")</f>
        <v/>
      </c>
      <c r="AZ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 s="34" t="str">
        <f>IFERROR(IF(COUNTIFS('Candidate Tracker'!$E:$E,'Positions Tracker'!$B21,'Candidate Tracker'!$I:$I,"Female")=0,"",COUNTIFS('Candidate Tracker'!$E:$E,'Positions Tracker'!$B21,'Candidate Tracker'!$I:$I,"Female")),"")</f>
        <v/>
      </c>
      <c r="BB21" s="34">
        <f>IFERROR(IF(COUNTIFS('Candidate Tracker'!$E:$E,'Positions Tracker'!$B21,'Candidate Tracker'!$I:$I,"male")=0,"",COUNTIFS('Candidate Tracker'!$E:$E,'Positions Tracker'!$B21,'Candidate Tracker'!$I:$I,"male")),"")</f>
        <v>1</v>
      </c>
      <c r="BC21" s="33">
        <f>IFERROR(IF(COUNTIFS('Candidate Tracker'!$E:$E,'Positions Tracker'!$B21,'Candidate Tracker'!$C:$C,"&lt;&gt;WIP",'Candidate Tracker'!$C:$C,"&lt;&gt;Hold",'Candidate Tracker'!$C:$C,"&lt;&gt;Cancelled",'Candidate Tracker'!$C:$C,"&lt;&gt;Closed")/COUNTIFS('Candidate Tracker'!$E:$E,'Positions Tracker'!$B21)=0,"",COUNTIFS('Candidate Tracker'!$E:$E,'Positions Tracker'!$B21,'Candidate Tracker'!$C:$C,"&lt;&gt;WIP",'Candidate Tracker'!$C:$C,"&lt;&gt;Hold",'Candidate Tracker'!$C:$C,"&lt;&gt;Cancelled",'Candidate Tracker'!$C:$C,"&lt;&gt;Closed")/COUNTIFS('Candidate Tracker'!$E:$E,'Positions Tracker'!$B21)),"")</f>
        <v>1</v>
      </c>
      <c r="BD21" s="30" t="str">
        <f t="shared" si="8"/>
        <v>Feb-24</v>
      </c>
      <c r="BE21" s="30" t="str">
        <f t="shared" si="9"/>
        <v>Mar-24</v>
      </c>
      <c r="BF21" s="30" t="str">
        <f t="shared" si="10"/>
        <v>Apr-24</v>
      </c>
      <c r="BG21" s="30" t="str">
        <f t="shared" si="11"/>
        <v>Apr-24</v>
      </c>
    </row>
    <row r="22" spans="1:59">
      <c r="A22" s="30">
        <f t="shared" si="6"/>
        <v>21</v>
      </c>
      <c r="B22" s="30">
        <v>20246912</v>
      </c>
      <c r="C22" s="30" t="s">
        <v>51</v>
      </c>
      <c r="D22" s="30" t="s">
        <v>51</v>
      </c>
      <c r="E22" s="30" t="s">
        <v>3902</v>
      </c>
      <c r="F22" s="30" t="s">
        <v>3903</v>
      </c>
      <c r="G22" s="30" t="s">
        <v>3</v>
      </c>
      <c r="H22" s="30" t="s">
        <v>147</v>
      </c>
      <c r="I22" s="30" t="s">
        <v>3891</v>
      </c>
      <c r="J22" s="30" t="s">
        <v>135</v>
      </c>
      <c r="K22" s="31">
        <v>45301</v>
      </c>
      <c r="L22" s="31">
        <v>45301</v>
      </c>
      <c r="M22" s="31">
        <v>45545</v>
      </c>
      <c r="N22" s="30" t="s">
        <v>3850</v>
      </c>
      <c r="O22" s="31"/>
      <c r="P22" s="31"/>
      <c r="Q22" s="31"/>
      <c r="R22" s="31"/>
      <c r="S22" s="31"/>
      <c r="T22" s="31"/>
      <c r="U22" s="30"/>
      <c r="V22" s="30"/>
      <c r="W22" s="30"/>
      <c r="X22" s="30" t="s">
        <v>63</v>
      </c>
      <c r="Y22" s="30" t="s">
        <v>93</v>
      </c>
      <c r="Z22" s="30" t="s">
        <v>93</v>
      </c>
      <c r="AA22" s="30" t="s">
        <v>51</v>
      </c>
      <c r="AB22" s="30"/>
      <c r="AC22" s="30"/>
      <c r="AD22" s="30"/>
      <c r="AE22" s="30" t="s">
        <v>3904</v>
      </c>
      <c r="AF22" s="30" t="s">
        <v>3905</v>
      </c>
      <c r="AG22" s="30" t="s">
        <v>3906</v>
      </c>
      <c r="AH22" s="31" t="s">
        <v>101</v>
      </c>
      <c r="AI22" s="31">
        <v>45566</v>
      </c>
      <c r="AJ22" s="31">
        <v>45571</v>
      </c>
      <c r="AK22" s="30" t="s">
        <v>63</v>
      </c>
      <c r="AL22" s="30">
        <v>760000</v>
      </c>
      <c r="AM22" s="31">
        <v>45575</v>
      </c>
      <c r="AN22" s="31">
        <v>45571</v>
      </c>
      <c r="AO22" s="31"/>
      <c r="AP22" s="31">
        <v>45575</v>
      </c>
      <c r="AQ22" s="31">
        <v>45575</v>
      </c>
      <c r="AR22" s="31">
        <v>45631</v>
      </c>
      <c r="AS22" s="31">
        <v>45635</v>
      </c>
      <c r="AT22" s="30">
        <f t="shared" ca="1" si="7"/>
        <v>0</v>
      </c>
      <c r="AU22" s="32" t="str">
        <f t="shared" ca="1" si="1"/>
        <v/>
      </c>
      <c r="AV22" s="32" t="str" cm="1">
        <f t="array" aca="1" ref="AV22" ca="1">IFERROR(_xlfn.IFS($AU22="","",$AU22&lt;=15,"0-15",AND($AU22&gt;=16,$AU22&lt;=30),"16-30",AND($AU22&gt;=31,$AU22&lt;=45),"31-45",AND($AU22&gt;=46,$AU22&lt;=60),"46-60",AND($AU22&gt;=61,$AU22&lt;=90),"61-90",AND($AU22&gt;=91),"&gt; 90",AND($AU22&gt;=2000),""),"")</f>
        <v/>
      </c>
      <c r="AW22" s="32" cm="1">
        <f t="array" aca="1" ref="AW22" ca="1">IFERROR(_xlfn.IFS(OR($M22="",$AM22=""),"",OR($C22="Offered",$C22="Joined"),($AM22-$M22)-$AT22),"")</f>
        <v>30</v>
      </c>
      <c r="AX22" s="32" cm="1">
        <f t="array" aca="1" ref="AX22" ca="1">IFERROR(_xlfn.IFS(OR($M22="",$AS22=""),"",$C22="Joined",($AS22-$M22)-$AT22),"")</f>
        <v>90</v>
      </c>
      <c r="AY22" s="30" t="str">
        <f>IFERROR(IF(COUNTIFS('Candidate Tracker'!$E:$E,'Positions Tracker'!$B22,'Candidate Tracker'!$C:$C,"Offer Drop")=0,"",COUNTIFS('Candidate Tracker'!$E:$E,'Positions Tracker'!$B22,'Candidate Tracker'!$C:$C,"Offer Drop")),"")</f>
        <v/>
      </c>
      <c r="AZ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 s="34">
        <f>IFERROR(IF(COUNTIFS('Candidate Tracker'!$E:$E,'Positions Tracker'!$B22,'Candidate Tracker'!$I:$I,"Female")=0,"",COUNTIFS('Candidate Tracker'!$E:$E,'Positions Tracker'!$B22,'Candidate Tracker'!$I:$I,"Female")),"")</f>
        <v>1</v>
      </c>
      <c r="BB22" s="34" t="str">
        <f>IFERROR(IF(COUNTIFS('Candidate Tracker'!$E:$E,'Positions Tracker'!$B22,'Candidate Tracker'!$I:$I,"male")=0,"",COUNTIFS('Candidate Tracker'!$E:$E,'Positions Tracker'!$B22,'Candidate Tracker'!$I:$I,"male")),"")</f>
        <v/>
      </c>
      <c r="BC22" s="33">
        <f>IFERROR(IF(COUNTIFS('Candidate Tracker'!$E:$E,'Positions Tracker'!$B22,'Candidate Tracker'!$C:$C,"&lt;&gt;WIP",'Candidate Tracker'!$C:$C,"&lt;&gt;Hold",'Candidate Tracker'!$C:$C,"&lt;&gt;Cancelled",'Candidate Tracker'!$C:$C,"&lt;&gt;Closed")/COUNTIFS('Candidate Tracker'!$E:$E,'Positions Tracker'!$B22)=0,"",COUNTIFS('Candidate Tracker'!$E:$E,'Positions Tracker'!$B22,'Candidate Tracker'!$C:$C,"&lt;&gt;WIP",'Candidate Tracker'!$C:$C,"&lt;&gt;Hold",'Candidate Tracker'!$C:$C,"&lt;&gt;Cancelled",'Candidate Tracker'!$C:$C,"&lt;&gt;Closed")/COUNTIFS('Candidate Tracker'!$E:$E,'Positions Tracker'!$B22)),"")</f>
        <v>1</v>
      </c>
      <c r="BD22" s="30" t="str">
        <f t="shared" si="8"/>
        <v>Sep-24</v>
      </c>
      <c r="BE22" s="30" t="str">
        <f t="shared" si="9"/>
        <v>Oct-24</v>
      </c>
      <c r="BF22" s="30" t="str">
        <f t="shared" si="10"/>
        <v>Oct-24</v>
      </c>
      <c r="BG22" s="30" t="str">
        <f t="shared" si="11"/>
        <v>Dec-24</v>
      </c>
    </row>
    <row r="23" spans="1:59">
      <c r="A23" s="30">
        <f t="shared" si="6"/>
        <v>22</v>
      </c>
      <c r="B23" s="30" t="s">
        <v>148</v>
      </c>
      <c r="C23" s="30" t="s">
        <v>51</v>
      </c>
      <c r="D23" s="30" t="s">
        <v>51</v>
      </c>
      <c r="E23" s="30" t="s">
        <v>3907</v>
      </c>
      <c r="F23" s="30" t="s">
        <v>3908</v>
      </c>
      <c r="G23" s="30" t="s">
        <v>3</v>
      </c>
      <c r="H23" s="30" t="s">
        <v>147</v>
      </c>
      <c r="I23" s="30" t="s">
        <v>3891</v>
      </c>
      <c r="J23" s="30" t="s">
        <v>135</v>
      </c>
      <c r="K23" s="31">
        <v>45294</v>
      </c>
      <c r="L23" s="31">
        <v>45294</v>
      </c>
      <c r="M23" s="31">
        <v>45294</v>
      </c>
      <c r="N23" s="30" t="s">
        <v>3855</v>
      </c>
      <c r="O23" s="31"/>
      <c r="P23" s="31"/>
      <c r="Q23" s="31"/>
      <c r="R23" s="31"/>
      <c r="S23" s="31"/>
      <c r="T23" s="31"/>
      <c r="U23" s="30"/>
      <c r="V23" s="30"/>
      <c r="W23" s="30"/>
      <c r="X23" s="30" t="s">
        <v>63</v>
      </c>
      <c r="Y23" s="30" t="s">
        <v>93</v>
      </c>
      <c r="Z23" s="30" t="s">
        <v>93</v>
      </c>
      <c r="AA23" s="30" t="s">
        <v>51</v>
      </c>
      <c r="AB23" s="30"/>
      <c r="AC23" s="30"/>
      <c r="AD23" s="30"/>
      <c r="AE23" s="30" t="s">
        <v>149</v>
      </c>
      <c r="AF23" s="30" t="s">
        <v>3909</v>
      </c>
      <c r="AG23" s="30" t="s">
        <v>150</v>
      </c>
      <c r="AH23" s="31" t="s">
        <v>55</v>
      </c>
      <c r="AI23" s="31">
        <v>45252</v>
      </c>
      <c r="AJ23" s="31">
        <v>45257</v>
      </c>
      <c r="AK23" s="30" t="s">
        <v>63</v>
      </c>
      <c r="AL23" s="30">
        <v>1000000</v>
      </c>
      <c r="AM23" s="31">
        <v>45257</v>
      </c>
      <c r="AN23" s="31">
        <v>45257</v>
      </c>
      <c r="AO23" s="31"/>
      <c r="AP23" s="31">
        <v>45258</v>
      </c>
      <c r="AQ23" s="31">
        <v>45258</v>
      </c>
      <c r="AR23" s="31">
        <v>45267</v>
      </c>
      <c r="AS23" s="31">
        <v>45271</v>
      </c>
      <c r="AT23" s="30">
        <f t="shared" ca="1" si="7"/>
        <v>0</v>
      </c>
      <c r="AU23" s="32" t="str">
        <f t="shared" ca="1" si="1"/>
        <v/>
      </c>
      <c r="AV23" s="32" t="str" cm="1">
        <f t="array" aca="1" ref="AV23" ca="1">IFERROR(_xlfn.IFS($AU23="","",$AU23&lt;=15,"0-15",AND($AU23&gt;=16,$AU23&lt;=30),"16-30",AND($AU23&gt;=31,$AU23&lt;=45),"31-45",AND($AU23&gt;=46,$AU23&lt;=60),"46-60",AND($AU23&gt;=61,$AU23&lt;=90),"61-90",AND($AU23&gt;=91),"&gt; 90",AND($AU23&gt;=2000),""),"")</f>
        <v/>
      </c>
      <c r="AW23" s="32" cm="1">
        <f t="array" aca="1" ref="AW23" ca="1">IFERROR(_xlfn.IFS(OR($M23="",$AM23=""),"",OR($C23="Offered",$C23="Joined"),($AM23-$M23)-$AT23),"")</f>
        <v>-37</v>
      </c>
      <c r="AX23" s="32" cm="1">
        <f t="array" aca="1" ref="AX23" ca="1">IFERROR(_xlfn.IFS(OR($M23="",$AS23=""),"",$C23="Joined",($AS23-$M23)-$AT23),"")</f>
        <v>-23</v>
      </c>
      <c r="AY23" s="30" t="str">
        <f>IFERROR(IF(COUNTIFS('Candidate Tracker'!$E:$E,'Positions Tracker'!$B23,'Candidate Tracker'!$C:$C,"Offer Drop")=0,"",COUNTIFS('Candidate Tracker'!$E:$E,'Positions Tracker'!$B23,'Candidate Tracker'!$C:$C,"Offer Drop")),"")</f>
        <v/>
      </c>
      <c r="AZ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 s="34" t="str">
        <f>IFERROR(IF(COUNTIFS('Candidate Tracker'!$E:$E,'Positions Tracker'!$B23,'Candidate Tracker'!$I:$I,"Female")=0,"",COUNTIFS('Candidate Tracker'!$E:$E,'Positions Tracker'!$B23,'Candidate Tracker'!$I:$I,"Female")),"")</f>
        <v/>
      </c>
      <c r="BB23" s="34">
        <f>IFERROR(IF(COUNTIFS('Candidate Tracker'!$E:$E,'Positions Tracker'!$B23,'Candidate Tracker'!$I:$I,"male")=0,"",COUNTIFS('Candidate Tracker'!$E:$E,'Positions Tracker'!$B23,'Candidate Tracker'!$I:$I,"male")),"")</f>
        <v>1</v>
      </c>
      <c r="BC23" s="33">
        <f>IFERROR(IF(COUNTIFS('Candidate Tracker'!$E:$E,'Positions Tracker'!$B23,'Candidate Tracker'!$C:$C,"&lt;&gt;WIP",'Candidate Tracker'!$C:$C,"&lt;&gt;Hold",'Candidate Tracker'!$C:$C,"&lt;&gt;Cancelled",'Candidate Tracker'!$C:$C,"&lt;&gt;Closed")/COUNTIFS('Candidate Tracker'!$E:$E,'Positions Tracker'!$B23)=0,"",COUNTIFS('Candidate Tracker'!$E:$E,'Positions Tracker'!$B23,'Candidate Tracker'!$C:$C,"&lt;&gt;WIP",'Candidate Tracker'!$C:$C,"&lt;&gt;Hold",'Candidate Tracker'!$C:$C,"&lt;&gt;Cancelled",'Candidate Tracker'!$C:$C,"&lt;&gt;Closed")/COUNTIFS('Candidate Tracker'!$E:$E,'Positions Tracker'!$B23)),"")</f>
        <v>1</v>
      </c>
      <c r="BD23" s="30" t="str">
        <f t="shared" si="8"/>
        <v>Jan-24</v>
      </c>
      <c r="BE23" s="30" t="str">
        <f t="shared" si="9"/>
        <v>Nov-23</v>
      </c>
      <c r="BF23" s="30" t="str">
        <f t="shared" si="10"/>
        <v>Nov-23</v>
      </c>
      <c r="BG23" s="30" t="str">
        <f t="shared" si="11"/>
        <v>Dec-23</v>
      </c>
    </row>
    <row r="24" spans="1:59">
      <c r="A24" s="30">
        <f t="shared" si="6"/>
        <v>23</v>
      </c>
      <c r="B24" s="30" t="s">
        <v>136</v>
      </c>
      <c r="C24" s="30" t="s">
        <v>51</v>
      </c>
      <c r="D24" s="30" t="s">
        <v>51</v>
      </c>
      <c r="E24" s="30" t="s">
        <v>3907</v>
      </c>
      <c r="F24" s="30" t="s">
        <v>3910</v>
      </c>
      <c r="G24" s="30" t="s">
        <v>3</v>
      </c>
      <c r="H24" s="30" t="s">
        <v>147</v>
      </c>
      <c r="I24" s="30" t="s">
        <v>3891</v>
      </c>
      <c r="J24" s="30" t="s">
        <v>135</v>
      </c>
      <c r="K24" s="31">
        <v>45232</v>
      </c>
      <c r="L24" s="31">
        <v>45232</v>
      </c>
      <c r="M24" s="31">
        <v>45232</v>
      </c>
      <c r="N24" s="30" t="s">
        <v>3855</v>
      </c>
      <c r="O24" s="31"/>
      <c r="P24" s="31"/>
      <c r="Q24" s="31"/>
      <c r="R24" s="31"/>
      <c r="S24" s="31"/>
      <c r="T24" s="31"/>
      <c r="U24" s="30"/>
      <c r="V24" s="30"/>
      <c r="W24" s="30"/>
      <c r="X24" s="30" t="s">
        <v>63</v>
      </c>
      <c r="Y24" s="30" t="s">
        <v>93</v>
      </c>
      <c r="Z24" s="30" t="s">
        <v>93</v>
      </c>
      <c r="AA24" s="30" t="s">
        <v>51</v>
      </c>
      <c r="AB24" s="30"/>
      <c r="AC24" s="30"/>
      <c r="AD24" s="30"/>
      <c r="AE24" s="30" t="s">
        <v>3911</v>
      </c>
      <c r="AF24" s="30" t="s">
        <v>3912</v>
      </c>
      <c r="AG24" s="30" t="s">
        <v>138</v>
      </c>
      <c r="AH24" s="31" t="s">
        <v>101</v>
      </c>
      <c r="AI24" s="31">
        <v>45257</v>
      </c>
      <c r="AJ24" s="31">
        <v>45260</v>
      </c>
      <c r="AK24" s="30" t="s">
        <v>63</v>
      </c>
      <c r="AL24" s="30">
        <v>1800000</v>
      </c>
      <c r="AM24" s="31">
        <v>45260</v>
      </c>
      <c r="AN24" s="31">
        <v>45260</v>
      </c>
      <c r="AO24" s="31"/>
      <c r="AP24" s="31">
        <v>45264</v>
      </c>
      <c r="AQ24" s="31">
        <v>45264</v>
      </c>
      <c r="AR24" s="31">
        <v>45267</v>
      </c>
      <c r="AS24" s="31">
        <v>45271</v>
      </c>
      <c r="AT24" s="30">
        <f t="shared" ca="1" si="7"/>
        <v>0</v>
      </c>
      <c r="AU24" s="32" t="str">
        <f t="shared" ca="1" si="1"/>
        <v/>
      </c>
      <c r="AV24" s="32" t="str" cm="1">
        <f t="array" aca="1" ref="AV24" ca="1">IFERROR(_xlfn.IFS($AU24="","",$AU24&lt;=15,"0-15",AND($AU24&gt;=16,$AU24&lt;=30),"16-30",AND($AU24&gt;=31,$AU24&lt;=45),"31-45",AND($AU24&gt;=46,$AU24&lt;=60),"46-60",AND($AU24&gt;=61,$AU24&lt;=90),"61-90",AND($AU24&gt;=91),"&gt; 90",AND($AU24&gt;=2000),""),"")</f>
        <v/>
      </c>
      <c r="AW24" s="32" cm="1">
        <f t="array" aca="1" ref="AW24" ca="1">IFERROR(_xlfn.IFS(OR($M24="",$AM24=""),"",OR($C24="Offered",$C24="Joined"),($AM24-$M24)-$AT24),"")</f>
        <v>28</v>
      </c>
      <c r="AX24" s="32" cm="1">
        <f t="array" aca="1" ref="AX24" ca="1">IFERROR(_xlfn.IFS(OR($M24="",$AS24=""),"",$C24="Joined",($AS24-$M24)-$AT24),"")</f>
        <v>39</v>
      </c>
      <c r="AY24" s="30" t="str">
        <f>IFERROR(IF(COUNTIFS('Candidate Tracker'!$E:$E,'Positions Tracker'!$B24,'Candidate Tracker'!$C:$C,"Offer Drop")=0,"",COUNTIFS('Candidate Tracker'!$E:$E,'Positions Tracker'!$B24,'Candidate Tracker'!$C:$C,"Offer Drop")),"")</f>
        <v/>
      </c>
      <c r="AZ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 s="34">
        <f>IFERROR(IF(COUNTIFS('Candidate Tracker'!$E:$E,'Positions Tracker'!$B24,'Candidate Tracker'!$I:$I,"Female")=0,"",COUNTIFS('Candidate Tracker'!$E:$E,'Positions Tracker'!$B24,'Candidate Tracker'!$I:$I,"Female")),"")</f>
        <v>1</v>
      </c>
      <c r="BB24" s="34" t="str">
        <f>IFERROR(IF(COUNTIFS('Candidate Tracker'!$E:$E,'Positions Tracker'!$B24,'Candidate Tracker'!$I:$I,"male")=0,"",COUNTIFS('Candidate Tracker'!$E:$E,'Positions Tracker'!$B24,'Candidate Tracker'!$I:$I,"male")),"")</f>
        <v/>
      </c>
      <c r="BC24" s="33">
        <f>IFERROR(IF(COUNTIFS('Candidate Tracker'!$E:$E,'Positions Tracker'!$B24,'Candidate Tracker'!$C:$C,"&lt;&gt;WIP",'Candidate Tracker'!$C:$C,"&lt;&gt;Hold",'Candidate Tracker'!$C:$C,"&lt;&gt;Cancelled",'Candidate Tracker'!$C:$C,"&lt;&gt;Closed")/COUNTIFS('Candidate Tracker'!$E:$E,'Positions Tracker'!$B24)=0,"",COUNTIFS('Candidate Tracker'!$E:$E,'Positions Tracker'!$B24,'Candidate Tracker'!$C:$C,"&lt;&gt;WIP",'Candidate Tracker'!$C:$C,"&lt;&gt;Hold",'Candidate Tracker'!$C:$C,"&lt;&gt;Cancelled",'Candidate Tracker'!$C:$C,"&lt;&gt;Closed")/COUNTIFS('Candidate Tracker'!$E:$E,'Positions Tracker'!$B24)),"")</f>
        <v>1</v>
      </c>
      <c r="BD24" s="30" t="str">
        <f t="shared" si="8"/>
        <v>Nov-23</v>
      </c>
      <c r="BE24" s="30" t="str">
        <f t="shared" si="9"/>
        <v>Nov-23</v>
      </c>
      <c r="BF24" s="30" t="str">
        <f t="shared" si="10"/>
        <v>Nov-23</v>
      </c>
      <c r="BG24" s="30" t="str">
        <f t="shared" si="11"/>
        <v>Dec-23</v>
      </c>
    </row>
    <row r="25" spans="1:59">
      <c r="A25" s="30">
        <f t="shared" si="6"/>
        <v>24</v>
      </c>
      <c r="B25" s="30" t="s">
        <v>156</v>
      </c>
      <c r="C25" s="30" t="s">
        <v>51</v>
      </c>
      <c r="D25" s="30" t="s">
        <v>51</v>
      </c>
      <c r="E25" s="30" t="s">
        <v>159</v>
      </c>
      <c r="F25" s="30" t="s">
        <v>3913</v>
      </c>
      <c r="G25" s="30" t="s">
        <v>3</v>
      </c>
      <c r="H25" s="30" t="s">
        <v>3914</v>
      </c>
      <c r="I25" s="30" t="s">
        <v>3915</v>
      </c>
      <c r="J25" s="30" t="s">
        <v>135</v>
      </c>
      <c r="K25" s="31">
        <v>45217</v>
      </c>
      <c r="L25" s="31">
        <v>45217</v>
      </c>
      <c r="M25" s="31">
        <v>45217</v>
      </c>
      <c r="N25" s="30" t="s">
        <v>3892</v>
      </c>
      <c r="O25" s="31"/>
      <c r="P25" s="31"/>
      <c r="Q25" s="31"/>
      <c r="R25" s="31"/>
      <c r="S25" s="31"/>
      <c r="T25" s="31"/>
      <c r="U25" s="30"/>
      <c r="V25" s="30"/>
      <c r="W25" s="30"/>
      <c r="X25" s="30" t="s">
        <v>63</v>
      </c>
      <c r="Y25" s="30" t="s">
        <v>93</v>
      </c>
      <c r="Z25" s="30" t="s">
        <v>93</v>
      </c>
      <c r="AA25" s="30" t="s">
        <v>51</v>
      </c>
      <c r="AB25" s="30"/>
      <c r="AC25" s="30"/>
      <c r="AD25" s="30"/>
      <c r="AE25" s="30" t="s">
        <v>157</v>
      </c>
      <c r="AF25" s="30" t="s">
        <v>3916</v>
      </c>
      <c r="AG25" s="30" t="s">
        <v>158</v>
      </c>
      <c r="AH25" s="31" t="s">
        <v>55</v>
      </c>
      <c r="AI25" s="31">
        <v>45257</v>
      </c>
      <c r="AJ25" s="31">
        <v>45260</v>
      </c>
      <c r="AK25" s="30" t="s">
        <v>63</v>
      </c>
      <c r="AL25" s="30">
        <v>2050000</v>
      </c>
      <c r="AM25" s="31">
        <v>45260</v>
      </c>
      <c r="AN25" s="31">
        <v>45260</v>
      </c>
      <c r="AO25" s="31"/>
      <c r="AP25" s="31">
        <v>45261</v>
      </c>
      <c r="AQ25" s="31">
        <v>45261</v>
      </c>
      <c r="AR25" s="31">
        <v>45344</v>
      </c>
      <c r="AS25" s="31">
        <v>45348</v>
      </c>
      <c r="AT25" s="30">
        <f t="shared" ca="1" si="7"/>
        <v>0</v>
      </c>
      <c r="AU25" s="32" t="str">
        <f t="shared" ca="1" si="1"/>
        <v/>
      </c>
      <c r="AV25" s="32" t="str" cm="1">
        <f t="array" aca="1" ref="AV25" ca="1">IFERROR(_xlfn.IFS($AU25="","",$AU25&lt;=15,"0-15",AND($AU25&gt;=16,$AU25&lt;=30),"16-30",AND($AU25&gt;=31,$AU25&lt;=45),"31-45",AND($AU25&gt;=46,$AU25&lt;=60),"46-60",AND($AU25&gt;=61,$AU25&lt;=90),"61-90",AND($AU25&gt;=91),"&gt; 90",AND($AU25&gt;=2000),""),"")</f>
        <v/>
      </c>
      <c r="AW25" s="32" cm="1">
        <f t="array" aca="1" ref="AW25" ca="1">IFERROR(_xlfn.IFS(OR($M25="",$AM25=""),"",OR($C25="Offered",$C25="Joined"),($AM25-$M25)-$AT25),"")</f>
        <v>43</v>
      </c>
      <c r="AX25" s="32" cm="1">
        <f t="array" aca="1" ref="AX25" ca="1">IFERROR(_xlfn.IFS(OR($M25="",$AS25=""),"",$C25="Joined",($AS25-$M25)-$AT25),"")</f>
        <v>131</v>
      </c>
      <c r="AY25" s="30" t="str">
        <f>IFERROR(IF(COUNTIFS('Candidate Tracker'!$E:$E,'Positions Tracker'!$B25,'Candidate Tracker'!$C:$C,"Offer Drop")=0,"",COUNTIFS('Candidate Tracker'!$E:$E,'Positions Tracker'!$B25,'Candidate Tracker'!$C:$C,"Offer Drop")),"")</f>
        <v/>
      </c>
      <c r="AZ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 s="34" t="str">
        <f>IFERROR(IF(COUNTIFS('Candidate Tracker'!$E:$E,'Positions Tracker'!$B25,'Candidate Tracker'!$I:$I,"Female")=0,"",COUNTIFS('Candidate Tracker'!$E:$E,'Positions Tracker'!$B25,'Candidate Tracker'!$I:$I,"Female")),"")</f>
        <v/>
      </c>
      <c r="BB25" s="34">
        <f>IFERROR(IF(COUNTIFS('Candidate Tracker'!$E:$E,'Positions Tracker'!$B25,'Candidate Tracker'!$I:$I,"male")=0,"",COUNTIFS('Candidate Tracker'!$E:$E,'Positions Tracker'!$B25,'Candidate Tracker'!$I:$I,"male")),"")</f>
        <v>1</v>
      </c>
      <c r="BC25" s="33">
        <f>IFERROR(IF(COUNTIFS('Candidate Tracker'!$E:$E,'Positions Tracker'!$B25,'Candidate Tracker'!$C:$C,"&lt;&gt;WIP",'Candidate Tracker'!$C:$C,"&lt;&gt;Hold",'Candidate Tracker'!$C:$C,"&lt;&gt;Cancelled",'Candidate Tracker'!$C:$C,"&lt;&gt;Closed")/COUNTIFS('Candidate Tracker'!$E:$E,'Positions Tracker'!$B25)=0,"",COUNTIFS('Candidate Tracker'!$E:$E,'Positions Tracker'!$B25,'Candidate Tracker'!$C:$C,"&lt;&gt;WIP",'Candidate Tracker'!$C:$C,"&lt;&gt;Hold",'Candidate Tracker'!$C:$C,"&lt;&gt;Cancelled",'Candidate Tracker'!$C:$C,"&lt;&gt;Closed")/COUNTIFS('Candidate Tracker'!$E:$E,'Positions Tracker'!$B25)),"")</f>
        <v>1</v>
      </c>
      <c r="BD25" s="30" t="str">
        <f t="shared" si="8"/>
        <v>Oct-23</v>
      </c>
      <c r="BE25" s="30" t="str">
        <f t="shared" si="9"/>
        <v>Nov-23</v>
      </c>
      <c r="BF25" s="30" t="str">
        <f t="shared" si="10"/>
        <v>Nov-23</v>
      </c>
      <c r="BG25" s="30" t="str">
        <f t="shared" si="11"/>
        <v>Feb-24</v>
      </c>
    </row>
    <row r="26" spans="1:59">
      <c r="A26" s="30">
        <f t="shared" si="6"/>
        <v>25</v>
      </c>
      <c r="B26" s="30" t="s">
        <v>382</v>
      </c>
      <c r="C26" s="30" t="s">
        <v>51</v>
      </c>
      <c r="D26" s="30" t="s">
        <v>51</v>
      </c>
      <c r="E26" s="30" t="s">
        <v>3917</v>
      </c>
      <c r="F26" s="30" t="s">
        <v>2959</v>
      </c>
      <c r="G26" s="30" t="s">
        <v>3</v>
      </c>
      <c r="H26" s="30" t="s">
        <v>3918</v>
      </c>
      <c r="I26" s="30" t="s">
        <v>3919</v>
      </c>
      <c r="J26" s="30" t="s">
        <v>135</v>
      </c>
      <c r="K26" s="31">
        <v>45329</v>
      </c>
      <c r="L26" s="31">
        <v>45329</v>
      </c>
      <c r="M26" s="31">
        <v>45434</v>
      </c>
      <c r="N26" s="30" t="s">
        <v>3920</v>
      </c>
      <c r="O26" s="31"/>
      <c r="P26" s="31"/>
      <c r="Q26" s="31"/>
      <c r="R26" s="31"/>
      <c r="S26" s="31"/>
      <c r="T26" s="31"/>
      <c r="U26" s="30"/>
      <c r="V26" s="30"/>
      <c r="W26" s="30"/>
      <c r="X26" s="30" t="s">
        <v>63</v>
      </c>
      <c r="Y26" s="30" t="s">
        <v>93</v>
      </c>
      <c r="Z26" s="30" t="s">
        <v>93</v>
      </c>
      <c r="AA26" s="30" t="s">
        <v>51</v>
      </c>
      <c r="AB26" s="30"/>
      <c r="AC26" s="30"/>
      <c r="AD26" s="30"/>
      <c r="AE26" s="30" t="s">
        <v>383</v>
      </c>
      <c r="AF26" s="30" t="s">
        <v>3921</v>
      </c>
      <c r="AG26" s="30" t="s">
        <v>384</v>
      </c>
      <c r="AH26" s="31" t="s">
        <v>55</v>
      </c>
      <c r="AI26" s="31">
        <v>45392</v>
      </c>
      <c r="AJ26" s="31">
        <v>45397</v>
      </c>
      <c r="AK26" s="30" t="s">
        <v>63</v>
      </c>
      <c r="AL26" s="30">
        <v>3000000</v>
      </c>
      <c r="AM26" s="31">
        <v>45405</v>
      </c>
      <c r="AN26" s="31">
        <v>45397</v>
      </c>
      <c r="AO26" s="31"/>
      <c r="AP26" s="31">
        <v>45405</v>
      </c>
      <c r="AQ26" s="31">
        <v>45405</v>
      </c>
      <c r="AR26" s="31">
        <v>45498</v>
      </c>
      <c r="AS26" s="31">
        <v>45502</v>
      </c>
      <c r="AT26" s="30">
        <f t="shared" ca="1" si="7"/>
        <v>0</v>
      </c>
      <c r="AU26" s="32" t="str">
        <f t="shared" ca="1" si="1"/>
        <v/>
      </c>
      <c r="AV26" s="32" t="str" cm="1">
        <f t="array" aca="1" ref="AV26" ca="1">IFERROR(_xlfn.IFS($AU26="","",$AU26&lt;=15,"0-15",AND($AU26&gt;=16,$AU26&lt;=30),"16-30",AND($AU26&gt;=31,$AU26&lt;=45),"31-45",AND($AU26&gt;=46,$AU26&lt;=60),"46-60",AND($AU26&gt;=61,$AU26&lt;=90),"61-90",AND($AU26&gt;=91),"&gt; 90",AND($AU26&gt;=2000),""),"")</f>
        <v/>
      </c>
      <c r="AW26" s="32" cm="1">
        <f t="array" aca="1" ref="AW26" ca="1">IFERROR(_xlfn.IFS(OR($M26="",$AM26=""),"",OR($C26="Offered",$C26="Joined"),($AM26-$M26)-$AT26),"")</f>
        <v>-29</v>
      </c>
      <c r="AX26" s="32" cm="1">
        <f t="array" aca="1" ref="AX26" ca="1">IFERROR(_xlfn.IFS(OR($M26="",$AS26=""),"",$C26="Joined",($AS26-$M26)-$AT26),"")</f>
        <v>68</v>
      </c>
      <c r="AY26" s="30" t="str">
        <f>IFERROR(IF(COUNTIFS('Candidate Tracker'!$E:$E,'Positions Tracker'!$B26,'Candidate Tracker'!$C:$C,"Offer Drop")=0,"",COUNTIFS('Candidate Tracker'!$E:$E,'Positions Tracker'!$B26,'Candidate Tracker'!$C:$C,"Offer Drop")),"")</f>
        <v/>
      </c>
      <c r="AZ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 s="34" t="str">
        <f>IFERROR(IF(COUNTIFS('Candidate Tracker'!$E:$E,'Positions Tracker'!$B26,'Candidate Tracker'!$I:$I,"Female")=0,"",COUNTIFS('Candidate Tracker'!$E:$E,'Positions Tracker'!$B26,'Candidate Tracker'!$I:$I,"Female")),"")</f>
        <v/>
      </c>
      <c r="BB26" s="34">
        <f>IFERROR(IF(COUNTIFS('Candidate Tracker'!$E:$E,'Positions Tracker'!$B26,'Candidate Tracker'!$I:$I,"male")=0,"",COUNTIFS('Candidate Tracker'!$E:$E,'Positions Tracker'!$B26,'Candidate Tracker'!$I:$I,"male")),"")</f>
        <v>1</v>
      </c>
      <c r="BC26" s="33">
        <f>IFERROR(IF(COUNTIFS('Candidate Tracker'!$E:$E,'Positions Tracker'!$B26,'Candidate Tracker'!$C:$C,"&lt;&gt;WIP",'Candidate Tracker'!$C:$C,"&lt;&gt;Hold",'Candidate Tracker'!$C:$C,"&lt;&gt;Cancelled",'Candidate Tracker'!$C:$C,"&lt;&gt;Closed")/COUNTIFS('Candidate Tracker'!$E:$E,'Positions Tracker'!$B26)=0,"",COUNTIFS('Candidate Tracker'!$E:$E,'Positions Tracker'!$B26,'Candidate Tracker'!$C:$C,"&lt;&gt;WIP",'Candidate Tracker'!$C:$C,"&lt;&gt;Hold",'Candidate Tracker'!$C:$C,"&lt;&gt;Cancelled",'Candidate Tracker'!$C:$C,"&lt;&gt;Closed")/COUNTIFS('Candidate Tracker'!$E:$E,'Positions Tracker'!$B26)),"")</f>
        <v>1</v>
      </c>
      <c r="BD26" s="30" t="str">
        <f t="shared" si="8"/>
        <v>May-24</v>
      </c>
      <c r="BE26" s="30" t="str">
        <f t="shared" si="9"/>
        <v>Apr-24</v>
      </c>
      <c r="BF26" s="30" t="str">
        <f t="shared" si="10"/>
        <v>Apr-24</v>
      </c>
      <c r="BG26" s="30" t="str">
        <f t="shared" si="11"/>
        <v>Jul-24</v>
      </c>
    </row>
    <row r="27" spans="1:59">
      <c r="A27" s="30">
        <f t="shared" si="6"/>
        <v>26</v>
      </c>
      <c r="B27" s="30" t="s">
        <v>327</v>
      </c>
      <c r="C27" s="30" t="s">
        <v>51</v>
      </c>
      <c r="D27" s="30" t="s">
        <v>51</v>
      </c>
      <c r="E27" s="30" t="s">
        <v>3922</v>
      </c>
      <c r="F27" s="30" t="s">
        <v>2959</v>
      </c>
      <c r="G27" s="30" t="s">
        <v>3</v>
      </c>
      <c r="H27" s="30" t="s">
        <v>3918</v>
      </c>
      <c r="I27" s="30" t="s">
        <v>3919</v>
      </c>
      <c r="J27" s="30" t="s">
        <v>135</v>
      </c>
      <c r="K27" s="31">
        <v>45261</v>
      </c>
      <c r="L27" s="31">
        <v>45261</v>
      </c>
      <c r="M27" s="31">
        <v>45292</v>
      </c>
      <c r="N27" s="30" t="s">
        <v>3897</v>
      </c>
      <c r="O27" s="31"/>
      <c r="P27" s="31"/>
      <c r="Q27" s="31"/>
      <c r="R27" s="31"/>
      <c r="S27" s="31"/>
      <c r="T27" s="31"/>
      <c r="U27" s="30"/>
      <c r="V27" s="30"/>
      <c r="W27" s="30"/>
      <c r="X27" s="30" t="s">
        <v>63</v>
      </c>
      <c r="Y27" s="30" t="s">
        <v>93</v>
      </c>
      <c r="Z27" s="30" t="s">
        <v>93</v>
      </c>
      <c r="AA27" s="30" t="s">
        <v>51</v>
      </c>
      <c r="AB27" s="30"/>
      <c r="AC27" s="30"/>
      <c r="AD27" s="30"/>
      <c r="AE27" s="30" t="s">
        <v>3923</v>
      </c>
      <c r="AF27" s="30" t="s">
        <v>3924</v>
      </c>
      <c r="AG27" s="30" t="s">
        <v>329</v>
      </c>
      <c r="AH27" s="31" t="s">
        <v>101</v>
      </c>
      <c r="AI27" s="31">
        <v>45343</v>
      </c>
      <c r="AJ27" s="31">
        <v>45350</v>
      </c>
      <c r="AK27" s="30" t="s">
        <v>63</v>
      </c>
      <c r="AL27" s="30">
        <v>900000</v>
      </c>
      <c r="AM27" s="31">
        <v>45350</v>
      </c>
      <c r="AN27" s="31">
        <v>45350</v>
      </c>
      <c r="AO27" s="31"/>
      <c r="AP27" s="31">
        <v>45356</v>
      </c>
      <c r="AQ27" s="31">
        <v>45356</v>
      </c>
      <c r="AR27" s="31">
        <v>45428</v>
      </c>
      <c r="AS27" s="31">
        <v>45432</v>
      </c>
      <c r="AT27" s="30">
        <f t="shared" ca="1" si="7"/>
        <v>0</v>
      </c>
      <c r="AU27" s="32" t="str">
        <f t="shared" ca="1" si="1"/>
        <v/>
      </c>
      <c r="AV27" s="32" t="str" cm="1">
        <f t="array" aca="1" ref="AV27" ca="1">IFERROR(_xlfn.IFS($AU27="","",$AU27&lt;=15,"0-15",AND($AU27&gt;=16,$AU27&lt;=30),"16-30",AND($AU27&gt;=31,$AU27&lt;=45),"31-45",AND($AU27&gt;=46,$AU27&lt;=60),"46-60",AND($AU27&gt;=61,$AU27&lt;=90),"61-90",AND($AU27&gt;=91),"&gt; 90",AND($AU27&gt;=2000),""),"")</f>
        <v/>
      </c>
      <c r="AW27" s="32" cm="1">
        <f t="array" aca="1" ref="AW27" ca="1">IFERROR(_xlfn.IFS(OR($M27="",$AM27=""),"",OR($C27="Offered",$C27="Joined"),($AM27-$M27)-$AT27),"")</f>
        <v>58</v>
      </c>
      <c r="AX27" s="32" cm="1">
        <f t="array" aca="1" ref="AX27" ca="1">IFERROR(_xlfn.IFS(OR($M27="",$AS27=""),"",$C27="Joined",($AS27-$M27)-$AT27),"")</f>
        <v>140</v>
      </c>
      <c r="AY27" s="30" t="str">
        <f>IFERROR(IF(COUNTIFS('Candidate Tracker'!$E:$E,'Positions Tracker'!$B27,'Candidate Tracker'!$C:$C,"Offer Drop")=0,"",COUNTIFS('Candidate Tracker'!$E:$E,'Positions Tracker'!$B27,'Candidate Tracker'!$C:$C,"Offer Drop")),"")</f>
        <v/>
      </c>
      <c r="AZ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 s="34">
        <f>IFERROR(IF(COUNTIFS('Candidate Tracker'!$E:$E,'Positions Tracker'!$B27,'Candidate Tracker'!$I:$I,"Female")=0,"",COUNTIFS('Candidate Tracker'!$E:$E,'Positions Tracker'!$B27,'Candidate Tracker'!$I:$I,"Female")),"")</f>
        <v>1</v>
      </c>
      <c r="BB27" s="34" t="str">
        <f>IFERROR(IF(COUNTIFS('Candidate Tracker'!$E:$E,'Positions Tracker'!$B27,'Candidate Tracker'!$I:$I,"male")=0,"",COUNTIFS('Candidate Tracker'!$E:$E,'Positions Tracker'!$B27,'Candidate Tracker'!$I:$I,"male")),"")</f>
        <v/>
      </c>
      <c r="BC27" s="33">
        <f>IFERROR(IF(COUNTIFS('Candidate Tracker'!$E:$E,'Positions Tracker'!$B27,'Candidate Tracker'!$C:$C,"&lt;&gt;WIP",'Candidate Tracker'!$C:$C,"&lt;&gt;Hold",'Candidate Tracker'!$C:$C,"&lt;&gt;Cancelled",'Candidate Tracker'!$C:$C,"&lt;&gt;Closed")/COUNTIFS('Candidate Tracker'!$E:$E,'Positions Tracker'!$B27)=0,"",COUNTIFS('Candidate Tracker'!$E:$E,'Positions Tracker'!$B27,'Candidate Tracker'!$C:$C,"&lt;&gt;WIP",'Candidate Tracker'!$C:$C,"&lt;&gt;Hold",'Candidate Tracker'!$C:$C,"&lt;&gt;Cancelled",'Candidate Tracker'!$C:$C,"&lt;&gt;Closed")/COUNTIFS('Candidate Tracker'!$E:$E,'Positions Tracker'!$B27)),"")</f>
        <v>1</v>
      </c>
      <c r="BD27" s="30" t="str">
        <f t="shared" si="8"/>
        <v>Jan-24</v>
      </c>
      <c r="BE27" s="30" t="str">
        <f t="shared" si="9"/>
        <v>Feb-24</v>
      </c>
      <c r="BF27" s="30" t="str">
        <f t="shared" si="10"/>
        <v>Feb-24</v>
      </c>
      <c r="BG27" s="30" t="str">
        <f t="shared" si="11"/>
        <v>May-24</v>
      </c>
    </row>
    <row r="28" spans="1:59">
      <c r="A28" s="30">
        <f t="shared" si="6"/>
        <v>27</v>
      </c>
      <c r="B28" s="30" t="s">
        <v>167</v>
      </c>
      <c r="C28" s="30" t="s">
        <v>51</v>
      </c>
      <c r="D28" s="30" t="s">
        <v>51</v>
      </c>
      <c r="E28" s="30" t="s">
        <v>3925</v>
      </c>
      <c r="F28" s="30" t="s">
        <v>3913</v>
      </c>
      <c r="G28" s="30" t="s">
        <v>3</v>
      </c>
      <c r="H28" s="30" t="s">
        <v>3914</v>
      </c>
      <c r="I28" s="30" t="s">
        <v>3915</v>
      </c>
      <c r="J28" s="30" t="s">
        <v>135</v>
      </c>
      <c r="K28" s="31">
        <v>45261</v>
      </c>
      <c r="L28" s="31">
        <v>45261</v>
      </c>
      <c r="M28" s="31">
        <v>45261</v>
      </c>
      <c r="N28" s="30" t="s">
        <v>3926</v>
      </c>
      <c r="O28" s="31"/>
      <c r="P28" s="31"/>
      <c r="Q28" s="31"/>
      <c r="R28" s="31"/>
      <c r="S28" s="31"/>
      <c r="T28" s="31"/>
      <c r="U28" s="30"/>
      <c r="V28" s="30"/>
      <c r="W28" s="30"/>
      <c r="X28" s="30" t="s">
        <v>63</v>
      </c>
      <c r="Y28" s="30" t="s">
        <v>93</v>
      </c>
      <c r="Z28" s="30" t="s">
        <v>93</v>
      </c>
      <c r="AA28" s="30" t="s">
        <v>51</v>
      </c>
      <c r="AB28" s="30"/>
      <c r="AC28" s="30"/>
      <c r="AD28" s="30"/>
      <c r="AE28" s="30" t="s">
        <v>168</v>
      </c>
      <c r="AF28" s="30" t="s">
        <v>3927</v>
      </c>
      <c r="AG28" s="30" t="s">
        <v>169</v>
      </c>
      <c r="AH28" s="31" t="s">
        <v>55</v>
      </c>
      <c r="AI28" s="31">
        <v>45300</v>
      </c>
      <c r="AJ28" s="31">
        <v>45306</v>
      </c>
      <c r="AK28" s="30" t="s">
        <v>63</v>
      </c>
      <c r="AL28" s="30">
        <v>1500000</v>
      </c>
      <c r="AM28" s="31">
        <v>45306</v>
      </c>
      <c r="AN28" s="31">
        <v>45306</v>
      </c>
      <c r="AO28" s="31"/>
      <c r="AP28" s="31">
        <v>45308</v>
      </c>
      <c r="AQ28" s="31">
        <v>45308</v>
      </c>
      <c r="AR28" s="31">
        <v>45358</v>
      </c>
      <c r="AS28" s="31">
        <v>45362</v>
      </c>
      <c r="AT28" s="30">
        <f t="shared" ca="1" si="7"/>
        <v>0</v>
      </c>
      <c r="AU28" s="32" t="str">
        <f t="shared" ca="1" si="1"/>
        <v/>
      </c>
      <c r="AV28" s="32" t="str" cm="1">
        <f t="array" aca="1" ref="AV28" ca="1">IFERROR(_xlfn.IFS($AU28="","",$AU28&lt;=15,"0-15",AND($AU28&gt;=16,$AU28&lt;=30),"16-30",AND($AU28&gt;=31,$AU28&lt;=45),"31-45",AND($AU28&gt;=46,$AU28&lt;=60),"46-60",AND($AU28&gt;=61,$AU28&lt;=90),"61-90",AND($AU28&gt;=91),"&gt; 90",AND($AU28&gt;=2000),""),"")</f>
        <v/>
      </c>
      <c r="AW28" s="32" cm="1">
        <f t="array" aca="1" ref="AW28" ca="1">IFERROR(_xlfn.IFS(OR($M28="",$AM28=""),"",OR($C28="Offered",$C28="Joined"),($AM28-$M28)-$AT28),"")</f>
        <v>45</v>
      </c>
      <c r="AX28" s="32" cm="1">
        <f t="array" aca="1" ref="AX28" ca="1">IFERROR(_xlfn.IFS(OR($M28="",$AS28=""),"",$C28="Joined",($AS28-$M28)-$AT28),"")</f>
        <v>101</v>
      </c>
      <c r="AY28" s="30" t="str">
        <f>IFERROR(IF(COUNTIFS('Candidate Tracker'!$E:$E,'Positions Tracker'!$B28,'Candidate Tracker'!$C:$C,"Offer Drop")=0,"",COUNTIFS('Candidate Tracker'!$E:$E,'Positions Tracker'!$B28,'Candidate Tracker'!$C:$C,"Offer Drop")),"")</f>
        <v/>
      </c>
      <c r="AZ2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 s="34" t="str">
        <f>IFERROR(IF(COUNTIFS('Candidate Tracker'!$E:$E,'Positions Tracker'!$B28,'Candidate Tracker'!$I:$I,"Female")=0,"",COUNTIFS('Candidate Tracker'!$E:$E,'Positions Tracker'!$B28,'Candidate Tracker'!$I:$I,"Female")),"")</f>
        <v/>
      </c>
      <c r="BB28" s="34">
        <f>IFERROR(IF(COUNTIFS('Candidate Tracker'!$E:$E,'Positions Tracker'!$B28,'Candidate Tracker'!$I:$I,"male")=0,"",COUNTIFS('Candidate Tracker'!$E:$E,'Positions Tracker'!$B28,'Candidate Tracker'!$I:$I,"male")),"")</f>
        <v>1</v>
      </c>
      <c r="BC28" s="33">
        <f>IFERROR(IF(COUNTIFS('Candidate Tracker'!$E:$E,'Positions Tracker'!$B28,'Candidate Tracker'!$C:$C,"&lt;&gt;WIP",'Candidate Tracker'!$C:$C,"&lt;&gt;Hold",'Candidate Tracker'!$C:$C,"&lt;&gt;Cancelled",'Candidate Tracker'!$C:$C,"&lt;&gt;Closed")/COUNTIFS('Candidate Tracker'!$E:$E,'Positions Tracker'!$B28)=0,"",COUNTIFS('Candidate Tracker'!$E:$E,'Positions Tracker'!$B28,'Candidate Tracker'!$C:$C,"&lt;&gt;WIP",'Candidate Tracker'!$C:$C,"&lt;&gt;Hold",'Candidate Tracker'!$C:$C,"&lt;&gt;Cancelled",'Candidate Tracker'!$C:$C,"&lt;&gt;Closed")/COUNTIFS('Candidate Tracker'!$E:$E,'Positions Tracker'!$B28)),"")</f>
        <v>1</v>
      </c>
      <c r="BD28" s="30" t="str">
        <f t="shared" si="8"/>
        <v>Dec-23</v>
      </c>
      <c r="BE28" s="30" t="str">
        <f t="shared" si="9"/>
        <v>Jan-24</v>
      </c>
      <c r="BF28" s="30" t="str">
        <f t="shared" si="10"/>
        <v>Jan-24</v>
      </c>
      <c r="BG28" s="30" t="str">
        <f t="shared" si="11"/>
        <v>Mar-24</v>
      </c>
    </row>
    <row r="29" spans="1:59">
      <c r="A29" s="30">
        <f t="shared" si="6"/>
        <v>28</v>
      </c>
      <c r="B29" s="30">
        <v>20246589</v>
      </c>
      <c r="C29" s="30" t="s">
        <v>51</v>
      </c>
      <c r="D29" s="30" t="s">
        <v>51</v>
      </c>
      <c r="E29" s="30" t="s">
        <v>537</v>
      </c>
      <c r="F29" s="30" t="s">
        <v>2959</v>
      </c>
      <c r="G29" s="30" t="s">
        <v>3</v>
      </c>
      <c r="H29" s="30" t="s">
        <v>3928</v>
      </c>
      <c r="I29" s="30" t="s">
        <v>337</v>
      </c>
      <c r="J29" s="30" t="s">
        <v>135</v>
      </c>
      <c r="K29" s="31">
        <v>45442</v>
      </c>
      <c r="L29" s="31">
        <v>45442</v>
      </c>
      <c r="M29" s="31">
        <v>45565</v>
      </c>
      <c r="N29" s="30" t="s">
        <v>3926</v>
      </c>
      <c r="O29" s="31"/>
      <c r="P29" s="31"/>
      <c r="Q29" s="31"/>
      <c r="R29" s="31"/>
      <c r="S29" s="31"/>
      <c r="T29" s="31"/>
      <c r="U29" s="30"/>
      <c r="V29" s="30"/>
      <c r="W29" s="30"/>
      <c r="X29" s="30" t="s">
        <v>63</v>
      </c>
      <c r="Y29" s="30" t="s">
        <v>93</v>
      </c>
      <c r="Z29" s="30" t="s">
        <v>93</v>
      </c>
      <c r="AA29" s="30" t="s">
        <v>51</v>
      </c>
      <c r="AB29" s="30"/>
      <c r="AC29" s="30"/>
      <c r="AD29" s="30"/>
      <c r="AE29" s="30" t="s">
        <v>535</v>
      </c>
      <c r="AF29" s="30" t="s">
        <v>3929</v>
      </c>
      <c r="AG29" s="30" t="s">
        <v>536</v>
      </c>
      <c r="AH29" s="31" t="s">
        <v>101</v>
      </c>
      <c r="AI29" s="31">
        <v>45576</v>
      </c>
      <c r="AJ29" s="31">
        <v>45578</v>
      </c>
      <c r="AK29" s="30" t="s">
        <v>63</v>
      </c>
      <c r="AL29" s="30">
        <v>4000000</v>
      </c>
      <c r="AM29" s="31">
        <v>45607</v>
      </c>
      <c r="AN29" s="31">
        <v>45578</v>
      </c>
      <c r="AO29" s="31"/>
      <c r="AP29" s="31">
        <v>45607</v>
      </c>
      <c r="AQ29" s="31">
        <v>45607</v>
      </c>
      <c r="AR29" s="31">
        <v>45708</v>
      </c>
      <c r="AS29" s="31">
        <v>45712</v>
      </c>
      <c r="AT29" s="30">
        <f t="shared" ca="1" si="7"/>
        <v>0</v>
      </c>
      <c r="AU29" s="32" t="str">
        <f t="shared" ca="1" si="1"/>
        <v/>
      </c>
      <c r="AV29" s="32" t="str" cm="1">
        <f t="array" aca="1" ref="AV29" ca="1">IFERROR(_xlfn.IFS($AU29="","",$AU29&lt;=15,"0-15",AND($AU29&gt;=16,$AU29&lt;=30),"16-30",AND($AU29&gt;=31,$AU29&lt;=45),"31-45",AND($AU29&gt;=46,$AU29&lt;=60),"46-60",AND($AU29&gt;=61,$AU29&lt;=90),"61-90",AND($AU29&gt;=91),"&gt; 90",AND($AU29&gt;=2000),""),"")</f>
        <v/>
      </c>
      <c r="AW29" s="32" cm="1">
        <f t="array" aca="1" ref="AW29" ca="1">IFERROR(_xlfn.IFS(OR($M29="",$AM29=""),"",OR($C29="Offered",$C29="Joined"),($AM29-$M29)-$AT29),"")</f>
        <v>42</v>
      </c>
      <c r="AX29" s="32" cm="1">
        <f t="array" aca="1" ref="AX29" ca="1">IFERROR(_xlfn.IFS(OR($M29="",$AS29=""),"",$C29="Joined",($AS29-$M29)-$AT29),"")</f>
        <v>147</v>
      </c>
      <c r="AY29" s="30" t="str">
        <f>IFERROR(IF(COUNTIFS('Candidate Tracker'!$E:$E,'Positions Tracker'!$B29,'Candidate Tracker'!$C:$C,"Offer Drop")=0,"",COUNTIFS('Candidate Tracker'!$E:$E,'Positions Tracker'!$B29,'Candidate Tracker'!$C:$C,"Offer Drop")),"")</f>
        <v/>
      </c>
      <c r="AZ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 s="34">
        <f>IFERROR(IF(COUNTIFS('Candidate Tracker'!$E:$E,'Positions Tracker'!$B29,'Candidate Tracker'!$I:$I,"Female")=0,"",COUNTIFS('Candidate Tracker'!$E:$E,'Positions Tracker'!$B29,'Candidate Tracker'!$I:$I,"Female")),"")</f>
        <v>1</v>
      </c>
      <c r="BB29" s="34" t="str">
        <f>IFERROR(IF(COUNTIFS('Candidate Tracker'!$E:$E,'Positions Tracker'!$B29,'Candidate Tracker'!$I:$I,"male")=0,"",COUNTIFS('Candidate Tracker'!$E:$E,'Positions Tracker'!$B29,'Candidate Tracker'!$I:$I,"male")),"")</f>
        <v/>
      </c>
      <c r="BC29" s="33">
        <f>IFERROR(IF(COUNTIFS('Candidate Tracker'!$E:$E,'Positions Tracker'!$B29,'Candidate Tracker'!$C:$C,"&lt;&gt;WIP",'Candidate Tracker'!$C:$C,"&lt;&gt;Hold",'Candidate Tracker'!$C:$C,"&lt;&gt;Cancelled",'Candidate Tracker'!$C:$C,"&lt;&gt;Closed")/COUNTIFS('Candidate Tracker'!$E:$E,'Positions Tracker'!$B29)=0,"",COUNTIFS('Candidate Tracker'!$E:$E,'Positions Tracker'!$B29,'Candidate Tracker'!$C:$C,"&lt;&gt;WIP",'Candidate Tracker'!$C:$C,"&lt;&gt;Hold",'Candidate Tracker'!$C:$C,"&lt;&gt;Cancelled",'Candidate Tracker'!$C:$C,"&lt;&gt;Closed")/COUNTIFS('Candidate Tracker'!$E:$E,'Positions Tracker'!$B29)),"")</f>
        <v>1</v>
      </c>
      <c r="BD29" s="30" t="str">
        <f t="shared" si="8"/>
        <v>Sep-24</v>
      </c>
      <c r="BE29" s="30" t="str">
        <f t="shared" si="9"/>
        <v>Oct-24</v>
      </c>
      <c r="BF29" s="30" t="str">
        <f t="shared" si="10"/>
        <v>Nov-24</v>
      </c>
      <c r="BG29" s="30" t="str">
        <f t="shared" si="11"/>
        <v>Feb-25</v>
      </c>
    </row>
    <row r="30" spans="1:59">
      <c r="A30" s="30">
        <f t="shared" si="6"/>
        <v>29</v>
      </c>
      <c r="B30" s="30" t="s">
        <v>418</v>
      </c>
      <c r="C30" s="30" t="s">
        <v>51</v>
      </c>
      <c r="D30" s="30" t="s">
        <v>51</v>
      </c>
      <c r="E30" s="30" t="s">
        <v>3917</v>
      </c>
      <c r="F30" s="30" t="s">
        <v>2959</v>
      </c>
      <c r="G30" s="30" t="s">
        <v>3</v>
      </c>
      <c r="H30" s="30" t="s">
        <v>3918</v>
      </c>
      <c r="I30" s="30" t="s">
        <v>3919</v>
      </c>
      <c r="J30" s="30" t="s">
        <v>135</v>
      </c>
      <c r="K30" s="31">
        <v>45329</v>
      </c>
      <c r="L30" s="31">
        <v>45329</v>
      </c>
      <c r="M30" s="31">
        <v>45329</v>
      </c>
      <c r="N30" s="30" t="s">
        <v>3855</v>
      </c>
      <c r="O30" s="31"/>
      <c r="P30" s="31"/>
      <c r="Q30" s="31"/>
      <c r="R30" s="31"/>
      <c r="S30" s="31"/>
      <c r="T30" s="31"/>
      <c r="U30" s="30"/>
      <c r="V30" s="30"/>
      <c r="W30" s="30"/>
      <c r="X30" s="30" t="s">
        <v>63</v>
      </c>
      <c r="Y30" s="30" t="s">
        <v>93</v>
      </c>
      <c r="Z30" s="30" t="s">
        <v>93</v>
      </c>
      <c r="AA30" s="30" t="s">
        <v>51</v>
      </c>
      <c r="AB30" s="30"/>
      <c r="AC30" s="30"/>
      <c r="AD30" s="30"/>
      <c r="AE30" s="30" t="s">
        <v>419</v>
      </c>
      <c r="AF30" s="30" t="s">
        <v>3930</v>
      </c>
      <c r="AG30" s="30" t="s">
        <v>420</v>
      </c>
      <c r="AH30" s="31" t="s">
        <v>55</v>
      </c>
      <c r="AI30" s="31">
        <v>45372</v>
      </c>
      <c r="AJ30" s="31">
        <v>45376</v>
      </c>
      <c r="AK30" s="30" t="s">
        <v>63</v>
      </c>
      <c r="AL30" s="30">
        <v>1900000</v>
      </c>
      <c r="AM30" s="31">
        <v>45408</v>
      </c>
      <c r="AN30" s="31">
        <v>45376</v>
      </c>
      <c r="AO30" s="31"/>
      <c r="AP30" s="31">
        <v>45408</v>
      </c>
      <c r="AQ30" s="31">
        <v>45408</v>
      </c>
      <c r="AR30" s="31">
        <v>45442</v>
      </c>
      <c r="AS30" s="31">
        <v>45446</v>
      </c>
      <c r="AT30" s="30">
        <f t="shared" ca="1" si="7"/>
        <v>0</v>
      </c>
      <c r="AU30" s="32" t="str">
        <f t="shared" ca="1" si="1"/>
        <v/>
      </c>
      <c r="AV30" s="32" t="str" cm="1">
        <f t="array" aca="1" ref="AV30" ca="1">IFERROR(_xlfn.IFS($AU30="","",$AU30&lt;=15,"0-15",AND($AU30&gt;=16,$AU30&lt;=30),"16-30",AND($AU30&gt;=31,$AU30&lt;=45),"31-45",AND($AU30&gt;=46,$AU30&lt;=60),"46-60",AND($AU30&gt;=61,$AU30&lt;=90),"61-90",AND($AU30&gt;=91),"&gt; 90",AND($AU30&gt;=2000),""),"")</f>
        <v/>
      </c>
      <c r="AW30" s="32" cm="1">
        <f t="array" aca="1" ref="AW30" ca="1">IFERROR(_xlfn.IFS(OR($M30="",$AM30=""),"",OR($C30="Offered",$C30="Joined"),($AM30-$M30)-$AT30),"")</f>
        <v>79</v>
      </c>
      <c r="AX30" s="32" cm="1">
        <f t="array" aca="1" ref="AX30" ca="1">IFERROR(_xlfn.IFS(OR($M30="",$AS30=""),"",$C30="Joined",($AS30-$M30)-$AT30),"")</f>
        <v>117</v>
      </c>
      <c r="AY30" s="30" t="str">
        <f>IFERROR(IF(COUNTIFS('Candidate Tracker'!$E:$E,'Positions Tracker'!$B30,'Candidate Tracker'!$C:$C,"Offer Drop")=0,"",COUNTIFS('Candidate Tracker'!$E:$E,'Positions Tracker'!$B30,'Candidate Tracker'!$C:$C,"Offer Drop")),"")</f>
        <v/>
      </c>
      <c r="AZ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 s="34" t="str">
        <f>IFERROR(IF(COUNTIFS('Candidate Tracker'!$E:$E,'Positions Tracker'!$B30,'Candidate Tracker'!$I:$I,"Female")=0,"",COUNTIFS('Candidate Tracker'!$E:$E,'Positions Tracker'!$B30,'Candidate Tracker'!$I:$I,"Female")),"")</f>
        <v/>
      </c>
      <c r="BB30" s="34">
        <f>IFERROR(IF(COUNTIFS('Candidate Tracker'!$E:$E,'Positions Tracker'!$B30,'Candidate Tracker'!$I:$I,"male")=0,"",COUNTIFS('Candidate Tracker'!$E:$E,'Positions Tracker'!$B30,'Candidate Tracker'!$I:$I,"male")),"")</f>
        <v>1</v>
      </c>
      <c r="BC30" s="33">
        <f>IFERROR(IF(COUNTIFS('Candidate Tracker'!$E:$E,'Positions Tracker'!$B30,'Candidate Tracker'!$C:$C,"&lt;&gt;WIP",'Candidate Tracker'!$C:$C,"&lt;&gt;Hold",'Candidate Tracker'!$C:$C,"&lt;&gt;Cancelled",'Candidate Tracker'!$C:$C,"&lt;&gt;Closed")/COUNTIFS('Candidate Tracker'!$E:$E,'Positions Tracker'!$B30)=0,"",COUNTIFS('Candidate Tracker'!$E:$E,'Positions Tracker'!$B30,'Candidate Tracker'!$C:$C,"&lt;&gt;WIP",'Candidate Tracker'!$C:$C,"&lt;&gt;Hold",'Candidate Tracker'!$C:$C,"&lt;&gt;Cancelled",'Candidate Tracker'!$C:$C,"&lt;&gt;Closed")/COUNTIFS('Candidate Tracker'!$E:$E,'Positions Tracker'!$B30)),"")</f>
        <v>1</v>
      </c>
      <c r="BD30" s="30" t="str">
        <f t="shared" si="8"/>
        <v>Feb-24</v>
      </c>
      <c r="BE30" s="30" t="str">
        <f t="shared" si="9"/>
        <v>Mar-24</v>
      </c>
      <c r="BF30" s="30" t="str">
        <f t="shared" si="10"/>
        <v>Apr-24</v>
      </c>
      <c r="BG30" s="30" t="str">
        <f t="shared" si="11"/>
        <v>Jun-24</v>
      </c>
    </row>
    <row r="31" spans="1:59">
      <c r="A31" s="30">
        <f t="shared" si="6"/>
        <v>30</v>
      </c>
      <c r="B31" s="30">
        <v>20248336</v>
      </c>
      <c r="C31" s="30" t="s">
        <v>3847</v>
      </c>
      <c r="D31" s="30" t="s">
        <v>1920</v>
      </c>
      <c r="E31" s="30" t="s">
        <v>3931</v>
      </c>
      <c r="F31" s="30" t="s">
        <v>3932</v>
      </c>
      <c r="G31" s="30" t="s">
        <v>3</v>
      </c>
      <c r="H31" s="30" t="s">
        <v>3933</v>
      </c>
      <c r="I31" s="30" t="s">
        <v>116</v>
      </c>
      <c r="J31" s="30" t="s">
        <v>135</v>
      </c>
      <c r="K31" s="31">
        <v>45547</v>
      </c>
      <c r="L31" s="31">
        <v>45547</v>
      </c>
      <c r="M31" s="31">
        <v>45547</v>
      </c>
      <c r="N31" s="30"/>
      <c r="O31" s="31"/>
      <c r="P31" s="31"/>
      <c r="Q31" s="31"/>
      <c r="R31" s="31"/>
      <c r="S31" s="31"/>
      <c r="T31" s="31"/>
      <c r="U31" s="30"/>
      <c r="V31" s="30"/>
      <c r="W31" s="30"/>
      <c r="X31" s="30" t="s">
        <v>63</v>
      </c>
      <c r="Y31" s="30" t="s">
        <v>93</v>
      </c>
      <c r="Z31" s="30" t="s">
        <v>93</v>
      </c>
      <c r="AA31" s="30" t="s">
        <v>3934</v>
      </c>
      <c r="AB31" s="30"/>
      <c r="AC31" s="30"/>
      <c r="AD31" s="30"/>
      <c r="AE31" s="30"/>
      <c r="AF31" s="30"/>
      <c r="AG31" s="30"/>
      <c r="AH31" s="31"/>
      <c r="AI31" s="31"/>
      <c r="AJ31" s="31"/>
      <c r="AK31" s="30"/>
      <c r="AL31" s="30"/>
      <c r="AM31" s="31"/>
      <c r="AN31" s="31"/>
      <c r="AO31" s="31"/>
      <c r="AP31" s="31"/>
      <c r="AQ31" s="31"/>
      <c r="AR31" s="31"/>
      <c r="AS31" s="31"/>
      <c r="AT31" s="30">
        <f t="shared" ca="1" si="7"/>
        <v>0</v>
      </c>
      <c r="AU31" s="32" t="str">
        <f t="shared" ca="1" si="1"/>
        <v/>
      </c>
      <c r="AV31" s="32" t="str" cm="1">
        <f t="array" aca="1" ref="AV31" ca="1">IFERROR(_xlfn.IFS($AU31="","",$AU31&lt;=15,"0-15",AND($AU31&gt;=16,$AU31&lt;=30),"16-30",AND($AU31&gt;=31,$AU31&lt;=45),"31-45",AND($AU31&gt;=46,$AU31&lt;=60),"46-60",AND($AU31&gt;=61,$AU31&lt;=90),"61-90",AND($AU31&gt;=91),"&gt; 90",AND($AU31&gt;=2000),""),"")</f>
        <v/>
      </c>
      <c r="AW31" s="32" t="str" cm="1">
        <f t="array" aca="1" ref="AW31" ca="1">IFERROR(_xlfn.IFS(OR($M31="",$AM31=""),"",OR($C31="Offered",$C31="Joined"),($AM31-$M31)-$AT31),"")</f>
        <v/>
      </c>
      <c r="AX31" s="32" t="str" cm="1">
        <f t="array" aca="1" ref="AX31" ca="1">IFERROR(_xlfn.IFS(OR($M31="",$AS31=""),"",$C31="Joined",($AS31-$M31)-$AT31),"")</f>
        <v/>
      </c>
      <c r="AY31" s="30" t="str">
        <f>IFERROR(IF(COUNTIFS('Candidate Tracker'!$E:$E,'Positions Tracker'!$B31,'Candidate Tracker'!$C:$C,"Offer Drop")=0,"",COUNTIFS('Candidate Tracker'!$E:$E,'Positions Tracker'!$B31,'Candidate Tracker'!$C:$C,"Offer Drop")),"")</f>
        <v/>
      </c>
      <c r="AZ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 s="34" t="str">
        <f>IFERROR(IF(COUNTIFS('Candidate Tracker'!$E:$E,'Positions Tracker'!$B31,'Candidate Tracker'!$I:$I,"Female")=0,"",COUNTIFS('Candidate Tracker'!$E:$E,'Positions Tracker'!$B31,'Candidate Tracker'!$I:$I,"Female")),"")</f>
        <v/>
      </c>
      <c r="BB31" s="34" t="str">
        <f>IFERROR(IF(COUNTIFS('Candidate Tracker'!$E:$E,'Positions Tracker'!$B31,'Candidate Tracker'!$I:$I,"male")=0,"",COUNTIFS('Candidate Tracker'!$E:$E,'Positions Tracker'!$B31,'Candidate Tracker'!$I:$I,"male")),"")</f>
        <v/>
      </c>
      <c r="BC31" s="33" t="str">
        <f>IFERROR(IF(COUNTIFS('Candidate Tracker'!$E:$E,'Positions Tracker'!$B31,'Candidate Tracker'!$C:$C,"&lt;&gt;WIP",'Candidate Tracker'!$C:$C,"&lt;&gt;Hold",'Candidate Tracker'!$C:$C,"&lt;&gt;Cancelled",'Candidate Tracker'!$C:$C,"&lt;&gt;Closed")/COUNTIFS('Candidate Tracker'!$E:$E,'Positions Tracker'!$B31)=0,"",COUNTIFS('Candidate Tracker'!$E:$E,'Positions Tracker'!$B31,'Candidate Tracker'!$C:$C,"&lt;&gt;WIP",'Candidate Tracker'!$C:$C,"&lt;&gt;Hold",'Candidate Tracker'!$C:$C,"&lt;&gt;Cancelled",'Candidate Tracker'!$C:$C,"&lt;&gt;Closed")/COUNTIFS('Candidate Tracker'!$E:$E,'Positions Tracker'!$B31)),"")</f>
        <v/>
      </c>
      <c r="BD31" s="30" t="str">
        <f t="shared" si="8"/>
        <v>Sep-24</v>
      </c>
      <c r="BE31" s="30" t="str">
        <f t="shared" si="9"/>
        <v/>
      </c>
      <c r="BF31" s="30" t="str">
        <f t="shared" si="10"/>
        <v/>
      </c>
      <c r="BG31" s="30" t="str">
        <f t="shared" si="11"/>
        <v/>
      </c>
    </row>
    <row r="32" spans="1:59">
      <c r="A32" s="30">
        <f t="shared" si="6"/>
        <v>31</v>
      </c>
      <c r="B32" s="30">
        <v>20243791</v>
      </c>
      <c r="C32" s="30" t="s">
        <v>51</v>
      </c>
      <c r="D32" s="30" t="s">
        <v>51</v>
      </c>
      <c r="E32" s="30" t="s">
        <v>336</v>
      </c>
      <c r="F32" s="30" t="s">
        <v>2959</v>
      </c>
      <c r="G32" s="30" t="s">
        <v>3</v>
      </c>
      <c r="H32" s="30" t="s">
        <v>3928</v>
      </c>
      <c r="I32" s="30" t="s">
        <v>337</v>
      </c>
      <c r="J32" s="30" t="s">
        <v>135</v>
      </c>
      <c r="K32" s="31">
        <v>45442</v>
      </c>
      <c r="L32" s="31">
        <v>45442</v>
      </c>
      <c r="M32" s="31">
        <v>45442</v>
      </c>
      <c r="N32" s="30" t="s">
        <v>3861</v>
      </c>
      <c r="O32" s="31"/>
      <c r="P32" s="31"/>
      <c r="Q32" s="31"/>
      <c r="R32" s="31"/>
      <c r="S32" s="31"/>
      <c r="T32" s="31"/>
      <c r="U32" s="30"/>
      <c r="V32" s="30"/>
      <c r="W32" s="30"/>
      <c r="X32" s="30" t="s">
        <v>63</v>
      </c>
      <c r="Y32" s="30" t="s">
        <v>93</v>
      </c>
      <c r="Z32" s="30" t="s">
        <v>93</v>
      </c>
      <c r="AA32" s="30" t="s">
        <v>51</v>
      </c>
      <c r="AB32" s="30"/>
      <c r="AC32" s="30"/>
      <c r="AD32" s="30"/>
      <c r="AE32" s="30" t="s">
        <v>334</v>
      </c>
      <c r="AF32" s="30" t="s">
        <v>3935</v>
      </c>
      <c r="AG32" s="30" t="s">
        <v>335</v>
      </c>
      <c r="AH32" s="31" t="s">
        <v>55</v>
      </c>
      <c r="AI32" s="31">
        <v>45517</v>
      </c>
      <c r="AJ32" s="31">
        <v>45520</v>
      </c>
      <c r="AK32" s="30" t="s">
        <v>63</v>
      </c>
      <c r="AL32" s="30">
        <v>2500000</v>
      </c>
      <c r="AM32" s="31">
        <v>45533</v>
      </c>
      <c r="AN32" s="31">
        <v>45520</v>
      </c>
      <c r="AO32" s="31"/>
      <c r="AP32" s="31">
        <v>45533</v>
      </c>
      <c r="AQ32" s="31">
        <v>45533</v>
      </c>
      <c r="AR32" s="31">
        <v>45555</v>
      </c>
      <c r="AS32" s="31">
        <v>45559</v>
      </c>
      <c r="AT32" s="30">
        <f t="shared" ca="1" si="7"/>
        <v>0</v>
      </c>
      <c r="AU32" s="32" t="str">
        <f t="shared" ca="1" si="1"/>
        <v/>
      </c>
      <c r="AV32" s="32" t="str" cm="1">
        <f t="array" aca="1" ref="AV32" ca="1">IFERROR(_xlfn.IFS($AU32="","",$AU32&lt;=15,"0-15",AND($AU32&gt;=16,$AU32&lt;=30),"16-30",AND($AU32&gt;=31,$AU32&lt;=45),"31-45",AND($AU32&gt;=46,$AU32&lt;=60),"46-60",AND($AU32&gt;=61,$AU32&lt;=90),"61-90",AND($AU32&gt;=91),"&gt; 90",AND($AU32&gt;=2000),""),"")</f>
        <v/>
      </c>
      <c r="AW32" s="32" cm="1">
        <f t="array" aca="1" ref="AW32" ca="1">IFERROR(_xlfn.IFS(OR($M32="",$AM32=""),"",OR($C32="Offered",$C32="Joined"),($AM32-$M32)-$AT32),"")</f>
        <v>91</v>
      </c>
      <c r="AX32" s="32" cm="1">
        <f t="array" aca="1" ref="AX32" ca="1">IFERROR(_xlfn.IFS(OR($M32="",$AS32=""),"",$C32="Joined",($AS32-$M32)-$AT32),"")</f>
        <v>117</v>
      </c>
      <c r="AY32" s="30" t="str">
        <f>IFERROR(IF(COUNTIFS('Candidate Tracker'!$E:$E,'Positions Tracker'!$B32,'Candidate Tracker'!$C:$C,"Offer Drop")=0,"",COUNTIFS('Candidate Tracker'!$E:$E,'Positions Tracker'!$B32,'Candidate Tracker'!$C:$C,"Offer Drop")),"")</f>
        <v/>
      </c>
      <c r="AZ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 s="34" t="str">
        <f>IFERROR(IF(COUNTIFS('Candidate Tracker'!$E:$E,'Positions Tracker'!$B32,'Candidate Tracker'!$I:$I,"Female")=0,"",COUNTIFS('Candidate Tracker'!$E:$E,'Positions Tracker'!$B32,'Candidate Tracker'!$I:$I,"Female")),"")</f>
        <v/>
      </c>
      <c r="BB32" s="34">
        <f>IFERROR(IF(COUNTIFS('Candidate Tracker'!$E:$E,'Positions Tracker'!$B32,'Candidate Tracker'!$I:$I,"male")=0,"",COUNTIFS('Candidate Tracker'!$E:$E,'Positions Tracker'!$B32,'Candidate Tracker'!$I:$I,"male")),"")</f>
        <v>1</v>
      </c>
      <c r="BC32" s="33">
        <f>IFERROR(IF(COUNTIFS('Candidate Tracker'!$E:$E,'Positions Tracker'!$B32,'Candidate Tracker'!$C:$C,"&lt;&gt;WIP",'Candidate Tracker'!$C:$C,"&lt;&gt;Hold",'Candidate Tracker'!$C:$C,"&lt;&gt;Cancelled",'Candidate Tracker'!$C:$C,"&lt;&gt;Closed")/COUNTIFS('Candidate Tracker'!$E:$E,'Positions Tracker'!$B32)=0,"",COUNTIFS('Candidate Tracker'!$E:$E,'Positions Tracker'!$B32,'Candidate Tracker'!$C:$C,"&lt;&gt;WIP",'Candidate Tracker'!$C:$C,"&lt;&gt;Hold",'Candidate Tracker'!$C:$C,"&lt;&gt;Cancelled",'Candidate Tracker'!$C:$C,"&lt;&gt;Closed")/COUNTIFS('Candidate Tracker'!$E:$E,'Positions Tracker'!$B32)),"")</f>
        <v>1</v>
      </c>
      <c r="BD32" s="30" t="str">
        <f t="shared" si="8"/>
        <v>May-24</v>
      </c>
      <c r="BE32" s="30" t="str">
        <f t="shared" si="9"/>
        <v>Aug-24</v>
      </c>
      <c r="BF32" s="30" t="str">
        <f t="shared" si="10"/>
        <v>Aug-24</v>
      </c>
      <c r="BG32" s="30" t="str">
        <f t="shared" si="11"/>
        <v>Sep-24</v>
      </c>
    </row>
    <row r="33" spans="1:59">
      <c r="A33" s="30">
        <f t="shared" si="6"/>
        <v>32</v>
      </c>
      <c r="B33" s="30" t="s">
        <v>390</v>
      </c>
      <c r="C33" s="30" t="s">
        <v>51</v>
      </c>
      <c r="D33" s="30" t="s">
        <v>51</v>
      </c>
      <c r="E33" s="30" t="s">
        <v>3917</v>
      </c>
      <c r="F33" s="30" t="s">
        <v>2959</v>
      </c>
      <c r="G33" s="30" t="s">
        <v>3</v>
      </c>
      <c r="H33" s="30" t="s">
        <v>3918</v>
      </c>
      <c r="I33" s="30" t="s">
        <v>3919</v>
      </c>
      <c r="J33" s="30" t="s">
        <v>135</v>
      </c>
      <c r="K33" s="31">
        <v>45329</v>
      </c>
      <c r="L33" s="31">
        <v>45329</v>
      </c>
      <c r="M33" s="31">
        <v>45434</v>
      </c>
      <c r="N33" s="30" t="s">
        <v>3892</v>
      </c>
      <c r="O33" s="31"/>
      <c r="P33" s="31"/>
      <c r="Q33" s="31"/>
      <c r="R33" s="31"/>
      <c r="S33" s="31"/>
      <c r="T33" s="31"/>
      <c r="U33" s="30"/>
      <c r="V33" s="30"/>
      <c r="W33" s="30"/>
      <c r="X33" s="30" t="s">
        <v>63</v>
      </c>
      <c r="Y33" s="30" t="s">
        <v>93</v>
      </c>
      <c r="Z33" s="30" t="s">
        <v>93</v>
      </c>
      <c r="AA33" s="30" t="s">
        <v>51</v>
      </c>
      <c r="AB33" s="30"/>
      <c r="AC33" s="30"/>
      <c r="AD33" s="30"/>
      <c r="AE33" s="30" t="s">
        <v>391</v>
      </c>
      <c r="AF33" s="30" t="s">
        <v>3936</v>
      </c>
      <c r="AG33" s="30" t="s">
        <v>392</v>
      </c>
      <c r="AH33" s="31" t="s">
        <v>55</v>
      </c>
      <c r="AI33" s="31">
        <v>45434</v>
      </c>
      <c r="AJ33" s="31">
        <v>45437</v>
      </c>
      <c r="AK33" s="30" t="s">
        <v>63</v>
      </c>
      <c r="AL33" s="30">
        <v>1800000</v>
      </c>
      <c r="AM33" s="31">
        <v>45447</v>
      </c>
      <c r="AN33" s="31">
        <v>45437</v>
      </c>
      <c r="AO33" s="31"/>
      <c r="AP33" s="31">
        <v>45447</v>
      </c>
      <c r="AQ33" s="31">
        <v>45447</v>
      </c>
      <c r="AR33" s="31">
        <v>45492</v>
      </c>
      <c r="AS33" s="31">
        <v>45495</v>
      </c>
      <c r="AT33" s="30">
        <f t="shared" ca="1" si="7"/>
        <v>0</v>
      </c>
      <c r="AU33" s="32" t="str">
        <f t="shared" ca="1" si="1"/>
        <v/>
      </c>
      <c r="AV33" s="32" t="str" cm="1">
        <f t="array" aca="1" ref="AV33" ca="1">IFERROR(_xlfn.IFS($AU33="","",$AU33&lt;=15,"0-15",AND($AU33&gt;=16,$AU33&lt;=30),"16-30",AND($AU33&gt;=31,$AU33&lt;=45),"31-45",AND($AU33&gt;=46,$AU33&lt;=60),"46-60",AND($AU33&gt;=61,$AU33&lt;=90),"61-90",AND($AU33&gt;=91),"&gt; 90",AND($AU33&gt;=2000),""),"")</f>
        <v/>
      </c>
      <c r="AW33" s="32" cm="1">
        <f t="array" aca="1" ref="AW33" ca="1">IFERROR(_xlfn.IFS(OR($M33="",$AM33=""),"",OR($C33="Offered",$C33="Joined"),($AM33-$M33)-$AT33),"")</f>
        <v>13</v>
      </c>
      <c r="AX33" s="32" cm="1">
        <f t="array" aca="1" ref="AX33" ca="1">IFERROR(_xlfn.IFS(OR($M33="",$AS33=""),"",$C33="Joined",($AS33-$M33)-$AT33),"")</f>
        <v>61</v>
      </c>
      <c r="AY33" s="30" t="str">
        <f>IFERROR(IF(COUNTIFS('Candidate Tracker'!$E:$E,'Positions Tracker'!$B33,'Candidate Tracker'!$C:$C,"Offer Drop")=0,"",COUNTIFS('Candidate Tracker'!$E:$E,'Positions Tracker'!$B33,'Candidate Tracker'!$C:$C,"Offer Drop")),"")</f>
        <v/>
      </c>
      <c r="AZ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 s="34" t="str">
        <f>IFERROR(IF(COUNTIFS('Candidate Tracker'!$E:$E,'Positions Tracker'!$B33,'Candidate Tracker'!$I:$I,"Female")=0,"",COUNTIFS('Candidate Tracker'!$E:$E,'Positions Tracker'!$B33,'Candidate Tracker'!$I:$I,"Female")),"")</f>
        <v/>
      </c>
      <c r="BB33" s="34">
        <f>IFERROR(IF(COUNTIFS('Candidate Tracker'!$E:$E,'Positions Tracker'!$B33,'Candidate Tracker'!$I:$I,"male")=0,"",COUNTIFS('Candidate Tracker'!$E:$E,'Positions Tracker'!$B33,'Candidate Tracker'!$I:$I,"male")),"")</f>
        <v>1</v>
      </c>
      <c r="BC33" s="33">
        <f>IFERROR(IF(COUNTIFS('Candidate Tracker'!$E:$E,'Positions Tracker'!$B33,'Candidate Tracker'!$C:$C,"&lt;&gt;WIP",'Candidate Tracker'!$C:$C,"&lt;&gt;Hold",'Candidate Tracker'!$C:$C,"&lt;&gt;Cancelled",'Candidate Tracker'!$C:$C,"&lt;&gt;Closed")/COUNTIFS('Candidate Tracker'!$E:$E,'Positions Tracker'!$B33)=0,"",COUNTIFS('Candidate Tracker'!$E:$E,'Positions Tracker'!$B33,'Candidate Tracker'!$C:$C,"&lt;&gt;WIP",'Candidate Tracker'!$C:$C,"&lt;&gt;Hold",'Candidate Tracker'!$C:$C,"&lt;&gt;Cancelled",'Candidate Tracker'!$C:$C,"&lt;&gt;Closed")/COUNTIFS('Candidate Tracker'!$E:$E,'Positions Tracker'!$B33)),"")</f>
        <v>1</v>
      </c>
      <c r="BD33" s="30" t="str">
        <f t="shared" si="8"/>
        <v>May-24</v>
      </c>
      <c r="BE33" s="30" t="str">
        <f t="shared" si="9"/>
        <v>May-24</v>
      </c>
      <c r="BF33" s="30" t="str">
        <f t="shared" si="10"/>
        <v>Jun-24</v>
      </c>
      <c r="BG33" s="30" t="str">
        <f t="shared" si="11"/>
        <v>Jul-24</v>
      </c>
    </row>
    <row r="34" spans="1:59">
      <c r="A34" s="30">
        <f t="shared" si="6"/>
        <v>33</v>
      </c>
      <c r="B34" s="30">
        <v>20252505</v>
      </c>
      <c r="C34" s="30" t="s">
        <v>51</v>
      </c>
      <c r="D34" s="30" t="s">
        <v>51</v>
      </c>
      <c r="E34" s="30" t="s">
        <v>2296</v>
      </c>
      <c r="F34" s="30" t="s">
        <v>3937</v>
      </c>
      <c r="G34" s="30" t="s">
        <v>3</v>
      </c>
      <c r="H34" s="30" t="s">
        <v>3933</v>
      </c>
      <c r="I34" s="30" t="s">
        <v>116</v>
      </c>
      <c r="J34" s="30" t="s">
        <v>351</v>
      </c>
      <c r="K34" s="31">
        <v>45531</v>
      </c>
      <c r="L34" s="31">
        <v>45450</v>
      </c>
      <c r="M34" s="31">
        <v>45623</v>
      </c>
      <c r="N34" s="30" t="s">
        <v>3850</v>
      </c>
      <c r="O34" s="31"/>
      <c r="P34" s="31"/>
      <c r="Q34" s="31"/>
      <c r="R34" s="31"/>
      <c r="S34" s="31"/>
      <c r="T34" s="31"/>
      <c r="U34" s="30"/>
      <c r="V34" s="30"/>
      <c r="W34" s="30"/>
      <c r="X34" s="30" t="s">
        <v>63</v>
      </c>
      <c r="Y34" s="30" t="s">
        <v>93</v>
      </c>
      <c r="Z34" s="30" t="s">
        <v>351</v>
      </c>
      <c r="AA34" s="30" t="s">
        <v>3938</v>
      </c>
      <c r="AB34" s="30"/>
      <c r="AC34" s="30"/>
      <c r="AD34" s="30"/>
      <c r="AE34" s="30" t="s">
        <v>2293</v>
      </c>
      <c r="AF34" s="30" t="s">
        <v>3939</v>
      </c>
      <c r="AG34" s="30" t="s">
        <v>3940</v>
      </c>
      <c r="AH34" s="31" t="s">
        <v>101</v>
      </c>
      <c r="AI34" s="31">
        <v>45684</v>
      </c>
      <c r="AJ34" s="31">
        <v>45695</v>
      </c>
      <c r="AK34" s="30" t="s">
        <v>63</v>
      </c>
      <c r="AL34" s="30" t="s">
        <v>3941</v>
      </c>
      <c r="AM34" s="31">
        <v>45695</v>
      </c>
      <c r="AN34" s="31">
        <v>45695</v>
      </c>
      <c r="AO34" s="31"/>
      <c r="AP34" s="31">
        <v>45697</v>
      </c>
      <c r="AQ34" s="31">
        <v>45697</v>
      </c>
      <c r="AR34" s="31"/>
      <c r="AS34" s="31">
        <v>45761</v>
      </c>
      <c r="AT34" s="30">
        <f t="shared" ca="1" si="7"/>
        <v>0</v>
      </c>
      <c r="AU34" s="32" t="str">
        <f t="shared" ca="1" si="1"/>
        <v/>
      </c>
      <c r="AV34" s="32" t="str" cm="1">
        <f t="array" aca="1" ref="AV34" ca="1">IFERROR(_xlfn.IFS($AU34="","",$AU34&lt;=15,"0-15",AND($AU34&gt;=16,$AU34&lt;=30),"16-30",AND($AU34&gt;=31,$AU34&lt;=45),"31-45",AND($AU34&gt;=46,$AU34&lt;=60),"46-60",AND($AU34&gt;=61,$AU34&lt;=90),"61-90",AND($AU34&gt;=91),"&gt; 90",AND($AU34&gt;=2000),""),"")</f>
        <v/>
      </c>
      <c r="AW34" s="32" cm="1">
        <f t="array" aca="1" ref="AW34" ca="1">IFERROR(_xlfn.IFS(OR($M34="",$AM34=""),"",OR($C34="Offered",$C34="Joined"),($AM34-$M34)-$AT34),"")</f>
        <v>72</v>
      </c>
      <c r="AX34" s="32" cm="1">
        <f t="array" aca="1" ref="AX34" ca="1">IFERROR(_xlfn.IFS(OR($M34="",$AS34=""),"",$C34="Joined",($AS34-$M34)-$AT34),"")</f>
        <v>138</v>
      </c>
      <c r="AY34" s="30" t="str">
        <f>IFERROR(IF(COUNTIFS('Candidate Tracker'!$E:$E,'Positions Tracker'!$B34,'Candidate Tracker'!$C:$C,"Offer Drop")=0,"",COUNTIFS('Candidate Tracker'!$E:$E,'Positions Tracker'!$B34,'Candidate Tracker'!$C:$C,"Offer Drop")),"")</f>
        <v/>
      </c>
      <c r="AZ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 s="34" t="str">
        <f>IFERROR(IF(COUNTIFS('Candidate Tracker'!$E:$E,'Positions Tracker'!$B34,'Candidate Tracker'!$I:$I,"Female")=0,"",COUNTIFS('Candidate Tracker'!$E:$E,'Positions Tracker'!$B34,'Candidate Tracker'!$I:$I,"Female")),"")</f>
        <v/>
      </c>
      <c r="BB34" s="34" t="str">
        <f>IFERROR(IF(COUNTIFS('Candidate Tracker'!$E:$E,'Positions Tracker'!$B34,'Candidate Tracker'!$I:$I,"male")=0,"",COUNTIFS('Candidate Tracker'!$E:$E,'Positions Tracker'!$B34,'Candidate Tracker'!$I:$I,"male")),"")</f>
        <v/>
      </c>
      <c r="BC34" s="33" t="str">
        <f>IFERROR(IF(COUNTIFS('Candidate Tracker'!$E:$E,'Positions Tracker'!$B34,'Candidate Tracker'!$C:$C,"&lt;&gt;WIP",'Candidate Tracker'!$C:$C,"&lt;&gt;Hold",'Candidate Tracker'!$C:$C,"&lt;&gt;Cancelled",'Candidate Tracker'!$C:$C,"&lt;&gt;Closed")/COUNTIFS('Candidate Tracker'!$E:$E,'Positions Tracker'!$B34)=0,"",COUNTIFS('Candidate Tracker'!$E:$E,'Positions Tracker'!$B34,'Candidate Tracker'!$C:$C,"&lt;&gt;WIP",'Candidate Tracker'!$C:$C,"&lt;&gt;Hold",'Candidate Tracker'!$C:$C,"&lt;&gt;Cancelled",'Candidate Tracker'!$C:$C,"&lt;&gt;Closed")/COUNTIFS('Candidate Tracker'!$E:$E,'Positions Tracker'!$B34)),"")</f>
        <v/>
      </c>
      <c r="BD34" s="30" t="str">
        <f t="shared" si="8"/>
        <v>Nov-24</v>
      </c>
      <c r="BE34" s="30" t="str">
        <f t="shared" si="9"/>
        <v>Jan-25</v>
      </c>
      <c r="BF34" s="30" t="str">
        <f t="shared" si="10"/>
        <v>Feb-25</v>
      </c>
      <c r="BG34" s="30" t="str">
        <f t="shared" si="11"/>
        <v>Apr-25</v>
      </c>
    </row>
    <row r="35" spans="1:59">
      <c r="A35" s="30">
        <f t="shared" si="6"/>
        <v>34</v>
      </c>
      <c r="B35" s="30">
        <v>20246232</v>
      </c>
      <c r="C35" s="30" t="s">
        <v>1044</v>
      </c>
      <c r="D35" s="30" t="s">
        <v>320</v>
      </c>
      <c r="E35" s="30" t="s">
        <v>3931</v>
      </c>
      <c r="F35" s="30" t="s">
        <v>3932</v>
      </c>
      <c r="G35" s="30" t="s">
        <v>3</v>
      </c>
      <c r="H35" s="30" t="s">
        <v>3933</v>
      </c>
      <c r="I35" s="30" t="s">
        <v>116</v>
      </c>
      <c r="J35" s="30" t="s">
        <v>135</v>
      </c>
      <c r="K35" s="31">
        <v>45460</v>
      </c>
      <c r="L35" s="31">
        <v>45460</v>
      </c>
      <c r="M35" s="31">
        <v>45674</v>
      </c>
      <c r="N35" s="30"/>
      <c r="O35" s="31"/>
      <c r="P35" s="31"/>
      <c r="Q35" s="31"/>
      <c r="R35" s="31"/>
      <c r="S35" s="31"/>
      <c r="T35" s="31"/>
      <c r="U35" s="30"/>
      <c r="V35" s="30"/>
      <c r="W35" s="30"/>
      <c r="X35" s="30" t="s">
        <v>63</v>
      </c>
      <c r="Y35" s="30" t="s">
        <v>65</v>
      </c>
      <c r="Z35" s="30" t="s">
        <v>65</v>
      </c>
      <c r="AA35" s="30" t="s">
        <v>3942</v>
      </c>
      <c r="AB35" s="30"/>
      <c r="AC35" s="30"/>
      <c r="AD35" s="30"/>
      <c r="AE35" s="30" t="s">
        <v>3943</v>
      </c>
      <c r="AF35" s="30">
        <v>9767994726</v>
      </c>
      <c r="AG35" s="30"/>
      <c r="AH35" s="31" t="s">
        <v>55</v>
      </c>
      <c r="AI35" s="31">
        <v>45481</v>
      </c>
      <c r="AJ35" s="31">
        <v>45488</v>
      </c>
      <c r="AK35" s="30"/>
      <c r="AL35" s="30">
        <v>2700000</v>
      </c>
      <c r="AM35" s="31">
        <v>45488</v>
      </c>
      <c r="AN35" s="31"/>
      <c r="AO35" s="31"/>
      <c r="AP35" s="31"/>
      <c r="AQ35" s="31"/>
      <c r="AR35" s="31"/>
      <c r="AS35" s="31"/>
      <c r="AT35" s="30">
        <f t="shared" ca="1" si="7"/>
        <v>0</v>
      </c>
      <c r="AU35" s="32" t="str">
        <f t="shared" ca="1" si="1"/>
        <v/>
      </c>
      <c r="AV35" s="32" t="str" cm="1">
        <f t="array" aca="1" ref="AV35" ca="1">IFERROR(_xlfn.IFS($AU35="","",$AU35&lt;=15,"0-15",AND($AU35&gt;=16,$AU35&lt;=30),"16-30",AND($AU35&gt;=31,$AU35&lt;=45),"31-45",AND($AU35&gt;=46,$AU35&lt;=60),"46-60",AND($AU35&gt;=61,$AU35&lt;=90),"61-90",AND($AU35&gt;=91),"&gt; 90",AND($AU35&gt;=2000),""),"")</f>
        <v/>
      </c>
      <c r="AW35" s="32" t="str" cm="1">
        <f t="array" aca="1" ref="AW35" ca="1">IFERROR(_xlfn.IFS(OR($M35="",$AM35=""),"",OR($C35="Offered",$C35="Joined"),($AM35-$M35)-$AT35),"")</f>
        <v/>
      </c>
      <c r="AX35" s="32" t="str" cm="1">
        <f t="array" aca="1" ref="AX35" ca="1">IFERROR(_xlfn.IFS(OR($M35="",$AS35=""),"",$C35="Joined",($AS35-$M35)-$AT35),"")</f>
        <v/>
      </c>
      <c r="AY35" s="30" t="str">
        <f>IFERROR(IF(COUNTIFS('Candidate Tracker'!$E:$E,'Positions Tracker'!$B35,'Candidate Tracker'!$C:$C,"Offer Drop")=0,"",COUNTIFS('Candidate Tracker'!$E:$E,'Positions Tracker'!$B35,'Candidate Tracker'!$C:$C,"Offer Drop")),"")</f>
        <v/>
      </c>
      <c r="AZ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 s="34" t="str">
        <f>IFERROR(IF(COUNTIFS('Candidate Tracker'!$E:$E,'Positions Tracker'!$B35,'Candidate Tracker'!$I:$I,"Female")=0,"",COUNTIFS('Candidate Tracker'!$E:$E,'Positions Tracker'!$B35,'Candidate Tracker'!$I:$I,"Female")),"")</f>
        <v/>
      </c>
      <c r="BB35" s="34">
        <f>IFERROR(IF(COUNTIFS('Candidate Tracker'!$E:$E,'Positions Tracker'!$B35,'Candidate Tracker'!$I:$I,"male")=0,"",COUNTIFS('Candidate Tracker'!$E:$E,'Positions Tracker'!$B35,'Candidate Tracker'!$I:$I,"male")),"")</f>
        <v>13</v>
      </c>
      <c r="BC35" s="33" t="str">
        <f>IFERROR(IF(COUNTIFS('Candidate Tracker'!$E:$E,'Positions Tracker'!$B35,'Candidate Tracker'!$C:$C,"&lt;&gt;WIP",'Candidate Tracker'!$C:$C,"&lt;&gt;Hold",'Candidate Tracker'!$C:$C,"&lt;&gt;Cancelled",'Candidate Tracker'!$C:$C,"&lt;&gt;Closed")/COUNTIFS('Candidate Tracker'!$E:$E,'Positions Tracker'!$B35)=0,"",COUNTIFS('Candidate Tracker'!$E:$E,'Positions Tracker'!$B35,'Candidate Tracker'!$C:$C,"&lt;&gt;WIP",'Candidate Tracker'!$C:$C,"&lt;&gt;Hold",'Candidate Tracker'!$C:$C,"&lt;&gt;Cancelled",'Candidate Tracker'!$C:$C,"&lt;&gt;Closed")/COUNTIFS('Candidate Tracker'!$E:$E,'Positions Tracker'!$B35)),"")</f>
        <v/>
      </c>
      <c r="BD35" s="30" t="str">
        <f t="shared" si="8"/>
        <v>Jan-25</v>
      </c>
      <c r="BE35" s="30" t="str">
        <f t="shared" si="9"/>
        <v>Jul-24</v>
      </c>
      <c r="BF35" s="30" t="str">
        <f t="shared" si="10"/>
        <v>Jul-24</v>
      </c>
      <c r="BG35" s="30" t="str">
        <f t="shared" si="11"/>
        <v/>
      </c>
    </row>
    <row r="36" spans="1:59">
      <c r="A36" s="30">
        <f t="shared" si="6"/>
        <v>35</v>
      </c>
      <c r="B36" s="30" t="s">
        <v>275</v>
      </c>
      <c r="C36" s="30" t="s">
        <v>51</v>
      </c>
      <c r="D36" s="30" t="s">
        <v>51</v>
      </c>
      <c r="E36" s="30" t="s">
        <v>336</v>
      </c>
      <c r="F36" s="30" t="s">
        <v>2959</v>
      </c>
      <c r="G36" s="30" t="s">
        <v>3</v>
      </c>
      <c r="H36" s="30" t="s">
        <v>3918</v>
      </c>
      <c r="I36" s="30" t="s">
        <v>3919</v>
      </c>
      <c r="J36" s="30" t="s">
        <v>135</v>
      </c>
      <c r="K36" s="31">
        <v>45468</v>
      </c>
      <c r="L36" s="31">
        <v>45468</v>
      </c>
      <c r="M36" s="31">
        <v>45468</v>
      </c>
      <c r="N36" s="30" t="s">
        <v>3926</v>
      </c>
      <c r="O36" s="31"/>
      <c r="P36" s="31"/>
      <c r="Q36" s="31"/>
      <c r="R36" s="31"/>
      <c r="S36" s="31"/>
      <c r="T36" s="31"/>
      <c r="U36" s="30"/>
      <c r="V36" s="30"/>
      <c r="W36" s="30"/>
      <c r="X36" s="30" t="s">
        <v>63</v>
      </c>
      <c r="Y36" s="30" t="s">
        <v>93</v>
      </c>
      <c r="Z36" s="30" t="s">
        <v>93</v>
      </c>
      <c r="AA36" s="30" t="s">
        <v>51</v>
      </c>
      <c r="AB36" s="30"/>
      <c r="AC36" s="30"/>
      <c r="AD36" s="30"/>
      <c r="AE36" s="30" t="s">
        <v>276</v>
      </c>
      <c r="AF36" s="30" t="s">
        <v>3944</v>
      </c>
      <c r="AG36" s="30" t="s">
        <v>277</v>
      </c>
      <c r="AH36" s="31" t="s">
        <v>55</v>
      </c>
      <c r="AI36" s="31">
        <v>45392</v>
      </c>
      <c r="AJ36" s="31">
        <v>45394</v>
      </c>
      <c r="AK36" s="30" t="s">
        <v>63</v>
      </c>
      <c r="AL36" s="30">
        <v>2400000</v>
      </c>
      <c r="AM36" s="31">
        <v>45417</v>
      </c>
      <c r="AN36" s="31">
        <v>45394</v>
      </c>
      <c r="AO36" s="31"/>
      <c r="AP36" s="31">
        <v>45417</v>
      </c>
      <c r="AQ36" s="31">
        <v>45417</v>
      </c>
      <c r="AR36" s="31">
        <v>45484</v>
      </c>
      <c r="AS36" s="31">
        <v>45488</v>
      </c>
      <c r="AT36" s="30">
        <f t="shared" ca="1" si="7"/>
        <v>0</v>
      </c>
      <c r="AU36" s="32" t="str">
        <f t="shared" ca="1" si="1"/>
        <v/>
      </c>
      <c r="AV36" s="32" t="str" cm="1">
        <f t="array" aca="1" ref="AV36" ca="1">IFERROR(_xlfn.IFS($AU36="","",$AU36&lt;=15,"0-15",AND($AU36&gt;=16,$AU36&lt;=30),"16-30",AND($AU36&gt;=31,$AU36&lt;=45),"31-45",AND($AU36&gt;=46,$AU36&lt;=60),"46-60",AND($AU36&gt;=61,$AU36&lt;=90),"61-90",AND($AU36&gt;=91),"&gt; 90",AND($AU36&gt;=2000),""),"")</f>
        <v/>
      </c>
      <c r="AW36" s="32" cm="1">
        <f t="array" aca="1" ref="AW36" ca="1">IFERROR(_xlfn.IFS(OR($M36="",$AM36=""),"",OR($C36="Offered",$C36="Joined"),($AM36-$M36)-$AT36),"")</f>
        <v>-51</v>
      </c>
      <c r="AX36" s="32" cm="1">
        <f t="array" aca="1" ref="AX36" ca="1">IFERROR(_xlfn.IFS(OR($M36="",$AS36=""),"",$C36="Joined",($AS36-$M36)-$AT36),"")</f>
        <v>20</v>
      </c>
      <c r="AY36" s="30" t="str">
        <f>IFERROR(IF(COUNTIFS('Candidate Tracker'!$E:$E,'Positions Tracker'!$B36,'Candidate Tracker'!$C:$C,"Offer Drop")=0,"",COUNTIFS('Candidate Tracker'!$E:$E,'Positions Tracker'!$B36,'Candidate Tracker'!$C:$C,"Offer Drop")),"")</f>
        <v/>
      </c>
      <c r="AZ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 s="34" t="str">
        <f>IFERROR(IF(COUNTIFS('Candidate Tracker'!$E:$E,'Positions Tracker'!$B36,'Candidate Tracker'!$I:$I,"Female")=0,"",COUNTIFS('Candidate Tracker'!$E:$E,'Positions Tracker'!$B36,'Candidate Tracker'!$I:$I,"Female")),"")</f>
        <v/>
      </c>
      <c r="BB36" s="34">
        <f>IFERROR(IF(COUNTIFS('Candidate Tracker'!$E:$E,'Positions Tracker'!$B36,'Candidate Tracker'!$I:$I,"male")=0,"",COUNTIFS('Candidate Tracker'!$E:$E,'Positions Tracker'!$B36,'Candidate Tracker'!$I:$I,"male")),"")</f>
        <v>1</v>
      </c>
      <c r="BC36" s="33">
        <f>IFERROR(IF(COUNTIFS('Candidate Tracker'!$E:$E,'Positions Tracker'!$B36,'Candidate Tracker'!$C:$C,"&lt;&gt;WIP",'Candidate Tracker'!$C:$C,"&lt;&gt;Hold",'Candidate Tracker'!$C:$C,"&lt;&gt;Cancelled",'Candidate Tracker'!$C:$C,"&lt;&gt;Closed")/COUNTIFS('Candidate Tracker'!$E:$E,'Positions Tracker'!$B36)=0,"",COUNTIFS('Candidate Tracker'!$E:$E,'Positions Tracker'!$B36,'Candidate Tracker'!$C:$C,"&lt;&gt;WIP",'Candidate Tracker'!$C:$C,"&lt;&gt;Hold",'Candidate Tracker'!$C:$C,"&lt;&gt;Cancelled",'Candidate Tracker'!$C:$C,"&lt;&gt;Closed")/COUNTIFS('Candidate Tracker'!$E:$E,'Positions Tracker'!$B36)),"")</f>
        <v>1</v>
      </c>
      <c r="BD36" s="30" t="str">
        <f t="shared" si="8"/>
        <v>Jun-24</v>
      </c>
      <c r="BE36" s="30" t="str">
        <f t="shared" si="9"/>
        <v>Apr-24</v>
      </c>
      <c r="BF36" s="30" t="str">
        <f t="shared" si="10"/>
        <v>May-24</v>
      </c>
      <c r="BG36" s="30" t="str">
        <f t="shared" si="11"/>
        <v>Jul-24</v>
      </c>
    </row>
    <row r="37" spans="1:59">
      <c r="A37" s="30">
        <f t="shared" si="6"/>
        <v>36</v>
      </c>
      <c r="B37" s="30">
        <v>20243901</v>
      </c>
      <c r="C37" s="30" t="s">
        <v>51</v>
      </c>
      <c r="D37" s="30" t="s">
        <v>51</v>
      </c>
      <c r="E37" s="30" t="s">
        <v>3945</v>
      </c>
      <c r="F37" s="30" t="s">
        <v>3946</v>
      </c>
      <c r="G37" s="30" t="s">
        <v>3</v>
      </c>
      <c r="H37" s="30" t="s">
        <v>567</v>
      </c>
      <c r="I37" s="30" t="s">
        <v>563</v>
      </c>
      <c r="J37" s="30" t="s">
        <v>135</v>
      </c>
      <c r="K37" s="31">
        <v>45476</v>
      </c>
      <c r="L37" s="31">
        <v>45476</v>
      </c>
      <c r="M37" s="31">
        <v>45476</v>
      </c>
      <c r="N37" s="30" t="s">
        <v>3892</v>
      </c>
      <c r="O37" s="31"/>
      <c r="P37" s="31"/>
      <c r="Q37" s="31"/>
      <c r="R37" s="31"/>
      <c r="S37" s="31"/>
      <c r="T37" s="31"/>
      <c r="U37" s="30"/>
      <c r="V37" s="30"/>
      <c r="W37" s="30"/>
      <c r="X37" s="30" t="s">
        <v>63</v>
      </c>
      <c r="Y37" s="30" t="s">
        <v>93</v>
      </c>
      <c r="Z37" s="30" t="s">
        <v>93</v>
      </c>
      <c r="AA37" s="30" t="s">
        <v>51</v>
      </c>
      <c r="AB37" s="30"/>
      <c r="AC37" s="30"/>
      <c r="AD37" s="30"/>
      <c r="AE37" s="30" t="s">
        <v>560</v>
      </c>
      <c r="AF37" s="30" t="s">
        <v>3947</v>
      </c>
      <c r="AG37" s="30" t="s">
        <v>561</v>
      </c>
      <c r="AH37" s="31" t="s">
        <v>55</v>
      </c>
      <c r="AI37" s="31">
        <v>45527</v>
      </c>
      <c r="AJ37" s="31">
        <v>45529</v>
      </c>
      <c r="AK37" s="30" t="s">
        <v>63</v>
      </c>
      <c r="AL37" s="30">
        <v>1650000</v>
      </c>
      <c r="AM37" s="31">
        <v>45538</v>
      </c>
      <c r="AN37" s="31">
        <v>45529</v>
      </c>
      <c r="AO37" s="31"/>
      <c r="AP37" s="31">
        <v>45538</v>
      </c>
      <c r="AQ37" s="31">
        <v>45538</v>
      </c>
      <c r="AR37" s="31">
        <v>45624</v>
      </c>
      <c r="AS37" s="31">
        <v>45628</v>
      </c>
      <c r="AT37" s="30">
        <f t="shared" ca="1" si="7"/>
        <v>0</v>
      </c>
      <c r="AU37" s="32" t="str">
        <f t="shared" ca="1" si="1"/>
        <v/>
      </c>
      <c r="AV37" s="32" t="str" cm="1">
        <f t="array" aca="1" ref="AV37" ca="1">IFERROR(_xlfn.IFS($AU37="","",$AU37&lt;=15,"0-15",AND($AU37&gt;=16,$AU37&lt;=30),"16-30",AND($AU37&gt;=31,$AU37&lt;=45),"31-45",AND($AU37&gt;=46,$AU37&lt;=60),"46-60",AND($AU37&gt;=61,$AU37&lt;=90),"61-90",AND($AU37&gt;=91),"&gt; 90",AND($AU37&gt;=2000),""),"")</f>
        <v/>
      </c>
      <c r="AW37" s="32" cm="1">
        <f t="array" aca="1" ref="AW37" ca="1">IFERROR(_xlfn.IFS(OR($M37="",$AM37=""),"",OR($C37="Offered",$C37="Joined"),($AM37-$M37)-$AT37),"")</f>
        <v>62</v>
      </c>
      <c r="AX37" s="32" cm="1">
        <f t="array" aca="1" ref="AX37" ca="1">IFERROR(_xlfn.IFS(OR($M37="",$AS37=""),"",$C37="Joined",($AS37-$M37)-$AT37),"")</f>
        <v>152</v>
      </c>
      <c r="AY37" s="30" t="str">
        <f>IFERROR(IF(COUNTIFS('Candidate Tracker'!$E:$E,'Positions Tracker'!$B37,'Candidate Tracker'!$C:$C,"Offer Drop")=0,"",COUNTIFS('Candidate Tracker'!$E:$E,'Positions Tracker'!$B37,'Candidate Tracker'!$C:$C,"Offer Drop")),"")</f>
        <v/>
      </c>
      <c r="AZ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 s="34" t="str">
        <f>IFERROR(IF(COUNTIFS('Candidate Tracker'!$E:$E,'Positions Tracker'!$B37,'Candidate Tracker'!$I:$I,"Female")=0,"",COUNTIFS('Candidate Tracker'!$E:$E,'Positions Tracker'!$B37,'Candidate Tracker'!$I:$I,"Female")),"")</f>
        <v/>
      </c>
      <c r="BB37" s="34">
        <f>IFERROR(IF(COUNTIFS('Candidate Tracker'!$E:$E,'Positions Tracker'!$B37,'Candidate Tracker'!$I:$I,"male")=0,"",COUNTIFS('Candidate Tracker'!$E:$E,'Positions Tracker'!$B37,'Candidate Tracker'!$I:$I,"male")),"")</f>
        <v>1</v>
      </c>
      <c r="BC37" s="33">
        <f>IFERROR(IF(COUNTIFS('Candidate Tracker'!$E:$E,'Positions Tracker'!$B37,'Candidate Tracker'!$C:$C,"&lt;&gt;WIP",'Candidate Tracker'!$C:$C,"&lt;&gt;Hold",'Candidate Tracker'!$C:$C,"&lt;&gt;Cancelled",'Candidate Tracker'!$C:$C,"&lt;&gt;Closed")/COUNTIFS('Candidate Tracker'!$E:$E,'Positions Tracker'!$B37)=0,"",COUNTIFS('Candidate Tracker'!$E:$E,'Positions Tracker'!$B37,'Candidate Tracker'!$C:$C,"&lt;&gt;WIP",'Candidate Tracker'!$C:$C,"&lt;&gt;Hold",'Candidate Tracker'!$C:$C,"&lt;&gt;Cancelled",'Candidate Tracker'!$C:$C,"&lt;&gt;Closed")/COUNTIFS('Candidate Tracker'!$E:$E,'Positions Tracker'!$B37)),"")</f>
        <v>1</v>
      </c>
      <c r="BD37" s="30" t="str">
        <f t="shared" si="8"/>
        <v>Jul-24</v>
      </c>
      <c r="BE37" s="30" t="str">
        <f t="shared" si="9"/>
        <v>Aug-24</v>
      </c>
      <c r="BF37" s="30" t="str">
        <f t="shared" si="10"/>
        <v>Sep-24</v>
      </c>
      <c r="BG37" s="30" t="str">
        <f t="shared" si="11"/>
        <v>Dec-24</v>
      </c>
    </row>
    <row r="38" spans="1:59">
      <c r="A38" s="30">
        <f t="shared" si="6"/>
        <v>37</v>
      </c>
      <c r="B38" s="30">
        <v>20252486</v>
      </c>
      <c r="C38" s="30" t="s">
        <v>51</v>
      </c>
      <c r="D38" s="30" t="s">
        <v>51</v>
      </c>
      <c r="E38" s="30" t="s">
        <v>2296</v>
      </c>
      <c r="F38" s="30" t="s">
        <v>3937</v>
      </c>
      <c r="G38" s="30" t="s">
        <v>3</v>
      </c>
      <c r="H38" s="30" t="s">
        <v>3933</v>
      </c>
      <c r="I38" s="30" t="s">
        <v>116</v>
      </c>
      <c r="J38" s="30" t="s">
        <v>351</v>
      </c>
      <c r="K38" s="31">
        <v>45562</v>
      </c>
      <c r="L38" s="31">
        <v>45562</v>
      </c>
      <c r="M38" s="31">
        <v>45623</v>
      </c>
      <c r="N38" s="30" t="s">
        <v>3948</v>
      </c>
      <c r="O38" s="31"/>
      <c r="P38" s="31"/>
      <c r="Q38" s="31"/>
      <c r="R38" s="31"/>
      <c r="S38" s="31"/>
      <c r="T38" s="31"/>
      <c r="U38" s="30"/>
      <c r="V38" s="30"/>
      <c r="W38" s="30"/>
      <c r="X38" s="30" t="s">
        <v>63</v>
      </c>
      <c r="Y38" s="30" t="s">
        <v>93</v>
      </c>
      <c r="Z38" s="30" t="s">
        <v>351</v>
      </c>
      <c r="AA38" s="30" t="s">
        <v>3949</v>
      </c>
      <c r="AB38" s="30"/>
      <c r="AC38" s="30"/>
      <c r="AD38" s="30"/>
      <c r="AE38" s="30" t="s">
        <v>3950</v>
      </c>
      <c r="AF38" s="30" t="s">
        <v>3951</v>
      </c>
      <c r="AG38" s="30" t="s">
        <v>3952</v>
      </c>
      <c r="AH38" s="31" t="s">
        <v>55</v>
      </c>
      <c r="AI38" s="31">
        <v>45677</v>
      </c>
      <c r="AJ38" s="31">
        <v>45698</v>
      </c>
      <c r="AK38" s="30" t="s">
        <v>63</v>
      </c>
      <c r="AL38" s="30">
        <v>1600000</v>
      </c>
      <c r="AM38" s="31">
        <v>45698</v>
      </c>
      <c r="AN38" s="31">
        <v>45698</v>
      </c>
      <c r="AO38" s="31"/>
      <c r="AP38" s="31">
        <v>45700</v>
      </c>
      <c r="AQ38" s="31">
        <v>45700</v>
      </c>
      <c r="AR38" s="31"/>
      <c r="AS38" s="31">
        <v>45768</v>
      </c>
      <c r="AT38" s="30">
        <f t="shared" ca="1" si="7"/>
        <v>0</v>
      </c>
      <c r="AU38" s="32" t="str">
        <f t="shared" ca="1" si="1"/>
        <v/>
      </c>
      <c r="AV38" s="32" t="str" cm="1">
        <f t="array" aca="1" ref="AV38" ca="1">IFERROR(_xlfn.IFS($AU38="","",$AU38&lt;=15,"0-15",AND($AU38&gt;=16,$AU38&lt;=30),"16-30",AND($AU38&gt;=31,$AU38&lt;=45),"31-45",AND($AU38&gt;=46,$AU38&lt;=60),"46-60",AND($AU38&gt;=61,$AU38&lt;=90),"61-90",AND($AU38&gt;=91),"&gt; 90",AND($AU38&gt;=2000),""),"")</f>
        <v/>
      </c>
      <c r="AW38" s="32" cm="1">
        <f t="array" aca="1" ref="AW38" ca="1">IFERROR(_xlfn.IFS(OR($M38="",$AM38=""),"",OR($C38="Offered",$C38="Joined"),($AM38-$M38)-$AT38),"")</f>
        <v>75</v>
      </c>
      <c r="AX38" s="32" cm="1">
        <f t="array" aca="1" ref="AX38" ca="1">IFERROR(_xlfn.IFS(OR($M38="",$AS38=""),"",$C38="Joined",($AS38-$M38)-$AT38),"")</f>
        <v>145</v>
      </c>
      <c r="AY38" s="30" t="str">
        <f>IFERROR(IF(COUNTIFS('Candidate Tracker'!$E:$E,'Positions Tracker'!$B38,'Candidate Tracker'!$C:$C,"Offer Drop")=0,"",COUNTIFS('Candidate Tracker'!$E:$E,'Positions Tracker'!$B38,'Candidate Tracker'!$C:$C,"Offer Drop")),"")</f>
        <v/>
      </c>
      <c r="AZ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 s="34" t="str">
        <f>IFERROR(IF(COUNTIFS('Candidate Tracker'!$E:$E,'Positions Tracker'!$B38,'Candidate Tracker'!$I:$I,"Female")=0,"",COUNTIFS('Candidate Tracker'!$E:$E,'Positions Tracker'!$B38,'Candidate Tracker'!$I:$I,"Female")),"")</f>
        <v/>
      </c>
      <c r="BB38" s="34" t="str">
        <f>IFERROR(IF(COUNTIFS('Candidate Tracker'!$E:$E,'Positions Tracker'!$B38,'Candidate Tracker'!$I:$I,"male")=0,"",COUNTIFS('Candidate Tracker'!$E:$E,'Positions Tracker'!$B38,'Candidate Tracker'!$I:$I,"male")),"")</f>
        <v/>
      </c>
      <c r="BC38" s="33" t="str">
        <f>IFERROR(IF(COUNTIFS('Candidate Tracker'!$E:$E,'Positions Tracker'!$B38,'Candidate Tracker'!$C:$C,"&lt;&gt;WIP",'Candidate Tracker'!$C:$C,"&lt;&gt;Hold",'Candidate Tracker'!$C:$C,"&lt;&gt;Cancelled",'Candidate Tracker'!$C:$C,"&lt;&gt;Closed")/COUNTIFS('Candidate Tracker'!$E:$E,'Positions Tracker'!$B38)=0,"",COUNTIFS('Candidate Tracker'!$E:$E,'Positions Tracker'!$B38,'Candidate Tracker'!$C:$C,"&lt;&gt;WIP",'Candidate Tracker'!$C:$C,"&lt;&gt;Hold",'Candidate Tracker'!$C:$C,"&lt;&gt;Cancelled",'Candidate Tracker'!$C:$C,"&lt;&gt;Closed")/COUNTIFS('Candidate Tracker'!$E:$E,'Positions Tracker'!$B38)),"")</f>
        <v/>
      </c>
      <c r="BD38" s="30" t="str">
        <f t="shared" si="8"/>
        <v>Nov-24</v>
      </c>
      <c r="BE38" s="30" t="str">
        <f t="shared" si="9"/>
        <v>Jan-25</v>
      </c>
      <c r="BF38" s="30" t="str">
        <f t="shared" si="10"/>
        <v>Feb-25</v>
      </c>
      <c r="BG38" s="30" t="str">
        <f t="shared" si="11"/>
        <v>Apr-25</v>
      </c>
    </row>
    <row r="39" spans="1:59">
      <c r="A39" s="30">
        <f t="shared" si="6"/>
        <v>38</v>
      </c>
      <c r="B39" s="30">
        <v>20246613</v>
      </c>
      <c r="C39" s="30" t="s">
        <v>51</v>
      </c>
      <c r="D39" s="30" t="s">
        <v>51</v>
      </c>
      <c r="E39" s="30" t="s">
        <v>127</v>
      </c>
      <c r="F39" s="30" t="s">
        <v>2959</v>
      </c>
      <c r="G39" s="30" t="s">
        <v>3</v>
      </c>
      <c r="H39" s="30" t="s">
        <v>3928</v>
      </c>
      <c r="I39" s="30" t="s">
        <v>337</v>
      </c>
      <c r="J39" s="30" t="s">
        <v>135</v>
      </c>
      <c r="K39" s="31">
        <v>45560</v>
      </c>
      <c r="L39" s="31">
        <v>45560</v>
      </c>
      <c r="M39" s="31">
        <v>45560</v>
      </c>
      <c r="N39" s="30" t="s">
        <v>3861</v>
      </c>
      <c r="O39" s="31"/>
      <c r="P39" s="31"/>
      <c r="Q39" s="31"/>
      <c r="R39" s="31"/>
      <c r="S39" s="31"/>
      <c r="T39" s="31"/>
      <c r="U39" s="30"/>
      <c r="V39" s="30"/>
      <c r="W39" s="30"/>
      <c r="X39" s="30" t="s">
        <v>63</v>
      </c>
      <c r="Y39" s="30" t="s">
        <v>93</v>
      </c>
      <c r="Z39" s="30" t="s">
        <v>93</v>
      </c>
      <c r="AA39" s="30" t="s">
        <v>51</v>
      </c>
      <c r="AB39" s="30"/>
      <c r="AC39" s="30"/>
      <c r="AD39" s="30"/>
      <c r="AE39" s="30" t="s">
        <v>542</v>
      </c>
      <c r="AF39" s="30" t="s">
        <v>3953</v>
      </c>
      <c r="AG39" s="30" t="s">
        <v>3954</v>
      </c>
      <c r="AH39" s="31" t="s">
        <v>55</v>
      </c>
      <c r="AI39" s="31">
        <v>45588</v>
      </c>
      <c r="AJ39" s="31">
        <v>45591</v>
      </c>
      <c r="AK39" s="30" t="s">
        <v>63</v>
      </c>
      <c r="AL39" s="30">
        <v>2275000</v>
      </c>
      <c r="AM39" s="31">
        <v>45605</v>
      </c>
      <c r="AN39" s="31">
        <v>45591</v>
      </c>
      <c r="AO39" s="31"/>
      <c r="AP39" s="31">
        <v>45605</v>
      </c>
      <c r="AQ39" s="31">
        <v>45711</v>
      </c>
      <c r="AR39" s="31">
        <v>45672</v>
      </c>
      <c r="AS39" s="31">
        <v>45677</v>
      </c>
      <c r="AT39" s="30">
        <f t="shared" ca="1" si="7"/>
        <v>0</v>
      </c>
      <c r="AU39" s="32" t="str">
        <f t="shared" ca="1" si="1"/>
        <v/>
      </c>
      <c r="AV39" s="32" t="str" cm="1">
        <f t="array" aca="1" ref="AV39" ca="1">IFERROR(_xlfn.IFS($AU39="","",$AU39&lt;=15,"0-15",AND($AU39&gt;=16,$AU39&lt;=30),"16-30",AND($AU39&gt;=31,$AU39&lt;=45),"31-45",AND($AU39&gt;=46,$AU39&lt;=60),"46-60",AND($AU39&gt;=61,$AU39&lt;=90),"61-90",AND($AU39&gt;=91),"&gt; 90",AND($AU39&gt;=2000),""),"")</f>
        <v/>
      </c>
      <c r="AW39" s="32" cm="1">
        <f t="array" aca="1" ref="AW39" ca="1">IFERROR(_xlfn.IFS(OR($M39="",$AM39=""),"",OR($C39="Offered",$C39="Joined"),($AM39-$M39)-$AT39),"")</f>
        <v>45</v>
      </c>
      <c r="AX39" s="32" cm="1">
        <f t="array" aca="1" ref="AX39" ca="1">IFERROR(_xlfn.IFS(OR($M39="",$AS39=""),"",$C39="Joined",($AS39-$M39)-$AT39),"")</f>
        <v>117</v>
      </c>
      <c r="AY39" s="30" t="str">
        <f>IFERROR(IF(COUNTIFS('Candidate Tracker'!$E:$E,'Positions Tracker'!$B39,'Candidate Tracker'!$C:$C,"Offer Drop")=0,"",COUNTIFS('Candidate Tracker'!$E:$E,'Positions Tracker'!$B39,'Candidate Tracker'!$C:$C,"Offer Drop")),"")</f>
        <v/>
      </c>
      <c r="AZ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 s="34" t="str">
        <f>IFERROR(IF(COUNTIFS('Candidate Tracker'!$E:$E,'Positions Tracker'!$B39,'Candidate Tracker'!$I:$I,"Female")=0,"",COUNTIFS('Candidate Tracker'!$E:$E,'Positions Tracker'!$B39,'Candidate Tracker'!$I:$I,"Female")),"")</f>
        <v/>
      </c>
      <c r="BB39" s="34">
        <f>IFERROR(IF(COUNTIFS('Candidate Tracker'!$E:$E,'Positions Tracker'!$B39,'Candidate Tracker'!$I:$I,"male")=0,"",COUNTIFS('Candidate Tracker'!$E:$E,'Positions Tracker'!$B39,'Candidate Tracker'!$I:$I,"male")),"")</f>
        <v>1</v>
      </c>
      <c r="BC39" s="33">
        <f>IFERROR(IF(COUNTIFS('Candidate Tracker'!$E:$E,'Positions Tracker'!$B39,'Candidate Tracker'!$C:$C,"&lt;&gt;WIP",'Candidate Tracker'!$C:$C,"&lt;&gt;Hold",'Candidate Tracker'!$C:$C,"&lt;&gt;Cancelled",'Candidate Tracker'!$C:$C,"&lt;&gt;Closed")/COUNTIFS('Candidate Tracker'!$E:$E,'Positions Tracker'!$B39)=0,"",COUNTIFS('Candidate Tracker'!$E:$E,'Positions Tracker'!$B39,'Candidate Tracker'!$C:$C,"&lt;&gt;WIP",'Candidate Tracker'!$C:$C,"&lt;&gt;Hold",'Candidate Tracker'!$C:$C,"&lt;&gt;Cancelled",'Candidate Tracker'!$C:$C,"&lt;&gt;Closed")/COUNTIFS('Candidate Tracker'!$E:$E,'Positions Tracker'!$B39)),"")</f>
        <v>1</v>
      </c>
      <c r="BD39" s="30" t="str">
        <f t="shared" si="8"/>
        <v>Sep-24</v>
      </c>
      <c r="BE39" s="30" t="str">
        <f t="shared" si="9"/>
        <v>Oct-24</v>
      </c>
      <c r="BF39" s="30" t="str">
        <f t="shared" si="10"/>
        <v>Nov-24</v>
      </c>
      <c r="BG39" s="30" t="str">
        <f t="shared" si="11"/>
        <v>Jan-25</v>
      </c>
    </row>
    <row r="40" spans="1:59">
      <c r="A40" s="30">
        <f t="shared" si="6"/>
        <v>39</v>
      </c>
      <c r="B40" s="30">
        <v>20245964</v>
      </c>
      <c r="C40" s="30" t="s">
        <v>51</v>
      </c>
      <c r="D40" s="30" t="s">
        <v>51</v>
      </c>
      <c r="E40" s="30" t="s">
        <v>618</v>
      </c>
      <c r="F40" s="30" t="s">
        <v>3955</v>
      </c>
      <c r="G40" s="30" t="s">
        <v>3</v>
      </c>
      <c r="H40" s="30" t="s">
        <v>3956</v>
      </c>
      <c r="I40" s="30" t="s">
        <v>619</v>
      </c>
      <c r="J40" s="30" t="s">
        <v>135</v>
      </c>
      <c r="K40" s="31">
        <v>45391</v>
      </c>
      <c r="L40" s="31">
        <v>45579</v>
      </c>
      <c r="M40" s="31">
        <v>45592</v>
      </c>
      <c r="N40" s="30" t="s">
        <v>3861</v>
      </c>
      <c r="O40" s="31"/>
      <c r="P40" s="31"/>
      <c r="Q40" s="31"/>
      <c r="R40" s="31"/>
      <c r="S40" s="31"/>
      <c r="T40" s="31"/>
      <c r="U40" s="30"/>
      <c r="V40" s="30"/>
      <c r="W40" s="30"/>
      <c r="X40" s="30" t="s">
        <v>63</v>
      </c>
      <c r="Y40" s="30" t="s">
        <v>93</v>
      </c>
      <c r="Z40" s="30" t="s">
        <v>93</v>
      </c>
      <c r="AA40" s="30" t="s">
        <v>51</v>
      </c>
      <c r="AB40" s="30"/>
      <c r="AC40" s="30"/>
      <c r="AD40" s="30"/>
      <c r="AE40" s="30" t="s">
        <v>616</v>
      </c>
      <c r="AF40" s="30" t="s">
        <v>3957</v>
      </c>
      <c r="AG40" s="30" t="s">
        <v>617</v>
      </c>
      <c r="AH40" s="31" t="s">
        <v>55</v>
      </c>
      <c r="AI40" s="31">
        <v>45611</v>
      </c>
      <c r="AJ40" s="31">
        <v>45613</v>
      </c>
      <c r="AK40" s="30" t="s">
        <v>63</v>
      </c>
      <c r="AL40" s="30">
        <v>1700000</v>
      </c>
      <c r="AM40" s="31">
        <v>45618</v>
      </c>
      <c r="AN40" s="31">
        <v>45613</v>
      </c>
      <c r="AO40" s="31"/>
      <c r="AP40" s="31">
        <v>45618</v>
      </c>
      <c r="AQ40" s="31">
        <v>45618</v>
      </c>
      <c r="AR40" s="31">
        <v>45680</v>
      </c>
      <c r="AS40" s="31">
        <v>45684</v>
      </c>
      <c r="AT40" s="30">
        <f t="shared" ca="1" si="7"/>
        <v>0</v>
      </c>
      <c r="AU40" s="32" t="str">
        <f t="shared" ca="1" si="1"/>
        <v/>
      </c>
      <c r="AV40" s="32" t="str" cm="1">
        <f t="array" aca="1" ref="AV40" ca="1">IFERROR(_xlfn.IFS($AU40="","",$AU40&lt;=15,"0-15",AND($AU40&gt;=16,$AU40&lt;=30),"16-30",AND($AU40&gt;=31,$AU40&lt;=45),"31-45",AND($AU40&gt;=46,$AU40&lt;=60),"46-60",AND($AU40&gt;=61,$AU40&lt;=90),"61-90",AND($AU40&gt;=91),"&gt; 90",AND($AU40&gt;=2000),""),"")</f>
        <v/>
      </c>
      <c r="AW40" s="32" cm="1">
        <f t="array" aca="1" ref="AW40" ca="1">IFERROR(_xlfn.IFS(OR($M40="",$AM40=""),"",OR($C40="Offered",$C40="Joined"),($AM40-$M40)-$AT40),"")</f>
        <v>26</v>
      </c>
      <c r="AX40" s="32" cm="1">
        <f t="array" aca="1" ref="AX40" ca="1">IFERROR(_xlfn.IFS(OR($M40="",$AS40=""),"",$C40="Joined",($AS40-$M40)-$AT40),"")</f>
        <v>92</v>
      </c>
      <c r="AY40" s="30" t="str">
        <f>IFERROR(IF(COUNTIFS('Candidate Tracker'!$E:$E,'Positions Tracker'!$B40,'Candidate Tracker'!$C:$C,"Offer Drop")=0,"",COUNTIFS('Candidate Tracker'!$E:$E,'Positions Tracker'!$B40,'Candidate Tracker'!$C:$C,"Offer Drop")),"")</f>
        <v/>
      </c>
      <c r="AZ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 s="34" t="str">
        <f>IFERROR(IF(COUNTIFS('Candidate Tracker'!$E:$E,'Positions Tracker'!$B40,'Candidate Tracker'!$I:$I,"Female")=0,"",COUNTIFS('Candidate Tracker'!$E:$E,'Positions Tracker'!$B40,'Candidate Tracker'!$I:$I,"Female")),"")</f>
        <v/>
      </c>
      <c r="BB40" s="34">
        <f>IFERROR(IF(COUNTIFS('Candidate Tracker'!$E:$E,'Positions Tracker'!$B40,'Candidate Tracker'!$I:$I,"male")=0,"",COUNTIFS('Candidate Tracker'!$E:$E,'Positions Tracker'!$B40,'Candidate Tracker'!$I:$I,"male")),"")</f>
        <v>1</v>
      </c>
      <c r="BC40" s="33">
        <f>IFERROR(IF(COUNTIFS('Candidate Tracker'!$E:$E,'Positions Tracker'!$B40,'Candidate Tracker'!$C:$C,"&lt;&gt;WIP",'Candidate Tracker'!$C:$C,"&lt;&gt;Hold",'Candidate Tracker'!$C:$C,"&lt;&gt;Cancelled",'Candidate Tracker'!$C:$C,"&lt;&gt;Closed")/COUNTIFS('Candidate Tracker'!$E:$E,'Positions Tracker'!$B40)=0,"",COUNTIFS('Candidate Tracker'!$E:$E,'Positions Tracker'!$B40,'Candidate Tracker'!$C:$C,"&lt;&gt;WIP",'Candidate Tracker'!$C:$C,"&lt;&gt;Hold",'Candidate Tracker'!$C:$C,"&lt;&gt;Cancelled",'Candidate Tracker'!$C:$C,"&lt;&gt;Closed")/COUNTIFS('Candidate Tracker'!$E:$E,'Positions Tracker'!$B40)),"")</f>
        <v>1</v>
      </c>
      <c r="BD40" s="30" t="str">
        <f t="shared" si="8"/>
        <v>Oct-24</v>
      </c>
      <c r="BE40" s="30" t="str">
        <f t="shared" si="9"/>
        <v>Nov-24</v>
      </c>
      <c r="BF40" s="30" t="str">
        <f t="shared" si="10"/>
        <v>Nov-24</v>
      </c>
      <c r="BG40" s="30" t="str">
        <f t="shared" si="11"/>
        <v>Jan-25</v>
      </c>
    </row>
    <row r="41" spans="1:59">
      <c r="A41" s="30">
        <f t="shared" si="6"/>
        <v>40</v>
      </c>
      <c r="B41" s="30">
        <v>20248963</v>
      </c>
      <c r="C41" s="30" t="s">
        <v>51</v>
      </c>
      <c r="D41" s="30" t="s">
        <v>51</v>
      </c>
      <c r="E41" s="30" t="s">
        <v>127</v>
      </c>
      <c r="F41" s="30" t="s">
        <v>2959</v>
      </c>
      <c r="G41" s="30" t="s">
        <v>3</v>
      </c>
      <c r="H41" s="30" t="s">
        <v>3928</v>
      </c>
      <c r="I41" s="30" t="s">
        <v>337</v>
      </c>
      <c r="J41" s="30" t="s">
        <v>135</v>
      </c>
      <c r="K41" s="31">
        <v>45560</v>
      </c>
      <c r="L41" s="31">
        <v>45603</v>
      </c>
      <c r="M41" s="31">
        <v>45603</v>
      </c>
      <c r="N41" s="30" t="s">
        <v>3855</v>
      </c>
      <c r="O41" s="31"/>
      <c r="P41" s="31"/>
      <c r="Q41" s="31"/>
      <c r="R41" s="31"/>
      <c r="S41" s="31"/>
      <c r="T41" s="31"/>
      <c r="U41" s="30"/>
      <c r="V41" s="30"/>
      <c r="W41" s="30"/>
      <c r="X41" s="30" t="s">
        <v>63</v>
      </c>
      <c r="Y41" s="30" t="s">
        <v>93</v>
      </c>
      <c r="Z41" s="30" t="s">
        <v>93</v>
      </c>
      <c r="AA41" s="30" t="s">
        <v>51</v>
      </c>
      <c r="AB41" s="30"/>
      <c r="AC41" s="30"/>
      <c r="AD41" s="30"/>
      <c r="AE41" s="30" t="s">
        <v>3958</v>
      </c>
      <c r="AF41" s="30" t="s">
        <v>3959</v>
      </c>
      <c r="AG41" s="30" t="s">
        <v>3960</v>
      </c>
      <c r="AH41" s="31" t="s">
        <v>101</v>
      </c>
      <c r="AI41" s="31">
        <v>45617</v>
      </c>
      <c r="AJ41" s="31">
        <v>45620</v>
      </c>
      <c r="AK41" s="30" t="s">
        <v>63</v>
      </c>
      <c r="AL41" s="30">
        <v>2200000</v>
      </c>
      <c r="AM41" s="31">
        <v>45631</v>
      </c>
      <c r="AN41" s="31">
        <v>45620</v>
      </c>
      <c r="AO41" s="31"/>
      <c r="AP41" s="31">
        <v>45631</v>
      </c>
      <c r="AQ41" s="31">
        <v>45631</v>
      </c>
      <c r="AR41" s="31">
        <v>45638</v>
      </c>
      <c r="AS41" s="31">
        <v>45642</v>
      </c>
      <c r="AT41" s="30">
        <f t="shared" ca="1" si="7"/>
        <v>0</v>
      </c>
      <c r="AU41" s="32" t="str">
        <f t="shared" ca="1" si="1"/>
        <v/>
      </c>
      <c r="AV41" s="32" t="str" cm="1">
        <f t="array" aca="1" ref="AV41" ca="1">IFERROR(_xlfn.IFS($AU41="","",$AU41&lt;=15,"0-15",AND($AU41&gt;=16,$AU41&lt;=30),"16-30",AND($AU41&gt;=31,$AU41&lt;=45),"31-45",AND($AU41&gt;=46,$AU41&lt;=60),"46-60",AND($AU41&gt;=61,$AU41&lt;=90),"61-90",AND($AU41&gt;=91),"&gt; 90",AND($AU41&gt;=2000),""),"")</f>
        <v/>
      </c>
      <c r="AW41" s="32" cm="1">
        <f t="array" aca="1" ref="AW41" ca="1">IFERROR(_xlfn.IFS(OR($M41="",$AM41=""),"",OR($C41="Offered",$C41="Joined"),($AM41-$M41)-$AT41),"")</f>
        <v>28</v>
      </c>
      <c r="AX41" s="32" cm="1">
        <f t="array" aca="1" ref="AX41" ca="1">IFERROR(_xlfn.IFS(OR($M41="",$AS41=""),"",$C41="Joined",($AS41-$M41)-$AT41),"")</f>
        <v>39</v>
      </c>
      <c r="AY41" s="30" t="str">
        <f>IFERROR(IF(COUNTIFS('Candidate Tracker'!$E:$E,'Positions Tracker'!$B41,'Candidate Tracker'!$C:$C,"Offer Drop")=0,"",COUNTIFS('Candidate Tracker'!$E:$E,'Positions Tracker'!$B41,'Candidate Tracker'!$C:$C,"Offer Drop")),"")</f>
        <v/>
      </c>
      <c r="AZ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 s="34">
        <f>IFERROR(IF(COUNTIFS('Candidate Tracker'!$E:$E,'Positions Tracker'!$B41,'Candidate Tracker'!$I:$I,"Female")=0,"",COUNTIFS('Candidate Tracker'!$E:$E,'Positions Tracker'!$B41,'Candidate Tracker'!$I:$I,"Female")),"")</f>
        <v>1</v>
      </c>
      <c r="BB41" s="34" t="str">
        <f>IFERROR(IF(COUNTIFS('Candidate Tracker'!$E:$E,'Positions Tracker'!$B41,'Candidate Tracker'!$I:$I,"male")=0,"",COUNTIFS('Candidate Tracker'!$E:$E,'Positions Tracker'!$B41,'Candidate Tracker'!$I:$I,"male")),"")</f>
        <v/>
      </c>
      <c r="BC41" s="33">
        <f>IFERROR(IF(COUNTIFS('Candidate Tracker'!$E:$E,'Positions Tracker'!$B41,'Candidate Tracker'!$C:$C,"&lt;&gt;WIP",'Candidate Tracker'!$C:$C,"&lt;&gt;Hold",'Candidate Tracker'!$C:$C,"&lt;&gt;Cancelled",'Candidate Tracker'!$C:$C,"&lt;&gt;Closed")/COUNTIFS('Candidate Tracker'!$E:$E,'Positions Tracker'!$B41)=0,"",COUNTIFS('Candidate Tracker'!$E:$E,'Positions Tracker'!$B41,'Candidate Tracker'!$C:$C,"&lt;&gt;WIP",'Candidate Tracker'!$C:$C,"&lt;&gt;Hold",'Candidate Tracker'!$C:$C,"&lt;&gt;Cancelled",'Candidate Tracker'!$C:$C,"&lt;&gt;Closed")/COUNTIFS('Candidate Tracker'!$E:$E,'Positions Tracker'!$B41)),"")</f>
        <v>1</v>
      </c>
      <c r="BD41" s="30" t="str">
        <f t="shared" si="8"/>
        <v>Nov-24</v>
      </c>
      <c r="BE41" s="30" t="str">
        <f t="shared" si="9"/>
        <v>Nov-24</v>
      </c>
      <c r="BF41" s="30" t="str">
        <f t="shared" si="10"/>
        <v>Dec-24</v>
      </c>
      <c r="BG41" s="30" t="str">
        <f t="shared" si="11"/>
        <v>Dec-24</v>
      </c>
    </row>
    <row r="42" spans="1:59">
      <c r="A42" s="30">
        <f t="shared" si="6"/>
        <v>41</v>
      </c>
      <c r="B42" s="30">
        <v>20252855</v>
      </c>
      <c r="C42" s="30" t="s">
        <v>1044</v>
      </c>
      <c r="D42" s="30" t="s">
        <v>320</v>
      </c>
      <c r="E42" s="30" t="s">
        <v>670</v>
      </c>
      <c r="F42" s="30" t="s">
        <v>3910</v>
      </c>
      <c r="G42" s="30" t="s">
        <v>3</v>
      </c>
      <c r="H42" s="30" t="s">
        <v>3933</v>
      </c>
      <c r="I42" s="30" t="s">
        <v>116</v>
      </c>
      <c r="J42" s="30" t="s">
        <v>135</v>
      </c>
      <c r="K42" s="31">
        <v>45625</v>
      </c>
      <c r="L42" s="31">
        <v>45625</v>
      </c>
      <c r="M42" s="31">
        <v>45625</v>
      </c>
      <c r="N42" s="30" t="s">
        <v>3855</v>
      </c>
      <c r="O42" s="31"/>
      <c r="P42" s="31"/>
      <c r="Q42" s="31"/>
      <c r="R42" s="31"/>
      <c r="S42" s="31"/>
      <c r="T42" s="31"/>
      <c r="U42" s="30"/>
      <c r="V42" s="30"/>
      <c r="W42" s="30"/>
      <c r="X42" s="30" t="s">
        <v>63</v>
      </c>
      <c r="Y42" s="30" t="s">
        <v>93</v>
      </c>
      <c r="Z42" s="30" t="s">
        <v>93</v>
      </c>
      <c r="AA42" s="30" t="s">
        <v>3961</v>
      </c>
      <c r="AB42" s="30"/>
      <c r="AC42" s="30"/>
      <c r="AD42" s="30"/>
      <c r="AE42" s="30" t="s">
        <v>3962</v>
      </c>
      <c r="AF42" s="30" t="s">
        <v>3963</v>
      </c>
      <c r="AG42" s="30" t="s">
        <v>1520</v>
      </c>
      <c r="AH42" s="31" t="s">
        <v>55</v>
      </c>
      <c r="AI42" s="31">
        <v>45705</v>
      </c>
      <c r="AJ42" s="31">
        <v>45709</v>
      </c>
      <c r="AK42" s="30" t="s">
        <v>63</v>
      </c>
      <c r="AL42" s="30">
        <v>1600000</v>
      </c>
      <c r="AM42" s="31">
        <v>45709</v>
      </c>
      <c r="AN42" s="31">
        <v>45709</v>
      </c>
      <c r="AO42" s="31">
        <v>45733</v>
      </c>
      <c r="AP42" s="31">
        <v>45711</v>
      </c>
      <c r="AQ42" s="31">
        <v>45711</v>
      </c>
      <c r="AR42" s="31"/>
      <c r="AS42" s="31">
        <v>45740</v>
      </c>
      <c r="AT42" s="30">
        <f t="shared" ca="1" si="7"/>
        <v>0</v>
      </c>
      <c r="AU42" s="32" t="str">
        <f t="shared" ca="1" si="1"/>
        <v/>
      </c>
      <c r="AV42" s="32" t="str" cm="1">
        <f t="array" aca="1" ref="AV42" ca="1">IFERROR(_xlfn.IFS($AU42="","",$AU42&lt;=15,"0-15",AND($AU42&gt;=16,$AU42&lt;=30),"16-30",AND($AU42&gt;=31,$AU42&lt;=45),"31-45",AND($AU42&gt;=46,$AU42&lt;=60),"46-60",AND($AU42&gt;=61,$AU42&lt;=90),"61-90",AND($AU42&gt;=91),"&gt; 90",AND($AU42&gt;=2000),""),"")</f>
        <v/>
      </c>
      <c r="AW42" s="32" t="str" cm="1">
        <f t="array" aca="1" ref="AW42" ca="1">IFERROR(_xlfn.IFS(OR($M42="",$AM42=""),"",OR($C42="Offered",$C42="Joined"),($AM42-$M42)-$AT42),"")</f>
        <v/>
      </c>
      <c r="AX42" s="32" t="str" cm="1">
        <f t="array" aca="1" ref="AX42" ca="1">IFERROR(_xlfn.IFS(OR($M42="",$AS42=""),"",$C42="Joined",($AS42-$M42)-$AT42),"")</f>
        <v/>
      </c>
      <c r="AY42" s="30">
        <f>IFERROR(IF(COUNTIFS('Candidate Tracker'!$E:$E,'Positions Tracker'!$B42,'Candidate Tracker'!$C:$C,"Offer Drop")=0,"",COUNTIFS('Candidate Tracker'!$E:$E,'Positions Tracker'!$B42,'Candidate Tracker'!$C:$C,"Offer Drop")),"")</f>
        <v>1</v>
      </c>
      <c r="AZ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 s="34">
        <f>IFERROR(IF(COUNTIFS('Candidate Tracker'!$E:$E,'Positions Tracker'!$B42,'Candidate Tracker'!$I:$I,"Female")=0,"",COUNTIFS('Candidate Tracker'!$E:$E,'Positions Tracker'!$B42,'Candidate Tracker'!$I:$I,"Female")),"")</f>
        <v>5</v>
      </c>
      <c r="BB42" s="34">
        <f>IFERROR(IF(COUNTIFS('Candidate Tracker'!$E:$E,'Positions Tracker'!$B42,'Candidate Tracker'!$I:$I,"male")=0,"",COUNTIFS('Candidate Tracker'!$E:$E,'Positions Tracker'!$B42,'Candidate Tracker'!$I:$I,"male")),"")</f>
        <v>24</v>
      </c>
      <c r="BC42" s="33">
        <f>IFERROR(IF(COUNTIFS('Candidate Tracker'!$E:$E,'Positions Tracker'!$B42,'Candidate Tracker'!$C:$C,"&lt;&gt;WIP",'Candidate Tracker'!$C:$C,"&lt;&gt;Hold",'Candidate Tracker'!$C:$C,"&lt;&gt;Cancelled",'Candidate Tracker'!$C:$C,"&lt;&gt;Closed")/COUNTIFS('Candidate Tracker'!$E:$E,'Positions Tracker'!$B42)=0,"",COUNTIFS('Candidate Tracker'!$E:$E,'Positions Tracker'!$B42,'Candidate Tracker'!$C:$C,"&lt;&gt;WIP",'Candidate Tracker'!$C:$C,"&lt;&gt;Hold",'Candidate Tracker'!$C:$C,"&lt;&gt;Cancelled",'Candidate Tracker'!$C:$C,"&lt;&gt;Closed")/COUNTIFS('Candidate Tracker'!$E:$E,'Positions Tracker'!$B42)),"")</f>
        <v>3.4482758620689655E-2</v>
      </c>
      <c r="BD42" s="30" t="str">
        <f t="shared" si="8"/>
        <v>Nov-24</v>
      </c>
      <c r="BE42" s="30" t="str">
        <f t="shared" si="9"/>
        <v>Feb-25</v>
      </c>
      <c r="BF42" s="30" t="str">
        <f t="shared" si="10"/>
        <v>Feb-25</v>
      </c>
      <c r="BG42" s="30" t="str">
        <f t="shared" si="11"/>
        <v>Mar-25</v>
      </c>
    </row>
    <row r="43" spans="1:59">
      <c r="A43" s="30">
        <f t="shared" si="6"/>
        <v>42</v>
      </c>
      <c r="B43" s="30">
        <v>20250681</v>
      </c>
      <c r="C43" s="30" t="s">
        <v>3847</v>
      </c>
      <c r="D43" s="30" t="s">
        <v>1920</v>
      </c>
      <c r="E43" s="30" t="s">
        <v>670</v>
      </c>
      <c r="F43" s="30" t="s">
        <v>3910</v>
      </c>
      <c r="G43" s="30" t="s">
        <v>3</v>
      </c>
      <c r="H43" s="30" t="s">
        <v>3933</v>
      </c>
      <c r="I43" s="30" t="s">
        <v>116</v>
      </c>
      <c r="J43" s="30" t="s">
        <v>135</v>
      </c>
      <c r="K43" s="31">
        <v>45625</v>
      </c>
      <c r="L43" s="31">
        <v>45625</v>
      </c>
      <c r="M43" s="31">
        <v>45625</v>
      </c>
      <c r="N43" s="30"/>
      <c r="O43" s="31"/>
      <c r="P43" s="31"/>
      <c r="Q43" s="31"/>
      <c r="R43" s="31"/>
      <c r="S43" s="31"/>
      <c r="T43" s="31"/>
      <c r="U43" s="30"/>
      <c r="V43" s="30"/>
      <c r="W43" s="30"/>
      <c r="X43" s="30" t="s">
        <v>63</v>
      </c>
      <c r="Y43" s="30" t="s">
        <v>93</v>
      </c>
      <c r="Z43" s="30" t="s">
        <v>93</v>
      </c>
      <c r="AA43" s="30" t="s">
        <v>3934</v>
      </c>
      <c r="AB43" s="30"/>
      <c r="AC43" s="30"/>
      <c r="AD43" s="30"/>
      <c r="AE43" s="30"/>
      <c r="AF43" s="30"/>
      <c r="AG43" s="30"/>
      <c r="AH43" s="31"/>
      <c r="AI43" s="31"/>
      <c r="AJ43" s="31"/>
      <c r="AK43" s="30"/>
      <c r="AL43" s="30"/>
      <c r="AM43" s="31"/>
      <c r="AN43" s="31"/>
      <c r="AO43" s="31"/>
      <c r="AP43" s="31"/>
      <c r="AQ43" s="31"/>
      <c r="AR43" s="31"/>
      <c r="AS43" s="31"/>
      <c r="AT43" s="30">
        <f t="shared" ca="1" si="7"/>
        <v>0</v>
      </c>
      <c r="AU43" s="32" t="str">
        <f t="shared" ca="1" si="1"/>
        <v/>
      </c>
      <c r="AV43" s="32" t="str" cm="1">
        <f t="array" aca="1" ref="AV43" ca="1">IFERROR(_xlfn.IFS($AU43="","",$AU43&lt;=15,"0-15",AND($AU43&gt;=16,$AU43&lt;=30),"16-30",AND($AU43&gt;=31,$AU43&lt;=45),"31-45",AND($AU43&gt;=46,$AU43&lt;=60),"46-60",AND($AU43&gt;=61,$AU43&lt;=90),"61-90",AND($AU43&gt;=91),"&gt; 90",AND($AU43&gt;=2000),""),"")</f>
        <v/>
      </c>
      <c r="AW43" s="32" t="str" cm="1">
        <f t="array" aca="1" ref="AW43" ca="1">IFERROR(_xlfn.IFS(OR($M43="",$AM43=""),"",OR($C43="Offered",$C43="Joined"),($AM43-$M43)-$AT43),"")</f>
        <v/>
      </c>
      <c r="AX43" s="32" t="str" cm="1">
        <f t="array" aca="1" ref="AX43" ca="1">IFERROR(_xlfn.IFS(OR($M43="",$AS43=""),"",$C43="Joined",($AS43-$M43)-$AT43),"")</f>
        <v/>
      </c>
      <c r="AY43" s="30" t="str">
        <f>IFERROR(IF(COUNTIFS('Candidate Tracker'!$E:$E,'Positions Tracker'!$B43,'Candidate Tracker'!$C:$C,"Offer Drop")=0,"",COUNTIFS('Candidate Tracker'!$E:$E,'Positions Tracker'!$B43,'Candidate Tracker'!$C:$C,"Offer Drop")),"")</f>
        <v/>
      </c>
      <c r="AZ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 s="34" t="str">
        <f>IFERROR(IF(COUNTIFS('Candidate Tracker'!$E:$E,'Positions Tracker'!$B43,'Candidate Tracker'!$I:$I,"Female")=0,"",COUNTIFS('Candidate Tracker'!$E:$E,'Positions Tracker'!$B43,'Candidate Tracker'!$I:$I,"Female")),"")</f>
        <v/>
      </c>
      <c r="BB43" s="34" t="str">
        <f>IFERROR(IF(COUNTIFS('Candidate Tracker'!$E:$E,'Positions Tracker'!$B43,'Candidate Tracker'!$I:$I,"male")=0,"",COUNTIFS('Candidate Tracker'!$E:$E,'Positions Tracker'!$B43,'Candidate Tracker'!$I:$I,"male")),"")</f>
        <v/>
      </c>
      <c r="BC43" s="33" t="str">
        <f>IFERROR(IF(COUNTIFS('Candidate Tracker'!$E:$E,'Positions Tracker'!$B43,'Candidate Tracker'!$C:$C,"&lt;&gt;WIP",'Candidate Tracker'!$C:$C,"&lt;&gt;Hold",'Candidate Tracker'!$C:$C,"&lt;&gt;Cancelled",'Candidate Tracker'!$C:$C,"&lt;&gt;Closed")/COUNTIFS('Candidate Tracker'!$E:$E,'Positions Tracker'!$B43)=0,"",COUNTIFS('Candidate Tracker'!$E:$E,'Positions Tracker'!$B43,'Candidate Tracker'!$C:$C,"&lt;&gt;WIP",'Candidate Tracker'!$C:$C,"&lt;&gt;Hold",'Candidate Tracker'!$C:$C,"&lt;&gt;Cancelled",'Candidate Tracker'!$C:$C,"&lt;&gt;Closed")/COUNTIFS('Candidate Tracker'!$E:$E,'Positions Tracker'!$B43)),"")</f>
        <v/>
      </c>
      <c r="BD43" s="30" t="str">
        <f t="shared" si="8"/>
        <v>Nov-24</v>
      </c>
      <c r="BE43" s="30" t="str">
        <f t="shared" si="9"/>
        <v/>
      </c>
      <c r="BF43" s="30" t="str">
        <f t="shared" si="10"/>
        <v/>
      </c>
      <c r="BG43" s="30" t="str">
        <f t="shared" si="11"/>
        <v/>
      </c>
    </row>
    <row r="44" spans="1:59">
      <c r="A44" s="30">
        <f t="shared" si="6"/>
        <v>43</v>
      </c>
      <c r="B44" s="30">
        <v>20249490</v>
      </c>
      <c r="C44" s="30" t="s">
        <v>3847</v>
      </c>
      <c r="D44" s="30" t="s">
        <v>1920</v>
      </c>
      <c r="E44" s="30" t="s">
        <v>670</v>
      </c>
      <c r="F44" s="30" t="s">
        <v>3910</v>
      </c>
      <c r="G44" s="30" t="s">
        <v>3</v>
      </c>
      <c r="H44" s="30" t="s">
        <v>3933</v>
      </c>
      <c r="I44" s="30" t="s">
        <v>116</v>
      </c>
      <c r="J44" s="30" t="s">
        <v>135</v>
      </c>
      <c r="K44" s="31">
        <v>45625</v>
      </c>
      <c r="L44" s="31">
        <v>45625</v>
      </c>
      <c r="M44" s="31">
        <v>45625</v>
      </c>
      <c r="N44" s="30"/>
      <c r="O44" s="31"/>
      <c r="P44" s="31"/>
      <c r="Q44" s="31"/>
      <c r="R44" s="31"/>
      <c r="S44" s="31"/>
      <c r="T44" s="31"/>
      <c r="U44" s="30"/>
      <c r="V44" s="30"/>
      <c r="W44" s="30"/>
      <c r="X44" s="30" t="s">
        <v>63</v>
      </c>
      <c r="Y44" s="30" t="s">
        <v>93</v>
      </c>
      <c r="Z44" s="30" t="s">
        <v>93</v>
      </c>
      <c r="AA44" s="30" t="s">
        <v>3934</v>
      </c>
      <c r="AB44" s="30"/>
      <c r="AC44" s="30"/>
      <c r="AD44" s="30"/>
      <c r="AE44" s="30"/>
      <c r="AF44" s="30"/>
      <c r="AG44" s="30"/>
      <c r="AH44" s="31"/>
      <c r="AI44" s="31"/>
      <c r="AJ44" s="31"/>
      <c r="AK44" s="30"/>
      <c r="AL44" s="30"/>
      <c r="AM44" s="31"/>
      <c r="AN44" s="31"/>
      <c r="AO44" s="31"/>
      <c r="AP44" s="31"/>
      <c r="AQ44" s="31"/>
      <c r="AR44" s="31"/>
      <c r="AS44" s="31"/>
      <c r="AT44" s="30">
        <f t="shared" ca="1" si="7"/>
        <v>0</v>
      </c>
      <c r="AU44" s="32" t="str">
        <f t="shared" ca="1" si="1"/>
        <v/>
      </c>
      <c r="AV44" s="32" t="str" cm="1">
        <f t="array" aca="1" ref="AV44" ca="1">IFERROR(_xlfn.IFS($AU44="","",$AU44&lt;=15,"0-15",AND($AU44&gt;=16,$AU44&lt;=30),"16-30",AND($AU44&gt;=31,$AU44&lt;=45),"31-45",AND($AU44&gt;=46,$AU44&lt;=60),"46-60",AND($AU44&gt;=61,$AU44&lt;=90),"61-90",AND($AU44&gt;=91),"&gt; 90",AND($AU44&gt;=2000),""),"")</f>
        <v/>
      </c>
      <c r="AW44" s="32" t="str" cm="1">
        <f t="array" aca="1" ref="AW44" ca="1">IFERROR(_xlfn.IFS(OR($M44="",$AM44=""),"",OR($C44="Offered",$C44="Joined"),($AM44-$M44)-$AT44),"")</f>
        <v/>
      </c>
      <c r="AX44" s="32" t="str" cm="1">
        <f t="array" aca="1" ref="AX44" ca="1">IFERROR(_xlfn.IFS(OR($M44="",$AS44=""),"",$C44="Joined",($AS44-$M44)-$AT44),"")</f>
        <v/>
      </c>
      <c r="AY44" s="30" t="str">
        <f>IFERROR(IF(COUNTIFS('Candidate Tracker'!$E:$E,'Positions Tracker'!$B44,'Candidate Tracker'!$C:$C,"Offer Drop")=0,"",COUNTIFS('Candidate Tracker'!$E:$E,'Positions Tracker'!$B44,'Candidate Tracker'!$C:$C,"Offer Drop")),"")</f>
        <v/>
      </c>
      <c r="AZ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 s="34" t="str">
        <f>IFERROR(IF(COUNTIFS('Candidate Tracker'!$E:$E,'Positions Tracker'!$B44,'Candidate Tracker'!$I:$I,"Female")=0,"",COUNTIFS('Candidate Tracker'!$E:$E,'Positions Tracker'!$B44,'Candidate Tracker'!$I:$I,"Female")),"")</f>
        <v/>
      </c>
      <c r="BB44" s="34" t="str">
        <f>IFERROR(IF(COUNTIFS('Candidate Tracker'!$E:$E,'Positions Tracker'!$B44,'Candidate Tracker'!$I:$I,"male")=0,"",COUNTIFS('Candidate Tracker'!$E:$E,'Positions Tracker'!$B44,'Candidate Tracker'!$I:$I,"male")),"")</f>
        <v/>
      </c>
      <c r="BC44" s="33" t="str">
        <f>IFERROR(IF(COUNTIFS('Candidate Tracker'!$E:$E,'Positions Tracker'!$B44,'Candidate Tracker'!$C:$C,"&lt;&gt;WIP",'Candidate Tracker'!$C:$C,"&lt;&gt;Hold",'Candidate Tracker'!$C:$C,"&lt;&gt;Cancelled",'Candidate Tracker'!$C:$C,"&lt;&gt;Closed")/COUNTIFS('Candidate Tracker'!$E:$E,'Positions Tracker'!$B44)=0,"",COUNTIFS('Candidate Tracker'!$E:$E,'Positions Tracker'!$B44,'Candidate Tracker'!$C:$C,"&lt;&gt;WIP",'Candidate Tracker'!$C:$C,"&lt;&gt;Hold",'Candidate Tracker'!$C:$C,"&lt;&gt;Cancelled",'Candidate Tracker'!$C:$C,"&lt;&gt;Closed")/COUNTIFS('Candidate Tracker'!$E:$E,'Positions Tracker'!$B44)),"")</f>
        <v/>
      </c>
      <c r="BD44" s="30" t="str">
        <f t="shared" si="8"/>
        <v>Nov-24</v>
      </c>
      <c r="BE44" s="30" t="str">
        <f t="shared" si="9"/>
        <v/>
      </c>
      <c r="BF44" s="30" t="str">
        <f t="shared" si="10"/>
        <v/>
      </c>
      <c r="BG44" s="30" t="str">
        <f t="shared" si="11"/>
        <v/>
      </c>
    </row>
    <row r="45" spans="1:59">
      <c r="A45" s="30">
        <f t="shared" si="6"/>
        <v>44</v>
      </c>
      <c r="B45" s="30">
        <v>20249317</v>
      </c>
      <c r="C45" s="30" t="s">
        <v>51</v>
      </c>
      <c r="D45" s="30" t="s">
        <v>51</v>
      </c>
      <c r="E45" s="30" t="s">
        <v>3964</v>
      </c>
      <c r="F45" s="30" t="s">
        <v>3913</v>
      </c>
      <c r="G45" s="30" t="s">
        <v>3</v>
      </c>
      <c r="H45" s="30" t="s">
        <v>3914</v>
      </c>
      <c r="I45" s="30" t="s">
        <v>3915</v>
      </c>
      <c r="J45" s="30" t="s">
        <v>135</v>
      </c>
      <c r="K45" s="31">
        <v>45617</v>
      </c>
      <c r="L45" s="31">
        <v>45617</v>
      </c>
      <c r="M45" s="31">
        <v>45647</v>
      </c>
      <c r="N45" s="30" t="s">
        <v>3926</v>
      </c>
      <c r="O45" s="31"/>
      <c r="P45" s="31"/>
      <c r="Q45" s="31"/>
      <c r="R45" s="31"/>
      <c r="S45" s="31"/>
      <c r="T45" s="31"/>
      <c r="U45" s="30"/>
      <c r="V45" s="30"/>
      <c r="W45" s="30"/>
      <c r="X45" s="30" t="s">
        <v>63</v>
      </c>
      <c r="Y45" s="30" t="s">
        <v>2679</v>
      </c>
      <c r="Z45" s="30" t="s">
        <v>2679</v>
      </c>
      <c r="AA45" s="30" t="s">
        <v>3965</v>
      </c>
      <c r="AB45" s="30"/>
      <c r="AC45" s="30"/>
      <c r="AD45" s="30"/>
      <c r="AE45" s="30" t="s">
        <v>3966</v>
      </c>
      <c r="AF45" s="30">
        <v>9291588656</v>
      </c>
      <c r="AG45" s="30" t="s">
        <v>843</v>
      </c>
      <c r="AH45" s="31" t="s">
        <v>55</v>
      </c>
      <c r="AI45" s="31">
        <v>45716</v>
      </c>
      <c r="AJ45" s="31">
        <v>45716</v>
      </c>
      <c r="AK45" s="30" t="s">
        <v>63</v>
      </c>
      <c r="AL45" s="30">
        <v>4550000</v>
      </c>
      <c r="AM45" s="31">
        <v>45729</v>
      </c>
      <c r="AN45" s="31">
        <v>45733</v>
      </c>
      <c r="AO45" s="31"/>
      <c r="AP45" s="31">
        <v>45734</v>
      </c>
      <c r="AQ45" s="31" t="s">
        <v>3967</v>
      </c>
      <c r="AR45" s="31"/>
      <c r="AS45" s="31">
        <v>45859</v>
      </c>
      <c r="AT45" s="30">
        <f t="shared" ca="1" si="7"/>
        <v>0</v>
      </c>
      <c r="AU45" s="32" t="str">
        <f t="shared" ca="1" si="1"/>
        <v/>
      </c>
      <c r="AV45" s="32" t="str" cm="1">
        <f t="array" aca="1" ref="AV45" ca="1">IFERROR(_xlfn.IFS($AU45="","",$AU45&lt;=15,"0-15",AND($AU45&gt;=16,$AU45&lt;=30),"16-30",AND($AU45&gt;=31,$AU45&lt;=45),"31-45",AND($AU45&gt;=46,$AU45&lt;=60),"46-60",AND($AU45&gt;=61,$AU45&lt;=90),"61-90",AND($AU45&gt;=91),"&gt; 90",AND($AU45&gt;=2000),""),"")</f>
        <v/>
      </c>
      <c r="AW45" s="32" cm="1">
        <f t="array" aca="1" ref="AW45" ca="1">IFERROR(_xlfn.IFS(OR($M45="",$AM45=""),"",OR($C45="Offered",$C45="Joined"),($AM45-$M45)-$AT45),"")</f>
        <v>82</v>
      </c>
      <c r="AX45" s="32" cm="1">
        <f t="array" aca="1" ref="AX45" ca="1">IFERROR(_xlfn.IFS(OR($M45="",$AS45=""),"",$C45="Joined",($AS45-$M45)-$AT45),"")</f>
        <v>212</v>
      </c>
      <c r="AY45" s="30" t="str">
        <f>IFERROR(IF(COUNTIFS('Candidate Tracker'!$E:$E,'Positions Tracker'!$B45,'Candidate Tracker'!$C:$C,"Offer Drop")=0,"",COUNTIFS('Candidate Tracker'!$E:$E,'Positions Tracker'!$B45,'Candidate Tracker'!$C:$C,"Offer Drop")),"")</f>
        <v/>
      </c>
      <c r="AZ4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 s="34" t="str">
        <f>IFERROR(IF(COUNTIFS('Candidate Tracker'!$E:$E,'Positions Tracker'!$B45,'Candidate Tracker'!$I:$I,"Female")=0,"",COUNTIFS('Candidate Tracker'!$E:$E,'Positions Tracker'!$B45,'Candidate Tracker'!$I:$I,"Female")),"")</f>
        <v/>
      </c>
      <c r="BB45" s="34">
        <f>IFERROR(IF(COUNTIFS('Candidate Tracker'!$E:$E,'Positions Tracker'!$B45,'Candidate Tracker'!$I:$I,"male")=0,"",COUNTIFS('Candidate Tracker'!$E:$E,'Positions Tracker'!$B45,'Candidate Tracker'!$I:$I,"male")),"")</f>
        <v>16</v>
      </c>
      <c r="BC45" s="33">
        <f>IFERROR(IF(COUNTIFS('Candidate Tracker'!$E:$E,'Positions Tracker'!$B45,'Candidate Tracker'!$C:$C,"&lt;&gt;WIP",'Candidate Tracker'!$C:$C,"&lt;&gt;Hold",'Candidate Tracker'!$C:$C,"&lt;&gt;Cancelled",'Candidate Tracker'!$C:$C,"&lt;&gt;Closed")/COUNTIFS('Candidate Tracker'!$E:$E,'Positions Tracker'!$B45)=0,"",COUNTIFS('Candidate Tracker'!$E:$E,'Positions Tracker'!$B45,'Candidate Tracker'!$C:$C,"&lt;&gt;WIP",'Candidate Tracker'!$C:$C,"&lt;&gt;Hold",'Candidate Tracker'!$C:$C,"&lt;&gt;Cancelled",'Candidate Tracker'!$C:$C,"&lt;&gt;Closed")/COUNTIFS('Candidate Tracker'!$E:$E,'Positions Tracker'!$B45)),"")</f>
        <v>6.25E-2</v>
      </c>
      <c r="BD45" s="30" t="str">
        <f t="shared" si="8"/>
        <v>Dec-24</v>
      </c>
      <c r="BE45" s="30" t="str">
        <f t="shared" si="9"/>
        <v>Feb-25</v>
      </c>
      <c r="BF45" s="30" t="str">
        <f t="shared" si="10"/>
        <v>Mar-25</v>
      </c>
      <c r="BG45" s="30" t="str">
        <f t="shared" si="11"/>
        <v>Jul-25</v>
      </c>
    </row>
    <row r="46" spans="1:59">
      <c r="A46" s="30">
        <f t="shared" si="6"/>
        <v>45</v>
      </c>
      <c r="B46" s="30">
        <v>20247894</v>
      </c>
      <c r="C46" s="30" t="s">
        <v>51</v>
      </c>
      <c r="D46" s="30" t="s">
        <v>51</v>
      </c>
      <c r="E46" s="30" t="s">
        <v>701</v>
      </c>
      <c r="F46" s="30" t="s">
        <v>3968</v>
      </c>
      <c r="G46" s="30" t="s">
        <v>3</v>
      </c>
      <c r="H46" s="30" t="s">
        <v>3969</v>
      </c>
      <c r="I46" s="30" t="s">
        <v>702</v>
      </c>
      <c r="J46" s="30" t="s">
        <v>135</v>
      </c>
      <c r="K46" s="31">
        <v>45639</v>
      </c>
      <c r="L46" s="31">
        <v>45639</v>
      </c>
      <c r="M46" s="31">
        <v>45639</v>
      </c>
      <c r="N46" s="30" t="s">
        <v>3861</v>
      </c>
      <c r="O46" s="31"/>
      <c r="P46" s="31"/>
      <c r="Q46" s="31"/>
      <c r="R46" s="31"/>
      <c r="S46" s="31"/>
      <c r="T46" s="31"/>
      <c r="U46" s="30"/>
      <c r="V46" s="30"/>
      <c r="W46" s="30"/>
      <c r="X46" s="30" t="s">
        <v>63</v>
      </c>
      <c r="Y46" s="30" t="s">
        <v>93</v>
      </c>
      <c r="Z46" s="30" t="s">
        <v>93</v>
      </c>
      <c r="AA46" s="30" t="s">
        <v>3970</v>
      </c>
      <c r="AB46" s="30"/>
      <c r="AC46" s="30"/>
      <c r="AD46" s="30"/>
      <c r="AE46" s="30" t="s">
        <v>3971</v>
      </c>
      <c r="AF46" s="30" t="s">
        <v>3972</v>
      </c>
      <c r="AG46" s="30" t="s">
        <v>3973</v>
      </c>
      <c r="AH46" s="31" t="s">
        <v>55</v>
      </c>
      <c r="AI46" s="31">
        <v>45684</v>
      </c>
      <c r="AJ46" s="31">
        <v>45689</v>
      </c>
      <c r="AK46" s="30" t="s">
        <v>63</v>
      </c>
      <c r="AL46" s="30" t="s">
        <v>3974</v>
      </c>
      <c r="AM46" s="31">
        <v>45689</v>
      </c>
      <c r="AN46" s="31">
        <v>45689</v>
      </c>
      <c r="AO46" s="31"/>
      <c r="AP46" s="31">
        <v>45693</v>
      </c>
      <c r="AQ46" s="31">
        <v>45693</v>
      </c>
      <c r="AR46" s="31"/>
      <c r="AS46" s="31">
        <v>45768</v>
      </c>
      <c r="AT46" s="30">
        <f t="shared" ca="1" si="7"/>
        <v>0</v>
      </c>
      <c r="AU46" s="32" t="str">
        <f t="shared" ca="1" si="1"/>
        <v/>
      </c>
      <c r="AV46" s="32" t="str" cm="1">
        <f t="array" aca="1" ref="AV46" ca="1">IFERROR(_xlfn.IFS($AU46="","",$AU46&lt;=15,"0-15",AND($AU46&gt;=16,$AU46&lt;=30),"16-30",AND($AU46&gt;=31,$AU46&lt;=45),"31-45",AND($AU46&gt;=46,$AU46&lt;=60),"46-60",AND($AU46&gt;=61,$AU46&lt;=90),"61-90",AND($AU46&gt;=91),"&gt; 90",AND($AU46&gt;=2000),""),"")</f>
        <v/>
      </c>
      <c r="AW46" s="32" cm="1">
        <f t="array" aca="1" ref="AW46" ca="1">IFERROR(_xlfn.IFS(OR($M46="",$AM46=""),"",OR($C46="Offered",$C46="Joined"),($AM46-$M46)-$AT46),"")</f>
        <v>50</v>
      </c>
      <c r="AX46" s="32" cm="1">
        <f t="array" aca="1" ref="AX46" ca="1">IFERROR(_xlfn.IFS(OR($M46="",$AS46=""),"",$C46="Joined",($AS46-$M46)-$AT46),"")</f>
        <v>129</v>
      </c>
      <c r="AY46" s="30" t="str">
        <f>IFERROR(IF(COUNTIFS('Candidate Tracker'!$E:$E,'Positions Tracker'!$B46,'Candidate Tracker'!$C:$C,"Offer Drop")=0,"",COUNTIFS('Candidate Tracker'!$E:$E,'Positions Tracker'!$B46,'Candidate Tracker'!$C:$C,"Offer Drop")),"")</f>
        <v/>
      </c>
      <c r="AZ4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 s="34" t="str">
        <f>IFERROR(IF(COUNTIFS('Candidate Tracker'!$E:$E,'Positions Tracker'!$B46,'Candidate Tracker'!$I:$I,"Female")=0,"",COUNTIFS('Candidate Tracker'!$E:$E,'Positions Tracker'!$B46,'Candidate Tracker'!$I:$I,"Female")),"")</f>
        <v/>
      </c>
      <c r="BB46" s="34">
        <f>IFERROR(IF(COUNTIFS('Candidate Tracker'!$E:$E,'Positions Tracker'!$B46,'Candidate Tracker'!$I:$I,"male")=0,"",COUNTIFS('Candidate Tracker'!$E:$E,'Positions Tracker'!$B46,'Candidate Tracker'!$I:$I,"male")),"")</f>
        <v>1</v>
      </c>
      <c r="BC46" s="33">
        <f>IFERROR(IF(COUNTIFS('Candidate Tracker'!$E:$E,'Positions Tracker'!$B46,'Candidate Tracker'!$C:$C,"&lt;&gt;WIP",'Candidate Tracker'!$C:$C,"&lt;&gt;Hold",'Candidate Tracker'!$C:$C,"&lt;&gt;Cancelled",'Candidate Tracker'!$C:$C,"&lt;&gt;Closed")/COUNTIFS('Candidate Tracker'!$E:$E,'Positions Tracker'!$B46)=0,"",COUNTIFS('Candidate Tracker'!$E:$E,'Positions Tracker'!$B46,'Candidate Tracker'!$C:$C,"&lt;&gt;WIP",'Candidate Tracker'!$C:$C,"&lt;&gt;Hold",'Candidate Tracker'!$C:$C,"&lt;&gt;Cancelled",'Candidate Tracker'!$C:$C,"&lt;&gt;Closed")/COUNTIFS('Candidate Tracker'!$E:$E,'Positions Tracker'!$B46)),"")</f>
        <v>1</v>
      </c>
      <c r="BD46" s="30" t="str">
        <f t="shared" si="8"/>
        <v>Dec-24</v>
      </c>
      <c r="BE46" s="30" t="str">
        <f t="shared" si="9"/>
        <v>Jan-25</v>
      </c>
      <c r="BF46" s="30" t="str">
        <f t="shared" si="10"/>
        <v>Feb-25</v>
      </c>
      <c r="BG46" s="30" t="str">
        <f t="shared" si="11"/>
        <v>Apr-25</v>
      </c>
    </row>
    <row r="47" spans="1:59">
      <c r="A47" s="30">
        <f t="shared" si="6"/>
        <v>46</v>
      </c>
      <c r="B47" s="30">
        <v>20247973</v>
      </c>
      <c r="C47" s="30" t="s">
        <v>3847</v>
      </c>
      <c r="D47" s="30" t="s">
        <v>1920</v>
      </c>
      <c r="E47" s="30" t="s">
        <v>701</v>
      </c>
      <c r="F47" s="30" t="s">
        <v>3968</v>
      </c>
      <c r="G47" s="30" t="s">
        <v>3</v>
      </c>
      <c r="H47" s="30" t="s">
        <v>3969</v>
      </c>
      <c r="I47" s="30" t="s">
        <v>702</v>
      </c>
      <c r="J47" s="30" t="s">
        <v>135</v>
      </c>
      <c r="K47" s="31">
        <v>45639</v>
      </c>
      <c r="L47" s="31">
        <v>45639</v>
      </c>
      <c r="M47" s="31">
        <v>45639</v>
      </c>
      <c r="N47" s="30" t="s">
        <v>3861</v>
      </c>
      <c r="O47" s="31"/>
      <c r="P47" s="31"/>
      <c r="Q47" s="31"/>
      <c r="R47" s="31"/>
      <c r="S47" s="31"/>
      <c r="T47" s="31"/>
      <c r="U47" s="30"/>
      <c r="V47" s="30"/>
      <c r="W47" s="30"/>
      <c r="X47" s="30" t="s">
        <v>63</v>
      </c>
      <c r="Y47" s="30" t="s">
        <v>2679</v>
      </c>
      <c r="Z47" s="30" t="s">
        <v>2679</v>
      </c>
      <c r="AA47" s="30" t="s">
        <v>3975</v>
      </c>
      <c r="AB47" s="30"/>
      <c r="AC47" s="30"/>
      <c r="AD47" s="30"/>
      <c r="AE47" s="30" t="s">
        <v>993</v>
      </c>
      <c r="AF47" s="30">
        <v>8488997632</v>
      </c>
      <c r="AG47" s="30" t="s">
        <v>994</v>
      </c>
      <c r="AH47" s="31" t="s">
        <v>55</v>
      </c>
      <c r="AI47" s="31">
        <v>45677</v>
      </c>
      <c r="AJ47" s="31">
        <v>45686</v>
      </c>
      <c r="AK47" s="30" t="s">
        <v>63</v>
      </c>
      <c r="AL47" s="30" t="s">
        <v>3976</v>
      </c>
      <c r="AM47" s="31">
        <v>45686</v>
      </c>
      <c r="AN47" s="31">
        <v>45686</v>
      </c>
      <c r="AO47" s="31"/>
      <c r="AP47" s="31">
        <v>45690</v>
      </c>
      <c r="AQ47" s="31">
        <v>45690</v>
      </c>
      <c r="AR47" s="31"/>
      <c r="AS47" s="31">
        <v>45782</v>
      </c>
      <c r="AT47" s="30">
        <f t="shared" ca="1" si="7"/>
        <v>0</v>
      </c>
      <c r="AU47" s="32" t="str">
        <f t="shared" ca="1" si="1"/>
        <v/>
      </c>
      <c r="AV47" s="32" t="str" cm="1">
        <f t="array" aca="1" ref="AV47" ca="1">IFERROR(_xlfn.IFS($AU47="","",$AU47&lt;=15,"0-15",AND($AU47&gt;=16,$AU47&lt;=30),"16-30",AND($AU47&gt;=31,$AU47&lt;=45),"31-45",AND($AU47&gt;=46,$AU47&lt;=60),"46-60",AND($AU47&gt;=61,$AU47&lt;=90),"61-90",AND($AU47&gt;=91),"&gt; 90",AND($AU47&gt;=2000),""),"")</f>
        <v/>
      </c>
      <c r="AW47" s="32" t="str" cm="1">
        <f t="array" aca="1" ref="AW47" ca="1">IFERROR(_xlfn.IFS(OR($M47="",$AM47=""),"",OR($C47="Offered",$C47="Joined"),($AM47-$M47)-$AT47),"")</f>
        <v/>
      </c>
      <c r="AX47" s="32" t="str" cm="1">
        <f t="array" aca="1" ref="AX47" ca="1">IFERROR(_xlfn.IFS(OR($M47="",$AS47=""),"",$C47="Joined",($AS47-$M47)-$AT47),"")</f>
        <v/>
      </c>
      <c r="AY47" s="30" t="str">
        <f>IFERROR(IF(COUNTIFS('Candidate Tracker'!$E:$E,'Positions Tracker'!$B47,'Candidate Tracker'!$C:$C,"Offer Drop")=0,"",COUNTIFS('Candidate Tracker'!$E:$E,'Positions Tracker'!$B47,'Candidate Tracker'!$C:$C,"Offer Drop")),"")</f>
        <v/>
      </c>
      <c r="AZ4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 s="34" t="str">
        <f>IFERROR(IF(COUNTIFS('Candidate Tracker'!$E:$E,'Positions Tracker'!$B47,'Candidate Tracker'!$I:$I,"Female")=0,"",COUNTIFS('Candidate Tracker'!$E:$E,'Positions Tracker'!$B47,'Candidate Tracker'!$I:$I,"Female")),"")</f>
        <v/>
      </c>
      <c r="BB47" s="34">
        <f>IFERROR(IF(COUNTIFS('Candidate Tracker'!$E:$E,'Positions Tracker'!$B47,'Candidate Tracker'!$I:$I,"male")=0,"",COUNTIFS('Candidate Tracker'!$E:$E,'Positions Tracker'!$B47,'Candidate Tracker'!$I:$I,"male")),"")</f>
        <v>4</v>
      </c>
      <c r="BC47" s="33">
        <f>IFERROR(IF(COUNTIFS('Candidate Tracker'!$E:$E,'Positions Tracker'!$B47,'Candidate Tracker'!$C:$C,"&lt;&gt;WIP",'Candidate Tracker'!$C:$C,"&lt;&gt;Hold",'Candidate Tracker'!$C:$C,"&lt;&gt;Cancelled",'Candidate Tracker'!$C:$C,"&lt;&gt;Closed")/COUNTIFS('Candidate Tracker'!$E:$E,'Positions Tracker'!$B47)=0,"",COUNTIFS('Candidate Tracker'!$E:$E,'Positions Tracker'!$B47,'Candidate Tracker'!$C:$C,"&lt;&gt;WIP",'Candidate Tracker'!$C:$C,"&lt;&gt;Hold",'Candidate Tracker'!$C:$C,"&lt;&gt;Cancelled",'Candidate Tracker'!$C:$C,"&lt;&gt;Closed")/COUNTIFS('Candidate Tracker'!$E:$E,'Positions Tracker'!$B47)),"")</f>
        <v>0.25</v>
      </c>
      <c r="BD47" s="30" t="str">
        <f t="shared" si="8"/>
        <v>Dec-24</v>
      </c>
      <c r="BE47" s="30" t="str">
        <f t="shared" si="9"/>
        <v>Jan-25</v>
      </c>
      <c r="BF47" s="30" t="str">
        <f t="shared" si="10"/>
        <v>Jan-25</v>
      </c>
      <c r="BG47" s="30" t="str">
        <f t="shared" si="11"/>
        <v>May-25</v>
      </c>
    </row>
    <row r="48" spans="1:59">
      <c r="A48" s="30">
        <f t="shared" si="6"/>
        <v>47</v>
      </c>
      <c r="B48" s="30">
        <v>20247804</v>
      </c>
      <c r="C48" s="30" t="s">
        <v>51</v>
      </c>
      <c r="D48" s="30" t="s">
        <v>51</v>
      </c>
      <c r="E48" s="30" t="s">
        <v>701</v>
      </c>
      <c r="F48" s="30" t="s">
        <v>3968</v>
      </c>
      <c r="G48" s="30" t="s">
        <v>3</v>
      </c>
      <c r="H48" s="30" t="s">
        <v>3969</v>
      </c>
      <c r="I48" s="30" t="s">
        <v>702</v>
      </c>
      <c r="J48" s="30" t="s">
        <v>135</v>
      </c>
      <c r="K48" s="31">
        <v>45639</v>
      </c>
      <c r="L48" s="31">
        <v>45639</v>
      </c>
      <c r="M48" s="31">
        <v>45639</v>
      </c>
      <c r="N48" s="30" t="s">
        <v>3861</v>
      </c>
      <c r="O48" s="31"/>
      <c r="P48" s="31"/>
      <c r="Q48" s="31"/>
      <c r="R48" s="31"/>
      <c r="S48" s="31"/>
      <c r="T48" s="31"/>
      <c r="U48" s="30"/>
      <c r="V48" s="30"/>
      <c r="W48" s="30"/>
      <c r="X48" s="30" t="s">
        <v>63</v>
      </c>
      <c r="Y48" s="30" t="s">
        <v>93</v>
      </c>
      <c r="Z48" s="30" t="s">
        <v>93</v>
      </c>
      <c r="AA48" s="30" t="s">
        <v>3977</v>
      </c>
      <c r="AB48" s="30"/>
      <c r="AC48" s="30"/>
      <c r="AD48" s="30"/>
      <c r="AE48" s="30" t="s">
        <v>900</v>
      </c>
      <c r="AF48" s="30" t="s">
        <v>3978</v>
      </c>
      <c r="AG48" s="30" t="s">
        <v>901</v>
      </c>
      <c r="AH48" s="31" t="s">
        <v>55</v>
      </c>
      <c r="AI48" s="31">
        <v>45687</v>
      </c>
      <c r="AJ48" s="31">
        <v>45698</v>
      </c>
      <c r="AK48" s="30" t="s">
        <v>63</v>
      </c>
      <c r="AL48" s="30" t="s">
        <v>3979</v>
      </c>
      <c r="AM48" s="31">
        <v>45698</v>
      </c>
      <c r="AN48" s="31">
        <v>45698</v>
      </c>
      <c r="AO48" s="31"/>
      <c r="AP48" s="31">
        <v>45701</v>
      </c>
      <c r="AQ48" s="31">
        <v>45701</v>
      </c>
      <c r="AR48" s="31"/>
      <c r="AS48" s="31">
        <v>45796</v>
      </c>
      <c r="AT48" s="30">
        <f t="shared" ca="1" si="7"/>
        <v>0</v>
      </c>
      <c r="AU48" s="32" t="str">
        <f t="shared" ca="1" si="1"/>
        <v/>
      </c>
      <c r="AV48" s="32" t="str" cm="1">
        <f t="array" aca="1" ref="AV48" ca="1">IFERROR(_xlfn.IFS($AU48="","",$AU48&lt;=15,"0-15",AND($AU48&gt;=16,$AU48&lt;=30),"16-30",AND($AU48&gt;=31,$AU48&lt;=45),"31-45",AND($AU48&gt;=46,$AU48&lt;=60),"46-60",AND($AU48&gt;=61,$AU48&lt;=90),"61-90",AND($AU48&gt;=91),"&gt; 90",AND($AU48&gt;=2000),""),"")</f>
        <v/>
      </c>
      <c r="AW48" s="32" cm="1">
        <f t="array" aca="1" ref="AW48" ca="1">IFERROR(_xlfn.IFS(OR($M48="",$AM48=""),"",OR($C48="Offered",$C48="Joined"),($AM48-$M48)-$AT48),"")</f>
        <v>59</v>
      </c>
      <c r="AX48" s="32" cm="1">
        <f t="array" aca="1" ref="AX48" ca="1">IFERROR(_xlfn.IFS(OR($M48="",$AS48=""),"",$C48="Joined",($AS48-$M48)-$AT48),"")</f>
        <v>157</v>
      </c>
      <c r="AY48" s="30" t="str">
        <f>IFERROR(IF(COUNTIFS('Candidate Tracker'!$E:$E,'Positions Tracker'!$B48,'Candidate Tracker'!$C:$C,"Offer Drop")=0,"",COUNTIFS('Candidate Tracker'!$E:$E,'Positions Tracker'!$B48,'Candidate Tracker'!$C:$C,"Offer Drop")),"")</f>
        <v/>
      </c>
      <c r="AZ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 s="34" t="str">
        <f>IFERROR(IF(COUNTIFS('Candidate Tracker'!$E:$E,'Positions Tracker'!$B48,'Candidate Tracker'!$I:$I,"Female")=0,"",COUNTIFS('Candidate Tracker'!$E:$E,'Positions Tracker'!$B48,'Candidate Tracker'!$I:$I,"Female")),"")</f>
        <v/>
      </c>
      <c r="BB48" s="34">
        <f>IFERROR(IF(COUNTIFS('Candidate Tracker'!$E:$E,'Positions Tracker'!$B48,'Candidate Tracker'!$I:$I,"male")=0,"",COUNTIFS('Candidate Tracker'!$E:$E,'Positions Tracker'!$B48,'Candidate Tracker'!$I:$I,"male")),"")</f>
        <v>4</v>
      </c>
      <c r="BC48" s="33">
        <f>IFERROR(IF(COUNTIFS('Candidate Tracker'!$E:$E,'Positions Tracker'!$B48,'Candidate Tracker'!$C:$C,"&lt;&gt;WIP",'Candidate Tracker'!$C:$C,"&lt;&gt;Hold",'Candidate Tracker'!$C:$C,"&lt;&gt;Cancelled",'Candidate Tracker'!$C:$C,"&lt;&gt;Closed")/COUNTIFS('Candidate Tracker'!$E:$E,'Positions Tracker'!$B48)=0,"",COUNTIFS('Candidate Tracker'!$E:$E,'Positions Tracker'!$B48,'Candidate Tracker'!$C:$C,"&lt;&gt;WIP",'Candidate Tracker'!$C:$C,"&lt;&gt;Hold",'Candidate Tracker'!$C:$C,"&lt;&gt;Cancelled",'Candidate Tracker'!$C:$C,"&lt;&gt;Closed")/COUNTIFS('Candidate Tracker'!$E:$E,'Positions Tracker'!$B48)),"")</f>
        <v>0.25</v>
      </c>
      <c r="BD48" s="30" t="str">
        <f t="shared" si="8"/>
        <v>Dec-24</v>
      </c>
      <c r="BE48" s="30" t="str">
        <f t="shared" si="9"/>
        <v>Jan-25</v>
      </c>
      <c r="BF48" s="30" t="str">
        <f t="shared" si="10"/>
        <v>Feb-25</v>
      </c>
      <c r="BG48" s="30" t="str">
        <f t="shared" si="11"/>
        <v>May-25</v>
      </c>
    </row>
    <row r="49" spans="1:59">
      <c r="A49" s="30">
        <f t="shared" si="6"/>
        <v>48</v>
      </c>
      <c r="B49" s="30">
        <v>20251843</v>
      </c>
      <c r="C49" s="30" t="s">
        <v>51</v>
      </c>
      <c r="D49" s="30" t="s">
        <v>51</v>
      </c>
      <c r="E49" s="30" t="s">
        <v>3980</v>
      </c>
      <c r="F49" s="30" t="s">
        <v>768</v>
      </c>
      <c r="G49" s="30" t="s">
        <v>3</v>
      </c>
      <c r="H49" s="30" t="s">
        <v>3914</v>
      </c>
      <c r="I49" s="30" t="s">
        <v>769</v>
      </c>
      <c r="J49" s="30" t="s">
        <v>135</v>
      </c>
      <c r="K49" s="31">
        <v>45637</v>
      </c>
      <c r="L49" s="31">
        <v>45637</v>
      </c>
      <c r="M49" s="31">
        <v>45637</v>
      </c>
      <c r="N49" s="30" t="s">
        <v>3855</v>
      </c>
      <c r="O49" s="31"/>
      <c r="P49" s="31"/>
      <c r="Q49" s="31"/>
      <c r="R49" s="31"/>
      <c r="S49" s="31"/>
      <c r="T49" s="31"/>
      <c r="U49" s="30"/>
      <c r="V49" s="30"/>
      <c r="W49" s="30"/>
      <c r="X49" s="30" t="s">
        <v>63</v>
      </c>
      <c r="Y49" s="30" t="s">
        <v>93</v>
      </c>
      <c r="Z49" s="30" t="s">
        <v>93</v>
      </c>
      <c r="AA49" s="30" t="s">
        <v>3981</v>
      </c>
      <c r="AB49" s="30"/>
      <c r="AC49" s="30"/>
      <c r="AD49" s="30"/>
      <c r="AE49" s="30" t="s">
        <v>920</v>
      </c>
      <c r="AF49" s="30">
        <v>8669030508</v>
      </c>
      <c r="AG49" s="30" t="s">
        <v>921</v>
      </c>
      <c r="AH49" s="31" t="s">
        <v>55</v>
      </c>
      <c r="AI49" s="31">
        <v>45670</v>
      </c>
      <c r="AJ49" s="31">
        <v>45673</v>
      </c>
      <c r="AK49" s="30" t="s">
        <v>63</v>
      </c>
      <c r="AL49" s="30" t="s">
        <v>3982</v>
      </c>
      <c r="AM49" s="31">
        <v>45673</v>
      </c>
      <c r="AN49" s="31">
        <v>45673</v>
      </c>
      <c r="AO49" s="31"/>
      <c r="AP49" s="31">
        <v>45674</v>
      </c>
      <c r="AQ49" s="31">
        <v>45674</v>
      </c>
      <c r="AR49" s="31"/>
      <c r="AS49" s="31">
        <v>45768</v>
      </c>
      <c r="AT49" s="30">
        <f t="shared" ca="1" si="7"/>
        <v>0</v>
      </c>
      <c r="AU49" s="32" t="str">
        <f t="shared" ca="1" si="1"/>
        <v/>
      </c>
      <c r="AV49" s="32" t="str" cm="1">
        <f t="array" aca="1" ref="AV49" ca="1">IFERROR(_xlfn.IFS($AU49="","",$AU49&lt;=15,"0-15",AND($AU49&gt;=16,$AU49&lt;=30),"16-30",AND($AU49&gt;=31,$AU49&lt;=45),"31-45",AND($AU49&gt;=46,$AU49&lt;=60),"46-60",AND($AU49&gt;=61,$AU49&lt;=90),"61-90",AND($AU49&gt;=91),"&gt; 90",AND($AU49&gt;=2000),""),"")</f>
        <v/>
      </c>
      <c r="AW49" s="32" cm="1">
        <f t="array" aca="1" ref="AW49" ca="1">IFERROR(_xlfn.IFS(OR($M49="",$AM49=""),"",OR($C49="Offered",$C49="Joined"),($AM49-$M49)-$AT49),"")</f>
        <v>36</v>
      </c>
      <c r="AX49" s="32" cm="1">
        <f t="array" aca="1" ref="AX49" ca="1">IFERROR(_xlfn.IFS(OR($M49="",$AS49=""),"",$C49="Joined",($AS49-$M49)-$AT49),"")</f>
        <v>131</v>
      </c>
      <c r="AY49" s="30" t="str">
        <f>IFERROR(IF(COUNTIFS('Candidate Tracker'!$E:$E,'Positions Tracker'!$B49,'Candidate Tracker'!$C:$C,"Offer Drop")=0,"",COUNTIFS('Candidate Tracker'!$E:$E,'Positions Tracker'!$B49,'Candidate Tracker'!$C:$C,"Offer Drop")),"")</f>
        <v/>
      </c>
      <c r="AZ4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 s="34" t="str">
        <f>IFERROR(IF(COUNTIFS('Candidate Tracker'!$E:$E,'Positions Tracker'!$B49,'Candidate Tracker'!$I:$I,"Female")=0,"",COUNTIFS('Candidate Tracker'!$E:$E,'Positions Tracker'!$B49,'Candidate Tracker'!$I:$I,"Female")),"")</f>
        <v/>
      </c>
      <c r="BB49" s="34">
        <f>IFERROR(IF(COUNTIFS('Candidate Tracker'!$E:$E,'Positions Tracker'!$B49,'Candidate Tracker'!$I:$I,"male")=0,"",COUNTIFS('Candidate Tracker'!$E:$E,'Positions Tracker'!$B49,'Candidate Tracker'!$I:$I,"male")),"")</f>
        <v>8</v>
      </c>
      <c r="BC49" s="33">
        <f>IFERROR(IF(COUNTIFS('Candidate Tracker'!$E:$E,'Positions Tracker'!$B49,'Candidate Tracker'!$C:$C,"&lt;&gt;WIP",'Candidate Tracker'!$C:$C,"&lt;&gt;Hold",'Candidate Tracker'!$C:$C,"&lt;&gt;Cancelled",'Candidate Tracker'!$C:$C,"&lt;&gt;Closed")/COUNTIFS('Candidate Tracker'!$E:$E,'Positions Tracker'!$B49)=0,"",COUNTIFS('Candidate Tracker'!$E:$E,'Positions Tracker'!$B49,'Candidate Tracker'!$C:$C,"&lt;&gt;WIP",'Candidate Tracker'!$C:$C,"&lt;&gt;Hold",'Candidate Tracker'!$C:$C,"&lt;&gt;Cancelled",'Candidate Tracker'!$C:$C,"&lt;&gt;Closed")/COUNTIFS('Candidate Tracker'!$E:$E,'Positions Tracker'!$B49)),"")</f>
        <v>0.125</v>
      </c>
      <c r="BD49" s="30" t="str">
        <f t="shared" si="8"/>
        <v>Dec-24</v>
      </c>
      <c r="BE49" s="30" t="str">
        <f t="shared" si="9"/>
        <v>Jan-25</v>
      </c>
      <c r="BF49" s="30" t="str">
        <f t="shared" si="10"/>
        <v>Jan-25</v>
      </c>
      <c r="BG49" s="30" t="str">
        <f t="shared" si="11"/>
        <v>Apr-25</v>
      </c>
    </row>
    <row r="50" spans="1:59">
      <c r="A50" s="30">
        <f t="shared" si="6"/>
        <v>49</v>
      </c>
      <c r="B50" s="30">
        <v>20251215</v>
      </c>
      <c r="C50" s="30" t="s">
        <v>51</v>
      </c>
      <c r="D50" s="30" t="s">
        <v>51</v>
      </c>
      <c r="E50" s="30" t="s">
        <v>3983</v>
      </c>
      <c r="F50" s="30" t="s">
        <v>3984</v>
      </c>
      <c r="G50" s="30" t="s">
        <v>3</v>
      </c>
      <c r="H50" s="30" t="s">
        <v>66</v>
      </c>
      <c r="I50" s="30" t="s">
        <v>3985</v>
      </c>
      <c r="J50" s="30" t="s">
        <v>135</v>
      </c>
      <c r="K50" s="31">
        <v>45644</v>
      </c>
      <c r="L50" s="31">
        <v>45644</v>
      </c>
      <c r="M50" s="31">
        <v>45664</v>
      </c>
      <c r="N50" s="30" t="s">
        <v>3850</v>
      </c>
      <c r="O50" s="31"/>
      <c r="P50" s="31"/>
      <c r="Q50" s="31"/>
      <c r="R50" s="31"/>
      <c r="S50" s="31"/>
      <c r="T50" s="31"/>
      <c r="U50" s="30"/>
      <c r="V50" s="30"/>
      <c r="W50" s="30"/>
      <c r="X50" s="30" t="s">
        <v>63</v>
      </c>
      <c r="Y50" s="30" t="s">
        <v>93</v>
      </c>
      <c r="Z50" s="30" t="s">
        <v>93</v>
      </c>
      <c r="AA50" s="30" t="s">
        <v>3986</v>
      </c>
      <c r="AB50" s="30"/>
      <c r="AC50" s="30"/>
      <c r="AD50" s="30"/>
      <c r="AE50" s="30" t="s">
        <v>1188</v>
      </c>
      <c r="AF50" s="30">
        <v>8329844440</v>
      </c>
      <c r="AG50" s="30" t="s">
        <v>1190</v>
      </c>
      <c r="AH50" s="31" t="s">
        <v>55</v>
      </c>
      <c r="AI50" s="31">
        <v>45691</v>
      </c>
      <c r="AJ50" s="31">
        <v>45702</v>
      </c>
      <c r="AK50" s="30" t="s">
        <v>63</v>
      </c>
      <c r="AL50" s="30" t="s">
        <v>3987</v>
      </c>
      <c r="AM50" s="31">
        <v>45702</v>
      </c>
      <c r="AN50" s="31">
        <v>45702</v>
      </c>
      <c r="AO50" s="31"/>
      <c r="AP50" s="31">
        <v>45704</v>
      </c>
      <c r="AQ50" s="31">
        <v>45704</v>
      </c>
      <c r="AR50" s="31"/>
      <c r="AS50" s="31">
        <v>45789</v>
      </c>
      <c r="AT50" s="30">
        <f t="shared" ca="1" si="7"/>
        <v>0</v>
      </c>
      <c r="AU50" s="32" t="str">
        <f t="shared" ca="1" si="1"/>
        <v/>
      </c>
      <c r="AV50" s="32" t="str" cm="1">
        <f t="array" aca="1" ref="AV50" ca="1">IFERROR(_xlfn.IFS($AU50="","",$AU50&lt;=15,"0-15",AND($AU50&gt;=16,$AU50&lt;=30),"16-30",AND($AU50&gt;=31,$AU50&lt;=45),"31-45",AND($AU50&gt;=46,$AU50&lt;=60),"46-60",AND($AU50&gt;=61,$AU50&lt;=90),"61-90",AND($AU50&gt;=91),"&gt; 90",AND($AU50&gt;=2000),""),"")</f>
        <v/>
      </c>
      <c r="AW50" s="32" cm="1">
        <f t="array" aca="1" ref="AW50" ca="1">IFERROR(_xlfn.IFS(OR($M50="",$AM50=""),"",OR($C50="Offered",$C50="Joined"),($AM50-$M50)-$AT50),"")</f>
        <v>38</v>
      </c>
      <c r="AX50" s="32" cm="1">
        <f t="array" aca="1" ref="AX50" ca="1">IFERROR(_xlfn.IFS(OR($M50="",$AS50=""),"",$C50="Joined",($AS50-$M50)-$AT50),"")</f>
        <v>125</v>
      </c>
      <c r="AY50" s="30" t="str">
        <f>IFERROR(IF(COUNTIFS('Candidate Tracker'!$E:$E,'Positions Tracker'!$B50,'Candidate Tracker'!$C:$C,"Offer Drop")=0,"",COUNTIFS('Candidate Tracker'!$E:$E,'Positions Tracker'!$B50,'Candidate Tracker'!$C:$C,"Offer Drop")),"")</f>
        <v/>
      </c>
      <c r="AZ5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 s="34" t="str">
        <f>IFERROR(IF(COUNTIFS('Candidate Tracker'!$E:$E,'Positions Tracker'!$B50,'Candidate Tracker'!$I:$I,"Female")=0,"",COUNTIFS('Candidate Tracker'!$E:$E,'Positions Tracker'!$B50,'Candidate Tracker'!$I:$I,"Female")),"")</f>
        <v/>
      </c>
      <c r="BB50" s="34">
        <f>IFERROR(IF(COUNTIFS('Candidate Tracker'!$E:$E,'Positions Tracker'!$B50,'Candidate Tracker'!$I:$I,"male")=0,"",COUNTIFS('Candidate Tracker'!$E:$E,'Positions Tracker'!$B50,'Candidate Tracker'!$I:$I,"male")),"")</f>
        <v>16</v>
      </c>
      <c r="BC50" s="33">
        <f>IFERROR(IF(COUNTIFS('Candidate Tracker'!$E:$E,'Positions Tracker'!$B50,'Candidate Tracker'!$C:$C,"&lt;&gt;WIP",'Candidate Tracker'!$C:$C,"&lt;&gt;Hold",'Candidate Tracker'!$C:$C,"&lt;&gt;Cancelled",'Candidate Tracker'!$C:$C,"&lt;&gt;Closed")/COUNTIFS('Candidate Tracker'!$E:$E,'Positions Tracker'!$B50)=0,"",COUNTIFS('Candidate Tracker'!$E:$E,'Positions Tracker'!$B50,'Candidate Tracker'!$C:$C,"&lt;&gt;WIP",'Candidate Tracker'!$C:$C,"&lt;&gt;Hold",'Candidate Tracker'!$C:$C,"&lt;&gt;Cancelled",'Candidate Tracker'!$C:$C,"&lt;&gt;Closed")/COUNTIFS('Candidate Tracker'!$E:$E,'Positions Tracker'!$B50)),"")</f>
        <v>0.125</v>
      </c>
      <c r="BD50" s="30" t="str">
        <f t="shared" si="8"/>
        <v>Jan-25</v>
      </c>
      <c r="BE50" s="30" t="str">
        <f t="shared" si="9"/>
        <v>Feb-25</v>
      </c>
      <c r="BF50" s="30" t="str">
        <f t="shared" si="10"/>
        <v>Feb-25</v>
      </c>
      <c r="BG50" s="30" t="str">
        <f t="shared" si="11"/>
        <v>May-25</v>
      </c>
    </row>
    <row r="51" spans="1:59">
      <c r="A51" s="30">
        <f t="shared" si="6"/>
        <v>50</v>
      </c>
      <c r="B51" s="30">
        <v>20252712</v>
      </c>
      <c r="C51" s="30" t="s">
        <v>51</v>
      </c>
      <c r="D51" s="30" t="s">
        <v>51</v>
      </c>
      <c r="E51" s="30" t="s">
        <v>1551</v>
      </c>
      <c r="F51" s="30" t="s">
        <v>3984</v>
      </c>
      <c r="G51" s="30" t="s">
        <v>3</v>
      </c>
      <c r="H51" s="30" t="s">
        <v>66</v>
      </c>
      <c r="I51" s="30" t="s">
        <v>3985</v>
      </c>
      <c r="J51" s="30" t="s">
        <v>135</v>
      </c>
      <c r="K51" s="31">
        <v>45644</v>
      </c>
      <c r="L51" s="31">
        <v>45644</v>
      </c>
      <c r="M51" s="31">
        <v>45664</v>
      </c>
      <c r="N51" s="30" t="s">
        <v>3897</v>
      </c>
      <c r="O51" s="31"/>
      <c r="P51" s="31"/>
      <c r="Q51" s="31"/>
      <c r="R51" s="31"/>
      <c r="S51" s="31"/>
      <c r="T51" s="31"/>
      <c r="U51" s="30"/>
      <c r="V51" s="30"/>
      <c r="W51" s="30"/>
      <c r="X51" s="30" t="s">
        <v>63</v>
      </c>
      <c r="Y51" s="30" t="s">
        <v>93</v>
      </c>
      <c r="Z51" s="30" t="s">
        <v>93</v>
      </c>
      <c r="AA51" s="30" t="s">
        <v>3988</v>
      </c>
      <c r="AB51" s="30"/>
      <c r="AC51" s="30"/>
      <c r="AD51" s="30"/>
      <c r="AE51" s="30" t="s">
        <v>3989</v>
      </c>
      <c r="AF51" s="30">
        <v>7972959010</v>
      </c>
      <c r="AG51" s="30" t="s">
        <v>1168</v>
      </c>
      <c r="AH51" s="31" t="s">
        <v>55</v>
      </c>
      <c r="AI51" s="31">
        <v>45709</v>
      </c>
      <c r="AJ51" s="31">
        <v>45712</v>
      </c>
      <c r="AK51" s="30" t="s">
        <v>63</v>
      </c>
      <c r="AL51" s="30" t="s">
        <v>3990</v>
      </c>
      <c r="AM51" s="31">
        <v>45712</v>
      </c>
      <c r="AN51" s="31">
        <v>45712</v>
      </c>
      <c r="AO51" s="31"/>
      <c r="AP51" s="31">
        <v>45714</v>
      </c>
      <c r="AQ51" s="31">
        <v>45714</v>
      </c>
      <c r="AR51" s="31"/>
      <c r="AS51" s="31">
        <v>45775</v>
      </c>
      <c r="AT51" s="30">
        <f t="shared" ca="1" si="7"/>
        <v>0</v>
      </c>
      <c r="AU51" s="32" t="str">
        <f t="shared" ca="1" si="1"/>
        <v/>
      </c>
      <c r="AV51" s="32" t="str" cm="1">
        <f t="array" aca="1" ref="AV51" ca="1">IFERROR(_xlfn.IFS($AU51="","",$AU51&lt;=15,"0-15",AND($AU51&gt;=16,$AU51&lt;=30),"16-30",AND($AU51&gt;=31,$AU51&lt;=45),"31-45",AND($AU51&gt;=46,$AU51&lt;=60),"46-60",AND($AU51&gt;=61,$AU51&lt;=90),"61-90",AND($AU51&gt;=91),"&gt; 90",AND($AU51&gt;=2000),""),"")</f>
        <v/>
      </c>
      <c r="AW51" s="32" cm="1">
        <f t="array" aca="1" ref="AW51" ca="1">IFERROR(_xlfn.IFS(OR($M51="",$AM51=""),"",OR($C51="Offered",$C51="Joined"),($AM51-$M51)-$AT51),"")</f>
        <v>48</v>
      </c>
      <c r="AX51" s="32" cm="1">
        <f t="array" aca="1" ref="AX51" ca="1">IFERROR(_xlfn.IFS(OR($M51="",$AS51=""),"",$C51="Joined",($AS51-$M51)-$AT51),"")</f>
        <v>111</v>
      </c>
      <c r="AY51" s="30" t="str">
        <f>IFERROR(IF(COUNTIFS('Candidate Tracker'!$E:$E,'Positions Tracker'!$B51,'Candidate Tracker'!$C:$C,"Offer Drop")=0,"",COUNTIFS('Candidate Tracker'!$E:$E,'Positions Tracker'!$B51,'Candidate Tracker'!$C:$C,"Offer Drop")),"")</f>
        <v/>
      </c>
      <c r="AZ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 s="34" t="str">
        <f>IFERROR(IF(COUNTIFS('Candidate Tracker'!$E:$E,'Positions Tracker'!$B51,'Candidate Tracker'!$I:$I,"Female")=0,"",COUNTIFS('Candidate Tracker'!$E:$E,'Positions Tracker'!$B51,'Candidate Tracker'!$I:$I,"Female")),"")</f>
        <v/>
      </c>
      <c r="BB51" s="34" t="str">
        <f>IFERROR(IF(COUNTIFS('Candidate Tracker'!$E:$E,'Positions Tracker'!$B51,'Candidate Tracker'!$I:$I,"male")=0,"",COUNTIFS('Candidate Tracker'!$E:$E,'Positions Tracker'!$B51,'Candidate Tracker'!$I:$I,"male")),"")</f>
        <v/>
      </c>
      <c r="BC51" s="33" t="str">
        <f>IFERROR(IF(COUNTIFS('Candidate Tracker'!$E:$E,'Positions Tracker'!$B51,'Candidate Tracker'!$C:$C,"&lt;&gt;WIP",'Candidate Tracker'!$C:$C,"&lt;&gt;Hold",'Candidate Tracker'!$C:$C,"&lt;&gt;Cancelled",'Candidate Tracker'!$C:$C,"&lt;&gt;Closed")/COUNTIFS('Candidate Tracker'!$E:$E,'Positions Tracker'!$B51)=0,"",COUNTIFS('Candidate Tracker'!$E:$E,'Positions Tracker'!$B51,'Candidate Tracker'!$C:$C,"&lt;&gt;WIP",'Candidate Tracker'!$C:$C,"&lt;&gt;Hold",'Candidate Tracker'!$C:$C,"&lt;&gt;Cancelled",'Candidate Tracker'!$C:$C,"&lt;&gt;Closed")/COUNTIFS('Candidate Tracker'!$E:$E,'Positions Tracker'!$B51)),"")</f>
        <v/>
      </c>
      <c r="BD51" s="30" t="str">
        <f t="shared" si="8"/>
        <v>Jan-25</v>
      </c>
      <c r="BE51" s="30" t="str">
        <f t="shared" si="9"/>
        <v>Feb-25</v>
      </c>
      <c r="BF51" s="30" t="str">
        <f t="shared" si="10"/>
        <v>Feb-25</v>
      </c>
      <c r="BG51" s="30" t="str">
        <f t="shared" si="11"/>
        <v>Apr-25</v>
      </c>
    </row>
    <row r="52" spans="1:59">
      <c r="A52" s="30">
        <f t="shared" si="6"/>
        <v>51</v>
      </c>
      <c r="B52" s="30">
        <v>20251210</v>
      </c>
      <c r="C52" s="30" t="s">
        <v>1044</v>
      </c>
      <c r="D52" s="30" t="s">
        <v>320</v>
      </c>
      <c r="E52" s="30" t="s">
        <v>3991</v>
      </c>
      <c r="F52" s="30" t="s">
        <v>3984</v>
      </c>
      <c r="G52" s="30" t="s">
        <v>3</v>
      </c>
      <c r="H52" s="30" t="s">
        <v>66</v>
      </c>
      <c r="I52" s="30" t="s">
        <v>3985</v>
      </c>
      <c r="J52" s="30" t="s">
        <v>135</v>
      </c>
      <c r="K52" s="31">
        <v>45644</v>
      </c>
      <c r="L52" s="31">
        <v>45644</v>
      </c>
      <c r="M52" s="31">
        <v>45664</v>
      </c>
      <c r="N52" s="30" t="s">
        <v>3855</v>
      </c>
      <c r="O52" s="31"/>
      <c r="P52" s="31"/>
      <c r="Q52" s="31"/>
      <c r="R52" s="31"/>
      <c r="S52" s="31"/>
      <c r="T52" s="31"/>
      <c r="U52" s="30"/>
      <c r="V52" s="30"/>
      <c r="W52" s="30"/>
      <c r="X52" s="30" t="s">
        <v>63</v>
      </c>
      <c r="Y52" s="30" t="s">
        <v>93</v>
      </c>
      <c r="Z52" s="30" t="s">
        <v>93</v>
      </c>
      <c r="AA52" s="30" t="s">
        <v>3992</v>
      </c>
      <c r="AB52" s="30"/>
      <c r="AC52" s="30"/>
      <c r="AD52" s="30"/>
      <c r="AE52" s="30" t="s">
        <v>3993</v>
      </c>
      <c r="AF52" s="30">
        <v>7406747353</v>
      </c>
      <c r="AG52" s="30" t="s">
        <v>1046</v>
      </c>
      <c r="AH52" s="31" t="s">
        <v>55</v>
      </c>
      <c r="AI52" s="31">
        <v>45680</v>
      </c>
      <c r="AJ52" s="31">
        <v>45696</v>
      </c>
      <c r="AK52" s="30" t="s">
        <v>63</v>
      </c>
      <c r="AL52" s="30" t="s">
        <v>3994</v>
      </c>
      <c r="AM52" s="31">
        <v>45696</v>
      </c>
      <c r="AN52" s="31">
        <v>45696</v>
      </c>
      <c r="AO52" s="31">
        <v>45762</v>
      </c>
      <c r="AP52" s="31">
        <v>45698</v>
      </c>
      <c r="AQ52" s="31">
        <v>45698</v>
      </c>
      <c r="AR52" s="31"/>
      <c r="AS52" s="31">
        <v>45782</v>
      </c>
      <c r="AT52" s="30">
        <f t="shared" ca="1" si="7"/>
        <v>0</v>
      </c>
      <c r="AU52" s="32" t="str">
        <f t="shared" ca="1" si="1"/>
        <v/>
      </c>
      <c r="AV52" s="32" t="str" cm="1">
        <f t="array" aca="1" ref="AV52" ca="1">IFERROR(_xlfn.IFS($AU52="","",$AU52&lt;=15,"0-15",AND($AU52&gt;=16,$AU52&lt;=30),"16-30",AND($AU52&gt;=31,$AU52&lt;=45),"31-45",AND($AU52&gt;=46,$AU52&lt;=60),"46-60",AND($AU52&gt;=61,$AU52&lt;=90),"61-90",AND($AU52&gt;=91),"&gt; 90",AND($AU52&gt;=2000),""),"")</f>
        <v/>
      </c>
      <c r="AW52" s="32" t="str" cm="1">
        <f t="array" aca="1" ref="AW52" ca="1">IFERROR(_xlfn.IFS(OR($M52="",$AM52=""),"",OR($C52="Offered",$C52="Joined"),($AM52-$M52)-$AT52),"")</f>
        <v/>
      </c>
      <c r="AX52" s="32" t="str" cm="1">
        <f t="array" aca="1" ref="AX52" ca="1">IFERROR(_xlfn.IFS(OR($M52="",$AS52=""),"",$C52="Joined",($AS52-$M52)-$AT52),"")</f>
        <v/>
      </c>
      <c r="AY52" s="30">
        <f>IFERROR(IF(COUNTIFS('Candidate Tracker'!$E:$E,'Positions Tracker'!$B52,'Candidate Tracker'!$C:$C,"Offer Drop")=0,"",COUNTIFS('Candidate Tracker'!$E:$E,'Positions Tracker'!$B52,'Candidate Tracker'!$C:$C,"Offer Drop")),"")</f>
        <v>1</v>
      </c>
      <c r="AZ5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 s="34" t="str">
        <f>IFERROR(IF(COUNTIFS('Candidate Tracker'!$E:$E,'Positions Tracker'!$B52,'Candidate Tracker'!$I:$I,"Female")=0,"",COUNTIFS('Candidate Tracker'!$E:$E,'Positions Tracker'!$B52,'Candidate Tracker'!$I:$I,"Female")),"")</f>
        <v/>
      </c>
      <c r="BB52" s="34">
        <f>IFERROR(IF(COUNTIFS('Candidate Tracker'!$E:$E,'Positions Tracker'!$B52,'Candidate Tracker'!$I:$I,"male")=0,"",COUNTIFS('Candidate Tracker'!$E:$E,'Positions Tracker'!$B52,'Candidate Tracker'!$I:$I,"male")),"")</f>
        <v>4</v>
      </c>
      <c r="BC52" s="33">
        <f>IFERROR(IF(COUNTIFS('Candidate Tracker'!$E:$E,'Positions Tracker'!$B52,'Candidate Tracker'!$C:$C,"&lt;&gt;WIP",'Candidate Tracker'!$C:$C,"&lt;&gt;Hold",'Candidate Tracker'!$C:$C,"&lt;&gt;Cancelled",'Candidate Tracker'!$C:$C,"&lt;&gt;Closed")/COUNTIFS('Candidate Tracker'!$E:$E,'Positions Tracker'!$B52)=0,"",COUNTIFS('Candidate Tracker'!$E:$E,'Positions Tracker'!$B52,'Candidate Tracker'!$C:$C,"&lt;&gt;WIP",'Candidate Tracker'!$C:$C,"&lt;&gt;Hold",'Candidate Tracker'!$C:$C,"&lt;&gt;Cancelled",'Candidate Tracker'!$C:$C,"&lt;&gt;Closed")/COUNTIFS('Candidate Tracker'!$E:$E,'Positions Tracker'!$B52)),"")</f>
        <v>0.25</v>
      </c>
      <c r="BD52" s="30" t="str">
        <f t="shared" si="8"/>
        <v>Jan-25</v>
      </c>
      <c r="BE52" s="30" t="str">
        <f t="shared" si="9"/>
        <v>Jan-25</v>
      </c>
      <c r="BF52" s="30" t="str">
        <f t="shared" si="10"/>
        <v>Feb-25</v>
      </c>
      <c r="BG52" s="30" t="str">
        <f t="shared" si="11"/>
        <v>May-25</v>
      </c>
    </row>
    <row r="53" spans="1:59">
      <c r="A53" s="30">
        <f t="shared" si="6"/>
        <v>52</v>
      </c>
      <c r="B53" s="30">
        <v>20251209</v>
      </c>
      <c r="C53" s="30" t="s">
        <v>1044</v>
      </c>
      <c r="D53" s="30" t="s">
        <v>320</v>
      </c>
      <c r="E53" s="30" t="s">
        <v>1029</v>
      </c>
      <c r="F53" s="30" t="s">
        <v>3984</v>
      </c>
      <c r="G53" s="30" t="s">
        <v>3</v>
      </c>
      <c r="H53" s="30" t="s">
        <v>66</v>
      </c>
      <c r="I53" s="30" t="s">
        <v>3985</v>
      </c>
      <c r="J53" s="30" t="s">
        <v>135</v>
      </c>
      <c r="K53" s="31">
        <v>45644</v>
      </c>
      <c r="L53" s="31">
        <v>45644</v>
      </c>
      <c r="M53" s="31">
        <v>45664</v>
      </c>
      <c r="N53" s="30" t="s">
        <v>3861</v>
      </c>
      <c r="O53" s="31"/>
      <c r="P53" s="31"/>
      <c r="Q53" s="31"/>
      <c r="R53" s="31"/>
      <c r="S53" s="31"/>
      <c r="T53" s="31"/>
      <c r="U53" s="30"/>
      <c r="V53" s="30"/>
      <c r="W53" s="30"/>
      <c r="X53" s="30" t="s">
        <v>63</v>
      </c>
      <c r="Y53" s="30" t="s">
        <v>93</v>
      </c>
      <c r="Z53" s="30" t="s">
        <v>93</v>
      </c>
      <c r="AA53" s="30" t="s">
        <v>3995</v>
      </c>
      <c r="AB53" s="30"/>
      <c r="AC53" s="30"/>
      <c r="AD53" s="30"/>
      <c r="AE53" s="30" t="s">
        <v>1584</v>
      </c>
      <c r="AF53" s="30" t="s">
        <v>3996</v>
      </c>
      <c r="AG53" s="30" t="s">
        <v>1585</v>
      </c>
      <c r="AH53" s="31" t="s">
        <v>55</v>
      </c>
      <c r="AI53" s="31">
        <v>45709</v>
      </c>
      <c r="AJ53" s="31">
        <v>45712</v>
      </c>
      <c r="AK53" s="30" t="s">
        <v>63</v>
      </c>
      <c r="AL53" s="30">
        <v>1600000</v>
      </c>
      <c r="AM53" s="31">
        <v>45712</v>
      </c>
      <c r="AN53" s="31">
        <v>45712</v>
      </c>
      <c r="AO53" s="31">
        <v>45743</v>
      </c>
      <c r="AP53" s="31">
        <v>45715</v>
      </c>
      <c r="AQ53" s="31">
        <v>45715</v>
      </c>
      <c r="AR53" s="31"/>
      <c r="AS53" s="31">
        <v>45803</v>
      </c>
      <c r="AT53" s="30">
        <f t="shared" ca="1" si="7"/>
        <v>0</v>
      </c>
      <c r="AU53" s="32" t="str">
        <f t="shared" ca="1" si="1"/>
        <v/>
      </c>
      <c r="AV53" s="32" t="str" cm="1">
        <f t="array" aca="1" ref="AV53" ca="1">IFERROR(_xlfn.IFS($AU53="","",$AU53&lt;=15,"0-15",AND($AU53&gt;=16,$AU53&lt;=30),"16-30",AND($AU53&gt;=31,$AU53&lt;=45),"31-45",AND($AU53&gt;=46,$AU53&lt;=60),"46-60",AND($AU53&gt;=61,$AU53&lt;=90),"61-90",AND($AU53&gt;=91),"&gt; 90",AND($AU53&gt;=2000),""),"")</f>
        <v/>
      </c>
      <c r="AW53" s="32" t="str" cm="1">
        <f t="array" aca="1" ref="AW53" ca="1">IFERROR(_xlfn.IFS(OR($M53="",$AM53=""),"",OR($C53="Offered",$C53="Joined"),($AM53-$M53)-$AT53),"")</f>
        <v/>
      </c>
      <c r="AX53" s="32" t="str" cm="1">
        <f t="array" aca="1" ref="AX53" ca="1">IFERROR(_xlfn.IFS(OR($M53="",$AS53=""),"",$C53="Joined",($AS53-$M53)-$AT53),"")</f>
        <v/>
      </c>
      <c r="AY53" s="30" t="str">
        <f>IFERROR(IF(COUNTIFS('Candidate Tracker'!$E:$E,'Positions Tracker'!$B53,'Candidate Tracker'!$C:$C,"Offer Drop")=0,"",COUNTIFS('Candidate Tracker'!$E:$E,'Positions Tracker'!$B53,'Candidate Tracker'!$C:$C,"Offer Drop")),"")</f>
        <v/>
      </c>
      <c r="AZ5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 s="34" t="str">
        <f>IFERROR(IF(COUNTIFS('Candidate Tracker'!$E:$E,'Positions Tracker'!$B53,'Candidate Tracker'!$I:$I,"Female")=0,"",COUNTIFS('Candidate Tracker'!$E:$E,'Positions Tracker'!$B53,'Candidate Tracker'!$I:$I,"Female")),"")</f>
        <v/>
      </c>
      <c r="BB53" s="34">
        <f>IFERROR(IF(COUNTIFS('Candidate Tracker'!$E:$E,'Positions Tracker'!$B53,'Candidate Tracker'!$I:$I,"male")=0,"",COUNTIFS('Candidate Tracker'!$E:$E,'Positions Tracker'!$B53,'Candidate Tracker'!$I:$I,"male")),"")</f>
        <v>6</v>
      </c>
      <c r="BC53" s="33">
        <f>IFERROR(IF(COUNTIFS('Candidate Tracker'!$E:$E,'Positions Tracker'!$B53,'Candidate Tracker'!$C:$C,"&lt;&gt;WIP",'Candidate Tracker'!$C:$C,"&lt;&gt;Hold",'Candidate Tracker'!$C:$C,"&lt;&gt;Cancelled",'Candidate Tracker'!$C:$C,"&lt;&gt;Closed")/COUNTIFS('Candidate Tracker'!$E:$E,'Positions Tracker'!$B53)=0,"",COUNTIFS('Candidate Tracker'!$E:$E,'Positions Tracker'!$B53,'Candidate Tracker'!$C:$C,"&lt;&gt;WIP",'Candidate Tracker'!$C:$C,"&lt;&gt;Hold",'Candidate Tracker'!$C:$C,"&lt;&gt;Cancelled",'Candidate Tracker'!$C:$C,"&lt;&gt;Closed")/COUNTIFS('Candidate Tracker'!$E:$E,'Positions Tracker'!$B53)),"")</f>
        <v>0.16666666666666666</v>
      </c>
      <c r="BD53" s="30" t="str">
        <f t="shared" si="8"/>
        <v>Jan-25</v>
      </c>
      <c r="BE53" s="30" t="str">
        <f t="shared" si="9"/>
        <v>Feb-25</v>
      </c>
      <c r="BF53" s="30" t="str">
        <f t="shared" si="10"/>
        <v>Feb-25</v>
      </c>
      <c r="BG53" s="30" t="str">
        <f t="shared" si="11"/>
        <v>May-25</v>
      </c>
    </row>
    <row r="54" spans="1:59">
      <c r="A54" s="30">
        <f t="shared" si="6"/>
        <v>53</v>
      </c>
      <c r="B54" s="30">
        <v>20247717</v>
      </c>
      <c r="C54" s="30" t="s">
        <v>3847</v>
      </c>
      <c r="D54" s="30" t="s">
        <v>1920</v>
      </c>
      <c r="E54" s="30" t="s">
        <v>3980</v>
      </c>
      <c r="F54" s="30" t="s">
        <v>3997</v>
      </c>
      <c r="G54" s="30" t="s">
        <v>3</v>
      </c>
      <c r="H54" s="30" t="s">
        <v>3914</v>
      </c>
      <c r="I54" s="30" t="s">
        <v>3915</v>
      </c>
      <c r="J54" s="30" t="s">
        <v>135</v>
      </c>
      <c r="K54" s="31">
        <v>45637</v>
      </c>
      <c r="L54" s="31">
        <v>45637</v>
      </c>
      <c r="M54" s="31">
        <v>45637</v>
      </c>
      <c r="N54" s="30"/>
      <c r="O54" s="31"/>
      <c r="P54" s="31"/>
      <c r="Q54" s="31"/>
      <c r="R54" s="31"/>
      <c r="S54" s="31"/>
      <c r="T54" s="31"/>
      <c r="U54" s="30"/>
      <c r="V54" s="30"/>
      <c r="W54" s="30"/>
      <c r="X54" s="30" t="s">
        <v>63</v>
      </c>
      <c r="Y54" s="30" t="s">
        <v>93</v>
      </c>
      <c r="Z54" s="30" t="s">
        <v>93</v>
      </c>
      <c r="AA54" s="30" t="s">
        <v>3934</v>
      </c>
      <c r="AB54" s="30"/>
      <c r="AC54" s="30"/>
      <c r="AD54" s="30"/>
      <c r="AE54" s="30"/>
      <c r="AF54" s="30"/>
      <c r="AG54" s="30"/>
      <c r="AH54" s="31"/>
      <c r="AI54" s="31"/>
      <c r="AJ54" s="31"/>
      <c r="AK54" s="30"/>
      <c r="AL54" s="30"/>
      <c r="AM54" s="31"/>
      <c r="AN54" s="31"/>
      <c r="AO54" s="31"/>
      <c r="AP54" s="31"/>
      <c r="AQ54" s="31"/>
      <c r="AR54" s="31"/>
      <c r="AS54" s="31"/>
      <c r="AT54" s="30">
        <f t="shared" ca="1" si="7"/>
        <v>0</v>
      </c>
      <c r="AU54" s="32" t="str">
        <f t="shared" ca="1" si="1"/>
        <v/>
      </c>
      <c r="AV54" s="32" t="str" cm="1">
        <f t="array" aca="1" ref="AV54" ca="1">IFERROR(_xlfn.IFS($AU54="","",$AU54&lt;=15,"0-15",AND($AU54&gt;=16,$AU54&lt;=30),"16-30",AND($AU54&gt;=31,$AU54&lt;=45),"31-45",AND($AU54&gt;=46,$AU54&lt;=60),"46-60",AND($AU54&gt;=61,$AU54&lt;=90),"61-90",AND($AU54&gt;=91),"&gt; 90",AND($AU54&gt;=2000),""),"")</f>
        <v/>
      </c>
      <c r="AW54" s="32" t="str" cm="1">
        <f t="array" aca="1" ref="AW54" ca="1">IFERROR(_xlfn.IFS(OR($M54="",$AM54=""),"",OR($C54="Offered",$C54="Joined"),($AM54-$M54)-$AT54),"")</f>
        <v/>
      </c>
      <c r="AX54" s="32" t="str" cm="1">
        <f t="array" aca="1" ref="AX54" ca="1">IFERROR(_xlfn.IFS(OR($M54="",$AS54=""),"",$C54="Joined",($AS54-$M54)-$AT54),"")</f>
        <v/>
      </c>
      <c r="AY54" s="30" t="str">
        <f>IFERROR(IF(COUNTIFS('Candidate Tracker'!$E:$E,'Positions Tracker'!$B54,'Candidate Tracker'!$C:$C,"Offer Drop")=0,"",COUNTIFS('Candidate Tracker'!$E:$E,'Positions Tracker'!$B54,'Candidate Tracker'!$C:$C,"Offer Drop")),"")</f>
        <v/>
      </c>
      <c r="AZ5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 s="34" t="str">
        <f>IFERROR(IF(COUNTIFS('Candidate Tracker'!$E:$E,'Positions Tracker'!$B54,'Candidate Tracker'!$I:$I,"Female")=0,"",COUNTIFS('Candidate Tracker'!$E:$E,'Positions Tracker'!$B54,'Candidate Tracker'!$I:$I,"Female")),"")</f>
        <v/>
      </c>
      <c r="BB54" s="34" t="str">
        <f>IFERROR(IF(COUNTIFS('Candidate Tracker'!$E:$E,'Positions Tracker'!$B54,'Candidate Tracker'!$I:$I,"male")=0,"",COUNTIFS('Candidate Tracker'!$E:$E,'Positions Tracker'!$B54,'Candidate Tracker'!$I:$I,"male")),"")</f>
        <v/>
      </c>
      <c r="BC54" s="33" t="str">
        <f>IFERROR(IF(COUNTIFS('Candidate Tracker'!$E:$E,'Positions Tracker'!$B54,'Candidate Tracker'!$C:$C,"&lt;&gt;WIP",'Candidate Tracker'!$C:$C,"&lt;&gt;Hold",'Candidate Tracker'!$C:$C,"&lt;&gt;Cancelled",'Candidate Tracker'!$C:$C,"&lt;&gt;Closed")/COUNTIFS('Candidate Tracker'!$E:$E,'Positions Tracker'!$B54)=0,"",COUNTIFS('Candidate Tracker'!$E:$E,'Positions Tracker'!$B54,'Candidate Tracker'!$C:$C,"&lt;&gt;WIP",'Candidate Tracker'!$C:$C,"&lt;&gt;Hold",'Candidate Tracker'!$C:$C,"&lt;&gt;Cancelled",'Candidate Tracker'!$C:$C,"&lt;&gt;Closed")/COUNTIFS('Candidate Tracker'!$E:$E,'Positions Tracker'!$B54)),"")</f>
        <v/>
      </c>
      <c r="BD54" s="30" t="str">
        <f t="shared" si="8"/>
        <v>Dec-24</v>
      </c>
      <c r="BE54" s="30" t="str">
        <f t="shared" si="9"/>
        <v/>
      </c>
      <c r="BF54" s="30" t="str">
        <f t="shared" si="10"/>
        <v/>
      </c>
      <c r="BG54" s="30" t="str">
        <f t="shared" si="11"/>
        <v/>
      </c>
    </row>
    <row r="55" spans="1:59">
      <c r="A55" s="30">
        <f t="shared" si="6"/>
        <v>54</v>
      </c>
      <c r="B55" s="30">
        <v>20250682</v>
      </c>
      <c r="C55" s="30" t="s">
        <v>3847</v>
      </c>
      <c r="D55" s="30" t="s">
        <v>1920</v>
      </c>
      <c r="E55" s="30" t="s">
        <v>670</v>
      </c>
      <c r="F55" s="30" t="s">
        <v>3910</v>
      </c>
      <c r="G55" s="30" t="s">
        <v>3</v>
      </c>
      <c r="H55" s="30" t="s">
        <v>3933</v>
      </c>
      <c r="I55" s="30" t="s">
        <v>116</v>
      </c>
      <c r="J55" s="30" t="s">
        <v>135</v>
      </c>
      <c r="K55" s="31">
        <v>45625</v>
      </c>
      <c r="L55" s="31">
        <v>45625</v>
      </c>
      <c r="M55" s="31">
        <v>45625</v>
      </c>
      <c r="N55" s="30"/>
      <c r="O55" s="31"/>
      <c r="P55" s="31"/>
      <c r="Q55" s="31"/>
      <c r="R55" s="31"/>
      <c r="S55" s="31"/>
      <c r="T55" s="31"/>
      <c r="U55" s="30"/>
      <c r="V55" s="30"/>
      <c r="W55" s="30"/>
      <c r="X55" s="30" t="s">
        <v>63</v>
      </c>
      <c r="Y55" s="30" t="s">
        <v>93</v>
      </c>
      <c r="Z55" s="30" t="s">
        <v>93</v>
      </c>
      <c r="AA55" s="30" t="s">
        <v>3934</v>
      </c>
      <c r="AB55" s="30"/>
      <c r="AC55" s="30"/>
      <c r="AD55" s="30"/>
      <c r="AE55" s="30"/>
      <c r="AF55" s="30"/>
      <c r="AG55" s="30"/>
      <c r="AH55" s="31"/>
      <c r="AI55" s="31"/>
      <c r="AJ55" s="31"/>
      <c r="AK55" s="30"/>
      <c r="AL55" s="30"/>
      <c r="AM55" s="31"/>
      <c r="AN55" s="31"/>
      <c r="AO55" s="31"/>
      <c r="AP55" s="31"/>
      <c r="AQ55" s="31"/>
      <c r="AR55" s="31"/>
      <c r="AS55" s="31"/>
      <c r="AT55" s="30">
        <f t="shared" ca="1" si="7"/>
        <v>0</v>
      </c>
      <c r="AU55" s="32" t="str">
        <f t="shared" ca="1" si="1"/>
        <v/>
      </c>
      <c r="AV55" s="32" t="str" cm="1">
        <f t="array" aca="1" ref="AV55" ca="1">IFERROR(_xlfn.IFS($AU55="","",$AU55&lt;=15,"0-15",AND($AU55&gt;=16,$AU55&lt;=30),"16-30",AND($AU55&gt;=31,$AU55&lt;=45),"31-45",AND($AU55&gt;=46,$AU55&lt;=60),"46-60",AND($AU55&gt;=61,$AU55&lt;=90),"61-90",AND($AU55&gt;=91),"&gt; 90",AND($AU55&gt;=2000),""),"")</f>
        <v/>
      </c>
      <c r="AW55" s="32" t="str" cm="1">
        <f t="array" aca="1" ref="AW55" ca="1">IFERROR(_xlfn.IFS(OR($M55="",$AM55=""),"",OR($C55="Offered",$C55="Joined"),($AM55-$M55)-$AT55),"")</f>
        <v/>
      </c>
      <c r="AX55" s="32" t="str" cm="1">
        <f t="array" aca="1" ref="AX55" ca="1">IFERROR(_xlfn.IFS(OR($M55="",$AS55=""),"",$C55="Joined",($AS55-$M55)-$AT55),"")</f>
        <v/>
      </c>
      <c r="AY55" s="30" t="str">
        <f>IFERROR(IF(COUNTIFS('Candidate Tracker'!$E:$E,'Positions Tracker'!$B55,'Candidate Tracker'!$C:$C,"Offer Drop")=0,"",COUNTIFS('Candidate Tracker'!$E:$E,'Positions Tracker'!$B55,'Candidate Tracker'!$C:$C,"Offer Drop")),"")</f>
        <v/>
      </c>
      <c r="AZ5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 s="34" t="str">
        <f>IFERROR(IF(COUNTIFS('Candidate Tracker'!$E:$E,'Positions Tracker'!$B55,'Candidate Tracker'!$I:$I,"Female")=0,"",COUNTIFS('Candidate Tracker'!$E:$E,'Positions Tracker'!$B55,'Candidate Tracker'!$I:$I,"Female")),"")</f>
        <v/>
      </c>
      <c r="BB55" s="34" t="str">
        <f>IFERROR(IF(COUNTIFS('Candidate Tracker'!$E:$E,'Positions Tracker'!$B55,'Candidate Tracker'!$I:$I,"male")=0,"",COUNTIFS('Candidate Tracker'!$E:$E,'Positions Tracker'!$B55,'Candidate Tracker'!$I:$I,"male")),"")</f>
        <v/>
      </c>
      <c r="BC55" s="33" t="str">
        <f>IFERROR(IF(COUNTIFS('Candidate Tracker'!$E:$E,'Positions Tracker'!$B55,'Candidate Tracker'!$C:$C,"&lt;&gt;WIP",'Candidate Tracker'!$C:$C,"&lt;&gt;Hold",'Candidate Tracker'!$C:$C,"&lt;&gt;Cancelled",'Candidate Tracker'!$C:$C,"&lt;&gt;Closed")/COUNTIFS('Candidate Tracker'!$E:$E,'Positions Tracker'!$B55)=0,"",COUNTIFS('Candidate Tracker'!$E:$E,'Positions Tracker'!$B55,'Candidate Tracker'!$C:$C,"&lt;&gt;WIP",'Candidate Tracker'!$C:$C,"&lt;&gt;Hold",'Candidate Tracker'!$C:$C,"&lt;&gt;Cancelled",'Candidate Tracker'!$C:$C,"&lt;&gt;Closed")/COUNTIFS('Candidate Tracker'!$E:$E,'Positions Tracker'!$B55)),"")</f>
        <v/>
      </c>
      <c r="BD55" s="30" t="str">
        <f t="shared" si="8"/>
        <v>Nov-24</v>
      </c>
      <c r="BE55" s="30" t="str">
        <f t="shared" si="9"/>
        <v/>
      </c>
      <c r="BF55" s="30" t="str">
        <f t="shared" si="10"/>
        <v/>
      </c>
      <c r="BG55" s="30" t="str">
        <f t="shared" si="11"/>
        <v/>
      </c>
    </row>
    <row r="56" spans="1:59">
      <c r="A56" s="30">
        <f t="shared" si="6"/>
        <v>55</v>
      </c>
      <c r="B56" s="30">
        <v>20243789</v>
      </c>
      <c r="C56" s="30" t="s">
        <v>3847</v>
      </c>
      <c r="D56" s="30" t="s">
        <v>1920</v>
      </c>
      <c r="E56" s="30" t="s">
        <v>3998</v>
      </c>
      <c r="F56" s="30" t="s">
        <v>3999</v>
      </c>
      <c r="G56" s="30" t="s">
        <v>3</v>
      </c>
      <c r="H56" s="30" t="s">
        <v>66</v>
      </c>
      <c r="I56" s="30" t="s">
        <v>433</v>
      </c>
      <c r="J56" s="30" t="s">
        <v>135</v>
      </c>
      <c r="K56" s="31">
        <v>45580</v>
      </c>
      <c r="L56" s="31">
        <v>45580</v>
      </c>
      <c r="M56" s="31">
        <v>45583</v>
      </c>
      <c r="N56" s="30" t="s">
        <v>3861</v>
      </c>
      <c r="O56" s="31"/>
      <c r="P56" s="31"/>
      <c r="Q56" s="31"/>
      <c r="R56" s="31"/>
      <c r="S56" s="31"/>
      <c r="T56" s="31"/>
      <c r="U56" s="30"/>
      <c r="V56" s="30"/>
      <c r="W56" s="30"/>
      <c r="X56" s="30" t="s">
        <v>63</v>
      </c>
      <c r="Y56" s="30" t="s">
        <v>218</v>
      </c>
      <c r="Z56" s="30" t="s">
        <v>218</v>
      </c>
      <c r="AA56" s="30" t="s">
        <v>4000</v>
      </c>
      <c r="AB56" s="30"/>
      <c r="AC56" s="30"/>
      <c r="AD56" s="30"/>
      <c r="AE56" s="30"/>
      <c r="AF56" s="30"/>
      <c r="AG56" s="30"/>
      <c r="AH56" s="31"/>
      <c r="AI56" s="31"/>
      <c r="AJ56" s="31"/>
      <c r="AK56" s="30"/>
      <c r="AL56" s="30"/>
      <c r="AM56" s="31"/>
      <c r="AN56" s="31"/>
      <c r="AO56" s="31"/>
      <c r="AP56" s="31"/>
      <c r="AQ56" s="31"/>
      <c r="AR56" s="31"/>
      <c r="AS56" s="31"/>
      <c r="AT56" s="30">
        <f t="shared" ca="1" si="7"/>
        <v>0</v>
      </c>
      <c r="AU56" s="32" t="str">
        <f t="shared" ca="1" si="1"/>
        <v/>
      </c>
      <c r="AV56" s="32" t="str" cm="1">
        <f t="array" aca="1" ref="AV56" ca="1">IFERROR(_xlfn.IFS($AU56="","",$AU56&lt;=15,"0-15",AND($AU56&gt;=16,$AU56&lt;=30),"16-30",AND($AU56&gt;=31,$AU56&lt;=45),"31-45",AND($AU56&gt;=46,$AU56&lt;=60),"46-60",AND($AU56&gt;=61,$AU56&lt;=90),"61-90",AND($AU56&gt;=91),"&gt; 90",AND($AU56&gt;=2000),""),"")</f>
        <v/>
      </c>
      <c r="AW56" s="32" t="str" cm="1">
        <f t="array" aca="1" ref="AW56" ca="1">IFERROR(_xlfn.IFS(OR($M56="",$AM56=""),"",OR($C56="Offered",$C56="Joined"),($AM56-$M56)-$AT56),"")</f>
        <v/>
      </c>
      <c r="AX56" s="32" t="str" cm="1">
        <f t="array" aca="1" ref="AX56" ca="1">IFERROR(_xlfn.IFS(OR($M56="",$AS56=""),"",$C56="Joined",($AS56-$M56)-$AT56),"")</f>
        <v/>
      </c>
      <c r="AY56" s="30" t="str">
        <f>IFERROR(IF(COUNTIFS('Candidate Tracker'!$E:$E,'Positions Tracker'!$B56,'Candidate Tracker'!$C:$C,"Offer Drop")=0,"",COUNTIFS('Candidate Tracker'!$E:$E,'Positions Tracker'!$B56,'Candidate Tracker'!$C:$C,"Offer Drop")),"")</f>
        <v/>
      </c>
      <c r="AZ5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 s="34" t="str">
        <f>IFERROR(IF(COUNTIFS('Candidate Tracker'!$E:$E,'Positions Tracker'!$B56,'Candidate Tracker'!$I:$I,"Female")=0,"",COUNTIFS('Candidate Tracker'!$E:$E,'Positions Tracker'!$B56,'Candidate Tracker'!$I:$I,"Female")),"")</f>
        <v/>
      </c>
      <c r="BB56" s="34" t="str">
        <f>IFERROR(IF(COUNTIFS('Candidate Tracker'!$E:$E,'Positions Tracker'!$B56,'Candidate Tracker'!$I:$I,"male")=0,"",COUNTIFS('Candidate Tracker'!$E:$E,'Positions Tracker'!$B56,'Candidate Tracker'!$I:$I,"male")),"")</f>
        <v/>
      </c>
      <c r="BC56" s="33" t="str">
        <f>IFERROR(IF(COUNTIFS('Candidate Tracker'!$E:$E,'Positions Tracker'!$B56,'Candidate Tracker'!$C:$C,"&lt;&gt;WIP",'Candidate Tracker'!$C:$C,"&lt;&gt;Hold",'Candidate Tracker'!$C:$C,"&lt;&gt;Cancelled",'Candidate Tracker'!$C:$C,"&lt;&gt;Closed")/COUNTIFS('Candidate Tracker'!$E:$E,'Positions Tracker'!$B56)=0,"",COUNTIFS('Candidate Tracker'!$E:$E,'Positions Tracker'!$B56,'Candidate Tracker'!$C:$C,"&lt;&gt;WIP",'Candidate Tracker'!$C:$C,"&lt;&gt;Hold",'Candidate Tracker'!$C:$C,"&lt;&gt;Cancelled",'Candidate Tracker'!$C:$C,"&lt;&gt;Closed")/COUNTIFS('Candidate Tracker'!$E:$E,'Positions Tracker'!$B56)),"")</f>
        <v/>
      </c>
      <c r="BD56" s="30" t="str">
        <f t="shared" si="8"/>
        <v>Oct-24</v>
      </c>
      <c r="BE56" s="30" t="str">
        <f t="shared" si="9"/>
        <v/>
      </c>
      <c r="BF56" s="30" t="str">
        <f t="shared" si="10"/>
        <v/>
      </c>
      <c r="BG56" s="30" t="str">
        <f t="shared" si="11"/>
        <v/>
      </c>
    </row>
    <row r="57" spans="1:59">
      <c r="A57" s="30">
        <f t="shared" si="6"/>
        <v>56</v>
      </c>
      <c r="B57" s="30">
        <v>20243612</v>
      </c>
      <c r="C57" s="30" t="s">
        <v>3847</v>
      </c>
      <c r="D57" s="30" t="s">
        <v>1920</v>
      </c>
      <c r="E57" s="30" t="s">
        <v>4001</v>
      </c>
      <c r="F57" s="30" t="s">
        <v>4002</v>
      </c>
      <c r="G57" s="30" t="s">
        <v>1</v>
      </c>
      <c r="H57" s="30" t="s">
        <v>4002</v>
      </c>
      <c r="I57" s="30" t="s">
        <v>4003</v>
      </c>
      <c r="J57" s="30" t="s">
        <v>135</v>
      </c>
      <c r="K57" s="31">
        <v>45462</v>
      </c>
      <c r="L57" s="31">
        <v>45462</v>
      </c>
      <c r="M57" s="31">
        <v>45467</v>
      </c>
      <c r="N57" s="30"/>
      <c r="O57" s="31"/>
      <c r="P57" s="31"/>
      <c r="Q57" s="31"/>
      <c r="R57" s="31"/>
      <c r="S57" s="31"/>
      <c r="T57" s="31"/>
      <c r="U57" s="30"/>
      <c r="V57" s="30"/>
      <c r="W57" s="30"/>
      <c r="X57" s="30" t="s">
        <v>63</v>
      </c>
      <c r="Y57" s="30" t="s">
        <v>218</v>
      </c>
      <c r="Z57" s="30" t="s">
        <v>218</v>
      </c>
      <c r="AA57" s="30" t="s">
        <v>4004</v>
      </c>
      <c r="AB57" s="30"/>
      <c r="AC57" s="30"/>
      <c r="AD57" s="30"/>
      <c r="AE57" s="30"/>
      <c r="AF57" s="30"/>
      <c r="AG57" s="30"/>
      <c r="AH57" s="31"/>
      <c r="AI57" s="31"/>
      <c r="AJ57" s="31"/>
      <c r="AK57" s="30"/>
      <c r="AL57" s="30"/>
      <c r="AM57" s="31"/>
      <c r="AN57" s="31"/>
      <c r="AO57" s="31"/>
      <c r="AP57" s="31"/>
      <c r="AQ57" s="31"/>
      <c r="AR57" s="31"/>
      <c r="AS57" s="31"/>
      <c r="AT57" s="30">
        <f t="shared" ca="1" si="7"/>
        <v>0</v>
      </c>
      <c r="AU57" s="32" t="str">
        <f t="shared" ca="1" si="1"/>
        <v/>
      </c>
      <c r="AV57" s="32" t="str" cm="1">
        <f t="array" aca="1" ref="AV57" ca="1">IFERROR(_xlfn.IFS($AU57="","",$AU57&lt;=15,"0-15",AND($AU57&gt;=16,$AU57&lt;=30),"16-30",AND($AU57&gt;=31,$AU57&lt;=45),"31-45",AND($AU57&gt;=46,$AU57&lt;=60),"46-60",AND($AU57&gt;=61,$AU57&lt;=90),"61-90",AND($AU57&gt;=91),"&gt; 90",AND($AU57&gt;=2000),""),"")</f>
        <v/>
      </c>
      <c r="AW57" s="32" t="str" cm="1">
        <f t="array" aca="1" ref="AW57" ca="1">IFERROR(_xlfn.IFS(OR($M57="",$AM57=""),"",OR($C57="Offered",$C57="Joined"),($AM57-$M57)-$AT57),"")</f>
        <v/>
      </c>
      <c r="AX57" s="32" t="str" cm="1">
        <f t="array" aca="1" ref="AX57" ca="1">IFERROR(_xlfn.IFS(OR($M57="",$AS57=""),"",$C57="Joined",($AS57-$M57)-$AT57),"")</f>
        <v/>
      </c>
      <c r="AY57" s="30" t="str">
        <f>IFERROR(IF(COUNTIFS('Candidate Tracker'!$E:$E,'Positions Tracker'!$B57,'Candidate Tracker'!$C:$C,"Offer Drop")=0,"",COUNTIFS('Candidate Tracker'!$E:$E,'Positions Tracker'!$B57,'Candidate Tracker'!$C:$C,"Offer Drop")),"")</f>
        <v/>
      </c>
      <c r="AZ5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 s="34" t="str">
        <f>IFERROR(IF(COUNTIFS('Candidate Tracker'!$E:$E,'Positions Tracker'!$B57,'Candidate Tracker'!$I:$I,"Female")=0,"",COUNTIFS('Candidate Tracker'!$E:$E,'Positions Tracker'!$B57,'Candidate Tracker'!$I:$I,"Female")),"")</f>
        <v/>
      </c>
      <c r="BB57" s="34" t="str">
        <f>IFERROR(IF(COUNTIFS('Candidate Tracker'!$E:$E,'Positions Tracker'!$B57,'Candidate Tracker'!$I:$I,"male")=0,"",COUNTIFS('Candidate Tracker'!$E:$E,'Positions Tracker'!$B57,'Candidate Tracker'!$I:$I,"male")),"")</f>
        <v/>
      </c>
      <c r="BC57" s="33" t="str">
        <f>IFERROR(IF(COUNTIFS('Candidate Tracker'!$E:$E,'Positions Tracker'!$B57,'Candidate Tracker'!$C:$C,"&lt;&gt;WIP",'Candidate Tracker'!$C:$C,"&lt;&gt;Hold",'Candidate Tracker'!$C:$C,"&lt;&gt;Cancelled",'Candidate Tracker'!$C:$C,"&lt;&gt;Closed")/COUNTIFS('Candidate Tracker'!$E:$E,'Positions Tracker'!$B57)=0,"",COUNTIFS('Candidate Tracker'!$E:$E,'Positions Tracker'!$B57,'Candidate Tracker'!$C:$C,"&lt;&gt;WIP",'Candidate Tracker'!$C:$C,"&lt;&gt;Hold",'Candidate Tracker'!$C:$C,"&lt;&gt;Cancelled",'Candidate Tracker'!$C:$C,"&lt;&gt;Closed")/COUNTIFS('Candidate Tracker'!$E:$E,'Positions Tracker'!$B57)),"")</f>
        <v/>
      </c>
      <c r="BD57" s="30" t="str">
        <f t="shared" si="8"/>
        <v>Jun-24</v>
      </c>
      <c r="BE57" s="30" t="str">
        <f t="shared" si="9"/>
        <v/>
      </c>
      <c r="BF57" s="30" t="str">
        <f t="shared" si="10"/>
        <v/>
      </c>
      <c r="BG57" s="30" t="str">
        <f t="shared" si="11"/>
        <v/>
      </c>
    </row>
    <row r="58" spans="1:59">
      <c r="A58" s="30">
        <f t="shared" si="6"/>
        <v>57</v>
      </c>
      <c r="B58" s="30">
        <v>20243613</v>
      </c>
      <c r="C58" s="30" t="s">
        <v>3847</v>
      </c>
      <c r="D58" s="30" t="s">
        <v>1920</v>
      </c>
      <c r="E58" s="30" t="s">
        <v>4005</v>
      </c>
      <c r="F58" s="30" t="s">
        <v>4006</v>
      </c>
      <c r="G58" s="30" t="s">
        <v>1</v>
      </c>
      <c r="H58" s="30" t="s">
        <v>4006</v>
      </c>
      <c r="I58" s="30" t="s">
        <v>4003</v>
      </c>
      <c r="J58" s="30" t="s">
        <v>135</v>
      </c>
      <c r="K58" s="31">
        <v>45462</v>
      </c>
      <c r="L58" s="31">
        <v>45462</v>
      </c>
      <c r="M58" s="31">
        <v>45467</v>
      </c>
      <c r="N58" s="30" t="s">
        <v>3861</v>
      </c>
      <c r="O58" s="31"/>
      <c r="P58" s="31"/>
      <c r="Q58" s="31"/>
      <c r="R58" s="31"/>
      <c r="S58" s="31"/>
      <c r="T58" s="31"/>
      <c r="U58" s="30"/>
      <c r="V58" s="30"/>
      <c r="W58" s="30"/>
      <c r="X58" s="30" t="s">
        <v>63</v>
      </c>
      <c r="Y58" s="30" t="s">
        <v>218</v>
      </c>
      <c r="Z58" s="30" t="s">
        <v>218</v>
      </c>
      <c r="AA58" s="30" t="s">
        <v>4004</v>
      </c>
      <c r="AB58" s="30"/>
      <c r="AC58" s="30"/>
      <c r="AD58" s="30"/>
      <c r="AE58" s="30"/>
      <c r="AF58" s="30"/>
      <c r="AG58" s="30"/>
      <c r="AH58" s="31"/>
      <c r="AI58" s="31"/>
      <c r="AJ58" s="31"/>
      <c r="AK58" s="30"/>
      <c r="AL58" s="30"/>
      <c r="AM58" s="31"/>
      <c r="AN58" s="31"/>
      <c r="AO58" s="31"/>
      <c r="AP58" s="31"/>
      <c r="AQ58" s="31"/>
      <c r="AR58" s="31"/>
      <c r="AS58" s="31"/>
      <c r="AT58" s="30">
        <f t="shared" ca="1" si="7"/>
        <v>0</v>
      </c>
      <c r="AU58" s="32" t="str">
        <f t="shared" ca="1" si="1"/>
        <v/>
      </c>
      <c r="AV58" s="32" t="str" cm="1">
        <f t="array" aca="1" ref="AV58" ca="1">IFERROR(_xlfn.IFS($AU58="","",$AU58&lt;=15,"0-15",AND($AU58&gt;=16,$AU58&lt;=30),"16-30",AND($AU58&gt;=31,$AU58&lt;=45),"31-45",AND($AU58&gt;=46,$AU58&lt;=60),"46-60",AND($AU58&gt;=61,$AU58&lt;=90),"61-90",AND($AU58&gt;=91),"&gt; 90",AND($AU58&gt;=2000),""),"")</f>
        <v/>
      </c>
      <c r="AW58" s="32" t="str" cm="1">
        <f t="array" aca="1" ref="AW58" ca="1">IFERROR(_xlfn.IFS(OR($M58="",$AM58=""),"",OR($C58="Offered",$C58="Joined"),($AM58-$M58)-$AT58),"")</f>
        <v/>
      </c>
      <c r="AX58" s="32" t="str" cm="1">
        <f t="array" aca="1" ref="AX58" ca="1">IFERROR(_xlfn.IFS(OR($M58="",$AS58=""),"",$C58="Joined",($AS58-$M58)-$AT58),"")</f>
        <v/>
      </c>
      <c r="AY58" s="30" t="str">
        <f>IFERROR(IF(COUNTIFS('Candidate Tracker'!$E:$E,'Positions Tracker'!$B58,'Candidate Tracker'!$C:$C,"Offer Drop")=0,"",COUNTIFS('Candidate Tracker'!$E:$E,'Positions Tracker'!$B58,'Candidate Tracker'!$C:$C,"Offer Drop")),"")</f>
        <v/>
      </c>
      <c r="AZ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 s="34" t="str">
        <f>IFERROR(IF(COUNTIFS('Candidate Tracker'!$E:$E,'Positions Tracker'!$B58,'Candidate Tracker'!$I:$I,"Female")=0,"",COUNTIFS('Candidate Tracker'!$E:$E,'Positions Tracker'!$B58,'Candidate Tracker'!$I:$I,"Female")),"")</f>
        <v/>
      </c>
      <c r="BB58" s="34" t="str">
        <f>IFERROR(IF(COUNTIFS('Candidate Tracker'!$E:$E,'Positions Tracker'!$B58,'Candidate Tracker'!$I:$I,"male")=0,"",COUNTIFS('Candidate Tracker'!$E:$E,'Positions Tracker'!$B58,'Candidate Tracker'!$I:$I,"male")),"")</f>
        <v/>
      </c>
      <c r="BC58" s="33" t="str">
        <f>IFERROR(IF(COUNTIFS('Candidate Tracker'!$E:$E,'Positions Tracker'!$B58,'Candidate Tracker'!$C:$C,"&lt;&gt;WIP",'Candidate Tracker'!$C:$C,"&lt;&gt;Hold",'Candidate Tracker'!$C:$C,"&lt;&gt;Cancelled",'Candidate Tracker'!$C:$C,"&lt;&gt;Closed")/COUNTIFS('Candidate Tracker'!$E:$E,'Positions Tracker'!$B58)=0,"",COUNTIFS('Candidate Tracker'!$E:$E,'Positions Tracker'!$B58,'Candidate Tracker'!$C:$C,"&lt;&gt;WIP",'Candidate Tracker'!$C:$C,"&lt;&gt;Hold",'Candidate Tracker'!$C:$C,"&lt;&gt;Cancelled",'Candidate Tracker'!$C:$C,"&lt;&gt;Closed")/COUNTIFS('Candidate Tracker'!$E:$E,'Positions Tracker'!$B58)),"")</f>
        <v/>
      </c>
      <c r="BD58" s="30" t="str">
        <f t="shared" si="8"/>
        <v>Jun-24</v>
      </c>
      <c r="BE58" s="30" t="str">
        <f t="shared" si="9"/>
        <v/>
      </c>
      <c r="BF58" s="30" t="str">
        <f t="shared" si="10"/>
        <v/>
      </c>
      <c r="BG58" s="30" t="str">
        <f t="shared" si="11"/>
        <v/>
      </c>
    </row>
    <row r="59" spans="1:59">
      <c r="A59" s="30">
        <f t="shared" si="6"/>
        <v>58</v>
      </c>
      <c r="B59" s="30">
        <v>20243614</v>
      </c>
      <c r="C59" s="30" t="s">
        <v>3857</v>
      </c>
      <c r="D59" s="30" t="s">
        <v>3857</v>
      </c>
      <c r="E59" s="30" t="s">
        <v>4005</v>
      </c>
      <c r="F59" s="30" t="s">
        <v>4006</v>
      </c>
      <c r="G59" s="30" t="s">
        <v>1</v>
      </c>
      <c r="H59" s="30" t="s">
        <v>4006</v>
      </c>
      <c r="I59" s="30" t="s">
        <v>4003</v>
      </c>
      <c r="J59" s="30" t="s">
        <v>135</v>
      </c>
      <c r="K59" s="31">
        <v>45462</v>
      </c>
      <c r="L59" s="31">
        <v>45462</v>
      </c>
      <c r="M59" s="31">
        <v>45467</v>
      </c>
      <c r="N59" s="30" t="s">
        <v>3861</v>
      </c>
      <c r="O59" s="31">
        <v>45492</v>
      </c>
      <c r="P59" s="31"/>
      <c r="Q59" s="31"/>
      <c r="R59" s="31"/>
      <c r="S59" s="31"/>
      <c r="T59" s="31"/>
      <c r="U59" s="30"/>
      <c r="V59" s="30"/>
      <c r="W59" s="30"/>
      <c r="X59" s="30" t="s">
        <v>63</v>
      </c>
      <c r="Y59" s="30" t="s">
        <v>218</v>
      </c>
      <c r="Z59" s="30" t="s">
        <v>218</v>
      </c>
      <c r="AA59" s="30" t="s">
        <v>4004</v>
      </c>
      <c r="AB59" s="30"/>
      <c r="AC59" s="30"/>
      <c r="AD59" s="30"/>
      <c r="AE59" s="30"/>
      <c r="AF59" s="30"/>
      <c r="AG59" s="30"/>
      <c r="AH59" s="31"/>
      <c r="AI59" s="31"/>
      <c r="AJ59" s="31"/>
      <c r="AK59" s="30"/>
      <c r="AL59" s="30"/>
      <c r="AM59" s="31"/>
      <c r="AN59" s="31"/>
      <c r="AO59" s="31"/>
      <c r="AP59" s="31"/>
      <c r="AQ59" s="31"/>
      <c r="AR59" s="31"/>
      <c r="AS59" s="31"/>
      <c r="AT59" s="30">
        <f t="shared" ca="1" si="7"/>
        <v>537</v>
      </c>
      <c r="AU59" s="32" t="str">
        <f t="shared" ca="1" si="1"/>
        <v/>
      </c>
      <c r="AV59" s="32" t="str" cm="1">
        <f t="array" aca="1" ref="AV59" ca="1">IFERROR(_xlfn.IFS($AU59="","",$AU59&lt;=15,"0-15",AND($AU59&gt;=16,$AU59&lt;=30),"16-30",AND($AU59&gt;=31,$AU59&lt;=45),"31-45",AND($AU59&gt;=46,$AU59&lt;=60),"46-60",AND($AU59&gt;=61,$AU59&lt;=90),"61-90",AND($AU59&gt;=91),"&gt; 90",AND($AU59&gt;=2000),""),"")</f>
        <v/>
      </c>
      <c r="AW59" s="32" t="str" cm="1">
        <f t="array" aca="1" ref="AW59" ca="1">IFERROR(_xlfn.IFS(OR($M59="",$AM59=""),"",OR($C59="Offered",$C59="Joined"),($AM59-$M59)-$AT59),"")</f>
        <v/>
      </c>
      <c r="AX59" s="32" t="str" cm="1">
        <f t="array" aca="1" ref="AX59" ca="1">IFERROR(_xlfn.IFS(OR($M59="",$AS59=""),"",$C59="Joined",($AS59-$M59)-$AT59),"")</f>
        <v/>
      </c>
      <c r="AY59" s="30" t="str">
        <f>IFERROR(IF(COUNTIFS('Candidate Tracker'!$E:$E,'Positions Tracker'!$B59,'Candidate Tracker'!$C:$C,"Offer Drop")=0,"",COUNTIFS('Candidate Tracker'!$E:$E,'Positions Tracker'!$B59,'Candidate Tracker'!$C:$C,"Offer Drop")),"")</f>
        <v/>
      </c>
      <c r="AZ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 s="34" t="str">
        <f>IFERROR(IF(COUNTIFS('Candidate Tracker'!$E:$E,'Positions Tracker'!$B59,'Candidate Tracker'!$I:$I,"Female")=0,"",COUNTIFS('Candidate Tracker'!$E:$E,'Positions Tracker'!$B59,'Candidate Tracker'!$I:$I,"Female")),"")</f>
        <v/>
      </c>
      <c r="BB59" s="34" t="str">
        <f>IFERROR(IF(COUNTIFS('Candidate Tracker'!$E:$E,'Positions Tracker'!$B59,'Candidate Tracker'!$I:$I,"male")=0,"",COUNTIFS('Candidate Tracker'!$E:$E,'Positions Tracker'!$B59,'Candidate Tracker'!$I:$I,"male")),"")</f>
        <v/>
      </c>
      <c r="BC59" s="33" t="str">
        <f>IFERROR(IF(COUNTIFS('Candidate Tracker'!$E:$E,'Positions Tracker'!$B59,'Candidate Tracker'!$C:$C,"&lt;&gt;WIP",'Candidate Tracker'!$C:$C,"&lt;&gt;Hold",'Candidate Tracker'!$C:$C,"&lt;&gt;Cancelled",'Candidate Tracker'!$C:$C,"&lt;&gt;Closed")/COUNTIFS('Candidate Tracker'!$E:$E,'Positions Tracker'!$B59)=0,"",COUNTIFS('Candidate Tracker'!$E:$E,'Positions Tracker'!$B59,'Candidate Tracker'!$C:$C,"&lt;&gt;WIP",'Candidate Tracker'!$C:$C,"&lt;&gt;Hold",'Candidate Tracker'!$C:$C,"&lt;&gt;Cancelled",'Candidate Tracker'!$C:$C,"&lt;&gt;Closed")/COUNTIFS('Candidate Tracker'!$E:$E,'Positions Tracker'!$B59)),"")</f>
        <v/>
      </c>
      <c r="BD59" s="30" t="str">
        <f t="shared" si="8"/>
        <v>Jun-24</v>
      </c>
      <c r="BE59" s="30" t="str">
        <f t="shared" si="9"/>
        <v/>
      </c>
      <c r="BF59" s="30" t="str">
        <f t="shared" si="10"/>
        <v/>
      </c>
      <c r="BG59" s="30" t="str">
        <f t="shared" si="11"/>
        <v/>
      </c>
    </row>
    <row r="60" spans="1:59">
      <c r="A60" s="30">
        <f t="shared" si="6"/>
        <v>59</v>
      </c>
      <c r="B60" s="30">
        <v>20243615</v>
      </c>
      <c r="C60" s="30" t="s">
        <v>3857</v>
      </c>
      <c r="D60" s="30" t="s">
        <v>3857</v>
      </c>
      <c r="E60" s="30" t="s">
        <v>4007</v>
      </c>
      <c r="F60" s="30" t="s">
        <v>4008</v>
      </c>
      <c r="G60" s="30" t="s">
        <v>1</v>
      </c>
      <c r="H60" s="30" t="s">
        <v>76</v>
      </c>
      <c r="I60" s="30" t="s">
        <v>4003</v>
      </c>
      <c r="J60" s="30" t="s">
        <v>135</v>
      </c>
      <c r="K60" s="31">
        <v>45462</v>
      </c>
      <c r="L60" s="31">
        <v>45462</v>
      </c>
      <c r="M60" s="31">
        <v>45467</v>
      </c>
      <c r="N60" s="30"/>
      <c r="O60" s="31"/>
      <c r="P60" s="31"/>
      <c r="Q60" s="31"/>
      <c r="R60" s="31"/>
      <c r="S60" s="31"/>
      <c r="T60" s="31"/>
      <c r="U60" s="30"/>
      <c r="V60" s="30"/>
      <c r="W60" s="30"/>
      <c r="X60" s="30" t="s">
        <v>63</v>
      </c>
      <c r="Y60" s="30" t="s">
        <v>218</v>
      </c>
      <c r="Z60" s="30" t="s">
        <v>218</v>
      </c>
      <c r="AA60" s="30" t="s">
        <v>4004</v>
      </c>
      <c r="AB60" s="30"/>
      <c r="AC60" s="30"/>
      <c r="AD60" s="30"/>
      <c r="AE60" s="30"/>
      <c r="AF60" s="30"/>
      <c r="AG60" s="30"/>
      <c r="AH60" s="31"/>
      <c r="AI60" s="31"/>
      <c r="AJ60" s="31"/>
      <c r="AK60" s="30"/>
      <c r="AL60" s="30"/>
      <c r="AM60" s="31"/>
      <c r="AN60" s="31"/>
      <c r="AO60" s="31"/>
      <c r="AP60" s="31"/>
      <c r="AQ60" s="31"/>
      <c r="AR60" s="31"/>
      <c r="AS60" s="31"/>
      <c r="AT60" s="30">
        <f t="shared" ca="1" si="7"/>
        <v>0</v>
      </c>
      <c r="AU60" s="32" t="str">
        <f t="shared" ca="1" si="1"/>
        <v/>
      </c>
      <c r="AV60" s="32" t="str" cm="1">
        <f t="array" aca="1" ref="AV60" ca="1">IFERROR(_xlfn.IFS($AU60="","",$AU60&lt;=15,"0-15",AND($AU60&gt;=16,$AU60&lt;=30),"16-30",AND($AU60&gt;=31,$AU60&lt;=45),"31-45",AND($AU60&gt;=46,$AU60&lt;=60),"46-60",AND($AU60&gt;=61,$AU60&lt;=90),"61-90",AND($AU60&gt;=91),"&gt; 90",AND($AU60&gt;=2000),""),"")</f>
        <v/>
      </c>
      <c r="AW60" s="32" t="str" cm="1">
        <f t="array" aca="1" ref="AW60" ca="1">IFERROR(_xlfn.IFS(OR($M60="",$AM60=""),"",OR($C60="Offered",$C60="Joined"),($AM60-$M60)-$AT60),"")</f>
        <v/>
      </c>
      <c r="AX60" s="32" t="str" cm="1">
        <f t="array" aca="1" ref="AX60" ca="1">IFERROR(_xlfn.IFS(OR($M60="",$AS60=""),"",$C60="Joined",($AS60-$M60)-$AT60),"")</f>
        <v/>
      </c>
      <c r="AY60" s="30" t="str">
        <f>IFERROR(IF(COUNTIFS('Candidate Tracker'!$E:$E,'Positions Tracker'!$B60,'Candidate Tracker'!$C:$C,"Offer Drop")=0,"",COUNTIFS('Candidate Tracker'!$E:$E,'Positions Tracker'!$B60,'Candidate Tracker'!$C:$C,"Offer Drop")),"")</f>
        <v/>
      </c>
      <c r="AZ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 s="34" t="str">
        <f>IFERROR(IF(COUNTIFS('Candidate Tracker'!$E:$E,'Positions Tracker'!$B60,'Candidate Tracker'!$I:$I,"Female")=0,"",COUNTIFS('Candidate Tracker'!$E:$E,'Positions Tracker'!$B60,'Candidate Tracker'!$I:$I,"Female")),"")</f>
        <v/>
      </c>
      <c r="BB60" s="34" t="str">
        <f>IFERROR(IF(COUNTIFS('Candidate Tracker'!$E:$E,'Positions Tracker'!$B60,'Candidate Tracker'!$I:$I,"male")=0,"",COUNTIFS('Candidate Tracker'!$E:$E,'Positions Tracker'!$B60,'Candidate Tracker'!$I:$I,"male")),"")</f>
        <v/>
      </c>
      <c r="BC60" s="33" t="str">
        <f>IFERROR(IF(COUNTIFS('Candidate Tracker'!$E:$E,'Positions Tracker'!$B60,'Candidate Tracker'!$C:$C,"&lt;&gt;WIP",'Candidate Tracker'!$C:$C,"&lt;&gt;Hold",'Candidate Tracker'!$C:$C,"&lt;&gt;Cancelled",'Candidate Tracker'!$C:$C,"&lt;&gt;Closed")/COUNTIFS('Candidate Tracker'!$E:$E,'Positions Tracker'!$B60)=0,"",COUNTIFS('Candidate Tracker'!$E:$E,'Positions Tracker'!$B60,'Candidate Tracker'!$C:$C,"&lt;&gt;WIP",'Candidate Tracker'!$C:$C,"&lt;&gt;Hold",'Candidate Tracker'!$C:$C,"&lt;&gt;Cancelled",'Candidate Tracker'!$C:$C,"&lt;&gt;Closed")/COUNTIFS('Candidate Tracker'!$E:$E,'Positions Tracker'!$B60)),"")</f>
        <v/>
      </c>
      <c r="BD60" s="30" t="str">
        <f t="shared" si="8"/>
        <v>Jun-24</v>
      </c>
      <c r="BE60" s="30" t="str">
        <f t="shared" si="9"/>
        <v/>
      </c>
      <c r="BF60" s="30" t="str">
        <f t="shared" si="10"/>
        <v/>
      </c>
      <c r="BG60" s="30" t="str">
        <f t="shared" si="11"/>
        <v/>
      </c>
    </row>
    <row r="61" spans="1:59">
      <c r="A61" s="30">
        <f t="shared" si="6"/>
        <v>60</v>
      </c>
      <c r="B61" s="30">
        <v>20243678</v>
      </c>
      <c r="C61" s="30" t="s">
        <v>3857</v>
      </c>
      <c r="D61" s="30" t="s">
        <v>3857</v>
      </c>
      <c r="E61" s="30" t="s">
        <v>4009</v>
      </c>
      <c r="F61" s="30" t="s">
        <v>4010</v>
      </c>
      <c r="G61" s="30" t="s">
        <v>1</v>
      </c>
      <c r="H61" s="30" t="s">
        <v>4010</v>
      </c>
      <c r="I61" s="30" t="s">
        <v>4011</v>
      </c>
      <c r="J61" s="30" t="s">
        <v>135</v>
      </c>
      <c r="K61" s="31">
        <v>45462</v>
      </c>
      <c r="L61" s="31">
        <v>45462</v>
      </c>
      <c r="M61" s="31">
        <v>45463</v>
      </c>
      <c r="N61" s="30"/>
      <c r="O61" s="31">
        <v>45488</v>
      </c>
      <c r="P61" s="31"/>
      <c r="Q61" s="31"/>
      <c r="R61" s="31"/>
      <c r="S61" s="31"/>
      <c r="T61" s="31"/>
      <c r="U61" s="30"/>
      <c r="V61" s="30"/>
      <c r="W61" s="30"/>
      <c r="X61" s="30" t="s">
        <v>63</v>
      </c>
      <c r="Y61" s="30" t="s">
        <v>218</v>
      </c>
      <c r="Z61" s="30" t="s">
        <v>218</v>
      </c>
      <c r="AA61" s="30" t="s">
        <v>4012</v>
      </c>
      <c r="AB61" s="30"/>
      <c r="AC61" s="30"/>
      <c r="AD61" s="30"/>
      <c r="AE61" s="30"/>
      <c r="AF61" s="30"/>
      <c r="AG61" s="30"/>
      <c r="AH61" s="31"/>
      <c r="AI61" s="31"/>
      <c r="AJ61" s="31"/>
      <c r="AK61" s="30"/>
      <c r="AL61" s="30"/>
      <c r="AM61" s="31"/>
      <c r="AN61" s="31"/>
      <c r="AO61" s="31"/>
      <c r="AP61" s="31"/>
      <c r="AQ61" s="31"/>
      <c r="AR61" s="31"/>
      <c r="AS61" s="31"/>
      <c r="AT61" s="30">
        <f t="shared" ca="1" si="7"/>
        <v>541</v>
      </c>
      <c r="AU61" s="32" t="str">
        <f t="shared" ca="1" si="1"/>
        <v/>
      </c>
      <c r="AV61" s="32" t="str" cm="1">
        <f t="array" aca="1" ref="AV61" ca="1">IFERROR(_xlfn.IFS($AU61="","",$AU61&lt;=15,"0-15",AND($AU61&gt;=16,$AU61&lt;=30),"16-30",AND($AU61&gt;=31,$AU61&lt;=45),"31-45",AND($AU61&gt;=46,$AU61&lt;=60),"46-60",AND($AU61&gt;=61,$AU61&lt;=90),"61-90",AND($AU61&gt;=91),"&gt; 90",AND($AU61&gt;=2000),""),"")</f>
        <v/>
      </c>
      <c r="AW61" s="32" t="str" cm="1">
        <f t="array" aca="1" ref="AW61" ca="1">IFERROR(_xlfn.IFS(OR($M61="",$AM61=""),"",OR($C61="Offered",$C61="Joined"),($AM61-$M61)-$AT61),"")</f>
        <v/>
      </c>
      <c r="AX61" s="32" t="str" cm="1">
        <f t="array" aca="1" ref="AX61" ca="1">IFERROR(_xlfn.IFS(OR($M61="",$AS61=""),"",$C61="Joined",($AS61-$M61)-$AT61),"")</f>
        <v/>
      </c>
      <c r="AY61" s="30" t="str">
        <f>IFERROR(IF(COUNTIFS('Candidate Tracker'!$E:$E,'Positions Tracker'!$B61,'Candidate Tracker'!$C:$C,"Offer Drop")=0,"",COUNTIFS('Candidate Tracker'!$E:$E,'Positions Tracker'!$B61,'Candidate Tracker'!$C:$C,"Offer Drop")),"")</f>
        <v/>
      </c>
      <c r="AZ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 s="34" t="str">
        <f>IFERROR(IF(COUNTIFS('Candidate Tracker'!$E:$E,'Positions Tracker'!$B61,'Candidate Tracker'!$I:$I,"Female")=0,"",COUNTIFS('Candidate Tracker'!$E:$E,'Positions Tracker'!$B61,'Candidate Tracker'!$I:$I,"Female")),"")</f>
        <v/>
      </c>
      <c r="BB61" s="34" t="str">
        <f>IFERROR(IF(COUNTIFS('Candidate Tracker'!$E:$E,'Positions Tracker'!$B61,'Candidate Tracker'!$I:$I,"male")=0,"",COUNTIFS('Candidate Tracker'!$E:$E,'Positions Tracker'!$B61,'Candidate Tracker'!$I:$I,"male")),"")</f>
        <v/>
      </c>
      <c r="BC61" s="33" t="str">
        <f>IFERROR(IF(COUNTIFS('Candidate Tracker'!$E:$E,'Positions Tracker'!$B61,'Candidate Tracker'!$C:$C,"&lt;&gt;WIP",'Candidate Tracker'!$C:$C,"&lt;&gt;Hold",'Candidate Tracker'!$C:$C,"&lt;&gt;Cancelled",'Candidate Tracker'!$C:$C,"&lt;&gt;Closed")/COUNTIFS('Candidate Tracker'!$E:$E,'Positions Tracker'!$B61)=0,"",COUNTIFS('Candidate Tracker'!$E:$E,'Positions Tracker'!$B61,'Candidate Tracker'!$C:$C,"&lt;&gt;WIP",'Candidate Tracker'!$C:$C,"&lt;&gt;Hold",'Candidate Tracker'!$C:$C,"&lt;&gt;Cancelled",'Candidate Tracker'!$C:$C,"&lt;&gt;Closed")/COUNTIFS('Candidate Tracker'!$E:$E,'Positions Tracker'!$B61)),"")</f>
        <v/>
      </c>
      <c r="BD61" s="30" t="str">
        <f t="shared" si="8"/>
        <v>Jun-24</v>
      </c>
      <c r="BE61" s="30" t="str">
        <f t="shared" si="9"/>
        <v/>
      </c>
      <c r="BF61" s="30" t="str">
        <f t="shared" si="10"/>
        <v/>
      </c>
      <c r="BG61" s="30" t="str">
        <f t="shared" si="11"/>
        <v/>
      </c>
    </row>
    <row r="62" spans="1:59">
      <c r="A62" s="30">
        <f t="shared" si="6"/>
        <v>61</v>
      </c>
      <c r="B62" s="30">
        <v>20248908</v>
      </c>
      <c r="C62" s="30" t="s">
        <v>3857</v>
      </c>
      <c r="D62" s="30" t="s">
        <v>3857</v>
      </c>
      <c r="E62" s="30" t="s">
        <v>4013</v>
      </c>
      <c r="F62" s="30" t="s">
        <v>4014</v>
      </c>
      <c r="G62" s="30" t="s">
        <v>1</v>
      </c>
      <c r="H62" s="30" t="s">
        <v>4014</v>
      </c>
      <c r="I62" s="30" t="s">
        <v>4003</v>
      </c>
      <c r="J62" s="30" t="s">
        <v>135</v>
      </c>
      <c r="K62" s="31">
        <v>45602</v>
      </c>
      <c r="L62" s="31">
        <v>45602</v>
      </c>
      <c r="M62" s="31">
        <v>45604</v>
      </c>
      <c r="N62" s="30" t="s">
        <v>3892</v>
      </c>
      <c r="O62" s="31">
        <v>45623</v>
      </c>
      <c r="P62" s="31">
        <v>45645</v>
      </c>
      <c r="Q62" s="31"/>
      <c r="R62" s="31"/>
      <c r="S62" s="31"/>
      <c r="T62" s="31"/>
      <c r="U62" s="30"/>
      <c r="V62" s="30"/>
      <c r="W62" s="30"/>
      <c r="X62" s="30" t="s">
        <v>63</v>
      </c>
      <c r="Y62" s="30" t="s">
        <v>218</v>
      </c>
      <c r="Z62" s="30" t="s">
        <v>218</v>
      </c>
      <c r="AA62" s="30" t="s">
        <v>4004</v>
      </c>
      <c r="AB62" s="30"/>
      <c r="AC62" s="30"/>
      <c r="AD62" s="30"/>
      <c r="AE62" s="30"/>
      <c r="AF62" s="30"/>
      <c r="AG62" s="30"/>
      <c r="AH62" s="31"/>
      <c r="AI62" s="31"/>
      <c r="AJ62" s="31"/>
      <c r="AK62" s="30"/>
      <c r="AL62" s="30"/>
      <c r="AM62" s="31"/>
      <c r="AN62" s="31"/>
      <c r="AO62" s="31"/>
      <c r="AP62" s="31"/>
      <c r="AQ62" s="31"/>
      <c r="AR62" s="31"/>
      <c r="AS62" s="31"/>
      <c r="AT62" s="30">
        <f t="shared" ca="1" si="7"/>
        <v>790</v>
      </c>
      <c r="AU62" s="32" t="str">
        <f t="shared" ca="1" si="1"/>
        <v/>
      </c>
      <c r="AV62" s="32" t="str" cm="1">
        <f t="array" aca="1" ref="AV62" ca="1">IFERROR(_xlfn.IFS($AU62="","",$AU62&lt;=15,"0-15",AND($AU62&gt;=16,$AU62&lt;=30),"16-30",AND($AU62&gt;=31,$AU62&lt;=45),"31-45",AND($AU62&gt;=46,$AU62&lt;=60),"46-60",AND($AU62&gt;=61,$AU62&lt;=90),"61-90",AND($AU62&gt;=91),"&gt; 90",AND($AU62&gt;=2000),""),"")</f>
        <v/>
      </c>
      <c r="AW62" s="32" t="str" cm="1">
        <f t="array" aca="1" ref="AW62" ca="1">IFERROR(_xlfn.IFS(OR($M62="",$AM62=""),"",OR($C62="Offered",$C62="Joined"),($AM62-$M62)-$AT62),"")</f>
        <v/>
      </c>
      <c r="AX62" s="32" t="str" cm="1">
        <f t="array" aca="1" ref="AX62" ca="1">IFERROR(_xlfn.IFS(OR($M62="",$AS62=""),"",$C62="Joined",($AS62-$M62)-$AT62),"")</f>
        <v/>
      </c>
      <c r="AY62" s="30" t="str">
        <f>IFERROR(IF(COUNTIFS('Candidate Tracker'!$E:$E,'Positions Tracker'!$B62,'Candidate Tracker'!$C:$C,"Offer Drop")=0,"",COUNTIFS('Candidate Tracker'!$E:$E,'Positions Tracker'!$B62,'Candidate Tracker'!$C:$C,"Offer Drop")),"")</f>
        <v/>
      </c>
      <c r="AZ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 s="34" t="str">
        <f>IFERROR(IF(COUNTIFS('Candidate Tracker'!$E:$E,'Positions Tracker'!$B62,'Candidate Tracker'!$I:$I,"Female")=0,"",COUNTIFS('Candidate Tracker'!$E:$E,'Positions Tracker'!$B62,'Candidate Tracker'!$I:$I,"Female")),"")</f>
        <v/>
      </c>
      <c r="BB62" s="34" t="str">
        <f>IFERROR(IF(COUNTIFS('Candidate Tracker'!$E:$E,'Positions Tracker'!$B62,'Candidate Tracker'!$I:$I,"male")=0,"",COUNTIFS('Candidate Tracker'!$E:$E,'Positions Tracker'!$B62,'Candidate Tracker'!$I:$I,"male")),"")</f>
        <v/>
      </c>
      <c r="BC62" s="33" t="str">
        <f>IFERROR(IF(COUNTIFS('Candidate Tracker'!$E:$E,'Positions Tracker'!$B62,'Candidate Tracker'!$C:$C,"&lt;&gt;WIP",'Candidate Tracker'!$C:$C,"&lt;&gt;Hold",'Candidate Tracker'!$C:$C,"&lt;&gt;Cancelled",'Candidate Tracker'!$C:$C,"&lt;&gt;Closed")/COUNTIFS('Candidate Tracker'!$E:$E,'Positions Tracker'!$B62)=0,"",COUNTIFS('Candidate Tracker'!$E:$E,'Positions Tracker'!$B62,'Candidate Tracker'!$C:$C,"&lt;&gt;WIP",'Candidate Tracker'!$C:$C,"&lt;&gt;Hold",'Candidate Tracker'!$C:$C,"&lt;&gt;Cancelled",'Candidate Tracker'!$C:$C,"&lt;&gt;Closed")/COUNTIFS('Candidate Tracker'!$E:$E,'Positions Tracker'!$B62)),"")</f>
        <v/>
      </c>
      <c r="BD62" s="30" t="str">
        <f t="shared" si="8"/>
        <v>Nov-24</v>
      </c>
      <c r="BE62" s="30" t="str">
        <f t="shared" si="9"/>
        <v/>
      </c>
      <c r="BF62" s="30" t="str">
        <f t="shared" si="10"/>
        <v/>
      </c>
      <c r="BG62" s="30" t="str">
        <f t="shared" si="11"/>
        <v/>
      </c>
    </row>
    <row r="63" spans="1:59">
      <c r="A63" s="30">
        <f t="shared" si="6"/>
        <v>62</v>
      </c>
      <c r="B63" s="30">
        <v>20240979</v>
      </c>
      <c r="C63" s="30" t="s">
        <v>3847</v>
      </c>
      <c r="D63" s="30" t="s">
        <v>3847</v>
      </c>
      <c r="E63" s="30" t="s">
        <v>4015</v>
      </c>
      <c r="F63" s="30" t="s">
        <v>2356</v>
      </c>
      <c r="G63" s="30" t="s">
        <v>3</v>
      </c>
      <c r="H63" s="30" t="s">
        <v>2356</v>
      </c>
      <c r="I63" s="30" t="s">
        <v>4016</v>
      </c>
      <c r="J63" s="30" t="s">
        <v>135</v>
      </c>
      <c r="K63" s="31">
        <v>45509</v>
      </c>
      <c r="L63" s="31">
        <v>45509</v>
      </c>
      <c r="M63" s="31">
        <v>45509</v>
      </c>
      <c r="N63" s="30" t="s">
        <v>3850</v>
      </c>
      <c r="O63" s="31"/>
      <c r="P63" s="31"/>
      <c r="Q63" s="31"/>
      <c r="R63" s="31"/>
      <c r="S63" s="31"/>
      <c r="T63" s="31"/>
      <c r="U63" s="30"/>
      <c r="V63" s="30"/>
      <c r="W63" s="30"/>
      <c r="X63" s="30" t="s">
        <v>63</v>
      </c>
      <c r="Y63" s="30" t="s">
        <v>218</v>
      </c>
      <c r="Z63" s="30" t="s">
        <v>218</v>
      </c>
      <c r="AA63" s="30" t="s">
        <v>4017</v>
      </c>
      <c r="AB63" s="30"/>
      <c r="AC63" s="30"/>
      <c r="AD63" s="30"/>
      <c r="AE63" s="30"/>
      <c r="AF63" s="30"/>
      <c r="AG63" s="30"/>
      <c r="AH63" s="31"/>
      <c r="AI63" s="31"/>
      <c r="AJ63" s="31"/>
      <c r="AK63" s="30"/>
      <c r="AL63" s="30"/>
      <c r="AM63" s="31"/>
      <c r="AN63" s="31"/>
      <c r="AO63" s="31"/>
      <c r="AP63" s="31"/>
      <c r="AQ63" s="31"/>
      <c r="AR63" s="31"/>
      <c r="AS63" s="31"/>
      <c r="AT63" s="30">
        <f t="shared" ca="1" si="7"/>
        <v>0</v>
      </c>
      <c r="AU63" s="32" t="str">
        <f t="shared" ca="1" si="1"/>
        <v/>
      </c>
      <c r="AV63" s="32" t="str" cm="1">
        <f t="array" aca="1" ref="AV63" ca="1">IFERROR(_xlfn.IFS($AU63="","",$AU63&lt;=15,"0-15",AND($AU63&gt;=16,$AU63&lt;=30),"16-30",AND($AU63&gt;=31,$AU63&lt;=45),"31-45",AND($AU63&gt;=46,$AU63&lt;=60),"46-60",AND($AU63&gt;=61,$AU63&lt;=90),"61-90",AND($AU63&gt;=91),"&gt; 90",AND($AU63&gt;=2000),""),"")</f>
        <v/>
      </c>
      <c r="AW63" s="32" t="str" cm="1">
        <f t="array" aca="1" ref="AW63" ca="1">IFERROR(_xlfn.IFS(OR($M63="",$AM63=""),"",OR($C63="Offered",$C63="Joined"),($AM63-$M63)-$AT63),"")</f>
        <v/>
      </c>
      <c r="AX63" s="32" t="str" cm="1">
        <f t="array" aca="1" ref="AX63" ca="1">IFERROR(_xlfn.IFS(OR($M63="",$AS63=""),"",$C63="Joined",($AS63-$M63)-$AT63),"")</f>
        <v/>
      </c>
      <c r="AY63" s="30" t="str">
        <f>IFERROR(IF(COUNTIFS('Candidate Tracker'!$E:$E,'Positions Tracker'!$B63,'Candidate Tracker'!$C:$C,"Offer Drop")=0,"",COUNTIFS('Candidate Tracker'!$E:$E,'Positions Tracker'!$B63,'Candidate Tracker'!$C:$C,"Offer Drop")),"")</f>
        <v/>
      </c>
      <c r="AZ6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 s="34" t="str">
        <f>IFERROR(IF(COUNTIFS('Candidate Tracker'!$E:$E,'Positions Tracker'!$B63,'Candidate Tracker'!$I:$I,"Female")=0,"",COUNTIFS('Candidate Tracker'!$E:$E,'Positions Tracker'!$B63,'Candidate Tracker'!$I:$I,"Female")),"")</f>
        <v/>
      </c>
      <c r="BB63" s="34" t="str">
        <f>IFERROR(IF(COUNTIFS('Candidate Tracker'!$E:$E,'Positions Tracker'!$B63,'Candidate Tracker'!$I:$I,"male")=0,"",COUNTIFS('Candidate Tracker'!$E:$E,'Positions Tracker'!$B63,'Candidate Tracker'!$I:$I,"male")),"")</f>
        <v/>
      </c>
      <c r="BC63" s="33" t="str">
        <f>IFERROR(IF(COUNTIFS('Candidate Tracker'!$E:$E,'Positions Tracker'!$B63,'Candidate Tracker'!$C:$C,"&lt;&gt;WIP",'Candidate Tracker'!$C:$C,"&lt;&gt;Hold",'Candidate Tracker'!$C:$C,"&lt;&gt;Cancelled",'Candidate Tracker'!$C:$C,"&lt;&gt;Closed")/COUNTIFS('Candidate Tracker'!$E:$E,'Positions Tracker'!$B63)=0,"",COUNTIFS('Candidate Tracker'!$E:$E,'Positions Tracker'!$B63,'Candidate Tracker'!$C:$C,"&lt;&gt;WIP",'Candidate Tracker'!$C:$C,"&lt;&gt;Hold",'Candidate Tracker'!$C:$C,"&lt;&gt;Cancelled",'Candidate Tracker'!$C:$C,"&lt;&gt;Closed")/COUNTIFS('Candidate Tracker'!$E:$E,'Positions Tracker'!$B63)),"")</f>
        <v/>
      </c>
      <c r="BD63" s="30" t="str">
        <f t="shared" si="8"/>
        <v>Aug-24</v>
      </c>
      <c r="BE63" s="30" t="str">
        <f t="shared" si="9"/>
        <v/>
      </c>
      <c r="BF63" s="30" t="str">
        <f t="shared" si="10"/>
        <v/>
      </c>
      <c r="BG63" s="30" t="str">
        <f t="shared" si="11"/>
        <v/>
      </c>
    </row>
    <row r="64" spans="1:59">
      <c r="A64" s="30">
        <f t="shared" si="6"/>
        <v>63</v>
      </c>
      <c r="B64" s="30">
        <v>20240980</v>
      </c>
      <c r="C64" s="30" t="s">
        <v>1044</v>
      </c>
      <c r="D64" s="30" t="s">
        <v>320</v>
      </c>
      <c r="E64" s="30" t="s">
        <v>4015</v>
      </c>
      <c r="F64" s="30" t="s">
        <v>2356</v>
      </c>
      <c r="G64" s="30" t="s">
        <v>3</v>
      </c>
      <c r="H64" s="30" t="s">
        <v>66</v>
      </c>
      <c r="I64" s="30" t="s">
        <v>2357</v>
      </c>
      <c r="J64" s="30" t="s">
        <v>135</v>
      </c>
      <c r="K64" s="31">
        <v>45580</v>
      </c>
      <c r="L64" s="31">
        <v>45580</v>
      </c>
      <c r="M64" s="31">
        <v>45581</v>
      </c>
      <c r="N64" s="30" t="s">
        <v>3850</v>
      </c>
      <c r="O64" s="31"/>
      <c r="P64" s="31"/>
      <c r="Q64" s="31"/>
      <c r="R64" s="31"/>
      <c r="S64" s="31"/>
      <c r="T64" s="31"/>
      <c r="U64" s="30"/>
      <c r="V64" s="30"/>
      <c r="W64" s="30"/>
      <c r="X64" s="30" t="s">
        <v>63</v>
      </c>
      <c r="Y64" s="30" t="s">
        <v>218</v>
      </c>
      <c r="Z64" s="30" t="s">
        <v>218</v>
      </c>
      <c r="AA64" s="30" t="s">
        <v>4018</v>
      </c>
      <c r="AB64" s="30"/>
      <c r="AC64" s="30"/>
      <c r="AD64" s="30"/>
      <c r="AE64" s="30" t="s">
        <v>4019</v>
      </c>
      <c r="AF64" s="30">
        <v>8421741813</v>
      </c>
      <c r="AG64" s="30" t="s">
        <v>4020</v>
      </c>
      <c r="AH64" s="31" t="s">
        <v>101</v>
      </c>
      <c r="AI64" s="31">
        <v>45655</v>
      </c>
      <c r="AJ64" s="31">
        <v>45657</v>
      </c>
      <c r="AK64" s="30" t="s">
        <v>63</v>
      </c>
      <c r="AL64" s="30">
        <v>850000</v>
      </c>
      <c r="AM64" s="31">
        <v>45670</v>
      </c>
      <c r="AN64" s="31">
        <v>45670</v>
      </c>
      <c r="AO64" s="31">
        <v>45670</v>
      </c>
      <c r="AP64" s="31">
        <v>45672</v>
      </c>
      <c r="AQ64" s="31">
        <v>45672</v>
      </c>
      <c r="AR64" s="31">
        <v>45673</v>
      </c>
      <c r="AS64" s="31">
        <v>45677</v>
      </c>
      <c r="AT64" s="30">
        <f t="shared" ca="1" si="7"/>
        <v>0</v>
      </c>
      <c r="AU64" s="32" t="str">
        <f t="shared" ca="1" si="1"/>
        <v/>
      </c>
      <c r="AV64" s="32" t="str" cm="1">
        <f t="array" aca="1" ref="AV64" ca="1">IFERROR(_xlfn.IFS($AU64="","",$AU64&lt;=15,"0-15",AND($AU64&gt;=16,$AU64&lt;=30),"16-30",AND($AU64&gt;=31,$AU64&lt;=45),"31-45",AND($AU64&gt;=46,$AU64&lt;=60),"46-60",AND($AU64&gt;=61,$AU64&lt;=90),"61-90",AND($AU64&gt;=91),"&gt; 90",AND($AU64&gt;=2000),""),"")</f>
        <v/>
      </c>
      <c r="AW64" s="32" t="str" cm="1">
        <f t="array" aca="1" ref="AW64" ca="1">IFERROR(_xlfn.IFS(OR($M64="",$AM64=""),"",OR($C64="Offered",$C64="Joined"),($AM64-$M64)-$AT64),"")</f>
        <v/>
      </c>
      <c r="AX64" s="32" t="str" cm="1">
        <f t="array" aca="1" ref="AX64" ca="1">IFERROR(_xlfn.IFS(OR($M64="",$AS64=""),"",$C64="Joined",($AS64-$M64)-$AT64),"")</f>
        <v/>
      </c>
      <c r="AY64" s="30" t="str">
        <f>IFERROR(IF(COUNTIFS('Candidate Tracker'!$E:$E,'Positions Tracker'!$B64,'Candidate Tracker'!$C:$C,"Offer Drop")=0,"",COUNTIFS('Candidate Tracker'!$E:$E,'Positions Tracker'!$B64,'Candidate Tracker'!$C:$C,"Offer Drop")),"")</f>
        <v/>
      </c>
      <c r="AZ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 s="34" t="str">
        <f>IFERROR(IF(COUNTIFS('Candidate Tracker'!$E:$E,'Positions Tracker'!$B64,'Candidate Tracker'!$I:$I,"Female")=0,"",COUNTIFS('Candidate Tracker'!$E:$E,'Positions Tracker'!$B64,'Candidate Tracker'!$I:$I,"Female")),"")</f>
        <v/>
      </c>
      <c r="BB64" s="34" t="str">
        <f>IFERROR(IF(COUNTIFS('Candidate Tracker'!$E:$E,'Positions Tracker'!$B64,'Candidate Tracker'!$I:$I,"male")=0,"",COUNTIFS('Candidate Tracker'!$E:$E,'Positions Tracker'!$B64,'Candidate Tracker'!$I:$I,"male")),"")</f>
        <v/>
      </c>
      <c r="BC64" s="33" t="str">
        <f>IFERROR(IF(COUNTIFS('Candidate Tracker'!$E:$E,'Positions Tracker'!$B64,'Candidate Tracker'!$C:$C,"&lt;&gt;WIP",'Candidate Tracker'!$C:$C,"&lt;&gt;Hold",'Candidate Tracker'!$C:$C,"&lt;&gt;Cancelled",'Candidate Tracker'!$C:$C,"&lt;&gt;Closed")/COUNTIFS('Candidate Tracker'!$E:$E,'Positions Tracker'!$B64)=0,"",COUNTIFS('Candidate Tracker'!$E:$E,'Positions Tracker'!$B64,'Candidate Tracker'!$C:$C,"&lt;&gt;WIP",'Candidate Tracker'!$C:$C,"&lt;&gt;Hold",'Candidate Tracker'!$C:$C,"&lt;&gt;Cancelled",'Candidate Tracker'!$C:$C,"&lt;&gt;Closed")/COUNTIFS('Candidate Tracker'!$E:$E,'Positions Tracker'!$B64)),"")</f>
        <v/>
      </c>
      <c r="BD64" s="30" t="str">
        <f t="shared" si="8"/>
        <v>Oct-24</v>
      </c>
      <c r="BE64" s="30" t="str">
        <f t="shared" si="9"/>
        <v>Dec-24</v>
      </c>
      <c r="BF64" s="30" t="str">
        <f t="shared" si="10"/>
        <v>Jan-25</v>
      </c>
      <c r="BG64" s="30" t="str">
        <f t="shared" si="11"/>
        <v>Jan-25</v>
      </c>
    </row>
    <row r="65" spans="1:59">
      <c r="A65" s="30">
        <f t="shared" si="6"/>
        <v>64</v>
      </c>
      <c r="B65" s="30">
        <v>20242136</v>
      </c>
      <c r="C65" s="30" t="s">
        <v>51</v>
      </c>
      <c r="D65" s="30" t="s">
        <v>51</v>
      </c>
      <c r="E65" s="30" t="s">
        <v>2065</v>
      </c>
      <c r="F65" s="30" t="s">
        <v>4021</v>
      </c>
      <c r="G65" s="30" t="s">
        <v>1</v>
      </c>
      <c r="H65" s="30" t="s">
        <v>4021</v>
      </c>
      <c r="I65" s="30" t="s">
        <v>2066</v>
      </c>
      <c r="J65" s="30" t="s">
        <v>135</v>
      </c>
      <c r="K65" s="31">
        <v>45518</v>
      </c>
      <c r="L65" s="31">
        <v>45518</v>
      </c>
      <c r="M65" s="31">
        <v>45520</v>
      </c>
      <c r="N65" s="30" t="s">
        <v>3892</v>
      </c>
      <c r="O65" s="31"/>
      <c r="P65" s="31"/>
      <c r="Q65" s="31"/>
      <c r="R65" s="31"/>
      <c r="S65" s="31"/>
      <c r="T65" s="31"/>
      <c r="U65" s="30"/>
      <c r="V65" s="30"/>
      <c r="W65" s="30"/>
      <c r="X65" s="30" t="s">
        <v>63</v>
      </c>
      <c r="Y65" s="30" t="s">
        <v>218</v>
      </c>
      <c r="Z65" s="30" t="s">
        <v>218</v>
      </c>
      <c r="AA65" s="30" t="s">
        <v>4022</v>
      </c>
      <c r="AB65" s="30"/>
      <c r="AC65" s="30"/>
      <c r="AD65" s="30"/>
      <c r="AE65" s="30" t="s">
        <v>4023</v>
      </c>
      <c r="AF65" s="30">
        <v>9699429920</v>
      </c>
      <c r="AG65" s="30" t="s">
        <v>2064</v>
      </c>
      <c r="AH65" s="31" t="s">
        <v>55</v>
      </c>
      <c r="AI65" s="31">
        <v>45617</v>
      </c>
      <c r="AJ65" s="31">
        <v>45619</v>
      </c>
      <c r="AK65" s="30" t="s">
        <v>63</v>
      </c>
      <c r="AL65" s="30">
        <v>1680000</v>
      </c>
      <c r="AM65" s="31">
        <v>45617</v>
      </c>
      <c r="AN65" s="31">
        <v>45624</v>
      </c>
      <c r="AO65" s="31"/>
      <c r="AP65" s="31">
        <v>45625</v>
      </c>
      <c r="AQ65" s="31">
        <v>45625</v>
      </c>
      <c r="AR65" s="31">
        <v>45626</v>
      </c>
      <c r="AS65" s="31">
        <v>45628</v>
      </c>
      <c r="AT65" s="30">
        <f t="shared" ca="1" si="7"/>
        <v>0</v>
      </c>
      <c r="AU65" s="32" t="str">
        <f t="shared" ca="1" si="1"/>
        <v/>
      </c>
      <c r="AV65" s="32" t="str" cm="1">
        <f t="array" aca="1" ref="AV65" ca="1">IFERROR(_xlfn.IFS($AU65="","",$AU65&lt;=15,"0-15",AND($AU65&gt;=16,$AU65&lt;=30),"16-30",AND($AU65&gt;=31,$AU65&lt;=45),"31-45",AND($AU65&gt;=46,$AU65&lt;=60),"46-60",AND($AU65&gt;=61,$AU65&lt;=90),"61-90",AND($AU65&gt;=91),"&gt; 90",AND($AU65&gt;=2000),""),"")</f>
        <v/>
      </c>
      <c r="AW65" s="32" cm="1">
        <f t="array" aca="1" ref="AW65" ca="1">IFERROR(_xlfn.IFS(OR($M65="",$AM65=""),"",OR($C65="Offered",$C65="Joined"),($AM65-$M65)-$AT65),"")</f>
        <v>97</v>
      </c>
      <c r="AX65" s="32" cm="1">
        <f t="array" aca="1" ref="AX65" ca="1">IFERROR(_xlfn.IFS(OR($M65="",$AS65=""),"",$C65="Joined",($AS65-$M65)-$AT65),"")</f>
        <v>108</v>
      </c>
      <c r="AY65" s="30" t="str">
        <f>IFERROR(IF(COUNTIFS('Candidate Tracker'!$E:$E,'Positions Tracker'!$B65,'Candidate Tracker'!$C:$C,"Offer Drop")=0,"",COUNTIFS('Candidate Tracker'!$E:$E,'Positions Tracker'!$B65,'Candidate Tracker'!$C:$C,"Offer Drop")),"")</f>
        <v/>
      </c>
      <c r="AZ6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 s="34" t="str">
        <f>IFERROR(IF(COUNTIFS('Candidate Tracker'!$E:$E,'Positions Tracker'!$B65,'Candidate Tracker'!$I:$I,"Female")=0,"",COUNTIFS('Candidate Tracker'!$E:$E,'Positions Tracker'!$B65,'Candidate Tracker'!$I:$I,"Female")),"")</f>
        <v/>
      </c>
      <c r="BB65" s="34">
        <f>IFERROR(IF(COUNTIFS('Candidate Tracker'!$E:$E,'Positions Tracker'!$B65,'Candidate Tracker'!$I:$I,"male")=0,"",COUNTIFS('Candidate Tracker'!$E:$E,'Positions Tracker'!$B65,'Candidate Tracker'!$I:$I,"male")),"")</f>
        <v>1</v>
      </c>
      <c r="BC65" s="33">
        <f>IFERROR(IF(COUNTIFS('Candidate Tracker'!$E:$E,'Positions Tracker'!$B65,'Candidate Tracker'!$C:$C,"&lt;&gt;WIP",'Candidate Tracker'!$C:$C,"&lt;&gt;Hold",'Candidate Tracker'!$C:$C,"&lt;&gt;Cancelled",'Candidate Tracker'!$C:$C,"&lt;&gt;Closed")/COUNTIFS('Candidate Tracker'!$E:$E,'Positions Tracker'!$B65)=0,"",COUNTIFS('Candidate Tracker'!$E:$E,'Positions Tracker'!$B65,'Candidate Tracker'!$C:$C,"&lt;&gt;WIP",'Candidate Tracker'!$C:$C,"&lt;&gt;Hold",'Candidate Tracker'!$C:$C,"&lt;&gt;Cancelled",'Candidate Tracker'!$C:$C,"&lt;&gt;Closed")/COUNTIFS('Candidate Tracker'!$E:$E,'Positions Tracker'!$B65)),"")</f>
        <v>1</v>
      </c>
      <c r="BD65" s="30" t="str">
        <f t="shared" si="8"/>
        <v>Aug-24</v>
      </c>
      <c r="BE65" s="30" t="str">
        <f t="shared" si="9"/>
        <v>Nov-24</v>
      </c>
      <c r="BF65" s="30" t="str">
        <f t="shared" si="10"/>
        <v>Nov-24</v>
      </c>
      <c r="BG65" s="30" t="str">
        <f t="shared" si="11"/>
        <v>Dec-24</v>
      </c>
    </row>
    <row r="66" spans="1:59">
      <c r="A66" s="30">
        <f t="shared" si="6"/>
        <v>65</v>
      </c>
      <c r="B66" s="30">
        <v>20242770</v>
      </c>
      <c r="C66" s="30" t="s">
        <v>3847</v>
      </c>
      <c r="D66" s="30" t="s">
        <v>1920</v>
      </c>
      <c r="E66" s="30" t="s">
        <v>4024</v>
      </c>
      <c r="F66" s="30" t="s">
        <v>4025</v>
      </c>
      <c r="G66" s="30" t="s">
        <v>1</v>
      </c>
      <c r="H66" s="30" t="s">
        <v>4025</v>
      </c>
      <c r="I66" s="30" t="s">
        <v>2061</v>
      </c>
      <c r="J66" s="30" t="s">
        <v>135</v>
      </c>
      <c r="K66" s="31">
        <v>45518</v>
      </c>
      <c r="L66" s="31">
        <v>45518</v>
      </c>
      <c r="M66" s="31">
        <v>45518</v>
      </c>
      <c r="N66" s="30"/>
      <c r="O66" s="31"/>
      <c r="P66" s="31"/>
      <c r="Q66" s="31"/>
      <c r="R66" s="31"/>
      <c r="S66" s="31"/>
      <c r="T66" s="31"/>
      <c r="U66" s="30"/>
      <c r="V66" s="30"/>
      <c r="W66" s="30"/>
      <c r="X66" s="30" t="s">
        <v>63</v>
      </c>
      <c r="Y66" s="30" t="s">
        <v>218</v>
      </c>
      <c r="Z66" s="30" t="s">
        <v>218</v>
      </c>
      <c r="AA66" s="30" t="s">
        <v>4026</v>
      </c>
      <c r="AB66" s="30"/>
      <c r="AC66" s="30"/>
      <c r="AD66" s="30"/>
      <c r="AE66" s="30" t="s">
        <v>4027</v>
      </c>
      <c r="AF66" s="30">
        <v>9850095704</v>
      </c>
      <c r="AG66" s="30" t="s">
        <v>4028</v>
      </c>
      <c r="AH66" s="31" t="s">
        <v>55</v>
      </c>
      <c r="AI66" s="31"/>
      <c r="AJ66" s="31"/>
      <c r="AK66" s="30"/>
      <c r="AL66" s="30"/>
      <c r="AM66" s="31"/>
      <c r="AN66" s="31"/>
      <c r="AO66" s="31"/>
      <c r="AP66" s="31"/>
      <c r="AQ66" s="31"/>
      <c r="AR66" s="31"/>
      <c r="AS66" s="31"/>
      <c r="AT66" s="30">
        <f t="shared" ca="1" si="7"/>
        <v>0</v>
      </c>
      <c r="AU66" s="32" t="str">
        <f t="shared" ref="AU66:AU129" ca="1" si="12">IFERROR(IF(($M66=""),"",IF(OR(,$C66="Offer in Progress",$C66="WIP",$C66="WIP/Drop",$C66="WIP/New",$C66="WIP/Hold"),(TODAY()-$M66)-$AT66,"")),"")</f>
        <v/>
      </c>
      <c r="AV66" s="32" t="str" cm="1">
        <f t="array" aca="1" ref="AV66" ca="1">IFERROR(_xlfn.IFS($AU66="","",$AU66&lt;=15,"0-15",AND($AU66&gt;=16,$AU66&lt;=30),"16-30",AND($AU66&gt;=31,$AU66&lt;=45),"31-45",AND($AU66&gt;=46,$AU66&lt;=60),"46-60",AND($AU66&gt;=61,$AU66&lt;=90),"61-90",AND($AU66&gt;=91),"&gt; 90",AND($AU66&gt;=2000),""),"")</f>
        <v/>
      </c>
      <c r="AW66" s="32" t="str" cm="1">
        <f t="array" aca="1" ref="AW66" ca="1">IFERROR(_xlfn.IFS(OR($M66="",$AM66=""),"",OR($C66="Offered",$C66="Joined"),($AM66-$M66)-$AT66),"")</f>
        <v/>
      </c>
      <c r="AX66" s="32" t="str" cm="1">
        <f t="array" aca="1" ref="AX66" ca="1">IFERROR(_xlfn.IFS(OR($M66="",$AS66=""),"",$C66="Joined",($AS66-$M66)-$AT66),"")</f>
        <v/>
      </c>
      <c r="AY66" s="30" t="str">
        <f>IFERROR(IF(COUNTIFS('Candidate Tracker'!$E:$E,'Positions Tracker'!$B66,'Candidate Tracker'!$C:$C,"Offer Drop")=0,"",COUNTIFS('Candidate Tracker'!$E:$E,'Positions Tracker'!$B66,'Candidate Tracker'!$C:$C,"Offer Drop")),"")</f>
        <v/>
      </c>
      <c r="AZ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 s="34" t="str">
        <f>IFERROR(IF(COUNTIFS('Candidate Tracker'!$E:$E,'Positions Tracker'!$B66,'Candidate Tracker'!$I:$I,"Female")=0,"",COUNTIFS('Candidate Tracker'!$E:$E,'Positions Tracker'!$B66,'Candidate Tracker'!$I:$I,"Female")),"")</f>
        <v/>
      </c>
      <c r="BB66" s="34" t="str">
        <f>IFERROR(IF(COUNTIFS('Candidate Tracker'!$E:$E,'Positions Tracker'!$B66,'Candidate Tracker'!$I:$I,"male")=0,"",COUNTIFS('Candidate Tracker'!$E:$E,'Positions Tracker'!$B66,'Candidate Tracker'!$I:$I,"male")),"")</f>
        <v/>
      </c>
      <c r="BC66" s="33" t="str">
        <f>IFERROR(IF(COUNTIFS('Candidate Tracker'!$E:$E,'Positions Tracker'!$B66,'Candidate Tracker'!$C:$C,"&lt;&gt;WIP",'Candidate Tracker'!$C:$C,"&lt;&gt;Hold",'Candidate Tracker'!$C:$C,"&lt;&gt;Cancelled",'Candidate Tracker'!$C:$C,"&lt;&gt;Closed")/COUNTIFS('Candidate Tracker'!$E:$E,'Positions Tracker'!$B66)=0,"",COUNTIFS('Candidate Tracker'!$E:$E,'Positions Tracker'!$B66,'Candidate Tracker'!$C:$C,"&lt;&gt;WIP",'Candidate Tracker'!$C:$C,"&lt;&gt;Hold",'Candidate Tracker'!$C:$C,"&lt;&gt;Cancelled",'Candidate Tracker'!$C:$C,"&lt;&gt;Closed")/COUNTIFS('Candidate Tracker'!$E:$E,'Positions Tracker'!$B66)),"")</f>
        <v/>
      </c>
      <c r="BD66" s="30" t="str">
        <f t="shared" si="8"/>
        <v>Aug-24</v>
      </c>
      <c r="BE66" s="30" t="str">
        <f t="shared" si="9"/>
        <v/>
      </c>
      <c r="BF66" s="30" t="str">
        <f t="shared" si="10"/>
        <v/>
      </c>
      <c r="BG66" s="30" t="str">
        <f t="shared" si="11"/>
        <v/>
      </c>
    </row>
    <row r="67" spans="1:59">
      <c r="A67" s="30">
        <f t="shared" ref="A67:A130" si="13">A66+1</f>
        <v>66</v>
      </c>
      <c r="B67" s="30">
        <v>20245238</v>
      </c>
      <c r="C67" s="30" t="s">
        <v>3847</v>
      </c>
      <c r="D67" s="30" t="s">
        <v>1920</v>
      </c>
      <c r="E67" s="30" t="s">
        <v>4029</v>
      </c>
      <c r="F67" s="30" t="s">
        <v>4030</v>
      </c>
      <c r="G67" s="30" t="s">
        <v>1</v>
      </c>
      <c r="H67" s="30" t="s">
        <v>2658</v>
      </c>
      <c r="I67" s="30" t="s">
        <v>4031</v>
      </c>
      <c r="J67" s="30" t="s">
        <v>135</v>
      </c>
      <c r="K67" s="31">
        <v>45518</v>
      </c>
      <c r="L67" s="31">
        <v>45518</v>
      </c>
      <c r="M67" s="31">
        <v>45518</v>
      </c>
      <c r="N67" s="30"/>
      <c r="O67" s="31"/>
      <c r="P67" s="31"/>
      <c r="Q67" s="31"/>
      <c r="R67" s="31"/>
      <c r="S67" s="31"/>
      <c r="T67" s="31"/>
      <c r="U67" s="30"/>
      <c r="V67" s="30"/>
      <c r="W67" s="30"/>
      <c r="X67" s="30" t="s">
        <v>63</v>
      </c>
      <c r="Y67" s="30" t="s">
        <v>218</v>
      </c>
      <c r="Z67" s="30" t="s">
        <v>218</v>
      </c>
      <c r="AA67" s="30" t="s">
        <v>4032</v>
      </c>
      <c r="AB67" s="30"/>
      <c r="AC67" s="30"/>
      <c r="AD67" s="30"/>
      <c r="AE67" s="30" t="s">
        <v>4033</v>
      </c>
      <c r="AF67" s="30">
        <v>8237707010</v>
      </c>
      <c r="AG67" s="30" t="s">
        <v>2059</v>
      </c>
      <c r="AH67" s="31" t="s">
        <v>55</v>
      </c>
      <c r="AI67" s="31">
        <v>45627</v>
      </c>
      <c r="AJ67" s="31">
        <v>45629</v>
      </c>
      <c r="AK67" s="30" t="s">
        <v>63</v>
      </c>
      <c r="AL67" s="30">
        <v>650000</v>
      </c>
      <c r="AM67" s="31">
        <v>45630</v>
      </c>
      <c r="AN67" s="31">
        <v>45630</v>
      </c>
      <c r="AO67" s="31"/>
      <c r="AP67" s="31">
        <v>45631</v>
      </c>
      <c r="AQ67" s="31">
        <v>45631</v>
      </c>
      <c r="AR67" s="31">
        <v>45634</v>
      </c>
      <c r="AS67" s="31">
        <v>45637</v>
      </c>
      <c r="AT67" s="30">
        <f t="shared" ref="AT67:AT130" ca="1" si="14">IFERROR(SUM(IF(AND(ISBLANK(T67),ISBLANK(Q67)),0,IF(T67="",TODAY()-Q67,T67-Q67))+IF(AND(ISBLANK(S67),ISBLANK(P67)),0,IF(S67="",TODAY()-P67,S67-P67))+IF(AND(ISBLANK(O67),ISBLANK(R67)),0,IF(R67="",TODAY()-O67,R67-O67))),"")</f>
        <v>0</v>
      </c>
      <c r="AU67" s="32" t="str">
        <f t="shared" ca="1" si="12"/>
        <v/>
      </c>
      <c r="AV67" s="32" t="str" cm="1">
        <f t="array" aca="1" ref="AV67" ca="1">IFERROR(_xlfn.IFS($AU67="","",$AU67&lt;=15,"0-15",AND($AU67&gt;=16,$AU67&lt;=30),"16-30",AND($AU67&gt;=31,$AU67&lt;=45),"31-45",AND($AU67&gt;=46,$AU67&lt;=60),"46-60",AND($AU67&gt;=61,$AU67&lt;=90),"61-90",AND($AU67&gt;=91),"&gt; 90",AND($AU67&gt;=2000),""),"")</f>
        <v/>
      </c>
      <c r="AW67" s="32" t="str" cm="1">
        <f t="array" aca="1" ref="AW67" ca="1">IFERROR(_xlfn.IFS(OR($M67="",$AM67=""),"",OR($C67="Offered",$C67="Joined"),($AM67-$M67)-$AT67),"")</f>
        <v/>
      </c>
      <c r="AX67" s="32" t="str" cm="1">
        <f t="array" aca="1" ref="AX67" ca="1">IFERROR(_xlfn.IFS(OR($M67="",$AS67=""),"",$C67="Joined",($AS67-$M67)-$AT67),"")</f>
        <v/>
      </c>
      <c r="AY67" s="30" t="str">
        <f>IFERROR(IF(COUNTIFS('Candidate Tracker'!$E:$E,'Positions Tracker'!$B67,'Candidate Tracker'!$C:$C,"Offer Drop")=0,"",COUNTIFS('Candidate Tracker'!$E:$E,'Positions Tracker'!$B67,'Candidate Tracker'!$C:$C,"Offer Drop")),"")</f>
        <v/>
      </c>
      <c r="AZ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 s="34" t="str">
        <f>IFERROR(IF(COUNTIFS('Candidate Tracker'!$E:$E,'Positions Tracker'!$B67,'Candidate Tracker'!$I:$I,"Female")=0,"",COUNTIFS('Candidate Tracker'!$E:$E,'Positions Tracker'!$B67,'Candidate Tracker'!$I:$I,"Female")),"")</f>
        <v/>
      </c>
      <c r="BB67" s="34" t="str">
        <f>IFERROR(IF(COUNTIFS('Candidate Tracker'!$E:$E,'Positions Tracker'!$B67,'Candidate Tracker'!$I:$I,"male")=0,"",COUNTIFS('Candidate Tracker'!$E:$E,'Positions Tracker'!$B67,'Candidate Tracker'!$I:$I,"male")),"")</f>
        <v/>
      </c>
      <c r="BC67" s="33" t="str">
        <f>IFERROR(IF(COUNTIFS('Candidate Tracker'!$E:$E,'Positions Tracker'!$B67,'Candidate Tracker'!$C:$C,"&lt;&gt;WIP",'Candidate Tracker'!$C:$C,"&lt;&gt;Hold",'Candidate Tracker'!$C:$C,"&lt;&gt;Cancelled",'Candidate Tracker'!$C:$C,"&lt;&gt;Closed")/COUNTIFS('Candidate Tracker'!$E:$E,'Positions Tracker'!$B67)=0,"",COUNTIFS('Candidate Tracker'!$E:$E,'Positions Tracker'!$B67,'Candidate Tracker'!$C:$C,"&lt;&gt;WIP",'Candidate Tracker'!$C:$C,"&lt;&gt;Hold",'Candidate Tracker'!$C:$C,"&lt;&gt;Cancelled",'Candidate Tracker'!$C:$C,"&lt;&gt;Closed")/COUNTIFS('Candidate Tracker'!$E:$E,'Positions Tracker'!$B67)),"")</f>
        <v/>
      </c>
      <c r="BD67" s="30" t="str">
        <f t="shared" ref="BD67:BD130" si="15">IFERROR(IF($M67="","",TEXT($M67,"MMM-YY")),"")</f>
        <v>Aug-24</v>
      </c>
      <c r="BE67" s="30" t="str">
        <f t="shared" ref="BE67:BE130" si="16">IFERROR(IF($AI67="","",TEXT($AI67,"MMM-YY")),"")</f>
        <v>Dec-24</v>
      </c>
      <c r="BF67" s="30" t="str">
        <f t="shared" ref="BF67:BF130" si="17">IFERROR(IF($AM67="","",TEXT($AM67,"MMM-YY")),"")</f>
        <v>Dec-24</v>
      </c>
      <c r="BG67" s="30" t="str">
        <f t="shared" ref="BG67:BG130" si="18">IFERROR(IF($AS67="","",TEXT($AS67,"MMM-YY")),"")</f>
        <v>Dec-24</v>
      </c>
    </row>
    <row r="68" spans="1:59">
      <c r="A68" s="30">
        <f t="shared" si="13"/>
        <v>67</v>
      </c>
      <c r="B68" s="30">
        <v>20245320</v>
      </c>
      <c r="C68" s="30" t="s">
        <v>3857</v>
      </c>
      <c r="D68" s="30" t="s">
        <v>3857</v>
      </c>
      <c r="E68" s="30" t="s">
        <v>4034</v>
      </c>
      <c r="F68" s="30" t="s">
        <v>4035</v>
      </c>
      <c r="G68" s="30" t="s">
        <v>1</v>
      </c>
      <c r="H68" s="30" t="s">
        <v>4035</v>
      </c>
      <c r="I68" s="30" t="s">
        <v>4036</v>
      </c>
      <c r="J68" s="30" t="s">
        <v>135</v>
      </c>
      <c r="K68" s="31">
        <v>45518</v>
      </c>
      <c r="L68" s="31">
        <v>45518</v>
      </c>
      <c r="M68" s="31">
        <v>45518</v>
      </c>
      <c r="N68" s="30"/>
      <c r="O68" s="31"/>
      <c r="P68" s="31">
        <v>45544</v>
      </c>
      <c r="Q68" s="31"/>
      <c r="R68" s="31"/>
      <c r="S68" s="31"/>
      <c r="T68" s="31"/>
      <c r="U68" s="30"/>
      <c r="V68" s="30"/>
      <c r="W68" s="30"/>
      <c r="X68" s="30" t="s">
        <v>63</v>
      </c>
      <c r="Y68" s="30" t="s">
        <v>218</v>
      </c>
      <c r="Z68" s="30" t="s">
        <v>218</v>
      </c>
      <c r="AA68" s="30" t="s">
        <v>4037</v>
      </c>
      <c r="AB68" s="30"/>
      <c r="AC68" s="30"/>
      <c r="AD68" s="30"/>
      <c r="AE68" s="30"/>
      <c r="AF68" s="30"/>
      <c r="AG68" s="30"/>
      <c r="AH68" s="31"/>
      <c r="AI68" s="31"/>
      <c r="AJ68" s="31"/>
      <c r="AK68" s="30"/>
      <c r="AL68" s="30"/>
      <c r="AM68" s="31"/>
      <c r="AN68" s="31"/>
      <c r="AO68" s="31"/>
      <c r="AP68" s="31"/>
      <c r="AQ68" s="31"/>
      <c r="AR68" s="31"/>
      <c r="AS68" s="31"/>
      <c r="AT68" s="30">
        <f t="shared" ca="1" si="14"/>
        <v>485</v>
      </c>
      <c r="AU68" s="32" t="str">
        <f t="shared" ca="1" si="12"/>
        <v/>
      </c>
      <c r="AV68" s="32" t="str" cm="1">
        <f t="array" aca="1" ref="AV68" ca="1">IFERROR(_xlfn.IFS($AU68="","",$AU68&lt;=15,"0-15",AND($AU68&gt;=16,$AU68&lt;=30),"16-30",AND($AU68&gt;=31,$AU68&lt;=45),"31-45",AND($AU68&gt;=46,$AU68&lt;=60),"46-60",AND($AU68&gt;=61,$AU68&lt;=90),"61-90",AND($AU68&gt;=91),"&gt; 90",AND($AU68&gt;=2000),""),"")</f>
        <v/>
      </c>
      <c r="AW68" s="32" t="str" cm="1">
        <f t="array" aca="1" ref="AW68" ca="1">IFERROR(_xlfn.IFS(OR($M68="",$AM68=""),"",OR($C68="Offered",$C68="Joined"),($AM68-$M68)-$AT68),"")</f>
        <v/>
      </c>
      <c r="AX68" s="32" t="str" cm="1">
        <f t="array" aca="1" ref="AX68" ca="1">IFERROR(_xlfn.IFS(OR($M68="",$AS68=""),"",$C68="Joined",($AS68-$M68)-$AT68),"")</f>
        <v/>
      </c>
      <c r="AY68" s="30" t="str">
        <f>IFERROR(IF(COUNTIFS('Candidate Tracker'!$E:$E,'Positions Tracker'!$B68,'Candidate Tracker'!$C:$C,"Offer Drop")=0,"",COUNTIFS('Candidate Tracker'!$E:$E,'Positions Tracker'!$B68,'Candidate Tracker'!$C:$C,"Offer Drop")),"")</f>
        <v/>
      </c>
      <c r="AZ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 s="34" t="str">
        <f>IFERROR(IF(COUNTIFS('Candidate Tracker'!$E:$E,'Positions Tracker'!$B68,'Candidate Tracker'!$I:$I,"Female")=0,"",COUNTIFS('Candidate Tracker'!$E:$E,'Positions Tracker'!$B68,'Candidate Tracker'!$I:$I,"Female")),"")</f>
        <v/>
      </c>
      <c r="BB68" s="34" t="str">
        <f>IFERROR(IF(COUNTIFS('Candidate Tracker'!$E:$E,'Positions Tracker'!$B68,'Candidate Tracker'!$I:$I,"male")=0,"",COUNTIFS('Candidate Tracker'!$E:$E,'Positions Tracker'!$B68,'Candidate Tracker'!$I:$I,"male")),"")</f>
        <v/>
      </c>
      <c r="BC68" s="33" t="str">
        <f>IFERROR(IF(COUNTIFS('Candidate Tracker'!$E:$E,'Positions Tracker'!$B68,'Candidate Tracker'!$C:$C,"&lt;&gt;WIP",'Candidate Tracker'!$C:$C,"&lt;&gt;Hold",'Candidate Tracker'!$C:$C,"&lt;&gt;Cancelled",'Candidate Tracker'!$C:$C,"&lt;&gt;Closed")/COUNTIFS('Candidate Tracker'!$E:$E,'Positions Tracker'!$B68)=0,"",COUNTIFS('Candidate Tracker'!$E:$E,'Positions Tracker'!$B68,'Candidate Tracker'!$C:$C,"&lt;&gt;WIP",'Candidate Tracker'!$C:$C,"&lt;&gt;Hold",'Candidate Tracker'!$C:$C,"&lt;&gt;Cancelled",'Candidate Tracker'!$C:$C,"&lt;&gt;Closed")/COUNTIFS('Candidate Tracker'!$E:$E,'Positions Tracker'!$B68)),"")</f>
        <v/>
      </c>
      <c r="BD68" s="30" t="str">
        <f t="shared" si="15"/>
        <v>Aug-24</v>
      </c>
      <c r="BE68" s="30" t="str">
        <f t="shared" si="16"/>
        <v/>
      </c>
      <c r="BF68" s="30" t="str">
        <f t="shared" si="17"/>
        <v/>
      </c>
      <c r="BG68" s="30" t="str">
        <f t="shared" si="18"/>
        <v/>
      </c>
    </row>
    <row r="69" spans="1:59">
      <c r="A69" s="30">
        <f t="shared" si="13"/>
        <v>68</v>
      </c>
      <c r="B69" s="30">
        <v>20244871</v>
      </c>
      <c r="C69" s="30" t="s">
        <v>51</v>
      </c>
      <c r="D69" s="30" t="s">
        <v>51</v>
      </c>
      <c r="E69" s="30" t="s">
        <v>2069</v>
      </c>
      <c r="F69" s="30" t="s">
        <v>4038</v>
      </c>
      <c r="G69" s="30" t="s">
        <v>3</v>
      </c>
      <c r="H69" s="30" t="s">
        <v>118</v>
      </c>
      <c r="I69" s="30" t="s">
        <v>4039</v>
      </c>
      <c r="J69" s="30" t="s">
        <v>135</v>
      </c>
      <c r="K69" s="31">
        <v>45502</v>
      </c>
      <c r="L69" s="31">
        <v>45502</v>
      </c>
      <c r="M69" s="31">
        <v>45580</v>
      </c>
      <c r="N69" s="30" t="s">
        <v>3884</v>
      </c>
      <c r="O69" s="31"/>
      <c r="P69" s="31"/>
      <c r="Q69" s="31"/>
      <c r="R69" s="31"/>
      <c r="S69" s="31"/>
      <c r="T69" s="31"/>
      <c r="U69" s="30"/>
      <c r="V69" s="30"/>
      <c r="W69" s="30"/>
      <c r="X69" s="30" t="s">
        <v>63</v>
      </c>
      <c r="Y69" s="30" t="s">
        <v>218</v>
      </c>
      <c r="Z69" s="30" t="s">
        <v>218</v>
      </c>
      <c r="AA69" s="30" t="s">
        <v>4040</v>
      </c>
      <c r="AB69" s="30"/>
      <c r="AC69" s="30"/>
      <c r="AD69" s="30"/>
      <c r="AE69" s="30" t="s">
        <v>2067</v>
      </c>
      <c r="AF69" s="30">
        <v>8169353813</v>
      </c>
      <c r="AG69" s="30" t="s">
        <v>4041</v>
      </c>
      <c r="AH69" s="31" t="s">
        <v>55</v>
      </c>
      <c r="AI69" s="31">
        <v>45625</v>
      </c>
      <c r="AJ69" s="31">
        <v>45612</v>
      </c>
      <c r="AK69" s="30" t="s">
        <v>63</v>
      </c>
      <c r="AL69" s="30">
        <v>150000</v>
      </c>
      <c r="AM69" s="31">
        <v>45625</v>
      </c>
      <c r="AN69" s="31">
        <v>45622</v>
      </c>
      <c r="AO69" s="31"/>
      <c r="AP69" s="31">
        <v>45625</v>
      </c>
      <c r="AQ69" s="31">
        <v>45625</v>
      </c>
      <c r="AR69" s="31">
        <v>45579</v>
      </c>
      <c r="AS69" s="31">
        <v>45642</v>
      </c>
      <c r="AT69" s="30">
        <f t="shared" ca="1" si="14"/>
        <v>0</v>
      </c>
      <c r="AU69" s="32" t="str">
        <f t="shared" ca="1" si="12"/>
        <v/>
      </c>
      <c r="AV69" s="32" t="str" cm="1">
        <f t="array" aca="1" ref="AV69" ca="1">IFERROR(_xlfn.IFS($AU69="","",$AU69&lt;=15,"0-15",AND($AU69&gt;=16,$AU69&lt;=30),"16-30",AND($AU69&gt;=31,$AU69&lt;=45),"31-45",AND($AU69&gt;=46,$AU69&lt;=60),"46-60",AND($AU69&gt;=61,$AU69&lt;=90),"61-90",AND($AU69&gt;=91),"&gt; 90",AND($AU69&gt;=2000),""),"")</f>
        <v/>
      </c>
      <c r="AW69" s="32" cm="1">
        <f t="array" aca="1" ref="AW69" ca="1">IFERROR(_xlfn.IFS(OR($M69="",$AM69=""),"",OR($C69="Offered",$C69="Joined"),($AM69-$M69)-$AT69),"")</f>
        <v>45</v>
      </c>
      <c r="AX69" s="32" cm="1">
        <f t="array" aca="1" ref="AX69" ca="1">IFERROR(_xlfn.IFS(OR($M69="",$AS69=""),"",$C69="Joined",($AS69-$M69)-$AT69),"")</f>
        <v>62</v>
      </c>
      <c r="AY69" s="30" t="str">
        <f>IFERROR(IF(COUNTIFS('Candidate Tracker'!$E:$E,'Positions Tracker'!$B69,'Candidate Tracker'!$C:$C,"Offer Drop")=0,"",COUNTIFS('Candidate Tracker'!$E:$E,'Positions Tracker'!$B69,'Candidate Tracker'!$C:$C,"Offer Drop")),"")</f>
        <v/>
      </c>
      <c r="AZ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 s="34" t="str">
        <f>IFERROR(IF(COUNTIFS('Candidate Tracker'!$E:$E,'Positions Tracker'!$B69,'Candidate Tracker'!$I:$I,"Female")=0,"",COUNTIFS('Candidate Tracker'!$E:$E,'Positions Tracker'!$B69,'Candidate Tracker'!$I:$I,"Female")),"")</f>
        <v/>
      </c>
      <c r="BB69" s="34">
        <f>IFERROR(IF(COUNTIFS('Candidate Tracker'!$E:$E,'Positions Tracker'!$B69,'Candidate Tracker'!$I:$I,"male")=0,"",COUNTIFS('Candidate Tracker'!$E:$E,'Positions Tracker'!$B69,'Candidate Tracker'!$I:$I,"male")),"")</f>
        <v>1</v>
      </c>
      <c r="BC69" s="33">
        <f>IFERROR(IF(COUNTIFS('Candidate Tracker'!$E:$E,'Positions Tracker'!$B69,'Candidate Tracker'!$C:$C,"&lt;&gt;WIP",'Candidate Tracker'!$C:$C,"&lt;&gt;Hold",'Candidate Tracker'!$C:$C,"&lt;&gt;Cancelled",'Candidate Tracker'!$C:$C,"&lt;&gt;Closed")/COUNTIFS('Candidate Tracker'!$E:$E,'Positions Tracker'!$B69)=0,"",COUNTIFS('Candidate Tracker'!$E:$E,'Positions Tracker'!$B69,'Candidate Tracker'!$C:$C,"&lt;&gt;WIP",'Candidate Tracker'!$C:$C,"&lt;&gt;Hold",'Candidate Tracker'!$C:$C,"&lt;&gt;Cancelled",'Candidate Tracker'!$C:$C,"&lt;&gt;Closed")/COUNTIFS('Candidate Tracker'!$E:$E,'Positions Tracker'!$B69)),"")</f>
        <v>1</v>
      </c>
      <c r="BD69" s="30" t="str">
        <f t="shared" si="15"/>
        <v>Oct-24</v>
      </c>
      <c r="BE69" s="30" t="str">
        <f t="shared" si="16"/>
        <v>Nov-24</v>
      </c>
      <c r="BF69" s="30" t="str">
        <f t="shared" si="17"/>
        <v>Nov-24</v>
      </c>
      <c r="BG69" s="30" t="str">
        <f t="shared" si="18"/>
        <v>Dec-24</v>
      </c>
    </row>
    <row r="70" spans="1:59">
      <c r="A70" s="30">
        <f t="shared" si="13"/>
        <v>69</v>
      </c>
      <c r="B70" s="30">
        <v>20245972</v>
      </c>
      <c r="C70" s="30" t="s">
        <v>3847</v>
      </c>
      <c r="D70" s="30" t="s">
        <v>1920</v>
      </c>
      <c r="E70" s="30" t="s">
        <v>4042</v>
      </c>
      <c r="F70" s="30" t="s">
        <v>2959</v>
      </c>
      <c r="G70" s="30" t="s">
        <v>3</v>
      </c>
      <c r="H70" s="30" t="s">
        <v>66</v>
      </c>
      <c r="I70" s="30" t="s">
        <v>433</v>
      </c>
      <c r="J70" s="30" t="s">
        <v>135</v>
      </c>
      <c r="K70" s="31">
        <v>45580</v>
      </c>
      <c r="L70" s="31">
        <v>45595</v>
      </c>
      <c r="M70" s="31">
        <v>45583</v>
      </c>
      <c r="N70" s="30" t="s">
        <v>3861</v>
      </c>
      <c r="O70" s="31"/>
      <c r="P70" s="31"/>
      <c r="Q70" s="31"/>
      <c r="R70" s="31"/>
      <c r="S70" s="31"/>
      <c r="T70" s="31"/>
      <c r="U70" s="30"/>
      <c r="V70" s="30"/>
      <c r="W70" s="30"/>
      <c r="X70" s="30" t="s">
        <v>63</v>
      </c>
      <c r="Y70" s="30" t="s">
        <v>65</v>
      </c>
      <c r="Z70" s="30" t="s">
        <v>65</v>
      </c>
      <c r="AA70" s="30" t="s">
        <v>4043</v>
      </c>
      <c r="AB70" s="30"/>
      <c r="AC70" s="30"/>
      <c r="AD70" s="30"/>
      <c r="AE70" s="30"/>
      <c r="AF70" s="30"/>
      <c r="AG70" s="30"/>
      <c r="AH70" s="31"/>
      <c r="AI70" s="31"/>
      <c r="AJ70" s="31"/>
      <c r="AK70" s="30"/>
      <c r="AL70" s="30"/>
      <c r="AM70" s="31"/>
      <c r="AN70" s="31"/>
      <c r="AO70" s="31"/>
      <c r="AP70" s="31"/>
      <c r="AQ70" s="31"/>
      <c r="AR70" s="31"/>
      <c r="AS70" s="31"/>
      <c r="AT70" s="30">
        <f t="shared" ca="1" si="14"/>
        <v>0</v>
      </c>
      <c r="AU70" s="32" t="str">
        <f t="shared" ca="1" si="12"/>
        <v/>
      </c>
      <c r="AV70" s="32" t="str" cm="1">
        <f t="array" aca="1" ref="AV70" ca="1">IFERROR(_xlfn.IFS($AU70="","",$AU70&lt;=15,"0-15",AND($AU70&gt;=16,$AU70&lt;=30),"16-30",AND($AU70&gt;=31,$AU70&lt;=45),"31-45",AND($AU70&gt;=46,$AU70&lt;=60),"46-60",AND($AU70&gt;=61,$AU70&lt;=90),"61-90",AND($AU70&gt;=91),"&gt; 90",AND($AU70&gt;=2000),""),"")</f>
        <v/>
      </c>
      <c r="AW70" s="32" t="str" cm="1">
        <f t="array" aca="1" ref="AW70" ca="1">IFERROR(_xlfn.IFS(OR($M70="",$AM70=""),"",OR($C70="Offered",$C70="Joined"),($AM70-$M70)-$AT70),"")</f>
        <v/>
      </c>
      <c r="AX70" s="32" t="str" cm="1">
        <f t="array" aca="1" ref="AX70" ca="1">IFERROR(_xlfn.IFS(OR($M70="",$AS70=""),"",$C70="Joined",($AS70-$M70)-$AT70),"")</f>
        <v/>
      </c>
      <c r="AY70" s="30" t="str">
        <f>IFERROR(IF(COUNTIFS('Candidate Tracker'!$E:$E,'Positions Tracker'!$B70,'Candidate Tracker'!$C:$C,"Offer Drop")=0,"",COUNTIFS('Candidate Tracker'!$E:$E,'Positions Tracker'!$B70,'Candidate Tracker'!$C:$C,"Offer Drop")),"")</f>
        <v/>
      </c>
      <c r="AZ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 s="34" t="str">
        <f>IFERROR(IF(COUNTIFS('Candidate Tracker'!$E:$E,'Positions Tracker'!$B70,'Candidate Tracker'!$I:$I,"Female")=0,"",COUNTIFS('Candidate Tracker'!$E:$E,'Positions Tracker'!$B70,'Candidate Tracker'!$I:$I,"Female")),"")</f>
        <v/>
      </c>
      <c r="BB70" s="34" t="str">
        <f>IFERROR(IF(COUNTIFS('Candidate Tracker'!$E:$E,'Positions Tracker'!$B70,'Candidate Tracker'!$I:$I,"male")=0,"",COUNTIFS('Candidate Tracker'!$E:$E,'Positions Tracker'!$B70,'Candidate Tracker'!$I:$I,"male")),"")</f>
        <v/>
      </c>
      <c r="BC70" s="33" t="str">
        <f>IFERROR(IF(COUNTIFS('Candidate Tracker'!$E:$E,'Positions Tracker'!$B70,'Candidate Tracker'!$C:$C,"&lt;&gt;WIP",'Candidate Tracker'!$C:$C,"&lt;&gt;Hold",'Candidate Tracker'!$C:$C,"&lt;&gt;Cancelled",'Candidate Tracker'!$C:$C,"&lt;&gt;Closed")/COUNTIFS('Candidate Tracker'!$E:$E,'Positions Tracker'!$B70)=0,"",COUNTIFS('Candidate Tracker'!$E:$E,'Positions Tracker'!$B70,'Candidate Tracker'!$C:$C,"&lt;&gt;WIP",'Candidate Tracker'!$C:$C,"&lt;&gt;Hold",'Candidate Tracker'!$C:$C,"&lt;&gt;Cancelled",'Candidate Tracker'!$C:$C,"&lt;&gt;Closed")/COUNTIFS('Candidate Tracker'!$E:$E,'Positions Tracker'!$B70)),"")</f>
        <v/>
      </c>
      <c r="BD70" s="30" t="str">
        <f t="shared" si="15"/>
        <v>Oct-24</v>
      </c>
      <c r="BE70" s="30" t="str">
        <f t="shared" si="16"/>
        <v/>
      </c>
      <c r="BF70" s="30" t="str">
        <f t="shared" si="17"/>
        <v/>
      </c>
      <c r="BG70" s="30" t="str">
        <f t="shared" si="18"/>
        <v/>
      </c>
    </row>
    <row r="71" spans="1:59">
      <c r="A71" s="30">
        <f t="shared" si="13"/>
        <v>70</v>
      </c>
      <c r="B71" s="30">
        <v>20246740</v>
      </c>
      <c r="C71" s="30" t="s">
        <v>3847</v>
      </c>
      <c r="D71" s="30" t="s">
        <v>1920</v>
      </c>
      <c r="E71" s="30" t="s">
        <v>432</v>
      </c>
      <c r="F71" s="30" t="s">
        <v>2959</v>
      </c>
      <c r="G71" s="30" t="s">
        <v>3</v>
      </c>
      <c r="H71" s="30" t="s">
        <v>66</v>
      </c>
      <c r="I71" s="30" t="s">
        <v>433</v>
      </c>
      <c r="J71" s="30" t="s">
        <v>135</v>
      </c>
      <c r="K71" s="31">
        <v>45085</v>
      </c>
      <c r="L71" s="31">
        <v>45337</v>
      </c>
      <c r="M71" s="31">
        <v>45337</v>
      </c>
      <c r="N71" s="30" t="s">
        <v>3855</v>
      </c>
      <c r="O71" s="31"/>
      <c r="P71" s="31"/>
      <c r="Q71" s="31"/>
      <c r="R71" s="31"/>
      <c r="S71" s="31"/>
      <c r="T71" s="31"/>
      <c r="U71" s="30"/>
      <c r="V71" s="30"/>
      <c r="W71" s="30"/>
      <c r="X71" s="30" t="s">
        <v>63</v>
      </c>
      <c r="Y71" s="30" t="s">
        <v>65</v>
      </c>
      <c r="Z71" s="30" t="s">
        <v>65</v>
      </c>
      <c r="AA71" s="30" t="s">
        <v>4044</v>
      </c>
      <c r="AB71" s="30"/>
      <c r="AC71" s="30"/>
      <c r="AD71" s="30"/>
      <c r="AE71" s="30"/>
      <c r="AF71" s="30"/>
      <c r="AG71" s="30"/>
      <c r="AH71" s="31"/>
      <c r="AI71" s="31"/>
      <c r="AJ71" s="31"/>
      <c r="AK71" s="30"/>
      <c r="AL71" s="30"/>
      <c r="AM71" s="31"/>
      <c r="AN71" s="31"/>
      <c r="AO71" s="31"/>
      <c r="AP71" s="31"/>
      <c r="AQ71" s="31"/>
      <c r="AR71" s="31"/>
      <c r="AS71" s="31"/>
      <c r="AT71" s="30">
        <f t="shared" ca="1" si="14"/>
        <v>0</v>
      </c>
      <c r="AU71" s="32" t="str">
        <f t="shared" ca="1" si="12"/>
        <v/>
      </c>
      <c r="AV71" s="32" t="str" cm="1">
        <f t="array" aca="1" ref="AV71" ca="1">IFERROR(_xlfn.IFS($AU71="","",$AU71&lt;=15,"0-15",AND($AU71&gt;=16,$AU71&lt;=30),"16-30",AND($AU71&gt;=31,$AU71&lt;=45),"31-45",AND($AU71&gt;=46,$AU71&lt;=60),"46-60",AND($AU71&gt;=61,$AU71&lt;=90),"61-90",AND($AU71&gt;=91),"&gt; 90",AND($AU71&gt;=2000),""),"")</f>
        <v/>
      </c>
      <c r="AW71" s="32" t="str" cm="1">
        <f t="array" aca="1" ref="AW71" ca="1">IFERROR(_xlfn.IFS(OR($M71="",$AM71=""),"",OR($C71="Offered",$C71="Joined"),($AM71-$M71)-$AT71),"")</f>
        <v/>
      </c>
      <c r="AX71" s="32" t="str" cm="1">
        <f t="array" aca="1" ref="AX71" ca="1">IFERROR(_xlfn.IFS(OR($M71="",$AS71=""),"",$C71="Joined",($AS71-$M71)-$AT71),"")</f>
        <v/>
      </c>
      <c r="AY71" s="30" t="str">
        <f>IFERROR(IF(COUNTIFS('Candidate Tracker'!$E:$E,'Positions Tracker'!$B71,'Candidate Tracker'!$C:$C,"Offer Drop")=0,"",COUNTIFS('Candidate Tracker'!$E:$E,'Positions Tracker'!$B71,'Candidate Tracker'!$C:$C,"Offer Drop")),"")</f>
        <v/>
      </c>
      <c r="AZ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 s="34" t="str">
        <f>IFERROR(IF(COUNTIFS('Candidate Tracker'!$E:$E,'Positions Tracker'!$B71,'Candidate Tracker'!$I:$I,"Female")=0,"",COUNTIFS('Candidate Tracker'!$E:$E,'Positions Tracker'!$B71,'Candidate Tracker'!$I:$I,"Female")),"")</f>
        <v/>
      </c>
      <c r="BB71" s="34">
        <f>IFERROR(IF(COUNTIFS('Candidate Tracker'!$E:$E,'Positions Tracker'!$B71,'Candidate Tracker'!$I:$I,"male")=0,"",COUNTIFS('Candidate Tracker'!$E:$E,'Positions Tracker'!$B71,'Candidate Tracker'!$I:$I,"male")),"")</f>
        <v>1</v>
      </c>
      <c r="BC71" s="33">
        <f>IFERROR(IF(COUNTIFS('Candidate Tracker'!$E:$E,'Positions Tracker'!$B71,'Candidate Tracker'!$C:$C,"&lt;&gt;WIP",'Candidate Tracker'!$C:$C,"&lt;&gt;Hold",'Candidate Tracker'!$C:$C,"&lt;&gt;Cancelled",'Candidate Tracker'!$C:$C,"&lt;&gt;Closed")/COUNTIFS('Candidate Tracker'!$E:$E,'Positions Tracker'!$B71)=0,"",COUNTIFS('Candidate Tracker'!$E:$E,'Positions Tracker'!$B71,'Candidate Tracker'!$C:$C,"&lt;&gt;WIP",'Candidate Tracker'!$C:$C,"&lt;&gt;Hold",'Candidate Tracker'!$C:$C,"&lt;&gt;Cancelled",'Candidate Tracker'!$C:$C,"&lt;&gt;Closed")/COUNTIFS('Candidate Tracker'!$E:$E,'Positions Tracker'!$B71)),"")</f>
        <v>1</v>
      </c>
      <c r="BD71" s="30" t="str">
        <f t="shared" si="15"/>
        <v>Feb-24</v>
      </c>
      <c r="BE71" s="30" t="str">
        <f t="shared" si="16"/>
        <v/>
      </c>
      <c r="BF71" s="30" t="str">
        <f t="shared" si="17"/>
        <v/>
      </c>
      <c r="BG71" s="30" t="str">
        <f t="shared" si="18"/>
        <v/>
      </c>
    </row>
    <row r="72" spans="1:59">
      <c r="A72" s="30">
        <f t="shared" si="13"/>
        <v>71</v>
      </c>
      <c r="B72" s="30">
        <v>20245969</v>
      </c>
      <c r="C72" s="30" t="s">
        <v>51</v>
      </c>
      <c r="D72" s="30" t="s">
        <v>51</v>
      </c>
      <c r="E72" s="30" t="s">
        <v>319</v>
      </c>
      <c r="F72" s="30" t="s">
        <v>2959</v>
      </c>
      <c r="G72" s="30" t="s">
        <v>3</v>
      </c>
      <c r="H72" s="30" t="s">
        <v>147</v>
      </c>
      <c r="I72" s="30" t="s">
        <v>417</v>
      </c>
      <c r="J72" s="30" t="s">
        <v>135</v>
      </c>
      <c r="K72" s="31">
        <v>45391</v>
      </c>
      <c r="L72" s="31">
        <v>45638</v>
      </c>
      <c r="M72" s="31">
        <v>45638</v>
      </c>
      <c r="N72" s="30" t="s">
        <v>3855</v>
      </c>
      <c r="O72" s="31"/>
      <c r="P72" s="31"/>
      <c r="Q72" s="31"/>
      <c r="R72" s="31"/>
      <c r="S72" s="31"/>
      <c r="T72" s="31"/>
      <c r="U72" s="30"/>
      <c r="V72" s="30"/>
      <c r="W72" s="30"/>
      <c r="X72" s="30" t="s">
        <v>63</v>
      </c>
      <c r="Y72" s="30" t="s">
        <v>2679</v>
      </c>
      <c r="Z72" s="30" t="s">
        <v>2679</v>
      </c>
      <c r="AA72" s="30" t="s">
        <v>4045</v>
      </c>
      <c r="AB72" s="30"/>
      <c r="AC72" s="30"/>
      <c r="AD72" s="30"/>
      <c r="AE72" s="30" t="s">
        <v>4046</v>
      </c>
      <c r="AF72" s="30">
        <v>8421499897</v>
      </c>
      <c r="AG72" s="30" t="s">
        <v>4047</v>
      </c>
      <c r="AH72" s="31" t="s">
        <v>55</v>
      </c>
      <c r="AI72" s="31">
        <v>45716</v>
      </c>
      <c r="AJ72" s="31">
        <v>45722</v>
      </c>
      <c r="AK72" s="30" t="s">
        <v>63</v>
      </c>
      <c r="AL72" s="30">
        <v>1200000</v>
      </c>
      <c r="AM72" s="31">
        <v>45726</v>
      </c>
      <c r="AN72" s="31">
        <v>45726</v>
      </c>
      <c r="AO72" s="31"/>
      <c r="AP72" s="31">
        <v>45732</v>
      </c>
      <c r="AQ72" s="31">
        <v>45732</v>
      </c>
      <c r="AR72" s="31"/>
      <c r="AS72" s="31">
        <v>45761</v>
      </c>
      <c r="AT72" s="30">
        <f t="shared" ca="1" si="14"/>
        <v>0</v>
      </c>
      <c r="AU72" s="32" t="str">
        <f t="shared" ca="1" si="12"/>
        <v/>
      </c>
      <c r="AV72" s="32" t="str" cm="1">
        <f t="array" aca="1" ref="AV72" ca="1">IFERROR(_xlfn.IFS($AU72="","",$AU72&lt;=15,"0-15",AND($AU72&gt;=16,$AU72&lt;=30),"16-30",AND($AU72&gt;=31,$AU72&lt;=45),"31-45",AND($AU72&gt;=46,$AU72&lt;=60),"46-60",AND($AU72&gt;=61,$AU72&lt;=90),"61-90",AND($AU72&gt;=91),"&gt; 90",AND($AU72&gt;=2000),""),"")</f>
        <v/>
      </c>
      <c r="AW72" s="32" cm="1">
        <f t="array" aca="1" ref="AW72" ca="1">IFERROR(_xlfn.IFS(OR($M72="",$AM72=""),"",OR($C72="Offered",$C72="Joined"),($AM72-$M72)-$AT72),"")</f>
        <v>88</v>
      </c>
      <c r="AX72" s="32" cm="1">
        <f t="array" aca="1" ref="AX72" ca="1">IFERROR(_xlfn.IFS(OR($M72="",$AS72=""),"",$C72="Joined",($AS72-$M72)-$AT72),"")</f>
        <v>123</v>
      </c>
      <c r="AY72" s="30" t="str">
        <f>IFERROR(IF(COUNTIFS('Candidate Tracker'!$E:$E,'Positions Tracker'!$B72,'Candidate Tracker'!$C:$C,"Offer Drop")=0,"",COUNTIFS('Candidate Tracker'!$E:$E,'Positions Tracker'!$B72,'Candidate Tracker'!$C:$C,"Offer Drop")),"")</f>
        <v/>
      </c>
      <c r="AZ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 s="34">
        <f>IFERROR(IF(COUNTIFS('Candidate Tracker'!$E:$E,'Positions Tracker'!$B72,'Candidate Tracker'!$I:$I,"Female")=0,"",COUNTIFS('Candidate Tracker'!$E:$E,'Positions Tracker'!$B72,'Candidate Tracker'!$I:$I,"Female")),"")</f>
        <v>4</v>
      </c>
      <c r="BB72" s="34">
        <f>IFERROR(IF(COUNTIFS('Candidate Tracker'!$E:$E,'Positions Tracker'!$B72,'Candidate Tracker'!$I:$I,"male")=0,"",COUNTIFS('Candidate Tracker'!$E:$E,'Positions Tracker'!$B72,'Candidate Tracker'!$I:$I,"male")),"")</f>
        <v>15</v>
      </c>
      <c r="BC72" s="33" t="str">
        <f>IFERROR(IF(COUNTIFS('Candidate Tracker'!$E:$E,'Positions Tracker'!$B72,'Candidate Tracker'!$C:$C,"&lt;&gt;WIP",'Candidate Tracker'!$C:$C,"&lt;&gt;Hold",'Candidate Tracker'!$C:$C,"&lt;&gt;Cancelled",'Candidate Tracker'!$C:$C,"&lt;&gt;Closed")/COUNTIFS('Candidate Tracker'!$E:$E,'Positions Tracker'!$B72)=0,"",COUNTIFS('Candidate Tracker'!$E:$E,'Positions Tracker'!$B72,'Candidate Tracker'!$C:$C,"&lt;&gt;WIP",'Candidate Tracker'!$C:$C,"&lt;&gt;Hold",'Candidate Tracker'!$C:$C,"&lt;&gt;Cancelled",'Candidate Tracker'!$C:$C,"&lt;&gt;Closed")/COUNTIFS('Candidate Tracker'!$E:$E,'Positions Tracker'!$B72)),"")</f>
        <v/>
      </c>
      <c r="BD72" s="30" t="str">
        <f t="shared" si="15"/>
        <v>Dec-24</v>
      </c>
      <c r="BE72" s="30" t="str">
        <f t="shared" si="16"/>
        <v>Feb-25</v>
      </c>
      <c r="BF72" s="30" t="str">
        <f t="shared" si="17"/>
        <v>Mar-25</v>
      </c>
      <c r="BG72" s="30" t="str">
        <f t="shared" si="18"/>
        <v>Apr-25</v>
      </c>
    </row>
    <row r="73" spans="1:59">
      <c r="A73" s="30">
        <f t="shared" si="13"/>
        <v>72</v>
      </c>
      <c r="B73" s="30">
        <v>20245469</v>
      </c>
      <c r="C73" s="30" t="s">
        <v>3847</v>
      </c>
      <c r="D73" s="30" t="s">
        <v>1920</v>
      </c>
      <c r="E73" s="30" t="s">
        <v>4048</v>
      </c>
      <c r="F73" s="30" t="s">
        <v>3910</v>
      </c>
      <c r="G73" s="30" t="s">
        <v>3</v>
      </c>
      <c r="H73" s="30" t="s">
        <v>118</v>
      </c>
      <c r="I73" s="30" t="s">
        <v>116</v>
      </c>
      <c r="J73" s="30" t="s">
        <v>135</v>
      </c>
      <c r="K73" s="31">
        <v>45450</v>
      </c>
      <c r="L73" s="31">
        <v>45450</v>
      </c>
      <c r="M73" s="31">
        <v>45450</v>
      </c>
      <c r="N73" s="30" t="s">
        <v>4049</v>
      </c>
      <c r="O73" s="31"/>
      <c r="P73" s="31"/>
      <c r="Q73" s="31"/>
      <c r="R73" s="31"/>
      <c r="S73" s="31"/>
      <c r="T73" s="31"/>
      <c r="U73" s="30"/>
      <c r="V73" s="30"/>
      <c r="W73" s="30"/>
      <c r="X73" s="30" t="s">
        <v>63</v>
      </c>
      <c r="Y73" s="30" t="s">
        <v>65</v>
      </c>
      <c r="Z73" s="30" t="s">
        <v>65</v>
      </c>
      <c r="AA73" s="30" t="s">
        <v>4050</v>
      </c>
      <c r="AB73" s="30"/>
      <c r="AC73" s="30"/>
      <c r="AD73" s="30"/>
      <c r="AE73" s="30"/>
      <c r="AF73" s="30"/>
      <c r="AG73" s="30"/>
      <c r="AH73" s="31"/>
      <c r="AI73" s="31"/>
      <c r="AJ73" s="31"/>
      <c r="AK73" s="30"/>
      <c r="AL73" s="30"/>
      <c r="AM73" s="31"/>
      <c r="AN73" s="31"/>
      <c r="AO73" s="31"/>
      <c r="AP73" s="31"/>
      <c r="AQ73" s="31"/>
      <c r="AR73" s="31"/>
      <c r="AS73" s="31"/>
      <c r="AT73" s="30">
        <f t="shared" ca="1" si="14"/>
        <v>0</v>
      </c>
      <c r="AU73" s="32" t="str">
        <f t="shared" ca="1" si="12"/>
        <v/>
      </c>
      <c r="AV73" s="32" t="str" cm="1">
        <f t="array" aca="1" ref="AV73" ca="1">IFERROR(_xlfn.IFS($AU73="","",$AU73&lt;=15,"0-15",AND($AU73&gt;=16,$AU73&lt;=30),"16-30",AND($AU73&gt;=31,$AU73&lt;=45),"31-45",AND($AU73&gt;=46,$AU73&lt;=60),"46-60",AND($AU73&gt;=61,$AU73&lt;=90),"61-90",AND($AU73&gt;=91),"&gt; 90",AND($AU73&gt;=2000),""),"")</f>
        <v/>
      </c>
      <c r="AW73" s="32" t="str" cm="1">
        <f t="array" aca="1" ref="AW73" ca="1">IFERROR(_xlfn.IFS(OR($M73="",$AM73=""),"",OR($C73="Offered",$C73="Joined"),($AM73-$M73)-$AT73),"")</f>
        <v/>
      </c>
      <c r="AX73" s="32" t="str" cm="1">
        <f t="array" aca="1" ref="AX73" ca="1">IFERROR(_xlfn.IFS(OR($M73="",$AS73=""),"",$C73="Joined",($AS73-$M73)-$AT73),"")</f>
        <v/>
      </c>
      <c r="AY73" s="30" t="str">
        <f>IFERROR(IF(COUNTIFS('Candidate Tracker'!$E:$E,'Positions Tracker'!$B73,'Candidate Tracker'!$C:$C,"Offer Drop")=0,"",COUNTIFS('Candidate Tracker'!$E:$E,'Positions Tracker'!$B73,'Candidate Tracker'!$C:$C,"Offer Drop")),"")</f>
        <v/>
      </c>
      <c r="AZ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 s="34">
        <f>IFERROR(IF(COUNTIFS('Candidate Tracker'!$E:$E,'Positions Tracker'!$B73,'Candidate Tracker'!$I:$I,"Female")=0,"",COUNTIFS('Candidate Tracker'!$E:$E,'Positions Tracker'!$B73,'Candidate Tracker'!$I:$I,"Female")),"")</f>
        <v>2</v>
      </c>
      <c r="BB73" s="34">
        <f>IFERROR(IF(COUNTIFS('Candidate Tracker'!$E:$E,'Positions Tracker'!$B73,'Candidate Tracker'!$I:$I,"male")=0,"",COUNTIFS('Candidate Tracker'!$E:$E,'Positions Tracker'!$B73,'Candidate Tracker'!$I:$I,"male")),"")</f>
        <v>6</v>
      </c>
      <c r="BC73" s="33" t="str">
        <f>IFERROR(IF(COUNTIFS('Candidate Tracker'!$E:$E,'Positions Tracker'!$B73,'Candidate Tracker'!$C:$C,"&lt;&gt;WIP",'Candidate Tracker'!$C:$C,"&lt;&gt;Hold",'Candidate Tracker'!$C:$C,"&lt;&gt;Cancelled",'Candidate Tracker'!$C:$C,"&lt;&gt;Closed")/COUNTIFS('Candidate Tracker'!$E:$E,'Positions Tracker'!$B73)=0,"",COUNTIFS('Candidate Tracker'!$E:$E,'Positions Tracker'!$B73,'Candidate Tracker'!$C:$C,"&lt;&gt;WIP",'Candidate Tracker'!$C:$C,"&lt;&gt;Hold",'Candidate Tracker'!$C:$C,"&lt;&gt;Cancelled",'Candidate Tracker'!$C:$C,"&lt;&gt;Closed")/COUNTIFS('Candidate Tracker'!$E:$E,'Positions Tracker'!$B73)),"")</f>
        <v/>
      </c>
      <c r="BD73" s="30" t="str">
        <f t="shared" si="15"/>
        <v>Jun-24</v>
      </c>
      <c r="BE73" s="30" t="str">
        <f t="shared" si="16"/>
        <v/>
      </c>
      <c r="BF73" s="30" t="str">
        <f t="shared" si="17"/>
        <v/>
      </c>
      <c r="BG73" s="30" t="str">
        <f t="shared" si="18"/>
        <v/>
      </c>
    </row>
    <row r="74" spans="1:59">
      <c r="A74" s="30">
        <f t="shared" si="13"/>
        <v>73</v>
      </c>
      <c r="B74" s="30">
        <v>20242407</v>
      </c>
      <c r="C74" s="30" t="s">
        <v>1044</v>
      </c>
      <c r="D74" s="30" t="s">
        <v>320</v>
      </c>
      <c r="E74" s="30" t="s">
        <v>4051</v>
      </c>
      <c r="F74" s="30" t="s">
        <v>4052</v>
      </c>
      <c r="G74" s="30" t="s">
        <v>3</v>
      </c>
      <c r="H74" s="30" t="s">
        <v>66</v>
      </c>
      <c r="I74" s="30" t="s">
        <v>4053</v>
      </c>
      <c r="J74" s="30" t="s">
        <v>135</v>
      </c>
      <c r="K74" s="31">
        <v>45594</v>
      </c>
      <c r="L74" s="31">
        <v>45603</v>
      </c>
      <c r="M74" s="31">
        <v>45629</v>
      </c>
      <c r="N74" s="30" t="s">
        <v>3855</v>
      </c>
      <c r="O74" s="31"/>
      <c r="P74" s="31"/>
      <c r="Q74" s="31"/>
      <c r="R74" s="31"/>
      <c r="S74" s="31"/>
      <c r="T74" s="31"/>
      <c r="U74" s="30"/>
      <c r="V74" s="30"/>
      <c r="W74" s="30"/>
      <c r="X74" s="30" t="s">
        <v>63</v>
      </c>
      <c r="Y74" s="30" t="s">
        <v>2679</v>
      </c>
      <c r="Z74" s="30" t="s">
        <v>2679</v>
      </c>
      <c r="AA74" s="30" t="s">
        <v>4054</v>
      </c>
      <c r="AB74" s="30"/>
      <c r="AC74" s="30"/>
      <c r="AD74" s="30"/>
      <c r="AE74" s="30" t="s">
        <v>4055</v>
      </c>
      <c r="AF74" s="30">
        <v>9764938777</v>
      </c>
      <c r="AG74" s="30" t="s">
        <v>2232</v>
      </c>
      <c r="AH74" s="31" t="s">
        <v>55</v>
      </c>
      <c r="AI74" s="31">
        <v>45722</v>
      </c>
      <c r="AJ74" s="31">
        <v>45727</v>
      </c>
      <c r="AK74" s="30" t="s">
        <v>63</v>
      </c>
      <c r="AL74" s="30">
        <v>1680000</v>
      </c>
      <c r="AM74" s="31">
        <v>45727</v>
      </c>
      <c r="AN74" s="31">
        <v>45727</v>
      </c>
      <c r="AO74" s="31"/>
      <c r="AP74" s="31">
        <v>45729</v>
      </c>
      <c r="AQ74" s="31">
        <v>45729</v>
      </c>
      <c r="AR74" s="31"/>
      <c r="AS74" s="31"/>
      <c r="AT74" s="30">
        <f t="shared" ca="1" si="14"/>
        <v>0</v>
      </c>
      <c r="AU74" s="32" t="str">
        <f t="shared" ca="1" si="12"/>
        <v/>
      </c>
      <c r="AV74" s="32" t="str" cm="1">
        <f t="array" aca="1" ref="AV74" ca="1">IFERROR(_xlfn.IFS($AU74="","",$AU74&lt;=15,"0-15",AND($AU74&gt;=16,$AU74&lt;=30),"16-30",AND($AU74&gt;=31,$AU74&lt;=45),"31-45",AND($AU74&gt;=46,$AU74&lt;=60),"46-60",AND($AU74&gt;=61,$AU74&lt;=90),"61-90",AND($AU74&gt;=91),"&gt; 90",AND($AU74&gt;=2000),""),"")</f>
        <v/>
      </c>
      <c r="AW74" s="32" t="str" cm="1">
        <f t="array" aca="1" ref="AW74" ca="1">IFERROR(_xlfn.IFS(OR($M74="",$AM74=""),"",OR($C74="Offered",$C74="Joined"),($AM74-$M74)-$AT74),"")</f>
        <v/>
      </c>
      <c r="AX74" s="32" t="str" cm="1">
        <f t="array" aca="1" ref="AX74" ca="1">IFERROR(_xlfn.IFS(OR($M74="",$AS74=""),"",$C74="Joined",($AS74-$M74)-$AT74),"")</f>
        <v/>
      </c>
      <c r="AY74" s="30" t="str">
        <f>IFERROR(IF(COUNTIFS('Candidate Tracker'!$E:$E,'Positions Tracker'!$B74,'Candidate Tracker'!$C:$C,"Offer Drop")=0,"",COUNTIFS('Candidate Tracker'!$E:$E,'Positions Tracker'!$B74,'Candidate Tracker'!$C:$C,"Offer Drop")),"")</f>
        <v/>
      </c>
      <c r="AZ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 s="34" t="str">
        <f>IFERROR(IF(COUNTIFS('Candidate Tracker'!$E:$E,'Positions Tracker'!$B74,'Candidate Tracker'!$I:$I,"Female")=0,"",COUNTIFS('Candidate Tracker'!$E:$E,'Positions Tracker'!$B74,'Candidate Tracker'!$I:$I,"Female")),"")</f>
        <v/>
      </c>
      <c r="BB74" s="34" t="str">
        <f>IFERROR(IF(COUNTIFS('Candidate Tracker'!$E:$E,'Positions Tracker'!$B74,'Candidate Tracker'!$I:$I,"male")=0,"",COUNTIFS('Candidate Tracker'!$E:$E,'Positions Tracker'!$B74,'Candidate Tracker'!$I:$I,"male")),"")</f>
        <v/>
      </c>
      <c r="BC74" s="33" t="str">
        <f>IFERROR(IF(COUNTIFS('Candidate Tracker'!$E:$E,'Positions Tracker'!$B74,'Candidate Tracker'!$C:$C,"&lt;&gt;WIP",'Candidate Tracker'!$C:$C,"&lt;&gt;Hold",'Candidate Tracker'!$C:$C,"&lt;&gt;Cancelled",'Candidate Tracker'!$C:$C,"&lt;&gt;Closed")/COUNTIFS('Candidate Tracker'!$E:$E,'Positions Tracker'!$B74)=0,"",COUNTIFS('Candidate Tracker'!$E:$E,'Positions Tracker'!$B74,'Candidate Tracker'!$C:$C,"&lt;&gt;WIP",'Candidate Tracker'!$C:$C,"&lt;&gt;Hold",'Candidate Tracker'!$C:$C,"&lt;&gt;Cancelled",'Candidate Tracker'!$C:$C,"&lt;&gt;Closed")/COUNTIFS('Candidate Tracker'!$E:$E,'Positions Tracker'!$B74)),"")</f>
        <v/>
      </c>
      <c r="BD74" s="30" t="str">
        <f t="shared" si="15"/>
        <v>Dec-24</v>
      </c>
      <c r="BE74" s="30" t="str">
        <f t="shared" si="16"/>
        <v>Mar-25</v>
      </c>
      <c r="BF74" s="30" t="str">
        <f t="shared" si="17"/>
        <v>Mar-25</v>
      </c>
      <c r="BG74" s="30" t="str">
        <f t="shared" si="18"/>
        <v/>
      </c>
    </row>
    <row r="75" spans="1:59">
      <c r="A75" s="30">
        <f t="shared" si="13"/>
        <v>74</v>
      </c>
      <c r="B75" s="30">
        <v>20243793</v>
      </c>
      <c r="C75" s="30" t="s">
        <v>3847</v>
      </c>
      <c r="D75" s="30" t="s">
        <v>1920</v>
      </c>
      <c r="E75" s="30" t="s">
        <v>1051</v>
      </c>
      <c r="F75" s="30" t="s">
        <v>2959</v>
      </c>
      <c r="G75" s="30" t="s">
        <v>3</v>
      </c>
      <c r="H75" s="30" t="s">
        <v>66</v>
      </c>
      <c r="I75" s="30" t="s">
        <v>433</v>
      </c>
      <c r="J75" s="30"/>
      <c r="K75" s="31">
        <v>45618</v>
      </c>
      <c r="L75" s="31">
        <v>45618</v>
      </c>
      <c r="M75" s="31">
        <v>45679</v>
      </c>
      <c r="N75" s="30" t="s">
        <v>3855</v>
      </c>
      <c r="O75" s="31">
        <v>45771</v>
      </c>
      <c r="P75" s="31"/>
      <c r="Q75" s="31"/>
      <c r="R75" s="31">
        <v>45782</v>
      </c>
      <c r="S75" s="31"/>
      <c r="T75" s="31"/>
      <c r="U75" s="30"/>
      <c r="V75" s="30"/>
      <c r="W75" s="30"/>
      <c r="X75" s="30" t="s">
        <v>63</v>
      </c>
      <c r="Y75" s="30" t="s">
        <v>2679</v>
      </c>
      <c r="Z75" s="30" t="s">
        <v>2679</v>
      </c>
      <c r="AA75" s="30" t="s">
        <v>4056</v>
      </c>
      <c r="AB75" s="30">
        <v>9</v>
      </c>
      <c r="AC75" s="30">
        <v>3</v>
      </c>
      <c r="AD75" s="30">
        <v>1</v>
      </c>
      <c r="AE75" s="30"/>
      <c r="AF75" s="30"/>
      <c r="AG75" s="30"/>
      <c r="AH75" s="31"/>
      <c r="AI75" s="31"/>
      <c r="AJ75" s="31"/>
      <c r="AK75" s="30"/>
      <c r="AL75" s="30"/>
      <c r="AM75" s="31"/>
      <c r="AN75" s="31"/>
      <c r="AO75" s="31"/>
      <c r="AP75" s="31"/>
      <c r="AQ75" s="31"/>
      <c r="AR75" s="31"/>
      <c r="AS75" s="31"/>
      <c r="AT75" s="30">
        <f t="shared" ca="1" si="14"/>
        <v>11</v>
      </c>
      <c r="AU75" s="32" t="str">
        <f t="shared" ca="1" si="12"/>
        <v/>
      </c>
      <c r="AV75" s="32" t="str" cm="1">
        <f t="array" aca="1" ref="AV75" ca="1">IFERROR(_xlfn.IFS($AU75="","",$AU75&lt;=15,"0-15",AND($AU75&gt;=16,$AU75&lt;=30),"16-30",AND($AU75&gt;=31,$AU75&lt;=45),"31-45",AND($AU75&gt;=46,$AU75&lt;=60),"46-60",AND($AU75&gt;=61,$AU75&lt;=90),"61-90",AND($AU75&gt;=91),"&gt; 90",AND($AU75&gt;=2000),""),"")</f>
        <v/>
      </c>
      <c r="AW75" s="32" t="str" cm="1">
        <f t="array" aca="1" ref="AW75" ca="1">IFERROR(_xlfn.IFS(OR($M75="",$AM75=""),"",OR($C75="Offered",$C75="Joined"),($AM75-$M75)-$AT75),"")</f>
        <v/>
      </c>
      <c r="AX75" s="32" t="str" cm="1">
        <f t="array" aca="1" ref="AX75" ca="1">IFERROR(_xlfn.IFS(OR($M75="",$AS75=""),"",$C75="Joined",($AS75-$M75)-$AT75),"")</f>
        <v/>
      </c>
      <c r="AY75" s="30" t="str">
        <f>IFERROR(IF(COUNTIFS('Candidate Tracker'!$E:$E,'Positions Tracker'!$B75,'Candidate Tracker'!$C:$C,"Offer Drop")=0,"",COUNTIFS('Candidate Tracker'!$E:$E,'Positions Tracker'!$B75,'Candidate Tracker'!$C:$C,"Offer Drop")),"")</f>
        <v/>
      </c>
      <c r="AZ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 s="34">
        <f>IFERROR(IF(COUNTIFS('Candidate Tracker'!$E:$E,'Positions Tracker'!$B75,'Candidate Tracker'!$I:$I,"Female")=0,"",COUNTIFS('Candidate Tracker'!$E:$E,'Positions Tracker'!$B75,'Candidate Tracker'!$I:$I,"Female")),"")</f>
        <v>1</v>
      </c>
      <c r="BB75" s="34">
        <f>IFERROR(IF(COUNTIFS('Candidate Tracker'!$E:$E,'Positions Tracker'!$B75,'Candidate Tracker'!$I:$I,"male")=0,"",COUNTIFS('Candidate Tracker'!$E:$E,'Positions Tracker'!$B75,'Candidate Tracker'!$I:$I,"male")),"")</f>
        <v>13</v>
      </c>
      <c r="BC75" s="33" t="str">
        <f>IFERROR(IF(COUNTIFS('Candidate Tracker'!$E:$E,'Positions Tracker'!$B75,'Candidate Tracker'!$C:$C,"&lt;&gt;WIP",'Candidate Tracker'!$C:$C,"&lt;&gt;Hold",'Candidate Tracker'!$C:$C,"&lt;&gt;Cancelled",'Candidate Tracker'!$C:$C,"&lt;&gt;Closed")/COUNTIFS('Candidate Tracker'!$E:$E,'Positions Tracker'!$B75)=0,"",COUNTIFS('Candidate Tracker'!$E:$E,'Positions Tracker'!$B75,'Candidate Tracker'!$C:$C,"&lt;&gt;WIP",'Candidate Tracker'!$C:$C,"&lt;&gt;Hold",'Candidate Tracker'!$C:$C,"&lt;&gt;Cancelled",'Candidate Tracker'!$C:$C,"&lt;&gt;Closed")/COUNTIFS('Candidate Tracker'!$E:$E,'Positions Tracker'!$B75)),"")</f>
        <v/>
      </c>
      <c r="BD75" s="30" t="str">
        <f t="shared" si="15"/>
        <v>Jan-25</v>
      </c>
      <c r="BE75" s="30" t="str">
        <f t="shared" si="16"/>
        <v/>
      </c>
      <c r="BF75" s="30" t="str">
        <f t="shared" si="17"/>
        <v/>
      </c>
      <c r="BG75" s="30" t="str">
        <f t="shared" si="18"/>
        <v/>
      </c>
    </row>
    <row r="76" spans="1:59">
      <c r="A76" s="30">
        <f t="shared" si="13"/>
        <v>75</v>
      </c>
      <c r="B76" s="30">
        <v>20245966</v>
      </c>
      <c r="C76" s="30" t="s">
        <v>51</v>
      </c>
      <c r="D76" s="30" t="s">
        <v>51</v>
      </c>
      <c r="E76" s="30" t="s">
        <v>4057</v>
      </c>
      <c r="F76" s="30" t="s">
        <v>4058</v>
      </c>
      <c r="G76" s="30" t="s">
        <v>3</v>
      </c>
      <c r="H76" s="30" t="s">
        <v>66</v>
      </c>
      <c r="I76" s="30" t="s">
        <v>433</v>
      </c>
      <c r="J76" s="30" t="s">
        <v>135</v>
      </c>
      <c r="K76" s="31">
        <v>45618</v>
      </c>
      <c r="L76" s="31">
        <v>45618</v>
      </c>
      <c r="M76" s="31">
        <v>45648</v>
      </c>
      <c r="N76" s="30" t="s">
        <v>3861</v>
      </c>
      <c r="O76" s="31"/>
      <c r="P76" s="31"/>
      <c r="Q76" s="31"/>
      <c r="R76" s="31"/>
      <c r="S76" s="31"/>
      <c r="T76" s="31"/>
      <c r="U76" s="30"/>
      <c r="V76" s="30"/>
      <c r="W76" s="30"/>
      <c r="X76" s="30" t="s">
        <v>63</v>
      </c>
      <c r="Y76" s="30" t="s">
        <v>2679</v>
      </c>
      <c r="Z76" s="30" t="s">
        <v>2679</v>
      </c>
      <c r="AA76" s="30" t="s">
        <v>4059</v>
      </c>
      <c r="AB76" s="30"/>
      <c r="AC76" s="30"/>
      <c r="AD76" s="30"/>
      <c r="AE76" s="30" t="s">
        <v>4060</v>
      </c>
      <c r="AF76" s="30">
        <v>8341238949</v>
      </c>
      <c r="AG76" s="30" t="s">
        <v>4061</v>
      </c>
      <c r="AH76" s="31" t="s">
        <v>55</v>
      </c>
      <c r="AI76" s="31">
        <v>45761</v>
      </c>
      <c r="AJ76" s="31">
        <v>45762</v>
      </c>
      <c r="AK76" s="30" t="s">
        <v>63</v>
      </c>
      <c r="AL76" s="30">
        <v>1200000</v>
      </c>
      <c r="AM76" s="31">
        <v>45765</v>
      </c>
      <c r="AN76" s="31">
        <v>45765</v>
      </c>
      <c r="AO76" s="31"/>
      <c r="AP76" s="31">
        <v>45769</v>
      </c>
      <c r="AQ76" s="31">
        <v>45769</v>
      </c>
      <c r="AR76" s="31"/>
      <c r="AS76" s="31">
        <v>45775</v>
      </c>
      <c r="AT76" s="30">
        <f t="shared" ca="1" si="14"/>
        <v>0</v>
      </c>
      <c r="AU76" s="32" t="str">
        <f t="shared" ca="1" si="12"/>
        <v/>
      </c>
      <c r="AV76" s="32" t="str" cm="1">
        <f t="array" aca="1" ref="AV76" ca="1">IFERROR(_xlfn.IFS($AU76="","",$AU76&lt;=15,"0-15",AND($AU76&gt;=16,$AU76&lt;=30),"16-30",AND($AU76&gt;=31,$AU76&lt;=45),"31-45",AND($AU76&gt;=46,$AU76&lt;=60),"46-60",AND($AU76&gt;=61,$AU76&lt;=90),"61-90",AND($AU76&gt;=91),"&gt; 90",AND($AU76&gt;=2000),""),"")</f>
        <v/>
      </c>
      <c r="AW76" s="32" cm="1">
        <f t="array" aca="1" ref="AW76" ca="1">IFERROR(_xlfn.IFS(OR($M76="",$AM76=""),"",OR($C76="Offered",$C76="Joined"),($AM76-$M76)-$AT76),"")</f>
        <v>117</v>
      </c>
      <c r="AX76" s="32" cm="1">
        <f t="array" aca="1" ref="AX76" ca="1">IFERROR(_xlfn.IFS(OR($M76="",$AS76=""),"",$C76="Joined",($AS76-$M76)-$AT76),"")</f>
        <v>127</v>
      </c>
      <c r="AY76" s="30" t="str">
        <f>IFERROR(IF(COUNTIFS('Candidate Tracker'!$E:$E,'Positions Tracker'!$B76,'Candidate Tracker'!$C:$C,"Offer Drop")=0,"",COUNTIFS('Candidate Tracker'!$E:$E,'Positions Tracker'!$B76,'Candidate Tracker'!$C:$C,"Offer Drop")),"")</f>
        <v/>
      </c>
      <c r="AZ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 s="34" t="str">
        <f>IFERROR(IF(COUNTIFS('Candidate Tracker'!$E:$E,'Positions Tracker'!$B76,'Candidate Tracker'!$I:$I,"Female")=0,"",COUNTIFS('Candidate Tracker'!$E:$E,'Positions Tracker'!$B76,'Candidate Tracker'!$I:$I,"Female")),"")</f>
        <v/>
      </c>
      <c r="BB76" s="34">
        <f>IFERROR(IF(COUNTIFS('Candidate Tracker'!$E:$E,'Positions Tracker'!$B76,'Candidate Tracker'!$I:$I,"male")=0,"",COUNTIFS('Candidate Tracker'!$E:$E,'Positions Tracker'!$B76,'Candidate Tracker'!$I:$I,"male")),"")</f>
        <v>5</v>
      </c>
      <c r="BC76" s="33" t="str">
        <f>IFERROR(IF(COUNTIFS('Candidate Tracker'!$E:$E,'Positions Tracker'!$B76,'Candidate Tracker'!$C:$C,"&lt;&gt;WIP",'Candidate Tracker'!$C:$C,"&lt;&gt;Hold",'Candidate Tracker'!$C:$C,"&lt;&gt;Cancelled",'Candidate Tracker'!$C:$C,"&lt;&gt;Closed")/COUNTIFS('Candidate Tracker'!$E:$E,'Positions Tracker'!$B76)=0,"",COUNTIFS('Candidate Tracker'!$E:$E,'Positions Tracker'!$B76,'Candidate Tracker'!$C:$C,"&lt;&gt;WIP",'Candidate Tracker'!$C:$C,"&lt;&gt;Hold",'Candidate Tracker'!$C:$C,"&lt;&gt;Cancelled",'Candidate Tracker'!$C:$C,"&lt;&gt;Closed")/COUNTIFS('Candidate Tracker'!$E:$E,'Positions Tracker'!$B76)),"")</f>
        <v/>
      </c>
      <c r="BD76" s="30" t="str">
        <f t="shared" si="15"/>
        <v>Dec-24</v>
      </c>
      <c r="BE76" s="30" t="str">
        <f t="shared" si="16"/>
        <v>Apr-25</v>
      </c>
      <c r="BF76" s="30" t="str">
        <f t="shared" si="17"/>
        <v>Apr-25</v>
      </c>
      <c r="BG76" s="30" t="str">
        <f t="shared" si="18"/>
        <v>Apr-25</v>
      </c>
    </row>
    <row r="77" spans="1:59">
      <c r="A77" s="30">
        <f t="shared" si="13"/>
        <v>76</v>
      </c>
      <c r="B77" s="30">
        <v>20242406</v>
      </c>
      <c r="C77" s="30" t="s">
        <v>3847</v>
      </c>
      <c r="D77" s="30" t="s">
        <v>1920</v>
      </c>
      <c r="E77" s="30" t="s">
        <v>2574</v>
      </c>
      <c r="F77" s="30" t="s">
        <v>3869</v>
      </c>
      <c r="G77" s="30" t="s">
        <v>3</v>
      </c>
      <c r="H77" s="30" t="s">
        <v>66</v>
      </c>
      <c r="I77" s="30" t="s">
        <v>4062</v>
      </c>
      <c r="J77" s="30"/>
      <c r="K77" s="31">
        <v>45608</v>
      </c>
      <c r="L77" s="31">
        <v>45608</v>
      </c>
      <c r="M77" s="31">
        <v>45621</v>
      </c>
      <c r="N77" s="30" t="s">
        <v>3855</v>
      </c>
      <c r="O77" s="31">
        <v>45613</v>
      </c>
      <c r="P77" s="31">
        <v>45670</v>
      </c>
      <c r="Q77" s="31"/>
      <c r="R77" s="31">
        <v>45673</v>
      </c>
      <c r="S77" s="31">
        <v>45717</v>
      </c>
      <c r="T77" s="31"/>
      <c r="U77" s="30"/>
      <c r="V77" s="30"/>
      <c r="W77" s="30"/>
      <c r="X77" s="30" t="s">
        <v>63</v>
      </c>
      <c r="Y77" s="30" t="s">
        <v>2679</v>
      </c>
      <c r="Z77" s="30" t="s">
        <v>2679</v>
      </c>
      <c r="AA77" s="30" t="s">
        <v>4063</v>
      </c>
      <c r="AB77" s="30">
        <v>6</v>
      </c>
      <c r="AC77" s="30">
        <v>2</v>
      </c>
      <c r="AD77" s="30">
        <v>0</v>
      </c>
      <c r="AE77" s="30" t="s">
        <v>4064</v>
      </c>
      <c r="AF77" s="30"/>
      <c r="AG77" s="30"/>
      <c r="AH77" s="31" t="s">
        <v>55</v>
      </c>
      <c r="AI77" s="31"/>
      <c r="AJ77" s="31"/>
      <c r="AK77" s="30"/>
      <c r="AL77" s="30"/>
      <c r="AM77" s="31"/>
      <c r="AN77" s="31"/>
      <c r="AO77" s="31"/>
      <c r="AP77" s="31"/>
      <c r="AQ77" s="31"/>
      <c r="AR77" s="31"/>
      <c r="AS77" s="31"/>
      <c r="AT77" s="30">
        <f t="shared" ca="1" si="14"/>
        <v>107</v>
      </c>
      <c r="AU77" s="32" t="str">
        <f t="shared" ca="1" si="12"/>
        <v/>
      </c>
      <c r="AV77" s="32" t="str" cm="1">
        <f t="array" aca="1" ref="AV77" ca="1">IFERROR(_xlfn.IFS($AU77="","",$AU77&lt;=15,"0-15",AND($AU77&gt;=16,$AU77&lt;=30),"16-30",AND($AU77&gt;=31,$AU77&lt;=45),"31-45",AND($AU77&gt;=46,$AU77&lt;=60),"46-60",AND($AU77&gt;=61,$AU77&lt;=90),"61-90",AND($AU77&gt;=91),"&gt; 90",AND($AU77&gt;=2000),""),"")</f>
        <v/>
      </c>
      <c r="AW77" s="32" t="str" cm="1">
        <f t="array" aca="1" ref="AW77" ca="1">IFERROR(_xlfn.IFS(OR($M77="",$AM77=""),"",OR($C77="Offered",$C77="Joined"),($AM77-$M77)-$AT77),"")</f>
        <v/>
      </c>
      <c r="AX77" s="32" t="str" cm="1">
        <f t="array" aca="1" ref="AX77" ca="1">IFERROR(_xlfn.IFS(OR($M77="",$AS77=""),"",$C77="Joined",($AS77-$M77)-$AT77),"")</f>
        <v/>
      </c>
      <c r="AY77" s="30" t="str">
        <f>IFERROR(IF(COUNTIFS('Candidate Tracker'!$E:$E,'Positions Tracker'!$B77,'Candidate Tracker'!$C:$C,"Offer Drop")=0,"",COUNTIFS('Candidate Tracker'!$E:$E,'Positions Tracker'!$B77,'Candidate Tracker'!$C:$C,"Offer Drop")),"")</f>
        <v/>
      </c>
      <c r="AZ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 s="34">
        <f>IFERROR(IF(COUNTIFS('Candidate Tracker'!$E:$E,'Positions Tracker'!$B77,'Candidate Tracker'!$I:$I,"Female")=0,"",COUNTIFS('Candidate Tracker'!$E:$E,'Positions Tracker'!$B77,'Candidate Tracker'!$I:$I,"Female")),"")</f>
        <v>8</v>
      </c>
      <c r="BB77" s="34">
        <f>IFERROR(IF(COUNTIFS('Candidate Tracker'!$E:$E,'Positions Tracker'!$B77,'Candidate Tracker'!$I:$I,"male")=0,"",COUNTIFS('Candidate Tracker'!$E:$E,'Positions Tracker'!$B77,'Candidate Tracker'!$I:$I,"male")),"")</f>
        <v>19</v>
      </c>
      <c r="BC77" s="33" t="str">
        <f>IFERROR(IF(COUNTIFS('Candidate Tracker'!$E:$E,'Positions Tracker'!$B77,'Candidate Tracker'!$C:$C,"&lt;&gt;WIP",'Candidate Tracker'!$C:$C,"&lt;&gt;Hold",'Candidate Tracker'!$C:$C,"&lt;&gt;Cancelled",'Candidate Tracker'!$C:$C,"&lt;&gt;Closed")/COUNTIFS('Candidate Tracker'!$E:$E,'Positions Tracker'!$B77)=0,"",COUNTIFS('Candidate Tracker'!$E:$E,'Positions Tracker'!$B77,'Candidate Tracker'!$C:$C,"&lt;&gt;WIP",'Candidate Tracker'!$C:$C,"&lt;&gt;Hold",'Candidate Tracker'!$C:$C,"&lt;&gt;Cancelled",'Candidate Tracker'!$C:$C,"&lt;&gt;Closed")/COUNTIFS('Candidate Tracker'!$E:$E,'Positions Tracker'!$B77)),"")</f>
        <v/>
      </c>
      <c r="BD77" s="30" t="str">
        <f t="shared" si="15"/>
        <v>Nov-24</v>
      </c>
      <c r="BE77" s="30" t="str">
        <f t="shared" si="16"/>
        <v/>
      </c>
      <c r="BF77" s="30" t="str">
        <f t="shared" si="17"/>
        <v/>
      </c>
      <c r="BG77" s="30" t="str">
        <f t="shared" si="18"/>
        <v/>
      </c>
    </row>
    <row r="78" spans="1:59">
      <c r="A78" s="30">
        <f t="shared" si="13"/>
        <v>77</v>
      </c>
      <c r="B78" s="30">
        <v>20251975</v>
      </c>
      <c r="C78" s="30" t="s">
        <v>3847</v>
      </c>
      <c r="D78" s="30" t="s">
        <v>1920</v>
      </c>
      <c r="E78" s="30" t="s">
        <v>4065</v>
      </c>
      <c r="F78" s="30" t="s">
        <v>4066</v>
      </c>
      <c r="G78" s="30" t="s">
        <v>3</v>
      </c>
      <c r="H78" s="30" t="s">
        <v>66</v>
      </c>
      <c r="I78" s="30" t="s">
        <v>4067</v>
      </c>
      <c r="J78" s="30"/>
      <c r="K78" s="31">
        <v>45686</v>
      </c>
      <c r="L78" s="31">
        <v>45686</v>
      </c>
      <c r="M78" s="31">
        <v>45756</v>
      </c>
      <c r="N78" s="30" t="s">
        <v>3855</v>
      </c>
      <c r="O78" s="31"/>
      <c r="P78" s="31"/>
      <c r="Q78" s="31"/>
      <c r="R78" s="31"/>
      <c r="S78" s="31"/>
      <c r="T78" s="31"/>
      <c r="U78" s="30"/>
      <c r="V78" s="30"/>
      <c r="W78" s="30"/>
      <c r="X78" s="30" t="s">
        <v>63</v>
      </c>
      <c r="Y78" s="30" t="s">
        <v>218</v>
      </c>
      <c r="Z78" s="30" t="s">
        <v>218</v>
      </c>
      <c r="AA78" s="30" t="s">
        <v>4068</v>
      </c>
      <c r="AB78" s="30">
        <v>8</v>
      </c>
      <c r="AC78" s="30">
        <v>2</v>
      </c>
      <c r="AD78" s="30">
        <v>2</v>
      </c>
      <c r="AE78" s="30"/>
      <c r="AF78" s="30"/>
      <c r="AG78" s="30"/>
      <c r="AH78" s="31"/>
      <c r="AI78" s="31"/>
      <c r="AJ78" s="31"/>
      <c r="AK78" s="30"/>
      <c r="AL78" s="30"/>
      <c r="AM78" s="31"/>
      <c r="AN78" s="31"/>
      <c r="AO78" s="31"/>
      <c r="AP78" s="31"/>
      <c r="AQ78" s="31"/>
      <c r="AR78" s="31"/>
      <c r="AS78" s="31"/>
      <c r="AT78" s="30">
        <f t="shared" ca="1" si="14"/>
        <v>0</v>
      </c>
      <c r="AU78" s="32" t="str">
        <f t="shared" ca="1" si="12"/>
        <v/>
      </c>
      <c r="AV78" s="32" t="str" cm="1">
        <f t="array" aca="1" ref="AV78" ca="1">IFERROR(_xlfn.IFS($AU78="","",$AU78&lt;=15,"0-15",AND($AU78&gt;=16,$AU78&lt;=30),"16-30",AND($AU78&gt;=31,$AU78&lt;=45),"31-45",AND($AU78&gt;=46,$AU78&lt;=60),"46-60",AND($AU78&gt;=61,$AU78&lt;=90),"61-90",AND($AU78&gt;=91),"&gt; 90",AND($AU78&gt;=2000),""),"")</f>
        <v/>
      </c>
      <c r="AW78" s="32" t="str" cm="1">
        <f t="array" aca="1" ref="AW78" ca="1">IFERROR(_xlfn.IFS(OR($M78="",$AM78=""),"",OR($C78="Offered",$C78="Joined"),($AM78-$M78)-$AT78),"")</f>
        <v/>
      </c>
      <c r="AX78" s="32" t="str" cm="1">
        <f t="array" aca="1" ref="AX78" ca="1">IFERROR(_xlfn.IFS(OR($M78="",$AS78=""),"",$C78="Joined",($AS78-$M78)-$AT78),"")</f>
        <v/>
      </c>
      <c r="AY78" s="30" t="str">
        <f>IFERROR(IF(COUNTIFS('Candidate Tracker'!$E:$E,'Positions Tracker'!$B78,'Candidate Tracker'!$C:$C,"Offer Drop")=0,"",COUNTIFS('Candidate Tracker'!$E:$E,'Positions Tracker'!$B78,'Candidate Tracker'!$C:$C,"Offer Drop")),"")</f>
        <v/>
      </c>
      <c r="AZ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 s="34">
        <f>IFERROR(IF(COUNTIFS('Candidate Tracker'!$E:$E,'Positions Tracker'!$B78,'Candidate Tracker'!$I:$I,"Female")=0,"",COUNTIFS('Candidate Tracker'!$E:$E,'Positions Tracker'!$B78,'Candidate Tracker'!$I:$I,"Female")),"")</f>
        <v>1</v>
      </c>
      <c r="BB78" s="34">
        <f>IFERROR(IF(COUNTIFS('Candidate Tracker'!$E:$E,'Positions Tracker'!$B78,'Candidate Tracker'!$I:$I,"male")=0,"",COUNTIFS('Candidate Tracker'!$E:$E,'Positions Tracker'!$B78,'Candidate Tracker'!$I:$I,"male")),"")</f>
        <v>6</v>
      </c>
      <c r="BC78" s="33" t="str">
        <f>IFERROR(IF(COUNTIFS('Candidate Tracker'!$E:$E,'Positions Tracker'!$B78,'Candidate Tracker'!$C:$C,"&lt;&gt;WIP",'Candidate Tracker'!$C:$C,"&lt;&gt;Hold",'Candidate Tracker'!$C:$C,"&lt;&gt;Cancelled",'Candidate Tracker'!$C:$C,"&lt;&gt;Closed")/COUNTIFS('Candidate Tracker'!$E:$E,'Positions Tracker'!$B78)=0,"",COUNTIFS('Candidate Tracker'!$E:$E,'Positions Tracker'!$B78,'Candidate Tracker'!$C:$C,"&lt;&gt;WIP",'Candidate Tracker'!$C:$C,"&lt;&gt;Hold",'Candidate Tracker'!$C:$C,"&lt;&gt;Cancelled",'Candidate Tracker'!$C:$C,"&lt;&gt;Closed")/COUNTIFS('Candidate Tracker'!$E:$E,'Positions Tracker'!$B78)),"")</f>
        <v/>
      </c>
      <c r="BD78" s="30" t="str">
        <f t="shared" si="15"/>
        <v>Apr-25</v>
      </c>
      <c r="BE78" s="30" t="str">
        <f t="shared" si="16"/>
        <v/>
      </c>
      <c r="BF78" s="30" t="str">
        <f t="shared" si="17"/>
        <v/>
      </c>
      <c r="BG78" s="30" t="str">
        <f t="shared" si="18"/>
        <v/>
      </c>
    </row>
    <row r="79" spans="1:59">
      <c r="A79" s="30">
        <f t="shared" si="13"/>
        <v>78</v>
      </c>
      <c r="B79" s="30">
        <v>20251977</v>
      </c>
      <c r="C79" s="30" t="s">
        <v>3847</v>
      </c>
      <c r="D79" s="30" t="s">
        <v>1920</v>
      </c>
      <c r="E79" s="30" t="s">
        <v>4069</v>
      </c>
      <c r="F79" s="30" t="s">
        <v>4070</v>
      </c>
      <c r="G79" s="30" t="s">
        <v>3</v>
      </c>
      <c r="H79" s="30" t="s">
        <v>3914</v>
      </c>
      <c r="I79" s="30" t="s">
        <v>4071</v>
      </c>
      <c r="J79" s="30" t="s">
        <v>135</v>
      </c>
      <c r="K79" s="31">
        <v>45678</v>
      </c>
      <c r="L79" s="31">
        <v>45678</v>
      </c>
      <c r="M79" s="31">
        <v>45678</v>
      </c>
      <c r="N79" s="30" t="s">
        <v>3926</v>
      </c>
      <c r="O79" s="31"/>
      <c r="P79" s="31"/>
      <c r="Q79" s="31"/>
      <c r="R79" s="31"/>
      <c r="S79" s="31"/>
      <c r="T79" s="31"/>
      <c r="U79" s="30"/>
      <c r="V79" s="30"/>
      <c r="W79" s="30"/>
      <c r="X79" s="30" t="s">
        <v>63</v>
      </c>
      <c r="Y79" s="30" t="s">
        <v>65</v>
      </c>
      <c r="Z79" s="30" t="s">
        <v>65</v>
      </c>
      <c r="AA79" s="30" t="s">
        <v>4072</v>
      </c>
      <c r="AB79" s="30"/>
      <c r="AC79" s="30"/>
      <c r="AD79" s="30"/>
      <c r="AE79" s="30"/>
      <c r="AF79" s="30"/>
      <c r="AG79" s="30"/>
      <c r="AH79" s="31"/>
      <c r="AI79" s="31"/>
      <c r="AJ79" s="31"/>
      <c r="AK79" s="30"/>
      <c r="AL79" s="30"/>
      <c r="AM79" s="31"/>
      <c r="AN79" s="31"/>
      <c r="AO79" s="31"/>
      <c r="AP79" s="31"/>
      <c r="AQ79" s="31"/>
      <c r="AR79" s="31"/>
      <c r="AS79" s="31"/>
      <c r="AT79" s="30">
        <f t="shared" ca="1" si="14"/>
        <v>0</v>
      </c>
      <c r="AU79" s="32" t="str">
        <f t="shared" ca="1" si="12"/>
        <v/>
      </c>
      <c r="AV79" s="32" t="str" cm="1">
        <f t="array" aca="1" ref="AV79" ca="1">IFERROR(_xlfn.IFS($AU79="","",$AU79&lt;=15,"0-15",AND($AU79&gt;=16,$AU79&lt;=30),"16-30",AND($AU79&gt;=31,$AU79&lt;=45),"31-45",AND($AU79&gt;=46,$AU79&lt;=60),"46-60",AND($AU79&gt;=61,$AU79&lt;=90),"61-90",AND($AU79&gt;=91),"&gt; 90",AND($AU79&gt;=2000),""),"")</f>
        <v/>
      </c>
      <c r="AW79" s="32" t="str" cm="1">
        <f t="array" aca="1" ref="AW79" ca="1">IFERROR(_xlfn.IFS(OR($M79="",$AM79=""),"",OR($C79="Offered",$C79="Joined"),($AM79-$M79)-$AT79),"")</f>
        <v/>
      </c>
      <c r="AX79" s="32" t="str" cm="1">
        <f t="array" aca="1" ref="AX79" ca="1">IFERROR(_xlfn.IFS(OR($M79="",$AS79=""),"",$C79="Joined",($AS79-$M79)-$AT79),"")</f>
        <v/>
      </c>
      <c r="AY79" s="30" t="str">
        <f>IFERROR(IF(COUNTIFS('Candidate Tracker'!$E:$E,'Positions Tracker'!$B79,'Candidate Tracker'!$C:$C,"Offer Drop")=0,"",COUNTIFS('Candidate Tracker'!$E:$E,'Positions Tracker'!$B79,'Candidate Tracker'!$C:$C,"Offer Drop")),"")</f>
        <v/>
      </c>
      <c r="AZ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 s="34">
        <f>IFERROR(IF(COUNTIFS('Candidate Tracker'!$E:$E,'Positions Tracker'!$B79,'Candidate Tracker'!$I:$I,"Female")=0,"",COUNTIFS('Candidate Tracker'!$E:$E,'Positions Tracker'!$B79,'Candidate Tracker'!$I:$I,"Female")),"")</f>
        <v>3</v>
      </c>
      <c r="BB79" s="34">
        <f>IFERROR(IF(COUNTIFS('Candidate Tracker'!$E:$E,'Positions Tracker'!$B79,'Candidate Tracker'!$I:$I,"male")=0,"",COUNTIFS('Candidate Tracker'!$E:$E,'Positions Tracker'!$B79,'Candidate Tracker'!$I:$I,"male")),"")</f>
        <v>16</v>
      </c>
      <c r="BC79" s="33" t="str">
        <f>IFERROR(IF(COUNTIFS('Candidate Tracker'!$E:$E,'Positions Tracker'!$B79,'Candidate Tracker'!$C:$C,"&lt;&gt;WIP",'Candidate Tracker'!$C:$C,"&lt;&gt;Hold",'Candidate Tracker'!$C:$C,"&lt;&gt;Cancelled",'Candidate Tracker'!$C:$C,"&lt;&gt;Closed")/COUNTIFS('Candidate Tracker'!$E:$E,'Positions Tracker'!$B79)=0,"",COUNTIFS('Candidate Tracker'!$E:$E,'Positions Tracker'!$B79,'Candidate Tracker'!$C:$C,"&lt;&gt;WIP",'Candidate Tracker'!$C:$C,"&lt;&gt;Hold",'Candidate Tracker'!$C:$C,"&lt;&gt;Cancelled",'Candidate Tracker'!$C:$C,"&lt;&gt;Closed")/COUNTIFS('Candidate Tracker'!$E:$E,'Positions Tracker'!$B79)),"")</f>
        <v/>
      </c>
      <c r="BD79" s="30" t="str">
        <f t="shared" si="15"/>
        <v>Jan-25</v>
      </c>
      <c r="BE79" s="30" t="str">
        <f t="shared" si="16"/>
        <v/>
      </c>
      <c r="BF79" s="30" t="str">
        <f t="shared" si="17"/>
        <v/>
      </c>
      <c r="BG79" s="30" t="str">
        <f t="shared" si="18"/>
        <v/>
      </c>
    </row>
    <row r="80" spans="1:59">
      <c r="A80" s="30">
        <f t="shared" si="13"/>
        <v>79</v>
      </c>
      <c r="B80" s="30">
        <v>20253004</v>
      </c>
      <c r="C80" s="30" t="s">
        <v>51</v>
      </c>
      <c r="D80" s="30" t="s">
        <v>51</v>
      </c>
      <c r="E80" s="30" t="s">
        <v>3894</v>
      </c>
      <c r="F80" s="30" t="s">
        <v>2959</v>
      </c>
      <c r="G80" s="30" t="s">
        <v>3</v>
      </c>
      <c r="H80" s="30" t="s">
        <v>66</v>
      </c>
      <c r="I80" s="30" t="s">
        <v>433</v>
      </c>
      <c r="J80" s="30" t="s">
        <v>135</v>
      </c>
      <c r="K80" s="31">
        <v>45337</v>
      </c>
      <c r="L80" s="31">
        <v>45566</v>
      </c>
      <c r="M80" s="31">
        <v>45627</v>
      </c>
      <c r="N80" s="30" t="s">
        <v>3861</v>
      </c>
      <c r="O80" s="31"/>
      <c r="P80" s="31"/>
      <c r="Q80" s="31"/>
      <c r="R80" s="31"/>
      <c r="S80" s="31"/>
      <c r="T80" s="31"/>
      <c r="U80" s="30"/>
      <c r="V80" s="30"/>
      <c r="W80" s="30"/>
      <c r="X80" s="30" t="s">
        <v>63</v>
      </c>
      <c r="Y80" s="30" t="s">
        <v>2679</v>
      </c>
      <c r="Z80" s="30" t="s">
        <v>2679</v>
      </c>
      <c r="AA80" s="30" t="s">
        <v>4073</v>
      </c>
      <c r="AB80" s="30"/>
      <c r="AC80" s="30"/>
      <c r="AD80" s="30"/>
      <c r="AE80" s="30" t="s">
        <v>4074</v>
      </c>
      <c r="AF80" s="30">
        <v>9890193495</v>
      </c>
      <c r="AG80" s="30" t="s">
        <v>1293</v>
      </c>
      <c r="AH80" s="31" t="s">
        <v>55</v>
      </c>
      <c r="AI80" s="31">
        <v>45707</v>
      </c>
      <c r="AJ80" s="31">
        <v>45720</v>
      </c>
      <c r="AK80" s="30" t="s">
        <v>63</v>
      </c>
      <c r="AL80" s="30">
        <v>2500000</v>
      </c>
      <c r="AM80" s="31">
        <v>45723</v>
      </c>
      <c r="AN80" s="31">
        <v>45723</v>
      </c>
      <c r="AO80" s="31"/>
      <c r="AP80" s="31">
        <v>45723</v>
      </c>
      <c r="AQ80" s="31">
        <v>45723</v>
      </c>
      <c r="AR80" s="31"/>
      <c r="AS80" s="31">
        <v>45789</v>
      </c>
      <c r="AT80" s="30">
        <f t="shared" ca="1" si="14"/>
        <v>0</v>
      </c>
      <c r="AU80" s="32" t="str">
        <f t="shared" ca="1" si="12"/>
        <v/>
      </c>
      <c r="AV80" s="32" t="str" cm="1">
        <f t="array" aca="1" ref="AV80" ca="1">IFERROR(_xlfn.IFS($AU80="","",$AU80&lt;=15,"0-15",AND($AU80&gt;=16,$AU80&lt;=30),"16-30",AND($AU80&gt;=31,$AU80&lt;=45),"31-45",AND($AU80&gt;=46,$AU80&lt;=60),"46-60",AND($AU80&gt;=61,$AU80&lt;=90),"61-90",AND($AU80&gt;=91),"&gt; 90",AND($AU80&gt;=2000),""),"")</f>
        <v/>
      </c>
      <c r="AW80" s="32" cm="1">
        <f t="array" aca="1" ref="AW80" ca="1">IFERROR(_xlfn.IFS(OR($M80="",$AM80=""),"",OR($C80="Offered",$C80="Joined"),($AM80-$M80)-$AT80),"")</f>
        <v>96</v>
      </c>
      <c r="AX80" s="32" cm="1">
        <f t="array" aca="1" ref="AX80" ca="1">IFERROR(_xlfn.IFS(OR($M80="",$AS80=""),"",$C80="Joined",($AS80-$M80)-$AT80),"")</f>
        <v>162</v>
      </c>
      <c r="AY80" s="30" t="str">
        <f>IFERROR(IF(COUNTIFS('Candidate Tracker'!$E:$E,'Positions Tracker'!$B80,'Candidate Tracker'!$C:$C,"Offer Drop")=0,"",COUNTIFS('Candidate Tracker'!$E:$E,'Positions Tracker'!$B80,'Candidate Tracker'!$C:$C,"Offer Drop")),"")</f>
        <v/>
      </c>
      <c r="AZ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 s="34" t="str">
        <f>IFERROR(IF(COUNTIFS('Candidate Tracker'!$E:$E,'Positions Tracker'!$B80,'Candidate Tracker'!$I:$I,"Female")=0,"",COUNTIFS('Candidate Tracker'!$E:$E,'Positions Tracker'!$B80,'Candidate Tracker'!$I:$I,"Female")),"")</f>
        <v/>
      </c>
      <c r="BB80" s="34" t="str">
        <f>IFERROR(IF(COUNTIFS('Candidate Tracker'!$E:$E,'Positions Tracker'!$B80,'Candidate Tracker'!$I:$I,"male")=0,"",COUNTIFS('Candidate Tracker'!$E:$E,'Positions Tracker'!$B80,'Candidate Tracker'!$I:$I,"male")),"")</f>
        <v/>
      </c>
      <c r="BC80" s="33" t="str">
        <f>IFERROR(IF(COUNTIFS('Candidate Tracker'!$E:$E,'Positions Tracker'!$B80,'Candidate Tracker'!$C:$C,"&lt;&gt;WIP",'Candidate Tracker'!$C:$C,"&lt;&gt;Hold",'Candidate Tracker'!$C:$C,"&lt;&gt;Cancelled",'Candidate Tracker'!$C:$C,"&lt;&gt;Closed")/COUNTIFS('Candidate Tracker'!$E:$E,'Positions Tracker'!$B80)=0,"",COUNTIFS('Candidate Tracker'!$E:$E,'Positions Tracker'!$B80,'Candidate Tracker'!$C:$C,"&lt;&gt;WIP",'Candidate Tracker'!$C:$C,"&lt;&gt;Hold",'Candidate Tracker'!$C:$C,"&lt;&gt;Cancelled",'Candidate Tracker'!$C:$C,"&lt;&gt;Closed")/COUNTIFS('Candidate Tracker'!$E:$E,'Positions Tracker'!$B80)),"")</f>
        <v/>
      </c>
      <c r="BD80" s="30" t="str">
        <f t="shared" si="15"/>
        <v>Dec-24</v>
      </c>
      <c r="BE80" s="30" t="str">
        <f t="shared" si="16"/>
        <v>Feb-25</v>
      </c>
      <c r="BF80" s="30" t="str">
        <f t="shared" si="17"/>
        <v>Mar-25</v>
      </c>
      <c r="BG80" s="30" t="str">
        <f t="shared" si="18"/>
        <v>May-25</v>
      </c>
    </row>
    <row r="81" spans="1:59">
      <c r="A81" s="30">
        <f t="shared" si="13"/>
        <v>80</v>
      </c>
      <c r="B81" s="30">
        <v>20243903</v>
      </c>
      <c r="C81" s="30" t="s">
        <v>1044</v>
      </c>
      <c r="D81" s="30" t="s">
        <v>320</v>
      </c>
      <c r="E81" s="30" t="s">
        <v>4075</v>
      </c>
      <c r="F81" s="30" t="s">
        <v>4076</v>
      </c>
      <c r="G81" s="30" t="s">
        <v>3</v>
      </c>
      <c r="H81" s="30" t="s">
        <v>66</v>
      </c>
      <c r="I81" s="30" t="s">
        <v>4077</v>
      </c>
      <c r="J81" s="30" t="s">
        <v>135</v>
      </c>
      <c r="K81" s="31">
        <v>45485</v>
      </c>
      <c r="L81" s="31">
        <v>45485</v>
      </c>
      <c r="M81" s="31">
        <v>45547</v>
      </c>
      <c r="N81" s="30" t="s">
        <v>4078</v>
      </c>
      <c r="O81" s="31"/>
      <c r="P81" s="31"/>
      <c r="Q81" s="31"/>
      <c r="R81" s="31"/>
      <c r="S81" s="31"/>
      <c r="T81" s="31"/>
      <c r="U81" s="30"/>
      <c r="V81" s="30"/>
      <c r="W81" s="30"/>
      <c r="X81" s="30" t="s">
        <v>63</v>
      </c>
      <c r="Y81" s="30" t="s">
        <v>65</v>
      </c>
      <c r="Z81" s="30" t="s">
        <v>65</v>
      </c>
      <c r="AA81" s="30" t="s">
        <v>4079</v>
      </c>
      <c r="AB81" s="30"/>
      <c r="AC81" s="30"/>
      <c r="AD81" s="30"/>
      <c r="AE81" s="30" t="s">
        <v>872</v>
      </c>
      <c r="AF81" s="30">
        <v>8862086872</v>
      </c>
      <c r="AG81" s="30" t="s">
        <v>873</v>
      </c>
      <c r="AH81" s="31" t="s">
        <v>101</v>
      </c>
      <c r="AI81" s="31">
        <v>45651</v>
      </c>
      <c r="AJ81" s="31">
        <v>45664</v>
      </c>
      <c r="AK81" s="30" t="s">
        <v>63</v>
      </c>
      <c r="AL81" s="30">
        <v>950000</v>
      </c>
      <c r="AM81" s="31">
        <v>45664</v>
      </c>
      <c r="AN81" s="31">
        <v>45177</v>
      </c>
      <c r="AO81" s="31"/>
      <c r="AP81" s="31"/>
      <c r="AQ81" s="31"/>
      <c r="AR81" s="31"/>
      <c r="AS81" s="31">
        <v>45747</v>
      </c>
      <c r="AT81" s="30">
        <f t="shared" ca="1" si="14"/>
        <v>0</v>
      </c>
      <c r="AU81" s="32" t="str">
        <f t="shared" ca="1" si="12"/>
        <v/>
      </c>
      <c r="AV81" s="32" t="str" cm="1">
        <f t="array" aca="1" ref="AV81" ca="1">IFERROR(_xlfn.IFS($AU81="","",$AU81&lt;=15,"0-15",AND($AU81&gt;=16,$AU81&lt;=30),"16-30",AND($AU81&gt;=31,$AU81&lt;=45),"31-45",AND($AU81&gt;=46,$AU81&lt;=60),"46-60",AND($AU81&gt;=61,$AU81&lt;=90),"61-90",AND($AU81&gt;=91),"&gt; 90",AND($AU81&gt;=2000),""),"")</f>
        <v/>
      </c>
      <c r="AW81" s="32" t="str" cm="1">
        <f t="array" aca="1" ref="AW81" ca="1">IFERROR(_xlfn.IFS(OR($M81="",$AM81=""),"",OR($C81="Offered",$C81="Joined"),($AM81-$M81)-$AT81),"")</f>
        <v/>
      </c>
      <c r="AX81" s="32" t="str" cm="1">
        <f t="array" aca="1" ref="AX81" ca="1">IFERROR(_xlfn.IFS(OR($M81="",$AS81=""),"",$C81="Joined",($AS81-$M81)-$AT81),"")</f>
        <v/>
      </c>
      <c r="AY81" s="30" t="str">
        <f>IFERROR(IF(COUNTIFS('Candidate Tracker'!$E:$E,'Positions Tracker'!$B81,'Candidate Tracker'!$C:$C,"Offer Drop")=0,"",COUNTIFS('Candidate Tracker'!$E:$E,'Positions Tracker'!$B81,'Candidate Tracker'!$C:$C,"Offer Drop")),"")</f>
        <v/>
      </c>
      <c r="AZ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 s="34">
        <f>IFERROR(IF(COUNTIFS('Candidate Tracker'!$E:$E,'Positions Tracker'!$B81,'Candidate Tracker'!$I:$I,"Female")=0,"",COUNTIFS('Candidate Tracker'!$E:$E,'Positions Tracker'!$B81,'Candidate Tracker'!$I:$I,"Female")),"")</f>
        <v>1</v>
      </c>
      <c r="BB81" s="34" t="str">
        <f>IFERROR(IF(COUNTIFS('Candidate Tracker'!$E:$E,'Positions Tracker'!$B81,'Candidate Tracker'!$I:$I,"male")=0,"",COUNTIFS('Candidate Tracker'!$E:$E,'Positions Tracker'!$B81,'Candidate Tracker'!$I:$I,"male")),"")</f>
        <v/>
      </c>
      <c r="BC81" s="33">
        <f>IFERROR(IF(COUNTIFS('Candidate Tracker'!$E:$E,'Positions Tracker'!$B81,'Candidate Tracker'!$C:$C,"&lt;&gt;WIP",'Candidate Tracker'!$C:$C,"&lt;&gt;Hold",'Candidate Tracker'!$C:$C,"&lt;&gt;Cancelled",'Candidate Tracker'!$C:$C,"&lt;&gt;Closed")/COUNTIFS('Candidate Tracker'!$E:$E,'Positions Tracker'!$B81)=0,"",COUNTIFS('Candidate Tracker'!$E:$E,'Positions Tracker'!$B81,'Candidate Tracker'!$C:$C,"&lt;&gt;WIP",'Candidate Tracker'!$C:$C,"&lt;&gt;Hold",'Candidate Tracker'!$C:$C,"&lt;&gt;Cancelled",'Candidate Tracker'!$C:$C,"&lt;&gt;Closed")/COUNTIFS('Candidate Tracker'!$E:$E,'Positions Tracker'!$B81)),"")</f>
        <v>1</v>
      </c>
      <c r="BD81" s="30" t="str">
        <f t="shared" si="15"/>
        <v>Sep-24</v>
      </c>
      <c r="BE81" s="30" t="str">
        <f t="shared" si="16"/>
        <v>Dec-24</v>
      </c>
      <c r="BF81" s="30" t="str">
        <f t="shared" si="17"/>
        <v>Jan-25</v>
      </c>
      <c r="BG81" s="30" t="str">
        <f t="shared" si="18"/>
        <v>Mar-25</v>
      </c>
    </row>
    <row r="82" spans="1:59">
      <c r="A82" s="30">
        <f t="shared" si="13"/>
        <v>81</v>
      </c>
      <c r="B82" s="30">
        <v>20244851</v>
      </c>
      <c r="C82" s="30" t="s">
        <v>51</v>
      </c>
      <c r="D82" s="30" t="s">
        <v>51</v>
      </c>
      <c r="E82" s="30" t="s">
        <v>4080</v>
      </c>
      <c r="F82" s="30" t="s">
        <v>4081</v>
      </c>
      <c r="G82" s="30" t="s">
        <v>3</v>
      </c>
      <c r="H82" s="30" t="s">
        <v>66</v>
      </c>
      <c r="I82" s="30" t="s">
        <v>428</v>
      </c>
      <c r="J82" s="30" t="s">
        <v>135</v>
      </c>
      <c r="K82" s="31">
        <v>45499</v>
      </c>
      <c r="L82" s="31">
        <v>45499</v>
      </c>
      <c r="M82" s="31">
        <v>45561</v>
      </c>
      <c r="N82" s="30" t="s">
        <v>3850</v>
      </c>
      <c r="O82" s="31"/>
      <c r="P82" s="31"/>
      <c r="Q82" s="31"/>
      <c r="R82" s="31"/>
      <c r="S82" s="31"/>
      <c r="T82" s="31"/>
      <c r="U82" s="30"/>
      <c r="V82" s="30"/>
      <c r="W82" s="30"/>
      <c r="X82" s="30" t="s">
        <v>63</v>
      </c>
      <c r="Y82" s="30" t="s">
        <v>65</v>
      </c>
      <c r="Z82" s="30" t="s">
        <v>65</v>
      </c>
      <c r="AA82" s="30" t="s">
        <v>4082</v>
      </c>
      <c r="AB82" s="30"/>
      <c r="AC82" s="30"/>
      <c r="AD82" s="30"/>
      <c r="AE82" s="30" t="s">
        <v>4083</v>
      </c>
      <c r="AF82" s="30">
        <v>8668428223</v>
      </c>
      <c r="AG82" s="30" t="s">
        <v>926</v>
      </c>
      <c r="AH82" s="31" t="s">
        <v>55</v>
      </c>
      <c r="AI82" s="31">
        <v>45663</v>
      </c>
      <c r="AJ82" s="31">
        <v>45677</v>
      </c>
      <c r="AK82" s="30" t="s">
        <v>63</v>
      </c>
      <c r="AL82" s="30">
        <v>1000000</v>
      </c>
      <c r="AM82" s="31">
        <v>45677</v>
      </c>
      <c r="AN82" s="31">
        <v>45553</v>
      </c>
      <c r="AO82" s="31"/>
      <c r="AP82" s="31"/>
      <c r="AQ82" s="31"/>
      <c r="AR82" s="31"/>
      <c r="AS82" s="31">
        <v>45726</v>
      </c>
      <c r="AT82" s="30">
        <f t="shared" ca="1" si="14"/>
        <v>0</v>
      </c>
      <c r="AU82" s="32" t="str">
        <f t="shared" ca="1" si="12"/>
        <v/>
      </c>
      <c r="AV82" s="32" t="str" cm="1">
        <f t="array" aca="1" ref="AV82" ca="1">IFERROR(_xlfn.IFS($AU82="","",$AU82&lt;=15,"0-15",AND($AU82&gt;=16,$AU82&lt;=30),"16-30",AND($AU82&gt;=31,$AU82&lt;=45),"31-45",AND($AU82&gt;=46,$AU82&lt;=60),"46-60",AND($AU82&gt;=61,$AU82&lt;=90),"61-90",AND($AU82&gt;=91),"&gt; 90",AND($AU82&gt;=2000),""),"")</f>
        <v/>
      </c>
      <c r="AW82" s="32" cm="1">
        <f t="array" aca="1" ref="AW82" ca="1">IFERROR(_xlfn.IFS(OR($M82="",$AM82=""),"",OR($C82="Offered",$C82="Joined"),($AM82-$M82)-$AT82),"")</f>
        <v>116</v>
      </c>
      <c r="AX82" s="32" cm="1">
        <f t="array" aca="1" ref="AX82" ca="1">IFERROR(_xlfn.IFS(OR($M82="",$AS82=""),"",$C82="Joined",($AS82-$M82)-$AT82),"")</f>
        <v>165</v>
      </c>
      <c r="AY82" s="30" t="str">
        <f>IFERROR(IF(COUNTIFS('Candidate Tracker'!$E:$E,'Positions Tracker'!$B82,'Candidate Tracker'!$C:$C,"Offer Drop")=0,"",COUNTIFS('Candidate Tracker'!$E:$E,'Positions Tracker'!$B82,'Candidate Tracker'!$C:$C,"Offer Drop")),"")</f>
        <v/>
      </c>
      <c r="AZ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 s="34" t="str">
        <f>IFERROR(IF(COUNTIFS('Candidate Tracker'!$E:$E,'Positions Tracker'!$B82,'Candidate Tracker'!$I:$I,"Female")=0,"",COUNTIFS('Candidate Tracker'!$E:$E,'Positions Tracker'!$B82,'Candidate Tracker'!$I:$I,"Female")),"")</f>
        <v/>
      </c>
      <c r="BB82" s="34">
        <f>IFERROR(IF(COUNTIFS('Candidate Tracker'!$E:$E,'Positions Tracker'!$B82,'Candidate Tracker'!$I:$I,"male")=0,"",COUNTIFS('Candidate Tracker'!$E:$E,'Positions Tracker'!$B82,'Candidate Tracker'!$I:$I,"male")),"")</f>
        <v>1</v>
      </c>
      <c r="BC82" s="33">
        <f>IFERROR(IF(COUNTIFS('Candidate Tracker'!$E:$E,'Positions Tracker'!$B82,'Candidate Tracker'!$C:$C,"&lt;&gt;WIP",'Candidate Tracker'!$C:$C,"&lt;&gt;Hold",'Candidate Tracker'!$C:$C,"&lt;&gt;Cancelled",'Candidate Tracker'!$C:$C,"&lt;&gt;Closed")/COUNTIFS('Candidate Tracker'!$E:$E,'Positions Tracker'!$B82)=0,"",COUNTIFS('Candidate Tracker'!$E:$E,'Positions Tracker'!$B82,'Candidate Tracker'!$C:$C,"&lt;&gt;WIP",'Candidate Tracker'!$C:$C,"&lt;&gt;Hold",'Candidate Tracker'!$C:$C,"&lt;&gt;Cancelled",'Candidate Tracker'!$C:$C,"&lt;&gt;Closed")/COUNTIFS('Candidate Tracker'!$E:$E,'Positions Tracker'!$B82)),"")</f>
        <v>1</v>
      </c>
      <c r="BD82" s="30" t="str">
        <f t="shared" si="15"/>
        <v>Sep-24</v>
      </c>
      <c r="BE82" s="30" t="str">
        <f t="shared" si="16"/>
        <v>Jan-25</v>
      </c>
      <c r="BF82" s="30" t="str">
        <f t="shared" si="17"/>
        <v>Jan-25</v>
      </c>
      <c r="BG82" s="30" t="str">
        <f t="shared" si="18"/>
        <v>Mar-25</v>
      </c>
    </row>
    <row r="83" spans="1:59">
      <c r="A83" s="30">
        <f t="shared" si="13"/>
        <v>82</v>
      </c>
      <c r="B83" s="30">
        <v>20243108</v>
      </c>
      <c r="C83" s="30" t="s">
        <v>51</v>
      </c>
      <c r="D83" s="30" t="s">
        <v>51</v>
      </c>
      <c r="E83" s="30" t="s">
        <v>4084</v>
      </c>
      <c r="F83" s="30" t="s">
        <v>2959</v>
      </c>
      <c r="G83" s="30" t="s">
        <v>3</v>
      </c>
      <c r="H83" s="30" t="s">
        <v>3914</v>
      </c>
      <c r="I83" s="30" t="s">
        <v>4071</v>
      </c>
      <c r="J83" s="30" t="s">
        <v>135</v>
      </c>
      <c r="K83" s="31">
        <v>45555</v>
      </c>
      <c r="L83" s="31">
        <v>45555</v>
      </c>
      <c r="M83" s="31">
        <v>45585</v>
      </c>
      <c r="N83" s="30" t="s">
        <v>3926</v>
      </c>
      <c r="O83" s="31"/>
      <c r="P83" s="31"/>
      <c r="Q83" s="31"/>
      <c r="R83" s="31"/>
      <c r="S83" s="31"/>
      <c r="T83" s="31"/>
      <c r="U83" s="30"/>
      <c r="V83" s="30"/>
      <c r="W83" s="30"/>
      <c r="X83" s="30" t="s">
        <v>63</v>
      </c>
      <c r="Y83" s="30" t="s">
        <v>2679</v>
      </c>
      <c r="Z83" s="30" t="s">
        <v>2679</v>
      </c>
      <c r="AA83" s="30" t="s">
        <v>4085</v>
      </c>
      <c r="AB83" s="30"/>
      <c r="AC83" s="30"/>
      <c r="AD83" s="30"/>
      <c r="AE83" s="30" t="s">
        <v>865</v>
      </c>
      <c r="AF83" s="30">
        <v>9871282834</v>
      </c>
      <c r="AG83" s="30" t="s">
        <v>866</v>
      </c>
      <c r="AH83" s="31" t="s">
        <v>55</v>
      </c>
      <c r="AI83" s="31">
        <v>45646</v>
      </c>
      <c r="AJ83" s="31">
        <v>45665</v>
      </c>
      <c r="AK83" s="30" t="s">
        <v>63</v>
      </c>
      <c r="AL83" s="30">
        <v>4380000</v>
      </c>
      <c r="AM83" s="31">
        <v>45665</v>
      </c>
      <c r="AN83" s="31">
        <v>45667</v>
      </c>
      <c r="AO83" s="31"/>
      <c r="AP83" s="31"/>
      <c r="AQ83" s="31"/>
      <c r="AR83" s="31"/>
      <c r="AS83" s="31">
        <v>45775</v>
      </c>
      <c r="AT83" s="30">
        <f t="shared" ca="1" si="14"/>
        <v>0</v>
      </c>
      <c r="AU83" s="32" t="str">
        <f t="shared" ca="1" si="12"/>
        <v/>
      </c>
      <c r="AV83" s="32" t="str" cm="1">
        <f t="array" aca="1" ref="AV83" ca="1">IFERROR(_xlfn.IFS($AU83="","",$AU83&lt;=15,"0-15",AND($AU83&gt;=16,$AU83&lt;=30),"16-30",AND($AU83&gt;=31,$AU83&lt;=45),"31-45",AND($AU83&gt;=46,$AU83&lt;=60),"46-60",AND($AU83&gt;=61,$AU83&lt;=90),"61-90",AND($AU83&gt;=91),"&gt; 90",AND($AU83&gt;=2000),""),"")</f>
        <v/>
      </c>
      <c r="AW83" s="32" cm="1">
        <f t="array" aca="1" ref="AW83" ca="1">IFERROR(_xlfn.IFS(OR($M83="",$AM83=""),"",OR($C83="Offered",$C83="Joined"),($AM83-$M83)-$AT83),"")</f>
        <v>80</v>
      </c>
      <c r="AX83" s="32" cm="1">
        <f t="array" aca="1" ref="AX83" ca="1">IFERROR(_xlfn.IFS(OR($M83="",$AS83=""),"",$C83="Joined",($AS83-$M83)-$AT83),"")</f>
        <v>190</v>
      </c>
      <c r="AY83" s="30" t="str">
        <f>IFERROR(IF(COUNTIFS('Candidate Tracker'!$E:$E,'Positions Tracker'!$B83,'Candidate Tracker'!$C:$C,"Offer Drop")=0,"",COUNTIFS('Candidate Tracker'!$E:$E,'Positions Tracker'!$B83,'Candidate Tracker'!$C:$C,"Offer Drop")),"")</f>
        <v/>
      </c>
      <c r="AZ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 s="34" t="str">
        <f>IFERROR(IF(COUNTIFS('Candidate Tracker'!$E:$E,'Positions Tracker'!$B83,'Candidate Tracker'!$I:$I,"Female")=0,"",COUNTIFS('Candidate Tracker'!$E:$E,'Positions Tracker'!$B83,'Candidate Tracker'!$I:$I,"Female")),"")</f>
        <v/>
      </c>
      <c r="BB83" s="34">
        <f>IFERROR(IF(COUNTIFS('Candidate Tracker'!$E:$E,'Positions Tracker'!$B83,'Candidate Tracker'!$I:$I,"male")=0,"",COUNTIFS('Candidate Tracker'!$E:$E,'Positions Tracker'!$B83,'Candidate Tracker'!$I:$I,"male")),"")</f>
        <v>1</v>
      </c>
      <c r="BC83" s="33">
        <f>IFERROR(IF(COUNTIFS('Candidate Tracker'!$E:$E,'Positions Tracker'!$B83,'Candidate Tracker'!$C:$C,"&lt;&gt;WIP",'Candidate Tracker'!$C:$C,"&lt;&gt;Hold",'Candidate Tracker'!$C:$C,"&lt;&gt;Cancelled",'Candidate Tracker'!$C:$C,"&lt;&gt;Closed")/COUNTIFS('Candidate Tracker'!$E:$E,'Positions Tracker'!$B83)=0,"",COUNTIFS('Candidate Tracker'!$E:$E,'Positions Tracker'!$B83,'Candidate Tracker'!$C:$C,"&lt;&gt;WIP",'Candidate Tracker'!$C:$C,"&lt;&gt;Hold",'Candidate Tracker'!$C:$C,"&lt;&gt;Cancelled",'Candidate Tracker'!$C:$C,"&lt;&gt;Closed")/COUNTIFS('Candidate Tracker'!$E:$E,'Positions Tracker'!$B83)),"")</f>
        <v>1</v>
      </c>
      <c r="BD83" s="30" t="str">
        <f t="shared" si="15"/>
        <v>Oct-24</v>
      </c>
      <c r="BE83" s="30" t="str">
        <f t="shared" si="16"/>
        <v>Dec-24</v>
      </c>
      <c r="BF83" s="30" t="str">
        <f t="shared" si="17"/>
        <v>Jan-25</v>
      </c>
      <c r="BG83" s="30" t="str">
        <f t="shared" si="18"/>
        <v>Apr-25</v>
      </c>
    </row>
    <row r="84" spans="1:59">
      <c r="A84" s="30">
        <f t="shared" si="13"/>
        <v>83</v>
      </c>
      <c r="B84" s="30">
        <v>20252534</v>
      </c>
      <c r="C84" s="30" t="s">
        <v>51</v>
      </c>
      <c r="D84" s="30" t="s">
        <v>51</v>
      </c>
      <c r="E84" s="30" t="s">
        <v>957</v>
      </c>
      <c r="F84" s="30" t="s">
        <v>4081</v>
      </c>
      <c r="G84" s="30" t="s">
        <v>3</v>
      </c>
      <c r="H84" s="30" t="s">
        <v>66</v>
      </c>
      <c r="I84" s="30" t="s">
        <v>4086</v>
      </c>
      <c r="J84" s="30" t="s">
        <v>135</v>
      </c>
      <c r="K84" s="31">
        <v>45649</v>
      </c>
      <c r="L84" s="31">
        <v>45649</v>
      </c>
      <c r="M84" s="31">
        <v>45649</v>
      </c>
      <c r="N84" s="30" t="s">
        <v>3897</v>
      </c>
      <c r="O84" s="31"/>
      <c r="P84" s="31"/>
      <c r="Q84" s="31"/>
      <c r="R84" s="31"/>
      <c r="S84" s="31"/>
      <c r="T84" s="31"/>
      <c r="U84" s="30"/>
      <c r="V84" s="30"/>
      <c r="W84" s="30"/>
      <c r="X84" s="30" t="s">
        <v>63</v>
      </c>
      <c r="Y84" s="30" t="s">
        <v>65</v>
      </c>
      <c r="Z84" s="30" t="s">
        <v>65</v>
      </c>
      <c r="AA84" s="30" t="s">
        <v>4087</v>
      </c>
      <c r="AB84" s="30"/>
      <c r="AC84" s="30"/>
      <c r="AD84" s="30"/>
      <c r="AE84" s="30" t="s">
        <v>1002</v>
      </c>
      <c r="AF84" s="30">
        <v>8446493765</v>
      </c>
      <c r="AG84" s="30" t="s">
        <v>1003</v>
      </c>
      <c r="AH84" s="31" t="s">
        <v>55</v>
      </c>
      <c r="AI84" s="31">
        <v>45695</v>
      </c>
      <c r="AJ84" s="31">
        <v>45712</v>
      </c>
      <c r="AK84" s="30" t="s">
        <v>63</v>
      </c>
      <c r="AL84" s="30">
        <v>830000</v>
      </c>
      <c r="AM84" s="31">
        <v>45712</v>
      </c>
      <c r="AN84" s="31">
        <v>45712</v>
      </c>
      <c r="AO84" s="31"/>
      <c r="AP84" s="31">
        <v>45714</v>
      </c>
      <c r="AQ84" s="31">
        <v>45714</v>
      </c>
      <c r="AR84" s="31"/>
      <c r="AS84" s="31">
        <v>45775</v>
      </c>
      <c r="AT84" s="30">
        <f t="shared" ca="1" si="14"/>
        <v>0</v>
      </c>
      <c r="AU84" s="32" t="str">
        <f t="shared" ca="1" si="12"/>
        <v/>
      </c>
      <c r="AV84" s="32" t="str" cm="1">
        <f t="array" aca="1" ref="AV84" ca="1">IFERROR(_xlfn.IFS($AU84="","",$AU84&lt;=15,"0-15",AND($AU84&gt;=16,$AU84&lt;=30),"16-30",AND($AU84&gt;=31,$AU84&lt;=45),"31-45",AND($AU84&gt;=46,$AU84&lt;=60),"46-60",AND($AU84&gt;=61,$AU84&lt;=90),"61-90",AND($AU84&gt;=91),"&gt; 90",AND($AU84&gt;=2000),""),"")</f>
        <v/>
      </c>
      <c r="AW84" s="32" cm="1">
        <f t="array" aca="1" ref="AW84" ca="1">IFERROR(_xlfn.IFS(OR($M84="",$AM84=""),"",OR($C84="Offered",$C84="Joined"),($AM84-$M84)-$AT84),"")</f>
        <v>63</v>
      </c>
      <c r="AX84" s="32" cm="1">
        <f t="array" aca="1" ref="AX84" ca="1">IFERROR(_xlfn.IFS(OR($M84="",$AS84=""),"",$C84="Joined",($AS84-$M84)-$AT84),"")</f>
        <v>126</v>
      </c>
      <c r="AY84" s="30" t="str">
        <f>IFERROR(IF(COUNTIFS('Candidate Tracker'!$E:$E,'Positions Tracker'!$B84,'Candidate Tracker'!$C:$C,"Offer Drop")=0,"",COUNTIFS('Candidate Tracker'!$E:$E,'Positions Tracker'!$B84,'Candidate Tracker'!$C:$C,"Offer Drop")),"")</f>
        <v/>
      </c>
      <c r="AZ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 s="34" t="str">
        <f>IFERROR(IF(COUNTIFS('Candidate Tracker'!$E:$E,'Positions Tracker'!$B84,'Candidate Tracker'!$I:$I,"Female")=0,"",COUNTIFS('Candidate Tracker'!$E:$E,'Positions Tracker'!$B84,'Candidate Tracker'!$I:$I,"Female")),"")</f>
        <v/>
      </c>
      <c r="BB84" s="34" t="str">
        <f>IFERROR(IF(COUNTIFS('Candidate Tracker'!$E:$E,'Positions Tracker'!$B84,'Candidate Tracker'!$I:$I,"male")=0,"",COUNTIFS('Candidate Tracker'!$E:$E,'Positions Tracker'!$B84,'Candidate Tracker'!$I:$I,"male")),"")</f>
        <v/>
      </c>
      <c r="BC84" s="33" t="str">
        <f>IFERROR(IF(COUNTIFS('Candidate Tracker'!$E:$E,'Positions Tracker'!$B84,'Candidate Tracker'!$C:$C,"&lt;&gt;WIP",'Candidate Tracker'!$C:$C,"&lt;&gt;Hold",'Candidate Tracker'!$C:$C,"&lt;&gt;Cancelled",'Candidate Tracker'!$C:$C,"&lt;&gt;Closed")/COUNTIFS('Candidate Tracker'!$E:$E,'Positions Tracker'!$B84)=0,"",COUNTIFS('Candidate Tracker'!$E:$E,'Positions Tracker'!$B84,'Candidate Tracker'!$C:$C,"&lt;&gt;WIP",'Candidate Tracker'!$C:$C,"&lt;&gt;Hold",'Candidate Tracker'!$C:$C,"&lt;&gt;Cancelled",'Candidate Tracker'!$C:$C,"&lt;&gt;Closed")/COUNTIFS('Candidate Tracker'!$E:$E,'Positions Tracker'!$B84)),"")</f>
        <v/>
      </c>
      <c r="BD84" s="30" t="str">
        <f t="shared" si="15"/>
        <v>Dec-24</v>
      </c>
      <c r="BE84" s="30" t="str">
        <f t="shared" si="16"/>
        <v>Feb-25</v>
      </c>
      <c r="BF84" s="30" t="str">
        <f t="shared" si="17"/>
        <v>Feb-25</v>
      </c>
      <c r="BG84" s="30" t="str">
        <f t="shared" si="18"/>
        <v>Apr-25</v>
      </c>
    </row>
    <row r="85" spans="1:59">
      <c r="A85" s="30">
        <f t="shared" si="13"/>
        <v>84</v>
      </c>
      <c r="B85" s="30" t="s">
        <v>52</v>
      </c>
      <c r="C85" s="30" t="s">
        <v>51</v>
      </c>
      <c r="D85" s="30" t="s">
        <v>51</v>
      </c>
      <c r="E85" s="30" t="s">
        <v>56</v>
      </c>
      <c r="F85" s="30" t="s">
        <v>4088</v>
      </c>
      <c r="G85" s="30" t="s">
        <v>3</v>
      </c>
      <c r="H85" s="30" t="s">
        <v>76</v>
      </c>
      <c r="I85" s="30" t="s">
        <v>57</v>
      </c>
      <c r="J85" s="30" t="s">
        <v>135</v>
      </c>
      <c r="K85" s="31">
        <v>45098</v>
      </c>
      <c r="L85" s="31">
        <v>45098</v>
      </c>
      <c r="M85" s="31">
        <v>45098</v>
      </c>
      <c r="N85" s="30"/>
      <c r="O85" s="31"/>
      <c r="P85" s="31"/>
      <c r="Q85" s="31"/>
      <c r="R85" s="31"/>
      <c r="S85" s="31"/>
      <c r="T85" s="31"/>
      <c r="U85" s="30"/>
      <c r="V85" s="30"/>
      <c r="W85" s="30"/>
      <c r="X85" s="30" t="s">
        <v>63</v>
      </c>
      <c r="Y85" s="30" t="s">
        <v>65</v>
      </c>
      <c r="Z85" s="30" t="s">
        <v>65</v>
      </c>
      <c r="AA85" s="30" t="s">
        <v>51</v>
      </c>
      <c r="AB85" s="30"/>
      <c r="AC85" s="30"/>
      <c r="AD85" s="30"/>
      <c r="AE85" s="30" t="s">
        <v>53</v>
      </c>
      <c r="AF85" s="30">
        <v>9082352201</v>
      </c>
      <c r="AG85" s="30" t="s">
        <v>54</v>
      </c>
      <c r="AH85" s="31" t="s">
        <v>55</v>
      </c>
      <c r="AI85" s="31">
        <v>45117</v>
      </c>
      <c r="AJ85" s="31">
        <v>45124</v>
      </c>
      <c r="AK85" s="30" t="s">
        <v>63</v>
      </c>
      <c r="AL85" s="30">
        <v>1150000</v>
      </c>
      <c r="AM85" s="31">
        <f>AN85</f>
        <v>45124</v>
      </c>
      <c r="AN85" s="31">
        <v>45124</v>
      </c>
      <c r="AO85" s="31"/>
      <c r="AP85" s="31"/>
      <c r="AQ85" s="31"/>
      <c r="AR85" s="31"/>
      <c r="AS85" s="31">
        <v>45138</v>
      </c>
      <c r="AT85" s="30">
        <f t="shared" ca="1" si="14"/>
        <v>0</v>
      </c>
      <c r="AU85" s="32" t="str">
        <f t="shared" ca="1" si="12"/>
        <v/>
      </c>
      <c r="AV85" s="32" t="str" cm="1">
        <f t="array" aca="1" ref="AV85" ca="1">IFERROR(_xlfn.IFS($AU85="","",$AU85&lt;=15,"0-15",AND($AU85&gt;=16,$AU85&lt;=30),"16-30",AND($AU85&gt;=31,$AU85&lt;=45),"31-45",AND($AU85&gt;=46,$AU85&lt;=60),"46-60",AND($AU85&gt;=61,$AU85&lt;=90),"61-90",AND($AU85&gt;=91),"&gt; 90",AND($AU85&gt;=2000),""),"")</f>
        <v/>
      </c>
      <c r="AW85" s="32" cm="1">
        <f t="array" aca="1" ref="AW85" ca="1">IFERROR(_xlfn.IFS(OR($M85="",$AM85=""),"",OR($C85="Offered",$C85="Joined"),($AM85-$M85)-$AT85),"")</f>
        <v>26</v>
      </c>
      <c r="AX85" s="32" cm="1">
        <f t="array" aca="1" ref="AX85" ca="1">IFERROR(_xlfn.IFS(OR($M85="",$AS85=""),"",$C85="Joined",($AS85-$M85)-$AT85),"")</f>
        <v>40</v>
      </c>
      <c r="AY85" s="30" t="str">
        <f>IFERROR(IF(COUNTIFS('Candidate Tracker'!$E:$E,'Positions Tracker'!$B85,'Candidate Tracker'!$C:$C,"Offer Drop")=0,"",COUNTIFS('Candidate Tracker'!$E:$E,'Positions Tracker'!$B85,'Candidate Tracker'!$C:$C,"Offer Drop")),"")</f>
        <v/>
      </c>
      <c r="AZ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 s="34" t="str">
        <f>IFERROR(IF(COUNTIFS('Candidate Tracker'!$E:$E,'Positions Tracker'!$B85,'Candidate Tracker'!$I:$I,"Female")=0,"",COUNTIFS('Candidate Tracker'!$E:$E,'Positions Tracker'!$B85,'Candidate Tracker'!$I:$I,"Female")),"")</f>
        <v/>
      </c>
      <c r="BB85" s="34">
        <f>IFERROR(IF(COUNTIFS('Candidate Tracker'!$E:$E,'Positions Tracker'!$B85,'Candidate Tracker'!$I:$I,"male")=0,"",COUNTIFS('Candidate Tracker'!$E:$E,'Positions Tracker'!$B85,'Candidate Tracker'!$I:$I,"male")),"")</f>
        <v>2</v>
      </c>
      <c r="BC85" s="33">
        <f>IFERROR(IF(COUNTIFS('Candidate Tracker'!$E:$E,'Positions Tracker'!$B85,'Candidate Tracker'!$C:$C,"&lt;&gt;WIP",'Candidate Tracker'!$C:$C,"&lt;&gt;Hold",'Candidate Tracker'!$C:$C,"&lt;&gt;Cancelled",'Candidate Tracker'!$C:$C,"&lt;&gt;Closed")/COUNTIFS('Candidate Tracker'!$E:$E,'Positions Tracker'!$B85)=0,"",COUNTIFS('Candidate Tracker'!$E:$E,'Positions Tracker'!$B85,'Candidate Tracker'!$C:$C,"&lt;&gt;WIP",'Candidate Tracker'!$C:$C,"&lt;&gt;Hold",'Candidate Tracker'!$C:$C,"&lt;&gt;Cancelled",'Candidate Tracker'!$C:$C,"&lt;&gt;Closed")/COUNTIFS('Candidate Tracker'!$E:$E,'Positions Tracker'!$B85)),"")</f>
        <v>1</v>
      </c>
      <c r="BD85" s="30" t="str">
        <f t="shared" si="15"/>
        <v>Jun-23</v>
      </c>
      <c r="BE85" s="30" t="str">
        <f t="shared" si="16"/>
        <v>Jul-23</v>
      </c>
      <c r="BF85" s="30" t="str">
        <f t="shared" si="17"/>
        <v>Jul-23</v>
      </c>
      <c r="BG85" s="30" t="str">
        <f t="shared" si="18"/>
        <v>Jul-23</v>
      </c>
    </row>
    <row r="86" spans="1:59">
      <c r="A86" s="30">
        <f t="shared" si="13"/>
        <v>85</v>
      </c>
      <c r="B86" s="30" t="s">
        <v>67</v>
      </c>
      <c r="C86" s="30" t="s">
        <v>51</v>
      </c>
      <c r="D86" s="30" t="s">
        <v>51</v>
      </c>
      <c r="E86" s="30" t="s">
        <v>70</v>
      </c>
      <c r="F86" s="30" t="s">
        <v>4006</v>
      </c>
      <c r="G86" s="30" t="s">
        <v>3</v>
      </c>
      <c r="H86" s="30" t="s">
        <v>66</v>
      </c>
      <c r="I86" s="30" t="s">
        <v>71</v>
      </c>
      <c r="J86" s="30" t="s">
        <v>135</v>
      </c>
      <c r="K86" s="31">
        <v>45167</v>
      </c>
      <c r="L86" s="31">
        <v>45099</v>
      </c>
      <c r="M86" s="31">
        <v>45099</v>
      </c>
      <c r="N86" s="30"/>
      <c r="O86" s="31"/>
      <c r="P86" s="31"/>
      <c r="Q86" s="31"/>
      <c r="R86" s="31"/>
      <c r="S86" s="31"/>
      <c r="T86" s="31"/>
      <c r="U86" s="30"/>
      <c r="V86" s="30"/>
      <c r="W86" s="30"/>
      <c r="X86" s="30" t="s">
        <v>63</v>
      </c>
      <c r="Y86" s="30" t="s">
        <v>65</v>
      </c>
      <c r="Z86" s="30" t="s">
        <v>65</v>
      </c>
      <c r="AA86" s="30" t="s">
        <v>51</v>
      </c>
      <c r="AB86" s="30"/>
      <c r="AC86" s="30"/>
      <c r="AD86" s="30"/>
      <c r="AE86" s="30" t="s">
        <v>68</v>
      </c>
      <c r="AF86" s="30">
        <v>8237231584</v>
      </c>
      <c r="AG86" s="30" t="s">
        <v>69</v>
      </c>
      <c r="AH86" s="31" t="s">
        <v>55</v>
      </c>
      <c r="AI86" s="31">
        <v>45167</v>
      </c>
      <c r="AJ86" s="31">
        <v>45177</v>
      </c>
      <c r="AK86" s="30" t="s">
        <v>63</v>
      </c>
      <c r="AL86" s="30">
        <v>900000</v>
      </c>
      <c r="AM86" s="31">
        <f t="shared" ref="AM86:AM88" si="19">AN86</f>
        <v>45177</v>
      </c>
      <c r="AN86" s="31">
        <v>45177</v>
      </c>
      <c r="AO86" s="31"/>
      <c r="AP86" s="31"/>
      <c r="AQ86" s="31"/>
      <c r="AR86" s="31"/>
      <c r="AS86" s="31">
        <v>45208</v>
      </c>
      <c r="AT86" s="30">
        <f t="shared" ca="1" si="14"/>
        <v>0</v>
      </c>
      <c r="AU86" s="32" t="str">
        <f t="shared" ca="1" si="12"/>
        <v/>
      </c>
      <c r="AV86" s="32" t="str" cm="1">
        <f t="array" aca="1" ref="AV86" ca="1">IFERROR(_xlfn.IFS($AU86="","",$AU86&lt;=15,"0-15",AND($AU86&gt;=16,$AU86&lt;=30),"16-30",AND($AU86&gt;=31,$AU86&lt;=45),"31-45",AND($AU86&gt;=46,$AU86&lt;=60),"46-60",AND($AU86&gt;=61,$AU86&lt;=90),"61-90",AND($AU86&gt;=91),"&gt; 90",AND($AU86&gt;=2000),""),"")</f>
        <v/>
      </c>
      <c r="AW86" s="32" cm="1">
        <f t="array" aca="1" ref="AW86" ca="1">IFERROR(_xlfn.IFS(OR($M86="",$AM86=""),"",OR($C86="Offered",$C86="Joined"),($AM86-$M86)-$AT86),"")</f>
        <v>78</v>
      </c>
      <c r="AX86" s="32" cm="1">
        <f t="array" aca="1" ref="AX86" ca="1">IFERROR(_xlfn.IFS(OR($M86="",$AS86=""),"",$C86="Joined",($AS86-$M86)-$AT86),"")</f>
        <v>109</v>
      </c>
      <c r="AY86" s="30" t="str">
        <f>IFERROR(IF(COUNTIFS('Candidate Tracker'!$E:$E,'Positions Tracker'!$B86,'Candidate Tracker'!$C:$C,"Offer Drop")=0,"",COUNTIFS('Candidate Tracker'!$E:$E,'Positions Tracker'!$B86,'Candidate Tracker'!$C:$C,"Offer Drop")),"")</f>
        <v/>
      </c>
      <c r="AZ8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 s="34" t="str">
        <f>IFERROR(IF(COUNTIFS('Candidate Tracker'!$E:$E,'Positions Tracker'!$B86,'Candidate Tracker'!$I:$I,"Female")=0,"",COUNTIFS('Candidate Tracker'!$E:$E,'Positions Tracker'!$B86,'Candidate Tracker'!$I:$I,"Female")),"")</f>
        <v/>
      </c>
      <c r="BB86" s="34">
        <f>IFERROR(IF(COUNTIFS('Candidate Tracker'!$E:$E,'Positions Tracker'!$B86,'Candidate Tracker'!$I:$I,"male")=0,"",COUNTIFS('Candidate Tracker'!$E:$E,'Positions Tracker'!$B86,'Candidate Tracker'!$I:$I,"male")),"")</f>
        <v>1</v>
      </c>
      <c r="BC86" s="33">
        <f>IFERROR(IF(COUNTIFS('Candidate Tracker'!$E:$E,'Positions Tracker'!$B86,'Candidate Tracker'!$C:$C,"&lt;&gt;WIP",'Candidate Tracker'!$C:$C,"&lt;&gt;Hold",'Candidate Tracker'!$C:$C,"&lt;&gt;Cancelled",'Candidate Tracker'!$C:$C,"&lt;&gt;Closed")/COUNTIFS('Candidate Tracker'!$E:$E,'Positions Tracker'!$B86)=0,"",COUNTIFS('Candidate Tracker'!$E:$E,'Positions Tracker'!$B86,'Candidate Tracker'!$C:$C,"&lt;&gt;WIP",'Candidate Tracker'!$C:$C,"&lt;&gt;Hold",'Candidate Tracker'!$C:$C,"&lt;&gt;Cancelled",'Candidate Tracker'!$C:$C,"&lt;&gt;Closed")/COUNTIFS('Candidate Tracker'!$E:$E,'Positions Tracker'!$B86)),"")</f>
        <v>1</v>
      </c>
      <c r="BD86" s="30" t="str">
        <f t="shared" si="15"/>
        <v>Jun-23</v>
      </c>
      <c r="BE86" s="30" t="str">
        <f t="shared" si="16"/>
        <v>Aug-23</v>
      </c>
      <c r="BF86" s="30" t="str">
        <f t="shared" si="17"/>
        <v>Sep-23</v>
      </c>
      <c r="BG86" s="30" t="str">
        <f t="shared" si="18"/>
        <v>Oct-23</v>
      </c>
    </row>
    <row r="87" spans="1:59">
      <c r="A87" s="30">
        <f t="shared" si="13"/>
        <v>86</v>
      </c>
      <c r="B87" s="30" t="s">
        <v>72</v>
      </c>
      <c r="C87" s="30" t="s">
        <v>51</v>
      </c>
      <c r="D87" s="30" t="s">
        <v>51</v>
      </c>
      <c r="E87" s="30" t="s">
        <v>75</v>
      </c>
      <c r="F87" s="30" t="s">
        <v>4088</v>
      </c>
      <c r="G87" s="30" t="s">
        <v>3</v>
      </c>
      <c r="H87" s="30" t="s">
        <v>118</v>
      </c>
      <c r="I87" s="30" t="s">
        <v>116</v>
      </c>
      <c r="J87" s="30" t="s">
        <v>135</v>
      </c>
      <c r="K87" s="31">
        <v>45068</v>
      </c>
      <c r="L87" s="31">
        <v>45068</v>
      </c>
      <c r="M87" s="31">
        <v>45160</v>
      </c>
      <c r="N87" s="30"/>
      <c r="O87" s="31"/>
      <c r="P87" s="31"/>
      <c r="Q87" s="31"/>
      <c r="R87" s="31"/>
      <c r="S87" s="31"/>
      <c r="T87" s="31"/>
      <c r="U87" s="30"/>
      <c r="V87" s="30"/>
      <c r="W87" s="30"/>
      <c r="X87" s="30" t="s">
        <v>63</v>
      </c>
      <c r="Y87" s="30" t="s">
        <v>65</v>
      </c>
      <c r="Z87" s="30" t="s">
        <v>65</v>
      </c>
      <c r="AA87" s="30" t="s">
        <v>51</v>
      </c>
      <c r="AB87" s="30"/>
      <c r="AC87" s="30"/>
      <c r="AD87" s="30"/>
      <c r="AE87" s="30" t="s">
        <v>73</v>
      </c>
      <c r="AF87" s="30">
        <v>7050402981</v>
      </c>
      <c r="AG87" s="30" t="s">
        <v>74</v>
      </c>
      <c r="AH87" s="31" t="s">
        <v>55</v>
      </c>
      <c r="AI87" s="31">
        <v>45182</v>
      </c>
      <c r="AJ87" s="31">
        <v>45187</v>
      </c>
      <c r="AK87" s="30" t="s">
        <v>63</v>
      </c>
      <c r="AL87" s="30">
        <v>900000</v>
      </c>
      <c r="AM87" s="31">
        <f t="shared" si="19"/>
        <v>45187</v>
      </c>
      <c r="AN87" s="31">
        <v>45187</v>
      </c>
      <c r="AO87" s="31"/>
      <c r="AP87" s="31"/>
      <c r="AQ87" s="31"/>
      <c r="AR87" s="31"/>
      <c r="AS87" s="31">
        <v>45293</v>
      </c>
      <c r="AT87" s="30">
        <f t="shared" ca="1" si="14"/>
        <v>0</v>
      </c>
      <c r="AU87" s="32" t="str">
        <f t="shared" ca="1" si="12"/>
        <v/>
      </c>
      <c r="AV87" s="32" t="str" cm="1">
        <f t="array" aca="1" ref="AV87" ca="1">IFERROR(_xlfn.IFS($AU87="","",$AU87&lt;=15,"0-15",AND($AU87&gt;=16,$AU87&lt;=30),"16-30",AND($AU87&gt;=31,$AU87&lt;=45),"31-45",AND($AU87&gt;=46,$AU87&lt;=60),"46-60",AND($AU87&gt;=61,$AU87&lt;=90),"61-90",AND($AU87&gt;=91),"&gt; 90",AND($AU87&gt;=2000),""),"")</f>
        <v/>
      </c>
      <c r="AW87" s="32" cm="1">
        <f t="array" aca="1" ref="AW87" ca="1">IFERROR(_xlfn.IFS(OR($M87="",$AM87=""),"",OR($C87="Offered",$C87="Joined"),($AM87-$M87)-$AT87),"")</f>
        <v>27</v>
      </c>
      <c r="AX87" s="32" cm="1">
        <f t="array" aca="1" ref="AX87" ca="1">IFERROR(_xlfn.IFS(OR($M87="",$AS87=""),"",$C87="Joined",($AS87-$M87)-$AT87),"")</f>
        <v>133</v>
      </c>
      <c r="AY87" s="30" t="str">
        <f>IFERROR(IF(COUNTIFS('Candidate Tracker'!$E:$E,'Positions Tracker'!$B87,'Candidate Tracker'!$C:$C,"Offer Drop")=0,"",COUNTIFS('Candidate Tracker'!$E:$E,'Positions Tracker'!$B87,'Candidate Tracker'!$C:$C,"Offer Drop")),"")</f>
        <v/>
      </c>
      <c r="AZ8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 s="34" t="str">
        <f>IFERROR(IF(COUNTIFS('Candidate Tracker'!$E:$E,'Positions Tracker'!$B87,'Candidate Tracker'!$I:$I,"Female")=0,"",COUNTIFS('Candidate Tracker'!$E:$E,'Positions Tracker'!$B87,'Candidate Tracker'!$I:$I,"Female")),"")</f>
        <v/>
      </c>
      <c r="BB87" s="34">
        <f>IFERROR(IF(COUNTIFS('Candidate Tracker'!$E:$E,'Positions Tracker'!$B87,'Candidate Tracker'!$I:$I,"male")=0,"",COUNTIFS('Candidate Tracker'!$E:$E,'Positions Tracker'!$B87,'Candidate Tracker'!$I:$I,"male")),"")</f>
        <v>1</v>
      </c>
      <c r="BC87" s="33">
        <f>IFERROR(IF(COUNTIFS('Candidate Tracker'!$E:$E,'Positions Tracker'!$B87,'Candidate Tracker'!$C:$C,"&lt;&gt;WIP",'Candidate Tracker'!$C:$C,"&lt;&gt;Hold",'Candidate Tracker'!$C:$C,"&lt;&gt;Cancelled",'Candidate Tracker'!$C:$C,"&lt;&gt;Closed")/COUNTIFS('Candidate Tracker'!$E:$E,'Positions Tracker'!$B87)=0,"",COUNTIFS('Candidate Tracker'!$E:$E,'Positions Tracker'!$B87,'Candidate Tracker'!$C:$C,"&lt;&gt;WIP",'Candidate Tracker'!$C:$C,"&lt;&gt;Hold",'Candidate Tracker'!$C:$C,"&lt;&gt;Cancelled",'Candidate Tracker'!$C:$C,"&lt;&gt;Closed")/COUNTIFS('Candidate Tracker'!$E:$E,'Positions Tracker'!$B87)),"")</f>
        <v>1</v>
      </c>
      <c r="BD87" s="30" t="str">
        <f t="shared" si="15"/>
        <v>Aug-23</v>
      </c>
      <c r="BE87" s="30" t="str">
        <f t="shared" si="16"/>
        <v>Sep-23</v>
      </c>
      <c r="BF87" s="30" t="str">
        <f t="shared" si="17"/>
        <v>Sep-23</v>
      </c>
      <c r="BG87" s="30" t="str">
        <f t="shared" si="18"/>
        <v>Jan-24</v>
      </c>
    </row>
    <row r="88" spans="1:59">
      <c r="A88" s="30">
        <f t="shared" si="13"/>
        <v>87</v>
      </c>
      <c r="B88" s="30" t="s">
        <v>77</v>
      </c>
      <c r="C88" s="30" t="s">
        <v>51</v>
      </c>
      <c r="D88" s="30" t="s">
        <v>51</v>
      </c>
      <c r="E88" s="30" t="s">
        <v>80</v>
      </c>
      <c r="F88" s="30" t="s">
        <v>4089</v>
      </c>
      <c r="G88" s="30" t="s">
        <v>3</v>
      </c>
      <c r="H88" s="30" t="s">
        <v>66</v>
      </c>
      <c r="I88" s="30" t="s">
        <v>433</v>
      </c>
      <c r="J88" s="30" t="s">
        <v>135</v>
      </c>
      <c r="K88" s="31">
        <v>45085</v>
      </c>
      <c r="L88" s="31">
        <v>45085</v>
      </c>
      <c r="M88" s="31">
        <v>45146</v>
      </c>
      <c r="N88" s="30"/>
      <c r="O88" s="31"/>
      <c r="P88" s="31"/>
      <c r="Q88" s="31"/>
      <c r="R88" s="31"/>
      <c r="S88" s="31"/>
      <c r="T88" s="31"/>
      <c r="U88" s="30"/>
      <c r="V88" s="30"/>
      <c r="W88" s="30"/>
      <c r="X88" s="30" t="s">
        <v>63</v>
      </c>
      <c r="Y88" s="30" t="s">
        <v>65</v>
      </c>
      <c r="Z88" s="30" t="s">
        <v>65</v>
      </c>
      <c r="AA88" s="30" t="s">
        <v>51</v>
      </c>
      <c r="AB88" s="30"/>
      <c r="AC88" s="30"/>
      <c r="AD88" s="30"/>
      <c r="AE88" s="30" t="s">
        <v>78</v>
      </c>
      <c r="AF88" s="30">
        <v>7620790404</v>
      </c>
      <c r="AG88" s="30" t="s">
        <v>79</v>
      </c>
      <c r="AH88" s="31" t="s">
        <v>55</v>
      </c>
      <c r="AI88" s="31">
        <v>45194</v>
      </c>
      <c r="AJ88" s="31">
        <v>45202</v>
      </c>
      <c r="AK88" s="30" t="s">
        <v>63</v>
      </c>
      <c r="AL88" s="30">
        <v>1500000</v>
      </c>
      <c r="AM88" s="31">
        <f t="shared" si="19"/>
        <v>45202</v>
      </c>
      <c r="AN88" s="31">
        <v>45202</v>
      </c>
      <c r="AO88" s="31"/>
      <c r="AP88" s="31"/>
      <c r="AQ88" s="31"/>
      <c r="AR88" s="31"/>
      <c r="AS88" s="31">
        <v>45271</v>
      </c>
      <c r="AT88" s="30">
        <f t="shared" ca="1" si="14"/>
        <v>0</v>
      </c>
      <c r="AU88" s="32" t="str">
        <f t="shared" ca="1" si="12"/>
        <v/>
      </c>
      <c r="AV88" s="32" t="str" cm="1">
        <f t="array" aca="1" ref="AV88" ca="1">IFERROR(_xlfn.IFS($AU88="","",$AU88&lt;=15,"0-15",AND($AU88&gt;=16,$AU88&lt;=30),"16-30",AND($AU88&gt;=31,$AU88&lt;=45),"31-45",AND($AU88&gt;=46,$AU88&lt;=60),"46-60",AND($AU88&gt;=61,$AU88&lt;=90),"61-90",AND($AU88&gt;=91),"&gt; 90",AND($AU88&gt;=2000),""),"")</f>
        <v/>
      </c>
      <c r="AW88" s="32" cm="1">
        <f t="array" aca="1" ref="AW88" ca="1">IFERROR(_xlfn.IFS(OR($M88="",$AM88=""),"",OR($C88="Offered",$C88="Joined"),($AM88-$M88)-$AT88),"")</f>
        <v>56</v>
      </c>
      <c r="AX88" s="32" cm="1">
        <f t="array" aca="1" ref="AX88" ca="1">IFERROR(_xlfn.IFS(OR($M88="",$AS88=""),"",$C88="Joined",($AS88-$M88)-$AT88),"")</f>
        <v>125</v>
      </c>
      <c r="AY88" s="30" t="str">
        <f>IFERROR(IF(COUNTIFS('Candidate Tracker'!$E:$E,'Positions Tracker'!$B88,'Candidate Tracker'!$C:$C,"Offer Drop")=0,"",COUNTIFS('Candidate Tracker'!$E:$E,'Positions Tracker'!$B88,'Candidate Tracker'!$C:$C,"Offer Drop")),"")</f>
        <v/>
      </c>
      <c r="AZ8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 s="34" t="str">
        <f>IFERROR(IF(COUNTIFS('Candidate Tracker'!$E:$E,'Positions Tracker'!$B88,'Candidate Tracker'!$I:$I,"Female")=0,"",COUNTIFS('Candidate Tracker'!$E:$E,'Positions Tracker'!$B88,'Candidate Tracker'!$I:$I,"Female")),"")</f>
        <v/>
      </c>
      <c r="BB88" s="34">
        <f>IFERROR(IF(COUNTIFS('Candidate Tracker'!$E:$E,'Positions Tracker'!$B88,'Candidate Tracker'!$I:$I,"male")=0,"",COUNTIFS('Candidate Tracker'!$E:$E,'Positions Tracker'!$B88,'Candidate Tracker'!$I:$I,"male")),"")</f>
        <v>1</v>
      </c>
      <c r="BC88" s="33">
        <f>IFERROR(IF(COUNTIFS('Candidate Tracker'!$E:$E,'Positions Tracker'!$B88,'Candidate Tracker'!$C:$C,"&lt;&gt;WIP",'Candidate Tracker'!$C:$C,"&lt;&gt;Hold",'Candidate Tracker'!$C:$C,"&lt;&gt;Cancelled",'Candidate Tracker'!$C:$C,"&lt;&gt;Closed")/COUNTIFS('Candidate Tracker'!$E:$E,'Positions Tracker'!$B88)=0,"",COUNTIFS('Candidate Tracker'!$E:$E,'Positions Tracker'!$B88,'Candidate Tracker'!$C:$C,"&lt;&gt;WIP",'Candidate Tracker'!$C:$C,"&lt;&gt;Hold",'Candidate Tracker'!$C:$C,"&lt;&gt;Cancelled",'Candidate Tracker'!$C:$C,"&lt;&gt;Closed")/COUNTIFS('Candidate Tracker'!$E:$E,'Positions Tracker'!$B88)),"")</f>
        <v>1</v>
      </c>
      <c r="BD88" s="30" t="str">
        <f t="shared" si="15"/>
        <v>Aug-23</v>
      </c>
      <c r="BE88" s="30" t="str">
        <f t="shared" si="16"/>
        <v>Sep-23</v>
      </c>
      <c r="BF88" s="30" t="str">
        <f t="shared" si="17"/>
        <v>Oct-23</v>
      </c>
      <c r="BG88" s="30" t="str">
        <f t="shared" si="18"/>
        <v>Dec-23</v>
      </c>
    </row>
    <row r="89" spans="1:59">
      <c r="A89" s="30">
        <f t="shared" si="13"/>
        <v>88</v>
      </c>
      <c r="B89" s="30" t="s">
        <v>82</v>
      </c>
      <c r="C89" s="30" t="s">
        <v>51</v>
      </c>
      <c r="D89" s="30" t="s">
        <v>51</v>
      </c>
      <c r="E89" s="30" t="s">
        <v>85</v>
      </c>
      <c r="F89" s="30" t="s">
        <v>4089</v>
      </c>
      <c r="G89" s="30" t="s">
        <v>3</v>
      </c>
      <c r="H89" s="30" t="s">
        <v>66</v>
      </c>
      <c r="I89" s="30" t="s">
        <v>71</v>
      </c>
      <c r="J89" s="30" t="s">
        <v>135</v>
      </c>
      <c r="K89" s="31">
        <v>45203</v>
      </c>
      <c r="L89" s="31">
        <v>45442</v>
      </c>
      <c r="M89" s="31">
        <v>45565</v>
      </c>
      <c r="N89" s="30"/>
      <c r="O89" s="31"/>
      <c r="P89" s="31"/>
      <c r="Q89" s="31"/>
      <c r="R89" s="31"/>
      <c r="S89" s="31"/>
      <c r="T89" s="31"/>
      <c r="U89" s="30"/>
      <c r="V89" s="30"/>
      <c r="W89" s="30"/>
      <c r="X89" s="30" t="s">
        <v>63</v>
      </c>
      <c r="Y89" s="30" t="s">
        <v>65</v>
      </c>
      <c r="Z89" s="30" t="s">
        <v>65</v>
      </c>
      <c r="AA89" s="30" t="s">
        <v>51</v>
      </c>
      <c r="AB89" s="30"/>
      <c r="AC89" s="30"/>
      <c r="AD89" s="30"/>
      <c r="AE89" s="30" t="s">
        <v>83</v>
      </c>
      <c r="AF89" s="30">
        <v>8839262451</v>
      </c>
      <c r="AG89" s="30" t="s">
        <v>84</v>
      </c>
      <c r="AH89" s="31" t="s">
        <v>55</v>
      </c>
      <c r="AI89" s="31">
        <v>45578</v>
      </c>
      <c r="AJ89" s="31">
        <v>45597</v>
      </c>
      <c r="AK89" s="30" t="s">
        <v>63</v>
      </c>
      <c r="AL89" s="30">
        <v>600000</v>
      </c>
      <c r="AM89" s="31">
        <v>45597</v>
      </c>
      <c r="AN89" s="31">
        <v>45597</v>
      </c>
      <c r="AO89" s="31"/>
      <c r="AP89" s="31"/>
      <c r="AQ89" s="31"/>
      <c r="AR89" s="31"/>
      <c r="AS89" s="31">
        <v>45616</v>
      </c>
      <c r="AT89" s="30">
        <f t="shared" ca="1" si="14"/>
        <v>0</v>
      </c>
      <c r="AU89" s="32" t="str">
        <f t="shared" ca="1" si="12"/>
        <v/>
      </c>
      <c r="AV89" s="32" t="str" cm="1">
        <f t="array" aca="1" ref="AV89" ca="1">IFERROR(_xlfn.IFS($AU89="","",$AU89&lt;=15,"0-15",AND($AU89&gt;=16,$AU89&lt;=30),"16-30",AND($AU89&gt;=31,$AU89&lt;=45),"31-45",AND($AU89&gt;=46,$AU89&lt;=60),"46-60",AND($AU89&gt;=61,$AU89&lt;=90),"61-90",AND($AU89&gt;=91),"&gt; 90",AND($AU89&gt;=2000),""),"")</f>
        <v/>
      </c>
      <c r="AW89" s="32" cm="1">
        <f t="array" aca="1" ref="AW89" ca="1">IFERROR(_xlfn.IFS(OR($M89="",$AM89=""),"",OR($C89="Offered",$C89="Joined"),($AM89-$M89)-$AT89),"")</f>
        <v>32</v>
      </c>
      <c r="AX89" s="32" cm="1">
        <f t="array" aca="1" ref="AX89" ca="1">IFERROR(_xlfn.IFS(OR($M89="",$AS89=""),"",$C89="Joined",($AS89-$M89)-$AT89),"")</f>
        <v>51</v>
      </c>
      <c r="AY89" s="30" t="str">
        <f>IFERROR(IF(COUNTIFS('Candidate Tracker'!$E:$E,'Positions Tracker'!$B89,'Candidate Tracker'!$C:$C,"Offer Drop")=0,"",COUNTIFS('Candidate Tracker'!$E:$E,'Positions Tracker'!$B89,'Candidate Tracker'!$C:$C,"Offer Drop")),"")</f>
        <v/>
      </c>
      <c r="AZ8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 s="34" t="str">
        <f>IFERROR(IF(COUNTIFS('Candidate Tracker'!$E:$E,'Positions Tracker'!$B89,'Candidate Tracker'!$I:$I,"Female")=0,"",COUNTIFS('Candidate Tracker'!$E:$E,'Positions Tracker'!$B89,'Candidate Tracker'!$I:$I,"Female")),"")</f>
        <v/>
      </c>
      <c r="BB89" s="34">
        <f>IFERROR(IF(COUNTIFS('Candidate Tracker'!$E:$E,'Positions Tracker'!$B89,'Candidate Tracker'!$I:$I,"male")=0,"",COUNTIFS('Candidate Tracker'!$E:$E,'Positions Tracker'!$B89,'Candidate Tracker'!$I:$I,"male")),"")</f>
        <v>1</v>
      </c>
      <c r="BC89" s="33">
        <f>IFERROR(IF(COUNTIFS('Candidate Tracker'!$E:$E,'Positions Tracker'!$B89,'Candidate Tracker'!$C:$C,"&lt;&gt;WIP",'Candidate Tracker'!$C:$C,"&lt;&gt;Hold",'Candidate Tracker'!$C:$C,"&lt;&gt;Cancelled",'Candidate Tracker'!$C:$C,"&lt;&gt;Closed")/COUNTIFS('Candidate Tracker'!$E:$E,'Positions Tracker'!$B89)=0,"",COUNTIFS('Candidate Tracker'!$E:$E,'Positions Tracker'!$B89,'Candidate Tracker'!$C:$C,"&lt;&gt;WIP",'Candidate Tracker'!$C:$C,"&lt;&gt;Hold",'Candidate Tracker'!$C:$C,"&lt;&gt;Cancelled",'Candidate Tracker'!$C:$C,"&lt;&gt;Closed")/COUNTIFS('Candidate Tracker'!$E:$E,'Positions Tracker'!$B89)),"")</f>
        <v>1</v>
      </c>
      <c r="BD89" s="30" t="str">
        <f t="shared" si="15"/>
        <v>Sep-24</v>
      </c>
      <c r="BE89" s="30" t="str">
        <f t="shared" si="16"/>
        <v>Oct-24</v>
      </c>
      <c r="BF89" s="30" t="str">
        <f t="shared" si="17"/>
        <v>Nov-24</v>
      </c>
      <c r="BG89" s="30" t="str">
        <f t="shared" si="18"/>
        <v>Nov-24</v>
      </c>
    </row>
    <row r="90" spans="1:59">
      <c r="A90" s="30">
        <f t="shared" si="13"/>
        <v>89</v>
      </c>
      <c r="B90" s="30" t="s">
        <v>90</v>
      </c>
      <c r="C90" s="30" t="s">
        <v>51</v>
      </c>
      <c r="D90" s="30" t="s">
        <v>51</v>
      </c>
      <c r="E90" s="30" t="s">
        <v>89</v>
      </c>
      <c r="F90" s="30" t="s">
        <v>4089</v>
      </c>
      <c r="G90" s="30" t="s">
        <v>3</v>
      </c>
      <c r="H90" s="30" t="s">
        <v>76</v>
      </c>
      <c r="I90" s="30" t="s">
        <v>57</v>
      </c>
      <c r="J90" s="30" t="s">
        <v>135</v>
      </c>
      <c r="K90" s="31">
        <v>45254</v>
      </c>
      <c r="L90" s="31">
        <v>45254</v>
      </c>
      <c r="M90" s="31">
        <v>45254</v>
      </c>
      <c r="N90" s="30"/>
      <c r="O90" s="31"/>
      <c r="P90" s="31"/>
      <c r="Q90" s="31"/>
      <c r="R90" s="31"/>
      <c r="S90" s="31"/>
      <c r="T90" s="31"/>
      <c r="U90" s="30"/>
      <c r="V90" s="30"/>
      <c r="W90" s="30"/>
      <c r="X90" s="30" t="s">
        <v>63</v>
      </c>
      <c r="Y90" s="30" t="s">
        <v>65</v>
      </c>
      <c r="Z90" s="30" t="s">
        <v>65</v>
      </c>
      <c r="AA90" s="30" t="s">
        <v>51</v>
      </c>
      <c r="AB90" s="30"/>
      <c r="AC90" s="30"/>
      <c r="AD90" s="30"/>
      <c r="AE90" s="30" t="s">
        <v>91</v>
      </c>
      <c r="AF90" s="30">
        <v>9449880713</v>
      </c>
      <c r="AG90" s="30" t="s">
        <v>92</v>
      </c>
      <c r="AH90" s="31" t="s">
        <v>55</v>
      </c>
      <c r="AI90" s="31">
        <v>45215</v>
      </c>
      <c r="AJ90" s="31">
        <v>45231</v>
      </c>
      <c r="AK90" s="30" t="s">
        <v>63</v>
      </c>
      <c r="AL90" s="30">
        <v>850000</v>
      </c>
      <c r="AM90" s="31">
        <f t="shared" ref="AM90:AM93" si="20">AN90</f>
        <v>45231</v>
      </c>
      <c r="AN90" s="31">
        <v>45231</v>
      </c>
      <c r="AO90" s="31"/>
      <c r="AP90" s="31"/>
      <c r="AQ90" s="31"/>
      <c r="AR90" s="31"/>
      <c r="AS90" s="31">
        <v>45299</v>
      </c>
      <c r="AT90" s="30">
        <f t="shared" ca="1" si="14"/>
        <v>0</v>
      </c>
      <c r="AU90" s="32" t="str">
        <f t="shared" ca="1" si="12"/>
        <v/>
      </c>
      <c r="AV90" s="32" t="str" cm="1">
        <f t="array" aca="1" ref="AV90" ca="1">IFERROR(_xlfn.IFS($AU90="","",$AU90&lt;=15,"0-15",AND($AU90&gt;=16,$AU90&lt;=30),"16-30",AND($AU90&gt;=31,$AU90&lt;=45),"31-45",AND($AU90&gt;=46,$AU90&lt;=60),"46-60",AND($AU90&gt;=61,$AU90&lt;=90),"61-90",AND($AU90&gt;=91),"&gt; 90",AND($AU90&gt;=2000),""),"")</f>
        <v/>
      </c>
      <c r="AW90" s="32" cm="1">
        <f t="array" aca="1" ref="AW90" ca="1">IFERROR(_xlfn.IFS(OR($M90="",$AM90=""),"",OR($C90="Offered",$C90="Joined"),($AM90-$M90)-$AT90),"")</f>
        <v>-23</v>
      </c>
      <c r="AX90" s="32" cm="1">
        <f t="array" aca="1" ref="AX90" ca="1">IFERROR(_xlfn.IFS(OR($M90="",$AS90=""),"",$C90="Joined",($AS90-$M90)-$AT90),"")</f>
        <v>45</v>
      </c>
      <c r="AY90" s="30" t="str">
        <f>IFERROR(IF(COUNTIFS('Candidate Tracker'!$E:$E,'Positions Tracker'!$B90,'Candidate Tracker'!$C:$C,"Offer Drop")=0,"",COUNTIFS('Candidate Tracker'!$E:$E,'Positions Tracker'!$B90,'Candidate Tracker'!$C:$C,"Offer Drop")),"")</f>
        <v/>
      </c>
      <c r="AZ9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 s="34" t="str">
        <f>IFERROR(IF(COUNTIFS('Candidate Tracker'!$E:$E,'Positions Tracker'!$B90,'Candidate Tracker'!$I:$I,"Female")=0,"",COUNTIFS('Candidate Tracker'!$E:$E,'Positions Tracker'!$B90,'Candidate Tracker'!$I:$I,"Female")),"")</f>
        <v/>
      </c>
      <c r="BB90" s="34">
        <f>IFERROR(IF(COUNTIFS('Candidate Tracker'!$E:$E,'Positions Tracker'!$B90,'Candidate Tracker'!$I:$I,"male")=0,"",COUNTIFS('Candidate Tracker'!$E:$E,'Positions Tracker'!$B90,'Candidate Tracker'!$I:$I,"male")),"")</f>
        <v>1</v>
      </c>
      <c r="BC90" s="33">
        <f>IFERROR(IF(COUNTIFS('Candidate Tracker'!$E:$E,'Positions Tracker'!$B90,'Candidate Tracker'!$C:$C,"&lt;&gt;WIP",'Candidate Tracker'!$C:$C,"&lt;&gt;Hold",'Candidate Tracker'!$C:$C,"&lt;&gt;Cancelled",'Candidate Tracker'!$C:$C,"&lt;&gt;Closed")/COUNTIFS('Candidate Tracker'!$E:$E,'Positions Tracker'!$B90)=0,"",COUNTIFS('Candidate Tracker'!$E:$E,'Positions Tracker'!$B90,'Candidate Tracker'!$C:$C,"&lt;&gt;WIP",'Candidate Tracker'!$C:$C,"&lt;&gt;Hold",'Candidate Tracker'!$C:$C,"&lt;&gt;Cancelled",'Candidate Tracker'!$C:$C,"&lt;&gt;Closed")/COUNTIFS('Candidate Tracker'!$E:$E,'Positions Tracker'!$B90)),"")</f>
        <v>1</v>
      </c>
      <c r="BD90" s="30" t="str">
        <f t="shared" si="15"/>
        <v>Nov-23</v>
      </c>
      <c r="BE90" s="30" t="str">
        <f t="shared" si="16"/>
        <v>Oct-23</v>
      </c>
      <c r="BF90" s="30" t="str">
        <f t="shared" si="17"/>
        <v>Nov-23</v>
      </c>
      <c r="BG90" s="30" t="str">
        <f t="shared" si="18"/>
        <v>Jan-24</v>
      </c>
    </row>
    <row r="91" spans="1:59">
      <c r="A91" s="30">
        <f t="shared" si="13"/>
        <v>90</v>
      </c>
      <c r="B91" s="30" t="s">
        <v>86</v>
      </c>
      <c r="C91" s="30" t="s">
        <v>51</v>
      </c>
      <c r="D91" s="30" t="s">
        <v>51</v>
      </c>
      <c r="E91" s="30" t="s">
        <v>89</v>
      </c>
      <c r="F91" s="30" t="s">
        <v>4089</v>
      </c>
      <c r="G91" s="30" t="s">
        <v>3</v>
      </c>
      <c r="H91" s="30" t="s">
        <v>76</v>
      </c>
      <c r="I91" s="30" t="s">
        <v>57</v>
      </c>
      <c r="J91" s="30" t="s">
        <v>135</v>
      </c>
      <c r="K91" s="31">
        <v>45213</v>
      </c>
      <c r="L91" s="31">
        <v>45254</v>
      </c>
      <c r="M91" s="31">
        <v>45254</v>
      </c>
      <c r="N91" s="30"/>
      <c r="O91" s="31"/>
      <c r="P91" s="31"/>
      <c r="Q91" s="31"/>
      <c r="R91" s="31"/>
      <c r="S91" s="31"/>
      <c r="T91" s="31"/>
      <c r="U91" s="30"/>
      <c r="V91" s="30"/>
      <c r="W91" s="30"/>
      <c r="X91" s="30" t="s">
        <v>63</v>
      </c>
      <c r="Y91" s="30" t="s">
        <v>65</v>
      </c>
      <c r="Z91" s="30" t="s">
        <v>65</v>
      </c>
      <c r="AA91" s="30" t="s">
        <v>51</v>
      </c>
      <c r="AB91" s="30"/>
      <c r="AC91" s="30"/>
      <c r="AD91" s="30"/>
      <c r="AE91" s="30" t="s">
        <v>87</v>
      </c>
      <c r="AF91" s="30">
        <v>8805766463</v>
      </c>
      <c r="AG91" s="30" t="s">
        <v>88</v>
      </c>
      <c r="AH91" s="31" t="s">
        <v>55</v>
      </c>
      <c r="AI91" s="31">
        <v>45231</v>
      </c>
      <c r="AJ91" s="31">
        <v>45231</v>
      </c>
      <c r="AK91" s="30" t="s">
        <v>63</v>
      </c>
      <c r="AL91" s="30">
        <v>800000</v>
      </c>
      <c r="AM91" s="31">
        <f t="shared" si="20"/>
        <v>45231</v>
      </c>
      <c r="AN91" s="31">
        <v>45231</v>
      </c>
      <c r="AO91" s="31"/>
      <c r="AP91" s="31"/>
      <c r="AQ91" s="31"/>
      <c r="AR91" s="31"/>
      <c r="AS91" s="31">
        <v>45327</v>
      </c>
      <c r="AT91" s="30">
        <f t="shared" ca="1" si="14"/>
        <v>0</v>
      </c>
      <c r="AU91" s="32" t="str">
        <f t="shared" ca="1" si="12"/>
        <v/>
      </c>
      <c r="AV91" s="32" t="str" cm="1">
        <f t="array" aca="1" ref="AV91" ca="1">IFERROR(_xlfn.IFS($AU91="","",$AU91&lt;=15,"0-15",AND($AU91&gt;=16,$AU91&lt;=30),"16-30",AND($AU91&gt;=31,$AU91&lt;=45),"31-45",AND($AU91&gt;=46,$AU91&lt;=60),"46-60",AND($AU91&gt;=61,$AU91&lt;=90),"61-90",AND($AU91&gt;=91),"&gt; 90",AND($AU91&gt;=2000),""),"")</f>
        <v/>
      </c>
      <c r="AW91" s="32" cm="1">
        <f t="array" aca="1" ref="AW91" ca="1">IFERROR(_xlfn.IFS(OR($M91="",$AM91=""),"",OR($C91="Offered",$C91="Joined"),($AM91-$M91)-$AT91),"")</f>
        <v>-23</v>
      </c>
      <c r="AX91" s="32" cm="1">
        <f t="array" aca="1" ref="AX91" ca="1">IFERROR(_xlfn.IFS(OR($M91="",$AS91=""),"",$C91="Joined",($AS91-$M91)-$AT91),"")</f>
        <v>73</v>
      </c>
      <c r="AY91" s="30" t="str">
        <f>IFERROR(IF(COUNTIFS('Candidate Tracker'!$E:$E,'Positions Tracker'!$B91,'Candidate Tracker'!$C:$C,"Offer Drop")=0,"",COUNTIFS('Candidate Tracker'!$E:$E,'Positions Tracker'!$B91,'Candidate Tracker'!$C:$C,"Offer Drop")),"")</f>
        <v/>
      </c>
      <c r="AZ9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 s="34" t="str">
        <f>IFERROR(IF(COUNTIFS('Candidate Tracker'!$E:$E,'Positions Tracker'!$B91,'Candidate Tracker'!$I:$I,"Female")=0,"",COUNTIFS('Candidate Tracker'!$E:$E,'Positions Tracker'!$B91,'Candidate Tracker'!$I:$I,"Female")),"")</f>
        <v/>
      </c>
      <c r="BB91" s="34">
        <f>IFERROR(IF(COUNTIFS('Candidate Tracker'!$E:$E,'Positions Tracker'!$B91,'Candidate Tracker'!$I:$I,"male")=0,"",COUNTIFS('Candidate Tracker'!$E:$E,'Positions Tracker'!$B91,'Candidate Tracker'!$I:$I,"male")),"")</f>
        <v>1</v>
      </c>
      <c r="BC91" s="33">
        <f>IFERROR(IF(COUNTIFS('Candidate Tracker'!$E:$E,'Positions Tracker'!$B91,'Candidate Tracker'!$C:$C,"&lt;&gt;WIP",'Candidate Tracker'!$C:$C,"&lt;&gt;Hold",'Candidate Tracker'!$C:$C,"&lt;&gt;Cancelled",'Candidate Tracker'!$C:$C,"&lt;&gt;Closed")/COUNTIFS('Candidate Tracker'!$E:$E,'Positions Tracker'!$B91)=0,"",COUNTIFS('Candidate Tracker'!$E:$E,'Positions Tracker'!$B91,'Candidate Tracker'!$C:$C,"&lt;&gt;WIP",'Candidate Tracker'!$C:$C,"&lt;&gt;Hold",'Candidate Tracker'!$C:$C,"&lt;&gt;Cancelled",'Candidate Tracker'!$C:$C,"&lt;&gt;Closed")/COUNTIFS('Candidate Tracker'!$E:$E,'Positions Tracker'!$B91)),"")</f>
        <v>1</v>
      </c>
      <c r="BD91" s="30" t="str">
        <f t="shared" si="15"/>
        <v>Nov-23</v>
      </c>
      <c r="BE91" s="30" t="str">
        <f t="shared" si="16"/>
        <v>Nov-23</v>
      </c>
      <c r="BF91" s="30" t="str">
        <f t="shared" si="17"/>
        <v>Nov-23</v>
      </c>
      <c r="BG91" s="30" t="str">
        <f t="shared" si="18"/>
        <v>Feb-24</v>
      </c>
    </row>
    <row r="92" spans="1:59">
      <c r="A92" s="30">
        <f t="shared" si="13"/>
        <v>91</v>
      </c>
      <c r="B92" s="30" t="s">
        <v>94</v>
      </c>
      <c r="C92" s="30" t="s">
        <v>51</v>
      </c>
      <c r="D92" s="30" t="s">
        <v>51</v>
      </c>
      <c r="E92" s="30" t="s">
        <v>97</v>
      </c>
      <c r="F92" s="30" t="s">
        <v>4006</v>
      </c>
      <c r="G92" s="30" t="s">
        <v>3</v>
      </c>
      <c r="H92" s="30" t="s">
        <v>66</v>
      </c>
      <c r="I92" s="30" t="s">
        <v>3849</v>
      </c>
      <c r="J92" s="30" t="s">
        <v>135</v>
      </c>
      <c r="K92" s="31">
        <v>45594</v>
      </c>
      <c r="L92" s="31">
        <v>45224</v>
      </c>
      <c r="M92" s="31">
        <v>45224</v>
      </c>
      <c r="N92" s="30"/>
      <c r="O92" s="31"/>
      <c r="P92" s="31"/>
      <c r="Q92" s="31"/>
      <c r="R92" s="31"/>
      <c r="S92" s="31"/>
      <c r="T92" s="31"/>
      <c r="U92" s="30"/>
      <c r="V92" s="30"/>
      <c r="W92" s="30"/>
      <c r="X92" s="30" t="s">
        <v>63</v>
      </c>
      <c r="Y92" s="30" t="s">
        <v>65</v>
      </c>
      <c r="Z92" s="30" t="s">
        <v>65</v>
      </c>
      <c r="AA92" s="30" t="s">
        <v>51</v>
      </c>
      <c r="AB92" s="30"/>
      <c r="AC92" s="30"/>
      <c r="AD92" s="30"/>
      <c r="AE92" s="30" t="s">
        <v>95</v>
      </c>
      <c r="AF92" s="30">
        <v>9637167353</v>
      </c>
      <c r="AG92" s="30" t="s">
        <v>96</v>
      </c>
      <c r="AH92" s="31" t="s">
        <v>55</v>
      </c>
      <c r="AI92" s="31">
        <v>45231</v>
      </c>
      <c r="AJ92" s="31">
        <v>45246</v>
      </c>
      <c r="AK92" s="30" t="s">
        <v>63</v>
      </c>
      <c r="AL92" s="30">
        <v>1200000</v>
      </c>
      <c r="AM92" s="31">
        <f t="shared" si="20"/>
        <v>45246</v>
      </c>
      <c r="AN92" s="31">
        <v>45246</v>
      </c>
      <c r="AO92" s="31"/>
      <c r="AP92" s="31"/>
      <c r="AQ92" s="31"/>
      <c r="AR92" s="31"/>
      <c r="AS92" s="31">
        <v>45351</v>
      </c>
      <c r="AT92" s="30">
        <f t="shared" ca="1" si="14"/>
        <v>0</v>
      </c>
      <c r="AU92" s="32" t="str">
        <f t="shared" ca="1" si="12"/>
        <v/>
      </c>
      <c r="AV92" s="32" t="str" cm="1">
        <f t="array" aca="1" ref="AV92" ca="1">IFERROR(_xlfn.IFS($AU92="","",$AU92&lt;=15,"0-15",AND($AU92&gt;=16,$AU92&lt;=30),"16-30",AND($AU92&gt;=31,$AU92&lt;=45),"31-45",AND($AU92&gt;=46,$AU92&lt;=60),"46-60",AND($AU92&gt;=61,$AU92&lt;=90),"61-90",AND($AU92&gt;=91),"&gt; 90",AND($AU92&gt;=2000),""),"")</f>
        <v/>
      </c>
      <c r="AW92" s="32" cm="1">
        <f t="array" aca="1" ref="AW92" ca="1">IFERROR(_xlfn.IFS(OR($M92="",$AM92=""),"",OR($C92="Offered",$C92="Joined"),($AM92-$M92)-$AT92),"")</f>
        <v>22</v>
      </c>
      <c r="AX92" s="32" cm="1">
        <f t="array" aca="1" ref="AX92" ca="1">IFERROR(_xlfn.IFS(OR($M92="",$AS92=""),"",$C92="Joined",($AS92-$M92)-$AT92),"")</f>
        <v>127</v>
      </c>
      <c r="AY92" s="30" t="str">
        <f>IFERROR(IF(COUNTIFS('Candidate Tracker'!$E:$E,'Positions Tracker'!$B92,'Candidate Tracker'!$C:$C,"Offer Drop")=0,"",COUNTIFS('Candidate Tracker'!$E:$E,'Positions Tracker'!$B92,'Candidate Tracker'!$C:$C,"Offer Drop")),"")</f>
        <v/>
      </c>
      <c r="AZ9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 s="34" t="str">
        <f>IFERROR(IF(COUNTIFS('Candidate Tracker'!$E:$E,'Positions Tracker'!$B92,'Candidate Tracker'!$I:$I,"Female")=0,"",COUNTIFS('Candidate Tracker'!$E:$E,'Positions Tracker'!$B92,'Candidate Tracker'!$I:$I,"Female")),"")</f>
        <v/>
      </c>
      <c r="BB92" s="34">
        <f>IFERROR(IF(COUNTIFS('Candidate Tracker'!$E:$E,'Positions Tracker'!$B92,'Candidate Tracker'!$I:$I,"male")=0,"",COUNTIFS('Candidate Tracker'!$E:$E,'Positions Tracker'!$B92,'Candidate Tracker'!$I:$I,"male")),"")</f>
        <v>2</v>
      </c>
      <c r="BC92" s="33">
        <f>IFERROR(IF(COUNTIFS('Candidate Tracker'!$E:$E,'Positions Tracker'!$B92,'Candidate Tracker'!$C:$C,"&lt;&gt;WIP",'Candidate Tracker'!$C:$C,"&lt;&gt;Hold",'Candidate Tracker'!$C:$C,"&lt;&gt;Cancelled",'Candidate Tracker'!$C:$C,"&lt;&gt;Closed")/COUNTIFS('Candidate Tracker'!$E:$E,'Positions Tracker'!$B92)=0,"",COUNTIFS('Candidate Tracker'!$E:$E,'Positions Tracker'!$B92,'Candidate Tracker'!$C:$C,"&lt;&gt;WIP",'Candidate Tracker'!$C:$C,"&lt;&gt;Hold",'Candidate Tracker'!$C:$C,"&lt;&gt;Cancelled",'Candidate Tracker'!$C:$C,"&lt;&gt;Closed")/COUNTIFS('Candidate Tracker'!$E:$E,'Positions Tracker'!$B92)),"")</f>
        <v>1</v>
      </c>
      <c r="BD92" s="30" t="str">
        <f t="shared" si="15"/>
        <v>Oct-23</v>
      </c>
      <c r="BE92" s="30" t="str">
        <f t="shared" si="16"/>
        <v>Nov-23</v>
      </c>
      <c r="BF92" s="30" t="str">
        <f t="shared" si="17"/>
        <v>Nov-23</v>
      </c>
      <c r="BG92" s="30" t="str">
        <f t="shared" si="18"/>
        <v>Feb-24</v>
      </c>
    </row>
    <row r="93" spans="1:59">
      <c r="A93" s="30">
        <f t="shared" si="13"/>
        <v>92</v>
      </c>
      <c r="B93" s="30" t="s">
        <v>98</v>
      </c>
      <c r="C93" s="30" t="s">
        <v>51</v>
      </c>
      <c r="D93" s="30" t="s">
        <v>51</v>
      </c>
      <c r="E93" s="30" t="s">
        <v>102</v>
      </c>
      <c r="F93" s="30" t="s">
        <v>4006</v>
      </c>
      <c r="G93" s="30" t="s">
        <v>3</v>
      </c>
      <c r="H93" s="30" t="s">
        <v>66</v>
      </c>
      <c r="I93" s="30" t="s">
        <v>3849</v>
      </c>
      <c r="J93" s="30" t="s">
        <v>135</v>
      </c>
      <c r="K93" s="31">
        <v>45442</v>
      </c>
      <c r="L93" s="31">
        <v>45162</v>
      </c>
      <c r="M93" s="31">
        <v>45162</v>
      </c>
      <c r="N93" s="30"/>
      <c r="O93" s="31"/>
      <c r="P93" s="31"/>
      <c r="Q93" s="31"/>
      <c r="R93" s="31"/>
      <c r="S93" s="31"/>
      <c r="T93" s="31"/>
      <c r="U93" s="30"/>
      <c r="V93" s="30"/>
      <c r="W93" s="30"/>
      <c r="X93" s="30" t="s">
        <v>63</v>
      </c>
      <c r="Y93" s="30" t="s">
        <v>65</v>
      </c>
      <c r="Z93" s="30" t="s">
        <v>65</v>
      </c>
      <c r="AA93" s="30" t="s">
        <v>51</v>
      </c>
      <c r="AB93" s="30"/>
      <c r="AC93" s="30"/>
      <c r="AD93" s="30"/>
      <c r="AE93" s="30" t="s">
        <v>99</v>
      </c>
      <c r="AF93" s="30">
        <v>9130333075</v>
      </c>
      <c r="AG93" s="30" t="s">
        <v>105</v>
      </c>
      <c r="AH93" s="31" t="s">
        <v>101</v>
      </c>
      <c r="AI93" s="31">
        <v>45231</v>
      </c>
      <c r="AJ93" s="31">
        <v>45234</v>
      </c>
      <c r="AK93" s="30" t="s">
        <v>63</v>
      </c>
      <c r="AL93" s="30">
        <v>850000</v>
      </c>
      <c r="AM93" s="31">
        <f t="shared" si="20"/>
        <v>45234</v>
      </c>
      <c r="AN93" s="31">
        <v>45234</v>
      </c>
      <c r="AO93" s="31"/>
      <c r="AP93" s="31"/>
      <c r="AQ93" s="31"/>
      <c r="AR93" s="31"/>
      <c r="AS93" s="31">
        <v>45250</v>
      </c>
      <c r="AT93" s="30">
        <f t="shared" ca="1" si="14"/>
        <v>0</v>
      </c>
      <c r="AU93" s="32" t="str">
        <f t="shared" ca="1" si="12"/>
        <v/>
      </c>
      <c r="AV93" s="32" t="str" cm="1">
        <f t="array" aca="1" ref="AV93" ca="1">IFERROR(_xlfn.IFS($AU93="","",$AU93&lt;=15,"0-15",AND($AU93&gt;=16,$AU93&lt;=30),"16-30",AND($AU93&gt;=31,$AU93&lt;=45),"31-45",AND($AU93&gt;=46,$AU93&lt;=60),"46-60",AND($AU93&gt;=61,$AU93&lt;=90),"61-90",AND($AU93&gt;=91),"&gt; 90",AND($AU93&gt;=2000),""),"")</f>
        <v/>
      </c>
      <c r="AW93" s="32" cm="1">
        <f t="array" aca="1" ref="AW93" ca="1">IFERROR(_xlfn.IFS(OR($M93="",$AM93=""),"",OR($C93="Offered",$C93="Joined"),($AM93-$M93)-$AT93),"")</f>
        <v>72</v>
      </c>
      <c r="AX93" s="32" cm="1">
        <f t="array" aca="1" ref="AX93" ca="1">IFERROR(_xlfn.IFS(OR($M93="",$AS93=""),"",$C93="Joined",($AS93-$M93)-$AT93),"")</f>
        <v>88</v>
      </c>
      <c r="AY93" s="30" t="str">
        <f>IFERROR(IF(COUNTIFS('Candidate Tracker'!$E:$E,'Positions Tracker'!$B93,'Candidate Tracker'!$C:$C,"Offer Drop")=0,"",COUNTIFS('Candidate Tracker'!$E:$E,'Positions Tracker'!$B93,'Candidate Tracker'!$C:$C,"Offer Drop")),"")</f>
        <v/>
      </c>
      <c r="AZ9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 s="34">
        <f>IFERROR(IF(COUNTIFS('Candidate Tracker'!$E:$E,'Positions Tracker'!$B93,'Candidate Tracker'!$I:$I,"Female")=0,"",COUNTIFS('Candidate Tracker'!$E:$E,'Positions Tracker'!$B93,'Candidate Tracker'!$I:$I,"Female")),"")</f>
        <v>1</v>
      </c>
      <c r="BB93" s="34" t="str">
        <f>IFERROR(IF(COUNTIFS('Candidate Tracker'!$E:$E,'Positions Tracker'!$B93,'Candidate Tracker'!$I:$I,"male")=0,"",COUNTIFS('Candidate Tracker'!$E:$E,'Positions Tracker'!$B93,'Candidate Tracker'!$I:$I,"male")),"")</f>
        <v/>
      </c>
      <c r="BC93" s="33">
        <f>IFERROR(IF(COUNTIFS('Candidate Tracker'!$E:$E,'Positions Tracker'!$B93,'Candidate Tracker'!$C:$C,"&lt;&gt;WIP",'Candidate Tracker'!$C:$C,"&lt;&gt;Hold",'Candidate Tracker'!$C:$C,"&lt;&gt;Cancelled",'Candidate Tracker'!$C:$C,"&lt;&gt;Closed")/COUNTIFS('Candidate Tracker'!$E:$E,'Positions Tracker'!$B93)=0,"",COUNTIFS('Candidate Tracker'!$E:$E,'Positions Tracker'!$B93,'Candidate Tracker'!$C:$C,"&lt;&gt;WIP",'Candidate Tracker'!$C:$C,"&lt;&gt;Hold",'Candidate Tracker'!$C:$C,"&lt;&gt;Cancelled",'Candidate Tracker'!$C:$C,"&lt;&gt;Closed")/COUNTIFS('Candidate Tracker'!$E:$E,'Positions Tracker'!$B93)),"")</f>
        <v>1</v>
      </c>
      <c r="BD93" s="30" t="str">
        <f t="shared" si="15"/>
        <v>Aug-23</v>
      </c>
      <c r="BE93" s="30" t="str">
        <f t="shared" si="16"/>
        <v>Nov-23</v>
      </c>
      <c r="BF93" s="30" t="str">
        <f t="shared" si="17"/>
        <v>Nov-23</v>
      </c>
      <c r="BG93" s="30" t="str">
        <f t="shared" si="18"/>
        <v>Nov-23</v>
      </c>
    </row>
    <row r="94" spans="1:59">
      <c r="A94" s="30">
        <f t="shared" si="13"/>
        <v>93</v>
      </c>
      <c r="B94" s="30" t="s">
        <v>103</v>
      </c>
      <c r="C94" s="30" t="s">
        <v>51</v>
      </c>
      <c r="D94" s="30" t="s">
        <v>51</v>
      </c>
      <c r="E94" s="30" t="s">
        <v>89</v>
      </c>
      <c r="F94" s="30" t="s">
        <v>4089</v>
      </c>
      <c r="G94" s="30" t="s">
        <v>3</v>
      </c>
      <c r="H94" s="30" t="s">
        <v>147</v>
      </c>
      <c r="I94" s="30" t="s">
        <v>417</v>
      </c>
      <c r="J94" s="30" t="s">
        <v>135</v>
      </c>
      <c r="K94" s="31">
        <v>45058</v>
      </c>
      <c r="L94" s="31">
        <v>45058</v>
      </c>
      <c r="M94" s="31">
        <v>45242</v>
      </c>
      <c r="N94" s="30"/>
      <c r="O94" s="31"/>
      <c r="P94" s="31"/>
      <c r="Q94" s="31"/>
      <c r="R94" s="31"/>
      <c r="S94" s="31"/>
      <c r="T94" s="31"/>
      <c r="U94" s="30"/>
      <c r="V94" s="30"/>
      <c r="W94" s="30"/>
      <c r="X94" s="30" t="s">
        <v>63</v>
      </c>
      <c r="Y94" s="30" t="s">
        <v>65</v>
      </c>
      <c r="Z94" s="30" t="s">
        <v>65</v>
      </c>
      <c r="AA94" s="30" t="s">
        <v>51</v>
      </c>
      <c r="AB94" s="30"/>
      <c r="AC94" s="30"/>
      <c r="AD94" s="30"/>
      <c r="AE94" s="30" t="s">
        <v>104</v>
      </c>
      <c r="AF94" s="30">
        <v>8796289621</v>
      </c>
      <c r="AG94" s="30" t="s">
        <v>105</v>
      </c>
      <c r="AH94" s="31" t="s">
        <v>55</v>
      </c>
      <c r="AI94" s="31">
        <v>45266</v>
      </c>
      <c r="AJ94" s="31">
        <v>45268</v>
      </c>
      <c r="AK94" s="30" t="s">
        <v>63</v>
      </c>
      <c r="AL94" s="30" t="s">
        <v>117</v>
      </c>
      <c r="AM94" s="31">
        <v>45268</v>
      </c>
      <c r="AN94" s="31">
        <v>45268</v>
      </c>
      <c r="AO94" s="31"/>
      <c r="AP94" s="31"/>
      <c r="AQ94" s="31"/>
      <c r="AR94" s="31"/>
      <c r="AS94" s="31">
        <v>45293</v>
      </c>
      <c r="AT94" s="30">
        <f t="shared" ca="1" si="14"/>
        <v>0</v>
      </c>
      <c r="AU94" s="32" t="str">
        <f t="shared" ca="1" si="12"/>
        <v/>
      </c>
      <c r="AV94" s="32" t="str" cm="1">
        <f t="array" aca="1" ref="AV94" ca="1">IFERROR(_xlfn.IFS($AU94="","",$AU94&lt;=15,"0-15",AND($AU94&gt;=16,$AU94&lt;=30),"16-30",AND($AU94&gt;=31,$AU94&lt;=45),"31-45",AND($AU94&gt;=46,$AU94&lt;=60),"46-60",AND($AU94&gt;=61,$AU94&lt;=90),"61-90",AND($AU94&gt;=91),"&gt; 90",AND($AU94&gt;=2000),""),"")</f>
        <v/>
      </c>
      <c r="AW94" s="32" cm="1">
        <f t="array" aca="1" ref="AW94" ca="1">IFERROR(_xlfn.IFS(OR($M94="",$AM94=""),"",OR($C94="Offered",$C94="Joined"),($AM94-$M94)-$AT94),"")</f>
        <v>26</v>
      </c>
      <c r="AX94" s="32" cm="1">
        <f t="array" aca="1" ref="AX94" ca="1">IFERROR(_xlfn.IFS(OR($M94="",$AS94=""),"",$C94="Joined",($AS94-$M94)-$AT94),"")</f>
        <v>51</v>
      </c>
      <c r="AY94" s="30" t="str">
        <f>IFERROR(IF(COUNTIFS('Candidate Tracker'!$E:$E,'Positions Tracker'!$B94,'Candidate Tracker'!$C:$C,"Offer Drop")=0,"",COUNTIFS('Candidate Tracker'!$E:$E,'Positions Tracker'!$B94,'Candidate Tracker'!$C:$C,"Offer Drop")),"")</f>
        <v/>
      </c>
      <c r="AZ9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 s="34" t="str">
        <f>IFERROR(IF(COUNTIFS('Candidate Tracker'!$E:$E,'Positions Tracker'!$B94,'Candidate Tracker'!$I:$I,"Female")=0,"",COUNTIFS('Candidate Tracker'!$E:$E,'Positions Tracker'!$B94,'Candidate Tracker'!$I:$I,"Female")),"")</f>
        <v/>
      </c>
      <c r="BB94" s="34">
        <f>IFERROR(IF(COUNTIFS('Candidate Tracker'!$E:$E,'Positions Tracker'!$B94,'Candidate Tracker'!$I:$I,"male")=0,"",COUNTIFS('Candidate Tracker'!$E:$E,'Positions Tracker'!$B94,'Candidate Tracker'!$I:$I,"male")),"")</f>
        <v>1</v>
      </c>
      <c r="BC94" s="33">
        <f>IFERROR(IF(COUNTIFS('Candidate Tracker'!$E:$E,'Positions Tracker'!$B94,'Candidate Tracker'!$C:$C,"&lt;&gt;WIP",'Candidate Tracker'!$C:$C,"&lt;&gt;Hold",'Candidate Tracker'!$C:$C,"&lt;&gt;Cancelled",'Candidate Tracker'!$C:$C,"&lt;&gt;Closed")/COUNTIFS('Candidate Tracker'!$E:$E,'Positions Tracker'!$B94)=0,"",COUNTIFS('Candidate Tracker'!$E:$E,'Positions Tracker'!$B94,'Candidate Tracker'!$C:$C,"&lt;&gt;WIP",'Candidate Tracker'!$C:$C,"&lt;&gt;Hold",'Candidate Tracker'!$C:$C,"&lt;&gt;Cancelled",'Candidate Tracker'!$C:$C,"&lt;&gt;Closed")/COUNTIFS('Candidate Tracker'!$E:$E,'Positions Tracker'!$B94)),"")</f>
        <v>1</v>
      </c>
      <c r="BD94" s="30" t="str">
        <f t="shared" si="15"/>
        <v>Nov-23</v>
      </c>
      <c r="BE94" s="30" t="str">
        <f t="shared" si="16"/>
        <v>Dec-23</v>
      </c>
      <c r="BF94" s="30" t="str">
        <f t="shared" si="17"/>
        <v>Dec-23</v>
      </c>
      <c r="BG94" s="30" t="str">
        <f t="shared" si="18"/>
        <v>Jan-24</v>
      </c>
    </row>
    <row r="95" spans="1:59">
      <c r="A95" s="30">
        <f t="shared" si="13"/>
        <v>94</v>
      </c>
      <c r="B95" s="30" t="s">
        <v>106</v>
      </c>
      <c r="C95" s="30" t="s">
        <v>51</v>
      </c>
      <c r="D95" s="30" t="s">
        <v>51</v>
      </c>
      <c r="E95" s="30" t="s">
        <v>89</v>
      </c>
      <c r="F95" s="30" t="s">
        <v>4089</v>
      </c>
      <c r="G95" s="30" t="s">
        <v>3</v>
      </c>
      <c r="H95" s="30" t="s">
        <v>66</v>
      </c>
      <c r="I95" s="30" t="s">
        <v>3849</v>
      </c>
      <c r="J95" s="30" t="s">
        <v>135</v>
      </c>
      <c r="K95" s="31">
        <v>45213</v>
      </c>
      <c r="L95" s="31">
        <v>45213</v>
      </c>
      <c r="M95" s="31">
        <v>45213</v>
      </c>
      <c r="N95" s="30"/>
      <c r="O95" s="31"/>
      <c r="P95" s="31"/>
      <c r="Q95" s="31"/>
      <c r="R95" s="31"/>
      <c r="S95" s="31"/>
      <c r="T95" s="31"/>
      <c r="U95" s="30"/>
      <c r="V95" s="30"/>
      <c r="W95" s="30"/>
      <c r="X95" s="30" t="s">
        <v>63</v>
      </c>
      <c r="Y95" s="30" t="s">
        <v>65</v>
      </c>
      <c r="Z95" s="30" t="s">
        <v>65</v>
      </c>
      <c r="AA95" s="30" t="s">
        <v>51</v>
      </c>
      <c r="AB95" s="30"/>
      <c r="AC95" s="30"/>
      <c r="AD95" s="30"/>
      <c r="AE95" s="30" t="s">
        <v>107</v>
      </c>
      <c r="AF95" s="30">
        <v>9041199799</v>
      </c>
      <c r="AG95" s="30" t="s">
        <v>108</v>
      </c>
      <c r="AH95" s="31" t="s">
        <v>55</v>
      </c>
      <c r="AI95" s="31">
        <v>45257</v>
      </c>
      <c r="AJ95" s="31">
        <v>45272</v>
      </c>
      <c r="AK95" s="30" t="s">
        <v>63</v>
      </c>
      <c r="AL95" s="30">
        <v>2550000</v>
      </c>
      <c r="AM95" s="31">
        <f t="shared" ref="AM95:AM103" si="21">AN95</f>
        <v>45272</v>
      </c>
      <c r="AN95" s="31">
        <v>45272</v>
      </c>
      <c r="AO95" s="31"/>
      <c r="AP95" s="31"/>
      <c r="AQ95" s="31"/>
      <c r="AR95" s="31"/>
      <c r="AS95" s="31">
        <v>45306</v>
      </c>
      <c r="AT95" s="30">
        <f t="shared" ca="1" si="14"/>
        <v>0</v>
      </c>
      <c r="AU95" s="32" t="str">
        <f t="shared" ca="1" si="12"/>
        <v/>
      </c>
      <c r="AV95" s="32" t="str" cm="1">
        <f t="array" aca="1" ref="AV95" ca="1">IFERROR(_xlfn.IFS($AU95="","",$AU95&lt;=15,"0-15",AND($AU95&gt;=16,$AU95&lt;=30),"16-30",AND($AU95&gt;=31,$AU95&lt;=45),"31-45",AND($AU95&gt;=46,$AU95&lt;=60),"46-60",AND($AU95&gt;=61,$AU95&lt;=90),"61-90",AND($AU95&gt;=91),"&gt; 90",AND($AU95&gt;=2000),""),"")</f>
        <v/>
      </c>
      <c r="AW95" s="32" cm="1">
        <f t="array" aca="1" ref="AW95" ca="1">IFERROR(_xlfn.IFS(OR($M95="",$AM95=""),"",OR($C95="Offered",$C95="Joined"),($AM95-$M95)-$AT95),"")</f>
        <v>59</v>
      </c>
      <c r="AX95" s="32" cm="1">
        <f t="array" aca="1" ref="AX95" ca="1">IFERROR(_xlfn.IFS(OR($M95="",$AS95=""),"",$C95="Joined",($AS95-$M95)-$AT95),"")</f>
        <v>93</v>
      </c>
      <c r="AY95" s="30" t="str">
        <f>IFERROR(IF(COUNTIFS('Candidate Tracker'!$E:$E,'Positions Tracker'!$B95,'Candidate Tracker'!$C:$C,"Offer Drop")=0,"",COUNTIFS('Candidate Tracker'!$E:$E,'Positions Tracker'!$B95,'Candidate Tracker'!$C:$C,"Offer Drop")),"")</f>
        <v/>
      </c>
      <c r="AZ9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 s="34" t="str">
        <f>IFERROR(IF(COUNTIFS('Candidate Tracker'!$E:$E,'Positions Tracker'!$B95,'Candidate Tracker'!$I:$I,"Female")=0,"",COUNTIFS('Candidate Tracker'!$E:$E,'Positions Tracker'!$B95,'Candidate Tracker'!$I:$I,"Female")),"")</f>
        <v/>
      </c>
      <c r="BB95" s="34">
        <f>IFERROR(IF(COUNTIFS('Candidate Tracker'!$E:$E,'Positions Tracker'!$B95,'Candidate Tracker'!$I:$I,"male")=0,"",COUNTIFS('Candidate Tracker'!$E:$E,'Positions Tracker'!$B95,'Candidate Tracker'!$I:$I,"male")),"")</f>
        <v>1</v>
      </c>
      <c r="BC95" s="33">
        <f>IFERROR(IF(COUNTIFS('Candidate Tracker'!$E:$E,'Positions Tracker'!$B95,'Candidate Tracker'!$C:$C,"&lt;&gt;WIP",'Candidate Tracker'!$C:$C,"&lt;&gt;Hold",'Candidate Tracker'!$C:$C,"&lt;&gt;Cancelled",'Candidate Tracker'!$C:$C,"&lt;&gt;Closed")/COUNTIFS('Candidate Tracker'!$E:$E,'Positions Tracker'!$B95)=0,"",COUNTIFS('Candidate Tracker'!$E:$E,'Positions Tracker'!$B95,'Candidate Tracker'!$C:$C,"&lt;&gt;WIP",'Candidate Tracker'!$C:$C,"&lt;&gt;Hold",'Candidate Tracker'!$C:$C,"&lt;&gt;Cancelled",'Candidate Tracker'!$C:$C,"&lt;&gt;Closed")/COUNTIFS('Candidate Tracker'!$E:$E,'Positions Tracker'!$B95)),"")</f>
        <v>1</v>
      </c>
      <c r="BD95" s="30" t="str">
        <f t="shared" si="15"/>
        <v>Oct-23</v>
      </c>
      <c r="BE95" s="30" t="str">
        <f t="shared" si="16"/>
        <v>Nov-23</v>
      </c>
      <c r="BF95" s="30" t="str">
        <f t="shared" si="17"/>
        <v>Dec-23</v>
      </c>
      <c r="BG95" s="30" t="str">
        <f t="shared" si="18"/>
        <v>Jan-24</v>
      </c>
    </row>
    <row r="96" spans="1:59">
      <c r="A96" s="30">
        <f t="shared" si="13"/>
        <v>95</v>
      </c>
      <c r="B96" s="30" t="s">
        <v>113</v>
      </c>
      <c r="C96" s="30" t="s">
        <v>51</v>
      </c>
      <c r="D96" s="30" t="s">
        <v>51</v>
      </c>
      <c r="E96" s="30" t="s">
        <v>115</v>
      </c>
      <c r="F96" s="30" t="s">
        <v>4089</v>
      </c>
      <c r="G96" s="30" t="s">
        <v>3</v>
      </c>
      <c r="H96" s="30" t="s">
        <v>66</v>
      </c>
      <c r="I96" s="30" t="s">
        <v>3849</v>
      </c>
      <c r="J96" s="30" t="s">
        <v>135</v>
      </c>
      <c r="K96" s="31">
        <v>45213</v>
      </c>
      <c r="L96" s="31">
        <v>45213</v>
      </c>
      <c r="M96" s="31">
        <v>45274</v>
      </c>
      <c r="N96" s="30"/>
      <c r="O96" s="31"/>
      <c r="P96" s="31"/>
      <c r="Q96" s="31"/>
      <c r="R96" s="31"/>
      <c r="S96" s="31"/>
      <c r="T96" s="31"/>
      <c r="U96" s="30"/>
      <c r="V96" s="30"/>
      <c r="W96" s="30"/>
      <c r="X96" s="30" t="s">
        <v>63</v>
      </c>
      <c r="Y96" s="30" t="s">
        <v>65</v>
      </c>
      <c r="Z96" s="30" t="s">
        <v>65</v>
      </c>
      <c r="AA96" s="30" t="s">
        <v>51</v>
      </c>
      <c r="AB96" s="30"/>
      <c r="AC96" s="30"/>
      <c r="AD96" s="30"/>
      <c r="AE96" s="30" t="s">
        <v>114</v>
      </c>
      <c r="AF96" s="30">
        <v>9561479035</v>
      </c>
      <c r="AG96" s="30" t="s">
        <v>4090</v>
      </c>
      <c r="AH96" s="31" t="s">
        <v>55</v>
      </c>
      <c r="AI96" s="31">
        <v>45306</v>
      </c>
      <c r="AJ96" s="31">
        <v>45328</v>
      </c>
      <c r="AK96" s="30" t="s">
        <v>63</v>
      </c>
      <c r="AL96" s="30">
        <v>1000000</v>
      </c>
      <c r="AM96" s="31">
        <f t="shared" si="21"/>
        <v>45328</v>
      </c>
      <c r="AN96" s="31">
        <v>45328</v>
      </c>
      <c r="AO96" s="31"/>
      <c r="AP96" s="31"/>
      <c r="AQ96" s="31"/>
      <c r="AR96" s="31"/>
      <c r="AS96" s="31">
        <v>45397</v>
      </c>
      <c r="AT96" s="30">
        <f t="shared" ca="1" si="14"/>
        <v>0</v>
      </c>
      <c r="AU96" s="32" t="str">
        <f t="shared" ca="1" si="12"/>
        <v/>
      </c>
      <c r="AV96" s="32" t="str" cm="1">
        <f t="array" aca="1" ref="AV96" ca="1">IFERROR(_xlfn.IFS($AU96="","",$AU96&lt;=15,"0-15",AND($AU96&gt;=16,$AU96&lt;=30),"16-30",AND($AU96&gt;=31,$AU96&lt;=45),"31-45",AND($AU96&gt;=46,$AU96&lt;=60),"46-60",AND($AU96&gt;=61,$AU96&lt;=90),"61-90",AND($AU96&gt;=91),"&gt; 90",AND($AU96&gt;=2000),""),"")</f>
        <v/>
      </c>
      <c r="AW96" s="32" cm="1">
        <f t="array" aca="1" ref="AW96" ca="1">IFERROR(_xlfn.IFS(OR($M96="",$AM96=""),"",OR($C96="Offered",$C96="Joined"),($AM96-$M96)-$AT96),"")</f>
        <v>54</v>
      </c>
      <c r="AX96" s="32" cm="1">
        <f t="array" aca="1" ref="AX96" ca="1">IFERROR(_xlfn.IFS(OR($M96="",$AS96=""),"",$C96="Joined",($AS96-$M96)-$AT96),"")</f>
        <v>123</v>
      </c>
      <c r="AY96" s="30" t="str">
        <f>IFERROR(IF(COUNTIFS('Candidate Tracker'!$E:$E,'Positions Tracker'!$B96,'Candidate Tracker'!$C:$C,"Offer Drop")=0,"",COUNTIFS('Candidate Tracker'!$E:$E,'Positions Tracker'!$B96,'Candidate Tracker'!$C:$C,"Offer Drop")),"")</f>
        <v/>
      </c>
      <c r="AZ9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 s="34" t="str">
        <f>IFERROR(IF(COUNTIFS('Candidate Tracker'!$E:$E,'Positions Tracker'!$B96,'Candidate Tracker'!$I:$I,"Female")=0,"",COUNTIFS('Candidate Tracker'!$E:$E,'Positions Tracker'!$B96,'Candidate Tracker'!$I:$I,"Female")),"")</f>
        <v/>
      </c>
      <c r="BB96" s="34">
        <f>IFERROR(IF(COUNTIFS('Candidate Tracker'!$E:$E,'Positions Tracker'!$B96,'Candidate Tracker'!$I:$I,"male")=0,"",COUNTIFS('Candidate Tracker'!$E:$E,'Positions Tracker'!$B96,'Candidate Tracker'!$I:$I,"male")),"")</f>
        <v>1</v>
      </c>
      <c r="BC96" s="33">
        <f>IFERROR(IF(COUNTIFS('Candidate Tracker'!$E:$E,'Positions Tracker'!$B96,'Candidate Tracker'!$C:$C,"&lt;&gt;WIP",'Candidate Tracker'!$C:$C,"&lt;&gt;Hold",'Candidate Tracker'!$C:$C,"&lt;&gt;Cancelled",'Candidate Tracker'!$C:$C,"&lt;&gt;Closed")/COUNTIFS('Candidate Tracker'!$E:$E,'Positions Tracker'!$B96)=0,"",COUNTIFS('Candidate Tracker'!$E:$E,'Positions Tracker'!$B96,'Candidate Tracker'!$C:$C,"&lt;&gt;WIP",'Candidate Tracker'!$C:$C,"&lt;&gt;Hold",'Candidate Tracker'!$C:$C,"&lt;&gt;Cancelled",'Candidate Tracker'!$C:$C,"&lt;&gt;Closed")/COUNTIFS('Candidate Tracker'!$E:$E,'Positions Tracker'!$B96)),"")</f>
        <v>1</v>
      </c>
      <c r="BD96" s="30" t="str">
        <f t="shared" si="15"/>
        <v>Dec-23</v>
      </c>
      <c r="BE96" s="30" t="str">
        <f t="shared" si="16"/>
        <v>Jan-24</v>
      </c>
      <c r="BF96" s="30" t="str">
        <f t="shared" si="17"/>
        <v>Feb-24</v>
      </c>
      <c r="BG96" s="30" t="str">
        <f t="shared" si="18"/>
        <v>Apr-24</v>
      </c>
    </row>
    <row r="97" spans="1:59">
      <c r="A97" s="30">
        <f t="shared" si="13"/>
        <v>96</v>
      </c>
      <c r="B97" s="30" t="s">
        <v>109</v>
      </c>
      <c r="C97" s="30" t="s">
        <v>51</v>
      </c>
      <c r="D97" s="30" t="s">
        <v>51</v>
      </c>
      <c r="E97" s="30" t="s">
        <v>112</v>
      </c>
      <c r="F97" s="30" t="s">
        <v>4089</v>
      </c>
      <c r="G97" s="30" t="s">
        <v>3</v>
      </c>
      <c r="H97" s="30" t="s">
        <v>66</v>
      </c>
      <c r="I97" s="30" t="s">
        <v>3849</v>
      </c>
      <c r="J97" s="30" t="s">
        <v>135</v>
      </c>
      <c r="K97" s="31">
        <v>45213</v>
      </c>
      <c r="L97" s="31">
        <v>45213</v>
      </c>
      <c r="M97" s="31">
        <v>45274</v>
      </c>
      <c r="N97" s="30"/>
      <c r="O97" s="31"/>
      <c r="P97" s="31"/>
      <c r="Q97" s="31"/>
      <c r="R97" s="31"/>
      <c r="S97" s="31"/>
      <c r="T97" s="31"/>
      <c r="U97" s="30"/>
      <c r="V97" s="30"/>
      <c r="W97" s="30"/>
      <c r="X97" s="30" t="s">
        <v>63</v>
      </c>
      <c r="Y97" s="30" t="s">
        <v>65</v>
      </c>
      <c r="Z97" s="30" t="s">
        <v>65</v>
      </c>
      <c r="AA97" s="30" t="s">
        <v>51</v>
      </c>
      <c r="AB97" s="30"/>
      <c r="AC97" s="30"/>
      <c r="AD97" s="30"/>
      <c r="AE97" s="30" t="s">
        <v>110</v>
      </c>
      <c r="AF97" s="30">
        <v>9041199799</v>
      </c>
      <c r="AG97" s="30" t="s">
        <v>111</v>
      </c>
      <c r="AH97" s="31" t="s">
        <v>55</v>
      </c>
      <c r="AI97" s="31">
        <v>45321</v>
      </c>
      <c r="AJ97" s="31">
        <v>45327</v>
      </c>
      <c r="AK97" s="30" t="s">
        <v>63</v>
      </c>
      <c r="AL97" s="30">
        <v>1150000</v>
      </c>
      <c r="AM97" s="31">
        <f t="shared" si="21"/>
        <v>45327</v>
      </c>
      <c r="AN97" s="31">
        <v>45327</v>
      </c>
      <c r="AO97" s="31"/>
      <c r="AP97" s="31"/>
      <c r="AQ97" s="31"/>
      <c r="AR97" s="31"/>
      <c r="AS97" s="31">
        <v>45334</v>
      </c>
      <c r="AT97" s="30">
        <f t="shared" ca="1" si="14"/>
        <v>0</v>
      </c>
      <c r="AU97" s="32" t="str">
        <f t="shared" ca="1" si="12"/>
        <v/>
      </c>
      <c r="AV97" s="32" t="str" cm="1">
        <f t="array" aca="1" ref="AV97" ca="1">IFERROR(_xlfn.IFS($AU97="","",$AU97&lt;=15,"0-15",AND($AU97&gt;=16,$AU97&lt;=30),"16-30",AND($AU97&gt;=31,$AU97&lt;=45),"31-45",AND($AU97&gt;=46,$AU97&lt;=60),"46-60",AND($AU97&gt;=61,$AU97&lt;=90),"61-90",AND($AU97&gt;=91),"&gt; 90",AND($AU97&gt;=2000),""),"")</f>
        <v/>
      </c>
      <c r="AW97" s="32" cm="1">
        <f t="array" aca="1" ref="AW97" ca="1">IFERROR(_xlfn.IFS(OR($M97="",$AM97=""),"",OR($C97="Offered",$C97="Joined"),($AM97-$M97)-$AT97),"")</f>
        <v>53</v>
      </c>
      <c r="AX97" s="32" cm="1">
        <f t="array" aca="1" ref="AX97" ca="1">IFERROR(_xlfn.IFS(OR($M97="",$AS97=""),"",$C97="Joined",($AS97-$M97)-$AT97),"")</f>
        <v>60</v>
      </c>
      <c r="AY97" s="30" t="str">
        <f>IFERROR(IF(COUNTIFS('Candidate Tracker'!$E:$E,'Positions Tracker'!$B97,'Candidate Tracker'!$C:$C,"Offer Drop")=0,"",COUNTIFS('Candidate Tracker'!$E:$E,'Positions Tracker'!$B97,'Candidate Tracker'!$C:$C,"Offer Drop")),"")</f>
        <v/>
      </c>
      <c r="AZ9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 s="34" t="str">
        <f>IFERROR(IF(COUNTIFS('Candidate Tracker'!$E:$E,'Positions Tracker'!$B97,'Candidate Tracker'!$I:$I,"Female")=0,"",COUNTIFS('Candidate Tracker'!$E:$E,'Positions Tracker'!$B97,'Candidate Tracker'!$I:$I,"Female")),"")</f>
        <v/>
      </c>
      <c r="BB97" s="34">
        <f>IFERROR(IF(COUNTIFS('Candidate Tracker'!$E:$E,'Positions Tracker'!$B97,'Candidate Tracker'!$I:$I,"male")=0,"",COUNTIFS('Candidate Tracker'!$E:$E,'Positions Tracker'!$B97,'Candidate Tracker'!$I:$I,"male")),"")</f>
        <v>1</v>
      </c>
      <c r="BC97" s="33">
        <f>IFERROR(IF(COUNTIFS('Candidate Tracker'!$E:$E,'Positions Tracker'!$B97,'Candidate Tracker'!$C:$C,"&lt;&gt;WIP",'Candidate Tracker'!$C:$C,"&lt;&gt;Hold",'Candidate Tracker'!$C:$C,"&lt;&gt;Cancelled",'Candidate Tracker'!$C:$C,"&lt;&gt;Closed")/COUNTIFS('Candidate Tracker'!$E:$E,'Positions Tracker'!$B97)=0,"",COUNTIFS('Candidate Tracker'!$E:$E,'Positions Tracker'!$B97,'Candidate Tracker'!$C:$C,"&lt;&gt;WIP",'Candidate Tracker'!$C:$C,"&lt;&gt;Hold",'Candidate Tracker'!$C:$C,"&lt;&gt;Cancelled",'Candidate Tracker'!$C:$C,"&lt;&gt;Closed")/COUNTIFS('Candidate Tracker'!$E:$E,'Positions Tracker'!$B97)),"")</f>
        <v>1</v>
      </c>
      <c r="BD97" s="30" t="str">
        <f t="shared" si="15"/>
        <v>Dec-23</v>
      </c>
      <c r="BE97" s="30" t="str">
        <f t="shared" si="16"/>
        <v>Jan-24</v>
      </c>
      <c r="BF97" s="30" t="str">
        <f t="shared" si="17"/>
        <v>Feb-24</v>
      </c>
      <c r="BG97" s="30" t="str">
        <f t="shared" si="18"/>
        <v>Feb-24</v>
      </c>
    </row>
    <row r="98" spans="1:59">
      <c r="A98" s="30">
        <f t="shared" si="13"/>
        <v>97</v>
      </c>
      <c r="B98" s="30" t="s">
        <v>119</v>
      </c>
      <c r="C98" s="30" t="s">
        <v>51</v>
      </c>
      <c r="D98" s="30" t="s">
        <v>51</v>
      </c>
      <c r="E98" s="30" t="s">
        <v>122</v>
      </c>
      <c r="F98" s="30" t="s">
        <v>3910</v>
      </c>
      <c r="G98" s="30" t="s">
        <v>3</v>
      </c>
      <c r="H98" s="30" t="s">
        <v>66</v>
      </c>
      <c r="I98" s="30" t="s">
        <v>3849</v>
      </c>
      <c r="J98" s="30" t="s">
        <v>135</v>
      </c>
      <c r="K98" s="31">
        <v>45213</v>
      </c>
      <c r="L98" s="31">
        <v>45213</v>
      </c>
      <c r="M98" s="31">
        <v>45274</v>
      </c>
      <c r="N98" s="30"/>
      <c r="O98" s="31"/>
      <c r="P98" s="31"/>
      <c r="Q98" s="31"/>
      <c r="R98" s="31"/>
      <c r="S98" s="31"/>
      <c r="T98" s="31"/>
      <c r="U98" s="30"/>
      <c r="V98" s="30"/>
      <c r="W98" s="30"/>
      <c r="X98" s="30" t="s">
        <v>63</v>
      </c>
      <c r="Y98" s="30" t="s">
        <v>65</v>
      </c>
      <c r="Z98" s="30" t="s">
        <v>65</v>
      </c>
      <c r="AA98" s="30" t="s">
        <v>51</v>
      </c>
      <c r="AB98" s="30"/>
      <c r="AC98" s="30"/>
      <c r="AD98" s="30"/>
      <c r="AE98" s="30" t="s">
        <v>120</v>
      </c>
      <c r="AF98" s="30">
        <v>9595590095</v>
      </c>
      <c r="AG98" s="30" t="s">
        <v>4091</v>
      </c>
      <c r="AH98" s="31" t="s">
        <v>55</v>
      </c>
      <c r="AI98" s="31">
        <v>45329</v>
      </c>
      <c r="AJ98" s="31">
        <v>45343</v>
      </c>
      <c r="AK98" s="30" t="s">
        <v>63</v>
      </c>
      <c r="AL98" s="30">
        <v>700000</v>
      </c>
      <c r="AM98" s="31">
        <f t="shared" si="21"/>
        <v>45343</v>
      </c>
      <c r="AN98" s="31">
        <v>45343</v>
      </c>
      <c r="AO98" s="31"/>
      <c r="AP98" s="31"/>
      <c r="AQ98" s="31"/>
      <c r="AR98" s="31"/>
      <c r="AS98" s="31">
        <v>45378</v>
      </c>
      <c r="AT98" s="30">
        <f t="shared" ca="1" si="14"/>
        <v>0</v>
      </c>
      <c r="AU98" s="32" t="str">
        <f t="shared" ca="1" si="12"/>
        <v/>
      </c>
      <c r="AV98" s="32" t="str" cm="1">
        <f t="array" aca="1" ref="AV98" ca="1">IFERROR(_xlfn.IFS($AU98="","",$AU98&lt;=15,"0-15",AND($AU98&gt;=16,$AU98&lt;=30),"16-30",AND($AU98&gt;=31,$AU98&lt;=45),"31-45",AND($AU98&gt;=46,$AU98&lt;=60),"46-60",AND($AU98&gt;=61,$AU98&lt;=90),"61-90",AND($AU98&gt;=91),"&gt; 90",AND($AU98&gt;=2000),""),"")</f>
        <v/>
      </c>
      <c r="AW98" s="32" cm="1">
        <f t="array" aca="1" ref="AW98" ca="1">IFERROR(_xlfn.IFS(OR($M98="",$AM98=""),"",OR($C98="Offered",$C98="Joined"),($AM98-$M98)-$AT98),"")</f>
        <v>69</v>
      </c>
      <c r="AX98" s="32" cm="1">
        <f t="array" aca="1" ref="AX98" ca="1">IFERROR(_xlfn.IFS(OR($M98="",$AS98=""),"",$C98="Joined",($AS98-$M98)-$AT98),"")</f>
        <v>104</v>
      </c>
      <c r="AY98" s="30" t="str">
        <f>IFERROR(IF(COUNTIFS('Candidate Tracker'!$E:$E,'Positions Tracker'!$B98,'Candidate Tracker'!$C:$C,"Offer Drop")=0,"",COUNTIFS('Candidate Tracker'!$E:$E,'Positions Tracker'!$B98,'Candidate Tracker'!$C:$C,"Offer Drop")),"")</f>
        <v/>
      </c>
      <c r="AZ9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8" s="34" t="str">
        <f>IFERROR(IF(COUNTIFS('Candidate Tracker'!$E:$E,'Positions Tracker'!$B98,'Candidate Tracker'!$I:$I,"Female")=0,"",COUNTIFS('Candidate Tracker'!$E:$E,'Positions Tracker'!$B98,'Candidate Tracker'!$I:$I,"Female")),"")</f>
        <v/>
      </c>
      <c r="BB98" s="34">
        <f>IFERROR(IF(COUNTIFS('Candidate Tracker'!$E:$E,'Positions Tracker'!$B98,'Candidate Tracker'!$I:$I,"male")=0,"",COUNTIFS('Candidate Tracker'!$E:$E,'Positions Tracker'!$B98,'Candidate Tracker'!$I:$I,"male")),"")</f>
        <v>1</v>
      </c>
      <c r="BC98" s="33">
        <f>IFERROR(IF(COUNTIFS('Candidate Tracker'!$E:$E,'Positions Tracker'!$B98,'Candidate Tracker'!$C:$C,"&lt;&gt;WIP",'Candidate Tracker'!$C:$C,"&lt;&gt;Hold",'Candidate Tracker'!$C:$C,"&lt;&gt;Cancelled",'Candidate Tracker'!$C:$C,"&lt;&gt;Closed")/COUNTIFS('Candidate Tracker'!$E:$E,'Positions Tracker'!$B98)=0,"",COUNTIFS('Candidate Tracker'!$E:$E,'Positions Tracker'!$B98,'Candidate Tracker'!$C:$C,"&lt;&gt;WIP",'Candidate Tracker'!$C:$C,"&lt;&gt;Hold",'Candidate Tracker'!$C:$C,"&lt;&gt;Cancelled",'Candidate Tracker'!$C:$C,"&lt;&gt;Closed")/COUNTIFS('Candidate Tracker'!$E:$E,'Positions Tracker'!$B98)),"")</f>
        <v>1</v>
      </c>
      <c r="BD98" s="30" t="str">
        <f t="shared" si="15"/>
        <v>Dec-23</v>
      </c>
      <c r="BE98" s="30" t="str">
        <f t="shared" si="16"/>
        <v>Feb-24</v>
      </c>
      <c r="BF98" s="30" t="str">
        <f t="shared" si="17"/>
        <v>Feb-24</v>
      </c>
      <c r="BG98" s="30" t="str">
        <f t="shared" si="18"/>
        <v>Mar-24</v>
      </c>
    </row>
    <row r="99" spans="1:59">
      <c r="A99" s="30">
        <f t="shared" si="13"/>
        <v>98</v>
      </c>
      <c r="B99" s="30" t="s">
        <v>191</v>
      </c>
      <c r="C99" s="30" t="s">
        <v>51</v>
      </c>
      <c r="D99" s="30" t="s">
        <v>51</v>
      </c>
      <c r="E99" s="30" t="s">
        <v>89</v>
      </c>
      <c r="F99" s="30" t="s">
        <v>4089</v>
      </c>
      <c r="G99" s="30" t="s">
        <v>3</v>
      </c>
      <c r="H99" s="30" t="s">
        <v>118</v>
      </c>
      <c r="I99" s="30" t="s">
        <v>116</v>
      </c>
      <c r="J99" s="30" t="s">
        <v>135</v>
      </c>
      <c r="K99" s="31">
        <v>45198</v>
      </c>
      <c r="L99" s="31">
        <v>45198</v>
      </c>
      <c r="M99" s="31">
        <v>45289</v>
      </c>
      <c r="N99" s="30"/>
      <c r="O99" s="31"/>
      <c r="P99" s="31"/>
      <c r="Q99" s="31"/>
      <c r="R99" s="31"/>
      <c r="S99" s="31"/>
      <c r="T99" s="31"/>
      <c r="U99" s="30"/>
      <c r="V99" s="30"/>
      <c r="W99" s="30"/>
      <c r="X99" s="30" t="s">
        <v>63</v>
      </c>
      <c r="Y99" s="30" t="s">
        <v>65</v>
      </c>
      <c r="Z99" s="30" t="s">
        <v>65</v>
      </c>
      <c r="AA99" s="30" t="s">
        <v>51</v>
      </c>
      <c r="AB99" s="30"/>
      <c r="AC99" s="30"/>
      <c r="AD99" s="30"/>
      <c r="AE99" s="30" t="s">
        <v>192</v>
      </c>
      <c r="AF99" s="30">
        <v>9561479035</v>
      </c>
      <c r="AG99" s="30" t="s">
        <v>4092</v>
      </c>
      <c r="AH99" s="31" t="s">
        <v>55</v>
      </c>
      <c r="AI99" s="31">
        <v>45303</v>
      </c>
      <c r="AJ99" s="31">
        <v>45329</v>
      </c>
      <c r="AK99" s="30" t="s">
        <v>63</v>
      </c>
      <c r="AL99" s="30">
        <v>2300000</v>
      </c>
      <c r="AM99" s="31">
        <f t="shared" si="21"/>
        <v>45329</v>
      </c>
      <c r="AN99" s="31">
        <v>45329</v>
      </c>
      <c r="AO99" s="31"/>
      <c r="AP99" s="31"/>
      <c r="AQ99" s="31"/>
      <c r="AR99" s="31"/>
      <c r="AS99" s="31">
        <v>45397</v>
      </c>
      <c r="AT99" s="30">
        <f t="shared" ca="1" si="14"/>
        <v>0</v>
      </c>
      <c r="AU99" s="32" t="str">
        <f t="shared" ca="1" si="12"/>
        <v/>
      </c>
      <c r="AV99" s="32" t="str" cm="1">
        <f t="array" aca="1" ref="AV99" ca="1">IFERROR(_xlfn.IFS($AU99="","",$AU99&lt;=15,"0-15",AND($AU99&gt;=16,$AU99&lt;=30),"16-30",AND($AU99&gt;=31,$AU99&lt;=45),"31-45",AND($AU99&gt;=46,$AU99&lt;=60),"46-60",AND($AU99&gt;=61,$AU99&lt;=90),"61-90",AND($AU99&gt;=91),"&gt; 90",AND($AU99&gt;=2000),""),"")</f>
        <v/>
      </c>
      <c r="AW99" s="32" cm="1">
        <f t="array" aca="1" ref="AW99" ca="1">IFERROR(_xlfn.IFS(OR($M99="",$AM99=""),"",OR($C99="Offered",$C99="Joined"),($AM99-$M99)-$AT99),"")</f>
        <v>40</v>
      </c>
      <c r="AX99" s="32" cm="1">
        <f t="array" aca="1" ref="AX99" ca="1">IFERROR(_xlfn.IFS(OR($M99="",$AS99=""),"",$C99="Joined",($AS99-$M99)-$AT99),"")</f>
        <v>108</v>
      </c>
      <c r="AY99" s="30" t="str">
        <f>IFERROR(IF(COUNTIFS('Candidate Tracker'!$E:$E,'Positions Tracker'!$B99,'Candidate Tracker'!$C:$C,"Offer Drop")=0,"",COUNTIFS('Candidate Tracker'!$E:$E,'Positions Tracker'!$B99,'Candidate Tracker'!$C:$C,"Offer Drop")),"")</f>
        <v/>
      </c>
      <c r="AZ9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9" s="34" t="str">
        <f>IFERROR(IF(COUNTIFS('Candidate Tracker'!$E:$E,'Positions Tracker'!$B99,'Candidate Tracker'!$I:$I,"Female")=0,"",COUNTIFS('Candidate Tracker'!$E:$E,'Positions Tracker'!$B99,'Candidate Tracker'!$I:$I,"Female")),"")</f>
        <v/>
      </c>
      <c r="BB99" s="34">
        <f>IFERROR(IF(COUNTIFS('Candidate Tracker'!$E:$E,'Positions Tracker'!$B99,'Candidate Tracker'!$I:$I,"male")=0,"",COUNTIFS('Candidate Tracker'!$E:$E,'Positions Tracker'!$B99,'Candidate Tracker'!$I:$I,"male")),"")</f>
        <v>1</v>
      </c>
      <c r="BC99" s="33">
        <f>IFERROR(IF(COUNTIFS('Candidate Tracker'!$E:$E,'Positions Tracker'!$B99,'Candidate Tracker'!$C:$C,"&lt;&gt;WIP",'Candidate Tracker'!$C:$C,"&lt;&gt;Hold",'Candidate Tracker'!$C:$C,"&lt;&gt;Cancelled",'Candidate Tracker'!$C:$C,"&lt;&gt;Closed")/COUNTIFS('Candidate Tracker'!$E:$E,'Positions Tracker'!$B99)=0,"",COUNTIFS('Candidate Tracker'!$E:$E,'Positions Tracker'!$B99,'Candidate Tracker'!$C:$C,"&lt;&gt;WIP",'Candidate Tracker'!$C:$C,"&lt;&gt;Hold",'Candidate Tracker'!$C:$C,"&lt;&gt;Cancelled",'Candidate Tracker'!$C:$C,"&lt;&gt;Closed")/COUNTIFS('Candidate Tracker'!$E:$E,'Positions Tracker'!$B99)),"")</f>
        <v>1</v>
      </c>
      <c r="BD99" s="30" t="str">
        <f t="shared" si="15"/>
        <v>Dec-23</v>
      </c>
      <c r="BE99" s="30" t="str">
        <f t="shared" si="16"/>
        <v>Jan-24</v>
      </c>
      <c r="BF99" s="30" t="str">
        <f t="shared" si="17"/>
        <v>Feb-24</v>
      </c>
      <c r="BG99" s="30" t="str">
        <f t="shared" si="18"/>
        <v>Apr-24</v>
      </c>
    </row>
    <row r="100" spans="1:59">
      <c r="A100" s="30">
        <f t="shared" si="13"/>
        <v>99</v>
      </c>
      <c r="B100" s="30" t="s">
        <v>200</v>
      </c>
      <c r="C100" s="30" t="s">
        <v>51</v>
      </c>
      <c r="D100" s="30" t="s">
        <v>51</v>
      </c>
      <c r="E100" s="30" t="s">
        <v>202</v>
      </c>
      <c r="F100" s="30" t="s">
        <v>3910</v>
      </c>
      <c r="G100" s="30" t="s">
        <v>3</v>
      </c>
      <c r="H100" s="30" t="s">
        <v>118</v>
      </c>
      <c r="I100" s="30" t="s">
        <v>116</v>
      </c>
      <c r="J100" s="30" t="s">
        <v>135</v>
      </c>
      <c r="K100" s="31">
        <v>45068</v>
      </c>
      <c r="L100" s="31">
        <v>45068</v>
      </c>
      <c r="M100" s="31">
        <v>45344</v>
      </c>
      <c r="N100" s="30"/>
      <c r="O100" s="31"/>
      <c r="P100" s="31"/>
      <c r="Q100" s="31"/>
      <c r="R100" s="31"/>
      <c r="S100" s="31"/>
      <c r="T100" s="31"/>
      <c r="U100" s="30"/>
      <c r="V100" s="30"/>
      <c r="W100" s="30"/>
      <c r="X100" s="30" t="s">
        <v>63</v>
      </c>
      <c r="Y100" s="30" t="s">
        <v>65</v>
      </c>
      <c r="Z100" s="30" t="s">
        <v>65</v>
      </c>
      <c r="AA100" s="30" t="s">
        <v>51</v>
      </c>
      <c r="AB100" s="30"/>
      <c r="AC100" s="30"/>
      <c r="AD100" s="30"/>
      <c r="AE100" s="30" t="s">
        <v>4093</v>
      </c>
      <c r="AF100" s="30">
        <v>8983603275</v>
      </c>
      <c r="AG100" s="30" t="s">
        <v>4094</v>
      </c>
      <c r="AH100" s="31" t="s">
        <v>55</v>
      </c>
      <c r="AI100" s="31">
        <v>45398</v>
      </c>
      <c r="AJ100" s="31">
        <v>45420</v>
      </c>
      <c r="AK100" s="30" t="s">
        <v>63</v>
      </c>
      <c r="AL100" s="30">
        <v>2000000</v>
      </c>
      <c r="AM100" s="31">
        <f t="shared" si="21"/>
        <v>45420</v>
      </c>
      <c r="AN100" s="31">
        <v>45420</v>
      </c>
      <c r="AO100" s="31"/>
      <c r="AP100" s="31"/>
      <c r="AQ100" s="31"/>
      <c r="AR100" s="31"/>
      <c r="AS100" s="31">
        <v>45397</v>
      </c>
      <c r="AT100" s="30">
        <f t="shared" ca="1" si="14"/>
        <v>0</v>
      </c>
      <c r="AU100" s="32" t="str">
        <f t="shared" ca="1" si="12"/>
        <v/>
      </c>
      <c r="AV100" s="32" t="str" cm="1">
        <f t="array" aca="1" ref="AV100" ca="1">IFERROR(_xlfn.IFS($AU100="","",$AU100&lt;=15,"0-15",AND($AU100&gt;=16,$AU100&lt;=30),"16-30",AND($AU100&gt;=31,$AU100&lt;=45),"31-45",AND($AU100&gt;=46,$AU100&lt;=60),"46-60",AND($AU100&gt;=61,$AU100&lt;=90),"61-90",AND($AU100&gt;=91),"&gt; 90",AND($AU100&gt;=2000),""),"")</f>
        <v/>
      </c>
      <c r="AW100" s="32" cm="1">
        <f t="array" aca="1" ref="AW100" ca="1">IFERROR(_xlfn.IFS(OR($M100="",$AM100=""),"",OR($C100="Offered",$C100="Joined"),($AM100-$M100)-$AT100),"")</f>
        <v>76</v>
      </c>
      <c r="AX100" s="32" cm="1">
        <f t="array" aca="1" ref="AX100" ca="1">IFERROR(_xlfn.IFS(OR($M100="",$AS100=""),"",$C100="Joined",($AS100-$M100)-$AT100),"")</f>
        <v>53</v>
      </c>
      <c r="AY100" s="30" t="str">
        <f>IFERROR(IF(COUNTIFS('Candidate Tracker'!$E:$E,'Positions Tracker'!$B100,'Candidate Tracker'!$C:$C,"Offer Drop")=0,"",COUNTIFS('Candidate Tracker'!$E:$E,'Positions Tracker'!$B100,'Candidate Tracker'!$C:$C,"Offer Drop")),"")</f>
        <v/>
      </c>
      <c r="AZ10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0" s="34" t="str">
        <f>IFERROR(IF(COUNTIFS('Candidate Tracker'!$E:$E,'Positions Tracker'!$B100,'Candidate Tracker'!$I:$I,"Female")=0,"",COUNTIFS('Candidate Tracker'!$E:$E,'Positions Tracker'!$B100,'Candidate Tracker'!$I:$I,"Female")),"")</f>
        <v/>
      </c>
      <c r="BB100" s="34">
        <f>IFERROR(IF(COUNTIFS('Candidate Tracker'!$E:$E,'Positions Tracker'!$B100,'Candidate Tracker'!$I:$I,"male")=0,"",COUNTIFS('Candidate Tracker'!$E:$E,'Positions Tracker'!$B100,'Candidate Tracker'!$I:$I,"male")),"")</f>
        <v>1</v>
      </c>
      <c r="BC100" s="33">
        <f>IFERROR(IF(COUNTIFS('Candidate Tracker'!$E:$E,'Positions Tracker'!$B100,'Candidate Tracker'!$C:$C,"&lt;&gt;WIP",'Candidate Tracker'!$C:$C,"&lt;&gt;Hold",'Candidate Tracker'!$C:$C,"&lt;&gt;Cancelled",'Candidate Tracker'!$C:$C,"&lt;&gt;Closed")/COUNTIFS('Candidate Tracker'!$E:$E,'Positions Tracker'!$B100)=0,"",COUNTIFS('Candidate Tracker'!$E:$E,'Positions Tracker'!$B100,'Candidate Tracker'!$C:$C,"&lt;&gt;WIP",'Candidate Tracker'!$C:$C,"&lt;&gt;Hold",'Candidate Tracker'!$C:$C,"&lt;&gt;Cancelled",'Candidate Tracker'!$C:$C,"&lt;&gt;Closed")/COUNTIFS('Candidate Tracker'!$E:$E,'Positions Tracker'!$B100)),"")</f>
        <v>1</v>
      </c>
      <c r="BD100" s="30" t="str">
        <f t="shared" si="15"/>
        <v>Feb-24</v>
      </c>
      <c r="BE100" s="30" t="str">
        <f t="shared" si="16"/>
        <v>Apr-24</v>
      </c>
      <c r="BF100" s="30" t="str">
        <f t="shared" si="17"/>
        <v>May-24</v>
      </c>
      <c r="BG100" s="30" t="str">
        <f t="shared" si="18"/>
        <v>Apr-24</v>
      </c>
    </row>
    <row r="101" spans="1:59">
      <c r="A101" s="30">
        <f t="shared" si="13"/>
        <v>100</v>
      </c>
      <c r="B101" s="30" t="s">
        <v>194</v>
      </c>
      <c r="C101" s="30" t="s">
        <v>51</v>
      </c>
      <c r="D101" s="30" t="s">
        <v>51</v>
      </c>
      <c r="E101" s="30" t="s">
        <v>89</v>
      </c>
      <c r="F101" s="30" t="s">
        <v>4089</v>
      </c>
      <c r="G101" s="30" t="s">
        <v>3</v>
      </c>
      <c r="H101" s="30" t="s">
        <v>118</v>
      </c>
      <c r="I101" s="30" t="s">
        <v>116</v>
      </c>
      <c r="J101" s="30" t="s">
        <v>135</v>
      </c>
      <c r="K101" s="31">
        <v>45177</v>
      </c>
      <c r="L101" s="31">
        <v>45177</v>
      </c>
      <c r="M101" s="31">
        <v>45299</v>
      </c>
      <c r="N101" s="30"/>
      <c r="O101" s="31"/>
      <c r="P101" s="31"/>
      <c r="Q101" s="31"/>
      <c r="R101" s="31"/>
      <c r="S101" s="31"/>
      <c r="T101" s="31"/>
      <c r="U101" s="30"/>
      <c r="V101" s="30"/>
      <c r="W101" s="30"/>
      <c r="X101" s="30" t="s">
        <v>63</v>
      </c>
      <c r="Y101" s="30" t="s">
        <v>65</v>
      </c>
      <c r="Z101" s="30" t="s">
        <v>65</v>
      </c>
      <c r="AA101" s="30" t="s">
        <v>51</v>
      </c>
      <c r="AB101" s="30"/>
      <c r="AC101" s="30"/>
      <c r="AD101" s="30"/>
      <c r="AE101" s="30" t="s">
        <v>195</v>
      </c>
      <c r="AF101" s="30" t="s">
        <v>4095</v>
      </c>
      <c r="AG101" s="30" t="s">
        <v>196</v>
      </c>
      <c r="AH101" s="31" t="s">
        <v>55</v>
      </c>
      <c r="AI101" s="31">
        <v>45373</v>
      </c>
      <c r="AJ101" s="31">
        <v>45390</v>
      </c>
      <c r="AK101" s="30" t="s">
        <v>63</v>
      </c>
      <c r="AL101" s="30">
        <v>900000</v>
      </c>
      <c r="AM101" s="31">
        <f t="shared" si="21"/>
        <v>45390</v>
      </c>
      <c r="AN101" s="31">
        <v>45390</v>
      </c>
      <c r="AO101" s="31"/>
      <c r="AP101" s="31"/>
      <c r="AQ101" s="31"/>
      <c r="AR101" s="31"/>
      <c r="AS101" s="31">
        <v>45432</v>
      </c>
      <c r="AT101" s="30">
        <f t="shared" ca="1" si="14"/>
        <v>0</v>
      </c>
      <c r="AU101" s="32" t="str">
        <f t="shared" ca="1" si="12"/>
        <v/>
      </c>
      <c r="AV101" s="32" t="str" cm="1">
        <f t="array" aca="1" ref="AV101" ca="1">IFERROR(_xlfn.IFS($AU101="","",$AU101&lt;=15,"0-15",AND($AU101&gt;=16,$AU101&lt;=30),"16-30",AND($AU101&gt;=31,$AU101&lt;=45),"31-45",AND($AU101&gt;=46,$AU101&lt;=60),"46-60",AND($AU101&gt;=61,$AU101&lt;=90),"61-90",AND($AU101&gt;=91),"&gt; 90",AND($AU101&gt;=2000),""),"")</f>
        <v/>
      </c>
      <c r="AW101" s="32" cm="1">
        <f t="array" aca="1" ref="AW101" ca="1">IFERROR(_xlfn.IFS(OR($M101="",$AM101=""),"",OR($C101="Offered",$C101="Joined"),($AM101-$M101)-$AT101),"")</f>
        <v>91</v>
      </c>
      <c r="AX101" s="32" cm="1">
        <f t="array" aca="1" ref="AX101" ca="1">IFERROR(_xlfn.IFS(OR($M101="",$AS101=""),"",$C101="Joined",($AS101-$M101)-$AT101),"")</f>
        <v>133</v>
      </c>
      <c r="AY101" s="30" t="str">
        <f>IFERROR(IF(COUNTIFS('Candidate Tracker'!$E:$E,'Positions Tracker'!$B101,'Candidate Tracker'!$C:$C,"Offer Drop")=0,"",COUNTIFS('Candidate Tracker'!$E:$E,'Positions Tracker'!$B101,'Candidate Tracker'!$C:$C,"Offer Drop")),"")</f>
        <v/>
      </c>
      <c r="AZ10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1" s="34" t="str">
        <f>IFERROR(IF(COUNTIFS('Candidate Tracker'!$E:$E,'Positions Tracker'!$B101,'Candidate Tracker'!$I:$I,"Female")=0,"",COUNTIFS('Candidate Tracker'!$E:$E,'Positions Tracker'!$B101,'Candidate Tracker'!$I:$I,"Female")),"")</f>
        <v/>
      </c>
      <c r="BB101" s="34">
        <f>IFERROR(IF(COUNTIFS('Candidate Tracker'!$E:$E,'Positions Tracker'!$B101,'Candidate Tracker'!$I:$I,"male")=0,"",COUNTIFS('Candidate Tracker'!$E:$E,'Positions Tracker'!$B101,'Candidate Tracker'!$I:$I,"male")),"")</f>
        <v>1</v>
      </c>
      <c r="BC101" s="33">
        <f>IFERROR(IF(COUNTIFS('Candidate Tracker'!$E:$E,'Positions Tracker'!$B101,'Candidate Tracker'!$C:$C,"&lt;&gt;WIP",'Candidate Tracker'!$C:$C,"&lt;&gt;Hold",'Candidate Tracker'!$C:$C,"&lt;&gt;Cancelled",'Candidate Tracker'!$C:$C,"&lt;&gt;Closed")/COUNTIFS('Candidate Tracker'!$E:$E,'Positions Tracker'!$B101)=0,"",COUNTIFS('Candidate Tracker'!$E:$E,'Positions Tracker'!$B101,'Candidate Tracker'!$C:$C,"&lt;&gt;WIP",'Candidate Tracker'!$C:$C,"&lt;&gt;Hold",'Candidate Tracker'!$C:$C,"&lt;&gt;Cancelled",'Candidate Tracker'!$C:$C,"&lt;&gt;Closed")/COUNTIFS('Candidate Tracker'!$E:$E,'Positions Tracker'!$B101)),"")</f>
        <v>1</v>
      </c>
      <c r="BD101" s="30" t="str">
        <f t="shared" si="15"/>
        <v>Jan-24</v>
      </c>
      <c r="BE101" s="30" t="str">
        <f t="shared" si="16"/>
        <v>Mar-24</v>
      </c>
      <c r="BF101" s="30" t="str">
        <f t="shared" si="17"/>
        <v>Apr-24</v>
      </c>
      <c r="BG101" s="30" t="str">
        <f t="shared" si="18"/>
        <v>May-24</v>
      </c>
    </row>
    <row r="102" spans="1:59">
      <c r="A102" s="30">
        <f t="shared" si="13"/>
        <v>101</v>
      </c>
      <c r="B102" s="30" t="s">
        <v>197</v>
      </c>
      <c r="C102" s="30" t="s">
        <v>51</v>
      </c>
      <c r="D102" s="30" t="s">
        <v>51</v>
      </c>
      <c r="E102" s="30" t="s">
        <v>85</v>
      </c>
      <c r="F102" s="30" t="s">
        <v>4089</v>
      </c>
      <c r="G102" s="30" t="s">
        <v>3</v>
      </c>
      <c r="H102" s="30" t="s">
        <v>66</v>
      </c>
      <c r="I102" s="30" t="s">
        <v>3849</v>
      </c>
      <c r="J102" s="30" t="s">
        <v>135</v>
      </c>
      <c r="K102" s="31">
        <v>45203</v>
      </c>
      <c r="L102" s="31">
        <v>45203</v>
      </c>
      <c r="M102" s="31">
        <v>45295</v>
      </c>
      <c r="N102" s="30"/>
      <c r="O102" s="31"/>
      <c r="P102" s="31"/>
      <c r="Q102" s="31"/>
      <c r="R102" s="31"/>
      <c r="S102" s="31"/>
      <c r="T102" s="31"/>
      <c r="U102" s="30"/>
      <c r="V102" s="30"/>
      <c r="W102" s="30"/>
      <c r="X102" s="30" t="s">
        <v>63</v>
      </c>
      <c r="Y102" s="30" t="s">
        <v>65</v>
      </c>
      <c r="Z102" s="30" t="s">
        <v>65</v>
      </c>
      <c r="AA102" s="30" t="s">
        <v>51</v>
      </c>
      <c r="AB102" s="30"/>
      <c r="AC102" s="30"/>
      <c r="AD102" s="30"/>
      <c r="AE102" s="30" t="s">
        <v>198</v>
      </c>
      <c r="AF102" s="30">
        <v>9720572067</v>
      </c>
      <c r="AG102" s="30" t="s">
        <v>199</v>
      </c>
      <c r="AH102" s="31" t="s">
        <v>55</v>
      </c>
      <c r="AI102" s="31">
        <v>45357</v>
      </c>
      <c r="AJ102" s="31">
        <v>45371</v>
      </c>
      <c r="AK102" s="30" t="s">
        <v>63</v>
      </c>
      <c r="AL102" s="30">
        <v>2400000</v>
      </c>
      <c r="AM102" s="31">
        <f t="shared" si="21"/>
        <v>45371</v>
      </c>
      <c r="AN102" s="31">
        <v>45371</v>
      </c>
      <c r="AO102" s="31"/>
      <c r="AP102" s="31"/>
      <c r="AQ102" s="31"/>
      <c r="AR102" s="31"/>
      <c r="AS102" s="31">
        <v>45433</v>
      </c>
      <c r="AT102" s="30">
        <f t="shared" ca="1" si="14"/>
        <v>0</v>
      </c>
      <c r="AU102" s="32" t="str">
        <f t="shared" ca="1" si="12"/>
        <v/>
      </c>
      <c r="AV102" s="32" t="str" cm="1">
        <f t="array" aca="1" ref="AV102" ca="1">IFERROR(_xlfn.IFS($AU102="","",$AU102&lt;=15,"0-15",AND($AU102&gt;=16,$AU102&lt;=30),"16-30",AND($AU102&gt;=31,$AU102&lt;=45),"31-45",AND($AU102&gt;=46,$AU102&lt;=60),"46-60",AND($AU102&gt;=61,$AU102&lt;=90),"61-90",AND($AU102&gt;=91),"&gt; 90",AND($AU102&gt;=2000),""),"")</f>
        <v/>
      </c>
      <c r="AW102" s="32" cm="1">
        <f t="array" aca="1" ref="AW102" ca="1">IFERROR(_xlfn.IFS(OR($M102="",$AM102=""),"",OR($C102="Offered",$C102="Joined"),($AM102-$M102)-$AT102),"")</f>
        <v>76</v>
      </c>
      <c r="AX102" s="32" cm="1">
        <f t="array" aca="1" ref="AX102" ca="1">IFERROR(_xlfn.IFS(OR($M102="",$AS102=""),"",$C102="Joined",($AS102-$M102)-$AT102),"")</f>
        <v>138</v>
      </c>
      <c r="AY102" s="30" t="str">
        <f>IFERROR(IF(COUNTIFS('Candidate Tracker'!$E:$E,'Positions Tracker'!$B102,'Candidate Tracker'!$C:$C,"Offer Drop")=0,"",COUNTIFS('Candidate Tracker'!$E:$E,'Positions Tracker'!$B102,'Candidate Tracker'!$C:$C,"Offer Drop")),"")</f>
        <v/>
      </c>
      <c r="AZ10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2" s="34">
        <f>IFERROR(IF(COUNTIFS('Candidate Tracker'!$E:$E,'Positions Tracker'!$B102,'Candidate Tracker'!$I:$I,"Female")=0,"",COUNTIFS('Candidate Tracker'!$E:$E,'Positions Tracker'!$B102,'Candidate Tracker'!$I:$I,"Female")),"")</f>
        <v>1</v>
      </c>
      <c r="BB102" s="34" t="str">
        <f>IFERROR(IF(COUNTIFS('Candidate Tracker'!$E:$E,'Positions Tracker'!$B102,'Candidate Tracker'!$I:$I,"male")=0,"",COUNTIFS('Candidate Tracker'!$E:$E,'Positions Tracker'!$B102,'Candidate Tracker'!$I:$I,"male")),"")</f>
        <v/>
      </c>
      <c r="BC102" s="33">
        <f>IFERROR(IF(COUNTIFS('Candidate Tracker'!$E:$E,'Positions Tracker'!$B102,'Candidate Tracker'!$C:$C,"&lt;&gt;WIP",'Candidate Tracker'!$C:$C,"&lt;&gt;Hold",'Candidate Tracker'!$C:$C,"&lt;&gt;Cancelled",'Candidate Tracker'!$C:$C,"&lt;&gt;Closed")/COUNTIFS('Candidate Tracker'!$E:$E,'Positions Tracker'!$B102)=0,"",COUNTIFS('Candidate Tracker'!$E:$E,'Positions Tracker'!$B102,'Candidate Tracker'!$C:$C,"&lt;&gt;WIP",'Candidate Tracker'!$C:$C,"&lt;&gt;Hold",'Candidate Tracker'!$C:$C,"&lt;&gt;Cancelled",'Candidate Tracker'!$C:$C,"&lt;&gt;Closed")/COUNTIFS('Candidate Tracker'!$E:$E,'Positions Tracker'!$B102)),"")</f>
        <v>1</v>
      </c>
      <c r="BD102" s="30" t="str">
        <f t="shared" si="15"/>
        <v>Jan-24</v>
      </c>
      <c r="BE102" s="30" t="str">
        <f t="shared" si="16"/>
        <v>Mar-24</v>
      </c>
      <c r="BF102" s="30" t="str">
        <f t="shared" si="17"/>
        <v>Mar-24</v>
      </c>
      <c r="BG102" s="30" t="str">
        <f t="shared" si="18"/>
        <v>May-24</v>
      </c>
    </row>
    <row r="103" spans="1:59">
      <c r="A103" s="30">
        <f t="shared" si="13"/>
        <v>102</v>
      </c>
      <c r="B103" s="30" t="s">
        <v>186</v>
      </c>
      <c r="C103" s="30" t="s">
        <v>51</v>
      </c>
      <c r="D103" s="30" t="s">
        <v>51</v>
      </c>
      <c r="E103" s="30" t="s">
        <v>189</v>
      </c>
      <c r="F103" s="30" t="s">
        <v>4089</v>
      </c>
      <c r="G103" s="30" t="s">
        <v>3</v>
      </c>
      <c r="H103" s="30" t="s">
        <v>66</v>
      </c>
      <c r="I103" s="30" t="s">
        <v>3849</v>
      </c>
      <c r="J103" s="30" t="s">
        <v>135</v>
      </c>
      <c r="K103" s="31">
        <v>45264</v>
      </c>
      <c r="L103" s="31">
        <v>45264</v>
      </c>
      <c r="M103" s="31">
        <v>45355</v>
      </c>
      <c r="N103" s="30"/>
      <c r="O103" s="31"/>
      <c r="P103" s="31"/>
      <c r="Q103" s="31"/>
      <c r="R103" s="31"/>
      <c r="S103" s="31"/>
      <c r="T103" s="31"/>
      <c r="U103" s="30"/>
      <c r="V103" s="30"/>
      <c r="W103" s="30"/>
      <c r="X103" s="30" t="s">
        <v>63</v>
      </c>
      <c r="Y103" s="30" t="s">
        <v>65</v>
      </c>
      <c r="Z103" s="30" t="s">
        <v>65</v>
      </c>
      <c r="AA103" s="30" t="s">
        <v>51</v>
      </c>
      <c r="AB103" s="30"/>
      <c r="AC103" s="30"/>
      <c r="AD103" s="30"/>
      <c r="AE103" s="30" t="s">
        <v>187</v>
      </c>
      <c r="AF103" s="30">
        <v>8237253283</v>
      </c>
      <c r="AG103" s="30" t="s">
        <v>188</v>
      </c>
      <c r="AH103" s="31" t="s">
        <v>55</v>
      </c>
      <c r="AI103" s="31">
        <v>45421</v>
      </c>
      <c r="AJ103" s="31">
        <v>45428</v>
      </c>
      <c r="AK103" s="30" t="s">
        <v>63</v>
      </c>
      <c r="AL103" s="30">
        <v>2500000</v>
      </c>
      <c r="AM103" s="31">
        <f t="shared" si="21"/>
        <v>45428</v>
      </c>
      <c r="AN103" s="31">
        <v>45428</v>
      </c>
      <c r="AO103" s="31"/>
      <c r="AP103" s="31"/>
      <c r="AQ103" s="31"/>
      <c r="AR103" s="31"/>
      <c r="AS103" s="31">
        <v>45418</v>
      </c>
      <c r="AT103" s="30">
        <f t="shared" ca="1" si="14"/>
        <v>0</v>
      </c>
      <c r="AU103" s="32" t="str">
        <f t="shared" ca="1" si="12"/>
        <v/>
      </c>
      <c r="AV103" s="32" t="str" cm="1">
        <f t="array" aca="1" ref="AV103" ca="1">IFERROR(_xlfn.IFS($AU103="","",$AU103&lt;=15,"0-15",AND($AU103&gt;=16,$AU103&lt;=30),"16-30",AND($AU103&gt;=31,$AU103&lt;=45),"31-45",AND($AU103&gt;=46,$AU103&lt;=60),"46-60",AND($AU103&gt;=61,$AU103&lt;=90),"61-90",AND($AU103&gt;=91),"&gt; 90",AND($AU103&gt;=2000),""),"")</f>
        <v/>
      </c>
      <c r="AW103" s="32" cm="1">
        <f t="array" aca="1" ref="AW103" ca="1">IFERROR(_xlfn.IFS(OR($M103="",$AM103=""),"",OR($C103="Offered",$C103="Joined"),($AM103-$M103)-$AT103),"")</f>
        <v>73</v>
      </c>
      <c r="AX103" s="32" cm="1">
        <f t="array" aca="1" ref="AX103" ca="1">IFERROR(_xlfn.IFS(OR($M103="",$AS103=""),"",$C103="Joined",($AS103-$M103)-$AT103),"")</f>
        <v>63</v>
      </c>
      <c r="AY103" s="30" t="str">
        <f>IFERROR(IF(COUNTIFS('Candidate Tracker'!$E:$E,'Positions Tracker'!$B103,'Candidate Tracker'!$C:$C,"Offer Drop")=0,"",COUNTIFS('Candidate Tracker'!$E:$E,'Positions Tracker'!$B103,'Candidate Tracker'!$C:$C,"Offer Drop")),"")</f>
        <v/>
      </c>
      <c r="AZ10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3" s="34" t="str">
        <f>IFERROR(IF(COUNTIFS('Candidate Tracker'!$E:$E,'Positions Tracker'!$B103,'Candidate Tracker'!$I:$I,"Female")=0,"",COUNTIFS('Candidate Tracker'!$E:$E,'Positions Tracker'!$B103,'Candidate Tracker'!$I:$I,"Female")),"")</f>
        <v/>
      </c>
      <c r="BB103" s="34">
        <f>IFERROR(IF(COUNTIFS('Candidate Tracker'!$E:$E,'Positions Tracker'!$B103,'Candidate Tracker'!$I:$I,"male")=0,"",COUNTIFS('Candidate Tracker'!$E:$E,'Positions Tracker'!$B103,'Candidate Tracker'!$I:$I,"male")),"")</f>
        <v>1</v>
      </c>
      <c r="BC103" s="33">
        <f>IFERROR(IF(COUNTIFS('Candidate Tracker'!$E:$E,'Positions Tracker'!$B103,'Candidate Tracker'!$C:$C,"&lt;&gt;WIP",'Candidate Tracker'!$C:$C,"&lt;&gt;Hold",'Candidate Tracker'!$C:$C,"&lt;&gt;Cancelled",'Candidate Tracker'!$C:$C,"&lt;&gt;Closed")/COUNTIFS('Candidate Tracker'!$E:$E,'Positions Tracker'!$B103)=0,"",COUNTIFS('Candidate Tracker'!$E:$E,'Positions Tracker'!$B103,'Candidate Tracker'!$C:$C,"&lt;&gt;WIP",'Candidate Tracker'!$C:$C,"&lt;&gt;Hold",'Candidate Tracker'!$C:$C,"&lt;&gt;Cancelled",'Candidate Tracker'!$C:$C,"&lt;&gt;Closed")/COUNTIFS('Candidate Tracker'!$E:$E,'Positions Tracker'!$B103)),"")</f>
        <v>1</v>
      </c>
      <c r="BD103" s="30" t="str">
        <f t="shared" si="15"/>
        <v>Mar-24</v>
      </c>
      <c r="BE103" s="30" t="str">
        <f t="shared" si="16"/>
        <v>May-24</v>
      </c>
      <c r="BF103" s="30" t="str">
        <f t="shared" si="17"/>
        <v>May-24</v>
      </c>
      <c r="BG103" s="30" t="str">
        <f t="shared" si="18"/>
        <v>May-24</v>
      </c>
    </row>
    <row r="104" spans="1:59">
      <c r="A104" s="30">
        <f t="shared" si="13"/>
        <v>103</v>
      </c>
      <c r="B104" s="30" t="s">
        <v>316</v>
      </c>
      <c r="C104" s="30" t="s">
        <v>51</v>
      </c>
      <c r="D104" s="30" t="s">
        <v>51</v>
      </c>
      <c r="E104" s="30" t="s">
        <v>319</v>
      </c>
      <c r="F104" s="30" t="s">
        <v>2959</v>
      </c>
      <c r="G104" s="30" t="s">
        <v>3</v>
      </c>
      <c r="H104" s="30" t="s">
        <v>118</v>
      </c>
      <c r="I104" s="30" t="s">
        <v>116</v>
      </c>
      <c r="J104" s="30" t="s">
        <v>135</v>
      </c>
      <c r="K104" s="31">
        <v>45226</v>
      </c>
      <c r="L104" s="31">
        <v>45226</v>
      </c>
      <c r="M104" s="31">
        <v>45349</v>
      </c>
      <c r="N104" s="30"/>
      <c r="O104" s="31"/>
      <c r="P104" s="31"/>
      <c r="Q104" s="31"/>
      <c r="R104" s="31"/>
      <c r="S104" s="31"/>
      <c r="T104" s="31"/>
      <c r="U104" s="30"/>
      <c r="V104" s="30"/>
      <c r="W104" s="30"/>
      <c r="X104" s="30" t="s">
        <v>63</v>
      </c>
      <c r="Y104" s="30" t="s">
        <v>65</v>
      </c>
      <c r="Z104" s="30" t="s">
        <v>65</v>
      </c>
      <c r="AA104" s="30" t="s">
        <v>51</v>
      </c>
      <c r="AB104" s="30"/>
      <c r="AC104" s="30"/>
      <c r="AD104" s="30"/>
      <c r="AE104" s="30" t="s">
        <v>317</v>
      </c>
      <c r="AF104" s="30">
        <v>9813929007</v>
      </c>
      <c r="AG104" s="30"/>
      <c r="AH104" s="31" t="s">
        <v>55</v>
      </c>
      <c r="AI104" s="31">
        <v>45398</v>
      </c>
      <c r="AJ104" s="31">
        <v>45384</v>
      </c>
      <c r="AK104" s="30" t="s">
        <v>63</v>
      </c>
      <c r="AL104" s="30">
        <v>800000</v>
      </c>
      <c r="AM104" s="31">
        <v>45420</v>
      </c>
      <c r="AN104" s="31">
        <v>45384</v>
      </c>
      <c r="AO104" s="31"/>
      <c r="AP104" s="31"/>
      <c r="AQ104" s="31"/>
      <c r="AR104" s="31"/>
      <c r="AS104" s="31">
        <v>45427</v>
      </c>
      <c r="AT104" s="30">
        <f t="shared" ca="1" si="14"/>
        <v>0</v>
      </c>
      <c r="AU104" s="32" t="str">
        <f t="shared" ca="1" si="12"/>
        <v/>
      </c>
      <c r="AV104" s="32" t="str" cm="1">
        <f t="array" aca="1" ref="AV104" ca="1">IFERROR(_xlfn.IFS($AU104="","",$AU104&lt;=15,"0-15",AND($AU104&gt;=16,$AU104&lt;=30),"16-30",AND($AU104&gt;=31,$AU104&lt;=45),"31-45",AND($AU104&gt;=46,$AU104&lt;=60),"46-60",AND($AU104&gt;=61,$AU104&lt;=90),"61-90",AND($AU104&gt;=91),"&gt; 90",AND($AU104&gt;=2000),""),"")</f>
        <v/>
      </c>
      <c r="AW104" s="32" cm="1">
        <f t="array" aca="1" ref="AW104" ca="1">IFERROR(_xlfn.IFS(OR($M104="",$AM104=""),"",OR($C104="Offered",$C104="Joined"),($AM104-$M104)-$AT104),"")</f>
        <v>71</v>
      </c>
      <c r="AX104" s="32" cm="1">
        <f t="array" aca="1" ref="AX104" ca="1">IFERROR(_xlfn.IFS(OR($M104="",$AS104=""),"",$C104="Joined",($AS104-$M104)-$AT104),"")</f>
        <v>78</v>
      </c>
      <c r="AY104" s="30" t="str">
        <f>IFERROR(IF(COUNTIFS('Candidate Tracker'!$E:$E,'Positions Tracker'!$B104,'Candidate Tracker'!$C:$C,"Offer Drop")=0,"",COUNTIFS('Candidate Tracker'!$E:$E,'Positions Tracker'!$B104,'Candidate Tracker'!$C:$C,"Offer Drop")),"")</f>
        <v/>
      </c>
      <c r="AZ10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4" s="34" t="str">
        <f>IFERROR(IF(COUNTIFS('Candidate Tracker'!$E:$E,'Positions Tracker'!$B104,'Candidate Tracker'!$I:$I,"Female")=0,"",COUNTIFS('Candidate Tracker'!$E:$E,'Positions Tracker'!$B104,'Candidate Tracker'!$I:$I,"Female")),"")</f>
        <v/>
      </c>
      <c r="BB104" s="34">
        <f>IFERROR(IF(COUNTIFS('Candidate Tracker'!$E:$E,'Positions Tracker'!$B104,'Candidate Tracker'!$I:$I,"male")=0,"",COUNTIFS('Candidate Tracker'!$E:$E,'Positions Tracker'!$B104,'Candidate Tracker'!$I:$I,"male")),"")</f>
        <v>1</v>
      </c>
      <c r="BC104" s="33">
        <f>IFERROR(IF(COUNTIFS('Candidate Tracker'!$E:$E,'Positions Tracker'!$B104,'Candidate Tracker'!$C:$C,"&lt;&gt;WIP",'Candidate Tracker'!$C:$C,"&lt;&gt;Hold",'Candidate Tracker'!$C:$C,"&lt;&gt;Cancelled",'Candidate Tracker'!$C:$C,"&lt;&gt;Closed")/COUNTIFS('Candidate Tracker'!$E:$E,'Positions Tracker'!$B104)=0,"",COUNTIFS('Candidate Tracker'!$E:$E,'Positions Tracker'!$B104,'Candidate Tracker'!$C:$C,"&lt;&gt;WIP",'Candidate Tracker'!$C:$C,"&lt;&gt;Hold",'Candidate Tracker'!$C:$C,"&lt;&gt;Cancelled",'Candidate Tracker'!$C:$C,"&lt;&gt;Closed")/COUNTIFS('Candidate Tracker'!$E:$E,'Positions Tracker'!$B104)),"")</f>
        <v>1</v>
      </c>
      <c r="BD104" s="30" t="str">
        <f t="shared" si="15"/>
        <v>Feb-24</v>
      </c>
      <c r="BE104" s="30" t="str">
        <f t="shared" si="16"/>
        <v>Apr-24</v>
      </c>
      <c r="BF104" s="30" t="str">
        <f t="shared" si="17"/>
        <v>May-24</v>
      </c>
      <c r="BG104" s="30" t="str">
        <f t="shared" si="18"/>
        <v>May-24</v>
      </c>
    </row>
    <row r="105" spans="1:59">
      <c r="A105" s="30">
        <f t="shared" si="13"/>
        <v>104</v>
      </c>
      <c r="B105" s="30" t="s">
        <v>285</v>
      </c>
      <c r="C105" s="30" t="s">
        <v>51</v>
      </c>
      <c r="D105" s="30" t="s">
        <v>51</v>
      </c>
      <c r="E105" s="30" t="s">
        <v>288</v>
      </c>
      <c r="F105" s="30" t="s">
        <v>4088</v>
      </c>
      <c r="G105" s="30" t="s">
        <v>3</v>
      </c>
      <c r="H105" s="30" t="s">
        <v>76</v>
      </c>
      <c r="I105" s="30" t="s">
        <v>190</v>
      </c>
      <c r="J105" s="30" t="s">
        <v>135</v>
      </c>
      <c r="K105" s="31">
        <v>45282</v>
      </c>
      <c r="L105" s="31">
        <v>45282</v>
      </c>
      <c r="M105" s="31">
        <v>45313</v>
      </c>
      <c r="N105" s="30"/>
      <c r="O105" s="31"/>
      <c r="P105" s="31"/>
      <c r="Q105" s="31"/>
      <c r="R105" s="31"/>
      <c r="S105" s="31"/>
      <c r="T105" s="31"/>
      <c r="U105" s="30"/>
      <c r="V105" s="30"/>
      <c r="W105" s="30"/>
      <c r="X105" s="30" t="s">
        <v>63</v>
      </c>
      <c r="Y105" s="30" t="s">
        <v>65</v>
      </c>
      <c r="Z105" s="30" t="s">
        <v>65</v>
      </c>
      <c r="AA105" s="30" t="s">
        <v>51</v>
      </c>
      <c r="AB105" s="30"/>
      <c r="AC105" s="30"/>
      <c r="AD105" s="30"/>
      <c r="AE105" s="30" t="s">
        <v>286</v>
      </c>
      <c r="AF105" s="30">
        <v>9510446790</v>
      </c>
      <c r="AG105" s="30" t="s">
        <v>287</v>
      </c>
      <c r="AH105" s="31" t="s">
        <v>55</v>
      </c>
      <c r="AI105" s="31">
        <v>45373</v>
      </c>
      <c r="AJ105" s="31">
        <v>45390</v>
      </c>
      <c r="AK105" s="30" t="s">
        <v>63</v>
      </c>
      <c r="AL105" s="30">
        <v>2575000</v>
      </c>
      <c r="AM105" s="31">
        <v>45390</v>
      </c>
      <c r="AN105" s="31">
        <v>45390</v>
      </c>
      <c r="AO105" s="31"/>
      <c r="AP105" s="31"/>
      <c r="AQ105" s="31"/>
      <c r="AR105" s="31"/>
      <c r="AS105" s="31">
        <v>45432</v>
      </c>
      <c r="AT105" s="30">
        <f t="shared" ca="1" si="14"/>
        <v>0</v>
      </c>
      <c r="AU105" s="32" t="str">
        <f t="shared" ca="1" si="12"/>
        <v/>
      </c>
      <c r="AV105" s="32" t="str" cm="1">
        <f t="array" aca="1" ref="AV105" ca="1">IFERROR(_xlfn.IFS($AU105="","",$AU105&lt;=15,"0-15",AND($AU105&gt;=16,$AU105&lt;=30),"16-30",AND($AU105&gt;=31,$AU105&lt;=45),"31-45",AND($AU105&gt;=46,$AU105&lt;=60),"46-60",AND($AU105&gt;=61,$AU105&lt;=90),"61-90",AND($AU105&gt;=91),"&gt; 90",AND($AU105&gt;=2000),""),"")</f>
        <v/>
      </c>
      <c r="AW105" s="32" cm="1">
        <f t="array" aca="1" ref="AW105" ca="1">IFERROR(_xlfn.IFS(OR($M105="",$AM105=""),"",OR($C105="Offered",$C105="Joined"),($AM105-$M105)-$AT105),"")</f>
        <v>77</v>
      </c>
      <c r="AX105" s="32" cm="1">
        <f t="array" aca="1" ref="AX105" ca="1">IFERROR(_xlfn.IFS(OR($M105="",$AS105=""),"",$C105="Joined",($AS105-$M105)-$AT105),"")</f>
        <v>119</v>
      </c>
      <c r="AY105" s="30" t="str">
        <f>IFERROR(IF(COUNTIFS('Candidate Tracker'!$E:$E,'Positions Tracker'!$B105,'Candidate Tracker'!$C:$C,"Offer Drop")=0,"",COUNTIFS('Candidate Tracker'!$E:$E,'Positions Tracker'!$B105,'Candidate Tracker'!$C:$C,"Offer Drop")),"")</f>
        <v/>
      </c>
      <c r="AZ10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5" s="34" t="str">
        <f>IFERROR(IF(COUNTIFS('Candidate Tracker'!$E:$E,'Positions Tracker'!$B105,'Candidate Tracker'!$I:$I,"Female")=0,"",COUNTIFS('Candidate Tracker'!$E:$E,'Positions Tracker'!$B105,'Candidate Tracker'!$I:$I,"Female")),"")</f>
        <v/>
      </c>
      <c r="BB105" s="34">
        <f>IFERROR(IF(COUNTIFS('Candidate Tracker'!$E:$E,'Positions Tracker'!$B105,'Candidate Tracker'!$I:$I,"male")=0,"",COUNTIFS('Candidate Tracker'!$E:$E,'Positions Tracker'!$B105,'Candidate Tracker'!$I:$I,"male")),"")</f>
        <v>1</v>
      </c>
      <c r="BC105" s="33">
        <f>IFERROR(IF(COUNTIFS('Candidate Tracker'!$E:$E,'Positions Tracker'!$B105,'Candidate Tracker'!$C:$C,"&lt;&gt;WIP",'Candidate Tracker'!$C:$C,"&lt;&gt;Hold",'Candidate Tracker'!$C:$C,"&lt;&gt;Cancelled",'Candidate Tracker'!$C:$C,"&lt;&gt;Closed")/COUNTIFS('Candidate Tracker'!$E:$E,'Positions Tracker'!$B105)=0,"",COUNTIFS('Candidate Tracker'!$E:$E,'Positions Tracker'!$B105,'Candidate Tracker'!$C:$C,"&lt;&gt;WIP",'Candidate Tracker'!$C:$C,"&lt;&gt;Hold",'Candidate Tracker'!$C:$C,"&lt;&gt;Cancelled",'Candidate Tracker'!$C:$C,"&lt;&gt;Closed")/COUNTIFS('Candidate Tracker'!$E:$E,'Positions Tracker'!$B105)),"")</f>
        <v>1</v>
      </c>
      <c r="BD105" s="30" t="str">
        <f t="shared" si="15"/>
        <v>Jan-24</v>
      </c>
      <c r="BE105" s="30" t="str">
        <f t="shared" si="16"/>
        <v>Mar-24</v>
      </c>
      <c r="BF105" s="30" t="str">
        <f t="shared" si="17"/>
        <v>Apr-24</v>
      </c>
      <c r="BG105" s="30" t="str">
        <f t="shared" si="18"/>
        <v>May-24</v>
      </c>
    </row>
    <row r="106" spans="1:59">
      <c r="A106" s="30">
        <f t="shared" si="13"/>
        <v>105</v>
      </c>
      <c r="B106" s="30" t="s">
        <v>204</v>
      </c>
      <c r="C106" s="30" t="s">
        <v>51</v>
      </c>
      <c r="D106" s="30" t="s">
        <v>51</v>
      </c>
      <c r="E106" s="30" t="s">
        <v>207</v>
      </c>
      <c r="F106" s="30" t="s">
        <v>4096</v>
      </c>
      <c r="G106" s="30" t="s">
        <v>3</v>
      </c>
      <c r="H106" s="30" t="s">
        <v>66</v>
      </c>
      <c r="I106" s="30" t="s">
        <v>3849</v>
      </c>
      <c r="J106" s="30" t="s">
        <v>135</v>
      </c>
      <c r="K106" s="31">
        <v>45442</v>
      </c>
      <c r="L106" s="31">
        <v>45442</v>
      </c>
      <c r="M106" s="31">
        <v>45442</v>
      </c>
      <c r="N106" s="30"/>
      <c r="O106" s="31"/>
      <c r="P106" s="31"/>
      <c r="Q106" s="31"/>
      <c r="R106" s="31"/>
      <c r="S106" s="31"/>
      <c r="T106" s="31"/>
      <c r="U106" s="30"/>
      <c r="V106" s="30"/>
      <c r="W106" s="30"/>
      <c r="X106" s="30" t="s">
        <v>63</v>
      </c>
      <c r="Y106" s="30" t="s">
        <v>65</v>
      </c>
      <c r="Z106" s="30" t="s">
        <v>65</v>
      </c>
      <c r="AA106" s="30" t="s">
        <v>51</v>
      </c>
      <c r="AB106" s="30"/>
      <c r="AC106" s="30"/>
      <c r="AD106" s="30"/>
      <c r="AE106" s="30" t="s">
        <v>205</v>
      </c>
      <c r="AF106" s="30">
        <v>9096014822</v>
      </c>
      <c r="AG106" s="30" t="s">
        <v>206</v>
      </c>
      <c r="AH106" s="31" t="s">
        <v>55</v>
      </c>
      <c r="AI106" s="31">
        <v>45361</v>
      </c>
      <c r="AJ106" s="31">
        <v>45384</v>
      </c>
      <c r="AK106" s="30" t="s">
        <v>63</v>
      </c>
      <c r="AL106" s="30">
        <v>1000000</v>
      </c>
      <c r="AM106" s="31">
        <f>AN106</f>
        <v>45384</v>
      </c>
      <c r="AN106" s="31">
        <v>45384</v>
      </c>
      <c r="AO106" s="31"/>
      <c r="AP106" s="31"/>
      <c r="AQ106" s="31"/>
      <c r="AR106" s="31"/>
      <c r="AS106" s="31">
        <v>45433</v>
      </c>
      <c r="AT106" s="30">
        <f t="shared" ca="1" si="14"/>
        <v>0</v>
      </c>
      <c r="AU106" s="32" t="str">
        <f t="shared" ca="1" si="12"/>
        <v/>
      </c>
      <c r="AV106" s="32" t="str" cm="1">
        <f t="array" aca="1" ref="AV106" ca="1">IFERROR(_xlfn.IFS($AU106="","",$AU106&lt;=15,"0-15",AND($AU106&gt;=16,$AU106&lt;=30),"16-30",AND($AU106&gt;=31,$AU106&lt;=45),"31-45",AND($AU106&gt;=46,$AU106&lt;=60),"46-60",AND($AU106&gt;=61,$AU106&lt;=90),"61-90",AND($AU106&gt;=91),"&gt; 90",AND($AU106&gt;=2000),""),"")</f>
        <v/>
      </c>
      <c r="AW106" s="32" cm="1">
        <f t="array" aca="1" ref="AW106" ca="1">IFERROR(_xlfn.IFS(OR($M106="",$AM106=""),"",OR($C106="Offered",$C106="Joined"),($AM106-$M106)-$AT106),"")</f>
        <v>-58</v>
      </c>
      <c r="AX106" s="32" cm="1">
        <f t="array" aca="1" ref="AX106" ca="1">IFERROR(_xlfn.IFS(OR($M106="",$AS106=""),"",$C106="Joined",($AS106-$M106)-$AT106),"")</f>
        <v>-9</v>
      </c>
      <c r="AY106" s="30" t="str">
        <f>IFERROR(IF(COUNTIFS('Candidate Tracker'!$E:$E,'Positions Tracker'!$B106,'Candidate Tracker'!$C:$C,"Offer Drop")=0,"",COUNTIFS('Candidate Tracker'!$E:$E,'Positions Tracker'!$B106,'Candidate Tracker'!$C:$C,"Offer Drop")),"")</f>
        <v/>
      </c>
      <c r="AZ10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6" s="34" t="str">
        <f>IFERROR(IF(COUNTIFS('Candidate Tracker'!$E:$E,'Positions Tracker'!$B106,'Candidate Tracker'!$I:$I,"Female")=0,"",COUNTIFS('Candidate Tracker'!$E:$E,'Positions Tracker'!$B106,'Candidate Tracker'!$I:$I,"Female")),"")</f>
        <v/>
      </c>
      <c r="BB106" s="34">
        <f>IFERROR(IF(COUNTIFS('Candidate Tracker'!$E:$E,'Positions Tracker'!$B106,'Candidate Tracker'!$I:$I,"male")=0,"",COUNTIFS('Candidate Tracker'!$E:$E,'Positions Tracker'!$B106,'Candidate Tracker'!$I:$I,"male")),"")</f>
        <v>1</v>
      </c>
      <c r="BC106" s="33">
        <f>IFERROR(IF(COUNTIFS('Candidate Tracker'!$E:$E,'Positions Tracker'!$B106,'Candidate Tracker'!$C:$C,"&lt;&gt;WIP",'Candidate Tracker'!$C:$C,"&lt;&gt;Hold",'Candidate Tracker'!$C:$C,"&lt;&gt;Cancelled",'Candidate Tracker'!$C:$C,"&lt;&gt;Closed")/COUNTIFS('Candidate Tracker'!$E:$E,'Positions Tracker'!$B106)=0,"",COUNTIFS('Candidate Tracker'!$E:$E,'Positions Tracker'!$B106,'Candidate Tracker'!$C:$C,"&lt;&gt;WIP",'Candidate Tracker'!$C:$C,"&lt;&gt;Hold",'Candidate Tracker'!$C:$C,"&lt;&gt;Cancelled",'Candidate Tracker'!$C:$C,"&lt;&gt;Closed")/COUNTIFS('Candidate Tracker'!$E:$E,'Positions Tracker'!$B106)),"")</f>
        <v>1</v>
      </c>
      <c r="BD106" s="30" t="str">
        <f t="shared" si="15"/>
        <v>May-24</v>
      </c>
      <c r="BE106" s="30" t="str">
        <f t="shared" si="16"/>
        <v>Mar-24</v>
      </c>
      <c r="BF106" s="30" t="str">
        <f t="shared" si="17"/>
        <v>Apr-24</v>
      </c>
      <c r="BG106" s="30" t="str">
        <f t="shared" si="18"/>
        <v>May-24</v>
      </c>
    </row>
    <row r="107" spans="1:59">
      <c r="A107" s="30">
        <f t="shared" si="13"/>
        <v>106</v>
      </c>
      <c r="B107" s="30" t="s">
        <v>352</v>
      </c>
      <c r="C107" s="30" t="s">
        <v>51</v>
      </c>
      <c r="D107" s="30" t="s">
        <v>51</v>
      </c>
      <c r="E107" s="30" t="s">
        <v>355</v>
      </c>
      <c r="F107" s="30" t="s">
        <v>4089</v>
      </c>
      <c r="G107" s="30" t="s">
        <v>3</v>
      </c>
      <c r="H107" s="30" t="s">
        <v>66</v>
      </c>
      <c r="I107" s="30" t="s">
        <v>3849</v>
      </c>
      <c r="J107" s="30" t="s">
        <v>135</v>
      </c>
      <c r="K107" s="31">
        <v>45322</v>
      </c>
      <c r="L107" s="31">
        <v>45322</v>
      </c>
      <c r="M107" s="31">
        <v>45322</v>
      </c>
      <c r="N107" s="30"/>
      <c r="O107" s="31"/>
      <c r="P107" s="31"/>
      <c r="Q107" s="31"/>
      <c r="R107" s="31"/>
      <c r="S107" s="31"/>
      <c r="T107" s="31"/>
      <c r="U107" s="30"/>
      <c r="V107" s="30"/>
      <c r="W107" s="30"/>
      <c r="X107" s="30" t="s">
        <v>63</v>
      </c>
      <c r="Y107" s="30" t="s">
        <v>65</v>
      </c>
      <c r="Z107" s="30" t="s">
        <v>65</v>
      </c>
      <c r="AA107" s="30" t="s">
        <v>51</v>
      </c>
      <c r="AB107" s="30"/>
      <c r="AC107" s="30"/>
      <c r="AD107" s="30"/>
      <c r="AE107" s="30" t="s">
        <v>353</v>
      </c>
      <c r="AF107" s="30">
        <v>9657208855</v>
      </c>
      <c r="AG107" s="30" t="s">
        <v>354</v>
      </c>
      <c r="AH107" s="31" t="s">
        <v>55</v>
      </c>
      <c r="AI107" s="31">
        <v>45421</v>
      </c>
      <c r="AJ107" s="31">
        <v>45454</v>
      </c>
      <c r="AK107" s="30" t="s">
        <v>63</v>
      </c>
      <c r="AL107" s="30">
        <v>757000</v>
      </c>
      <c r="AM107" s="31">
        <v>45428</v>
      </c>
      <c r="AN107" s="31">
        <v>45454</v>
      </c>
      <c r="AO107" s="31"/>
      <c r="AP107" s="31"/>
      <c r="AQ107" s="31"/>
      <c r="AR107" s="31"/>
      <c r="AS107" s="31">
        <v>45433</v>
      </c>
      <c r="AT107" s="30">
        <f t="shared" ca="1" si="14"/>
        <v>0</v>
      </c>
      <c r="AU107" s="32" t="str">
        <f t="shared" ca="1" si="12"/>
        <v/>
      </c>
      <c r="AV107" s="32" t="str" cm="1">
        <f t="array" aca="1" ref="AV107" ca="1">IFERROR(_xlfn.IFS($AU107="","",$AU107&lt;=15,"0-15",AND($AU107&gt;=16,$AU107&lt;=30),"16-30",AND($AU107&gt;=31,$AU107&lt;=45),"31-45",AND($AU107&gt;=46,$AU107&lt;=60),"46-60",AND($AU107&gt;=61,$AU107&lt;=90),"61-90",AND($AU107&gt;=91),"&gt; 90",AND($AU107&gt;=2000),""),"")</f>
        <v/>
      </c>
      <c r="AW107" s="32" cm="1">
        <f t="array" aca="1" ref="AW107" ca="1">IFERROR(_xlfn.IFS(OR($M107="",$AM107=""),"",OR($C107="Offered",$C107="Joined"),($AM107-$M107)-$AT107),"")</f>
        <v>106</v>
      </c>
      <c r="AX107" s="32" cm="1">
        <f t="array" aca="1" ref="AX107" ca="1">IFERROR(_xlfn.IFS(OR($M107="",$AS107=""),"",$C107="Joined",($AS107-$M107)-$AT107),"")</f>
        <v>111</v>
      </c>
      <c r="AY107" s="30" t="str">
        <f>IFERROR(IF(COUNTIFS('Candidate Tracker'!$E:$E,'Positions Tracker'!$B107,'Candidate Tracker'!$C:$C,"Offer Drop")=0,"",COUNTIFS('Candidate Tracker'!$E:$E,'Positions Tracker'!$B107,'Candidate Tracker'!$C:$C,"Offer Drop")),"")</f>
        <v/>
      </c>
      <c r="AZ10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7" s="34" t="str">
        <f>IFERROR(IF(COUNTIFS('Candidate Tracker'!$E:$E,'Positions Tracker'!$B107,'Candidate Tracker'!$I:$I,"Female")=0,"",COUNTIFS('Candidate Tracker'!$E:$E,'Positions Tracker'!$B107,'Candidate Tracker'!$I:$I,"Female")),"")</f>
        <v/>
      </c>
      <c r="BB107" s="34">
        <f>IFERROR(IF(COUNTIFS('Candidate Tracker'!$E:$E,'Positions Tracker'!$B107,'Candidate Tracker'!$I:$I,"male")=0,"",COUNTIFS('Candidate Tracker'!$E:$E,'Positions Tracker'!$B107,'Candidate Tracker'!$I:$I,"male")),"")</f>
        <v>1</v>
      </c>
      <c r="BC107" s="33">
        <f>IFERROR(IF(COUNTIFS('Candidate Tracker'!$E:$E,'Positions Tracker'!$B107,'Candidate Tracker'!$C:$C,"&lt;&gt;WIP",'Candidate Tracker'!$C:$C,"&lt;&gt;Hold",'Candidate Tracker'!$C:$C,"&lt;&gt;Cancelled",'Candidate Tracker'!$C:$C,"&lt;&gt;Closed")/COUNTIFS('Candidate Tracker'!$E:$E,'Positions Tracker'!$B107)=0,"",COUNTIFS('Candidate Tracker'!$E:$E,'Positions Tracker'!$B107,'Candidate Tracker'!$C:$C,"&lt;&gt;WIP",'Candidate Tracker'!$C:$C,"&lt;&gt;Hold",'Candidate Tracker'!$C:$C,"&lt;&gt;Cancelled",'Candidate Tracker'!$C:$C,"&lt;&gt;Closed")/COUNTIFS('Candidate Tracker'!$E:$E,'Positions Tracker'!$B107)),"")</f>
        <v>1</v>
      </c>
      <c r="BD107" s="30" t="str">
        <f t="shared" si="15"/>
        <v>Jan-24</v>
      </c>
      <c r="BE107" s="30" t="str">
        <f t="shared" si="16"/>
        <v>May-24</v>
      </c>
      <c r="BF107" s="30" t="str">
        <f t="shared" si="17"/>
        <v>May-24</v>
      </c>
      <c r="BG107" s="30" t="str">
        <f t="shared" si="18"/>
        <v>May-24</v>
      </c>
    </row>
    <row r="108" spans="1:59">
      <c r="A108" s="30">
        <f t="shared" si="13"/>
        <v>107</v>
      </c>
      <c r="B108" s="30" t="s">
        <v>271</v>
      </c>
      <c r="C108" s="30" t="s">
        <v>51</v>
      </c>
      <c r="D108" s="30" t="s">
        <v>51</v>
      </c>
      <c r="E108" s="30" t="s">
        <v>274</v>
      </c>
      <c r="F108" s="30" t="s">
        <v>4088</v>
      </c>
      <c r="G108" s="30" t="s">
        <v>3</v>
      </c>
      <c r="H108" s="30" t="s">
        <v>76</v>
      </c>
      <c r="I108" s="30" t="s">
        <v>243</v>
      </c>
      <c r="J108" s="30" t="s">
        <v>135</v>
      </c>
      <c r="K108" s="31">
        <v>45335</v>
      </c>
      <c r="L108" s="31">
        <v>45335</v>
      </c>
      <c r="M108" s="31">
        <v>45335</v>
      </c>
      <c r="N108" s="30"/>
      <c r="O108" s="31"/>
      <c r="P108" s="31"/>
      <c r="Q108" s="31"/>
      <c r="R108" s="31"/>
      <c r="S108" s="31"/>
      <c r="T108" s="31"/>
      <c r="U108" s="30"/>
      <c r="V108" s="30"/>
      <c r="W108" s="30"/>
      <c r="X108" s="30" t="s">
        <v>63</v>
      </c>
      <c r="Y108" s="30" t="s">
        <v>65</v>
      </c>
      <c r="Z108" s="30" t="s">
        <v>65</v>
      </c>
      <c r="AA108" s="30" t="s">
        <v>51</v>
      </c>
      <c r="AB108" s="30"/>
      <c r="AC108" s="30"/>
      <c r="AD108" s="30"/>
      <c r="AE108" s="30" t="s">
        <v>272</v>
      </c>
      <c r="AF108" s="30">
        <v>9374432607</v>
      </c>
      <c r="AG108" s="30" t="s">
        <v>273</v>
      </c>
      <c r="AH108" s="31" t="s">
        <v>55</v>
      </c>
      <c r="AI108" s="31">
        <v>45436</v>
      </c>
      <c r="AJ108" s="31">
        <v>45455</v>
      </c>
      <c r="AK108" s="30" t="s">
        <v>63</v>
      </c>
      <c r="AL108" s="30">
        <v>2425000</v>
      </c>
      <c r="AM108" s="31">
        <v>45384</v>
      </c>
      <c r="AN108" s="31">
        <v>45455</v>
      </c>
      <c r="AO108" s="31"/>
      <c r="AP108" s="31"/>
      <c r="AQ108" s="31"/>
      <c r="AR108" s="31"/>
      <c r="AS108" s="31">
        <v>45453</v>
      </c>
      <c r="AT108" s="30">
        <f t="shared" ca="1" si="14"/>
        <v>0</v>
      </c>
      <c r="AU108" s="32" t="str">
        <f t="shared" ca="1" si="12"/>
        <v/>
      </c>
      <c r="AV108" s="32" t="str" cm="1">
        <f t="array" aca="1" ref="AV108" ca="1">IFERROR(_xlfn.IFS($AU108="","",$AU108&lt;=15,"0-15",AND($AU108&gt;=16,$AU108&lt;=30),"16-30",AND($AU108&gt;=31,$AU108&lt;=45),"31-45",AND($AU108&gt;=46,$AU108&lt;=60),"46-60",AND($AU108&gt;=61,$AU108&lt;=90),"61-90",AND($AU108&gt;=91),"&gt; 90",AND($AU108&gt;=2000),""),"")</f>
        <v/>
      </c>
      <c r="AW108" s="32" cm="1">
        <f t="array" aca="1" ref="AW108" ca="1">IFERROR(_xlfn.IFS(OR($M108="",$AM108=""),"",OR($C108="Offered",$C108="Joined"),($AM108-$M108)-$AT108),"")</f>
        <v>49</v>
      </c>
      <c r="AX108" s="32" cm="1">
        <f t="array" aca="1" ref="AX108" ca="1">IFERROR(_xlfn.IFS(OR($M108="",$AS108=""),"",$C108="Joined",($AS108-$M108)-$AT108),"")</f>
        <v>118</v>
      </c>
      <c r="AY108" s="30" t="str">
        <f>IFERROR(IF(COUNTIFS('Candidate Tracker'!$E:$E,'Positions Tracker'!$B108,'Candidate Tracker'!$C:$C,"Offer Drop")=0,"",COUNTIFS('Candidate Tracker'!$E:$E,'Positions Tracker'!$B108,'Candidate Tracker'!$C:$C,"Offer Drop")),"")</f>
        <v/>
      </c>
      <c r="AZ10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8" s="34" t="str">
        <f>IFERROR(IF(COUNTIFS('Candidate Tracker'!$E:$E,'Positions Tracker'!$B108,'Candidate Tracker'!$I:$I,"Female")=0,"",COUNTIFS('Candidate Tracker'!$E:$E,'Positions Tracker'!$B108,'Candidate Tracker'!$I:$I,"Female")),"")</f>
        <v/>
      </c>
      <c r="BB108" s="34">
        <f>IFERROR(IF(COUNTIFS('Candidate Tracker'!$E:$E,'Positions Tracker'!$B108,'Candidate Tracker'!$I:$I,"male")=0,"",COUNTIFS('Candidate Tracker'!$E:$E,'Positions Tracker'!$B108,'Candidate Tracker'!$I:$I,"male")),"")</f>
        <v>1</v>
      </c>
      <c r="BC108" s="33">
        <f>IFERROR(IF(COUNTIFS('Candidate Tracker'!$E:$E,'Positions Tracker'!$B108,'Candidate Tracker'!$C:$C,"&lt;&gt;WIP",'Candidate Tracker'!$C:$C,"&lt;&gt;Hold",'Candidate Tracker'!$C:$C,"&lt;&gt;Cancelled",'Candidate Tracker'!$C:$C,"&lt;&gt;Closed")/COUNTIFS('Candidate Tracker'!$E:$E,'Positions Tracker'!$B108)=0,"",COUNTIFS('Candidate Tracker'!$E:$E,'Positions Tracker'!$B108,'Candidate Tracker'!$C:$C,"&lt;&gt;WIP",'Candidate Tracker'!$C:$C,"&lt;&gt;Hold",'Candidate Tracker'!$C:$C,"&lt;&gt;Cancelled",'Candidate Tracker'!$C:$C,"&lt;&gt;Closed")/COUNTIFS('Candidate Tracker'!$E:$E,'Positions Tracker'!$B108)),"")</f>
        <v>1</v>
      </c>
      <c r="BD108" s="30" t="str">
        <f t="shared" si="15"/>
        <v>Feb-24</v>
      </c>
      <c r="BE108" s="30" t="str">
        <f t="shared" si="16"/>
        <v>May-24</v>
      </c>
      <c r="BF108" s="30" t="str">
        <f t="shared" si="17"/>
        <v>Apr-24</v>
      </c>
      <c r="BG108" s="30" t="str">
        <f t="shared" si="18"/>
        <v>Jun-24</v>
      </c>
    </row>
    <row r="109" spans="1:59">
      <c r="A109" s="30">
        <f t="shared" si="13"/>
        <v>108</v>
      </c>
      <c r="B109" s="30" t="s">
        <v>289</v>
      </c>
      <c r="C109" s="30" t="s">
        <v>51</v>
      </c>
      <c r="D109" s="30" t="s">
        <v>51</v>
      </c>
      <c r="E109" s="30" t="s">
        <v>292</v>
      </c>
      <c r="F109" s="30" t="s">
        <v>3910</v>
      </c>
      <c r="G109" s="30" t="s">
        <v>3</v>
      </c>
      <c r="H109" s="30" t="s">
        <v>118</v>
      </c>
      <c r="I109" s="30" t="s">
        <v>116</v>
      </c>
      <c r="J109" s="30" t="s">
        <v>135</v>
      </c>
      <c r="K109" s="31">
        <v>45344</v>
      </c>
      <c r="L109" s="31">
        <v>45344</v>
      </c>
      <c r="M109" s="31">
        <v>45404</v>
      </c>
      <c r="N109" s="30"/>
      <c r="O109" s="31"/>
      <c r="P109" s="31"/>
      <c r="Q109" s="31"/>
      <c r="R109" s="31"/>
      <c r="S109" s="31"/>
      <c r="T109" s="31"/>
      <c r="U109" s="30"/>
      <c r="V109" s="30"/>
      <c r="W109" s="30"/>
      <c r="X109" s="30" t="s">
        <v>63</v>
      </c>
      <c r="Y109" s="30" t="s">
        <v>65</v>
      </c>
      <c r="Z109" s="30" t="s">
        <v>65</v>
      </c>
      <c r="AA109" s="30" t="s">
        <v>51</v>
      </c>
      <c r="AB109" s="30"/>
      <c r="AC109" s="30"/>
      <c r="AD109" s="30"/>
      <c r="AE109" s="30" t="s">
        <v>290</v>
      </c>
      <c r="AF109" s="30">
        <v>9922091330</v>
      </c>
      <c r="AG109" s="30"/>
      <c r="AH109" s="31" t="s">
        <v>55</v>
      </c>
      <c r="AI109" s="31">
        <v>45463</v>
      </c>
      <c r="AJ109" s="31">
        <v>45470</v>
      </c>
      <c r="AK109" s="30" t="s">
        <v>63</v>
      </c>
      <c r="AL109" s="30">
        <v>2800000</v>
      </c>
      <c r="AM109" s="31">
        <f>AN109</f>
        <v>45470</v>
      </c>
      <c r="AN109" s="31">
        <v>45470</v>
      </c>
      <c r="AO109" s="31"/>
      <c r="AP109" s="31"/>
      <c r="AQ109" s="31"/>
      <c r="AR109" s="31"/>
      <c r="AS109" s="31">
        <v>45460</v>
      </c>
      <c r="AT109" s="30">
        <f t="shared" ca="1" si="14"/>
        <v>0</v>
      </c>
      <c r="AU109" s="32" t="str">
        <f t="shared" ca="1" si="12"/>
        <v/>
      </c>
      <c r="AV109" s="32" t="str" cm="1">
        <f t="array" aca="1" ref="AV109" ca="1">IFERROR(_xlfn.IFS($AU109="","",$AU109&lt;=15,"0-15",AND($AU109&gt;=16,$AU109&lt;=30),"16-30",AND($AU109&gt;=31,$AU109&lt;=45),"31-45",AND($AU109&gt;=46,$AU109&lt;=60),"46-60",AND($AU109&gt;=61,$AU109&lt;=90),"61-90",AND($AU109&gt;=91),"&gt; 90",AND($AU109&gt;=2000),""),"")</f>
        <v/>
      </c>
      <c r="AW109" s="32" cm="1">
        <f t="array" aca="1" ref="AW109" ca="1">IFERROR(_xlfn.IFS(OR($M109="",$AM109=""),"",OR($C109="Offered",$C109="Joined"),($AM109-$M109)-$AT109),"")</f>
        <v>66</v>
      </c>
      <c r="AX109" s="32" cm="1">
        <f t="array" aca="1" ref="AX109" ca="1">IFERROR(_xlfn.IFS(OR($M109="",$AS109=""),"",$C109="Joined",($AS109-$M109)-$AT109),"")</f>
        <v>56</v>
      </c>
      <c r="AY109" s="30" t="str">
        <f>IFERROR(IF(COUNTIFS('Candidate Tracker'!$E:$E,'Positions Tracker'!$B109,'Candidate Tracker'!$C:$C,"Offer Drop")=0,"",COUNTIFS('Candidate Tracker'!$E:$E,'Positions Tracker'!$B109,'Candidate Tracker'!$C:$C,"Offer Drop")),"")</f>
        <v/>
      </c>
      <c r="AZ10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09" s="34" t="str">
        <f>IFERROR(IF(COUNTIFS('Candidate Tracker'!$E:$E,'Positions Tracker'!$B109,'Candidate Tracker'!$I:$I,"Female")=0,"",COUNTIFS('Candidate Tracker'!$E:$E,'Positions Tracker'!$B109,'Candidate Tracker'!$I:$I,"Female")),"")</f>
        <v/>
      </c>
      <c r="BB109" s="34">
        <f>IFERROR(IF(COUNTIFS('Candidate Tracker'!$E:$E,'Positions Tracker'!$B109,'Candidate Tracker'!$I:$I,"male")=0,"",COUNTIFS('Candidate Tracker'!$E:$E,'Positions Tracker'!$B109,'Candidate Tracker'!$I:$I,"male")),"")</f>
        <v>1</v>
      </c>
      <c r="BC109" s="33">
        <f>IFERROR(IF(COUNTIFS('Candidate Tracker'!$E:$E,'Positions Tracker'!$B109,'Candidate Tracker'!$C:$C,"&lt;&gt;WIP",'Candidate Tracker'!$C:$C,"&lt;&gt;Hold",'Candidate Tracker'!$C:$C,"&lt;&gt;Cancelled",'Candidate Tracker'!$C:$C,"&lt;&gt;Closed")/COUNTIFS('Candidate Tracker'!$E:$E,'Positions Tracker'!$B109)=0,"",COUNTIFS('Candidate Tracker'!$E:$E,'Positions Tracker'!$B109,'Candidate Tracker'!$C:$C,"&lt;&gt;WIP",'Candidate Tracker'!$C:$C,"&lt;&gt;Hold",'Candidate Tracker'!$C:$C,"&lt;&gt;Cancelled",'Candidate Tracker'!$C:$C,"&lt;&gt;Closed")/COUNTIFS('Candidate Tracker'!$E:$E,'Positions Tracker'!$B109)),"")</f>
        <v>1</v>
      </c>
      <c r="BD109" s="30" t="str">
        <f t="shared" si="15"/>
        <v>Apr-24</v>
      </c>
      <c r="BE109" s="30" t="str">
        <f t="shared" si="16"/>
        <v>Jun-24</v>
      </c>
      <c r="BF109" s="30" t="str">
        <f t="shared" si="17"/>
        <v>Jun-24</v>
      </c>
      <c r="BG109" s="30" t="str">
        <f t="shared" si="18"/>
        <v>Jun-24</v>
      </c>
    </row>
    <row r="110" spans="1:59">
      <c r="A110" s="30">
        <f t="shared" si="13"/>
        <v>109</v>
      </c>
      <c r="B110" s="30" t="s">
        <v>239</v>
      </c>
      <c r="C110" s="30" t="s">
        <v>51</v>
      </c>
      <c r="D110" s="30" t="s">
        <v>51</v>
      </c>
      <c r="E110" s="30" t="s">
        <v>242</v>
      </c>
      <c r="F110" s="30" t="s">
        <v>4088</v>
      </c>
      <c r="G110" s="30" t="s">
        <v>3</v>
      </c>
      <c r="H110" s="30" t="s">
        <v>66</v>
      </c>
      <c r="I110" s="30" t="s">
        <v>4097</v>
      </c>
      <c r="J110" s="30" t="s">
        <v>135</v>
      </c>
      <c r="K110" s="31">
        <v>45295</v>
      </c>
      <c r="L110" s="31">
        <v>45295</v>
      </c>
      <c r="M110" s="31">
        <v>45416</v>
      </c>
      <c r="N110" s="30"/>
      <c r="O110" s="31"/>
      <c r="P110" s="31"/>
      <c r="Q110" s="31"/>
      <c r="R110" s="31"/>
      <c r="S110" s="31"/>
      <c r="T110" s="31"/>
      <c r="U110" s="30"/>
      <c r="V110" s="30"/>
      <c r="W110" s="30"/>
      <c r="X110" s="30" t="s">
        <v>63</v>
      </c>
      <c r="Y110" s="30" t="s">
        <v>65</v>
      </c>
      <c r="Z110" s="30" t="s">
        <v>65</v>
      </c>
      <c r="AA110" s="30" t="s">
        <v>51</v>
      </c>
      <c r="AB110" s="30"/>
      <c r="AC110" s="30"/>
      <c r="AD110" s="30"/>
      <c r="AE110" s="30" t="s">
        <v>240</v>
      </c>
      <c r="AF110" s="30">
        <v>9833314105</v>
      </c>
      <c r="AG110" s="30" t="s">
        <v>241</v>
      </c>
      <c r="AH110" s="31" t="s">
        <v>101</v>
      </c>
      <c r="AI110" s="31">
        <v>45497</v>
      </c>
      <c r="AJ110" s="31">
        <v>45513</v>
      </c>
      <c r="AK110" s="30" t="s">
        <v>63</v>
      </c>
      <c r="AL110" s="30">
        <v>3050000</v>
      </c>
      <c r="AM110" s="31">
        <v>45384</v>
      </c>
      <c r="AN110" s="31">
        <v>45513</v>
      </c>
      <c r="AO110" s="31"/>
      <c r="AP110" s="31"/>
      <c r="AQ110" s="31"/>
      <c r="AR110" s="31"/>
      <c r="AS110" s="31">
        <v>45460</v>
      </c>
      <c r="AT110" s="30">
        <f t="shared" ca="1" si="14"/>
        <v>0</v>
      </c>
      <c r="AU110" s="32" t="str">
        <f t="shared" ca="1" si="12"/>
        <v/>
      </c>
      <c r="AV110" s="32" t="str" cm="1">
        <f t="array" aca="1" ref="AV110" ca="1">IFERROR(_xlfn.IFS($AU110="","",$AU110&lt;=15,"0-15",AND($AU110&gt;=16,$AU110&lt;=30),"16-30",AND($AU110&gt;=31,$AU110&lt;=45),"31-45",AND($AU110&gt;=46,$AU110&lt;=60),"46-60",AND($AU110&gt;=61,$AU110&lt;=90),"61-90",AND($AU110&gt;=91),"&gt; 90",AND($AU110&gt;=2000),""),"")</f>
        <v/>
      </c>
      <c r="AW110" s="32" cm="1">
        <f t="array" aca="1" ref="AW110" ca="1">IFERROR(_xlfn.IFS(OR($M110="",$AM110=""),"",OR($C110="Offered",$C110="Joined"),($AM110-$M110)-$AT110),"")</f>
        <v>-32</v>
      </c>
      <c r="AX110" s="32" cm="1">
        <f t="array" aca="1" ref="AX110" ca="1">IFERROR(_xlfn.IFS(OR($M110="",$AS110=""),"",$C110="Joined",($AS110-$M110)-$AT110),"")</f>
        <v>44</v>
      </c>
      <c r="AY110" s="30" t="str">
        <f>IFERROR(IF(COUNTIFS('Candidate Tracker'!$E:$E,'Positions Tracker'!$B110,'Candidate Tracker'!$C:$C,"Offer Drop")=0,"",COUNTIFS('Candidate Tracker'!$E:$E,'Positions Tracker'!$B110,'Candidate Tracker'!$C:$C,"Offer Drop")),"")</f>
        <v/>
      </c>
      <c r="AZ1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0" s="34" t="str">
        <f>IFERROR(IF(COUNTIFS('Candidate Tracker'!$E:$E,'Positions Tracker'!$B110,'Candidate Tracker'!$I:$I,"Female")=0,"",COUNTIFS('Candidate Tracker'!$E:$E,'Positions Tracker'!$B110,'Candidate Tracker'!$I:$I,"Female")),"")</f>
        <v/>
      </c>
      <c r="BB110" s="34">
        <f>IFERROR(IF(COUNTIFS('Candidate Tracker'!$E:$E,'Positions Tracker'!$B110,'Candidate Tracker'!$I:$I,"male")=0,"",COUNTIFS('Candidate Tracker'!$E:$E,'Positions Tracker'!$B110,'Candidate Tracker'!$I:$I,"male")),"")</f>
        <v>1</v>
      </c>
      <c r="BC110" s="33">
        <f>IFERROR(IF(COUNTIFS('Candidate Tracker'!$E:$E,'Positions Tracker'!$B110,'Candidate Tracker'!$C:$C,"&lt;&gt;WIP",'Candidate Tracker'!$C:$C,"&lt;&gt;Hold",'Candidate Tracker'!$C:$C,"&lt;&gt;Cancelled",'Candidate Tracker'!$C:$C,"&lt;&gt;Closed")/COUNTIFS('Candidate Tracker'!$E:$E,'Positions Tracker'!$B110)=0,"",COUNTIFS('Candidate Tracker'!$E:$E,'Positions Tracker'!$B110,'Candidate Tracker'!$C:$C,"&lt;&gt;WIP",'Candidate Tracker'!$C:$C,"&lt;&gt;Hold",'Candidate Tracker'!$C:$C,"&lt;&gt;Cancelled",'Candidate Tracker'!$C:$C,"&lt;&gt;Closed")/COUNTIFS('Candidate Tracker'!$E:$E,'Positions Tracker'!$B110)),"")</f>
        <v>1</v>
      </c>
      <c r="BD110" s="30" t="str">
        <f t="shared" si="15"/>
        <v>May-24</v>
      </c>
      <c r="BE110" s="30" t="str">
        <f t="shared" si="16"/>
        <v>Jul-24</v>
      </c>
      <c r="BF110" s="30" t="str">
        <f t="shared" si="17"/>
        <v>Apr-24</v>
      </c>
      <c r="BG110" s="30" t="str">
        <f t="shared" si="18"/>
        <v>Jun-24</v>
      </c>
    </row>
    <row r="111" spans="1:59">
      <c r="A111" s="30">
        <f t="shared" si="13"/>
        <v>110</v>
      </c>
      <c r="B111" s="30" t="s">
        <v>409</v>
      </c>
      <c r="C111" s="30" t="s">
        <v>51</v>
      </c>
      <c r="D111" s="30" t="s">
        <v>51</v>
      </c>
      <c r="E111" s="30" t="s">
        <v>412</v>
      </c>
      <c r="F111" s="30" t="s">
        <v>3932</v>
      </c>
      <c r="G111" s="30" t="s">
        <v>3</v>
      </c>
      <c r="H111" s="30" t="s">
        <v>118</v>
      </c>
      <c r="I111" s="30" t="s">
        <v>116</v>
      </c>
      <c r="J111" s="30" t="s">
        <v>135</v>
      </c>
      <c r="K111" s="31">
        <v>45358</v>
      </c>
      <c r="L111" s="31">
        <v>45358</v>
      </c>
      <c r="M111" s="31">
        <v>45419</v>
      </c>
      <c r="N111" s="30"/>
      <c r="O111" s="31"/>
      <c r="P111" s="31"/>
      <c r="Q111" s="31"/>
      <c r="R111" s="31"/>
      <c r="S111" s="31"/>
      <c r="T111" s="31"/>
      <c r="U111" s="30"/>
      <c r="V111" s="30"/>
      <c r="W111" s="30"/>
      <c r="X111" s="30" t="s">
        <v>63</v>
      </c>
      <c r="Y111" s="30" t="s">
        <v>65</v>
      </c>
      <c r="Z111" s="30" t="s">
        <v>65</v>
      </c>
      <c r="AA111" s="30" t="s">
        <v>51</v>
      </c>
      <c r="AB111" s="30"/>
      <c r="AC111" s="30"/>
      <c r="AD111" s="30"/>
      <c r="AE111" s="30" t="s">
        <v>410</v>
      </c>
      <c r="AF111" s="30">
        <v>8200390283</v>
      </c>
      <c r="AG111" s="30"/>
      <c r="AH111" s="31" t="s">
        <v>55</v>
      </c>
      <c r="AI111" s="31">
        <v>45447</v>
      </c>
      <c r="AJ111" s="31" t="s">
        <v>4098</v>
      </c>
      <c r="AK111" s="30" t="s">
        <v>63</v>
      </c>
      <c r="AL111" s="30">
        <v>950000</v>
      </c>
      <c r="AM111" s="31">
        <v>45454</v>
      </c>
      <c r="AN111" s="31">
        <v>45502</v>
      </c>
      <c r="AO111" s="31"/>
      <c r="AP111" s="31"/>
      <c r="AQ111" s="31"/>
      <c r="AR111" s="31"/>
      <c r="AS111" s="31">
        <v>45460</v>
      </c>
      <c r="AT111" s="30">
        <f t="shared" ca="1" si="14"/>
        <v>0</v>
      </c>
      <c r="AU111" s="32" t="str">
        <f t="shared" ca="1" si="12"/>
        <v/>
      </c>
      <c r="AV111" s="32" t="str" cm="1">
        <f t="array" aca="1" ref="AV111" ca="1">IFERROR(_xlfn.IFS($AU111="","",$AU111&lt;=15,"0-15",AND($AU111&gt;=16,$AU111&lt;=30),"16-30",AND($AU111&gt;=31,$AU111&lt;=45),"31-45",AND($AU111&gt;=46,$AU111&lt;=60),"46-60",AND($AU111&gt;=61,$AU111&lt;=90),"61-90",AND($AU111&gt;=91),"&gt; 90",AND($AU111&gt;=2000),""),"")</f>
        <v/>
      </c>
      <c r="AW111" s="32" cm="1">
        <f t="array" aca="1" ref="AW111" ca="1">IFERROR(_xlfn.IFS(OR($M111="",$AM111=""),"",OR($C111="Offered",$C111="Joined"),($AM111-$M111)-$AT111),"")</f>
        <v>35</v>
      </c>
      <c r="AX111" s="32" cm="1">
        <f t="array" aca="1" ref="AX111" ca="1">IFERROR(_xlfn.IFS(OR($M111="",$AS111=""),"",$C111="Joined",($AS111-$M111)-$AT111),"")</f>
        <v>41</v>
      </c>
      <c r="AY111" s="30" t="str">
        <f>IFERROR(IF(COUNTIFS('Candidate Tracker'!$E:$E,'Positions Tracker'!$B111,'Candidate Tracker'!$C:$C,"Offer Drop")=0,"",COUNTIFS('Candidate Tracker'!$E:$E,'Positions Tracker'!$B111,'Candidate Tracker'!$C:$C,"Offer Drop")),"")</f>
        <v/>
      </c>
      <c r="AZ1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1" s="34" t="str">
        <f>IFERROR(IF(COUNTIFS('Candidate Tracker'!$E:$E,'Positions Tracker'!$B111,'Candidate Tracker'!$I:$I,"Female")=0,"",COUNTIFS('Candidate Tracker'!$E:$E,'Positions Tracker'!$B111,'Candidate Tracker'!$I:$I,"Female")),"")</f>
        <v/>
      </c>
      <c r="BB111" s="34">
        <f>IFERROR(IF(COUNTIFS('Candidate Tracker'!$E:$E,'Positions Tracker'!$B111,'Candidate Tracker'!$I:$I,"male")=0,"",COUNTIFS('Candidate Tracker'!$E:$E,'Positions Tracker'!$B111,'Candidate Tracker'!$I:$I,"male")),"")</f>
        <v>1</v>
      </c>
      <c r="BC111" s="33">
        <f>IFERROR(IF(COUNTIFS('Candidate Tracker'!$E:$E,'Positions Tracker'!$B111,'Candidate Tracker'!$C:$C,"&lt;&gt;WIP",'Candidate Tracker'!$C:$C,"&lt;&gt;Hold",'Candidate Tracker'!$C:$C,"&lt;&gt;Cancelled",'Candidate Tracker'!$C:$C,"&lt;&gt;Closed")/COUNTIFS('Candidate Tracker'!$E:$E,'Positions Tracker'!$B111)=0,"",COUNTIFS('Candidate Tracker'!$E:$E,'Positions Tracker'!$B111,'Candidate Tracker'!$C:$C,"&lt;&gt;WIP",'Candidate Tracker'!$C:$C,"&lt;&gt;Hold",'Candidate Tracker'!$C:$C,"&lt;&gt;Cancelled",'Candidate Tracker'!$C:$C,"&lt;&gt;Closed")/COUNTIFS('Candidate Tracker'!$E:$E,'Positions Tracker'!$B111)),"")</f>
        <v>1</v>
      </c>
      <c r="BD111" s="30" t="str">
        <f t="shared" si="15"/>
        <v>May-24</v>
      </c>
      <c r="BE111" s="30" t="str">
        <f t="shared" si="16"/>
        <v>Jun-24</v>
      </c>
      <c r="BF111" s="30" t="str">
        <f t="shared" si="17"/>
        <v>Jun-24</v>
      </c>
      <c r="BG111" s="30" t="str">
        <f t="shared" si="18"/>
        <v>Jun-24</v>
      </c>
    </row>
    <row r="112" spans="1:59">
      <c r="A112" s="30">
        <f t="shared" si="13"/>
        <v>111</v>
      </c>
      <c r="B112" s="30" t="s">
        <v>405</v>
      </c>
      <c r="C112" s="30" t="s">
        <v>51</v>
      </c>
      <c r="D112" s="30" t="s">
        <v>51</v>
      </c>
      <c r="E112" s="30" t="s">
        <v>408</v>
      </c>
      <c r="F112" s="30" t="s">
        <v>3910</v>
      </c>
      <c r="G112" s="30" t="s">
        <v>3</v>
      </c>
      <c r="H112" s="30" t="s">
        <v>118</v>
      </c>
      <c r="I112" s="30" t="s">
        <v>116</v>
      </c>
      <c r="J112" s="30" t="s">
        <v>135</v>
      </c>
      <c r="K112" s="31">
        <v>45389</v>
      </c>
      <c r="L112" s="31">
        <v>45389</v>
      </c>
      <c r="M112" s="31">
        <v>45389</v>
      </c>
      <c r="N112" s="30"/>
      <c r="O112" s="31"/>
      <c r="P112" s="31"/>
      <c r="Q112" s="31"/>
      <c r="R112" s="31"/>
      <c r="S112" s="31"/>
      <c r="T112" s="31"/>
      <c r="U112" s="30"/>
      <c r="V112" s="30"/>
      <c r="W112" s="30"/>
      <c r="X112" s="30" t="s">
        <v>63</v>
      </c>
      <c r="Y112" s="30" t="s">
        <v>65</v>
      </c>
      <c r="Z112" s="30" t="s">
        <v>65</v>
      </c>
      <c r="AA112" s="30" t="s">
        <v>51</v>
      </c>
      <c r="AB112" s="30"/>
      <c r="AC112" s="30"/>
      <c r="AD112" s="30"/>
      <c r="AE112" s="30" t="s">
        <v>406</v>
      </c>
      <c r="AF112" s="30">
        <v>9960435181</v>
      </c>
      <c r="AG112" s="30" t="s">
        <v>407</v>
      </c>
      <c r="AH112" s="31" t="s">
        <v>55</v>
      </c>
      <c r="AI112" s="31">
        <v>45436</v>
      </c>
      <c r="AJ112" s="31">
        <v>45504</v>
      </c>
      <c r="AK112" s="30" t="s">
        <v>63</v>
      </c>
      <c r="AL112" s="30">
        <v>1700000</v>
      </c>
      <c r="AM112" s="31">
        <v>45455</v>
      </c>
      <c r="AN112" s="31">
        <v>45504</v>
      </c>
      <c r="AO112" s="31"/>
      <c r="AP112" s="31"/>
      <c r="AQ112" s="31"/>
      <c r="AR112" s="31"/>
      <c r="AS112" s="31">
        <v>45468</v>
      </c>
      <c r="AT112" s="30">
        <f t="shared" ca="1" si="14"/>
        <v>0</v>
      </c>
      <c r="AU112" s="32" t="str">
        <f t="shared" ca="1" si="12"/>
        <v/>
      </c>
      <c r="AV112" s="32" t="str" cm="1">
        <f t="array" aca="1" ref="AV112" ca="1">IFERROR(_xlfn.IFS($AU112="","",$AU112&lt;=15,"0-15",AND($AU112&gt;=16,$AU112&lt;=30),"16-30",AND($AU112&gt;=31,$AU112&lt;=45),"31-45",AND($AU112&gt;=46,$AU112&lt;=60),"46-60",AND($AU112&gt;=61,$AU112&lt;=90),"61-90",AND($AU112&gt;=91),"&gt; 90",AND($AU112&gt;=2000),""),"")</f>
        <v/>
      </c>
      <c r="AW112" s="32" cm="1">
        <f t="array" aca="1" ref="AW112" ca="1">IFERROR(_xlfn.IFS(OR($M112="",$AM112=""),"",OR($C112="Offered",$C112="Joined"),($AM112-$M112)-$AT112),"")</f>
        <v>66</v>
      </c>
      <c r="AX112" s="32" cm="1">
        <f t="array" aca="1" ref="AX112" ca="1">IFERROR(_xlfn.IFS(OR($M112="",$AS112=""),"",$C112="Joined",($AS112-$M112)-$AT112),"")</f>
        <v>79</v>
      </c>
      <c r="AY112" s="30" t="str">
        <f>IFERROR(IF(COUNTIFS('Candidate Tracker'!$E:$E,'Positions Tracker'!$B112,'Candidate Tracker'!$C:$C,"Offer Drop")=0,"",COUNTIFS('Candidate Tracker'!$E:$E,'Positions Tracker'!$B112,'Candidate Tracker'!$C:$C,"Offer Drop")),"")</f>
        <v/>
      </c>
      <c r="AZ1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2" s="34" t="str">
        <f>IFERROR(IF(COUNTIFS('Candidate Tracker'!$E:$E,'Positions Tracker'!$B112,'Candidate Tracker'!$I:$I,"Female")=0,"",COUNTIFS('Candidate Tracker'!$E:$E,'Positions Tracker'!$B112,'Candidate Tracker'!$I:$I,"Female")),"")</f>
        <v/>
      </c>
      <c r="BB112" s="34">
        <f>IFERROR(IF(COUNTIFS('Candidate Tracker'!$E:$E,'Positions Tracker'!$B112,'Candidate Tracker'!$I:$I,"male")=0,"",COUNTIFS('Candidate Tracker'!$E:$E,'Positions Tracker'!$B112,'Candidate Tracker'!$I:$I,"male")),"")</f>
        <v>1</v>
      </c>
      <c r="BC112" s="33">
        <f>IFERROR(IF(COUNTIFS('Candidate Tracker'!$E:$E,'Positions Tracker'!$B112,'Candidate Tracker'!$C:$C,"&lt;&gt;WIP",'Candidate Tracker'!$C:$C,"&lt;&gt;Hold",'Candidate Tracker'!$C:$C,"&lt;&gt;Cancelled",'Candidate Tracker'!$C:$C,"&lt;&gt;Closed")/COUNTIFS('Candidate Tracker'!$E:$E,'Positions Tracker'!$B112)=0,"",COUNTIFS('Candidate Tracker'!$E:$E,'Positions Tracker'!$B112,'Candidate Tracker'!$C:$C,"&lt;&gt;WIP",'Candidate Tracker'!$C:$C,"&lt;&gt;Hold",'Candidate Tracker'!$C:$C,"&lt;&gt;Cancelled",'Candidate Tracker'!$C:$C,"&lt;&gt;Closed")/COUNTIFS('Candidate Tracker'!$E:$E,'Positions Tracker'!$B112)),"")</f>
        <v>1</v>
      </c>
      <c r="BD112" s="30" t="str">
        <f t="shared" si="15"/>
        <v>Apr-24</v>
      </c>
      <c r="BE112" s="30" t="str">
        <f t="shared" si="16"/>
        <v>May-24</v>
      </c>
      <c r="BF112" s="30" t="str">
        <f t="shared" si="17"/>
        <v>Jun-24</v>
      </c>
      <c r="BG112" s="30" t="str">
        <f t="shared" si="18"/>
        <v>Jun-24</v>
      </c>
    </row>
    <row r="113" spans="1:59">
      <c r="A113" s="30">
        <f t="shared" si="13"/>
        <v>112</v>
      </c>
      <c r="B113" s="30" t="s">
        <v>413</v>
      </c>
      <c r="C113" s="30" t="s">
        <v>51</v>
      </c>
      <c r="D113" s="30" t="s">
        <v>51</v>
      </c>
      <c r="E113" s="30" t="s">
        <v>416</v>
      </c>
      <c r="F113" s="30" t="s">
        <v>4099</v>
      </c>
      <c r="G113" s="30" t="s">
        <v>3</v>
      </c>
      <c r="H113" s="30" t="s">
        <v>147</v>
      </c>
      <c r="I113" s="30" t="s">
        <v>417</v>
      </c>
      <c r="J113" s="30" t="s">
        <v>135</v>
      </c>
      <c r="K113" s="31">
        <v>45388</v>
      </c>
      <c r="L113" s="31">
        <v>45388</v>
      </c>
      <c r="M113" s="31">
        <v>45418</v>
      </c>
      <c r="N113" s="30"/>
      <c r="O113" s="31"/>
      <c r="P113" s="31"/>
      <c r="Q113" s="31"/>
      <c r="R113" s="31"/>
      <c r="S113" s="31"/>
      <c r="T113" s="31"/>
      <c r="U113" s="30"/>
      <c r="V113" s="30"/>
      <c r="W113" s="30"/>
      <c r="X113" s="30" t="s">
        <v>63</v>
      </c>
      <c r="Y113" s="30" t="s">
        <v>65</v>
      </c>
      <c r="Z113" s="30" t="s">
        <v>65</v>
      </c>
      <c r="AA113" s="30" t="s">
        <v>51</v>
      </c>
      <c r="AB113" s="30"/>
      <c r="AC113" s="30"/>
      <c r="AD113" s="30"/>
      <c r="AE113" s="30" t="s">
        <v>414</v>
      </c>
      <c r="AF113" s="30">
        <v>7666280966</v>
      </c>
      <c r="AG113" s="30" t="s">
        <v>4100</v>
      </c>
      <c r="AH113" s="31" t="s">
        <v>55</v>
      </c>
      <c r="AI113" s="31">
        <v>45463</v>
      </c>
      <c r="AJ113" s="31">
        <v>45538</v>
      </c>
      <c r="AK113" s="30" t="s">
        <v>63</v>
      </c>
      <c r="AL113" s="30">
        <v>1600000</v>
      </c>
      <c r="AM113" s="31">
        <v>45470</v>
      </c>
      <c r="AN113" s="31">
        <v>45538</v>
      </c>
      <c r="AO113" s="31"/>
      <c r="AP113" s="31"/>
      <c r="AQ113" s="31"/>
      <c r="AR113" s="31"/>
      <c r="AS113" s="31">
        <v>45516</v>
      </c>
      <c r="AT113" s="30">
        <f t="shared" ca="1" si="14"/>
        <v>0</v>
      </c>
      <c r="AU113" s="32" t="str">
        <f t="shared" ca="1" si="12"/>
        <v/>
      </c>
      <c r="AV113" s="32" t="str" cm="1">
        <f t="array" aca="1" ref="AV113" ca="1">IFERROR(_xlfn.IFS($AU113="","",$AU113&lt;=15,"0-15",AND($AU113&gt;=16,$AU113&lt;=30),"16-30",AND($AU113&gt;=31,$AU113&lt;=45),"31-45",AND($AU113&gt;=46,$AU113&lt;=60),"46-60",AND($AU113&gt;=61,$AU113&lt;=90),"61-90",AND($AU113&gt;=91),"&gt; 90",AND($AU113&gt;=2000),""),"")</f>
        <v/>
      </c>
      <c r="AW113" s="32" cm="1">
        <f t="array" aca="1" ref="AW113" ca="1">IFERROR(_xlfn.IFS(OR($M113="",$AM113=""),"",OR($C113="Offered",$C113="Joined"),($AM113-$M113)-$AT113),"")</f>
        <v>52</v>
      </c>
      <c r="AX113" s="32" cm="1">
        <f t="array" aca="1" ref="AX113" ca="1">IFERROR(_xlfn.IFS(OR($M113="",$AS113=""),"",$C113="Joined",($AS113-$M113)-$AT113),"")</f>
        <v>98</v>
      </c>
      <c r="AY113" s="30" t="str">
        <f>IFERROR(IF(COUNTIFS('Candidate Tracker'!$E:$E,'Positions Tracker'!$B113,'Candidate Tracker'!$C:$C,"Offer Drop")=0,"",COUNTIFS('Candidate Tracker'!$E:$E,'Positions Tracker'!$B113,'Candidate Tracker'!$C:$C,"Offer Drop")),"")</f>
        <v/>
      </c>
      <c r="AZ1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3" s="34" t="str">
        <f>IFERROR(IF(COUNTIFS('Candidate Tracker'!$E:$E,'Positions Tracker'!$B113,'Candidate Tracker'!$I:$I,"Female")=0,"",COUNTIFS('Candidate Tracker'!$E:$E,'Positions Tracker'!$B113,'Candidate Tracker'!$I:$I,"Female")),"")</f>
        <v/>
      </c>
      <c r="BB113" s="34">
        <f>IFERROR(IF(COUNTIFS('Candidate Tracker'!$E:$E,'Positions Tracker'!$B113,'Candidate Tracker'!$I:$I,"male")=0,"",COUNTIFS('Candidate Tracker'!$E:$E,'Positions Tracker'!$B113,'Candidate Tracker'!$I:$I,"male")),"")</f>
        <v>1</v>
      </c>
      <c r="BC113" s="33">
        <f>IFERROR(IF(COUNTIFS('Candidate Tracker'!$E:$E,'Positions Tracker'!$B113,'Candidate Tracker'!$C:$C,"&lt;&gt;WIP",'Candidate Tracker'!$C:$C,"&lt;&gt;Hold",'Candidate Tracker'!$C:$C,"&lt;&gt;Cancelled",'Candidate Tracker'!$C:$C,"&lt;&gt;Closed")/COUNTIFS('Candidate Tracker'!$E:$E,'Positions Tracker'!$B113)=0,"",COUNTIFS('Candidate Tracker'!$E:$E,'Positions Tracker'!$B113,'Candidate Tracker'!$C:$C,"&lt;&gt;WIP",'Candidate Tracker'!$C:$C,"&lt;&gt;Hold",'Candidate Tracker'!$C:$C,"&lt;&gt;Cancelled",'Candidate Tracker'!$C:$C,"&lt;&gt;Closed")/COUNTIFS('Candidate Tracker'!$E:$E,'Positions Tracker'!$B113)),"")</f>
        <v>1</v>
      </c>
      <c r="BD113" s="30" t="str">
        <f t="shared" si="15"/>
        <v>May-24</v>
      </c>
      <c r="BE113" s="30" t="str">
        <f t="shared" si="16"/>
        <v>Jun-24</v>
      </c>
      <c r="BF113" s="30" t="str">
        <f t="shared" si="17"/>
        <v>Jun-24</v>
      </c>
      <c r="BG113" s="30" t="str">
        <f t="shared" si="18"/>
        <v>Aug-24</v>
      </c>
    </row>
    <row r="114" spans="1:59">
      <c r="A114" s="30">
        <f t="shared" si="13"/>
        <v>113</v>
      </c>
      <c r="B114" s="30" t="s">
        <v>434</v>
      </c>
      <c r="C114" s="30" t="s">
        <v>51</v>
      </c>
      <c r="D114" s="30" t="s">
        <v>51</v>
      </c>
      <c r="E114" s="30" t="s">
        <v>437</v>
      </c>
      <c r="F114" s="30" t="s">
        <v>3932</v>
      </c>
      <c r="G114" s="30" t="s">
        <v>3</v>
      </c>
      <c r="H114" s="30" t="s">
        <v>118</v>
      </c>
      <c r="I114" s="30" t="s">
        <v>116</v>
      </c>
      <c r="J114" s="30" t="s">
        <v>351</v>
      </c>
      <c r="K114" s="31">
        <v>45440</v>
      </c>
      <c r="L114" s="31">
        <v>45440</v>
      </c>
      <c r="M114" s="31">
        <v>45440</v>
      </c>
      <c r="N114" s="30"/>
      <c r="O114" s="31"/>
      <c r="P114" s="31"/>
      <c r="Q114" s="31"/>
      <c r="R114" s="31"/>
      <c r="S114" s="31"/>
      <c r="T114" s="31"/>
      <c r="U114" s="30"/>
      <c r="V114" s="30"/>
      <c r="W114" s="30"/>
      <c r="X114" s="30" t="s">
        <v>63</v>
      </c>
      <c r="Y114" s="30" t="s">
        <v>65</v>
      </c>
      <c r="Z114" s="30" t="s">
        <v>65</v>
      </c>
      <c r="AA114" s="30" t="s">
        <v>51</v>
      </c>
      <c r="AB114" s="30"/>
      <c r="AC114" s="30"/>
      <c r="AD114" s="30"/>
      <c r="AE114" s="30" t="s">
        <v>380</v>
      </c>
      <c r="AF114" s="30" t="s">
        <v>435</v>
      </c>
      <c r="AG114" s="30" t="s">
        <v>436</v>
      </c>
      <c r="AH114" s="31" t="s">
        <v>55</v>
      </c>
      <c r="AI114" s="31">
        <v>45497</v>
      </c>
      <c r="AJ114" s="31">
        <v>45504</v>
      </c>
      <c r="AK114" s="30" t="s">
        <v>63</v>
      </c>
      <c r="AL114" s="30">
        <v>756077</v>
      </c>
      <c r="AM114" s="31">
        <v>45513</v>
      </c>
      <c r="AN114" s="31">
        <v>45504</v>
      </c>
      <c r="AO114" s="31"/>
      <c r="AP114" s="31"/>
      <c r="AQ114" s="31"/>
      <c r="AR114" s="31"/>
      <c r="AS114" s="31">
        <v>45607</v>
      </c>
      <c r="AT114" s="30">
        <f t="shared" ca="1" si="14"/>
        <v>0</v>
      </c>
      <c r="AU114" s="32" t="str">
        <f t="shared" ca="1" si="12"/>
        <v/>
      </c>
      <c r="AV114" s="32" t="str" cm="1">
        <f t="array" aca="1" ref="AV114" ca="1">IFERROR(_xlfn.IFS($AU114="","",$AU114&lt;=15,"0-15",AND($AU114&gt;=16,$AU114&lt;=30),"16-30",AND($AU114&gt;=31,$AU114&lt;=45),"31-45",AND($AU114&gt;=46,$AU114&lt;=60),"46-60",AND($AU114&gt;=61,$AU114&lt;=90),"61-90",AND($AU114&gt;=91),"&gt; 90",AND($AU114&gt;=2000),""),"")</f>
        <v/>
      </c>
      <c r="AW114" s="32" cm="1">
        <f t="array" aca="1" ref="AW114" ca="1">IFERROR(_xlfn.IFS(OR($M114="",$AM114=""),"",OR($C114="Offered",$C114="Joined"),($AM114-$M114)-$AT114),"")</f>
        <v>73</v>
      </c>
      <c r="AX114" s="32" cm="1">
        <f t="array" aca="1" ref="AX114" ca="1">IFERROR(_xlfn.IFS(OR($M114="",$AS114=""),"",$C114="Joined",($AS114-$M114)-$AT114),"")</f>
        <v>167</v>
      </c>
      <c r="AY114" s="30" t="str">
        <f>IFERROR(IF(COUNTIFS('Candidate Tracker'!$E:$E,'Positions Tracker'!$B114,'Candidate Tracker'!$C:$C,"Offer Drop")=0,"",COUNTIFS('Candidate Tracker'!$E:$E,'Positions Tracker'!$B114,'Candidate Tracker'!$C:$C,"Offer Drop")),"")</f>
        <v/>
      </c>
      <c r="AZ1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4" s="34" t="str">
        <f>IFERROR(IF(COUNTIFS('Candidate Tracker'!$E:$E,'Positions Tracker'!$B114,'Candidate Tracker'!$I:$I,"Female")=0,"",COUNTIFS('Candidate Tracker'!$E:$E,'Positions Tracker'!$B114,'Candidate Tracker'!$I:$I,"Female")),"")</f>
        <v/>
      </c>
      <c r="BB114" s="34">
        <f>IFERROR(IF(COUNTIFS('Candidate Tracker'!$E:$E,'Positions Tracker'!$B114,'Candidate Tracker'!$I:$I,"male")=0,"",COUNTIFS('Candidate Tracker'!$E:$E,'Positions Tracker'!$B114,'Candidate Tracker'!$I:$I,"male")),"")</f>
        <v>1</v>
      </c>
      <c r="BC114" s="33">
        <f>IFERROR(IF(COUNTIFS('Candidate Tracker'!$E:$E,'Positions Tracker'!$B114,'Candidate Tracker'!$C:$C,"&lt;&gt;WIP",'Candidate Tracker'!$C:$C,"&lt;&gt;Hold",'Candidate Tracker'!$C:$C,"&lt;&gt;Cancelled",'Candidate Tracker'!$C:$C,"&lt;&gt;Closed")/COUNTIFS('Candidate Tracker'!$E:$E,'Positions Tracker'!$B114)=0,"",COUNTIFS('Candidate Tracker'!$E:$E,'Positions Tracker'!$B114,'Candidate Tracker'!$C:$C,"&lt;&gt;WIP",'Candidate Tracker'!$C:$C,"&lt;&gt;Hold",'Candidate Tracker'!$C:$C,"&lt;&gt;Cancelled",'Candidate Tracker'!$C:$C,"&lt;&gt;Closed")/COUNTIFS('Candidate Tracker'!$E:$E,'Positions Tracker'!$B114)),"")</f>
        <v>1</v>
      </c>
      <c r="BD114" s="30" t="str">
        <f t="shared" si="15"/>
        <v>May-24</v>
      </c>
      <c r="BE114" s="30" t="str">
        <f t="shared" si="16"/>
        <v>Jul-24</v>
      </c>
      <c r="BF114" s="30" t="str">
        <f t="shared" si="17"/>
        <v>Aug-24</v>
      </c>
      <c r="BG114" s="30" t="str">
        <f t="shared" si="18"/>
        <v>Nov-24</v>
      </c>
    </row>
    <row r="115" spans="1:59">
      <c r="A115" s="30">
        <f t="shared" si="13"/>
        <v>114</v>
      </c>
      <c r="B115" s="30" t="s">
        <v>424</v>
      </c>
      <c r="C115" s="30" t="s">
        <v>51</v>
      </c>
      <c r="D115" s="30" t="s">
        <v>51</v>
      </c>
      <c r="E115" s="30" t="s">
        <v>427</v>
      </c>
      <c r="F115" s="30" t="s">
        <v>4081</v>
      </c>
      <c r="G115" s="30" t="s">
        <v>3</v>
      </c>
      <c r="H115" s="30" t="s">
        <v>66</v>
      </c>
      <c r="I115" s="30" t="s">
        <v>428</v>
      </c>
      <c r="J115" s="30" t="s">
        <v>351</v>
      </c>
      <c r="K115" s="31">
        <v>45453</v>
      </c>
      <c r="L115" s="31">
        <v>45453</v>
      </c>
      <c r="M115" s="31">
        <v>45453</v>
      </c>
      <c r="N115" s="30"/>
      <c r="O115" s="31"/>
      <c r="P115" s="31"/>
      <c r="Q115" s="31"/>
      <c r="R115" s="31"/>
      <c r="S115" s="31"/>
      <c r="T115" s="31"/>
      <c r="U115" s="30"/>
      <c r="V115" s="30"/>
      <c r="W115" s="30"/>
      <c r="X115" s="30" t="s">
        <v>63</v>
      </c>
      <c r="Y115" s="30" t="s">
        <v>65</v>
      </c>
      <c r="Z115" s="30" t="s">
        <v>65</v>
      </c>
      <c r="AA115" s="30" t="s">
        <v>51</v>
      </c>
      <c r="AB115" s="30"/>
      <c r="AC115" s="30"/>
      <c r="AD115" s="30"/>
      <c r="AE115" s="30" t="s">
        <v>425</v>
      </c>
      <c r="AF115" s="30">
        <v>9552498454</v>
      </c>
      <c r="AG115" s="30"/>
      <c r="AH115" s="31" t="s">
        <v>55</v>
      </c>
      <c r="AI115" s="31">
        <v>45491</v>
      </c>
      <c r="AJ115" s="31">
        <v>45533</v>
      </c>
      <c r="AK115" s="30" t="s">
        <v>63</v>
      </c>
      <c r="AL115" s="30">
        <v>650000</v>
      </c>
      <c r="AM115" s="31">
        <v>45502</v>
      </c>
      <c r="AN115" s="31">
        <v>45533</v>
      </c>
      <c r="AO115" s="31"/>
      <c r="AP115" s="31"/>
      <c r="AQ115" s="31"/>
      <c r="AR115" s="31"/>
      <c r="AS115" s="31">
        <v>45516</v>
      </c>
      <c r="AT115" s="30">
        <f t="shared" ca="1" si="14"/>
        <v>0</v>
      </c>
      <c r="AU115" s="32" t="str">
        <f t="shared" ca="1" si="12"/>
        <v/>
      </c>
      <c r="AV115" s="32" t="str" cm="1">
        <f t="array" aca="1" ref="AV115" ca="1">IFERROR(_xlfn.IFS($AU115="","",$AU115&lt;=15,"0-15",AND($AU115&gt;=16,$AU115&lt;=30),"16-30",AND($AU115&gt;=31,$AU115&lt;=45),"31-45",AND($AU115&gt;=46,$AU115&lt;=60),"46-60",AND($AU115&gt;=61,$AU115&lt;=90),"61-90",AND($AU115&gt;=91),"&gt; 90",AND($AU115&gt;=2000),""),"")</f>
        <v/>
      </c>
      <c r="AW115" s="32" cm="1">
        <f t="array" aca="1" ref="AW115" ca="1">IFERROR(_xlfn.IFS(OR($M115="",$AM115=""),"",OR($C115="Offered",$C115="Joined"),($AM115-$M115)-$AT115),"")</f>
        <v>49</v>
      </c>
      <c r="AX115" s="32" cm="1">
        <f t="array" aca="1" ref="AX115" ca="1">IFERROR(_xlfn.IFS(OR($M115="",$AS115=""),"",$C115="Joined",($AS115-$M115)-$AT115),"")</f>
        <v>63</v>
      </c>
      <c r="AY115" s="30" t="str">
        <f>IFERROR(IF(COUNTIFS('Candidate Tracker'!$E:$E,'Positions Tracker'!$B115,'Candidate Tracker'!$C:$C,"Offer Drop")=0,"",COUNTIFS('Candidate Tracker'!$E:$E,'Positions Tracker'!$B115,'Candidate Tracker'!$C:$C,"Offer Drop")),"")</f>
        <v/>
      </c>
      <c r="AZ1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5" s="34" t="str">
        <f>IFERROR(IF(COUNTIFS('Candidate Tracker'!$E:$E,'Positions Tracker'!$B115,'Candidate Tracker'!$I:$I,"Female")=0,"",COUNTIFS('Candidate Tracker'!$E:$E,'Positions Tracker'!$B115,'Candidate Tracker'!$I:$I,"Female")),"")</f>
        <v/>
      </c>
      <c r="BB115" s="34">
        <f>IFERROR(IF(COUNTIFS('Candidate Tracker'!$E:$E,'Positions Tracker'!$B115,'Candidate Tracker'!$I:$I,"male")=0,"",COUNTIFS('Candidate Tracker'!$E:$E,'Positions Tracker'!$B115,'Candidate Tracker'!$I:$I,"male")),"")</f>
        <v>1</v>
      </c>
      <c r="BC115" s="33">
        <f>IFERROR(IF(COUNTIFS('Candidate Tracker'!$E:$E,'Positions Tracker'!$B115,'Candidate Tracker'!$C:$C,"&lt;&gt;WIP",'Candidate Tracker'!$C:$C,"&lt;&gt;Hold",'Candidate Tracker'!$C:$C,"&lt;&gt;Cancelled",'Candidate Tracker'!$C:$C,"&lt;&gt;Closed")/COUNTIFS('Candidate Tracker'!$E:$E,'Positions Tracker'!$B115)=0,"",COUNTIFS('Candidate Tracker'!$E:$E,'Positions Tracker'!$B115,'Candidate Tracker'!$C:$C,"&lt;&gt;WIP",'Candidate Tracker'!$C:$C,"&lt;&gt;Hold",'Candidate Tracker'!$C:$C,"&lt;&gt;Cancelled",'Candidate Tracker'!$C:$C,"&lt;&gt;Closed")/COUNTIFS('Candidate Tracker'!$E:$E,'Positions Tracker'!$B115)),"")</f>
        <v>1</v>
      </c>
      <c r="BD115" s="30" t="str">
        <f t="shared" si="15"/>
        <v>Jun-24</v>
      </c>
      <c r="BE115" s="30" t="str">
        <f t="shared" si="16"/>
        <v>Jul-24</v>
      </c>
      <c r="BF115" s="30" t="str">
        <f t="shared" si="17"/>
        <v>Jul-24</v>
      </c>
      <c r="BG115" s="30" t="str">
        <f t="shared" si="18"/>
        <v>Aug-24</v>
      </c>
    </row>
    <row r="116" spans="1:59">
      <c r="A116" s="30">
        <f t="shared" si="13"/>
        <v>115</v>
      </c>
      <c r="B116" s="30" t="s">
        <v>4101</v>
      </c>
      <c r="C116" s="30" t="s">
        <v>51</v>
      </c>
      <c r="D116" s="30" t="s">
        <v>51</v>
      </c>
      <c r="E116" s="30" t="s">
        <v>432</v>
      </c>
      <c r="F116" s="30" t="s">
        <v>2959</v>
      </c>
      <c r="G116" s="30" t="s">
        <v>3</v>
      </c>
      <c r="H116" s="30" t="s">
        <v>66</v>
      </c>
      <c r="I116" s="30" t="s">
        <v>81</v>
      </c>
      <c r="J116" s="30" t="s">
        <v>135</v>
      </c>
      <c r="K116" s="31">
        <v>45460</v>
      </c>
      <c r="L116" s="31">
        <v>45460</v>
      </c>
      <c r="M116" s="31">
        <v>45460</v>
      </c>
      <c r="N116" s="30"/>
      <c r="O116" s="31"/>
      <c r="P116" s="31"/>
      <c r="Q116" s="31"/>
      <c r="R116" s="31"/>
      <c r="S116" s="31"/>
      <c r="T116" s="31"/>
      <c r="U116" s="30"/>
      <c r="V116" s="30"/>
      <c r="W116" s="30"/>
      <c r="X116" s="30" t="s">
        <v>63</v>
      </c>
      <c r="Y116" s="30" t="s">
        <v>65</v>
      </c>
      <c r="Z116" s="30" t="s">
        <v>65</v>
      </c>
      <c r="AA116" s="30" t="s">
        <v>51</v>
      </c>
      <c r="AB116" s="30"/>
      <c r="AC116" s="30"/>
      <c r="AD116" s="30"/>
      <c r="AE116" s="30" t="s">
        <v>430</v>
      </c>
      <c r="AF116" s="30">
        <v>8013201104</v>
      </c>
      <c r="AG116" s="30" t="s">
        <v>431</v>
      </c>
      <c r="AH116" s="31" t="s">
        <v>55</v>
      </c>
      <c r="AI116" s="31">
        <v>45491</v>
      </c>
      <c r="AJ116" s="31">
        <v>45527</v>
      </c>
      <c r="AK116" s="30" t="s">
        <v>63</v>
      </c>
      <c r="AL116" s="30">
        <v>1250000</v>
      </c>
      <c r="AM116" s="31">
        <v>45504</v>
      </c>
      <c r="AN116" s="31">
        <v>45527</v>
      </c>
      <c r="AO116" s="31"/>
      <c r="AP116" s="31"/>
      <c r="AQ116" s="31"/>
      <c r="AR116" s="31"/>
      <c r="AS116" s="31">
        <v>45537</v>
      </c>
      <c r="AT116" s="30">
        <f t="shared" ca="1" si="14"/>
        <v>0</v>
      </c>
      <c r="AU116" s="32" t="str">
        <f t="shared" ca="1" si="12"/>
        <v/>
      </c>
      <c r="AV116" s="32" t="str" cm="1">
        <f t="array" aca="1" ref="AV116" ca="1">IFERROR(_xlfn.IFS($AU116="","",$AU116&lt;=15,"0-15",AND($AU116&gt;=16,$AU116&lt;=30),"16-30",AND($AU116&gt;=31,$AU116&lt;=45),"31-45",AND($AU116&gt;=46,$AU116&lt;=60),"46-60",AND($AU116&gt;=61,$AU116&lt;=90),"61-90",AND($AU116&gt;=91),"&gt; 90",AND($AU116&gt;=2000),""),"")</f>
        <v/>
      </c>
      <c r="AW116" s="32" cm="1">
        <f t="array" aca="1" ref="AW116" ca="1">IFERROR(_xlfn.IFS(OR($M116="",$AM116=""),"",OR($C116="Offered",$C116="Joined"),($AM116-$M116)-$AT116),"")</f>
        <v>44</v>
      </c>
      <c r="AX116" s="32" cm="1">
        <f t="array" aca="1" ref="AX116" ca="1">IFERROR(_xlfn.IFS(OR($M116="",$AS116=""),"",$C116="Joined",($AS116-$M116)-$AT116),"")</f>
        <v>77</v>
      </c>
      <c r="AY116" s="30" t="str">
        <f>IFERROR(IF(COUNTIFS('Candidate Tracker'!$E:$E,'Positions Tracker'!$B116,'Candidate Tracker'!$C:$C,"Offer Drop")=0,"",COUNTIFS('Candidate Tracker'!$E:$E,'Positions Tracker'!$B116,'Candidate Tracker'!$C:$C,"Offer Drop")),"")</f>
        <v/>
      </c>
      <c r="AZ1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6" s="34" t="str">
        <f>IFERROR(IF(COUNTIFS('Candidate Tracker'!$E:$E,'Positions Tracker'!$B116,'Candidate Tracker'!$I:$I,"Female")=0,"",COUNTIFS('Candidate Tracker'!$E:$E,'Positions Tracker'!$B116,'Candidate Tracker'!$I:$I,"Female")),"")</f>
        <v/>
      </c>
      <c r="BB116" s="34" t="str">
        <f>IFERROR(IF(COUNTIFS('Candidate Tracker'!$E:$E,'Positions Tracker'!$B116,'Candidate Tracker'!$I:$I,"male")=0,"",COUNTIFS('Candidate Tracker'!$E:$E,'Positions Tracker'!$B116,'Candidate Tracker'!$I:$I,"male")),"")</f>
        <v/>
      </c>
      <c r="BC116" s="33" t="str">
        <f>IFERROR(IF(COUNTIFS('Candidate Tracker'!$E:$E,'Positions Tracker'!$B116,'Candidate Tracker'!$C:$C,"&lt;&gt;WIP",'Candidate Tracker'!$C:$C,"&lt;&gt;Hold",'Candidate Tracker'!$C:$C,"&lt;&gt;Cancelled",'Candidate Tracker'!$C:$C,"&lt;&gt;Closed")/COUNTIFS('Candidate Tracker'!$E:$E,'Positions Tracker'!$B116)=0,"",COUNTIFS('Candidate Tracker'!$E:$E,'Positions Tracker'!$B116,'Candidate Tracker'!$C:$C,"&lt;&gt;WIP",'Candidate Tracker'!$C:$C,"&lt;&gt;Hold",'Candidate Tracker'!$C:$C,"&lt;&gt;Cancelled",'Candidate Tracker'!$C:$C,"&lt;&gt;Closed")/COUNTIFS('Candidate Tracker'!$E:$E,'Positions Tracker'!$B116)),"")</f>
        <v/>
      </c>
      <c r="BD116" s="30" t="str">
        <f t="shared" si="15"/>
        <v>Jun-24</v>
      </c>
      <c r="BE116" s="30" t="str">
        <f t="shared" si="16"/>
        <v>Jul-24</v>
      </c>
      <c r="BF116" s="30" t="str">
        <f t="shared" si="17"/>
        <v>Jul-24</v>
      </c>
      <c r="BG116" s="30" t="str">
        <f t="shared" si="18"/>
        <v>Sep-24</v>
      </c>
    </row>
    <row r="117" spans="1:59">
      <c r="A117" s="30">
        <f t="shared" si="13"/>
        <v>116</v>
      </c>
      <c r="B117" s="30" t="s">
        <v>450</v>
      </c>
      <c r="C117" s="30" t="s">
        <v>51</v>
      </c>
      <c r="D117" s="30" t="s">
        <v>51</v>
      </c>
      <c r="E117" s="30" t="s">
        <v>453</v>
      </c>
      <c r="F117" s="30" t="s">
        <v>4102</v>
      </c>
      <c r="G117" s="30" t="s">
        <v>3</v>
      </c>
      <c r="H117" s="30" t="s">
        <v>76</v>
      </c>
      <c r="I117" s="30" t="s">
        <v>243</v>
      </c>
      <c r="J117" s="30" t="s">
        <v>135</v>
      </c>
      <c r="K117" s="31">
        <v>45477</v>
      </c>
      <c r="L117" s="31">
        <v>45477</v>
      </c>
      <c r="M117" s="31">
        <v>45477</v>
      </c>
      <c r="N117" s="30"/>
      <c r="O117" s="31"/>
      <c r="P117" s="31"/>
      <c r="Q117" s="31"/>
      <c r="R117" s="31"/>
      <c r="S117" s="31"/>
      <c r="T117" s="31"/>
      <c r="U117" s="30"/>
      <c r="V117" s="30"/>
      <c r="W117" s="30"/>
      <c r="X117" s="30" t="s">
        <v>63</v>
      </c>
      <c r="Y117" s="30" t="s">
        <v>65</v>
      </c>
      <c r="Z117" s="30" t="s">
        <v>65</v>
      </c>
      <c r="AA117" s="30" t="s">
        <v>51</v>
      </c>
      <c r="AB117" s="30"/>
      <c r="AC117" s="30"/>
      <c r="AD117" s="30"/>
      <c r="AE117" s="30" t="s">
        <v>451</v>
      </c>
      <c r="AF117" s="30">
        <v>7666280966</v>
      </c>
      <c r="AG117" s="30" t="s">
        <v>452</v>
      </c>
      <c r="AH117" s="31" t="s">
        <v>55</v>
      </c>
      <c r="AI117" s="31">
        <v>45533</v>
      </c>
      <c r="AJ117" s="31">
        <v>45552</v>
      </c>
      <c r="AK117" s="30" t="s">
        <v>63</v>
      </c>
      <c r="AL117" s="30">
        <v>750000</v>
      </c>
      <c r="AM117" s="31">
        <v>45538</v>
      </c>
      <c r="AN117" s="31">
        <v>45552</v>
      </c>
      <c r="AO117" s="31"/>
      <c r="AP117" s="31"/>
      <c r="AQ117" s="31"/>
      <c r="AR117" s="31"/>
      <c r="AS117" s="31">
        <v>45544</v>
      </c>
      <c r="AT117" s="30">
        <f t="shared" ca="1" si="14"/>
        <v>0</v>
      </c>
      <c r="AU117" s="32" t="str">
        <f t="shared" ca="1" si="12"/>
        <v/>
      </c>
      <c r="AV117" s="32" t="str" cm="1">
        <f t="array" aca="1" ref="AV117" ca="1">IFERROR(_xlfn.IFS($AU117="","",$AU117&lt;=15,"0-15",AND($AU117&gt;=16,$AU117&lt;=30),"16-30",AND($AU117&gt;=31,$AU117&lt;=45),"31-45",AND($AU117&gt;=46,$AU117&lt;=60),"46-60",AND($AU117&gt;=61,$AU117&lt;=90),"61-90",AND($AU117&gt;=91),"&gt; 90",AND($AU117&gt;=2000),""),"")</f>
        <v/>
      </c>
      <c r="AW117" s="32" cm="1">
        <f t="array" aca="1" ref="AW117" ca="1">IFERROR(_xlfn.IFS(OR($M117="",$AM117=""),"",OR($C117="Offered",$C117="Joined"),($AM117-$M117)-$AT117),"")</f>
        <v>61</v>
      </c>
      <c r="AX117" s="32" cm="1">
        <f t="array" aca="1" ref="AX117" ca="1">IFERROR(_xlfn.IFS(OR($M117="",$AS117=""),"",$C117="Joined",($AS117-$M117)-$AT117),"")</f>
        <v>67</v>
      </c>
      <c r="AY117" s="30" t="str">
        <f>IFERROR(IF(COUNTIFS('Candidate Tracker'!$E:$E,'Positions Tracker'!$B117,'Candidate Tracker'!$C:$C,"Offer Drop")=0,"",COUNTIFS('Candidate Tracker'!$E:$E,'Positions Tracker'!$B117,'Candidate Tracker'!$C:$C,"Offer Drop")),"")</f>
        <v/>
      </c>
      <c r="AZ1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7" s="34" t="str">
        <f>IFERROR(IF(COUNTIFS('Candidate Tracker'!$E:$E,'Positions Tracker'!$B117,'Candidate Tracker'!$I:$I,"Female")=0,"",COUNTIFS('Candidate Tracker'!$E:$E,'Positions Tracker'!$B117,'Candidate Tracker'!$I:$I,"Female")),"")</f>
        <v/>
      </c>
      <c r="BB117" s="34">
        <f>IFERROR(IF(COUNTIFS('Candidate Tracker'!$E:$E,'Positions Tracker'!$B117,'Candidate Tracker'!$I:$I,"male")=0,"",COUNTIFS('Candidate Tracker'!$E:$E,'Positions Tracker'!$B117,'Candidate Tracker'!$I:$I,"male")),"")</f>
        <v>1</v>
      </c>
      <c r="BC117" s="33">
        <f>IFERROR(IF(COUNTIFS('Candidate Tracker'!$E:$E,'Positions Tracker'!$B117,'Candidate Tracker'!$C:$C,"&lt;&gt;WIP",'Candidate Tracker'!$C:$C,"&lt;&gt;Hold",'Candidate Tracker'!$C:$C,"&lt;&gt;Cancelled",'Candidate Tracker'!$C:$C,"&lt;&gt;Closed")/COUNTIFS('Candidate Tracker'!$E:$E,'Positions Tracker'!$B117)=0,"",COUNTIFS('Candidate Tracker'!$E:$E,'Positions Tracker'!$B117,'Candidate Tracker'!$C:$C,"&lt;&gt;WIP",'Candidate Tracker'!$C:$C,"&lt;&gt;Hold",'Candidate Tracker'!$C:$C,"&lt;&gt;Cancelled",'Candidate Tracker'!$C:$C,"&lt;&gt;Closed")/COUNTIFS('Candidate Tracker'!$E:$E,'Positions Tracker'!$B117)),"")</f>
        <v>1</v>
      </c>
      <c r="BD117" s="30" t="str">
        <f t="shared" si="15"/>
        <v>Jul-24</v>
      </c>
      <c r="BE117" s="30" t="str">
        <f t="shared" si="16"/>
        <v>Aug-24</v>
      </c>
      <c r="BF117" s="30" t="str">
        <f t="shared" si="17"/>
        <v>Sep-24</v>
      </c>
      <c r="BG117" s="30" t="str">
        <f t="shared" si="18"/>
        <v>Sep-24</v>
      </c>
    </row>
    <row r="118" spans="1:59">
      <c r="A118" s="30">
        <f t="shared" si="13"/>
        <v>117</v>
      </c>
      <c r="B118" s="30" t="s">
        <v>439</v>
      </c>
      <c r="C118" s="30" t="s">
        <v>51</v>
      </c>
      <c r="D118" s="30" t="s">
        <v>51</v>
      </c>
      <c r="E118" s="30" t="s">
        <v>85</v>
      </c>
      <c r="F118" s="30" t="s">
        <v>4089</v>
      </c>
      <c r="G118" s="30" t="s">
        <v>3</v>
      </c>
      <c r="H118" s="30" t="s">
        <v>118</v>
      </c>
      <c r="I118" s="30" t="s">
        <v>116</v>
      </c>
      <c r="J118" s="30" t="s">
        <v>135</v>
      </c>
      <c r="K118" s="31">
        <v>45588</v>
      </c>
      <c r="L118" s="31">
        <v>45588</v>
      </c>
      <c r="M118" s="31">
        <v>45588</v>
      </c>
      <c r="N118" s="30"/>
      <c r="O118" s="31"/>
      <c r="P118" s="31"/>
      <c r="Q118" s="31"/>
      <c r="R118" s="31"/>
      <c r="S118" s="31"/>
      <c r="T118" s="31"/>
      <c r="U118" s="30"/>
      <c r="V118" s="30"/>
      <c r="W118" s="30"/>
      <c r="X118" s="30" t="s">
        <v>63</v>
      </c>
      <c r="Y118" s="30" t="s">
        <v>65</v>
      </c>
      <c r="Z118" s="30" t="s">
        <v>65</v>
      </c>
      <c r="AA118" s="30" t="s">
        <v>51</v>
      </c>
      <c r="AB118" s="30"/>
      <c r="AC118" s="30"/>
      <c r="AD118" s="30"/>
      <c r="AE118" s="30" t="s">
        <v>440</v>
      </c>
      <c r="AF118" s="30">
        <v>8004906910</v>
      </c>
      <c r="AG118" s="30" t="s">
        <v>441</v>
      </c>
      <c r="AH118" s="31" t="s">
        <v>55</v>
      </c>
      <c r="AI118" s="31">
        <v>45498</v>
      </c>
      <c r="AJ118" s="31">
        <v>45566</v>
      </c>
      <c r="AK118" s="30" t="s">
        <v>63</v>
      </c>
      <c r="AL118" s="30">
        <v>2100000</v>
      </c>
      <c r="AM118" s="31">
        <v>45504</v>
      </c>
      <c r="AN118" s="31">
        <v>45566</v>
      </c>
      <c r="AO118" s="31"/>
      <c r="AP118" s="31"/>
      <c r="AQ118" s="31"/>
      <c r="AR118" s="31"/>
      <c r="AS118" s="31">
        <v>45551</v>
      </c>
      <c r="AT118" s="30">
        <f t="shared" ca="1" si="14"/>
        <v>0</v>
      </c>
      <c r="AU118" s="32" t="str">
        <f t="shared" ca="1" si="12"/>
        <v/>
      </c>
      <c r="AV118" s="32" t="str" cm="1">
        <f t="array" aca="1" ref="AV118" ca="1">IFERROR(_xlfn.IFS($AU118="","",$AU118&lt;=15,"0-15",AND($AU118&gt;=16,$AU118&lt;=30),"16-30",AND($AU118&gt;=31,$AU118&lt;=45),"31-45",AND($AU118&gt;=46,$AU118&lt;=60),"46-60",AND($AU118&gt;=61,$AU118&lt;=90),"61-90",AND($AU118&gt;=91),"&gt; 90",AND($AU118&gt;=2000),""),"")</f>
        <v/>
      </c>
      <c r="AW118" s="32" cm="1">
        <f t="array" aca="1" ref="AW118" ca="1">IFERROR(_xlfn.IFS(OR($M118="",$AM118=""),"",OR($C118="Offered",$C118="Joined"),($AM118-$M118)-$AT118),"")</f>
        <v>-84</v>
      </c>
      <c r="AX118" s="32" cm="1">
        <f t="array" aca="1" ref="AX118" ca="1">IFERROR(_xlfn.IFS(OR($M118="",$AS118=""),"",$C118="Joined",($AS118-$M118)-$AT118),"")</f>
        <v>-37</v>
      </c>
      <c r="AY118" s="30" t="str">
        <f>IFERROR(IF(COUNTIFS('Candidate Tracker'!$E:$E,'Positions Tracker'!$B118,'Candidate Tracker'!$C:$C,"Offer Drop")=0,"",COUNTIFS('Candidate Tracker'!$E:$E,'Positions Tracker'!$B118,'Candidate Tracker'!$C:$C,"Offer Drop")),"")</f>
        <v/>
      </c>
      <c r="AZ1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8" s="34" t="str">
        <f>IFERROR(IF(COUNTIFS('Candidate Tracker'!$E:$E,'Positions Tracker'!$B118,'Candidate Tracker'!$I:$I,"Female")=0,"",COUNTIFS('Candidate Tracker'!$E:$E,'Positions Tracker'!$B118,'Candidate Tracker'!$I:$I,"Female")),"")</f>
        <v/>
      </c>
      <c r="BB118" s="34">
        <f>IFERROR(IF(COUNTIFS('Candidate Tracker'!$E:$E,'Positions Tracker'!$B118,'Candidate Tracker'!$I:$I,"male")=0,"",COUNTIFS('Candidate Tracker'!$E:$E,'Positions Tracker'!$B118,'Candidate Tracker'!$I:$I,"male")),"")</f>
        <v>1</v>
      </c>
      <c r="BC118" s="33">
        <f>IFERROR(IF(COUNTIFS('Candidate Tracker'!$E:$E,'Positions Tracker'!$B118,'Candidate Tracker'!$C:$C,"&lt;&gt;WIP",'Candidate Tracker'!$C:$C,"&lt;&gt;Hold",'Candidate Tracker'!$C:$C,"&lt;&gt;Cancelled",'Candidate Tracker'!$C:$C,"&lt;&gt;Closed")/COUNTIFS('Candidate Tracker'!$E:$E,'Positions Tracker'!$B118)=0,"",COUNTIFS('Candidate Tracker'!$E:$E,'Positions Tracker'!$B118,'Candidate Tracker'!$C:$C,"&lt;&gt;WIP",'Candidate Tracker'!$C:$C,"&lt;&gt;Hold",'Candidate Tracker'!$C:$C,"&lt;&gt;Cancelled",'Candidate Tracker'!$C:$C,"&lt;&gt;Closed")/COUNTIFS('Candidate Tracker'!$E:$E,'Positions Tracker'!$B118)),"")</f>
        <v>1</v>
      </c>
      <c r="BD118" s="30" t="str">
        <f t="shared" si="15"/>
        <v>Oct-24</v>
      </c>
      <c r="BE118" s="30" t="str">
        <f t="shared" si="16"/>
        <v>Jul-24</v>
      </c>
      <c r="BF118" s="30" t="str">
        <f t="shared" si="17"/>
        <v>Jul-24</v>
      </c>
      <c r="BG118" s="30" t="str">
        <f t="shared" si="18"/>
        <v>Sep-24</v>
      </c>
    </row>
    <row r="119" spans="1:59">
      <c r="A119" s="30">
        <f t="shared" si="13"/>
        <v>118</v>
      </c>
      <c r="B119" s="30" t="s">
        <v>446</v>
      </c>
      <c r="C119" s="30" t="s">
        <v>51</v>
      </c>
      <c r="D119" s="30" t="s">
        <v>51</v>
      </c>
      <c r="E119" s="30" t="s">
        <v>449</v>
      </c>
      <c r="F119" s="30" t="s">
        <v>4103</v>
      </c>
      <c r="G119" s="30" t="s">
        <v>3</v>
      </c>
      <c r="H119" s="30" t="s">
        <v>66</v>
      </c>
      <c r="I119" s="30" t="s">
        <v>252</v>
      </c>
      <c r="J119" s="30" t="s">
        <v>135</v>
      </c>
      <c r="K119" s="31">
        <v>45588</v>
      </c>
      <c r="L119" s="31">
        <v>45588</v>
      </c>
      <c r="M119" s="31">
        <v>45505</v>
      </c>
      <c r="N119" s="30">
        <v>45474</v>
      </c>
      <c r="O119" s="31"/>
      <c r="P119" s="31"/>
      <c r="Q119" s="31"/>
      <c r="R119" s="31"/>
      <c r="S119" s="31"/>
      <c r="T119" s="31"/>
      <c r="U119" s="30"/>
      <c r="V119" s="30"/>
      <c r="W119" s="30"/>
      <c r="X119" s="30" t="s">
        <v>63</v>
      </c>
      <c r="Y119" s="30" t="s">
        <v>65</v>
      </c>
      <c r="Z119" s="30" t="s">
        <v>65</v>
      </c>
      <c r="AA119" s="30" t="s">
        <v>51</v>
      </c>
      <c r="AB119" s="30"/>
      <c r="AC119" s="30"/>
      <c r="AD119" s="30"/>
      <c r="AE119" s="30" t="s">
        <v>447</v>
      </c>
      <c r="AF119" s="30">
        <v>9552498454</v>
      </c>
      <c r="AG119" s="30" t="s">
        <v>448</v>
      </c>
      <c r="AH119" s="31" t="s">
        <v>101</v>
      </c>
      <c r="AI119" s="31">
        <v>45525</v>
      </c>
      <c r="AJ119" s="31">
        <v>45628</v>
      </c>
      <c r="AK119" s="30" t="s">
        <v>63</v>
      </c>
      <c r="AL119" s="30">
        <v>800000</v>
      </c>
      <c r="AM119" s="31">
        <v>45533</v>
      </c>
      <c r="AN119" s="31">
        <v>45628</v>
      </c>
      <c r="AO119" s="31"/>
      <c r="AP119" s="31"/>
      <c r="AQ119" s="31"/>
      <c r="AR119" s="31"/>
      <c r="AS119" s="31">
        <v>45586</v>
      </c>
      <c r="AT119" s="30">
        <f t="shared" ca="1" si="14"/>
        <v>0</v>
      </c>
      <c r="AU119" s="32" t="str">
        <f t="shared" ca="1" si="12"/>
        <v/>
      </c>
      <c r="AV119" s="32" t="str" cm="1">
        <f t="array" aca="1" ref="AV119" ca="1">IFERROR(_xlfn.IFS($AU119="","",$AU119&lt;=15,"0-15",AND($AU119&gt;=16,$AU119&lt;=30),"16-30",AND($AU119&gt;=31,$AU119&lt;=45),"31-45",AND($AU119&gt;=46,$AU119&lt;=60),"46-60",AND($AU119&gt;=61,$AU119&lt;=90),"61-90",AND($AU119&gt;=91),"&gt; 90",AND($AU119&gt;=2000),""),"")</f>
        <v/>
      </c>
      <c r="AW119" s="32" cm="1">
        <f t="array" aca="1" ref="AW119" ca="1">IFERROR(_xlfn.IFS(OR($M119="",$AM119=""),"",OR($C119="Offered",$C119="Joined"),($AM119-$M119)-$AT119),"")</f>
        <v>28</v>
      </c>
      <c r="AX119" s="32" cm="1">
        <f t="array" aca="1" ref="AX119" ca="1">IFERROR(_xlfn.IFS(OR($M119="",$AS119=""),"",$C119="Joined",($AS119-$M119)-$AT119),"")</f>
        <v>81</v>
      </c>
      <c r="AY119" s="30" t="str">
        <f>IFERROR(IF(COUNTIFS('Candidate Tracker'!$E:$E,'Positions Tracker'!$B119,'Candidate Tracker'!$C:$C,"Offer Drop")=0,"",COUNTIFS('Candidate Tracker'!$E:$E,'Positions Tracker'!$B119,'Candidate Tracker'!$C:$C,"Offer Drop")),"")</f>
        <v/>
      </c>
      <c r="AZ1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19" s="34">
        <f>IFERROR(IF(COUNTIFS('Candidate Tracker'!$E:$E,'Positions Tracker'!$B119,'Candidate Tracker'!$I:$I,"Female")=0,"",COUNTIFS('Candidate Tracker'!$E:$E,'Positions Tracker'!$B119,'Candidate Tracker'!$I:$I,"Female")),"")</f>
        <v>1</v>
      </c>
      <c r="BB119" s="34" t="str">
        <f>IFERROR(IF(COUNTIFS('Candidate Tracker'!$E:$E,'Positions Tracker'!$B119,'Candidate Tracker'!$I:$I,"male")=0,"",COUNTIFS('Candidate Tracker'!$E:$E,'Positions Tracker'!$B119,'Candidate Tracker'!$I:$I,"male")),"")</f>
        <v/>
      </c>
      <c r="BC119" s="33">
        <f>IFERROR(IF(COUNTIFS('Candidate Tracker'!$E:$E,'Positions Tracker'!$B119,'Candidate Tracker'!$C:$C,"&lt;&gt;WIP",'Candidate Tracker'!$C:$C,"&lt;&gt;Hold",'Candidate Tracker'!$C:$C,"&lt;&gt;Cancelled",'Candidate Tracker'!$C:$C,"&lt;&gt;Closed")/COUNTIFS('Candidate Tracker'!$E:$E,'Positions Tracker'!$B119)=0,"",COUNTIFS('Candidate Tracker'!$E:$E,'Positions Tracker'!$B119,'Candidate Tracker'!$C:$C,"&lt;&gt;WIP",'Candidate Tracker'!$C:$C,"&lt;&gt;Hold",'Candidate Tracker'!$C:$C,"&lt;&gt;Cancelled",'Candidate Tracker'!$C:$C,"&lt;&gt;Closed")/COUNTIFS('Candidate Tracker'!$E:$E,'Positions Tracker'!$B119)),"")</f>
        <v>1</v>
      </c>
      <c r="BD119" s="30" t="str">
        <f t="shared" si="15"/>
        <v>Aug-24</v>
      </c>
      <c r="BE119" s="30" t="str">
        <f t="shared" si="16"/>
        <v>Aug-24</v>
      </c>
      <c r="BF119" s="30" t="str">
        <f t="shared" si="17"/>
        <v>Aug-24</v>
      </c>
      <c r="BG119" s="30" t="str">
        <f t="shared" si="18"/>
        <v>Oct-24</v>
      </c>
    </row>
    <row r="120" spans="1:59">
      <c r="A120" s="30">
        <f t="shared" si="13"/>
        <v>119</v>
      </c>
      <c r="B120" s="30" t="s">
        <v>442</v>
      </c>
      <c r="C120" s="30" t="s">
        <v>51</v>
      </c>
      <c r="D120" s="30" t="s">
        <v>51</v>
      </c>
      <c r="E120" s="30" t="s">
        <v>445</v>
      </c>
      <c r="F120" s="30" t="s">
        <v>4103</v>
      </c>
      <c r="G120" s="30" t="s">
        <v>3</v>
      </c>
      <c r="H120" s="30" t="s">
        <v>66</v>
      </c>
      <c r="I120" s="30" t="s">
        <v>252</v>
      </c>
      <c r="J120" s="30" t="s">
        <v>351</v>
      </c>
      <c r="K120" s="31">
        <v>45450</v>
      </c>
      <c r="L120" s="31">
        <v>45588</v>
      </c>
      <c r="M120" s="31">
        <v>45511</v>
      </c>
      <c r="N120" s="30" t="s">
        <v>3861</v>
      </c>
      <c r="O120" s="31"/>
      <c r="P120" s="31"/>
      <c r="Q120" s="31"/>
      <c r="R120" s="31"/>
      <c r="S120" s="31"/>
      <c r="T120" s="31"/>
      <c r="U120" s="30"/>
      <c r="V120" s="30"/>
      <c r="W120" s="30"/>
      <c r="X120" s="30" t="s">
        <v>63</v>
      </c>
      <c r="Y120" s="30" t="s">
        <v>65</v>
      </c>
      <c r="Z120" s="30" t="s">
        <v>65</v>
      </c>
      <c r="AA120" s="30" t="s">
        <v>51</v>
      </c>
      <c r="AB120" s="30"/>
      <c r="AC120" s="30"/>
      <c r="AD120" s="30"/>
      <c r="AE120" s="30" t="s">
        <v>443</v>
      </c>
      <c r="AF120" s="30">
        <v>6383231342</v>
      </c>
      <c r="AG120" s="30" t="s">
        <v>444</v>
      </c>
      <c r="AH120" s="31" t="s">
        <v>55</v>
      </c>
      <c r="AI120" s="31">
        <v>45518</v>
      </c>
      <c r="AJ120" s="31">
        <v>45624</v>
      </c>
      <c r="AK120" s="30" t="s">
        <v>63</v>
      </c>
      <c r="AL120" s="30">
        <v>850000</v>
      </c>
      <c r="AM120" s="31">
        <v>45527</v>
      </c>
      <c r="AN120" s="31">
        <v>45624</v>
      </c>
      <c r="AO120" s="31"/>
      <c r="AP120" s="31"/>
      <c r="AQ120" s="31"/>
      <c r="AR120" s="31"/>
      <c r="AS120" s="31">
        <v>45593</v>
      </c>
      <c r="AT120" s="30">
        <f t="shared" ca="1" si="14"/>
        <v>0</v>
      </c>
      <c r="AU120" s="32" t="str">
        <f t="shared" ca="1" si="12"/>
        <v/>
      </c>
      <c r="AV120" s="32" t="str" cm="1">
        <f t="array" aca="1" ref="AV120" ca="1">IFERROR(_xlfn.IFS($AU120="","",$AU120&lt;=15,"0-15",AND($AU120&gt;=16,$AU120&lt;=30),"16-30",AND($AU120&gt;=31,$AU120&lt;=45),"31-45",AND($AU120&gt;=46,$AU120&lt;=60),"46-60",AND($AU120&gt;=61,$AU120&lt;=90),"61-90",AND($AU120&gt;=91),"&gt; 90",AND($AU120&gt;=2000),""),"")</f>
        <v/>
      </c>
      <c r="AW120" s="32" cm="1">
        <f t="array" aca="1" ref="AW120" ca="1">IFERROR(_xlfn.IFS(OR($M120="",$AM120=""),"",OR($C120="Offered",$C120="Joined"),($AM120-$M120)-$AT120),"")</f>
        <v>16</v>
      </c>
      <c r="AX120" s="32" cm="1">
        <f t="array" aca="1" ref="AX120" ca="1">IFERROR(_xlfn.IFS(OR($M120="",$AS120=""),"",$C120="Joined",($AS120-$M120)-$AT120),"")</f>
        <v>82</v>
      </c>
      <c r="AY120" s="30" t="str">
        <f>IFERROR(IF(COUNTIFS('Candidate Tracker'!$E:$E,'Positions Tracker'!$B120,'Candidate Tracker'!$C:$C,"Offer Drop")=0,"",COUNTIFS('Candidate Tracker'!$E:$E,'Positions Tracker'!$B120,'Candidate Tracker'!$C:$C,"Offer Drop")),"")</f>
        <v/>
      </c>
      <c r="AZ1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0" s="34" t="str">
        <f>IFERROR(IF(COUNTIFS('Candidate Tracker'!$E:$E,'Positions Tracker'!$B120,'Candidate Tracker'!$I:$I,"Female")=0,"",COUNTIFS('Candidate Tracker'!$E:$E,'Positions Tracker'!$B120,'Candidate Tracker'!$I:$I,"Female")),"")</f>
        <v/>
      </c>
      <c r="BB120" s="34">
        <f>IFERROR(IF(COUNTIFS('Candidate Tracker'!$E:$E,'Positions Tracker'!$B120,'Candidate Tracker'!$I:$I,"male")=0,"",COUNTIFS('Candidate Tracker'!$E:$E,'Positions Tracker'!$B120,'Candidate Tracker'!$I:$I,"male")),"")</f>
        <v>1</v>
      </c>
      <c r="BC120" s="33">
        <f>IFERROR(IF(COUNTIFS('Candidate Tracker'!$E:$E,'Positions Tracker'!$B120,'Candidate Tracker'!$C:$C,"&lt;&gt;WIP",'Candidate Tracker'!$C:$C,"&lt;&gt;Hold",'Candidate Tracker'!$C:$C,"&lt;&gt;Cancelled",'Candidate Tracker'!$C:$C,"&lt;&gt;Closed")/COUNTIFS('Candidate Tracker'!$E:$E,'Positions Tracker'!$B120)=0,"",COUNTIFS('Candidate Tracker'!$E:$E,'Positions Tracker'!$B120,'Candidate Tracker'!$C:$C,"&lt;&gt;WIP",'Candidate Tracker'!$C:$C,"&lt;&gt;Hold",'Candidate Tracker'!$C:$C,"&lt;&gt;Cancelled",'Candidate Tracker'!$C:$C,"&lt;&gt;Closed")/COUNTIFS('Candidate Tracker'!$E:$E,'Positions Tracker'!$B120)),"")</f>
        <v>1</v>
      </c>
      <c r="BD120" s="30" t="str">
        <f t="shared" si="15"/>
        <v>Aug-24</v>
      </c>
      <c r="BE120" s="30" t="str">
        <f t="shared" si="16"/>
        <v>Aug-24</v>
      </c>
      <c r="BF120" s="30" t="str">
        <f t="shared" si="17"/>
        <v>Aug-24</v>
      </c>
      <c r="BG120" s="30" t="str">
        <f t="shared" si="18"/>
        <v>Oct-24</v>
      </c>
    </row>
    <row r="121" spans="1:59">
      <c r="A121" s="30">
        <f t="shared" si="13"/>
        <v>120</v>
      </c>
      <c r="B121" s="30" t="s">
        <v>454</v>
      </c>
      <c r="C121" s="30" t="s">
        <v>51</v>
      </c>
      <c r="D121" s="30" t="s">
        <v>51</v>
      </c>
      <c r="E121" s="30" t="s">
        <v>457</v>
      </c>
      <c r="F121" s="30" t="s">
        <v>4104</v>
      </c>
      <c r="G121" s="30" t="s">
        <v>3</v>
      </c>
      <c r="H121" s="30" t="s">
        <v>118</v>
      </c>
      <c r="I121" s="30" t="s">
        <v>116</v>
      </c>
      <c r="J121" s="30" t="s">
        <v>135</v>
      </c>
      <c r="K121" s="31">
        <v>45477</v>
      </c>
      <c r="L121" s="31">
        <v>45603</v>
      </c>
      <c r="M121" s="31">
        <v>45593</v>
      </c>
      <c r="N121" s="30" t="s">
        <v>3850</v>
      </c>
      <c r="O121" s="31"/>
      <c r="P121" s="31"/>
      <c r="Q121" s="31"/>
      <c r="R121" s="31"/>
      <c r="S121" s="31"/>
      <c r="T121" s="31"/>
      <c r="U121" s="30"/>
      <c r="V121" s="30"/>
      <c r="W121" s="30"/>
      <c r="X121" s="30" t="s">
        <v>63</v>
      </c>
      <c r="Y121" s="30" t="s">
        <v>65</v>
      </c>
      <c r="Z121" s="30" t="s">
        <v>65</v>
      </c>
      <c r="AA121" s="30" t="s">
        <v>51</v>
      </c>
      <c r="AB121" s="30"/>
      <c r="AC121" s="30"/>
      <c r="AD121" s="30"/>
      <c r="AE121" s="30" t="s">
        <v>455</v>
      </c>
      <c r="AF121" s="30">
        <v>8333002363</v>
      </c>
      <c r="AG121" s="30" t="s">
        <v>456</v>
      </c>
      <c r="AH121" s="31" t="s">
        <v>101</v>
      </c>
      <c r="AI121" s="31">
        <v>45546</v>
      </c>
      <c r="AJ121" s="31">
        <v>45677</v>
      </c>
      <c r="AK121" s="30" t="s">
        <v>63</v>
      </c>
      <c r="AL121" s="30">
        <v>850000</v>
      </c>
      <c r="AM121" s="31">
        <v>45552</v>
      </c>
      <c r="AN121" s="31">
        <v>45677</v>
      </c>
      <c r="AO121" s="31"/>
      <c r="AP121" s="31"/>
      <c r="AQ121" s="31"/>
      <c r="AR121" s="31"/>
      <c r="AS121" s="31">
        <v>45614</v>
      </c>
      <c r="AT121" s="30">
        <f t="shared" ca="1" si="14"/>
        <v>0</v>
      </c>
      <c r="AU121" s="32" t="str">
        <f t="shared" ca="1" si="12"/>
        <v/>
      </c>
      <c r="AV121" s="32" t="str" cm="1">
        <f t="array" aca="1" ref="AV121" ca="1">IFERROR(_xlfn.IFS($AU121="","",$AU121&lt;=15,"0-15",AND($AU121&gt;=16,$AU121&lt;=30),"16-30",AND($AU121&gt;=31,$AU121&lt;=45),"31-45",AND($AU121&gt;=46,$AU121&lt;=60),"46-60",AND($AU121&gt;=61,$AU121&lt;=90),"61-90",AND($AU121&gt;=91),"&gt; 90",AND($AU121&gt;=2000),""),"")</f>
        <v/>
      </c>
      <c r="AW121" s="32" cm="1">
        <f t="array" aca="1" ref="AW121" ca="1">IFERROR(_xlfn.IFS(OR($M121="",$AM121=""),"",OR($C121="Offered",$C121="Joined"),($AM121-$M121)-$AT121),"")</f>
        <v>-41</v>
      </c>
      <c r="AX121" s="32" cm="1">
        <f t="array" aca="1" ref="AX121" ca="1">IFERROR(_xlfn.IFS(OR($M121="",$AS121=""),"",$C121="Joined",($AS121-$M121)-$AT121),"")</f>
        <v>21</v>
      </c>
      <c r="AY121" s="30" t="str">
        <f>IFERROR(IF(COUNTIFS('Candidate Tracker'!$E:$E,'Positions Tracker'!$B121,'Candidate Tracker'!$C:$C,"Offer Drop")=0,"",COUNTIFS('Candidate Tracker'!$E:$E,'Positions Tracker'!$B121,'Candidate Tracker'!$C:$C,"Offer Drop")),"")</f>
        <v/>
      </c>
      <c r="AZ1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1" s="34" t="str">
        <f>IFERROR(IF(COUNTIFS('Candidate Tracker'!$E:$E,'Positions Tracker'!$B121,'Candidate Tracker'!$I:$I,"Female")=0,"",COUNTIFS('Candidate Tracker'!$E:$E,'Positions Tracker'!$B121,'Candidate Tracker'!$I:$I,"Female")),"")</f>
        <v/>
      </c>
      <c r="BB121" s="34">
        <f>IFERROR(IF(COUNTIFS('Candidate Tracker'!$E:$E,'Positions Tracker'!$B121,'Candidate Tracker'!$I:$I,"male")=0,"",COUNTIFS('Candidate Tracker'!$E:$E,'Positions Tracker'!$B121,'Candidate Tracker'!$I:$I,"male")),"")</f>
        <v>1</v>
      </c>
      <c r="BC121" s="33">
        <f>IFERROR(IF(COUNTIFS('Candidate Tracker'!$E:$E,'Positions Tracker'!$B121,'Candidate Tracker'!$C:$C,"&lt;&gt;WIP",'Candidate Tracker'!$C:$C,"&lt;&gt;Hold",'Candidate Tracker'!$C:$C,"&lt;&gt;Cancelled",'Candidate Tracker'!$C:$C,"&lt;&gt;Closed")/COUNTIFS('Candidate Tracker'!$E:$E,'Positions Tracker'!$B121)=0,"",COUNTIFS('Candidate Tracker'!$E:$E,'Positions Tracker'!$B121,'Candidate Tracker'!$C:$C,"&lt;&gt;WIP",'Candidate Tracker'!$C:$C,"&lt;&gt;Hold",'Candidate Tracker'!$C:$C,"&lt;&gt;Cancelled",'Candidate Tracker'!$C:$C,"&lt;&gt;Closed")/COUNTIFS('Candidate Tracker'!$E:$E,'Positions Tracker'!$B121)),"")</f>
        <v>1</v>
      </c>
      <c r="BD121" s="30" t="str">
        <f t="shared" si="15"/>
        <v>Oct-24</v>
      </c>
      <c r="BE121" s="30" t="str">
        <f t="shared" si="16"/>
        <v>Sep-24</v>
      </c>
      <c r="BF121" s="30" t="str">
        <f t="shared" si="17"/>
        <v>Sep-24</v>
      </c>
      <c r="BG121" s="30" t="str">
        <f t="shared" si="18"/>
        <v>Nov-24</v>
      </c>
    </row>
    <row r="122" spans="1:59">
      <c r="A122" s="30">
        <f t="shared" si="13"/>
        <v>121</v>
      </c>
      <c r="B122" s="30" t="s">
        <v>964</v>
      </c>
      <c r="C122" s="30" t="s">
        <v>3847</v>
      </c>
      <c r="D122" s="30" t="s">
        <v>1920</v>
      </c>
      <c r="E122" s="30" t="s">
        <v>967</v>
      </c>
      <c r="F122" s="30" t="s">
        <v>4081</v>
      </c>
      <c r="G122" s="30" t="s">
        <v>3</v>
      </c>
      <c r="H122" s="30" t="s">
        <v>66</v>
      </c>
      <c r="I122" s="30" t="s">
        <v>428</v>
      </c>
      <c r="J122" s="30" t="s">
        <v>135</v>
      </c>
      <c r="K122" s="31">
        <v>45717</v>
      </c>
      <c r="L122" s="31">
        <v>45717</v>
      </c>
      <c r="M122" s="31">
        <v>45717</v>
      </c>
      <c r="N122" s="30" t="s">
        <v>3861</v>
      </c>
      <c r="O122" s="31"/>
      <c r="P122" s="31"/>
      <c r="Q122" s="31"/>
      <c r="R122" s="31"/>
      <c r="S122" s="31"/>
      <c r="T122" s="31"/>
      <c r="U122" s="30"/>
      <c r="V122" s="30"/>
      <c r="W122" s="30"/>
      <c r="X122" s="30" t="s">
        <v>63</v>
      </c>
      <c r="Y122" s="30" t="s">
        <v>65</v>
      </c>
      <c r="Z122" s="30" t="s">
        <v>65</v>
      </c>
      <c r="AA122" s="30" t="s">
        <v>4105</v>
      </c>
      <c r="AB122" s="30"/>
      <c r="AC122" s="30"/>
      <c r="AD122" s="30"/>
      <c r="AE122" s="30"/>
      <c r="AF122" s="30"/>
      <c r="AG122" s="30"/>
      <c r="AH122" s="31"/>
      <c r="AI122" s="31"/>
      <c r="AJ122" s="31"/>
      <c r="AK122" s="30"/>
      <c r="AL122" s="30"/>
      <c r="AM122" s="31"/>
      <c r="AN122" s="31"/>
      <c r="AO122" s="31"/>
      <c r="AP122" s="31"/>
      <c r="AQ122" s="31"/>
      <c r="AR122" s="31"/>
      <c r="AS122" s="31">
        <v>45624</v>
      </c>
      <c r="AT122" s="30">
        <f t="shared" ca="1" si="14"/>
        <v>0</v>
      </c>
      <c r="AU122" s="32" t="str">
        <f t="shared" ca="1" si="12"/>
        <v/>
      </c>
      <c r="AV122" s="32" t="str" cm="1">
        <f t="array" aca="1" ref="AV122" ca="1">IFERROR(_xlfn.IFS($AU122="","",$AU122&lt;=15,"0-15",AND($AU122&gt;=16,$AU122&lt;=30),"16-30",AND($AU122&gt;=31,$AU122&lt;=45),"31-45",AND($AU122&gt;=46,$AU122&lt;=60),"46-60",AND($AU122&gt;=61,$AU122&lt;=90),"61-90",AND($AU122&gt;=91),"&gt; 90",AND($AU122&gt;=2000),""),"")</f>
        <v/>
      </c>
      <c r="AW122" s="32" t="str" cm="1">
        <f t="array" aca="1" ref="AW122" ca="1">IFERROR(_xlfn.IFS(OR($M122="",$AM122=""),"",OR($C122="Offered",$C122="Joined"),($AM122-$M122)-$AT122),"")</f>
        <v/>
      </c>
      <c r="AX122" s="32" t="str" cm="1">
        <f t="array" aca="1" ref="AX122" ca="1">IFERROR(_xlfn.IFS(OR($M122="",$AS122=""),"",$C122="Joined",($AS122-$M122)-$AT122),"")</f>
        <v/>
      </c>
      <c r="AY122" s="30" t="str">
        <f>IFERROR(IF(COUNTIFS('Candidate Tracker'!$E:$E,'Positions Tracker'!$B122,'Candidate Tracker'!$C:$C,"Offer Drop")=0,"",COUNTIFS('Candidate Tracker'!$E:$E,'Positions Tracker'!$B122,'Candidate Tracker'!$C:$C,"Offer Drop")),"")</f>
        <v/>
      </c>
      <c r="AZ1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2" s="34" t="str">
        <f>IFERROR(IF(COUNTIFS('Candidate Tracker'!$E:$E,'Positions Tracker'!$B122,'Candidate Tracker'!$I:$I,"Female")=0,"",COUNTIFS('Candidate Tracker'!$E:$E,'Positions Tracker'!$B122,'Candidate Tracker'!$I:$I,"Female")),"")</f>
        <v/>
      </c>
      <c r="BB122" s="34">
        <f>IFERROR(IF(COUNTIFS('Candidate Tracker'!$E:$E,'Positions Tracker'!$B122,'Candidate Tracker'!$I:$I,"male")=0,"",COUNTIFS('Candidate Tracker'!$E:$E,'Positions Tracker'!$B122,'Candidate Tracker'!$I:$I,"male")),"")</f>
        <v>10</v>
      </c>
      <c r="BC122" s="33" t="str">
        <f>IFERROR(IF(COUNTIFS('Candidate Tracker'!$E:$E,'Positions Tracker'!$B122,'Candidate Tracker'!$C:$C,"&lt;&gt;WIP",'Candidate Tracker'!$C:$C,"&lt;&gt;Hold",'Candidate Tracker'!$C:$C,"&lt;&gt;Cancelled",'Candidate Tracker'!$C:$C,"&lt;&gt;Closed")/COUNTIFS('Candidate Tracker'!$E:$E,'Positions Tracker'!$B122)=0,"",COUNTIFS('Candidate Tracker'!$E:$E,'Positions Tracker'!$B122,'Candidate Tracker'!$C:$C,"&lt;&gt;WIP",'Candidate Tracker'!$C:$C,"&lt;&gt;Hold",'Candidate Tracker'!$C:$C,"&lt;&gt;Cancelled",'Candidate Tracker'!$C:$C,"&lt;&gt;Closed")/COUNTIFS('Candidate Tracker'!$E:$E,'Positions Tracker'!$B122)),"")</f>
        <v/>
      </c>
      <c r="BD122" s="30" t="str">
        <f t="shared" si="15"/>
        <v>Mar-25</v>
      </c>
      <c r="BE122" s="30" t="str">
        <f t="shared" si="16"/>
        <v/>
      </c>
      <c r="BF122" s="30" t="str">
        <f t="shared" si="17"/>
        <v/>
      </c>
      <c r="BG122" s="30" t="str">
        <f t="shared" si="18"/>
        <v>Nov-24</v>
      </c>
    </row>
    <row r="123" spans="1:59">
      <c r="A123" s="30">
        <f t="shared" si="13"/>
        <v>122</v>
      </c>
      <c r="B123" s="30">
        <v>20254427</v>
      </c>
      <c r="C123" s="30" t="s">
        <v>1044</v>
      </c>
      <c r="D123" s="30" t="s">
        <v>320</v>
      </c>
      <c r="E123" s="30" t="s">
        <v>518</v>
      </c>
      <c r="F123" s="30" t="s">
        <v>4106</v>
      </c>
      <c r="G123" s="30" t="s">
        <v>3</v>
      </c>
      <c r="H123" s="30" t="s">
        <v>118</v>
      </c>
      <c r="I123" s="30" t="s">
        <v>116</v>
      </c>
      <c r="J123" s="30" t="s">
        <v>135</v>
      </c>
      <c r="K123" s="31">
        <v>45350</v>
      </c>
      <c r="L123" s="31">
        <v>45485</v>
      </c>
      <c r="M123" s="31">
        <v>45669</v>
      </c>
      <c r="N123" s="30" t="s">
        <v>3861</v>
      </c>
      <c r="O123" s="31"/>
      <c r="P123" s="31"/>
      <c r="Q123" s="31"/>
      <c r="R123" s="31"/>
      <c r="S123" s="31"/>
      <c r="T123" s="31"/>
      <c r="U123" s="30"/>
      <c r="V123" s="30"/>
      <c r="W123" s="30"/>
      <c r="X123" s="30" t="s">
        <v>63</v>
      </c>
      <c r="Y123" s="30" t="s">
        <v>218</v>
      </c>
      <c r="Z123" s="30" t="s">
        <v>218</v>
      </c>
      <c r="AA123" s="30" t="s">
        <v>4107</v>
      </c>
      <c r="AB123" s="30"/>
      <c r="AC123" s="30"/>
      <c r="AD123" s="30"/>
      <c r="AE123" s="30" t="s">
        <v>4108</v>
      </c>
      <c r="AF123" s="30">
        <v>9913164111</v>
      </c>
      <c r="AG123" s="30" t="s">
        <v>4109</v>
      </c>
      <c r="AH123" s="31" t="s">
        <v>101</v>
      </c>
      <c r="AI123" s="31">
        <v>45757</v>
      </c>
      <c r="AJ123" s="31">
        <v>45761</v>
      </c>
      <c r="AK123" s="30" t="s">
        <v>63</v>
      </c>
      <c r="AL123" s="30">
        <v>1500000</v>
      </c>
      <c r="AM123" s="31">
        <v>45761</v>
      </c>
      <c r="AN123" s="31">
        <v>45762</v>
      </c>
      <c r="AO123" s="31">
        <v>45803</v>
      </c>
      <c r="AP123" s="31">
        <v>45765</v>
      </c>
      <c r="AQ123" s="31">
        <v>45766</v>
      </c>
      <c r="AR123" s="31">
        <v>45813</v>
      </c>
      <c r="AS123" s="31">
        <v>45817</v>
      </c>
      <c r="AT123" s="30">
        <f t="shared" ca="1" si="14"/>
        <v>0</v>
      </c>
      <c r="AU123" s="32" t="str">
        <f t="shared" ca="1" si="12"/>
        <v/>
      </c>
      <c r="AV123" s="32" t="str" cm="1">
        <f t="array" aca="1" ref="AV123" ca="1">IFERROR(_xlfn.IFS($AU123="","",$AU123&lt;=15,"0-15",AND($AU123&gt;=16,$AU123&lt;=30),"16-30",AND($AU123&gt;=31,$AU123&lt;=45),"31-45",AND($AU123&gt;=46,$AU123&lt;=60),"46-60",AND($AU123&gt;=61,$AU123&lt;=90),"61-90",AND($AU123&gt;=91),"&gt; 90",AND($AU123&gt;=2000),""),"")</f>
        <v/>
      </c>
      <c r="AW123" s="32" t="str" cm="1">
        <f t="array" aca="1" ref="AW123" ca="1">IFERROR(_xlfn.IFS(OR($M123="",$AM123=""),"",OR($C123="Offered",$C123="Joined"),($AM123-$M123)-$AT123),"")</f>
        <v/>
      </c>
      <c r="AX123" s="32" t="str" cm="1">
        <f t="array" aca="1" ref="AX123" ca="1">IFERROR(_xlfn.IFS(OR($M123="",$AS123=""),"",$C123="Joined",($AS123-$M123)-$AT123),"")</f>
        <v/>
      </c>
      <c r="AY123" s="30" t="str">
        <f>IFERROR(IF(COUNTIFS('Candidate Tracker'!$E:$E,'Positions Tracker'!$B123,'Candidate Tracker'!$C:$C,"Offer Drop")=0,"",COUNTIFS('Candidate Tracker'!$E:$E,'Positions Tracker'!$B123,'Candidate Tracker'!$C:$C,"Offer Drop")),"")</f>
        <v/>
      </c>
      <c r="AZ1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3" s="34" t="str">
        <f>IFERROR(IF(COUNTIFS('Candidate Tracker'!$E:$E,'Positions Tracker'!$B123,'Candidate Tracker'!$I:$I,"Female")=0,"",COUNTIFS('Candidate Tracker'!$E:$E,'Positions Tracker'!$B123,'Candidate Tracker'!$I:$I,"Female")),"")</f>
        <v/>
      </c>
      <c r="BB123" s="34" t="str">
        <f>IFERROR(IF(COUNTIFS('Candidate Tracker'!$E:$E,'Positions Tracker'!$B123,'Candidate Tracker'!$I:$I,"male")=0,"",COUNTIFS('Candidate Tracker'!$E:$E,'Positions Tracker'!$B123,'Candidate Tracker'!$I:$I,"male")),"")</f>
        <v/>
      </c>
      <c r="BC123" s="33" t="str">
        <f>IFERROR(IF(COUNTIFS('Candidate Tracker'!$E:$E,'Positions Tracker'!$B123,'Candidate Tracker'!$C:$C,"&lt;&gt;WIP",'Candidate Tracker'!$C:$C,"&lt;&gt;Hold",'Candidate Tracker'!$C:$C,"&lt;&gt;Cancelled",'Candidate Tracker'!$C:$C,"&lt;&gt;Closed")/COUNTIFS('Candidate Tracker'!$E:$E,'Positions Tracker'!$B123)=0,"",COUNTIFS('Candidate Tracker'!$E:$E,'Positions Tracker'!$B123,'Candidate Tracker'!$C:$C,"&lt;&gt;WIP",'Candidate Tracker'!$C:$C,"&lt;&gt;Hold",'Candidate Tracker'!$C:$C,"&lt;&gt;Cancelled",'Candidate Tracker'!$C:$C,"&lt;&gt;Closed")/COUNTIFS('Candidate Tracker'!$E:$E,'Positions Tracker'!$B123)),"")</f>
        <v/>
      </c>
      <c r="BD123" s="30" t="str">
        <f t="shared" si="15"/>
        <v>Jan-25</v>
      </c>
      <c r="BE123" s="30" t="str">
        <f t="shared" si="16"/>
        <v>Apr-25</v>
      </c>
      <c r="BF123" s="30" t="str">
        <f t="shared" si="17"/>
        <v>Apr-25</v>
      </c>
      <c r="BG123" s="30" t="str">
        <f t="shared" si="18"/>
        <v>Jun-25</v>
      </c>
    </row>
    <row r="124" spans="1:59">
      <c r="A124" s="30">
        <f t="shared" si="13"/>
        <v>123</v>
      </c>
      <c r="B124" s="30" t="s">
        <v>648</v>
      </c>
      <c r="C124" s="30" t="s">
        <v>51</v>
      </c>
      <c r="D124" s="30" t="s">
        <v>51</v>
      </c>
      <c r="E124" s="30" t="s">
        <v>651</v>
      </c>
      <c r="F124" s="30" t="s">
        <v>4110</v>
      </c>
      <c r="G124" s="30" t="s">
        <v>1</v>
      </c>
      <c r="H124" s="30" t="s">
        <v>2409</v>
      </c>
      <c r="I124" s="30" t="s">
        <v>252</v>
      </c>
      <c r="J124" s="30" t="s">
        <v>135</v>
      </c>
      <c r="K124" s="31">
        <v>45580</v>
      </c>
      <c r="L124" s="31">
        <v>45621</v>
      </c>
      <c r="M124" s="31">
        <v>45556</v>
      </c>
      <c r="N124" s="30" t="s">
        <v>4111</v>
      </c>
      <c r="O124" s="31"/>
      <c r="P124" s="31"/>
      <c r="Q124" s="31"/>
      <c r="R124" s="31"/>
      <c r="S124" s="31"/>
      <c r="T124" s="31"/>
      <c r="U124" s="30"/>
      <c r="V124" s="30"/>
      <c r="W124" s="30"/>
      <c r="X124" s="30" t="s">
        <v>63</v>
      </c>
      <c r="Y124" s="30" t="s">
        <v>65</v>
      </c>
      <c r="Z124" s="30" t="s">
        <v>65</v>
      </c>
      <c r="AA124" s="30" t="s">
        <v>51</v>
      </c>
      <c r="AB124" s="30"/>
      <c r="AC124" s="30"/>
      <c r="AD124" s="30"/>
      <c r="AE124" s="30" t="s">
        <v>649</v>
      </c>
      <c r="AF124" s="30">
        <v>7992308690</v>
      </c>
      <c r="AG124" s="30" t="s">
        <v>4112</v>
      </c>
      <c r="AH124" s="31" t="s">
        <v>55</v>
      </c>
      <c r="AI124" s="31">
        <v>45618</v>
      </c>
      <c r="AJ124" s="31">
        <v>45562</v>
      </c>
      <c r="AK124" s="30" t="s">
        <v>63</v>
      </c>
      <c r="AL124" s="30">
        <v>850000</v>
      </c>
      <c r="AM124" s="31">
        <v>45624</v>
      </c>
      <c r="AN124" s="31">
        <v>45588</v>
      </c>
      <c r="AO124" s="31"/>
      <c r="AP124" s="31">
        <v>45589</v>
      </c>
      <c r="AQ124" s="31">
        <v>45589</v>
      </c>
      <c r="AR124" s="31">
        <v>45590</v>
      </c>
      <c r="AS124" s="31">
        <v>45649</v>
      </c>
      <c r="AT124" s="30">
        <f t="shared" ca="1" si="14"/>
        <v>0</v>
      </c>
      <c r="AU124" s="32" t="str">
        <f t="shared" ca="1" si="12"/>
        <v/>
      </c>
      <c r="AV124" s="32" t="str" cm="1">
        <f t="array" aca="1" ref="AV124" ca="1">IFERROR(_xlfn.IFS($AU124="","",$AU124&lt;=15,"0-15",AND($AU124&gt;=16,$AU124&lt;=30),"16-30",AND($AU124&gt;=31,$AU124&lt;=45),"31-45",AND($AU124&gt;=46,$AU124&lt;=60),"46-60",AND($AU124&gt;=61,$AU124&lt;=90),"61-90",AND($AU124&gt;=91),"&gt; 90",AND($AU124&gt;=2000),""),"")</f>
        <v/>
      </c>
      <c r="AW124" s="32" cm="1">
        <f t="array" aca="1" ref="AW124" ca="1">IFERROR(_xlfn.IFS(OR($M124="",$AM124=""),"",OR($C124="Offered",$C124="Joined"),($AM124-$M124)-$AT124),"")</f>
        <v>68</v>
      </c>
      <c r="AX124" s="32" cm="1">
        <f t="array" aca="1" ref="AX124" ca="1">IFERROR(_xlfn.IFS(OR($M124="",$AS124=""),"",$C124="Joined",($AS124-$M124)-$AT124),"")</f>
        <v>93</v>
      </c>
      <c r="AY124" s="30" t="str">
        <f>IFERROR(IF(COUNTIFS('Candidate Tracker'!$E:$E,'Positions Tracker'!$B124,'Candidate Tracker'!$C:$C,"Offer Drop")=0,"",COUNTIFS('Candidate Tracker'!$E:$E,'Positions Tracker'!$B124,'Candidate Tracker'!$C:$C,"Offer Drop")),"")</f>
        <v/>
      </c>
      <c r="AZ1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4" s="34" t="str">
        <f>IFERROR(IF(COUNTIFS('Candidate Tracker'!$E:$E,'Positions Tracker'!$B124,'Candidate Tracker'!$I:$I,"Female")=0,"",COUNTIFS('Candidate Tracker'!$E:$E,'Positions Tracker'!$B124,'Candidate Tracker'!$I:$I,"Female")),"")</f>
        <v/>
      </c>
      <c r="BB124" s="34">
        <f>IFERROR(IF(COUNTIFS('Candidate Tracker'!$E:$E,'Positions Tracker'!$B124,'Candidate Tracker'!$I:$I,"male")=0,"",COUNTIFS('Candidate Tracker'!$E:$E,'Positions Tracker'!$B124,'Candidate Tracker'!$I:$I,"male")),"")</f>
        <v>1</v>
      </c>
      <c r="BC124" s="33">
        <f>IFERROR(IF(COUNTIFS('Candidate Tracker'!$E:$E,'Positions Tracker'!$B124,'Candidate Tracker'!$C:$C,"&lt;&gt;WIP",'Candidate Tracker'!$C:$C,"&lt;&gt;Hold",'Candidate Tracker'!$C:$C,"&lt;&gt;Cancelled",'Candidate Tracker'!$C:$C,"&lt;&gt;Closed")/COUNTIFS('Candidate Tracker'!$E:$E,'Positions Tracker'!$B124)=0,"",COUNTIFS('Candidate Tracker'!$E:$E,'Positions Tracker'!$B124,'Candidate Tracker'!$C:$C,"&lt;&gt;WIP",'Candidate Tracker'!$C:$C,"&lt;&gt;Hold",'Candidate Tracker'!$C:$C,"&lt;&gt;Cancelled",'Candidate Tracker'!$C:$C,"&lt;&gt;Closed")/COUNTIFS('Candidate Tracker'!$E:$E,'Positions Tracker'!$B124)),"")</f>
        <v>1</v>
      </c>
      <c r="BD124" s="30" t="str">
        <f t="shared" si="15"/>
        <v>Sep-24</v>
      </c>
      <c r="BE124" s="30" t="str">
        <f t="shared" si="16"/>
        <v>Nov-24</v>
      </c>
      <c r="BF124" s="30" t="str">
        <f t="shared" si="17"/>
        <v>Nov-24</v>
      </c>
      <c r="BG124" s="30" t="str">
        <f t="shared" si="18"/>
        <v>Dec-24</v>
      </c>
    </row>
    <row r="125" spans="1:59">
      <c r="A125" s="30">
        <f t="shared" si="13"/>
        <v>124</v>
      </c>
      <c r="B125" s="30" t="s">
        <v>52</v>
      </c>
      <c r="C125" s="30" t="s">
        <v>51</v>
      </c>
      <c r="D125" s="30" t="s">
        <v>51</v>
      </c>
      <c r="E125" s="30" t="s">
        <v>651</v>
      </c>
      <c r="F125" s="30" t="s">
        <v>4110</v>
      </c>
      <c r="G125" s="30" t="s">
        <v>3</v>
      </c>
      <c r="H125" s="30" t="s">
        <v>4113</v>
      </c>
      <c r="I125" s="30" t="s">
        <v>2560</v>
      </c>
      <c r="J125" s="30" t="s">
        <v>135</v>
      </c>
      <c r="K125" s="31">
        <v>45580</v>
      </c>
      <c r="L125" s="31">
        <v>45580</v>
      </c>
      <c r="M125" s="31">
        <v>45580</v>
      </c>
      <c r="N125" s="30" t="s">
        <v>4111</v>
      </c>
      <c r="O125" s="31"/>
      <c r="P125" s="31"/>
      <c r="Q125" s="31"/>
      <c r="R125" s="31"/>
      <c r="S125" s="31"/>
      <c r="T125" s="31"/>
      <c r="U125" s="30"/>
      <c r="V125" s="30"/>
      <c r="W125" s="30"/>
      <c r="X125" s="30" t="s">
        <v>63</v>
      </c>
      <c r="Y125" s="30" t="s">
        <v>65</v>
      </c>
      <c r="Z125" s="30" t="s">
        <v>65</v>
      </c>
      <c r="AA125" s="30" t="s">
        <v>51</v>
      </c>
      <c r="AB125" s="30"/>
      <c r="AC125" s="30"/>
      <c r="AD125" s="30"/>
      <c r="AE125" s="30" t="s">
        <v>923</v>
      </c>
      <c r="AF125" s="30">
        <v>8197463496</v>
      </c>
      <c r="AG125" s="30" t="s">
        <v>4114</v>
      </c>
      <c r="AH125" s="31" t="s">
        <v>55</v>
      </c>
      <c r="AI125" s="31">
        <v>45663</v>
      </c>
      <c r="AJ125" s="31">
        <v>45558</v>
      </c>
      <c r="AK125" s="30" t="s">
        <v>63</v>
      </c>
      <c r="AL125" s="30">
        <v>850000</v>
      </c>
      <c r="AM125" s="31">
        <v>45677</v>
      </c>
      <c r="AN125" s="31">
        <v>45560</v>
      </c>
      <c r="AO125" s="31"/>
      <c r="AP125" s="31">
        <v>45568</v>
      </c>
      <c r="AQ125" s="31">
        <v>45568</v>
      </c>
      <c r="AR125" s="31">
        <v>45570</v>
      </c>
      <c r="AS125" s="31">
        <v>45684</v>
      </c>
      <c r="AT125" s="30">
        <f t="shared" ca="1" si="14"/>
        <v>0</v>
      </c>
      <c r="AU125" s="32" t="str">
        <f t="shared" ca="1" si="12"/>
        <v/>
      </c>
      <c r="AV125" s="32" t="str" cm="1">
        <f t="array" aca="1" ref="AV125" ca="1">IFERROR(_xlfn.IFS($AU125="","",$AU125&lt;=15,"0-15",AND($AU125&gt;=16,$AU125&lt;=30),"16-30",AND($AU125&gt;=31,$AU125&lt;=45),"31-45",AND($AU125&gt;=46,$AU125&lt;=60),"46-60",AND($AU125&gt;=61,$AU125&lt;=90),"61-90",AND($AU125&gt;=91),"&gt; 90",AND($AU125&gt;=2000),""),"")</f>
        <v/>
      </c>
      <c r="AW125" s="32" cm="1">
        <f t="array" aca="1" ref="AW125" ca="1">IFERROR(_xlfn.IFS(OR($M125="",$AM125=""),"",OR($C125="Offered",$C125="Joined"),($AM125-$M125)-$AT125),"")</f>
        <v>97</v>
      </c>
      <c r="AX125" s="32" cm="1">
        <f t="array" aca="1" ref="AX125" ca="1">IFERROR(_xlfn.IFS(OR($M125="",$AS125=""),"",$C125="Joined",($AS125-$M125)-$AT125),"")</f>
        <v>104</v>
      </c>
      <c r="AY125" s="30" t="str">
        <f>IFERROR(IF(COUNTIFS('Candidate Tracker'!$E:$E,'Positions Tracker'!$B125,'Candidate Tracker'!$C:$C,"Offer Drop")=0,"",COUNTIFS('Candidate Tracker'!$E:$E,'Positions Tracker'!$B125,'Candidate Tracker'!$C:$C,"Offer Drop")),"")</f>
        <v/>
      </c>
      <c r="AZ1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5" s="34" t="str">
        <f>IFERROR(IF(COUNTIFS('Candidate Tracker'!$E:$E,'Positions Tracker'!$B125,'Candidate Tracker'!$I:$I,"Female")=0,"",COUNTIFS('Candidate Tracker'!$E:$E,'Positions Tracker'!$B125,'Candidate Tracker'!$I:$I,"Female")),"")</f>
        <v/>
      </c>
      <c r="BB125" s="34">
        <f>IFERROR(IF(COUNTIFS('Candidate Tracker'!$E:$E,'Positions Tracker'!$B125,'Candidate Tracker'!$I:$I,"male")=0,"",COUNTIFS('Candidate Tracker'!$E:$E,'Positions Tracker'!$B125,'Candidate Tracker'!$I:$I,"male")),"")</f>
        <v>2</v>
      </c>
      <c r="BC125" s="33">
        <f>IFERROR(IF(COUNTIFS('Candidate Tracker'!$E:$E,'Positions Tracker'!$B125,'Candidate Tracker'!$C:$C,"&lt;&gt;WIP",'Candidate Tracker'!$C:$C,"&lt;&gt;Hold",'Candidate Tracker'!$C:$C,"&lt;&gt;Cancelled",'Candidate Tracker'!$C:$C,"&lt;&gt;Closed")/COUNTIFS('Candidate Tracker'!$E:$E,'Positions Tracker'!$B125)=0,"",COUNTIFS('Candidate Tracker'!$E:$E,'Positions Tracker'!$B125,'Candidate Tracker'!$C:$C,"&lt;&gt;WIP",'Candidate Tracker'!$C:$C,"&lt;&gt;Hold",'Candidate Tracker'!$C:$C,"&lt;&gt;Cancelled",'Candidate Tracker'!$C:$C,"&lt;&gt;Closed")/COUNTIFS('Candidate Tracker'!$E:$E,'Positions Tracker'!$B125)),"")</f>
        <v>1</v>
      </c>
      <c r="BD125" s="30" t="str">
        <f t="shared" si="15"/>
        <v>Oct-24</v>
      </c>
      <c r="BE125" s="30" t="str">
        <f t="shared" si="16"/>
        <v>Jan-25</v>
      </c>
      <c r="BF125" s="30" t="str">
        <f t="shared" si="17"/>
        <v>Jan-25</v>
      </c>
      <c r="BG125" s="30" t="str">
        <f t="shared" si="18"/>
        <v>Jan-25</v>
      </c>
    </row>
    <row r="126" spans="1:59">
      <c r="A126" s="30">
        <f t="shared" si="13"/>
        <v>125</v>
      </c>
      <c r="B126" s="30">
        <v>20248561</v>
      </c>
      <c r="C126" s="30" t="s">
        <v>51</v>
      </c>
      <c r="D126" s="30" t="s">
        <v>51</v>
      </c>
      <c r="E126" s="30" t="s">
        <v>1202</v>
      </c>
      <c r="F126" s="30" t="s">
        <v>4006</v>
      </c>
      <c r="G126" s="30" t="s">
        <v>3</v>
      </c>
      <c r="H126" s="30" t="s">
        <v>66</v>
      </c>
      <c r="I126" s="30" t="s">
        <v>116</v>
      </c>
      <c r="J126" s="30" t="s">
        <v>135</v>
      </c>
      <c r="K126" s="31">
        <v>45588</v>
      </c>
      <c r="L126" s="31">
        <v>45588</v>
      </c>
      <c r="M126" s="31">
        <v>45619</v>
      </c>
      <c r="N126" s="30" t="s">
        <v>3850</v>
      </c>
      <c r="O126" s="31"/>
      <c r="P126" s="31"/>
      <c r="Q126" s="31"/>
      <c r="R126" s="31"/>
      <c r="S126" s="31"/>
      <c r="T126" s="31"/>
      <c r="U126" s="30"/>
      <c r="V126" s="30"/>
      <c r="W126" s="30"/>
      <c r="X126" s="30" t="s">
        <v>63</v>
      </c>
      <c r="Y126" s="30" t="s">
        <v>65</v>
      </c>
      <c r="Z126" s="30" t="s">
        <v>65</v>
      </c>
      <c r="AA126" s="30" t="s">
        <v>51</v>
      </c>
      <c r="AB126" s="30"/>
      <c r="AC126" s="30"/>
      <c r="AD126" s="30"/>
      <c r="AE126" s="30" t="s">
        <v>1200</v>
      </c>
      <c r="AF126" s="30">
        <v>6301261188</v>
      </c>
      <c r="AG126" s="30" t="s">
        <v>4115</v>
      </c>
      <c r="AH126" s="31" t="s">
        <v>55</v>
      </c>
      <c r="AI126" s="31">
        <v>45680</v>
      </c>
      <c r="AJ126" s="31">
        <v>45695</v>
      </c>
      <c r="AK126" s="30" t="s">
        <v>63</v>
      </c>
      <c r="AL126" s="30">
        <v>825000</v>
      </c>
      <c r="AM126" s="31">
        <v>45695</v>
      </c>
      <c r="AN126" s="31">
        <v>45695</v>
      </c>
      <c r="AO126" s="31"/>
      <c r="AP126" s="31"/>
      <c r="AQ126" s="31"/>
      <c r="AR126" s="31"/>
      <c r="AS126" s="31">
        <v>45698</v>
      </c>
      <c r="AT126" s="30">
        <f t="shared" ca="1" si="14"/>
        <v>0</v>
      </c>
      <c r="AU126" s="32" t="str">
        <f t="shared" ca="1" si="12"/>
        <v/>
      </c>
      <c r="AV126" s="32" t="str" cm="1">
        <f t="array" aca="1" ref="AV126" ca="1">IFERROR(_xlfn.IFS($AU126="","",$AU126&lt;=15,"0-15",AND($AU126&gt;=16,$AU126&lt;=30),"16-30",AND($AU126&gt;=31,$AU126&lt;=45),"31-45",AND($AU126&gt;=46,$AU126&lt;=60),"46-60",AND($AU126&gt;=61,$AU126&lt;=90),"61-90",AND($AU126&gt;=91),"&gt; 90",AND($AU126&gt;=2000),""),"")</f>
        <v/>
      </c>
      <c r="AW126" s="32" cm="1">
        <f t="array" aca="1" ref="AW126" ca="1">IFERROR(_xlfn.IFS(OR($M126="",$AM126=""),"",OR($C126="Offered",$C126="Joined"),($AM126-$M126)-$AT126),"")</f>
        <v>76</v>
      </c>
      <c r="AX126" s="32" cm="1">
        <f t="array" aca="1" ref="AX126" ca="1">IFERROR(_xlfn.IFS(OR($M126="",$AS126=""),"",$C126="Joined",($AS126-$M126)-$AT126),"")</f>
        <v>79</v>
      </c>
      <c r="AY126" s="30" t="str">
        <f>IFERROR(IF(COUNTIFS('Candidate Tracker'!$E:$E,'Positions Tracker'!$B126,'Candidate Tracker'!$C:$C,"Offer Drop")=0,"",COUNTIFS('Candidate Tracker'!$E:$E,'Positions Tracker'!$B126,'Candidate Tracker'!$C:$C,"Offer Drop")),"")</f>
        <v/>
      </c>
      <c r="AZ1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6" s="34" t="str">
        <f>IFERROR(IF(COUNTIFS('Candidate Tracker'!$E:$E,'Positions Tracker'!$B126,'Candidate Tracker'!$I:$I,"Female")=0,"",COUNTIFS('Candidate Tracker'!$E:$E,'Positions Tracker'!$B126,'Candidate Tracker'!$I:$I,"Female")),"")</f>
        <v/>
      </c>
      <c r="BB126" s="34">
        <f>IFERROR(IF(COUNTIFS('Candidate Tracker'!$E:$E,'Positions Tracker'!$B126,'Candidate Tracker'!$I:$I,"male")=0,"",COUNTIFS('Candidate Tracker'!$E:$E,'Positions Tracker'!$B126,'Candidate Tracker'!$I:$I,"male")),"")</f>
        <v>1</v>
      </c>
      <c r="BC126" s="33">
        <f>IFERROR(IF(COUNTIFS('Candidate Tracker'!$E:$E,'Positions Tracker'!$B126,'Candidate Tracker'!$C:$C,"&lt;&gt;WIP",'Candidate Tracker'!$C:$C,"&lt;&gt;Hold",'Candidate Tracker'!$C:$C,"&lt;&gt;Cancelled",'Candidate Tracker'!$C:$C,"&lt;&gt;Closed")/COUNTIFS('Candidate Tracker'!$E:$E,'Positions Tracker'!$B126)=0,"",COUNTIFS('Candidate Tracker'!$E:$E,'Positions Tracker'!$B126,'Candidate Tracker'!$C:$C,"&lt;&gt;WIP",'Candidate Tracker'!$C:$C,"&lt;&gt;Hold",'Candidate Tracker'!$C:$C,"&lt;&gt;Cancelled",'Candidate Tracker'!$C:$C,"&lt;&gt;Closed")/COUNTIFS('Candidate Tracker'!$E:$E,'Positions Tracker'!$B126)),"")</f>
        <v>1</v>
      </c>
      <c r="BD126" s="30" t="str">
        <f t="shared" si="15"/>
        <v>Nov-24</v>
      </c>
      <c r="BE126" s="30" t="str">
        <f t="shared" si="16"/>
        <v>Jan-25</v>
      </c>
      <c r="BF126" s="30" t="str">
        <f t="shared" si="17"/>
        <v>Feb-25</v>
      </c>
      <c r="BG126" s="30" t="str">
        <f t="shared" si="18"/>
        <v>Feb-25</v>
      </c>
    </row>
    <row r="127" spans="1:59">
      <c r="A127" s="30">
        <f t="shared" si="13"/>
        <v>126</v>
      </c>
      <c r="B127" s="30">
        <v>20246232</v>
      </c>
      <c r="C127" s="30" t="s">
        <v>3847</v>
      </c>
      <c r="D127" s="30" t="s">
        <v>1920</v>
      </c>
      <c r="E127" s="30" t="s">
        <v>3931</v>
      </c>
      <c r="F127" s="30" t="s">
        <v>3932</v>
      </c>
      <c r="G127" s="30" t="s">
        <v>3</v>
      </c>
      <c r="H127" s="30" t="s">
        <v>3933</v>
      </c>
      <c r="I127" s="30" t="s">
        <v>116</v>
      </c>
      <c r="J127" s="30"/>
      <c r="K127" s="31">
        <v>45460</v>
      </c>
      <c r="L127" s="31">
        <v>45708</v>
      </c>
      <c r="M127" s="31">
        <v>45714</v>
      </c>
      <c r="N127" s="30" t="s">
        <v>3926</v>
      </c>
      <c r="O127" s="31"/>
      <c r="P127" s="31"/>
      <c r="Q127" s="31"/>
      <c r="R127" s="31"/>
      <c r="S127" s="31"/>
      <c r="T127" s="31"/>
      <c r="U127" s="30"/>
      <c r="V127" s="30"/>
      <c r="W127" s="30"/>
      <c r="X127" s="30" t="s">
        <v>63</v>
      </c>
      <c r="Y127" s="30" t="s">
        <v>2679</v>
      </c>
      <c r="Z127" s="30" t="s">
        <v>2679</v>
      </c>
      <c r="AA127" s="30" t="s">
        <v>4116</v>
      </c>
      <c r="AB127" s="30">
        <v>11</v>
      </c>
      <c r="AC127" s="30">
        <v>6</v>
      </c>
      <c r="AD127" s="30">
        <v>2</v>
      </c>
      <c r="AE127" s="30"/>
      <c r="AF127" s="30"/>
      <c r="AG127" s="30"/>
      <c r="AH127" s="31"/>
      <c r="AI127" s="31"/>
      <c r="AJ127" s="31"/>
      <c r="AK127" s="30"/>
      <c r="AL127" s="30"/>
      <c r="AM127" s="31"/>
      <c r="AN127" s="31"/>
      <c r="AO127" s="31"/>
      <c r="AP127" s="31"/>
      <c r="AQ127" s="31"/>
      <c r="AR127" s="31"/>
      <c r="AS127" s="31"/>
      <c r="AT127" s="30">
        <f t="shared" ca="1" si="14"/>
        <v>0</v>
      </c>
      <c r="AU127" s="32" t="str">
        <f t="shared" ca="1" si="12"/>
        <v/>
      </c>
      <c r="AV127" s="32" t="str" cm="1">
        <f t="array" aca="1" ref="AV127" ca="1">IFERROR(_xlfn.IFS($AU127="","",$AU127&lt;=15,"0-15",AND($AU127&gt;=16,$AU127&lt;=30),"16-30",AND($AU127&gt;=31,$AU127&lt;=45),"31-45",AND($AU127&gt;=46,$AU127&lt;=60),"46-60",AND($AU127&gt;=61,$AU127&lt;=90),"61-90",AND($AU127&gt;=91),"&gt; 90",AND($AU127&gt;=2000),""),"")</f>
        <v/>
      </c>
      <c r="AW127" s="32" t="str" cm="1">
        <f t="array" aca="1" ref="AW127" ca="1">IFERROR(_xlfn.IFS(OR($M127="",$AM127=""),"",OR($C127="Offered",$C127="Joined"),($AM127-$M127)-$AT127),"")</f>
        <v/>
      </c>
      <c r="AX127" s="32" t="str" cm="1">
        <f t="array" aca="1" ref="AX127" ca="1">IFERROR(_xlfn.IFS(OR($M127="",$AS127=""),"",$C127="Joined",($AS127-$M127)-$AT127),"")</f>
        <v/>
      </c>
      <c r="AY127" s="30" t="str">
        <f>IFERROR(IF(COUNTIFS('Candidate Tracker'!$E:$E,'Positions Tracker'!$B127,'Candidate Tracker'!$C:$C,"Offer Drop")=0,"",COUNTIFS('Candidate Tracker'!$E:$E,'Positions Tracker'!$B127,'Candidate Tracker'!$C:$C,"Offer Drop")),"")</f>
        <v/>
      </c>
      <c r="AZ1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7" s="34" t="str">
        <f>IFERROR(IF(COUNTIFS('Candidate Tracker'!$E:$E,'Positions Tracker'!$B127,'Candidate Tracker'!$I:$I,"Female")=0,"",COUNTIFS('Candidate Tracker'!$E:$E,'Positions Tracker'!$B127,'Candidate Tracker'!$I:$I,"Female")),"")</f>
        <v/>
      </c>
      <c r="BB127" s="34">
        <f>IFERROR(IF(COUNTIFS('Candidate Tracker'!$E:$E,'Positions Tracker'!$B127,'Candidate Tracker'!$I:$I,"male")=0,"",COUNTIFS('Candidate Tracker'!$E:$E,'Positions Tracker'!$B127,'Candidate Tracker'!$I:$I,"male")),"")</f>
        <v>13</v>
      </c>
      <c r="BC127" s="33" t="str">
        <f>IFERROR(IF(COUNTIFS('Candidate Tracker'!$E:$E,'Positions Tracker'!$B127,'Candidate Tracker'!$C:$C,"&lt;&gt;WIP",'Candidate Tracker'!$C:$C,"&lt;&gt;Hold",'Candidate Tracker'!$C:$C,"&lt;&gt;Cancelled",'Candidate Tracker'!$C:$C,"&lt;&gt;Closed")/COUNTIFS('Candidate Tracker'!$E:$E,'Positions Tracker'!$B127)=0,"",COUNTIFS('Candidate Tracker'!$E:$E,'Positions Tracker'!$B127,'Candidate Tracker'!$C:$C,"&lt;&gt;WIP",'Candidate Tracker'!$C:$C,"&lt;&gt;Hold",'Candidate Tracker'!$C:$C,"&lt;&gt;Cancelled",'Candidate Tracker'!$C:$C,"&lt;&gt;Closed")/COUNTIFS('Candidate Tracker'!$E:$E,'Positions Tracker'!$B127)),"")</f>
        <v/>
      </c>
      <c r="BD127" s="30" t="str">
        <f t="shared" si="15"/>
        <v>Feb-25</v>
      </c>
      <c r="BE127" s="30" t="str">
        <f t="shared" si="16"/>
        <v/>
      </c>
      <c r="BF127" s="30" t="str">
        <f t="shared" si="17"/>
        <v/>
      </c>
      <c r="BG127" s="30" t="str">
        <f t="shared" si="18"/>
        <v/>
      </c>
    </row>
    <row r="128" spans="1:59">
      <c r="A128" s="30">
        <f t="shared" si="13"/>
        <v>127</v>
      </c>
      <c r="B128" s="30">
        <v>20242178</v>
      </c>
      <c r="C128" s="30" t="s">
        <v>1044</v>
      </c>
      <c r="D128" s="30" t="s">
        <v>320</v>
      </c>
      <c r="E128" s="30" t="s">
        <v>1139</v>
      </c>
      <c r="F128" s="30" t="s">
        <v>3910</v>
      </c>
      <c r="G128" s="30" t="s">
        <v>3</v>
      </c>
      <c r="H128" s="30" t="s">
        <v>118</v>
      </c>
      <c r="I128" s="30" t="s">
        <v>116</v>
      </c>
      <c r="J128" s="30" t="s">
        <v>135</v>
      </c>
      <c r="K128" s="31">
        <v>45461</v>
      </c>
      <c r="L128" s="31">
        <v>45461</v>
      </c>
      <c r="M128" s="31">
        <v>45715</v>
      </c>
      <c r="N128" s="30" t="s">
        <v>3855</v>
      </c>
      <c r="O128" s="31"/>
      <c r="P128" s="31"/>
      <c r="Q128" s="31"/>
      <c r="R128" s="31"/>
      <c r="S128" s="31"/>
      <c r="T128" s="31"/>
      <c r="U128" s="30"/>
      <c r="V128" s="30"/>
      <c r="W128" s="30"/>
      <c r="X128" s="30" t="s">
        <v>63</v>
      </c>
      <c r="Y128" s="30" t="s">
        <v>65</v>
      </c>
      <c r="Z128" s="30" t="s">
        <v>65</v>
      </c>
      <c r="AA128" s="30" t="s">
        <v>4117</v>
      </c>
      <c r="AB128" s="30"/>
      <c r="AC128" s="30"/>
      <c r="AD128" s="30"/>
      <c r="AE128" s="30" t="s">
        <v>4118</v>
      </c>
      <c r="AF128" s="30">
        <v>9284123234</v>
      </c>
      <c r="AG128" s="30"/>
      <c r="AH128" s="31" t="s">
        <v>101</v>
      </c>
      <c r="AI128" s="31">
        <v>45677</v>
      </c>
      <c r="AJ128" s="31">
        <v>45628</v>
      </c>
      <c r="AK128" s="30" t="s">
        <v>63</v>
      </c>
      <c r="AL128" s="30">
        <v>2200000</v>
      </c>
      <c r="AM128" s="31">
        <v>45703</v>
      </c>
      <c r="AN128" s="31">
        <v>45703</v>
      </c>
      <c r="AO128" s="31">
        <v>45710</v>
      </c>
      <c r="AP128" s="31">
        <v>45703</v>
      </c>
      <c r="AQ128" s="31"/>
      <c r="AR128" s="31"/>
      <c r="AS128" s="31">
        <v>45713</v>
      </c>
      <c r="AT128" s="30">
        <f t="shared" ca="1" si="14"/>
        <v>0</v>
      </c>
      <c r="AU128" s="32" t="str">
        <f t="shared" ca="1" si="12"/>
        <v/>
      </c>
      <c r="AV128" s="32" t="str" cm="1">
        <f t="array" aca="1" ref="AV128" ca="1">IFERROR(_xlfn.IFS($AU128="","",$AU128&lt;=15,"0-15",AND($AU128&gt;=16,$AU128&lt;=30),"16-30",AND($AU128&gt;=31,$AU128&lt;=45),"31-45",AND($AU128&gt;=46,$AU128&lt;=60),"46-60",AND($AU128&gt;=61,$AU128&lt;=90),"61-90",AND($AU128&gt;=91),"&gt; 90",AND($AU128&gt;=2000),""),"")</f>
        <v/>
      </c>
      <c r="AW128" s="32" t="str" cm="1">
        <f t="array" aca="1" ref="AW128" ca="1">IFERROR(_xlfn.IFS(OR($M128="",$AM128=""),"",OR($C128="Offered",$C128="Joined"),($AM128-$M128)-$AT128),"")</f>
        <v/>
      </c>
      <c r="AX128" s="32" t="str" cm="1">
        <f t="array" aca="1" ref="AX128" ca="1">IFERROR(_xlfn.IFS(OR($M128="",$AS128=""),"",$C128="Joined",($AS128-$M128)-$AT128),"")</f>
        <v/>
      </c>
      <c r="AY128" s="30" t="str">
        <f>IFERROR(IF(COUNTIFS('Candidate Tracker'!$E:$E,'Positions Tracker'!$B128,'Candidate Tracker'!$C:$C,"Offer Drop")=0,"",COUNTIFS('Candidate Tracker'!$E:$E,'Positions Tracker'!$B128,'Candidate Tracker'!$C:$C,"Offer Drop")),"")</f>
        <v/>
      </c>
      <c r="AZ12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8" s="34">
        <f>IFERROR(IF(COUNTIFS('Candidate Tracker'!$E:$E,'Positions Tracker'!$B128,'Candidate Tracker'!$I:$I,"Female")=0,"",COUNTIFS('Candidate Tracker'!$E:$E,'Positions Tracker'!$B128,'Candidate Tracker'!$I:$I,"Female")),"")</f>
        <v>1</v>
      </c>
      <c r="BB128" s="34">
        <f>IFERROR(IF(COUNTIFS('Candidate Tracker'!$E:$E,'Positions Tracker'!$B128,'Candidate Tracker'!$I:$I,"male")=0,"",COUNTIFS('Candidate Tracker'!$E:$E,'Positions Tracker'!$B128,'Candidate Tracker'!$I:$I,"male")),"")</f>
        <v>3</v>
      </c>
      <c r="BC128" s="33" t="str">
        <f>IFERROR(IF(COUNTIFS('Candidate Tracker'!$E:$E,'Positions Tracker'!$B128,'Candidate Tracker'!$C:$C,"&lt;&gt;WIP",'Candidate Tracker'!$C:$C,"&lt;&gt;Hold",'Candidate Tracker'!$C:$C,"&lt;&gt;Cancelled",'Candidate Tracker'!$C:$C,"&lt;&gt;Closed")/COUNTIFS('Candidate Tracker'!$E:$E,'Positions Tracker'!$B128)=0,"",COUNTIFS('Candidate Tracker'!$E:$E,'Positions Tracker'!$B128,'Candidate Tracker'!$C:$C,"&lt;&gt;WIP",'Candidate Tracker'!$C:$C,"&lt;&gt;Hold",'Candidate Tracker'!$C:$C,"&lt;&gt;Cancelled",'Candidate Tracker'!$C:$C,"&lt;&gt;Closed")/COUNTIFS('Candidate Tracker'!$E:$E,'Positions Tracker'!$B128)),"")</f>
        <v/>
      </c>
      <c r="BD128" s="30" t="str">
        <f t="shared" si="15"/>
        <v>Feb-25</v>
      </c>
      <c r="BE128" s="30" t="str">
        <f t="shared" si="16"/>
        <v>Jan-25</v>
      </c>
      <c r="BF128" s="30" t="str">
        <f t="shared" si="17"/>
        <v>Feb-25</v>
      </c>
      <c r="BG128" s="30" t="str">
        <f t="shared" si="18"/>
        <v>Feb-25</v>
      </c>
    </row>
    <row r="129" spans="1:59">
      <c r="A129" s="30">
        <f t="shared" si="13"/>
        <v>128</v>
      </c>
      <c r="B129" s="30">
        <v>20252743</v>
      </c>
      <c r="C129" s="30" t="s">
        <v>51</v>
      </c>
      <c r="D129" s="30" t="s">
        <v>51</v>
      </c>
      <c r="E129" s="30" t="s">
        <v>4015</v>
      </c>
      <c r="F129" s="30" t="s">
        <v>2356</v>
      </c>
      <c r="G129" s="30" t="s">
        <v>3</v>
      </c>
      <c r="H129" s="30" t="s">
        <v>2356</v>
      </c>
      <c r="I129" s="30" t="s">
        <v>2357</v>
      </c>
      <c r="J129" s="30" t="s">
        <v>135</v>
      </c>
      <c r="K129" s="31">
        <v>45714</v>
      </c>
      <c r="L129" s="31">
        <v>45714</v>
      </c>
      <c r="M129" s="31">
        <v>45715</v>
      </c>
      <c r="N129" s="30" t="s">
        <v>3850</v>
      </c>
      <c r="O129" s="31"/>
      <c r="P129" s="31"/>
      <c r="Q129" s="31"/>
      <c r="R129" s="31"/>
      <c r="S129" s="31"/>
      <c r="T129" s="31"/>
      <c r="U129" s="30"/>
      <c r="V129" s="30"/>
      <c r="W129" s="30"/>
      <c r="X129" s="30" t="s">
        <v>63</v>
      </c>
      <c r="Y129" s="30" t="s">
        <v>218</v>
      </c>
      <c r="Z129" s="30" t="s">
        <v>218</v>
      </c>
      <c r="AA129" s="30" t="s">
        <v>4119</v>
      </c>
      <c r="AB129" s="30"/>
      <c r="AC129" s="30"/>
      <c r="AD129" s="30"/>
      <c r="AE129" s="30" t="s">
        <v>2372</v>
      </c>
      <c r="AF129" s="30">
        <v>8551988617</v>
      </c>
      <c r="AG129" s="30" t="s">
        <v>2373</v>
      </c>
      <c r="AH129" s="31" t="s">
        <v>55</v>
      </c>
      <c r="AI129" s="31">
        <v>45733</v>
      </c>
      <c r="AJ129" s="31">
        <v>45734</v>
      </c>
      <c r="AK129" s="30" t="s">
        <v>63</v>
      </c>
      <c r="AL129" s="30" t="s">
        <v>1258</v>
      </c>
      <c r="AM129" s="31">
        <v>45734</v>
      </c>
      <c r="AN129" s="31">
        <v>45736</v>
      </c>
      <c r="AO129" s="31"/>
      <c r="AP129" s="31">
        <v>45736</v>
      </c>
      <c r="AQ129" s="31">
        <v>45736</v>
      </c>
      <c r="AR129" s="31">
        <v>45737</v>
      </c>
      <c r="AS129" s="31">
        <v>45740</v>
      </c>
      <c r="AT129" s="30">
        <f t="shared" ca="1" si="14"/>
        <v>0</v>
      </c>
      <c r="AU129" s="32" t="str">
        <f t="shared" ca="1" si="12"/>
        <v/>
      </c>
      <c r="AV129" s="32" t="str" cm="1">
        <f t="array" aca="1" ref="AV129" ca="1">IFERROR(_xlfn.IFS($AU129="","",$AU129&lt;=15,"0-15",AND($AU129&gt;=16,$AU129&lt;=30),"16-30",AND($AU129&gt;=31,$AU129&lt;=45),"31-45",AND($AU129&gt;=46,$AU129&lt;=60),"46-60",AND($AU129&gt;=61,$AU129&lt;=90),"61-90",AND($AU129&gt;=91),"&gt; 90",AND($AU129&gt;=2000),""),"")</f>
        <v/>
      </c>
      <c r="AW129" s="32" cm="1">
        <f t="array" aca="1" ref="AW129" ca="1">IFERROR(_xlfn.IFS(OR($M129="",$AM129=""),"",OR($C129="Offered",$C129="Joined"),($AM129-$M129)-$AT129),"")</f>
        <v>19</v>
      </c>
      <c r="AX129" s="32" cm="1">
        <f t="array" aca="1" ref="AX129" ca="1">IFERROR(_xlfn.IFS(OR($M129="",$AS129=""),"",$C129="Joined",($AS129-$M129)-$AT129),"")</f>
        <v>25</v>
      </c>
      <c r="AY129" s="30" t="str">
        <f>IFERROR(IF(COUNTIFS('Candidate Tracker'!$E:$E,'Positions Tracker'!$B129,'Candidate Tracker'!$C:$C,"Offer Drop")=0,"",COUNTIFS('Candidate Tracker'!$E:$E,'Positions Tracker'!$B129,'Candidate Tracker'!$C:$C,"Offer Drop")),"")</f>
        <v/>
      </c>
      <c r="AZ1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29" s="34" t="str">
        <f>IFERROR(IF(COUNTIFS('Candidate Tracker'!$E:$E,'Positions Tracker'!$B129,'Candidate Tracker'!$I:$I,"Female")=0,"",COUNTIFS('Candidate Tracker'!$E:$E,'Positions Tracker'!$B129,'Candidate Tracker'!$I:$I,"Female")),"")</f>
        <v/>
      </c>
      <c r="BB129" s="34">
        <f>IFERROR(IF(COUNTIFS('Candidate Tracker'!$E:$E,'Positions Tracker'!$B129,'Candidate Tracker'!$I:$I,"male")=0,"",COUNTIFS('Candidate Tracker'!$E:$E,'Positions Tracker'!$B129,'Candidate Tracker'!$I:$I,"male")),"")</f>
        <v>7</v>
      </c>
      <c r="BC129" s="33">
        <f>IFERROR(IF(COUNTIFS('Candidate Tracker'!$E:$E,'Positions Tracker'!$B129,'Candidate Tracker'!$C:$C,"&lt;&gt;WIP",'Candidate Tracker'!$C:$C,"&lt;&gt;Hold",'Candidate Tracker'!$C:$C,"&lt;&gt;Cancelled",'Candidate Tracker'!$C:$C,"&lt;&gt;Closed")/COUNTIFS('Candidate Tracker'!$E:$E,'Positions Tracker'!$B129)=0,"",COUNTIFS('Candidate Tracker'!$E:$E,'Positions Tracker'!$B129,'Candidate Tracker'!$C:$C,"&lt;&gt;WIP",'Candidate Tracker'!$C:$C,"&lt;&gt;Hold",'Candidate Tracker'!$C:$C,"&lt;&gt;Cancelled",'Candidate Tracker'!$C:$C,"&lt;&gt;Closed")/COUNTIFS('Candidate Tracker'!$E:$E,'Positions Tracker'!$B129)),"")</f>
        <v>0.14285714285714285</v>
      </c>
      <c r="BD129" s="30" t="str">
        <f t="shared" si="15"/>
        <v>Feb-25</v>
      </c>
      <c r="BE129" s="30" t="str">
        <f t="shared" si="16"/>
        <v>Mar-25</v>
      </c>
      <c r="BF129" s="30" t="str">
        <f t="shared" si="17"/>
        <v>Mar-25</v>
      </c>
      <c r="BG129" s="30" t="str">
        <f t="shared" si="18"/>
        <v>Mar-25</v>
      </c>
    </row>
    <row r="130" spans="1:59">
      <c r="A130" s="30">
        <f t="shared" si="13"/>
        <v>129</v>
      </c>
      <c r="B130" s="30">
        <v>20242178</v>
      </c>
      <c r="C130" s="30" t="s">
        <v>3847</v>
      </c>
      <c r="D130" s="30" t="s">
        <v>1920</v>
      </c>
      <c r="E130" s="30" t="s">
        <v>1139</v>
      </c>
      <c r="F130" s="30" t="s">
        <v>3910</v>
      </c>
      <c r="G130" s="30" t="s">
        <v>3</v>
      </c>
      <c r="H130" s="30" t="s">
        <v>118</v>
      </c>
      <c r="I130" s="30" t="s">
        <v>116</v>
      </c>
      <c r="J130" s="30" t="s">
        <v>135</v>
      </c>
      <c r="K130" s="31">
        <v>45715</v>
      </c>
      <c r="L130" s="31">
        <v>45715</v>
      </c>
      <c r="M130" s="31">
        <v>45715</v>
      </c>
      <c r="N130" s="30" t="s">
        <v>3855</v>
      </c>
      <c r="O130" s="31"/>
      <c r="P130" s="31"/>
      <c r="Q130" s="31"/>
      <c r="R130" s="31"/>
      <c r="S130" s="31"/>
      <c r="T130" s="31"/>
      <c r="U130" s="30"/>
      <c r="V130" s="30"/>
      <c r="W130" s="30"/>
      <c r="X130" s="30" t="s">
        <v>63</v>
      </c>
      <c r="Y130" s="30" t="s">
        <v>65</v>
      </c>
      <c r="Z130" s="30" t="s">
        <v>65</v>
      </c>
      <c r="AA130" s="30" t="s">
        <v>4120</v>
      </c>
      <c r="AB130" s="30"/>
      <c r="AC130" s="30"/>
      <c r="AD130" s="30"/>
      <c r="AE130" s="30"/>
      <c r="AF130" s="30"/>
      <c r="AG130" s="30"/>
      <c r="AH130" s="31"/>
      <c r="AI130" s="31"/>
      <c r="AJ130" s="31"/>
      <c r="AK130" s="30"/>
      <c r="AL130" s="30"/>
      <c r="AM130" s="31"/>
      <c r="AN130" s="31"/>
      <c r="AO130" s="31"/>
      <c r="AP130" s="31"/>
      <c r="AQ130" s="31"/>
      <c r="AR130" s="31"/>
      <c r="AS130" s="31"/>
      <c r="AT130" s="30">
        <f t="shared" ca="1" si="14"/>
        <v>0</v>
      </c>
      <c r="AU130" s="32" t="str">
        <f t="shared" ref="AU130:AU193" ca="1" si="22">IFERROR(IF(($M130=""),"",IF(OR(,$C130="Offer in Progress",$C130="WIP",$C130="WIP/Drop",$C130="WIP/New",$C130="WIP/Hold"),(TODAY()-$M130)-$AT130,"")),"")</f>
        <v/>
      </c>
      <c r="AV130" s="32" t="str" cm="1">
        <f t="array" aca="1" ref="AV130" ca="1">IFERROR(_xlfn.IFS($AU130="","",$AU130&lt;=15,"0-15",AND($AU130&gt;=16,$AU130&lt;=30),"16-30",AND($AU130&gt;=31,$AU130&lt;=45),"31-45",AND($AU130&gt;=46,$AU130&lt;=60),"46-60",AND($AU130&gt;=61,$AU130&lt;=90),"61-90",AND($AU130&gt;=91),"&gt; 90",AND($AU130&gt;=2000),""),"")</f>
        <v/>
      </c>
      <c r="AW130" s="32" t="str" cm="1">
        <f t="array" aca="1" ref="AW130" ca="1">IFERROR(_xlfn.IFS(OR($M130="",$AM130=""),"",OR($C130="Offered",$C130="Joined"),($AM130-$M130)-$AT130),"")</f>
        <v/>
      </c>
      <c r="AX130" s="32" t="str" cm="1">
        <f t="array" aca="1" ref="AX130" ca="1">IFERROR(_xlfn.IFS(OR($M130="",$AS130=""),"",$C130="Joined",($AS130-$M130)-$AT130),"")</f>
        <v/>
      </c>
      <c r="AY130" s="30" t="str">
        <f>IFERROR(IF(COUNTIFS('Candidate Tracker'!$E:$E,'Positions Tracker'!$B130,'Candidate Tracker'!$C:$C,"Offer Drop")=0,"",COUNTIFS('Candidate Tracker'!$E:$E,'Positions Tracker'!$B130,'Candidate Tracker'!$C:$C,"Offer Drop")),"")</f>
        <v/>
      </c>
      <c r="AZ1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0" s="34">
        <f>IFERROR(IF(COUNTIFS('Candidate Tracker'!$E:$E,'Positions Tracker'!$B130,'Candidate Tracker'!$I:$I,"Female")=0,"",COUNTIFS('Candidate Tracker'!$E:$E,'Positions Tracker'!$B130,'Candidate Tracker'!$I:$I,"Female")),"")</f>
        <v>1</v>
      </c>
      <c r="BB130" s="34">
        <f>IFERROR(IF(COUNTIFS('Candidate Tracker'!$E:$E,'Positions Tracker'!$B130,'Candidate Tracker'!$I:$I,"male")=0,"",COUNTIFS('Candidate Tracker'!$E:$E,'Positions Tracker'!$B130,'Candidate Tracker'!$I:$I,"male")),"")</f>
        <v>3</v>
      </c>
      <c r="BC130" s="33" t="str">
        <f>IFERROR(IF(COUNTIFS('Candidate Tracker'!$E:$E,'Positions Tracker'!$B130,'Candidate Tracker'!$C:$C,"&lt;&gt;WIP",'Candidate Tracker'!$C:$C,"&lt;&gt;Hold",'Candidate Tracker'!$C:$C,"&lt;&gt;Cancelled",'Candidate Tracker'!$C:$C,"&lt;&gt;Closed")/COUNTIFS('Candidate Tracker'!$E:$E,'Positions Tracker'!$B130)=0,"",COUNTIFS('Candidate Tracker'!$E:$E,'Positions Tracker'!$B130,'Candidate Tracker'!$C:$C,"&lt;&gt;WIP",'Candidate Tracker'!$C:$C,"&lt;&gt;Hold",'Candidate Tracker'!$C:$C,"&lt;&gt;Cancelled",'Candidate Tracker'!$C:$C,"&lt;&gt;Closed")/COUNTIFS('Candidate Tracker'!$E:$E,'Positions Tracker'!$B130)),"")</f>
        <v/>
      </c>
      <c r="BD130" s="30" t="str">
        <f t="shared" si="15"/>
        <v>Feb-25</v>
      </c>
      <c r="BE130" s="30" t="str">
        <f t="shared" si="16"/>
        <v/>
      </c>
      <c r="BF130" s="30" t="str">
        <f t="shared" si="17"/>
        <v/>
      </c>
      <c r="BG130" s="30" t="str">
        <f t="shared" si="18"/>
        <v/>
      </c>
    </row>
    <row r="131" spans="1:59">
      <c r="A131" s="30">
        <f t="shared" ref="A131:A194" si="23">A130+1</f>
        <v>130</v>
      </c>
      <c r="B131" s="30" t="s">
        <v>94</v>
      </c>
      <c r="C131" s="30" t="s">
        <v>51</v>
      </c>
      <c r="D131" s="30" t="s">
        <v>51</v>
      </c>
      <c r="E131" s="30" t="s">
        <v>2060</v>
      </c>
      <c r="F131" s="30" t="s">
        <v>4010</v>
      </c>
      <c r="G131" s="30" t="s">
        <v>1</v>
      </c>
      <c r="H131" s="30" t="s">
        <v>76</v>
      </c>
      <c r="I131" s="30" t="s">
        <v>1197</v>
      </c>
      <c r="J131" s="30" t="s">
        <v>351</v>
      </c>
      <c r="K131" s="31">
        <v>45551</v>
      </c>
      <c r="L131" s="31">
        <v>45551</v>
      </c>
      <c r="M131" s="31">
        <v>45551</v>
      </c>
      <c r="N131" s="30" t="s">
        <v>4111</v>
      </c>
      <c r="O131" s="31"/>
      <c r="P131" s="31"/>
      <c r="Q131" s="31"/>
      <c r="R131" s="31"/>
      <c r="S131" s="31"/>
      <c r="T131" s="31"/>
      <c r="U131" s="30"/>
      <c r="V131" s="30"/>
      <c r="W131" s="30"/>
      <c r="X131" s="30" t="s">
        <v>63</v>
      </c>
      <c r="Y131" s="30" t="s">
        <v>218</v>
      </c>
      <c r="Z131" s="30" t="s">
        <v>218</v>
      </c>
      <c r="AA131" s="30" t="s">
        <v>51</v>
      </c>
      <c r="AB131" s="30"/>
      <c r="AC131" s="30"/>
      <c r="AD131" s="30"/>
      <c r="AE131" s="30" t="s">
        <v>2058</v>
      </c>
      <c r="AF131" s="30">
        <v>8237707010</v>
      </c>
      <c r="AG131" s="30" t="s">
        <v>2059</v>
      </c>
      <c r="AH131" s="31" t="s">
        <v>55</v>
      </c>
      <c r="AI131" s="31">
        <v>45539</v>
      </c>
      <c r="AJ131" s="31">
        <v>45582</v>
      </c>
      <c r="AK131" s="30" t="s">
        <v>63</v>
      </c>
      <c r="AL131" s="30">
        <v>650000</v>
      </c>
      <c r="AM131" s="31">
        <v>45556</v>
      </c>
      <c r="AN131" s="31">
        <v>45582</v>
      </c>
      <c r="AO131" s="31"/>
      <c r="AP131" s="31" t="s">
        <v>4121</v>
      </c>
      <c r="AQ131" s="31">
        <v>45593</v>
      </c>
      <c r="AR131" s="31">
        <v>45970</v>
      </c>
      <c r="AS131" s="31">
        <v>45593</v>
      </c>
      <c r="AT131" s="30">
        <f t="shared" ref="AT131:AT194" ca="1" si="24">IFERROR(SUM(IF(AND(ISBLANK(T131),ISBLANK(Q131)),0,IF(T131="",TODAY()-Q131,T131-Q131))+IF(AND(ISBLANK(S131),ISBLANK(P131)),0,IF(S131="",TODAY()-P131,S131-P131))+IF(AND(ISBLANK(O131),ISBLANK(R131)),0,IF(R131="",TODAY()-O131,R131-O131))),"")</f>
        <v>0</v>
      </c>
      <c r="AU131" s="32" t="str">
        <f t="shared" ca="1" si="22"/>
        <v/>
      </c>
      <c r="AV131" s="32" t="str" cm="1">
        <f t="array" aca="1" ref="AV131" ca="1">IFERROR(_xlfn.IFS($AU131="","",$AU131&lt;=15,"0-15",AND($AU131&gt;=16,$AU131&lt;=30),"16-30",AND($AU131&gt;=31,$AU131&lt;=45),"31-45",AND($AU131&gt;=46,$AU131&lt;=60),"46-60",AND($AU131&gt;=61,$AU131&lt;=90),"61-90",AND($AU131&gt;=91),"&gt; 90",AND($AU131&gt;=2000),""),"")</f>
        <v/>
      </c>
      <c r="AW131" s="32" cm="1">
        <f t="array" aca="1" ref="AW131" ca="1">IFERROR(_xlfn.IFS(OR($M131="",$AM131=""),"",OR($C131="Offered",$C131="Joined"),($AM131-$M131)-$AT131),"")</f>
        <v>5</v>
      </c>
      <c r="AX131" s="32" cm="1">
        <f t="array" aca="1" ref="AX131" ca="1">IFERROR(_xlfn.IFS(OR($M131="",$AS131=""),"",$C131="Joined",($AS131-$M131)-$AT131),"")</f>
        <v>42</v>
      </c>
      <c r="AY131" s="30" t="str">
        <f>IFERROR(IF(COUNTIFS('Candidate Tracker'!$E:$E,'Positions Tracker'!$B131,'Candidate Tracker'!$C:$C,"Offer Drop")=0,"",COUNTIFS('Candidate Tracker'!$E:$E,'Positions Tracker'!$B131,'Candidate Tracker'!$C:$C,"Offer Drop")),"")</f>
        <v/>
      </c>
      <c r="AZ1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1" s="34" t="str">
        <f>IFERROR(IF(COUNTIFS('Candidate Tracker'!$E:$E,'Positions Tracker'!$B131,'Candidate Tracker'!$I:$I,"Female")=0,"",COUNTIFS('Candidate Tracker'!$E:$E,'Positions Tracker'!$B131,'Candidate Tracker'!$I:$I,"Female")),"")</f>
        <v/>
      </c>
      <c r="BB131" s="34">
        <f>IFERROR(IF(COUNTIFS('Candidate Tracker'!$E:$E,'Positions Tracker'!$B131,'Candidate Tracker'!$I:$I,"male")=0,"",COUNTIFS('Candidate Tracker'!$E:$E,'Positions Tracker'!$B131,'Candidate Tracker'!$I:$I,"male")),"")</f>
        <v>2</v>
      </c>
      <c r="BC131" s="33">
        <f>IFERROR(IF(COUNTIFS('Candidate Tracker'!$E:$E,'Positions Tracker'!$B131,'Candidate Tracker'!$C:$C,"&lt;&gt;WIP",'Candidate Tracker'!$C:$C,"&lt;&gt;Hold",'Candidate Tracker'!$C:$C,"&lt;&gt;Cancelled",'Candidate Tracker'!$C:$C,"&lt;&gt;Closed")/COUNTIFS('Candidate Tracker'!$E:$E,'Positions Tracker'!$B131)=0,"",COUNTIFS('Candidate Tracker'!$E:$E,'Positions Tracker'!$B131,'Candidate Tracker'!$C:$C,"&lt;&gt;WIP",'Candidate Tracker'!$C:$C,"&lt;&gt;Hold",'Candidate Tracker'!$C:$C,"&lt;&gt;Cancelled",'Candidate Tracker'!$C:$C,"&lt;&gt;Closed")/COUNTIFS('Candidate Tracker'!$E:$E,'Positions Tracker'!$B131)),"")</f>
        <v>1</v>
      </c>
      <c r="BD131" s="30" t="str">
        <f t="shared" ref="BD131:BD194" si="25">IFERROR(IF($M131="","",TEXT($M131,"MMM-YY")),"")</f>
        <v>Sep-24</v>
      </c>
      <c r="BE131" s="30" t="str">
        <f t="shared" ref="BE131:BE194" si="26">IFERROR(IF($AI131="","",TEXT($AI131,"MMM-YY")),"")</f>
        <v>Sep-24</v>
      </c>
      <c r="BF131" s="30" t="str">
        <f t="shared" ref="BF131:BF194" si="27">IFERROR(IF($AM131="","",TEXT($AM131,"MMM-YY")),"")</f>
        <v>Sep-24</v>
      </c>
      <c r="BG131" s="30" t="str">
        <f t="shared" ref="BG131:BG194" si="28">IFERROR(IF($AS131="","",TEXT($AS131,"MMM-YY")),"")</f>
        <v>Oct-24</v>
      </c>
    </row>
    <row r="132" spans="1:59">
      <c r="A132" s="30">
        <f t="shared" si="23"/>
        <v>131</v>
      </c>
      <c r="B132" s="30" t="s">
        <v>321</v>
      </c>
      <c r="C132" s="30" t="s">
        <v>51</v>
      </c>
      <c r="D132" s="30" t="s">
        <v>51</v>
      </c>
      <c r="E132" s="30" t="s">
        <v>85</v>
      </c>
      <c r="F132" s="30" t="s">
        <v>4089</v>
      </c>
      <c r="G132" s="30" t="s">
        <v>3</v>
      </c>
      <c r="H132" s="30" t="s">
        <v>66</v>
      </c>
      <c r="I132" s="30" t="s">
        <v>81</v>
      </c>
      <c r="J132" s="30" t="s">
        <v>135</v>
      </c>
      <c r="K132" s="31">
        <v>45442</v>
      </c>
      <c r="L132" s="31">
        <v>45322</v>
      </c>
      <c r="M132" s="31">
        <v>45322</v>
      </c>
      <c r="N132" s="30" t="s">
        <v>4122</v>
      </c>
      <c r="O132" s="31"/>
      <c r="P132" s="31"/>
      <c r="Q132" s="31"/>
      <c r="R132" s="31"/>
      <c r="S132" s="31"/>
      <c r="T132" s="31"/>
      <c r="U132" s="30"/>
      <c r="V132" s="30"/>
      <c r="W132" s="30"/>
      <c r="X132" s="30" t="s">
        <v>63</v>
      </c>
      <c r="Y132" s="30" t="s">
        <v>65</v>
      </c>
      <c r="Z132" s="30" t="s">
        <v>65</v>
      </c>
      <c r="AA132" s="30" t="s">
        <v>4123</v>
      </c>
      <c r="AB132" s="30"/>
      <c r="AC132" s="30"/>
      <c r="AD132" s="30"/>
      <c r="AE132" s="30" t="s">
        <v>322</v>
      </c>
      <c r="AF132" s="30">
        <v>7018665972</v>
      </c>
      <c r="AG132" s="30"/>
      <c r="AH132" s="31" t="s">
        <v>55</v>
      </c>
      <c r="AI132" s="31">
        <v>45399</v>
      </c>
      <c r="AJ132" s="31"/>
      <c r="AK132" s="30" t="s">
        <v>63</v>
      </c>
      <c r="AL132" s="30">
        <v>750000</v>
      </c>
      <c r="AM132" s="31">
        <v>45426</v>
      </c>
      <c r="AN132" s="31"/>
      <c r="AO132" s="31"/>
      <c r="AP132" s="31"/>
      <c r="AQ132" s="31"/>
      <c r="AR132" s="31"/>
      <c r="AS132" s="31">
        <v>45453</v>
      </c>
      <c r="AT132" s="30">
        <f t="shared" ca="1" si="24"/>
        <v>0</v>
      </c>
      <c r="AU132" s="32" t="str">
        <f t="shared" ca="1" si="22"/>
        <v/>
      </c>
      <c r="AV132" s="32" t="str" cm="1">
        <f t="array" aca="1" ref="AV132" ca="1">IFERROR(_xlfn.IFS($AU132="","",$AU132&lt;=15,"0-15",AND($AU132&gt;=16,$AU132&lt;=30),"16-30",AND($AU132&gt;=31,$AU132&lt;=45),"31-45",AND($AU132&gt;=46,$AU132&lt;=60),"46-60",AND($AU132&gt;=61,$AU132&lt;=90),"61-90",AND($AU132&gt;=91),"&gt; 90",AND($AU132&gt;=2000),""),"")</f>
        <v/>
      </c>
      <c r="AW132" s="32" cm="1">
        <f t="array" aca="1" ref="AW132" ca="1">IFERROR(_xlfn.IFS(OR($M132="",$AM132=""),"",OR($C132="Offered",$C132="Joined"),($AM132-$M132)-$AT132),"")</f>
        <v>104</v>
      </c>
      <c r="AX132" s="32" cm="1">
        <f t="array" aca="1" ref="AX132" ca="1">IFERROR(_xlfn.IFS(OR($M132="",$AS132=""),"",$C132="Joined",($AS132-$M132)-$AT132),"")</f>
        <v>131</v>
      </c>
      <c r="AY132" s="30" t="str">
        <f>IFERROR(IF(COUNTIFS('Candidate Tracker'!$E:$E,'Positions Tracker'!$B132,'Candidate Tracker'!$C:$C,"Offer Drop")=0,"",COUNTIFS('Candidate Tracker'!$E:$E,'Positions Tracker'!$B132,'Candidate Tracker'!$C:$C,"Offer Drop")),"")</f>
        <v/>
      </c>
      <c r="AZ1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2" s="34">
        <f>IFERROR(IF(COUNTIFS('Candidate Tracker'!$E:$E,'Positions Tracker'!$B132,'Candidate Tracker'!$I:$I,"Female")=0,"",COUNTIFS('Candidate Tracker'!$E:$E,'Positions Tracker'!$B132,'Candidate Tracker'!$I:$I,"Female")),"")</f>
        <v>1</v>
      </c>
      <c r="BB132" s="34">
        <f>IFERROR(IF(COUNTIFS('Candidate Tracker'!$E:$E,'Positions Tracker'!$B132,'Candidate Tracker'!$I:$I,"male")=0,"",COUNTIFS('Candidate Tracker'!$E:$E,'Positions Tracker'!$B132,'Candidate Tracker'!$I:$I,"male")),"")</f>
        <v>1</v>
      </c>
      <c r="BC132" s="33">
        <f>IFERROR(IF(COUNTIFS('Candidate Tracker'!$E:$E,'Positions Tracker'!$B132,'Candidate Tracker'!$C:$C,"&lt;&gt;WIP",'Candidate Tracker'!$C:$C,"&lt;&gt;Hold",'Candidate Tracker'!$C:$C,"&lt;&gt;Cancelled",'Candidate Tracker'!$C:$C,"&lt;&gt;Closed")/COUNTIFS('Candidate Tracker'!$E:$E,'Positions Tracker'!$B132)=0,"",COUNTIFS('Candidate Tracker'!$E:$E,'Positions Tracker'!$B132,'Candidate Tracker'!$C:$C,"&lt;&gt;WIP",'Candidate Tracker'!$C:$C,"&lt;&gt;Hold",'Candidate Tracker'!$C:$C,"&lt;&gt;Cancelled",'Candidate Tracker'!$C:$C,"&lt;&gt;Closed")/COUNTIFS('Candidate Tracker'!$E:$E,'Positions Tracker'!$B132)),"")</f>
        <v>0.5</v>
      </c>
      <c r="BD132" s="30" t="str">
        <f t="shared" si="25"/>
        <v>Jan-24</v>
      </c>
      <c r="BE132" s="30" t="str">
        <f t="shared" si="26"/>
        <v>Apr-24</v>
      </c>
      <c r="BF132" s="30" t="str">
        <f t="shared" si="27"/>
        <v>May-24</v>
      </c>
      <c r="BG132" s="30" t="str">
        <f t="shared" si="28"/>
        <v>Jun-24</v>
      </c>
    </row>
    <row r="133" spans="1:59">
      <c r="A133" s="30">
        <f t="shared" si="23"/>
        <v>132</v>
      </c>
      <c r="B133" s="30" t="s">
        <v>652</v>
      </c>
      <c r="C133" s="30" t="s">
        <v>3847</v>
      </c>
      <c r="D133" s="30" t="s">
        <v>1920</v>
      </c>
      <c r="E133" s="30" t="s">
        <v>4124</v>
      </c>
      <c r="F133" s="30" t="s">
        <v>4081</v>
      </c>
      <c r="G133" s="30" t="s">
        <v>3</v>
      </c>
      <c r="H133" s="30" t="s">
        <v>66</v>
      </c>
      <c r="I133" s="30" t="s">
        <v>428</v>
      </c>
      <c r="J133" s="30" t="s">
        <v>351</v>
      </c>
      <c r="K133" s="31">
        <v>45602</v>
      </c>
      <c r="L133" s="31">
        <v>45602</v>
      </c>
      <c r="M133" s="31">
        <v>45602</v>
      </c>
      <c r="N133" s="30" t="s">
        <v>3861</v>
      </c>
      <c r="O133" s="31"/>
      <c r="P133" s="31"/>
      <c r="Q133" s="31"/>
      <c r="R133" s="31"/>
      <c r="S133" s="31"/>
      <c r="T133" s="31"/>
      <c r="U133" s="30"/>
      <c r="V133" s="30"/>
      <c r="W133" s="30"/>
      <c r="X133" s="30" t="s">
        <v>63</v>
      </c>
      <c r="Y133" s="30" t="s">
        <v>65</v>
      </c>
      <c r="Z133" s="30" t="s">
        <v>65</v>
      </c>
      <c r="AA133" s="30" t="s">
        <v>4123</v>
      </c>
      <c r="AB133" s="30"/>
      <c r="AC133" s="30"/>
      <c r="AD133" s="30"/>
      <c r="AE133" s="30" t="s">
        <v>653</v>
      </c>
      <c r="AF133" s="30">
        <v>9096150394</v>
      </c>
      <c r="AG133" s="30"/>
      <c r="AH133" s="31" t="s">
        <v>55</v>
      </c>
      <c r="AI133" s="31">
        <v>45618</v>
      </c>
      <c r="AJ133" s="31"/>
      <c r="AK133" s="30" t="s">
        <v>63</v>
      </c>
      <c r="AL133" s="30">
        <v>2000000</v>
      </c>
      <c r="AM133" s="31">
        <v>45624</v>
      </c>
      <c r="AN133" s="31">
        <v>45624</v>
      </c>
      <c r="AO133" s="31"/>
      <c r="AP133" s="31"/>
      <c r="AQ133" s="31"/>
      <c r="AR133" s="31"/>
      <c r="AS133" s="31">
        <v>45628</v>
      </c>
      <c r="AT133" s="30">
        <f t="shared" ca="1" si="24"/>
        <v>0</v>
      </c>
      <c r="AU133" s="32" t="str">
        <f t="shared" ca="1" si="22"/>
        <v/>
      </c>
      <c r="AV133" s="32" t="str" cm="1">
        <f t="array" aca="1" ref="AV133" ca="1">IFERROR(_xlfn.IFS($AU133="","",$AU133&lt;=15,"0-15",AND($AU133&gt;=16,$AU133&lt;=30),"16-30",AND($AU133&gt;=31,$AU133&lt;=45),"31-45",AND($AU133&gt;=46,$AU133&lt;=60),"46-60",AND($AU133&gt;=61,$AU133&lt;=90),"61-90",AND($AU133&gt;=91),"&gt; 90",AND($AU133&gt;=2000),""),"")</f>
        <v/>
      </c>
      <c r="AW133" s="32" t="str" cm="1">
        <f t="array" aca="1" ref="AW133" ca="1">IFERROR(_xlfn.IFS(OR($M133="",$AM133=""),"",OR($C133="Offered",$C133="Joined"),($AM133-$M133)-$AT133),"")</f>
        <v/>
      </c>
      <c r="AX133" s="32" t="str" cm="1">
        <f t="array" aca="1" ref="AX133" ca="1">IFERROR(_xlfn.IFS(OR($M133="",$AS133=""),"",$C133="Joined",($AS133-$M133)-$AT133),"")</f>
        <v/>
      </c>
      <c r="AY133" s="30" t="str">
        <f>IFERROR(IF(COUNTIFS('Candidate Tracker'!$E:$E,'Positions Tracker'!$B133,'Candidate Tracker'!$C:$C,"Offer Drop")=0,"",COUNTIFS('Candidate Tracker'!$E:$E,'Positions Tracker'!$B133,'Candidate Tracker'!$C:$C,"Offer Drop")),"")</f>
        <v/>
      </c>
      <c r="AZ1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3" s="34" t="str">
        <f>IFERROR(IF(COUNTIFS('Candidate Tracker'!$E:$E,'Positions Tracker'!$B133,'Candidate Tracker'!$I:$I,"Female")=0,"",COUNTIFS('Candidate Tracker'!$E:$E,'Positions Tracker'!$B133,'Candidate Tracker'!$I:$I,"Female")),"")</f>
        <v/>
      </c>
      <c r="BB133" s="34">
        <f>IFERROR(IF(COUNTIFS('Candidate Tracker'!$E:$E,'Positions Tracker'!$B133,'Candidate Tracker'!$I:$I,"male")=0,"",COUNTIFS('Candidate Tracker'!$E:$E,'Positions Tracker'!$B133,'Candidate Tracker'!$I:$I,"male")),"")</f>
        <v>1</v>
      </c>
      <c r="BC133" s="33" t="str">
        <f>IFERROR(IF(COUNTIFS('Candidate Tracker'!$E:$E,'Positions Tracker'!$B133,'Candidate Tracker'!$C:$C,"&lt;&gt;WIP",'Candidate Tracker'!$C:$C,"&lt;&gt;Hold",'Candidate Tracker'!$C:$C,"&lt;&gt;Cancelled",'Candidate Tracker'!$C:$C,"&lt;&gt;Closed")/COUNTIFS('Candidate Tracker'!$E:$E,'Positions Tracker'!$B133)=0,"",COUNTIFS('Candidate Tracker'!$E:$E,'Positions Tracker'!$B133,'Candidate Tracker'!$C:$C,"&lt;&gt;WIP",'Candidate Tracker'!$C:$C,"&lt;&gt;Hold",'Candidate Tracker'!$C:$C,"&lt;&gt;Cancelled",'Candidate Tracker'!$C:$C,"&lt;&gt;Closed")/COUNTIFS('Candidate Tracker'!$E:$E,'Positions Tracker'!$B133)),"")</f>
        <v/>
      </c>
      <c r="BD133" s="30" t="str">
        <f t="shared" si="25"/>
        <v>Nov-24</v>
      </c>
      <c r="BE133" s="30" t="str">
        <f t="shared" si="26"/>
        <v>Nov-24</v>
      </c>
      <c r="BF133" s="30" t="str">
        <f t="shared" si="27"/>
        <v>Nov-24</v>
      </c>
      <c r="BG133" s="30" t="str">
        <f t="shared" si="28"/>
        <v>Dec-24</v>
      </c>
    </row>
    <row r="134" spans="1:59">
      <c r="A134" s="30">
        <f t="shared" si="23"/>
        <v>133</v>
      </c>
      <c r="B134" s="30"/>
      <c r="C134" s="30" t="s">
        <v>1044</v>
      </c>
      <c r="D134" s="30" t="s">
        <v>320</v>
      </c>
      <c r="E134" s="30" t="s">
        <v>85</v>
      </c>
      <c r="F134" s="30" t="s">
        <v>4089</v>
      </c>
      <c r="G134" s="30" t="s">
        <v>3</v>
      </c>
      <c r="H134" s="30" t="s">
        <v>66</v>
      </c>
      <c r="I134" s="30" t="s">
        <v>81</v>
      </c>
      <c r="J134" s="30" t="s">
        <v>135</v>
      </c>
      <c r="K134" s="31">
        <v>45295</v>
      </c>
      <c r="L134" s="31">
        <v>45329</v>
      </c>
      <c r="M134" s="31">
        <v>45628</v>
      </c>
      <c r="N134" s="30"/>
      <c r="O134" s="31"/>
      <c r="P134" s="31"/>
      <c r="Q134" s="31"/>
      <c r="R134" s="31"/>
      <c r="S134" s="31"/>
      <c r="T134" s="31"/>
      <c r="U134" s="30"/>
      <c r="V134" s="30"/>
      <c r="W134" s="30"/>
      <c r="X134" s="30" t="s">
        <v>63</v>
      </c>
      <c r="Y134" s="30" t="s">
        <v>65</v>
      </c>
      <c r="Z134" s="30" t="s">
        <v>65</v>
      </c>
      <c r="AA134" s="30" t="s">
        <v>4125</v>
      </c>
      <c r="AB134" s="30"/>
      <c r="AC134" s="30"/>
      <c r="AD134" s="30"/>
      <c r="AE134" s="30" t="s">
        <v>4126</v>
      </c>
      <c r="AF134" s="30">
        <v>8675138938</v>
      </c>
      <c r="AG134" s="30"/>
      <c r="AH134" s="31" t="s">
        <v>55</v>
      </c>
      <c r="AI134" s="31">
        <v>45279</v>
      </c>
      <c r="AJ134" s="31"/>
      <c r="AK134" s="30" t="s">
        <v>63</v>
      </c>
      <c r="AL134" s="30">
        <v>800000</v>
      </c>
      <c r="AM134" s="31"/>
      <c r="AN134" s="31"/>
      <c r="AO134" s="31"/>
      <c r="AP134" s="31">
        <v>45289</v>
      </c>
      <c r="AQ134" s="31"/>
      <c r="AR134" s="31"/>
      <c r="AS134" s="31">
        <v>45397</v>
      </c>
      <c r="AT134" s="30">
        <f t="shared" ca="1" si="24"/>
        <v>0</v>
      </c>
      <c r="AU134" s="32" t="str">
        <f t="shared" ca="1" si="22"/>
        <v/>
      </c>
      <c r="AV134" s="32" t="str" cm="1">
        <f t="array" aca="1" ref="AV134" ca="1">IFERROR(_xlfn.IFS($AU134="","",$AU134&lt;=15,"0-15",AND($AU134&gt;=16,$AU134&lt;=30),"16-30",AND($AU134&gt;=31,$AU134&lt;=45),"31-45",AND($AU134&gt;=46,$AU134&lt;=60),"46-60",AND($AU134&gt;=61,$AU134&lt;=90),"61-90",AND($AU134&gt;=91),"&gt; 90",AND($AU134&gt;=2000),""),"")</f>
        <v/>
      </c>
      <c r="AW134" s="32" t="str" cm="1">
        <f t="array" aca="1" ref="AW134" ca="1">IFERROR(_xlfn.IFS(OR($M134="",$AM134=""),"",OR($C134="Offered",$C134="Joined"),($AM134-$M134)-$AT134),"")</f>
        <v/>
      </c>
      <c r="AX134" s="32" t="str" cm="1">
        <f t="array" aca="1" ref="AX134" ca="1">IFERROR(_xlfn.IFS(OR($M134="",$AS134=""),"",$C134="Joined",($AS134-$M134)-$AT134),"")</f>
        <v/>
      </c>
      <c r="AY134" s="30" t="str">
        <f>IFERROR(IF(COUNTIFS('Candidate Tracker'!$E:$E,'Positions Tracker'!$B134,'Candidate Tracker'!$C:$C,"Offer Drop")=0,"",COUNTIFS('Candidate Tracker'!$E:$E,'Positions Tracker'!$B134,'Candidate Tracker'!$C:$C,"Offer Drop")),"")</f>
        <v/>
      </c>
      <c r="AZ1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4" s="34" t="str">
        <f>IFERROR(IF(COUNTIFS('Candidate Tracker'!$E:$E,'Positions Tracker'!$B134,'Candidate Tracker'!$I:$I,"Female")=0,"",COUNTIFS('Candidate Tracker'!$E:$E,'Positions Tracker'!$B134,'Candidate Tracker'!$I:$I,"Female")),"")</f>
        <v/>
      </c>
      <c r="BB134" s="34" t="str">
        <f>IFERROR(IF(COUNTIFS('Candidate Tracker'!$E:$E,'Positions Tracker'!$B134,'Candidate Tracker'!$I:$I,"male")=0,"",COUNTIFS('Candidate Tracker'!$E:$E,'Positions Tracker'!$B134,'Candidate Tracker'!$I:$I,"male")),"")</f>
        <v/>
      </c>
      <c r="BC134" s="33" t="str">
        <f>IFERROR(IF(COUNTIFS('Candidate Tracker'!$E:$E,'Positions Tracker'!$B134,'Candidate Tracker'!$C:$C,"&lt;&gt;WIP",'Candidate Tracker'!$C:$C,"&lt;&gt;Hold",'Candidate Tracker'!$C:$C,"&lt;&gt;Cancelled",'Candidate Tracker'!$C:$C,"&lt;&gt;Closed")/COUNTIFS('Candidate Tracker'!$E:$E,'Positions Tracker'!$B134)=0,"",COUNTIFS('Candidate Tracker'!$E:$E,'Positions Tracker'!$B134,'Candidate Tracker'!$C:$C,"&lt;&gt;WIP",'Candidate Tracker'!$C:$C,"&lt;&gt;Hold",'Candidate Tracker'!$C:$C,"&lt;&gt;Cancelled",'Candidate Tracker'!$C:$C,"&lt;&gt;Closed")/COUNTIFS('Candidate Tracker'!$E:$E,'Positions Tracker'!$B134)),"")</f>
        <v/>
      </c>
      <c r="BD134" s="30" t="str">
        <f t="shared" si="25"/>
        <v>Dec-24</v>
      </c>
      <c r="BE134" s="30" t="str">
        <f t="shared" si="26"/>
        <v>Dec-23</v>
      </c>
      <c r="BF134" s="30" t="str">
        <f t="shared" si="27"/>
        <v/>
      </c>
      <c r="BG134" s="30" t="str">
        <f t="shared" si="28"/>
        <v>Apr-24</v>
      </c>
    </row>
    <row r="135" spans="1:59">
      <c r="A135" s="30">
        <f t="shared" si="23"/>
        <v>134</v>
      </c>
      <c r="B135" s="30"/>
      <c r="C135" s="30" t="s">
        <v>1044</v>
      </c>
      <c r="D135" s="30" t="s">
        <v>320</v>
      </c>
      <c r="E135" s="30" t="s">
        <v>4127</v>
      </c>
      <c r="F135" s="30" t="s">
        <v>2959</v>
      </c>
      <c r="G135" s="30"/>
      <c r="H135" s="30"/>
      <c r="I135" s="30" t="s">
        <v>279</v>
      </c>
      <c r="J135" s="30" t="s">
        <v>135</v>
      </c>
      <c r="K135" s="31">
        <f>L135</f>
        <v>45294</v>
      </c>
      <c r="L135" s="31">
        <v>45294</v>
      </c>
      <c r="M135" s="31">
        <v>45337</v>
      </c>
      <c r="N135" s="30"/>
      <c r="O135" s="31"/>
      <c r="P135" s="31"/>
      <c r="Q135" s="31"/>
      <c r="R135" s="31"/>
      <c r="S135" s="31"/>
      <c r="T135" s="31"/>
      <c r="U135" s="30"/>
      <c r="V135" s="30"/>
      <c r="W135" s="30"/>
      <c r="X135" s="30" t="s">
        <v>63</v>
      </c>
      <c r="Y135" s="30" t="s">
        <v>93</v>
      </c>
      <c r="Z135" s="30" t="s">
        <v>93</v>
      </c>
      <c r="AA135" s="30" t="s">
        <v>4128</v>
      </c>
      <c r="AB135" s="30"/>
      <c r="AC135" s="30"/>
      <c r="AD135" s="30"/>
      <c r="AE135" s="30" t="s">
        <v>4129</v>
      </c>
      <c r="AF135" s="30">
        <v>9920212883</v>
      </c>
      <c r="AG135" s="30"/>
      <c r="AH135" s="31" t="s">
        <v>55</v>
      </c>
      <c r="AI135" s="31">
        <v>45273</v>
      </c>
      <c r="AJ135" s="31"/>
      <c r="AK135" s="30" t="s">
        <v>63</v>
      </c>
      <c r="AL135" s="30">
        <v>5300000</v>
      </c>
      <c r="AM135" s="31"/>
      <c r="AN135" s="31"/>
      <c r="AO135" s="31">
        <v>45290</v>
      </c>
      <c r="AP135" s="31">
        <v>45295</v>
      </c>
      <c r="AQ135" s="31"/>
      <c r="AR135" s="31"/>
      <c r="AS135" s="31">
        <v>45404</v>
      </c>
      <c r="AT135" s="30">
        <f t="shared" ca="1" si="24"/>
        <v>0</v>
      </c>
      <c r="AU135" s="32" t="str">
        <f t="shared" ca="1" si="22"/>
        <v/>
      </c>
      <c r="AV135" s="32" t="str" cm="1">
        <f t="array" aca="1" ref="AV135" ca="1">IFERROR(_xlfn.IFS($AU135="","",$AU135&lt;=15,"0-15",AND($AU135&gt;=16,$AU135&lt;=30),"16-30",AND($AU135&gt;=31,$AU135&lt;=45),"31-45",AND($AU135&gt;=46,$AU135&lt;=60),"46-60",AND($AU135&gt;=61,$AU135&lt;=90),"61-90",AND($AU135&gt;=91),"&gt; 90",AND($AU135&gt;=2000),""),"")</f>
        <v/>
      </c>
      <c r="AW135" s="32" t="str" cm="1">
        <f t="array" aca="1" ref="AW135" ca="1">IFERROR(_xlfn.IFS(OR($M135="",$AM135=""),"",OR($C135="Offered",$C135="Joined"),($AM135-$M135)-$AT135),"")</f>
        <v/>
      </c>
      <c r="AX135" s="32" t="str" cm="1">
        <f t="array" aca="1" ref="AX135" ca="1">IFERROR(_xlfn.IFS(OR($M135="",$AS135=""),"",$C135="Joined",($AS135-$M135)-$AT135),"")</f>
        <v/>
      </c>
      <c r="AY135" s="30" t="str">
        <f>IFERROR(IF(COUNTIFS('Candidate Tracker'!$E:$E,'Positions Tracker'!$B135,'Candidate Tracker'!$C:$C,"Offer Drop")=0,"",COUNTIFS('Candidate Tracker'!$E:$E,'Positions Tracker'!$B135,'Candidate Tracker'!$C:$C,"Offer Drop")),"")</f>
        <v/>
      </c>
      <c r="AZ1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5" s="34" t="str">
        <f>IFERROR(IF(COUNTIFS('Candidate Tracker'!$E:$E,'Positions Tracker'!$B135,'Candidate Tracker'!$I:$I,"Female")=0,"",COUNTIFS('Candidate Tracker'!$E:$E,'Positions Tracker'!$B135,'Candidate Tracker'!$I:$I,"Female")),"")</f>
        <v/>
      </c>
      <c r="BB135" s="34" t="str">
        <f>IFERROR(IF(COUNTIFS('Candidate Tracker'!$E:$E,'Positions Tracker'!$B135,'Candidate Tracker'!$I:$I,"male")=0,"",COUNTIFS('Candidate Tracker'!$E:$E,'Positions Tracker'!$B135,'Candidate Tracker'!$I:$I,"male")),"")</f>
        <v/>
      </c>
      <c r="BC135" s="33" t="str">
        <f>IFERROR(IF(COUNTIFS('Candidate Tracker'!$E:$E,'Positions Tracker'!$B135,'Candidate Tracker'!$C:$C,"&lt;&gt;WIP",'Candidate Tracker'!$C:$C,"&lt;&gt;Hold",'Candidate Tracker'!$C:$C,"&lt;&gt;Cancelled",'Candidate Tracker'!$C:$C,"&lt;&gt;Closed")/COUNTIFS('Candidate Tracker'!$E:$E,'Positions Tracker'!$B135)=0,"",COUNTIFS('Candidate Tracker'!$E:$E,'Positions Tracker'!$B135,'Candidate Tracker'!$C:$C,"&lt;&gt;WIP",'Candidate Tracker'!$C:$C,"&lt;&gt;Hold",'Candidate Tracker'!$C:$C,"&lt;&gt;Cancelled",'Candidate Tracker'!$C:$C,"&lt;&gt;Closed")/COUNTIFS('Candidate Tracker'!$E:$E,'Positions Tracker'!$B135)),"")</f>
        <v/>
      </c>
      <c r="BD135" s="30" t="str">
        <f t="shared" si="25"/>
        <v>Feb-24</v>
      </c>
      <c r="BE135" s="30" t="str">
        <f t="shared" si="26"/>
        <v>Dec-23</v>
      </c>
      <c r="BF135" s="30" t="str">
        <f t="shared" si="27"/>
        <v/>
      </c>
      <c r="BG135" s="30" t="str">
        <f t="shared" si="28"/>
        <v>Apr-24</v>
      </c>
    </row>
    <row r="136" spans="1:59">
      <c r="A136" s="30">
        <f t="shared" si="23"/>
        <v>135</v>
      </c>
      <c r="B136" s="30"/>
      <c r="C136" s="30" t="s">
        <v>1044</v>
      </c>
      <c r="D136" s="30" t="s">
        <v>320</v>
      </c>
      <c r="E136" s="30" t="s">
        <v>4130</v>
      </c>
      <c r="F136" s="30" t="s">
        <v>4131</v>
      </c>
      <c r="G136" s="30" t="s">
        <v>3</v>
      </c>
      <c r="H136" s="30" t="s">
        <v>118</v>
      </c>
      <c r="I136" s="30" t="s">
        <v>116</v>
      </c>
      <c r="J136" s="30" t="s">
        <v>135</v>
      </c>
      <c r="K136" s="31">
        <f>L136</f>
        <v>45383</v>
      </c>
      <c r="L136" s="31">
        <v>45383</v>
      </c>
      <c r="M136" s="31">
        <v>45383</v>
      </c>
      <c r="N136" s="30"/>
      <c r="O136" s="31"/>
      <c r="P136" s="31"/>
      <c r="Q136" s="31"/>
      <c r="R136" s="31"/>
      <c r="S136" s="31"/>
      <c r="T136" s="31"/>
      <c r="U136" s="30"/>
      <c r="V136" s="30"/>
      <c r="W136" s="30"/>
      <c r="X136" s="30" t="s">
        <v>63</v>
      </c>
      <c r="Y136" s="30" t="s">
        <v>65</v>
      </c>
      <c r="Z136" s="30" t="s">
        <v>65</v>
      </c>
      <c r="AA136" s="30" t="s">
        <v>4125</v>
      </c>
      <c r="AB136" s="30"/>
      <c r="AC136" s="30"/>
      <c r="AD136" s="30"/>
      <c r="AE136" s="30" t="s">
        <v>4132</v>
      </c>
      <c r="AF136" s="30">
        <v>7615801234</v>
      </c>
      <c r="AG136" s="30"/>
      <c r="AH136" s="31" t="s">
        <v>101</v>
      </c>
      <c r="AI136" s="31">
        <v>45342</v>
      </c>
      <c r="AJ136" s="31">
        <v>45350</v>
      </c>
      <c r="AK136" s="30" t="s">
        <v>63</v>
      </c>
      <c r="AL136" s="30">
        <v>1700000</v>
      </c>
      <c r="AM136" s="31">
        <v>45350</v>
      </c>
      <c r="AN136" s="31">
        <v>45350</v>
      </c>
      <c r="AO136" s="31">
        <v>45380</v>
      </c>
      <c r="AP136" s="31">
        <v>45350</v>
      </c>
      <c r="AQ136" s="31"/>
      <c r="AR136" s="31"/>
      <c r="AS136" s="31">
        <v>45383</v>
      </c>
      <c r="AT136" s="30">
        <f t="shared" ca="1" si="24"/>
        <v>0</v>
      </c>
      <c r="AU136" s="32" t="str">
        <f t="shared" ca="1" si="22"/>
        <v/>
      </c>
      <c r="AV136" s="32" t="str" cm="1">
        <f t="array" aca="1" ref="AV136" ca="1">IFERROR(_xlfn.IFS($AU136="","",$AU136&lt;=15,"0-15",AND($AU136&gt;=16,$AU136&lt;=30),"16-30",AND($AU136&gt;=31,$AU136&lt;=45),"31-45",AND($AU136&gt;=46,$AU136&lt;=60),"46-60",AND($AU136&gt;=61,$AU136&lt;=90),"61-90",AND($AU136&gt;=91),"&gt; 90",AND($AU136&gt;=2000),""),"")</f>
        <v/>
      </c>
      <c r="AW136" s="32" t="str" cm="1">
        <f t="array" aca="1" ref="AW136" ca="1">IFERROR(_xlfn.IFS(OR($M136="",$AM136=""),"",OR($C136="Offered",$C136="Joined"),($AM136-$M136)-$AT136),"")</f>
        <v/>
      </c>
      <c r="AX136" s="32" t="str" cm="1">
        <f t="array" aca="1" ref="AX136" ca="1">IFERROR(_xlfn.IFS(OR($M136="",$AS136=""),"",$C136="Joined",($AS136-$M136)-$AT136),"")</f>
        <v/>
      </c>
      <c r="AY136" s="30" t="str">
        <f>IFERROR(IF(COUNTIFS('Candidate Tracker'!$E:$E,'Positions Tracker'!$B136,'Candidate Tracker'!$C:$C,"Offer Drop")=0,"",COUNTIFS('Candidate Tracker'!$E:$E,'Positions Tracker'!$B136,'Candidate Tracker'!$C:$C,"Offer Drop")),"")</f>
        <v/>
      </c>
      <c r="AZ1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6" s="34" t="str">
        <f>IFERROR(IF(COUNTIFS('Candidate Tracker'!$E:$E,'Positions Tracker'!$B136,'Candidate Tracker'!$I:$I,"Female")=0,"",COUNTIFS('Candidate Tracker'!$E:$E,'Positions Tracker'!$B136,'Candidate Tracker'!$I:$I,"Female")),"")</f>
        <v/>
      </c>
      <c r="BB136" s="34" t="str">
        <f>IFERROR(IF(COUNTIFS('Candidate Tracker'!$E:$E,'Positions Tracker'!$B136,'Candidate Tracker'!$I:$I,"male")=0,"",COUNTIFS('Candidate Tracker'!$E:$E,'Positions Tracker'!$B136,'Candidate Tracker'!$I:$I,"male")),"")</f>
        <v/>
      </c>
      <c r="BC136" s="33" t="str">
        <f>IFERROR(IF(COUNTIFS('Candidate Tracker'!$E:$E,'Positions Tracker'!$B136,'Candidate Tracker'!$C:$C,"&lt;&gt;WIP",'Candidate Tracker'!$C:$C,"&lt;&gt;Hold",'Candidate Tracker'!$C:$C,"&lt;&gt;Cancelled",'Candidate Tracker'!$C:$C,"&lt;&gt;Closed")/COUNTIFS('Candidate Tracker'!$E:$E,'Positions Tracker'!$B136)=0,"",COUNTIFS('Candidate Tracker'!$E:$E,'Positions Tracker'!$B136,'Candidate Tracker'!$C:$C,"&lt;&gt;WIP",'Candidate Tracker'!$C:$C,"&lt;&gt;Hold",'Candidate Tracker'!$C:$C,"&lt;&gt;Cancelled",'Candidate Tracker'!$C:$C,"&lt;&gt;Closed")/COUNTIFS('Candidate Tracker'!$E:$E,'Positions Tracker'!$B136)),"")</f>
        <v/>
      </c>
      <c r="BD136" s="30" t="str">
        <f t="shared" si="25"/>
        <v>Apr-24</v>
      </c>
      <c r="BE136" s="30" t="str">
        <f t="shared" si="26"/>
        <v>Feb-24</v>
      </c>
      <c r="BF136" s="30" t="str">
        <f t="shared" si="27"/>
        <v>Feb-24</v>
      </c>
      <c r="BG136" s="30" t="str">
        <f t="shared" si="28"/>
        <v>Apr-24</v>
      </c>
    </row>
    <row r="137" spans="1:59">
      <c r="A137" s="30">
        <f t="shared" si="23"/>
        <v>136</v>
      </c>
      <c r="B137" s="30"/>
      <c r="C137" s="30" t="s">
        <v>1044</v>
      </c>
      <c r="D137" s="30" t="s">
        <v>320</v>
      </c>
      <c r="E137" s="30" t="s">
        <v>4133</v>
      </c>
      <c r="F137" s="30" t="s">
        <v>4134</v>
      </c>
      <c r="G137" s="30"/>
      <c r="H137" s="30"/>
      <c r="I137" s="30" t="s">
        <v>140</v>
      </c>
      <c r="J137" s="30" t="s">
        <v>135</v>
      </c>
      <c r="K137" s="31">
        <f>L137</f>
        <v>45301</v>
      </c>
      <c r="L137" s="31">
        <v>45301</v>
      </c>
      <c r="M137" s="31">
        <v>45301</v>
      </c>
      <c r="N137" s="30"/>
      <c r="O137" s="31"/>
      <c r="P137" s="31"/>
      <c r="Q137" s="31"/>
      <c r="R137" s="31"/>
      <c r="S137" s="31"/>
      <c r="T137" s="31"/>
      <c r="U137" s="30"/>
      <c r="V137" s="30"/>
      <c r="W137" s="30"/>
      <c r="X137" s="30" t="s">
        <v>63</v>
      </c>
      <c r="Y137" s="30" t="s">
        <v>93</v>
      </c>
      <c r="Z137" s="30" t="s">
        <v>93</v>
      </c>
      <c r="AA137" s="30" t="s">
        <v>4135</v>
      </c>
      <c r="AB137" s="30"/>
      <c r="AC137" s="30"/>
      <c r="AD137" s="30"/>
      <c r="AE137" s="30" t="s">
        <v>4136</v>
      </c>
      <c r="AF137" s="30">
        <v>9665330108</v>
      </c>
      <c r="AG137" s="30"/>
      <c r="AH137" s="31" t="s">
        <v>55</v>
      </c>
      <c r="AI137" s="31">
        <v>45306</v>
      </c>
      <c r="AJ137" s="31"/>
      <c r="AK137" s="30" t="s">
        <v>63</v>
      </c>
      <c r="AL137" s="30">
        <v>1600000</v>
      </c>
      <c r="AM137" s="31">
        <f>AN137</f>
        <v>45433</v>
      </c>
      <c r="AN137" s="31">
        <v>45433</v>
      </c>
      <c r="AO137" s="31">
        <v>45401</v>
      </c>
      <c r="AP137" s="31">
        <v>45307</v>
      </c>
      <c r="AQ137" s="31"/>
      <c r="AR137" s="31"/>
      <c r="AS137" s="31">
        <v>45404</v>
      </c>
      <c r="AT137" s="30">
        <f t="shared" ca="1" si="24"/>
        <v>0</v>
      </c>
      <c r="AU137" s="32" t="str">
        <f t="shared" ca="1" si="22"/>
        <v/>
      </c>
      <c r="AV137" s="32" t="str" cm="1">
        <f t="array" aca="1" ref="AV137" ca="1">IFERROR(_xlfn.IFS($AU137="","",$AU137&lt;=15,"0-15",AND($AU137&gt;=16,$AU137&lt;=30),"16-30",AND($AU137&gt;=31,$AU137&lt;=45),"31-45",AND($AU137&gt;=46,$AU137&lt;=60),"46-60",AND($AU137&gt;=61,$AU137&lt;=90),"61-90",AND($AU137&gt;=91),"&gt; 90",AND($AU137&gt;=2000),""),"")</f>
        <v/>
      </c>
      <c r="AW137" s="32" t="str" cm="1">
        <f t="array" aca="1" ref="AW137" ca="1">IFERROR(_xlfn.IFS(OR($M137="",$AM137=""),"",OR($C137="Offered",$C137="Joined"),($AM137-$M137)-$AT137),"")</f>
        <v/>
      </c>
      <c r="AX137" s="32" t="str" cm="1">
        <f t="array" aca="1" ref="AX137" ca="1">IFERROR(_xlfn.IFS(OR($M137="",$AS137=""),"",$C137="Joined",($AS137-$M137)-$AT137),"")</f>
        <v/>
      </c>
      <c r="AY137" s="30" t="str">
        <f>IFERROR(IF(COUNTIFS('Candidate Tracker'!$E:$E,'Positions Tracker'!$B137,'Candidate Tracker'!$C:$C,"Offer Drop")=0,"",COUNTIFS('Candidate Tracker'!$E:$E,'Positions Tracker'!$B137,'Candidate Tracker'!$C:$C,"Offer Drop")),"")</f>
        <v/>
      </c>
      <c r="AZ1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7" s="34" t="str">
        <f>IFERROR(IF(COUNTIFS('Candidate Tracker'!$E:$E,'Positions Tracker'!$B137,'Candidate Tracker'!$I:$I,"Female")=0,"",COUNTIFS('Candidate Tracker'!$E:$E,'Positions Tracker'!$B137,'Candidate Tracker'!$I:$I,"Female")),"")</f>
        <v/>
      </c>
      <c r="BB137" s="34" t="str">
        <f>IFERROR(IF(COUNTIFS('Candidate Tracker'!$E:$E,'Positions Tracker'!$B137,'Candidate Tracker'!$I:$I,"male")=0,"",COUNTIFS('Candidate Tracker'!$E:$E,'Positions Tracker'!$B137,'Candidate Tracker'!$I:$I,"male")),"")</f>
        <v/>
      </c>
      <c r="BC137" s="33" t="str">
        <f>IFERROR(IF(COUNTIFS('Candidate Tracker'!$E:$E,'Positions Tracker'!$B137,'Candidate Tracker'!$C:$C,"&lt;&gt;WIP",'Candidate Tracker'!$C:$C,"&lt;&gt;Hold",'Candidate Tracker'!$C:$C,"&lt;&gt;Cancelled",'Candidate Tracker'!$C:$C,"&lt;&gt;Closed")/COUNTIFS('Candidate Tracker'!$E:$E,'Positions Tracker'!$B137)=0,"",COUNTIFS('Candidate Tracker'!$E:$E,'Positions Tracker'!$B137,'Candidate Tracker'!$C:$C,"&lt;&gt;WIP",'Candidate Tracker'!$C:$C,"&lt;&gt;Hold",'Candidate Tracker'!$C:$C,"&lt;&gt;Cancelled",'Candidate Tracker'!$C:$C,"&lt;&gt;Closed")/COUNTIFS('Candidate Tracker'!$E:$E,'Positions Tracker'!$B137)),"")</f>
        <v/>
      </c>
      <c r="BD137" s="30" t="str">
        <f t="shared" si="25"/>
        <v>Jan-24</v>
      </c>
      <c r="BE137" s="30" t="str">
        <f t="shared" si="26"/>
        <v>Jan-24</v>
      </c>
      <c r="BF137" s="30" t="str">
        <f t="shared" si="27"/>
        <v>May-24</v>
      </c>
      <c r="BG137" s="30" t="str">
        <f t="shared" si="28"/>
        <v>Apr-24</v>
      </c>
    </row>
    <row r="138" spans="1:59">
      <c r="A138" s="30">
        <f t="shared" si="23"/>
        <v>137</v>
      </c>
      <c r="B138" s="30">
        <v>20245321</v>
      </c>
      <c r="C138" s="30" t="s">
        <v>1044</v>
      </c>
      <c r="D138" s="30" t="s">
        <v>320</v>
      </c>
      <c r="E138" s="30" t="s">
        <v>296</v>
      </c>
      <c r="F138" s="30" t="s">
        <v>4137</v>
      </c>
      <c r="G138" s="30" t="s">
        <v>3</v>
      </c>
      <c r="H138" s="30" t="s">
        <v>118</v>
      </c>
      <c r="I138" s="30" t="s">
        <v>4138</v>
      </c>
      <c r="J138" s="30" t="s">
        <v>135</v>
      </c>
      <c r="K138" s="31">
        <v>45531</v>
      </c>
      <c r="L138" s="31">
        <v>45531</v>
      </c>
      <c r="M138" s="31">
        <v>45531</v>
      </c>
      <c r="N138" s="30" t="s">
        <v>3861</v>
      </c>
      <c r="O138" s="31"/>
      <c r="P138" s="31"/>
      <c r="Q138" s="31"/>
      <c r="R138" s="31"/>
      <c r="S138" s="31"/>
      <c r="T138" s="31"/>
      <c r="U138" s="30"/>
      <c r="V138" s="30"/>
      <c r="W138" s="30"/>
      <c r="X138" s="30" t="s">
        <v>63</v>
      </c>
      <c r="Y138" s="30" t="s">
        <v>218</v>
      </c>
      <c r="Z138" s="30" t="s">
        <v>123</v>
      </c>
      <c r="AA138" s="30" t="s">
        <v>4139</v>
      </c>
      <c r="AB138" s="30"/>
      <c r="AC138" s="30"/>
      <c r="AD138" s="30"/>
      <c r="AE138" s="30" t="s">
        <v>4138</v>
      </c>
      <c r="AF138" s="30">
        <v>9049427594</v>
      </c>
      <c r="AG138" s="30" t="s">
        <v>4140</v>
      </c>
      <c r="AH138" s="31" t="s">
        <v>55</v>
      </c>
      <c r="AI138" s="31">
        <v>45318</v>
      </c>
      <c r="AJ138" s="31">
        <v>45320</v>
      </c>
      <c r="AK138" s="30" t="s">
        <v>63</v>
      </c>
      <c r="AL138" s="30">
        <v>1700000</v>
      </c>
      <c r="AM138" s="31">
        <v>45320</v>
      </c>
      <c r="AN138" s="31">
        <v>45352</v>
      </c>
      <c r="AO138" s="31">
        <v>45364</v>
      </c>
      <c r="AP138" s="31">
        <v>45363</v>
      </c>
      <c r="AQ138" s="31">
        <v>45363</v>
      </c>
      <c r="AR138" s="31">
        <v>45423</v>
      </c>
      <c r="AS138" s="31">
        <v>45426</v>
      </c>
      <c r="AT138" s="30">
        <f t="shared" ca="1" si="24"/>
        <v>0</v>
      </c>
      <c r="AU138" s="32" t="str">
        <f t="shared" ca="1" si="22"/>
        <v/>
      </c>
      <c r="AV138" s="32" t="str" cm="1">
        <f t="array" aca="1" ref="AV138" ca="1">IFERROR(_xlfn.IFS($AU138="","",$AU138&lt;=15,"0-15",AND($AU138&gt;=16,$AU138&lt;=30),"16-30",AND($AU138&gt;=31,$AU138&lt;=45),"31-45",AND($AU138&gt;=46,$AU138&lt;=60),"46-60",AND($AU138&gt;=61,$AU138&lt;=90),"61-90",AND($AU138&gt;=91),"&gt; 90",AND($AU138&gt;=2000),""),"")</f>
        <v/>
      </c>
      <c r="AW138" s="32" t="str" cm="1">
        <f t="array" aca="1" ref="AW138" ca="1">IFERROR(_xlfn.IFS(OR($M138="",$AM138=""),"",OR($C138="Offered",$C138="Joined"),($AM138-$M138)-$AT138),"")</f>
        <v/>
      </c>
      <c r="AX138" s="32" t="str" cm="1">
        <f t="array" aca="1" ref="AX138" ca="1">IFERROR(_xlfn.IFS(OR($M138="",$AS138=""),"",$C138="Joined",($AS138-$M138)-$AT138),"")</f>
        <v/>
      </c>
      <c r="AY138" s="30" t="str">
        <f>IFERROR(IF(COUNTIFS('Candidate Tracker'!$E:$E,'Positions Tracker'!$B138,'Candidate Tracker'!$C:$C,"Offer Drop")=0,"",COUNTIFS('Candidate Tracker'!$E:$E,'Positions Tracker'!$B138,'Candidate Tracker'!$C:$C,"Offer Drop")),"")</f>
        <v/>
      </c>
      <c r="AZ1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8" s="34">
        <f>IFERROR(IF(COUNTIFS('Candidate Tracker'!$E:$E,'Positions Tracker'!$B138,'Candidate Tracker'!$I:$I,"Female")=0,"",COUNTIFS('Candidate Tracker'!$E:$E,'Positions Tracker'!$B138,'Candidate Tracker'!$I:$I,"Female")),"")</f>
        <v>9</v>
      </c>
      <c r="BB138" s="34">
        <f>IFERROR(IF(COUNTIFS('Candidate Tracker'!$E:$E,'Positions Tracker'!$B138,'Candidate Tracker'!$I:$I,"male")=0,"",COUNTIFS('Candidate Tracker'!$E:$E,'Positions Tracker'!$B138,'Candidate Tracker'!$I:$I,"male")),"")</f>
        <v>18</v>
      </c>
      <c r="BC138" s="33" t="str">
        <f>IFERROR(IF(COUNTIFS('Candidate Tracker'!$E:$E,'Positions Tracker'!$B138,'Candidate Tracker'!$C:$C,"&lt;&gt;WIP",'Candidate Tracker'!$C:$C,"&lt;&gt;Hold",'Candidate Tracker'!$C:$C,"&lt;&gt;Cancelled",'Candidate Tracker'!$C:$C,"&lt;&gt;Closed")/COUNTIFS('Candidate Tracker'!$E:$E,'Positions Tracker'!$B138)=0,"",COUNTIFS('Candidate Tracker'!$E:$E,'Positions Tracker'!$B138,'Candidate Tracker'!$C:$C,"&lt;&gt;WIP",'Candidate Tracker'!$C:$C,"&lt;&gt;Hold",'Candidate Tracker'!$C:$C,"&lt;&gt;Cancelled",'Candidate Tracker'!$C:$C,"&lt;&gt;Closed")/COUNTIFS('Candidate Tracker'!$E:$E,'Positions Tracker'!$B138)),"")</f>
        <v/>
      </c>
      <c r="BD138" s="30" t="str">
        <f t="shared" si="25"/>
        <v>Aug-24</v>
      </c>
      <c r="BE138" s="30" t="str">
        <f t="shared" si="26"/>
        <v>Jan-24</v>
      </c>
      <c r="BF138" s="30" t="str">
        <f t="shared" si="27"/>
        <v>Jan-24</v>
      </c>
      <c r="BG138" s="30" t="str">
        <f t="shared" si="28"/>
        <v>May-24</v>
      </c>
    </row>
    <row r="139" spans="1:59">
      <c r="A139" s="30">
        <f t="shared" si="23"/>
        <v>138</v>
      </c>
      <c r="B139" s="30"/>
      <c r="C139" s="30" t="s">
        <v>1044</v>
      </c>
      <c r="D139" s="30" t="s">
        <v>320</v>
      </c>
      <c r="E139" s="30" t="s">
        <v>85</v>
      </c>
      <c r="F139" s="30" t="s">
        <v>4089</v>
      </c>
      <c r="G139" s="30" t="s">
        <v>3</v>
      </c>
      <c r="H139" s="30" t="s">
        <v>66</v>
      </c>
      <c r="I139" s="30" t="s">
        <v>81</v>
      </c>
      <c r="J139" s="30" t="s">
        <v>135</v>
      </c>
      <c r="K139" s="31">
        <v>45203</v>
      </c>
      <c r="L139" s="31">
        <v>45329</v>
      </c>
      <c r="M139" s="31">
        <v>45329</v>
      </c>
      <c r="N139" s="30"/>
      <c r="O139" s="31"/>
      <c r="P139" s="31"/>
      <c r="Q139" s="31"/>
      <c r="R139" s="31"/>
      <c r="S139" s="31"/>
      <c r="T139" s="31"/>
      <c r="U139" s="30"/>
      <c r="V139" s="30"/>
      <c r="W139" s="30"/>
      <c r="X139" s="30" t="s">
        <v>63</v>
      </c>
      <c r="Y139" s="30" t="s">
        <v>65</v>
      </c>
      <c r="Z139" s="30" t="s">
        <v>65</v>
      </c>
      <c r="AA139" s="30" t="s">
        <v>4125</v>
      </c>
      <c r="AB139" s="30"/>
      <c r="AC139" s="30"/>
      <c r="AD139" s="30"/>
      <c r="AE139" s="30" t="s">
        <v>4141</v>
      </c>
      <c r="AF139" s="30">
        <v>8919867402</v>
      </c>
      <c r="AG139" s="30"/>
      <c r="AH139" s="31" t="s">
        <v>55</v>
      </c>
      <c r="AI139" s="31">
        <v>45302</v>
      </c>
      <c r="AJ139" s="31"/>
      <c r="AK139" s="30" t="s">
        <v>63</v>
      </c>
      <c r="AL139" s="30">
        <v>800000</v>
      </c>
      <c r="AM139" s="31">
        <f>AN139</f>
        <v>45488</v>
      </c>
      <c r="AN139" s="31">
        <v>45488</v>
      </c>
      <c r="AO139" s="31"/>
      <c r="AP139" s="31">
        <v>45320</v>
      </c>
      <c r="AQ139" s="31"/>
      <c r="AR139" s="31"/>
      <c r="AS139" s="31">
        <v>45418</v>
      </c>
      <c r="AT139" s="30">
        <f t="shared" ca="1" si="24"/>
        <v>0</v>
      </c>
      <c r="AU139" s="32" t="str">
        <f t="shared" ca="1" si="22"/>
        <v/>
      </c>
      <c r="AV139" s="32" t="str" cm="1">
        <f t="array" aca="1" ref="AV139" ca="1">IFERROR(_xlfn.IFS($AU139="","",$AU139&lt;=15,"0-15",AND($AU139&gt;=16,$AU139&lt;=30),"16-30",AND($AU139&gt;=31,$AU139&lt;=45),"31-45",AND($AU139&gt;=46,$AU139&lt;=60),"46-60",AND($AU139&gt;=61,$AU139&lt;=90),"61-90",AND($AU139&gt;=91),"&gt; 90",AND($AU139&gt;=2000),""),"")</f>
        <v/>
      </c>
      <c r="AW139" s="32" t="str" cm="1">
        <f t="array" aca="1" ref="AW139" ca="1">IFERROR(_xlfn.IFS(OR($M139="",$AM139=""),"",OR($C139="Offered",$C139="Joined"),($AM139-$M139)-$AT139),"")</f>
        <v/>
      </c>
      <c r="AX139" s="32" t="str" cm="1">
        <f t="array" aca="1" ref="AX139" ca="1">IFERROR(_xlfn.IFS(OR($M139="",$AS139=""),"",$C139="Joined",($AS139-$M139)-$AT139),"")</f>
        <v/>
      </c>
      <c r="AY139" s="30" t="str">
        <f>IFERROR(IF(COUNTIFS('Candidate Tracker'!$E:$E,'Positions Tracker'!$B139,'Candidate Tracker'!$C:$C,"Offer Drop")=0,"",COUNTIFS('Candidate Tracker'!$E:$E,'Positions Tracker'!$B139,'Candidate Tracker'!$C:$C,"Offer Drop")),"")</f>
        <v/>
      </c>
      <c r="AZ1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39" s="34" t="str">
        <f>IFERROR(IF(COUNTIFS('Candidate Tracker'!$E:$E,'Positions Tracker'!$B139,'Candidate Tracker'!$I:$I,"Female")=0,"",COUNTIFS('Candidate Tracker'!$E:$E,'Positions Tracker'!$B139,'Candidate Tracker'!$I:$I,"Female")),"")</f>
        <v/>
      </c>
      <c r="BB139" s="34" t="str">
        <f>IFERROR(IF(COUNTIFS('Candidate Tracker'!$E:$E,'Positions Tracker'!$B139,'Candidate Tracker'!$I:$I,"male")=0,"",COUNTIFS('Candidate Tracker'!$E:$E,'Positions Tracker'!$B139,'Candidate Tracker'!$I:$I,"male")),"")</f>
        <v/>
      </c>
      <c r="BC139" s="33" t="str">
        <f>IFERROR(IF(COUNTIFS('Candidate Tracker'!$E:$E,'Positions Tracker'!$B139,'Candidate Tracker'!$C:$C,"&lt;&gt;WIP",'Candidate Tracker'!$C:$C,"&lt;&gt;Hold",'Candidate Tracker'!$C:$C,"&lt;&gt;Cancelled",'Candidate Tracker'!$C:$C,"&lt;&gt;Closed")/COUNTIFS('Candidate Tracker'!$E:$E,'Positions Tracker'!$B139)=0,"",COUNTIFS('Candidate Tracker'!$E:$E,'Positions Tracker'!$B139,'Candidate Tracker'!$C:$C,"&lt;&gt;WIP",'Candidate Tracker'!$C:$C,"&lt;&gt;Hold",'Candidate Tracker'!$C:$C,"&lt;&gt;Cancelled",'Candidate Tracker'!$C:$C,"&lt;&gt;Closed")/COUNTIFS('Candidate Tracker'!$E:$E,'Positions Tracker'!$B139)),"")</f>
        <v/>
      </c>
      <c r="BD139" s="30" t="str">
        <f t="shared" si="25"/>
        <v>Feb-24</v>
      </c>
      <c r="BE139" s="30" t="str">
        <f t="shared" si="26"/>
        <v>Jan-24</v>
      </c>
      <c r="BF139" s="30" t="str">
        <f t="shared" si="27"/>
        <v>Jul-24</v>
      </c>
      <c r="BG139" s="30" t="str">
        <f t="shared" si="28"/>
        <v>May-24</v>
      </c>
    </row>
    <row r="140" spans="1:59">
      <c r="A140" s="30">
        <f t="shared" si="23"/>
        <v>139</v>
      </c>
      <c r="B140" s="30">
        <v>20242803</v>
      </c>
      <c r="C140" s="30" t="s">
        <v>1044</v>
      </c>
      <c r="D140" s="30" t="s">
        <v>320</v>
      </c>
      <c r="E140" s="30" t="s">
        <v>212</v>
      </c>
      <c r="F140" s="30" t="s">
        <v>4131</v>
      </c>
      <c r="G140" s="30" t="s">
        <v>3</v>
      </c>
      <c r="H140" s="30" t="s">
        <v>118</v>
      </c>
      <c r="I140" s="30" t="s">
        <v>116</v>
      </c>
      <c r="J140" s="30" t="s">
        <v>135</v>
      </c>
      <c r="K140" s="31">
        <v>45485</v>
      </c>
      <c r="L140" s="31">
        <v>45485</v>
      </c>
      <c r="M140" s="31">
        <v>45485</v>
      </c>
      <c r="N140" s="30"/>
      <c r="O140" s="31"/>
      <c r="P140" s="31"/>
      <c r="Q140" s="31"/>
      <c r="R140" s="31"/>
      <c r="S140" s="31"/>
      <c r="T140" s="31"/>
      <c r="U140" s="30"/>
      <c r="V140" s="30"/>
      <c r="W140" s="30"/>
      <c r="X140" s="30" t="s">
        <v>63</v>
      </c>
      <c r="Y140" s="30" t="s">
        <v>218</v>
      </c>
      <c r="Z140" s="30" t="s">
        <v>123</v>
      </c>
      <c r="AA140" s="30" t="s">
        <v>4139</v>
      </c>
      <c r="AB140" s="30"/>
      <c r="AC140" s="30"/>
      <c r="AD140" s="30"/>
      <c r="AE140" s="30" t="s">
        <v>4142</v>
      </c>
      <c r="AF140" s="30">
        <v>6394873934</v>
      </c>
      <c r="AG140" s="30" t="s">
        <v>4143</v>
      </c>
      <c r="AH140" s="31" t="s">
        <v>55</v>
      </c>
      <c r="AI140" s="31">
        <v>45343</v>
      </c>
      <c r="AJ140" s="31">
        <v>45343</v>
      </c>
      <c r="AK140" s="30" t="s">
        <v>63</v>
      </c>
      <c r="AL140" s="30">
        <v>1000000</v>
      </c>
      <c r="AM140" s="31">
        <v>45366</v>
      </c>
      <c r="AN140" s="31">
        <v>45478</v>
      </c>
      <c r="AO140" s="31">
        <v>45378</v>
      </c>
      <c r="AP140" s="31">
        <v>45370</v>
      </c>
      <c r="AQ140" s="31">
        <v>45370</v>
      </c>
      <c r="AR140" s="31">
        <v>45378</v>
      </c>
      <c r="AS140" s="31">
        <v>45383</v>
      </c>
      <c r="AT140" s="30">
        <f t="shared" ca="1" si="24"/>
        <v>0</v>
      </c>
      <c r="AU140" s="32" t="str">
        <f t="shared" ca="1" si="22"/>
        <v/>
      </c>
      <c r="AV140" s="32" t="str" cm="1">
        <f t="array" aca="1" ref="AV140" ca="1">IFERROR(_xlfn.IFS($AU140="","",$AU140&lt;=15,"0-15",AND($AU140&gt;=16,$AU140&lt;=30),"16-30",AND($AU140&gt;=31,$AU140&lt;=45),"31-45",AND($AU140&gt;=46,$AU140&lt;=60),"46-60",AND($AU140&gt;=61,$AU140&lt;=90),"61-90",AND($AU140&gt;=91),"&gt; 90",AND($AU140&gt;=2000),""),"")</f>
        <v/>
      </c>
      <c r="AW140" s="32" t="str" cm="1">
        <f t="array" aca="1" ref="AW140" ca="1">IFERROR(_xlfn.IFS(OR($M140="",$AM140=""),"",OR($C140="Offered",$C140="Joined"),($AM140-$M140)-$AT140),"")</f>
        <v/>
      </c>
      <c r="AX140" s="32" t="str" cm="1">
        <f t="array" aca="1" ref="AX140" ca="1">IFERROR(_xlfn.IFS(OR($M140="",$AS140=""),"",$C140="Joined",($AS140-$M140)-$AT140),"")</f>
        <v/>
      </c>
      <c r="AY140" s="30" t="str">
        <f>IFERROR(IF(COUNTIFS('Candidate Tracker'!$E:$E,'Positions Tracker'!$B140,'Candidate Tracker'!$C:$C,"Offer Drop")=0,"",COUNTIFS('Candidate Tracker'!$E:$E,'Positions Tracker'!$B140,'Candidate Tracker'!$C:$C,"Offer Drop")),"")</f>
        <v/>
      </c>
      <c r="AZ1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0" s="34">
        <f>IFERROR(IF(COUNTIFS('Candidate Tracker'!$E:$E,'Positions Tracker'!$B140,'Candidate Tracker'!$I:$I,"Female")=0,"",COUNTIFS('Candidate Tracker'!$E:$E,'Positions Tracker'!$B140,'Candidate Tracker'!$I:$I,"Female")),"")</f>
        <v>14</v>
      </c>
      <c r="BB140" s="34">
        <f>IFERROR(IF(COUNTIFS('Candidate Tracker'!$E:$E,'Positions Tracker'!$B140,'Candidate Tracker'!$I:$I,"male")=0,"",COUNTIFS('Candidate Tracker'!$E:$E,'Positions Tracker'!$B140,'Candidate Tracker'!$I:$I,"male")),"")</f>
        <v>31</v>
      </c>
      <c r="BC140" s="33" t="str">
        <f>IFERROR(IF(COUNTIFS('Candidate Tracker'!$E:$E,'Positions Tracker'!$B140,'Candidate Tracker'!$C:$C,"&lt;&gt;WIP",'Candidate Tracker'!$C:$C,"&lt;&gt;Hold",'Candidate Tracker'!$C:$C,"&lt;&gt;Cancelled",'Candidate Tracker'!$C:$C,"&lt;&gt;Closed")/COUNTIFS('Candidate Tracker'!$E:$E,'Positions Tracker'!$B140)=0,"",COUNTIFS('Candidate Tracker'!$E:$E,'Positions Tracker'!$B140,'Candidate Tracker'!$C:$C,"&lt;&gt;WIP",'Candidate Tracker'!$C:$C,"&lt;&gt;Hold",'Candidate Tracker'!$C:$C,"&lt;&gt;Cancelled",'Candidate Tracker'!$C:$C,"&lt;&gt;Closed")/COUNTIFS('Candidate Tracker'!$E:$E,'Positions Tracker'!$B140)),"")</f>
        <v/>
      </c>
      <c r="BD140" s="30" t="str">
        <f t="shared" si="25"/>
        <v>Jul-24</v>
      </c>
      <c r="BE140" s="30" t="str">
        <f t="shared" si="26"/>
        <v>Feb-24</v>
      </c>
      <c r="BF140" s="30" t="str">
        <f t="shared" si="27"/>
        <v>Mar-24</v>
      </c>
      <c r="BG140" s="30" t="str">
        <f t="shared" si="28"/>
        <v>Apr-24</v>
      </c>
    </row>
    <row r="141" spans="1:59">
      <c r="A141" s="30">
        <f t="shared" si="23"/>
        <v>140</v>
      </c>
      <c r="B141" s="30"/>
      <c r="C141" s="30" t="s">
        <v>1044</v>
      </c>
      <c r="D141" s="30" t="s">
        <v>320</v>
      </c>
      <c r="E141" s="30" t="s">
        <v>4144</v>
      </c>
      <c r="F141" s="30" t="s">
        <v>4145</v>
      </c>
      <c r="G141" s="30" t="s">
        <v>3</v>
      </c>
      <c r="H141" s="30" t="s">
        <v>76</v>
      </c>
      <c r="I141" s="30" t="s">
        <v>140</v>
      </c>
      <c r="J141" s="30" t="s">
        <v>135</v>
      </c>
      <c r="K141" s="31" t="str">
        <f t="shared" ref="K141:K147" si="29">L141</f>
        <v>20-05-2024</v>
      </c>
      <c r="L141" s="31" t="s">
        <v>4146</v>
      </c>
      <c r="M141" s="31">
        <v>45432</v>
      </c>
      <c r="N141" s="30"/>
      <c r="O141" s="31"/>
      <c r="P141" s="31"/>
      <c r="Q141" s="31"/>
      <c r="R141" s="31"/>
      <c r="S141" s="31"/>
      <c r="T141" s="31"/>
      <c r="U141" s="30"/>
      <c r="V141" s="30"/>
      <c r="W141" s="30"/>
      <c r="X141" s="30" t="s">
        <v>63</v>
      </c>
      <c r="Y141" s="30" t="s">
        <v>65</v>
      </c>
      <c r="Z141" s="30" t="s">
        <v>65</v>
      </c>
      <c r="AA141" s="30" t="s">
        <v>4125</v>
      </c>
      <c r="AB141" s="30"/>
      <c r="AC141" s="30"/>
      <c r="AD141" s="30"/>
      <c r="AE141" s="30" t="s">
        <v>4147</v>
      </c>
      <c r="AF141" s="30">
        <v>6367563676</v>
      </c>
      <c r="AG141" s="30"/>
      <c r="AH141" s="31" t="s">
        <v>101</v>
      </c>
      <c r="AI141" s="31">
        <v>45429</v>
      </c>
      <c r="AJ141" s="31">
        <v>45433</v>
      </c>
      <c r="AK141" s="30" t="s">
        <v>63</v>
      </c>
      <c r="AL141" s="30">
        <v>2800000</v>
      </c>
      <c r="AM141" s="31">
        <v>45433</v>
      </c>
      <c r="AN141" s="31">
        <v>45433</v>
      </c>
      <c r="AO141" s="31">
        <v>45436</v>
      </c>
      <c r="AP141" s="31">
        <v>45433</v>
      </c>
      <c r="AQ141" s="31"/>
      <c r="AR141" s="31"/>
      <c r="AS141" s="31">
        <v>45439</v>
      </c>
      <c r="AT141" s="30">
        <f t="shared" ca="1" si="24"/>
        <v>0</v>
      </c>
      <c r="AU141" s="32" t="str">
        <f t="shared" ca="1" si="22"/>
        <v/>
      </c>
      <c r="AV141" s="32" t="str" cm="1">
        <f t="array" aca="1" ref="AV141" ca="1">IFERROR(_xlfn.IFS($AU141="","",$AU141&lt;=15,"0-15",AND($AU141&gt;=16,$AU141&lt;=30),"16-30",AND($AU141&gt;=31,$AU141&lt;=45),"31-45",AND($AU141&gt;=46,$AU141&lt;=60),"46-60",AND($AU141&gt;=61,$AU141&lt;=90),"61-90",AND($AU141&gt;=91),"&gt; 90",AND($AU141&gt;=2000),""),"")</f>
        <v/>
      </c>
      <c r="AW141" s="32" t="str" cm="1">
        <f t="array" aca="1" ref="AW141" ca="1">IFERROR(_xlfn.IFS(OR($M141="",$AM141=""),"",OR($C141="Offered",$C141="Joined"),($AM141-$M141)-$AT141),"")</f>
        <v/>
      </c>
      <c r="AX141" s="32" t="str" cm="1">
        <f t="array" aca="1" ref="AX141" ca="1">IFERROR(_xlfn.IFS(OR($M141="",$AS141=""),"",$C141="Joined",($AS141-$M141)-$AT141),"")</f>
        <v/>
      </c>
      <c r="AY141" s="30" t="str">
        <f>IFERROR(IF(COUNTIFS('Candidate Tracker'!$E:$E,'Positions Tracker'!$B141,'Candidate Tracker'!$C:$C,"Offer Drop")=0,"",COUNTIFS('Candidate Tracker'!$E:$E,'Positions Tracker'!$B141,'Candidate Tracker'!$C:$C,"Offer Drop")),"")</f>
        <v/>
      </c>
      <c r="AZ1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1" s="34" t="str">
        <f>IFERROR(IF(COUNTIFS('Candidate Tracker'!$E:$E,'Positions Tracker'!$B141,'Candidate Tracker'!$I:$I,"Female")=0,"",COUNTIFS('Candidate Tracker'!$E:$E,'Positions Tracker'!$B141,'Candidate Tracker'!$I:$I,"Female")),"")</f>
        <v/>
      </c>
      <c r="BB141" s="34" t="str">
        <f>IFERROR(IF(COUNTIFS('Candidate Tracker'!$E:$E,'Positions Tracker'!$B141,'Candidate Tracker'!$I:$I,"male")=0,"",COUNTIFS('Candidate Tracker'!$E:$E,'Positions Tracker'!$B141,'Candidate Tracker'!$I:$I,"male")),"")</f>
        <v/>
      </c>
      <c r="BC141" s="33" t="str">
        <f>IFERROR(IF(COUNTIFS('Candidate Tracker'!$E:$E,'Positions Tracker'!$B141,'Candidate Tracker'!$C:$C,"&lt;&gt;WIP",'Candidate Tracker'!$C:$C,"&lt;&gt;Hold",'Candidate Tracker'!$C:$C,"&lt;&gt;Cancelled",'Candidate Tracker'!$C:$C,"&lt;&gt;Closed")/COUNTIFS('Candidate Tracker'!$E:$E,'Positions Tracker'!$B141)=0,"",COUNTIFS('Candidate Tracker'!$E:$E,'Positions Tracker'!$B141,'Candidate Tracker'!$C:$C,"&lt;&gt;WIP",'Candidate Tracker'!$C:$C,"&lt;&gt;Hold",'Candidate Tracker'!$C:$C,"&lt;&gt;Cancelled",'Candidate Tracker'!$C:$C,"&lt;&gt;Closed")/COUNTIFS('Candidate Tracker'!$E:$E,'Positions Tracker'!$B141)),"")</f>
        <v/>
      </c>
      <c r="BD141" s="30" t="str">
        <f t="shared" si="25"/>
        <v>May-24</v>
      </c>
      <c r="BE141" s="30" t="str">
        <f t="shared" si="26"/>
        <v>May-24</v>
      </c>
      <c r="BF141" s="30" t="str">
        <f t="shared" si="27"/>
        <v>May-24</v>
      </c>
      <c r="BG141" s="30" t="str">
        <f t="shared" si="28"/>
        <v>May-24</v>
      </c>
    </row>
    <row r="142" spans="1:59">
      <c r="A142" s="30">
        <f t="shared" si="23"/>
        <v>141</v>
      </c>
      <c r="B142" s="30"/>
      <c r="C142" s="30" t="s">
        <v>1044</v>
      </c>
      <c r="D142" s="30" t="s">
        <v>320</v>
      </c>
      <c r="E142" s="30" t="s">
        <v>4130</v>
      </c>
      <c r="F142" s="30" t="s">
        <v>4131</v>
      </c>
      <c r="G142" s="30" t="s">
        <v>3</v>
      </c>
      <c r="H142" s="30" t="s">
        <v>118</v>
      </c>
      <c r="I142" s="30" t="s">
        <v>116</v>
      </c>
      <c r="J142" s="30" t="s">
        <v>135</v>
      </c>
      <c r="K142" s="31">
        <f t="shared" si="29"/>
        <v>45383</v>
      </c>
      <c r="L142" s="31">
        <v>45383</v>
      </c>
      <c r="M142" s="31">
        <v>45383</v>
      </c>
      <c r="N142" s="30"/>
      <c r="O142" s="31"/>
      <c r="P142" s="31"/>
      <c r="Q142" s="31"/>
      <c r="R142" s="31"/>
      <c r="S142" s="31"/>
      <c r="T142" s="31"/>
      <c r="U142" s="30"/>
      <c r="V142" s="30"/>
      <c r="W142" s="30"/>
      <c r="X142" s="30" t="s">
        <v>63</v>
      </c>
      <c r="Y142" s="30" t="s">
        <v>65</v>
      </c>
      <c r="Z142" s="30" t="s">
        <v>65</v>
      </c>
      <c r="AA142" s="30" t="s">
        <v>4125</v>
      </c>
      <c r="AB142" s="30"/>
      <c r="AC142" s="30"/>
      <c r="AD142" s="30"/>
      <c r="AE142" s="30" t="s">
        <v>3000</v>
      </c>
      <c r="AF142" s="30">
        <v>9730996626</v>
      </c>
      <c r="AG142" s="30"/>
      <c r="AH142" s="31" t="s">
        <v>55</v>
      </c>
      <c r="AI142" s="31">
        <v>45348</v>
      </c>
      <c r="AJ142" s="31">
        <v>45352</v>
      </c>
      <c r="AK142" s="30" t="s">
        <v>63</v>
      </c>
      <c r="AL142" s="30">
        <v>2200000</v>
      </c>
      <c r="AM142" s="31">
        <v>45352</v>
      </c>
      <c r="AN142" s="31">
        <v>45352</v>
      </c>
      <c r="AO142" s="31">
        <v>45450</v>
      </c>
      <c r="AP142" s="31">
        <v>45356</v>
      </c>
      <c r="AQ142" s="31"/>
      <c r="AR142" s="31"/>
      <c r="AS142" s="31">
        <v>45453</v>
      </c>
      <c r="AT142" s="30">
        <f t="shared" ca="1" si="24"/>
        <v>0</v>
      </c>
      <c r="AU142" s="32" t="str">
        <f t="shared" ca="1" si="22"/>
        <v/>
      </c>
      <c r="AV142" s="32" t="str" cm="1">
        <f t="array" aca="1" ref="AV142" ca="1">IFERROR(_xlfn.IFS($AU142="","",$AU142&lt;=15,"0-15",AND($AU142&gt;=16,$AU142&lt;=30),"16-30",AND($AU142&gt;=31,$AU142&lt;=45),"31-45",AND($AU142&gt;=46,$AU142&lt;=60),"46-60",AND($AU142&gt;=61,$AU142&lt;=90),"61-90",AND($AU142&gt;=91),"&gt; 90",AND($AU142&gt;=2000),""),"")</f>
        <v/>
      </c>
      <c r="AW142" s="32" t="str" cm="1">
        <f t="array" aca="1" ref="AW142" ca="1">IFERROR(_xlfn.IFS(OR($M142="",$AM142=""),"",OR($C142="Offered",$C142="Joined"),($AM142-$M142)-$AT142),"")</f>
        <v/>
      </c>
      <c r="AX142" s="32" t="str" cm="1">
        <f t="array" aca="1" ref="AX142" ca="1">IFERROR(_xlfn.IFS(OR($M142="",$AS142=""),"",$C142="Joined",($AS142-$M142)-$AT142),"")</f>
        <v/>
      </c>
      <c r="AY142" s="30" t="str">
        <f>IFERROR(IF(COUNTIFS('Candidate Tracker'!$E:$E,'Positions Tracker'!$B142,'Candidate Tracker'!$C:$C,"Offer Drop")=0,"",COUNTIFS('Candidate Tracker'!$E:$E,'Positions Tracker'!$B142,'Candidate Tracker'!$C:$C,"Offer Drop")),"")</f>
        <v/>
      </c>
      <c r="AZ1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2" s="34" t="str">
        <f>IFERROR(IF(COUNTIFS('Candidate Tracker'!$E:$E,'Positions Tracker'!$B142,'Candidate Tracker'!$I:$I,"Female")=0,"",COUNTIFS('Candidate Tracker'!$E:$E,'Positions Tracker'!$B142,'Candidate Tracker'!$I:$I,"Female")),"")</f>
        <v/>
      </c>
      <c r="BB142" s="34" t="str">
        <f>IFERROR(IF(COUNTIFS('Candidate Tracker'!$E:$E,'Positions Tracker'!$B142,'Candidate Tracker'!$I:$I,"male")=0,"",COUNTIFS('Candidate Tracker'!$E:$E,'Positions Tracker'!$B142,'Candidate Tracker'!$I:$I,"male")),"")</f>
        <v/>
      </c>
      <c r="BC142" s="33" t="str">
        <f>IFERROR(IF(COUNTIFS('Candidate Tracker'!$E:$E,'Positions Tracker'!$B142,'Candidate Tracker'!$C:$C,"&lt;&gt;WIP",'Candidate Tracker'!$C:$C,"&lt;&gt;Hold",'Candidate Tracker'!$C:$C,"&lt;&gt;Cancelled",'Candidate Tracker'!$C:$C,"&lt;&gt;Closed")/COUNTIFS('Candidate Tracker'!$E:$E,'Positions Tracker'!$B142)=0,"",COUNTIFS('Candidate Tracker'!$E:$E,'Positions Tracker'!$B142,'Candidate Tracker'!$C:$C,"&lt;&gt;WIP",'Candidate Tracker'!$C:$C,"&lt;&gt;Hold",'Candidate Tracker'!$C:$C,"&lt;&gt;Cancelled",'Candidate Tracker'!$C:$C,"&lt;&gt;Closed")/COUNTIFS('Candidate Tracker'!$E:$E,'Positions Tracker'!$B142)),"")</f>
        <v/>
      </c>
      <c r="BD142" s="30" t="str">
        <f t="shared" si="25"/>
        <v>Apr-24</v>
      </c>
      <c r="BE142" s="30" t="str">
        <f t="shared" si="26"/>
        <v>Feb-24</v>
      </c>
      <c r="BF142" s="30" t="str">
        <f t="shared" si="27"/>
        <v>Mar-24</v>
      </c>
      <c r="BG142" s="30" t="str">
        <f t="shared" si="28"/>
        <v>Jun-24</v>
      </c>
    </row>
    <row r="143" spans="1:59">
      <c r="A143" s="30">
        <f t="shared" si="23"/>
        <v>142</v>
      </c>
      <c r="B143" s="30"/>
      <c r="C143" s="30" t="s">
        <v>1044</v>
      </c>
      <c r="D143" s="30" t="s">
        <v>320</v>
      </c>
      <c r="E143" s="30" t="s">
        <v>4148</v>
      </c>
      <c r="F143" s="30" t="s">
        <v>4149</v>
      </c>
      <c r="G143" s="30"/>
      <c r="H143" s="30"/>
      <c r="I143" s="30" t="s">
        <v>140</v>
      </c>
      <c r="J143" s="30" t="s">
        <v>135</v>
      </c>
      <c r="K143" s="31">
        <f t="shared" si="29"/>
        <v>45301</v>
      </c>
      <c r="L143" s="31">
        <v>45301</v>
      </c>
      <c r="M143" s="31">
        <v>45306</v>
      </c>
      <c r="N143" s="30"/>
      <c r="O143" s="31"/>
      <c r="P143" s="31"/>
      <c r="Q143" s="31"/>
      <c r="R143" s="31"/>
      <c r="S143" s="31"/>
      <c r="T143" s="31"/>
      <c r="U143" s="30"/>
      <c r="V143" s="30"/>
      <c r="W143" s="30"/>
      <c r="X143" s="30" t="s">
        <v>63</v>
      </c>
      <c r="Y143" s="30" t="s">
        <v>93</v>
      </c>
      <c r="Z143" s="30" t="s">
        <v>93</v>
      </c>
      <c r="AA143" s="30" t="s">
        <v>4135</v>
      </c>
      <c r="AB143" s="30"/>
      <c r="AC143" s="30"/>
      <c r="AD143" s="30"/>
      <c r="AE143" s="30" t="s">
        <v>4150</v>
      </c>
      <c r="AF143" s="30">
        <v>8308308193</v>
      </c>
      <c r="AG143" s="30"/>
      <c r="AH143" s="31" t="s">
        <v>55</v>
      </c>
      <c r="AI143" s="31">
        <v>45405</v>
      </c>
      <c r="AJ143" s="31"/>
      <c r="AK143" s="30" t="s">
        <v>63</v>
      </c>
      <c r="AL143" s="30">
        <v>1875000</v>
      </c>
      <c r="AM143" s="31">
        <v>45439</v>
      </c>
      <c r="AN143" s="31"/>
      <c r="AO143" s="31">
        <v>45470</v>
      </c>
      <c r="AP143" s="31">
        <v>45439</v>
      </c>
      <c r="AQ143" s="31"/>
      <c r="AR143" s="31"/>
      <c r="AS143" s="31">
        <v>45488</v>
      </c>
      <c r="AT143" s="30">
        <f t="shared" ca="1" si="24"/>
        <v>0</v>
      </c>
      <c r="AU143" s="32" t="str">
        <f t="shared" ca="1" si="22"/>
        <v/>
      </c>
      <c r="AV143" s="32" t="str" cm="1">
        <f t="array" aca="1" ref="AV143" ca="1">IFERROR(_xlfn.IFS($AU143="","",$AU143&lt;=15,"0-15",AND($AU143&gt;=16,$AU143&lt;=30),"16-30",AND($AU143&gt;=31,$AU143&lt;=45),"31-45",AND($AU143&gt;=46,$AU143&lt;=60),"46-60",AND($AU143&gt;=61,$AU143&lt;=90),"61-90",AND($AU143&gt;=91),"&gt; 90",AND($AU143&gt;=2000),""),"")</f>
        <v/>
      </c>
      <c r="AW143" s="32" t="str" cm="1">
        <f t="array" aca="1" ref="AW143" ca="1">IFERROR(_xlfn.IFS(OR($M143="",$AM143=""),"",OR($C143="Offered",$C143="Joined"),($AM143-$M143)-$AT143),"")</f>
        <v/>
      </c>
      <c r="AX143" s="32" t="str" cm="1">
        <f t="array" aca="1" ref="AX143" ca="1">IFERROR(_xlfn.IFS(OR($M143="",$AS143=""),"",$C143="Joined",($AS143-$M143)-$AT143),"")</f>
        <v/>
      </c>
      <c r="AY143" s="30" t="str">
        <f>IFERROR(IF(COUNTIFS('Candidate Tracker'!$E:$E,'Positions Tracker'!$B143,'Candidate Tracker'!$C:$C,"Offer Drop")=0,"",COUNTIFS('Candidate Tracker'!$E:$E,'Positions Tracker'!$B143,'Candidate Tracker'!$C:$C,"Offer Drop")),"")</f>
        <v/>
      </c>
      <c r="AZ1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3" s="34" t="str">
        <f>IFERROR(IF(COUNTIFS('Candidate Tracker'!$E:$E,'Positions Tracker'!$B143,'Candidate Tracker'!$I:$I,"Female")=0,"",COUNTIFS('Candidate Tracker'!$E:$E,'Positions Tracker'!$B143,'Candidate Tracker'!$I:$I,"Female")),"")</f>
        <v/>
      </c>
      <c r="BB143" s="34" t="str">
        <f>IFERROR(IF(COUNTIFS('Candidate Tracker'!$E:$E,'Positions Tracker'!$B143,'Candidate Tracker'!$I:$I,"male")=0,"",COUNTIFS('Candidate Tracker'!$E:$E,'Positions Tracker'!$B143,'Candidate Tracker'!$I:$I,"male")),"")</f>
        <v/>
      </c>
      <c r="BC143" s="33" t="str">
        <f>IFERROR(IF(COUNTIFS('Candidate Tracker'!$E:$E,'Positions Tracker'!$B143,'Candidate Tracker'!$C:$C,"&lt;&gt;WIP",'Candidate Tracker'!$C:$C,"&lt;&gt;Hold",'Candidate Tracker'!$C:$C,"&lt;&gt;Cancelled",'Candidate Tracker'!$C:$C,"&lt;&gt;Closed")/COUNTIFS('Candidate Tracker'!$E:$E,'Positions Tracker'!$B143)=0,"",COUNTIFS('Candidate Tracker'!$E:$E,'Positions Tracker'!$B143,'Candidate Tracker'!$C:$C,"&lt;&gt;WIP",'Candidate Tracker'!$C:$C,"&lt;&gt;Hold",'Candidate Tracker'!$C:$C,"&lt;&gt;Cancelled",'Candidate Tracker'!$C:$C,"&lt;&gt;Closed")/COUNTIFS('Candidate Tracker'!$E:$E,'Positions Tracker'!$B143)),"")</f>
        <v/>
      </c>
      <c r="BD143" s="30" t="str">
        <f t="shared" si="25"/>
        <v>Jan-24</v>
      </c>
      <c r="BE143" s="30" t="str">
        <f t="shared" si="26"/>
        <v>Apr-24</v>
      </c>
      <c r="BF143" s="30" t="str">
        <f t="shared" si="27"/>
        <v>May-24</v>
      </c>
      <c r="BG143" s="30" t="str">
        <f t="shared" si="28"/>
        <v>Jul-24</v>
      </c>
    </row>
    <row r="144" spans="1:59">
      <c r="A144" s="30">
        <f t="shared" si="23"/>
        <v>143</v>
      </c>
      <c r="B144" s="30"/>
      <c r="C144" s="30" t="s">
        <v>1044</v>
      </c>
      <c r="D144" s="30" t="s">
        <v>320</v>
      </c>
      <c r="E144" s="30" t="s">
        <v>4151</v>
      </c>
      <c r="F144" s="30" t="s">
        <v>4134</v>
      </c>
      <c r="G144" s="30"/>
      <c r="H144" s="30"/>
      <c r="I144" s="30" t="s">
        <v>140</v>
      </c>
      <c r="J144" s="30" t="s">
        <v>135</v>
      </c>
      <c r="K144" s="31">
        <f t="shared" si="29"/>
        <v>45301</v>
      </c>
      <c r="L144" s="31">
        <v>45301</v>
      </c>
      <c r="M144" s="31">
        <v>45306</v>
      </c>
      <c r="N144" s="30"/>
      <c r="O144" s="31"/>
      <c r="P144" s="31"/>
      <c r="Q144" s="31"/>
      <c r="R144" s="31"/>
      <c r="S144" s="31"/>
      <c r="T144" s="31"/>
      <c r="U144" s="30"/>
      <c r="V144" s="30"/>
      <c r="W144" s="30"/>
      <c r="X144" s="30" t="s">
        <v>63</v>
      </c>
      <c r="Y144" s="30" t="s">
        <v>93</v>
      </c>
      <c r="Z144" s="30" t="s">
        <v>93</v>
      </c>
      <c r="AA144" s="30" t="s">
        <v>4135</v>
      </c>
      <c r="AB144" s="30"/>
      <c r="AC144" s="30"/>
      <c r="AD144" s="30"/>
      <c r="AE144" s="30" t="s">
        <v>4152</v>
      </c>
      <c r="AF144" s="30">
        <v>8446262499</v>
      </c>
      <c r="AG144" s="30"/>
      <c r="AH144" s="31" t="s">
        <v>55</v>
      </c>
      <c r="AI144" s="31">
        <v>45390</v>
      </c>
      <c r="AJ144" s="31"/>
      <c r="AK144" s="30" t="s">
        <v>63</v>
      </c>
      <c r="AL144" s="30">
        <v>2000000</v>
      </c>
      <c r="AM144" s="31">
        <v>45394</v>
      </c>
      <c r="AN144" s="31"/>
      <c r="AO144" s="31">
        <v>45426</v>
      </c>
      <c r="AP144" s="31">
        <v>45394</v>
      </c>
      <c r="AQ144" s="31"/>
      <c r="AR144" s="31"/>
      <c r="AS144" s="31">
        <v>45432</v>
      </c>
      <c r="AT144" s="30">
        <f t="shared" ca="1" si="24"/>
        <v>0</v>
      </c>
      <c r="AU144" s="32" t="str">
        <f t="shared" ca="1" si="22"/>
        <v/>
      </c>
      <c r="AV144" s="32" t="str" cm="1">
        <f t="array" aca="1" ref="AV144" ca="1">IFERROR(_xlfn.IFS($AU144="","",$AU144&lt;=15,"0-15",AND($AU144&gt;=16,$AU144&lt;=30),"16-30",AND($AU144&gt;=31,$AU144&lt;=45),"31-45",AND($AU144&gt;=46,$AU144&lt;=60),"46-60",AND($AU144&gt;=61,$AU144&lt;=90),"61-90",AND($AU144&gt;=91),"&gt; 90",AND($AU144&gt;=2000),""),"")</f>
        <v/>
      </c>
      <c r="AW144" s="32" t="str" cm="1">
        <f t="array" aca="1" ref="AW144" ca="1">IFERROR(_xlfn.IFS(OR($M144="",$AM144=""),"",OR($C144="Offered",$C144="Joined"),($AM144-$M144)-$AT144),"")</f>
        <v/>
      </c>
      <c r="AX144" s="32" t="str" cm="1">
        <f t="array" aca="1" ref="AX144" ca="1">IFERROR(_xlfn.IFS(OR($M144="",$AS144=""),"",$C144="Joined",($AS144-$M144)-$AT144),"")</f>
        <v/>
      </c>
      <c r="AY144" s="30" t="str">
        <f>IFERROR(IF(COUNTIFS('Candidate Tracker'!$E:$E,'Positions Tracker'!$B144,'Candidate Tracker'!$C:$C,"Offer Drop")=0,"",COUNTIFS('Candidate Tracker'!$E:$E,'Positions Tracker'!$B144,'Candidate Tracker'!$C:$C,"Offer Drop")),"")</f>
        <v/>
      </c>
      <c r="AZ1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4" s="34" t="str">
        <f>IFERROR(IF(COUNTIFS('Candidate Tracker'!$E:$E,'Positions Tracker'!$B144,'Candidate Tracker'!$I:$I,"Female")=0,"",COUNTIFS('Candidate Tracker'!$E:$E,'Positions Tracker'!$B144,'Candidate Tracker'!$I:$I,"Female")),"")</f>
        <v/>
      </c>
      <c r="BB144" s="34" t="str">
        <f>IFERROR(IF(COUNTIFS('Candidate Tracker'!$E:$E,'Positions Tracker'!$B144,'Candidate Tracker'!$I:$I,"male")=0,"",COUNTIFS('Candidate Tracker'!$E:$E,'Positions Tracker'!$B144,'Candidate Tracker'!$I:$I,"male")),"")</f>
        <v/>
      </c>
      <c r="BC144" s="33" t="str">
        <f>IFERROR(IF(COUNTIFS('Candidate Tracker'!$E:$E,'Positions Tracker'!$B144,'Candidate Tracker'!$C:$C,"&lt;&gt;WIP",'Candidate Tracker'!$C:$C,"&lt;&gt;Hold",'Candidate Tracker'!$C:$C,"&lt;&gt;Cancelled",'Candidate Tracker'!$C:$C,"&lt;&gt;Closed")/COUNTIFS('Candidate Tracker'!$E:$E,'Positions Tracker'!$B144)=0,"",COUNTIFS('Candidate Tracker'!$E:$E,'Positions Tracker'!$B144,'Candidate Tracker'!$C:$C,"&lt;&gt;WIP",'Candidate Tracker'!$C:$C,"&lt;&gt;Hold",'Candidate Tracker'!$C:$C,"&lt;&gt;Cancelled",'Candidate Tracker'!$C:$C,"&lt;&gt;Closed")/COUNTIFS('Candidate Tracker'!$E:$E,'Positions Tracker'!$B144)),"")</f>
        <v/>
      </c>
      <c r="BD144" s="30" t="str">
        <f t="shared" si="25"/>
        <v>Jan-24</v>
      </c>
      <c r="BE144" s="30" t="str">
        <f t="shared" si="26"/>
        <v>Apr-24</v>
      </c>
      <c r="BF144" s="30" t="str">
        <f t="shared" si="27"/>
        <v>Apr-24</v>
      </c>
      <c r="BG144" s="30" t="str">
        <f t="shared" si="28"/>
        <v>May-24</v>
      </c>
    </row>
    <row r="145" spans="1:59">
      <c r="A145" s="30">
        <f t="shared" si="23"/>
        <v>144</v>
      </c>
      <c r="B145" s="30"/>
      <c r="C145" s="30" t="s">
        <v>1044</v>
      </c>
      <c r="D145" s="30" t="s">
        <v>320</v>
      </c>
      <c r="E145" s="30" t="s">
        <v>4153</v>
      </c>
      <c r="F145" s="30" t="s">
        <v>4134</v>
      </c>
      <c r="G145" s="30"/>
      <c r="H145" s="30"/>
      <c r="I145" s="30" t="s">
        <v>140</v>
      </c>
      <c r="J145" s="30" t="s">
        <v>135</v>
      </c>
      <c r="K145" s="31">
        <f t="shared" si="29"/>
        <v>45301</v>
      </c>
      <c r="L145" s="31">
        <v>45301</v>
      </c>
      <c r="M145" s="31">
        <v>45306</v>
      </c>
      <c r="N145" s="30"/>
      <c r="O145" s="31"/>
      <c r="P145" s="31"/>
      <c r="Q145" s="31"/>
      <c r="R145" s="31"/>
      <c r="S145" s="31"/>
      <c r="T145" s="31"/>
      <c r="U145" s="30"/>
      <c r="V145" s="30"/>
      <c r="W145" s="30"/>
      <c r="X145" s="30" t="s">
        <v>63</v>
      </c>
      <c r="Y145" s="30" t="s">
        <v>93</v>
      </c>
      <c r="Z145" s="30" t="s">
        <v>93</v>
      </c>
      <c r="AA145" s="30" t="s">
        <v>4135</v>
      </c>
      <c r="AB145" s="30"/>
      <c r="AC145" s="30"/>
      <c r="AD145" s="30"/>
      <c r="AE145" s="30" t="s">
        <v>4154</v>
      </c>
      <c r="AF145" s="30">
        <v>8830045879</v>
      </c>
      <c r="AG145" s="30"/>
      <c r="AH145" s="31" t="s">
        <v>55</v>
      </c>
      <c r="AI145" s="31">
        <v>45446</v>
      </c>
      <c r="AJ145" s="31"/>
      <c r="AK145" s="30" t="s">
        <v>63</v>
      </c>
      <c r="AL145" s="30">
        <v>2600000</v>
      </c>
      <c r="AM145" s="31">
        <v>45448</v>
      </c>
      <c r="AN145" s="31"/>
      <c r="AO145" s="31">
        <v>45458</v>
      </c>
      <c r="AP145" s="31">
        <v>45448</v>
      </c>
      <c r="AQ145" s="31"/>
      <c r="AR145" s="31"/>
      <c r="AS145" s="31">
        <v>45461</v>
      </c>
      <c r="AT145" s="30">
        <f t="shared" ca="1" si="24"/>
        <v>0</v>
      </c>
      <c r="AU145" s="32" t="str">
        <f t="shared" ca="1" si="22"/>
        <v/>
      </c>
      <c r="AV145" s="32" t="str" cm="1">
        <f t="array" aca="1" ref="AV145" ca="1">IFERROR(_xlfn.IFS($AU145="","",$AU145&lt;=15,"0-15",AND($AU145&gt;=16,$AU145&lt;=30),"16-30",AND($AU145&gt;=31,$AU145&lt;=45),"31-45",AND($AU145&gt;=46,$AU145&lt;=60),"46-60",AND($AU145&gt;=61,$AU145&lt;=90),"61-90",AND($AU145&gt;=91),"&gt; 90",AND($AU145&gt;=2000),""),"")</f>
        <v/>
      </c>
      <c r="AW145" s="32" t="str" cm="1">
        <f t="array" aca="1" ref="AW145" ca="1">IFERROR(_xlfn.IFS(OR($M145="",$AM145=""),"",OR($C145="Offered",$C145="Joined"),($AM145-$M145)-$AT145),"")</f>
        <v/>
      </c>
      <c r="AX145" s="32" t="str" cm="1">
        <f t="array" aca="1" ref="AX145" ca="1">IFERROR(_xlfn.IFS(OR($M145="",$AS145=""),"",$C145="Joined",($AS145-$M145)-$AT145),"")</f>
        <v/>
      </c>
      <c r="AY145" s="30" t="str">
        <f>IFERROR(IF(COUNTIFS('Candidate Tracker'!$E:$E,'Positions Tracker'!$B145,'Candidate Tracker'!$C:$C,"Offer Drop")=0,"",COUNTIFS('Candidate Tracker'!$E:$E,'Positions Tracker'!$B145,'Candidate Tracker'!$C:$C,"Offer Drop")),"")</f>
        <v/>
      </c>
      <c r="AZ14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5" s="34" t="str">
        <f>IFERROR(IF(COUNTIFS('Candidate Tracker'!$E:$E,'Positions Tracker'!$B145,'Candidate Tracker'!$I:$I,"Female")=0,"",COUNTIFS('Candidate Tracker'!$E:$E,'Positions Tracker'!$B145,'Candidate Tracker'!$I:$I,"Female")),"")</f>
        <v/>
      </c>
      <c r="BB145" s="34" t="str">
        <f>IFERROR(IF(COUNTIFS('Candidate Tracker'!$E:$E,'Positions Tracker'!$B145,'Candidate Tracker'!$I:$I,"male")=0,"",COUNTIFS('Candidate Tracker'!$E:$E,'Positions Tracker'!$B145,'Candidate Tracker'!$I:$I,"male")),"")</f>
        <v/>
      </c>
      <c r="BC145" s="33" t="str">
        <f>IFERROR(IF(COUNTIFS('Candidate Tracker'!$E:$E,'Positions Tracker'!$B145,'Candidate Tracker'!$C:$C,"&lt;&gt;WIP",'Candidate Tracker'!$C:$C,"&lt;&gt;Hold",'Candidate Tracker'!$C:$C,"&lt;&gt;Cancelled",'Candidate Tracker'!$C:$C,"&lt;&gt;Closed")/COUNTIFS('Candidate Tracker'!$E:$E,'Positions Tracker'!$B145)=0,"",COUNTIFS('Candidate Tracker'!$E:$E,'Positions Tracker'!$B145,'Candidate Tracker'!$C:$C,"&lt;&gt;WIP",'Candidate Tracker'!$C:$C,"&lt;&gt;Hold",'Candidate Tracker'!$C:$C,"&lt;&gt;Cancelled",'Candidate Tracker'!$C:$C,"&lt;&gt;Closed")/COUNTIFS('Candidate Tracker'!$E:$E,'Positions Tracker'!$B145)),"")</f>
        <v/>
      </c>
      <c r="BD145" s="30" t="str">
        <f t="shared" si="25"/>
        <v>Jan-24</v>
      </c>
      <c r="BE145" s="30" t="str">
        <f t="shared" si="26"/>
        <v>Jun-24</v>
      </c>
      <c r="BF145" s="30" t="str">
        <f t="shared" si="27"/>
        <v>Jun-24</v>
      </c>
      <c r="BG145" s="30" t="str">
        <f t="shared" si="28"/>
        <v>Jun-24</v>
      </c>
    </row>
    <row r="146" spans="1:59">
      <c r="A146" s="30">
        <f t="shared" si="23"/>
        <v>145</v>
      </c>
      <c r="B146" s="30"/>
      <c r="C146" s="30" t="s">
        <v>1044</v>
      </c>
      <c r="D146" s="30" t="s">
        <v>320</v>
      </c>
      <c r="E146" s="30" t="s">
        <v>127</v>
      </c>
      <c r="F146" s="30" t="s">
        <v>2959</v>
      </c>
      <c r="G146" s="30"/>
      <c r="H146" s="30"/>
      <c r="I146" s="30" t="s">
        <v>417</v>
      </c>
      <c r="J146" s="30" t="s">
        <v>135</v>
      </c>
      <c r="K146" s="31">
        <f t="shared" si="29"/>
        <v>45398</v>
      </c>
      <c r="L146" s="31">
        <v>45398</v>
      </c>
      <c r="M146" s="31">
        <v>45399</v>
      </c>
      <c r="N146" s="30"/>
      <c r="O146" s="31"/>
      <c r="P146" s="31"/>
      <c r="Q146" s="31"/>
      <c r="R146" s="31"/>
      <c r="S146" s="31"/>
      <c r="T146" s="31"/>
      <c r="U146" s="30"/>
      <c r="V146" s="30"/>
      <c r="W146" s="30"/>
      <c r="X146" s="30" t="s">
        <v>63</v>
      </c>
      <c r="Y146" s="30" t="s">
        <v>93</v>
      </c>
      <c r="Z146" s="30" t="s">
        <v>93</v>
      </c>
      <c r="AA146" s="30" t="s">
        <v>4135</v>
      </c>
      <c r="AB146" s="30"/>
      <c r="AC146" s="30"/>
      <c r="AD146" s="30"/>
      <c r="AE146" s="30" t="s">
        <v>4155</v>
      </c>
      <c r="AF146" s="30">
        <v>8501876868</v>
      </c>
      <c r="AG146" s="30"/>
      <c r="AH146" s="31" t="s">
        <v>55</v>
      </c>
      <c r="AI146" s="31">
        <v>45454</v>
      </c>
      <c r="AJ146" s="31"/>
      <c r="AK146" s="30" t="s">
        <v>63</v>
      </c>
      <c r="AL146" s="30">
        <v>900000</v>
      </c>
      <c r="AM146" s="31">
        <v>45463</v>
      </c>
      <c r="AN146" s="31"/>
      <c r="AO146" s="31">
        <v>45555</v>
      </c>
      <c r="AP146" s="31">
        <v>45463</v>
      </c>
      <c r="AQ146" s="31"/>
      <c r="AR146" s="31"/>
      <c r="AS146" s="31">
        <v>45565</v>
      </c>
      <c r="AT146" s="30">
        <f t="shared" ca="1" si="24"/>
        <v>0</v>
      </c>
      <c r="AU146" s="32" t="str">
        <f t="shared" ca="1" si="22"/>
        <v/>
      </c>
      <c r="AV146" s="32" t="str" cm="1">
        <f t="array" aca="1" ref="AV146" ca="1">IFERROR(_xlfn.IFS($AU146="","",$AU146&lt;=15,"0-15",AND($AU146&gt;=16,$AU146&lt;=30),"16-30",AND($AU146&gt;=31,$AU146&lt;=45),"31-45",AND($AU146&gt;=46,$AU146&lt;=60),"46-60",AND($AU146&gt;=61,$AU146&lt;=90),"61-90",AND($AU146&gt;=91),"&gt; 90",AND($AU146&gt;=2000),""),"")</f>
        <v/>
      </c>
      <c r="AW146" s="32" t="str" cm="1">
        <f t="array" aca="1" ref="AW146" ca="1">IFERROR(_xlfn.IFS(OR($M146="",$AM146=""),"",OR($C146="Offered",$C146="Joined"),($AM146-$M146)-$AT146),"")</f>
        <v/>
      </c>
      <c r="AX146" s="32" t="str" cm="1">
        <f t="array" aca="1" ref="AX146" ca="1">IFERROR(_xlfn.IFS(OR($M146="",$AS146=""),"",$C146="Joined",($AS146-$M146)-$AT146),"")</f>
        <v/>
      </c>
      <c r="AY146" s="30" t="str">
        <f>IFERROR(IF(COUNTIFS('Candidate Tracker'!$E:$E,'Positions Tracker'!$B146,'Candidate Tracker'!$C:$C,"Offer Drop")=0,"",COUNTIFS('Candidate Tracker'!$E:$E,'Positions Tracker'!$B146,'Candidate Tracker'!$C:$C,"Offer Drop")),"")</f>
        <v/>
      </c>
      <c r="AZ14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6" s="34" t="str">
        <f>IFERROR(IF(COUNTIFS('Candidate Tracker'!$E:$E,'Positions Tracker'!$B146,'Candidate Tracker'!$I:$I,"Female")=0,"",COUNTIFS('Candidate Tracker'!$E:$E,'Positions Tracker'!$B146,'Candidate Tracker'!$I:$I,"Female")),"")</f>
        <v/>
      </c>
      <c r="BB146" s="34" t="str">
        <f>IFERROR(IF(COUNTIFS('Candidate Tracker'!$E:$E,'Positions Tracker'!$B146,'Candidate Tracker'!$I:$I,"male")=0,"",COUNTIFS('Candidate Tracker'!$E:$E,'Positions Tracker'!$B146,'Candidate Tracker'!$I:$I,"male")),"")</f>
        <v/>
      </c>
      <c r="BC146" s="33" t="str">
        <f>IFERROR(IF(COUNTIFS('Candidate Tracker'!$E:$E,'Positions Tracker'!$B146,'Candidate Tracker'!$C:$C,"&lt;&gt;WIP",'Candidate Tracker'!$C:$C,"&lt;&gt;Hold",'Candidate Tracker'!$C:$C,"&lt;&gt;Cancelled",'Candidate Tracker'!$C:$C,"&lt;&gt;Closed")/COUNTIFS('Candidate Tracker'!$E:$E,'Positions Tracker'!$B146)=0,"",COUNTIFS('Candidate Tracker'!$E:$E,'Positions Tracker'!$B146,'Candidate Tracker'!$C:$C,"&lt;&gt;WIP",'Candidate Tracker'!$C:$C,"&lt;&gt;Hold",'Candidate Tracker'!$C:$C,"&lt;&gt;Cancelled",'Candidate Tracker'!$C:$C,"&lt;&gt;Closed")/COUNTIFS('Candidate Tracker'!$E:$E,'Positions Tracker'!$B146)),"")</f>
        <v/>
      </c>
      <c r="BD146" s="30" t="str">
        <f t="shared" si="25"/>
        <v>Apr-24</v>
      </c>
      <c r="BE146" s="30" t="str">
        <f t="shared" si="26"/>
        <v>Jun-24</v>
      </c>
      <c r="BF146" s="30" t="str">
        <f t="shared" si="27"/>
        <v>Jun-24</v>
      </c>
      <c r="BG146" s="30" t="str">
        <f t="shared" si="28"/>
        <v>Sep-24</v>
      </c>
    </row>
    <row r="147" spans="1:59">
      <c r="A147" s="30">
        <f t="shared" si="23"/>
        <v>146</v>
      </c>
      <c r="B147" s="30"/>
      <c r="C147" s="30" t="s">
        <v>1044</v>
      </c>
      <c r="D147" s="30" t="s">
        <v>320</v>
      </c>
      <c r="E147" s="30" t="s">
        <v>4156</v>
      </c>
      <c r="F147" s="30" t="s">
        <v>3900</v>
      </c>
      <c r="G147" s="30"/>
      <c r="H147" s="30"/>
      <c r="I147" s="30" t="s">
        <v>4157</v>
      </c>
      <c r="J147" s="30" t="s">
        <v>135</v>
      </c>
      <c r="K147" s="31">
        <f t="shared" si="29"/>
        <v>45411</v>
      </c>
      <c r="L147" s="31">
        <v>45411</v>
      </c>
      <c r="M147" s="31">
        <v>45414</v>
      </c>
      <c r="N147" s="30"/>
      <c r="O147" s="31"/>
      <c r="P147" s="31"/>
      <c r="Q147" s="31"/>
      <c r="R147" s="31"/>
      <c r="S147" s="31"/>
      <c r="T147" s="31"/>
      <c r="U147" s="30"/>
      <c r="V147" s="30"/>
      <c r="W147" s="30"/>
      <c r="X147" s="30" t="s">
        <v>3175</v>
      </c>
      <c r="Y147" s="30" t="s">
        <v>93</v>
      </c>
      <c r="Z147" s="30" t="s">
        <v>93</v>
      </c>
      <c r="AA147" s="30" t="s">
        <v>4128</v>
      </c>
      <c r="AB147" s="30"/>
      <c r="AC147" s="30"/>
      <c r="AD147" s="30"/>
      <c r="AE147" s="30" t="s">
        <v>4158</v>
      </c>
      <c r="AF147" s="30">
        <v>9890836550</v>
      </c>
      <c r="AG147" s="30"/>
      <c r="AH147" s="31" t="s">
        <v>101</v>
      </c>
      <c r="AI147" s="31">
        <v>45462</v>
      </c>
      <c r="AJ147" s="31"/>
      <c r="AK147" s="30" t="s">
        <v>63</v>
      </c>
      <c r="AL147" s="30">
        <v>1507989</v>
      </c>
      <c r="AM147" s="31">
        <v>45463</v>
      </c>
      <c r="AN147" s="31"/>
      <c r="AO147" s="31">
        <v>45506</v>
      </c>
      <c r="AP147" s="31">
        <v>45463</v>
      </c>
      <c r="AQ147" s="31"/>
      <c r="AR147" s="31"/>
      <c r="AS147" s="31">
        <v>45509</v>
      </c>
      <c r="AT147" s="30">
        <f t="shared" ca="1" si="24"/>
        <v>0</v>
      </c>
      <c r="AU147" s="32" t="str">
        <f t="shared" ca="1" si="22"/>
        <v/>
      </c>
      <c r="AV147" s="32" t="str" cm="1">
        <f t="array" aca="1" ref="AV147" ca="1">IFERROR(_xlfn.IFS($AU147="","",$AU147&lt;=15,"0-15",AND($AU147&gt;=16,$AU147&lt;=30),"16-30",AND($AU147&gt;=31,$AU147&lt;=45),"31-45",AND($AU147&gt;=46,$AU147&lt;=60),"46-60",AND($AU147&gt;=61,$AU147&lt;=90),"61-90",AND($AU147&gt;=91),"&gt; 90",AND($AU147&gt;=2000),""),"")</f>
        <v/>
      </c>
      <c r="AW147" s="32" t="str" cm="1">
        <f t="array" aca="1" ref="AW147" ca="1">IFERROR(_xlfn.IFS(OR($M147="",$AM147=""),"",OR($C147="Offered",$C147="Joined"),($AM147-$M147)-$AT147),"")</f>
        <v/>
      </c>
      <c r="AX147" s="32" t="str" cm="1">
        <f t="array" aca="1" ref="AX147" ca="1">IFERROR(_xlfn.IFS(OR($M147="",$AS147=""),"",$C147="Joined",($AS147-$M147)-$AT147),"")</f>
        <v/>
      </c>
      <c r="AY147" s="30" t="str">
        <f>IFERROR(IF(COUNTIFS('Candidate Tracker'!$E:$E,'Positions Tracker'!$B147,'Candidate Tracker'!$C:$C,"Offer Drop")=0,"",COUNTIFS('Candidate Tracker'!$E:$E,'Positions Tracker'!$B147,'Candidate Tracker'!$C:$C,"Offer Drop")),"")</f>
        <v/>
      </c>
      <c r="AZ14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7" s="34" t="str">
        <f>IFERROR(IF(COUNTIFS('Candidate Tracker'!$E:$E,'Positions Tracker'!$B147,'Candidate Tracker'!$I:$I,"Female")=0,"",COUNTIFS('Candidate Tracker'!$E:$E,'Positions Tracker'!$B147,'Candidate Tracker'!$I:$I,"Female")),"")</f>
        <v/>
      </c>
      <c r="BB147" s="34" t="str">
        <f>IFERROR(IF(COUNTIFS('Candidate Tracker'!$E:$E,'Positions Tracker'!$B147,'Candidate Tracker'!$I:$I,"male")=0,"",COUNTIFS('Candidate Tracker'!$E:$E,'Positions Tracker'!$B147,'Candidate Tracker'!$I:$I,"male")),"")</f>
        <v/>
      </c>
      <c r="BC147" s="33" t="str">
        <f>IFERROR(IF(COUNTIFS('Candidate Tracker'!$E:$E,'Positions Tracker'!$B147,'Candidate Tracker'!$C:$C,"&lt;&gt;WIP",'Candidate Tracker'!$C:$C,"&lt;&gt;Hold",'Candidate Tracker'!$C:$C,"&lt;&gt;Cancelled",'Candidate Tracker'!$C:$C,"&lt;&gt;Closed")/COUNTIFS('Candidate Tracker'!$E:$E,'Positions Tracker'!$B147)=0,"",COUNTIFS('Candidate Tracker'!$E:$E,'Positions Tracker'!$B147,'Candidate Tracker'!$C:$C,"&lt;&gt;WIP",'Candidate Tracker'!$C:$C,"&lt;&gt;Hold",'Candidate Tracker'!$C:$C,"&lt;&gt;Cancelled",'Candidate Tracker'!$C:$C,"&lt;&gt;Closed")/COUNTIFS('Candidate Tracker'!$E:$E,'Positions Tracker'!$B147)),"")</f>
        <v/>
      </c>
      <c r="BD147" s="30" t="str">
        <f t="shared" si="25"/>
        <v>May-24</v>
      </c>
      <c r="BE147" s="30" t="str">
        <f t="shared" si="26"/>
        <v>Jun-24</v>
      </c>
      <c r="BF147" s="30" t="str">
        <f t="shared" si="27"/>
        <v>Jun-24</v>
      </c>
      <c r="BG147" s="30" t="str">
        <f t="shared" si="28"/>
        <v>Aug-24</v>
      </c>
    </row>
    <row r="148" spans="1:59">
      <c r="A148" s="30">
        <f t="shared" si="23"/>
        <v>147</v>
      </c>
      <c r="B148" s="30"/>
      <c r="C148" s="30" t="s">
        <v>1044</v>
      </c>
      <c r="D148" s="30" t="s">
        <v>320</v>
      </c>
      <c r="E148" s="30" t="s">
        <v>4159</v>
      </c>
      <c r="F148" s="30" t="s">
        <v>3932</v>
      </c>
      <c r="G148" s="30" t="s">
        <v>3</v>
      </c>
      <c r="H148" s="30" t="s">
        <v>118</v>
      </c>
      <c r="I148" s="30" t="s">
        <v>4160</v>
      </c>
      <c r="J148" s="30" t="s">
        <v>135</v>
      </c>
      <c r="K148" s="31"/>
      <c r="L148" s="31" t="s">
        <v>4161</v>
      </c>
      <c r="M148" s="31">
        <v>45468</v>
      </c>
      <c r="N148" s="30"/>
      <c r="O148" s="31"/>
      <c r="P148" s="31"/>
      <c r="Q148" s="31"/>
      <c r="R148" s="31"/>
      <c r="S148" s="31"/>
      <c r="T148" s="31"/>
      <c r="U148" s="30"/>
      <c r="V148" s="30"/>
      <c r="W148" s="30"/>
      <c r="X148" s="30" t="s">
        <v>63</v>
      </c>
      <c r="Y148" s="30" t="s">
        <v>65</v>
      </c>
      <c r="Z148" s="30" t="s">
        <v>65</v>
      </c>
      <c r="AA148" s="30" t="s">
        <v>4125</v>
      </c>
      <c r="AB148" s="30"/>
      <c r="AC148" s="30"/>
      <c r="AD148" s="30"/>
      <c r="AE148" s="30" t="s">
        <v>3943</v>
      </c>
      <c r="AF148" s="30">
        <v>9767994726</v>
      </c>
      <c r="AG148" s="30"/>
      <c r="AH148" s="31" t="s">
        <v>55</v>
      </c>
      <c r="AI148" s="31">
        <v>45481</v>
      </c>
      <c r="AJ148" s="31">
        <v>45488</v>
      </c>
      <c r="AK148" s="30" t="s">
        <v>63</v>
      </c>
      <c r="AL148" s="30">
        <v>2700000</v>
      </c>
      <c r="AM148" s="31">
        <v>45488</v>
      </c>
      <c r="AN148" s="31">
        <v>45488</v>
      </c>
      <c r="AO148" s="31">
        <v>45499</v>
      </c>
      <c r="AP148" s="31">
        <v>45488</v>
      </c>
      <c r="AQ148" s="31"/>
      <c r="AR148" s="31"/>
      <c r="AS148" s="31">
        <v>45502</v>
      </c>
      <c r="AT148" s="30">
        <f t="shared" ca="1" si="24"/>
        <v>0</v>
      </c>
      <c r="AU148" s="32" t="str">
        <f t="shared" ca="1" si="22"/>
        <v/>
      </c>
      <c r="AV148" s="32" t="str" cm="1">
        <f t="array" aca="1" ref="AV148" ca="1">IFERROR(_xlfn.IFS($AU148="","",$AU148&lt;=15,"0-15",AND($AU148&gt;=16,$AU148&lt;=30),"16-30",AND($AU148&gt;=31,$AU148&lt;=45),"31-45",AND($AU148&gt;=46,$AU148&lt;=60),"46-60",AND($AU148&gt;=61,$AU148&lt;=90),"61-90",AND($AU148&gt;=91),"&gt; 90",AND($AU148&gt;=2000),""),"")</f>
        <v/>
      </c>
      <c r="AW148" s="32" t="str" cm="1">
        <f t="array" aca="1" ref="AW148" ca="1">IFERROR(_xlfn.IFS(OR($M148="",$AM148=""),"",OR($C148="Offered",$C148="Joined"),($AM148-$M148)-$AT148),"")</f>
        <v/>
      </c>
      <c r="AX148" s="32" t="str" cm="1">
        <f t="array" aca="1" ref="AX148" ca="1">IFERROR(_xlfn.IFS(OR($M148="",$AS148=""),"",$C148="Joined",($AS148-$M148)-$AT148),"")</f>
        <v/>
      </c>
      <c r="AY148" s="30" t="str">
        <f>IFERROR(IF(COUNTIFS('Candidate Tracker'!$E:$E,'Positions Tracker'!$B148,'Candidate Tracker'!$C:$C,"Offer Drop")=0,"",COUNTIFS('Candidate Tracker'!$E:$E,'Positions Tracker'!$B148,'Candidate Tracker'!$C:$C,"Offer Drop")),"")</f>
        <v/>
      </c>
      <c r="AZ1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8" s="34" t="str">
        <f>IFERROR(IF(COUNTIFS('Candidate Tracker'!$E:$E,'Positions Tracker'!$B148,'Candidate Tracker'!$I:$I,"Female")=0,"",COUNTIFS('Candidate Tracker'!$E:$E,'Positions Tracker'!$B148,'Candidate Tracker'!$I:$I,"Female")),"")</f>
        <v/>
      </c>
      <c r="BB148" s="34" t="str">
        <f>IFERROR(IF(COUNTIFS('Candidate Tracker'!$E:$E,'Positions Tracker'!$B148,'Candidate Tracker'!$I:$I,"male")=0,"",COUNTIFS('Candidate Tracker'!$E:$E,'Positions Tracker'!$B148,'Candidate Tracker'!$I:$I,"male")),"")</f>
        <v/>
      </c>
      <c r="BC148" s="33" t="str">
        <f>IFERROR(IF(COUNTIFS('Candidate Tracker'!$E:$E,'Positions Tracker'!$B148,'Candidate Tracker'!$C:$C,"&lt;&gt;WIP",'Candidate Tracker'!$C:$C,"&lt;&gt;Hold",'Candidate Tracker'!$C:$C,"&lt;&gt;Cancelled",'Candidate Tracker'!$C:$C,"&lt;&gt;Closed")/COUNTIFS('Candidate Tracker'!$E:$E,'Positions Tracker'!$B148)=0,"",COUNTIFS('Candidate Tracker'!$E:$E,'Positions Tracker'!$B148,'Candidate Tracker'!$C:$C,"&lt;&gt;WIP",'Candidate Tracker'!$C:$C,"&lt;&gt;Hold",'Candidate Tracker'!$C:$C,"&lt;&gt;Cancelled",'Candidate Tracker'!$C:$C,"&lt;&gt;Closed")/COUNTIFS('Candidate Tracker'!$E:$E,'Positions Tracker'!$B148)),"")</f>
        <v/>
      </c>
      <c r="BD148" s="30" t="str">
        <f t="shared" si="25"/>
        <v>Jun-24</v>
      </c>
      <c r="BE148" s="30" t="str">
        <f t="shared" si="26"/>
        <v>Jul-24</v>
      </c>
      <c r="BF148" s="30" t="str">
        <f t="shared" si="27"/>
        <v>Jul-24</v>
      </c>
      <c r="BG148" s="30" t="str">
        <f t="shared" si="28"/>
        <v>Jul-24</v>
      </c>
    </row>
    <row r="149" spans="1:59">
      <c r="A149" s="30">
        <f t="shared" si="23"/>
        <v>148</v>
      </c>
      <c r="B149" s="30"/>
      <c r="C149" s="30" t="s">
        <v>1044</v>
      </c>
      <c r="D149" s="30" t="s">
        <v>320</v>
      </c>
      <c r="E149" s="30" t="s">
        <v>4162</v>
      </c>
      <c r="F149" s="30" t="s">
        <v>2959</v>
      </c>
      <c r="G149" s="30"/>
      <c r="H149" s="30"/>
      <c r="I149" s="30" t="s">
        <v>337</v>
      </c>
      <c r="J149" s="30" t="s">
        <v>135</v>
      </c>
      <c r="K149" s="31"/>
      <c r="L149" s="31">
        <v>45442</v>
      </c>
      <c r="M149" s="31">
        <v>45444</v>
      </c>
      <c r="N149" s="30"/>
      <c r="O149" s="31"/>
      <c r="P149" s="31"/>
      <c r="Q149" s="31"/>
      <c r="R149" s="31"/>
      <c r="S149" s="31"/>
      <c r="T149" s="31"/>
      <c r="U149" s="30"/>
      <c r="V149" s="30"/>
      <c r="W149" s="30"/>
      <c r="X149" s="30" t="s">
        <v>63</v>
      </c>
      <c r="Y149" s="30" t="s">
        <v>93</v>
      </c>
      <c r="Z149" s="30" t="s">
        <v>93</v>
      </c>
      <c r="AA149" s="30" t="s">
        <v>4135</v>
      </c>
      <c r="AB149" s="30"/>
      <c r="AC149" s="30"/>
      <c r="AD149" s="30"/>
      <c r="AE149" s="30" t="s">
        <v>4163</v>
      </c>
      <c r="AF149" s="30">
        <v>7026301698</v>
      </c>
      <c r="AG149" s="30"/>
      <c r="AH149" s="31" t="s">
        <v>101</v>
      </c>
      <c r="AI149" s="31">
        <v>45470</v>
      </c>
      <c r="AJ149" s="31"/>
      <c r="AK149" s="30" t="s">
        <v>63</v>
      </c>
      <c r="AL149" s="30">
        <v>2000000</v>
      </c>
      <c r="AM149" s="31">
        <v>45476</v>
      </c>
      <c r="AN149" s="31"/>
      <c r="AO149" s="31">
        <v>45509</v>
      </c>
      <c r="AP149" s="31">
        <v>45476</v>
      </c>
      <c r="AQ149" s="31"/>
      <c r="AR149" s="31"/>
      <c r="AS149" s="31">
        <v>45544</v>
      </c>
      <c r="AT149" s="30">
        <f t="shared" ca="1" si="24"/>
        <v>0</v>
      </c>
      <c r="AU149" s="32" t="str">
        <f t="shared" ca="1" si="22"/>
        <v/>
      </c>
      <c r="AV149" s="32" t="str" cm="1">
        <f t="array" aca="1" ref="AV149" ca="1">IFERROR(_xlfn.IFS($AU149="","",$AU149&lt;=15,"0-15",AND($AU149&gt;=16,$AU149&lt;=30),"16-30",AND($AU149&gt;=31,$AU149&lt;=45),"31-45",AND($AU149&gt;=46,$AU149&lt;=60),"46-60",AND($AU149&gt;=61,$AU149&lt;=90),"61-90",AND($AU149&gt;=91),"&gt; 90",AND($AU149&gt;=2000),""),"")</f>
        <v/>
      </c>
      <c r="AW149" s="32" t="str" cm="1">
        <f t="array" aca="1" ref="AW149" ca="1">IFERROR(_xlfn.IFS(OR($M149="",$AM149=""),"",OR($C149="Offered",$C149="Joined"),($AM149-$M149)-$AT149),"")</f>
        <v/>
      </c>
      <c r="AX149" s="32" t="str" cm="1">
        <f t="array" aca="1" ref="AX149" ca="1">IFERROR(_xlfn.IFS(OR($M149="",$AS149=""),"",$C149="Joined",($AS149-$M149)-$AT149),"")</f>
        <v/>
      </c>
      <c r="AY149" s="30" t="str">
        <f>IFERROR(IF(COUNTIFS('Candidate Tracker'!$E:$E,'Positions Tracker'!$B149,'Candidate Tracker'!$C:$C,"Offer Drop")=0,"",COUNTIFS('Candidate Tracker'!$E:$E,'Positions Tracker'!$B149,'Candidate Tracker'!$C:$C,"Offer Drop")),"")</f>
        <v/>
      </c>
      <c r="AZ14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49" s="34" t="str">
        <f>IFERROR(IF(COUNTIFS('Candidate Tracker'!$E:$E,'Positions Tracker'!$B149,'Candidate Tracker'!$I:$I,"Female")=0,"",COUNTIFS('Candidate Tracker'!$E:$E,'Positions Tracker'!$B149,'Candidate Tracker'!$I:$I,"Female")),"")</f>
        <v/>
      </c>
      <c r="BB149" s="34" t="str">
        <f>IFERROR(IF(COUNTIFS('Candidate Tracker'!$E:$E,'Positions Tracker'!$B149,'Candidate Tracker'!$I:$I,"male")=0,"",COUNTIFS('Candidate Tracker'!$E:$E,'Positions Tracker'!$B149,'Candidate Tracker'!$I:$I,"male")),"")</f>
        <v/>
      </c>
      <c r="BC149" s="33" t="str">
        <f>IFERROR(IF(COUNTIFS('Candidate Tracker'!$E:$E,'Positions Tracker'!$B149,'Candidate Tracker'!$C:$C,"&lt;&gt;WIP",'Candidate Tracker'!$C:$C,"&lt;&gt;Hold",'Candidate Tracker'!$C:$C,"&lt;&gt;Cancelled",'Candidate Tracker'!$C:$C,"&lt;&gt;Closed")/COUNTIFS('Candidate Tracker'!$E:$E,'Positions Tracker'!$B149)=0,"",COUNTIFS('Candidate Tracker'!$E:$E,'Positions Tracker'!$B149,'Candidate Tracker'!$C:$C,"&lt;&gt;WIP",'Candidate Tracker'!$C:$C,"&lt;&gt;Hold",'Candidate Tracker'!$C:$C,"&lt;&gt;Cancelled",'Candidate Tracker'!$C:$C,"&lt;&gt;Closed")/COUNTIFS('Candidate Tracker'!$E:$E,'Positions Tracker'!$B149)),"")</f>
        <v/>
      </c>
      <c r="BD149" s="30" t="str">
        <f t="shared" si="25"/>
        <v>Jun-24</v>
      </c>
      <c r="BE149" s="30" t="str">
        <f t="shared" si="26"/>
        <v>Jun-24</v>
      </c>
      <c r="BF149" s="30" t="str">
        <f t="shared" si="27"/>
        <v>Jul-24</v>
      </c>
      <c r="BG149" s="30" t="str">
        <f t="shared" si="28"/>
        <v>Sep-24</v>
      </c>
    </row>
    <row r="150" spans="1:59">
      <c r="A150" s="30">
        <f t="shared" si="23"/>
        <v>149</v>
      </c>
      <c r="B150" s="30"/>
      <c r="C150" s="30" t="s">
        <v>1044</v>
      </c>
      <c r="D150" s="30" t="s">
        <v>320</v>
      </c>
      <c r="E150" s="30" t="s">
        <v>497</v>
      </c>
      <c r="F150" s="30" t="s">
        <v>4131</v>
      </c>
      <c r="G150" s="30" t="s">
        <v>3</v>
      </c>
      <c r="H150" s="30" t="s">
        <v>118</v>
      </c>
      <c r="I150" s="30" t="s">
        <v>4160</v>
      </c>
      <c r="J150" s="30" t="s">
        <v>135</v>
      </c>
      <c r="K150" s="31"/>
      <c r="L150" s="31" t="s">
        <v>4164</v>
      </c>
      <c r="M150" s="31">
        <v>45439</v>
      </c>
      <c r="N150" s="30"/>
      <c r="O150" s="31"/>
      <c r="P150" s="31"/>
      <c r="Q150" s="31"/>
      <c r="R150" s="31"/>
      <c r="S150" s="31"/>
      <c r="T150" s="31"/>
      <c r="U150" s="30"/>
      <c r="V150" s="30"/>
      <c r="W150" s="30"/>
      <c r="X150" s="30" t="s">
        <v>63</v>
      </c>
      <c r="Y150" s="30" t="s">
        <v>65</v>
      </c>
      <c r="Z150" s="30" t="s">
        <v>65</v>
      </c>
      <c r="AA150" s="30" t="s">
        <v>4128</v>
      </c>
      <c r="AB150" s="30"/>
      <c r="AC150" s="30"/>
      <c r="AD150" s="30"/>
      <c r="AE150" s="30" t="s">
        <v>4165</v>
      </c>
      <c r="AF150" s="30">
        <v>7709279174</v>
      </c>
      <c r="AG150" s="30"/>
      <c r="AH150" s="31" t="s">
        <v>101</v>
      </c>
      <c r="AI150" s="31">
        <v>45471</v>
      </c>
      <c r="AJ150" s="31">
        <v>45478</v>
      </c>
      <c r="AK150" s="30" t="s">
        <v>63</v>
      </c>
      <c r="AL150" s="30">
        <v>2000000</v>
      </c>
      <c r="AM150" s="31">
        <v>45478</v>
      </c>
      <c r="AN150" s="31">
        <v>45478</v>
      </c>
      <c r="AO150" s="31">
        <v>45513</v>
      </c>
      <c r="AP150" s="31">
        <v>45488</v>
      </c>
      <c r="AQ150" s="31"/>
      <c r="AR150" s="31"/>
      <c r="AS150" s="31">
        <v>45516</v>
      </c>
      <c r="AT150" s="30">
        <f t="shared" ca="1" si="24"/>
        <v>0</v>
      </c>
      <c r="AU150" s="32" t="str">
        <f t="shared" ca="1" si="22"/>
        <v/>
      </c>
      <c r="AV150" s="32" t="str" cm="1">
        <f t="array" aca="1" ref="AV150" ca="1">IFERROR(_xlfn.IFS($AU150="","",$AU150&lt;=15,"0-15",AND($AU150&gt;=16,$AU150&lt;=30),"16-30",AND($AU150&gt;=31,$AU150&lt;=45),"31-45",AND($AU150&gt;=46,$AU150&lt;=60),"46-60",AND($AU150&gt;=61,$AU150&lt;=90),"61-90",AND($AU150&gt;=91),"&gt; 90",AND($AU150&gt;=2000),""),"")</f>
        <v/>
      </c>
      <c r="AW150" s="32" t="str" cm="1">
        <f t="array" aca="1" ref="AW150" ca="1">IFERROR(_xlfn.IFS(OR($M150="",$AM150=""),"",OR($C150="Offered",$C150="Joined"),($AM150-$M150)-$AT150),"")</f>
        <v/>
      </c>
      <c r="AX150" s="32" t="str" cm="1">
        <f t="array" aca="1" ref="AX150" ca="1">IFERROR(_xlfn.IFS(OR($M150="",$AS150=""),"",$C150="Joined",($AS150-$M150)-$AT150),"")</f>
        <v/>
      </c>
      <c r="AY150" s="30" t="str">
        <f>IFERROR(IF(COUNTIFS('Candidate Tracker'!$E:$E,'Positions Tracker'!$B150,'Candidate Tracker'!$C:$C,"Offer Drop")=0,"",COUNTIFS('Candidate Tracker'!$E:$E,'Positions Tracker'!$B150,'Candidate Tracker'!$C:$C,"Offer Drop")),"")</f>
        <v/>
      </c>
      <c r="AZ15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0" s="34" t="str">
        <f>IFERROR(IF(COUNTIFS('Candidate Tracker'!$E:$E,'Positions Tracker'!$B150,'Candidate Tracker'!$I:$I,"Female")=0,"",COUNTIFS('Candidate Tracker'!$E:$E,'Positions Tracker'!$B150,'Candidate Tracker'!$I:$I,"Female")),"")</f>
        <v/>
      </c>
      <c r="BB150" s="34" t="str">
        <f>IFERROR(IF(COUNTIFS('Candidate Tracker'!$E:$E,'Positions Tracker'!$B150,'Candidate Tracker'!$I:$I,"male")=0,"",COUNTIFS('Candidate Tracker'!$E:$E,'Positions Tracker'!$B150,'Candidate Tracker'!$I:$I,"male")),"")</f>
        <v/>
      </c>
      <c r="BC150" s="33" t="str">
        <f>IFERROR(IF(COUNTIFS('Candidate Tracker'!$E:$E,'Positions Tracker'!$B150,'Candidate Tracker'!$C:$C,"&lt;&gt;WIP",'Candidate Tracker'!$C:$C,"&lt;&gt;Hold",'Candidate Tracker'!$C:$C,"&lt;&gt;Cancelled",'Candidate Tracker'!$C:$C,"&lt;&gt;Closed")/COUNTIFS('Candidate Tracker'!$E:$E,'Positions Tracker'!$B150)=0,"",COUNTIFS('Candidate Tracker'!$E:$E,'Positions Tracker'!$B150,'Candidate Tracker'!$C:$C,"&lt;&gt;WIP",'Candidate Tracker'!$C:$C,"&lt;&gt;Hold",'Candidate Tracker'!$C:$C,"&lt;&gt;Cancelled",'Candidate Tracker'!$C:$C,"&lt;&gt;Closed")/COUNTIFS('Candidate Tracker'!$E:$E,'Positions Tracker'!$B150)),"")</f>
        <v/>
      </c>
      <c r="BD150" s="30" t="str">
        <f t="shared" si="25"/>
        <v>May-24</v>
      </c>
      <c r="BE150" s="30" t="str">
        <f t="shared" si="26"/>
        <v>Jun-24</v>
      </c>
      <c r="BF150" s="30" t="str">
        <f t="shared" si="27"/>
        <v>Jul-24</v>
      </c>
      <c r="BG150" s="30" t="str">
        <f t="shared" si="28"/>
        <v>Aug-24</v>
      </c>
    </row>
    <row r="151" spans="1:59">
      <c r="A151" s="30">
        <f t="shared" si="23"/>
        <v>150</v>
      </c>
      <c r="B151" s="30">
        <v>20251179</v>
      </c>
      <c r="C151" s="30" t="s">
        <v>1044</v>
      </c>
      <c r="D151" s="30" t="s">
        <v>320</v>
      </c>
      <c r="E151" s="30" t="s">
        <v>4166</v>
      </c>
      <c r="F151" s="30" t="s">
        <v>4167</v>
      </c>
      <c r="G151" s="30" t="s">
        <v>3</v>
      </c>
      <c r="H151" s="30" t="s">
        <v>118</v>
      </c>
      <c r="I151" s="30" t="s">
        <v>433</v>
      </c>
      <c r="J151" s="30" t="s">
        <v>135</v>
      </c>
      <c r="K151" s="31">
        <v>45453</v>
      </c>
      <c r="L151" s="31">
        <v>45453</v>
      </c>
      <c r="M151" s="31">
        <v>45453</v>
      </c>
      <c r="N151" s="30"/>
      <c r="O151" s="31"/>
      <c r="P151" s="31"/>
      <c r="Q151" s="31"/>
      <c r="R151" s="31"/>
      <c r="S151" s="31"/>
      <c r="T151" s="31"/>
      <c r="U151" s="30"/>
      <c r="V151" s="30"/>
      <c r="W151" s="30"/>
      <c r="X151" s="30" t="s">
        <v>63</v>
      </c>
      <c r="Y151" s="30" t="s">
        <v>218</v>
      </c>
      <c r="Z151" s="30" t="s">
        <v>218</v>
      </c>
      <c r="AA151" s="30" t="s">
        <v>4168</v>
      </c>
      <c r="AB151" s="30"/>
      <c r="AC151" s="30"/>
      <c r="AD151" s="30"/>
      <c r="AE151" s="30" t="s">
        <v>4169</v>
      </c>
      <c r="AF151" s="30" t="s">
        <v>4170</v>
      </c>
      <c r="AG151" s="30" t="s">
        <v>4171</v>
      </c>
      <c r="AH151" s="31" t="s">
        <v>55</v>
      </c>
      <c r="AI151" s="31">
        <v>45495</v>
      </c>
      <c r="AJ151" s="31">
        <v>45495</v>
      </c>
      <c r="AK151" s="30" t="s">
        <v>63</v>
      </c>
      <c r="AL151" s="30">
        <v>1600000</v>
      </c>
      <c r="AM151" s="31">
        <v>45507</v>
      </c>
      <c r="AN151" s="31">
        <v>45507</v>
      </c>
      <c r="AO151" s="31">
        <v>45518</v>
      </c>
      <c r="AP151" s="31">
        <v>45507</v>
      </c>
      <c r="AQ151" s="31">
        <v>45509</v>
      </c>
      <c r="AR151" s="31">
        <v>45533</v>
      </c>
      <c r="AS151" s="31">
        <v>45537</v>
      </c>
      <c r="AT151" s="30">
        <f t="shared" ca="1" si="24"/>
        <v>0</v>
      </c>
      <c r="AU151" s="32" t="str">
        <f t="shared" ca="1" si="22"/>
        <v/>
      </c>
      <c r="AV151" s="32" t="str" cm="1">
        <f t="array" aca="1" ref="AV151" ca="1">IFERROR(_xlfn.IFS($AU151="","",$AU151&lt;=15,"0-15",AND($AU151&gt;=16,$AU151&lt;=30),"16-30",AND($AU151&gt;=31,$AU151&lt;=45),"31-45",AND($AU151&gt;=46,$AU151&lt;=60),"46-60",AND($AU151&gt;=61,$AU151&lt;=90),"61-90",AND($AU151&gt;=91),"&gt; 90",AND($AU151&gt;=2000),""),"")</f>
        <v/>
      </c>
      <c r="AW151" s="32" t="str" cm="1">
        <f t="array" aca="1" ref="AW151" ca="1">IFERROR(_xlfn.IFS(OR($M151="",$AM151=""),"",OR($C151="Offered",$C151="Joined"),($AM151-$M151)-$AT151),"")</f>
        <v/>
      </c>
      <c r="AX151" s="32" t="str" cm="1">
        <f t="array" aca="1" ref="AX151" ca="1">IFERROR(_xlfn.IFS(OR($M151="",$AS151=""),"",$C151="Joined",($AS151-$M151)-$AT151),"")</f>
        <v/>
      </c>
      <c r="AY151" s="30" t="str">
        <f>IFERROR(IF(COUNTIFS('Candidate Tracker'!$E:$E,'Positions Tracker'!$B151,'Candidate Tracker'!$C:$C,"Offer Drop")=0,"",COUNTIFS('Candidate Tracker'!$E:$E,'Positions Tracker'!$B151,'Candidate Tracker'!$C:$C,"Offer Drop")),"")</f>
        <v/>
      </c>
      <c r="AZ1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1" s="34" t="str">
        <f>IFERROR(IF(COUNTIFS('Candidate Tracker'!$E:$E,'Positions Tracker'!$B151,'Candidate Tracker'!$I:$I,"Female")=0,"",COUNTIFS('Candidate Tracker'!$E:$E,'Positions Tracker'!$B151,'Candidate Tracker'!$I:$I,"Female")),"")</f>
        <v/>
      </c>
      <c r="BB151" s="34" t="str">
        <f>IFERROR(IF(COUNTIFS('Candidate Tracker'!$E:$E,'Positions Tracker'!$B151,'Candidate Tracker'!$I:$I,"male")=0,"",COUNTIFS('Candidate Tracker'!$E:$E,'Positions Tracker'!$B151,'Candidate Tracker'!$I:$I,"male")),"")</f>
        <v/>
      </c>
      <c r="BC151" s="33" t="str">
        <f>IFERROR(IF(COUNTIFS('Candidate Tracker'!$E:$E,'Positions Tracker'!$B151,'Candidate Tracker'!$C:$C,"&lt;&gt;WIP",'Candidate Tracker'!$C:$C,"&lt;&gt;Hold",'Candidate Tracker'!$C:$C,"&lt;&gt;Cancelled",'Candidate Tracker'!$C:$C,"&lt;&gt;Closed")/COUNTIFS('Candidate Tracker'!$E:$E,'Positions Tracker'!$B151)=0,"",COUNTIFS('Candidate Tracker'!$E:$E,'Positions Tracker'!$B151,'Candidate Tracker'!$C:$C,"&lt;&gt;WIP",'Candidate Tracker'!$C:$C,"&lt;&gt;Hold",'Candidate Tracker'!$C:$C,"&lt;&gt;Cancelled",'Candidate Tracker'!$C:$C,"&lt;&gt;Closed")/COUNTIFS('Candidate Tracker'!$E:$E,'Positions Tracker'!$B151)),"")</f>
        <v/>
      </c>
      <c r="BD151" s="30" t="str">
        <f t="shared" si="25"/>
        <v>Jun-24</v>
      </c>
      <c r="BE151" s="30" t="str">
        <f t="shared" si="26"/>
        <v>Jul-24</v>
      </c>
      <c r="BF151" s="30" t="str">
        <f t="shared" si="27"/>
        <v>Aug-24</v>
      </c>
      <c r="BG151" s="30" t="str">
        <f t="shared" si="28"/>
        <v>Sep-24</v>
      </c>
    </row>
    <row r="152" spans="1:59">
      <c r="A152" s="30">
        <f t="shared" si="23"/>
        <v>151</v>
      </c>
      <c r="B152" s="30"/>
      <c r="C152" s="30" t="s">
        <v>1044</v>
      </c>
      <c r="D152" s="30" t="s">
        <v>320</v>
      </c>
      <c r="E152" s="30" t="s">
        <v>4172</v>
      </c>
      <c r="F152" s="30" t="s">
        <v>4131</v>
      </c>
      <c r="G152" s="30" t="s">
        <v>3</v>
      </c>
      <c r="H152" s="30" t="s">
        <v>118</v>
      </c>
      <c r="I152" s="30" t="s">
        <v>116</v>
      </c>
      <c r="J152" s="30" t="s">
        <v>135</v>
      </c>
      <c r="K152" s="31"/>
      <c r="L152" s="31" t="s">
        <v>4173</v>
      </c>
      <c r="M152" s="31">
        <v>45714</v>
      </c>
      <c r="N152" s="30"/>
      <c r="O152" s="31"/>
      <c r="P152" s="31"/>
      <c r="Q152" s="31"/>
      <c r="R152" s="31"/>
      <c r="S152" s="31"/>
      <c r="T152" s="31"/>
      <c r="U152" s="30"/>
      <c r="V152" s="30"/>
      <c r="W152" s="30"/>
      <c r="X152" s="30" t="s">
        <v>63</v>
      </c>
      <c r="Y152" s="30" t="s">
        <v>65</v>
      </c>
      <c r="Z152" s="30" t="s">
        <v>65</v>
      </c>
      <c r="AA152" s="30"/>
      <c r="AB152" s="30"/>
      <c r="AC152" s="30"/>
      <c r="AD152" s="30"/>
      <c r="AE152" s="30" t="s">
        <v>4174</v>
      </c>
      <c r="AF152" s="30">
        <v>9921799008</v>
      </c>
      <c r="AG152" s="30"/>
      <c r="AH152" s="31" t="s">
        <v>55</v>
      </c>
      <c r="AI152" s="31">
        <v>45503</v>
      </c>
      <c r="AJ152" s="31">
        <v>45503</v>
      </c>
      <c r="AK152" s="30" t="s">
        <v>63</v>
      </c>
      <c r="AL152" s="30">
        <v>1400000</v>
      </c>
      <c r="AM152" s="31">
        <v>45517</v>
      </c>
      <c r="AN152" s="31">
        <v>45517</v>
      </c>
      <c r="AO152" s="31" t="s">
        <v>4175</v>
      </c>
      <c r="AP152" s="31">
        <v>45517</v>
      </c>
      <c r="AQ152" s="31"/>
      <c r="AR152" s="31"/>
      <c r="AS152" s="31">
        <v>45530</v>
      </c>
      <c r="AT152" s="30">
        <f t="shared" ca="1" si="24"/>
        <v>0</v>
      </c>
      <c r="AU152" s="32" t="str">
        <f t="shared" ca="1" si="22"/>
        <v/>
      </c>
      <c r="AV152" s="32" t="str" cm="1">
        <f t="array" aca="1" ref="AV152" ca="1">IFERROR(_xlfn.IFS($AU152="","",$AU152&lt;=15,"0-15",AND($AU152&gt;=16,$AU152&lt;=30),"16-30",AND($AU152&gt;=31,$AU152&lt;=45),"31-45",AND($AU152&gt;=46,$AU152&lt;=60),"46-60",AND($AU152&gt;=61,$AU152&lt;=90),"61-90",AND($AU152&gt;=91),"&gt; 90",AND($AU152&gt;=2000),""),"")</f>
        <v/>
      </c>
      <c r="AW152" s="32" t="str" cm="1">
        <f t="array" aca="1" ref="AW152" ca="1">IFERROR(_xlfn.IFS(OR($M152="",$AM152=""),"",OR($C152="Offered",$C152="Joined"),($AM152-$M152)-$AT152),"")</f>
        <v/>
      </c>
      <c r="AX152" s="32" t="str" cm="1">
        <f t="array" aca="1" ref="AX152" ca="1">IFERROR(_xlfn.IFS(OR($M152="",$AS152=""),"",$C152="Joined",($AS152-$M152)-$AT152),"")</f>
        <v/>
      </c>
      <c r="AY152" s="30" t="str">
        <f>IFERROR(IF(COUNTIFS('Candidate Tracker'!$E:$E,'Positions Tracker'!$B152,'Candidate Tracker'!$C:$C,"Offer Drop")=0,"",COUNTIFS('Candidate Tracker'!$E:$E,'Positions Tracker'!$B152,'Candidate Tracker'!$C:$C,"Offer Drop")),"")</f>
        <v/>
      </c>
      <c r="AZ15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2" s="34" t="str">
        <f>IFERROR(IF(COUNTIFS('Candidate Tracker'!$E:$E,'Positions Tracker'!$B152,'Candidate Tracker'!$I:$I,"Female")=0,"",COUNTIFS('Candidate Tracker'!$E:$E,'Positions Tracker'!$B152,'Candidate Tracker'!$I:$I,"Female")),"")</f>
        <v/>
      </c>
      <c r="BB152" s="34" t="str">
        <f>IFERROR(IF(COUNTIFS('Candidate Tracker'!$E:$E,'Positions Tracker'!$B152,'Candidate Tracker'!$I:$I,"male")=0,"",COUNTIFS('Candidate Tracker'!$E:$E,'Positions Tracker'!$B152,'Candidate Tracker'!$I:$I,"male")),"")</f>
        <v/>
      </c>
      <c r="BC152" s="33" t="str">
        <f>IFERROR(IF(COUNTIFS('Candidate Tracker'!$E:$E,'Positions Tracker'!$B152,'Candidate Tracker'!$C:$C,"&lt;&gt;WIP",'Candidate Tracker'!$C:$C,"&lt;&gt;Hold",'Candidate Tracker'!$C:$C,"&lt;&gt;Cancelled",'Candidate Tracker'!$C:$C,"&lt;&gt;Closed")/COUNTIFS('Candidate Tracker'!$E:$E,'Positions Tracker'!$B152)=0,"",COUNTIFS('Candidate Tracker'!$E:$E,'Positions Tracker'!$B152,'Candidate Tracker'!$C:$C,"&lt;&gt;WIP",'Candidate Tracker'!$C:$C,"&lt;&gt;Hold",'Candidate Tracker'!$C:$C,"&lt;&gt;Cancelled",'Candidate Tracker'!$C:$C,"&lt;&gt;Closed")/COUNTIFS('Candidate Tracker'!$E:$E,'Positions Tracker'!$B152)),"")</f>
        <v/>
      </c>
      <c r="BD152" s="30" t="str">
        <f t="shared" si="25"/>
        <v>Feb-25</v>
      </c>
      <c r="BE152" s="30" t="str">
        <f t="shared" si="26"/>
        <v>Jul-24</v>
      </c>
      <c r="BF152" s="30" t="str">
        <f t="shared" si="27"/>
        <v>Aug-24</v>
      </c>
      <c r="BG152" s="30" t="str">
        <f t="shared" si="28"/>
        <v>Aug-24</v>
      </c>
    </row>
    <row r="153" spans="1:59">
      <c r="A153" s="30">
        <f t="shared" si="23"/>
        <v>152</v>
      </c>
      <c r="B153" s="30"/>
      <c r="C153" s="30" t="s">
        <v>1044</v>
      </c>
      <c r="D153" s="30" t="s">
        <v>320</v>
      </c>
      <c r="E153" s="30" t="s">
        <v>497</v>
      </c>
      <c r="F153" s="30" t="s">
        <v>4131</v>
      </c>
      <c r="G153" s="30" t="s">
        <v>3</v>
      </c>
      <c r="H153" s="30" t="s">
        <v>118</v>
      </c>
      <c r="I153" s="30" t="s">
        <v>116</v>
      </c>
      <c r="J153" s="30" t="s">
        <v>135</v>
      </c>
      <c r="K153" s="31"/>
      <c r="L153" s="31" t="s">
        <v>4164</v>
      </c>
      <c r="M153" s="31">
        <v>45439</v>
      </c>
      <c r="N153" s="30"/>
      <c r="O153" s="31"/>
      <c r="P153" s="31"/>
      <c r="Q153" s="31"/>
      <c r="R153" s="31"/>
      <c r="S153" s="31"/>
      <c r="T153" s="31"/>
      <c r="U153" s="30"/>
      <c r="V153" s="30"/>
      <c r="W153" s="30"/>
      <c r="X153" s="30" t="s">
        <v>63</v>
      </c>
      <c r="Y153" s="30" t="s">
        <v>65</v>
      </c>
      <c r="Z153" s="30" t="s">
        <v>65</v>
      </c>
      <c r="AA153" s="30"/>
      <c r="AB153" s="30"/>
      <c r="AC153" s="30"/>
      <c r="AD153" s="30"/>
      <c r="AE153" s="30" t="s">
        <v>4176</v>
      </c>
      <c r="AF153" s="30">
        <v>9049471475</v>
      </c>
      <c r="AG153" s="30"/>
      <c r="AH153" s="31" t="s">
        <v>101</v>
      </c>
      <c r="AI153" s="31">
        <v>45504</v>
      </c>
      <c r="AJ153" s="31">
        <v>45504</v>
      </c>
      <c r="AK153" s="30" t="s">
        <v>63</v>
      </c>
      <c r="AL153" s="30">
        <v>2100000</v>
      </c>
      <c r="AM153" s="31">
        <v>45504</v>
      </c>
      <c r="AN153" s="31">
        <v>45504</v>
      </c>
      <c r="AO153" s="31" t="s">
        <v>4177</v>
      </c>
      <c r="AP153" s="31">
        <v>45506</v>
      </c>
      <c r="AQ153" s="31"/>
      <c r="AR153" s="31"/>
      <c r="AS153" s="31">
        <v>45530</v>
      </c>
      <c r="AT153" s="30">
        <f t="shared" ca="1" si="24"/>
        <v>0</v>
      </c>
      <c r="AU153" s="32" t="str">
        <f t="shared" ca="1" si="22"/>
        <v/>
      </c>
      <c r="AV153" s="32" t="str" cm="1">
        <f t="array" aca="1" ref="AV153" ca="1">IFERROR(_xlfn.IFS($AU153="","",$AU153&lt;=15,"0-15",AND($AU153&gt;=16,$AU153&lt;=30),"16-30",AND($AU153&gt;=31,$AU153&lt;=45),"31-45",AND($AU153&gt;=46,$AU153&lt;=60),"46-60",AND($AU153&gt;=61,$AU153&lt;=90),"61-90",AND($AU153&gt;=91),"&gt; 90",AND($AU153&gt;=2000),""),"")</f>
        <v/>
      </c>
      <c r="AW153" s="32" t="str" cm="1">
        <f t="array" aca="1" ref="AW153" ca="1">IFERROR(_xlfn.IFS(OR($M153="",$AM153=""),"",OR($C153="Offered",$C153="Joined"),($AM153-$M153)-$AT153),"")</f>
        <v/>
      </c>
      <c r="AX153" s="32" t="str" cm="1">
        <f t="array" aca="1" ref="AX153" ca="1">IFERROR(_xlfn.IFS(OR($M153="",$AS153=""),"",$C153="Joined",($AS153-$M153)-$AT153),"")</f>
        <v/>
      </c>
      <c r="AY153" s="30" t="str">
        <f>IFERROR(IF(COUNTIFS('Candidate Tracker'!$E:$E,'Positions Tracker'!$B153,'Candidate Tracker'!$C:$C,"Offer Drop")=0,"",COUNTIFS('Candidate Tracker'!$E:$E,'Positions Tracker'!$B153,'Candidate Tracker'!$C:$C,"Offer Drop")),"")</f>
        <v/>
      </c>
      <c r="AZ15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3" s="34" t="str">
        <f>IFERROR(IF(COUNTIFS('Candidate Tracker'!$E:$E,'Positions Tracker'!$B153,'Candidate Tracker'!$I:$I,"Female")=0,"",COUNTIFS('Candidate Tracker'!$E:$E,'Positions Tracker'!$B153,'Candidate Tracker'!$I:$I,"Female")),"")</f>
        <v/>
      </c>
      <c r="BB153" s="34" t="str">
        <f>IFERROR(IF(COUNTIFS('Candidate Tracker'!$E:$E,'Positions Tracker'!$B153,'Candidate Tracker'!$I:$I,"male")=0,"",COUNTIFS('Candidate Tracker'!$E:$E,'Positions Tracker'!$B153,'Candidate Tracker'!$I:$I,"male")),"")</f>
        <v/>
      </c>
      <c r="BC153" s="33" t="str">
        <f>IFERROR(IF(COUNTIFS('Candidate Tracker'!$E:$E,'Positions Tracker'!$B153,'Candidate Tracker'!$C:$C,"&lt;&gt;WIP",'Candidate Tracker'!$C:$C,"&lt;&gt;Hold",'Candidate Tracker'!$C:$C,"&lt;&gt;Cancelled",'Candidate Tracker'!$C:$C,"&lt;&gt;Closed")/COUNTIFS('Candidate Tracker'!$E:$E,'Positions Tracker'!$B153)=0,"",COUNTIFS('Candidate Tracker'!$E:$E,'Positions Tracker'!$B153,'Candidate Tracker'!$C:$C,"&lt;&gt;WIP",'Candidate Tracker'!$C:$C,"&lt;&gt;Hold",'Candidate Tracker'!$C:$C,"&lt;&gt;Cancelled",'Candidate Tracker'!$C:$C,"&lt;&gt;Closed")/COUNTIFS('Candidate Tracker'!$E:$E,'Positions Tracker'!$B153)),"")</f>
        <v/>
      </c>
      <c r="BD153" s="30" t="str">
        <f t="shared" si="25"/>
        <v>May-24</v>
      </c>
      <c r="BE153" s="30" t="str">
        <f t="shared" si="26"/>
        <v>Jul-24</v>
      </c>
      <c r="BF153" s="30" t="str">
        <f t="shared" si="27"/>
        <v>Jul-24</v>
      </c>
      <c r="BG153" s="30" t="str">
        <f t="shared" si="28"/>
        <v>Aug-24</v>
      </c>
    </row>
    <row r="154" spans="1:59">
      <c r="A154" s="30">
        <f t="shared" si="23"/>
        <v>153</v>
      </c>
      <c r="B154" s="30"/>
      <c r="C154" s="30" t="s">
        <v>1044</v>
      </c>
      <c r="D154" s="30" t="s">
        <v>320</v>
      </c>
      <c r="E154" s="30" t="s">
        <v>4178</v>
      </c>
      <c r="F154" s="30" t="s">
        <v>4131</v>
      </c>
      <c r="G154" s="30" t="s">
        <v>3</v>
      </c>
      <c r="H154" s="30" t="s">
        <v>118</v>
      </c>
      <c r="I154" s="30" t="s">
        <v>116</v>
      </c>
      <c r="J154" s="30" t="s">
        <v>135</v>
      </c>
      <c r="K154" s="31"/>
      <c r="L154" s="31" t="s">
        <v>4179</v>
      </c>
      <c r="M154" s="31">
        <v>45524</v>
      </c>
      <c r="N154" s="30"/>
      <c r="O154" s="31"/>
      <c r="P154" s="31"/>
      <c r="Q154" s="31"/>
      <c r="R154" s="31"/>
      <c r="S154" s="31"/>
      <c r="T154" s="31"/>
      <c r="U154" s="30"/>
      <c r="V154" s="30"/>
      <c r="W154" s="30"/>
      <c r="X154" s="30" t="s">
        <v>63</v>
      </c>
      <c r="Y154" s="30" t="s">
        <v>65</v>
      </c>
      <c r="Z154" s="30" t="s">
        <v>65</v>
      </c>
      <c r="AA154" s="30"/>
      <c r="AB154" s="30"/>
      <c r="AC154" s="30"/>
      <c r="AD154" s="30"/>
      <c r="AE154" s="30" t="s">
        <v>4180</v>
      </c>
      <c r="AF154" s="30">
        <v>9860623634</v>
      </c>
      <c r="AG154" s="30"/>
      <c r="AH154" s="31" t="s">
        <v>55</v>
      </c>
      <c r="AI154" s="31">
        <v>45512</v>
      </c>
      <c r="AJ154" s="31">
        <v>45512</v>
      </c>
      <c r="AK154" s="30" t="s">
        <v>63</v>
      </c>
      <c r="AL154" s="30">
        <v>2000000</v>
      </c>
      <c r="AM154" s="31">
        <v>45533</v>
      </c>
      <c r="AN154" s="31">
        <v>45533</v>
      </c>
      <c r="AO154" s="31">
        <v>45611</v>
      </c>
      <c r="AP154" s="31">
        <v>45533</v>
      </c>
      <c r="AQ154" s="31"/>
      <c r="AR154" s="31"/>
      <c r="AS154" s="31">
        <v>45628</v>
      </c>
      <c r="AT154" s="30">
        <f t="shared" ca="1" si="24"/>
        <v>0</v>
      </c>
      <c r="AU154" s="32" t="str">
        <f t="shared" ca="1" si="22"/>
        <v/>
      </c>
      <c r="AV154" s="32" t="str" cm="1">
        <f t="array" aca="1" ref="AV154" ca="1">IFERROR(_xlfn.IFS($AU154="","",$AU154&lt;=15,"0-15",AND($AU154&gt;=16,$AU154&lt;=30),"16-30",AND($AU154&gt;=31,$AU154&lt;=45),"31-45",AND($AU154&gt;=46,$AU154&lt;=60),"46-60",AND($AU154&gt;=61,$AU154&lt;=90),"61-90",AND($AU154&gt;=91),"&gt; 90",AND($AU154&gt;=2000),""),"")</f>
        <v/>
      </c>
      <c r="AW154" s="32" t="str" cm="1">
        <f t="array" aca="1" ref="AW154" ca="1">IFERROR(_xlfn.IFS(OR($M154="",$AM154=""),"",OR($C154="Offered",$C154="Joined"),($AM154-$M154)-$AT154),"")</f>
        <v/>
      </c>
      <c r="AX154" s="32" t="str" cm="1">
        <f t="array" aca="1" ref="AX154" ca="1">IFERROR(_xlfn.IFS(OR($M154="",$AS154=""),"",$C154="Joined",($AS154-$M154)-$AT154),"")</f>
        <v/>
      </c>
      <c r="AY154" s="30" t="str">
        <f>IFERROR(IF(COUNTIFS('Candidate Tracker'!$E:$E,'Positions Tracker'!$B154,'Candidate Tracker'!$C:$C,"Offer Drop")=0,"",COUNTIFS('Candidate Tracker'!$E:$E,'Positions Tracker'!$B154,'Candidate Tracker'!$C:$C,"Offer Drop")),"")</f>
        <v/>
      </c>
      <c r="AZ15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4" s="34" t="str">
        <f>IFERROR(IF(COUNTIFS('Candidate Tracker'!$E:$E,'Positions Tracker'!$B154,'Candidate Tracker'!$I:$I,"Female")=0,"",COUNTIFS('Candidate Tracker'!$E:$E,'Positions Tracker'!$B154,'Candidate Tracker'!$I:$I,"Female")),"")</f>
        <v/>
      </c>
      <c r="BB154" s="34" t="str">
        <f>IFERROR(IF(COUNTIFS('Candidate Tracker'!$E:$E,'Positions Tracker'!$B154,'Candidate Tracker'!$I:$I,"male")=0,"",COUNTIFS('Candidate Tracker'!$E:$E,'Positions Tracker'!$B154,'Candidate Tracker'!$I:$I,"male")),"")</f>
        <v/>
      </c>
      <c r="BC154" s="33" t="str">
        <f>IFERROR(IF(COUNTIFS('Candidate Tracker'!$E:$E,'Positions Tracker'!$B154,'Candidate Tracker'!$C:$C,"&lt;&gt;WIP",'Candidate Tracker'!$C:$C,"&lt;&gt;Hold",'Candidate Tracker'!$C:$C,"&lt;&gt;Cancelled",'Candidate Tracker'!$C:$C,"&lt;&gt;Closed")/COUNTIFS('Candidate Tracker'!$E:$E,'Positions Tracker'!$B154)=0,"",COUNTIFS('Candidate Tracker'!$E:$E,'Positions Tracker'!$B154,'Candidate Tracker'!$C:$C,"&lt;&gt;WIP",'Candidate Tracker'!$C:$C,"&lt;&gt;Hold",'Candidate Tracker'!$C:$C,"&lt;&gt;Cancelled",'Candidate Tracker'!$C:$C,"&lt;&gt;Closed")/COUNTIFS('Candidate Tracker'!$E:$E,'Positions Tracker'!$B154)),"")</f>
        <v/>
      </c>
      <c r="BD154" s="30" t="str">
        <f t="shared" si="25"/>
        <v>Aug-24</v>
      </c>
      <c r="BE154" s="30" t="str">
        <f t="shared" si="26"/>
        <v>Aug-24</v>
      </c>
      <c r="BF154" s="30" t="str">
        <f t="shared" si="27"/>
        <v>Aug-24</v>
      </c>
      <c r="BG154" s="30" t="str">
        <f t="shared" si="28"/>
        <v>Dec-24</v>
      </c>
    </row>
    <row r="155" spans="1:59">
      <c r="A155" s="30">
        <f t="shared" si="23"/>
        <v>154</v>
      </c>
      <c r="B155" s="30"/>
      <c r="C155" s="30" t="s">
        <v>1044</v>
      </c>
      <c r="D155" s="30" t="s">
        <v>320</v>
      </c>
      <c r="E155" s="30" t="s">
        <v>4181</v>
      </c>
      <c r="F155" s="30" t="s">
        <v>4149</v>
      </c>
      <c r="G155" s="30"/>
      <c r="H155" s="30"/>
      <c r="I155" s="30" t="s">
        <v>140</v>
      </c>
      <c r="J155" s="30" t="s">
        <v>135</v>
      </c>
      <c r="K155" s="31"/>
      <c r="L155" s="31">
        <v>45301</v>
      </c>
      <c r="M155" s="31">
        <v>45391</v>
      </c>
      <c r="N155" s="30"/>
      <c r="O155" s="31"/>
      <c r="P155" s="31"/>
      <c r="Q155" s="31"/>
      <c r="R155" s="31"/>
      <c r="S155" s="31"/>
      <c r="T155" s="31"/>
      <c r="U155" s="30"/>
      <c r="V155" s="30"/>
      <c r="W155" s="30"/>
      <c r="X155" s="30" t="s">
        <v>63</v>
      </c>
      <c r="Y155" s="30" t="s">
        <v>93</v>
      </c>
      <c r="Z155" s="30" t="s">
        <v>93</v>
      </c>
      <c r="AA155" s="30" t="s">
        <v>4182</v>
      </c>
      <c r="AB155" s="30"/>
      <c r="AC155" s="30"/>
      <c r="AD155" s="30"/>
      <c r="AE155" s="30" t="s">
        <v>4183</v>
      </c>
      <c r="AF155" s="30">
        <v>9503932201</v>
      </c>
      <c r="AG155" s="30"/>
      <c r="AH155" s="31" t="s">
        <v>101</v>
      </c>
      <c r="AI155" s="31">
        <v>45514</v>
      </c>
      <c r="AJ155" s="31">
        <v>45525</v>
      </c>
      <c r="AK155" s="30" t="s">
        <v>63</v>
      </c>
      <c r="AL155" s="30">
        <v>2450000</v>
      </c>
      <c r="AM155" s="31">
        <v>45518</v>
      </c>
      <c r="AN155" s="31"/>
      <c r="AO155" s="31">
        <v>45537</v>
      </c>
      <c r="AP155" s="31">
        <v>45518</v>
      </c>
      <c r="AQ155" s="31"/>
      <c r="AR155" s="31"/>
      <c r="AS155" s="31">
        <v>45544</v>
      </c>
      <c r="AT155" s="30">
        <f t="shared" ca="1" si="24"/>
        <v>0</v>
      </c>
      <c r="AU155" s="32" t="str">
        <f t="shared" ca="1" si="22"/>
        <v/>
      </c>
      <c r="AV155" s="32" t="str" cm="1">
        <f t="array" aca="1" ref="AV155" ca="1">IFERROR(_xlfn.IFS($AU155="","",$AU155&lt;=15,"0-15",AND($AU155&gt;=16,$AU155&lt;=30),"16-30",AND($AU155&gt;=31,$AU155&lt;=45),"31-45",AND($AU155&gt;=46,$AU155&lt;=60),"46-60",AND($AU155&gt;=61,$AU155&lt;=90),"61-90",AND($AU155&gt;=91),"&gt; 90",AND($AU155&gt;=2000),""),"")</f>
        <v/>
      </c>
      <c r="AW155" s="32" t="str" cm="1">
        <f t="array" aca="1" ref="AW155" ca="1">IFERROR(_xlfn.IFS(OR($M155="",$AM155=""),"",OR($C155="Offered",$C155="Joined"),($AM155-$M155)-$AT155),"")</f>
        <v/>
      </c>
      <c r="AX155" s="32" t="str" cm="1">
        <f t="array" aca="1" ref="AX155" ca="1">IFERROR(_xlfn.IFS(OR($M155="",$AS155=""),"",$C155="Joined",($AS155-$M155)-$AT155),"")</f>
        <v/>
      </c>
      <c r="AY155" s="30" t="str">
        <f>IFERROR(IF(COUNTIFS('Candidate Tracker'!$E:$E,'Positions Tracker'!$B155,'Candidate Tracker'!$C:$C,"Offer Drop")=0,"",COUNTIFS('Candidate Tracker'!$E:$E,'Positions Tracker'!$B155,'Candidate Tracker'!$C:$C,"Offer Drop")),"")</f>
        <v/>
      </c>
      <c r="AZ15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5" s="34" t="str">
        <f>IFERROR(IF(COUNTIFS('Candidate Tracker'!$E:$E,'Positions Tracker'!$B155,'Candidate Tracker'!$I:$I,"Female")=0,"",COUNTIFS('Candidate Tracker'!$E:$E,'Positions Tracker'!$B155,'Candidate Tracker'!$I:$I,"Female")),"")</f>
        <v/>
      </c>
      <c r="BB155" s="34" t="str">
        <f>IFERROR(IF(COUNTIFS('Candidate Tracker'!$E:$E,'Positions Tracker'!$B155,'Candidate Tracker'!$I:$I,"male")=0,"",COUNTIFS('Candidate Tracker'!$E:$E,'Positions Tracker'!$B155,'Candidate Tracker'!$I:$I,"male")),"")</f>
        <v/>
      </c>
      <c r="BC155" s="33" t="str">
        <f>IFERROR(IF(COUNTIFS('Candidate Tracker'!$E:$E,'Positions Tracker'!$B155,'Candidate Tracker'!$C:$C,"&lt;&gt;WIP",'Candidate Tracker'!$C:$C,"&lt;&gt;Hold",'Candidate Tracker'!$C:$C,"&lt;&gt;Cancelled",'Candidate Tracker'!$C:$C,"&lt;&gt;Closed")/COUNTIFS('Candidate Tracker'!$E:$E,'Positions Tracker'!$B155)=0,"",COUNTIFS('Candidate Tracker'!$E:$E,'Positions Tracker'!$B155,'Candidate Tracker'!$C:$C,"&lt;&gt;WIP",'Candidate Tracker'!$C:$C,"&lt;&gt;Hold",'Candidate Tracker'!$C:$C,"&lt;&gt;Cancelled",'Candidate Tracker'!$C:$C,"&lt;&gt;Closed")/COUNTIFS('Candidate Tracker'!$E:$E,'Positions Tracker'!$B155)),"")</f>
        <v/>
      </c>
      <c r="BD155" s="30" t="str">
        <f t="shared" si="25"/>
        <v>Apr-24</v>
      </c>
      <c r="BE155" s="30" t="str">
        <f t="shared" si="26"/>
        <v>Aug-24</v>
      </c>
      <c r="BF155" s="30" t="str">
        <f t="shared" si="27"/>
        <v>Aug-24</v>
      </c>
      <c r="BG155" s="30" t="str">
        <f t="shared" si="28"/>
        <v>Sep-24</v>
      </c>
    </row>
    <row r="156" spans="1:59">
      <c r="A156" s="30">
        <f t="shared" si="23"/>
        <v>155</v>
      </c>
      <c r="B156" s="30"/>
      <c r="C156" s="30" t="s">
        <v>1044</v>
      </c>
      <c r="D156" s="30" t="s">
        <v>320</v>
      </c>
      <c r="E156" s="30" t="s">
        <v>4184</v>
      </c>
      <c r="F156" s="30" t="s">
        <v>2959</v>
      </c>
      <c r="G156" s="30" t="s">
        <v>3</v>
      </c>
      <c r="H156" s="30" t="s">
        <v>76</v>
      </c>
      <c r="I156" s="30" t="s">
        <v>417</v>
      </c>
      <c r="J156" s="30" t="s">
        <v>135</v>
      </c>
      <c r="K156" s="31"/>
      <c r="L156" s="31">
        <v>45391</v>
      </c>
      <c r="M156" s="31">
        <v>45391</v>
      </c>
      <c r="N156" s="30"/>
      <c r="O156" s="31"/>
      <c r="P156" s="31"/>
      <c r="Q156" s="31"/>
      <c r="R156" s="31"/>
      <c r="S156" s="31"/>
      <c r="T156" s="31"/>
      <c r="U156" s="30"/>
      <c r="V156" s="30"/>
      <c r="W156" s="30"/>
      <c r="X156" s="30" t="s">
        <v>63</v>
      </c>
      <c r="Y156" s="30" t="s">
        <v>65</v>
      </c>
      <c r="Z156" s="30" t="s">
        <v>65</v>
      </c>
      <c r="AA156" s="30"/>
      <c r="AB156" s="30"/>
      <c r="AC156" s="30"/>
      <c r="AD156" s="30"/>
      <c r="AE156" s="30" t="s">
        <v>4185</v>
      </c>
      <c r="AF156" s="30">
        <v>8983738157</v>
      </c>
      <c r="AG156" s="30"/>
      <c r="AH156" s="31" t="s">
        <v>55</v>
      </c>
      <c r="AI156" s="31">
        <v>45525</v>
      </c>
      <c r="AJ156" s="31">
        <v>45525</v>
      </c>
      <c r="AK156" s="30" t="s">
        <v>63</v>
      </c>
      <c r="AL156" s="30">
        <v>1300000</v>
      </c>
      <c r="AM156" s="31">
        <v>45540</v>
      </c>
      <c r="AN156" s="31">
        <v>45540</v>
      </c>
      <c r="AO156" s="31">
        <v>45606</v>
      </c>
      <c r="AP156" s="31">
        <v>45540</v>
      </c>
      <c r="AQ156" s="31"/>
      <c r="AR156" s="31"/>
      <c r="AS156" s="31">
        <v>45586</v>
      </c>
      <c r="AT156" s="30">
        <f t="shared" ca="1" si="24"/>
        <v>0</v>
      </c>
      <c r="AU156" s="32" t="str">
        <f t="shared" ca="1" si="22"/>
        <v/>
      </c>
      <c r="AV156" s="32" t="str" cm="1">
        <f t="array" aca="1" ref="AV156" ca="1">IFERROR(_xlfn.IFS($AU156="","",$AU156&lt;=15,"0-15",AND($AU156&gt;=16,$AU156&lt;=30),"16-30",AND($AU156&gt;=31,$AU156&lt;=45),"31-45",AND($AU156&gt;=46,$AU156&lt;=60),"46-60",AND($AU156&gt;=61,$AU156&lt;=90),"61-90",AND($AU156&gt;=91),"&gt; 90",AND($AU156&gt;=2000),""),"")</f>
        <v/>
      </c>
      <c r="AW156" s="32" t="str" cm="1">
        <f t="array" aca="1" ref="AW156" ca="1">IFERROR(_xlfn.IFS(OR($M156="",$AM156=""),"",OR($C156="Offered",$C156="Joined"),($AM156-$M156)-$AT156),"")</f>
        <v/>
      </c>
      <c r="AX156" s="32" t="str" cm="1">
        <f t="array" aca="1" ref="AX156" ca="1">IFERROR(_xlfn.IFS(OR($M156="",$AS156=""),"",$C156="Joined",($AS156-$M156)-$AT156),"")</f>
        <v/>
      </c>
      <c r="AY156" s="30" t="str">
        <f>IFERROR(IF(COUNTIFS('Candidate Tracker'!$E:$E,'Positions Tracker'!$B156,'Candidate Tracker'!$C:$C,"Offer Drop")=0,"",COUNTIFS('Candidate Tracker'!$E:$E,'Positions Tracker'!$B156,'Candidate Tracker'!$C:$C,"Offer Drop")),"")</f>
        <v/>
      </c>
      <c r="AZ15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6" s="34" t="str">
        <f>IFERROR(IF(COUNTIFS('Candidate Tracker'!$E:$E,'Positions Tracker'!$B156,'Candidate Tracker'!$I:$I,"Female")=0,"",COUNTIFS('Candidate Tracker'!$E:$E,'Positions Tracker'!$B156,'Candidate Tracker'!$I:$I,"Female")),"")</f>
        <v/>
      </c>
      <c r="BB156" s="34" t="str">
        <f>IFERROR(IF(COUNTIFS('Candidate Tracker'!$E:$E,'Positions Tracker'!$B156,'Candidate Tracker'!$I:$I,"male")=0,"",COUNTIFS('Candidate Tracker'!$E:$E,'Positions Tracker'!$B156,'Candidate Tracker'!$I:$I,"male")),"")</f>
        <v/>
      </c>
      <c r="BC156" s="33" t="str">
        <f>IFERROR(IF(COUNTIFS('Candidate Tracker'!$E:$E,'Positions Tracker'!$B156,'Candidate Tracker'!$C:$C,"&lt;&gt;WIP",'Candidate Tracker'!$C:$C,"&lt;&gt;Hold",'Candidate Tracker'!$C:$C,"&lt;&gt;Cancelled",'Candidate Tracker'!$C:$C,"&lt;&gt;Closed")/COUNTIFS('Candidate Tracker'!$E:$E,'Positions Tracker'!$B156)=0,"",COUNTIFS('Candidate Tracker'!$E:$E,'Positions Tracker'!$B156,'Candidate Tracker'!$C:$C,"&lt;&gt;WIP",'Candidate Tracker'!$C:$C,"&lt;&gt;Hold",'Candidate Tracker'!$C:$C,"&lt;&gt;Cancelled",'Candidate Tracker'!$C:$C,"&lt;&gt;Closed")/COUNTIFS('Candidate Tracker'!$E:$E,'Positions Tracker'!$B156)),"")</f>
        <v/>
      </c>
      <c r="BD156" s="30" t="str">
        <f t="shared" si="25"/>
        <v>Apr-24</v>
      </c>
      <c r="BE156" s="30" t="str">
        <f t="shared" si="26"/>
        <v>Aug-24</v>
      </c>
      <c r="BF156" s="30" t="str">
        <f t="shared" si="27"/>
        <v>Sep-24</v>
      </c>
      <c r="BG156" s="30" t="str">
        <f t="shared" si="28"/>
        <v>Oct-24</v>
      </c>
    </row>
    <row r="157" spans="1:59">
      <c r="A157" s="30">
        <f t="shared" si="23"/>
        <v>156</v>
      </c>
      <c r="B157" s="30"/>
      <c r="C157" s="30" t="s">
        <v>1044</v>
      </c>
      <c r="D157" s="30" t="s">
        <v>320</v>
      </c>
      <c r="E157" s="30" t="s">
        <v>85</v>
      </c>
      <c r="F157" s="30" t="s">
        <v>4089</v>
      </c>
      <c r="G157" s="30" t="s">
        <v>3</v>
      </c>
      <c r="H157" s="30" t="s">
        <v>66</v>
      </c>
      <c r="I157" s="30" t="s">
        <v>81</v>
      </c>
      <c r="J157" s="30" t="s">
        <v>135</v>
      </c>
      <c r="K157" s="31"/>
      <c r="L157" s="31">
        <v>45534</v>
      </c>
      <c r="M157" s="31">
        <v>45460</v>
      </c>
      <c r="N157" s="30"/>
      <c r="O157" s="31"/>
      <c r="P157" s="31"/>
      <c r="Q157" s="31"/>
      <c r="R157" s="31"/>
      <c r="S157" s="31"/>
      <c r="T157" s="31"/>
      <c r="U157" s="30"/>
      <c r="V157" s="30"/>
      <c r="W157" s="30"/>
      <c r="X157" s="30" t="s">
        <v>63</v>
      </c>
      <c r="Y157" s="30" t="s">
        <v>93</v>
      </c>
      <c r="Z157" s="30" t="s">
        <v>93</v>
      </c>
      <c r="AA157" s="30" t="s">
        <v>4128</v>
      </c>
      <c r="AB157" s="30"/>
      <c r="AC157" s="30"/>
      <c r="AD157" s="30"/>
      <c r="AE157" s="30" t="s">
        <v>4186</v>
      </c>
      <c r="AF157" s="30">
        <v>7219565365</v>
      </c>
      <c r="AG157" s="30"/>
      <c r="AH157" s="31" t="s">
        <v>55</v>
      </c>
      <c r="AI157" s="31">
        <v>45546</v>
      </c>
      <c r="AJ157" s="31"/>
      <c r="AK157" s="30" t="s">
        <v>63</v>
      </c>
      <c r="AL157" s="30">
        <v>800000</v>
      </c>
      <c r="AM157" s="31">
        <v>45551</v>
      </c>
      <c r="AN157" s="31"/>
      <c r="AO157" s="31">
        <v>45649</v>
      </c>
      <c r="AP157" s="31">
        <v>45551</v>
      </c>
      <c r="AQ157" s="31"/>
      <c r="AR157" s="31"/>
      <c r="AS157" s="31">
        <v>45649</v>
      </c>
      <c r="AT157" s="30">
        <f t="shared" ca="1" si="24"/>
        <v>0</v>
      </c>
      <c r="AU157" s="32" t="str">
        <f t="shared" ca="1" si="22"/>
        <v/>
      </c>
      <c r="AV157" s="32" t="str" cm="1">
        <f t="array" aca="1" ref="AV157" ca="1">IFERROR(_xlfn.IFS($AU157="","",$AU157&lt;=15,"0-15",AND($AU157&gt;=16,$AU157&lt;=30),"16-30",AND($AU157&gt;=31,$AU157&lt;=45),"31-45",AND($AU157&gt;=46,$AU157&lt;=60),"46-60",AND($AU157&gt;=61,$AU157&lt;=90),"61-90",AND($AU157&gt;=91),"&gt; 90",AND($AU157&gt;=2000),""),"")</f>
        <v/>
      </c>
      <c r="AW157" s="32" t="str" cm="1">
        <f t="array" aca="1" ref="AW157" ca="1">IFERROR(_xlfn.IFS(OR($M157="",$AM157=""),"",OR($C157="Offered",$C157="Joined"),($AM157-$M157)-$AT157),"")</f>
        <v/>
      </c>
      <c r="AX157" s="32" t="str" cm="1">
        <f t="array" aca="1" ref="AX157" ca="1">IFERROR(_xlfn.IFS(OR($M157="",$AS157=""),"",$C157="Joined",($AS157-$M157)-$AT157),"")</f>
        <v/>
      </c>
      <c r="AY157" s="30" t="str">
        <f>IFERROR(IF(COUNTIFS('Candidate Tracker'!$E:$E,'Positions Tracker'!$B157,'Candidate Tracker'!$C:$C,"Offer Drop")=0,"",COUNTIFS('Candidate Tracker'!$E:$E,'Positions Tracker'!$B157,'Candidate Tracker'!$C:$C,"Offer Drop")),"")</f>
        <v/>
      </c>
      <c r="AZ15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7" s="34" t="str">
        <f>IFERROR(IF(COUNTIFS('Candidate Tracker'!$E:$E,'Positions Tracker'!$B157,'Candidate Tracker'!$I:$I,"Female")=0,"",COUNTIFS('Candidate Tracker'!$E:$E,'Positions Tracker'!$B157,'Candidate Tracker'!$I:$I,"Female")),"")</f>
        <v/>
      </c>
      <c r="BB157" s="34" t="str">
        <f>IFERROR(IF(COUNTIFS('Candidate Tracker'!$E:$E,'Positions Tracker'!$B157,'Candidate Tracker'!$I:$I,"male")=0,"",COUNTIFS('Candidate Tracker'!$E:$E,'Positions Tracker'!$B157,'Candidate Tracker'!$I:$I,"male")),"")</f>
        <v/>
      </c>
      <c r="BC157" s="33" t="str">
        <f>IFERROR(IF(COUNTIFS('Candidate Tracker'!$E:$E,'Positions Tracker'!$B157,'Candidate Tracker'!$C:$C,"&lt;&gt;WIP",'Candidate Tracker'!$C:$C,"&lt;&gt;Hold",'Candidate Tracker'!$C:$C,"&lt;&gt;Cancelled",'Candidate Tracker'!$C:$C,"&lt;&gt;Closed")/COUNTIFS('Candidate Tracker'!$E:$E,'Positions Tracker'!$B157)=0,"",COUNTIFS('Candidate Tracker'!$E:$E,'Positions Tracker'!$B157,'Candidate Tracker'!$C:$C,"&lt;&gt;WIP",'Candidate Tracker'!$C:$C,"&lt;&gt;Hold",'Candidate Tracker'!$C:$C,"&lt;&gt;Cancelled",'Candidate Tracker'!$C:$C,"&lt;&gt;Closed")/COUNTIFS('Candidate Tracker'!$E:$E,'Positions Tracker'!$B157)),"")</f>
        <v/>
      </c>
      <c r="BD157" s="30" t="str">
        <f t="shared" si="25"/>
        <v>Jun-24</v>
      </c>
      <c r="BE157" s="30" t="str">
        <f t="shared" si="26"/>
        <v>Sep-24</v>
      </c>
      <c r="BF157" s="30" t="str">
        <f t="shared" si="27"/>
        <v>Sep-24</v>
      </c>
      <c r="BG157" s="30" t="str">
        <f t="shared" si="28"/>
        <v>Dec-24</v>
      </c>
    </row>
    <row r="158" spans="1:59">
      <c r="A158" s="30">
        <f t="shared" si="23"/>
        <v>157</v>
      </c>
      <c r="B158" s="30">
        <v>20240980</v>
      </c>
      <c r="C158" s="30" t="s">
        <v>1044</v>
      </c>
      <c r="D158" s="30" t="s">
        <v>320</v>
      </c>
      <c r="E158" s="30" t="s">
        <v>2356</v>
      </c>
      <c r="F158" s="30" t="s">
        <v>4187</v>
      </c>
      <c r="G158" s="30" t="s">
        <v>3</v>
      </c>
      <c r="H158" s="30" t="s">
        <v>66</v>
      </c>
      <c r="I158" s="30" t="s">
        <v>4188</v>
      </c>
      <c r="J158" s="30" t="s">
        <v>135</v>
      </c>
      <c r="K158" s="31">
        <v>45615</v>
      </c>
      <c r="L158" s="31">
        <v>45615</v>
      </c>
      <c r="M158" s="31">
        <v>45615</v>
      </c>
      <c r="N158" s="30"/>
      <c r="O158" s="31"/>
      <c r="P158" s="31"/>
      <c r="Q158" s="31"/>
      <c r="R158" s="31"/>
      <c r="S158" s="31"/>
      <c r="T158" s="31"/>
      <c r="U158" s="30"/>
      <c r="V158" s="30"/>
      <c r="W158" s="30"/>
      <c r="X158" s="30" t="s">
        <v>63</v>
      </c>
      <c r="Y158" s="30" t="s">
        <v>218</v>
      </c>
      <c r="Z158" s="30" t="s">
        <v>218</v>
      </c>
      <c r="AA158" s="30" t="s">
        <v>4139</v>
      </c>
      <c r="AB158" s="30"/>
      <c r="AC158" s="30"/>
      <c r="AD158" s="30"/>
      <c r="AE158" s="30" t="s">
        <v>4189</v>
      </c>
      <c r="AF158" s="30">
        <v>9075234382</v>
      </c>
      <c r="AG158" s="30" t="s">
        <v>4190</v>
      </c>
      <c r="AH158" s="31" t="s">
        <v>101</v>
      </c>
      <c r="AI158" s="31">
        <v>45593</v>
      </c>
      <c r="AJ158" s="31">
        <v>45593</v>
      </c>
      <c r="AK158" s="30" t="s">
        <v>63</v>
      </c>
      <c r="AL158" s="30">
        <v>800000</v>
      </c>
      <c r="AM158" s="31">
        <v>45603</v>
      </c>
      <c r="AN158" s="31">
        <v>45603</v>
      </c>
      <c r="AO158" s="31">
        <v>45611</v>
      </c>
      <c r="AP158" s="31">
        <v>45603</v>
      </c>
      <c r="AQ158" s="31">
        <v>45603</v>
      </c>
      <c r="AR158" s="31">
        <v>45590</v>
      </c>
      <c r="AS158" s="31">
        <v>45593</v>
      </c>
      <c r="AT158" s="30">
        <f t="shared" ca="1" si="24"/>
        <v>0</v>
      </c>
      <c r="AU158" s="32" t="str">
        <f t="shared" ca="1" si="22"/>
        <v/>
      </c>
      <c r="AV158" s="32" t="str" cm="1">
        <f t="array" aca="1" ref="AV158" ca="1">IFERROR(_xlfn.IFS($AU158="","",$AU158&lt;=15,"0-15",AND($AU158&gt;=16,$AU158&lt;=30),"16-30",AND($AU158&gt;=31,$AU158&lt;=45),"31-45",AND($AU158&gt;=46,$AU158&lt;=60),"46-60",AND($AU158&gt;=61,$AU158&lt;=90),"61-90",AND($AU158&gt;=91),"&gt; 90",AND($AU158&gt;=2000),""),"")</f>
        <v/>
      </c>
      <c r="AW158" s="32" t="str" cm="1">
        <f t="array" aca="1" ref="AW158" ca="1">IFERROR(_xlfn.IFS(OR($M158="",$AM158=""),"",OR($C158="Offered",$C158="Joined"),($AM158-$M158)-$AT158),"")</f>
        <v/>
      </c>
      <c r="AX158" s="32" t="str" cm="1">
        <f t="array" aca="1" ref="AX158" ca="1">IFERROR(_xlfn.IFS(OR($M158="",$AS158=""),"",$C158="Joined",($AS158-$M158)-$AT158),"")</f>
        <v/>
      </c>
      <c r="AY158" s="30" t="str">
        <f>IFERROR(IF(COUNTIFS('Candidate Tracker'!$E:$E,'Positions Tracker'!$B158,'Candidate Tracker'!$C:$C,"Offer Drop")=0,"",COUNTIFS('Candidate Tracker'!$E:$E,'Positions Tracker'!$B158,'Candidate Tracker'!$C:$C,"Offer Drop")),"")</f>
        <v/>
      </c>
      <c r="AZ1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8" s="34" t="str">
        <f>IFERROR(IF(COUNTIFS('Candidate Tracker'!$E:$E,'Positions Tracker'!$B158,'Candidate Tracker'!$I:$I,"Female")=0,"",COUNTIFS('Candidate Tracker'!$E:$E,'Positions Tracker'!$B158,'Candidate Tracker'!$I:$I,"Female")),"")</f>
        <v/>
      </c>
      <c r="BB158" s="34" t="str">
        <f>IFERROR(IF(COUNTIFS('Candidate Tracker'!$E:$E,'Positions Tracker'!$B158,'Candidate Tracker'!$I:$I,"male")=0,"",COUNTIFS('Candidate Tracker'!$E:$E,'Positions Tracker'!$B158,'Candidate Tracker'!$I:$I,"male")),"")</f>
        <v/>
      </c>
      <c r="BC158" s="33" t="str">
        <f>IFERROR(IF(COUNTIFS('Candidate Tracker'!$E:$E,'Positions Tracker'!$B158,'Candidate Tracker'!$C:$C,"&lt;&gt;WIP",'Candidate Tracker'!$C:$C,"&lt;&gt;Hold",'Candidate Tracker'!$C:$C,"&lt;&gt;Cancelled",'Candidate Tracker'!$C:$C,"&lt;&gt;Closed")/COUNTIFS('Candidate Tracker'!$E:$E,'Positions Tracker'!$B158)=0,"",COUNTIFS('Candidate Tracker'!$E:$E,'Positions Tracker'!$B158,'Candidate Tracker'!$C:$C,"&lt;&gt;WIP",'Candidate Tracker'!$C:$C,"&lt;&gt;Hold",'Candidate Tracker'!$C:$C,"&lt;&gt;Cancelled",'Candidate Tracker'!$C:$C,"&lt;&gt;Closed")/COUNTIFS('Candidate Tracker'!$E:$E,'Positions Tracker'!$B158)),"")</f>
        <v/>
      </c>
      <c r="BD158" s="30" t="str">
        <f t="shared" si="25"/>
        <v>Nov-24</v>
      </c>
      <c r="BE158" s="30" t="str">
        <f t="shared" si="26"/>
        <v>Oct-24</v>
      </c>
      <c r="BF158" s="30" t="str">
        <f t="shared" si="27"/>
        <v>Nov-24</v>
      </c>
      <c r="BG158" s="30" t="str">
        <f t="shared" si="28"/>
        <v>Oct-24</v>
      </c>
    </row>
    <row r="159" spans="1:59">
      <c r="A159" s="30">
        <f t="shared" si="23"/>
        <v>158</v>
      </c>
      <c r="B159" s="30" t="s">
        <v>4191</v>
      </c>
      <c r="C159" s="30" t="s">
        <v>1044</v>
      </c>
      <c r="D159" s="30" t="s">
        <v>320</v>
      </c>
      <c r="E159" s="30" t="s">
        <v>927</v>
      </c>
      <c r="F159" s="30" t="s">
        <v>4081</v>
      </c>
      <c r="G159" s="30" t="s">
        <v>3</v>
      </c>
      <c r="H159" s="30" t="s">
        <v>66</v>
      </c>
      <c r="I159" s="30" t="s">
        <v>428</v>
      </c>
      <c r="J159" s="30" t="s">
        <v>351</v>
      </c>
      <c r="K159" s="31">
        <v>45607</v>
      </c>
      <c r="L159" s="31">
        <v>45499</v>
      </c>
      <c r="M159" s="31">
        <v>45499</v>
      </c>
      <c r="N159" s="30"/>
      <c r="O159" s="31"/>
      <c r="P159" s="31"/>
      <c r="Q159" s="31"/>
      <c r="R159" s="31"/>
      <c r="S159" s="31"/>
      <c r="T159" s="31"/>
      <c r="U159" s="30"/>
      <c r="V159" s="30"/>
      <c r="W159" s="30"/>
      <c r="X159" s="30" t="s">
        <v>890</v>
      </c>
      <c r="Y159" s="30" t="s">
        <v>65</v>
      </c>
      <c r="Z159" s="30" t="s">
        <v>65</v>
      </c>
      <c r="AA159" s="30"/>
      <c r="AB159" s="30"/>
      <c r="AC159" s="30"/>
      <c r="AD159" s="30"/>
      <c r="AE159" s="30" t="s">
        <v>4192</v>
      </c>
      <c r="AF159" s="30">
        <v>8679145436</v>
      </c>
      <c r="AG159" s="30"/>
      <c r="AH159" s="31" t="s">
        <v>55</v>
      </c>
      <c r="AI159" s="31">
        <v>45558</v>
      </c>
      <c r="AJ159" s="31"/>
      <c r="AK159" s="30" t="s">
        <v>63</v>
      </c>
      <c r="AL159" s="30">
        <v>1150000</v>
      </c>
      <c r="AM159" s="31">
        <v>45573</v>
      </c>
      <c r="AN159" s="31"/>
      <c r="AO159" s="31"/>
      <c r="AP159" s="31">
        <v>45573</v>
      </c>
      <c r="AQ159" s="31"/>
      <c r="AR159" s="31"/>
      <c r="AS159" s="31">
        <v>45677</v>
      </c>
      <c r="AT159" s="30">
        <f t="shared" ca="1" si="24"/>
        <v>0</v>
      </c>
      <c r="AU159" s="32" t="str">
        <f t="shared" ca="1" si="22"/>
        <v/>
      </c>
      <c r="AV159" s="32" t="str" cm="1">
        <f t="array" aca="1" ref="AV159" ca="1">IFERROR(_xlfn.IFS($AU159="","",$AU159&lt;=15,"0-15",AND($AU159&gt;=16,$AU159&lt;=30),"16-30",AND($AU159&gt;=31,$AU159&lt;=45),"31-45",AND($AU159&gt;=46,$AU159&lt;=60),"46-60",AND($AU159&gt;=61,$AU159&lt;=90),"61-90",AND($AU159&gt;=91),"&gt; 90",AND($AU159&gt;=2000),""),"")</f>
        <v/>
      </c>
      <c r="AW159" s="32" t="str" cm="1">
        <f t="array" aca="1" ref="AW159" ca="1">IFERROR(_xlfn.IFS(OR($M159="",$AM159=""),"",OR($C159="Offered",$C159="Joined"),($AM159-$M159)-$AT159),"")</f>
        <v/>
      </c>
      <c r="AX159" s="32" t="str" cm="1">
        <f t="array" aca="1" ref="AX159" ca="1">IFERROR(_xlfn.IFS(OR($M159="",$AS159=""),"",$C159="Joined",($AS159-$M159)-$AT159),"")</f>
        <v/>
      </c>
      <c r="AY159" s="30" t="str">
        <f>IFERROR(IF(COUNTIFS('Candidate Tracker'!$E:$E,'Positions Tracker'!$B159,'Candidate Tracker'!$C:$C,"Offer Drop")=0,"",COUNTIFS('Candidate Tracker'!$E:$E,'Positions Tracker'!$B159,'Candidate Tracker'!$C:$C,"Offer Drop")),"")</f>
        <v/>
      </c>
      <c r="AZ1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59" s="34" t="str">
        <f>IFERROR(IF(COUNTIFS('Candidate Tracker'!$E:$E,'Positions Tracker'!$B159,'Candidate Tracker'!$I:$I,"Female")=0,"",COUNTIFS('Candidate Tracker'!$E:$E,'Positions Tracker'!$B159,'Candidate Tracker'!$I:$I,"Female")),"")</f>
        <v/>
      </c>
      <c r="BB159" s="34" t="str">
        <f>IFERROR(IF(COUNTIFS('Candidate Tracker'!$E:$E,'Positions Tracker'!$B159,'Candidate Tracker'!$I:$I,"male")=0,"",COUNTIFS('Candidate Tracker'!$E:$E,'Positions Tracker'!$B159,'Candidate Tracker'!$I:$I,"male")),"")</f>
        <v/>
      </c>
      <c r="BC159" s="33" t="str">
        <f>IFERROR(IF(COUNTIFS('Candidate Tracker'!$E:$E,'Positions Tracker'!$B159,'Candidate Tracker'!$C:$C,"&lt;&gt;WIP",'Candidate Tracker'!$C:$C,"&lt;&gt;Hold",'Candidate Tracker'!$C:$C,"&lt;&gt;Cancelled",'Candidate Tracker'!$C:$C,"&lt;&gt;Closed")/COUNTIFS('Candidate Tracker'!$E:$E,'Positions Tracker'!$B159)=0,"",COUNTIFS('Candidate Tracker'!$E:$E,'Positions Tracker'!$B159,'Candidate Tracker'!$C:$C,"&lt;&gt;WIP",'Candidate Tracker'!$C:$C,"&lt;&gt;Hold",'Candidate Tracker'!$C:$C,"&lt;&gt;Cancelled",'Candidate Tracker'!$C:$C,"&lt;&gt;Closed")/COUNTIFS('Candidate Tracker'!$E:$E,'Positions Tracker'!$B159)),"")</f>
        <v/>
      </c>
      <c r="BD159" s="30" t="str">
        <f t="shared" si="25"/>
        <v>Jul-24</v>
      </c>
      <c r="BE159" s="30" t="str">
        <f t="shared" si="26"/>
        <v>Sep-24</v>
      </c>
      <c r="BF159" s="30" t="str">
        <f t="shared" si="27"/>
        <v>Oct-24</v>
      </c>
      <c r="BG159" s="30" t="str">
        <f t="shared" si="28"/>
        <v>Jan-25</v>
      </c>
    </row>
    <row r="160" spans="1:59">
      <c r="A160" s="30">
        <f t="shared" si="23"/>
        <v>159</v>
      </c>
      <c r="B160" s="30"/>
      <c r="C160" s="30" t="s">
        <v>1044</v>
      </c>
      <c r="D160" s="30" t="s">
        <v>320</v>
      </c>
      <c r="E160" s="30" t="s">
        <v>4193</v>
      </c>
      <c r="F160" s="30" t="s">
        <v>3932</v>
      </c>
      <c r="G160" s="30" t="s">
        <v>3</v>
      </c>
      <c r="H160" s="30" t="s">
        <v>118</v>
      </c>
      <c r="I160" s="30" t="s">
        <v>116</v>
      </c>
      <c r="J160" s="30" t="s">
        <v>135</v>
      </c>
      <c r="K160" s="31"/>
      <c r="L160" s="31">
        <v>45460</v>
      </c>
      <c r="M160" s="31">
        <v>45460</v>
      </c>
      <c r="N160" s="30"/>
      <c r="O160" s="31"/>
      <c r="P160" s="31"/>
      <c r="Q160" s="31"/>
      <c r="R160" s="31"/>
      <c r="S160" s="31"/>
      <c r="T160" s="31"/>
      <c r="U160" s="30"/>
      <c r="V160" s="30"/>
      <c r="W160" s="30"/>
      <c r="X160" s="30" t="s">
        <v>63</v>
      </c>
      <c r="Y160" s="30" t="s">
        <v>65</v>
      </c>
      <c r="Z160" s="30" t="s">
        <v>65</v>
      </c>
      <c r="AA160" s="30"/>
      <c r="AB160" s="30"/>
      <c r="AC160" s="30"/>
      <c r="AD160" s="30"/>
      <c r="AE160" s="30" t="s">
        <v>4194</v>
      </c>
      <c r="AF160" s="30">
        <v>7057507933</v>
      </c>
      <c r="AG160" s="30"/>
      <c r="AH160" s="31" t="s">
        <v>55</v>
      </c>
      <c r="AI160" s="31">
        <v>45566</v>
      </c>
      <c r="AJ160" s="31">
        <v>45566</v>
      </c>
      <c r="AK160" s="30" t="s">
        <v>63</v>
      </c>
      <c r="AL160" s="30">
        <v>2100000</v>
      </c>
      <c r="AM160" s="31">
        <v>45586</v>
      </c>
      <c r="AN160" s="31">
        <v>45586</v>
      </c>
      <c r="AO160" s="31">
        <v>45594</v>
      </c>
      <c r="AP160" s="31">
        <v>45586</v>
      </c>
      <c r="AQ160" s="31"/>
      <c r="AR160" s="31"/>
      <c r="AS160" s="31">
        <v>45607</v>
      </c>
      <c r="AT160" s="30">
        <f t="shared" ca="1" si="24"/>
        <v>0</v>
      </c>
      <c r="AU160" s="32" t="str">
        <f t="shared" ca="1" si="22"/>
        <v/>
      </c>
      <c r="AV160" s="32" t="str" cm="1">
        <f t="array" aca="1" ref="AV160" ca="1">IFERROR(_xlfn.IFS($AU160="","",$AU160&lt;=15,"0-15",AND($AU160&gt;=16,$AU160&lt;=30),"16-30",AND($AU160&gt;=31,$AU160&lt;=45),"31-45",AND($AU160&gt;=46,$AU160&lt;=60),"46-60",AND($AU160&gt;=61,$AU160&lt;=90),"61-90",AND($AU160&gt;=91),"&gt; 90",AND($AU160&gt;=2000),""),"")</f>
        <v/>
      </c>
      <c r="AW160" s="32" t="str" cm="1">
        <f t="array" aca="1" ref="AW160" ca="1">IFERROR(_xlfn.IFS(OR($M160="",$AM160=""),"",OR($C160="Offered",$C160="Joined"),($AM160-$M160)-$AT160),"")</f>
        <v/>
      </c>
      <c r="AX160" s="32" t="str" cm="1">
        <f t="array" aca="1" ref="AX160" ca="1">IFERROR(_xlfn.IFS(OR($M160="",$AS160=""),"",$C160="Joined",($AS160-$M160)-$AT160),"")</f>
        <v/>
      </c>
      <c r="AY160" s="30" t="str">
        <f>IFERROR(IF(COUNTIFS('Candidate Tracker'!$E:$E,'Positions Tracker'!$B160,'Candidate Tracker'!$C:$C,"Offer Drop")=0,"",COUNTIFS('Candidate Tracker'!$E:$E,'Positions Tracker'!$B160,'Candidate Tracker'!$C:$C,"Offer Drop")),"")</f>
        <v/>
      </c>
      <c r="AZ1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0" s="34" t="str">
        <f>IFERROR(IF(COUNTIFS('Candidate Tracker'!$E:$E,'Positions Tracker'!$B160,'Candidate Tracker'!$I:$I,"Female")=0,"",COUNTIFS('Candidate Tracker'!$E:$E,'Positions Tracker'!$B160,'Candidate Tracker'!$I:$I,"Female")),"")</f>
        <v/>
      </c>
      <c r="BB160" s="34" t="str">
        <f>IFERROR(IF(COUNTIFS('Candidate Tracker'!$E:$E,'Positions Tracker'!$B160,'Candidate Tracker'!$I:$I,"male")=0,"",COUNTIFS('Candidate Tracker'!$E:$E,'Positions Tracker'!$B160,'Candidate Tracker'!$I:$I,"male")),"")</f>
        <v/>
      </c>
      <c r="BC160" s="33" t="str">
        <f>IFERROR(IF(COUNTIFS('Candidate Tracker'!$E:$E,'Positions Tracker'!$B160,'Candidate Tracker'!$C:$C,"&lt;&gt;WIP",'Candidate Tracker'!$C:$C,"&lt;&gt;Hold",'Candidate Tracker'!$C:$C,"&lt;&gt;Cancelled",'Candidate Tracker'!$C:$C,"&lt;&gt;Closed")/COUNTIFS('Candidate Tracker'!$E:$E,'Positions Tracker'!$B160)=0,"",COUNTIFS('Candidate Tracker'!$E:$E,'Positions Tracker'!$B160,'Candidate Tracker'!$C:$C,"&lt;&gt;WIP",'Candidate Tracker'!$C:$C,"&lt;&gt;Hold",'Candidate Tracker'!$C:$C,"&lt;&gt;Cancelled",'Candidate Tracker'!$C:$C,"&lt;&gt;Closed")/COUNTIFS('Candidate Tracker'!$E:$E,'Positions Tracker'!$B160)),"")</f>
        <v/>
      </c>
      <c r="BD160" s="30" t="str">
        <f t="shared" si="25"/>
        <v>Jun-24</v>
      </c>
      <c r="BE160" s="30" t="str">
        <f t="shared" si="26"/>
        <v>Oct-24</v>
      </c>
      <c r="BF160" s="30" t="str">
        <f t="shared" si="27"/>
        <v>Oct-24</v>
      </c>
      <c r="BG160" s="30" t="str">
        <f t="shared" si="28"/>
        <v>Nov-24</v>
      </c>
    </row>
    <row r="161" spans="1:59">
      <c r="A161" s="30">
        <f t="shared" si="23"/>
        <v>160</v>
      </c>
      <c r="B161" s="30">
        <v>20242803</v>
      </c>
      <c r="C161" s="30" t="s">
        <v>1044</v>
      </c>
      <c r="D161" s="30" t="s">
        <v>320</v>
      </c>
      <c r="E161" s="30" t="s">
        <v>4195</v>
      </c>
      <c r="F161" s="30" t="s">
        <v>3399</v>
      </c>
      <c r="G161" s="30" t="s">
        <v>3</v>
      </c>
      <c r="H161" s="30" t="s">
        <v>118</v>
      </c>
      <c r="I161" s="30" t="s">
        <v>4196</v>
      </c>
      <c r="J161" s="30" t="s">
        <v>135</v>
      </c>
      <c r="K161" s="31">
        <v>45580</v>
      </c>
      <c r="L161" s="31">
        <v>45580</v>
      </c>
      <c r="M161" s="31">
        <v>45580</v>
      </c>
      <c r="N161" s="30"/>
      <c r="O161" s="31"/>
      <c r="P161" s="31"/>
      <c r="Q161" s="31"/>
      <c r="R161" s="31"/>
      <c r="S161" s="31"/>
      <c r="T161" s="31"/>
      <c r="U161" s="30"/>
      <c r="V161" s="30"/>
      <c r="W161" s="30"/>
      <c r="X161" s="30" t="s">
        <v>459</v>
      </c>
      <c r="Y161" s="30" t="s">
        <v>218</v>
      </c>
      <c r="Z161" s="30" t="s">
        <v>218</v>
      </c>
      <c r="AA161" s="30" t="s">
        <v>4139</v>
      </c>
      <c r="AB161" s="30"/>
      <c r="AC161" s="30"/>
      <c r="AD161" s="30"/>
      <c r="AE161" s="30" t="s">
        <v>662</v>
      </c>
      <c r="AF161" s="30">
        <v>8466889501</v>
      </c>
      <c r="AG161" s="30" t="s">
        <v>4197</v>
      </c>
      <c r="AH161" s="31" t="s">
        <v>55</v>
      </c>
      <c r="AI161" s="31">
        <v>45639</v>
      </c>
      <c r="AJ161" s="31">
        <v>45639</v>
      </c>
      <c r="AK161" s="30" t="s">
        <v>63</v>
      </c>
      <c r="AL161" s="30">
        <v>1400000</v>
      </c>
      <c r="AM161" s="31">
        <v>45639</v>
      </c>
      <c r="AN161" s="31">
        <v>45639</v>
      </c>
      <c r="AO161" s="31">
        <v>45656</v>
      </c>
      <c r="AP161" s="31">
        <v>45639</v>
      </c>
      <c r="AQ161" s="31">
        <v>45642</v>
      </c>
      <c r="AR161" s="31">
        <v>45715</v>
      </c>
      <c r="AS161" s="31">
        <v>45719</v>
      </c>
      <c r="AT161" s="30">
        <f t="shared" ca="1" si="24"/>
        <v>0</v>
      </c>
      <c r="AU161" s="32" t="str">
        <f t="shared" ca="1" si="22"/>
        <v/>
      </c>
      <c r="AV161" s="32" t="str" cm="1">
        <f t="array" aca="1" ref="AV161" ca="1">IFERROR(_xlfn.IFS($AU161="","",$AU161&lt;=15,"0-15",AND($AU161&gt;=16,$AU161&lt;=30),"16-30",AND($AU161&gt;=31,$AU161&lt;=45),"31-45",AND($AU161&gt;=46,$AU161&lt;=60),"46-60",AND($AU161&gt;=61,$AU161&lt;=90),"61-90",AND($AU161&gt;=91),"&gt; 90",AND($AU161&gt;=2000),""),"")</f>
        <v/>
      </c>
      <c r="AW161" s="32" t="str" cm="1">
        <f t="array" aca="1" ref="AW161" ca="1">IFERROR(_xlfn.IFS(OR($M161="",$AM161=""),"",OR($C161="Offered",$C161="Joined"),($AM161-$M161)-$AT161),"")</f>
        <v/>
      </c>
      <c r="AX161" s="32" t="str" cm="1">
        <f t="array" aca="1" ref="AX161" ca="1">IFERROR(_xlfn.IFS(OR($M161="",$AS161=""),"",$C161="Joined",($AS161-$M161)-$AT161),"")</f>
        <v/>
      </c>
      <c r="AY161" s="30" t="str">
        <f>IFERROR(IF(COUNTIFS('Candidate Tracker'!$E:$E,'Positions Tracker'!$B161,'Candidate Tracker'!$C:$C,"Offer Drop")=0,"",COUNTIFS('Candidate Tracker'!$E:$E,'Positions Tracker'!$B161,'Candidate Tracker'!$C:$C,"Offer Drop")),"")</f>
        <v/>
      </c>
      <c r="AZ1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1" s="34">
        <f>IFERROR(IF(COUNTIFS('Candidate Tracker'!$E:$E,'Positions Tracker'!$B161,'Candidate Tracker'!$I:$I,"Female")=0,"",COUNTIFS('Candidate Tracker'!$E:$E,'Positions Tracker'!$B161,'Candidate Tracker'!$I:$I,"Female")),"")</f>
        <v>14</v>
      </c>
      <c r="BB161" s="34">
        <f>IFERROR(IF(COUNTIFS('Candidate Tracker'!$E:$E,'Positions Tracker'!$B161,'Candidate Tracker'!$I:$I,"male")=0,"",COUNTIFS('Candidate Tracker'!$E:$E,'Positions Tracker'!$B161,'Candidate Tracker'!$I:$I,"male")),"")</f>
        <v>31</v>
      </c>
      <c r="BC161" s="33" t="str">
        <f>IFERROR(IF(COUNTIFS('Candidate Tracker'!$E:$E,'Positions Tracker'!$B161,'Candidate Tracker'!$C:$C,"&lt;&gt;WIP",'Candidate Tracker'!$C:$C,"&lt;&gt;Hold",'Candidate Tracker'!$C:$C,"&lt;&gt;Cancelled",'Candidate Tracker'!$C:$C,"&lt;&gt;Closed")/COUNTIFS('Candidate Tracker'!$E:$E,'Positions Tracker'!$B161)=0,"",COUNTIFS('Candidate Tracker'!$E:$E,'Positions Tracker'!$B161,'Candidate Tracker'!$C:$C,"&lt;&gt;WIP",'Candidate Tracker'!$C:$C,"&lt;&gt;Hold",'Candidate Tracker'!$C:$C,"&lt;&gt;Cancelled",'Candidate Tracker'!$C:$C,"&lt;&gt;Closed")/COUNTIFS('Candidate Tracker'!$E:$E,'Positions Tracker'!$B161)),"")</f>
        <v/>
      </c>
      <c r="BD161" s="30" t="str">
        <f t="shared" si="25"/>
        <v>Oct-24</v>
      </c>
      <c r="BE161" s="30" t="str">
        <f t="shared" si="26"/>
        <v>Dec-24</v>
      </c>
      <c r="BF161" s="30" t="str">
        <f t="shared" si="27"/>
        <v>Dec-24</v>
      </c>
      <c r="BG161" s="30" t="str">
        <f t="shared" si="28"/>
        <v>Mar-25</v>
      </c>
    </row>
    <row r="162" spans="1:59">
      <c r="A162" s="30">
        <f t="shared" si="23"/>
        <v>161</v>
      </c>
      <c r="B162" s="30">
        <v>20241431</v>
      </c>
      <c r="C162" s="30" t="s">
        <v>1044</v>
      </c>
      <c r="D162" s="30" t="s">
        <v>320</v>
      </c>
      <c r="E162" s="30" t="s">
        <v>4198</v>
      </c>
      <c r="F162" s="30" t="s">
        <v>4199</v>
      </c>
      <c r="G162" s="30" t="s">
        <v>3</v>
      </c>
      <c r="H162" s="30" t="s">
        <v>118</v>
      </c>
      <c r="I162" s="30" t="s">
        <v>116</v>
      </c>
      <c r="J162" s="30" t="s">
        <v>135</v>
      </c>
      <c r="K162" s="31">
        <v>45615</v>
      </c>
      <c r="L162" s="31">
        <v>45615</v>
      </c>
      <c r="M162" s="31">
        <v>45615</v>
      </c>
      <c r="N162" s="30"/>
      <c r="O162" s="31"/>
      <c r="P162" s="31"/>
      <c r="Q162" s="31"/>
      <c r="R162" s="31"/>
      <c r="S162" s="31"/>
      <c r="T162" s="31"/>
      <c r="U162" s="30"/>
      <c r="V162" s="30"/>
      <c r="W162" s="30"/>
      <c r="X162" s="30" t="s">
        <v>63</v>
      </c>
      <c r="Y162" s="30" t="s">
        <v>218</v>
      </c>
      <c r="Z162" s="30" t="s">
        <v>218</v>
      </c>
      <c r="AA162" s="30" t="s">
        <v>4139</v>
      </c>
      <c r="AB162" s="30"/>
      <c r="AC162" s="30"/>
      <c r="AD162" s="30"/>
      <c r="AE162" s="30" t="s">
        <v>522</v>
      </c>
      <c r="AF162" s="30">
        <v>9604794548</v>
      </c>
      <c r="AG162" s="30" t="s">
        <v>4200</v>
      </c>
      <c r="AH162" s="31" t="s">
        <v>55</v>
      </c>
      <c r="AI162" s="31">
        <v>45663</v>
      </c>
      <c r="AJ162" s="31">
        <v>45663</v>
      </c>
      <c r="AK162" s="30" t="s">
        <v>63</v>
      </c>
      <c r="AL162" s="30">
        <v>1500000</v>
      </c>
      <c r="AM162" s="31">
        <v>45664</v>
      </c>
      <c r="AN162" s="31">
        <v>45664</v>
      </c>
      <c r="AO162" s="31">
        <v>45708</v>
      </c>
      <c r="AP162" s="31">
        <v>45664</v>
      </c>
      <c r="AQ162" s="31">
        <v>45666</v>
      </c>
      <c r="AR162" s="31">
        <v>45694</v>
      </c>
      <c r="AS162" s="31">
        <v>45698</v>
      </c>
      <c r="AT162" s="30">
        <f t="shared" ca="1" si="24"/>
        <v>0</v>
      </c>
      <c r="AU162" s="32" t="str">
        <f t="shared" ca="1" si="22"/>
        <v/>
      </c>
      <c r="AV162" s="32" t="str" cm="1">
        <f t="array" aca="1" ref="AV162" ca="1">IFERROR(_xlfn.IFS($AU162="","",$AU162&lt;=15,"0-15",AND($AU162&gt;=16,$AU162&lt;=30),"16-30",AND($AU162&gt;=31,$AU162&lt;=45),"31-45",AND($AU162&gt;=46,$AU162&lt;=60),"46-60",AND($AU162&gt;=61,$AU162&lt;=90),"61-90",AND($AU162&gt;=91),"&gt; 90",AND($AU162&gt;=2000),""),"")</f>
        <v/>
      </c>
      <c r="AW162" s="32" t="str" cm="1">
        <f t="array" aca="1" ref="AW162" ca="1">IFERROR(_xlfn.IFS(OR($M162="",$AM162=""),"",OR($C162="Offered",$C162="Joined"),($AM162-$M162)-$AT162),"")</f>
        <v/>
      </c>
      <c r="AX162" s="32" t="str" cm="1">
        <f t="array" aca="1" ref="AX162" ca="1">IFERROR(_xlfn.IFS(OR($M162="",$AS162=""),"",$C162="Joined",($AS162-$M162)-$AT162),"")</f>
        <v/>
      </c>
      <c r="AY162" s="30" t="str">
        <f>IFERROR(IF(COUNTIFS('Candidate Tracker'!$E:$E,'Positions Tracker'!$B162,'Candidate Tracker'!$C:$C,"Offer Drop")=0,"",COUNTIFS('Candidate Tracker'!$E:$E,'Positions Tracker'!$B162,'Candidate Tracker'!$C:$C,"Offer Drop")),"")</f>
        <v/>
      </c>
      <c r="AZ1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2" s="34">
        <f>IFERROR(IF(COUNTIFS('Candidate Tracker'!$E:$E,'Positions Tracker'!$B162,'Candidate Tracker'!$I:$I,"Female")=0,"",COUNTIFS('Candidate Tracker'!$E:$E,'Positions Tracker'!$B162,'Candidate Tracker'!$I:$I,"Female")),"")</f>
        <v>12</v>
      </c>
      <c r="BB162" s="34">
        <f>IFERROR(IF(COUNTIFS('Candidate Tracker'!$E:$E,'Positions Tracker'!$B162,'Candidate Tracker'!$I:$I,"male")=0,"",COUNTIFS('Candidate Tracker'!$E:$E,'Positions Tracker'!$B162,'Candidate Tracker'!$I:$I,"male")),"")</f>
        <v>28</v>
      </c>
      <c r="BC162" s="33">
        <f>IFERROR(IF(COUNTIFS('Candidate Tracker'!$E:$E,'Positions Tracker'!$B162,'Candidate Tracker'!$C:$C,"&lt;&gt;WIP",'Candidate Tracker'!$C:$C,"&lt;&gt;Hold",'Candidate Tracker'!$C:$C,"&lt;&gt;Cancelled",'Candidate Tracker'!$C:$C,"&lt;&gt;Closed")/COUNTIFS('Candidate Tracker'!$E:$E,'Positions Tracker'!$B162)=0,"",COUNTIFS('Candidate Tracker'!$E:$E,'Positions Tracker'!$B162,'Candidate Tracker'!$C:$C,"&lt;&gt;WIP",'Candidate Tracker'!$C:$C,"&lt;&gt;Hold",'Candidate Tracker'!$C:$C,"&lt;&gt;Cancelled",'Candidate Tracker'!$C:$C,"&lt;&gt;Closed")/COUNTIFS('Candidate Tracker'!$E:$E,'Positions Tracker'!$B162)),"")</f>
        <v>2.5000000000000001E-2</v>
      </c>
      <c r="BD162" s="30" t="str">
        <f t="shared" si="25"/>
        <v>Nov-24</v>
      </c>
      <c r="BE162" s="30" t="str">
        <f t="shared" si="26"/>
        <v>Jan-25</v>
      </c>
      <c r="BF162" s="30" t="str">
        <f t="shared" si="27"/>
        <v>Jan-25</v>
      </c>
      <c r="BG162" s="30" t="str">
        <f t="shared" si="28"/>
        <v>Feb-25</v>
      </c>
    </row>
    <row r="163" spans="1:59">
      <c r="A163" s="30">
        <f t="shared" si="23"/>
        <v>162</v>
      </c>
      <c r="B163" s="30">
        <v>20241946</v>
      </c>
      <c r="C163" s="30" t="s">
        <v>51</v>
      </c>
      <c r="D163" s="30" t="s">
        <v>51</v>
      </c>
      <c r="E163" s="30" t="s">
        <v>497</v>
      </c>
      <c r="F163" s="30" t="s">
        <v>4131</v>
      </c>
      <c r="G163" s="30" t="s">
        <v>3</v>
      </c>
      <c r="H163" s="30" t="s">
        <v>118</v>
      </c>
      <c r="I163" s="30" t="s">
        <v>116</v>
      </c>
      <c r="J163" s="30" t="s">
        <v>135</v>
      </c>
      <c r="K163" s="31">
        <v>45177</v>
      </c>
      <c r="L163" s="31">
        <v>45383</v>
      </c>
      <c r="M163" s="31">
        <v>45505</v>
      </c>
      <c r="N163" s="30"/>
      <c r="O163" s="31"/>
      <c r="P163" s="31"/>
      <c r="Q163" s="31"/>
      <c r="R163" s="31"/>
      <c r="S163" s="31"/>
      <c r="T163" s="31"/>
      <c r="U163" s="30"/>
      <c r="V163" s="30"/>
      <c r="W163" s="30"/>
      <c r="X163" s="30" t="s">
        <v>63</v>
      </c>
      <c r="Y163" s="30" t="s">
        <v>65</v>
      </c>
      <c r="Z163" s="30" t="s">
        <v>65</v>
      </c>
      <c r="AA163" s="30"/>
      <c r="AB163" s="30"/>
      <c r="AC163" s="30"/>
      <c r="AD163" s="30"/>
      <c r="AE163" s="30" t="s">
        <v>495</v>
      </c>
      <c r="AF163" s="30">
        <v>9657633373</v>
      </c>
      <c r="AG163" s="30"/>
      <c r="AH163" s="31" t="s">
        <v>55</v>
      </c>
      <c r="AI163" s="31">
        <v>45559</v>
      </c>
      <c r="AJ163" s="31">
        <v>45566</v>
      </c>
      <c r="AK163" s="30" t="s">
        <v>63</v>
      </c>
      <c r="AL163" s="30">
        <v>2100000</v>
      </c>
      <c r="AM163" s="31">
        <v>45566</v>
      </c>
      <c r="AN163" s="31">
        <v>45695</v>
      </c>
      <c r="AO163" s="31"/>
      <c r="AP163" s="31"/>
      <c r="AQ163" s="31"/>
      <c r="AR163" s="31"/>
      <c r="AS163" s="31">
        <v>45624</v>
      </c>
      <c r="AT163" s="30">
        <f t="shared" ca="1" si="24"/>
        <v>0</v>
      </c>
      <c r="AU163" s="32" t="str">
        <f t="shared" ca="1" si="22"/>
        <v/>
      </c>
      <c r="AV163" s="32" t="str" cm="1">
        <f t="array" aca="1" ref="AV163" ca="1">IFERROR(_xlfn.IFS($AU163="","",$AU163&lt;=15,"0-15",AND($AU163&gt;=16,$AU163&lt;=30),"16-30",AND($AU163&gt;=31,$AU163&lt;=45),"31-45",AND($AU163&gt;=46,$AU163&lt;=60),"46-60",AND($AU163&gt;=61,$AU163&lt;=90),"61-90",AND($AU163&gt;=91),"&gt; 90",AND($AU163&gt;=2000),""),"")</f>
        <v/>
      </c>
      <c r="AW163" s="32" cm="1">
        <f t="array" aca="1" ref="AW163" ca="1">IFERROR(_xlfn.IFS(OR($M163="",$AM163=""),"",OR($C163="Offered",$C163="Joined"),($AM163-$M163)-$AT163),"")</f>
        <v>61</v>
      </c>
      <c r="AX163" s="32" cm="1">
        <f t="array" aca="1" ref="AX163" ca="1">IFERROR(_xlfn.IFS(OR($M163="",$AS163=""),"",$C163="Joined",($AS163-$M163)-$AT163),"")</f>
        <v>119</v>
      </c>
      <c r="AY163" s="30" t="str">
        <f>IFERROR(IF(COUNTIFS('Candidate Tracker'!$E:$E,'Positions Tracker'!$B163,'Candidate Tracker'!$C:$C,"Offer Drop")=0,"",COUNTIFS('Candidate Tracker'!$E:$E,'Positions Tracker'!$B163,'Candidate Tracker'!$C:$C,"Offer Drop")),"")</f>
        <v/>
      </c>
      <c r="AZ16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3" s="34" t="str">
        <f>IFERROR(IF(COUNTIFS('Candidate Tracker'!$E:$E,'Positions Tracker'!$B163,'Candidate Tracker'!$I:$I,"Female")=0,"",COUNTIFS('Candidate Tracker'!$E:$E,'Positions Tracker'!$B163,'Candidate Tracker'!$I:$I,"Female")),"")</f>
        <v/>
      </c>
      <c r="BB163" s="34">
        <f>IFERROR(IF(COUNTIFS('Candidate Tracker'!$E:$E,'Positions Tracker'!$B163,'Candidate Tracker'!$I:$I,"male")=0,"",COUNTIFS('Candidate Tracker'!$E:$E,'Positions Tracker'!$B163,'Candidate Tracker'!$I:$I,"male")),"")</f>
        <v>1</v>
      </c>
      <c r="BC163" s="33">
        <f>IFERROR(IF(COUNTIFS('Candidate Tracker'!$E:$E,'Positions Tracker'!$B163,'Candidate Tracker'!$C:$C,"&lt;&gt;WIP",'Candidate Tracker'!$C:$C,"&lt;&gt;Hold",'Candidate Tracker'!$C:$C,"&lt;&gt;Cancelled",'Candidate Tracker'!$C:$C,"&lt;&gt;Closed")/COUNTIFS('Candidate Tracker'!$E:$E,'Positions Tracker'!$B163)=0,"",COUNTIFS('Candidate Tracker'!$E:$E,'Positions Tracker'!$B163,'Candidate Tracker'!$C:$C,"&lt;&gt;WIP",'Candidate Tracker'!$C:$C,"&lt;&gt;Hold",'Candidate Tracker'!$C:$C,"&lt;&gt;Cancelled",'Candidate Tracker'!$C:$C,"&lt;&gt;Closed")/COUNTIFS('Candidate Tracker'!$E:$E,'Positions Tracker'!$B163)),"")</f>
        <v>1</v>
      </c>
      <c r="BD163" s="30" t="str">
        <f t="shared" si="25"/>
        <v>Aug-24</v>
      </c>
      <c r="BE163" s="30" t="str">
        <f t="shared" si="26"/>
        <v>Sep-24</v>
      </c>
      <c r="BF163" s="30" t="str">
        <f t="shared" si="27"/>
        <v>Oct-24</v>
      </c>
      <c r="BG163" s="30" t="str">
        <f t="shared" si="28"/>
        <v>Nov-24</v>
      </c>
    </row>
    <row r="164" spans="1:59">
      <c r="A164" s="30">
        <f t="shared" si="23"/>
        <v>163</v>
      </c>
      <c r="B164" s="30"/>
      <c r="C164" s="30" t="s">
        <v>51</v>
      </c>
      <c r="D164" s="30" t="s">
        <v>51</v>
      </c>
      <c r="E164" s="30" t="s">
        <v>432</v>
      </c>
      <c r="F164" s="30"/>
      <c r="G164" s="30"/>
      <c r="H164" s="30"/>
      <c r="I164" s="30" t="s">
        <v>458</v>
      </c>
      <c r="J164" s="30" t="s">
        <v>135</v>
      </c>
      <c r="K164" s="31"/>
      <c r="L164" s="31">
        <v>45304</v>
      </c>
      <c r="M164" s="31">
        <v>45305</v>
      </c>
      <c r="N164" s="30"/>
      <c r="O164" s="31"/>
      <c r="P164" s="31"/>
      <c r="Q164" s="31"/>
      <c r="R164" s="31"/>
      <c r="S164" s="31"/>
      <c r="T164" s="31"/>
      <c r="U164" s="30"/>
      <c r="V164" s="30"/>
      <c r="W164" s="30"/>
      <c r="X164" s="30" t="s">
        <v>63</v>
      </c>
      <c r="Y164" s="30" t="s">
        <v>4201</v>
      </c>
      <c r="Z164" s="30" t="s">
        <v>4201</v>
      </c>
      <c r="AA164" s="30" t="s">
        <v>4202</v>
      </c>
      <c r="AB164" s="30"/>
      <c r="AC164" s="30"/>
      <c r="AD164" s="30"/>
      <c r="AE164" s="30" t="s">
        <v>4203</v>
      </c>
      <c r="AF164" s="30">
        <v>9890710884</v>
      </c>
      <c r="AG164" s="30"/>
      <c r="AH164" s="31" t="s">
        <v>101</v>
      </c>
      <c r="AI164" s="31">
        <v>45350</v>
      </c>
      <c r="AJ164" s="31"/>
      <c r="AK164" s="30"/>
      <c r="AL164" s="30">
        <v>1550000</v>
      </c>
      <c r="AM164" s="31">
        <v>45370</v>
      </c>
      <c r="AN164" s="31"/>
      <c r="AO164" s="31"/>
      <c r="AP164" s="31"/>
      <c r="AQ164" s="31"/>
      <c r="AR164" s="31"/>
      <c r="AS164" s="31">
        <v>45404</v>
      </c>
      <c r="AT164" s="30">
        <f t="shared" ca="1" si="24"/>
        <v>0</v>
      </c>
      <c r="AU164" s="32" t="str">
        <f t="shared" ca="1" si="22"/>
        <v/>
      </c>
      <c r="AV164" s="32" t="str" cm="1">
        <f t="array" aca="1" ref="AV164" ca="1">IFERROR(_xlfn.IFS($AU164="","",$AU164&lt;=15,"0-15",AND($AU164&gt;=16,$AU164&lt;=30),"16-30",AND($AU164&gt;=31,$AU164&lt;=45),"31-45",AND($AU164&gt;=46,$AU164&lt;=60),"46-60",AND($AU164&gt;=61,$AU164&lt;=90),"61-90",AND($AU164&gt;=91),"&gt; 90",AND($AU164&gt;=2000),""),"")</f>
        <v/>
      </c>
      <c r="AW164" s="32" cm="1">
        <f t="array" aca="1" ref="AW164" ca="1">IFERROR(_xlfn.IFS(OR($M164="",$AM164=""),"",OR($C164="Offered",$C164="Joined"),($AM164-$M164)-$AT164),"")</f>
        <v>65</v>
      </c>
      <c r="AX164" s="32" cm="1">
        <f t="array" aca="1" ref="AX164" ca="1">IFERROR(_xlfn.IFS(OR($M164="",$AS164=""),"",$C164="Joined",($AS164-$M164)-$AT164),"")</f>
        <v>99</v>
      </c>
      <c r="AY164" s="30" t="str">
        <f>IFERROR(IF(COUNTIFS('Candidate Tracker'!$E:$E,'Positions Tracker'!$B164,'Candidate Tracker'!$C:$C,"Offer Drop")=0,"",COUNTIFS('Candidate Tracker'!$E:$E,'Positions Tracker'!$B164,'Candidate Tracker'!$C:$C,"Offer Drop")),"")</f>
        <v/>
      </c>
      <c r="AZ1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4" s="34" t="str">
        <f>IFERROR(IF(COUNTIFS('Candidate Tracker'!$E:$E,'Positions Tracker'!$B164,'Candidate Tracker'!$I:$I,"Female")=0,"",COUNTIFS('Candidate Tracker'!$E:$E,'Positions Tracker'!$B164,'Candidate Tracker'!$I:$I,"Female")),"")</f>
        <v/>
      </c>
      <c r="BB164" s="34" t="str">
        <f>IFERROR(IF(COUNTIFS('Candidate Tracker'!$E:$E,'Positions Tracker'!$B164,'Candidate Tracker'!$I:$I,"male")=0,"",COUNTIFS('Candidate Tracker'!$E:$E,'Positions Tracker'!$B164,'Candidate Tracker'!$I:$I,"male")),"")</f>
        <v/>
      </c>
      <c r="BC164" s="33" t="str">
        <f>IFERROR(IF(COUNTIFS('Candidate Tracker'!$E:$E,'Positions Tracker'!$B164,'Candidate Tracker'!$C:$C,"&lt;&gt;WIP",'Candidate Tracker'!$C:$C,"&lt;&gt;Hold",'Candidate Tracker'!$C:$C,"&lt;&gt;Cancelled",'Candidate Tracker'!$C:$C,"&lt;&gt;Closed")/COUNTIFS('Candidate Tracker'!$E:$E,'Positions Tracker'!$B164)=0,"",COUNTIFS('Candidate Tracker'!$E:$E,'Positions Tracker'!$B164,'Candidate Tracker'!$C:$C,"&lt;&gt;WIP",'Candidate Tracker'!$C:$C,"&lt;&gt;Hold",'Candidate Tracker'!$C:$C,"&lt;&gt;Cancelled",'Candidate Tracker'!$C:$C,"&lt;&gt;Closed")/COUNTIFS('Candidate Tracker'!$E:$E,'Positions Tracker'!$B164)),"")</f>
        <v/>
      </c>
      <c r="BD164" s="30" t="str">
        <f t="shared" si="25"/>
        <v>Jan-24</v>
      </c>
      <c r="BE164" s="30" t="str">
        <f t="shared" si="26"/>
        <v>Feb-24</v>
      </c>
      <c r="BF164" s="30" t="str">
        <f t="shared" si="27"/>
        <v>Mar-24</v>
      </c>
      <c r="BG164" s="30" t="str">
        <f t="shared" si="28"/>
        <v>Apr-24</v>
      </c>
    </row>
    <row r="165" spans="1:59">
      <c r="A165" s="30">
        <f t="shared" si="23"/>
        <v>164</v>
      </c>
      <c r="B165" s="30"/>
      <c r="C165" s="30" t="s">
        <v>51</v>
      </c>
      <c r="D165" s="30" t="s">
        <v>51</v>
      </c>
      <c r="E165" s="30" t="s">
        <v>4204</v>
      </c>
      <c r="F165" s="30"/>
      <c r="G165" s="30"/>
      <c r="H165" s="30"/>
      <c r="I165" s="30" t="s">
        <v>4205</v>
      </c>
      <c r="J165" s="30" t="s">
        <v>135</v>
      </c>
      <c r="K165" s="31"/>
      <c r="L165" s="31">
        <v>45367</v>
      </c>
      <c r="M165" s="31">
        <v>45368</v>
      </c>
      <c r="N165" s="30"/>
      <c r="O165" s="31"/>
      <c r="P165" s="31"/>
      <c r="Q165" s="31"/>
      <c r="R165" s="31"/>
      <c r="S165" s="31"/>
      <c r="T165" s="31"/>
      <c r="U165" s="30"/>
      <c r="V165" s="30"/>
      <c r="W165" s="30"/>
      <c r="X165" s="30" t="s">
        <v>63</v>
      </c>
      <c r="Y165" s="30" t="s">
        <v>4201</v>
      </c>
      <c r="Z165" s="30" t="s">
        <v>4206</v>
      </c>
      <c r="AA165" s="30"/>
      <c r="AB165" s="30"/>
      <c r="AC165" s="30"/>
      <c r="AD165" s="30"/>
      <c r="AE165" s="30" t="s">
        <v>4071</v>
      </c>
      <c r="AF165" s="30">
        <v>9880259924</v>
      </c>
      <c r="AG165" s="30"/>
      <c r="AH165" s="31" t="s">
        <v>55</v>
      </c>
      <c r="AI165" s="31">
        <v>45384</v>
      </c>
      <c r="AJ165" s="31"/>
      <c r="AK165" s="30"/>
      <c r="AL165" s="30">
        <v>5150000</v>
      </c>
      <c r="AM165" s="31">
        <v>45446</v>
      </c>
      <c r="AN165" s="31"/>
      <c r="AO165" s="31"/>
      <c r="AP165" s="31"/>
      <c r="AQ165" s="31"/>
      <c r="AR165" s="31"/>
      <c r="AS165" s="31">
        <v>45453</v>
      </c>
      <c r="AT165" s="30">
        <f t="shared" ca="1" si="24"/>
        <v>0</v>
      </c>
      <c r="AU165" s="32" t="str">
        <f t="shared" ca="1" si="22"/>
        <v/>
      </c>
      <c r="AV165" s="32" t="str" cm="1">
        <f t="array" aca="1" ref="AV165" ca="1">IFERROR(_xlfn.IFS($AU165="","",$AU165&lt;=15,"0-15",AND($AU165&gt;=16,$AU165&lt;=30),"16-30",AND($AU165&gt;=31,$AU165&lt;=45),"31-45",AND($AU165&gt;=46,$AU165&lt;=60),"46-60",AND($AU165&gt;=61,$AU165&lt;=90),"61-90",AND($AU165&gt;=91),"&gt; 90",AND($AU165&gt;=2000),""),"")</f>
        <v/>
      </c>
      <c r="AW165" s="32" cm="1">
        <f t="array" aca="1" ref="AW165" ca="1">IFERROR(_xlfn.IFS(OR($M165="",$AM165=""),"",OR($C165="Offered",$C165="Joined"),($AM165-$M165)-$AT165),"")</f>
        <v>78</v>
      </c>
      <c r="AX165" s="32" cm="1">
        <f t="array" aca="1" ref="AX165" ca="1">IFERROR(_xlfn.IFS(OR($M165="",$AS165=""),"",$C165="Joined",($AS165-$M165)-$AT165),"")</f>
        <v>85</v>
      </c>
      <c r="AY165" s="30" t="str">
        <f>IFERROR(IF(COUNTIFS('Candidate Tracker'!$E:$E,'Positions Tracker'!$B165,'Candidate Tracker'!$C:$C,"Offer Drop")=0,"",COUNTIFS('Candidate Tracker'!$E:$E,'Positions Tracker'!$B165,'Candidate Tracker'!$C:$C,"Offer Drop")),"")</f>
        <v/>
      </c>
      <c r="AZ16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5" s="34" t="str">
        <f>IFERROR(IF(COUNTIFS('Candidate Tracker'!$E:$E,'Positions Tracker'!$B165,'Candidate Tracker'!$I:$I,"Female")=0,"",COUNTIFS('Candidate Tracker'!$E:$E,'Positions Tracker'!$B165,'Candidate Tracker'!$I:$I,"Female")),"")</f>
        <v/>
      </c>
      <c r="BB165" s="34" t="str">
        <f>IFERROR(IF(COUNTIFS('Candidate Tracker'!$E:$E,'Positions Tracker'!$B165,'Candidate Tracker'!$I:$I,"male")=0,"",COUNTIFS('Candidate Tracker'!$E:$E,'Positions Tracker'!$B165,'Candidate Tracker'!$I:$I,"male")),"")</f>
        <v/>
      </c>
      <c r="BC165" s="33" t="str">
        <f>IFERROR(IF(COUNTIFS('Candidate Tracker'!$E:$E,'Positions Tracker'!$B165,'Candidate Tracker'!$C:$C,"&lt;&gt;WIP",'Candidate Tracker'!$C:$C,"&lt;&gt;Hold",'Candidate Tracker'!$C:$C,"&lt;&gt;Cancelled",'Candidate Tracker'!$C:$C,"&lt;&gt;Closed")/COUNTIFS('Candidate Tracker'!$E:$E,'Positions Tracker'!$B165)=0,"",COUNTIFS('Candidate Tracker'!$E:$E,'Positions Tracker'!$B165,'Candidate Tracker'!$C:$C,"&lt;&gt;WIP",'Candidate Tracker'!$C:$C,"&lt;&gt;Hold",'Candidate Tracker'!$C:$C,"&lt;&gt;Cancelled",'Candidate Tracker'!$C:$C,"&lt;&gt;Closed")/COUNTIFS('Candidate Tracker'!$E:$E,'Positions Tracker'!$B165)),"")</f>
        <v/>
      </c>
      <c r="BD165" s="30" t="str">
        <f t="shared" si="25"/>
        <v>Mar-24</v>
      </c>
      <c r="BE165" s="30" t="str">
        <f t="shared" si="26"/>
        <v>Apr-24</v>
      </c>
      <c r="BF165" s="30" t="str">
        <f t="shared" si="27"/>
        <v>Jun-24</v>
      </c>
      <c r="BG165" s="30" t="str">
        <f t="shared" si="28"/>
        <v>Jun-24</v>
      </c>
    </row>
    <row r="166" spans="1:59">
      <c r="A166" s="30">
        <f t="shared" si="23"/>
        <v>165</v>
      </c>
      <c r="B166" s="30"/>
      <c r="C166" s="30" t="s">
        <v>51</v>
      </c>
      <c r="D166" s="30" t="s">
        <v>51</v>
      </c>
      <c r="E166" s="30" t="s">
        <v>4207</v>
      </c>
      <c r="F166" s="30"/>
      <c r="G166" s="30"/>
      <c r="H166" s="30"/>
      <c r="I166" s="30" t="s">
        <v>433</v>
      </c>
      <c r="J166" s="30" t="s">
        <v>135</v>
      </c>
      <c r="K166" s="31"/>
      <c r="L166" s="31">
        <v>45418</v>
      </c>
      <c r="M166" s="31">
        <v>45419</v>
      </c>
      <c r="N166" s="30"/>
      <c r="O166" s="31"/>
      <c r="P166" s="31"/>
      <c r="Q166" s="31"/>
      <c r="R166" s="31"/>
      <c r="S166" s="31"/>
      <c r="T166" s="31"/>
      <c r="U166" s="30"/>
      <c r="V166" s="30"/>
      <c r="W166" s="30"/>
      <c r="X166" s="30" t="s">
        <v>890</v>
      </c>
      <c r="Y166" s="30" t="s">
        <v>4201</v>
      </c>
      <c r="Z166" s="30" t="s">
        <v>351</v>
      </c>
      <c r="AA166" s="30"/>
      <c r="AB166" s="30"/>
      <c r="AC166" s="30"/>
      <c r="AD166" s="30"/>
      <c r="AE166" s="30" t="s">
        <v>4208</v>
      </c>
      <c r="AF166" s="30">
        <v>7738454383</v>
      </c>
      <c r="AG166" s="30"/>
      <c r="AH166" s="31" t="s">
        <v>55</v>
      </c>
      <c r="AI166" s="31">
        <v>45449</v>
      </c>
      <c r="AJ166" s="31"/>
      <c r="AK166" s="30"/>
      <c r="AL166" s="30">
        <v>775000</v>
      </c>
      <c r="AM166" s="31">
        <v>45457</v>
      </c>
      <c r="AN166" s="31"/>
      <c r="AO166" s="31"/>
      <c r="AP166" s="31"/>
      <c r="AQ166" s="31"/>
      <c r="AR166" s="31"/>
      <c r="AS166" s="31">
        <v>45461</v>
      </c>
      <c r="AT166" s="30">
        <f t="shared" ca="1" si="24"/>
        <v>0</v>
      </c>
      <c r="AU166" s="32" t="str">
        <f t="shared" ca="1" si="22"/>
        <v/>
      </c>
      <c r="AV166" s="32" t="str" cm="1">
        <f t="array" aca="1" ref="AV166" ca="1">IFERROR(_xlfn.IFS($AU166="","",$AU166&lt;=15,"0-15",AND($AU166&gt;=16,$AU166&lt;=30),"16-30",AND($AU166&gt;=31,$AU166&lt;=45),"31-45",AND($AU166&gt;=46,$AU166&lt;=60),"46-60",AND($AU166&gt;=61,$AU166&lt;=90),"61-90",AND($AU166&gt;=91),"&gt; 90",AND($AU166&gt;=2000),""),"")</f>
        <v/>
      </c>
      <c r="AW166" s="32" cm="1">
        <f t="array" aca="1" ref="AW166" ca="1">IFERROR(_xlfn.IFS(OR($M166="",$AM166=""),"",OR($C166="Offered",$C166="Joined"),($AM166-$M166)-$AT166),"")</f>
        <v>38</v>
      </c>
      <c r="AX166" s="32" cm="1">
        <f t="array" aca="1" ref="AX166" ca="1">IFERROR(_xlfn.IFS(OR($M166="",$AS166=""),"",$C166="Joined",($AS166-$M166)-$AT166),"")</f>
        <v>42</v>
      </c>
      <c r="AY166" s="30" t="str">
        <f>IFERROR(IF(COUNTIFS('Candidate Tracker'!$E:$E,'Positions Tracker'!$B166,'Candidate Tracker'!$C:$C,"Offer Drop")=0,"",COUNTIFS('Candidate Tracker'!$E:$E,'Positions Tracker'!$B166,'Candidate Tracker'!$C:$C,"Offer Drop")),"")</f>
        <v/>
      </c>
      <c r="AZ1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6" s="34" t="str">
        <f>IFERROR(IF(COUNTIFS('Candidate Tracker'!$E:$E,'Positions Tracker'!$B166,'Candidate Tracker'!$I:$I,"Female")=0,"",COUNTIFS('Candidate Tracker'!$E:$E,'Positions Tracker'!$B166,'Candidate Tracker'!$I:$I,"Female")),"")</f>
        <v/>
      </c>
      <c r="BB166" s="34" t="str">
        <f>IFERROR(IF(COUNTIFS('Candidate Tracker'!$E:$E,'Positions Tracker'!$B166,'Candidate Tracker'!$I:$I,"male")=0,"",COUNTIFS('Candidate Tracker'!$E:$E,'Positions Tracker'!$B166,'Candidate Tracker'!$I:$I,"male")),"")</f>
        <v/>
      </c>
      <c r="BC166" s="33" t="str">
        <f>IFERROR(IF(COUNTIFS('Candidate Tracker'!$E:$E,'Positions Tracker'!$B166,'Candidate Tracker'!$C:$C,"&lt;&gt;WIP",'Candidate Tracker'!$C:$C,"&lt;&gt;Hold",'Candidate Tracker'!$C:$C,"&lt;&gt;Cancelled",'Candidate Tracker'!$C:$C,"&lt;&gt;Closed")/COUNTIFS('Candidate Tracker'!$E:$E,'Positions Tracker'!$B166)=0,"",COUNTIFS('Candidate Tracker'!$E:$E,'Positions Tracker'!$B166,'Candidate Tracker'!$C:$C,"&lt;&gt;WIP",'Candidate Tracker'!$C:$C,"&lt;&gt;Hold",'Candidate Tracker'!$C:$C,"&lt;&gt;Cancelled",'Candidate Tracker'!$C:$C,"&lt;&gt;Closed")/COUNTIFS('Candidate Tracker'!$E:$E,'Positions Tracker'!$B166)),"")</f>
        <v/>
      </c>
      <c r="BD166" s="30" t="str">
        <f t="shared" si="25"/>
        <v>May-24</v>
      </c>
      <c r="BE166" s="30" t="str">
        <f t="shared" si="26"/>
        <v>Jun-24</v>
      </c>
      <c r="BF166" s="30" t="str">
        <f t="shared" si="27"/>
        <v>Jun-24</v>
      </c>
      <c r="BG166" s="30" t="str">
        <f t="shared" si="28"/>
        <v>Jun-24</v>
      </c>
    </row>
    <row r="167" spans="1:59">
      <c r="A167" s="30">
        <f t="shared" si="23"/>
        <v>166</v>
      </c>
      <c r="B167" s="30"/>
      <c r="C167" s="30" t="s">
        <v>51</v>
      </c>
      <c r="D167" s="30" t="s">
        <v>51</v>
      </c>
      <c r="E167" s="30" t="s">
        <v>4209</v>
      </c>
      <c r="F167" s="30"/>
      <c r="G167" s="30"/>
      <c r="H167" s="30"/>
      <c r="I167" s="30" t="s">
        <v>4210</v>
      </c>
      <c r="J167" s="30" t="s">
        <v>135</v>
      </c>
      <c r="K167" s="31"/>
      <c r="L167" s="31">
        <v>45428</v>
      </c>
      <c r="M167" s="31">
        <v>45429</v>
      </c>
      <c r="N167" s="30"/>
      <c r="O167" s="31"/>
      <c r="P167" s="31"/>
      <c r="Q167" s="31"/>
      <c r="R167" s="31"/>
      <c r="S167" s="31"/>
      <c r="T167" s="31"/>
      <c r="U167" s="30"/>
      <c r="V167" s="30"/>
      <c r="W167" s="30"/>
      <c r="X167" s="30" t="s">
        <v>4211</v>
      </c>
      <c r="Y167" s="30" t="s">
        <v>4201</v>
      </c>
      <c r="Z167" s="30" t="s">
        <v>351</v>
      </c>
      <c r="AA167" s="30"/>
      <c r="AB167" s="30"/>
      <c r="AC167" s="30"/>
      <c r="AD167" s="30"/>
      <c r="AE167" s="30" t="s">
        <v>4212</v>
      </c>
      <c r="AF167" s="30">
        <v>7709590172</v>
      </c>
      <c r="AG167" s="30"/>
      <c r="AH167" s="31" t="s">
        <v>55</v>
      </c>
      <c r="AI167" s="31">
        <v>45474</v>
      </c>
      <c r="AJ167" s="31"/>
      <c r="AK167" s="30"/>
      <c r="AL167" s="30">
        <v>1400000</v>
      </c>
      <c r="AM167" s="31">
        <v>45476</v>
      </c>
      <c r="AN167" s="31"/>
      <c r="AO167" s="31"/>
      <c r="AP167" s="31"/>
      <c r="AQ167" s="31"/>
      <c r="AR167" s="31"/>
      <c r="AS167" s="31">
        <v>45502</v>
      </c>
      <c r="AT167" s="30">
        <f t="shared" ca="1" si="24"/>
        <v>0</v>
      </c>
      <c r="AU167" s="32" t="str">
        <f t="shared" ca="1" si="22"/>
        <v/>
      </c>
      <c r="AV167" s="32" t="str" cm="1">
        <f t="array" aca="1" ref="AV167" ca="1">IFERROR(_xlfn.IFS($AU167="","",$AU167&lt;=15,"0-15",AND($AU167&gt;=16,$AU167&lt;=30),"16-30",AND($AU167&gt;=31,$AU167&lt;=45),"31-45",AND($AU167&gt;=46,$AU167&lt;=60),"46-60",AND($AU167&gt;=61,$AU167&lt;=90),"61-90",AND($AU167&gt;=91),"&gt; 90",AND($AU167&gt;=2000),""),"")</f>
        <v/>
      </c>
      <c r="AW167" s="32" cm="1">
        <f t="array" aca="1" ref="AW167" ca="1">IFERROR(_xlfn.IFS(OR($M167="",$AM167=""),"",OR($C167="Offered",$C167="Joined"),($AM167-$M167)-$AT167),"")</f>
        <v>47</v>
      </c>
      <c r="AX167" s="32" cm="1">
        <f t="array" aca="1" ref="AX167" ca="1">IFERROR(_xlfn.IFS(OR($M167="",$AS167=""),"",$C167="Joined",($AS167-$M167)-$AT167),"")</f>
        <v>73</v>
      </c>
      <c r="AY167" s="30" t="str">
        <f>IFERROR(IF(COUNTIFS('Candidate Tracker'!$E:$E,'Positions Tracker'!$B167,'Candidate Tracker'!$C:$C,"Offer Drop")=0,"",COUNTIFS('Candidate Tracker'!$E:$E,'Positions Tracker'!$B167,'Candidate Tracker'!$C:$C,"Offer Drop")),"")</f>
        <v/>
      </c>
      <c r="AZ1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7" s="34" t="str">
        <f>IFERROR(IF(COUNTIFS('Candidate Tracker'!$E:$E,'Positions Tracker'!$B167,'Candidate Tracker'!$I:$I,"Female")=0,"",COUNTIFS('Candidate Tracker'!$E:$E,'Positions Tracker'!$B167,'Candidate Tracker'!$I:$I,"Female")),"")</f>
        <v/>
      </c>
      <c r="BB167" s="34" t="str">
        <f>IFERROR(IF(COUNTIFS('Candidate Tracker'!$E:$E,'Positions Tracker'!$B167,'Candidate Tracker'!$I:$I,"male")=0,"",COUNTIFS('Candidate Tracker'!$E:$E,'Positions Tracker'!$B167,'Candidate Tracker'!$I:$I,"male")),"")</f>
        <v/>
      </c>
      <c r="BC167" s="33" t="str">
        <f>IFERROR(IF(COUNTIFS('Candidate Tracker'!$E:$E,'Positions Tracker'!$B167,'Candidate Tracker'!$C:$C,"&lt;&gt;WIP",'Candidate Tracker'!$C:$C,"&lt;&gt;Hold",'Candidate Tracker'!$C:$C,"&lt;&gt;Cancelled",'Candidate Tracker'!$C:$C,"&lt;&gt;Closed")/COUNTIFS('Candidate Tracker'!$E:$E,'Positions Tracker'!$B167)=0,"",COUNTIFS('Candidate Tracker'!$E:$E,'Positions Tracker'!$B167,'Candidate Tracker'!$C:$C,"&lt;&gt;WIP",'Candidate Tracker'!$C:$C,"&lt;&gt;Hold",'Candidate Tracker'!$C:$C,"&lt;&gt;Cancelled",'Candidate Tracker'!$C:$C,"&lt;&gt;Closed")/COUNTIFS('Candidate Tracker'!$E:$E,'Positions Tracker'!$B167)),"")</f>
        <v/>
      </c>
      <c r="BD167" s="30" t="str">
        <f t="shared" si="25"/>
        <v>May-24</v>
      </c>
      <c r="BE167" s="30" t="str">
        <f t="shared" si="26"/>
        <v>Jul-24</v>
      </c>
      <c r="BF167" s="30" t="str">
        <f t="shared" si="27"/>
        <v>Jul-24</v>
      </c>
      <c r="BG167" s="30" t="str">
        <f t="shared" si="28"/>
        <v>Jul-24</v>
      </c>
    </row>
    <row r="168" spans="1:59">
      <c r="A168" s="30">
        <f t="shared" si="23"/>
        <v>167</v>
      </c>
      <c r="B168" s="30"/>
      <c r="C168" s="30" t="s">
        <v>51</v>
      </c>
      <c r="D168" s="30" t="s">
        <v>51</v>
      </c>
      <c r="E168" s="30" t="s">
        <v>4213</v>
      </c>
      <c r="F168" s="30"/>
      <c r="G168" s="30"/>
      <c r="H168" s="30"/>
      <c r="I168" s="30" t="s">
        <v>4210</v>
      </c>
      <c r="J168" s="30" t="s">
        <v>135</v>
      </c>
      <c r="K168" s="31"/>
      <c r="L168" s="31">
        <v>45445</v>
      </c>
      <c r="M168" s="31">
        <v>45446</v>
      </c>
      <c r="N168" s="30"/>
      <c r="O168" s="31"/>
      <c r="P168" s="31"/>
      <c r="Q168" s="31"/>
      <c r="R168" s="31"/>
      <c r="S168" s="31"/>
      <c r="T168" s="31"/>
      <c r="U168" s="30"/>
      <c r="V168" s="30"/>
      <c r="W168" s="30"/>
      <c r="X168" s="30" t="s">
        <v>4211</v>
      </c>
      <c r="Y168" s="30" t="s">
        <v>4201</v>
      </c>
      <c r="Z168" s="30" t="s">
        <v>351</v>
      </c>
      <c r="AA168" s="30"/>
      <c r="AB168" s="30"/>
      <c r="AC168" s="30"/>
      <c r="AD168" s="30"/>
      <c r="AE168" s="30" t="s">
        <v>4214</v>
      </c>
      <c r="AF168" s="30">
        <v>9769864001</v>
      </c>
      <c r="AG168" s="30"/>
      <c r="AH168" s="31" t="s">
        <v>55</v>
      </c>
      <c r="AI168" s="31">
        <v>45491</v>
      </c>
      <c r="AJ168" s="31"/>
      <c r="AK168" s="30"/>
      <c r="AL168" s="30">
        <v>9500000</v>
      </c>
      <c r="AM168" s="31">
        <v>45495</v>
      </c>
      <c r="AN168" s="31"/>
      <c r="AO168" s="31"/>
      <c r="AP168" s="31"/>
      <c r="AQ168" s="31"/>
      <c r="AR168" s="31"/>
      <c r="AS168" s="31">
        <v>45502</v>
      </c>
      <c r="AT168" s="30">
        <f t="shared" ca="1" si="24"/>
        <v>0</v>
      </c>
      <c r="AU168" s="32" t="str">
        <f t="shared" ca="1" si="22"/>
        <v/>
      </c>
      <c r="AV168" s="32" t="str" cm="1">
        <f t="array" aca="1" ref="AV168" ca="1">IFERROR(_xlfn.IFS($AU168="","",$AU168&lt;=15,"0-15",AND($AU168&gt;=16,$AU168&lt;=30),"16-30",AND($AU168&gt;=31,$AU168&lt;=45),"31-45",AND($AU168&gt;=46,$AU168&lt;=60),"46-60",AND($AU168&gt;=61,$AU168&lt;=90),"61-90",AND($AU168&gt;=91),"&gt; 90",AND($AU168&gt;=2000),""),"")</f>
        <v/>
      </c>
      <c r="AW168" s="32" cm="1">
        <f t="array" aca="1" ref="AW168" ca="1">IFERROR(_xlfn.IFS(OR($M168="",$AM168=""),"",OR($C168="Offered",$C168="Joined"),($AM168-$M168)-$AT168),"")</f>
        <v>49</v>
      </c>
      <c r="AX168" s="32" cm="1">
        <f t="array" aca="1" ref="AX168" ca="1">IFERROR(_xlfn.IFS(OR($M168="",$AS168=""),"",$C168="Joined",($AS168-$M168)-$AT168),"")</f>
        <v>56</v>
      </c>
      <c r="AY168" s="30" t="str">
        <f>IFERROR(IF(COUNTIFS('Candidate Tracker'!$E:$E,'Positions Tracker'!$B168,'Candidate Tracker'!$C:$C,"Offer Drop")=0,"",COUNTIFS('Candidate Tracker'!$E:$E,'Positions Tracker'!$B168,'Candidate Tracker'!$C:$C,"Offer Drop")),"")</f>
        <v/>
      </c>
      <c r="AZ1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8" s="34" t="str">
        <f>IFERROR(IF(COUNTIFS('Candidate Tracker'!$E:$E,'Positions Tracker'!$B168,'Candidate Tracker'!$I:$I,"Female")=0,"",COUNTIFS('Candidate Tracker'!$E:$E,'Positions Tracker'!$B168,'Candidate Tracker'!$I:$I,"Female")),"")</f>
        <v/>
      </c>
      <c r="BB168" s="34" t="str">
        <f>IFERROR(IF(COUNTIFS('Candidate Tracker'!$E:$E,'Positions Tracker'!$B168,'Candidate Tracker'!$I:$I,"male")=0,"",COUNTIFS('Candidate Tracker'!$E:$E,'Positions Tracker'!$B168,'Candidate Tracker'!$I:$I,"male")),"")</f>
        <v/>
      </c>
      <c r="BC168" s="33" t="str">
        <f>IFERROR(IF(COUNTIFS('Candidate Tracker'!$E:$E,'Positions Tracker'!$B168,'Candidate Tracker'!$C:$C,"&lt;&gt;WIP",'Candidate Tracker'!$C:$C,"&lt;&gt;Hold",'Candidate Tracker'!$C:$C,"&lt;&gt;Cancelled",'Candidate Tracker'!$C:$C,"&lt;&gt;Closed")/COUNTIFS('Candidate Tracker'!$E:$E,'Positions Tracker'!$B168)=0,"",COUNTIFS('Candidate Tracker'!$E:$E,'Positions Tracker'!$B168,'Candidate Tracker'!$C:$C,"&lt;&gt;WIP",'Candidate Tracker'!$C:$C,"&lt;&gt;Hold",'Candidate Tracker'!$C:$C,"&lt;&gt;Cancelled",'Candidate Tracker'!$C:$C,"&lt;&gt;Closed")/COUNTIFS('Candidate Tracker'!$E:$E,'Positions Tracker'!$B168)),"")</f>
        <v/>
      </c>
      <c r="BD168" s="30" t="str">
        <f t="shared" si="25"/>
        <v>Jun-24</v>
      </c>
      <c r="BE168" s="30" t="str">
        <f t="shared" si="26"/>
        <v>Jul-24</v>
      </c>
      <c r="BF168" s="30" t="str">
        <f t="shared" si="27"/>
        <v>Jul-24</v>
      </c>
      <c r="BG168" s="30" t="str">
        <f t="shared" si="28"/>
        <v>Jul-24</v>
      </c>
    </row>
    <row r="169" spans="1:59">
      <c r="A169" s="30">
        <f t="shared" si="23"/>
        <v>168</v>
      </c>
      <c r="B169" s="30"/>
      <c r="C169" s="30" t="s">
        <v>51</v>
      </c>
      <c r="D169" s="30" t="s">
        <v>51</v>
      </c>
      <c r="E169" s="30" t="s">
        <v>4215</v>
      </c>
      <c r="F169" s="30"/>
      <c r="G169" s="30"/>
      <c r="H169" s="30"/>
      <c r="I169" s="30" t="s">
        <v>4003</v>
      </c>
      <c r="J169" s="30" t="s">
        <v>135</v>
      </c>
      <c r="K169" s="31"/>
      <c r="L169" s="31">
        <v>45448</v>
      </c>
      <c r="M169" s="31">
        <v>45449</v>
      </c>
      <c r="N169" s="30"/>
      <c r="O169" s="31"/>
      <c r="P169" s="31"/>
      <c r="Q169" s="31"/>
      <c r="R169" s="31"/>
      <c r="S169" s="31"/>
      <c r="T169" s="31"/>
      <c r="U169" s="30"/>
      <c r="V169" s="30"/>
      <c r="W169" s="30"/>
      <c r="X169" s="30" t="s">
        <v>4211</v>
      </c>
      <c r="Y169" s="30" t="s">
        <v>4201</v>
      </c>
      <c r="Z169" s="30" t="s">
        <v>351</v>
      </c>
      <c r="AA169" s="30"/>
      <c r="AB169" s="30"/>
      <c r="AC169" s="30"/>
      <c r="AD169" s="30"/>
      <c r="AE169" s="30" t="s">
        <v>4216</v>
      </c>
      <c r="AF169" s="30">
        <v>7875758471</v>
      </c>
      <c r="AG169" s="30"/>
      <c r="AH169" s="31" t="s">
        <v>55</v>
      </c>
      <c r="AI169" s="31">
        <v>45484</v>
      </c>
      <c r="AJ169" s="31"/>
      <c r="AK169" s="30"/>
      <c r="AL169" s="30">
        <v>2700000</v>
      </c>
      <c r="AM169" s="31">
        <v>45495</v>
      </c>
      <c r="AN169" s="31"/>
      <c r="AO169" s="31"/>
      <c r="AP169" s="31"/>
      <c r="AQ169" s="31"/>
      <c r="AR169" s="31"/>
      <c r="AS169" s="31">
        <v>45509</v>
      </c>
      <c r="AT169" s="30">
        <f t="shared" ca="1" si="24"/>
        <v>0</v>
      </c>
      <c r="AU169" s="32" t="str">
        <f t="shared" ca="1" si="22"/>
        <v/>
      </c>
      <c r="AV169" s="32" t="str" cm="1">
        <f t="array" aca="1" ref="AV169" ca="1">IFERROR(_xlfn.IFS($AU169="","",$AU169&lt;=15,"0-15",AND($AU169&gt;=16,$AU169&lt;=30),"16-30",AND($AU169&gt;=31,$AU169&lt;=45),"31-45",AND($AU169&gt;=46,$AU169&lt;=60),"46-60",AND($AU169&gt;=61,$AU169&lt;=90),"61-90",AND($AU169&gt;=91),"&gt; 90",AND($AU169&gt;=2000),""),"")</f>
        <v/>
      </c>
      <c r="AW169" s="32" cm="1">
        <f t="array" aca="1" ref="AW169" ca="1">IFERROR(_xlfn.IFS(OR($M169="",$AM169=""),"",OR($C169="Offered",$C169="Joined"),($AM169-$M169)-$AT169),"")</f>
        <v>46</v>
      </c>
      <c r="AX169" s="32" cm="1">
        <f t="array" aca="1" ref="AX169" ca="1">IFERROR(_xlfn.IFS(OR($M169="",$AS169=""),"",$C169="Joined",($AS169-$M169)-$AT169),"")</f>
        <v>60</v>
      </c>
      <c r="AY169" s="30" t="str">
        <f>IFERROR(IF(COUNTIFS('Candidate Tracker'!$E:$E,'Positions Tracker'!$B169,'Candidate Tracker'!$C:$C,"Offer Drop")=0,"",COUNTIFS('Candidate Tracker'!$E:$E,'Positions Tracker'!$B169,'Candidate Tracker'!$C:$C,"Offer Drop")),"")</f>
        <v/>
      </c>
      <c r="AZ1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69" s="34" t="str">
        <f>IFERROR(IF(COUNTIFS('Candidate Tracker'!$E:$E,'Positions Tracker'!$B169,'Candidate Tracker'!$I:$I,"Female")=0,"",COUNTIFS('Candidate Tracker'!$E:$E,'Positions Tracker'!$B169,'Candidate Tracker'!$I:$I,"Female")),"")</f>
        <v/>
      </c>
      <c r="BB169" s="34" t="str">
        <f>IFERROR(IF(COUNTIFS('Candidate Tracker'!$E:$E,'Positions Tracker'!$B169,'Candidate Tracker'!$I:$I,"male")=0,"",COUNTIFS('Candidate Tracker'!$E:$E,'Positions Tracker'!$B169,'Candidate Tracker'!$I:$I,"male")),"")</f>
        <v/>
      </c>
      <c r="BC169" s="33" t="str">
        <f>IFERROR(IF(COUNTIFS('Candidate Tracker'!$E:$E,'Positions Tracker'!$B169,'Candidate Tracker'!$C:$C,"&lt;&gt;WIP",'Candidate Tracker'!$C:$C,"&lt;&gt;Hold",'Candidate Tracker'!$C:$C,"&lt;&gt;Cancelled",'Candidate Tracker'!$C:$C,"&lt;&gt;Closed")/COUNTIFS('Candidate Tracker'!$E:$E,'Positions Tracker'!$B169)=0,"",COUNTIFS('Candidate Tracker'!$E:$E,'Positions Tracker'!$B169,'Candidate Tracker'!$C:$C,"&lt;&gt;WIP",'Candidate Tracker'!$C:$C,"&lt;&gt;Hold",'Candidate Tracker'!$C:$C,"&lt;&gt;Cancelled",'Candidate Tracker'!$C:$C,"&lt;&gt;Closed")/COUNTIFS('Candidate Tracker'!$E:$E,'Positions Tracker'!$B169)),"")</f>
        <v/>
      </c>
      <c r="BD169" s="30" t="str">
        <f t="shared" si="25"/>
        <v>Jun-24</v>
      </c>
      <c r="BE169" s="30" t="str">
        <f t="shared" si="26"/>
        <v>Jul-24</v>
      </c>
      <c r="BF169" s="30" t="str">
        <f t="shared" si="27"/>
        <v>Jul-24</v>
      </c>
      <c r="BG169" s="30" t="str">
        <f t="shared" si="28"/>
        <v>Aug-24</v>
      </c>
    </row>
    <row r="170" spans="1:59">
      <c r="A170" s="30">
        <f t="shared" si="23"/>
        <v>169</v>
      </c>
      <c r="B170" s="30"/>
      <c r="C170" s="30" t="s">
        <v>51</v>
      </c>
      <c r="D170" s="30" t="s">
        <v>51</v>
      </c>
      <c r="E170" s="30" t="s">
        <v>4217</v>
      </c>
      <c r="F170" s="30"/>
      <c r="G170" s="30"/>
      <c r="H170" s="30"/>
      <c r="I170" s="30" t="s">
        <v>4218</v>
      </c>
      <c r="J170" s="30" t="s">
        <v>135</v>
      </c>
      <c r="K170" s="31"/>
      <c r="L170" s="31">
        <v>45454</v>
      </c>
      <c r="M170" s="31">
        <v>45455</v>
      </c>
      <c r="N170" s="30"/>
      <c r="O170" s="31"/>
      <c r="P170" s="31"/>
      <c r="Q170" s="31"/>
      <c r="R170" s="31"/>
      <c r="S170" s="31"/>
      <c r="T170" s="31"/>
      <c r="U170" s="30"/>
      <c r="V170" s="30"/>
      <c r="W170" s="30"/>
      <c r="X170" s="30" t="s">
        <v>4211</v>
      </c>
      <c r="Y170" s="30" t="s">
        <v>4201</v>
      </c>
      <c r="Z170" s="30" t="s">
        <v>351</v>
      </c>
      <c r="AA170" s="30" t="s">
        <v>51</v>
      </c>
      <c r="AB170" s="30"/>
      <c r="AC170" s="30"/>
      <c r="AD170" s="30"/>
      <c r="AE170" s="30" t="s">
        <v>4219</v>
      </c>
      <c r="AF170" s="30">
        <v>9527115478</v>
      </c>
      <c r="AG170" s="30"/>
      <c r="AH170" s="31" t="s">
        <v>55</v>
      </c>
      <c r="AI170" s="31">
        <v>45500</v>
      </c>
      <c r="AJ170" s="31"/>
      <c r="AK170" s="30"/>
      <c r="AL170" s="30">
        <v>650000</v>
      </c>
      <c r="AM170" s="31">
        <v>45511</v>
      </c>
      <c r="AN170" s="31"/>
      <c r="AO170" s="31"/>
      <c r="AP170" s="31"/>
      <c r="AQ170" s="31"/>
      <c r="AR170" s="31"/>
      <c r="AS170" s="31">
        <v>45537</v>
      </c>
      <c r="AT170" s="30">
        <f t="shared" ca="1" si="24"/>
        <v>0</v>
      </c>
      <c r="AU170" s="32" t="str">
        <f t="shared" ca="1" si="22"/>
        <v/>
      </c>
      <c r="AV170" s="32" t="str" cm="1">
        <f t="array" aca="1" ref="AV170" ca="1">IFERROR(_xlfn.IFS($AU170="","",$AU170&lt;=15,"0-15",AND($AU170&gt;=16,$AU170&lt;=30),"16-30",AND($AU170&gt;=31,$AU170&lt;=45),"31-45",AND($AU170&gt;=46,$AU170&lt;=60),"46-60",AND($AU170&gt;=61,$AU170&lt;=90),"61-90",AND($AU170&gt;=91),"&gt; 90",AND($AU170&gt;=2000),""),"")</f>
        <v/>
      </c>
      <c r="AW170" s="32" cm="1">
        <f t="array" aca="1" ref="AW170" ca="1">IFERROR(_xlfn.IFS(OR($M170="",$AM170=""),"",OR($C170="Offered",$C170="Joined"),($AM170-$M170)-$AT170),"")</f>
        <v>56</v>
      </c>
      <c r="AX170" s="32" cm="1">
        <f t="array" aca="1" ref="AX170" ca="1">IFERROR(_xlfn.IFS(OR($M170="",$AS170=""),"",$C170="Joined",($AS170-$M170)-$AT170),"")</f>
        <v>82</v>
      </c>
      <c r="AY170" s="30" t="str">
        <f>IFERROR(IF(COUNTIFS('Candidate Tracker'!$E:$E,'Positions Tracker'!$B170,'Candidate Tracker'!$C:$C,"Offer Drop")=0,"",COUNTIFS('Candidate Tracker'!$E:$E,'Positions Tracker'!$B170,'Candidate Tracker'!$C:$C,"Offer Drop")),"")</f>
        <v/>
      </c>
      <c r="AZ1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0" s="34" t="str">
        <f>IFERROR(IF(COUNTIFS('Candidate Tracker'!$E:$E,'Positions Tracker'!$B170,'Candidate Tracker'!$I:$I,"Female")=0,"",COUNTIFS('Candidate Tracker'!$E:$E,'Positions Tracker'!$B170,'Candidate Tracker'!$I:$I,"Female")),"")</f>
        <v/>
      </c>
      <c r="BB170" s="34" t="str">
        <f>IFERROR(IF(COUNTIFS('Candidate Tracker'!$E:$E,'Positions Tracker'!$B170,'Candidate Tracker'!$I:$I,"male")=0,"",COUNTIFS('Candidate Tracker'!$E:$E,'Positions Tracker'!$B170,'Candidate Tracker'!$I:$I,"male")),"")</f>
        <v/>
      </c>
      <c r="BC170" s="33" t="str">
        <f>IFERROR(IF(COUNTIFS('Candidate Tracker'!$E:$E,'Positions Tracker'!$B170,'Candidate Tracker'!$C:$C,"&lt;&gt;WIP",'Candidate Tracker'!$C:$C,"&lt;&gt;Hold",'Candidate Tracker'!$C:$C,"&lt;&gt;Cancelled",'Candidate Tracker'!$C:$C,"&lt;&gt;Closed")/COUNTIFS('Candidate Tracker'!$E:$E,'Positions Tracker'!$B170)=0,"",COUNTIFS('Candidate Tracker'!$E:$E,'Positions Tracker'!$B170,'Candidate Tracker'!$C:$C,"&lt;&gt;WIP",'Candidate Tracker'!$C:$C,"&lt;&gt;Hold",'Candidate Tracker'!$C:$C,"&lt;&gt;Cancelled",'Candidate Tracker'!$C:$C,"&lt;&gt;Closed")/COUNTIFS('Candidate Tracker'!$E:$E,'Positions Tracker'!$B170)),"")</f>
        <v/>
      </c>
      <c r="BD170" s="30" t="str">
        <f t="shared" si="25"/>
        <v>Jun-24</v>
      </c>
      <c r="BE170" s="30" t="str">
        <f t="shared" si="26"/>
        <v>Jul-24</v>
      </c>
      <c r="BF170" s="30" t="str">
        <f t="shared" si="27"/>
        <v>Aug-24</v>
      </c>
      <c r="BG170" s="30" t="str">
        <f t="shared" si="28"/>
        <v>Sep-24</v>
      </c>
    </row>
    <row r="171" spans="1:59">
      <c r="A171" s="30">
        <f t="shared" si="23"/>
        <v>170</v>
      </c>
      <c r="B171" s="30"/>
      <c r="C171" s="30" t="s">
        <v>51</v>
      </c>
      <c r="D171" s="30" t="s">
        <v>51</v>
      </c>
      <c r="E171" s="30" t="s">
        <v>4220</v>
      </c>
      <c r="F171" s="30"/>
      <c r="G171" s="30"/>
      <c r="H171" s="30"/>
      <c r="I171" s="30" t="s">
        <v>4210</v>
      </c>
      <c r="J171" s="30" t="s">
        <v>135</v>
      </c>
      <c r="K171" s="31"/>
      <c r="L171" s="31">
        <v>45429</v>
      </c>
      <c r="M171" s="31">
        <v>45430</v>
      </c>
      <c r="N171" s="30"/>
      <c r="O171" s="31"/>
      <c r="P171" s="31"/>
      <c r="Q171" s="31"/>
      <c r="R171" s="31"/>
      <c r="S171" s="31"/>
      <c r="T171" s="31"/>
      <c r="U171" s="30"/>
      <c r="V171" s="30"/>
      <c r="W171" s="30"/>
      <c r="X171" s="30" t="s">
        <v>4211</v>
      </c>
      <c r="Y171" s="30" t="s">
        <v>4201</v>
      </c>
      <c r="Z171" s="30" t="s">
        <v>351</v>
      </c>
      <c r="AA171" s="30" t="s">
        <v>51</v>
      </c>
      <c r="AB171" s="30"/>
      <c r="AC171" s="30"/>
      <c r="AD171" s="30"/>
      <c r="AE171" s="30" t="s">
        <v>4221</v>
      </c>
      <c r="AF171" s="30">
        <v>9004565630</v>
      </c>
      <c r="AG171" s="30"/>
      <c r="AH171" s="31" t="s">
        <v>55</v>
      </c>
      <c r="AI171" s="31">
        <v>45475</v>
      </c>
      <c r="AJ171" s="31"/>
      <c r="AK171" s="30"/>
      <c r="AL171" s="30">
        <v>1300000</v>
      </c>
      <c r="AM171" s="31">
        <v>45476</v>
      </c>
      <c r="AN171" s="31"/>
      <c r="AO171" s="31"/>
      <c r="AP171" s="31"/>
      <c r="AQ171" s="31"/>
      <c r="AR171" s="31"/>
      <c r="AS171" s="31">
        <v>45551</v>
      </c>
      <c r="AT171" s="30">
        <f t="shared" ca="1" si="24"/>
        <v>0</v>
      </c>
      <c r="AU171" s="32" t="str">
        <f t="shared" ca="1" si="22"/>
        <v/>
      </c>
      <c r="AV171" s="32" t="str" cm="1">
        <f t="array" aca="1" ref="AV171" ca="1">IFERROR(_xlfn.IFS($AU171="","",$AU171&lt;=15,"0-15",AND($AU171&gt;=16,$AU171&lt;=30),"16-30",AND($AU171&gt;=31,$AU171&lt;=45),"31-45",AND($AU171&gt;=46,$AU171&lt;=60),"46-60",AND($AU171&gt;=61,$AU171&lt;=90),"61-90",AND($AU171&gt;=91),"&gt; 90",AND($AU171&gt;=2000),""),"")</f>
        <v/>
      </c>
      <c r="AW171" s="32" cm="1">
        <f t="array" aca="1" ref="AW171" ca="1">IFERROR(_xlfn.IFS(OR($M171="",$AM171=""),"",OR($C171="Offered",$C171="Joined"),($AM171-$M171)-$AT171),"")</f>
        <v>46</v>
      </c>
      <c r="AX171" s="32" cm="1">
        <f t="array" aca="1" ref="AX171" ca="1">IFERROR(_xlfn.IFS(OR($M171="",$AS171=""),"",$C171="Joined",($AS171-$M171)-$AT171),"")</f>
        <v>121</v>
      </c>
      <c r="AY171" s="30" t="str">
        <f>IFERROR(IF(COUNTIFS('Candidate Tracker'!$E:$E,'Positions Tracker'!$B171,'Candidate Tracker'!$C:$C,"Offer Drop")=0,"",COUNTIFS('Candidate Tracker'!$E:$E,'Positions Tracker'!$B171,'Candidate Tracker'!$C:$C,"Offer Drop")),"")</f>
        <v/>
      </c>
      <c r="AZ1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1" s="34" t="str">
        <f>IFERROR(IF(COUNTIFS('Candidate Tracker'!$E:$E,'Positions Tracker'!$B171,'Candidate Tracker'!$I:$I,"Female")=0,"",COUNTIFS('Candidate Tracker'!$E:$E,'Positions Tracker'!$B171,'Candidate Tracker'!$I:$I,"Female")),"")</f>
        <v/>
      </c>
      <c r="BB171" s="34" t="str">
        <f>IFERROR(IF(COUNTIFS('Candidate Tracker'!$E:$E,'Positions Tracker'!$B171,'Candidate Tracker'!$I:$I,"male")=0,"",COUNTIFS('Candidate Tracker'!$E:$E,'Positions Tracker'!$B171,'Candidate Tracker'!$I:$I,"male")),"")</f>
        <v/>
      </c>
      <c r="BC171" s="33" t="str">
        <f>IFERROR(IF(COUNTIFS('Candidate Tracker'!$E:$E,'Positions Tracker'!$B171,'Candidate Tracker'!$C:$C,"&lt;&gt;WIP",'Candidate Tracker'!$C:$C,"&lt;&gt;Hold",'Candidate Tracker'!$C:$C,"&lt;&gt;Cancelled",'Candidate Tracker'!$C:$C,"&lt;&gt;Closed")/COUNTIFS('Candidate Tracker'!$E:$E,'Positions Tracker'!$B171)=0,"",COUNTIFS('Candidate Tracker'!$E:$E,'Positions Tracker'!$B171,'Candidate Tracker'!$C:$C,"&lt;&gt;WIP",'Candidate Tracker'!$C:$C,"&lt;&gt;Hold",'Candidate Tracker'!$C:$C,"&lt;&gt;Cancelled",'Candidate Tracker'!$C:$C,"&lt;&gt;Closed")/COUNTIFS('Candidate Tracker'!$E:$E,'Positions Tracker'!$B171)),"")</f>
        <v/>
      </c>
      <c r="BD171" s="30" t="str">
        <f t="shared" si="25"/>
        <v>May-24</v>
      </c>
      <c r="BE171" s="30" t="str">
        <f t="shared" si="26"/>
        <v>Jul-24</v>
      </c>
      <c r="BF171" s="30" t="str">
        <f t="shared" si="27"/>
        <v>Jul-24</v>
      </c>
      <c r="BG171" s="30" t="str">
        <f t="shared" si="28"/>
        <v>Sep-24</v>
      </c>
    </row>
    <row r="172" spans="1:59">
      <c r="A172" s="30">
        <f t="shared" si="23"/>
        <v>171</v>
      </c>
      <c r="B172" s="30"/>
      <c r="C172" s="30" t="s">
        <v>51</v>
      </c>
      <c r="D172" s="30" t="s">
        <v>51</v>
      </c>
      <c r="E172" s="30" t="s">
        <v>4222</v>
      </c>
      <c r="F172" s="30"/>
      <c r="G172" s="30"/>
      <c r="H172" s="30"/>
      <c r="I172" s="30" t="s">
        <v>4003</v>
      </c>
      <c r="J172" s="30" t="s">
        <v>135</v>
      </c>
      <c r="K172" s="31"/>
      <c r="L172" s="31">
        <v>45448</v>
      </c>
      <c r="M172" s="31">
        <v>45449</v>
      </c>
      <c r="N172" s="30"/>
      <c r="O172" s="31"/>
      <c r="P172" s="31"/>
      <c r="Q172" s="31"/>
      <c r="R172" s="31"/>
      <c r="S172" s="31"/>
      <c r="T172" s="31"/>
      <c r="U172" s="30"/>
      <c r="V172" s="30"/>
      <c r="W172" s="30"/>
      <c r="X172" s="30" t="s">
        <v>4211</v>
      </c>
      <c r="Y172" s="30" t="s">
        <v>4201</v>
      </c>
      <c r="Z172" s="30" t="s">
        <v>351</v>
      </c>
      <c r="AA172" s="30" t="s">
        <v>51</v>
      </c>
      <c r="AB172" s="30"/>
      <c r="AC172" s="30"/>
      <c r="AD172" s="30"/>
      <c r="AE172" s="30" t="s">
        <v>4223</v>
      </c>
      <c r="AF172" s="30">
        <v>9503153306</v>
      </c>
      <c r="AG172" s="30"/>
      <c r="AH172" s="31" t="s">
        <v>55</v>
      </c>
      <c r="AI172" s="31">
        <v>45484</v>
      </c>
      <c r="AJ172" s="31"/>
      <c r="AK172" s="30"/>
      <c r="AL172" s="30">
        <v>1300000</v>
      </c>
      <c r="AM172" s="31">
        <v>45495</v>
      </c>
      <c r="AN172" s="31"/>
      <c r="AO172" s="31"/>
      <c r="AP172" s="31"/>
      <c r="AQ172" s="31"/>
      <c r="AR172" s="31"/>
      <c r="AS172" s="31">
        <v>45565</v>
      </c>
      <c r="AT172" s="30">
        <f t="shared" ca="1" si="24"/>
        <v>0</v>
      </c>
      <c r="AU172" s="32" t="str">
        <f t="shared" ca="1" si="22"/>
        <v/>
      </c>
      <c r="AV172" s="32" t="str" cm="1">
        <f t="array" aca="1" ref="AV172" ca="1">IFERROR(_xlfn.IFS($AU172="","",$AU172&lt;=15,"0-15",AND($AU172&gt;=16,$AU172&lt;=30),"16-30",AND($AU172&gt;=31,$AU172&lt;=45),"31-45",AND($AU172&gt;=46,$AU172&lt;=60),"46-60",AND($AU172&gt;=61,$AU172&lt;=90),"61-90",AND($AU172&gt;=91),"&gt; 90",AND($AU172&gt;=2000),""),"")</f>
        <v/>
      </c>
      <c r="AW172" s="32" cm="1">
        <f t="array" aca="1" ref="AW172" ca="1">IFERROR(_xlfn.IFS(OR($M172="",$AM172=""),"",OR($C172="Offered",$C172="Joined"),($AM172-$M172)-$AT172),"")</f>
        <v>46</v>
      </c>
      <c r="AX172" s="32" cm="1">
        <f t="array" aca="1" ref="AX172" ca="1">IFERROR(_xlfn.IFS(OR($M172="",$AS172=""),"",$C172="Joined",($AS172-$M172)-$AT172),"")</f>
        <v>116</v>
      </c>
      <c r="AY172" s="30" t="str">
        <f>IFERROR(IF(COUNTIFS('Candidate Tracker'!$E:$E,'Positions Tracker'!$B172,'Candidate Tracker'!$C:$C,"Offer Drop")=0,"",COUNTIFS('Candidate Tracker'!$E:$E,'Positions Tracker'!$B172,'Candidate Tracker'!$C:$C,"Offer Drop")),"")</f>
        <v/>
      </c>
      <c r="AZ1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2" s="34" t="str">
        <f>IFERROR(IF(COUNTIFS('Candidate Tracker'!$E:$E,'Positions Tracker'!$B172,'Candidate Tracker'!$I:$I,"Female")=0,"",COUNTIFS('Candidate Tracker'!$E:$E,'Positions Tracker'!$B172,'Candidate Tracker'!$I:$I,"Female")),"")</f>
        <v/>
      </c>
      <c r="BB172" s="34" t="str">
        <f>IFERROR(IF(COUNTIFS('Candidate Tracker'!$E:$E,'Positions Tracker'!$B172,'Candidate Tracker'!$I:$I,"male")=0,"",COUNTIFS('Candidate Tracker'!$E:$E,'Positions Tracker'!$B172,'Candidate Tracker'!$I:$I,"male")),"")</f>
        <v/>
      </c>
      <c r="BC172" s="33" t="str">
        <f>IFERROR(IF(COUNTIFS('Candidate Tracker'!$E:$E,'Positions Tracker'!$B172,'Candidate Tracker'!$C:$C,"&lt;&gt;WIP",'Candidate Tracker'!$C:$C,"&lt;&gt;Hold",'Candidate Tracker'!$C:$C,"&lt;&gt;Cancelled",'Candidate Tracker'!$C:$C,"&lt;&gt;Closed")/COUNTIFS('Candidate Tracker'!$E:$E,'Positions Tracker'!$B172)=0,"",COUNTIFS('Candidate Tracker'!$E:$E,'Positions Tracker'!$B172,'Candidate Tracker'!$C:$C,"&lt;&gt;WIP",'Candidate Tracker'!$C:$C,"&lt;&gt;Hold",'Candidate Tracker'!$C:$C,"&lt;&gt;Cancelled",'Candidate Tracker'!$C:$C,"&lt;&gt;Closed")/COUNTIFS('Candidate Tracker'!$E:$E,'Positions Tracker'!$B172)),"")</f>
        <v/>
      </c>
      <c r="BD172" s="30" t="str">
        <f t="shared" si="25"/>
        <v>Jun-24</v>
      </c>
      <c r="BE172" s="30" t="str">
        <f t="shared" si="26"/>
        <v>Jul-24</v>
      </c>
      <c r="BF172" s="30" t="str">
        <f t="shared" si="27"/>
        <v>Jul-24</v>
      </c>
      <c r="BG172" s="30" t="str">
        <f t="shared" si="28"/>
        <v>Sep-24</v>
      </c>
    </row>
    <row r="173" spans="1:59">
      <c r="A173" s="30">
        <f t="shared" si="23"/>
        <v>172</v>
      </c>
      <c r="B173" s="30"/>
      <c r="C173" s="30" t="s">
        <v>51</v>
      </c>
      <c r="D173" s="30" t="s">
        <v>51</v>
      </c>
      <c r="E173" s="30" t="s">
        <v>449</v>
      </c>
      <c r="F173" s="30"/>
      <c r="G173" s="30"/>
      <c r="H173" s="30"/>
      <c r="I173" s="30" t="s">
        <v>438</v>
      </c>
      <c r="J173" s="30" t="s">
        <v>135</v>
      </c>
      <c r="K173" s="31"/>
      <c r="L173" s="31">
        <v>45451</v>
      </c>
      <c r="M173" s="31">
        <v>45452</v>
      </c>
      <c r="N173" s="30"/>
      <c r="O173" s="31"/>
      <c r="P173" s="31"/>
      <c r="Q173" s="31"/>
      <c r="R173" s="31"/>
      <c r="S173" s="31"/>
      <c r="T173" s="31"/>
      <c r="U173" s="30"/>
      <c r="V173" s="30"/>
      <c r="W173" s="30"/>
      <c r="X173" s="30" t="s">
        <v>63</v>
      </c>
      <c r="Y173" s="30" t="s">
        <v>4201</v>
      </c>
      <c r="Z173" s="30" t="s">
        <v>351</v>
      </c>
      <c r="AA173" s="30" t="s">
        <v>51</v>
      </c>
      <c r="AB173" s="30"/>
      <c r="AC173" s="30"/>
      <c r="AD173" s="30"/>
      <c r="AE173" s="30" t="s">
        <v>4224</v>
      </c>
      <c r="AF173" s="30">
        <v>7974582540</v>
      </c>
      <c r="AG173" s="30"/>
      <c r="AH173" s="31" t="s">
        <v>101</v>
      </c>
      <c r="AI173" s="31">
        <v>45491</v>
      </c>
      <c r="AJ173" s="31"/>
      <c r="AK173" s="30"/>
      <c r="AL173" s="30">
        <v>650000</v>
      </c>
      <c r="AM173" s="31">
        <v>45505</v>
      </c>
      <c r="AN173" s="31"/>
      <c r="AO173" s="31"/>
      <c r="AP173" s="31"/>
      <c r="AQ173" s="31"/>
      <c r="AR173" s="31"/>
      <c r="AS173" s="31">
        <v>45565</v>
      </c>
      <c r="AT173" s="30">
        <f t="shared" ca="1" si="24"/>
        <v>0</v>
      </c>
      <c r="AU173" s="32" t="str">
        <f t="shared" ca="1" si="22"/>
        <v/>
      </c>
      <c r="AV173" s="32" t="str" cm="1">
        <f t="array" aca="1" ref="AV173" ca="1">IFERROR(_xlfn.IFS($AU173="","",$AU173&lt;=15,"0-15",AND($AU173&gt;=16,$AU173&lt;=30),"16-30",AND($AU173&gt;=31,$AU173&lt;=45),"31-45",AND($AU173&gt;=46,$AU173&lt;=60),"46-60",AND($AU173&gt;=61,$AU173&lt;=90),"61-90",AND($AU173&gt;=91),"&gt; 90",AND($AU173&gt;=2000),""),"")</f>
        <v/>
      </c>
      <c r="AW173" s="32" cm="1">
        <f t="array" aca="1" ref="AW173" ca="1">IFERROR(_xlfn.IFS(OR($M173="",$AM173=""),"",OR($C173="Offered",$C173="Joined"),($AM173-$M173)-$AT173),"")</f>
        <v>53</v>
      </c>
      <c r="AX173" s="32" cm="1">
        <f t="array" aca="1" ref="AX173" ca="1">IFERROR(_xlfn.IFS(OR($M173="",$AS173=""),"",$C173="Joined",($AS173-$M173)-$AT173),"")</f>
        <v>113</v>
      </c>
      <c r="AY173" s="30" t="str">
        <f>IFERROR(IF(COUNTIFS('Candidate Tracker'!$E:$E,'Positions Tracker'!$B173,'Candidate Tracker'!$C:$C,"Offer Drop")=0,"",COUNTIFS('Candidate Tracker'!$E:$E,'Positions Tracker'!$B173,'Candidate Tracker'!$C:$C,"Offer Drop")),"")</f>
        <v/>
      </c>
      <c r="AZ1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3" s="34" t="str">
        <f>IFERROR(IF(COUNTIFS('Candidate Tracker'!$E:$E,'Positions Tracker'!$B173,'Candidate Tracker'!$I:$I,"Female")=0,"",COUNTIFS('Candidate Tracker'!$E:$E,'Positions Tracker'!$B173,'Candidate Tracker'!$I:$I,"Female")),"")</f>
        <v/>
      </c>
      <c r="BB173" s="34" t="str">
        <f>IFERROR(IF(COUNTIFS('Candidate Tracker'!$E:$E,'Positions Tracker'!$B173,'Candidate Tracker'!$I:$I,"male")=0,"",COUNTIFS('Candidate Tracker'!$E:$E,'Positions Tracker'!$B173,'Candidate Tracker'!$I:$I,"male")),"")</f>
        <v/>
      </c>
      <c r="BC173" s="33" t="str">
        <f>IFERROR(IF(COUNTIFS('Candidate Tracker'!$E:$E,'Positions Tracker'!$B173,'Candidate Tracker'!$C:$C,"&lt;&gt;WIP",'Candidate Tracker'!$C:$C,"&lt;&gt;Hold",'Candidate Tracker'!$C:$C,"&lt;&gt;Cancelled",'Candidate Tracker'!$C:$C,"&lt;&gt;Closed")/COUNTIFS('Candidate Tracker'!$E:$E,'Positions Tracker'!$B173)=0,"",COUNTIFS('Candidate Tracker'!$E:$E,'Positions Tracker'!$B173,'Candidate Tracker'!$C:$C,"&lt;&gt;WIP",'Candidate Tracker'!$C:$C,"&lt;&gt;Hold",'Candidate Tracker'!$C:$C,"&lt;&gt;Cancelled",'Candidate Tracker'!$C:$C,"&lt;&gt;Closed")/COUNTIFS('Candidate Tracker'!$E:$E,'Positions Tracker'!$B173)),"")</f>
        <v/>
      </c>
      <c r="BD173" s="30" t="str">
        <f t="shared" si="25"/>
        <v>Jun-24</v>
      </c>
      <c r="BE173" s="30" t="str">
        <f t="shared" si="26"/>
        <v>Jul-24</v>
      </c>
      <c r="BF173" s="30" t="str">
        <f t="shared" si="27"/>
        <v>Aug-24</v>
      </c>
      <c r="BG173" s="30" t="str">
        <f t="shared" si="28"/>
        <v>Sep-24</v>
      </c>
    </row>
    <row r="174" spans="1:59">
      <c r="A174" s="30">
        <f t="shared" si="23"/>
        <v>173</v>
      </c>
      <c r="B174" s="30"/>
      <c r="C174" s="30" t="s">
        <v>51</v>
      </c>
      <c r="D174" s="30" t="s">
        <v>51</v>
      </c>
      <c r="E174" s="30" t="s">
        <v>4225</v>
      </c>
      <c r="F174" s="30"/>
      <c r="G174" s="30"/>
      <c r="H174" s="30"/>
      <c r="I174" s="30" t="s">
        <v>4226</v>
      </c>
      <c r="J174" s="30" t="s">
        <v>135</v>
      </c>
      <c r="K174" s="31"/>
      <c r="L174" s="31">
        <v>45453</v>
      </c>
      <c r="M174" s="31">
        <v>45454</v>
      </c>
      <c r="N174" s="30"/>
      <c r="O174" s="31"/>
      <c r="P174" s="31"/>
      <c r="Q174" s="31"/>
      <c r="R174" s="31"/>
      <c r="S174" s="31"/>
      <c r="T174" s="31"/>
      <c r="U174" s="30"/>
      <c r="V174" s="30"/>
      <c r="W174" s="30"/>
      <c r="X174" s="30" t="s">
        <v>4211</v>
      </c>
      <c r="Y174" s="30" t="s">
        <v>4201</v>
      </c>
      <c r="Z174" s="30" t="s">
        <v>351</v>
      </c>
      <c r="AA174" s="30" t="s">
        <v>51</v>
      </c>
      <c r="AB174" s="30"/>
      <c r="AC174" s="30"/>
      <c r="AD174" s="30"/>
      <c r="AE174" s="30" t="s">
        <v>4227</v>
      </c>
      <c r="AF174" s="30">
        <v>7875176601</v>
      </c>
      <c r="AG174" s="30"/>
      <c r="AH174" s="31" t="s">
        <v>55</v>
      </c>
      <c r="AI174" s="31">
        <v>45491</v>
      </c>
      <c r="AJ174" s="31"/>
      <c r="AK174" s="30"/>
      <c r="AL174" s="30">
        <v>830000</v>
      </c>
      <c r="AM174" s="31">
        <v>45533</v>
      </c>
      <c r="AN174" s="31"/>
      <c r="AO174" s="31"/>
      <c r="AP174" s="31"/>
      <c r="AQ174" s="31"/>
      <c r="AR174" s="31"/>
      <c r="AS174" s="31">
        <v>45565</v>
      </c>
      <c r="AT174" s="30">
        <f t="shared" ca="1" si="24"/>
        <v>0</v>
      </c>
      <c r="AU174" s="32" t="str">
        <f t="shared" ca="1" si="22"/>
        <v/>
      </c>
      <c r="AV174" s="32" t="str" cm="1">
        <f t="array" aca="1" ref="AV174" ca="1">IFERROR(_xlfn.IFS($AU174="","",$AU174&lt;=15,"0-15",AND($AU174&gt;=16,$AU174&lt;=30),"16-30",AND($AU174&gt;=31,$AU174&lt;=45),"31-45",AND($AU174&gt;=46,$AU174&lt;=60),"46-60",AND($AU174&gt;=61,$AU174&lt;=90),"61-90",AND($AU174&gt;=91),"&gt; 90",AND($AU174&gt;=2000),""),"")</f>
        <v/>
      </c>
      <c r="AW174" s="32" cm="1">
        <f t="array" aca="1" ref="AW174" ca="1">IFERROR(_xlfn.IFS(OR($M174="",$AM174=""),"",OR($C174="Offered",$C174="Joined"),($AM174-$M174)-$AT174),"")</f>
        <v>79</v>
      </c>
      <c r="AX174" s="32" cm="1">
        <f t="array" aca="1" ref="AX174" ca="1">IFERROR(_xlfn.IFS(OR($M174="",$AS174=""),"",$C174="Joined",($AS174-$M174)-$AT174),"")</f>
        <v>111</v>
      </c>
      <c r="AY174" s="30" t="str">
        <f>IFERROR(IF(COUNTIFS('Candidate Tracker'!$E:$E,'Positions Tracker'!$B174,'Candidate Tracker'!$C:$C,"Offer Drop")=0,"",COUNTIFS('Candidate Tracker'!$E:$E,'Positions Tracker'!$B174,'Candidate Tracker'!$C:$C,"Offer Drop")),"")</f>
        <v/>
      </c>
      <c r="AZ1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4" s="34" t="str">
        <f>IFERROR(IF(COUNTIFS('Candidate Tracker'!$E:$E,'Positions Tracker'!$B174,'Candidate Tracker'!$I:$I,"Female")=0,"",COUNTIFS('Candidate Tracker'!$E:$E,'Positions Tracker'!$B174,'Candidate Tracker'!$I:$I,"Female")),"")</f>
        <v/>
      </c>
      <c r="BB174" s="34" t="str">
        <f>IFERROR(IF(COUNTIFS('Candidate Tracker'!$E:$E,'Positions Tracker'!$B174,'Candidate Tracker'!$I:$I,"male")=0,"",COUNTIFS('Candidate Tracker'!$E:$E,'Positions Tracker'!$B174,'Candidate Tracker'!$I:$I,"male")),"")</f>
        <v/>
      </c>
      <c r="BC174" s="33" t="str">
        <f>IFERROR(IF(COUNTIFS('Candidate Tracker'!$E:$E,'Positions Tracker'!$B174,'Candidate Tracker'!$C:$C,"&lt;&gt;WIP",'Candidate Tracker'!$C:$C,"&lt;&gt;Hold",'Candidate Tracker'!$C:$C,"&lt;&gt;Cancelled",'Candidate Tracker'!$C:$C,"&lt;&gt;Closed")/COUNTIFS('Candidate Tracker'!$E:$E,'Positions Tracker'!$B174)=0,"",COUNTIFS('Candidate Tracker'!$E:$E,'Positions Tracker'!$B174,'Candidate Tracker'!$C:$C,"&lt;&gt;WIP",'Candidate Tracker'!$C:$C,"&lt;&gt;Hold",'Candidate Tracker'!$C:$C,"&lt;&gt;Cancelled",'Candidate Tracker'!$C:$C,"&lt;&gt;Closed")/COUNTIFS('Candidate Tracker'!$E:$E,'Positions Tracker'!$B174)),"")</f>
        <v/>
      </c>
      <c r="BD174" s="30" t="str">
        <f t="shared" si="25"/>
        <v>Jun-24</v>
      </c>
      <c r="BE174" s="30" t="str">
        <f t="shared" si="26"/>
        <v>Jul-24</v>
      </c>
      <c r="BF174" s="30" t="str">
        <f t="shared" si="27"/>
        <v>Aug-24</v>
      </c>
      <c r="BG174" s="30" t="str">
        <f t="shared" si="28"/>
        <v>Sep-24</v>
      </c>
    </row>
    <row r="175" spans="1:59">
      <c r="A175" s="30">
        <f t="shared" si="23"/>
        <v>174</v>
      </c>
      <c r="B175" s="30"/>
      <c r="C175" s="30" t="s">
        <v>51</v>
      </c>
      <c r="D175" s="30" t="s">
        <v>51</v>
      </c>
      <c r="E175" s="30" t="s">
        <v>2559</v>
      </c>
      <c r="F175" s="30" t="s">
        <v>4228</v>
      </c>
      <c r="G175" s="30" t="s">
        <v>3</v>
      </c>
      <c r="H175" s="30" t="s">
        <v>66</v>
      </c>
      <c r="I175" s="30" t="s">
        <v>2560</v>
      </c>
      <c r="J175" s="30" t="s">
        <v>135</v>
      </c>
      <c r="K175" s="31">
        <v>45580</v>
      </c>
      <c r="L175" s="31">
        <v>45580</v>
      </c>
      <c r="M175" s="31">
        <v>45580</v>
      </c>
      <c r="N175" s="30"/>
      <c r="O175" s="31"/>
      <c r="P175" s="31"/>
      <c r="Q175" s="31"/>
      <c r="R175" s="31"/>
      <c r="S175" s="31"/>
      <c r="T175" s="31"/>
      <c r="U175" s="30"/>
      <c r="V175" s="30"/>
      <c r="W175" s="30"/>
      <c r="X175" s="30" t="s">
        <v>63</v>
      </c>
      <c r="Y175" s="30" t="s">
        <v>218</v>
      </c>
      <c r="Z175" s="30" t="s">
        <v>218</v>
      </c>
      <c r="AA175" s="30" t="s">
        <v>51</v>
      </c>
      <c r="AB175" s="30"/>
      <c r="AC175" s="30"/>
      <c r="AD175" s="30"/>
      <c r="AE175" s="30" t="s">
        <v>2556</v>
      </c>
      <c r="AF175" s="30" t="s">
        <v>2557</v>
      </c>
      <c r="AG175" s="30" t="s">
        <v>2558</v>
      </c>
      <c r="AH175" s="31" t="s">
        <v>55</v>
      </c>
      <c r="AI175" s="31">
        <v>45492</v>
      </c>
      <c r="AJ175" s="31">
        <v>45492</v>
      </c>
      <c r="AK175" s="30" t="s">
        <v>63</v>
      </c>
      <c r="AL175" s="30">
        <v>1100000</v>
      </c>
      <c r="AM175" s="31">
        <v>45507</v>
      </c>
      <c r="AN175" s="31">
        <v>45391</v>
      </c>
      <c r="AO175" s="31"/>
      <c r="AP175" s="31">
        <v>45391</v>
      </c>
      <c r="AQ175" s="31">
        <v>45393</v>
      </c>
      <c r="AR175" s="31">
        <v>45568</v>
      </c>
      <c r="AS175" s="31">
        <v>45572</v>
      </c>
      <c r="AT175" s="30">
        <f t="shared" ca="1" si="24"/>
        <v>0</v>
      </c>
      <c r="AU175" s="32" t="str">
        <f t="shared" ca="1" si="22"/>
        <v/>
      </c>
      <c r="AV175" s="32" t="str" cm="1">
        <f t="array" aca="1" ref="AV175" ca="1">IFERROR(_xlfn.IFS($AU175="","",$AU175&lt;=15,"0-15",AND($AU175&gt;=16,$AU175&lt;=30),"16-30",AND($AU175&gt;=31,$AU175&lt;=45),"31-45",AND($AU175&gt;=46,$AU175&lt;=60),"46-60",AND($AU175&gt;=61,$AU175&lt;=90),"61-90",AND($AU175&gt;=91),"&gt; 90",AND($AU175&gt;=2000),""),"")</f>
        <v/>
      </c>
      <c r="AW175" s="32" cm="1">
        <f t="array" aca="1" ref="AW175" ca="1">IFERROR(_xlfn.IFS(OR($M175="",$AM175=""),"",OR($C175="Offered",$C175="Joined"),($AM175-$M175)-$AT175),"")</f>
        <v>-73</v>
      </c>
      <c r="AX175" s="32" cm="1">
        <f t="array" aca="1" ref="AX175" ca="1">IFERROR(_xlfn.IFS(OR($M175="",$AS175=""),"",$C175="Joined",($AS175-$M175)-$AT175),"")</f>
        <v>-8</v>
      </c>
      <c r="AY175" s="30" t="str">
        <f>IFERROR(IF(COUNTIFS('Candidate Tracker'!$E:$E,'Positions Tracker'!$B175,'Candidate Tracker'!$C:$C,"Offer Drop")=0,"",COUNTIFS('Candidate Tracker'!$E:$E,'Positions Tracker'!$B175,'Candidate Tracker'!$C:$C,"Offer Drop")),"")</f>
        <v/>
      </c>
      <c r="AZ1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5" s="34" t="str">
        <f>IFERROR(IF(COUNTIFS('Candidate Tracker'!$E:$E,'Positions Tracker'!$B175,'Candidate Tracker'!$I:$I,"Female")=0,"",COUNTIFS('Candidate Tracker'!$E:$E,'Positions Tracker'!$B175,'Candidate Tracker'!$I:$I,"Female")),"")</f>
        <v/>
      </c>
      <c r="BB175" s="34" t="str">
        <f>IFERROR(IF(COUNTIFS('Candidate Tracker'!$E:$E,'Positions Tracker'!$B175,'Candidate Tracker'!$I:$I,"male")=0,"",COUNTIFS('Candidate Tracker'!$E:$E,'Positions Tracker'!$B175,'Candidate Tracker'!$I:$I,"male")),"")</f>
        <v/>
      </c>
      <c r="BC175" s="33" t="str">
        <f>IFERROR(IF(COUNTIFS('Candidate Tracker'!$E:$E,'Positions Tracker'!$B175,'Candidate Tracker'!$C:$C,"&lt;&gt;WIP",'Candidate Tracker'!$C:$C,"&lt;&gt;Hold",'Candidate Tracker'!$C:$C,"&lt;&gt;Cancelled",'Candidate Tracker'!$C:$C,"&lt;&gt;Closed")/COUNTIFS('Candidate Tracker'!$E:$E,'Positions Tracker'!$B175)=0,"",COUNTIFS('Candidate Tracker'!$E:$E,'Positions Tracker'!$B175,'Candidate Tracker'!$C:$C,"&lt;&gt;WIP",'Candidate Tracker'!$C:$C,"&lt;&gt;Hold",'Candidate Tracker'!$C:$C,"&lt;&gt;Cancelled",'Candidate Tracker'!$C:$C,"&lt;&gt;Closed")/COUNTIFS('Candidate Tracker'!$E:$E,'Positions Tracker'!$B175)),"")</f>
        <v/>
      </c>
      <c r="BD175" s="30" t="str">
        <f t="shared" si="25"/>
        <v>Oct-24</v>
      </c>
      <c r="BE175" s="30" t="str">
        <f t="shared" si="26"/>
        <v>Jul-24</v>
      </c>
      <c r="BF175" s="30" t="str">
        <f t="shared" si="27"/>
        <v>Aug-24</v>
      </c>
      <c r="BG175" s="30" t="str">
        <f t="shared" si="28"/>
        <v>Oct-24</v>
      </c>
    </row>
    <row r="176" spans="1:59">
      <c r="A176" s="30">
        <f t="shared" si="23"/>
        <v>175</v>
      </c>
      <c r="B176" s="30"/>
      <c r="C176" s="30" t="s">
        <v>51</v>
      </c>
      <c r="D176" s="30" t="s">
        <v>51</v>
      </c>
      <c r="E176" s="30" t="s">
        <v>599</v>
      </c>
      <c r="F176" s="30" t="s">
        <v>4229</v>
      </c>
      <c r="G176" s="30" t="s">
        <v>3</v>
      </c>
      <c r="H176" s="30" t="s">
        <v>118</v>
      </c>
      <c r="I176" s="30" t="s">
        <v>116</v>
      </c>
      <c r="J176" s="30" t="s">
        <v>135</v>
      </c>
      <c r="K176" s="31">
        <v>45628</v>
      </c>
      <c r="L176" s="31">
        <v>45628</v>
      </c>
      <c r="M176" s="31">
        <v>45628</v>
      </c>
      <c r="N176" s="30" t="s">
        <v>3855</v>
      </c>
      <c r="O176" s="31"/>
      <c r="P176" s="31"/>
      <c r="Q176" s="31"/>
      <c r="R176" s="31"/>
      <c r="S176" s="31"/>
      <c r="T176" s="31"/>
      <c r="U176" s="30"/>
      <c r="V176" s="30"/>
      <c r="W176" s="30"/>
      <c r="X176" s="30" t="s">
        <v>63</v>
      </c>
      <c r="Y176" s="30" t="s">
        <v>65</v>
      </c>
      <c r="Z176" s="30" t="s">
        <v>65</v>
      </c>
      <c r="AA176" s="30" t="s">
        <v>4202</v>
      </c>
      <c r="AB176" s="30"/>
      <c r="AC176" s="30"/>
      <c r="AD176" s="30"/>
      <c r="AE176" s="30" t="s">
        <v>597</v>
      </c>
      <c r="AF176" s="30">
        <v>9766899143</v>
      </c>
      <c r="AG176" s="30"/>
      <c r="AH176" s="31" t="s">
        <v>101</v>
      </c>
      <c r="AI176" s="31">
        <v>45600</v>
      </c>
      <c r="AJ176" s="31"/>
      <c r="AK176" s="30"/>
      <c r="AL176" s="30">
        <v>800000</v>
      </c>
      <c r="AM176" s="31">
        <v>45628</v>
      </c>
      <c r="AN176" s="31"/>
      <c r="AO176" s="31"/>
      <c r="AP176" s="31"/>
      <c r="AQ176" s="31"/>
      <c r="AR176" s="31"/>
      <c r="AS176" s="31">
        <v>45628</v>
      </c>
      <c r="AT176" s="30">
        <f t="shared" ca="1" si="24"/>
        <v>0</v>
      </c>
      <c r="AU176" s="32" t="str">
        <f t="shared" ca="1" si="22"/>
        <v/>
      </c>
      <c r="AV176" s="32" t="str" cm="1">
        <f t="array" aca="1" ref="AV176" ca="1">IFERROR(_xlfn.IFS($AU176="","",$AU176&lt;=15,"0-15",AND($AU176&gt;=16,$AU176&lt;=30),"16-30",AND($AU176&gt;=31,$AU176&lt;=45),"31-45",AND($AU176&gt;=46,$AU176&lt;=60),"46-60",AND($AU176&gt;=61,$AU176&lt;=90),"61-90",AND($AU176&gt;=91),"&gt; 90",AND($AU176&gt;=2000),""),"")</f>
        <v/>
      </c>
      <c r="AW176" s="32" cm="1">
        <f t="array" aca="1" ref="AW176" ca="1">IFERROR(_xlfn.IFS(OR($M176="",$AM176=""),"",OR($C176="Offered",$C176="Joined"),($AM176-$M176)-$AT176),"")</f>
        <v>0</v>
      </c>
      <c r="AX176" s="32" cm="1">
        <f t="array" aca="1" ref="AX176" ca="1">IFERROR(_xlfn.IFS(OR($M176="",$AS176=""),"",$C176="Joined",($AS176-$M176)-$AT176),"")</f>
        <v>0</v>
      </c>
      <c r="AY176" s="30" t="str">
        <f>IFERROR(IF(COUNTIFS('Candidate Tracker'!$E:$E,'Positions Tracker'!$B176,'Candidate Tracker'!$C:$C,"Offer Drop")=0,"",COUNTIFS('Candidate Tracker'!$E:$E,'Positions Tracker'!$B176,'Candidate Tracker'!$C:$C,"Offer Drop")),"")</f>
        <v/>
      </c>
      <c r="AZ1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6" s="34" t="str">
        <f>IFERROR(IF(COUNTIFS('Candidate Tracker'!$E:$E,'Positions Tracker'!$B176,'Candidate Tracker'!$I:$I,"Female")=0,"",COUNTIFS('Candidate Tracker'!$E:$E,'Positions Tracker'!$B176,'Candidate Tracker'!$I:$I,"Female")),"")</f>
        <v/>
      </c>
      <c r="BB176" s="34" t="str">
        <f>IFERROR(IF(COUNTIFS('Candidate Tracker'!$E:$E,'Positions Tracker'!$B176,'Candidate Tracker'!$I:$I,"male")=0,"",COUNTIFS('Candidate Tracker'!$E:$E,'Positions Tracker'!$B176,'Candidate Tracker'!$I:$I,"male")),"")</f>
        <v/>
      </c>
      <c r="BC176" s="33" t="str">
        <f>IFERROR(IF(COUNTIFS('Candidate Tracker'!$E:$E,'Positions Tracker'!$B176,'Candidate Tracker'!$C:$C,"&lt;&gt;WIP",'Candidate Tracker'!$C:$C,"&lt;&gt;Hold",'Candidate Tracker'!$C:$C,"&lt;&gt;Cancelled",'Candidate Tracker'!$C:$C,"&lt;&gt;Closed")/COUNTIFS('Candidate Tracker'!$E:$E,'Positions Tracker'!$B176)=0,"",COUNTIFS('Candidate Tracker'!$E:$E,'Positions Tracker'!$B176,'Candidate Tracker'!$C:$C,"&lt;&gt;WIP",'Candidate Tracker'!$C:$C,"&lt;&gt;Hold",'Candidate Tracker'!$C:$C,"&lt;&gt;Cancelled",'Candidate Tracker'!$C:$C,"&lt;&gt;Closed")/COUNTIFS('Candidate Tracker'!$E:$E,'Positions Tracker'!$B176)),"")</f>
        <v/>
      </c>
      <c r="BD176" s="30" t="str">
        <f t="shared" si="25"/>
        <v>Dec-24</v>
      </c>
      <c r="BE176" s="30" t="str">
        <f t="shared" si="26"/>
        <v>Nov-24</v>
      </c>
      <c r="BF176" s="30" t="str">
        <f t="shared" si="27"/>
        <v>Dec-24</v>
      </c>
      <c r="BG176" s="30" t="str">
        <f t="shared" si="28"/>
        <v>Dec-24</v>
      </c>
    </row>
    <row r="177" spans="1:59">
      <c r="A177" s="30">
        <f t="shared" si="23"/>
        <v>176</v>
      </c>
      <c r="B177" s="30"/>
      <c r="C177" s="30" t="s">
        <v>1044</v>
      </c>
      <c r="D177" s="30" t="s">
        <v>320</v>
      </c>
      <c r="E177" s="30" t="s">
        <v>4230</v>
      </c>
      <c r="F177" s="30" t="s">
        <v>4231</v>
      </c>
      <c r="G177" s="30"/>
      <c r="H177" s="30"/>
      <c r="I177" s="30" t="s">
        <v>2560</v>
      </c>
      <c r="J177" s="30" t="s">
        <v>135</v>
      </c>
      <c r="K177" s="31"/>
      <c r="L177" s="31">
        <v>45347</v>
      </c>
      <c r="M177" s="31">
        <v>45348</v>
      </c>
      <c r="N177" s="30"/>
      <c r="O177" s="31"/>
      <c r="P177" s="31"/>
      <c r="Q177" s="31"/>
      <c r="R177" s="31"/>
      <c r="S177" s="31"/>
      <c r="T177" s="31"/>
      <c r="U177" s="30"/>
      <c r="V177" s="30"/>
      <c r="W177" s="30"/>
      <c r="X177" s="30" t="s">
        <v>63</v>
      </c>
      <c r="Y177" s="30" t="s">
        <v>4201</v>
      </c>
      <c r="Z177" s="30" t="s">
        <v>4201</v>
      </c>
      <c r="AA177" s="30" t="s">
        <v>4168</v>
      </c>
      <c r="AB177" s="30"/>
      <c r="AC177" s="30"/>
      <c r="AD177" s="30"/>
      <c r="AE177" s="30" t="s">
        <v>4232</v>
      </c>
      <c r="AF177" s="30">
        <v>9686010922</v>
      </c>
      <c r="AG177" s="30"/>
      <c r="AH177" s="31" t="s">
        <v>55</v>
      </c>
      <c r="AI177" s="31">
        <v>45393</v>
      </c>
      <c r="AJ177" s="31"/>
      <c r="AK177" s="30"/>
      <c r="AL177" s="30">
        <v>1100000</v>
      </c>
      <c r="AM177" s="31">
        <v>45427</v>
      </c>
      <c r="AN177" s="31"/>
      <c r="AO177" s="31"/>
      <c r="AP177" s="31"/>
      <c r="AQ177" s="31"/>
      <c r="AR177" s="31"/>
      <c r="AS177" s="31"/>
      <c r="AT177" s="30">
        <f t="shared" ca="1" si="24"/>
        <v>0</v>
      </c>
      <c r="AU177" s="32" t="str">
        <f t="shared" ca="1" si="22"/>
        <v/>
      </c>
      <c r="AV177" s="32" t="str" cm="1">
        <f t="array" aca="1" ref="AV177" ca="1">IFERROR(_xlfn.IFS($AU177="","",$AU177&lt;=15,"0-15",AND($AU177&gt;=16,$AU177&lt;=30),"16-30",AND($AU177&gt;=31,$AU177&lt;=45),"31-45",AND($AU177&gt;=46,$AU177&lt;=60),"46-60",AND($AU177&gt;=61,$AU177&lt;=90),"61-90",AND($AU177&gt;=91),"&gt; 90",AND($AU177&gt;=2000),""),"")</f>
        <v/>
      </c>
      <c r="AW177" s="32" t="str" cm="1">
        <f t="array" aca="1" ref="AW177" ca="1">IFERROR(_xlfn.IFS(OR($M177="",$AM177=""),"",OR($C177="Offered",$C177="Joined"),($AM177-$M177)-$AT177),"")</f>
        <v/>
      </c>
      <c r="AX177" s="32" t="str" cm="1">
        <f t="array" aca="1" ref="AX177" ca="1">IFERROR(_xlfn.IFS(OR($M177="",$AS177=""),"",$C177="Joined",($AS177-$M177)-$AT177),"")</f>
        <v/>
      </c>
      <c r="AY177" s="30" t="str">
        <f>IFERROR(IF(COUNTIFS('Candidate Tracker'!$E:$E,'Positions Tracker'!$B177,'Candidate Tracker'!$C:$C,"Offer Drop")=0,"",COUNTIFS('Candidate Tracker'!$E:$E,'Positions Tracker'!$B177,'Candidate Tracker'!$C:$C,"Offer Drop")),"")</f>
        <v/>
      </c>
      <c r="AZ1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7" s="34" t="str">
        <f>IFERROR(IF(COUNTIFS('Candidate Tracker'!$E:$E,'Positions Tracker'!$B177,'Candidate Tracker'!$I:$I,"Female")=0,"",COUNTIFS('Candidate Tracker'!$E:$E,'Positions Tracker'!$B177,'Candidate Tracker'!$I:$I,"Female")),"")</f>
        <v/>
      </c>
      <c r="BB177" s="34" t="str">
        <f>IFERROR(IF(COUNTIFS('Candidate Tracker'!$E:$E,'Positions Tracker'!$B177,'Candidate Tracker'!$I:$I,"male")=0,"",COUNTIFS('Candidate Tracker'!$E:$E,'Positions Tracker'!$B177,'Candidate Tracker'!$I:$I,"male")),"")</f>
        <v/>
      </c>
      <c r="BC177" s="33" t="str">
        <f>IFERROR(IF(COUNTIFS('Candidate Tracker'!$E:$E,'Positions Tracker'!$B177,'Candidate Tracker'!$C:$C,"&lt;&gt;WIP",'Candidate Tracker'!$C:$C,"&lt;&gt;Hold",'Candidate Tracker'!$C:$C,"&lt;&gt;Cancelled",'Candidate Tracker'!$C:$C,"&lt;&gt;Closed")/COUNTIFS('Candidate Tracker'!$E:$E,'Positions Tracker'!$B177)=0,"",COUNTIFS('Candidate Tracker'!$E:$E,'Positions Tracker'!$B177,'Candidate Tracker'!$C:$C,"&lt;&gt;WIP",'Candidate Tracker'!$C:$C,"&lt;&gt;Hold",'Candidate Tracker'!$C:$C,"&lt;&gt;Cancelled",'Candidate Tracker'!$C:$C,"&lt;&gt;Closed")/COUNTIFS('Candidate Tracker'!$E:$E,'Positions Tracker'!$B177)),"")</f>
        <v/>
      </c>
      <c r="BD177" s="30" t="str">
        <f t="shared" si="25"/>
        <v>Feb-24</v>
      </c>
      <c r="BE177" s="30" t="str">
        <f t="shared" si="26"/>
        <v>Apr-24</v>
      </c>
      <c r="BF177" s="30" t="str">
        <f t="shared" si="27"/>
        <v>May-24</v>
      </c>
      <c r="BG177" s="30" t="str">
        <f t="shared" si="28"/>
        <v/>
      </c>
    </row>
    <row r="178" spans="1:59">
      <c r="A178" s="30">
        <f t="shared" si="23"/>
        <v>177</v>
      </c>
      <c r="B178" s="30"/>
      <c r="C178" s="30" t="s">
        <v>1044</v>
      </c>
      <c r="D178" s="30" t="s">
        <v>320</v>
      </c>
      <c r="E178" s="30" t="s">
        <v>445</v>
      </c>
      <c r="F178" s="30" t="s">
        <v>4233</v>
      </c>
      <c r="G178" s="30"/>
      <c r="H178" s="30"/>
      <c r="I178" s="30" t="s">
        <v>438</v>
      </c>
      <c r="J178" s="30" t="s">
        <v>135</v>
      </c>
      <c r="K178" s="31"/>
      <c r="L178" s="31">
        <v>45433</v>
      </c>
      <c r="M178" s="31">
        <v>45434</v>
      </c>
      <c r="N178" s="30"/>
      <c r="O178" s="31"/>
      <c r="P178" s="31"/>
      <c r="Q178" s="31"/>
      <c r="R178" s="31"/>
      <c r="S178" s="31"/>
      <c r="T178" s="31"/>
      <c r="U178" s="30"/>
      <c r="V178" s="30"/>
      <c r="W178" s="30"/>
      <c r="X178" s="30" t="s">
        <v>63</v>
      </c>
      <c r="Y178" s="30" t="s">
        <v>4201</v>
      </c>
      <c r="Z178" s="30" t="s">
        <v>4201</v>
      </c>
      <c r="AA178" s="30" t="s">
        <v>4234</v>
      </c>
      <c r="AB178" s="30"/>
      <c r="AC178" s="30"/>
      <c r="AD178" s="30"/>
      <c r="AE178" s="30" t="s">
        <v>4235</v>
      </c>
      <c r="AF178" s="30">
        <v>7893435617</v>
      </c>
      <c r="AG178" s="30"/>
      <c r="AH178" s="31" t="s">
        <v>55</v>
      </c>
      <c r="AI178" s="31">
        <v>45471</v>
      </c>
      <c r="AJ178" s="31"/>
      <c r="AK178" s="30"/>
      <c r="AL178" s="30">
        <v>1200000</v>
      </c>
      <c r="AM178" s="31">
        <v>45475</v>
      </c>
      <c r="AN178" s="31"/>
      <c r="AO178" s="31"/>
      <c r="AP178" s="31"/>
      <c r="AQ178" s="31"/>
      <c r="AR178" s="31"/>
      <c r="AS178" s="31"/>
      <c r="AT178" s="30">
        <f t="shared" ca="1" si="24"/>
        <v>0</v>
      </c>
      <c r="AU178" s="32" t="str">
        <f t="shared" ca="1" si="22"/>
        <v/>
      </c>
      <c r="AV178" s="32" t="str" cm="1">
        <f t="array" aca="1" ref="AV178" ca="1">IFERROR(_xlfn.IFS($AU178="","",$AU178&lt;=15,"0-15",AND($AU178&gt;=16,$AU178&lt;=30),"16-30",AND($AU178&gt;=31,$AU178&lt;=45),"31-45",AND($AU178&gt;=46,$AU178&lt;=60),"46-60",AND($AU178&gt;=61,$AU178&lt;=90),"61-90",AND($AU178&gt;=91),"&gt; 90",AND($AU178&gt;=2000),""),"")</f>
        <v/>
      </c>
      <c r="AW178" s="32" t="str" cm="1">
        <f t="array" aca="1" ref="AW178" ca="1">IFERROR(_xlfn.IFS(OR($M178="",$AM178=""),"",OR($C178="Offered",$C178="Joined"),($AM178-$M178)-$AT178),"")</f>
        <v/>
      </c>
      <c r="AX178" s="32" t="str" cm="1">
        <f t="array" aca="1" ref="AX178" ca="1">IFERROR(_xlfn.IFS(OR($M178="",$AS178=""),"",$C178="Joined",($AS178-$M178)-$AT178),"")</f>
        <v/>
      </c>
      <c r="AY178" s="30" t="str">
        <f>IFERROR(IF(COUNTIFS('Candidate Tracker'!$E:$E,'Positions Tracker'!$B178,'Candidate Tracker'!$C:$C,"Offer Drop")=0,"",COUNTIFS('Candidate Tracker'!$E:$E,'Positions Tracker'!$B178,'Candidate Tracker'!$C:$C,"Offer Drop")),"")</f>
        <v/>
      </c>
      <c r="AZ1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8" s="34" t="str">
        <f>IFERROR(IF(COUNTIFS('Candidate Tracker'!$E:$E,'Positions Tracker'!$B178,'Candidate Tracker'!$I:$I,"Female")=0,"",COUNTIFS('Candidate Tracker'!$E:$E,'Positions Tracker'!$B178,'Candidate Tracker'!$I:$I,"Female")),"")</f>
        <v/>
      </c>
      <c r="BB178" s="34" t="str">
        <f>IFERROR(IF(COUNTIFS('Candidate Tracker'!$E:$E,'Positions Tracker'!$B178,'Candidate Tracker'!$I:$I,"male")=0,"",COUNTIFS('Candidate Tracker'!$E:$E,'Positions Tracker'!$B178,'Candidate Tracker'!$I:$I,"male")),"")</f>
        <v/>
      </c>
      <c r="BC178" s="33" t="str">
        <f>IFERROR(IF(COUNTIFS('Candidate Tracker'!$E:$E,'Positions Tracker'!$B178,'Candidate Tracker'!$C:$C,"&lt;&gt;WIP",'Candidate Tracker'!$C:$C,"&lt;&gt;Hold",'Candidate Tracker'!$C:$C,"&lt;&gt;Cancelled",'Candidate Tracker'!$C:$C,"&lt;&gt;Closed")/COUNTIFS('Candidate Tracker'!$E:$E,'Positions Tracker'!$B178)=0,"",COUNTIFS('Candidate Tracker'!$E:$E,'Positions Tracker'!$B178,'Candidate Tracker'!$C:$C,"&lt;&gt;WIP",'Candidate Tracker'!$C:$C,"&lt;&gt;Hold",'Candidate Tracker'!$C:$C,"&lt;&gt;Cancelled",'Candidate Tracker'!$C:$C,"&lt;&gt;Closed")/COUNTIFS('Candidate Tracker'!$E:$E,'Positions Tracker'!$B178)),"")</f>
        <v/>
      </c>
      <c r="BD178" s="30" t="str">
        <f t="shared" si="25"/>
        <v>May-24</v>
      </c>
      <c r="BE178" s="30" t="str">
        <f t="shared" si="26"/>
        <v>Jun-24</v>
      </c>
      <c r="BF178" s="30" t="str">
        <f t="shared" si="27"/>
        <v>Jul-24</v>
      </c>
      <c r="BG178" s="30" t="str">
        <f t="shared" si="28"/>
        <v/>
      </c>
    </row>
    <row r="179" spans="1:59">
      <c r="A179" s="30">
        <f t="shared" si="23"/>
        <v>178</v>
      </c>
      <c r="B179" s="30"/>
      <c r="C179" s="30" t="s">
        <v>1044</v>
      </c>
      <c r="D179" s="30" t="s">
        <v>320</v>
      </c>
      <c r="E179" s="30" t="s">
        <v>4236</v>
      </c>
      <c r="F179" s="30" t="s">
        <v>4237</v>
      </c>
      <c r="G179" s="30"/>
      <c r="H179" s="30"/>
      <c r="I179" s="30" t="s">
        <v>4238</v>
      </c>
      <c r="J179" s="30" t="s">
        <v>135</v>
      </c>
      <c r="K179" s="31"/>
      <c r="L179" s="31">
        <v>45428</v>
      </c>
      <c r="M179" s="31">
        <v>45429</v>
      </c>
      <c r="N179" s="30"/>
      <c r="O179" s="31"/>
      <c r="P179" s="31"/>
      <c r="Q179" s="31"/>
      <c r="R179" s="31"/>
      <c r="S179" s="31"/>
      <c r="T179" s="31"/>
      <c r="U179" s="30"/>
      <c r="V179" s="30"/>
      <c r="W179" s="30"/>
      <c r="X179" s="30" t="s">
        <v>4211</v>
      </c>
      <c r="Y179" s="30" t="s">
        <v>4201</v>
      </c>
      <c r="Z179" s="30" t="s">
        <v>351</v>
      </c>
      <c r="AA179" s="30" t="s">
        <v>4234</v>
      </c>
      <c r="AB179" s="30"/>
      <c r="AC179" s="30"/>
      <c r="AD179" s="30"/>
      <c r="AE179" s="30" t="s">
        <v>4239</v>
      </c>
      <c r="AF179" s="30">
        <v>9766185092</v>
      </c>
      <c r="AG179" s="30"/>
      <c r="AH179" s="31" t="s">
        <v>101</v>
      </c>
      <c r="AI179" s="31">
        <v>45474</v>
      </c>
      <c r="AJ179" s="31"/>
      <c r="AK179" s="30"/>
      <c r="AL179" s="30">
        <v>1680000</v>
      </c>
      <c r="AM179" s="31">
        <v>45476</v>
      </c>
      <c r="AN179" s="31"/>
      <c r="AO179" s="31"/>
      <c r="AP179" s="31"/>
      <c r="AQ179" s="31"/>
      <c r="AR179" s="31"/>
      <c r="AS179" s="31"/>
      <c r="AT179" s="30">
        <f t="shared" ca="1" si="24"/>
        <v>0</v>
      </c>
      <c r="AU179" s="32" t="str">
        <f t="shared" ca="1" si="22"/>
        <v/>
      </c>
      <c r="AV179" s="32" t="str" cm="1">
        <f t="array" aca="1" ref="AV179" ca="1">IFERROR(_xlfn.IFS($AU179="","",$AU179&lt;=15,"0-15",AND($AU179&gt;=16,$AU179&lt;=30),"16-30",AND($AU179&gt;=31,$AU179&lt;=45),"31-45",AND($AU179&gt;=46,$AU179&lt;=60),"46-60",AND($AU179&gt;=61,$AU179&lt;=90),"61-90",AND($AU179&gt;=91),"&gt; 90",AND($AU179&gt;=2000),""),"")</f>
        <v/>
      </c>
      <c r="AW179" s="32" t="str" cm="1">
        <f t="array" aca="1" ref="AW179" ca="1">IFERROR(_xlfn.IFS(OR($M179="",$AM179=""),"",OR($C179="Offered",$C179="Joined"),($AM179-$M179)-$AT179),"")</f>
        <v/>
      </c>
      <c r="AX179" s="32" t="str" cm="1">
        <f t="array" aca="1" ref="AX179" ca="1">IFERROR(_xlfn.IFS(OR($M179="",$AS179=""),"",$C179="Joined",($AS179-$M179)-$AT179),"")</f>
        <v/>
      </c>
      <c r="AY179" s="30" t="str">
        <f>IFERROR(IF(COUNTIFS('Candidate Tracker'!$E:$E,'Positions Tracker'!$B179,'Candidate Tracker'!$C:$C,"Offer Drop")=0,"",COUNTIFS('Candidate Tracker'!$E:$E,'Positions Tracker'!$B179,'Candidate Tracker'!$C:$C,"Offer Drop")),"")</f>
        <v/>
      </c>
      <c r="AZ1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79" s="34" t="str">
        <f>IFERROR(IF(COUNTIFS('Candidate Tracker'!$E:$E,'Positions Tracker'!$B179,'Candidate Tracker'!$I:$I,"Female")=0,"",COUNTIFS('Candidate Tracker'!$E:$E,'Positions Tracker'!$B179,'Candidate Tracker'!$I:$I,"Female")),"")</f>
        <v/>
      </c>
      <c r="BB179" s="34" t="str">
        <f>IFERROR(IF(COUNTIFS('Candidate Tracker'!$E:$E,'Positions Tracker'!$B179,'Candidate Tracker'!$I:$I,"male")=0,"",COUNTIFS('Candidate Tracker'!$E:$E,'Positions Tracker'!$B179,'Candidate Tracker'!$I:$I,"male")),"")</f>
        <v/>
      </c>
      <c r="BC179" s="33" t="str">
        <f>IFERROR(IF(COUNTIFS('Candidate Tracker'!$E:$E,'Positions Tracker'!$B179,'Candidate Tracker'!$C:$C,"&lt;&gt;WIP",'Candidate Tracker'!$C:$C,"&lt;&gt;Hold",'Candidate Tracker'!$C:$C,"&lt;&gt;Cancelled",'Candidate Tracker'!$C:$C,"&lt;&gt;Closed")/COUNTIFS('Candidate Tracker'!$E:$E,'Positions Tracker'!$B179)=0,"",COUNTIFS('Candidate Tracker'!$E:$E,'Positions Tracker'!$B179,'Candidate Tracker'!$C:$C,"&lt;&gt;WIP",'Candidate Tracker'!$C:$C,"&lt;&gt;Hold",'Candidate Tracker'!$C:$C,"&lt;&gt;Cancelled",'Candidate Tracker'!$C:$C,"&lt;&gt;Closed")/COUNTIFS('Candidate Tracker'!$E:$E,'Positions Tracker'!$B179)),"")</f>
        <v/>
      </c>
      <c r="BD179" s="30" t="str">
        <f t="shared" si="25"/>
        <v>May-24</v>
      </c>
      <c r="BE179" s="30" t="str">
        <f t="shared" si="26"/>
        <v>Jul-24</v>
      </c>
      <c r="BF179" s="30" t="str">
        <f t="shared" si="27"/>
        <v>Jul-24</v>
      </c>
      <c r="BG179" s="30" t="str">
        <f t="shared" si="28"/>
        <v/>
      </c>
    </row>
    <row r="180" spans="1:59">
      <c r="A180" s="30">
        <f t="shared" si="23"/>
        <v>179</v>
      </c>
      <c r="B180" s="30"/>
      <c r="C180" s="30" t="s">
        <v>1044</v>
      </c>
      <c r="D180" s="30" t="s">
        <v>320</v>
      </c>
      <c r="E180" s="30" t="s">
        <v>1606</v>
      </c>
      <c r="F180" s="30" t="s">
        <v>2959</v>
      </c>
      <c r="G180" s="30" t="s">
        <v>3</v>
      </c>
      <c r="H180" s="30" t="s">
        <v>66</v>
      </c>
      <c r="I180" s="30" t="s">
        <v>433</v>
      </c>
      <c r="J180" s="30" t="s">
        <v>135</v>
      </c>
      <c r="K180" s="31">
        <v>45085</v>
      </c>
      <c r="L180" s="31">
        <v>45337</v>
      </c>
      <c r="M180" s="31">
        <v>45665</v>
      </c>
      <c r="N180" s="30" t="s">
        <v>3855</v>
      </c>
      <c r="O180" s="31"/>
      <c r="P180" s="31"/>
      <c r="Q180" s="31"/>
      <c r="R180" s="31"/>
      <c r="S180" s="31"/>
      <c r="T180" s="31"/>
      <c r="U180" s="30"/>
      <c r="V180" s="30"/>
      <c r="W180" s="30"/>
      <c r="X180" s="30" t="s">
        <v>890</v>
      </c>
      <c r="Y180" s="30" t="s">
        <v>65</v>
      </c>
      <c r="Z180" s="30" t="s">
        <v>65</v>
      </c>
      <c r="AA180" s="30"/>
      <c r="AB180" s="30"/>
      <c r="AC180" s="30"/>
      <c r="AD180" s="30"/>
      <c r="AE180" s="30" t="s">
        <v>4240</v>
      </c>
      <c r="AF180" s="30">
        <v>8087022494</v>
      </c>
      <c r="AG180" s="30"/>
      <c r="AH180" s="31" t="s">
        <v>55</v>
      </c>
      <c r="AI180" s="31">
        <v>45561</v>
      </c>
      <c r="AJ180" s="31"/>
      <c r="AK180" s="30"/>
      <c r="AL180" s="30">
        <v>1600000</v>
      </c>
      <c r="AM180" s="31">
        <v>45574</v>
      </c>
      <c r="AN180" s="31"/>
      <c r="AO180" s="31"/>
      <c r="AP180" s="31"/>
      <c r="AQ180" s="31"/>
      <c r="AR180" s="31"/>
      <c r="AS180" s="31">
        <v>45311</v>
      </c>
      <c r="AT180" s="30">
        <f t="shared" ca="1" si="24"/>
        <v>0</v>
      </c>
      <c r="AU180" s="32" t="str">
        <f t="shared" ca="1" si="22"/>
        <v/>
      </c>
      <c r="AV180" s="32" t="str" cm="1">
        <f t="array" aca="1" ref="AV180" ca="1">IFERROR(_xlfn.IFS($AU180="","",$AU180&lt;=15,"0-15",AND($AU180&gt;=16,$AU180&lt;=30),"16-30",AND($AU180&gt;=31,$AU180&lt;=45),"31-45",AND($AU180&gt;=46,$AU180&lt;=60),"46-60",AND($AU180&gt;=61,$AU180&lt;=90),"61-90",AND($AU180&gt;=91),"&gt; 90",AND($AU180&gt;=2000),""),"")</f>
        <v/>
      </c>
      <c r="AW180" s="32" t="str" cm="1">
        <f t="array" aca="1" ref="AW180" ca="1">IFERROR(_xlfn.IFS(OR($M180="",$AM180=""),"",OR($C180="Offered",$C180="Joined"),($AM180-$M180)-$AT180),"")</f>
        <v/>
      </c>
      <c r="AX180" s="32" t="str" cm="1">
        <f t="array" aca="1" ref="AX180" ca="1">IFERROR(_xlfn.IFS(OR($M180="",$AS180=""),"",$C180="Joined",($AS180-$M180)-$AT180),"")</f>
        <v/>
      </c>
      <c r="AY180" s="30" t="str">
        <f>IFERROR(IF(COUNTIFS('Candidate Tracker'!$E:$E,'Positions Tracker'!$B180,'Candidate Tracker'!$C:$C,"Offer Drop")=0,"",COUNTIFS('Candidate Tracker'!$E:$E,'Positions Tracker'!$B180,'Candidate Tracker'!$C:$C,"Offer Drop")),"")</f>
        <v/>
      </c>
      <c r="AZ1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0" s="34" t="str">
        <f>IFERROR(IF(COUNTIFS('Candidate Tracker'!$E:$E,'Positions Tracker'!$B180,'Candidate Tracker'!$I:$I,"Female")=0,"",COUNTIFS('Candidate Tracker'!$E:$E,'Positions Tracker'!$B180,'Candidate Tracker'!$I:$I,"Female")),"")</f>
        <v/>
      </c>
      <c r="BB180" s="34" t="str">
        <f>IFERROR(IF(COUNTIFS('Candidate Tracker'!$E:$E,'Positions Tracker'!$B180,'Candidate Tracker'!$I:$I,"male")=0,"",COUNTIFS('Candidate Tracker'!$E:$E,'Positions Tracker'!$B180,'Candidate Tracker'!$I:$I,"male")),"")</f>
        <v/>
      </c>
      <c r="BC180" s="33" t="str">
        <f>IFERROR(IF(COUNTIFS('Candidate Tracker'!$E:$E,'Positions Tracker'!$B180,'Candidate Tracker'!$C:$C,"&lt;&gt;WIP",'Candidate Tracker'!$C:$C,"&lt;&gt;Hold",'Candidate Tracker'!$C:$C,"&lt;&gt;Cancelled",'Candidate Tracker'!$C:$C,"&lt;&gt;Closed")/COUNTIFS('Candidate Tracker'!$E:$E,'Positions Tracker'!$B180)=0,"",COUNTIFS('Candidate Tracker'!$E:$E,'Positions Tracker'!$B180,'Candidate Tracker'!$C:$C,"&lt;&gt;WIP",'Candidate Tracker'!$C:$C,"&lt;&gt;Hold",'Candidate Tracker'!$C:$C,"&lt;&gt;Cancelled",'Candidate Tracker'!$C:$C,"&lt;&gt;Closed")/COUNTIFS('Candidate Tracker'!$E:$E,'Positions Tracker'!$B180)),"")</f>
        <v/>
      </c>
      <c r="BD180" s="30" t="str">
        <f t="shared" si="25"/>
        <v>Jan-25</v>
      </c>
      <c r="BE180" s="30" t="str">
        <f t="shared" si="26"/>
        <v>Sep-24</v>
      </c>
      <c r="BF180" s="30" t="str">
        <f t="shared" si="27"/>
        <v>Oct-24</v>
      </c>
      <c r="BG180" s="30" t="str">
        <f t="shared" si="28"/>
        <v>Jan-24</v>
      </c>
    </row>
    <row r="181" spans="1:59">
      <c r="A181" s="30">
        <f t="shared" si="23"/>
        <v>180</v>
      </c>
      <c r="B181" s="30"/>
      <c r="C181" s="30" t="s">
        <v>1044</v>
      </c>
      <c r="D181" s="30" t="s">
        <v>320</v>
      </c>
      <c r="E181" s="30" t="s">
        <v>4241</v>
      </c>
      <c r="F181" s="30" t="s">
        <v>3913</v>
      </c>
      <c r="G181" s="30" t="s">
        <v>3</v>
      </c>
      <c r="H181" s="30" t="s">
        <v>66</v>
      </c>
      <c r="I181" s="30" t="s">
        <v>563</v>
      </c>
      <c r="J181" s="30" t="s">
        <v>135</v>
      </c>
      <c r="K181" s="31">
        <v>45526</v>
      </c>
      <c r="L181" s="31">
        <v>45520</v>
      </c>
      <c r="M181" s="31">
        <v>45521</v>
      </c>
      <c r="N181" s="30"/>
      <c r="O181" s="31"/>
      <c r="P181" s="31"/>
      <c r="Q181" s="31"/>
      <c r="R181" s="31"/>
      <c r="S181" s="31"/>
      <c r="T181" s="31"/>
      <c r="U181" s="30"/>
      <c r="V181" s="30"/>
      <c r="W181" s="30"/>
      <c r="X181" s="30" t="s">
        <v>63</v>
      </c>
      <c r="Y181" s="30" t="s">
        <v>93</v>
      </c>
      <c r="Z181" s="30" t="s">
        <v>93</v>
      </c>
      <c r="AA181" s="30" t="s">
        <v>4128</v>
      </c>
      <c r="AB181" s="30"/>
      <c r="AC181" s="30"/>
      <c r="AD181" s="30"/>
      <c r="AE181" s="30" t="s">
        <v>4242</v>
      </c>
      <c r="AF181" s="30">
        <v>7741956595</v>
      </c>
      <c r="AG181" s="30"/>
      <c r="AH181" s="31" t="s">
        <v>101</v>
      </c>
      <c r="AI181" s="31">
        <v>45566</v>
      </c>
      <c r="AJ181" s="31"/>
      <c r="AK181" s="30"/>
      <c r="AL181" s="30">
        <v>825000</v>
      </c>
      <c r="AM181" s="31">
        <v>45580</v>
      </c>
      <c r="AN181" s="31">
        <v>45728</v>
      </c>
      <c r="AO181" s="31"/>
      <c r="AP181" s="31">
        <v>45730</v>
      </c>
      <c r="AQ181" s="31">
        <v>45730</v>
      </c>
      <c r="AR181" s="31"/>
      <c r="AS181" s="31">
        <v>45304</v>
      </c>
      <c r="AT181" s="30">
        <f t="shared" ca="1" si="24"/>
        <v>0</v>
      </c>
      <c r="AU181" s="32" t="str">
        <f t="shared" ca="1" si="22"/>
        <v/>
      </c>
      <c r="AV181" s="32" t="str" cm="1">
        <f t="array" aca="1" ref="AV181" ca="1">IFERROR(_xlfn.IFS($AU181="","",$AU181&lt;=15,"0-15",AND($AU181&gt;=16,$AU181&lt;=30),"16-30",AND($AU181&gt;=31,$AU181&lt;=45),"31-45",AND($AU181&gt;=46,$AU181&lt;=60),"46-60",AND($AU181&gt;=61,$AU181&lt;=90),"61-90",AND($AU181&gt;=91),"&gt; 90",AND($AU181&gt;=2000),""),"")</f>
        <v/>
      </c>
      <c r="AW181" s="32" t="str" cm="1">
        <f t="array" aca="1" ref="AW181" ca="1">IFERROR(_xlfn.IFS(OR($M181="",$AM181=""),"",OR($C181="Offered",$C181="Joined"),($AM181-$M181)-$AT181),"")</f>
        <v/>
      </c>
      <c r="AX181" s="32" t="str" cm="1">
        <f t="array" aca="1" ref="AX181" ca="1">IFERROR(_xlfn.IFS(OR($M181="",$AS181=""),"",$C181="Joined",($AS181-$M181)-$AT181),"")</f>
        <v/>
      </c>
      <c r="AY181" s="30" t="str">
        <f>IFERROR(IF(COUNTIFS('Candidate Tracker'!$E:$E,'Positions Tracker'!$B181,'Candidate Tracker'!$C:$C,"Offer Drop")=0,"",COUNTIFS('Candidate Tracker'!$E:$E,'Positions Tracker'!$B181,'Candidate Tracker'!$C:$C,"Offer Drop")),"")</f>
        <v/>
      </c>
      <c r="AZ1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1" s="34" t="str">
        <f>IFERROR(IF(COUNTIFS('Candidate Tracker'!$E:$E,'Positions Tracker'!$B181,'Candidate Tracker'!$I:$I,"Female")=0,"",COUNTIFS('Candidate Tracker'!$E:$E,'Positions Tracker'!$B181,'Candidate Tracker'!$I:$I,"Female")),"")</f>
        <v/>
      </c>
      <c r="BB181" s="34" t="str">
        <f>IFERROR(IF(COUNTIFS('Candidate Tracker'!$E:$E,'Positions Tracker'!$B181,'Candidate Tracker'!$I:$I,"male")=0,"",COUNTIFS('Candidate Tracker'!$E:$E,'Positions Tracker'!$B181,'Candidate Tracker'!$I:$I,"male")),"")</f>
        <v/>
      </c>
      <c r="BC181" s="33" t="str">
        <f>IFERROR(IF(COUNTIFS('Candidate Tracker'!$E:$E,'Positions Tracker'!$B181,'Candidate Tracker'!$C:$C,"&lt;&gt;WIP",'Candidate Tracker'!$C:$C,"&lt;&gt;Hold",'Candidate Tracker'!$C:$C,"&lt;&gt;Cancelled",'Candidate Tracker'!$C:$C,"&lt;&gt;Closed")/COUNTIFS('Candidate Tracker'!$E:$E,'Positions Tracker'!$B181)=0,"",COUNTIFS('Candidate Tracker'!$E:$E,'Positions Tracker'!$B181,'Candidate Tracker'!$C:$C,"&lt;&gt;WIP",'Candidate Tracker'!$C:$C,"&lt;&gt;Hold",'Candidate Tracker'!$C:$C,"&lt;&gt;Cancelled",'Candidate Tracker'!$C:$C,"&lt;&gt;Closed")/COUNTIFS('Candidate Tracker'!$E:$E,'Positions Tracker'!$B181)),"")</f>
        <v/>
      </c>
      <c r="BD181" s="30" t="str">
        <f t="shared" si="25"/>
        <v>Aug-24</v>
      </c>
      <c r="BE181" s="30" t="str">
        <f t="shared" si="26"/>
        <v>Oct-24</v>
      </c>
      <c r="BF181" s="30" t="str">
        <f t="shared" si="27"/>
        <v>Oct-24</v>
      </c>
      <c r="BG181" s="30" t="str">
        <f t="shared" si="28"/>
        <v>Jan-24</v>
      </c>
    </row>
    <row r="182" spans="1:59">
      <c r="A182" s="30">
        <f t="shared" si="23"/>
        <v>181</v>
      </c>
      <c r="B182" s="30"/>
      <c r="C182" s="30" t="s">
        <v>1044</v>
      </c>
      <c r="D182" s="30"/>
      <c r="E182" s="30" t="s">
        <v>4204</v>
      </c>
      <c r="F182" s="30"/>
      <c r="G182" s="30"/>
      <c r="H182" s="30"/>
      <c r="I182" s="30" t="s">
        <v>4205</v>
      </c>
      <c r="J182" s="30" t="s">
        <v>135</v>
      </c>
      <c r="K182" s="31"/>
      <c r="L182" s="31">
        <v>45366</v>
      </c>
      <c r="M182" s="31">
        <v>45367</v>
      </c>
      <c r="N182" s="30"/>
      <c r="O182" s="31"/>
      <c r="P182" s="31"/>
      <c r="Q182" s="31"/>
      <c r="R182" s="31"/>
      <c r="S182" s="31"/>
      <c r="T182" s="31"/>
      <c r="U182" s="30"/>
      <c r="V182" s="30"/>
      <c r="W182" s="30"/>
      <c r="X182" s="30" t="s">
        <v>63</v>
      </c>
      <c r="Y182" s="30" t="s">
        <v>4201</v>
      </c>
      <c r="Z182" s="30" t="s">
        <v>4201</v>
      </c>
      <c r="AA182" s="30" t="s">
        <v>4234</v>
      </c>
      <c r="AB182" s="30"/>
      <c r="AC182" s="30"/>
      <c r="AD182" s="30"/>
      <c r="AE182" s="30" t="s">
        <v>4243</v>
      </c>
      <c r="AF182" s="30">
        <v>7756091692</v>
      </c>
      <c r="AG182" s="30"/>
      <c r="AH182" s="31" t="s">
        <v>55</v>
      </c>
      <c r="AI182" s="31">
        <v>45407</v>
      </c>
      <c r="AJ182" s="31"/>
      <c r="AK182" s="30"/>
      <c r="AL182" s="30">
        <v>5300000</v>
      </c>
      <c r="AM182" s="31"/>
      <c r="AN182" s="31"/>
      <c r="AO182" s="31"/>
      <c r="AP182" s="31"/>
      <c r="AQ182" s="31"/>
      <c r="AR182" s="31"/>
      <c r="AS182" s="31"/>
      <c r="AT182" s="30">
        <f t="shared" ca="1" si="24"/>
        <v>0</v>
      </c>
      <c r="AU182" s="32" t="str">
        <f t="shared" ca="1" si="22"/>
        <v/>
      </c>
      <c r="AV182" s="32" t="str" cm="1">
        <f t="array" aca="1" ref="AV182" ca="1">IFERROR(_xlfn.IFS($AU182="","",$AU182&lt;=15,"0-15",AND($AU182&gt;=16,$AU182&lt;=30),"16-30",AND($AU182&gt;=31,$AU182&lt;=45),"31-45",AND($AU182&gt;=46,$AU182&lt;=60),"46-60",AND($AU182&gt;=61,$AU182&lt;=90),"61-90",AND($AU182&gt;=91),"&gt; 90",AND($AU182&gt;=2000),""),"")</f>
        <v/>
      </c>
      <c r="AW182" s="32" t="str" cm="1">
        <f t="array" aca="1" ref="AW182" ca="1">IFERROR(_xlfn.IFS(OR($M182="",$AM182=""),"",OR($C182="Offered",$C182="Joined"),($AM182-$M182)-$AT182),"")</f>
        <v/>
      </c>
      <c r="AX182" s="32" t="str" cm="1">
        <f t="array" aca="1" ref="AX182" ca="1">IFERROR(_xlfn.IFS(OR($M182="",$AS182=""),"",$C182="Joined",($AS182-$M182)-$AT182),"")</f>
        <v/>
      </c>
      <c r="AY182" s="30" t="str">
        <f>IFERROR(IF(COUNTIFS('Candidate Tracker'!$E:$E,'Positions Tracker'!$B182,'Candidate Tracker'!$C:$C,"Offer Drop")=0,"",COUNTIFS('Candidate Tracker'!$E:$E,'Positions Tracker'!$B182,'Candidate Tracker'!$C:$C,"Offer Drop")),"")</f>
        <v/>
      </c>
      <c r="AZ1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2" s="34" t="str">
        <f>IFERROR(IF(COUNTIFS('Candidate Tracker'!$E:$E,'Positions Tracker'!$B182,'Candidate Tracker'!$I:$I,"Female")=0,"",COUNTIFS('Candidate Tracker'!$E:$E,'Positions Tracker'!$B182,'Candidate Tracker'!$I:$I,"Female")),"")</f>
        <v/>
      </c>
      <c r="BB182" s="34" t="str">
        <f>IFERROR(IF(COUNTIFS('Candidate Tracker'!$E:$E,'Positions Tracker'!$B182,'Candidate Tracker'!$I:$I,"male")=0,"",COUNTIFS('Candidate Tracker'!$E:$E,'Positions Tracker'!$B182,'Candidate Tracker'!$I:$I,"male")),"")</f>
        <v/>
      </c>
      <c r="BC182" s="33" t="str">
        <f>IFERROR(IF(COUNTIFS('Candidate Tracker'!$E:$E,'Positions Tracker'!$B182,'Candidate Tracker'!$C:$C,"&lt;&gt;WIP",'Candidate Tracker'!$C:$C,"&lt;&gt;Hold",'Candidate Tracker'!$C:$C,"&lt;&gt;Cancelled",'Candidate Tracker'!$C:$C,"&lt;&gt;Closed")/COUNTIFS('Candidate Tracker'!$E:$E,'Positions Tracker'!$B182)=0,"",COUNTIFS('Candidate Tracker'!$E:$E,'Positions Tracker'!$B182,'Candidate Tracker'!$C:$C,"&lt;&gt;WIP",'Candidate Tracker'!$C:$C,"&lt;&gt;Hold",'Candidate Tracker'!$C:$C,"&lt;&gt;Cancelled",'Candidate Tracker'!$C:$C,"&lt;&gt;Closed")/COUNTIFS('Candidate Tracker'!$E:$E,'Positions Tracker'!$B182)),"")</f>
        <v/>
      </c>
      <c r="BD182" s="30" t="str">
        <f t="shared" si="25"/>
        <v>Mar-24</v>
      </c>
      <c r="BE182" s="30" t="str">
        <f t="shared" si="26"/>
        <v>Apr-24</v>
      </c>
      <c r="BF182" s="30" t="str">
        <f t="shared" si="27"/>
        <v/>
      </c>
      <c r="BG182" s="30" t="str">
        <f t="shared" si="28"/>
        <v/>
      </c>
    </row>
    <row r="183" spans="1:59">
      <c r="A183" s="30">
        <f t="shared" si="23"/>
        <v>182</v>
      </c>
      <c r="B183" s="30"/>
      <c r="C183" s="30" t="s">
        <v>1044</v>
      </c>
      <c r="D183" s="30"/>
      <c r="E183" s="30" t="s">
        <v>4013</v>
      </c>
      <c r="F183" s="30"/>
      <c r="G183" s="30"/>
      <c r="H183" s="30"/>
      <c r="I183" s="30" t="s">
        <v>4003</v>
      </c>
      <c r="J183" s="30" t="s">
        <v>135</v>
      </c>
      <c r="K183" s="31"/>
      <c r="L183" s="31">
        <v>45450</v>
      </c>
      <c r="M183" s="31">
        <v>45451</v>
      </c>
      <c r="N183" s="30"/>
      <c r="O183" s="31"/>
      <c r="P183" s="31"/>
      <c r="Q183" s="31"/>
      <c r="R183" s="31"/>
      <c r="S183" s="31"/>
      <c r="T183" s="31"/>
      <c r="U183" s="30"/>
      <c r="V183" s="30"/>
      <c r="W183" s="30"/>
      <c r="X183" s="30" t="s">
        <v>4211</v>
      </c>
      <c r="Y183" s="30" t="s">
        <v>4201</v>
      </c>
      <c r="Z183" s="30" t="s">
        <v>4201</v>
      </c>
      <c r="AA183" s="30" t="s">
        <v>4168</v>
      </c>
      <c r="AB183" s="30"/>
      <c r="AC183" s="30"/>
      <c r="AD183" s="30"/>
      <c r="AE183" s="30" t="s">
        <v>4244</v>
      </c>
      <c r="AF183" s="30">
        <v>7406222114</v>
      </c>
      <c r="AG183" s="30"/>
      <c r="AH183" s="31" t="s">
        <v>55</v>
      </c>
      <c r="AI183" s="31">
        <v>45484</v>
      </c>
      <c r="AJ183" s="31"/>
      <c r="AK183" s="30"/>
      <c r="AL183" s="30">
        <v>1800000</v>
      </c>
      <c r="AM183" s="31"/>
      <c r="AN183" s="31"/>
      <c r="AO183" s="31"/>
      <c r="AP183" s="31"/>
      <c r="AQ183" s="31"/>
      <c r="AR183" s="31"/>
      <c r="AS183" s="31"/>
      <c r="AT183" s="30">
        <f t="shared" ca="1" si="24"/>
        <v>0</v>
      </c>
      <c r="AU183" s="32" t="str">
        <f t="shared" ca="1" si="22"/>
        <v/>
      </c>
      <c r="AV183" s="32" t="str" cm="1">
        <f t="array" aca="1" ref="AV183" ca="1">IFERROR(_xlfn.IFS($AU183="","",$AU183&lt;=15,"0-15",AND($AU183&gt;=16,$AU183&lt;=30),"16-30",AND($AU183&gt;=31,$AU183&lt;=45),"31-45",AND($AU183&gt;=46,$AU183&lt;=60),"46-60",AND($AU183&gt;=61,$AU183&lt;=90),"61-90",AND($AU183&gt;=91),"&gt; 90",AND($AU183&gt;=2000),""),"")</f>
        <v/>
      </c>
      <c r="AW183" s="32" t="str" cm="1">
        <f t="array" aca="1" ref="AW183" ca="1">IFERROR(_xlfn.IFS(OR($M183="",$AM183=""),"",OR($C183="Offered",$C183="Joined"),($AM183-$M183)-$AT183),"")</f>
        <v/>
      </c>
      <c r="AX183" s="32" t="str" cm="1">
        <f t="array" aca="1" ref="AX183" ca="1">IFERROR(_xlfn.IFS(OR($M183="",$AS183=""),"",$C183="Joined",($AS183-$M183)-$AT183),"")</f>
        <v/>
      </c>
      <c r="AY183" s="30" t="str">
        <f>IFERROR(IF(COUNTIFS('Candidate Tracker'!$E:$E,'Positions Tracker'!$B183,'Candidate Tracker'!$C:$C,"Offer Drop")=0,"",COUNTIFS('Candidate Tracker'!$E:$E,'Positions Tracker'!$B183,'Candidate Tracker'!$C:$C,"Offer Drop")),"")</f>
        <v/>
      </c>
      <c r="AZ1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3" s="34" t="str">
        <f>IFERROR(IF(COUNTIFS('Candidate Tracker'!$E:$E,'Positions Tracker'!$B183,'Candidate Tracker'!$I:$I,"Female")=0,"",COUNTIFS('Candidate Tracker'!$E:$E,'Positions Tracker'!$B183,'Candidate Tracker'!$I:$I,"Female")),"")</f>
        <v/>
      </c>
      <c r="BB183" s="34" t="str">
        <f>IFERROR(IF(COUNTIFS('Candidate Tracker'!$E:$E,'Positions Tracker'!$B183,'Candidate Tracker'!$I:$I,"male")=0,"",COUNTIFS('Candidate Tracker'!$E:$E,'Positions Tracker'!$B183,'Candidate Tracker'!$I:$I,"male")),"")</f>
        <v/>
      </c>
      <c r="BC183" s="33" t="str">
        <f>IFERROR(IF(COUNTIFS('Candidate Tracker'!$E:$E,'Positions Tracker'!$B183,'Candidate Tracker'!$C:$C,"&lt;&gt;WIP",'Candidate Tracker'!$C:$C,"&lt;&gt;Hold",'Candidate Tracker'!$C:$C,"&lt;&gt;Cancelled",'Candidate Tracker'!$C:$C,"&lt;&gt;Closed")/COUNTIFS('Candidate Tracker'!$E:$E,'Positions Tracker'!$B183)=0,"",COUNTIFS('Candidate Tracker'!$E:$E,'Positions Tracker'!$B183,'Candidate Tracker'!$C:$C,"&lt;&gt;WIP",'Candidate Tracker'!$C:$C,"&lt;&gt;Hold",'Candidate Tracker'!$C:$C,"&lt;&gt;Cancelled",'Candidate Tracker'!$C:$C,"&lt;&gt;Closed")/COUNTIFS('Candidate Tracker'!$E:$E,'Positions Tracker'!$B183)),"")</f>
        <v/>
      </c>
      <c r="BD183" s="30" t="str">
        <f t="shared" si="25"/>
        <v>Jun-24</v>
      </c>
      <c r="BE183" s="30" t="str">
        <f t="shared" si="26"/>
        <v>Jul-24</v>
      </c>
      <c r="BF183" s="30" t="str">
        <f t="shared" si="27"/>
        <v/>
      </c>
      <c r="BG183" s="30" t="str">
        <f t="shared" si="28"/>
        <v/>
      </c>
    </row>
    <row r="184" spans="1:59">
      <c r="A184" s="30">
        <f t="shared" si="23"/>
        <v>183</v>
      </c>
      <c r="B184" s="30">
        <v>20250696</v>
      </c>
      <c r="C184" s="30" t="s">
        <v>3847</v>
      </c>
      <c r="D184" s="30" t="s">
        <v>3847</v>
      </c>
      <c r="E184" s="30" t="s">
        <v>4245</v>
      </c>
      <c r="F184" s="30" t="s">
        <v>4246</v>
      </c>
      <c r="G184" s="30" t="s">
        <v>3</v>
      </c>
      <c r="H184" s="30" t="s">
        <v>66</v>
      </c>
      <c r="I184" s="30" t="s">
        <v>252</v>
      </c>
      <c r="J184" s="30" t="s">
        <v>135</v>
      </c>
      <c r="K184" s="31">
        <v>45625</v>
      </c>
      <c r="L184" s="31">
        <v>45625</v>
      </c>
      <c r="M184" s="31">
        <v>45625</v>
      </c>
      <c r="N184" s="30"/>
      <c r="O184" s="31"/>
      <c r="P184" s="31"/>
      <c r="Q184" s="31"/>
      <c r="R184" s="31"/>
      <c r="S184" s="31"/>
      <c r="T184" s="31"/>
      <c r="U184" s="30"/>
      <c r="V184" s="30"/>
      <c r="W184" s="30"/>
      <c r="X184" s="30" t="s">
        <v>63</v>
      </c>
      <c r="Y184" s="30" t="s">
        <v>218</v>
      </c>
      <c r="Z184" s="30" t="s">
        <v>218</v>
      </c>
      <c r="AA184" s="30" t="s">
        <v>4139</v>
      </c>
      <c r="AB184" s="30"/>
      <c r="AC184" s="30"/>
      <c r="AD184" s="30"/>
      <c r="AE184" s="30" t="s">
        <v>4247</v>
      </c>
      <c r="AF184" s="30">
        <v>7350560768</v>
      </c>
      <c r="AG184" s="30" t="s">
        <v>4248</v>
      </c>
      <c r="AH184" s="31" t="s">
        <v>55</v>
      </c>
      <c r="AI184" s="31">
        <v>45695</v>
      </c>
      <c r="AJ184" s="31">
        <v>45695</v>
      </c>
      <c r="AK184" s="30" t="s">
        <v>63</v>
      </c>
      <c r="AL184" s="30">
        <v>1500000</v>
      </c>
      <c r="AM184" s="31">
        <v>45695</v>
      </c>
      <c r="AN184" s="31">
        <v>45695</v>
      </c>
      <c r="AO184" s="31">
        <v>45695</v>
      </c>
      <c r="AP184" s="31">
        <v>45695</v>
      </c>
      <c r="AQ184" s="31">
        <v>45695</v>
      </c>
      <c r="AR184" s="31">
        <v>45695</v>
      </c>
      <c r="AS184" s="31">
        <v>45695</v>
      </c>
      <c r="AT184" s="30">
        <f t="shared" ca="1" si="24"/>
        <v>0</v>
      </c>
      <c r="AU184" s="32" t="str">
        <f t="shared" ca="1" si="22"/>
        <v/>
      </c>
      <c r="AV184" s="32" t="str" cm="1">
        <f t="array" aca="1" ref="AV184" ca="1">IFERROR(_xlfn.IFS($AU184="","",$AU184&lt;=15,"0-15",AND($AU184&gt;=16,$AU184&lt;=30),"16-30",AND($AU184&gt;=31,$AU184&lt;=45),"31-45",AND($AU184&gt;=46,$AU184&lt;=60),"46-60",AND($AU184&gt;=61,$AU184&lt;=90),"61-90",AND($AU184&gt;=91),"&gt; 90",AND($AU184&gt;=2000),""),"")</f>
        <v/>
      </c>
      <c r="AW184" s="32" t="str" cm="1">
        <f t="array" aca="1" ref="AW184" ca="1">IFERROR(_xlfn.IFS(OR($M184="",$AM184=""),"",OR($C184="Offered",$C184="Joined"),($AM184-$M184)-$AT184),"")</f>
        <v/>
      </c>
      <c r="AX184" s="32" t="str" cm="1">
        <f t="array" aca="1" ref="AX184" ca="1">IFERROR(_xlfn.IFS(OR($M184="",$AS184=""),"",$C184="Joined",($AS184-$M184)-$AT184),"")</f>
        <v/>
      </c>
      <c r="AY184" s="30" t="str">
        <f>IFERROR(IF(COUNTIFS('Candidate Tracker'!$E:$E,'Positions Tracker'!$B184,'Candidate Tracker'!$C:$C,"Offer Drop")=0,"",COUNTIFS('Candidate Tracker'!$E:$E,'Positions Tracker'!$B184,'Candidate Tracker'!$C:$C,"Offer Drop")),"")</f>
        <v/>
      </c>
      <c r="AZ1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4" s="34">
        <f>IFERROR(IF(COUNTIFS('Candidate Tracker'!$E:$E,'Positions Tracker'!$B184,'Candidate Tracker'!$I:$I,"Female")=0,"",COUNTIFS('Candidate Tracker'!$E:$E,'Positions Tracker'!$B184,'Candidate Tracker'!$I:$I,"Female")),"")</f>
        <v>2</v>
      </c>
      <c r="BB184" s="34">
        <f>IFERROR(IF(COUNTIFS('Candidate Tracker'!$E:$E,'Positions Tracker'!$B184,'Candidate Tracker'!$I:$I,"male")=0,"",COUNTIFS('Candidate Tracker'!$E:$E,'Positions Tracker'!$B184,'Candidate Tracker'!$I:$I,"male")),"")</f>
        <v>10</v>
      </c>
      <c r="BC184" s="33" t="str">
        <f>IFERROR(IF(COUNTIFS('Candidate Tracker'!$E:$E,'Positions Tracker'!$B184,'Candidate Tracker'!$C:$C,"&lt;&gt;WIP",'Candidate Tracker'!$C:$C,"&lt;&gt;Hold",'Candidate Tracker'!$C:$C,"&lt;&gt;Cancelled",'Candidate Tracker'!$C:$C,"&lt;&gt;Closed")/COUNTIFS('Candidate Tracker'!$E:$E,'Positions Tracker'!$B184)=0,"",COUNTIFS('Candidate Tracker'!$E:$E,'Positions Tracker'!$B184,'Candidate Tracker'!$C:$C,"&lt;&gt;WIP",'Candidate Tracker'!$C:$C,"&lt;&gt;Hold",'Candidate Tracker'!$C:$C,"&lt;&gt;Cancelled",'Candidate Tracker'!$C:$C,"&lt;&gt;Closed")/COUNTIFS('Candidate Tracker'!$E:$E,'Positions Tracker'!$B184)),"")</f>
        <v/>
      </c>
      <c r="BD184" s="30" t="str">
        <f t="shared" si="25"/>
        <v>Nov-24</v>
      </c>
      <c r="BE184" s="30" t="str">
        <f t="shared" si="26"/>
        <v>Feb-25</v>
      </c>
      <c r="BF184" s="30" t="str">
        <f t="shared" si="27"/>
        <v>Feb-25</v>
      </c>
      <c r="BG184" s="30" t="str">
        <f t="shared" si="28"/>
        <v>Feb-25</v>
      </c>
    </row>
    <row r="185" spans="1:59">
      <c r="A185" s="30">
        <f t="shared" si="23"/>
        <v>184</v>
      </c>
      <c r="B185" s="30">
        <v>20250721</v>
      </c>
      <c r="C185" s="30" t="s">
        <v>3847</v>
      </c>
      <c r="D185" s="30" t="s">
        <v>3847</v>
      </c>
      <c r="E185" s="30" t="s">
        <v>4249</v>
      </c>
      <c r="F185" s="30" t="s">
        <v>4250</v>
      </c>
      <c r="G185" s="30" t="s">
        <v>3</v>
      </c>
      <c r="H185" s="30" t="s">
        <v>66</v>
      </c>
      <c r="I185" s="30" t="s">
        <v>380</v>
      </c>
      <c r="J185" s="30" t="s">
        <v>135</v>
      </c>
      <c r="K185" s="31">
        <v>45631</v>
      </c>
      <c r="L185" s="31">
        <v>45631</v>
      </c>
      <c r="M185" s="31">
        <v>45631</v>
      </c>
      <c r="N185" s="30" t="s">
        <v>3850</v>
      </c>
      <c r="O185" s="31"/>
      <c r="P185" s="31"/>
      <c r="Q185" s="31"/>
      <c r="R185" s="31"/>
      <c r="S185" s="31"/>
      <c r="T185" s="31"/>
      <c r="U185" s="30"/>
      <c r="V185" s="30"/>
      <c r="W185" s="30"/>
      <c r="X185" s="30" t="s">
        <v>63</v>
      </c>
      <c r="Y185" s="30" t="s">
        <v>218</v>
      </c>
      <c r="Z185" s="30" t="s">
        <v>218</v>
      </c>
      <c r="AA185" s="30" t="s">
        <v>4139</v>
      </c>
      <c r="AB185" s="30"/>
      <c r="AC185" s="30"/>
      <c r="AD185" s="30"/>
      <c r="AE185" s="30" t="s">
        <v>4251</v>
      </c>
      <c r="AF185" s="30">
        <v>8390870079</v>
      </c>
      <c r="AG185" s="30" t="s">
        <v>4252</v>
      </c>
      <c r="AH185" s="31" t="s">
        <v>101</v>
      </c>
      <c r="AI185" s="31">
        <v>45695</v>
      </c>
      <c r="AJ185" s="31">
        <v>45695</v>
      </c>
      <c r="AK185" s="30" t="s">
        <v>63</v>
      </c>
      <c r="AL185" s="30">
        <v>800000</v>
      </c>
      <c r="AM185" s="31">
        <v>45695</v>
      </c>
      <c r="AN185" s="31">
        <v>45695</v>
      </c>
      <c r="AO185" s="31">
        <v>45695</v>
      </c>
      <c r="AP185" s="31">
        <v>45695</v>
      </c>
      <c r="AQ185" s="31">
        <v>45695</v>
      </c>
      <c r="AR185" s="31">
        <v>45695</v>
      </c>
      <c r="AS185" s="31">
        <v>45695</v>
      </c>
      <c r="AT185" s="30">
        <f t="shared" ca="1" si="24"/>
        <v>0</v>
      </c>
      <c r="AU185" s="32" t="str">
        <f t="shared" ca="1" si="22"/>
        <v/>
      </c>
      <c r="AV185" s="32" t="str" cm="1">
        <f t="array" aca="1" ref="AV185" ca="1">IFERROR(_xlfn.IFS($AU185="","",$AU185&lt;=15,"0-15",AND($AU185&gt;=16,$AU185&lt;=30),"16-30",AND($AU185&gt;=31,$AU185&lt;=45),"31-45",AND($AU185&gt;=46,$AU185&lt;=60),"46-60",AND($AU185&gt;=61,$AU185&lt;=90),"61-90",AND($AU185&gt;=91),"&gt; 90",AND($AU185&gt;=2000),""),"")</f>
        <v/>
      </c>
      <c r="AW185" s="32" t="str" cm="1">
        <f t="array" aca="1" ref="AW185" ca="1">IFERROR(_xlfn.IFS(OR($M185="",$AM185=""),"",OR($C185="Offered",$C185="Joined"),($AM185-$M185)-$AT185),"")</f>
        <v/>
      </c>
      <c r="AX185" s="32" t="str" cm="1">
        <f t="array" aca="1" ref="AX185" ca="1">IFERROR(_xlfn.IFS(OR($M185="",$AS185=""),"",$C185="Joined",($AS185-$M185)-$AT185),"")</f>
        <v/>
      </c>
      <c r="AY185" s="30" t="str">
        <f>IFERROR(IF(COUNTIFS('Candidate Tracker'!$E:$E,'Positions Tracker'!$B185,'Candidate Tracker'!$C:$C,"Offer Drop")=0,"",COUNTIFS('Candidate Tracker'!$E:$E,'Positions Tracker'!$B185,'Candidate Tracker'!$C:$C,"Offer Drop")),"")</f>
        <v/>
      </c>
      <c r="AZ1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5" s="34" t="str">
        <f>IFERROR(IF(COUNTIFS('Candidate Tracker'!$E:$E,'Positions Tracker'!$B185,'Candidate Tracker'!$I:$I,"Female")=0,"",COUNTIFS('Candidate Tracker'!$E:$E,'Positions Tracker'!$B185,'Candidate Tracker'!$I:$I,"Female")),"")</f>
        <v/>
      </c>
      <c r="BB185" s="34">
        <f>IFERROR(IF(COUNTIFS('Candidate Tracker'!$E:$E,'Positions Tracker'!$B185,'Candidate Tracker'!$I:$I,"male")=0,"",COUNTIFS('Candidate Tracker'!$E:$E,'Positions Tracker'!$B185,'Candidate Tracker'!$I:$I,"male")),"")</f>
        <v>9</v>
      </c>
      <c r="BC185" s="33" t="str">
        <f>IFERROR(IF(COUNTIFS('Candidate Tracker'!$E:$E,'Positions Tracker'!$B185,'Candidate Tracker'!$C:$C,"&lt;&gt;WIP",'Candidate Tracker'!$C:$C,"&lt;&gt;Hold",'Candidate Tracker'!$C:$C,"&lt;&gt;Cancelled",'Candidate Tracker'!$C:$C,"&lt;&gt;Closed")/COUNTIFS('Candidate Tracker'!$E:$E,'Positions Tracker'!$B185)=0,"",COUNTIFS('Candidate Tracker'!$E:$E,'Positions Tracker'!$B185,'Candidate Tracker'!$C:$C,"&lt;&gt;WIP",'Candidate Tracker'!$C:$C,"&lt;&gt;Hold",'Candidate Tracker'!$C:$C,"&lt;&gt;Cancelled",'Candidate Tracker'!$C:$C,"&lt;&gt;Closed")/COUNTIFS('Candidate Tracker'!$E:$E,'Positions Tracker'!$B185)),"")</f>
        <v/>
      </c>
      <c r="BD185" s="30" t="str">
        <f t="shared" si="25"/>
        <v>Dec-24</v>
      </c>
      <c r="BE185" s="30" t="str">
        <f t="shared" si="26"/>
        <v>Feb-25</v>
      </c>
      <c r="BF185" s="30" t="str">
        <f t="shared" si="27"/>
        <v>Feb-25</v>
      </c>
      <c r="BG185" s="30" t="str">
        <f t="shared" si="28"/>
        <v>Feb-25</v>
      </c>
    </row>
    <row r="186" spans="1:59">
      <c r="A186" s="30">
        <f t="shared" si="23"/>
        <v>185</v>
      </c>
      <c r="B186" s="30">
        <v>20253265</v>
      </c>
      <c r="C186" s="30" t="s">
        <v>51</v>
      </c>
      <c r="D186" s="30" t="s">
        <v>51</v>
      </c>
      <c r="E186" s="30" t="s">
        <v>3991</v>
      </c>
      <c r="F186" s="30" t="s">
        <v>3984</v>
      </c>
      <c r="G186" s="30" t="s">
        <v>3</v>
      </c>
      <c r="H186" s="30" t="s">
        <v>66</v>
      </c>
      <c r="I186" s="30" t="s">
        <v>3985</v>
      </c>
      <c r="J186" s="30" t="s">
        <v>135</v>
      </c>
      <c r="K186" s="31">
        <v>45667</v>
      </c>
      <c r="L186" s="31">
        <v>45667</v>
      </c>
      <c r="M186" s="31">
        <v>45667</v>
      </c>
      <c r="N186" s="30" t="s">
        <v>4111</v>
      </c>
      <c r="O186" s="31"/>
      <c r="P186" s="31"/>
      <c r="Q186" s="31"/>
      <c r="R186" s="31"/>
      <c r="S186" s="31"/>
      <c r="T186" s="31"/>
      <c r="U186" s="30"/>
      <c r="V186" s="30"/>
      <c r="W186" s="30"/>
      <c r="X186" s="30" t="s">
        <v>63</v>
      </c>
      <c r="Y186" s="30" t="s">
        <v>93</v>
      </c>
      <c r="Z186" s="30" t="s">
        <v>351</v>
      </c>
      <c r="AA186" s="30" t="s">
        <v>4253</v>
      </c>
      <c r="AB186" s="30"/>
      <c r="AC186" s="30"/>
      <c r="AD186" s="30"/>
      <c r="AE186" s="30" t="s">
        <v>1549</v>
      </c>
      <c r="AF186" s="30">
        <v>9421392992</v>
      </c>
      <c r="AG186" s="30" t="s">
        <v>1550</v>
      </c>
      <c r="AH186" s="31" t="s">
        <v>55</v>
      </c>
      <c r="AI186" s="31">
        <v>45723</v>
      </c>
      <c r="AJ186" s="31">
        <v>45726</v>
      </c>
      <c r="AK186" s="30" t="s">
        <v>63</v>
      </c>
      <c r="AL186" s="30">
        <v>1100000</v>
      </c>
      <c r="AM186" s="31">
        <v>45726</v>
      </c>
      <c r="AN186" s="31">
        <v>45726</v>
      </c>
      <c r="AO186" s="31"/>
      <c r="AP186" s="31">
        <v>45730</v>
      </c>
      <c r="AQ186" s="31">
        <v>45730</v>
      </c>
      <c r="AR186" s="31"/>
      <c r="AS186" s="31">
        <v>45782</v>
      </c>
      <c r="AT186" s="30">
        <f t="shared" ca="1" si="24"/>
        <v>0</v>
      </c>
      <c r="AU186" s="32" t="str">
        <f t="shared" ca="1" si="22"/>
        <v/>
      </c>
      <c r="AV186" s="32" t="str" cm="1">
        <f t="array" aca="1" ref="AV186" ca="1">IFERROR(_xlfn.IFS($AU186="","",$AU186&lt;=15,"0-15",AND($AU186&gt;=16,$AU186&lt;=30),"16-30",AND($AU186&gt;=31,$AU186&lt;=45),"31-45",AND($AU186&gt;=46,$AU186&lt;=60),"46-60",AND($AU186&gt;=61,$AU186&lt;=90),"61-90",AND($AU186&gt;=91),"&gt; 90",AND($AU186&gt;=2000),""),"")</f>
        <v/>
      </c>
      <c r="AW186" s="32" cm="1">
        <f t="array" aca="1" ref="AW186" ca="1">IFERROR(_xlfn.IFS(OR($M186="",$AM186=""),"",OR($C186="Offered",$C186="Joined"),($AM186-$M186)-$AT186),"")</f>
        <v>59</v>
      </c>
      <c r="AX186" s="32" cm="1">
        <f t="array" aca="1" ref="AX186" ca="1">IFERROR(_xlfn.IFS(OR($M186="",$AS186=""),"",$C186="Joined",($AS186-$M186)-$AT186),"")</f>
        <v>115</v>
      </c>
      <c r="AY186" s="30" t="str">
        <f>IFERROR(IF(COUNTIFS('Candidate Tracker'!$E:$E,'Positions Tracker'!$B186,'Candidate Tracker'!$C:$C,"Offer Drop")=0,"",COUNTIFS('Candidate Tracker'!$E:$E,'Positions Tracker'!$B186,'Candidate Tracker'!$C:$C,"Offer Drop")),"")</f>
        <v/>
      </c>
      <c r="AZ18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6" s="34" t="str">
        <f>IFERROR(IF(COUNTIFS('Candidate Tracker'!$E:$E,'Positions Tracker'!$B186,'Candidate Tracker'!$I:$I,"Female")=0,"",COUNTIFS('Candidate Tracker'!$E:$E,'Positions Tracker'!$B186,'Candidate Tracker'!$I:$I,"Female")),"")</f>
        <v/>
      </c>
      <c r="BB186" s="34" t="str">
        <f>IFERROR(IF(COUNTIFS('Candidate Tracker'!$E:$E,'Positions Tracker'!$B186,'Candidate Tracker'!$I:$I,"male")=0,"",COUNTIFS('Candidate Tracker'!$E:$E,'Positions Tracker'!$B186,'Candidate Tracker'!$I:$I,"male")),"")</f>
        <v/>
      </c>
      <c r="BC186" s="33" t="str">
        <f>IFERROR(IF(COUNTIFS('Candidate Tracker'!$E:$E,'Positions Tracker'!$B186,'Candidate Tracker'!$C:$C,"&lt;&gt;WIP",'Candidate Tracker'!$C:$C,"&lt;&gt;Hold",'Candidate Tracker'!$C:$C,"&lt;&gt;Cancelled",'Candidate Tracker'!$C:$C,"&lt;&gt;Closed")/COUNTIFS('Candidate Tracker'!$E:$E,'Positions Tracker'!$B186)=0,"",COUNTIFS('Candidate Tracker'!$E:$E,'Positions Tracker'!$B186,'Candidate Tracker'!$C:$C,"&lt;&gt;WIP",'Candidate Tracker'!$C:$C,"&lt;&gt;Hold",'Candidate Tracker'!$C:$C,"&lt;&gt;Cancelled",'Candidate Tracker'!$C:$C,"&lt;&gt;Closed")/COUNTIFS('Candidate Tracker'!$E:$E,'Positions Tracker'!$B186)),"")</f>
        <v/>
      </c>
      <c r="BD186" s="30" t="str">
        <f t="shared" si="25"/>
        <v>Jan-25</v>
      </c>
      <c r="BE186" s="30" t="str">
        <f t="shared" si="26"/>
        <v>Mar-25</v>
      </c>
      <c r="BF186" s="30" t="str">
        <f t="shared" si="27"/>
        <v>Mar-25</v>
      </c>
      <c r="BG186" s="30" t="str">
        <f t="shared" si="28"/>
        <v>May-25</v>
      </c>
    </row>
    <row r="187" spans="1:59">
      <c r="A187" s="30">
        <f t="shared" si="23"/>
        <v>186</v>
      </c>
      <c r="B187" s="30">
        <v>20249759</v>
      </c>
      <c r="C187" s="30" t="s">
        <v>3847</v>
      </c>
      <c r="D187" s="30" t="s">
        <v>4254</v>
      </c>
      <c r="E187" s="30" t="s">
        <v>4255</v>
      </c>
      <c r="F187" s="30" t="s">
        <v>4035</v>
      </c>
      <c r="G187" s="30" t="s">
        <v>3</v>
      </c>
      <c r="H187" s="30"/>
      <c r="I187" s="30" t="s">
        <v>4256</v>
      </c>
      <c r="J187" s="30" t="s">
        <v>351</v>
      </c>
      <c r="K187" s="31">
        <v>45734</v>
      </c>
      <c r="L187" s="31">
        <v>45734</v>
      </c>
      <c r="M187" s="31">
        <v>45734</v>
      </c>
      <c r="N187" s="30"/>
      <c r="O187" s="31"/>
      <c r="P187" s="31"/>
      <c r="Q187" s="31"/>
      <c r="R187" s="31"/>
      <c r="S187" s="31"/>
      <c r="T187" s="31"/>
      <c r="U187" s="30"/>
      <c r="V187" s="30"/>
      <c r="W187" s="30"/>
      <c r="X187" s="30" t="s">
        <v>63</v>
      </c>
      <c r="Y187" s="30" t="s">
        <v>2408</v>
      </c>
      <c r="Z187" s="30" t="s">
        <v>2408</v>
      </c>
      <c r="AA187" s="30" t="s">
        <v>4257</v>
      </c>
      <c r="AB187" s="30"/>
      <c r="AC187" s="30"/>
      <c r="AD187" s="30"/>
      <c r="AE187" s="30"/>
      <c r="AF187" s="30"/>
      <c r="AG187" s="30"/>
      <c r="AH187" s="31"/>
      <c r="AI187" s="31"/>
      <c r="AJ187" s="31"/>
      <c r="AK187" s="30"/>
      <c r="AL187" s="30"/>
      <c r="AM187" s="31"/>
      <c r="AN187" s="31"/>
      <c r="AO187" s="31"/>
      <c r="AP187" s="31"/>
      <c r="AQ187" s="31"/>
      <c r="AR187" s="31"/>
      <c r="AS187" s="31"/>
      <c r="AT187" s="30">
        <f t="shared" ca="1" si="24"/>
        <v>0</v>
      </c>
      <c r="AU187" s="32" t="str">
        <f t="shared" ca="1" si="22"/>
        <v/>
      </c>
      <c r="AV187" s="32" t="str" cm="1">
        <f t="array" aca="1" ref="AV187" ca="1">IFERROR(_xlfn.IFS($AU187="","",$AU187&lt;=15,"0-15",AND($AU187&gt;=16,$AU187&lt;=30),"16-30",AND($AU187&gt;=31,$AU187&lt;=45),"31-45",AND($AU187&gt;=46,$AU187&lt;=60),"46-60",AND($AU187&gt;=61,$AU187&lt;=90),"61-90",AND($AU187&gt;=91),"&gt; 90",AND($AU187&gt;=2000),""),"")</f>
        <v/>
      </c>
      <c r="AW187" s="32" t="str" cm="1">
        <f t="array" aca="1" ref="AW187" ca="1">IFERROR(_xlfn.IFS(OR($M187="",$AM187=""),"",OR($C187="Offered",$C187="Joined"),($AM187-$M187)-$AT187),"")</f>
        <v/>
      </c>
      <c r="AX187" s="32" t="str" cm="1">
        <f t="array" aca="1" ref="AX187" ca="1">IFERROR(_xlfn.IFS(OR($M187="",$AS187=""),"",$C187="Joined",($AS187-$M187)-$AT187),"")</f>
        <v/>
      </c>
      <c r="AY187" s="30" t="str">
        <f>IFERROR(IF(COUNTIFS('Candidate Tracker'!$E:$E,'Positions Tracker'!$B187,'Candidate Tracker'!$C:$C,"Offer Drop")=0,"",COUNTIFS('Candidate Tracker'!$E:$E,'Positions Tracker'!$B187,'Candidate Tracker'!$C:$C,"Offer Drop")),"")</f>
        <v/>
      </c>
      <c r="AZ18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7" s="34" t="str">
        <f>IFERROR(IF(COUNTIFS('Candidate Tracker'!$E:$E,'Positions Tracker'!$B187,'Candidate Tracker'!$I:$I,"Female")=0,"",COUNTIFS('Candidate Tracker'!$E:$E,'Positions Tracker'!$B187,'Candidate Tracker'!$I:$I,"Female")),"")</f>
        <v/>
      </c>
      <c r="BB187" s="34" t="str">
        <f>IFERROR(IF(COUNTIFS('Candidate Tracker'!$E:$E,'Positions Tracker'!$B187,'Candidate Tracker'!$I:$I,"male")=0,"",COUNTIFS('Candidate Tracker'!$E:$E,'Positions Tracker'!$B187,'Candidate Tracker'!$I:$I,"male")),"")</f>
        <v/>
      </c>
      <c r="BC187" s="33" t="str">
        <f>IFERROR(IF(COUNTIFS('Candidate Tracker'!$E:$E,'Positions Tracker'!$B187,'Candidate Tracker'!$C:$C,"&lt;&gt;WIP",'Candidate Tracker'!$C:$C,"&lt;&gt;Hold",'Candidate Tracker'!$C:$C,"&lt;&gt;Cancelled",'Candidate Tracker'!$C:$C,"&lt;&gt;Closed")/COUNTIFS('Candidate Tracker'!$E:$E,'Positions Tracker'!$B187)=0,"",COUNTIFS('Candidate Tracker'!$E:$E,'Positions Tracker'!$B187,'Candidate Tracker'!$C:$C,"&lt;&gt;WIP",'Candidate Tracker'!$C:$C,"&lt;&gt;Hold",'Candidate Tracker'!$C:$C,"&lt;&gt;Cancelled",'Candidate Tracker'!$C:$C,"&lt;&gt;Closed")/COUNTIFS('Candidate Tracker'!$E:$E,'Positions Tracker'!$B187)),"")</f>
        <v/>
      </c>
      <c r="BD187" s="30" t="str">
        <f t="shared" si="25"/>
        <v>Mar-25</v>
      </c>
      <c r="BE187" s="30" t="str">
        <f t="shared" si="26"/>
        <v/>
      </c>
      <c r="BF187" s="30" t="str">
        <f t="shared" si="27"/>
        <v/>
      </c>
      <c r="BG187" s="30" t="str">
        <f t="shared" si="28"/>
        <v/>
      </c>
    </row>
    <row r="188" spans="1:59">
      <c r="A188" s="30">
        <f t="shared" si="23"/>
        <v>187</v>
      </c>
      <c r="B188" s="30">
        <v>20252855</v>
      </c>
      <c r="C188" s="30" t="s">
        <v>51</v>
      </c>
      <c r="D188" s="30" t="s">
        <v>51</v>
      </c>
      <c r="E188" s="30" t="s">
        <v>670</v>
      </c>
      <c r="F188" s="30" t="s">
        <v>3910</v>
      </c>
      <c r="G188" s="30" t="s">
        <v>3</v>
      </c>
      <c r="H188" s="30" t="s">
        <v>3933</v>
      </c>
      <c r="I188" s="30" t="s">
        <v>116</v>
      </c>
      <c r="J188" s="30" t="s">
        <v>135</v>
      </c>
      <c r="K188" s="31">
        <v>45625</v>
      </c>
      <c r="L188" s="31">
        <v>45625</v>
      </c>
      <c r="M188" s="31">
        <v>45733</v>
      </c>
      <c r="N188" s="30" t="s">
        <v>3855</v>
      </c>
      <c r="O188" s="31">
        <v>45769</v>
      </c>
      <c r="P188" s="31"/>
      <c r="Q188" s="31"/>
      <c r="R188" s="31">
        <v>45782</v>
      </c>
      <c r="S188" s="31"/>
      <c r="T188" s="31"/>
      <c r="U188" s="30"/>
      <c r="V188" s="30"/>
      <c r="W188" s="30"/>
      <c r="X188" s="30" t="s">
        <v>63</v>
      </c>
      <c r="Y188" s="30" t="s">
        <v>2679</v>
      </c>
      <c r="Z188" s="30" t="s">
        <v>2679</v>
      </c>
      <c r="AA188" s="30" t="s">
        <v>4258</v>
      </c>
      <c r="AB188" s="30">
        <v>30</v>
      </c>
      <c r="AC188" s="30">
        <v>21</v>
      </c>
      <c r="AD188" s="30">
        <v>8</v>
      </c>
      <c r="AE188" s="30" t="s">
        <v>3309</v>
      </c>
      <c r="AF188" s="30" t="s">
        <v>4259</v>
      </c>
      <c r="AG188" s="30" t="s">
        <v>3734</v>
      </c>
      <c r="AH188" s="31" t="s">
        <v>101</v>
      </c>
      <c r="AI188" s="31"/>
      <c r="AJ188" s="31"/>
      <c r="AK188" s="30"/>
      <c r="AL188" s="30">
        <v>1500000</v>
      </c>
      <c r="AM188" s="31"/>
      <c r="AN188" s="31"/>
      <c r="AO188" s="31"/>
      <c r="AP188" s="31"/>
      <c r="AQ188" s="31"/>
      <c r="AR188" s="31"/>
      <c r="AS188" s="31">
        <v>45915</v>
      </c>
      <c r="AT188" s="30">
        <f t="shared" ca="1" si="24"/>
        <v>13</v>
      </c>
      <c r="AU188" s="32" t="str">
        <f t="shared" ca="1" si="22"/>
        <v/>
      </c>
      <c r="AV188" s="32" t="str" cm="1">
        <f t="array" aca="1" ref="AV188" ca="1">IFERROR(_xlfn.IFS($AU188="","",$AU188&lt;=15,"0-15",AND($AU188&gt;=16,$AU188&lt;=30),"16-30",AND($AU188&gt;=31,$AU188&lt;=45),"31-45",AND($AU188&gt;=46,$AU188&lt;=60),"46-60",AND($AU188&gt;=61,$AU188&lt;=90),"61-90",AND($AU188&gt;=91),"&gt; 90",AND($AU188&gt;=2000),""),"")</f>
        <v/>
      </c>
      <c r="AW188" s="32" t="str" cm="1">
        <f t="array" aca="1" ref="AW188" ca="1">IFERROR(_xlfn.IFS(OR($M188="",$AM188=""),"",OR($C188="Offered",$C188="Joined"),($AM188-$M188)-$AT188),"")</f>
        <v/>
      </c>
      <c r="AX188" s="32" cm="1">
        <f t="array" aca="1" ref="AX188" ca="1">IFERROR(_xlfn.IFS(OR($M188="",$AS188=""),"",$C188="Joined",($AS188-$M188)-$AT188),"")</f>
        <v>169</v>
      </c>
      <c r="AY188" s="30">
        <f>IFERROR(IF(COUNTIFS('Candidate Tracker'!$E:$E,'Positions Tracker'!$B188,'Candidate Tracker'!$C:$C,"Offer Drop")=0,"",COUNTIFS('Candidate Tracker'!$E:$E,'Positions Tracker'!$B188,'Candidate Tracker'!$C:$C,"Offer Drop")),"")</f>
        <v>1</v>
      </c>
      <c r="AZ18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8" s="34">
        <f>IFERROR(IF(COUNTIFS('Candidate Tracker'!$E:$E,'Positions Tracker'!$B188,'Candidate Tracker'!$I:$I,"Female")=0,"",COUNTIFS('Candidate Tracker'!$E:$E,'Positions Tracker'!$B188,'Candidate Tracker'!$I:$I,"Female")),"")</f>
        <v>5</v>
      </c>
      <c r="BB188" s="34">
        <f>IFERROR(IF(COUNTIFS('Candidate Tracker'!$E:$E,'Positions Tracker'!$B188,'Candidate Tracker'!$I:$I,"male")=0,"",COUNTIFS('Candidate Tracker'!$E:$E,'Positions Tracker'!$B188,'Candidate Tracker'!$I:$I,"male")),"")</f>
        <v>24</v>
      </c>
      <c r="BC188" s="33">
        <f>IFERROR(IF(COUNTIFS('Candidate Tracker'!$E:$E,'Positions Tracker'!$B188,'Candidate Tracker'!$C:$C,"&lt;&gt;WIP",'Candidate Tracker'!$C:$C,"&lt;&gt;Hold",'Candidate Tracker'!$C:$C,"&lt;&gt;Cancelled",'Candidate Tracker'!$C:$C,"&lt;&gt;Closed")/COUNTIFS('Candidate Tracker'!$E:$E,'Positions Tracker'!$B188)=0,"",COUNTIFS('Candidate Tracker'!$E:$E,'Positions Tracker'!$B188,'Candidate Tracker'!$C:$C,"&lt;&gt;WIP",'Candidate Tracker'!$C:$C,"&lt;&gt;Hold",'Candidate Tracker'!$C:$C,"&lt;&gt;Cancelled",'Candidate Tracker'!$C:$C,"&lt;&gt;Closed")/COUNTIFS('Candidate Tracker'!$E:$E,'Positions Tracker'!$B188)),"")</f>
        <v>3.4482758620689655E-2</v>
      </c>
      <c r="BD188" s="30" t="str">
        <f t="shared" si="25"/>
        <v>Mar-25</v>
      </c>
      <c r="BE188" s="30" t="str">
        <f t="shared" si="26"/>
        <v/>
      </c>
      <c r="BF188" s="30" t="str">
        <f t="shared" si="27"/>
        <v/>
      </c>
      <c r="BG188" s="30" t="str">
        <f t="shared" si="28"/>
        <v>Sep-25</v>
      </c>
    </row>
    <row r="189" spans="1:59">
      <c r="A189" s="30">
        <f t="shared" si="23"/>
        <v>188</v>
      </c>
      <c r="B189" s="30">
        <v>20251209</v>
      </c>
      <c r="C189" s="30" t="s">
        <v>51</v>
      </c>
      <c r="D189" s="30" t="s">
        <v>51</v>
      </c>
      <c r="E189" s="30" t="s">
        <v>1029</v>
      </c>
      <c r="F189" s="30" t="s">
        <v>3984</v>
      </c>
      <c r="G189" s="30" t="s">
        <v>3</v>
      </c>
      <c r="H189" s="30" t="s">
        <v>66</v>
      </c>
      <c r="I189" s="30" t="s">
        <v>3985</v>
      </c>
      <c r="J189" s="30" t="s">
        <v>135</v>
      </c>
      <c r="K189" s="31">
        <v>45644</v>
      </c>
      <c r="L189" s="31">
        <v>45644</v>
      </c>
      <c r="M189" s="31">
        <v>45755</v>
      </c>
      <c r="N189" s="30" t="s">
        <v>3861</v>
      </c>
      <c r="O189" s="31"/>
      <c r="P189" s="31"/>
      <c r="Q189" s="31"/>
      <c r="R189" s="31"/>
      <c r="S189" s="31"/>
      <c r="T189" s="31"/>
      <c r="U189" s="30"/>
      <c r="V189" s="30"/>
      <c r="W189" s="30"/>
      <c r="X189" s="30" t="s">
        <v>63</v>
      </c>
      <c r="Y189" s="30" t="s">
        <v>2679</v>
      </c>
      <c r="Z189" s="30" t="s">
        <v>2679</v>
      </c>
      <c r="AA189" s="30" t="s">
        <v>4260</v>
      </c>
      <c r="AB189" s="30">
        <v>14</v>
      </c>
      <c r="AC189" s="30">
        <v>2</v>
      </c>
      <c r="AD189" s="30">
        <v>4</v>
      </c>
      <c r="AE189" s="30" t="s">
        <v>1592</v>
      </c>
      <c r="AF189" s="30">
        <v>9960412200</v>
      </c>
      <c r="AG189" s="30" t="s">
        <v>1593</v>
      </c>
      <c r="AH189" s="31" t="s">
        <v>55</v>
      </c>
      <c r="AI189" s="31">
        <v>45825</v>
      </c>
      <c r="AJ189" s="31">
        <v>45827</v>
      </c>
      <c r="AK189" s="30"/>
      <c r="AL189" s="30">
        <v>1800000</v>
      </c>
      <c r="AM189" s="31">
        <v>45827</v>
      </c>
      <c r="AN189" s="31">
        <v>45831</v>
      </c>
      <c r="AO189" s="31"/>
      <c r="AP189" s="31">
        <v>45831</v>
      </c>
      <c r="AQ189" s="31">
        <v>45831</v>
      </c>
      <c r="AR189" s="31"/>
      <c r="AS189" s="31">
        <v>45929</v>
      </c>
      <c r="AT189" s="30">
        <f t="shared" ca="1" si="24"/>
        <v>0</v>
      </c>
      <c r="AU189" s="32" t="str">
        <f t="shared" ca="1" si="22"/>
        <v/>
      </c>
      <c r="AV189" s="32" t="str" cm="1">
        <f t="array" aca="1" ref="AV189" ca="1">IFERROR(_xlfn.IFS($AU189="","",$AU189&lt;=15,"0-15",AND($AU189&gt;=16,$AU189&lt;=30),"16-30",AND($AU189&gt;=31,$AU189&lt;=45),"31-45",AND($AU189&gt;=46,$AU189&lt;=60),"46-60",AND($AU189&gt;=61,$AU189&lt;=90),"61-90",AND($AU189&gt;=91),"&gt; 90",AND($AU189&gt;=2000),""),"")</f>
        <v/>
      </c>
      <c r="AW189" s="32" cm="1">
        <f t="array" aca="1" ref="AW189" ca="1">IFERROR(_xlfn.IFS(OR($M189="",$AM189=""),"",OR($C189="Offered",$C189="Joined"),($AM189-$M189)-$AT189),"")</f>
        <v>72</v>
      </c>
      <c r="AX189" s="32" cm="1">
        <f t="array" aca="1" ref="AX189" ca="1">IFERROR(_xlfn.IFS(OR($M189="",$AS189=""),"",$C189="Joined",($AS189-$M189)-$AT189),"")</f>
        <v>174</v>
      </c>
      <c r="AY189" s="30" t="str">
        <f>IFERROR(IF(COUNTIFS('Candidate Tracker'!$E:$E,'Positions Tracker'!$B189,'Candidate Tracker'!$C:$C,"Offer Drop")=0,"",COUNTIFS('Candidate Tracker'!$E:$E,'Positions Tracker'!$B189,'Candidate Tracker'!$C:$C,"Offer Drop")),"")</f>
        <v/>
      </c>
      <c r="AZ18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89" s="34" t="str">
        <f>IFERROR(IF(COUNTIFS('Candidate Tracker'!$E:$E,'Positions Tracker'!$B189,'Candidate Tracker'!$I:$I,"Female")=0,"",COUNTIFS('Candidate Tracker'!$E:$E,'Positions Tracker'!$B189,'Candidate Tracker'!$I:$I,"Female")),"")</f>
        <v/>
      </c>
      <c r="BB189" s="34">
        <f>IFERROR(IF(COUNTIFS('Candidate Tracker'!$E:$E,'Positions Tracker'!$B189,'Candidate Tracker'!$I:$I,"male")=0,"",COUNTIFS('Candidate Tracker'!$E:$E,'Positions Tracker'!$B189,'Candidate Tracker'!$I:$I,"male")),"")</f>
        <v>6</v>
      </c>
      <c r="BC189" s="33">
        <f>IFERROR(IF(COUNTIFS('Candidate Tracker'!$E:$E,'Positions Tracker'!$B189,'Candidate Tracker'!$C:$C,"&lt;&gt;WIP",'Candidate Tracker'!$C:$C,"&lt;&gt;Hold",'Candidate Tracker'!$C:$C,"&lt;&gt;Cancelled",'Candidate Tracker'!$C:$C,"&lt;&gt;Closed")/COUNTIFS('Candidate Tracker'!$E:$E,'Positions Tracker'!$B189)=0,"",COUNTIFS('Candidate Tracker'!$E:$E,'Positions Tracker'!$B189,'Candidate Tracker'!$C:$C,"&lt;&gt;WIP",'Candidate Tracker'!$C:$C,"&lt;&gt;Hold",'Candidate Tracker'!$C:$C,"&lt;&gt;Cancelled",'Candidate Tracker'!$C:$C,"&lt;&gt;Closed")/COUNTIFS('Candidate Tracker'!$E:$E,'Positions Tracker'!$B189)),"")</f>
        <v>0.16666666666666666</v>
      </c>
      <c r="BD189" s="30" t="str">
        <f t="shared" si="25"/>
        <v>Apr-25</v>
      </c>
      <c r="BE189" s="30" t="str">
        <f t="shared" si="26"/>
        <v>Jun-25</v>
      </c>
      <c r="BF189" s="30" t="str">
        <f t="shared" si="27"/>
        <v>Jun-25</v>
      </c>
      <c r="BG189" s="30" t="str">
        <f t="shared" si="28"/>
        <v>Sep-25</v>
      </c>
    </row>
    <row r="190" spans="1:59">
      <c r="A190" s="30">
        <f t="shared" si="23"/>
        <v>189</v>
      </c>
      <c r="B190" s="30">
        <v>20251210</v>
      </c>
      <c r="C190" s="30" t="s">
        <v>3857</v>
      </c>
      <c r="D190" s="30" t="s">
        <v>3857</v>
      </c>
      <c r="E190" s="30" t="s">
        <v>2596</v>
      </c>
      <c r="F190" s="30" t="s">
        <v>4010</v>
      </c>
      <c r="G190" s="30" t="s">
        <v>1</v>
      </c>
      <c r="H190" s="30"/>
      <c r="I190" s="30" t="s">
        <v>4261</v>
      </c>
      <c r="J190" s="30" t="s">
        <v>135</v>
      </c>
      <c r="K190" s="31">
        <v>45677</v>
      </c>
      <c r="L190" s="31">
        <v>45743</v>
      </c>
      <c r="M190" s="31">
        <v>45743</v>
      </c>
      <c r="N190" s="30"/>
      <c r="O190" s="31"/>
      <c r="P190" s="31"/>
      <c r="Q190" s="31"/>
      <c r="R190" s="31"/>
      <c r="S190" s="31"/>
      <c r="T190" s="31"/>
      <c r="U190" s="30"/>
      <c r="V190" s="30"/>
      <c r="W190" s="30"/>
      <c r="X190" s="30" t="s">
        <v>63</v>
      </c>
      <c r="Y190" s="30" t="s">
        <v>2408</v>
      </c>
      <c r="Z190" s="30" t="s">
        <v>2408</v>
      </c>
      <c r="AA190" s="30" t="s">
        <v>4262</v>
      </c>
      <c r="AB190" s="30"/>
      <c r="AC190" s="30"/>
      <c r="AD190" s="30"/>
      <c r="AE190" s="30"/>
      <c r="AF190" s="30"/>
      <c r="AG190" s="30"/>
      <c r="AH190" s="31"/>
      <c r="AI190" s="31"/>
      <c r="AJ190" s="31"/>
      <c r="AK190" s="30"/>
      <c r="AL190" s="30"/>
      <c r="AM190" s="31"/>
      <c r="AN190" s="31"/>
      <c r="AO190" s="31"/>
      <c r="AP190" s="31"/>
      <c r="AQ190" s="31"/>
      <c r="AR190" s="31"/>
      <c r="AS190" s="31"/>
      <c r="AT190" s="30">
        <f t="shared" ca="1" si="24"/>
        <v>0</v>
      </c>
      <c r="AU190" s="32" t="str">
        <f t="shared" ca="1" si="22"/>
        <v/>
      </c>
      <c r="AV190" s="32" t="str" cm="1">
        <f t="array" aca="1" ref="AV190" ca="1">IFERROR(_xlfn.IFS($AU190="","",$AU190&lt;=15,"0-15",AND($AU190&gt;=16,$AU190&lt;=30),"16-30",AND($AU190&gt;=31,$AU190&lt;=45),"31-45",AND($AU190&gt;=46,$AU190&lt;=60),"46-60",AND($AU190&gt;=61,$AU190&lt;=90),"61-90",AND($AU190&gt;=91),"&gt; 90",AND($AU190&gt;=2000),""),"")</f>
        <v/>
      </c>
      <c r="AW190" s="32" t="str" cm="1">
        <f t="array" aca="1" ref="AW190" ca="1">IFERROR(_xlfn.IFS(OR($M190="",$AM190=""),"",OR($C190="Offered",$C190="Joined"),($AM190-$M190)-$AT190),"")</f>
        <v/>
      </c>
      <c r="AX190" s="32" t="str" cm="1">
        <f t="array" aca="1" ref="AX190" ca="1">IFERROR(_xlfn.IFS(OR($M190="",$AS190=""),"",$C190="Joined",($AS190-$M190)-$AT190),"")</f>
        <v/>
      </c>
      <c r="AY190" s="30">
        <f>IFERROR(IF(COUNTIFS('Candidate Tracker'!$E:$E,'Positions Tracker'!$B190,'Candidate Tracker'!$C:$C,"Offer Drop")=0,"",COUNTIFS('Candidate Tracker'!$E:$E,'Positions Tracker'!$B190,'Candidate Tracker'!$C:$C,"Offer Drop")),"")</f>
        <v>1</v>
      </c>
      <c r="AZ19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0" s="34" t="str">
        <f>IFERROR(IF(COUNTIFS('Candidate Tracker'!$E:$E,'Positions Tracker'!$B190,'Candidate Tracker'!$I:$I,"Female")=0,"",COUNTIFS('Candidate Tracker'!$E:$E,'Positions Tracker'!$B190,'Candidate Tracker'!$I:$I,"Female")),"")</f>
        <v/>
      </c>
      <c r="BB190" s="34">
        <f>IFERROR(IF(COUNTIFS('Candidate Tracker'!$E:$E,'Positions Tracker'!$B190,'Candidate Tracker'!$I:$I,"male")=0,"",COUNTIFS('Candidate Tracker'!$E:$E,'Positions Tracker'!$B190,'Candidate Tracker'!$I:$I,"male")),"")</f>
        <v>4</v>
      </c>
      <c r="BC190" s="33">
        <f>IFERROR(IF(COUNTIFS('Candidate Tracker'!$E:$E,'Positions Tracker'!$B190,'Candidate Tracker'!$C:$C,"&lt;&gt;WIP",'Candidate Tracker'!$C:$C,"&lt;&gt;Hold",'Candidate Tracker'!$C:$C,"&lt;&gt;Cancelled",'Candidate Tracker'!$C:$C,"&lt;&gt;Closed")/COUNTIFS('Candidate Tracker'!$E:$E,'Positions Tracker'!$B190)=0,"",COUNTIFS('Candidate Tracker'!$E:$E,'Positions Tracker'!$B190,'Candidate Tracker'!$C:$C,"&lt;&gt;WIP",'Candidate Tracker'!$C:$C,"&lt;&gt;Hold",'Candidate Tracker'!$C:$C,"&lt;&gt;Cancelled",'Candidate Tracker'!$C:$C,"&lt;&gt;Closed")/COUNTIFS('Candidate Tracker'!$E:$E,'Positions Tracker'!$B190)),"")</f>
        <v>0.25</v>
      </c>
      <c r="BD190" s="30" t="str">
        <f t="shared" si="25"/>
        <v>Mar-25</v>
      </c>
      <c r="BE190" s="30" t="str">
        <f t="shared" si="26"/>
        <v/>
      </c>
      <c r="BF190" s="30" t="str">
        <f t="shared" si="27"/>
        <v/>
      </c>
      <c r="BG190" s="30" t="str">
        <f t="shared" si="28"/>
        <v/>
      </c>
    </row>
    <row r="191" spans="1:59">
      <c r="A191" s="30">
        <f t="shared" si="23"/>
        <v>190</v>
      </c>
      <c r="B191" s="30">
        <v>20243903</v>
      </c>
      <c r="C191" s="30" t="s">
        <v>51</v>
      </c>
      <c r="D191" s="30" t="s">
        <v>51</v>
      </c>
      <c r="E191" s="30" t="s">
        <v>4263</v>
      </c>
      <c r="F191" s="30" t="s">
        <v>4264</v>
      </c>
      <c r="G191" s="30" t="s">
        <v>3</v>
      </c>
      <c r="H191" s="30" t="s">
        <v>66</v>
      </c>
      <c r="I191" s="30" t="s">
        <v>4077</v>
      </c>
      <c r="J191" s="30" t="s">
        <v>135</v>
      </c>
      <c r="K191" s="31">
        <v>45485</v>
      </c>
      <c r="L191" s="31">
        <v>45485</v>
      </c>
      <c r="M191" s="31">
        <v>45747</v>
      </c>
      <c r="N191" s="30" t="s">
        <v>4078</v>
      </c>
      <c r="O191" s="31">
        <v>45770</v>
      </c>
      <c r="P191" s="31"/>
      <c r="Q191" s="31"/>
      <c r="R191" s="31">
        <v>45782</v>
      </c>
      <c r="S191" s="31"/>
      <c r="T191" s="31"/>
      <c r="U191" s="30"/>
      <c r="V191" s="30"/>
      <c r="W191" s="30"/>
      <c r="X191" s="30" t="s">
        <v>63</v>
      </c>
      <c r="Y191" s="30" t="s">
        <v>2679</v>
      </c>
      <c r="Z191" s="30" t="s">
        <v>2679</v>
      </c>
      <c r="AA191" s="30" t="s">
        <v>4265</v>
      </c>
      <c r="AB191" s="30"/>
      <c r="AC191" s="30"/>
      <c r="AD191" s="30"/>
      <c r="AE191" s="30" t="s">
        <v>2880</v>
      </c>
      <c r="AF191" s="30" t="s">
        <v>4266</v>
      </c>
      <c r="AG191" s="30" t="s">
        <v>4267</v>
      </c>
      <c r="AH191" s="31" t="s">
        <v>55</v>
      </c>
      <c r="AI191" s="31">
        <v>45838</v>
      </c>
      <c r="AJ191" s="31">
        <v>45856</v>
      </c>
      <c r="AK191" s="30" t="s">
        <v>63</v>
      </c>
      <c r="AL191" s="30">
        <v>850000</v>
      </c>
      <c r="AM191" s="31">
        <v>45859</v>
      </c>
      <c r="AN191" s="31">
        <v>45859</v>
      </c>
      <c r="AO191" s="31"/>
      <c r="AP191" s="31">
        <v>45860</v>
      </c>
      <c r="AQ191" s="31">
        <v>45861</v>
      </c>
      <c r="AR191" s="31"/>
      <c r="AS191" s="31">
        <v>45957</v>
      </c>
      <c r="AT191" s="30">
        <f t="shared" ca="1" si="24"/>
        <v>12</v>
      </c>
      <c r="AU191" s="32" t="str">
        <f t="shared" ca="1" si="22"/>
        <v/>
      </c>
      <c r="AV191" s="32" t="str" cm="1">
        <f t="array" aca="1" ref="AV191" ca="1">IFERROR(_xlfn.IFS($AU191="","",$AU191&lt;=15,"0-15",AND($AU191&gt;=16,$AU191&lt;=30),"16-30",AND($AU191&gt;=31,$AU191&lt;=45),"31-45",AND($AU191&gt;=46,$AU191&lt;=60),"46-60",AND($AU191&gt;=61,$AU191&lt;=90),"61-90",AND($AU191&gt;=91),"&gt; 90",AND($AU191&gt;=2000),""),"")</f>
        <v/>
      </c>
      <c r="AW191" s="32" cm="1">
        <f t="array" aca="1" ref="AW191" ca="1">IFERROR(_xlfn.IFS(OR($M191="",$AM191=""),"",OR($C191="Offered",$C191="Joined"),($AM191-$M191)-$AT191),"")</f>
        <v>100</v>
      </c>
      <c r="AX191" s="32" cm="1">
        <f t="array" aca="1" ref="AX191" ca="1">IFERROR(_xlfn.IFS(OR($M191="",$AS191=""),"",$C191="Joined",($AS191-$M191)-$AT191),"")</f>
        <v>198</v>
      </c>
      <c r="AY191" s="30" t="str">
        <f>IFERROR(IF(COUNTIFS('Candidate Tracker'!$E:$E,'Positions Tracker'!$B191,'Candidate Tracker'!$C:$C,"Offer Drop")=0,"",COUNTIFS('Candidate Tracker'!$E:$E,'Positions Tracker'!$B191,'Candidate Tracker'!$C:$C,"Offer Drop")),"")</f>
        <v/>
      </c>
      <c r="AZ19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1" s="34">
        <f>IFERROR(IF(COUNTIFS('Candidate Tracker'!$E:$E,'Positions Tracker'!$B191,'Candidate Tracker'!$I:$I,"Female")=0,"",COUNTIFS('Candidate Tracker'!$E:$E,'Positions Tracker'!$B191,'Candidate Tracker'!$I:$I,"Female")),"")</f>
        <v>1</v>
      </c>
      <c r="BB191" s="34" t="str">
        <f>IFERROR(IF(COUNTIFS('Candidate Tracker'!$E:$E,'Positions Tracker'!$B191,'Candidate Tracker'!$I:$I,"male")=0,"",COUNTIFS('Candidate Tracker'!$E:$E,'Positions Tracker'!$B191,'Candidate Tracker'!$I:$I,"male")),"")</f>
        <v/>
      </c>
      <c r="BC191" s="33">
        <f>IFERROR(IF(COUNTIFS('Candidate Tracker'!$E:$E,'Positions Tracker'!$B191,'Candidate Tracker'!$C:$C,"&lt;&gt;WIP",'Candidate Tracker'!$C:$C,"&lt;&gt;Hold",'Candidate Tracker'!$C:$C,"&lt;&gt;Cancelled",'Candidate Tracker'!$C:$C,"&lt;&gt;Closed")/COUNTIFS('Candidate Tracker'!$E:$E,'Positions Tracker'!$B191)=0,"",COUNTIFS('Candidate Tracker'!$E:$E,'Positions Tracker'!$B191,'Candidate Tracker'!$C:$C,"&lt;&gt;WIP",'Candidate Tracker'!$C:$C,"&lt;&gt;Hold",'Candidate Tracker'!$C:$C,"&lt;&gt;Cancelled",'Candidate Tracker'!$C:$C,"&lt;&gt;Closed")/COUNTIFS('Candidate Tracker'!$E:$E,'Positions Tracker'!$B191)),"")</f>
        <v>1</v>
      </c>
      <c r="BD191" s="30" t="str">
        <f t="shared" si="25"/>
        <v>Mar-25</v>
      </c>
      <c r="BE191" s="30" t="str">
        <f t="shared" si="26"/>
        <v>Jun-25</v>
      </c>
      <c r="BF191" s="30" t="str">
        <f t="shared" si="27"/>
        <v>Jul-25</v>
      </c>
      <c r="BG191" s="30" t="str">
        <f t="shared" si="28"/>
        <v>Oct-25</v>
      </c>
    </row>
    <row r="192" spans="1:59">
      <c r="A192" s="30">
        <f t="shared" si="23"/>
        <v>191</v>
      </c>
      <c r="B192" s="30">
        <v>20256299</v>
      </c>
      <c r="C192" s="30" t="s">
        <v>3857</v>
      </c>
      <c r="D192" s="30" t="s">
        <v>3857</v>
      </c>
      <c r="E192" s="30" t="s">
        <v>1233</v>
      </c>
      <c r="F192" s="30" t="s">
        <v>3852</v>
      </c>
      <c r="G192" s="30" t="s">
        <v>3</v>
      </c>
      <c r="H192" s="30" t="s">
        <v>66</v>
      </c>
      <c r="I192" s="30" t="s">
        <v>2639</v>
      </c>
      <c r="J192" s="30"/>
      <c r="K192" s="31">
        <v>45625</v>
      </c>
      <c r="L192" s="31">
        <v>45625</v>
      </c>
      <c r="M192" s="31">
        <v>45761</v>
      </c>
      <c r="N192" s="30" t="s">
        <v>3855</v>
      </c>
      <c r="O192" s="31"/>
      <c r="P192" s="31"/>
      <c r="Q192" s="31"/>
      <c r="R192" s="31"/>
      <c r="S192" s="31"/>
      <c r="T192" s="31"/>
      <c r="U192" s="30"/>
      <c r="V192" s="30"/>
      <c r="W192" s="30"/>
      <c r="X192" s="30" t="s">
        <v>63</v>
      </c>
      <c r="Y192" s="30" t="s">
        <v>218</v>
      </c>
      <c r="Z192" s="30" t="s">
        <v>218</v>
      </c>
      <c r="AA192" s="30" t="s">
        <v>4268</v>
      </c>
      <c r="AB192" s="30">
        <v>11</v>
      </c>
      <c r="AC192" s="30">
        <v>8</v>
      </c>
      <c r="AD192" s="30">
        <v>2</v>
      </c>
      <c r="AE192" s="30"/>
      <c r="AF192" s="30"/>
      <c r="AG192" s="30"/>
      <c r="AH192" s="31"/>
      <c r="AI192" s="31"/>
      <c r="AJ192" s="31"/>
      <c r="AK192" s="30"/>
      <c r="AL192" s="30"/>
      <c r="AM192" s="31"/>
      <c r="AN192" s="31"/>
      <c r="AO192" s="31"/>
      <c r="AP192" s="31"/>
      <c r="AQ192" s="31"/>
      <c r="AR192" s="31"/>
      <c r="AS192" s="31"/>
      <c r="AT192" s="30">
        <f t="shared" ca="1" si="24"/>
        <v>0</v>
      </c>
      <c r="AU192" s="32" t="str">
        <f t="shared" ca="1" si="22"/>
        <v/>
      </c>
      <c r="AV192" s="32" t="str" cm="1">
        <f t="array" aca="1" ref="AV192" ca="1">IFERROR(_xlfn.IFS($AU192="","",$AU192&lt;=15,"0-15",AND($AU192&gt;=16,$AU192&lt;=30),"16-30",AND($AU192&gt;=31,$AU192&lt;=45),"31-45",AND($AU192&gt;=46,$AU192&lt;=60),"46-60",AND($AU192&gt;=61,$AU192&lt;=90),"61-90",AND($AU192&gt;=91),"&gt; 90",AND($AU192&gt;=2000),""),"")</f>
        <v/>
      </c>
      <c r="AW192" s="32" t="str" cm="1">
        <f t="array" aca="1" ref="AW192" ca="1">IFERROR(_xlfn.IFS(OR($M192="",$AM192=""),"",OR($C192="Offered",$C192="Joined"),($AM192-$M192)-$AT192),"")</f>
        <v/>
      </c>
      <c r="AX192" s="32" t="str" cm="1">
        <f t="array" aca="1" ref="AX192" ca="1">IFERROR(_xlfn.IFS(OR($M192="",$AS192=""),"",$C192="Joined",($AS192-$M192)-$AT192),"")</f>
        <v/>
      </c>
      <c r="AY192" s="30" t="str">
        <f>IFERROR(IF(COUNTIFS('Candidate Tracker'!$E:$E,'Positions Tracker'!$B192,'Candidate Tracker'!$C:$C,"Offer Drop")=0,"",COUNTIFS('Candidate Tracker'!$E:$E,'Positions Tracker'!$B192,'Candidate Tracker'!$C:$C,"Offer Drop")),"")</f>
        <v/>
      </c>
      <c r="AZ19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2" s="34" t="str">
        <f>IFERROR(IF(COUNTIFS('Candidate Tracker'!$E:$E,'Positions Tracker'!$B192,'Candidate Tracker'!$I:$I,"Female")=0,"",COUNTIFS('Candidate Tracker'!$E:$E,'Positions Tracker'!$B192,'Candidate Tracker'!$I:$I,"Female")),"")</f>
        <v/>
      </c>
      <c r="BB192" s="34" t="str">
        <f>IFERROR(IF(COUNTIFS('Candidate Tracker'!$E:$E,'Positions Tracker'!$B192,'Candidate Tracker'!$I:$I,"male")=0,"",COUNTIFS('Candidate Tracker'!$E:$E,'Positions Tracker'!$B192,'Candidate Tracker'!$I:$I,"male")),"")</f>
        <v/>
      </c>
      <c r="BC192" s="33" t="str">
        <f>IFERROR(IF(COUNTIFS('Candidate Tracker'!$E:$E,'Positions Tracker'!$B192,'Candidate Tracker'!$C:$C,"&lt;&gt;WIP",'Candidate Tracker'!$C:$C,"&lt;&gt;Hold",'Candidate Tracker'!$C:$C,"&lt;&gt;Cancelled",'Candidate Tracker'!$C:$C,"&lt;&gt;Closed")/COUNTIFS('Candidate Tracker'!$E:$E,'Positions Tracker'!$B192)=0,"",COUNTIFS('Candidate Tracker'!$E:$E,'Positions Tracker'!$B192,'Candidate Tracker'!$C:$C,"&lt;&gt;WIP",'Candidate Tracker'!$C:$C,"&lt;&gt;Hold",'Candidate Tracker'!$C:$C,"&lt;&gt;Cancelled",'Candidate Tracker'!$C:$C,"&lt;&gt;Closed")/COUNTIFS('Candidate Tracker'!$E:$E,'Positions Tracker'!$B192)),"")</f>
        <v/>
      </c>
      <c r="BD192" s="30" t="str">
        <f t="shared" si="25"/>
        <v>Apr-25</v>
      </c>
      <c r="BE192" s="30" t="str">
        <f t="shared" si="26"/>
        <v/>
      </c>
      <c r="BF192" s="30" t="str">
        <f t="shared" si="27"/>
        <v/>
      </c>
      <c r="BG192" s="30" t="str">
        <f t="shared" si="28"/>
        <v/>
      </c>
    </row>
    <row r="193" spans="1:59">
      <c r="A193" s="30">
        <f t="shared" si="23"/>
        <v>192</v>
      </c>
      <c r="B193" s="30">
        <v>20253370</v>
      </c>
      <c r="C193" s="30" t="s">
        <v>3847</v>
      </c>
      <c r="D193" s="30" t="s">
        <v>1920</v>
      </c>
      <c r="E193" s="30" t="s">
        <v>4269</v>
      </c>
      <c r="F193" s="30" t="s">
        <v>2959</v>
      </c>
      <c r="G193" s="30" t="s">
        <v>3</v>
      </c>
      <c r="H193" s="30" t="s">
        <v>66</v>
      </c>
      <c r="I193" s="30" t="s">
        <v>433</v>
      </c>
      <c r="J193" s="30"/>
      <c r="K193" s="31">
        <v>45733</v>
      </c>
      <c r="L193" s="31">
        <v>45763</v>
      </c>
      <c r="M193" s="31">
        <v>45765</v>
      </c>
      <c r="N193" s="30" t="s">
        <v>3855</v>
      </c>
      <c r="O193" s="31"/>
      <c r="P193" s="31"/>
      <c r="Q193" s="31"/>
      <c r="R193" s="31"/>
      <c r="S193" s="31"/>
      <c r="T193" s="31"/>
      <c r="U193" s="30"/>
      <c r="V193" s="30"/>
      <c r="W193" s="30"/>
      <c r="X193" s="30" t="s">
        <v>63</v>
      </c>
      <c r="Y193" s="30" t="s">
        <v>2679</v>
      </c>
      <c r="Z193" s="30" t="s">
        <v>2679</v>
      </c>
      <c r="AA193" s="30" t="s">
        <v>4270</v>
      </c>
      <c r="AB193" s="30"/>
      <c r="AC193" s="30"/>
      <c r="AD193" s="30"/>
      <c r="AE193" s="30"/>
      <c r="AF193" s="30"/>
      <c r="AG193" s="30"/>
      <c r="AH193" s="31"/>
      <c r="AI193" s="31"/>
      <c r="AJ193" s="31"/>
      <c r="AK193" s="30"/>
      <c r="AL193" s="30"/>
      <c r="AM193" s="31"/>
      <c r="AN193" s="31"/>
      <c r="AO193" s="31"/>
      <c r="AP193" s="31"/>
      <c r="AQ193" s="31"/>
      <c r="AR193" s="31"/>
      <c r="AS193" s="31"/>
      <c r="AT193" s="30">
        <f t="shared" ca="1" si="24"/>
        <v>0</v>
      </c>
      <c r="AU193" s="32" t="str">
        <f t="shared" ca="1" si="22"/>
        <v/>
      </c>
      <c r="AV193" s="32" t="str" cm="1">
        <f t="array" aca="1" ref="AV193" ca="1">IFERROR(_xlfn.IFS($AU193="","",$AU193&lt;=15,"0-15",AND($AU193&gt;=16,$AU193&lt;=30),"16-30",AND($AU193&gt;=31,$AU193&lt;=45),"31-45",AND($AU193&gt;=46,$AU193&lt;=60),"46-60",AND($AU193&gt;=61,$AU193&lt;=90),"61-90",AND($AU193&gt;=91),"&gt; 90",AND($AU193&gt;=2000),""),"")</f>
        <v/>
      </c>
      <c r="AW193" s="32" t="str" cm="1">
        <f t="array" aca="1" ref="AW193" ca="1">IFERROR(_xlfn.IFS(OR($M193="",$AM193=""),"",OR($C193="Offered",$C193="Joined"),($AM193-$M193)-$AT193),"")</f>
        <v/>
      </c>
      <c r="AX193" s="32" t="str" cm="1">
        <f t="array" aca="1" ref="AX193" ca="1">IFERROR(_xlfn.IFS(OR($M193="",$AS193=""),"",$C193="Joined",($AS193-$M193)-$AT193),"")</f>
        <v/>
      </c>
      <c r="AY193" s="30" t="str">
        <f>IFERROR(IF(COUNTIFS('Candidate Tracker'!$E:$E,'Positions Tracker'!$B193,'Candidate Tracker'!$C:$C,"Offer Drop")=0,"",COUNTIFS('Candidate Tracker'!$E:$E,'Positions Tracker'!$B193,'Candidate Tracker'!$C:$C,"Offer Drop")),"")</f>
        <v/>
      </c>
      <c r="AZ19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3" s="34" t="str">
        <f>IFERROR(IF(COUNTIFS('Candidate Tracker'!$E:$E,'Positions Tracker'!$B193,'Candidate Tracker'!$I:$I,"Female")=0,"",COUNTIFS('Candidate Tracker'!$E:$E,'Positions Tracker'!$B193,'Candidate Tracker'!$I:$I,"Female")),"")</f>
        <v/>
      </c>
      <c r="BB193" s="34" t="str">
        <f>IFERROR(IF(COUNTIFS('Candidate Tracker'!$E:$E,'Positions Tracker'!$B193,'Candidate Tracker'!$I:$I,"male")=0,"",COUNTIFS('Candidate Tracker'!$E:$E,'Positions Tracker'!$B193,'Candidate Tracker'!$I:$I,"male")),"")</f>
        <v/>
      </c>
      <c r="BC193" s="33" t="str">
        <f>IFERROR(IF(COUNTIFS('Candidate Tracker'!$E:$E,'Positions Tracker'!$B193,'Candidate Tracker'!$C:$C,"&lt;&gt;WIP",'Candidate Tracker'!$C:$C,"&lt;&gt;Hold",'Candidate Tracker'!$C:$C,"&lt;&gt;Cancelled",'Candidate Tracker'!$C:$C,"&lt;&gt;Closed")/COUNTIFS('Candidate Tracker'!$E:$E,'Positions Tracker'!$B193)=0,"",COUNTIFS('Candidate Tracker'!$E:$E,'Positions Tracker'!$B193,'Candidate Tracker'!$C:$C,"&lt;&gt;WIP",'Candidate Tracker'!$C:$C,"&lt;&gt;Hold",'Candidate Tracker'!$C:$C,"&lt;&gt;Cancelled",'Candidate Tracker'!$C:$C,"&lt;&gt;Closed")/COUNTIFS('Candidate Tracker'!$E:$E,'Positions Tracker'!$B193)),"")</f>
        <v/>
      </c>
      <c r="BD193" s="30" t="str">
        <f t="shared" si="25"/>
        <v>Apr-25</v>
      </c>
      <c r="BE193" s="30" t="str">
        <f t="shared" si="26"/>
        <v/>
      </c>
      <c r="BF193" s="30" t="str">
        <f t="shared" si="27"/>
        <v/>
      </c>
      <c r="BG193" s="30" t="str">
        <f t="shared" si="28"/>
        <v/>
      </c>
    </row>
    <row r="194" spans="1:59">
      <c r="A194" s="30">
        <f t="shared" si="23"/>
        <v>193</v>
      </c>
      <c r="B194" s="30">
        <v>20253386</v>
      </c>
      <c r="C194" s="30" t="s">
        <v>4271</v>
      </c>
      <c r="D194" s="30" t="s">
        <v>4254</v>
      </c>
      <c r="E194" s="30" t="s">
        <v>4272</v>
      </c>
      <c r="F194" s="30" t="s">
        <v>3910</v>
      </c>
      <c r="G194" s="30" t="s">
        <v>3</v>
      </c>
      <c r="H194" s="30" t="s">
        <v>3933</v>
      </c>
      <c r="I194" s="30" t="s">
        <v>116</v>
      </c>
      <c r="J194" s="30"/>
      <c r="K194" s="31">
        <v>45665</v>
      </c>
      <c r="L194" s="31">
        <v>45764</v>
      </c>
      <c r="M194" s="31">
        <v>45765</v>
      </c>
      <c r="N194" s="30" t="s">
        <v>3948</v>
      </c>
      <c r="O194" s="31"/>
      <c r="P194" s="31"/>
      <c r="Q194" s="31"/>
      <c r="R194" s="31"/>
      <c r="S194" s="31"/>
      <c r="T194" s="31"/>
      <c r="U194" s="30"/>
      <c r="V194" s="30"/>
      <c r="W194" s="30"/>
      <c r="X194" s="30" t="s">
        <v>63</v>
      </c>
      <c r="Y194" s="30" t="s">
        <v>2679</v>
      </c>
      <c r="Z194" s="30" t="s">
        <v>2679</v>
      </c>
      <c r="AA194" s="30" t="s">
        <v>4273</v>
      </c>
      <c r="AB194" s="30"/>
      <c r="AC194" s="30"/>
      <c r="AD194" s="30"/>
      <c r="AE194" s="30"/>
      <c r="AF194" s="30"/>
      <c r="AG194" s="30"/>
      <c r="AH194" s="31"/>
      <c r="AI194" s="31"/>
      <c r="AJ194" s="31"/>
      <c r="AK194" s="30"/>
      <c r="AL194" s="30"/>
      <c r="AM194" s="31"/>
      <c r="AN194" s="31"/>
      <c r="AO194" s="31"/>
      <c r="AP194" s="31"/>
      <c r="AQ194" s="31"/>
      <c r="AR194" s="31"/>
      <c r="AS194" s="31"/>
      <c r="AT194" s="30">
        <f t="shared" ca="1" si="24"/>
        <v>0</v>
      </c>
      <c r="AU194" s="32" t="str">
        <f t="shared" ref="AU194:AU255" ca="1" si="30">IFERROR(IF(($M194=""),"",IF(OR(,$C194="Offer in Progress",$C194="WIP",$C194="WIP/Drop",$C194="WIP/New",$C194="WIP/Hold"),(TODAY()-$M194)-$AT194,"")),"")</f>
        <v/>
      </c>
      <c r="AV194" s="32" t="str" cm="1">
        <f t="array" aca="1" ref="AV194" ca="1">IFERROR(_xlfn.IFS($AU194="","",$AU194&lt;=15,"0-15",AND($AU194&gt;=16,$AU194&lt;=30),"16-30",AND($AU194&gt;=31,$AU194&lt;=45),"31-45",AND($AU194&gt;=46,$AU194&lt;=60),"46-60",AND($AU194&gt;=61,$AU194&lt;=90),"61-90",AND($AU194&gt;=91),"&gt; 90",AND($AU194&gt;=2000),""),"")</f>
        <v/>
      </c>
      <c r="AW194" s="32" t="str" cm="1">
        <f t="array" aca="1" ref="AW194" ca="1">IFERROR(_xlfn.IFS(OR($M194="",$AM194=""),"",OR($C194="Offered",$C194="Joined"),($AM194-$M194)-$AT194),"")</f>
        <v/>
      </c>
      <c r="AX194" s="32" t="str" cm="1">
        <f t="array" aca="1" ref="AX194" ca="1">IFERROR(_xlfn.IFS(OR($M194="",$AS194=""),"",$C194="Joined",($AS194-$M194)-$AT194),"")</f>
        <v/>
      </c>
      <c r="AY194" s="30" t="str">
        <f>IFERROR(IF(COUNTIFS('Candidate Tracker'!$E:$E,'Positions Tracker'!$B194,'Candidate Tracker'!$C:$C,"Offer Drop")=0,"",COUNTIFS('Candidate Tracker'!$E:$E,'Positions Tracker'!$B194,'Candidate Tracker'!$C:$C,"Offer Drop")),"")</f>
        <v/>
      </c>
      <c r="AZ19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4" s="34" t="str">
        <f>IFERROR(IF(COUNTIFS('Candidate Tracker'!$E:$E,'Positions Tracker'!$B194,'Candidate Tracker'!$I:$I,"Female")=0,"",COUNTIFS('Candidate Tracker'!$E:$E,'Positions Tracker'!$B194,'Candidate Tracker'!$I:$I,"Female")),"")</f>
        <v/>
      </c>
      <c r="BB194" s="34" t="str">
        <f>IFERROR(IF(COUNTIFS('Candidate Tracker'!$E:$E,'Positions Tracker'!$B194,'Candidate Tracker'!$I:$I,"male")=0,"",COUNTIFS('Candidate Tracker'!$E:$E,'Positions Tracker'!$B194,'Candidate Tracker'!$I:$I,"male")),"")</f>
        <v/>
      </c>
      <c r="BC194" s="33" t="str">
        <f>IFERROR(IF(COUNTIFS('Candidate Tracker'!$E:$E,'Positions Tracker'!$B194,'Candidate Tracker'!$C:$C,"&lt;&gt;WIP",'Candidate Tracker'!$C:$C,"&lt;&gt;Hold",'Candidate Tracker'!$C:$C,"&lt;&gt;Cancelled",'Candidate Tracker'!$C:$C,"&lt;&gt;Closed")/COUNTIFS('Candidate Tracker'!$E:$E,'Positions Tracker'!$B194)=0,"",COUNTIFS('Candidate Tracker'!$E:$E,'Positions Tracker'!$B194,'Candidate Tracker'!$C:$C,"&lt;&gt;WIP",'Candidate Tracker'!$C:$C,"&lt;&gt;Hold",'Candidate Tracker'!$C:$C,"&lt;&gt;Cancelled",'Candidate Tracker'!$C:$C,"&lt;&gt;Closed")/COUNTIFS('Candidate Tracker'!$E:$E,'Positions Tracker'!$B194)),"")</f>
        <v/>
      </c>
      <c r="BD194" s="30" t="str">
        <f t="shared" si="25"/>
        <v>Apr-25</v>
      </c>
      <c r="BE194" s="30" t="str">
        <f t="shared" si="26"/>
        <v/>
      </c>
      <c r="BF194" s="30" t="str">
        <f t="shared" si="27"/>
        <v/>
      </c>
      <c r="BG194" s="30" t="str">
        <f t="shared" si="28"/>
        <v/>
      </c>
    </row>
    <row r="195" spans="1:59">
      <c r="A195" s="30">
        <f t="shared" ref="A195:A255" si="31">A194+1</f>
        <v>194</v>
      </c>
      <c r="B195" s="30">
        <v>20254576</v>
      </c>
      <c r="C195" s="30" t="s">
        <v>4271</v>
      </c>
      <c r="D195" s="30" t="s">
        <v>4254</v>
      </c>
      <c r="E195" s="30" t="s">
        <v>4274</v>
      </c>
      <c r="F195" s="30" t="s">
        <v>4275</v>
      </c>
      <c r="G195" s="30" t="s">
        <v>1</v>
      </c>
      <c r="H195" s="30"/>
      <c r="I195" s="30" t="s">
        <v>4276</v>
      </c>
      <c r="J195" s="30"/>
      <c r="K195" s="31">
        <v>45914</v>
      </c>
      <c r="L195" s="31">
        <v>45770</v>
      </c>
      <c r="M195" s="31">
        <v>45770</v>
      </c>
      <c r="N195" s="30" t="s">
        <v>4277</v>
      </c>
      <c r="O195" s="31"/>
      <c r="P195" s="31"/>
      <c r="Q195" s="31"/>
      <c r="R195" s="31"/>
      <c r="S195" s="31"/>
      <c r="T195" s="31"/>
      <c r="U195" s="30"/>
      <c r="V195" s="30"/>
      <c r="W195" s="30"/>
      <c r="X195" s="30" t="s">
        <v>890</v>
      </c>
      <c r="Y195" s="30" t="s">
        <v>2408</v>
      </c>
      <c r="Z195" s="30" t="s">
        <v>2408</v>
      </c>
      <c r="AA195" s="30" t="s">
        <v>4278</v>
      </c>
      <c r="AB195" s="30"/>
      <c r="AC195" s="30"/>
      <c r="AD195" s="30"/>
      <c r="AE195" s="30"/>
      <c r="AF195" s="30"/>
      <c r="AG195" s="30"/>
      <c r="AH195" s="31"/>
      <c r="AI195" s="31"/>
      <c r="AJ195" s="31"/>
      <c r="AK195" s="30"/>
      <c r="AL195" s="30"/>
      <c r="AM195" s="31"/>
      <c r="AN195" s="31"/>
      <c r="AO195" s="31"/>
      <c r="AP195" s="31"/>
      <c r="AQ195" s="31"/>
      <c r="AR195" s="31"/>
      <c r="AS195" s="31"/>
      <c r="AT195" s="30">
        <f t="shared" ref="AT195:AT256" ca="1" si="32">IFERROR(SUM(IF(AND(ISBLANK(T195),ISBLANK(Q195)),0,IF(T195="",TODAY()-Q195,T195-Q195))+IF(AND(ISBLANK(S195),ISBLANK(P195)),0,IF(S195="",TODAY()-P195,S195-P195))+IF(AND(ISBLANK(O195),ISBLANK(R195)),0,IF(R195="",TODAY()-O195,R195-O195))),"")</f>
        <v>0</v>
      </c>
      <c r="AU195" s="32" t="str">
        <f t="shared" ca="1" si="30"/>
        <v/>
      </c>
      <c r="AV195" s="32" t="str" cm="1">
        <f t="array" aca="1" ref="AV195" ca="1">IFERROR(_xlfn.IFS($AU195="","",$AU195&lt;=15,"0-15",AND($AU195&gt;=16,$AU195&lt;=30),"16-30",AND($AU195&gt;=31,$AU195&lt;=45),"31-45",AND($AU195&gt;=46,$AU195&lt;=60),"46-60",AND($AU195&gt;=61,$AU195&lt;=90),"61-90",AND($AU195&gt;=91),"&gt; 90",AND($AU195&gt;=2000),""),"")</f>
        <v/>
      </c>
      <c r="AW195" s="32" t="str" cm="1">
        <f t="array" aca="1" ref="AW195" ca="1">IFERROR(_xlfn.IFS(OR($M195="",$AM195=""),"",OR($C195="Offered",$C195="Joined"),($AM195-$M195)-$AT195),"")</f>
        <v/>
      </c>
      <c r="AX195" s="32" t="str" cm="1">
        <f t="array" aca="1" ref="AX195" ca="1">IFERROR(_xlfn.IFS(OR($M195="",$AS195=""),"",$C195="Joined",($AS195-$M195)-$AT195),"")</f>
        <v/>
      </c>
      <c r="AY195" s="30" t="str">
        <f>IFERROR(IF(COUNTIFS('Candidate Tracker'!$E:$E,'Positions Tracker'!$B195,'Candidate Tracker'!$C:$C,"Offer Drop")=0,"",COUNTIFS('Candidate Tracker'!$E:$E,'Positions Tracker'!$B195,'Candidate Tracker'!$C:$C,"Offer Drop")),"")</f>
        <v/>
      </c>
      <c r="AZ19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5" s="34" t="str">
        <f>IFERROR(IF(COUNTIFS('Candidate Tracker'!$E:$E,'Positions Tracker'!$B195,'Candidate Tracker'!$I:$I,"Female")=0,"",COUNTIFS('Candidate Tracker'!$E:$E,'Positions Tracker'!$B195,'Candidate Tracker'!$I:$I,"Female")),"")</f>
        <v/>
      </c>
      <c r="BB195" s="34" t="str">
        <f>IFERROR(IF(COUNTIFS('Candidate Tracker'!$E:$E,'Positions Tracker'!$B195,'Candidate Tracker'!$I:$I,"male")=0,"",COUNTIFS('Candidate Tracker'!$E:$E,'Positions Tracker'!$B195,'Candidate Tracker'!$I:$I,"male")),"")</f>
        <v/>
      </c>
      <c r="BC195" s="33" t="str">
        <f>IFERROR(IF(COUNTIFS('Candidate Tracker'!$E:$E,'Positions Tracker'!$B195,'Candidate Tracker'!$C:$C,"&lt;&gt;WIP",'Candidate Tracker'!$C:$C,"&lt;&gt;Hold",'Candidate Tracker'!$C:$C,"&lt;&gt;Cancelled",'Candidate Tracker'!$C:$C,"&lt;&gt;Closed")/COUNTIFS('Candidate Tracker'!$E:$E,'Positions Tracker'!$B195)=0,"",COUNTIFS('Candidate Tracker'!$E:$E,'Positions Tracker'!$B195,'Candidate Tracker'!$C:$C,"&lt;&gt;WIP",'Candidate Tracker'!$C:$C,"&lt;&gt;Hold",'Candidate Tracker'!$C:$C,"&lt;&gt;Cancelled",'Candidate Tracker'!$C:$C,"&lt;&gt;Closed")/COUNTIFS('Candidate Tracker'!$E:$E,'Positions Tracker'!$B195)),"")</f>
        <v/>
      </c>
      <c r="BD195" s="30" t="str">
        <f t="shared" ref="BD195:BD256" si="33">IFERROR(IF($M195="","",TEXT($M195,"MMM-YY")),"")</f>
        <v>Apr-25</v>
      </c>
      <c r="BE195" s="30" t="str">
        <f t="shared" ref="BE195:BE256" si="34">IFERROR(IF($AI195="","",TEXT($AI195,"MMM-YY")),"")</f>
        <v/>
      </c>
      <c r="BF195" s="30" t="str">
        <f t="shared" ref="BF195:BF256" si="35">IFERROR(IF($AM195="","",TEXT($AM195,"MMM-YY")),"")</f>
        <v/>
      </c>
      <c r="BG195" s="30" t="str">
        <f t="shared" ref="BG195:BG245" si="36">IFERROR(IF($AS195="","",TEXT($AS195,"MMM-YY")),"")</f>
        <v/>
      </c>
    </row>
    <row r="196" spans="1:59">
      <c r="A196" s="30">
        <f t="shared" si="31"/>
        <v>195</v>
      </c>
      <c r="B196" s="30">
        <v>20254506</v>
      </c>
      <c r="C196" s="30" t="s">
        <v>4271</v>
      </c>
      <c r="D196" s="30" t="s">
        <v>4254</v>
      </c>
      <c r="E196" s="30" t="s">
        <v>4274</v>
      </c>
      <c r="F196" s="30" t="s">
        <v>4275</v>
      </c>
      <c r="G196" s="30" t="s">
        <v>1</v>
      </c>
      <c r="H196" s="30"/>
      <c r="I196" s="30" t="s">
        <v>4276</v>
      </c>
      <c r="J196" s="30" t="s">
        <v>135</v>
      </c>
      <c r="K196" s="31">
        <v>45913</v>
      </c>
      <c r="L196" s="31">
        <v>45771</v>
      </c>
      <c r="M196" s="31">
        <v>45771</v>
      </c>
      <c r="N196" s="30" t="s">
        <v>4277</v>
      </c>
      <c r="O196" s="31"/>
      <c r="P196" s="31"/>
      <c r="Q196" s="31"/>
      <c r="R196" s="31"/>
      <c r="S196" s="31"/>
      <c r="T196" s="31"/>
      <c r="U196" s="30"/>
      <c r="V196" s="30"/>
      <c r="W196" s="30"/>
      <c r="X196" s="30" t="s">
        <v>890</v>
      </c>
      <c r="Y196" s="30" t="s">
        <v>2408</v>
      </c>
      <c r="Z196" s="30" t="s">
        <v>2408</v>
      </c>
      <c r="AA196" s="30" t="s">
        <v>4278</v>
      </c>
      <c r="AB196" s="30"/>
      <c r="AC196" s="30"/>
      <c r="AD196" s="30"/>
      <c r="AE196" s="30"/>
      <c r="AF196" s="30"/>
      <c r="AG196" s="30"/>
      <c r="AH196" s="31"/>
      <c r="AI196" s="31"/>
      <c r="AJ196" s="31"/>
      <c r="AK196" s="30"/>
      <c r="AL196" s="30"/>
      <c r="AM196" s="31"/>
      <c r="AN196" s="31"/>
      <c r="AO196" s="31"/>
      <c r="AP196" s="31"/>
      <c r="AQ196" s="31"/>
      <c r="AR196" s="31"/>
      <c r="AS196" s="31"/>
      <c r="AT196" s="30">
        <f t="shared" ca="1" si="32"/>
        <v>0</v>
      </c>
      <c r="AU196" s="32" t="str">
        <f t="shared" ca="1" si="30"/>
        <v/>
      </c>
      <c r="AV196" s="32" t="str" cm="1">
        <f t="array" aca="1" ref="AV196" ca="1">IFERROR(_xlfn.IFS($AU196="","",$AU196&lt;=15,"0-15",AND($AU196&gt;=16,$AU196&lt;=30),"16-30",AND($AU196&gt;=31,$AU196&lt;=45),"31-45",AND($AU196&gt;=46,$AU196&lt;=60),"46-60",AND($AU196&gt;=61,$AU196&lt;=90),"61-90",AND($AU196&gt;=91),"&gt; 90",AND($AU196&gt;=2000),""),"")</f>
        <v/>
      </c>
      <c r="AW196" s="32" t="str" cm="1">
        <f t="array" aca="1" ref="AW196" ca="1">IFERROR(_xlfn.IFS(OR($M196="",$AM196=""),"",OR($C196="Offered",$C196="Joined"),($AM196-$M196)-$AT196),"")</f>
        <v/>
      </c>
      <c r="AX196" s="32" t="str" cm="1">
        <f t="array" aca="1" ref="AX196" ca="1">IFERROR(_xlfn.IFS(OR($M196="",$AS196=""),"",$C196="Joined",($AS196-$M196)-$AT196),"")</f>
        <v/>
      </c>
      <c r="AY196" s="30" t="str">
        <f>IFERROR(IF(COUNTIFS('Candidate Tracker'!$E:$E,'Positions Tracker'!$B196,'Candidate Tracker'!$C:$C,"Offer Drop")=0,"",COUNTIFS('Candidate Tracker'!$E:$E,'Positions Tracker'!$B196,'Candidate Tracker'!$C:$C,"Offer Drop")),"")</f>
        <v/>
      </c>
      <c r="AZ19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6" s="34" t="str">
        <f>IFERROR(IF(COUNTIFS('Candidate Tracker'!$E:$E,'Positions Tracker'!$B196,'Candidate Tracker'!$I:$I,"Female")=0,"",COUNTIFS('Candidate Tracker'!$E:$E,'Positions Tracker'!$B196,'Candidate Tracker'!$I:$I,"Female")),"")</f>
        <v/>
      </c>
      <c r="BB196" s="34" t="str">
        <f>IFERROR(IF(COUNTIFS('Candidate Tracker'!$E:$E,'Positions Tracker'!$B196,'Candidate Tracker'!$I:$I,"male")=0,"",COUNTIFS('Candidate Tracker'!$E:$E,'Positions Tracker'!$B196,'Candidate Tracker'!$I:$I,"male")),"")</f>
        <v/>
      </c>
      <c r="BC196" s="33" t="str">
        <f>IFERROR(IF(COUNTIFS('Candidate Tracker'!$E:$E,'Positions Tracker'!$B196,'Candidate Tracker'!$C:$C,"&lt;&gt;WIP",'Candidate Tracker'!$C:$C,"&lt;&gt;Hold",'Candidate Tracker'!$C:$C,"&lt;&gt;Cancelled",'Candidate Tracker'!$C:$C,"&lt;&gt;Closed")/COUNTIFS('Candidate Tracker'!$E:$E,'Positions Tracker'!$B196)=0,"",COUNTIFS('Candidate Tracker'!$E:$E,'Positions Tracker'!$B196,'Candidate Tracker'!$C:$C,"&lt;&gt;WIP",'Candidate Tracker'!$C:$C,"&lt;&gt;Hold",'Candidate Tracker'!$C:$C,"&lt;&gt;Cancelled",'Candidate Tracker'!$C:$C,"&lt;&gt;Closed")/COUNTIFS('Candidate Tracker'!$E:$E,'Positions Tracker'!$B196)),"")</f>
        <v/>
      </c>
      <c r="BD196" s="30" t="str">
        <f t="shared" si="33"/>
        <v>Apr-25</v>
      </c>
      <c r="BE196" s="30" t="str">
        <f t="shared" si="34"/>
        <v/>
      </c>
      <c r="BF196" s="30" t="str">
        <f t="shared" si="35"/>
        <v/>
      </c>
      <c r="BG196" s="30" t="str">
        <f t="shared" si="36"/>
        <v/>
      </c>
    </row>
    <row r="197" spans="1:59">
      <c r="A197" s="30">
        <f t="shared" si="31"/>
        <v>196</v>
      </c>
      <c r="B197" s="30">
        <v>20256774</v>
      </c>
      <c r="C197" s="30" t="s">
        <v>51</v>
      </c>
      <c r="D197" s="30" t="s">
        <v>51</v>
      </c>
      <c r="E197" s="30" t="s">
        <v>4279</v>
      </c>
      <c r="F197" s="30" t="s">
        <v>4280</v>
      </c>
      <c r="G197" s="30" t="s">
        <v>1</v>
      </c>
      <c r="H197" s="30" t="s">
        <v>2409</v>
      </c>
      <c r="I197" s="30" t="s">
        <v>4281</v>
      </c>
      <c r="J197" s="30" t="s">
        <v>135</v>
      </c>
      <c r="K197" s="31">
        <v>45909</v>
      </c>
      <c r="L197" s="31">
        <v>45770</v>
      </c>
      <c r="M197" s="31">
        <v>45770</v>
      </c>
      <c r="N197" s="30" t="s">
        <v>4277</v>
      </c>
      <c r="O197" s="31"/>
      <c r="P197" s="31"/>
      <c r="Q197" s="31"/>
      <c r="R197" s="31"/>
      <c r="S197" s="31"/>
      <c r="T197" s="31"/>
      <c r="U197" s="30"/>
      <c r="V197" s="30"/>
      <c r="W197" s="30"/>
      <c r="X197" s="30" t="s">
        <v>63</v>
      </c>
      <c r="Y197" s="30" t="s">
        <v>2408</v>
      </c>
      <c r="Z197" s="30" t="s">
        <v>2408</v>
      </c>
      <c r="AA197" s="30" t="s">
        <v>4282</v>
      </c>
      <c r="AB197" s="30"/>
      <c r="AC197" s="30"/>
      <c r="AD197" s="30"/>
      <c r="AE197" s="30" t="s">
        <v>4283</v>
      </c>
      <c r="AF197" s="30">
        <v>8788816293</v>
      </c>
      <c r="AG197" s="30" t="s">
        <v>4284</v>
      </c>
      <c r="AH197" s="31" t="s">
        <v>55</v>
      </c>
      <c r="AI197" s="31">
        <v>45805</v>
      </c>
      <c r="AJ197" s="31">
        <v>45818</v>
      </c>
      <c r="AK197" s="30"/>
      <c r="AL197" s="30">
        <v>1000000</v>
      </c>
      <c r="AM197" s="31">
        <v>45811</v>
      </c>
      <c r="AN197" s="31">
        <v>45818</v>
      </c>
      <c r="AO197" s="31"/>
      <c r="AP197" s="31">
        <v>45821</v>
      </c>
      <c r="AQ197" s="31">
        <v>45821</v>
      </c>
      <c r="AR197" s="31"/>
      <c r="AS197" s="31">
        <v>45838</v>
      </c>
      <c r="AT197" s="30">
        <f t="shared" ca="1" si="32"/>
        <v>0</v>
      </c>
      <c r="AU197" s="32" t="str">
        <f t="shared" ca="1" si="30"/>
        <v/>
      </c>
      <c r="AV197" s="32" t="str" cm="1">
        <f t="array" aca="1" ref="AV197" ca="1">IFERROR(_xlfn.IFS($AU197="","",$AU197&lt;=15,"0-15",AND($AU197&gt;=16,$AU197&lt;=30),"16-30",AND($AU197&gt;=31,$AU197&lt;=45),"31-45",AND($AU197&gt;=46,$AU197&lt;=60),"46-60",AND($AU197&gt;=61,$AU197&lt;=90),"61-90",AND($AU197&gt;=91),"&gt; 90",AND($AU197&gt;=2000),""),"")</f>
        <v/>
      </c>
      <c r="AW197" s="32" cm="1">
        <f t="array" aca="1" ref="AW197" ca="1">IFERROR(_xlfn.IFS(OR($M197="",$AM197=""),"",OR($C197="Offered",$C197="Joined"),($AM197-$M197)-$AT197),"")</f>
        <v>41</v>
      </c>
      <c r="AX197" s="32" cm="1">
        <f t="array" aca="1" ref="AX197" ca="1">IFERROR(_xlfn.IFS(OR($M197="",$AS197=""),"",$C197="Joined",($AS197-$M197)-$AT197),"")</f>
        <v>68</v>
      </c>
      <c r="AY197" s="30" t="str">
        <f>IFERROR(IF(COUNTIFS('Candidate Tracker'!$E:$E,'Positions Tracker'!$B197,'Candidate Tracker'!$C:$C,"Offer Drop")=0,"",COUNTIFS('Candidate Tracker'!$E:$E,'Positions Tracker'!$B197,'Candidate Tracker'!$C:$C,"Offer Drop")),"")</f>
        <v/>
      </c>
      <c r="AZ19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7" s="34" t="str">
        <f>IFERROR(IF(COUNTIFS('Candidate Tracker'!$E:$E,'Positions Tracker'!$B197,'Candidate Tracker'!$I:$I,"Female")=0,"",COUNTIFS('Candidate Tracker'!$E:$E,'Positions Tracker'!$B197,'Candidate Tracker'!$I:$I,"Female")),"")</f>
        <v/>
      </c>
      <c r="BB197" s="34" t="str">
        <f>IFERROR(IF(COUNTIFS('Candidate Tracker'!$E:$E,'Positions Tracker'!$B197,'Candidate Tracker'!$I:$I,"male")=0,"",COUNTIFS('Candidate Tracker'!$E:$E,'Positions Tracker'!$B197,'Candidate Tracker'!$I:$I,"male")),"")</f>
        <v/>
      </c>
      <c r="BC197" s="33" t="str">
        <f>IFERROR(IF(COUNTIFS('Candidate Tracker'!$E:$E,'Positions Tracker'!$B197,'Candidate Tracker'!$C:$C,"&lt;&gt;WIP",'Candidate Tracker'!$C:$C,"&lt;&gt;Hold",'Candidate Tracker'!$C:$C,"&lt;&gt;Cancelled",'Candidate Tracker'!$C:$C,"&lt;&gt;Closed")/COUNTIFS('Candidate Tracker'!$E:$E,'Positions Tracker'!$B197)=0,"",COUNTIFS('Candidate Tracker'!$E:$E,'Positions Tracker'!$B197,'Candidate Tracker'!$C:$C,"&lt;&gt;WIP",'Candidate Tracker'!$C:$C,"&lt;&gt;Hold",'Candidate Tracker'!$C:$C,"&lt;&gt;Cancelled",'Candidate Tracker'!$C:$C,"&lt;&gt;Closed")/COUNTIFS('Candidate Tracker'!$E:$E,'Positions Tracker'!$B197)),"")</f>
        <v/>
      </c>
      <c r="BD197" s="30" t="str">
        <f t="shared" si="33"/>
        <v>Apr-25</v>
      </c>
      <c r="BE197" s="30" t="str">
        <f t="shared" si="34"/>
        <v>May-25</v>
      </c>
      <c r="BF197" s="30" t="str">
        <f t="shared" si="35"/>
        <v>Jun-25</v>
      </c>
      <c r="BG197" s="30" t="str">
        <f t="shared" si="36"/>
        <v>Jun-25</v>
      </c>
    </row>
    <row r="198" spans="1:59">
      <c r="A198" s="30">
        <f t="shared" si="31"/>
        <v>197</v>
      </c>
      <c r="B198" s="30">
        <v>20251762</v>
      </c>
      <c r="C198" s="30" t="s">
        <v>3847</v>
      </c>
      <c r="D198" s="30" t="s">
        <v>4285</v>
      </c>
      <c r="E198" s="30" t="s">
        <v>4286</v>
      </c>
      <c r="F198" s="30" t="s">
        <v>4287</v>
      </c>
      <c r="G198" s="30" t="s">
        <v>1</v>
      </c>
      <c r="H198" s="30"/>
      <c r="I198" s="30" t="s">
        <v>4288</v>
      </c>
      <c r="J198" s="30" t="s">
        <v>135</v>
      </c>
      <c r="K198" s="31"/>
      <c r="L198" s="31">
        <v>45855</v>
      </c>
      <c r="M198" s="31">
        <v>45855</v>
      </c>
      <c r="N198" s="30" t="s">
        <v>4289</v>
      </c>
      <c r="O198" s="31"/>
      <c r="P198" s="31"/>
      <c r="Q198" s="31"/>
      <c r="R198" s="31"/>
      <c r="S198" s="31"/>
      <c r="T198" s="31"/>
      <c r="U198" s="30"/>
      <c r="V198" s="30"/>
      <c r="W198" s="30"/>
      <c r="X198" s="30" t="s">
        <v>63</v>
      </c>
      <c r="Y198" s="30" t="s">
        <v>2408</v>
      </c>
      <c r="Z198" s="30" t="s">
        <v>2408</v>
      </c>
      <c r="AA198" s="30" t="s">
        <v>4290</v>
      </c>
      <c r="AB198" s="30"/>
      <c r="AC198" s="30"/>
      <c r="AD198" s="30"/>
      <c r="AE198" s="30"/>
      <c r="AF198" s="30"/>
      <c r="AG198" s="30"/>
      <c r="AH198" s="31"/>
      <c r="AI198" s="31"/>
      <c r="AJ198" s="31"/>
      <c r="AK198" s="30"/>
      <c r="AL198" s="30"/>
      <c r="AM198" s="31"/>
      <c r="AN198" s="31"/>
      <c r="AO198" s="31"/>
      <c r="AP198" s="31"/>
      <c r="AQ198" s="31"/>
      <c r="AR198" s="31"/>
      <c r="AS198" s="31"/>
      <c r="AT198" s="30">
        <f t="shared" ca="1" si="32"/>
        <v>0</v>
      </c>
      <c r="AU198" s="32" t="str">
        <f t="shared" ca="1" si="30"/>
        <v/>
      </c>
      <c r="AV198" s="32" t="str" cm="1">
        <f t="array" aca="1" ref="AV198" ca="1">IFERROR(_xlfn.IFS($AU198="","",$AU198&lt;=15,"0-15",AND($AU198&gt;=16,$AU198&lt;=30),"16-30",AND($AU198&gt;=31,$AU198&lt;=45),"31-45",AND($AU198&gt;=46,$AU198&lt;=60),"46-60",AND($AU198&gt;=61,$AU198&lt;=90),"61-90",AND($AU198&gt;=91),"&gt; 90",AND($AU198&gt;=2000),""),"")</f>
        <v/>
      </c>
      <c r="AW198" s="32" t="str" cm="1">
        <f t="array" aca="1" ref="AW198" ca="1">IFERROR(_xlfn.IFS(OR($M198="",$AM198=""),"",OR($C198="Offered",$C198="Joined"),($AM198-$M198)-$AT198),"")</f>
        <v/>
      </c>
      <c r="AX198" s="32" t="str" cm="1">
        <f t="array" aca="1" ref="AX198" ca="1">IFERROR(_xlfn.IFS(OR($M198="",$AS198=""),"",$C198="Joined",($AS198-$M198)-$AT198),"")</f>
        <v/>
      </c>
      <c r="AY198" s="30" t="str">
        <f>IFERROR(IF(COUNTIFS('Candidate Tracker'!$E:$E,'Positions Tracker'!$B198,'Candidate Tracker'!$C:$C,"Offer Drop")=0,"",COUNTIFS('Candidate Tracker'!$E:$E,'Positions Tracker'!$B198,'Candidate Tracker'!$C:$C,"Offer Drop")),"")</f>
        <v/>
      </c>
      <c r="AZ19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8" s="34" t="str">
        <f>IFERROR(IF(COUNTIFS('Candidate Tracker'!$E:$E,'Positions Tracker'!$B198,'Candidate Tracker'!$I:$I,"Female")=0,"",COUNTIFS('Candidate Tracker'!$E:$E,'Positions Tracker'!$B198,'Candidate Tracker'!$I:$I,"Female")),"")</f>
        <v/>
      </c>
      <c r="BB198" s="34" t="str">
        <f>IFERROR(IF(COUNTIFS('Candidate Tracker'!$E:$E,'Positions Tracker'!$B198,'Candidate Tracker'!$I:$I,"male")=0,"",COUNTIFS('Candidate Tracker'!$E:$E,'Positions Tracker'!$B198,'Candidate Tracker'!$I:$I,"male")),"")</f>
        <v/>
      </c>
      <c r="BC198" s="33" t="str">
        <f>IFERROR(IF(COUNTIFS('Candidate Tracker'!$E:$E,'Positions Tracker'!$B198,'Candidate Tracker'!$C:$C,"&lt;&gt;WIP",'Candidate Tracker'!$C:$C,"&lt;&gt;Hold",'Candidate Tracker'!$C:$C,"&lt;&gt;Cancelled",'Candidate Tracker'!$C:$C,"&lt;&gt;Closed")/COUNTIFS('Candidate Tracker'!$E:$E,'Positions Tracker'!$B198)=0,"",COUNTIFS('Candidate Tracker'!$E:$E,'Positions Tracker'!$B198,'Candidate Tracker'!$C:$C,"&lt;&gt;WIP",'Candidate Tracker'!$C:$C,"&lt;&gt;Hold",'Candidate Tracker'!$C:$C,"&lt;&gt;Cancelled",'Candidate Tracker'!$C:$C,"&lt;&gt;Closed")/COUNTIFS('Candidate Tracker'!$E:$E,'Positions Tracker'!$B198)),"")</f>
        <v/>
      </c>
      <c r="BD198" s="30" t="str">
        <f t="shared" si="33"/>
        <v>Jul-25</v>
      </c>
      <c r="BE198" s="30" t="str">
        <f t="shared" si="34"/>
        <v/>
      </c>
      <c r="BF198" s="30" t="str">
        <f t="shared" si="35"/>
        <v/>
      </c>
      <c r="BG198" s="30" t="str">
        <f t="shared" si="36"/>
        <v/>
      </c>
    </row>
    <row r="199" spans="1:59">
      <c r="A199" s="30">
        <f t="shared" si="31"/>
        <v>198</v>
      </c>
      <c r="B199" s="30">
        <v>20249772</v>
      </c>
      <c r="C199" s="30" t="s">
        <v>4271</v>
      </c>
      <c r="D199" s="30" t="s">
        <v>4254</v>
      </c>
      <c r="E199" s="30" t="s">
        <v>4291</v>
      </c>
      <c r="F199" s="30" t="s">
        <v>4292</v>
      </c>
      <c r="G199" s="30" t="s">
        <v>3</v>
      </c>
      <c r="H199" s="30" t="s">
        <v>66</v>
      </c>
      <c r="I199" s="30" t="s">
        <v>4077</v>
      </c>
      <c r="J199" s="30"/>
      <c r="K199" s="31">
        <v>45782</v>
      </c>
      <c r="L199" s="31">
        <v>45855</v>
      </c>
      <c r="M199" s="31">
        <v>45782</v>
      </c>
      <c r="N199" s="30" t="s">
        <v>3897</v>
      </c>
      <c r="O199" s="31"/>
      <c r="P199" s="31"/>
      <c r="Q199" s="31"/>
      <c r="R199" s="31"/>
      <c r="S199" s="31"/>
      <c r="T199" s="31"/>
      <c r="U199" s="30"/>
      <c r="V199" s="30"/>
      <c r="W199" s="30"/>
      <c r="X199" s="30" t="s">
        <v>63</v>
      </c>
      <c r="Y199" s="30" t="s">
        <v>2679</v>
      </c>
      <c r="Z199" s="30" t="s">
        <v>2679</v>
      </c>
      <c r="AA199" s="30" t="s">
        <v>4293</v>
      </c>
      <c r="AB199" s="30"/>
      <c r="AC199" s="30"/>
      <c r="AD199" s="30"/>
      <c r="AE199" s="30" t="s">
        <v>4294</v>
      </c>
      <c r="AF199" s="30">
        <v>9657836126</v>
      </c>
      <c r="AG199" s="30" t="s">
        <v>4295</v>
      </c>
      <c r="AH199" s="31" t="s">
        <v>55</v>
      </c>
      <c r="AI199" s="31"/>
      <c r="AJ199" s="31"/>
      <c r="AK199" s="30"/>
      <c r="AL199" s="30"/>
      <c r="AM199" s="31"/>
      <c r="AN199" s="31"/>
      <c r="AO199" s="31"/>
      <c r="AP199" s="31"/>
      <c r="AQ199" s="31"/>
      <c r="AR199" s="31"/>
      <c r="AS199" s="31"/>
      <c r="AT199" s="30">
        <f t="shared" ca="1" si="32"/>
        <v>0</v>
      </c>
      <c r="AU199" s="32" t="str">
        <f t="shared" ca="1" si="30"/>
        <v/>
      </c>
      <c r="AV199" s="32" t="str" cm="1">
        <f t="array" aca="1" ref="AV199" ca="1">IFERROR(_xlfn.IFS($AU199="","",$AU199&lt;=15,"0-15",AND($AU199&gt;=16,$AU199&lt;=30),"16-30",AND($AU199&gt;=31,$AU199&lt;=45),"31-45",AND($AU199&gt;=46,$AU199&lt;=60),"46-60",AND($AU199&gt;=61,$AU199&lt;=90),"61-90",AND($AU199&gt;=91),"&gt; 90",AND($AU199&gt;=2000),""),"")</f>
        <v/>
      </c>
      <c r="AW199" s="32" t="str" cm="1">
        <f t="array" aca="1" ref="AW199" ca="1">IFERROR(_xlfn.IFS(OR($M199="",$AM199=""),"",OR($C199="Offered",$C199="Joined"),($AM199-$M199)-$AT199),"")</f>
        <v/>
      </c>
      <c r="AX199" s="32" t="str" cm="1">
        <f t="array" aca="1" ref="AX199" ca="1">IFERROR(_xlfn.IFS(OR($M199="",$AS199=""),"",$C199="Joined",($AS199-$M199)-$AT199),"")</f>
        <v/>
      </c>
      <c r="AY199" s="30" t="str">
        <f>IFERROR(IF(COUNTIFS('Candidate Tracker'!$E:$E,'Positions Tracker'!$B199,'Candidate Tracker'!$C:$C,"Offer Drop")=0,"",COUNTIFS('Candidate Tracker'!$E:$E,'Positions Tracker'!$B199,'Candidate Tracker'!$C:$C,"Offer Drop")),"")</f>
        <v/>
      </c>
      <c r="AZ19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199" s="34" t="str">
        <f>IFERROR(IF(COUNTIFS('Candidate Tracker'!$E:$E,'Positions Tracker'!$B199,'Candidate Tracker'!$I:$I,"Female")=0,"",COUNTIFS('Candidate Tracker'!$E:$E,'Positions Tracker'!$B199,'Candidate Tracker'!$I:$I,"Female")),"")</f>
        <v/>
      </c>
      <c r="BB199" s="34" t="str">
        <f>IFERROR(IF(COUNTIFS('Candidate Tracker'!$E:$E,'Positions Tracker'!$B199,'Candidate Tracker'!$I:$I,"male")=0,"",COUNTIFS('Candidate Tracker'!$E:$E,'Positions Tracker'!$B199,'Candidate Tracker'!$I:$I,"male")),"")</f>
        <v/>
      </c>
      <c r="BC199" s="33" t="str">
        <f>IFERROR(IF(COUNTIFS('Candidate Tracker'!$E:$E,'Positions Tracker'!$B199,'Candidate Tracker'!$C:$C,"&lt;&gt;WIP",'Candidate Tracker'!$C:$C,"&lt;&gt;Hold",'Candidate Tracker'!$C:$C,"&lt;&gt;Cancelled",'Candidate Tracker'!$C:$C,"&lt;&gt;Closed")/COUNTIFS('Candidate Tracker'!$E:$E,'Positions Tracker'!$B199)=0,"",COUNTIFS('Candidate Tracker'!$E:$E,'Positions Tracker'!$B199,'Candidate Tracker'!$C:$C,"&lt;&gt;WIP",'Candidate Tracker'!$C:$C,"&lt;&gt;Hold",'Candidate Tracker'!$C:$C,"&lt;&gt;Cancelled",'Candidate Tracker'!$C:$C,"&lt;&gt;Closed")/COUNTIFS('Candidate Tracker'!$E:$E,'Positions Tracker'!$B199)),"")</f>
        <v/>
      </c>
      <c r="BD199" s="30" t="str">
        <f t="shared" si="33"/>
        <v>May-25</v>
      </c>
      <c r="BE199" s="30" t="str">
        <f t="shared" si="34"/>
        <v/>
      </c>
      <c r="BF199" s="30" t="str">
        <f t="shared" si="35"/>
        <v/>
      </c>
      <c r="BG199" s="30" t="str">
        <f t="shared" si="36"/>
        <v/>
      </c>
    </row>
    <row r="200" spans="1:59">
      <c r="A200" s="30">
        <f t="shared" si="31"/>
        <v>199</v>
      </c>
      <c r="B200" s="30">
        <v>20254244</v>
      </c>
      <c r="C200" s="30" t="s">
        <v>3486</v>
      </c>
      <c r="D200" s="30" t="s">
        <v>3486</v>
      </c>
      <c r="E200" s="30" t="s">
        <v>4296</v>
      </c>
      <c r="F200" s="30" t="s">
        <v>4297</v>
      </c>
      <c r="G200" s="30" t="s">
        <v>3</v>
      </c>
      <c r="H200" s="30" t="s">
        <v>66</v>
      </c>
      <c r="I200" s="30" t="s">
        <v>2639</v>
      </c>
      <c r="J200" s="30" t="s">
        <v>135</v>
      </c>
      <c r="K200" s="31">
        <v>45784</v>
      </c>
      <c r="L200" s="31">
        <v>45848</v>
      </c>
      <c r="M200" s="31">
        <v>45784</v>
      </c>
      <c r="N200" s="30" t="s">
        <v>3855</v>
      </c>
      <c r="O200" s="31"/>
      <c r="P200" s="31"/>
      <c r="Q200" s="31"/>
      <c r="R200" s="31"/>
      <c r="S200" s="31"/>
      <c r="T200" s="31"/>
      <c r="U200" s="30"/>
      <c r="V200" s="30"/>
      <c r="W200" s="30"/>
      <c r="X200" s="30" t="s">
        <v>63</v>
      </c>
      <c r="Y200" s="30" t="s">
        <v>2679</v>
      </c>
      <c r="Z200" s="30" t="s">
        <v>2679</v>
      </c>
      <c r="AA200" s="30" t="s">
        <v>4298</v>
      </c>
      <c r="AB200" s="30"/>
      <c r="AC200" s="30"/>
      <c r="AD200" s="30"/>
      <c r="AE200" s="30" t="s">
        <v>4299</v>
      </c>
      <c r="AF200" s="30">
        <v>7083858333</v>
      </c>
      <c r="AG200" s="30" t="s">
        <v>4300</v>
      </c>
      <c r="AH200" s="31" t="s">
        <v>55</v>
      </c>
      <c r="AI200" s="31">
        <v>45784</v>
      </c>
      <c r="AJ200" s="31">
        <v>45786</v>
      </c>
      <c r="AK200" s="30" t="s">
        <v>63</v>
      </c>
      <c r="AL200" s="30">
        <v>1600000</v>
      </c>
      <c r="AM200" s="31">
        <v>45786</v>
      </c>
      <c r="AN200" s="31">
        <v>45786</v>
      </c>
      <c r="AO200" s="31"/>
      <c r="AP200" s="31">
        <v>45789</v>
      </c>
      <c r="AQ200" s="31">
        <v>45789</v>
      </c>
      <c r="AR200" s="31">
        <v>45862</v>
      </c>
      <c r="AS200" s="31">
        <v>45887</v>
      </c>
      <c r="AT200" s="30">
        <f t="shared" ca="1" si="32"/>
        <v>0</v>
      </c>
      <c r="AU200" s="32" t="str">
        <f t="shared" ca="1" si="30"/>
        <v/>
      </c>
      <c r="AV200" s="32" t="str" cm="1">
        <f t="array" aca="1" ref="AV200" ca="1">IFERROR(_xlfn.IFS($AU200="","",$AU200&lt;=15,"0-15",AND($AU200&gt;=16,$AU200&lt;=30),"16-30",AND($AU200&gt;=31,$AU200&lt;=45),"31-45",AND($AU200&gt;=46,$AU200&lt;=60),"46-60",AND($AU200&gt;=61,$AU200&lt;=90),"61-90",AND($AU200&gt;=91),"&gt; 90",AND($AU200&gt;=2000),""),"")</f>
        <v/>
      </c>
      <c r="AW200" s="32" cm="1">
        <f t="array" aca="1" ref="AW200" ca="1">IFERROR(_xlfn.IFS(OR($M200="",$AM200=""),"",OR($C200="Offered",$C200="Joined"),($AM200-$M200)-$AT200),"")</f>
        <v>2</v>
      </c>
      <c r="AX200" s="32" cm="1">
        <f t="array" aca="1" ref="AX200" ca="1">IFERROR(_xlfn.IFS(OR($M200="",$AS200=""),"",$C200="Joined",($AS200-$M200)-$AT200),"")</f>
        <v>103</v>
      </c>
      <c r="AY200" s="30" t="str">
        <f>IFERROR(IF(COUNTIFS('Candidate Tracker'!$E:$E,'Positions Tracker'!$B200,'Candidate Tracker'!$C:$C,"Offer Drop")=0,"",COUNTIFS('Candidate Tracker'!$E:$E,'Positions Tracker'!$B200,'Candidate Tracker'!$C:$C,"Offer Drop")),"")</f>
        <v/>
      </c>
      <c r="AZ20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0" s="34" t="str">
        <f>IFERROR(IF(COUNTIFS('Candidate Tracker'!$E:$E,'Positions Tracker'!$B200,'Candidate Tracker'!$I:$I,"Female")=0,"",COUNTIFS('Candidate Tracker'!$E:$E,'Positions Tracker'!$B200,'Candidate Tracker'!$I:$I,"Female")),"")</f>
        <v/>
      </c>
      <c r="BB200" s="34" t="str">
        <f>IFERROR(IF(COUNTIFS('Candidate Tracker'!$E:$E,'Positions Tracker'!$B200,'Candidate Tracker'!$I:$I,"male")=0,"",COUNTIFS('Candidate Tracker'!$E:$E,'Positions Tracker'!$B200,'Candidate Tracker'!$I:$I,"male")),"")</f>
        <v/>
      </c>
      <c r="BC200" s="33" t="str">
        <f>IFERROR(IF(COUNTIFS('Candidate Tracker'!$E:$E,'Positions Tracker'!$B200,'Candidate Tracker'!$C:$C,"&lt;&gt;WIP",'Candidate Tracker'!$C:$C,"&lt;&gt;Hold",'Candidate Tracker'!$C:$C,"&lt;&gt;Cancelled",'Candidate Tracker'!$C:$C,"&lt;&gt;Closed")/COUNTIFS('Candidate Tracker'!$E:$E,'Positions Tracker'!$B200)=0,"",COUNTIFS('Candidate Tracker'!$E:$E,'Positions Tracker'!$B200,'Candidate Tracker'!$C:$C,"&lt;&gt;WIP",'Candidate Tracker'!$C:$C,"&lt;&gt;Hold",'Candidate Tracker'!$C:$C,"&lt;&gt;Cancelled",'Candidate Tracker'!$C:$C,"&lt;&gt;Closed")/COUNTIFS('Candidate Tracker'!$E:$E,'Positions Tracker'!$B200)),"")</f>
        <v/>
      </c>
      <c r="BD200" s="30" t="str">
        <f t="shared" si="33"/>
        <v>May-25</v>
      </c>
      <c r="BE200" s="30" t="str">
        <f t="shared" si="34"/>
        <v>May-25</v>
      </c>
      <c r="BF200" s="30" t="str">
        <f t="shared" si="35"/>
        <v>May-25</v>
      </c>
      <c r="BG200" s="30" t="str">
        <f t="shared" si="36"/>
        <v>Aug-25</v>
      </c>
    </row>
    <row r="201" spans="1:59">
      <c r="A201" s="30">
        <f t="shared" si="31"/>
        <v>200</v>
      </c>
      <c r="B201" s="162">
        <v>20254805</v>
      </c>
      <c r="C201" s="162" t="s">
        <v>3847</v>
      </c>
      <c r="D201" s="162" t="s">
        <v>1920</v>
      </c>
      <c r="E201" s="162" t="s">
        <v>4301</v>
      </c>
      <c r="F201" s="162" t="s">
        <v>4302</v>
      </c>
      <c r="G201" s="162" t="s">
        <v>3</v>
      </c>
      <c r="H201" s="162" t="s">
        <v>66</v>
      </c>
      <c r="I201" s="162" t="s">
        <v>4303</v>
      </c>
      <c r="J201" s="162" t="s">
        <v>135</v>
      </c>
      <c r="K201" s="173">
        <v>45784</v>
      </c>
      <c r="L201" s="173">
        <v>45784</v>
      </c>
      <c r="M201" s="173">
        <v>45784</v>
      </c>
      <c r="N201" s="162" t="s">
        <v>3861</v>
      </c>
      <c r="O201" s="173"/>
      <c r="P201" s="173"/>
      <c r="Q201" s="173"/>
      <c r="R201" s="173"/>
      <c r="S201" s="173"/>
      <c r="T201" s="173"/>
      <c r="U201" s="162"/>
      <c r="V201" s="162"/>
      <c r="W201" s="162"/>
      <c r="X201" s="162" t="s">
        <v>63</v>
      </c>
      <c r="Y201" s="162" t="s">
        <v>218</v>
      </c>
      <c r="Z201" s="162" t="s">
        <v>218</v>
      </c>
      <c r="AA201" s="162" t="s">
        <v>4304</v>
      </c>
      <c r="AB201" s="162"/>
      <c r="AC201" s="162"/>
      <c r="AD201" s="162"/>
      <c r="AE201" s="162" t="s">
        <v>4305</v>
      </c>
      <c r="AF201" s="162"/>
      <c r="AG201" s="162"/>
      <c r="AH201" s="173" t="s">
        <v>55</v>
      </c>
      <c r="AI201" s="173">
        <v>45789</v>
      </c>
      <c r="AJ201" s="173"/>
      <c r="AK201" s="162"/>
      <c r="AL201" s="162"/>
      <c r="AM201" s="173"/>
      <c r="AN201" s="173"/>
      <c r="AO201" s="173"/>
      <c r="AP201" s="173"/>
      <c r="AQ201" s="173"/>
      <c r="AR201" s="173"/>
      <c r="AS201" s="173"/>
      <c r="AT201" s="162">
        <f t="shared" ca="1" si="32"/>
        <v>0</v>
      </c>
      <c r="AU201" s="200" t="str">
        <f t="shared" ca="1" si="30"/>
        <v/>
      </c>
      <c r="AV201" s="200" t="str" cm="1">
        <f t="array" aca="1" ref="AV201" ca="1">IFERROR(_xlfn.IFS($AU201="","",$AU201&lt;=15,"0-15",AND($AU201&gt;=16,$AU201&lt;=30),"16-30",AND($AU201&gt;=31,$AU201&lt;=45),"31-45",AND($AU201&gt;=46,$AU201&lt;=60),"46-60",AND($AU201&gt;=61,$AU201&lt;=90),"61-90",AND($AU201&gt;=91),"&gt; 90",AND($AU201&gt;=2000),""),"")</f>
        <v/>
      </c>
      <c r="AW201" s="200" t="str" cm="1">
        <f t="array" aca="1" ref="AW201" ca="1">IFERROR(_xlfn.IFS(OR($M201="",$AM201=""),"",OR($C201="Offered",$C201="Joined"),($AM201-$M201)-$AT201),"")</f>
        <v/>
      </c>
      <c r="AX201" s="200" t="str" cm="1">
        <f t="array" aca="1" ref="AX201" ca="1">IFERROR(_xlfn.IFS(OR($M201="",$AS201=""),"",$C201="Joined",($AS201-$M201)-$AT201),"")</f>
        <v/>
      </c>
      <c r="AY201" s="162" t="str">
        <f>IFERROR(IF(COUNTIFS('Candidate Tracker'!$E:$E,'Positions Tracker'!$B201,'Candidate Tracker'!$C:$C,"Offer Drop")=0,"",COUNTIFS('Candidate Tracker'!$E:$E,'Positions Tracker'!$B201,'Candidate Tracker'!$C:$C,"Offer Drop")),"")</f>
        <v/>
      </c>
      <c r="AZ201" s="201">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1" s="202" t="str">
        <f>IFERROR(IF(COUNTIFS('Candidate Tracker'!$E:$E,'Positions Tracker'!$B201,'Candidate Tracker'!$I:$I,"Female")=0,"",COUNTIFS('Candidate Tracker'!$E:$E,'Positions Tracker'!$B201,'Candidate Tracker'!$I:$I,"Female")),"")</f>
        <v/>
      </c>
      <c r="BB201" s="202" t="str">
        <f>IFERROR(IF(COUNTIFS('Candidate Tracker'!$E:$E,'Positions Tracker'!$B201,'Candidate Tracker'!$I:$I,"male")=0,"",COUNTIFS('Candidate Tracker'!$E:$E,'Positions Tracker'!$B201,'Candidate Tracker'!$I:$I,"male")),"")</f>
        <v/>
      </c>
      <c r="BC201" s="201" t="str">
        <f>IFERROR(IF(COUNTIFS('Candidate Tracker'!$E:$E,'Positions Tracker'!$B201,'Candidate Tracker'!$C:$C,"&lt;&gt;WIP",'Candidate Tracker'!$C:$C,"&lt;&gt;Hold",'Candidate Tracker'!$C:$C,"&lt;&gt;Cancelled",'Candidate Tracker'!$C:$C,"&lt;&gt;Closed")/COUNTIFS('Candidate Tracker'!$E:$E,'Positions Tracker'!$B201)=0,"",COUNTIFS('Candidate Tracker'!$E:$E,'Positions Tracker'!$B201,'Candidate Tracker'!$C:$C,"&lt;&gt;WIP",'Candidate Tracker'!$C:$C,"&lt;&gt;Hold",'Candidate Tracker'!$C:$C,"&lt;&gt;Cancelled",'Candidate Tracker'!$C:$C,"&lt;&gt;Closed")/COUNTIFS('Candidate Tracker'!$E:$E,'Positions Tracker'!$B201)),"")</f>
        <v/>
      </c>
      <c r="BD201" s="162" t="str">
        <f t="shared" si="33"/>
        <v>May-25</v>
      </c>
      <c r="BE201" s="162" t="str">
        <f t="shared" si="34"/>
        <v>May-25</v>
      </c>
      <c r="BF201" s="162" t="str">
        <f t="shared" si="35"/>
        <v/>
      </c>
      <c r="BG201" s="162" t="str">
        <f t="shared" si="36"/>
        <v/>
      </c>
    </row>
    <row r="202" spans="1:59">
      <c r="A202" s="166">
        <f t="shared" si="31"/>
        <v>201</v>
      </c>
      <c r="B202" s="214">
        <v>20263709</v>
      </c>
      <c r="C202" s="176" t="s">
        <v>2</v>
      </c>
      <c r="D202" s="176" t="s">
        <v>1475</v>
      </c>
      <c r="E202" s="176" t="s">
        <v>4306</v>
      </c>
      <c r="F202" s="176" t="s">
        <v>4307</v>
      </c>
      <c r="G202" s="176" t="s">
        <v>1</v>
      </c>
      <c r="H202" s="176" t="s">
        <v>2658</v>
      </c>
      <c r="I202" s="176" t="s">
        <v>4308</v>
      </c>
      <c r="J202" s="176" t="s">
        <v>135</v>
      </c>
      <c r="K202" s="172">
        <v>45931</v>
      </c>
      <c r="L202" s="172">
        <v>45931</v>
      </c>
      <c r="M202" s="172">
        <v>45931</v>
      </c>
      <c r="N202" s="176" t="s">
        <v>4289</v>
      </c>
      <c r="O202" s="172"/>
      <c r="P202" s="172"/>
      <c r="Q202" s="172"/>
      <c r="R202" s="172"/>
      <c r="S202" s="172"/>
      <c r="T202" s="172"/>
      <c r="U202" s="176"/>
      <c r="V202" s="176"/>
      <c r="W202" s="176"/>
      <c r="X202" s="176" t="s">
        <v>3115</v>
      </c>
      <c r="Y202" s="176" t="s">
        <v>2408</v>
      </c>
      <c r="Z202" s="176" t="s">
        <v>2408</v>
      </c>
      <c r="AA202" s="176" t="s">
        <v>4309</v>
      </c>
      <c r="AB202" s="176"/>
      <c r="AC202" s="176"/>
      <c r="AD202" s="176"/>
      <c r="AE202" s="196" t="s">
        <v>4310</v>
      </c>
      <c r="AF202" s="252">
        <v>8074017677</v>
      </c>
      <c r="AG202" s="253" t="s">
        <v>4311</v>
      </c>
      <c r="AH202" s="244" t="s">
        <v>55</v>
      </c>
      <c r="AI202" s="244">
        <v>45993</v>
      </c>
      <c r="AJ202" s="246"/>
      <c r="AK202" s="176" t="s">
        <v>3115</v>
      </c>
      <c r="AL202" s="171">
        <v>872361</v>
      </c>
      <c r="AM202" s="172">
        <v>46002</v>
      </c>
      <c r="AN202" s="172">
        <v>46003</v>
      </c>
      <c r="AO202" s="172"/>
      <c r="AP202" s="172">
        <v>46004</v>
      </c>
      <c r="AQ202" s="172">
        <v>46006</v>
      </c>
      <c r="AR202" s="172"/>
      <c r="AS202" s="172"/>
      <c r="AT202" s="176">
        <f t="shared" ca="1" si="32"/>
        <v>0</v>
      </c>
      <c r="AU202" s="192">
        <f t="shared" ca="1" si="30"/>
        <v>98</v>
      </c>
      <c r="AV202" s="192" t="str" cm="1">
        <f t="array" aca="1" ref="AV202" ca="1">IFERROR(_xlfn.IFS($AU202="","",$AU202&lt;=15,"0-15",AND($AU202&gt;=16,$AU202&lt;=30),"16-30",AND($AU202&gt;=31,$AU202&lt;=45),"31-45",AND($AU202&gt;=46,$AU202&lt;=60),"46-60",AND($AU202&gt;=61,$AU202&lt;=90),"61-90",AND($AU202&gt;=91),"&gt; 90",AND($AU202&gt;=2000),""),"")</f>
        <v>&gt; 90</v>
      </c>
      <c r="AW202" s="192" t="str" cm="1">
        <f t="array" aca="1" ref="AW202" ca="1">IFERROR(_xlfn.IFS(OR($M202="",$AM202=""),"",OR($C202="Offered",$C202="Joined"),($AM202-$M202)-$AT202),"")</f>
        <v/>
      </c>
      <c r="AX202" s="192" t="str" cm="1">
        <f t="array" aca="1" ref="AX202" ca="1">IFERROR(_xlfn.IFS(OR($M202="",$AS202=""),"",$C202="Joined",($AS202-$M202)-$AT202),"")</f>
        <v/>
      </c>
      <c r="AY202" s="176" t="str">
        <f>IFERROR(IF(COUNTIFS('Candidate Tracker'!$E:$E,'Positions Tracker'!$B202,'Candidate Tracker'!$C:$C,"Offer Drop")=0,"",COUNTIFS('Candidate Tracker'!$E:$E,'Positions Tracker'!$B202,'Candidate Tracker'!$C:$C,"Offer Drop")),"")</f>
        <v/>
      </c>
      <c r="AZ202" s="19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2" s="194" t="str">
        <f>IFERROR(IF(COUNTIFS('Candidate Tracker'!$E:$E,'Positions Tracker'!$B202,'Candidate Tracker'!$I:$I,"Female")=0,"",COUNTIFS('Candidate Tracker'!$E:$E,'Positions Tracker'!$B202,'Candidate Tracker'!$I:$I,"Female")),"")</f>
        <v/>
      </c>
      <c r="BB202" s="194" t="str">
        <f>IFERROR(IF(COUNTIFS('Candidate Tracker'!$E:$E,'Positions Tracker'!$B202,'Candidate Tracker'!$I:$I,"male")=0,"",COUNTIFS('Candidate Tracker'!$E:$E,'Positions Tracker'!$B202,'Candidate Tracker'!$I:$I,"male")),"")</f>
        <v/>
      </c>
      <c r="BC202" s="193" t="str">
        <f>IFERROR(IF(COUNTIFS('Candidate Tracker'!$E:$E,'Positions Tracker'!$B202,'Candidate Tracker'!$C:$C,"&lt;&gt;WIP",'Candidate Tracker'!$C:$C,"&lt;&gt;Hold",'Candidate Tracker'!$C:$C,"&lt;&gt;Cancelled",'Candidate Tracker'!$C:$C,"&lt;&gt;Closed")/COUNTIFS('Candidate Tracker'!$E:$E,'Positions Tracker'!$B202)=0,"",COUNTIFS('Candidate Tracker'!$E:$E,'Positions Tracker'!$B202,'Candidate Tracker'!$C:$C,"&lt;&gt;WIP",'Candidate Tracker'!$C:$C,"&lt;&gt;Hold",'Candidate Tracker'!$C:$C,"&lt;&gt;Cancelled",'Candidate Tracker'!$C:$C,"&lt;&gt;Closed")/COUNTIFS('Candidate Tracker'!$E:$E,'Positions Tracker'!$B202)),"")</f>
        <v/>
      </c>
      <c r="BD202" s="176" t="str">
        <f t="shared" si="33"/>
        <v>Oct-25</v>
      </c>
      <c r="BE202" s="176" t="str">
        <f t="shared" si="34"/>
        <v>Dec-25</v>
      </c>
      <c r="BF202" s="176" t="str">
        <f t="shared" si="35"/>
        <v>Dec-25</v>
      </c>
      <c r="BG202" s="176" t="str">
        <f t="shared" si="36"/>
        <v/>
      </c>
    </row>
    <row r="203" spans="1:59">
      <c r="A203" s="30">
        <f t="shared" si="31"/>
        <v>202</v>
      </c>
      <c r="B203" s="169">
        <v>20255415</v>
      </c>
      <c r="C203" s="169" t="s">
        <v>51</v>
      </c>
      <c r="D203" s="169" t="s">
        <v>51</v>
      </c>
      <c r="E203" s="169" t="s">
        <v>4306</v>
      </c>
      <c r="F203" s="169" t="s">
        <v>4307</v>
      </c>
      <c r="G203" s="169" t="s">
        <v>1</v>
      </c>
      <c r="H203" s="169" t="s">
        <v>2658</v>
      </c>
      <c r="I203" s="169" t="s">
        <v>4312</v>
      </c>
      <c r="J203" s="169" t="s">
        <v>4313</v>
      </c>
      <c r="K203" s="174">
        <v>45796</v>
      </c>
      <c r="L203" s="174">
        <v>45796</v>
      </c>
      <c r="M203" s="174">
        <v>45796</v>
      </c>
      <c r="N203" s="169" t="s">
        <v>4277</v>
      </c>
      <c r="O203" s="174"/>
      <c r="P203" s="174"/>
      <c r="Q203" s="174"/>
      <c r="R203" s="174"/>
      <c r="S203" s="174"/>
      <c r="T203" s="174"/>
      <c r="U203" s="169" t="s">
        <v>3177</v>
      </c>
      <c r="V203" s="169"/>
      <c r="W203" s="169"/>
      <c r="X203" s="169" t="s">
        <v>4314</v>
      </c>
      <c r="Y203" s="169" t="s">
        <v>2408</v>
      </c>
      <c r="Z203" s="169" t="s">
        <v>2408</v>
      </c>
      <c r="AA203" s="169" t="s">
        <v>4315</v>
      </c>
      <c r="AB203" s="169"/>
      <c r="AC203" s="169"/>
      <c r="AD203" s="169"/>
      <c r="AE203" s="169" t="s">
        <v>4316</v>
      </c>
      <c r="AF203" s="169">
        <v>9561853724</v>
      </c>
      <c r="AG203" s="169" t="s">
        <v>4317</v>
      </c>
      <c r="AH203" s="174" t="s">
        <v>55</v>
      </c>
      <c r="AI203" s="174">
        <v>45825</v>
      </c>
      <c r="AJ203" s="174">
        <v>45853</v>
      </c>
      <c r="AK203" s="169" t="s">
        <v>63</v>
      </c>
      <c r="AL203" s="169">
        <v>971942</v>
      </c>
      <c r="AM203" s="174">
        <v>45856</v>
      </c>
      <c r="AN203" s="174">
        <v>45853</v>
      </c>
      <c r="AO203" s="174" t="s">
        <v>134</v>
      </c>
      <c r="AP203" s="174">
        <v>45856</v>
      </c>
      <c r="AQ203" s="174">
        <v>45859</v>
      </c>
      <c r="AR203" s="174" t="s">
        <v>134</v>
      </c>
      <c r="AS203" s="174">
        <v>45894</v>
      </c>
      <c r="AT203" s="169">
        <f t="shared" ca="1" si="32"/>
        <v>0</v>
      </c>
      <c r="AU203" s="204" t="str">
        <f t="shared" ca="1" si="30"/>
        <v/>
      </c>
      <c r="AV203" s="204" t="str" cm="1">
        <f t="array" aca="1" ref="AV203" ca="1">IFERROR(_xlfn.IFS($AU203="","",$AU203&lt;=15,"0-15",AND($AU203&gt;=16,$AU203&lt;=30),"16-30",AND($AU203&gt;=31,$AU203&lt;=45),"31-45",AND($AU203&gt;=46,$AU203&lt;=60),"46-60",AND($AU203&gt;=61,$AU203&lt;=90),"61-90",AND($AU203&gt;=91),"&gt; 90",AND($AU203&gt;=2000),""),"")</f>
        <v/>
      </c>
      <c r="AW203" s="204" cm="1">
        <f t="array" aca="1" ref="AW203" ca="1">IFERROR(_xlfn.IFS(OR($M203="",$AM203=""),"",OR($C203="Offered",$C203="Joined"),($AM203-$M203)-$AT203),"")</f>
        <v>60</v>
      </c>
      <c r="AX203" s="204" cm="1">
        <f t="array" aca="1" ref="AX203" ca="1">IFERROR(_xlfn.IFS(OR($M203="",$AS203=""),"",$C203="Joined",($AS203-$M203)-$AT203),"")</f>
        <v>98</v>
      </c>
      <c r="AY203" s="169" t="str">
        <f>IFERROR(IF(COUNTIFS('Candidate Tracker'!$E:$E,'Positions Tracker'!$B203,'Candidate Tracker'!$C:$C,"Offer Drop")=0,"",COUNTIFS('Candidate Tracker'!$E:$E,'Positions Tracker'!$B203,'Candidate Tracker'!$C:$C,"Offer Drop")),"")</f>
        <v/>
      </c>
      <c r="AZ203" s="205">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3" s="206" t="str">
        <f>IFERROR(IF(COUNTIFS('Candidate Tracker'!$E:$E,'Positions Tracker'!$B203,'Candidate Tracker'!$I:$I,"Female")=0,"",COUNTIFS('Candidate Tracker'!$E:$E,'Positions Tracker'!$B203,'Candidate Tracker'!$I:$I,"Female")),"")</f>
        <v/>
      </c>
      <c r="BB203" s="206" t="str">
        <f>IFERROR(IF(COUNTIFS('Candidate Tracker'!$E:$E,'Positions Tracker'!$B203,'Candidate Tracker'!$I:$I,"male")=0,"",COUNTIFS('Candidate Tracker'!$E:$E,'Positions Tracker'!$B203,'Candidate Tracker'!$I:$I,"male")),"")</f>
        <v/>
      </c>
      <c r="BC203" s="205" t="str">
        <f>IFERROR(IF(COUNTIFS('Candidate Tracker'!$E:$E,'Positions Tracker'!$B203,'Candidate Tracker'!$C:$C,"&lt;&gt;WIP",'Candidate Tracker'!$C:$C,"&lt;&gt;Hold",'Candidate Tracker'!$C:$C,"&lt;&gt;Cancelled",'Candidate Tracker'!$C:$C,"&lt;&gt;Closed")/COUNTIFS('Candidate Tracker'!$E:$E,'Positions Tracker'!$B203)=0,"",COUNTIFS('Candidate Tracker'!$E:$E,'Positions Tracker'!$B203,'Candidate Tracker'!$C:$C,"&lt;&gt;WIP",'Candidate Tracker'!$C:$C,"&lt;&gt;Hold",'Candidate Tracker'!$C:$C,"&lt;&gt;Cancelled",'Candidate Tracker'!$C:$C,"&lt;&gt;Closed")/COUNTIFS('Candidate Tracker'!$E:$E,'Positions Tracker'!$B203)),"")</f>
        <v/>
      </c>
      <c r="BD203" s="169" t="str">
        <f t="shared" si="33"/>
        <v>May-25</v>
      </c>
      <c r="BE203" s="169" t="str">
        <f t="shared" si="34"/>
        <v>Jun-25</v>
      </c>
      <c r="BF203" s="169" t="str">
        <f t="shared" si="35"/>
        <v>Jul-25</v>
      </c>
      <c r="BG203" s="169" t="str">
        <f t="shared" si="36"/>
        <v>Aug-25</v>
      </c>
    </row>
    <row r="204" spans="1:59">
      <c r="A204" s="30">
        <f t="shared" si="31"/>
        <v>203</v>
      </c>
      <c r="B204" s="30">
        <v>20254804</v>
      </c>
      <c r="C204" s="30" t="s">
        <v>3847</v>
      </c>
      <c r="D204" s="30" t="s">
        <v>1920</v>
      </c>
      <c r="E204" s="30" t="s">
        <v>4318</v>
      </c>
      <c r="F204" s="30" t="s">
        <v>4319</v>
      </c>
      <c r="G204" s="30" t="s">
        <v>3</v>
      </c>
      <c r="H204" s="30" t="s">
        <v>66</v>
      </c>
      <c r="I204" s="30" t="s">
        <v>116</v>
      </c>
      <c r="J204" s="30" t="s">
        <v>135</v>
      </c>
      <c r="K204" s="31">
        <v>45796</v>
      </c>
      <c r="L204" s="31">
        <v>45823</v>
      </c>
      <c r="M204" s="31">
        <v>45805</v>
      </c>
      <c r="N204" s="30"/>
      <c r="O204" s="31"/>
      <c r="P204" s="31"/>
      <c r="Q204" s="31"/>
      <c r="R204" s="31"/>
      <c r="S204" s="31"/>
      <c r="T204" s="31"/>
      <c r="U204" s="30"/>
      <c r="V204" s="30"/>
      <c r="W204" s="30"/>
      <c r="X204" s="30" t="s">
        <v>63</v>
      </c>
      <c r="Y204" s="30" t="s">
        <v>2679</v>
      </c>
      <c r="Z204" s="30" t="s">
        <v>2679</v>
      </c>
      <c r="AA204" s="30" t="s">
        <v>4320</v>
      </c>
      <c r="AB204" s="30"/>
      <c r="AC204" s="30"/>
      <c r="AD204" s="30"/>
      <c r="AE204" s="30"/>
      <c r="AF204" s="30"/>
      <c r="AG204" s="30"/>
      <c r="AH204" s="31"/>
      <c r="AI204" s="31"/>
      <c r="AJ204" s="31"/>
      <c r="AK204" s="30"/>
      <c r="AL204" s="30"/>
      <c r="AM204" s="31"/>
      <c r="AN204" s="31"/>
      <c r="AO204" s="31"/>
      <c r="AP204" s="31"/>
      <c r="AQ204" s="31"/>
      <c r="AR204" s="31"/>
      <c r="AS204" s="31"/>
      <c r="AT204" s="30">
        <f t="shared" ca="1" si="32"/>
        <v>0</v>
      </c>
      <c r="AU204" s="32" t="str">
        <f t="shared" ca="1" si="30"/>
        <v/>
      </c>
      <c r="AV204" s="32" t="str" cm="1">
        <f t="array" aca="1" ref="AV204" ca="1">IFERROR(_xlfn.IFS($AU204="","",$AU204&lt;=15,"0-15",AND($AU204&gt;=16,$AU204&lt;=30),"16-30",AND($AU204&gt;=31,$AU204&lt;=45),"31-45",AND($AU204&gt;=46,$AU204&lt;=60),"46-60",AND($AU204&gt;=61,$AU204&lt;=90),"61-90",AND($AU204&gt;=91),"&gt; 90",AND($AU204&gt;=2000),""),"")</f>
        <v/>
      </c>
      <c r="AW204" s="32" t="str" cm="1">
        <f t="array" aca="1" ref="AW204" ca="1">IFERROR(_xlfn.IFS(OR($M204="",$AM204=""),"",OR($C204="Offered",$C204="Joined"),($AM204-$M204)-$AT204),"")</f>
        <v/>
      </c>
      <c r="AX204" s="32" t="str" cm="1">
        <f t="array" aca="1" ref="AX204" ca="1">IFERROR(_xlfn.IFS(OR($M204="",$AS204=""),"",$C204="Joined",($AS204-$M204)-$AT204),"")</f>
        <v/>
      </c>
      <c r="AY204" s="30" t="str">
        <f>IFERROR(IF(COUNTIFS('Candidate Tracker'!$E:$E,'Positions Tracker'!$B204,'Candidate Tracker'!$C:$C,"Offer Drop")=0,"",COUNTIFS('Candidate Tracker'!$E:$E,'Positions Tracker'!$B204,'Candidate Tracker'!$C:$C,"Offer Drop")),"")</f>
        <v/>
      </c>
      <c r="AZ20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4" s="34" t="str">
        <f>IFERROR(IF(COUNTIFS('Candidate Tracker'!$E:$E,'Positions Tracker'!$B204,'Candidate Tracker'!$I:$I,"Female")=0,"",COUNTIFS('Candidate Tracker'!$E:$E,'Positions Tracker'!$B204,'Candidate Tracker'!$I:$I,"Female")),"")</f>
        <v/>
      </c>
      <c r="BB204" s="34" t="str">
        <f>IFERROR(IF(COUNTIFS('Candidate Tracker'!$E:$E,'Positions Tracker'!$B204,'Candidate Tracker'!$I:$I,"male")=0,"",COUNTIFS('Candidate Tracker'!$E:$E,'Positions Tracker'!$B204,'Candidate Tracker'!$I:$I,"male")),"")</f>
        <v/>
      </c>
      <c r="BC204" s="33" t="str">
        <f>IFERROR(IF(COUNTIFS('Candidate Tracker'!$E:$E,'Positions Tracker'!$B204,'Candidate Tracker'!$C:$C,"&lt;&gt;WIP",'Candidate Tracker'!$C:$C,"&lt;&gt;Hold",'Candidate Tracker'!$C:$C,"&lt;&gt;Cancelled",'Candidate Tracker'!$C:$C,"&lt;&gt;Closed")/COUNTIFS('Candidate Tracker'!$E:$E,'Positions Tracker'!$B204)=0,"",COUNTIFS('Candidate Tracker'!$E:$E,'Positions Tracker'!$B204,'Candidate Tracker'!$C:$C,"&lt;&gt;WIP",'Candidate Tracker'!$C:$C,"&lt;&gt;Hold",'Candidate Tracker'!$C:$C,"&lt;&gt;Cancelled",'Candidate Tracker'!$C:$C,"&lt;&gt;Closed")/COUNTIFS('Candidate Tracker'!$E:$E,'Positions Tracker'!$B204)),"")</f>
        <v/>
      </c>
      <c r="BD204" s="30" t="str">
        <f t="shared" si="33"/>
        <v>May-25</v>
      </c>
      <c r="BE204" s="30" t="str">
        <f t="shared" si="34"/>
        <v/>
      </c>
      <c r="BF204" s="30" t="str">
        <f t="shared" si="35"/>
        <v/>
      </c>
      <c r="BG204" s="30" t="str">
        <f t="shared" si="36"/>
        <v/>
      </c>
    </row>
    <row r="205" spans="1:59">
      <c r="A205" s="30">
        <f t="shared" si="31"/>
        <v>204</v>
      </c>
      <c r="B205" s="30">
        <v>20256274</v>
      </c>
      <c r="C205" s="30" t="s">
        <v>4271</v>
      </c>
      <c r="D205" s="30" t="s">
        <v>4254</v>
      </c>
      <c r="E205" s="30" t="s">
        <v>4321</v>
      </c>
      <c r="F205" s="30"/>
      <c r="G205" s="30" t="s">
        <v>3</v>
      </c>
      <c r="H205" s="30" t="s">
        <v>66</v>
      </c>
      <c r="I205" s="30" t="s">
        <v>4077</v>
      </c>
      <c r="J205" s="30"/>
      <c r="K205" s="31"/>
      <c r="L205" s="31">
        <v>45830</v>
      </c>
      <c r="M205" s="31"/>
      <c r="N205" s="30"/>
      <c r="O205" s="31"/>
      <c r="P205" s="31"/>
      <c r="Q205" s="31"/>
      <c r="R205" s="31"/>
      <c r="S205" s="31"/>
      <c r="T205" s="31"/>
      <c r="U205" s="30"/>
      <c r="V205" s="30"/>
      <c r="W205" s="30"/>
      <c r="X205" s="30"/>
      <c r="Y205" s="30" t="s">
        <v>2679</v>
      </c>
      <c r="Z205" s="30" t="s">
        <v>2679</v>
      </c>
      <c r="AA205" s="30" t="s">
        <v>4322</v>
      </c>
      <c r="AB205" s="30"/>
      <c r="AC205" s="30"/>
      <c r="AD205" s="30"/>
      <c r="AE205" s="30" t="s">
        <v>4294</v>
      </c>
      <c r="AF205" s="30">
        <v>9657836126</v>
      </c>
      <c r="AG205" s="30" t="s">
        <v>4295</v>
      </c>
      <c r="AH205" s="31" t="s">
        <v>55</v>
      </c>
      <c r="AI205" s="31"/>
      <c r="AJ205" s="31"/>
      <c r="AK205" s="30"/>
      <c r="AL205" s="30"/>
      <c r="AM205" s="31"/>
      <c r="AN205" s="31"/>
      <c r="AO205" s="31"/>
      <c r="AP205" s="31"/>
      <c r="AQ205" s="31"/>
      <c r="AR205" s="31"/>
      <c r="AS205" s="31"/>
      <c r="AT205" s="30">
        <f t="shared" ca="1" si="32"/>
        <v>0</v>
      </c>
      <c r="AU205" s="32" t="str">
        <f t="shared" ca="1" si="30"/>
        <v/>
      </c>
      <c r="AV205" s="32" t="str" cm="1">
        <f t="array" aca="1" ref="AV205" ca="1">IFERROR(_xlfn.IFS($AU205="","",$AU205&lt;=15,"0-15",AND($AU205&gt;=16,$AU205&lt;=30),"16-30",AND($AU205&gt;=31,$AU205&lt;=45),"31-45",AND($AU205&gt;=46,$AU205&lt;=60),"46-60",AND($AU205&gt;=61,$AU205&lt;=90),"61-90",AND($AU205&gt;=91),"&gt; 90",AND($AU205&gt;=2000),""),"")</f>
        <v/>
      </c>
      <c r="AW205" s="32" t="str" cm="1">
        <f t="array" aca="1" ref="AW205" ca="1">IFERROR(_xlfn.IFS(OR($M205="",$AM205=""),"",OR($C205="Offered",$C205="Joined"),($AM205-$M205)-$AT205),"")</f>
        <v/>
      </c>
      <c r="AX205" s="32" t="str" cm="1">
        <f t="array" aca="1" ref="AX205" ca="1">IFERROR(_xlfn.IFS(OR($M205="",$AS205=""),"",$C205="Joined",($AS205-$M205)-$AT205),"")</f>
        <v/>
      </c>
      <c r="AY205" s="30" t="str">
        <f>IFERROR(IF(COUNTIFS('Candidate Tracker'!$E:$E,'Positions Tracker'!$B205,'Candidate Tracker'!$C:$C,"Offer Drop")=0,"",COUNTIFS('Candidate Tracker'!$E:$E,'Positions Tracker'!$B205,'Candidate Tracker'!$C:$C,"Offer Drop")),"")</f>
        <v/>
      </c>
      <c r="AZ20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5" s="34" t="str">
        <f>IFERROR(IF(COUNTIFS('Candidate Tracker'!$E:$E,'Positions Tracker'!$B205,'Candidate Tracker'!$I:$I,"Female")=0,"",COUNTIFS('Candidate Tracker'!$E:$E,'Positions Tracker'!$B205,'Candidate Tracker'!$I:$I,"Female")),"")</f>
        <v/>
      </c>
      <c r="BB205" s="34" t="str">
        <f>IFERROR(IF(COUNTIFS('Candidate Tracker'!$E:$E,'Positions Tracker'!$B205,'Candidate Tracker'!$I:$I,"male")=0,"",COUNTIFS('Candidate Tracker'!$E:$E,'Positions Tracker'!$B205,'Candidate Tracker'!$I:$I,"male")),"")</f>
        <v/>
      </c>
      <c r="BC205" s="33" t="str">
        <f>IFERROR(IF(COUNTIFS('Candidate Tracker'!$E:$E,'Positions Tracker'!$B205,'Candidate Tracker'!$C:$C,"&lt;&gt;WIP",'Candidate Tracker'!$C:$C,"&lt;&gt;Hold",'Candidate Tracker'!$C:$C,"&lt;&gt;Cancelled",'Candidate Tracker'!$C:$C,"&lt;&gt;Closed")/COUNTIFS('Candidate Tracker'!$E:$E,'Positions Tracker'!$B205)=0,"",COUNTIFS('Candidate Tracker'!$E:$E,'Positions Tracker'!$B205,'Candidate Tracker'!$C:$C,"&lt;&gt;WIP",'Candidate Tracker'!$C:$C,"&lt;&gt;Hold",'Candidate Tracker'!$C:$C,"&lt;&gt;Cancelled",'Candidate Tracker'!$C:$C,"&lt;&gt;Closed")/COUNTIFS('Candidate Tracker'!$E:$E,'Positions Tracker'!$B205)),"")</f>
        <v/>
      </c>
      <c r="BD205" s="30" t="str">
        <f t="shared" si="33"/>
        <v/>
      </c>
      <c r="BE205" s="30" t="str">
        <f t="shared" si="34"/>
        <v/>
      </c>
      <c r="BF205" s="30" t="str">
        <f t="shared" si="35"/>
        <v/>
      </c>
      <c r="BG205" s="30" t="str">
        <f t="shared" si="36"/>
        <v/>
      </c>
    </row>
    <row r="206" spans="1:59">
      <c r="A206" s="30">
        <f t="shared" si="31"/>
        <v>205</v>
      </c>
      <c r="B206" s="30">
        <v>20255285</v>
      </c>
      <c r="C206" s="30" t="s">
        <v>3486</v>
      </c>
      <c r="D206" s="30" t="s">
        <v>3486</v>
      </c>
      <c r="E206" s="30" t="s">
        <v>4323</v>
      </c>
      <c r="F206" s="30" t="s">
        <v>4324</v>
      </c>
      <c r="G206" s="30" t="s">
        <v>1</v>
      </c>
      <c r="H206" s="30" t="s">
        <v>2658</v>
      </c>
      <c r="I206" s="30" t="s">
        <v>4325</v>
      </c>
      <c r="J206" s="30" t="s">
        <v>135</v>
      </c>
      <c r="K206" s="31">
        <v>45823</v>
      </c>
      <c r="L206" s="31">
        <v>45823</v>
      </c>
      <c r="M206" s="31">
        <v>45823</v>
      </c>
      <c r="N206" s="30" t="s">
        <v>4289</v>
      </c>
      <c r="O206" s="31"/>
      <c r="P206" s="31"/>
      <c r="Q206" s="31"/>
      <c r="R206" s="31"/>
      <c r="S206" s="31"/>
      <c r="T206" s="31"/>
      <c r="U206" s="30"/>
      <c r="V206" s="30"/>
      <c r="W206" s="30"/>
      <c r="X206" s="30" t="s">
        <v>890</v>
      </c>
      <c r="Y206" s="30" t="s">
        <v>2408</v>
      </c>
      <c r="Z206" s="30" t="s">
        <v>2408</v>
      </c>
      <c r="AA206" s="30" t="s">
        <v>4326</v>
      </c>
      <c r="AB206" s="30"/>
      <c r="AC206" s="30"/>
      <c r="AD206" s="30"/>
      <c r="AE206" s="30" t="s">
        <v>4327</v>
      </c>
      <c r="AF206" s="30">
        <v>8879526630</v>
      </c>
      <c r="AG206" s="30" t="s">
        <v>4328</v>
      </c>
      <c r="AH206" s="31" t="s">
        <v>55</v>
      </c>
      <c r="AI206" s="31">
        <v>45831</v>
      </c>
      <c r="AJ206" s="31">
        <v>45854</v>
      </c>
      <c r="AK206" s="30" t="s">
        <v>3115</v>
      </c>
      <c r="AL206" s="30">
        <v>820000</v>
      </c>
      <c r="AM206" s="31">
        <v>45852</v>
      </c>
      <c r="AN206" s="31">
        <v>45854</v>
      </c>
      <c r="AO206" s="31"/>
      <c r="AP206" s="31">
        <v>45875</v>
      </c>
      <c r="AQ206" s="31">
        <v>45881</v>
      </c>
      <c r="AR206" s="31" t="s">
        <v>134</v>
      </c>
      <c r="AS206" s="31">
        <v>45887</v>
      </c>
      <c r="AT206" s="30">
        <f t="shared" ca="1" si="32"/>
        <v>0</v>
      </c>
      <c r="AU206" s="32" t="str">
        <f t="shared" ca="1" si="30"/>
        <v/>
      </c>
      <c r="AV206" s="32" t="str" cm="1">
        <f t="array" aca="1" ref="AV206" ca="1">IFERROR(_xlfn.IFS($AU206="","",$AU206&lt;=15,"0-15",AND($AU206&gt;=16,$AU206&lt;=30),"16-30",AND($AU206&gt;=31,$AU206&lt;=45),"31-45",AND($AU206&gt;=46,$AU206&lt;=60),"46-60",AND($AU206&gt;=61,$AU206&lt;=90),"61-90",AND($AU206&gt;=91),"&gt; 90",AND($AU206&gt;=2000),""),"")</f>
        <v/>
      </c>
      <c r="AW206" s="32" cm="1">
        <f t="array" aca="1" ref="AW206" ca="1">IFERROR(_xlfn.IFS(OR($M206="",$AM206=""),"",OR($C206="Offered",$C206="Joined"),($AM206-$M206)-$AT206),"")</f>
        <v>29</v>
      </c>
      <c r="AX206" s="32" cm="1">
        <f t="array" aca="1" ref="AX206" ca="1">IFERROR(_xlfn.IFS(OR($M206="",$AS206=""),"",$C206="Joined",($AS206-$M206)-$AT206),"")</f>
        <v>64</v>
      </c>
      <c r="AY206" s="30" t="str">
        <f>IFERROR(IF(COUNTIFS('Candidate Tracker'!$E:$E,'Positions Tracker'!$B206,'Candidate Tracker'!$C:$C,"Offer Drop")=0,"",COUNTIFS('Candidate Tracker'!$E:$E,'Positions Tracker'!$B206,'Candidate Tracker'!$C:$C,"Offer Drop")),"")</f>
        <v/>
      </c>
      <c r="AZ20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6" s="34" t="str">
        <f>IFERROR(IF(COUNTIFS('Candidate Tracker'!$E:$E,'Positions Tracker'!$B206,'Candidate Tracker'!$I:$I,"Female")=0,"",COUNTIFS('Candidate Tracker'!$E:$E,'Positions Tracker'!$B206,'Candidate Tracker'!$I:$I,"Female")),"")</f>
        <v/>
      </c>
      <c r="BB206" s="34" t="str">
        <f>IFERROR(IF(COUNTIFS('Candidate Tracker'!$E:$E,'Positions Tracker'!$B206,'Candidate Tracker'!$I:$I,"male")=0,"",COUNTIFS('Candidate Tracker'!$E:$E,'Positions Tracker'!$B206,'Candidate Tracker'!$I:$I,"male")),"")</f>
        <v/>
      </c>
      <c r="BC206" s="33" t="str">
        <f>IFERROR(IF(COUNTIFS('Candidate Tracker'!$E:$E,'Positions Tracker'!$B206,'Candidate Tracker'!$C:$C,"&lt;&gt;WIP",'Candidate Tracker'!$C:$C,"&lt;&gt;Hold",'Candidate Tracker'!$C:$C,"&lt;&gt;Cancelled",'Candidate Tracker'!$C:$C,"&lt;&gt;Closed")/COUNTIFS('Candidate Tracker'!$E:$E,'Positions Tracker'!$B206)=0,"",COUNTIFS('Candidate Tracker'!$E:$E,'Positions Tracker'!$B206,'Candidate Tracker'!$C:$C,"&lt;&gt;WIP",'Candidate Tracker'!$C:$C,"&lt;&gt;Hold",'Candidate Tracker'!$C:$C,"&lt;&gt;Cancelled",'Candidate Tracker'!$C:$C,"&lt;&gt;Closed")/COUNTIFS('Candidate Tracker'!$E:$E,'Positions Tracker'!$B206)),"")</f>
        <v/>
      </c>
      <c r="BD206" s="30" t="str">
        <f t="shared" si="33"/>
        <v>Jun-25</v>
      </c>
      <c r="BE206" s="30" t="str">
        <f t="shared" si="34"/>
        <v>Jun-25</v>
      </c>
      <c r="BF206" s="30" t="str">
        <f t="shared" si="35"/>
        <v>Jul-25</v>
      </c>
      <c r="BG206" s="30" t="str">
        <f t="shared" si="36"/>
        <v>Aug-25</v>
      </c>
    </row>
    <row r="207" spans="1:59">
      <c r="A207" s="30">
        <f t="shared" si="31"/>
        <v>206</v>
      </c>
      <c r="B207" s="30">
        <v>20255515</v>
      </c>
      <c r="C207" s="30" t="s">
        <v>51</v>
      </c>
      <c r="D207" s="30" t="s">
        <v>51</v>
      </c>
      <c r="E207" s="30" t="s">
        <v>4329</v>
      </c>
      <c r="F207" s="30" t="s">
        <v>4330</v>
      </c>
      <c r="G207" s="30" t="s">
        <v>1</v>
      </c>
      <c r="H207" s="30"/>
      <c r="I207" s="30" t="s">
        <v>4312</v>
      </c>
      <c r="J207" s="30"/>
      <c r="K207" s="31">
        <v>45830</v>
      </c>
      <c r="L207" s="31">
        <v>45855</v>
      </c>
      <c r="M207" s="31">
        <v>45820</v>
      </c>
      <c r="N207" s="30"/>
      <c r="O207" s="31"/>
      <c r="P207" s="31"/>
      <c r="Q207" s="31"/>
      <c r="R207" s="31"/>
      <c r="S207" s="31"/>
      <c r="T207" s="31"/>
      <c r="U207" s="30"/>
      <c r="V207" s="30"/>
      <c r="W207" s="30"/>
      <c r="X207" s="30"/>
      <c r="Y207" s="30" t="s">
        <v>2408</v>
      </c>
      <c r="Z207" s="30" t="s">
        <v>2408</v>
      </c>
      <c r="AA207" s="30" t="s">
        <v>4331</v>
      </c>
      <c r="AB207" s="30"/>
      <c r="AC207" s="30"/>
      <c r="AD207" s="30"/>
      <c r="AE207" s="30" t="s">
        <v>4332</v>
      </c>
      <c r="AF207" s="30"/>
      <c r="AG207" s="30"/>
      <c r="AH207" s="31"/>
      <c r="AI207" s="31"/>
      <c r="AJ207" s="31"/>
      <c r="AK207" s="30"/>
      <c r="AL207" s="30"/>
      <c r="AM207" s="31"/>
      <c r="AN207" s="31"/>
      <c r="AO207" s="31"/>
      <c r="AP207" s="31"/>
      <c r="AQ207" s="31"/>
      <c r="AR207" s="31"/>
      <c r="AS207" s="31">
        <v>45936</v>
      </c>
      <c r="AT207" s="30">
        <f t="shared" ca="1" si="32"/>
        <v>0</v>
      </c>
      <c r="AU207" s="32" t="str">
        <f t="shared" ca="1" si="30"/>
        <v/>
      </c>
      <c r="AV207" s="32" t="str" cm="1">
        <f t="array" aca="1" ref="AV207" ca="1">IFERROR(_xlfn.IFS($AU207="","",$AU207&lt;=15,"0-15",AND($AU207&gt;=16,$AU207&lt;=30),"16-30",AND($AU207&gt;=31,$AU207&lt;=45),"31-45",AND($AU207&gt;=46,$AU207&lt;=60),"46-60",AND($AU207&gt;=61,$AU207&lt;=90),"61-90",AND($AU207&gt;=91),"&gt; 90",AND($AU207&gt;=2000),""),"")</f>
        <v/>
      </c>
      <c r="AW207" s="32" t="str" cm="1">
        <f t="array" aca="1" ref="AW207" ca="1">IFERROR(_xlfn.IFS(OR($M207="",$AM207=""),"",OR($C207="Offered",$C207="Joined"),($AM207-$M207)-$AT207),"")</f>
        <v/>
      </c>
      <c r="AX207" s="32" cm="1">
        <f t="array" aca="1" ref="AX207" ca="1">IFERROR(_xlfn.IFS(OR($M207="",$AS207=""),"",$C207="Joined",($AS207-$M207)-$AT207),"")</f>
        <v>116</v>
      </c>
      <c r="AY207" s="30" t="str">
        <f>IFERROR(IF(COUNTIFS('Candidate Tracker'!$E:$E,'Positions Tracker'!$B207,'Candidate Tracker'!$C:$C,"Offer Drop")=0,"",COUNTIFS('Candidate Tracker'!$E:$E,'Positions Tracker'!$B207,'Candidate Tracker'!$C:$C,"Offer Drop")),"")</f>
        <v/>
      </c>
      <c r="AZ20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7" s="34" t="str">
        <f>IFERROR(IF(COUNTIFS('Candidate Tracker'!$E:$E,'Positions Tracker'!$B207,'Candidate Tracker'!$I:$I,"Female")=0,"",COUNTIFS('Candidate Tracker'!$E:$E,'Positions Tracker'!$B207,'Candidate Tracker'!$I:$I,"Female")),"")</f>
        <v/>
      </c>
      <c r="BB207" s="34" t="str">
        <f>IFERROR(IF(COUNTIFS('Candidate Tracker'!$E:$E,'Positions Tracker'!$B207,'Candidate Tracker'!$I:$I,"male")=0,"",COUNTIFS('Candidate Tracker'!$E:$E,'Positions Tracker'!$B207,'Candidate Tracker'!$I:$I,"male")),"")</f>
        <v/>
      </c>
      <c r="BC207" s="33" t="str">
        <f>IFERROR(IF(COUNTIFS('Candidate Tracker'!$E:$E,'Positions Tracker'!$B207,'Candidate Tracker'!$C:$C,"&lt;&gt;WIP",'Candidate Tracker'!$C:$C,"&lt;&gt;Hold",'Candidate Tracker'!$C:$C,"&lt;&gt;Cancelled",'Candidate Tracker'!$C:$C,"&lt;&gt;Closed")/COUNTIFS('Candidate Tracker'!$E:$E,'Positions Tracker'!$B207)=0,"",COUNTIFS('Candidate Tracker'!$E:$E,'Positions Tracker'!$B207,'Candidate Tracker'!$C:$C,"&lt;&gt;WIP",'Candidate Tracker'!$C:$C,"&lt;&gt;Hold",'Candidate Tracker'!$C:$C,"&lt;&gt;Cancelled",'Candidate Tracker'!$C:$C,"&lt;&gt;Closed")/COUNTIFS('Candidate Tracker'!$E:$E,'Positions Tracker'!$B207)),"")</f>
        <v/>
      </c>
      <c r="BD207" s="30" t="str">
        <f t="shared" si="33"/>
        <v>Jun-25</v>
      </c>
      <c r="BE207" s="30" t="str">
        <f t="shared" si="34"/>
        <v/>
      </c>
      <c r="BF207" s="30" t="str">
        <f t="shared" si="35"/>
        <v/>
      </c>
      <c r="BG207" s="30" t="str">
        <f t="shared" si="36"/>
        <v>Oct-25</v>
      </c>
    </row>
    <row r="208" spans="1:59" ht="17.25" customHeight="1">
      <c r="A208" s="30">
        <f t="shared" si="31"/>
        <v>207</v>
      </c>
      <c r="B208" s="30">
        <v>20258491</v>
      </c>
      <c r="C208" s="30" t="s">
        <v>51</v>
      </c>
      <c r="D208" s="30" t="s">
        <v>51</v>
      </c>
      <c r="E208" s="30" t="s">
        <v>3244</v>
      </c>
      <c r="F208" s="30" t="s">
        <v>4333</v>
      </c>
      <c r="G208" s="30" t="s">
        <v>1</v>
      </c>
      <c r="H208" s="30" t="s">
        <v>2658</v>
      </c>
      <c r="I208" s="30" t="s">
        <v>4334</v>
      </c>
      <c r="J208" s="30" t="s">
        <v>135</v>
      </c>
      <c r="K208" s="31">
        <v>45855</v>
      </c>
      <c r="L208" s="31">
        <v>45848</v>
      </c>
      <c r="M208" s="31">
        <v>45856</v>
      </c>
      <c r="N208" s="30" t="s">
        <v>4335</v>
      </c>
      <c r="O208" s="31"/>
      <c r="P208" s="31"/>
      <c r="Q208" s="31"/>
      <c r="R208" s="31"/>
      <c r="S208" s="31"/>
      <c r="T208" s="31"/>
      <c r="U208" s="30" t="s">
        <v>3220</v>
      </c>
      <c r="V208" s="30"/>
      <c r="W208" s="30"/>
      <c r="X208" s="30" t="s">
        <v>63</v>
      </c>
      <c r="Y208" s="30" t="s">
        <v>2408</v>
      </c>
      <c r="Z208" s="30" t="s">
        <v>2408</v>
      </c>
      <c r="AA208" s="160" t="s">
        <v>4336</v>
      </c>
      <c r="AB208" s="30"/>
      <c r="AC208" s="30"/>
      <c r="AD208" s="30"/>
      <c r="AE208" s="30" t="s">
        <v>1933</v>
      </c>
      <c r="AF208" s="30" t="s">
        <v>4337</v>
      </c>
      <c r="AG208" s="30" t="s">
        <v>4338</v>
      </c>
      <c r="AH208" s="31" t="s">
        <v>55</v>
      </c>
      <c r="AI208" s="31">
        <v>45888</v>
      </c>
      <c r="AJ208" s="31">
        <v>45909</v>
      </c>
      <c r="AK208" s="30" t="s">
        <v>63</v>
      </c>
      <c r="AL208" s="30">
        <v>1800000</v>
      </c>
      <c r="AM208" s="31">
        <v>45889</v>
      </c>
      <c r="AN208" s="31">
        <v>45909</v>
      </c>
      <c r="AO208" s="31" t="s">
        <v>134</v>
      </c>
      <c r="AP208" s="31">
        <v>45918</v>
      </c>
      <c r="AQ208" s="31">
        <v>45918</v>
      </c>
      <c r="AR208" s="31"/>
      <c r="AS208" s="31">
        <v>45964</v>
      </c>
      <c r="AT208" s="30">
        <f t="shared" ca="1" si="32"/>
        <v>0</v>
      </c>
      <c r="AU208" s="32" t="str">
        <f t="shared" ca="1" si="30"/>
        <v/>
      </c>
      <c r="AV208" s="32" t="str" cm="1">
        <f t="array" aca="1" ref="AV208" ca="1">IFERROR(_xlfn.IFS($AU208="","",$AU208&lt;=15,"0-15",AND($AU208&gt;=16,$AU208&lt;=30),"16-30",AND($AU208&gt;=31,$AU208&lt;=45),"31-45",AND($AU208&gt;=46,$AU208&lt;=60),"46-60",AND($AU208&gt;=61,$AU208&lt;=90),"61-90",AND($AU208&gt;=91),"&gt; 90",AND($AU208&gt;=2000),""),"")</f>
        <v/>
      </c>
      <c r="AW208" s="32" cm="1">
        <f t="array" aca="1" ref="AW208" ca="1">IFERROR(_xlfn.IFS(OR($M208="",$AM208=""),"",OR($C208="Offered",$C208="Joined"),($AM208-$M208)-$AT208),"")</f>
        <v>33</v>
      </c>
      <c r="AX208" s="32" cm="1">
        <f t="array" aca="1" ref="AX208" ca="1">IFERROR(_xlfn.IFS(OR($M208="",$AS208=""),"",$C208="Joined",($AS208-$M208)-$AT208),"")</f>
        <v>108</v>
      </c>
      <c r="AY208" s="30" t="str">
        <f>IFERROR(IF(COUNTIFS('Candidate Tracker'!$E:$E,'Positions Tracker'!$B208,'Candidate Tracker'!$C:$C,"Offer Drop")=0,"",COUNTIFS('Candidate Tracker'!$E:$E,'Positions Tracker'!$B208,'Candidate Tracker'!$C:$C,"Offer Drop")),"")</f>
        <v/>
      </c>
      <c r="AZ20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8" s="34" t="str">
        <f>IFERROR(IF(COUNTIFS('Candidate Tracker'!$E:$E,'Positions Tracker'!$B208,'Candidate Tracker'!$I:$I,"Female")=0,"",COUNTIFS('Candidate Tracker'!$E:$E,'Positions Tracker'!$B208,'Candidate Tracker'!$I:$I,"Female")),"")</f>
        <v/>
      </c>
      <c r="BB208" s="34" t="str">
        <f>IFERROR(IF(COUNTIFS('Candidate Tracker'!$E:$E,'Positions Tracker'!$B208,'Candidate Tracker'!$I:$I,"male")=0,"",COUNTIFS('Candidate Tracker'!$E:$E,'Positions Tracker'!$B208,'Candidate Tracker'!$I:$I,"male")),"")</f>
        <v/>
      </c>
      <c r="BC208" s="33" t="str">
        <f>IFERROR(IF(COUNTIFS('Candidate Tracker'!$E:$E,'Positions Tracker'!$B208,'Candidate Tracker'!$C:$C,"&lt;&gt;WIP",'Candidate Tracker'!$C:$C,"&lt;&gt;Hold",'Candidate Tracker'!$C:$C,"&lt;&gt;Cancelled",'Candidate Tracker'!$C:$C,"&lt;&gt;Closed")/COUNTIFS('Candidate Tracker'!$E:$E,'Positions Tracker'!$B208)=0,"",COUNTIFS('Candidate Tracker'!$E:$E,'Positions Tracker'!$B208,'Candidate Tracker'!$C:$C,"&lt;&gt;WIP",'Candidate Tracker'!$C:$C,"&lt;&gt;Hold",'Candidate Tracker'!$C:$C,"&lt;&gt;Cancelled",'Candidate Tracker'!$C:$C,"&lt;&gt;Closed")/COUNTIFS('Candidate Tracker'!$E:$E,'Positions Tracker'!$B208)),"")</f>
        <v/>
      </c>
      <c r="BD208" s="30" t="str">
        <f t="shared" si="33"/>
        <v>Jul-25</v>
      </c>
      <c r="BE208" s="30" t="str">
        <f t="shared" si="34"/>
        <v>Aug-25</v>
      </c>
      <c r="BF208" s="30" t="str">
        <f t="shared" si="35"/>
        <v>Aug-25</v>
      </c>
      <c r="BG208" s="30" t="str">
        <f t="shared" si="36"/>
        <v>Nov-25</v>
      </c>
    </row>
    <row r="209" spans="1:59">
      <c r="A209" s="30">
        <f t="shared" si="31"/>
        <v>208</v>
      </c>
      <c r="B209" s="30" t="s">
        <v>4339</v>
      </c>
      <c r="C209" s="30" t="s">
        <v>840</v>
      </c>
      <c r="D209" s="30" t="s">
        <v>841</v>
      </c>
      <c r="E209" s="30" t="s">
        <v>4340</v>
      </c>
      <c r="F209" s="30" t="s">
        <v>4341</v>
      </c>
      <c r="G209" s="30" t="s">
        <v>1</v>
      </c>
      <c r="H209" s="30" t="s">
        <v>2409</v>
      </c>
      <c r="I209" s="30" t="s">
        <v>4342</v>
      </c>
      <c r="J209" s="30" t="s">
        <v>4313</v>
      </c>
      <c r="K209" s="31">
        <v>45795</v>
      </c>
      <c r="L209" s="31">
        <v>45831</v>
      </c>
      <c r="M209" s="31">
        <v>45831</v>
      </c>
      <c r="N209" s="30" t="s">
        <v>4343</v>
      </c>
      <c r="O209" s="31"/>
      <c r="P209" s="31"/>
      <c r="Q209" s="31"/>
      <c r="R209" s="31"/>
      <c r="S209" s="31"/>
      <c r="T209" s="31"/>
      <c r="U209" s="30" t="s">
        <v>3232</v>
      </c>
      <c r="V209" s="30"/>
      <c r="W209" s="30"/>
      <c r="X209" s="30" t="s">
        <v>63</v>
      </c>
      <c r="Y209" s="30" t="s">
        <v>2408</v>
      </c>
      <c r="Z209" s="30" t="s">
        <v>2408</v>
      </c>
      <c r="AA209" s="30" t="s">
        <v>4344</v>
      </c>
      <c r="AB209" s="30"/>
      <c r="AC209" s="30"/>
      <c r="AD209" s="30"/>
      <c r="AE209" s="30" t="s">
        <v>4345</v>
      </c>
      <c r="AF209" s="30">
        <v>9112111515</v>
      </c>
      <c r="AG209" s="30" t="s">
        <v>4346</v>
      </c>
      <c r="AH209" s="31" t="s">
        <v>55</v>
      </c>
      <c r="AI209" s="31">
        <v>45948</v>
      </c>
      <c r="AJ209" s="31">
        <v>45973</v>
      </c>
      <c r="AK209" s="30" t="s">
        <v>63</v>
      </c>
      <c r="AL209" s="30">
        <v>1300000</v>
      </c>
      <c r="AM209" s="31">
        <v>45961</v>
      </c>
      <c r="AN209" s="31">
        <v>45973</v>
      </c>
      <c r="AO209" s="31"/>
      <c r="AP209" s="31"/>
      <c r="AQ209" s="31"/>
      <c r="AR209" s="31"/>
      <c r="AS209" s="31">
        <v>46069</v>
      </c>
      <c r="AT209" s="30">
        <f t="shared" ca="1" si="32"/>
        <v>0</v>
      </c>
      <c r="AU209" s="32" t="str">
        <f t="shared" ca="1" si="30"/>
        <v/>
      </c>
      <c r="AV209" s="32" t="str" cm="1">
        <f t="array" aca="1" ref="AV209" ca="1">IFERROR(_xlfn.IFS($AU209="","",$AU209&lt;=15,"0-15",AND($AU209&gt;=16,$AU209&lt;=30),"16-30",AND($AU209&gt;=31,$AU209&lt;=45),"31-45",AND($AU209&gt;=46,$AU209&lt;=60),"46-60",AND($AU209&gt;=61,$AU209&lt;=90),"61-90",AND($AU209&gt;=91),"&gt; 90",AND($AU209&gt;=2000),""),"")</f>
        <v/>
      </c>
      <c r="AW209" s="32" cm="1">
        <f t="array" aca="1" ref="AW209" ca="1">IFERROR(_xlfn.IFS(OR($M209="",$AM209=""),"",OR($C209="Offered",$C209="Joined"),($AM209-$M209)-$AT209),"")</f>
        <v>130</v>
      </c>
      <c r="AX209" s="32" t="str" cm="1">
        <f t="array" aca="1" ref="AX209" ca="1">IFERROR(_xlfn.IFS(OR($M209="",$AS209=""),"",$C209="Joined",($AS209-$M209)-$AT209),"")</f>
        <v/>
      </c>
      <c r="AY209" s="30" t="str">
        <f>IFERROR(IF(COUNTIFS('Candidate Tracker'!$E:$E,'Positions Tracker'!$B209,'Candidate Tracker'!$C:$C,"Offer Drop")=0,"",COUNTIFS('Candidate Tracker'!$E:$E,'Positions Tracker'!$B209,'Candidate Tracker'!$C:$C,"Offer Drop")),"")</f>
        <v/>
      </c>
      <c r="AZ20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09" s="34" t="str">
        <f>IFERROR(IF(COUNTIFS('Candidate Tracker'!$E:$E,'Positions Tracker'!$B209,'Candidate Tracker'!$I:$I,"Female")=0,"",COUNTIFS('Candidate Tracker'!$E:$E,'Positions Tracker'!$B209,'Candidate Tracker'!$I:$I,"Female")),"")</f>
        <v/>
      </c>
      <c r="BB209" s="34" t="str">
        <f>IFERROR(IF(COUNTIFS('Candidate Tracker'!$E:$E,'Positions Tracker'!$B209,'Candidate Tracker'!$I:$I,"male")=0,"",COUNTIFS('Candidate Tracker'!$E:$E,'Positions Tracker'!$B209,'Candidate Tracker'!$I:$I,"male")),"")</f>
        <v/>
      </c>
      <c r="BC209" s="33" t="str">
        <f>IFERROR(IF(COUNTIFS('Candidate Tracker'!$E:$E,'Positions Tracker'!$B209,'Candidate Tracker'!$C:$C,"&lt;&gt;WIP",'Candidate Tracker'!$C:$C,"&lt;&gt;Hold",'Candidate Tracker'!$C:$C,"&lt;&gt;Cancelled",'Candidate Tracker'!$C:$C,"&lt;&gt;Closed")/COUNTIFS('Candidate Tracker'!$E:$E,'Positions Tracker'!$B209)=0,"",COUNTIFS('Candidate Tracker'!$E:$E,'Positions Tracker'!$B209,'Candidate Tracker'!$C:$C,"&lt;&gt;WIP",'Candidate Tracker'!$C:$C,"&lt;&gt;Hold",'Candidate Tracker'!$C:$C,"&lt;&gt;Cancelled",'Candidate Tracker'!$C:$C,"&lt;&gt;Closed")/COUNTIFS('Candidate Tracker'!$E:$E,'Positions Tracker'!$B209)),"")</f>
        <v/>
      </c>
      <c r="BD209" s="30" t="str">
        <f t="shared" si="33"/>
        <v>Jun-25</v>
      </c>
      <c r="BE209" s="30" t="str">
        <f t="shared" si="34"/>
        <v>Oct-25</v>
      </c>
      <c r="BF209" s="30" t="str">
        <f t="shared" si="35"/>
        <v>Oct-25</v>
      </c>
      <c r="BG209" s="30" t="str">
        <f t="shared" si="36"/>
        <v>Feb-26</v>
      </c>
    </row>
    <row r="210" spans="1:59">
      <c r="A210" s="30">
        <f t="shared" si="31"/>
        <v>209</v>
      </c>
      <c r="B210" s="30">
        <v>20255771</v>
      </c>
      <c r="C210" s="30" t="s">
        <v>51</v>
      </c>
      <c r="D210" s="30" t="s">
        <v>51</v>
      </c>
      <c r="E210" s="30" t="s">
        <v>4347</v>
      </c>
      <c r="F210" s="30" t="s">
        <v>4341</v>
      </c>
      <c r="G210" s="30" t="s">
        <v>1</v>
      </c>
      <c r="H210" s="30" t="s">
        <v>2409</v>
      </c>
      <c r="I210" s="30" t="s">
        <v>4342</v>
      </c>
      <c r="J210" s="30" t="s">
        <v>135</v>
      </c>
      <c r="K210" s="31">
        <v>45848</v>
      </c>
      <c r="L210" s="31">
        <v>45855</v>
      </c>
      <c r="M210" s="31">
        <v>45855</v>
      </c>
      <c r="N210" s="30" t="s">
        <v>4277</v>
      </c>
      <c r="O210" s="31"/>
      <c r="P210" s="31"/>
      <c r="Q210" s="31"/>
      <c r="R210" s="31"/>
      <c r="S210" s="31"/>
      <c r="T210" s="31"/>
      <c r="U210" s="30" t="s">
        <v>4348</v>
      </c>
      <c r="V210" s="30"/>
      <c r="W210" s="30"/>
      <c r="X210" s="30" t="s">
        <v>63</v>
      </c>
      <c r="Y210" s="30" t="s">
        <v>2408</v>
      </c>
      <c r="Z210" s="30" t="s">
        <v>2408</v>
      </c>
      <c r="AA210" s="30" t="s">
        <v>4349</v>
      </c>
      <c r="AB210" s="30"/>
      <c r="AC210" s="30"/>
      <c r="AD210" s="30"/>
      <c r="AE210" s="30" t="s">
        <v>4350</v>
      </c>
      <c r="AF210" s="30">
        <v>7972374547</v>
      </c>
      <c r="AG210" s="30" t="s">
        <v>4351</v>
      </c>
      <c r="AH210" s="31" t="s">
        <v>55</v>
      </c>
      <c r="AI210" s="31">
        <v>45868</v>
      </c>
      <c r="AJ210" s="31">
        <v>45870</v>
      </c>
      <c r="AK210" s="30" t="s">
        <v>63</v>
      </c>
      <c r="AL210" s="30">
        <v>1250000</v>
      </c>
      <c r="AM210" s="31">
        <v>45868</v>
      </c>
      <c r="AN210" s="31">
        <v>45870</v>
      </c>
      <c r="AO210" s="31" t="s">
        <v>134</v>
      </c>
      <c r="AP210" s="31">
        <v>45876</v>
      </c>
      <c r="AQ210" s="31">
        <v>45877</v>
      </c>
      <c r="AR210" s="31" t="s">
        <v>134</v>
      </c>
      <c r="AS210" s="31">
        <v>45915</v>
      </c>
      <c r="AT210" s="30">
        <f t="shared" ca="1" si="32"/>
        <v>0</v>
      </c>
      <c r="AU210" s="32" t="str">
        <f t="shared" ca="1" si="30"/>
        <v/>
      </c>
      <c r="AV210" s="32" t="str" cm="1">
        <f t="array" aca="1" ref="AV210" ca="1">IFERROR(_xlfn.IFS($AU210="","",$AU210&lt;=15,"0-15",AND($AU210&gt;=16,$AU210&lt;=30),"16-30",AND($AU210&gt;=31,$AU210&lt;=45),"31-45",AND($AU210&gt;=46,$AU210&lt;=60),"46-60",AND($AU210&gt;=61,$AU210&lt;=90),"61-90",AND($AU210&gt;=91),"&gt; 90",AND($AU210&gt;=2000),""),"")</f>
        <v/>
      </c>
      <c r="AW210" s="32" cm="1">
        <f t="array" aca="1" ref="AW210" ca="1">IFERROR(_xlfn.IFS(OR($M210="",$AM210=""),"",OR($C210="Offered",$C210="Joined"),($AM210-$M210)-$AT210),"")</f>
        <v>13</v>
      </c>
      <c r="AX210" s="32" cm="1">
        <f t="array" aca="1" ref="AX210" ca="1">IFERROR(_xlfn.IFS(OR($M210="",$AS210=""),"",$C210="Joined",($AS210-$M210)-$AT210),"")</f>
        <v>60</v>
      </c>
      <c r="AY210" s="30" t="str">
        <f>IFERROR(IF(COUNTIFS('Candidate Tracker'!$E:$E,'Positions Tracker'!$B210,'Candidate Tracker'!$C:$C,"Offer Drop")=0,"",COUNTIFS('Candidate Tracker'!$E:$E,'Positions Tracker'!$B210,'Candidate Tracker'!$C:$C,"Offer Drop")),"")</f>
        <v/>
      </c>
      <c r="AZ2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0" s="34" t="str">
        <f>IFERROR(IF(COUNTIFS('Candidate Tracker'!$E:$E,'Positions Tracker'!$B210,'Candidate Tracker'!$I:$I,"Female")=0,"",COUNTIFS('Candidate Tracker'!$E:$E,'Positions Tracker'!$B210,'Candidate Tracker'!$I:$I,"Female")),"")</f>
        <v/>
      </c>
      <c r="BB210" s="34" t="str">
        <f>IFERROR(IF(COUNTIFS('Candidate Tracker'!$E:$E,'Positions Tracker'!$B210,'Candidate Tracker'!$I:$I,"male")=0,"",COUNTIFS('Candidate Tracker'!$E:$E,'Positions Tracker'!$B210,'Candidate Tracker'!$I:$I,"male")),"")</f>
        <v/>
      </c>
      <c r="BC210" s="33" t="str">
        <f>IFERROR(IF(COUNTIFS('Candidate Tracker'!$E:$E,'Positions Tracker'!$B210,'Candidate Tracker'!$C:$C,"&lt;&gt;WIP",'Candidate Tracker'!$C:$C,"&lt;&gt;Hold",'Candidate Tracker'!$C:$C,"&lt;&gt;Cancelled",'Candidate Tracker'!$C:$C,"&lt;&gt;Closed")/COUNTIFS('Candidate Tracker'!$E:$E,'Positions Tracker'!$B210)=0,"",COUNTIFS('Candidate Tracker'!$E:$E,'Positions Tracker'!$B210,'Candidate Tracker'!$C:$C,"&lt;&gt;WIP",'Candidate Tracker'!$C:$C,"&lt;&gt;Hold",'Candidate Tracker'!$C:$C,"&lt;&gt;Cancelled",'Candidate Tracker'!$C:$C,"&lt;&gt;Closed")/COUNTIFS('Candidate Tracker'!$E:$E,'Positions Tracker'!$B210)),"")</f>
        <v/>
      </c>
      <c r="BD210" s="30" t="str">
        <f t="shared" si="33"/>
        <v>Jul-25</v>
      </c>
      <c r="BE210" s="30" t="str">
        <f t="shared" si="34"/>
        <v>Jul-25</v>
      </c>
      <c r="BF210" s="30" t="str">
        <f t="shared" si="35"/>
        <v>Jul-25</v>
      </c>
      <c r="BG210" s="30" t="str">
        <f t="shared" si="36"/>
        <v>Sep-25</v>
      </c>
    </row>
    <row r="211" spans="1:59">
      <c r="A211" s="30">
        <f t="shared" si="31"/>
        <v>210</v>
      </c>
      <c r="B211" s="30">
        <v>20251380</v>
      </c>
      <c r="C211" s="30" t="s">
        <v>51</v>
      </c>
      <c r="D211" s="30" t="s">
        <v>51</v>
      </c>
      <c r="E211" s="30" t="s">
        <v>4352</v>
      </c>
      <c r="F211" s="30" t="s">
        <v>4006</v>
      </c>
      <c r="G211" s="30" t="s">
        <v>1</v>
      </c>
      <c r="H211" s="30" t="s">
        <v>2658</v>
      </c>
      <c r="I211" s="30" t="s">
        <v>4353</v>
      </c>
      <c r="J211" s="30" t="s">
        <v>135</v>
      </c>
      <c r="K211" s="31">
        <v>45795</v>
      </c>
      <c r="L211" s="31">
        <v>45795</v>
      </c>
      <c r="M211" s="31">
        <v>45795</v>
      </c>
      <c r="N211" s="30" t="s">
        <v>3897</v>
      </c>
      <c r="O211" s="31"/>
      <c r="P211" s="31"/>
      <c r="Q211" s="31"/>
      <c r="R211" s="31"/>
      <c r="S211" s="31"/>
      <c r="T211" s="31"/>
      <c r="U211" s="30" t="s">
        <v>3170</v>
      </c>
      <c r="V211" s="30"/>
      <c r="W211" s="30"/>
      <c r="X211" s="30" t="s">
        <v>1442</v>
      </c>
      <c r="Y211" s="30" t="s">
        <v>2408</v>
      </c>
      <c r="Z211" s="30" t="s">
        <v>2408</v>
      </c>
      <c r="AA211" s="30" t="s">
        <v>4354</v>
      </c>
      <c r="AB211" s="30"/>
      <c r="AC211" s="30"/>
      <c r="AD211" s="30"/>
      <c r="AE211" s="30" t="s">
        <v>4355</v>
      </c>
      <c r="AF211" s="30">
        <v>9675964521</v>
      </c>
      <c r="AG211" s="30" t="s">
        <v>4356</v>
      </c>
      <c r="AH211" s="31" t="s">
        <v>55</v>
      </c>
      <c r="AI211" s="31">
        <v>45821</v>
      </c>
      <c r="AJ211" s="31">
        <v>45831</v>
      </c>
      <c r="AK211" s="30" t="s">
        <v>1442</v>
      </c>
      <c r="AL211" s="30">
        <v>1100002</v>
      </c>
      <c r="AM211" s="31">
        <v>45840</v>
      </c>
      <c r="AN211" s="31">
        <v>45831</v>
      </c>
      <c r="AO211" s="31" t="s">
        <v>134</v>
      </c>
      <c r="AP211" s="31">
        <v>45840</v>
      </c>
      <c r="AQ211" s="31">
        <v>45843</v>
      </c>
      <c r="AR211" s="31" t="s">
        <v>134</v>
      </c>
      <c r="AS211" s="31">
        <v>45929</v>
      </c>
      <c r="AT211" s="30">
        <f t="shared" ca="1" si="32"/>
        <v>0</v>
      </c>
      <c r="AU211" s="32" t="str">
        <f t="shared" ca="1" si="30"/>
        <v/>
      </c>
      <c r="AV211" s="32" t="str" cm="1">
        <f t="array" aca="1" ref="AV211" ca="1">IFERROR(_xlfn.IFS($AU211="","",$AU211&lt;=15,"0-15",AND($AU211&gt;=16,$AU211&lt;=30),"16-30",AND($AU211&gt;=31,$AU211&lt;=45),"31-45",AND($AU211&gt;=46,$AU211&lt;=60),"46-60",AND($AU211&gt;=61,$AU211&lt;=90),"61-90",AND($AU211&gt;=91),"&gt; 90",AND($AU211&gt;=2000),""),"")</f>
        <v/>
      </c>
      <c r="AW211" s="32" cm="1">
        <f t="array" aca="1" ref="AW211" ca="1">IFERROR(_xlfn.IFS(OR($M211="",$AM211=""),"",OR($C211="Offered",$C211="Joined"),($AM211-$M211)-$AT211),"")</f>
        <v>45</v>
      </c>
      <c r="AX211" s="32" cm="1">
        <f t="array" aca="1" ref="AX211" ca="1">IFERROR(_xlfn.IFS(OR($M211="",$AS211=""),"",$C211="Joined",($AS211-$M211)-$AT211),"")</f>
        <v>134</v>
      </c>
      <c r="AY211" s="30" t="str">
        <f>IFERROR(IF(COUNTIFS('Candidate Tracker'!$E:$E,'Positions Tracker'!$B211,'Candidate Tracker'!$C:$C,"Offer Drop")=0,"",COUNTIFS('Candidate Tracker'!$E:$E,'Positions Tracker'!$B211,'Candidate Tracker'!$C:$C,"Offer Drop")),"")</f>
        <v/>
      </c>
      <c r="AZ2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1" s="34" t="str">
        <f>IFERROR(IF(COUNTIFS('Candidate Tracker'!$E:$E,'Positions Tracker'!$B211,'Candidate Tracker'!$I:$I,"Female")=0,"",COUNTIFS('Candidate Tracker'!$E:$E,'Positions Tracker'!$B211,'Candidate Tracker'!$I:$I,"Female")),"")</f>
        <v/>
      </c>
      <c r="BB211" s="34" t="str">
        <f>IFERROR(IF(COUNTIFS('Candidate Tracker'!$E:$E,'Positions Tracker'!$B211,'Candidate Tracker'!$I:$I,"male")=0,"",COUNTIFS('Candidate Tracker'!$E:$E,'Positions Tracker'!$B211,'Candidate Tracker'!$I:$I,"male")),"")</f>
        <v/>
      </c>
      <c r="BC211" s="33" t="str">
        <f>IFERROR(IF(COUNTIFS('Candidate Tracker'!$E:$E,'Positions Tracker'!$B211,'Candidate Tracker'!$C:$C,"&lt;&gt;WIP",'Candidate Tracker'!$C:$C,"&lt;&gt;Hold",'Candidate Tracker'!$C:$C,"&lt;&gt;Cancelled",'Candidate Tracker'!$C:$C,"&lt;&gt;Closed")/COUNTIFS('Candidate Tracker'!$E:$E,'Positions Tracker'!$B211)=0,"",COUNTIFS('Candidate Tracker'!$E:$E,'Positions Tracker'!$B211,'Candidate Tracker'!$C:$C,"&lt;&gt;WIP",'Candidate Tracker'!$C:$C,"&lt;&gt;Hold",'Candidate Tracker'!$C:$C,"&lt;&gt;Cancelled",'Candidate Tracker'!$C:$C,"&lt;&gt;Closed")/COUNTIFS('Candidate Tracker'!$E:$E,'Positions Tracker'!$B211)),"")</f>
        <v/>
      </c>
      <c r="BD211" s="30" t="str">
        <f t="shared" si="33"/>
        <v>May-25</v>
      </c>
      <c r="BE211" s="30" t="str">
        <f t="shared" si="34"/>
        <v>Jun-25</v>
      </c>
      <c r="BF211" s="30" t="str">
        <f t="shared" si="35"/>
        <v>Jul-25</v>
      </c>
      <c r="BG211" s="30" t="str">
        <f t="shared" si="36"/>
        <v>Sep-25</v>
      </c>
    </row>
    <row r="212" spans="1:59">
      <c r="A212" s="30">
        <f t="shared" si="31"/>
        <v>211</v>
      </c>
      <c r="B212" s="30">
        <v>20256771</v>
      </c>
      <c r="C212" s="30" t="s">
        <v>51</v>
      </c>
      <c r="D212" s="30" t="s">
        <v>51</v>
      </c>
      <c r="E212" s="30" t="s">
        <v>4357</v>
      </c>
      <c r="F212" s="30"/>
      <c r="G212" s="30" t="s">
        <v>3</v>
      </c>
      <c r="H212" s="30" t="s">
        <v>66</v>
      </c>
      <c r="I212" s="30" t="s">
        <v>2639</v>
      </c>
      <c r="J212" s="30" t="s">
        <v>135</v>
      </c>
      <c r="K212" s="31">
        <v>45848</v>
      </c>
      <c r="L212" s="31">
        <v>45469</v>
      </c>
      <c r="M212" s="31">
        <v>45469</v>
      </c>
      <c r="N212" s="30" t="s">
        <v>3855</v>
      </c>
      <c r="O212" s="31"/>
      <c r="P212" s="31"/>
      <c r="Q212" s="31"/>
      <c r="R212" s="31"/>
      <c r="S212" s="31"/>
      <c r="T212" s="31"/>
      <c r="U212" s="30"/>
      <c r="V212" s="30"/>
      <c r="W212" s="30"/>
      <c r="X212" s="30"/>
      <c r="Y212" s="30" t="s">
        <v>2679</v>
      </c>
      <c r="Z212" s="30" t="s">
        <v>2679</v>
      </c>
      <c r="AA212" s="30" t="s">
        <v>4358</v>
      </c>
      <c r="AB212" s="30"/>
      <c r="AC212" s="30"/>
      <c r="AD212" s="30"/>
      <c r="AE212" s="30" t="s">
        <v>4359</v>
      </c>
      <c r="AF212" s="30">
        <v>9887669947</v>
      </c>
      <c r="AG212" s="30" t="s">
        <v>4360</v>
      </c>
      <c r="AH212" s="31" t="s">
        <v>55</v>
      </c>
      <c r="AI212" s="31">
        <v>45828</v>
      </c>
      <c r="AJ212" s="31">
        <v>45834</v>
      </c>
      <c r="AK212" s="30" t="s">
        <v>63</v>
      </c>
      <c r="AL212" s="30">
        <v>1200000</v>
      </c>
      <c r="AM212" s="31">
        <v>45834</v>
      </c>
      <c r="AN212" s="31">
        <v>45834</v>
      </c>
      <c r="AO212" s="31"/>
      <c r="AP212" s="31">
        <v>45835</v>
      </c>
      <c r="AQ212" s="31">
        <v>45835</v>
      </c>
      <c r="AR212" s="31">
        <v>45841</v>
      </c>
      <c r="AS212" s="31">
        <v>45852</v>
      </c>
      <c r="AT212" s="30">
        <f t="shared" ca="1" si="32"/>
        <v>0</v>
      </c>
      <c r="AU212" s="32" t="str">
        <f t="shared" ca="1" si="30"/>
        <v/>
      </c>
      <c r="AV212" s="32" t="str" cm="1">
        <f t="array" aca="1" ref="AV212" ca="1">IFERROR(_xlfn.IFS($AU212="","",$AU212&lt;=15,"0-15",AND($AU212&gt;=16,$AU212&lt;=30),"16-30",AND($AU212&gt;=31,$AU212&lt;=45),"31-45",AND($AU212&gt;=46,$AU212&lt;=60),"46-60",AND($AU212&gt;=61,$AU212&lt;=90),"61-90",AND($AU212&gt;=91),"&gt; 90",AND($AU212&gt;=2000),""),"")</f>
        <v/>
      </c>
      <c r="AW212" s="32" cm="1">
        <f t="array" aca="1" ref="AW212" ca="1">IFERROR(_xlfn.IFS(OR($M212="",$AM212=""),"",OR($C212="Offered",$C212="Joined"),($AM212-$M212)-$AT212),"")</f>
        <v>365</v>
      </c>
      <c r="AX212" s="32" cm="1">
        <f t="array" aca="1" ref="AX212" ca="1">IFERROR(_xlfn.IFS(OR($M212="",$AS212=""),"",$C212="Joined",($AS212-$M212)-$AT212),"")</f>
        <v>383</v>
      </c>
      <c r="AY212" s="30" t="str">
        <f>IFERROR(IF(COUNTIFS('Candidate Tracker'!$E:$E,'Positions Tracker'!$B212,'Candidate Tracker'!$C:$C,"Offer Drop")=0,"",COUNTIFS('Candidate Tracker'!$E:$E,'Positions Tracker'!$B212,'Candidate Tracker'!$C:$C,"Offer Drop")),"")</f>
        <v/>
      </c>
      <c r="AZ2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2" s="34" t="str">
        <f>IFERROR(IF(COUNTIFS('Candidate Tracker'!$E:$E,'Positions Tracker'!$B212,'Candidate Tracker'!$I:$I,"Female")=0,"",COUNTIFS('Candidate Tracker'!$E:$E,'Positions Tracker'!$B212,'Candidate Tracker'!$I:$I,"Female")),"")</f>
        <v/>
      </c>
      <c r="BB212" s="34" t="str">
        <f>IFERROR(IF(COUNTIFS('Candidate Tracker'!$E:$E,'Positions Tracker'!$B212,'Candidate Tracker'!$I:$I,"male")=0,"",COUNTIFS('Candidate Tracker'!$E:$E,'Positions Tracker'!$B212,'Candidate Tracker'!$I:$I,"male")),"")</f>
        <v/>
      </c>
      <c r="BC212" s="33" t="str">
        <f>IFERROR(IF(COUNTIFS('Candidate Tracker'!$E:$E,'Positions Tracker'!$B212,'Candidate Tracker'!$C:$C,"&lt;&gt;WIP",'Candidate Tracker'!$C:$C,"&lt;&gt;Hold",'Candidate Tracker'!$C:$C,"&lt;&gt;Cancelled",'Candidate Tracker'!$C:$C,"&lt;&gt;Closed")/COUNTIFS('Candidate Tracker'!$E:$E,'Positions Tracker'!$B212)=0,"",COUNTIFS('Candidate Tracker'!$E:$E,'Positions Tracker'!$B212,'Candidate Tracker'!$C:$C,"&lt;&gt;WIP",'Candidate Tracker'!$C:$C,"&lt;&gt;Hold",'Candidate Tracker'!$C:$C,"&lt;&gt;Cancelled",'Candidate Tracker'!$C:$C,"&lt;&gt;Closed")/COUNTIFS('Candidate Tracker'!$E:$E,'Positions Tracker'!$B212)),"")</f>
        <v/>
      </c>
      <c r="BD212" s="30" t="str">
        <f t="shared" si="33"/>
        <v>Jun-24</v>
      </c>
      <c r="BE212" s="30" t="str">
        <f t="shared" si="34"/>
        <v>Jun-25</v>
      </c>
      <c r="BF212" s="30" t="str">
        <f t="shared" si="35"/>
        <v>Jun-25</v>
      </c>
      <c r="BG212" s="30" t="str">
        <f t="shared" si="36"/>
        <v>Jul-25</v>
      </c>
    </row>
    <row r="213" spans="1:59">
      <c r="A213" s="30">
        <f t="shared" si="31"/>
        <v>212</v>
      </c>
      <c r="B213" s="30">
        <v>20255335</v>
      </c>
      <c r="C213" s="30" t="s">
        <v>51</v>
      </c>
      <c r="D213" s="30" t="s">
        <v>51</v>
      </c>
      <c r="E213" s="30" t="s">
        <v>4361</v>
      </c>
      <c r="F213" s="30" t="s">
        <v>4076</v>
      </c>
      <c r="G213" s="30" t="s">
        <v>3</v>
      </c>
      <c r="H213" s="30" t="s">
        <v>66</v>
      </c>
      <c r="I213" s="30" t="s">
        <v>4077</v>
      </c>
      <c r="J213" s="30" t="s">
        <v>135</v>
      </c>
      <c r="K213" s="31">
        <v>45485</v>
      </c>
      <c r="L213" s="31">
        <v>45850</v>
      </c>
      <c r="M213" s="31">
        <v>45820</v>
      </c>
      <c r="N213" s="30" t="s">
        <v>3855</v>
      </c>
      <c r="O213" s="31"/>
      <c r="P213" s="31"/>
      <c r="Q213" s="31"/>
      <c r="R213" s="31"/>
      <c r="S213" s="31"/>
      <c r="T213" s="31"/>
      <c r="U213" s="30"/>
      <c r="V213" s="30"/>
      <c r="W213" s="30"/>
      <c r="X213" s="30"/>
      <c r="Y213" s="30" t="s">
        <v>2679</v>
      </c>
      <c r="Z213" s="30" t="s">
        <v>2679</v>
      </c>
      <c r="AA213" s="30" t="s">
        <v>4362</v>
      </c>
      <c r="AB213" s="30"/>
      <c r="AC213" s="30"/>
      <c r="AD213" s="30"/>
      <c r="AE213" s="30" t="s">
        <v>2914</v>
      </c>
      <c r="AF213" s="30">
        <v>7776882724</v>
      </c>
      <c r="AG213" s="30" t="s">
        <v>2915</v>
      </c>
      <c r="AH213" s="31" t="s">
        <v>55</v>
      </c>
      <c r="AI213" s="31">
        <v>45838</v>
      </c>
      <c r="AJ213" s="31">
        <v>45845</v>
      </c>
      <c r="AK213" s="30" t="s">
        <v>63</v>
      </c>
      <c r="AL213" s="30">
        <v>1200000</v>
      </c>
      <c r="AM213" s="31">
        <v>45846</v>
      </c>
      <c r="AN213" s="31">
        <v>45848</v>
      </c>
      <c r="AO213" s="31"/>
      <c r="AP213" s="31"/>
      <c r="AQ213" s="31"/>
      <c r="AR213" s="31"/>
      <c r="AS213" s="31">
        <v>45852</v>
      </c>
      <c r="AT213" s="30">
        <f t="shared" ca="1" si="32"/>
        <v>0</v>
      </c>
      <c r="AU213" s="32" t="str">
        <f t="shared" ca="1" si="30"/>
        <v/>
      </c>
      <c r="AV213" s="32" t="str" cm="1">
        <f t="array" aca="1" ref="AV213" ca="1">IFERROR(_xlfn.IFS($AU213="","",$AU213&lt;=15,"0-15",AND($AU213&gt;=16,$AU213&lt;=30),"16-30",AND($AU213&gt;=31,$AU213&lt;=45),"31-45",AND($AU213&gt;=46,$AU213&lt;=60),"46-60",AND($AU213&gt;=61,$AU213&lt;=90),"61-90",AND($AU213&gt;=91),"&gt; 90",AND($AU213&gt;=2000),""),"")</f>
        <v/>
      </c>
      <c r="AW213" s="32" cm="1">
        <f t="array" aca="1" ref="AW213" ca="1">IFERROR(_xlfn.IFS(OR($M213="",$AM213=""),"",OR($C213="Offered",$C213="Joined"),($AM213-$M213)-$AT213),"")</f>
        <v>26</v>
      </c>
      <c r="AX213" s="32" cm="1">
        <f t="array" aca="1" ref="AX213" ca="1">IFERROR(_xlfn.IFS(OR($M213="",$AS213=""),"",$C213="Joined",($AS213-$M213)-$AT213),"")</f>
        <v>32</v>
      </c>
      <c r="AY213" s="30" t="str">
        <f>IFERROR(IF(COUNTIFS('Candidate Tracker'!$E:$E,'Positions Tracker'!$B213,'Candidate Tracker'!$C:$C,"Offer Drop")=0,"",COUNTIFS('Candidate Tracker'!$E:$E,'Positions Tracker'!$B213,'Candidate Tracker'!$C:$C,"Offer Drop")),"")</f>
        <v/>
      </c>
      <c r="AZ2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3" s="34" t="str">
        <f>IFERROR(IF(COUNTIFS('Candidate Tracker'!$E:$E,'Positions Tracker'!$B213,'Candidate Tracker'!$I:$I,"Female")=0,"",COUNTIFS('Candidate Tracker'!$E:$E,'Positions Tracker'!$B213,'Candidate Tracker'!$I:$I,"Female")),"")</f>
        <v/>
      </c>
      <c r="BB213" s="34" t="str">
        <f>IFERROR(IF(COUNTIFS('Candidate Tracker'!$E:$E,'Positions Tracker'!$B213,'Candidate Tracker'!$I:$I,"male")=0,"",COUNTIFS('Candidate Tracker'!$E:$E,'Positions Tracker'!$B213,'Candidate Tracker'!$I:$I,"male")),"")</f>
        <v/>
      </c>
      <c r="BC213" s="33" t="str">
        <f>IFERROR(IF(COUNTIFS('Candidate Tracker'!$E:$E,'Positions Tracker'!$B213,'Candidate Tracker'!$C:$C,"&lt;&gt;WIP",'Candidate Tracker'!$C:$C,"&lt;&gt;Hold",'Candidate Tracker'!$C:$C,"&lt;&gt;Cancelled",'Candidate Tracker'!$C:$C,"&lt;&gt;Closed")/COUNTIFS('Candidate Tracker'!$E:$E,'Positions Tracker'!$B213)=0,"",COUNTIFS('Candidate Tracker'!$E:$E,'Positions Tracker'!$B213,'Candidate Tracker'!$C:$C,"&lt;&gt;WIP",'Candidate Tracker'!$C:$C,"&lt;&gt;Hold",'Candidate Tracker'!$C:$C,"&lt;&gt;Cancelled",'Candidate Tracker'!$C:$C,"&lt;&gt;Closed")/COUNTIFS('Candidate Tracker'!$E:$E,'Positions Tracker'!$B213)),"")</f>
        <v/>
      </c>
      <c r="BD213" s="30" t="str">
        <f t="shared" si="33"/>
        <v>Jun-25</v>
      </c>
      <c r="BE213" s="30" t="str">
        <f t="shared" si="34"/>
        <v>Jun-25</v>
      </c>
      <c r="BF213" s="30" t="str">
        <f t="shared" si="35"/>
        <v>Jul-25</v>
      </c>
      <c r="BG213" s="30" t="str">
        <f t="shared" si="36"/>
        <v>Jul-25</v>
      </c>
    </row>
    <row r="214" spans="1:59">
      <c r="A214" s="30">
        <f t="shared" si="31"/>
        <v>213</v>
      </c>
      <c r="B214" s="30">
        <v>20256678</v>
      </c>
      <c r="C214" s="30" t="s">
        <v>51</v>
      </c>
      <c r="D214" s="30" t="s">
        <v>51</v>
      </c>
      <c r="E214" s="30" t="s">
        <v>4363</v>
      </c>
      <c r="F214" s="30" t="s">
        <v>4364</v>
      </c>
      <c r="G214" s="30" t="s">
        <v>3</v>
      </c>
      <c r="H214" s="30" t="s">
        <v>2658</v>
      </c>
      <c r="I214" s="30" t="s">
        <v>4365</v>
      </c>
      <c r="J214" s="30" t="s">
        <v>135</v>
      </c>
      <c r="K214" s="31">
        <v>45848</v>
      </c>
      <c r="L214" s="31">
        <v>45848</v>
      </c>
      <c r="M214" s="31">
        <v>45848</v>
      </c>
      <c r="N214" s="30" t="s">
        <v>3892</v>
      </c>
      <c r="O214" s="31"/>
      <c r="P214" s="31"/>
      <c r="Q214" s="31"/>
      <c r="R214" s="31"/>
      <c r="S214" s="31"/>
      <c r="T214" s="31"/>
      <c r="U214" s="30"/>
      <c r="V214" s="30"/>
      <c r="W214" s="30"/>
      <c r="X214" s="30" t="s">
        <v>63</v>
      </c>
      <c r="Y214" s="30" t="s">
        <v>2408</v>
      </c>
      <c r="Z214" s="30" t="s">
        <v>2408</v>
      </c>
      <c r="AA214" s="30" t="s">
        <v>4366</v>
      </c>
      <c r="AB214" s="30"/>
      <c r="AC214" s="30"/>
      <c r="AD214" s="30"/>
      <c r="AE214" s="30" t="s">
        <v>4367</v>
      </c>
      <c r="AF214" s="30">
        <v>7350896820</v>
      </c>
      <c r="AG214" s="30" t="s">
        <v>4368</v>
      </c>
      <c r="AH214" s="31" t="s">
        <v>55</v>
      </c>
      <c r="AI214" s="31">
        <v>45831</v>
      </c>
      <c r="AJ214" s="31">
        <v>45856</v>
      </c>
      <c r="AK214" s="30" t="s">
        <v>63</v>
      </c>
      <c r="AL214" s="30">
        <v>2289225</v>
      </c>
      <c r="AM214" s="31">
        <v>45854</v>
      </c>
      <c r="AN214" s="31">
        <v>45856</v>
      </c>
      <c r="AO214" s="31" t="s">
        <v>134</v>
      </c>
      <c r="AP214" s="31">
        <v>45860</v>
      </c>
      <c r="AQ214" s="31">
        <v>45871</v>
      </c>
      <c r="AR214" s="31" t="s">
        <v>134</v>
      </c>
      <c r="AS214" s="31">
        <v>45943</v>
      </c>
      <c r="AT214" s="30">
        <f t="shared" ca="1" si="32"/>
        <v>0</v>
      </c>
      <c r="AU214" s="32" t="str">
        <f t="shared" ca="1" si="30"/>
        <v/>
      </c>
      <c r="AV214" s="32" t="str" cm="1">
        <f t="array" aca="1" ref="AV214" ca="1">IFERROR(_xlfn.IFS($AU214="","",$AU214&lt;=15,"0-15",AND($AU214&gt;=16,$AU214&lt;=30),"16-30",AND($AU214&gt;=31,$AU214&lt;=45),"31-45",AND($AU214&gt;=46,$AU214&lt;=60),"46-60",AND($AU214&gt;=61,$AU214&lt;=90),"61-90",AND($AU214&gt;=91),"&gt; 90",AND($AU214&gt;=2000),""),"")</f>
        <v/>
      </c>
      <c r="AW214" s="32" cm="1">
        <f t="array" aca="1" ref="AW214" ca="1">IFERROR(_xlfn.IFS(OR($M214="",$AM214=""),"",OR($C214="Offered",$C214="Joined"),($AM214-$M214)-$AT214),"")</f>
        <v>6</v>
      </c>
      <c r="AX214" s="32" cm="1">
        <f t="array" aca="1" ref="AX214" ca="1">IFERROR(_xlfn.IFS(OR($M214="",$AS214=""),"",$C214="Joined",($AS214-$M214)-$AT214),"")</f>
        <v>95</v>
      </c>
      <c r="AY214" s="30" t="str">
        <f>IFERROR(IF(COUNTIFS('Candidate Tracker'!$E:$E,'Positions Tracker'!$B214,'Candidate Tracker'!$C:$C,"Offer Drop")=0,"",COUNTIFS('Candidate Tracker'!$E:$E,'Positions Tracker'!$B214,'Candidate Tracker'!$C:$C,"Offer Drop")),"")</f>
        <v/>
      </c>
      <c r="AZ2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4" s="34" t="str">
        <f>IFERROR(IF(COUNTIFS('Candidate Tracker'!$E:$E,'Positions Tracker'!$B214,'Candidate Tracker'!$I:$I,"Female")=0,"",COUNTIFS('Candidate Tracker'!$E:$E,'Positions Tracker'!$B214,'Candidate Tracker'!$I:$I,"Female")),"")</f>
        <v/>
      </c>
      <c r="BB214" s="34" t="str">
        <f>IFERROR(IF(COUNTIFS('Candidate Tracker'!$E:$E,'Positions Tracker'!$B214,'Candidate Tracker'!$I:$I,"male")=0,"",COUNTIFS('Candidate Tracker'!$E:$E,'Positions Tracker'!$B214,'Candidate Tracker'!$I:$I,"male")),"")</f>
        <v/>
      </c>
      <c r="BC214" s="33" t="str">
        <f>IFERROR(IF(COUNTIFS('Candidate Tracker'!$E:$E,'Positions Tracker'!$B214,'Candidate Tracker'!$C:$C,"&lt;&gt;WIP",'Candidate Tracker'!$C:$C,"&lt;&gt;Hold",'Candidate Tracker'!$C:$C,"&lt;&gt;Cancelled",'Candidate Tracker'!$C:$C,"&lt;&gt;Closed")/COUNTIFS('Candidate Tracker'!$E:$E,'Positions Tracker'!$B214)=0,"",COUNTIFS('Candidate Tracker'!$E:$E,'Positions Tracker'!$B214,'Candidate Tracker'!$C:$C,"&lt;&gt;WIP",'Candidate Tracker'!$C:$C,"&lt;&gt;Hold",'Candidate Tracker'!$C:$C,"&lt;&gt;Cancelled",'Candidate Tracker'!$C:$C,"&lt;&gt;Closed")/COUNTIFS('Candidate Tracker'!$E:$E,'Positions Tracker'!$B214)),"")</f>
        <v/>
      </c>
      <c r="BD214" s="30" t="str">
        <f t="shared" si="33"/>
        <v>Jul-25</v>
      </c>
      <c r="BE214" s="30" t="str">
        <f t="shared" si="34"/>
        <v>Jun-25</v>
      </c>
      <c r="BF214" s="30" t="str">
        <f t="shared" si="35"/>
        <v>Jul-25</v>
      </c>
      <c r="BG214" s="30" t="str">
        <f t="shared" si="36"/>
        <v>Oct-25</v>
      </c>
    </row>
    <row r="215" spans="1:59" ht="87">
      <c r="A215" s="30">
        <f t="shared" si="31"/>
        <v>214</v>
      </c>
      <c r="B215" s="30">
        <v>20256964</v>
      </c>
      <c r="C215" s="30" t="s">
        <v>840</v>
      </c>
      <c r="D215" s="30" t="s">
        <v>841</v>
      </c>
      <c r="E215" s="30" t="s">
        <v>4369</v>
      </c>
      <c r="F215" s="30" t="s">
        <v>4370</v>
      </c>
      <c r="G215" s="30" t="s">
        <v>3</v>
      </c>
      <c r="H215" s="30" t="s">
        <v>66</v>
      </c>
      <c r="I215" s="30" t="s">
        <v>4371</v>
      </c>
      <c r="J215" s="30" t="s">
        <v>135</v>
      </c>
      <c r="K215" s="31">
        <v>45873</v>
      </c>
      <c r="L215" s="31">
        <v>45870</v>
      </c>
      <c r="M215" s="31">
        <v>45875</v>
      </c>
      <c r="N215" s="30" t="s">
        <v>3892</v>
      </c>
      <c r="O215" s="31"/>
      <c r="P215" s="31"/>
      <c r="Q215" s="31"/>
      <c r="R215" s="31"/>
      <c r="S215" s="31"/>
      <c r="T215" s="31"/>
      <c r="U215" s="30"/>
      <c r="V215" s="30"/>
      <c r="W215" s="30"/>
      <c r="X215" s="30" t="s">
        <v>657</v>
      </c>
      <c r="Y215" s="30" t="s">
        <v>2679</v>
      </c>
      <c r="Z215" s="30" t="s">
        <v>2679</v>
      </c>
      <c r="AA215" s="160" t="s">
        <v>4372</v>
      </c>
      <c r="AB215" s="30"/>
      <c r="AC215" s="30"/>
      <c r="AD215" s="30"/>
      <c r="AE215" s="30" t="s">
        <v>4373</v>
      </c>
      <c r="AF215" s="161">
        <v>9975191351</v>
      </c>
      <c r="AG215" s="161" t="s">
        <v>4374</v>
      </c>
      <c r="AH215" s="31" t="s">
        <v>55</v>
      </c>
      <c r="AI215" s="31">
        <v>45992</v>
      </c>
      <c r="AJ215" s="31">
        <v>45996</v>
      </c>
      <c r="AK215" s="30" t="s">
        <v>63</v>
      </c>
      <c r="AL215" s="30">
        <v>1395503</v>
      </c>
      <c r="AM215" s="31">
        <v>45999</v>
      </c>
      <c r="AN215" s="31">
        <v>45999</v>
      </c>
      <c r="AO215" s="31"/>
      <c r="AP215" s="31">
        <v>46001</v>
      </c>
      <c r="AQ215" s="31">
        <v>46001</v>
      </c>
      <c r="AR215" s="31"/>
      <c r="AS215" s="31">
        <v>46092</v>
      </c>
      <c r="AT215" s="30">
        <f t="shared" ca="1" si="32"/>
        <v>0</v>
      </c>
      <c r="AU215" s="32" t="str">
        <f t="shared" ca="1" si="30"/>
        <v/>
      </c>
      <c r="AV215" s="32" t="str" cm="1">
        <f t="array" aca="1" ref="AV215" ca="1">IFERROR(_xlfn.IFS($AU215="","",$AU215&lt;=15,"0-15",AND($AU215&gt;=16,$AU215&lt;=30),"16-30",AND($AU215&gt;=31,$AU215&lt;=45),"31-45",AND($AU215&gt;=46,$AU215&lt;=60),"46-60",AND($AU215&gt;=61,$AU215&lt;=90),"61-90",AND($AU215&gt;=91),"&gt; 90",AND($AU215&gt;=2000),""),"")</f>
        <v/>
      </c>
      <c r="AW215" s="32" cm="1">
        <f t="array" aca="1" ref="AW215" ca="1">IFERROR(_xlfn.IFS(OR($M215="",$AM215=""),"",OR($C215="Offered",$C215="Joined"),($AM215-$M215)-$AT215),"")</f>
        <v>124</v>
      </c>
      <c r="AX215" s="32" t="str" cm="1">
        <f t="array" aca="1" ref="AX215" ca="1">IFERROR(_xlfn.IFS(OR($M215="",$AS215=""),"",$C215="Joined",($AS215-$M215)-$AT215),"")</f>
        <v/>
      </c>
      <c r="AY215" s="30" t="str">
        <f>IFERROR(IF(COUNTIFS('Candidate Tracker'!$E:$E,'Positions Tracker'!$B215,'Candidate Tracker'!$C:$C,"Offer Drop")=0,"",COUNTIFS('Candidate Tracker'!$E:$E,'Positions Tracker'!$B215,'Candidate Tracker'!$C:$C,"Offer Drop")),"")</f>
        <v/>
      </c>
      <c r="AZ2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5" s="34" t="str">
        <f>IFERROR(IF(COUNTIFS('Candidate Tracker'!$E:$E,'Positions Tracker'!$B215,'Candidate Tracker'!$I:$I,"Female")=0,"",COUNTIFS('Candidate Tracker'!$E:$E,'Positions Tracker'!$B215,'Candidate Tracker'!$I:$I,"Female")),"")</f>
        <v/>
      </c>
      <c r="BB215" s="34" t="str">
        <f>IFERROR(IF(COUNTIFS('Candidate Tracker'!$E:$E,'Positions Tracker'!$B215,'Candidate Tracker'!$I:$I,"male")=0,"",COUNTIFS('Candidate Tracker'!$E:$E,'Positions Tracker'!$B215,'Candidate Tracker'!$I:$I,"male")),"")</f>
        <v/>
      </c>
      <c r="BC215" s="33" t="str">
        <f>IFERROR(IF(COUNTIFS('Candidate Tracker'!$E:$E,'Positions Tracker'!$B215,'Candidate Tracker'!$C:$C,"&lt;&gt;WIP",'Candidate Tracker'!$C:$C,"&lt;&gt;Hold",'Candidate Tracker'!$C:$C,"&lt;&gt;Cancelled",'Candidate Tracker'!$C:$C,"&lt;&gt;Closed")/COUNTIFS('Candidate Tracker'!$E:$E,'Positions Tracker'!$B215)=0,"",COUNTIFS('Candidate Tracker'!$E:$E,'Positions Tracker'!$B215,'Candidate Tracker'!$C:$C,"&lt;&gt;WIP",'Candidate Tracker'!$C:$C,"&lt;&gt;Hold",'Candidate Tracker'!$C:$C,"&lt;&gt;Cancelled",'Candidate Tracker'!$C:$C,"&lt;&gt;Closed")/COUNTIFS('Candidate Tracker'!$E:$E,'Positions Tracker'!$B215)),"")</f>
        <v/>
      </c>
      <c r="BD215" s="30" t="str">
        <f t="shared" si="33"/>
        <v>Aug-25</v>
      </c>
      <c r="BE215" s="30" t="str">
        <f t="shared" si="34"/>
        <v>Dec-25</v>
      </c>
      <c r="BF215" s="30" t="str">
        <f t="shared" si="35"/>
        <v>Dec-25</v>
      </c>
      <c r="BG215" s="30" t="str">
        <f t="shared" si="36"/>
        <v>Mar-26</v>
      </c>
    </row>
    <row r="216" spans="1:59">
      <c r="A216" s="30">
        <f t="shared" si="31"/>
        <v>215</v>
      </c>
      <c r="B216" s="30">
        <v>20257257</v>
      </c>
      <c r="C216" s="30" t="s">
        <v>51</v>
      </c>
      <c r="D216" s="30" t="s">
        <v>51</v>
      </c>
      <c r="E216" s="30" t="s">
        <v>3256</v>
      </c>
      <c r="F216" s="30" t="s">
        <v>4375</v>
      </c>
      <c r="G216" s="30" t="s">
        <v>1</v>
      </c>
      <c r="H216" s="30" t="s">
        <v>2409</v>
      </c>
      <c r="I216" s="30" t="s">
        <v>4376</v>
      </c>
      <c r="J216" s="30" t="s">
        <v>4313</v>
      </c>
      <c r="K216" s="31">
        <v>45861</v>
      </c>
      <c r="L216" s="31">
        <v>45860</v>
      </c>
      <c r="M216" s="31">
        <v>45861</v>
      </c>
      <c r="N216" s="30" t="s">
        <v>4289</v>
      </c>
      <c r="O216" s="31"/>
      <c r="P216" s="31"/>
      <c r="Q216" s="31"/>
      <c r="R216" s="31"/>
      <c r="S216" s="31"/>
      <c r="T216" s="31"/>
      <c r="U216" s="30"/>
      <c r="V216" s="30"/>
      <c r="W216" s="30"/>
      <c r="X216" s="30" t="s">
        <v>63</v>
      </c>
      <c r="Y216" s="30" t="s">
        <v>2408</v>
      </c>
      <c r="Z216" s="30" t="s">
        <v>2408</v>
      </c>
      <c r="AA216" s="30" t="s">
        <v>4377</v>
      </c>
      <c r="AB216" s="30"/>
      <c r="AC216" s="30"/>
      <c r="AD216" s="30"/>
      <c r="AE216" s="30" t="s">
        <v>4378</v>
      </c>
      <c r="AF216" s="30">
        <v>9922774823</v>
      </c>
      <c r="AG216" s="30" t="s">
        <v>4379</v>
      </c>
      <c r="AH216" s="31" t="s">
        <v>55</v>
      </c>
      <c r="AI216" s="31">
        <v>45888</v>
      </c>
      <c r="AJ216" s="31">
        <v>45905</v>
      </c>
      <c r="AK216" s="30" t="s">
        <v>63</v>
      </c>
      <c r="AL216" s="30">
        <v>658933</v>
      </c>
      <c r="AM216" s="31">
        <v>45889</v>
      </c>
      <c r="AN216" s="31">
        <v>45905</v>
      </c>
      <c r="AO216" s="31" t="s">
        <v>134</v>
      </c>
      <c r="AP216" s="31">
        <v>45912</v>
      </c>
      <c r="AQ216" s="31">
        <v>45916</v>
      </c>
      <c r="AR216" s="31" t="s">
        <v>134</v>
      </c>
      <c r="AS216" s="31">
        <v>45964</v>
      </c>
      <c r="AT216" s="30">
        <f t="shared" ca="1" si="32"/>
        <v>0</v>
      </c>
      <c r="AU216" s="32" t="str">
        <f t="shared" ca="1" si="30"/>
        <v/>
      </c>
      <c r="AV216" s="32" t="str" cm="1">
        <f t="array" aca="1" ref="AV216" ca="1">IFERROR(_xlfn.IFS($AU216="","",$AU216&lt;=15,"0-15",AND($AU216&gt;=16,$AU216&lt;=30),"16-30",AND($AU216&gt;=31,$AU216&lt;=45),"31-45",AND($AU216&gt;=46,$AU216&lt;=60),"46-60",AND($AU216&gt;=61,$AU216&lt;=90),"61-90",AND($AU216&gt;=91),"&gt; 90",AND($AU216&gt;=2000),""),"")</f>
        <v/>
      </c>
      <c r="AW216" s="32" cm="1">
        <f t="array" aca="1" ref="AW216" ca="1">IFERROR(_xlfn.IFS(OR($M216="",$AM216=""),"",OR($C216="Offered",$C216="Joined"),($AM216-$M216)-$AT216),"")</f>
        <v>28</v>
      </c>
      <c r="AX216" s="32" cm="1">
        <f t="array" aca="1" ref="AX216" ca="1">IFERROR(_xlfn.IFS(OR($M216="",$AS216=""),"",$C216="Joined",($AS216-$M216)-$AT216),"")</f>
        <v>103</v>
      </c>
      <c r="AY216" s="30" t="str">
        <f>IFERROR(IF(COUNTIFS('Candidate Tracker'!$E:$E,'Positions Tracker'!$B216,'Candidate Tracker'!$C:$C,"Offer Drop")=0,"",COUNTIFS('Candidate Tracker'!$E:$E,'Positions Tracker'!$B216,'Candidate Tracker'!$C:$C,"Offer Drop")),"")</f>
        <v/>
      </c>
      <c r="AZ2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6" s="34" t="str">
        <f>IFERROR(IF(COUNTIFS('Candidate Tracker'!$E:$E,'Positions Tracker'!$B216,'Candidate Tracker'!$I:$I,"Female")=0,"",COUNTIFS('Candidate Tracker'!$E:$E,'Positions Tracker'!$B216,'Candidate Tracker'!$I:$I,"Female")),"")</f>
        <v/>
      </c>
      <c r="BB216" s="34" t="str">
        <f>IFERROR(IF(COUNTIFS('Candidate Tracker'!$E:$E,'Positions Tracker'!$B216,'Candidate Tracker'!$I:$I,"male")=0,"",COUNTIFS('Candidate Tracker'!$E:$E,'Positions Tracker'!$B216,'Candidate Tracker'!$I:$I,"male")),"")</f>
        <v/>
      </c>
      <c r="BC216" s="33" t="str">
        <f>IFERROR(IF(COUNTIFS('Candidate Tracker'!$E:$E,'Positions Tracker'!$B216,'Candidate Tracker'!$C:$C,"&lt;&gt;WIP",'Candidate Tracker'!$C:$C,"&lt;&gt;Hold",'Candidate Tracker'!$C:$C,"&lt;&gt;Cancelled",'Candidate Tracker'!$C:$C,"&lt;&gt;Closed")/COUNTIFS('Candidate Tracker'!$E:$E,'Positions Tracker'!$B216)=0,"",COUNTIFS('Candidate Tracker'!$E:$E,'Positions Tracker'!$B216,'Candidate Tracker'!$C:$C,"&lt;&gt;WIP",'Candidate Tracker'!$C:$C,"&lt;&gt;Hold",'Candidate Tracker'!$C:$C,"&lt;&gt;Cancelled",'Candidate Tracker'!$C:$C,"&lt;&gt;Closed")/COUNTIFS('Candidate Tracker'!$E:$E,'Positions Tracker'!$B216)),"")</f>
        <v/>
      </c>
      <c r="BD216" s="30" t="str">
        <f t="shared" si="33"/>
        <v>Jul-25</v>
      </c>
      <c r="BE216" s="30" t="str">
        <f t="shared" si="34"/>
        <v>Aug-25</v>
      </c>
      <c r="BF216" s="30" t="str">
        <f t="shared" si="35"/>
        <v>Aug-25</v>
      </c>
      <c r="BG216" s="30" t="str">
        <f t="shared" si="36"/>
        <v>Nov-25</v>
      </c>
    </row>
    <row r="217" spans="1:59">
      <c r="A217" s="30">
        <f t="shared" si="31"/>
        <v>216</v>
      </c>
      <c r="B217" s="30">
        <v>20257309</v>
      </c>
      <c r="C217" s="30" t="s">
        <v>4271</v>
      </c>
      <c r="D217" s="30" t="s">
        <v>4254</v>
      </c>
      <c r="E217" s="30" t="s">
        <v>4352</v>
      </c>
      <c r="F217" s="30" t="s">
        <v>4375</v>
      </c>
      <c r="G217" s="30" t="s">
        <v>1</v>
      </c>
      <c r="H217" s="30" t="s">
        <v>2409</v>
      </c>
      <c r="I217" s="30" t="s">
        <v>4380</v>
      </c>
      <c r="J217" s="30" t="s">
        <v>135</v>
      </c>
      <c r="K217" s="31">
        <v>45861</v>
      </c>
      <c r="L217" s="31">
        <v>45858</v>
      </c>
      <c r="M217" s="31">
        <v>45861</v>
      </c>
      <c r="N217" s="30" t="s">
        <v>3897</v>
      </c>
      <c r="O217" s="31"/>
      <c r="P217" s="31"/>
      <c r="Q217" s="31"/>
      <c r="R217" s="31"/>
      <c r="S217" s="31"/>
      <c r="T217" s="31"/>
      <c r="U217" s="30"/>
      <c r="V217" s="30"/>
      <c r="W217" s="30"/>
      <c r="X217" s="30" t="s">
        <v>63</v>
      </c>
      <c r="Y217" s="30" t="s">
        <v>2408</v>
      </c>
      <c r="Z217" s="30" t="s">
        <v>2408</v>
      </c>
      <c r="AA217" s="30" t="s">
        <v>4381</v>
      </c>
      <c r="AB217" s="30"/>
      <c r="AC217" s="30"/>
      <c r="AD217" s="30"/>
      <c r="AE217" s="30"/>
      <c r="AF217" s="30"/>
      <c r="AG217" s="30"/>
      <c r="AH217" s="31"/>
      <c r="AI217" s="31"/>
      <c r="AJ217" s="31"/>
      <c r="AK217" s="30"/>
      <c r="AL217" s="30"/>
      <c r="AM217" s="31"/>
      <c r="AN217" s="31"/>
      <c r="AO217" s="31"/>
      <c r="AP217" s="31"/>
      <c r="AQ217" s="31"/>
      <c r="AR217" s="31"/>
      <c r="AS217" s="31"/>
      <c r="AT217" s="30">
        <f t="shared" ca="1" si="32"/>
        <v>0</v>
      </c>
      <c r="AU217" s="32" t="str">
        <f t="shared" ca="1" si="30"/>
        <v/>
      </c>
      <c r="AV217" s="32" t="str" cm="1">
        <f t="array" aca="1" ref="AV217" ca="1">IFERROR(_xlfn.IFS($AU217="","",$AU217&lt;=15,"0-15",AND($AU217&gt;=16,$AU217&lt;=30),"16-30",AND($AU217&gt;=31,$AU217&lt;=45),"31-45",AND($AU217&gt;=46,$AU217&lt;=60),"46-60",AND($AU217&gt;=61,$AU217&lt;=90),"61-90",AND($AU217&gt;=91),"&gt; 90",AND($AU217&gt;=2000),""),"")</f>
        <v/>
      </c>
      <c r="AW217" s="32" t="str" cm="1">
        <f t="array" aca="1" ref="AW217" ca="1">IFERROR(_xlfn.IFS(OR($M217="",$AM217=""),"",OR($C217="Offered",$C217="Joined"),($AM217-$M217)-$AT217),"")</f>
        <v/>
      </c>
      <c r="AX217" s="32" t="str" cm="1">
        <f t="array" aca="1" ref="AX217" ca="1">IFERROR(_xlfn.IFS(OR($M217="",$AS217=""),"",$C217="Joined",($AS217-$M217)-$AT217),"")</f>
        <v/>
      </c>
      <c r="AY217" s="30" t="str">
        <f>IFERROR(IF(COUNTIFS('Candidate Tracker'!$E:$E,'Positions Tracker'!$B217,'Candidate Tracker'!$C:$C,"Offer Drop")=0,"",COUNTIFS('Candidate Tracker'!$E:$E,'Positions Tracker'!$B217,'Candidate Tracker'!$C:$C,"Offer Drop")),"")</f>
        <v/>
      </c>
      <c r="AZ2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7" s="34" t="str">
        <f>IFERROR(IF(COUNTIFS('Candidate Tracker'!$E:$E,'Positions Tracker'!$B217,'Candidate Tracker'!$I:$I,"Female")=0,"",COUNTIFS('Candidate Tracker'!$E:$E,'Positions Tracker'!$B217,'Candidate Tracker'!$I:$I,"Female")),"")</f>
        <v/>
      </c>
      <c r="BB217" s="34" t="str">
        <f>IFERROR(IF(COUNTIFS('Candidate Tracker'!$E:$E,'Positions Tracker'!$B217,'Candidate Tracker'!$I:$I,"male")=0,"",COUNTIFS('Candidate Tracker'!$E:$E,'Positions Tracker'!$B217,'Candidate Tracker'!$I:$I,"male")),"")</f>
        <v/>
      </c>
      <c r="BC217" s="33" t="str">
        <f>IFERROR(IF(COUNTIFS('Candidate Tracker'!$E:$E,'Positions Tracker'!$B217,'Candidate Tracker'!$C:$C,"&lt;&gt;WIP",'Candidate Tracker'!$C:$C,"&lt;&gt;Hold",'Candidate Tracker'!$C:$C,"&lt;&gt;Cancelled",'Candidate Tracker'!$C:$C,"&lt;&gt;Closed")/COUNTIFS('Candidate Tracker'!$E:$E,'Positions Tracker'!$B217)=0,"",COUNTIFS('Candidate Tracker'!$E:$E,'Positions Tracker'!$B217,'Candidate Tracker'!$C:$C,"&lt;&gt;WIP",'Candidate Tracker'!$C:$C,"&lt;&gt;Hold",'Candidate Tracker'!$C:$C,"&lt;&gt;Cancelled",'Candidate Tracker'!$C:$C,"&lt;&gt;Closed")/COUNTIFS('Candidate Tracker'!$E:$E,'Positions Tracker'!$B217)),"")</f>
        <v/>
      </c>
      <c r="BD217" s="30" t="str">
        <f t="shared" si="33"/>
        <v>Jul-25</v>
      </c>
      <c r="BE217" s="30" t="str">
        <f t="shared" si="34"/>
        <v/>
      </c>
      <c r="BF217" s="30" t="str">
        <f t="shared" si="35"/>
        <v/>
      </c>
      <c r="BG217" s="30" t="str">
        <f t="shared" si="36"/>
        <v/>
      </c>
    </row>
    <row r="218" spans="1:59">
      <c r="A218" s="30">
        <f t="shared" si="31"/>
        <v>217</v>
      </c>
      <c r="B218" s="162">
        <v>20257438</v>
      </c>
      <c r="C218" s="162" t="s">
        <v>4271</v>
      </c>
      <c r="D218" s="162" t="s">
        <v>4254</v>
      </c>
      <c r="E218" s="162" t="s">
        <v>4382</v>
      </c>
      <c r="F218" s="162" t="s">
        <v>4383</v>
      </c>
      <c r="G218" s="162" t="s">
        <v>1</v>
      </c>
      <c r="H218" s="162" t="s">
        <v>2409</v>
      </c>
      <c r="I218" s="162" t="s">
        <v>4384</v>
      </c>
      <c r="J218" s="162" t="s">
        <v>135</v>
      </c>
      <c r="K218" s="173">
        <v>45863</v>
      </c>
      <c r="L218" s="173">
        <v>45860</v>
      </c>
      <c r="M218" s="173">
        <v>45863</v>
      </c>
      <c r="N218" s="162" t="s">
        <v>3884</v>
      </c>
      <c r="O218" s="173"/>
      <c r="P218" s="173"/>
      <c r="Q218" s="173"/>
      <c r="R218" s="173"/>
      <c r="S218" s="173"/>
      <c r="T218" s="173"/>
      <c r="U218" s="162"/>
      <c r="V218" s="162"/>
      <c r="W218" s="162"/>
      <c r="X218" s="162" t="s">
        <v>890</v>
      </c>
      <c r="Y218" s="162" t="s">
        <v>2408</v>
      </c>
      <c r="Z218" s="162" t="s">
        <v>2408</v>
      </c>
      <c r="AA218" s="162" t="s">
        <v>4385</v>
      </c>
      <c r="AB218" s="162"/>
      <c r="AC218" s="30"/>
      <c r="AD218" s="30"/>
      <c r="AE218" s="30"/>
      <c r="AF218" s="30"/>
      <c r="AG218" s="30"/>
      <c r="AH218" s="31"/>
      <c r="AI218" s="31"/>
      <c r="AJ218" s="31"/>
      <c r="AK218" s="30"/>
      <c r="AL218" s="30"/>
      <c r="AM218" s="31"/>
      <c r="AN218" s="31"/>
      <c r="AO218" s="31"/>
      <c r="AP218" s="31"/>
      <c r="AQ218" s="31"/>
      <c r="AR218" s="31"/>
      <c r="AS218" s="31"/>
      <c r="AT218" s="30">
        <f t="shared" ca="1" si="32"/>
        <v>0</v>
      </c>
      <c r="AU218" s="32" t="str">
        <f t="shared" ca="1" si="30"/>
        <v/>
      </c>
      <c r="AV218" s="32" t="str" cm="1">
        <f t="array" aca="1" ref="AV218" ca="1">IFERROR(_xlfn.IFS($AU218="","",$AU218&lt;=15,"0-15",AND($AU218&gt;=16,$AU218&lt;=30),"16-30",AND($AU218&gt;=31,$AU218&lt;=45),"31-45",AND($AU218&gt;=46,$AU218&lt;=60),"46-60",AND($AU218&gt;=61,$AU218&lt;=90),"61-90",AND($AU218&gt;=91),"&gt; 90",AND($AU218&gt;=2000),""),"")</f>
        <v/>
      </c>
      <c r="AW218" s="32" t="str" cm="1">
        <f t="array" aca="1" ref="AW218" ca="1">IFERROR(_xlfn.IFS(OR($M218="",$AM218=""),"",OR($C218="Offered",$C218="Joined"),($AM218-$M218)-$AT218),"")</f>
        <v/>
      </c>
      <c r="AX218" s="32" t="str" cm="1">
        <f t="array" aca="1" ref="AX218" ca="1">IFERROR(_xlfn.IFS(OR($M218="",$AS218=""),"",$C218="Joined",($AS218-$M218)-$AT218),"")</f>
        <v/>
      </c>
      <c r="AY218" s="30" t="str">
        <f>IFERROR(IF(COUNTIFS('Candidate Tracker'!$E:$E,'Positions Tracker'!$B218,'Candidate Tracker'!$C:$C,"Offer Drop")=0,"",COUNTIFS('Candidate Tracker'!$E:$E,'Positions Tracker'!$B218,'Candidate Tracker'!$C:$C,"Offer Drop")),"")</f>
        <v/>
      </c>
      <c r="AZ2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8" s="34" t="str">
        <f>IFERROR(IF(COUNTIFS('Candidate Tracker'!$E:$E,'Positions Tracker'!$B218,'Candidate Tracker'!$I:$I,"Female")=0,"",COUNTIFS('Candidate Tracker'!$E:$E,'Positions Tracker'!$B218,'Candidate Tracker'!$I:$I,"Female")),"")</f>
        <v/>
      </c>
      <c r="BB218" s="34" t="str">
        <f>IFERROR(IF(COUNTIFS('Candidate Tracker'!$E:$E,'Positions Tracker'!$B218,'Candidate Tracker'!$I:$I,"male")=0,"",COUNTIFS('Candidate Tracker'!$E:$E,'Positions Tracker'!$B218,'Candidate Tracker'!$I:$I,"male")),"")</f>
        <v/>
      </c>
      <c r="BC218" s="33" t="str">
        <f>IFERROR(IF(COUNTIFS('Candidate Tracker'!$E:$E,'Positions Tracker'!$B218,'Candidate Tracker'!$C:$C,"&lt;&gt;WIP",'Candidate Tracker'!$C:$C,"&lt;&gt;Hold",'Candidate Tracker'!$C:$C,"&lt;&gt;Cancelled",'Candidate Tracker'!$C:$C,"&lt;&gt;Closed")/COUNTIFS('Candidate Tracker'!$E:$E,'Positions Tracker'!$B218)=0,"",COUNTIFS('Candidate Tracker'!$E:$E,'Positions Tracker'!$B218,'Candidate Tracker'!$C:$C,"&lt;&gt;WIP",'Candidate Tracker'!$C:$C,"&lt;&gt;Hold",'Candidate Tracker'!$C:$C,"&lt;&gt;Cancelled",'Candidate Tracker'!$C:$C,"&lt;&gt;Closed")/COUNTIFS('Candidate Tracker'!$E:$E,'Positions Tracker'!$B218)),"")</f>
        <v/>
      </c>
      <c r="BD218" s="30" t="str">
        <f t="shared" si="33"/>
        <v>Jul-25</v>
      </c>
      <c r="BE218" s="30" t="str">
        <f t="shared" si="34"/>
        <v/>
      </c>
      <c r="BF218" s="30" t="str">
        <f t="shared" si="35"/>
        <v/>
      </c>
      <c r="BG218" s="30" t="str">
        <f t="shared" si="36"/>
        <v/>
      </c>
    </row>
    <row r="219" spans="1:59">
      <c r="A219" s="166">
        <f t="shared" si="31"/>
        <v>218</v>
      </c>
      <c r="B219" s="215">
        <v>20257439</v>
      </c>
      <c r="C219" s="176" t="s">
        <v>2</v>
      </c>
      <c r="D219" s="176" t="s">
        <v>1056</v>
      </c>
      <c r="E219" s="176" t="s">
        <v>4386</v>
      </c>
      <c r="F219" s="176" t="s">
        <v>4387</v>
      </c>
      <c r="G219" s="176" t="s">
        <v>1</v>
      </c>
      <c r="H219" s="176" t="s">
        <v>4388</v>
      </c>
      <c r="I219" s="178" t="s">
        <v>4389</v>
      </c>
      <c r="J219" s="176" t="s">
        <v>135</v>
      </c>
      <c r="K219" s="172">
        <v>45981</v>
      </c>
      <c r="L219" s="172">
        <v>45981</v>
      </c>
      <c r="M219" s="172">
        <v>45981</v>
      </c>
      <c r="N219" s="176"/>
      <c r="O219" s="172"/>
      <c r="P219" s="172"/>
      <c r="Q219" s="172"/>
      <c r="R219" s="172"/>
      <c r="S219" s="172"/>
      <c r="T219" s="172"/>
      <c r="U219" s="176"/>
      <c r="V219" s="176"/>
      <c r="W219" s="176"/>
      <c r="X219" s="176" t="s">
        <v>4390</v>
      </c>
      <c r="Y219" s="176" t="s">
        <v>2408</v>
      </c>
      <c r="Z219" s="176" t="s">
        <v>2408</v>
      </c>
      <c r="AA219" s="176" t="s">
        <v>4391</v>
      </c>
      <c r="AB219" s="176"/>
      <c r="AC219" s="182"/>
      <c r="AD219" s="30"/>
      <c r="AE219" s="30"/>
      <c r="AF219" s="30"/>
      <c r="AG219" s="30"/>
      <c r="AH219" s="31"/>
      <c r="AI219" s="31"/>
      <c r="AJ219" s="31"/>
      <c r="AK219" s="30"/>
      <c r="AL219" s="30"/>
      <c r="AM219" s="31"/>
      <c r="AN219" s="31"/>
      <c r="AO219" s="31"/>
      <c r="AP219" s="31"/>
      <c r="AQ219" s="31"/>
      <c r="AR219" s="31"/>
      <c r="AS219" s="31"/>
      <c r="AT219" s="30">
        <f t="shared" ca="1" si="32"/>
        <v>0</v>
      </c>
      <c r="AU219" s="32">
        <f t="shared" ca="1" si="30"/>
        <v>48</v>
      </c>
      <c r="AV219" s="32" t="str" cm="1">
        <f t="array" aca="1" ref="AV219" ca="1">IFERROR(_xlfn.IFS($AU219="","",$AU219&lt;=15,"0-15",AND($AU219&gt;=16,$AU219&lt;=30),"16-30",AND($AU219&gt;=31,$AU219&lt;=45),"31-45",AND($AU219&gt;=46,$AU219&lt;=60),"46-60",AND($AU219&gt;=61,$AU219&lt;=90),"61-90",AND($AU219&gt;=91),"&gt; 90",AND($AU219&gt;=2000),""),"")</f>
        <v>46-60</v>
      </c>
      <c r="AW219" s="32" t="str" cm="1">
        <f t="array" aca="1" ref="AW219" ca="1">IFERROR(_xlfn.IFS(OR($M219="",$AM219=""),"",OR($C219="Offered",$C219="Joined"),($AM219-$M219)-$AT219),"")</f>
        <v/>
      </c>
      <c r="AX219" s="32" t="str" cm="1">
        <f t="array" aca="1" ref="AX219" ca="1">IFERROR(_xlfn.IFS(OR($M219="",$AS219=""),"",$C219="Joined",($AS219-$M219)-$AT219),"")</f>
        <v/>
      </c>
      <c r="AY219" s="30" t="str">
        <f>IFERROR(IF(COUNTIFS('Candidate Tracker'!$E:$E,'Positions Tracker'!$B219,'Candidate Tracker'!$C:$C,"Offer Drop")=0,"",COUNTIFS('Candidate Tracker'!$E:$E,'Positions Tracker'!$B219,'Candidate Tracker'!$C:$C,"Offer Drop")),"")</f>
        <v/>
      </c>
      <c r="AZ2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19" s="34" t="str">
        <f>IFERROR(IF(COUNTIFS('Candidate Tracker'!$E:$E,'Positions Tracker'!$B219,'Candidate Tracker'!$I:$I,"Female")=0,"",COUNTIFS('Candidate Tracker'!$E:$E,'Positions Tracker'!$B219,'Candidate Tracker'!$I:$I,"Female")),"")</f>
        <v/>
      </c>
      <c r="BB219" s="34" t="str">
        <f>IFERROR(IF(COUNTIFS('Candidate Tracker'!$E:$E,'Positions Tracker'!$B219,'Candidate Tracker'!$I:$I,"male")=0,"",COUNTIFS('Candidate Tracker'!$E:$E,'Positions Tracker'!$B219,'Candidate Tracker'!$I:$I,"male")),"")</f>
        <v/>
      </c>
      <c r="BC219" s="33" t="str">
        <f>IFERROR(IF(COUNTIFS('Candidate Tracker'!$E:$E,'Positions Tracker'!$B219,'Candidate Tracker'!$C:$C,"&lt;&gt;WIP",'Candidate Tracker'!$C:$C,"&lt;&gt;Hold",'Candidate Tracker'!$C:$C,"&lt;&gt;Cancelled",'Candidate Tracker'!$C:$C,"&lt;&gt;Closed")/COUNTIFS('Candidate Tracker'!$E:$E,'Positions Tracker'!$B219)=0,"",COUNTIFS('Candidate Tracker'!$E:$E,'Positions Tracker'!$B219,'Candidate Tracker'!$C:$C,"&lt;&gt;WIP",'Candidate Tracker'!$C:$C,"&lt;&gt;Hold",'Candidate Tracker'!$C:$C,"&lt;&gt;Cancelled",'Candidate Tracker'!$C:$C,"&lt;&gt;Closed")/COUNTIFS('Candidate Tracker'!$E:$E,'Positions Tracker'!$B219)),"")</f>
        <v/>
      </c>
      <c r="BD219" s="30" t="str">
        <f t="shared" si="33"/>
        <v>Nov-25</v>
      </c>
      <c r="BE219" s="30" t="str">
        <f t="shared" si="34"/>
        <v/>
      </c>
      <c r="BF219" s="30" t="str">
        <f t="shared" si="35"/>
        <v/>
      </c>
      <c r="BG219" s="30" t="str">
        <f t="shared" si="36"/>
        <v/>
      </c>
    </row>
    <row r="220" spans="1:59">
      <c r="A220" s="30">
        <f t="shared" si="31"/>
        <v>219</v>
      </c>
      <c r="B220" s="169">
        <v>20256738</v>
      </c>
      <c r="C220" s="169" t="s">
        <v>51</v>
      </c>
      <c r="D220" s="169" t="s">
        <v>51</v>
      </c>
      <c r="E220" s="169" t="s">
        <v>3256</v>
      </c>
      <c r="F220" s="169" t="s">
        <v>4375</v>
      </c>
      <c r="G220" s="169" t="s">
        <v>1</v>
      </c>
      <c r="H220" s="169" t="s">
        <v>2409</v>
      </c>
      <c r="I220" s="169" t="s">
        <v>4376</v>
      </c>
      <c r="J220" s="169" t="s">
        <v>135</v>
      </c>
      <c r="K220" s="174">
        <v>45861</v>
      </c>
      <c r="L220" s="174">
        <v>45861</v>
      </c>
      <c r="M220" s="174">
        <v>45861</v>
      </c>
      <c r="N220" s="169" t="s">
        <v>4289</v>
      </c>
      <c r="O220" s="174"/>
      <c r="P220" s="174"/>
      <c r="Q220" s="174"/>
      <c r="R220" s="174"/>
      <c r="S220" s="174"/>
      <c r="T220" s="174"/>
      <c r="U220" s="169"/>
      <c r="V220" s="169"/>
      <c r="W220" s="169"/>
      <c r="X220" s="169" t="s">
        <v>63</v>
      </c>
      <c r="Y220" s="169" t="s">
        <v>2408</v>
      </c>
      <c r="Z220" s="169" t="s">
        <v>2408</v>
      </c>
      <c r="AA220" s="169" t="s">
        <v>4392</v>
      </c>
      <c r="AB220" s="169"/>
      <c r="AC220" s="30"/>
      <c r="AD220" s="30"/>
      <c r="AE220" s="30" t="s">
        <v>4393</v>
      </c>
      <c r="AF220" s="30">
        <v>8888097747</v>
      </c>
      <c r="AG220" s="30" t="s">
        <v>4394</v>
      </c>
      <c r="AH220" s="31" t="s">
        <v>55</v>
      </c>
      <c r="AI220" s="31">
        <v>45888</v>
      </c>
      <c r="AJ220" s="31">
        <v>45905</v>
      </c>
      <c r="AK220" s="30" t="s">
        <v>63</v>
      </c>
      <c r="AL220" s="30">
        <v>700041</v>
      </c>
      <c r="AM220" s="31">
        <v>45889</v>
      </c>
      <c r="AN220" s="31">
        <v>45905</v>
      </c>
      <c r="AO220" s="31" t="s">
        <v>134</v>
      </c>
      <c r="AP220" s="31">
        <v>45909</v>
      </c>
      <c r="AQ220" s="31">
        <v>45911</v>
      </c>
      <c r="AR220" s="31" t="s">
        <v>134</v>
      </c>
      <c r="AS220" s="31">
        <v>45936</v>
      </c>
      <c r="AT220" s="30">
        <f t="shared" ca="1" si="32"/>
        <v>0</v>
      </c>
      <c r="AU220" s="32" t="str">
        <f t="shared" ca="1" si="30"/>
        <v/>
      </c>
      <c r="AV220" s="32" t="str" cm="1">
        <f t="array" aca="1" ref="AV220" ca="1">IFERROR(_xlfn.IFS($AU220="","",$AU220&lt;=15,"0-15",AND($AU220&gt;=16,$AU220&lt;=30),"16-30",AND($AU220&gt;=31,$AU220&lt;=45),"31-45",AND($AU220&gt;=46,$AU220&lt;=60),"46-60",AND($AU220&gt;=61,$AU220&lt;=90),"61-90",AND($AU220&gt;=91),"&gt; 90",AND($AU220&gt;=2000),""),"")</f>
        <v/>
      </c>
      <c r="AW220" s="32" cm="1">
        <f t="array" aca="1" ref="AW220" ca="1">IFERROR(_xlfn.IFS(OR($M220="",$AM220=""),"",OR($C220="Offered",$C220="Joined"),($AM220-$M220)-$AT220),"")</f>
        <v>28</v>
      </c>
      <c r="AX220" s="32" cm="1">
        <f t="array" aca="1" ref="AX220" ca="1">IFERROR(_xlfn.IFS(OR($M220="",$AS220=""),"",$C220="Joined",($AS220-$M220)-$AT220),"")</f>
        <v>75</v>
      </c>
      <c r="AY220" s="30" t="str">
        <f>IFERROR(IF(COUNTIFS('Candidate Tracker'!$E:$E,'Positions Tracker'!$B220,'Candidate Tracker'!$C:$C,"Offer Drop")=0,"",COUNTIFS('Candidate Tracker'!$E:$E,'Positions Tracker'!$B220,'Candidate Tracker'!$C:$C,"Offer Drop")),"")</f>
        <v/>
      </c>
      <c r="AZ2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0" s="34" t="str">
        <f>IFERROR(IF(COUNTIFS('Candidate Tracker'!$E:$E,'Positions Tracker'!$B220,'Candidate Tracker'!$I:$I,"Female")=0,"",COUNTIFS('Candidate Tracker'!$E:$E,'Positions Tracker'!$B220,'Candidate Tracker'!$I:$I,"Female")),"")</f>
        <v/>
      </c>
      <c r="BB220" s="34" t="str">
        <f>IFERROR(IF(COUNTIFS('Candidate Tracker'!$E:$E,'Positions Tracker'!$B220,'Candidate Tracker'!$I:$I,"male")=0,"",COUNTIFS('Candidate Tracker'!$E:$E,'Positions Tracker'!$B220,'Candidate Tracker'!$I:$I,"male")),"")</f>
        <v/>
      </c>
      <c r="BC220" s="33" t="str">
        <f>IFERROR(IF(COUNTIFS('Candidate Tracker'!$E:$E,'Positions Tracker'!$B220,'Candidate Tracker'!$C:$C,"&lt;&gt;WIP",'Candidate Tracker'!$C:$C,"&lt;&gt;Hold",'Candidate Tracker'!$C:$C,"&lt;&gt;Cancelled",'Candidate Tracker'!$C:$C,"&lt;&gt;Closed")/COUNTIFS('Candidate Tracker'!$E:$E,'Positions Tracker'!$B220)=0,"",COUNTIFS('Candidate Tracker'!$E:$E,'Positions Tracker'!$B220,'Candidate Tracker'!$C:$C,"&lt;&gt;WIP",'Candidate Tracker'!$C:$C,"&lt;&gt;Hold",'Candidate Tracker'!$C:$C,"&lt;&gt;Cancelled",'Candidate Tracker'!$C:$C,"&lt;&gt;Closed")/COUNTIFS('Candidate Tracker'!$E:$E,'Positions Tracker'!$B220)),"")</f>
        <v/>
      </c>
      <c r="BD220" s="30" t="str">
        <f t="shared" si="33"/>
        <v>Jul-25</v>
      </c>
      <c r="BE220" s="30" t="str">
        <f t="shared" si="34"/>
        <v>Aug-25</v>
      </c>
      <c r="BF220" s="30" t="str">
        <f t="shared" si="35"/>
        <v>Aug-25</v>
      </c>
      <c r="BG220" s="30" t="str">
        <f t="shared" si="36"/>
        <v>Oct-25</v>
      </c>
    </row>
    <row r="221" spans="1:59">
      <c r="A221" s="30">
        <f t="shared" si="31"/>
        <v>220</v>
      </c>
      <c r="B221" s="30">
        <v>20255510</v>
      </c>
      <c r="C221" s="30" t="s">
        <v>0</v>
      </c>
      <c r="D221" s="30" t="s">
        <v>3857</v>
      </c>
      <c r="E221" s="30" t="s">
        <v>4395</v>
      </c>
      <c r="F221" s="30" t="s">
        <v>4396</v>
      </c>
      <c r="G221" s="30" t="s">
        <v>1</v>
      </c>
      <c r="H221" s="30" t="s">
        <v>2658</v>
      </c>
      <c r="I221" s="30" t="s">
        <v>4397</v>
      </c>
      <c r="J221" s="30" t="s">
        <v>135</v>
      </c>
      <c r="K221" s="31">
        <v>45846</v>
      </c>
      <c r="L221" s="31">
        <v>45846</v>
      </c>
      <c r="M221" s="31">
        <v>45846</v>
      </c>
      <c r="N221" s="30" t="s">
        <v>4343</v>
      </c>
      <c r="O221" s="31"/>
      <c r="P221" s="31"/>
      <c r="Q221" s="31"/>
      <c r="R221" s="31"/>
      <c r="S221" s="31"/>
      <c r="T221" s="31"/>
      <c r="U221" s="30"/>
      <c r="V221" s="30"/>
      <c r="W221" s="30"/>
      <c r="X221" s="30" t="s">
        <v>63</v>
      </c>
      <c r="Y221" s="30" t="s">
        <v>2408</v>
      </c>
      <c r="Z221" s="30" t="s">
        <v>2408</v>
      </c>
      <c r="AA221" s="30" t="s">
        <v>4398</v>
      </c>
      <c r="AB221" s="30"/>
      <c r="AC221" s="30"/>
      <c r="AD221" s="30"/>
      <c r="AE221" s="30" t="s">
        <v>4399</v>
      </c>
      <c r="AF221" s="30">
        <v>8378998970</v>
      </c>
      <c r="AG221" s="30" t="s">
        <v>4400</v>
      </c>
      <c r="AH221" s="31" t="s">
        <v>55</v>
      </c>
      <c r="AI221" s="31">
        <v>45912</v>
      </c>
      <c r="AJ221" s="31"/>
      <c r="AK221" s="30" t="s">
        <v>63</v>
      </c>
      <c r="AL221" s="30"/>
      <c r="AM221" s="31">
        <v>45903</v>
      </c>
      <c r="AN221" s="31"/>
      <c r="AO221" s="31"/>
      <c r="AP221" s="31"/>
      <c r="AQ221" s="31"/>
      <c r="AR221" s="31"/>
      <c r="AS221" s="31"/>
      <c r="AT221" s="30">
        <f t="shared" ca="1" si="32"/>
        <v>0</v>
      </c>
      <c r="AU221" s="32">
        <f t="shared" ca="1" si="30"/>
        <v>183</v>
      </c>
      <c r="AV221" s="32" t="str" cm="1">
        <f t="array" aca="1" ref="AV221" ca="1">IFERROR(_xlfn.IFS($AU221="","",$AU221&lt;=15,"0-15",AND($AU221&gt;=16,$AU221&lt;=30),"16-30",AND($AU221&gt;=31,$AU221&lt;=45),"31-45",AND($AU221&gt;=46,$AU221&lt;=60),"46-60",AND($AU221&gt;=61,$AU221&lt;=90),"61-90",AND($AU221&gt;=91),"&gt; 90",AND($AU221&gt;=2000),""),"")</f>
        <v>&gt; 90</v>
      </c>
      <c r="AW221" s="32" t="str" cm="1">
        <f t="array" aca="1" ref="AW221" ca="1">IFERROR(_xlfn.IFS(OR($M221="",$AM221=""),"",OR($C221="Offered",$C221="Joined"),($AM221-$M221)-$AT221),"")</f>
        <v/>
      </c>
      <c r="AX221" s="32" t="str" cm="1">
        <f t="array" aca="1" ref="AX221" ca="1">IFERROR(_xlfn.IFS(OR($M221="",$AS221=""),"",$C221="Joined",($AS221-$M221)-$AT221),"")</f>
        <v/>
      </c>
      <c r="AY221" s="30" t="str">
        <f>IFERROR(IF(COUNTIFS('Candidate Tracker'!$E:$E,'Positions Tracker'!$B221,'Candidate Tracker'!$C:$C,"Offer Drop")=0,"",COUNTIFS('Candidate Tracker'!$E:$E,'Positions Tracker'!$B221,'Candidate Tracker'!$C:$C,"Offer Drop")),"")</f>
        <v/>
      </c>
      <c r="AZ2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1" s="34" t="str">
        <f>IFERROR(IF(COUNTIFS('Candidate Tracker'!$E:$E,'Positions Tracker'!$B221,'Candidate Tracker'!$I:$I,"Female")=0,"",COUNTIFS('Candidate Tracker'!$E:$E,'Positions Tracker'!$B221,'Candidate Tracker'!$I:$I,"Female")),"")</f>
        <v/>
      </c>
      <c r="BB221" s="34" t="str">
        <f>IFERROR(IF(COUNTIFS('Candidate Tracker'!$E:$E,'Positions Tracker'!$B221,'Candidate Tracker'!$I:$I,"male")=0,"",COUNTIFS('Candidate Tracker'!$E:$E,'Positions Tracker'!$B221,'Candidate Tracker'!$I:$I,"male")),"")</f>
        <v/>
      </c>
      <c r="BC221" s="33" t="str">
        <f>IFERROR(IF(COUNTIFS('Candidate Tracker'!$E:$E,'Positions Tracker'!$B221,'Candidate Tracker'!$C:$C,"&lt;&gt;WIP",'Candidate Tracker'!$C:$C,"&lt;&gt;Hold",'Candidate Tracker'!$C:$C,"&lt;&gt;Cancelled",'Candidate Tracker'!$C:$C,"&lt;&gt;Closed")/COUNTIFS('Candidate Tracker'!$E:$E,'Positions Tracker'!$B221)=0,"",COUNTIFS('Candidate Tracker'!$E:$E,'Positions Tracker'!$B221,'Candidate Tracker'!$C:$C,"&lt;&gt;WIP",'Candidate Tracker'!$C:$C,"&lt;&gt;Hold",'Candidate Tracker'!$C:$C,"&lt;&gt;Cancelled",'Candidate Tracker'!$C:$C,"&lt;&gt;Closed")/COUNTIFS('Candidate Tracker'!$E:$E,'Positions Tracker'!$B221)),"")</f>
        <v/>
      </c>
      <c r="BD221" s="30" t="str">
        <f t="shared" si="33"/>
        <v>Jul-25</v>
      </c>
      <c r="BE221" s="30" t="str">
        <f t="shared" si="34"/>
        <v>Sep-25</v>
      </c>
      <c r="BF221" s="30" t="str">
        <f t="shared" si="35"/>
        <v>Sep-25</v>
      </c>
      <c r="BG221" s="30" t="str">
        <f t="shared" si="36"/>
        <v/>
      </c>
    </row>
    <row r="222" spans="1:59">
      <c r="A222" s="30">
        <f t="shared" si="31"/>
        <v>221</v>
      </c>
      <c r="B222" s="30">
        <v>20255595</v>
      </c>
      <c r="C222" s="30" t="s">
        <v>0</v>
      </c>
      <c r="D222" s="30" t="s">
        <v>3857</v>
      </c>
      <c r="E222" s="30" t="s">
        <v>4395</v>
      </c>
      <c r="F222" s="30" t="s">
        <v>4401</v>
      </c>
      <c r="G222" s="30" t="s">
        <v>1</v>
      </c>
      <c r="H222" s="30" t="s">
        <v>2658</v>
      </c>
      <c r="I222" s="30" t="s">
        <v>4397</v>
      </c>
      <c r="J222" s="30" t="s">
        <v>4313</v>
      </c>
      <c r="K222" s="31">
        <v>45846</v>
      </c>
      <c r="L222" s="31">
        <v>45846</v>
      </c>
      <c r="M222" s="31">
        <v>45846</v>
      </c>
      <c r="N222" s="30" t="s">
        <v>4343</v>
      </c>
      <c r="O222" s="31"/>
      <c r="P222" s="31"/>
      <c r="Q222" s="31"/>
      <c r="R222" s="31"/>
      <c r="S222" s="31"/>
      <c r="T222" s="31"/>
      <c r="U222" s="30"/>
      <c r="V222" s="30"/>
      <c r="W222" s="30"/>
      <c r="X222" s="30" t="s">
        <v>63</v>
      </c>
      <c r="Y222" s="30" t="s">
        <v>2408</v>
      </c>
      <c r="Z222" s="30" t="s">
        <v>2408</v>
      </c>
      <c r="AA222" s="30" t="s">
        <v>4402</v>
      </c>
      <c r="AB222" s="30"/>
      <c r="AC222" s="30"/>
      <c r="AD222" s="30"/>
      <c r="AE222" s="30" t="s">
        <v>4403</v>
      </c>
      <c r="AF222" s="30">
        <v>8128125983</v>
      </c>
      <c r="AG222" s="30" t="s">
        <v>4404</v>
      </c>
      <c r="AH222" s="31" t="s">
        <v>55</v>
      </c>
      <c r="AI222" s="31">
        <v>45898</v>
      </c>
      <c r="AJ222" s="31"/>
      <c r="AK222" s="30" t="s">
        <v>63</v>
      </c>
      <c r="AL222" s="30">
        <v>1100000</v>
      </c>
      <c r="AM222" s="31">
        <v>45902</v>
      </c>
      <c r="AN222" s="31"/>
      <c r="AO222" s="31"/>
      <c r="AP222" s="31"/>
      <c r="AQ222" s="31"/>
      <c r="AR222" s="31"/>
      <c r="AS222" s="31"/>
      <c r="AT222" s="30">
        <f t="shared" ca="1" si="32"/>
        <v>0</v>
      </c>
      <c r="AU222" s="32">
        <f t="shared" ca="1" si="30"/>
        <v>183</v>
      </c>
      <c r="AV222" s="32" t="str" cm="1">
        <f t="array" aca="1" ref="AV222" ca="1">IFERROR(_xlfn.IFS($AU222="","",$AU222&lt;=15,"0-15",AND($AU222&gt;=16,$AU222&lt;=30),"16-30",AND($AU222&gt;=31,$AU222&lt;=45),"31-45",AND($AU222&gt;=46,$AU222&lt;=60),"46-60",AND($AU222&gt;=61,$AU222&lt;=90),"61-90",AND($AU222&gt;=91),"&gt; 90",AND($AU222&gt;=2000),""),"")</f>
        <v>&gt; 90</v>
      </c>
      <c r="AW222" s="32" t="str" cm="1">
        <f t="array" aca="1" ref="AW222" ca="1">IFERROR(_xlfn.IFS(OR($M222="",$AM222=""),"",OR($C222="Offered",$C222="Joined"),($AM222-$M222)-$AT222),"")</f>
        <v/>
      </c>
      <c r="AX222" s="32" t="str" cm="1">
        <f t="array" aca="1" ref="AX222" ca="1">IFERROR(_xlfn.IFS(OR($M222="",$AS222=""),"",$C222="Joined",($AS222-$M222)-$AT222),"")</f>
        <v/>
      </c>
      <c r="AY222" s="30" t="str">
        <f>IFERROR(IF(COUNTIFS('Candidate Tracker'!$E:$E,'Positions Tracker'!$B222,'Candidate Tracker'!$C:$C,"Offer Drop")=0,"",COUNTIFS('Candidate Tracker'!$E:$E,'Positions Tracker'!$B222,'Candidate Tracker'!$C:$C,"Offer Drop")),"")</f>
        <v/>
      </c>
      <c r="AZ2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2" s="34" t="str">
        <f>IFERROR(IF(COUNTIFS('Candidate Tracker'!$E:$E,'Positions Tracker'!$B222,'Candidate Tracker'!$I:$I,"Female")=0,"",COUNTIFS('Candidate Tracker'!$E:$E,'Positions Tracker'!$B222,'Candidate Tracker'!$I:$I,"Female")),"")</f>
        <v/>
      </c>
      <c r="BB222" s="34" t="str">
        <f>IFERROR(IF(COUNTIFS('Candidate Tracker'!$E:$E,'Positions Tracker'!$B222,'Candidate Tracker'!$I:$I,"male")=0,"",COUNTIFS('Candidate Tracker'!$E:$E,'Positions Tracker'!$B222,'Candidate Tracker'!$I:$I,"male")),"")</f>
        <v/>
      </c>
      <c r="BC222" s="33" t="str">
        <f>IFERROR(IF(COUNTIFS('Candidate Tracker'!$E:$E,'Positions Tracker'!$B222,'Candidate Tracker'!$C:$C,"&lt;&gt;WIP",'Candidate Tracker'!$C:$C,"&lt;&gt;Hold",'Candidate Tracker'!$C:$C,"&lt;&gt;Cancelled",'Candidate Tracker'!$C:$C,"&lt;&gt;Closed")/COUNTIFS('Candidate Tracker'!$E:$E,'Positions Tracker'!$B222)=0,"",COUNTIFS('Candidate Tracker'!$E:$E,'Positions Tracker'!$B222,'Candidate Tracker'!$C:$C,"&lt;&gt;WIP",'Candidate Tracker'!$C:$C,"&lt;&gt;Hold",'Candidate Tracker'!$C:$C,"&lt;&gt;Cancelled",'Candidate Tracker'!$C:$C,"&lt;&gt;Closed")/COUNTIFS('Candidate Tracker'!$E:$E,'Positions Tracker'!$B222)),"")</f>
        <v/>
      </c>
      <c r="BD222" s="30" t="str">
        <f t="shared" si="33"/>
        <v>Jul-25</v>
      </c>
      <c r="BE222" s="30" t="str">
        <f t="shared" si="34"/>
        <v>Aug-25</v>
      </c>
      <c r="BF222" s="30" t="str">
        <f t="shared" si="35"/>
        <v>Sep-25</v>
      </c>
      <c r="BG222" s="30" t="str">
        <f t="shared" si="36"/>
        <v/>
      </c>
    </row>
    <row r="223" spans="1:59">
      <c r="A223" s="30">
        <f t="shared" si="31"/>
        <v>222</v>
      </c>
      <c r="B223" s="30">
        <v>20258326</v>
      </c>
      <c r="C223" s="30" t="s">
        <v>51</v>
      </c>
      <c r="D223" s="30" t="s">
        <v>51</v>
      </c>
      <c r="E223" s="30" t="s">
        <v>3256</v>
      </c>
      <c r="F223" s="30" t="s">
        <v>4375</v>
      </c>
      <c r="G223" s="30" t="s">
        <v>1</v>
      </c>
      <c r="H223" s="30" t="s">
        <v>2409</v>
      </c>
      <c r="I223" s="30" t="s">
        <v>4376</v>
      </c>
      <c r="J223" s="30" t="s">
        <v>4313</v>
      </c>
      <c r="K223" s="31">
        <v>45888</v>
      </c>
      <c r="L223" s="31">
        <v>45888</v>
      </c>
      <c r="M223" s="31">
        <v>45888</v>
      </c>
      <c r="N223" s="30" t="s">
        <v>4289</v>
      </c>
      <c r="O223" s="31"/>
      <c r="P223" s="31"/>
      <c r="Q223" s="31"/>
      <c r="R223" s="31"/>
      <c r="S223" s="31"/>
      <c r="T223" s="31"/>
      <c r="U223" s="30"/>
      <c r="V223" s="30"/>
      <c r="W223" s="30"/>
      <c r="X223" s="30" t="s">
        <v>63</v>
      </c>
      <c r="Y223" s="30" t="s">
        <v>2408</v>
      </c>
      <c r="Z223" s="30" t="s">
        <v>2408</v>
      </c>
      <c r="AA223" s="30" t="s">
        <v>4405</v>
      </c>
      <c r="AB223" s="30"/>
      <c r="AC223" s="30"/>
      <c r="AD223" s="30"/>
      <c r="AE223" s="30" t="s">
        <v>3343</v>
      </c>
      <c r="AF223" s="30">
        <v>9130362727</v>
      </c>
      <c r="AG223" s="30" t="s">
        <v>4406</v>
      </c>
      <c r="AH223" s="31" t="s">
        <v>55</v>
      </c>
      <c r="AI223" s="31">
        <v>45888</v>
      </c>
      <c r="AJ223" s="31">
        <v>45905</v>
      </c>
      <c r="AK223" s="30" t="s">
        <v>63</v>
      </c>
      <c r="AL223" s="30">
        <v>590757</v>
      </c>
      <c r="AM223" s="31">
        <v>45889</v>
      </c>
      <c r="AN223" s="31">
        <v>45905</v>
      </c>
      <c r="AO223" s="31" t="s">
        <v>134</v>
      </c>
      <c r="AP223" s="31">
        <v>45909</v>
      </c>
      <c r="AQ223" s="31">
        <v>45911</v>
      </c>
      <c r="AR223" s="31" t="s">
        <v>134</v>
      </c>
      <c r="AS223" s="31">
        <v>45985</v>
      </c>
      <c r="AT223" s="30">
        <f t="shared" ca="1" si="32"/>
        <v>0</v>
      </c>
      <c r="AU223" s="32" t="str">
        <f t="shared" ca="1" si="30"/>
        <v/>
      </c>
      <c r="AV223" s="32" t="str" cm="1">
        <f t="array" aca="1" ref="AV223" ca="1">IFERROR(_xlfn.IFS($AU223="","",$AU223&lt;=15,"0-15",AND($AU223&gt;=16,$AU223&lt;=30),"16-30",AND($AU223&gt;=31,$AU223&lt;=45),"31-45",AND($AU223&gt;=46,$AU223&lt;=60),"46-60",AND($AU223&gt;=61,$AU223&lt;=90),"61-90",AND($AU223&gt;=91),"&gt; 90",AND($AU223&gt;=2000),""),"")</f>
        <v/>
      </c>
      <c r="AW223" s="32" cm="1">
        <f t="array" aca="1" ref="AW223" ca="1">IFERROR(_xlfn.IFS(OR($M223="",$AM223=""),"",OR($C223="Offered",$C223="Joined"),($AM223-$M223)-$AT223),"")</f>
        <v>1</v>
      </c>
      <c r="AX223" s="32" cm="1">
        <f t="array" aca="1" ref="AX223" ca="1">IFERROR(_xlfn.IFS(OR($M223="",$AS223=""),"",$C223="Joined",($AS223-$M223)-$AT223),"")</f>
        <v>97</v>
      </c>
      <c r="AY223" s="30" t="str">
        <f>IFERROR(IF(COUNTIFS('Candidate Tracker'!$E:$E,'Positions Tracker'!$B223,'Candidate Tracker'!$C:$C,"Offer Drop")=0,"",COUNTIFS('Candidate Tracker'!$E:$E,'Positions Tracker'!$B223,'Candidate Tracker'!$C:$C,"Offer Drop")),"")</f>
        <v/>
      </c>
      <c r="AZ2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3" s="34" t="str">
        <f>IFERROR(IF(COUNTIFS('Candidate Tracker'!$E:$E,'Positions Tracker'!$B223,'Candidate Tracker'!$I:$I,"Female")=0,"",COUNTIFS('Candidate Tracker'!$E:$E,'Positions Tracker'!$B223,'Candidate Tracker'!$I:$I,"Female")),"")</f>
        <v/>
      </c>
      <c r="BB223" s="34" t="str">
        <f>IFERROR(IF(COUNTIFS('Candidate Tracker'!$E:$E,'Positions Tracker'!$B223,'Candidate Tracker'!$I:$I,"male")=0,"",COUNTIFS('Candidate Tracker'!$E:$E,'Positions Tracker'!$B223,'Candidate Tracker'!$I:$I,"male")),"")</f>
        <v/>
      </c>
      <c r="BC223" s="33" t="str">
        <f>IFERROR(IF(COUNTIFS('Candidate Tracker'!$E:$E,'Positions Tracker'!$B223,'Candidate Tracker'!$C:$C,"&lt;&gt;WIP",'Candidate Tracker'!$C:$C,"&lt;&gt;Hold",'Candidate Tracker'!$C:$C,"&lt;&gt;Cancelled",'Candidate Tracker'!$C:$C,"&lt;&gt;Closed")/COUNTIFS('Candidate Tracker'!$E:$E,'Positions Tracker'!$B223)=0,"",COUNTIFS('Candidate Tracker'!$E:$E,'Positions Tracker'!$B223,'Candidate Tracker'!$C:$C,"&lt;&gt;WIP",'Candidate Tracker'!$C:$C,"&lt;&gt;Hold",'Candidate Tracker'!$C:$C,"&lt;&gt;Cancelled",'Candidate Tracker'!$C:$C,"&lt;&gt;Closed")/COUNTIFS('Candidate Tracker'!$E:$E,'Positions Tracker'!$B223)),"")</f>
        <v/>
      </c>
      <c r="BD223" s="30" t="str">
        <f t="shared" si="33"/>
        <v>Aug-25</v>
      </c>
      <c r="BE223" s="30" t="str">
        <f t="shared" si="34"/>
        <v>Aug-25</v>
      </c>
      <c r="BF223" s="30" t="str">
        <f t="shared" si="35"/>
        <v>Aug-25</v>
      </c>
      <c r="BG223" s="30" t="str">
        <f t="shared" si="36"/>
        <v>Nov-25</v>
      </c>
    </row>
    <row r="224" spans="1:59">
      <c r="A224" s="30">
        <f t="shared" si="31"/>
        <v>223</v>
      </c>
      <c r="B224" s="30">
        <v>20257268</v>
      </c>
      <c r="C224" s="30" t="s">
        <v>51</v>
      </c>
      <c r="D224" s="30" t="s">
        <v>51</v>
      </c>
      <c r="E224" s="30" t="s">
        <v>4407</v>
      </c>
      <c r="F224" s="30" t="s">
        <v>4408</v>
      </c>
      <c r="G224" s="30" t="s">
        <v>1</v>
      </c>
      <c r="H224" s="30" t="s">
        <v>2658</v>
      </c>
      <c r="I224" s="30" t="s">
        <v>4308</v>
      </c>
      <c r="J224" s="30" t="s">
        <v>135</v>
      </c>
      <c r="K224" s="31">
        <v>45881</v>
      </c>
      <c r="L224" s="31">
        <v>45881</v>
      </c>
      <c r="M224" s="31">
        <v>45881</v>
      </c>
      <c r="N224" s="30" t="s">
        <v>4277</v>
      </c>
      <c r="O224" s="31"/>
      <c r="P224" s="31"/>
      <c r="Q224" s="31"/>
      <c r="R224" s="31"/>
      <c r="S224" s="31"/>
      <c r="T224" s="31"/>
      <c r="U224" s="30"/>
      <c r="V224" s="30"/>
      <c r="W224" s="30"/>
      <c r="X224" s="30" t="s">
        <v>890</v>
      </c>
      <c r="Y224" s="30" t="s">
        <v>2408</v>
      </c>
      <c r="Z224" s="30" t="s">
        <v>2408</v>
      </c>
      <c r="AA224" s="30" t="s">
        <v>4409</v>
      </c>
      <c r="AB224" s="30"/>
      <c r="AC224" s="30"/>
      <c r="AD224" s="30"/>
      <c r="AE224" s="30" t="s">
        <v>4410</v>
      </c>
      <c r="AF224" s="30">
        <v>9029872019</v>
      </c>
      <c r="AG224" s="30" t="s">
        <v>4411</v>
      </c>
      <c r="AH224" s="31" t="s">
        <v>55</v>
      </c>
      <c r="AI224" s="31">
        <v>45967</v>
      </c>
      <c r="AJ224" s="31">
        <v>45974</v>
      </c>
      <c r="AK224" s="30" t="s">
        <v>890</v>
      </c>
      <c r="AL224" s="30">
        <v>1000003</v>
      </c>
      <c r="AM224" s="31">
        <v>45967</v>
      </c>
      <c r="AN224" s="31">
        <v>45974</v>
      </c>
      <c r="AO224" s="31" t="s">
        <v>134</v>
      </c>
      <c r="AP224" s="31">
        <v>45979</v>
      </c>
      <c r="AQ224" s="31">
        <v>45979</v>
      </c>
      <c r="AR224" s="31" t="s">
        <v>134</v>
      </c>
      <c r="AS224" s="31">
        <v>45985</v>
      </c>
      <c r="AT224" s="30">
        <f t="shared" ca="1" si="32"/>
        <v>0</v>
      </c>
      <c r="AU224" s="32" t="str">
        <f t="shared" ca="1" si="30"/>
        <v/>
      </c>
      <c r="AV224" s="32" t="str" cm="1">
        <f t="array" aca="1" ref="AV224" ca="1">IFERROR(_xlfn.IFS($AU224="","",$AU224&lt;=15,"0-15",AND($AU224&gt;=16,$AU224&lt;=30),"16-30",AND($AU224&gt;=31,$AU224&lt;=45),"31-45",AND($AU224&gt;=46,$AU224&lt;=60),"46-60",AND($AU224&gt;=61,$AU224&lt;=90),"61-90",AND($AU224&gt;=91),"&gt; 90",AND($AU224&gt;=2000),""),"")</f>
        <v/>
      </c>
      <c r="AW224" s="32" cm="1">
        <f t="array" aca="1" ref="AW224" ca="1">IFERROR(_xlfn.IFS(OR($M224="",$AM224=""),"",OR($C224="Offered",$C224="Joined"),($AM224-$M224)-$AT224),"")</f>
        <v>86</v>
      </c>
      <c r="AX224" s="32" cm="1">
        <f t="array" aca="1" ref="AX224" ca="1">IFERROR(_xlfn.IFS(OR($M224="",$AS224=""),"",$C224="Joined",($AS224-$M224)-$AT224),"")</f>
        <v>104</v>
      </c>
      <c r="AY224" s="30" t="str">
        <f>IFERROR(IF(COUNTIFS('Candidate Tracker'!$E:$E,'Positions Tracker'!$B224,'Candidate Tracker'!$C:$C,"Offer Drop")=0,"",COUNTIFS('Candidate Tracker'!$E:$E,'Positions Tracker'!$B224,'Candidate Tracker'!$C:$C,"Offer Drop")),"")</f>
        <v/>
      </c>
      <c r="AZ2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4" s="34" t="str">
        <f>IFERROR(IF(COUNTIFS('Candidate Tracker'!$E:$E,'Positions Tracker'!$B224,'Candidate Tracker'!$I:$I,"Female")=0,"",COUNTIFS('Candidate Tracker'!$E:$E,'Positions Tracker'!$B224,'Candidate Tracker'!$I:$I,"Female")),"")</f>
        <v/>
      </c>
      <c r="BB224" s="34" t="str">
        <f>IFERROR(IF(COUNTIFS('Candidate Tracker'!$E:$E,'Positions Tracker'!$B224,'Candidate Tracker'!$I:$I,"male")=0,"",COUNTIFS('Candidate Tracker'!$E:$E,'Positions Tracker'!$B224,'Candidate Tracker'!$I:$I,"male")),"")</f>
        <v/>
      </c>
      <c r="BC224" s="33" t="str">
        <f>IFERROR(IF(COUNTIFS('Candidate Tracker'!$E:$E,'Positions Tracker'!$B224,'Candidate Tracker'!$C:$C,"&lt;&gt;WIP",'Candidate Tracker'!$C:$C,"&lt;&gt;Hold",'Candidate Tracker'!$C:$C,"&lt;&gt;Cancelled",'Candidate Tracker'!$C:$C,"&lt;&gt;Closed")/COUNTIFS('Candidate Tracker'!$E:$E,'Positions Tracker'!$B224)=0,"",COUNTIFS('Candidate Tracker'!$E:$E,'Positions Tracker'!$B224,'Candidate Tracker'!$C:$C,"&lt;&gt;WIP",'Candidate Tracker'!$C:$C,"&lt;&gt;Hold",'Candidate Tracker'!$C:$C,"&lt;&gt;Cancelled",'Candidate Tracker'!$C:$C,"&lt;&gt;Closed")/COUNTIFS('Candidate Tracker'!$E:$E,'Positions Tracker'!$B224)),"")</f>
        <v/>
      </c>
      <c r="BD224" s="30" t="str">
        <f t="shared" si="33"/>
        <v>Aug-25</v>
      </c>
      <c r="BE224" s="30" t="str">
        <f t="shared" si="34"/>
        <v>Nov-25</v>
      </c>
      <c r="BF224" s="30" t="str">
        <f t="shared" si="35"/>
        <v>Nov-25</v>
      </c>
      <c r="BG224" s="30" t="str">
        <f t="shared" si="36"/>
        <v>Nov-25</v>
      </c>
    </row>
    <row r="225" spans="1:59" ht="43.5">
      <c r="A225" s="30">
        <f t="shared" si="31"/>
        <v>224</v>
      </c>
      <c r="B225" s="30">
        <v>20258047</v>
      </c>
      <c r="C225" s="30" t="s">
        <v>2</v>
      </c>
      <c r="D225" s="30" t="s">
        <v>1475</v>
      </c>
      <c r="E225" s="30" t="s">
        <v>4412</v>
      </c>
      <c r="F225" s="30" t="s">
        <v>2959</v>
      </c>
      <c r="G225" s="30" t="s">
        <v>3</v>
      </c>
      <c r="H225" s="30" t="s">
        <v>66</v>
      </c>
      <c r="I225" s="30" t="s">
        <v>1052</v>
      </c>
      <c r="J225" s="30"/>
      <c r="K225" s="31">
        <v>45889</v>
      </c>
      <c r="L225" s="31">
        <v>45889</v>
      </c>
      <c r="M225" s="31">
        <v>45894</v>
      </c>
      <c r="N225" s="30" t="s">
        <v>3892</v>
      </c>
      <c r="O225" s="31"/>
      <c r="P225" s="31"/>
      <c r="Q225" s="31"/>
      <c r="R225" s="31"/>
      <c r="S225" s="31"/>
      <c r="T225" s="31"/>
      <c r="U225" s="30"/>
      <c r="V225" s="30"/>
      <c r="W225" s="30"/>
      <c r="X225" s="30" t="s">
        <v>63</v>
      </c>
      <c r="Y225" s="30" t="s">
        <v>2679</v>
      </c>
      <c r="Z225" s="30" t="s">
        <v>2679</v>
      </c>
      <c r="AA225" s="160" t="s">
        <v>4413</v>
      </c>
      <c r="AB225" s="30"/>
      <c r="AC225" s="30"/>
      <c r="AD225" s="30"/>
      <c r="AE225" s="30"/>
      <c r="AF225" s="30"/>
      <c r="AG225" s="30"/>
      <c r="AH225" s="31"/>
      <c r="AI225" s="31"/>
      <c r="AJ225" s="31"/>
      <c r="AK225" s="30"/>
      <c r="AL225" s="30"/>
      <c r="AM225" s="31"/>
      <c r="AN225" s="31"/>
      <c r="AO225" s="31"/>
      <c r="AP225" s="31"/>
      <c r="AQ225" s="31"/>
      <c r="AR225" s="31"/>
      <c r="AS225" s="31"/>
      <c r="AT225" s="30">
        <f t="shared" ca="1" si="32"/>
        <v>0</v>
      </c>
      <c r="AU225" s="32">
        <f t="shared" ca="1" si="30"/>
        <v>135</v>
      </c>
      <c r="AV225" s="32" t="str" cm="1">
        <f t="array" aca="1" ref="AV225" ca="1">IFERROR(_xlfn.IFS($AU225="","",$AU225&lt;=15,"0-15",AND($AU225&gt;=16,$AU225&lt;=30),"16-30",AND($AU225&gt;=31,$AU225&lt;=45),"31-45",AND($AU225&gt;=46,$AU225&lt;=60),"46-60",AND($AU225&gt;=61,$AU225&lt;=90),"61-90",AND($AU225&gt;=91),"&gt; 90",AND($AU225&gt;=2000),""),"")</f>
        <v>&gt; 90</v>
      </c>
      <c r="AW225" s="32" t="str" cm="1">
        <f t="array" aca="1" ref="AW225" ca="1">IFERROR(_xlfn.IFS(OR($M225="",$AM225=""),"",OR($C225="Offered",$C225="Joined"),($AM225-$M225)-$AT225),"")</f>
        <v/>
      </c>
      <c r="AX225" s="32" t="str" cm="1">
        <f t="array" aca="1" ref="AX225" ca="1">IFERROR(_xlfn.IFS(OR($M225="",$AS225=""),"",$C225="Joined",($AS225-$M225)-$AT225),"")</f>
        <v/>
      </c>
      <c r="AY225" s="30" t="str">
        <f>IFERROR(IF(COUNTIFS('Candidate Tracker'!$E:$E,'Positions Tracker'!$B225,'Candidate Tracker'!$C:$C,"Offer Drop")=0,"",COUNTIFS('Candidate Tracker'!$E:$E,'Positions Tracker'!$B225,'Candidate Tracker'!$C:$C,"Offer Drop")),"")</f>
        <v/>
      </c>
      <c r="AZ2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5" s="34" t="str">
        <f>IFERROR(IF(COUNTIFS('Candidate Tracker'!$E:$E,'Positions Tracker'!$B225,'Candidate Tracker'!$I:$I,"Female")=0,"",COUNTIFS('Candidate Tracker'!$E:$E,'Positions Tracker'!$B225,'Candidate Tracker'!$I:$I,"Female")),"")</f>
        <v/>
      </c>
      <c r="BB225" s="34" t="str">
        <f>IFERROR(IF(COUNTIFS('Candidate Tracker'!$E:$E,'Positions Tracker'!$B225,'Candidate Tracker'!$I:$I,"male")=0,"",COUNTIFS('Candidate Tracker'!$E:$E,'Positions Tracker'!$B225,'Candidate Tracker'!$I:$I,"male")),"")</f>
        <v/>
      </c>
      <c r="BC225" s="33" t="str">
        <f>IFERROR(IF(COUNTIFS('Candidate Tracker'!$E:$E,'Positions Tracker'!$B225,'Candidate Tracker'!$C:$C,"&lt;&gt;WIP",'Candidate Tracker'!$C:$C,"&lt;&gt;Hold",'Candidate Tracker'!$C:$C,"&lt;&gt;Cancelled",'Candidate Tracker'!$C:$C,"&lt;&gt;Closed")/COUNTIFS('Candidate Tracker'!$E:$E,'Positions Tracker'!$B225)=0,"",COUNTIFS('Candidate Tracker'!$E:$E,'Positions Tracker'!$B225,'Candidate Tracker'!$C:$C,"&lt;&gt;WIP",'Candidate Tracker'!$C:$C,"&lt;&gt;Hold",'Candidate Tracker'!$C:$C,"&lt;&gt;Cancelled",'Candidate Tracker'!$C:$C,"&lt;&gt;Closed")/COUNTIFS('Candidate Tracker'!$E:$E,'Positions Tracker'!$B225)),"")</f>
        <v/>
      </c>
      <c r="BD225" s="30" t="str">
        <f t="shared" si="33"/>
        <v>Aug-25</v>
      </c>
      <c r="BE225" s="30" t="str">
        <f t="shared" si="34"/>
        <v/>
      </c>
      <c r="BF225" s="30" t="str">
        <f t="shared" si="35"/>
        <v/>
      </c>
      <c r="BG225" s="30" t="str">
        <f t="shared" si="36"/>
        <v/>
      </c>
    </row>
    <row r="226" spans="1:59">
      <c r="A226" s="30">
        <f t="shared" si="31"/>
        <v>225</v>
      </c>
      <c r="B226" s="30">
        <v>20258148</v>
      </c>
      <c r="C226" s="30" t="s">
        <v>3847</v>
      </c>
      <c r="D226" s="30" t="s">
        <v>1920</v>
      </c>
      <c r="E226" s="30" t="s">
        <v>4414</v>
      </c>
      <c r="F226" s="30"/>
      <c r="G226" s="30" t="s">
        <v>3</v>
      </c>
      <c r="H226" s="30" t="s">
        <v>3918</v>
      </c>
      <c r="I226" s="30" t="s">
        <v>4415</v>
      </c>
      <c r="J226" s="30"/>
      <c r="K226" s="31">
        <v>45895</v>
      </c>
      <c r="L226" s="31">
        <v>45895</v>
      </c>
      <c r="M226" s="31">
        <v>45895</v>
      </c>
      <c r="N226" s="30" t="s">
        <v>4343</v>
      </c>
      <c r="O226" s="31"/>
      <c r="P226" s="31"/>
      <c r="Q226" s="31"/>
      <c r="R226" s="31"/>
      <c r="S226" s="31"/>
      <c r="T226" s="31"/>
      <c r="U226" s="30"/>
      <c r="V226" s="30"/>
      <c r="W226" s="30"/>
      <c r="X226" s="30" t="s">
        <v>63</v>
      </c>
      <c r="Y226" s="30" t="s">
        <v>2679</v>
      </c>
      <c r="Z226" s="30" t="s">
        <v>2679</v>
      </c>
      <c r="AA226" s="30"/>
      <c r="AB226" s="30"/>
      <c r="AC226" s="30"/>
      <c r="AD226" s="30"/>
      <c r="AE226" s="30"/>
      <c r="AF226" s="30"/>
      <c r="AG226" s="30"/>
      <c r="AH226" s="31"/>
      <c r="AI226" s="31"/>
      <c r="AJ226" s="31"/>
      <c r="AK226" s="30"/>
      <c r="AL226" s="30"/>
      <c r="AM226" s="31"/>
      <c r="AN226" s="31"/>
      <c r="AO226" s="31"/>
      <c r="AP226" s="31"/>
      <c r="AQ226" s="31"/>
      <c r="AR226" s="31"/>
      <c r="AS226" s="31"/>
      <c r="AT226" s="30">
        <f t="shared" ca="1" si="32"/>
        <v>0</v>
      </c>
      <c r="AU226" s="32" t="str">
        <f t="shared" ca="1" si="30"/>
        <v/>
      </c>
      <c r="AV226" s="32" t="str" cm="1">
        <f t="array" aca="1" ref="AV226" ca="1">IFERROR(_xlfn.IFS($AU226="","",$AU226&lt;=15,"0-15",AND($AU226&gt;=16,$AU226&lt;=30),"16-30",AND($AU226&gt;=31,$AU226&lt;=45),"31-45",AND($AU226&gt;=46,$AU226&lt;=60),"46-60",AND($AU226&gt;=61,$AU226&lt;=90),"61-90",AND($AU226&gt;=91),"&gt; 90",AND($AU226&gt;=2000),""),"")</f>
        <v/>
      </c>
      <c r="AW226" s="32" t="str" cm="1">
        <f t="array" aca="1" ref="AW226" ca="1">IFERROR(_xlfn.IFS(OR($M226="",$AM226=""),"",OR($C226="Offered",$C226="Joined"),($AM226-$M226)-$AT226),"")</f>
        <v/>
      </c>
      <c r="AX226" s="32" t="str" cm="1">
        <f t="array" aca="1" ref="AX226" ca="1">IFERROR(_xlfn.IFS(OR($M226="",$AS226=""),"",$C226="Joined",($AS226-$M226)-$AT226),"")</f>
        <v/>
      </c>
      <c r="AY226" s="30" t="str">
        <f>IFERROR(IF(COUNTIFS('Candidate Tracker'!$E:$E,'Positions Tracker'!$B226,'Candidate Tracker'!$C:$C,"Offer Drop")=0,"",COUNTIFS('Candidate Tracker'!$E:$E,'Positions Tracker'!$B226,'Candidate Tracker'!$C:$C,"Offer Drop")),"")</f>
        <v/>
      </c>
      <c r="AZ2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6" s="34" t="str">
        <f>IFERROR(IF(COUNTIFS('Candidate Tracker'!$E:$E,'Positions Tracker'!$B226,'Candidate Tracker'!$I:$I,"Female")=0,"",COUNTIFS('Candidate Tracker'!$E:$E,'Positions Tracker'!$B226,'Candidate Tracker'!$I:$I,"Female")),"")</f>
        <v/>
      </c>
      <c r="BB226" s="34" t="str">
        <f>IFERROR(IF(COUNTIFS('Candidate Tracker'!$E:$E,'Positions Tracker'!$B226,'Candidate Tracker'!$I:$I,"male")=0,"",COUNTIFS('Candidate Tracker'!$E:$E,'Positions Tracker'!$B226,'Candidate Tracker'!$I:$I,"male")),"")</f>
        <v/>
      </c>
      <c r="BC226" s="33" t="str">
        <f>IFERROR(IF(COUNTIFS('Candidate Tracker'!$E:$E,'Positions Tracker'!$B226,'Candidate Tracker'!$C:$C,"&lt;&gt;WIP",'Candidate Tracker'!$C:$C,"&lt;&gt;Hold",'Candidate Tracker'!$C:$C,"&lt;&gt;Cancelled",'Candidate Tracker'!$C:$C,"&lt;&gt;Closed")/COUNTIFS('Candidate Tracker'!$E:$E,'Positions Tracker'!$B226)=0,"",COUNTIFS('Candidate Tracker'!$E:$E,'Positions Tracker'!$B226,'Candidate Tracker'!$C:$C,"&lt;&gt;WIP",'Candidate Tracker'!$C:$C,"&lt;&gt;Hold",'Candidate Tracker'!$C:$C,"&lt;&gt;Cancelled",'Candidate Tracker'!$C:$C,"&lt;&gt;Closed")/COUNTIFS('Candidate Tracker'!$E:$E,'Positions Tracker'!$B226)),"")</f>
        <v/>
      </c>
      <c r="BD226" s="30" t="str">
        <f t="shared" si="33"/>
        <v>Aug-25</v>
      </c>
      <c r="BE226" s="30" t="str">
        <f t="shared" si="34"/>
        <v/>
      </c>
      <c r="BF226" s="30" t="str">
        <f t="shared" si="35"/>
        <v/>
      </c>
      <c r="BG226" s="30" t="str">
        <f t="shared" si="36"/>
        <v/>
      </c>
    </row>
    <row r="227" spans="1:59">
      <c r="A227" s="162">
        <f t="shared" si="31"/>
        <v>226</v>
      </c>
      <c r="B227" s="162">
        <v>20257157</v>
      </c>
      <c r="C227" s="162" t="s">
        <v>3847</v>
      </c>
      <c r="D227" s="162" t="s">
        <v>1920</v>
      </c>
      <c r="E227" s="162" t="s">
        <v>4352</v>
      </c>
      <c r="F227" s="162" t="s">
        <v>4375</v>
      </c>
      <c r="G227" s="162" t="s">
        <v>1</v>
      </c>
      <c r="H227" s="162" t="s">
        <v>4333</v>
      </c>
      <c r="I227" s="162" t="s">
        <v>4416</v>
      </c>
      <c r="J227" s="162" t="s">
        <v>135</v>
      </c>
      <c r="K227" s="173">
        <v>45874</v>
      </c>
      <c r="L227" s="173">
        <v>45874</v>
      </c>
      <c r="M227" s="173">
        <v>45874</v>
      </c>
      <c r="N227" s="162" t="s">
        <v>3897</v>
      </c>
      <c r="O227" s="173"/>
      <c r="P227" s="173"/>
      <c r="Q227" s="173"/>
      <c r="R227" s="173"/>
      <c r="S227" s="173"/>
      <c r="T227" s="173"/>
      <c r="U227" s="162"/>
      <c r="V227" s="162"/>
      <c r="W227" s="162"/>
      <c r="X227" s="162" t="s">
        <v>63</v>
      </c>
      <c r="Y227" s="162" t="s">
        <v>2408</v>
      </c>
      <c r="Z227" s="162" t="s">
        <v>2408</v>
      </c>
      <c r="AA227" s="30" t="s">
        <v>4417</v>
      </c>
      <c r="AB227" s="30"/>
      <c r="AC227" s="30"/>
      <c r="AD227" s="30"/>
      <c r="AE227" s="30"/>
      <c r="AF227" s="30"/>
      <c r="AG227" s="30"/>
      <c r="AH227" s="31"/>
      <c r="AI227" s="31"/>
      <c r="AJ227" s="31"/>
      <c r="AK227" s="30"/>
      <c r="AL227" s="30"/>
      <c r="AM227" s="31"/>
      <c r="AN227" s="31"/>
      <c r="AO227" s="31"/>
      <c r="AP227" s="31"/>
      <c r="AQ227" s="31"/>
      <c r="AR227" s="31"/>
      <c r="AS227" s="31"/>
      <c r="AT227" s="30">
        <f t="shared" ca="1" si="32"/>
        <v>0</v>
      </c>
      <c r="AU227" s="32" t="str">
        <f t="shared" ca="1" si="30"/>
        <v/>
      </c>
      <c r="AV227" s="32" t="str" cm="1">
        <f t="array" aca="1" ref="AV227" ca="1">IFERROR(_xlfn.IFS($AU227="","",$AU227&lt;=15,"0-15",AND($AU227&gt;=16,$AU227&lt;=30),"16-30",AND($AU227&gt;=31,$AU227&lt;=45),"31-45",AND($AU227&gt;=46,$AU227&lt;=60),"46-60",AND($AU227&gt;=61,$AU227&lt;=90),"61-90",AND($AU227&gt;=91),"&gt; 90",AND($AU227&gt;=2000),""),"")</f>
        <v/>
      </c>
      <c r="AW227" s="32" t="str" cm="1">
        <f t="array" aca="1" ref="AW227" ca="1">IFERROR(_xlfn.IFS(OR($M227="",$AM227=""),"",OR($C227="Offered",$C227="Joined"),($AM227-$M227)-$AT227),"")</f>
        <v/>
      </c>
      <c r="AX227" s="32" t="str" cm="1">
        <f t="array" aca="1" ref="AX227" ca="1">IFERROR(_xlfn.IFS(OR($M227="",$AS227=""),"",$C227="Joined",($AS227-$M227)-$AT227),"")</f>
        <v/>
      </c>
      <c r="AY227" s="30" t="str">
        <f>IFERROR(IF(COUNTIFS('Candidate Tracker'!$E:$E,'Positions Tracker'!$B227,'Candidate Tracker'!$C:$C,"Offer Drop")=0,"",COUNTIFS('Candidate Tracker'!$E:$E,'Positions Tracker'!$B227,'Candidate Tracker'!$C:$C,"Offer Drop")),"")</f>
        <v/>
      </c>
      <c r="AZ2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7" s="34" t="str">
        <f>IFERROR(IF(COUNTIFS('Candidate Tracker'!$E:$E,'Positions Tracker'!$B227,'Candidate Tracker'!$I:$I,"Female")=0,"",COUNTIFS('Candidate Tracker'!$E:$E,'Positions Tracker'!$B227,'Candidate Tracker'!$I:$I,"Female")),"")</f>
        <v/>
      </c>
      <c r="BB227" s="34" t="str">
        <f>IFERROR(IF(COUNTIFS('Candidate Tracker'!$E:$E,'Positions Tracker'!$B227,'Candidate Tracker'!$I:$I,"male")=0,"",COUNTIFS('Candidate Tracker'!$E:$E,'Positions Tracker'!$B227,'Candidate Tracker'!$I:$I,"male")),"")</f>
        <v/>
      </c>
      <c r="BC227" s="33" t="str">
        <f>IFERROR(IF(COUNTIFS('Candidate Tracker'!$E:$E,'Positions Tracker'!$B227,'Candidate Tracker'!$C:$C,"&lt;&gt;WIP",'Candidate Tracker'!$C:$C,"&lt;&gt;Hold",'Candidate Tracker'!$C:$C,"&lt;&gt;Cancelled",'Candidate Tracker'!$C:$C,"&lt;&gt;Closed")/COUNTIFS('Candidate Tracker'!$E:$E,'Positions Tracker'!$B227)=0,"",COUNTIFS('Candidate Tracker'!$E:$E,'Positions Tracker'!$B227,'Candidate Tracker'!$C:$C,"&lt;&gt;WIP",'Candidate Tracker'!$C:$C,"&lt;&gt;Hold",'Candidate Tracker'!$C:$C,"&lt;&gt;Cancelled",'Candidate Tracker'!$C:$C,"&lt;&gt;Closed")/COUNTIFS('Candidate Tracker'!$E:$E,'Positions Tracker'!$B227)),"")</f>
        <v/>
      </c>
      <c r="BD227" s="30" t="str">
        <f t="shared" si="33"/>
        <v>Aug-25</v>
      </c>
      <c r="BE227" s="30" t="str">
        <f t="shared" si="34"/>
        <v/>
      </c>
      <c r="BF227" s="30" t="str">
        <f t="shared" si="35"/>
        <v/>
      </c>
      <c r="BG227" s="30" t="str">
        <f t="shared" si="36"/>
        <v/>
      </c>
    </row>
    <row r="228" spans="1:59" ht="29">
      <c r="A228" s="30">
        <f t="shared" si="31"/>
        <v>227</v>
      </c>
      <c r="B228" s="30">
        <v>20258230</v>
      </c>
      <c r="C228" s="30" t="s">
        <v>2</v>
      </c>
      <c r="D228" s="30" t="s">
        <v>1056</v>
      </c>
      <c r="E228" s="30" t="s">
        <v>4418</v>
      </c>
      <c r="F228" s="30" t="s">
        <v>4341</v>
      </c>
      <c r="G228" s="30" t="s">
        <v>1</v>
      </c>
      <c r="H228" s="30" t="s">
        <v>2409</v>
      </c>
      <c r="I228" s="160" t="s">
        <v>4419</v>
      </c>
      <c r="J228" s="30" t="s">
        <v>135</v>
      </c>
      <c r="K228" s="31">
        <v>45958</v>
      </c>
      <c r="L228" s="31">
        <v>45958</v>
      </c>
      <c r="M228" s="31">
        <v>45958</v>
      </c>
      <c r="N228" s="30" t="s">
        <v>4289</v>
      </c>
      <c r="O228" s="31"/>
      <c r="P228" s="31"/>
      <c r="Q228" s="31"/>
      <c r="R228" s="31"/>
      <c r="S228" s="31"/>
      <c r="T228" s="31"/>
      <c r="U228" s="30"/>
      <c r="V228" s="30"/>
      <c r="W228" s="30"/>
      <c r="X228" s="30" t="s">
        <v>63</v>
      </c>
      <c r="Y228" s="30" t="s">
        <v>2408</v>
      </c>
      <c r="Z228" s="30" t="s">
        <v>2679</v>
      </c>
      <c r="AA228" s="230" t="s">
        <v>4420</v>
      </c>
      <c r="AB228" s="30"/>
      <c r="AC228" s="30"/>
      <c r="AD228" s="30"/>
      <c r="AE228" s="30"/>
      <c r="AF228" s="30"/>
      <c r="AG228" s="30"/>
      <c r="AH228" s="31"/>
      <c r="AI228" s="31"/>
      <c r="AJ228" s="31"/>
      <c r="AK228" s="30"/>
      <c r="AL228" s="30"/>
      <c r="AM228" s="31"/>
      <c r="AN228" s="31"/>
      <c r="AO228" s="31"/>
      <c r="AP228" s="31"/>
      <c r="AQ228" s="31"/>
      <c r="AR228" s="31"/>
      <c r="AS228" s="31"/>
      <c r="AT228" s="30"/>
      <c r="AU228" s="32"/>
      <c r="AV228" s="32"/>
      <c r="AW228" s="32"/>
      <c r="AX228" s="32"/>
      <c r="AY228" s="30"/>
      <c r="AZ228" s="33"/>
      <c r="BA228" s="34"/>
      <c r="BB228" s="34"/>
      <c r="BC228" s="33"/>
      <c r="BD228" s="30"/>
      <c r="BE228" s="30"/>
      <c r="BF228" s="30"/>
      <c r="BG228" s="30"/>
    </row>
    <row r="229" spans="1:59">
      <c r="A229" s="169">
        <f t="shared" si="31"/>
        <v>228</v>
      </c>
      <c r="B229" s="169">
        <v>20258603</v>
      </c>
      <c r="C229" s="169" t="s">
        <v>3847</v>
      </c>
      <c r="D229" s="169" t="s">
        <v>1920</v>
      </c>
      <c r="E229" s="169" t="s">
        <v>4421</v>
      </c>
      <c r="F229" s="169" t="s">
        <v>4422</v>
      </c>
      <c r="G229" s="169" t="s">
        <v>3</v>
      </c>
      <c r="H229" s="169" t="s">
        <v>66</v>
      </c>
      <c r="I229" s="169" t="s">
        <v>160</v>
      </c>
      <c r="J229" s="169"/>
      <c r="K229" s="174">
        <v>45897</v>
      </c>
      <c r="L229" s="174">
        <v>45897</v>
      </c>
      <c r="M229" s="174">
        <v>45901</v>
      </c>
      <c r="N229" s="169" t="s">
        <v>3892</v>
      </c>
      <c r="O229" s="174"/>
      <c r="P229" s="174"/>
      <c r="Q229" s="174"/>
      <c r="R229" s="174"/>
      <c r="S229" s="174"/>
      <c r="T229" s="174"/>
      <c r="U229" s="169"/>
      <c r="V229" s="169"/>
      <c r="W229" s="169"/>
      <c r="X229" s="169" t="s">
        <v>63</v>
      </c>
      <c r="Y229" s="169" t="s">
        <v>2679</v>
      </c>
      <c r="Z229" s="169" t="s">
        <v>2679</v>
      </c>
      <c r="AA229" s="30" t="s">
        <v>4423</v>
      </c>
      <c r="AB229" s="30"/>
      <c r="AC229" s="30"/>
      <c r="AD229" s="30"/>
      <c r="AE229" s="30"/>
      <c r="AF229" s="30"/>
      <c r="AG229" s="30"/>
      <c r="AH229" s="31"/>
      <c r="AI229" s="31"/>
      <c r="AJ229" s="31"/>
      <c r="AK229" s="30"/>
      <c r="AL229" s="30"/>
      <c r="AM229" s="31"/>
      <c r="AN229" s="31"/>
      <c r="AO229" s="31"/>
      <c r="AP229" s="31"/>
      <c r="AQ229" s="31"/>
      <c r="AR229" s="31"/>
      <c r="AS229" s="31"/>
      <c r="AT229" s="30">
        <f t="shared" ca="1" si="32"/>
        <v>0</v>
      </c>
      <c r="AU229" s="32" t="str">
        <f t="shared" ca="1" si="30"/>
        <v/>
      </c>
      <c r="AV229" s="32" t="str" cm="1">
        <f t="array" aca="1" ref="AV229" ca="1">IFERROR(_xlfn.IFS($AU229="","",$AU229&lt;=15,"0-15",AND($AU229&gt;=16,$AU229&lt;=30),"16-30",AND($AU229&gt;=31,$AU229&lt;=45),"31-45",AND($AU229&gt;=46,$AU229&lt;=60),"46-60",AND($AU229&gt;=61,$AU229&lt;=90),"61-90",AND($AU229&gt;=91),"&gt; 90",AND($AU229&gt;=2000),""),"")</f>
        <v/>
      </c>
      <c r="AW229" s="32" t="str" cm="1">
        <f t="array" aca="1" ref="AW229" ca="1">IFERROR(_xlfn.IFS(OR($M229="",$AM229=""),"",OR($C229="Offered",$C229="Joined"),($AM229-$M229)-$AT229),"")</f>
        <v/>
      </c>
      <c r="AX229" s="32" t="str" cm="1">
        <f t="array" aca="1" ref="AX229" ca="1">IFERROR(_xlfn.IFS(OR($M229="",$AS229=""),"",$C229="Joined",($AS229-$M229)-$AT229),"")</f>
        <v/>
      </c>
      <c r="AY229" s="30" t="str">
        <f>IFERROR(IF(COUNTIFS('Candidate Tracker'!$E:$E,'Positions Tracker'!$B229,'Candidate Tracker'!$C:$C,"Offer Drop")=0,"",COUNTIFS('Candidate Tracker'!$E:$E,'Positions Tracker'!$B229,'Candidate Tracker'!$C:$C,"Offer Drop")),"")</f>
        <v/>
      </c>
      <c r="AZ2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29" s="34" t="str">
        <f>IFERROR(IF(COUNTIFS('Candidate Tracker'!$E:$E,'Positions Tracker'!$B229,'Candidate Tracker'!$I:$I,"Female")=0,"",COUNTIFS('Candidate Tracker'!$E:$E,'Positions Tracker'!$B229,'Candidate Tracker'!$I:$I,"Female")),"")</f>
        <v/>
      </c>
      <c r="BB229" s="34" t="str">
        <f>IFERROR(IF(COUNTIFS('Candidate Tracker'!$E:$E,'Positions Tracker'!$B229,'Candidate Tracker'!$I:$I,"male")=0,"",COUNTIFS('Candidate Tracker'!$E:$E,'Positions Tracker'!$B229,'Candidate Tracker'!$I:$I,"male")),"")</f>
        <v/>
      </c>
      <c r="BC229" s="33" t="str">
        <f>IFERROR(IF(COUNTIFS('Candidate Tracker'!$E:$E,'Positions Tracker'!$B229,'Candidate Tracker'!$C:$C,"&lt;&gt;WIP",'Candidate Tracker'!$C:$C,"&lt;&gt;Hold",'Candidate Tracker'!$C:$C,"&lt;&gt;Cancelled",'Candidate Tracker'!$C:$C,"&lt;&gt;Closed")/COUNTIFS('Candidate Tracker'!$E:$E,'Positions Tracker'!$B229)=0,"",COUNTIFS('Candidate Tracker'!$E:$E,'Positions Tracker'!$B229,'Candidate Tracker'!$C:$C,"&lt;&gt;WIP",'Candidate Tracker'!$C:$C,"&lt;&gt;Hold",'Candidate Tracker'!$C:$C,"&lt;&gt;Cancelled",'Candidate Tracker'!$C:$C,"&lt;&gt;Closed")/COUNTIFS('Candidate Tracker'!$E:$E,'Positions Tracker'!$B229)),"")</f>
        <v/>
      </c>
      <c r="BD229" s="30" t="str">
        <f t="shared" si="33"/>
        <v>Sep-25</v>
      </c>
      <c r="BE229" s="30" t="str">
        <f t="shared" si="34"/>
        <v/>
      </c>
      <c r="BF229" s="30" t="str">
        <f t="shared" si="35"/>
        <v/>
      </c>
      <c r="BG229" s="30" t="str">
        <f t="shared" si="36"/>
        <v/>
      </c>
    </row>
    <row r="230" spans="1:59" ht="58">
      <c r="A230" s="30">
        <f t="shared" si="31"/>
        <v>229</v>
      </c>
      <c r="B230" s="30">
        <v>20258602</v>
      </c>
      <c r="C230" s="30" t="s">
        <v>0</v>
      </c>
      <c r="D230" s="30" t="s">
        <v>3857</v>
      </c>
      <c r="E230" s="30" t="s">
        <v>432</v>
      </c>
      <c r="F230" s="30" t="s">
        <v>2959</v>
      </c>
      <c r="G230" s="30" t="s">
        <v>3</v>
      </c>
      <c r="H230" s="30" t="s">
        <v>66</v>
      </c>
      <c r="I230" s="30" t="s">
        <v>160</v>
      </c>
      <c r="J230" s="30"/>
      <c r="K230" s="31">
        <v>45905</v>
      </c>
      <c r="L230" s="31">
        <v>45911</v>
      </c>
      <c r="M230" s="31">
        <v>45915</v>
      </c>
      <c r="N230" s="30" t="s">
        <v>3892</v>
      </c>
      <c r="O230" s="31"/>
      <c r="P230" s="31"/>
      <c r="Q230" s="31"/>
      <c r="R230" s="31"/>
      <c r="S230" s="31"/>
      <c r="T230" s="31"/>
      <c r="U230" s="30"/>
      <c r="V230" s="30"/>
      <c r="W230" s="30"/>
      <c r="X230" s="30" t="s">
        <v>63</v>
      </c>
      <c r="Y230" s="30" t="s">
        <v>2679</v>
      </c>
      <c r="Z230" s="30" t="s">
        <v>2679</v>
      </c>
      <c r="AA230" s="160" t="s">
        <v>4424</v>
      </c>
      <c r="AB230" s="30"/>
      <c r="AC230" s="30"/>
      <c r="AD230" s="30"/>
      <c r="AE230" s="30" t="s">
        <v>4425</v>
      </c>
      <c r="AF230" s="30"/>
      <c r="AG230" s="30"/>
      <c r="AH230" s="31"/>
      <c r="AI230" s="31"/>
      <c r="AJ230" s="31"/>
      <c r="AK230" s="30"/>
      <c r="AL230" s="30"/>
      <c r="AM230" s="31"/>
      <c r="AN230" s="31"/>
      <c r="AO230" s="31"/>
      <c r="AP230" s="31"/>
      <c r="AQ230" s="31"/>
      <c r="AR230" s="31"/>
      <c r="AS230" s="31"/>
      <c r="AT230" s="30">
        <f t="shared" ca="1" si="32"/>
        <v>0</v>
      </c>
      <c r="AU230" s="32">
        <f t="shared" ca="1" si="30"/>
        <v>114</v>
      </c>
      <c r="AV230" s="32" t="str" cm="1">
        <f t="array" aca="1" ref="AV230" ca="1">IFERROR(_xlfn.IFS($AU230="","",$AU230&lt;=15,"0-15",AND($AU230&gt;=16,$AU230&lt;=30),"16-30",AND($AU230&gt;=31,$AU230&lt;=45),"31-45",AND($AU230&gt;=46,$AU230&lt;=60),"46-60",AND($AU230&gt;=61,$AU230&lt;=90),"61-90",AND($AU230&gt;=91),"&gt; 90",AND($AU230&gt;=2000),""),"")</f>
        <v>&gt; 90</v>
      </c>
      <c r="AW230" s="32" t="str" cm="1">
        <f t="array" aca="1" ref="AW230" ca="1">IFERROR(_xlfn.IFS(OR($M230="",$AM230=""),"",OR($C230="Offered",$C230="Joined"),($AM230-$M230)-$AT230),"")</f>
        <v/>
      </c>
      <c r="AX230" s="32" t="str" cm="1">
        <f t="array" aca="1" ref="AX230" ca="1">IFERROR(_xlfn.IFS(OR($M230="",$AS230=""),"",$C230="Joined",($AS230-$M230)-$AT230),"")</f>
        <v/>
      </c>
      <c r="AY230" s="30" t="str">
        <f>IFERROR(IF(COUNTIFS('Candidate Tracker'!$E:$E,'Positions Tracker'!$B230,'Candidate Tracker'!$C:$C,"Offer Drop")=0,"",COUNTIFS('Candidate Tracker'!$E:$E,'Positions Tracker'!$B230,'Candidate Tracker'!$C:$C,"Offer Drop")),"")</f>
        <v/>
      </c>
      <c r="AZ2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0" s="34" t="str">
        <f>IFERROR(IF(COUNTIFS('Candidate Tracker'!$E:$E,'Positions Tracker'!$B230,'Candidate Tracker'!$I:$I,"Female")=0,"",COUNTIFS('Candidate Tracker'!$E:$E,'Positions Tracker'!$B230,'Candidate Tracker'!$I:$I,"Female")),"")</f>
        <v/>
      </c>
      <c r="BB230" s="34" t="str">
        <f>IFERROR(IF(COUNTIFS('Candidate Tracker'!$E:$E,'Positions Tracker'!$B230,'Candidate Tracker'!$I:$I,"male")=0,"",COUNTIFS('Candidate Tracker'!$E:$E,'Positions Tracker'!$B230,'Candidate Tracker'!$I:$I,"male")),"")</f>
        <v/>
      </c>
      <c r="BC230" s="33" t="str">
        <f>IFERROR(IF(COUNTIFS('Candidate Tracker'!$E:$E,'Positions Tracker'!$B230,'Candidate Tracker'!$C:$C,"&lt;&gt;WIP",'Candidate Tracker'!$C:$C,"&lt;&gt;Hold",'Candidate Tracker'!$C:$C,"&lt;&gt;Cancelled",'Candidate Tracker'!$C:$C,"&lt;&gt;Closed")/COUNTIFS('Candidate Tracker'!$E:$E,'Positions Tracker'!$B230)=0,"",COUNTIFS('Candidate Tracker'!$E:$E,'Positions Tracker'!$B230,'Candidate Tracker'!$C:$C,"&lt;&gt;WIP",'Candidate Tracker'!$C:$C,"&lt;&gt;Hold",'Candidate Tracker'!$C:$C,"&lt;&gt;Cancelled",'Candidate Tracker'!$C:$C,"&lt;&gt;Closed")/COUNTIFS('Candidate Tracker'!$E:$E,'Positions Tracker'!$B230)),"")</f>
        <v/>
      </c>
      <c r="BD230" s="30" t="str">
        <f t="shared" si="33"/>
        <v>Sep-25</v>
      </c>
      <c r="BE230" s="30" t="str">
        <f t="shared" si="34"/>
        <v/>
      </c>
      <c r="BF230" s="30" t="str">
        <f t="shared" si="35"/>
        <v/>
      </c>
      <c r="BG230" s="30" t="str">
        <f t="shared" si="36"/>
        <v/>
      </c>
    </row>
    <row r="231" spans="1:59">
      <c r="A231" s="30">
        <f t="shared" si="31"/>
        <v>230</v>
      </c>
      <c r="B231" s="30">
        <v>20258486</v>
      </c>
      <c r="C231" s="30" t="s">
        <v>840</v>
      </c>
      <c r="D231" s="30" t="s">
        <v>4426</v>
      </c>
      <c r="E231" s="30" t="s">
        <v>4427</v>
      </c>
      <c r="F231" s="30" t="s">
        <v>4428</v>
      </c>
      <c r="G231" s="30" t="s">
        <v>1</v>
      </c>
      <c r="H231" s="30" t="s">
        <v>4429</v>
      </c>
      <c r="I231" s="30" t="s">
        <v>4430</v>
      </c>
      <c r="J231" s="30" t="s">
        <v>135</v>
      </c>
      <c r="K231" s="31">
        <v>45905</v>
      </c>
      <c r="L231" s="31">
        <v>45905</v>
      </c>
      <c r="M231" s="31">
        <v>45905</v>
      </c>
      <c r="N231" s="30" t="s">
        <v>4277</v>
      </c>
      <c r="O231" s="31"/>
      <c r="P231" s="31"/>
      <c r="Q231" s="31"/>
      <c r="R231" s="31"/>
      <c r="S231" s="31"/>
      <c r="T231" s="31"/>
      <c r="U231" s="30"/>
      <c r="V231" s="30"/>
      <c r="W231" s="30"/>
      <c r="X231" s="30" t="s">
        <v>63</v>
      </c>
      <c r="Y231" s="30" t="s">
        <v>2408</v>
      </c>
      <c r="Z231" s="30" t="s">
        <v>2408</v>
      </c>
      <c r="AA231" s="30" t="s">
        <v>4431</v>
      </c>
      <c r="AB231" s="30"/>
      <c r="AC231" s="30"/>
      <c r="AD231" s="30"/>
      <c r="AE231" s="30" t="s">
        <v>4432</v>
      </c>
      <c r="AF231" s="30">
        <v>9775773844</v>
      </c>
      <c r="AG231" s="30" t="s">
        <v>4433</v>
      </c>
      <c r="AH231" s="31" t="s">
        <v>55</v>
      </c>
      <c r="AI231" s="31">
        <v>45961</v>
      </c>
      <c r="AJ231" s="31">
        <v>45973</v>
      </c>
      <c r="AK231" s="30" t="s">
        <v>890</v>
      </c>
      <c r="AL231" s="30">
        <v>830000</v>
      </c>
      <c r="AM231" s="31">
        <v>45966</v>
      </c>
      <c r="AN231" s="31">
        <v>45973</v>
      </c>
      <c r="AO231" s="31" t="s">
        <v>134</v>
      </c>
      <c r="AP231" s="31">
        <v>45985</v>
      </c>
      <c r="AQ231" s="31">
        <v>45988</v>
      </c>
      <c r="AR231" s="31" t="s">
        <v>134</v>
      </c>
      <c r="AS231" s="28">
        <v>46069</v>
      </c>
      <c r="AT231" s="30">
        <f t="shared" ca="1" si="32"/>
        <v>0</v>
      </c>
      <c r="AU231" s="32" t="str">
        <f t="shared" ca="1" si="30"/>
        <v/>
      </c>
      <c r="AV231" s="32" t="str" cm="1">
        <f t="array" aca="1" ref="AV231" ca="1">IFERROR(_xlfn.IFS($AU231="","",$AU231&lt;=15,"0-15",AND($AU231&gt;=16,$AU231&lt;=30),"16-30",AND($AU231&gt;=31,$AU231&lt;=45),"31-45",AND($AU231&gt;=46,$AU231&lt;=60),"46-60",AND($AU231&gt;=61,$AU231&lt;=90),"61-90",AND($AU231&gt;=91),"&gt; 90",AND($AU231&gt;=2000),""),"")</f>
        <v/>
      </c>
      <c r="AW231" s="32" cm="1">
        <f t="array" aca="1" ref="AW231" ca="1">IFERROR(_xlfn.IFS(OR($M231="",$AM231=""),"",OR($C231="Offered",$C231="Joined"),($AM231-$M231)-$AT231),"")</f>
        <v>61</v>
      </c>
      <c r="AX231" s="32" t="str" cm="1">
        <f t="array" aca="1" ref="AX231" ca="1">IFERROR(_xlfn.IFS(OR($M231="",$AS231=""),"",$C231="Joined",($AS231-$M231)-$AT231),"")</f>
        <v/>
      </c>
      <c r="AY231" s="30" t="str">
        <f>IFERROR(IF(COUNTIFS('Candidate Tracker'!$E:$E,'Positions Tracker'!$B231,'Candidate Tracker'!$C:$C,"Offer Drop")=0,"",COUNTIFS('Candidate Tracker'!$E:$E,'Positions Tracker'!$B231,'Candidate Tracker'!$C:$C,"Offer Drop")),"")</f>
        <v/>
      </c>
      <c r="AZ2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1" s="34" t="str">
        <f>IFERROR(IF(COUNTIFS('Candidate Tracker'!$E:$E,'Positions Tracker'!$B231,'Candidate Tracker'!$I:$I,"Female")=0,"",COUNTIFS('Candidate Tracker'!$E:$E,'Positions Tracker'!$B231,'Candidate Tracker'!$I:$I,"Female")),"")</f>
        <v/>
      </c>
      <c r="BB231" s="34" t="str">
        <f>IFERROR(IF(COUNTIFS('Candidate Tracker'!$E:$E,'Positions Tracker'!$B231,'Candidate Tracker'!$I:$I,"male")=0,"",COUNTIFS('Candidate Tracker'!$E:$E,'Positions Tracker'!$B231,'Candidate Tracker'!$I:$I,"male")),"")</f>
        <v/>
      </c>
      <c r="BC231" s="33" t="str">
        <f>IFERROR(IF(COUNTIFS('Candidate Tracker'!$E:$E,'Positions Tracker'!$B231,'Candidate Tracker'!$C:$C,"&lt;&gt;WIP",'Candidate Tracker'!$C:$C,"&lt;&gt;Hold",'Candidate Tracker'!$C:$C,"&lt;&gt;Cancelled",'Candidate Tracker'!$C:$C,"&lt;&gt;Closed")/COUNTIFS('Candidate Tracker'!$E:$E,'Positions Tracker'!$B231)=0,"",COUNTIFS('Candidate Tracker'!$E:$E,'Positions Tracker'!$B231,'Candidate Tracker'!$C:$C,"&lt;&gt;WIP",'Candidate Tracker'!$C:$C,"&lt;&gt;Hold",'Candidate Tracker'!$C:$C,"&lt;&gt;Cancelled",'Candidate Tracker'!$C:$C,"&lt;&gt;Closed")/COUNTIFS('Candidate Tracker'!$E:$E,'Positions Tracker'!$B231)),"")</f>
        <v/>
      </c>
      <c r="BD231" s="30" t="str">
        <f t="shared" si="33"/>
        <v>Sep-25</v>
      </c>
      <c r="BE231" s="30" t="str">
        <f t="shared" si="34"/>
        <v>Oct-25</v>
      </c>
      <c r="BF231" s="30" t="str">
        <f t="shared" si="35"/>
        <v>Nov-25</v>
      </c>
      <c r="BG231" s="30" t="str">
        <f t="shared" si="36"/>
        <v>Feb-26</v>
      </c>
    </row>
    <row r="232" spans="1:59">
      <c r="A232" s="30">
        <f t="shared" si="31"/>
        <v>231</v>
      </c>
      <c r="B232" s="30">
        <v>20258495</v>
      </c>
      <c r="C232" s="30" t="s">
        <v>840</v>
      </c>
      <c r="D232" s="30" t="s">
        <v>841</v>
      </c>
      <c r="E232" s="30" t="s">
        <v>3882</v>
      </c>
      <c r="F232" s="30" t="s">
        <v>4434</v>
      </c>
      <c r="G232" s="30" t="s">
        <v>1</v>
      </c>
      <c r="H232" s="30" t="s">
        <v>4429</v>
      </c>
      <c r="I232" s="30" t="s">
        <v>4435</v>
      </c>
      <c r="J232" s="30" t="s">
        <v>135</v>
      </c>
      <c r="K232" s="31">
        <v>45904</v>
      </c>
      <c r="L232" s="31">
        <v>45904</v>
      </c>
      <c r="M232" s="31">
        <v>45904</v>
      </c>
      <c r="N232" s="30" t="s">
        <v>3884</v>
      </c>
      <c r="O232" s="31"/>
      <c r="P232" s="31"/>
      <c r="Q232" s="31"/>
      <c r="R232" s="31"/>
      <c r="S232" s="31"/>
      <c r="T232" s="31"/>
      <c r="U232" s="30"/>
      <c r="V232" s="30"/>
      <c r="W232" s="30"/>
      <c r="X232" s="30" t="s">
        <v>63</v>
      </c>
      <c r="Y232" s="30" t="s">
        <v>2408</v>
      </c>
      <c r="Z232" s="30" t="s">
        <v>2408</v>
      </c>
      <c r="AA232" s="30" t="s">
        <v>4436</v>
      </c>
      <c r="AB232" s="30"/>
      <c r="AC232" s="30"/>
      <c r="AD232" s="30"/>
      <c r="AE232" s="30" t="s">
        <v>4437</v>
      </c>
      <c r="AF232" s="30">
        <v>7391040582</v>
      </c>
      <c r="AG232" s="30" t="s">
        <v>4438</v>
      </c>
      <c r="AH232" s="31" t="s">
        <v>55</v>
      </c>
      <c r="AI232" s="31">
        <v>45938</v>
      </c>
      <c r="AJ232" s="31">
        <v>45945</v>
      </c>
      <c r="AK232" s="30" t="s">
        <v>63</v>
      </c>
      <c r="AL232" s="30">
        <v>2000000</v>
      </c>
      <c r="AM232" s="31">
        <v>45940</v>
      </c>
      <c r="AN232" s="31">
        <v>45945</v>
      </c>
      <c r="AO232" s="31" t="s">
        <v>134</v>
      </c>
      <c r="AP232" s="31">
        <v>45947</v>
      </c>
      <c r="AQ232" s="31">
        <v>45954</v>
      </c>
      <c r="AR232" s="31"/>
      <c r="AS232" s="31">
        <v>46009</v>
      </c>
      <c r="AT232" s="30">
        <f t="shared" ca="1" si="32"/>
        <v>0</v>
      </c>
      <c r="AU232" s="32" t="str">
        <f t="shared" ca="1" si="30"/>
        <v/>
      </c>
      <c r="AV232" s="32" t="str" cm="1">
        <f t="array" aca="1" ref="AV232" ca="1">IFERROR(_xlfn.IFS($AU232="","",$AU232&lt;=15,"0-15",AND($AU232&gt;=16,$AU232&lt;=30),"16-30",AND($AU232&gt;=31,$AU232&lt;=45),"31-45",AND($AU232&gt;=46,$AU232&lt;=60),"46-60",AND($AU232&gt;=61,$AU232&lt;=90),"61-90",AND($AU232&gt;=91),"&gt; 90",AND($AU232&gt;=2000),""),"")</f>
        <v/>
      </c>
      <c r="AW232" s="32" cm="1">
        <f t="array" aca="1" ref="AW232" ca="1">IFERROR(_xlfn.IFS(OR($M232="",$AM232=""),"",OR($C232="Offered",$C232="Joined"),($AM232-$M232)-$AT232),"")</f>
        <v>36</v>
      </c>
      <c r="AX232" s="32" t="str" cm="1">
        <f t="array" aca="1" ref="AX232" ca="1">IFERROR(_xlfn.IFS(OR($M232="",$AS232=""),"",$C232="Joined",($AS232-$M232)-$AT232),"")</f>
        <v/>
      </c>
      <c r="AY232" s="30" t="str">
        <f>IFERROR(IF(COUNTIFS('Candidate Tracker'!$E:$E,'Positions Tracker'!$B232,'Candidate Tracker'!$C:$C,"Offer Drop")=0,"",COUNTIFS('Candidate Tracker'!$E:$E,'Positions Tracker'!$B232,'Candidate Tracker'!$C:$C,"Offer Drop")),"")</f>
        <v/>
      </c>
      <c r="AZ2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2" s="34" t="str">
        <f>IFERROR(IF(COUNTIFS('Candidate Tracker'!$E:$E,'Positions Tracker'!$B232,'Candidate Tracker'!$I:$I,"Female")=0,"",COUNTIFS('Candidate Tracker'!$E:$E,'Positions Tracker'!$B232,'Candidate Tracker'!$I:$I,"Female")),"")</f>
        <v/>
      </c>
      <c r="BB232" s="34" t="str">
        <f>IFERROR(IF(COUNTIFS('Candidate Tracker'!$E:$E,'Positions Tracker'!$B232,'Candidate Tracker'!$I:$I,"male")=0,"",COUNTIFS('Candidate Tracker'!$E:$E,'Positions Tracker'!$B232,'Candidate Tracker'!$I:$I,"male")),"")</f>
        <v/>
      </c>
      <c r="BC232" s="33" t="str">
        <f>IFERROR(IF(COUNTIFS('Candidate Tracker'!$E:$E,'Positions Tracker'!$B232,'Candidate Tracker'!$C:$C,"&lt;&gt;WIP",'Candidate Tracker'!$C:$C,"&lt;&gt;Hold",'Candidate Tracker'!$C:$C,"&lt;&gt;Cancelled",'Candidate Tracker'!$C:$C,"&lt;&gt;Closed")/COUNTIFS('Candidate Tracker'!$E:$E,'Positions Tracker'!$B232)=0,"",COUNTIFS('Candidate Tracker'!$E:$E,'Positions Tracker'!$B232,'Candidate Tracker'!$C:$C,"&lt;&gt;WIP",'Candidate Tracker'!$C:$C,"&lt;&gt;Hold",'Candidate Tracker'!$C:$C,"&lt;&gt;Cancelled",'Candidate Tracker'!$C:$C,"&lt;&gt;Closed")/COUNTIFS('Candidate Tracker'!$E:$E,'Positions Tracker'!$B232)),"")</f>
        <v/>
      </c>
      <c r="BD232" s="30" t="str">
        <f t="shared" si="33"/>
        <v>Sep-25</v>
      </c>
      <c r="BE232" s="30" t="str">
        <f t="shared" si="34"/>
        <v>Oct-25</v>
      </c>
      <c r="BF232" s="30" t="str">
        <f t="shared" si="35"/>
        <v>Oct-25</v>
      </c>
      <c r="BG232" s="30" t="str">
        <f t="shared" si="36"/>
        <v>Dec-25</v>
      </c>
    </row>
    <row r="233" spans="1:59">
      <c r="A233" s="30">
        <f t="shared" si="31"/>
        <v>232</v>
      </c>
      <c r="B233" s="30">
        <v>20242407</v>
      </c>
      <c r="C233" s="30" t="s">
        <v>840</v>
      </c>
      <c r="D233" s="30" t="s">
        <v>841</v>
      </c>
      <c r="E233" s="30" t="s">
        <v>4051</v>
      </c>
      <c r="F233" s="30" t="s">
        <v>4052</v>
      </c>
      <c r="G233" s="30" t="s">
        <v>3</v>
      </c>
      <c r="H233" s="30" t="s">
        <v>66</v>
      </c>
      <c r="I233" s="30" t="s">
        <v>4053</v>
      </c>
      <c r="J233" s="30" t="s">
        <v>135</v>
      </c>
      <c r="K233" s="31">
        <v>45594</v>
      </c>
      <c r="L233" s="31">
        <v>45603</v>
      </c>
      <c r="M233" s="31">
        <v>45629</v>
      </c>
      <c r="N233" s="30" t="s">
        <v>3855</v>
      </c>
      <c r="O233" s="31"/>
      <c r="P233" s="31"/>
      <c r="Q233" s="31"/>
      <c r="R233" s="31"/>
      <c r="S233" s="31"/>
      <c r="T233" s="31"/>
      <c r="U233" s="30"/>
      <c r="V233" s="30"/>
      <c r="W233" s="30"/>
      <c r="X233" s="30" t="s">
        <v>63</v>
      </c>
      <c r="Y233" s="30" t="s">
        <v>2679</v>
      </c>
      <c r="Z233" s="30" t="s">
        <v>2679</v>
      </c>
      <c r="AA233" s="30" t="s">
        <v>4054</v>
      </c>
      <c r="AB233" s="30"/>
      <c r="AC233" s="30"/>
      <c r="AD233" s="30"/>
      <c r="AE233" s="30" t="s">
        <v>4439</v>
      </c>
      <c r="AF233" s="30">
        <v>9648801377</v>
      </c>
      <c r="AG233" s="30" t="s">
        <v>4440</v>
      </c>
      <c r="AH233" s="31" t="s">
        <v>55</v>
      </c>
      <c r="AI233" s="31">
        <v>45895</v>
      </c>
      <c r="AJ233" s="31">
        <v>45898</v>
      </c>
      <c r="AK233" s="30" t="s">
        <v>63</v>
      </c>
      <c r="AL233" s="30">
        <v>1500000</v>
      </c>
      <c r="AM233" s="31">
        <v>45901</v>
      </c>
      <c r="AN233" s="31">
        <v>45932</v>
      </c>
      <c r="AO233" s="31"/>
      <c r="AP233" s="31">
        <v>45912</v>
      </c>
      <c r="AQ233" s="31">
        <v>45912</v>
      </c>
      <c r="AR233" s="31"/>
      <c r="AS233" s="31">
        <v>46006</v>
      </c>
      <c r="AT233" s="30">
        <f t="shared" ca="1" si="32"/>
        <v>0</v>
      </c>
      <c r="AU233" s="32" t="str">
        <f t="shared" ca="1" si="30"/>
        <v/>
      </c>
      <c r="AV233" s="32" t="str" cm="1">
        <f t="array" aca="1" ref="AV233" ca="1">IFERROR(_xlfn.IFS($AU233="","",$AU233&lt;=15,"0-15",AND($AU233&gt;=16,$AU233&lt;=30),"16-30",AND($AU233&gt;=31,$AU233&lt;=45),"31-45",AND($AU233&gt;=46,$AU233&lt;=60),"46-60",AND($AU233&gt;=61,$AU233&lt;=90),"61-90",AND($AU233&gt;=91),"&gt; 90",AND($AU233&gt;=2000),""),"")</f>
        <v/>
      </c>
      <c r="AW233" s="32" cm="1">
        <f t="array" aca="1" ref="AW233" ca="1">IFERROR(_xlfn.IFS(OR($M233="",$AM233=""),"",OR($C233="Offered",$C233="Joined"),($AM233-$M233)-$AT233),"")</f>
        <v>272</v>
      </c>
      <c r="AX233" s="32" t="str" cm="1">
        <f t="array" aca="1" ref="AX233" ca="1">IFERROR(_xlfn.IFS(OR($M233="",$AS233=""),"",$C233="Joined",($AS233-$M233)-$AT233),"")</f>
        <v/>
      </c>
      <c r="AY233" s="30" t="str">
        <f>IFERROR(IF(COUNTIFS('Candidate Tracker'!$E:$E,'Positions Tracker'!$B233,'Candidate Tracker'!$C:$C,"Offer Drop")=0,"",COUNTIFS('Candidate Tracker'!$E:$E,'Positions Tracker'!$B233,'Candidate Tracker'!$C:$C,"Offer Drop")),"")</f>
        <v/>
      </c>
      <c r="AZ2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3" s="34" t="str">
        <f>IFERROR(IF(COUNTIFS('Candidate Tracker'!$E:$E,'Positions Tracker'!$B233,'Candidate Tracker'!$I:$I,"Female")=0,"",COUNTIFS('Candidate Tracker'!$E:$E,'Positions Tracker'!$B233,'Candidate Tracker'!$I:$I,"Female")),"")</f>
        <v/>
      </c>
      <c r="BB233" s="34" t="str">
        <f>IFERROR(IF(COUNTIFS('Candidate Tracker'!$E:$E,'Positions Tracker'!$B233,'Candidate Tracker'!$I:$I,"male")=0,"",COUNTIFS('Candidate Tracker'!$E:$E,'Positions Tracker'!$B233,'Candidate Tracker'!$I:$I,"male")),"")</f>
        <v/>
      </c>
      <c r="BC233" s="33" t="str">
        <f>IFERROR(IF(COUNTIFS('Candidate Tracker'!$E:$E,'Positions Tracker'!$B233,'Candidate Tracker'!$C:$C,"&lt;&gt;WIP",'Candidate Tracker'!$C:$C,"&lt;&gt;Hold",'Candidate Tracker'!$C:$C,"&lt;&gt;Cancelled",'Candidate Tracker'!$C:$C,"&lt;&gt;Closed")/COUNTIFS('Candidate Tracker'!$E:$E,'Positions Tracker'!$B233)=0,"",COUNTIFS('Candidate Tracker'!$E:$E,'Positions Tracker'!$B233,'Candidate Tracker'!$C:$C,"&lt;&gt;WIP",'Candidate Tracker'!$C:$C,"&lt;&gt;Hold",'Candidate Tracker'!$C:$C,"&lt;&gt;Cancelled",'Candidate Tracker'!$C:$C,"&lt;&gt;Closed")/COUNTIFS('Candidate Tracker'!$E:$E,'Positions Tracker'!$B233)),"")</f>
        <v/>
      </c>
      <c r="BD233" s="30" t="str">
        <f t="shared" si="33"/>
        <v>Dec-24</v>
      </c>
      <c r="BE233" s="30" t="str">
        <f t="shared" si="34"/>
        <v>Aug-25</v>
      </c>
      <c r="BF233" s="30" t="str">
        <f t="shared" si="35"/>
        <v>Sep-25</v>
      </c>
      <c r="BG233" s="30" t="str">
        <f t="shared" si="36"/>
        <v>Dec-25</v>
      </c>
    </row>
    <row r="234" spans="1:59">
      <c r="A234" s="30">
        <f t="shared" si="31"/>
        <v>233</v>
      </c>
      <c r="B234" s="30">
        <v>20257807</v>
      </c>
      <c r="C234" s="30" t="s">
        <v>1044</v>
      </c>
      <c r="D234" s="30" t="s">
        <v>320</v>
      </c>
      <c r="E234" s="30" t="s">
        <v>4441</v>
      </c>
      <c r="F234" s="30" t="s">
        <v>4264</v>
      </c>
      <c r="G234" s="30" t="s">
        <v>3</v>
      </c>
      <c r="H234" s="30" t="s">
        <v>66</v>
      </c>
      <c r="I234" s="30" t="s">
        <v>4077</v>
      </c>
      <c r="J234" s="30" t="s">
        <v>351</v>
      </c>
      <c r="K234" s="31"/>
      <c r="L234" s="31"/>
      <c r="M234" s="31"/>
      <c r="N234" s="30"/>
      <c r="O234" s="31"/>
      <c r="P234" s="31"/>
      <c r="Q234" s="31"/>
      <c r="R234" s="31"/>
      <c r="S234" s="31"/>
      <c r="T234" s="31"/>
      <c r="U234" s="30"/>
      <c r="V234" s="30"/>
      <c r="W234" s="30"/>
      <c r="X234" s="30" t="s">
        <v>63</v>
      </c>
      <c r="Y234" s="30" t="s">
        <v>2679</v>
      </c>
      <c r="Z234" s="30" t="s">
        <v>2679</v>
      </c>
      <c r="AA234" s="30"/>
      <c r="AB234" s="30"/>
      <c r="AC234" s="30"/>
      <c r="AD234" s="30"/>
      <c r="AE234" s="30" t="s">
        <v>4442</v>
      </c>
      <c r="AF234" s="30">
        <v>9487405532</v>
      </c>
      <c r="AG234" s="30" t="s">
        <v>4443</v>
      </c>
      <c r="AH234" s="31" t="s">
        <v>55</v>
      </c>
      <c r="AI234" s="31">
        <v>45869</v>
      </c>
      <c r="AJ234" s="31">
        <v>45876</v>
      </c>
      <c r="AK234" s="30" t="s">
        <v>63</v>
      </c>
      <c r="AL234" s="30">
        <v>1200000</v>
      </c>
      <c r="AM234" s="31">
        <v>45879</v>
      </c>
      <c r="AN234" s="31">
        <v>45880</v>
      </c>
      <c r="AO234" s="31">
        <v>45954</v>
      </c>
      <c r="AP234" s="31">
        <v>45887</v>
      </c>
      <c r="AQ234" s="31">
        <v>45887</v>
      </c>
      <c r="AR234" s="31"/>
      <c r="AS234" s="31">
        <v>45957</v>
      </c>
      <c r="AT234" s="30">
        <f t="shared" ca="1" si="32"/>
        <v>0</v>
      </c>
      <c r="AU234" s="32" t="str">
        <f t="shared" ca="1" si="30"/>
        <v/>
      </c>
      <c r="AV234" s="32" t="str" cm="1">
        <f t="array" aca="1" ref="AV234" ca="1">IFERROR(_xlfn.IFS($AU234="","",$AU234&lt;=15,"0-15",AND($AU234&gt;=16,$AU234&lt;=30),"16-30",AND($AU234&gt;=31,$AU234&lt;=45),"31-45",AND($AU234&gt;=46,$AU234&lt;=60),"46-60",AND($AU234&gt;=61,$AU234&lt;=90),"61-90",AND($AU234&gt;=91),"&gt; 90",AND($AU234&gt;=2000),""),"")</f>
        <v/>
      </c>
      <c r="AW234" s="32" t="str" cm="1">
        <f t="array" aca="1" ref="AW234" ca="1">IFERROR(_xlfn.IFS(OR($M234="",$AM234=""),"",OR($C234="Offered",$C234="Joined"),($AM234-$M234)-$AT234),"")</f>
        <v/>
      </c>
      <c r="AX234" s="32" t="str" cm="1">
        <f t="array" aca="1" ref="AX234" ca="1">IFERROR(_xlfn.IFS(OR($M234="",$AS234=""),"",$C234="Joined",($AS234-$M234)-$AT234),"")</f>
        <v/>
      </c>
      <c r="AY234" s="30" t="str">
        <f>IFERROR(IF(COUNTIFS('Candidate Tracker'!$E:$E,'Positions Tracker'!$B234,'Candidate Tracker'!$C:$C,"Offer Drop")=0,"",COUNTIFS('Candidate Tracker'!$E:$E,'Positions Tracker'!$B234,'Candidate Tracker'!$C:$C,"Offer Drop")),"")</f>
        <v/>
      </c>
      <c r="AZ2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4" s="34" t="str">
        <f>IFERROR(IF(COUNTIFS('Candidate Tracker'!$E:$E,'Positions Tracker'!$B234,'Candidate Tracker'!$I:$I,"Female")=0,"",COUNTIFS('Candidate Tracker'!$E:$E,'Positions Tracker'!$B234,'Candidate Tracker'!$I:$I,"Female")),"")</f>
        <v/>
      </c>
      <c r="BB234" s="34" t="str">
        <f>IFERROR(IF(COUNTIFS('Candidate Tracker'!$E:$E,'Positions Tracker'!$B234,'Candidate Tracker'!$I:$I,"male")=0,"",COUNTIFS('Candidate Tracker'!$E:$E,'Positions Tracker'!$B234,'Candidate Tracker'!$I:$I,"male")),"")</f>
        <v/>
      </c>
      <c r="BC234" s="33" t="str">
        <f>IFERROR(IF(COUNTIFS('Candidate Tracker'!$E:$E,'Positions Tracker'!$B234,'Candidate Tracker'!$C:$C,"&lt;&gt;WIP",'Candidate Tracker'!$C:$C,"&lt;&gt;Hold",'Candidate Tracker'!$C:$C,"&lt;&gt;Cancelled",'Candidate Tracker'!$C:$C,"&lt;&gt;Closed")/COUNTIFS('Candidate Tracker'!$E:$E,'Positions Tracker'!$B234)=0,"",COUNTIFS('Candidate Tracker'!$E:$E,'Positions Tracker'!$B234,'Candidate Tracker'!$C:$C,"&lt;&gt;WIP",'Candidate Tracker'!$C:$C,"&lt;&gt;Hold",'Candidate Tracker'!$C:$C,"&lt;&gt;Cancelled",'Candidate Tracker'!$C:$C,"&lt;&gt;Closed")/COUNTIFS('Candidate Tracker'!$E:$E,'Positions Tracker'!$B234)),"")</f>
        <v/>
      </c>
      <c r="BD234" s="30" t="str">
        <f t="shared" si="33"/>
        <v/>
      </c>
      <c r="BE234" s="30" t="str">
        <f t="shared" si="34"/>
        <v>Jul-25</v>
      </c>
      <c r="BF234" s="30" t="str">
        <f t="shared" si="35"/>
        <v>Aug-25</v>
      </c>
      <c r="BG234" s="30" t="str">
        <f t="shared" si="36"/>
        <v>Oct-25</v>
      </c>
    </row>
    <row r="235" spans="1:59">
      <c r="A235" s="30">
        <f t="shared" si="31"/>
        <v>234</v>
      </c>
      <c r="B235" s="162">
        <v>20259624</v>
      </c>
      <c r="C235" s="162" t="s">
        <v>0</v>
      </c>
      <c r="D235" s="162" t="s">
        <v>3857</v>
      </c>
      <c r="E235" s="162" t="s">
        <v>3256</v>
      </c>
      <c r="F235" s="162" t="s">
        <v>4375</v>
      </c>
      <c r="G235" s="162" t="s">
        <v>1</v>
      </c>
      <c r="H235" s="162" t="s">
        <v>4429</v>
      </c>
      <c r="I235" s="162" t="s">
        <v>4444</v>
      </c>
      <c r="J235" s="162" t="s">
        <v>135</v>
      </c>
      <c r="K235" s="173">
        <v>45575</v>
      </c>
      <c r="L235" s="173">
        <v>45944</v>
      </c>
      <c r="M235" s="173">
        <v>45944</v>
      </c>
      <c r="N235" s="162" t="s">
        <v>4445</v>
      </c>
      <c r="O235" s="173"/>
      <c r="P235" s="173"/>
      <c r="Q235" s="173"/>
      <c r="R235" s="173"/>
      <c r="S235" s="173"/>
      <c r="T235" s="173"/>
      <c r="U235" s="162"/>
      <c r="V235" s="162"/>
      <c r="W235" s="162"/>
      <c r="X235" s="162" t="s">
        <v>3115</v>
      </c>
      <c r="Y235" s="162" t="s">
        <v>2408</v>
      </c>
      <c r="Z235" s="162" t="s">
        <v>2408</v>
      </c>
      <c r="AA235" s="162" t="s">
        <v>4446</v>
      </c>
      <c r="AB235" s="162"/>
      <c r="AC235" s="30"/>
      <c r="AD235" s="30"/>
      <c r="AE235" s="30"/>
      <c r="AF235" s="162"/>
      <c r="AG235" s="162"/>
      <c r="AH235" s="173"/>
      <c r="AI235" s="173"/>
      <c r="AJ235" s="31"/>
      <c r="AK235" s="30"/>
      <c r="AL235" s="30"/>
      <c r="AM235" s="31"/>
      <c r="AN235" s="31"/>
      <c r="AO235" s="31"/>
      <c r="AP235" s="31"/>
      <c r="AQ235" s="31"/>
      <c r="AR235" s="31"/>
      <c r="AS235" s="31"/>
      <c r="AT235" s="30">
        <f t="shared" ca="1" si="32"/>
        <v>0</v>
      </c>
      <c r="AU235" s="32">
        <f t="shared" ca="1" si="30"/>
        <v>85</v>
      </c>
      <c r="AV235" s="32" t="str" cm="1">
        <f t="array" aca="1" ref="AV235" ca="1">IFERROR(_xlfn.IFS($AU235="","",$AU235&lt;=15,"0-15",AND($AU235&gt;=16,$AU235&lt;=30),"16-30",AND($AU235&gt;=31,$AU235&lt;=45),"31-45",AND($AU235&gt;=46,$AU235&lt;=60),"46-60",AND($AU235&gt;=61,$AU235&lt;=90),"61-90",AND($AU235&gt;=91),"&gt; 90",AND($AU235&gt;=2000),""),"")</f>
        <v>61-90</v>
      </c>
      <c r="AW235" s="32" t="str" cm="1">
        <f t="array" aca="1" ref="AW235" ca="1">IFERROR(_xlfn.IFS(OR($M235="",$AM235=""),"",OR($C235="Offered",$C235="Joined"),($AM235-$M235)-$AT235),"")</f>
        <v/>
      </c>
      <c r="AX235" s="32" t="str" cm="1">
        <f t="array" aca="1" ref="AX235" ca="1">IFERROR(_xlfn.IFS(OR($M235="",$AS235=""),"",$C235="Joined",($AS235-$M235)-$AT235),"")</f>
        <v/>
      </c>
      <c r="AY235" s="30" t="str">
        <f>IFERROR(IF(COUNTIFS('Candidate Tracker'!$E:$E,'Positions Tracker'!$B235,'Candidate Tracker'!$C:$C,"Offer Drop")=0,"",COUNTIFS('Candidate Tracker'!$E:$E,'Positions Tracker'!$B235,'Candidate Tracker'!$C:$C,"Offer Drop")),"")</f>
        <v/>
      </c>
      <c r="AZ2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5" s="34" t="str">
        <f>IFERROR(IF(COUNTIFS('Candidate Tracker'!$E:$E,'Positions Tracker'!$B235,'Candidate Tracker'!$I:$I,"Female")=0,"",COUNTIFS('Candidate Tracker'!$E:$E,'Positions Tracker'!$B235,'Candidate Tracker'!$I:$I,"Female")),"")</f>
        <v/>
      </c>
      <c r="BB235" s="34" t="str">
        <f>IFERROR(IF(COUNTIFS('Candidate Tracker'!$E:$E,'Positions Tracker'!$B235,'Candidate Tracker'!$I:$I,"male")=0,"",COUNTIFS('Candidate Tracker'!$E:$E,'Positions Tracker'!$B235,'Candidate Tracker'!$I:$I,"male")),"")</f>
        <v/>
      </c>
      <c r="BC235" s="33" t="str">
        <f>IFERROR(IF(COUNTIFS('Candidate Tracker'!$E:$E,'Positions Tracker'!$B235,'Candidate Tracker'!$C:$C,"&lt;&gt;WIP",'Candidate Tracker'!$C:$C,"&lt;&gt;Hold",'Candidate Tracker'!$C:$C,"&lt;&gt;Cancelled",'Candidate Tracker'!$C:$C,"&lt;&gt;Closed")/COUNTIFS('Candidate Tracker'!$E:$E,'Positions Tracker'!$B235)=0,"",COUNTIFS('Candidate Tracker'!$E:$E,'Positions Tracker'!$B235,'Candidate Tracker'!$C:$C,"&lt;&gt;WIP",'Candidate Tracker'!$C:$C,"&lt;&gt;Hold",'Candidate Tracker'!$C:$C,"&lt;&gt;Cancelled",'Candidate Tracker'!$C:$C,"&lt;&gt;Closed")/COUNTIFS('Candidate Tracker'!$E:$E,'Positions Tracker'!$B235)),"")</f>
        <v/>
      </c>
      <c r="BD235" s="30" t="str">
        <f t="shared" si="33"/>
        <v>Oct-25</v>
      </c>
      <c r="BE235" s="30" t="str">
        <f t="shared" si="34"/>
        <v/>
      </c>
      <c r="BF235" s="30" t="str">
        <f t="shared" si="35"/>
        <v/>
      </c>
      <c r="BG235" s="30" t="str">
        <f t="shared" si="36"/>
        <v/>
      </c>
    </row>
    <row r="236" spans="1:59">
      <c r="A236" s="166">
        <f t="shared" si="31"/>
        <v>235</v>
      </c>
      <c r="B236" s="176">
        <v>20259440</v>
      </c>
      <c r="C236" s="176" t="s">
        <v>2510</v>
      </c>
      <c r="D236" s="176" t="s">
        <v>4447</v>
      </c>
      <c r="E236" s="176" t="s">
        <v>4448</v>
      </c>
      <c r="F236" s="176" t="s">
        <v>4375</v>
      </c>
      <c r="G236" s="176" t="s">
        <v>1</v>
      </c>
      <c r="H236" s="176" t="s">
        <v>4429</v>
      </c>
      <c r="I236" s="176" t="s">
        <v>4449</v>
      </c>
      <c r="J236" s="176" t="s">
        <v>135</v>
      </c>
      <c r="K236" s="172">
        <v>45958</v>
      </c>
      <c r="L236" s="172">
        <v>45958</v>
      </c>
      <c r="M236" s="172">
        <v>45959</v>
      </c>
      <c r="N236" s="176" t="s">
        <v>4450</v>
      </c>
      <c r="O236" s="172"/>
      <c r="P236" s="172"/>
      <c r="Q236" s="172"/>
      <c r="R236" s="172"/>
      <c r="S236" s="172"/>
      <c r="T236" s="172"/>
      <c r="U236" s="176"/>
      <c r="V236" s="176"/>
      <c r="W236" s="176"/>
      <c r="X236" s="176" t="s">
        <v>3115</v>
      </c>
      <c r="Y236" s="176" t="s">
        <v>2408</v>
      </c>
      <c r="Z236" s="176" t="s">
        <v>2408</v>
      </c>
      <c r="AA236" s="176" t="s">
        <v>4451</v>
      </c>
      <c r="AB236" s="176"/>
      <c r="AC236" s="182"/>
      <c r="AD236" s="30"/>
      <c r="AE236" s="166" t="s">
        <v>4452</v>
      </c>
      <c r="AF236" s="252">
        <v>9359858682</v>
      </c>
      <c r="AG236" s="243" t="s">
        <v>4453</v>
      </c>
      <c r="AH236" s="244" t="s">
        <v>55</v>
      </c>
      <c r="AI236" s="244">
        <v>46013</v>
      </c>
      <c r="AJ236" s="168"/>
      <c r="AK236" s="30" t="s">
        <v>3115</v>
      </c>
      <c r="AL236" s="30"/>
      <c r="AM236" s="31">
        <v>46015</v>
      </c>
      <c r="AN236" s="31"/>
      <c r="AO236" s="31"/>
      <c r="AP236" s="31"/>
      <c r="AQ236" s="31"/>
      <c r="AR236" s="31"/>
      <c r="AS236" s="31"/>
      <c r="AT236" s="30">
        <f t="shared" ca="1" si="32"/>
        <v>0</v>
      </c>
      <c r="AU236" s="32">
        <f t="shared" ca="1" si="30"/>
        <v>70</v>
      </c>
      <c r="AV236" s="32" t="str" cm="1">
        <f t="array" aca="1" ref="AV236" ca="1">IFERROR(_xlfn.IFS($AU236="","",$AU236&lt;=15,"0-15",AND($AU236&gt;=16,$AU236&lt;=30),"16-30",AND($AU236&gt;=31,$AU236&lt;=45),"31-45",AND($AU236&gt;=46,$AU236&lt;=60),"46-60",AND($AU236&gt;=61,$AU236&lt;=90),"61-90",AND($AU236&gt;=91),"&gt; 90",AND($AU236&gt;=2000),""),"")</f>
        <v>61-90</v>
      </c>
      <c r="AW236" s="32" t="str" cm="1">
        <f t="array" aca="1" ref="AW236" ca="1">IFERROR(_xlfn.IFS(OR($M236="",$AM236=""),"",OR($C236="Offered",$C236="Joined"),($AM236-$M236)-$AT236),"")</f>
        <v/>
      </c>
      <c r="AX236" s="32" t="str" cm="1">
        <f t="array" aca="1" ref="AX236" ca="1">IFERROR(_xlfn.IFS(OR($M236="",$AS236=""),"",$C236="Joined",($AS236-$M236)-$AT236),"")</f>
        <v/>
      </c>
      <c r="AY236" s="30" t="str">
        <f>IFERROR(IF(COUNTIFS('Candidate Tracker'!$E:$E,'Positions Tracker'!$B236,'Candidate Tracker'!$C:$C,"Offer Drop")=0,"",COUNTIFS('Candidate Tracker'!$E:$E,'Positions Tracker'!$B236,'Candidate Tracker'!$C:$C,"Offer Drop")),"")</f>
        <v/>
      </c>
      <c r="AZ2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6" s="34" t="str">
        <f>IFERROR(IF(COUNTIFS('Candidate Tracker'!$E:$E,'Positions Tracker'!$B236,'Candidate Tracker'!$I:$I,"Female")=0,"",COUNTIFS('Candidate Tracker'!$E:$E,'Positions Tracker'!$B236,'Candidate Tracker'!$I:$I,"Female")),"")</f>
        <v/>
      </c>
      <c r="BB236" s="34" t="str">
        <f>IFERROR(IF(COUNTIFS('Candidate Tracker'!$E:$E,'Positions Tracker'!$B236,'Candidate Tracker'!$I:$I,"male")=0,"",COUNTIFS('Candidate Tracker'!$E:$E,'Positions Tracker'!$B236,'Candidate Tracker'!$I:$I,"male")),"")</f>
        <v/>
      </c>
      <c r="BC236" s="33" t="str">
        <f>IFERROR(IF(COUNTIFS('Candidate Tracker'!$E:$E,'Positions Tracker'!$B236,'Candidate Tracker'!$C:$C,"&lt;&gt;WIP",'Candidate Tracker'!$C:$C,"&lt;&gt;Hold",'Candidate Tracker'!$C:$C,"&lt;&gt;Cancelled",'Candidate Tracker'!$C:$C,"&lt;&gt;Closed")/COUNTIFS('Candidate Tracker'!$E:$E,'Positions Tracker'!$B236)=0,"",COUNTIFS('Candidate Tracker'!$E:$E,'Positions Tracker'!$B236,'Candidate Tracker'!$C:$C,"&lt;&gt;WIP",'Candidate Tracker'!$C:$C,"&lt;&gt;Hold",'Candidate Tracker'!$C:$C,"&lt;&gt;Cancelled",'Candidate Tracker'!$C:$C,"&lt;&gt;Closed")/COUNTIFS('Candidate Tracker'!$E:$E,'Positions Tracker'!$B236)),"")</f>
        <v/>
      </c>
      <c r="BD236" s="30" t="str">
        <f t="shared" si="33"/>
        <v>Oct-25</v>
      </c>
      <c r="BE236" s="30" t="str">
        <f t="shared" si="34"/>
        <v>Dec-25</v>
      </c>
      <c r="BF236" s="30" t="str">
        <f t="shared" si="35"/>
        <v>Dec-25</v>
      </c>
      <c r="BG236" s="30" t="str">
        <f t="shared" si="36"/>
        <v/>
      </c>
    </row>
    <row r="237" spans="1:59" ht="29">
      <c r="A237" s="166">
        <f t="shared" si="31"/>
        <v>236</v>
      </c>
      <c r="B237" s="176">
        <v>20259441</v>
      </c>
      <c r="C237" s="176" t="s">
        <v>2</v>
      </c>
      <c r="D237" s="176" t="s">
        <v>1475</v>
      </c>
      <c r="E237" s="176" t="s">
        <v>4448</v>
      </c>
      <c r="F237" s="176" t="s">
        <v>4375</v>
      </c>
      <c r="G237" s="176" t="s">
        <v>1</v>
      </c>
      <c r="H237" s="176" t="s">
        <v>4429</v>
      </c>
      <c r="I237" s="178" t="s">
        <v>4449</v>
      </c>
      <c r="J237" s="176" t="s">
        <v>135</v>
      </c>
      <c r="K237" s="172">
        <v>45958</v>
      </c>
      <c r="L237" s="172">
        <v>45958</v>
      </c>
      <c r="M237" s="172">
        <v>45959</v>
      </c>
      <c r="N237" s="176" t="s">
        <v>4289</v>
      </c>
      <c r="O237" s="172"/>
      <c r="P237" s="172"/>
      <c r="Q237" s="172"/>
      <c r="R237" s="172"/>
      <c r="S237" s="172"/>
      <c r="T237" s="172"/>
      <c r="U237" s="176"/>
      <c r="V237" s="176"/>
      <c r="W237" s="176"/>
      <c r="X237" s="176" t="s">
        <v>3115</v>
      </c>
      <c r="Y237" s="176" t="s">
        <v>2408</v>
      </c>
      <c r="Z237" s="176" t="s">
        <v>2408</v>
      </c>
      <c r="AA237" s="178" t="s">
        <v>4454</v>
      </c>
      <c r="AB237" s="176"/>
      <c r="AC237" s="182"/>
      <c r="AD237" s="30"/>
      <c r="AE237" s="30"/>
      <c r="AF237" s="169"/>
      <c r="AG237" s="169"/>
      <c r="AH237" s="174"/>
      <c r="AI237" s="174"/>
      <c r="AJ237" s="31"/>
      <c r="AK237" s="30"/>
      <c r="AL237" s="30"/>
      <c r="AM237" s="31"/>
      <c r="AN237" s="31"/>
      <c r="AO237" s="31"/>
      <c r="AP237" s="31"/>
      <c r="AQ237" s="31"/>
      <c r="AR237" s="31"/>
      <c r="AS237" s="31"/>
      <c r="AT237" s="30">
        <f t="shared" ca="1" si="32"/>
        <v>0</v>
      </c>
      <c r="AU237" s="32">
        <f t="shared" ca="1" si="30"/>
        <v>70</v>
      </c>
      <c r="AV237" s="32" t="str" cm="1">
        <f t="array" aca="1" ref="AV237" ca="1">IFERROR(_xlfn.IFS($AU237="","",$AU237&lt;=15,"0-15",AND($AU237&gt;=16,$AU237&lt;=30),"16-30",AND($AU237&gt;=31,$AU237&lt;=45),"31-45",AND($AU237&gt;=46,$AU237&lt;=60),"46-60",AND($AU237&gt;=61,$AU237&lt;=90),"61-90",AND($AU237&gt;=91),"&gt; 90",AND($AU237&gt;=2000),""),"")</f>
        <v>61-90</v>
      </c>
      <c r="AW237" s="32" t="str" cm="1">
        <f t="array" aca="1" ref="AW237" ca="1">IFERROR(_xlfn.IFS(OR($M237="",$AM237=""),"",OR($C237="Offered",$C237="Joined"),($AM237-$M237)-$AT237),"")</f>
        <v/>
      </c>
      <c r="AX237" s="32" t="str" cm="1">
        <f t="array" aca="1" ref="AX237" ca="1">IFERROR(_xlfn.IFS(OR($M237="",$AS237=""),"",$C237="Joined",($AS237-$M237)-$AT237),"")</f>
        <v/>
      </c>
      <c r="AY237" s="30" t="str">
        <f>IFERROR(IF(COUNTIFS('Candidate Tracker'!$E:$E,'Positions Tracker'!$B237,'Candidate Tracker'!$C:$C,"Offer Drop")=0,"",COUNTIFS('Candidate Tracker'!$E:$E,'Positions Tracker'!$B237,'Candidate Tracker'!$C:$C,"Offer Drop")),"")</f>
        <v/>
      </c>
      <c r="AZ2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7" s="34" t="str">
        <f>IFERROR(IF(COUNTIFS('Candidate Tracker'!$E:$E,'Positions Tracker'!$B237,'Candidate Tracker'!$I:$I,"Female")=0,"",COUNTIFS('Candidate Tracker'!$E:$E,'Positions Tracker'!$B237,'Candidate Tracker'!$I:$I,"Female")),"")</f>
        <v/>
      </c>
      <c r="BB237" s="34" t="str">
        <f>IFERROR(IF(COUNTIFS('Candidate Tracker'!$E:$E,'Positions Tracker'!$B237,'Candidate Tracker'!$I:$I,"male")=0,"",COUNTIFS('Candidate Tracker'!$E:$E,'Positions Tracker'!$B237,'Candidate Tracker'!$I:$I,"male")),"")</f>
        <v/>
      </c>
      <c r="BC237" s="33" t="str">
        <f>IFERROR(IF(COUNTIFS('Candidate Tracker'!$E:$E,'Positions Tracker'!$B237,'Candidate Tracker'!$C:$C,"&lt;&gt;WIP",'Candidate Tracker'!$C:$C,"&lt;&gt;Hold",'Candidate Tracker'!$C:$C,"&lt;&gt;Cancelled",'Candidate Tracker'!$C:$C,"&lt;&gt;Closed")/COUNTIFS('Candidate Tracker'!$E:$E,'Positions Tracker'!$B237)=0,"",COUNTIFS('Candidate Tracker'!$E:$E,'Positions Tracker'!$B237,'Candidate Tracker'!$C:$C,"&lt;&gt;WIP",'Candidate Tracker'!$C:$C,"&lt;&gt;Hold",'Candidate Tracker'!$C:$C,"&lt;&gt;Cancelled",'Candidate Tracker'!$C:$C,"&lt;&gt;Closed")/COUNTIFS('Candidate Tracker'!$E:$E,'Positions Tracker'!$B237)),"")</f>
        <v/>
      </c>
      <c r="BD237" s="30" t="str">
        <f t="shared" si="33"/>
        <v>Oct-25</v>
      </c>
      <c r="BE237" s="30" t="str">
        <f t="shared" si="34"/>
        <v/>
      </c>
      <c r="BF237" s="30" t="str">
        <f t="shared" si="35"/>
        <v/>
      </c>
      <c r="BG237" s="30" t="str">
        <f t="shared" si="36"/>
        <v/>
      </c>
    </row>
    <row r="238" spans="1:59">
      <c r="A238" s="30">
        <f t="shared" si="31"/>
        <v>237</v>
      </c>
      <c r="B238" s="169">
        <v>20259624</v>
      </c>
      <c r="C238" s="169" t="s">
        <v>840</v>
      </c>
      <c r="D238" s="169" t="s">
        <v>841</v>
      </c>
      <c r="E238" s="169" t="s">
        <v>3256</v>
      </c>
      <c r="F238" s="169" t="s">
        <v>4375</v>
      </c>
      <c r="G238" s="169" t="s">
        <v>1</v>
      </c>
      <c r="H238" s="169" t="s">
        <v>4429</v>
      </c>
      <c r="I238" s="169" t="s">
        <v>4449</v>
      </c>
      <c r="J238" s="169" t="s">
        <v>135</v>
      </c>
      <c r="K238" s="174">
        <v>45958</v>
      </c>
      <c r="L238" s="174">
        <v>45958</v>
      </c>
      <c r="M238" s="174">
        <v>45958</v>
      </c>
      <c r="N238" s="169" t="s">
        <v>4445</v>
      </c>
      <c r="O238" s="174"/>
      <c r="P238" s="174"/>
      <c r="Q238" s="174"/>
      <c r="R238" s="174"/>
      <c r="S238" s="174"/>
      <c r="T238" s="174"/>
      <c r="U238" s="169"/>
      <c r="V238" s="169"/>
      <c r="W238" s="169"/>
      <c r="X238" s="169" t="s">
        <v>3115</v>
      </c>
      <c r="Y238" s="169" t="s">
        <v>2408</v>
      </c>
      <c r="Z238" s="169" t="s">
        <v>2408</v>
      </c>
      <c r="AA238" s="169" t="s">
        <v>4455</v>
      </c>
      <c r="AB238" s="169"/>
      <c r="AC238" s="30"/>
      <c r="AD238" s="30"/>
      <c r="AE238" s="30" t="s">
        <v>4456</v>
      </c>
      <c r="AF238" s="162">
        <v>9607019210</v>
      </c>
      <c r="AG238" s="162" t="s">
        <v>4457</v>
      </c>
      <c r="AH238" s="31" t="s">
        <v>55</v>
      </c>
      <c r="AI238" s="31">
        <v>45971</v>
      </c>
      <c r="AJ238" s="31">
        <v>45986</v>
      </c>
      <c r="AK238" s="30" t="s">
        <v>890</v>
      </c>
      <c r="AL238" s="30" t="s">
        <v>4458</v>
      </c>
      <c r="AM238" s="31">
        <v>45982</v>
      </c>
      <c r="AN238" s="31">
        <v>45986</v>
      </c>
      <c r="AO238" s="31"/>
      <c r="AP238" s="31">
        <v>45988</v>
      </c>
      <c r="AQ238" s="31">
        <v>45989</v>
      </c>
      <c r="AR238" s="31"/>
      <c r="AS238" s="31">
        <v>46069</v>
      </c>
      <c r="AT238" s="30">
        <f t="shared" ca="1" si="32"/>
        <v>0</v>
      </c>
      <c r="AU238" s="32" t="str">
        <f t="shared" ca="1" si="30"/>
        <v/>
      </c>
      <c r="AV238" s="32" t="str" cm="1">
        <f t="array" aca="1" ref="AV238" ca="1">IFERROR(_xlfn.IFS($AU238="","",$AU238&lt;=15,"0-15",AND($AU238&gt;=16,$AU238&lt;=30),"16-30",AND($AU238&gt;=31,$AU238&lt;=45),"31-45",AND($AU238&gt;=46,$AU238&lt;=60),"46-60",AND($AU238&gt;=61,$AU238&lt;=90),"61-90",AND($AU238&gt;=91),"&gt; 90",AND($AU238&gt;=2000),""),"")</f>
        <v/>
      </c>
      <c r="AW238" s="32" cm="1">
        <f t="array" aca="1" ref="AW238" ca="1">IFERROR(_xlfn.IFS(OR($M238="",$AM238=""),"",OR($C238="Offered",$C238="Joined"),($AM238-$M238)-$AT238),"")</f>
        <v>24</v>
      </c>
      <c r="AX238" s="32" t="str" cm="1">
        <f t="array" aca="1" ref="AX238" ca="1">IFERROR(_xlfn.IFS(OR($M238="",$AS238=""),"",$C238="Joined",($AS238-$M238)-$AT238),"")</f>
        <v/>
      </c>
      <c r="AY238" s="30" t="str">
        <f>IFERROR(IF(COUNTIFS('Candidate Tracker'!$E:$E,'Positions Tracker'!$B238,'Candidate Tracker'!$C:$C,"Offer Drop")=0,"",COUNTIFS('Candidate Tracker'!$E:$E,'Positions Tracker'!$B238,'Candidate Tracker'!$C:$C,"Offer Drop")),"")</f>
        <v/>
      </c>
      <c r="AZ2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8" s="34" t="str">
        <f>IFERROR(IF(COUNTIFS('Candidate Tracker'!$E:$E,'Positions Tracker'!$B238,'Candidate Tracker'!$I:$I,"Female")=0,"",COUNTIFS('Candidate Tracker'!$E:$E,'Positions Tracker'!$B238,'Candidate Tracker'!$I:$I,"Female")),"")</f>
        <v/>
      </c>
      <c r="BB238" s="34" t="str">
        <f>IFERROR(IF(COUNTIFS('Candidate Tracker'!$E:$E,'Positions Tracker'!$B238,'Candidate Tracker'!$I:$I,"male")=0,"",COUNTIFS('Candidate Tracker'!$E:$E,'Positions Tracker'!$B238,'Candidate Tracker'!$I:$I,"male")),"")</f>
        <v/>
      </c>
      <c r="BC238" s="33" t="str">
        <f>IFERROR(IF(COUNTIFS('Candidate Tracker'!$E:$E,'Positions Tracker'!$B238,'Candidate Tracker'!$C:$C,"&lt;&gt;WIP",'Candidate Tracker'!$C:$C,"&lt;&gt;Hold",'Candidate Tracker'!$C:$C,"&lt;&gt;Cancelled",'Candidate Tracker'!$C:$C,"&lt;&gt;Closed")/COUNTIFS('Candidate Tracker'!$E:$E,'Positions Tracker'!$B238)=0,"",COUNTIFS('Candidate Tracker'!$E:$E,'Positions Tracker'!$B238,'Candidate Tracker'!$C:$C,"&lt;&gt;WIP",'Candidate Tracker'!$C:$C,"&lt;&gt;Hold",'Candidate Tracker'!$C:$C,"&lt;&gt;Cancelled",'Candidate Tracker'!$C:$C,"&lt;&gt;Closed")/COUNTIFS('Candidate Tracker'!$E:$E,'Positions Tracker'!$B238)),"")</f>
        <v/>
      </c>
      <c r="BD238" s="30" t="str">
        <f t="shared" si="33"/>
        <v>Oct-25</v>
      </c>
      <c r="BE238" s="30" t="str">
        <f t="shared" si="34"/>
        <v>Nov-25</v>
      </c>
      <c r="BF238" s="30" t="str">
        <f t="shared" si="35"/>
        <v>Nov-25</v>
      </c>
      <c r="BG238" s="30" t="str">
        <f t="shared" si="36"/>
        <v>Feb-26</v>
      </c>
    </row>
    <row r="239" spans="1:59">
      <c r="A239" s="30">
        <f t="shared" si="31"/>
        <v>238</v>
      </c>
      <c r="B239" s="162">
        <v>20260252</v>
      </c>
      <c r="C239" s="162" t="s">
        <v>840</v>
      </c>
      <c r="D239" s="162" t="s">
        <v>51</v>
      </c>
      <c r="E239" s="162" t="s">
        <v>3256</v>
      </c>
      <c r="F239" s="162" t="s">
        <v>4035</v>
      </c>
      <c r="G239" s="162" t="s">
        <v>1</v>
      </c>
      <c r="H239" s="162" t="s">
        <v>4429</v>
      </c>
      <c r="I239" s="162" t="s">
        <v>4459</v>
      </c>
      <c r="J239" s="162" t="s">
        <v>135</v>
      </c>
      <c r="K239" s="173">
        <v>45957</v>
      </c>
      <c r="L239" s="173">
        <v>45957</v>
      </c>
      <c r="M239" s="173">
        <v>45957</v>
      </c>
      <c r="N239" s="162" t="s">
        <v>4445</v>
      </c>
      <c r="O239" s="173"/>
      <c r="P239" s="173"/>
      <c r="Q239" s="173"/>
      <c r="R239" s="173"/>
      <c r="S239" s="173"/>
      <c r="T239" s="173"/>
      <c r="U239" s="162"/>
      <c r="V239" s="162"/>
      <c r="W239" s="162"/>
      <c r="X239" s="162" t="s">
        <v>3115</v>
      </c>
      <c r="Y239" s="162" t="s">
        <v>2408</v>
      </c>
      <c r="Z239" s="162" t="s">
        <v>2408</v>
      </c>
      <c r="AA239" s="162" t="s">
        <v>4460</v>
      </c>
      <c r="AB239" s="162"/>
      <c r="AC239" s="30"/>
      <c r="AD239" s="30"/>
      <c r="AE239" s="166" t="s">
        <v>4461</v>
      </c>
      <c r="AF239" s="165">
        <v>7350964050</v>
      </c>
      <c r="AG239" s="165" t="s">
        <v>4462</v>
      </c>
      <c r="AH239" s="168" t="s">
        <v>55</v>
      </c>
      <c r="AI239" s="31">
        <v>45968</v>
      </c>
      <c r="AJ239" s="31"/>
      <c r="AK239" s="30" t="s">
        <v>890</v>
      </c>
      <c r="AL239" s="30" t="s">
        <v>4463</v>
      </c>
      <c r="AM239" s="31">
        <v>45973</v>
      </c>
      <c r="AN239" s="31">
        <v>45975</v>
      </c>
      <c r="AO239" s="31"/>
      <c r="AP239" s="31">
        <v>45979</v>
      </c>
      <c r="AQ239" s="31">
        <v>45979</v>
      </c>
      <c r="AR239" s="31"/>
      <c r="AS239" s="31">
        <v>46002</v>
      </c>
      <c r="AT239" s="30">
        <f t="shared" ca="1" si="32"/>
        <v>0</v>
      </c>
      <c r="AU239" s="32" t="str">
        <f t="shared" ca="1" si="30"/>
        <v/>
      </c>
      <c r="AV239" s="32" t="str" cm="1">
        <f t="array" aca="1" ref="AV239" ca="1">IFERROR(_xlfn.IFS($AU239="","",$AU239&lt;=15,"0-15",AND($AU239&gt;=16,$AU239&lt;=30),"16-30",AND($AU239&gt;=31,$AU239&lt;=45),"31-45",AND($AU239&gt;=46,$AU239&lt;=60),"46-60",AND($AU239&gt;=61,$AU239&lt;=90),"61-90",AND($AU239&gt;=91),"&gt; 90",AND($AU239&gt;=2000),""),"")</f>
        <v/>
      </c>
      <c r="AW239" s="32" cm="1">
        <f t="array" aca="1" ref="AW239" ca="1">IFERROR(_xlfn.IFS(OR($M239="",$AM239=""),"",OR($C239="Offered",$C239="Joined"),($AM239-$M239)-$AT239),"")</f>
        <v>16</v>
      </c>
      <c r="AX239" s="32" t="str" cm="1">
        <f t="array" aca="1" ref="AX239" ca="1">IFERROR(_xlfn.IFS(OR($M239="",$AS239=""),"",$C239="Joined",($AS239-$M239)-$AT239),"")</f>
        <v/>
      </c>
      <c r="AY239" s="30" t="str">
        <f>IFERROR(IF(COUNTIFS('Candidate Tracker'!$E:$E,'Positions Tracker'!$B239,'Candidate Tracker'!$C:$C,"Offer Drop")=0,"",COUNTIFS('Candidate Tracker'!$E:$E,'Positions Tracker'!$B239,'Candidate Tracker'!$C:$C,"Offer Drop")),"")</f>
        <v/>
      </c>
      <c r="AZ2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39" s="34" t="str">
        <f>IFERROR(IF(COUNTIFS('Candidate Tracker'!$E:$E,'Positions Tracker'!$B239,'Candidate Tracker'!$I:$I,"Female")=0,"",COUNTIFS('Candidate Tracker'!$E:$E,'Positions Tracker'!$B239,'Candidate Tracker'!$I:$I,"Female")),"")</f>
        <v/>
      </c>
      <c r="BB239" s="34" t="str">
        <f>IFERROR(IF(COUNTIFS('Candidate Tracker'!$E:$E,'Positions Tracker'!$B239,'Candidate Tracker'!$I:$I,"male")=0,"",COUNTIFS('Candidate Tracker'!$E:$E,'Positions Tracker'!$B239,'Candidate Tracker'!$I:$I,"male")),"")</f>
        <v/>
      </c>
      <c r="BC239" s="33" t="str">
        <f>IFERROR(IF(COUNTIFS('Candidate Tracker'!$E:$E,'Positions Tracker'!$B239,'Candidate Tracker'!$C:$C,"&lt;&gt;WIP",'Candidate Tracker'!$C:$C,"&lt;&gt;Hold",'Candidate Tracker'!$C:$C,"&lt;&gt;Cancelled",'Candidate Tracker'!$C:$C,"&lt;&gt;Closed")/COUNTIFS('Candidate Tracker'!$E:$E,'Positions Tracker'!$B239)=0,"",COUNTIFS('Candidate Tracker'!$E:$E,'Positions Tracker'!$B239,'Candidate Tracker'!$C:$C,"&lt;&gt;WIP",'Candidate Tracker'!$C:$C,"&lt;&gt;Hold",'Candidate Tracker'!$C:$C,"&lt;&gt;Cancelled",'Candidate Tracker'!$C:$C,"&lt;&gt;Closed")/COUNTIFS('Candidate Tracker'!$E:$E,'Positions Tracker'!$B239)),"")</f>
        <v/>
      </c>
      <c r="BD239" s="30" t="str">
        <f t="shared" si="33"/>
        <v>Oct-25</v>
      </c>
      <c r="BE239" s="30" t="str">
        <f t="shared" si="34"/>
        <v>Nov-25</v>
      </c>
      <c r="BF239" s="30" t="str">
        <f t="shared" si="35"/>
        <v>Nov-25</v>
      </c>
      <c r="BG239" s="30" t="str">
        <f t="shared" si="36"/>
        <v>Dec-25</v>
      </c>
    </row>
    <row r="240" spans="1:59" ht="29">
      <c r="A240" s="166">
        <f t="shared" si="31"/>
        <v>239</v>
      </c>
      <c r="B240" s="176">
        <v>20261131</v>
      </c>
      <c r="C240" s="176" t="s">
        <v>2510</v>
      </c>
      <c r="D240" s="176" t="s">
        <v>4447</v>
      </c>
      <c r="E240" s="176" t="s">
        <v>4013</v>
      </c>
      <c r="F240" s="176" t="s">
        <v>3883</v>
      </c>
      <c r="G240" s="176" t="s">
        <v>1</v>
      </c>
      <c r="H240" s="176" t="s">
        <v>4429</v>
      </c>
      <c r="I240" s="178" t="s">
        <v>4464</v>
      </c>
      <c r="J240" s="176" t="s">
        <v>135</v>
      </c>
      <c r="K240" s="172">
        <v>45957</v>
      </c>
      <c r="L240" s="172">
        <v>45957</v>
      </c>
      <c r="M240" s="172">
        <v>45958</v>
      </c>
      <c r="N240" s="176" t="s">
        <v>4445</v>
      </c>
      <c r="O240" s="172"/>
      <c r="P240" s="172"/>
      <c r="Q240" s="172"/>
      <c r="R240" s="172"/>
      <c r="S240" s="172"/>
      <c r="T240" s="172"/>
      <c r="U240" s="176"/>
      <c r="V240" s="176"/>
      <c r="W240" s="176"/>
      <c r="X240" s="176" t="s">
        <v>3115</v>
      </c>
      <c r="Y240" s="176" t="s">
        <v>2408</v>
      </c>
      <c r="Z240" s="176" t="s">
        <v>2408</v>
      </c>
      <c r="AA240" s="178" t="s">
        <v>4454</v>
      </c>
      <c r="AB240" s="176"/>
      <c r="AC240" s="182"/>
      <c r="AD240" s="30"/>
      <c r="AE240" s="30"/>
      <c r="AF240" s="169"/>
      <c r="AG240" s="169"/>
      <c r="AH240" s="31"/>
      <c r="AI240" s="31"/>
      <c r="AJ240" s="31"/>
      <c r="AK240" s="30"/>
      <c r="AL240" s="30"/>
      <c r="AM240" s="31"/>
      <c r="AN240" s="31"/>
      <c r="AO240" s="31"/>
      <c r="AP240" s="31"/>
      <c r="AQ240" s="31"/>
      <c r="AR240" s="31"/>
      <c r="AS240" s="31"/>
      <c r="AT240" s="30">
        <f t="shared" ca="1" si="32"/>
        <v>0</v>
      </c>
      <c r="AU240" s="32">
        <f t="shared" ca="1" si="30"/>
        <v>71</v>
      </c>
      <c r="AV240" s="32" t="str" cm="1">
        <f t="array" aca="1" ref="AV240" ca="1">IFERROR(_xlfn.IFS($AU240="","",$AU240&lt;=15,"0-15",AND($AU240&gt;=16,$AU240&lt;=30),"16-30",AND($AU240&gt;=31,$AU240&lt;=45),"31-45",AND($AU240&gt;=46,$AU240&lt;=60),"46-60",AND($AU240&gt;=61,$AU240&lt;=90),"61-90",AND($AU240&gt;=91),"&gt; 90",AND($AU240&gt;=2000),""),"")</f>
        <v>61-90</v>
      </c>
      <c r="AW240" s="32" t="str" cm="1">
        <f t="array" aca="1" ref="AW240" ca="1">IFERROR(_xlfn.IFS(OR($M240="",$AM240=""),"",OR($C240="Offered",$C240="Joined"),($AM240-$M240)-$AT240),"")</f>
        <v/>
      </c>
      <c r="AX240" s="32" t="str" cm="1">
        <f t="array" aca="1" ref="AX240" ca="1">IFERROR(_xlfn.IFS(OR($M240="",$AS240=""),"",$C240="Joined",($AS240-$M240)-$AT240),"")</f>
        <v/>
      </c>
      <c r="AY240" s="30" t="str">
        <f>IFERROR(IF(COUNTIFS('Candidate Tracker'!$E:$E,'Positions Tracker'!$B240,'Candidate Tracker'!$C:$C,"Offer Drop")=0,"",COUNTIFS('Candidate Tracker'!$E:$E,'Positions Tracker'!$B240,'Candidate Tracker'!$C:$C,"Offer Drop")),"")</f>
        <v/>
      </c>
      <c r="AZ2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0" s="34" t="str">
        <f>IFERROR(IF(COUNTIFS('Candidate Tracker'!$E:$E,'Positions Tracker'!$B240,'Candidate Tracker'!$I:$I,"Female")=0,"",COUNTIFS('Candidate Tracker'!$E:$E,'Positions Tracker'!$B240,'Candidate Tracker'!$I:$I,"Female")),"")</f>
        <v/>
      </c>
      <c r="BB240" s="34" t="str">
        <f>IFERROR(IF(COUNTIFS('Candidate Tracker'!$E:$E,'Positions Tracker'!$B240,'Candidate Tracker'!$I:$I,"male")=0,"",COUNTIFS('Candidate Tracker'!$E:$E,'Positions Tracker'!$B240,'Candidate Tracker'!$I:$I,"male")),"")</f>
        <v/>
      </c>
      <c r="BC240" s="33" t="str">
        <f>IFERROR(IF(COUNTIFS('Candidate Tracker'!$E:$E,'Positions Tracker'!$B240,'Candidate Tracker'!$C:$C,"&lt;&gt;WIP",'Candidate Tracker'!$C:$C,"&lt;&gt;Hold",'Candidate Tracker'!$C:$C,"&lt;&gt;Cancelled",'Candidate Tracker'!$C:$C,"&lt;&gt;Closed")/COUNTIFS('Candidate Tracker'!$E:$E,'Positions Tracker'!$B240)=0,"",COUNTIFS('Candidate Tracker'!$E:$E,'Positions Tracker'!$B240,'Candidate Tracker'!$C:$C,"&lt;&gt;WIP",'Candidate Tracker'!$C:$C,"&lt;&gt;Hold",'Candidate Tracker'!$C:$C,"&lt;&gt;Cancelled",'Candidate Tracker'!$C:$C,"&lt;&gt;Closed")/COUNTIFS('Candidate Tracker'!$E:$E,'Positions Tracker'!$B240)),"")</f>
        <v/>
      </c>
      <c r="BD240" s="30" t="str">
        <f t="shared" si="33"/>
        <v>Oct-25</v>
      </c>
      <c r="BE240" s="30" t="str">
        <f t="shared" si="34"/>
        <v/>
      </c>
      <c r="BF240" s="30" t="str">
        <f t="shared" si="35"/>
        <v/>
      </c>
      <c r="BG240" s="30" t="str">
        <f t="shared" si="36"/>
        <v/>
      </c>
    </row>
    <row r="241" spans="1:59">
      <c r="A241" s="30">
        <f t="shared" si="31"/>
        <v>240</v>
      </c>
      <c r="B241" s="169">
        <v>20261824</v>
      </c>
      <c r="C241" s="169" t="s">
        <v>2510</v>
      </c>
      <c r="D241" s="169" t="s">
        <v>2511</v>
      </c>
      <c r="E241" s="169" t="s">
        <v>4465</v>
      </c>
      <c r="F241" s="169" t="s">
        <v>3869</v>
      </c>
      <c r="G241" s="169" t="s">
        <v>3</v>
      </c>
      <c r="H241" s="169" t="s">
        <v>66</v>
      </c>
      <c r="I241" s="169" t="s">
        <v>4062</v>
      </c>
      <c r="J241" s="169"/>
      <c r="K241" s="174">
        <v>45960</v>
      </c>
      <c r="L241" s="174">
        <v>45960</v>
      </c>
      <c r="M241" s="174">
        <v>45960</v>
      </c>
      <c r="N241" s="169" t="s">
        <v>4466</v>
      </c>
      <c r="O241" s="174"/>
      <c r="P241" s="174"/>
      <c r="Q241" s="174"/>
      <c r="R241" s="174"/>
      <c r="S241" s="174"/>
      <c r="T241" s="174"/>
      <c r="U241" s="169"/>
      <c r="V241" s="169"/>
      <c r="W241" s="169"/>
      <c r="X241" s="169" t="s">
        <v>63</v>
      </c>
      <c r="Y241" s="169" t="s">
        <v>2679</v>
      </c>
      <c r="Z241" s="169" t="s">
        <v>2679</v>
      </c>
      <c r="AA241" s="169" t="s">
        <v>4467</v>
      </c>
      <c r="AB241" s="169"/>
      <c r="AC241" s="30"/>
      <c r="AD241" s="30"/>
      <c r="AE241" s="30"/>
      <c r="AF241" s="30"/>
      <c r="AG241" s="30"/>
      <c r="AH241" s="31"/>
      <c r="AI241" s="31"/>
      <c r="AJ241" s="31"/>
      <c r="AK241" s="30"/>
      <c r="AL241" s="30"/>
      <c r="AM241" s="31"/>
      <c r="AN241" s="31"/>
      <c r="AO241" s="31"/>
      <c r="AP241" s="31"/>
      <c r="AQ241" s="31"/>
      <c r="AR241" s="31"/>
      <c r="AS241" s="31"/>
      <c r="AT241" s="30">
        <f t="shared" ca="1" si="32"/>
        <v>0</v>
      </c>
      <c r="AU241" s="32">
        <f t="shared" ca="1" si="30"/>
        <v>69</v>
      </c>
      <c r="AV241" s="32" t="str" cm="1">
        <f t="array" aca="1" ref="AV241" ca="1">IFERROR(_xlfn.IFS($AU241="","",$AU241&lt;=15,"0-15",AND($AU241&gt;=16,$AU241&lt;=30),"16-30",AND($AU241&gt;=31,$AU241&lt;=45),"31-45",AND($AU241&gt;=46,$AU241&lt;=60),"46-60",AND($AU241&gt;=61,$AU241&lt;=90),"61-90",AND($AU241&gt;=91),"&gt; 90",AND($AU241&gt;=2000),""),"")</f>
        <v>61-90</v>
      </c>
      <c r="AW241" s="32" t="str" cm="1">
        <f t="array" aca="1" ref="AW241" ca="1">IFERROR(_xlfn.IFS(OR($M241="",$AM241=""),"",OR($C241="Offered",$C241="Joined"),($AM241-$M241)-$AT241),"")</f>
        <v/>
      </c>
      <c r="AX241" s="32" t="str" cm="1">
        <f t="array" aca="1" ref="AX241" ca="1">IFERROR(_xlfn.IFS(OR($M241="",$AS241=""),"",$C241="Joined",($AS241-$M241)-$AT241),"")</f>
        <v/>
      </c>
      <c r="AY241" s="30" t="str">
        <f>IFERROR(IF(COUNTIFS('Candidate Tracker'!$E:$E,'Positions Tracker'!$B241,'Candidate Tracker'!$C:$C,"Offer Drop")=0,"",COUNTIFS('Candidate Tracker'!$E:$E,'Positions Tracker'!$B241,'Candidate Tracker'!$C:$C,"Offer Drop")),"")</f>
        <v/>
      </c>
      <c r="AZ2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1" s="34" t="str">
        <f>IFERROR(IF(COUNTIFS('Candidate Tracker'!$E:$E,'Positions Tracker'!$B241,'Candidate Tracker'!$I:$I,"Female")=0,"",COUNTIFS('Candidate Tracker'!$E:$E,'Positions Tracker'!$B241,'Candidate Tracker'!$I:$I,"Female")),"")</f>
        <v/>
      </c>
      <c r="BB241" s="34" t="str">
        <f>IFERROR(IF(COUNTIFS('Candidate Tracker'!$E:$E,'Positions Tracker'!$B241,'Candidate Tracker'!$I:$I,"male")=0,"",COUNTIFS('Candidate Tracker'!$E:$E,'Positions Tracker'!$B241,'Candidate Tracker'!$I:$I,"male")),"")</f>
        <v/>
      </c>
      <c r="BC241" s="33" t="str">
        <f>IFERROR(IF(COUNTIFS('Candidate Tracker'!$E:$E,'Positions Tracker'!$B241,'Candidate Tracker'!$C:$C,"&lt;&gt;WIP",'Candidate Tracker'!$C:$C,"&lt;&gt;Hold",'Candidate Tracker'!$C:$C,"&lt;&gt;Cancelled",'Candidate Tracker'!$C:$C,"&lt;&gt;Closed")/COUNTIFS('Candidate Tracker'!$E:$E,'Positions Tracker'!$B241)=0,"",COUNTIFS('Candidate Tracker'!$E:$E,'Positions Tracker'!$B241,'Candidate Tracker'!$C:$C,"&lt;&gt;WIP",'Candidate Tracker'!$C:$C,"&lt;&gt;Hold",'Candidate Tracker'!$C:$C,"&lt;&gt;Cancelled",'Candidate Tracker'!$C:$C,"&lt;&gt;Closed")/COUNTIFS('Candidate Tracker'!$E:$E,'Positions Tracker'!$B241)),"")</f>
        <v/>
      </c>
      <c r="BD241" s="30" t="str">
        <f t="shared" si="33"/>
        <v>Oct-25</v>
      </c>
      <c r="BE241" s="30" t="str">
        <f t="shared" si="34"/>
        <v/>
      </c>
      <c r="BF241" s="30" t="str">
        <f t="shared" si="35"/>
        <v/>
      </c>
      <c r="BG241" s="30" t="str">
        <f t="shared" si="36"/>
        <v/>
      </c>
    </row>
    <row r="242" spans="1:59">
      <c r="A242" s="30">
        <f t="shared" si="31"/>
        <v>241</v>
      </c>
      <c r="B242" s="30">
        <v>20261823</v>
      </c>
      <c r="C242" s="30" t="s">
        <v>2</v>
      </c>
      <c r="D242" s="30" t="s">
        <v>1475</v>
      </c>
      <c r="E242" s="30" t="s">
        <v>4468</v>
      </c>
      <c r="F242" s="30" t="s">
        <v>2959</v>
      </c>
      <c r="G242" s="30" t="s">
        <v>3</v>
      </c>
      <c r="H242" s="30" t="s">
        <v>66</v>
      </c>
      <c r="I242" s="30" t="s">
        <v>433</v>
      </c>
      <c r="J242" s="30"/>
      <c r="K242" s="31">
        <v>45960</v>
      </c>
      <c r="L242" s="31">
        <v>45960</v>
      </c>
      <c r="M242" s="31">
        <v>45960</v>
      </c>
      <c r="N242" s="30" t="s">
        <v>3855</v>
      </c>
      <c r="O242" s="31"/>
      <c r="P242" s="31"/>
      <c r="Q242" s="31"/>
      <c r="R242" s="31"/>
      <c r="S242" s="31"/>
      <c r="T242" s="31"/>
      <c r="U242" s="30"/>
      <c r="V242" s="30"/>
      <c r="W242" s="30"/>
      <c r="X242" s="30" t="s">
        <v>4314</v>
      </c>
      <c r="Y242" s="30" t="s">
        <v>2679</v>
      </c>
      <c r="Z242" s="30" t="s">
        <v>2679</v>
      </c>
      <c r="AA242" s="30" t="s">
        <v>4469</v>
      </c>
      <c r="AB242" s="30"/>
      <c r="AC242" s="30"/>
      <c r="AD242" s="30"/>
      <c r="AE242" s="30"/>
      <c r="AF242" s="30"/>
      <c r="AG242" s="30"/>
      <c r="AH242" s="31"/>
      <c r="AI242" s="31"/>
      <c r="AJ242" s="31"/>
      <c r="AK242" s="30"/>
      <c r="AL242" s="30"/>
      <c r="AM242" s="31"/>
      <c r="AN242" s="31"/>
      <c r="AO242" s="31"/>
      <c r="AP242" s="31"/>
      <c r="AQ242" s="31"/>
      <c r="AR242" s="31"/>
      <c r="AS242" s="31"/>
      <c r="AT242" s="30">
        <f t="shared" ca="1" si="32"/>
        <v>0</v>
      </c>
      <c r="AU242" s="32">
        <f t="shared" ca="1" si="30"/>
        <v>69</v>
      </c>
      <c r="AV242" s="32" t="str" cm="1">
        <f t="array" aca="1" ref="AV242" ca="1">IFERROR(_xlfn.IFS($AU242="","",$AU242&lt;=15,"0-15",AND($AU242&gt;=16,$AU242&lt;=30),"16-30",AND($AU242&gt;=31,$AU242&lt;=45),"31-45",AND($AU242&gt;=46,$AU242&lt;=60),"46-60",AND($AU242&gt;=61,$AU242&lt;=90),"61-90",AND($AU242&gt;=91),"&gt; 90",AND($AU242&gt;=2000),""),"")</f>
        <v>61-90</v>
      </c>
      <c r="AW242" s="32" t="str" cm="1">
        <f t="array" aca="1" ref="AW242" ca="1">IFERROR(_xlfn.IFS(OR($M242="",$AM242=""),"",OR($C242="Offered",$C242="Joined"),($AM242-$M242)-$AT242),"")</f>
        <v/>
      </c>
      <c r="AX242" s="32" t="str" cm="1">
        <f t="array" aca="1" ref="AX242" ca="1">IFERROR(_xlfn.IFS(OR($M242="",$AS242=""),"",$C242="Joined",($AS242-$M242)-$AT242),"")</f>
        <v/>
      </c>
      <c r="AY242" s="30" t="str">
        <f>IFERROR(IF(COUNTIFS('Candidate Tracker'!$E:$E,'Positions Tracker'!$B242,'Candidate Tracker'!$C:$C,"Offer Drop")=0,"",COUNTIFS('Candidate Tracker'!$E:$E,'Positions Tracker'!$B242,'Candidate Tracker'!$C:$C,"Offer Drop")),"")</f>
        <v/>
      </c>
      <c r="AZ2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2" s="34" t="str">
        <f>IFERROR(IF(COUNTIFS('Candidate Tracker'!$E:$E,'Positions Tracker'!$B242,'Candidate Tracker'!$I:$I,"Female")=0,"",COUNTIFS('Candidate Tracker'!$E:$E,'Positions Tracker'!$B242,'Candidate Tracker'!$I:$I,"Female")),"")</f>
        <v/>
      </c>
      <c r="BB242" s="34" t="str">
        <f>IFERROR(IF(COUNTIFS('Candidate Tracker'!$E:$E,'Positions Tracker'!$B242,'Candidate Tracker'!$I:$I,"male")=0,"",COUNTIFS('Candidate Tracker'!$E:$E,'Positions Tracker'!$B242,'Candidate Tracker'!$I:$I,"male")),"")</f>
        <v/>
      </c>
      <c r="BC242" s="33" t="str">
        <f>IFERROR(IF(COUNTIFS('Candidate Tracker'!$E:$E,'Positions Tracker'!$B242,'Candidate Tracker'!$C:$C,"&lt;&gt;WIP",'Candidate Tracker'!$C:$C,"&lt;&gt;Hold",'Candidate Tracker'!$C:$C,"&lt;&gt;Cancelled",'Candidate Tracker'!$C:$C,"&lt;&gt;Closed")/COUNTIFS('Candidate Tracker'!$E:$E,'Positions Tracker'!$B242)=0,"",COUNTIFS('Candidate Tracker'!$E:$E,'Positions Tracker'!$B242,'Candidate Tracker'!$C:$C,"&lt;&gt;WIP",'Candidate Tracker'!$C:$C,"&lt;&gt;Hold",'Candidate Tracker'!$C:$C,"&lt;&gt;Cancelled",'Candidate Tracker'!$C:$C,"&lt;&gt;Closed")/COUNTIFS('Candidate Tracker'!$E:$E,'Positions Tracker'!$B242)),"")</f>
        <v/>
      </c>
      <c r="BD242" s="30" t="str">
        <f t="shared" si="33"/>
        <v>Oct-25</v>
      </c>
      <c r="BE242" s="30" t="str">
        <f t="shared" si="34"/>
        <v/>
      </c>
      <c r="BF242" s="30" t="str">
        <f t="shared" si="35"/>
        <v/>
      </c>
      <c r="BG242" s="30" t="str">
        <f t="shared" si="36"/>
        <v/>
      </c>
    </row>
    <row r="243" spans="1:59">
      <c r="A243" s="30">
        <f t="shared" si="31"/>
        <v>242</v>
      </c>
      <c r="B243" s="30">
        <v>20257807</v>
      </c>
      <c r="C243" s="30" t="s">
        <v>51</v>
      </c>
      <c r="D243" s="30" t="s">
        <v>51</v>
      </c>
      <c r="E243" s="30" t="s">
        <v>4470</v>
      </c>
      <c r="F243" s="30" t="s">
        <v>4264</v>
      </c>
      <c r="G243" s="30" t="s">
        <v>3</v>
      </c>
      <c r="H243" s="30" t="s">
        <v>66</v>
      </c>
      <c r="I243" s="30" t="s">
        <v>4077</v>
      </c>
      <c r="J243" s="30"/>
      <c r="K243" s="31">
        <v>45960</v>
      </c>
      <c r="L243" s="31">
        <v>45960</v>
      </c>
      <c r="M243" s="31">
        <v>45960</v>
      </c>
      <c r="N243" s="30"/>
      <c r="O243" s="31"/>
      <c r="P243" s="31"/>
      <c r="Q243" s="31"/>
      <c r="R243" s="31"/>
      <c r="S243" s="31"/>
      <c r="T243" s="31"/>
      <c r="U243" s="30"/>
      <c r="V243" s="30"/>
      <c r="W243" s="30"/>
      <c r="X243" s="30" t="s">
        <v>4314</v>
      </c>
      <c r="Y243" s="30" t="s">
        <v>2679</v>
      </c>
      <c r="Z243" s="30" t="s">
        <v>2679</v>
      </c>
      <c r="AA243" s="30"/>
      <c r="AB243" s="30"/>
      <c r="AC243" s="30"/>
      <c r="AD243" s="30"/>
      <c r="AE243" s="30" t="s">
        <v>4471</v>
      </c>
      <c r="AF243" s="30">
        <v>9686519984</v>
      </c>
      <c r="AG243" s="161" t="s">
        <v>2792</v>
      </c>
      <c r="AH243" s="31" t="s">
        <v>55</v>
      </c>
      <c r="AI243" s="31">
        <v>45965</v>
      </c>
      <c r="AJ243" s="31">
        <v>45967</v>
      </c>
      <c r="AK243" s="30" t="s">
        <v>63</v>
      </c>
      <c r="AL243" s="30">
        <v>1200000</v>
      </c>
      <c r="AM243" s="31">
        <v>45971</v>
      </c>
      <c r="AN243" s="31">
        <v>45971</v>
      </c>
      <c r="AO243" s="31" t="s">
        <v>134</v>
      </c>
      <c r="AP243" s="31">
        <v>45974</v>
      </c>
      <c r="AQ243" s="31"/>
      <c r="AR243" s="31"/>
      <c r="AS243" s="31">
        <v>46013</v>
      </c>
      <c r="AT243" s="30">
        <f t="shared" ca="1" si="32"/>
        <v>0</v>
      </c>
      <c r="AU243" s="32" t="str">
        <f t="shared" ca="1" si="30"/>
        <v/>
      </c>
      <c r="AV243" s="32" t="str" cm="1">
        <f t="array" aca="1" ref="AV243" ca="1">IFERROR(_xlfn.IFS($AU243="","",$AU243&lt;=15,"0-15",AND($AU243&gt;=16,$AU243&lt;=30),"16-30",AND($AU243&gt;=31,$AU243&lt;=45),"31-45",AND($AU243&gt;=46,$AU243&lt;=60),"46-60",AND($AU243&gt;=61,$AU243&lt;=90),"61-90",AND($AU243&gt;=91),"&gt; 90",AND($AU243&gt;=2000),""),"")</f>
        <v/>
      </c>
      <c r="AW243" s="32" cm="1">
        <f t="array" aca="1" ref="AW243" ca="1">IFERROR(_xlfn.IFS(OR($M243="",$AM243=""),"",OR($C243="Offered",$C243="Joined"),($AM243-$M243)-$AT243),"")</f>
        <v>11</v>
      </c>
      <c r="AX243" s="32" cm="1">
        <f t="array" aca="1" ref="AX243" ca="1">IFERROR(_xlfn.IFS(OR($M243="",$AS243=""),"",$C243="Joined",($AS243-$M243)-$AT243),"")</f>
        <v>53</v>
      </c>
      <c r="AY243" s="30" t="str">
        <f>IFERROR(IF(COUNTIFS('Candidate Tracker'!$E:$E,'Positions Tracker'!$B243,'Candidate Tracker'!$C:$C,"Offer Drop")=0,"",COUNTIFS('Candidate Tracker'!$E:$E,'Positions Tracker'!$B243,'Candidate Tracker'!$C:$C,"Offer Drop")),"")</f>
        <v/>
      </c>
      <c r="AZ2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3" s="34" t="str">
        <f>IFERROR(IF(COUNTIFS('Candidate Tracker'!$E:$E,'Positions Tracker'!$B243,'Candidate Tracker'!$I:$I,"Female")=0,"",COUNTIFS('Candidate Tracker'!$E:$E,'Positions Tracker'!$B243,'Candidate Tracker'!$I:$I,"Female")),"")</f>
        <v/>
      </c>
      <c r="BB243" s="34" t="str">
        <f>IFERROR(IF(COUNTIFS('Candidate Tracker'!$E:$E,'Positions Tracker'!$B243,'Candidate Tracker'!$I:$I,"male")=0,"",COUNTIFS('Candidate Tracker'!$E:$E,'Positions Tracker'!$B243,'Candidate Tracker'!$I:$I,"male")),"")</f>
        <v/>
      </c>
      <c r="BC243" s="33" t="str">
        <f>IFERROR(IF(COUNTIFS('Candidate Tracker'!$E:$E,'Positions Tracker'!$B243,'Candidate Tracker'!$C:$C,"&lt;&gt;WIP",'Candidate Tracker'!$C:$C,"&lt;&gt;Hold",'Candidate Tracker'!$C:$C,"&lt;&gt;Cancelled",'Candidate Tracker'!$C:$C,"&lt;&gt;Closed")/COUNTIFS('Candidate Tracker'!$E:$E,'Positions Tracker'!$B243)=0,"",COUNTIFS('Candidate Tracker'!$E:$E,'Positions Tracker'!$B243,'Candidate Tracker'!$C:$C,"&lt;&gt;WIP",'Candidate Tracker'!$C:$C,"&lt;&gt;Hold",'Candidate Tracker'!$C:$C,"&lt;&gt;Cancelled",'Candidate Tracker'!$C:$C,"&lt;&gt;Closed")/COUNTIFS('Candidate Tracker'!$E:$E,'Positions Tracker'!$B243)),"")</f>
        <v/>
      </c>
      <c r="BD243" s="30" t="str">
        <f t="shared" si="33"/>
        <v>Oct-25</v>
      </c>
      <c r="BE243" s="30" t="str">
        <f t="shared" si="34"/>
        <v>Nov-25</v>
      </c>
      <c r="BF243" s="30" t="str">
        <f t="shared" si="35"/>
        <v>Nov-25</v>
      </c>
      <c r="BG243" s="30" t="str">
        <f t="shared" si="36"/>
        <v>Dec-25</v>
      </c>
    </row>
    <row r="244" spans="1:59" ht="101.5">
      <c r="A244" s="30">
        <f t="shared" si="31"/>
        <v>243</v>
      </c>
      <c r="B244" s="30">
        <v>20259014</v>
      </c>
      <c r="C244" s="30" t="s">
        <v>2510</v>
      </c>
      <c r="D244" s="30" t="s">
        <v>2511</v>
      </c>
      <c r="E244" s="30" t="s">
        <v>3547</v>
      </c>
      <c r="F244" s="30" t="s">
        <v>3984</v>
      </c>
      <c r="G244" s="30" t="s">
        <v>3</v>
      </c>
      <c r="H244" s="30" t="s">
        <v>66</v>
      </c>
      <c r="I244" s="30" t="s">
        <v>4062</v>
      </c>
      <c r="J244" s="30"/>
      <c r="K244" s="31">
        <v>45965</v>
      </c>
      <c r="L244" s="31">
        <v>45965</v>
      </c>
      <c r="M244" s="31">
        <v>45965</v>
      </c>
      <c r="N244" s="30" t="s">
        <v>3884</v>
      </c>
      <c r="O244" s="31"/>
      <c r="P244" s="31"/>
      <c r="Q244" s="31"/>
      <c r="R244" s="31"/>
      <c r="S244" s="31"/>
      <c r="T244" s="31"/>
      <c r="U244" s="30"/>
      <c r="V244" s="30"/>
      <c r="W244" s="30"/>
      <c r="X244" s="30" t="s">
        <v>4314</v>
      </c>
      <c r="Y244" s="30" t="s">
        <v>2679</v>
      </c>
      <c r="Z244" s="30" t="s">
        <v>2679</v>
      </c>
      <c r="AA244" s="160" t="s">
        <v>4472</v>
      </c>
      <c r="AB244" s="30"/>
      <c r="AC244" s="30"/>
      <c r="AD244" s="30"/>
      <c r="AE244" s="30"/>
      <c r="AF244" s="30"/>
      <c r="AG244" s="30"/>
      <c r="AH244" s="31"/>
      <c r="AI244" s="31"/>
      <c r="AJ244" s="31"/>
      <c r="AK244" s="30"/>
      <c r="AL244" s="30"/>
      <c r="AM244" s="31"/>
      <c r="AN244" s="31"/>
      <c r="AO244" s="31"/>
      <c r="AP244" s="31"/>
      <c r="AQ244" s="31"/>
      <c r="AR244" s="31"/>
      <c r="AS244" s="31"/>
      <c r="AT244" s="30">
        <f t="shared" ca="1" si="32"/>
        <v>0</v>
      </c>
      <c r="AU244" s="32">
        <f t="shared" ca="1" si="30"/>
        <v>64</v>
      </c>
      <c r="AV244" s="32" t="str" cm="1">
        <f t="array" aca="1" ref="AV244" ca="1">IFERROR(_xlfn.IFS($AU244="","",$AU244&lt;=15,"0-15",AND($AU244&gt;=16,$AU244&lt;=30),"16-30",AND($AU244&gt;=31,$AU244&lt;=45),"31-45",AND($AU244&gt;=46,$AU244&lt;=60),"46-60",AND($AU244&gt;=61,$AU244&lt;=90),"61-90",AND($AU244&gt;=91),"&gt; 90",AND($AU244&gt;=2000),""),"")</f>
        <v>61-90</v>
      </c>
      <c r="AW244" s="32" t="str" cm="1">
        <f t="array" aca="1" ref="AW244" ca="1">IFERROR(_xlfn.IFS(OR($M244="",$AM244=""),"",OR($C244="Offered",$C244="Joined"),($AM244-$M244)-$AT244),"")</f>
        <v/>
      </c>
      <c r="AX244" s="32" t="str" cm="1">
        <f t="array" aca="1" ref="AX244" ca="1">IFERROR(_xlfn.IFS(OR($M244="",$AS244=""),"",$C244="Joined",($AS244-$M244)-$AT244),"")</f>
        <v/>
      </c>
      <c r="AY244" s="30" t="str">
        <f>IFERROR(IF(COUNTIFS('Candidate Tracker'!$E:$E,'Positions Tracker'!$B244,'Candidate Tracker'!$C:$C,"Offer Drop")=0,"",COUNTIFS('Candidate Tracker'!$E:$E,'Positions Tracker'!$B244,'Candidate Tracker'!$C:$C,"Offer Drop")),"")</f>
        <v/>
      </c>
      <c r="AZ2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4" s="34" t="str">
        <f>IFERROR(IF(COUNTIFS('Candidate Tracker'!$E:$E,'Positions Tracker'!$B244,'Candidate Tracker'!$I:$I,"Female")=0,"",COUNTIFS('Candidate Tracker'!$E:$E,'Positions Tracker'!$B244,'Candidate Tracker'!$I:$I,"Female")),"")</f>
        <v/>
      </c>
      <c r="BB244" s="34" t="str">
        <f>IFERROR(IF(COUNTIFS('Candidate Tracker'!$E:$E,'Positions Tracker'!$B244,'Candidate Tracker'!$I:$I,"male")=0,"",COUNTIFS('Candidate Tracker'!$E:$E,'Positions Tracker'!$B244,'Candidate Tracker'!$I:$I,"male")),"")</f>
        <v/>
      </c>
      <c r="BC244" s="33" t="str">
        <f>IFERROR(IF(COUNTIFS('Candidate Tracker'!$E:$E,'Positions Tracker'!$B244,'Candidate Tracker'!$C:$C,"&lt;&gt;WIP",'Candidate Tracker'!$C:$C,"&lt;&gt;Hold",'Candidate Tracker'!$C:$C,"&lt;&gt;Cancelled",'Candidate Tracker'!$C:$C,"&lt;&gt;Closed")/COUNTIFS('Candidate Tracker'!$E:$E,'Positions Tracker'!$B244)=0,"",COUNTIFS('Candidate Tracker'!$E:$E,'Positions Tracker'!$B244,'Candidate Tracker'!$C:$C,"&lt;&gt;WIP",'Candidate Tracker'!$C:$C,"&lt;&gt;Hold",'Candidate Tracker'!$C:$C,"&lt;&gt;Cancelled",'Candidate Tracker'!$C:$C,"&lt;&gt;Closed")/COUNTIFS('Candidate Tracker'!$E:$E,'Positions Tracker'!$B244)),"")</f>
        <v/>
      </c>
      <c r="BD244" s="30" t="str">
        <f t="shared" si="33"/>
        <v>Nov-25</v>
      </c>
      <c r="BE244" s="30" t="str">
        <f t="shared" si="34"/>
        <v/>
      </c>
      <c r="BF244" s="30" t="str">
        <f t="shared" si="35"/>
        <v/>
      </c>
      <c r="BG244" s="30" t="str">
        <f t="shared" si="36"/>
        <v/>
      </c>
    </row>
    <row r="245" spans="1:59">
      <c r="A245" s="30">
        <f t="shared" si="31"/>
        <v>244</v>
      </c>
      <c r="B245" s="162">
        <v>20259506</v>
      </c>
      <c r="C245" s="162" t="s">
        <v>840</v>
      </c>
      <c r="D245" s="162" t="s">
        <v>841</v>
      </c>
      <c r="E245" s="162" t="s">
        <v>4323</v>
      </c>
      <c r="F245" s="162" t="s">
        <v>4473</v>
      </c>
      <c r="G245" s="162" t="s">
        <v>1</v>
      </c>
      <c r="H245" s="162" t="s">
        <v>2658</v>
      </c>
      <c r="I245" s="162" t="s">
        <v>4312</v>
      </c>
      <c r="J245" s="162" t="s">
        <v>135</v>
      </c>
      <c r="K245" s="173">
        <v>45972</v>
      </c>
      <c r="L245" s="173">
        <v>45971</v>
      </c>
      <c r="M245" s="173">
        <v>45972</v>
      </c>
      <c r="N245" s="162" t="s">
        <v>4289</v>
      </c>
      <c r="O245" s="173"/>
      <c r="P245" s="173"/>
      <c r="Q245" s="173"/>
      <c r="R245" s="173"/>
      <c r="S245" s="173"/>
      <c r="T245" s="173"/>
      <c r="U245" s="162"/>
      <c r="V245" s="162"/>
      <c r="W245" s="162"/>
      <c r="X245" s="162" t="s">
        <v>4314</v>
      </c>
      <c r="Y245" s="162" t="s">
        <v>2408</v>
      </c>
      <c r="Z245" s="162" t="s">
        <v>2408</v>
      </c>
      <c r="AA245" s="162" t="s">
        <v>4474</v>
      </c>
      <c r="AB245" s="162"/>
      <c r="AC245" s="162"/>
      <c r="AD245" s="162"/>
      <c r="AE245" s="162"/>
      <c r="AF245" s="162"/>
      <c r="AG245" s="162"/>
      <c r="AH245" s="173"/>
      <c r="AI245" s="173"/>
      <c r="AJ245" s="173"/>
      <c r="AK245" s="162"/>
      <c r="AL245" s="162"/>
      <c r="AM245" s="173"/>
      <c r="AN245" s="173"/>
      <c r="AO245" s="173"/>
      <c r="AP245" s="173"/>
      <c r="AQ245" s="173"/>
      <c r="AR245" s="173"/>
      <c r="AS245" s="173"/>
      <c r="AT245" s="162">
        <f t="shared" ca="1" si="32"/>
        <v>0</v>
      </c>
      <c r="AU245" s="200" t="str">
        <f t="shared" ca="1" si="30"/>
        <v/>
      </c>
      <c r="AV245" s="200" t="str" cm="1">
        <f t="array" aca="1" ref="AV245" ca="1">IFERROR(_xlfn.IFS($AU245="","",$AU245&lt;=15,"0-15",AND($AU245&gt;=16,$AU245&lt;=30),"16-30",AND($AU245&gt;=31,$AU245&lt;=45),"31-45",AND($AU245&gt;=46,$AU245&lt;=60),"46-60",AND($AU245&gt;=61,$AU245&lt;=90),"61-90",AND($AU245&gt;=91),"&gt; 90",AND($AU245&gt;=2000),""),"")</f>
        <v/>
      </c>
      <c r="AW245" s="200" t="str" cm="1">
        <f t="array" aca="1" ref="AW245" ca="1">IFERROR(_xlfn.IFS(OR($M245="",$AM245=""),"",OR($C245="Offered",$C245="Joined"),($AM245-$M245)-$AT245),"")</f>
        <v/>
      </c>
      <c r="AX245" s="200" t="str" cm="1">
        <f t="array" aca="1" ref="AX245" ca="1">IFERROR(_xlfn.IFS(OR($M245="",$AS245=""),"",$C245="Joined",($AS245-$M245)-$AT245),"")</f>
        <v/>
      </c>
      <c r="AY245" s="162" t="str">
        <f>IFERROR(IF(COUNTIFS('Candidate Tracker'!$E:$E,'Positions Tracker'!$B245,'Candidate Tracker'!$C:$C,"Offer Drop")=0,"",COUNTIFS('Candidate Tracker'!$E:$E,'Positions Tracker'!$B245,'Candidate Tracker'!$C:$C,"Offer Drop")),"")</f>
        <v/>
      </c>
      <c r="AZ245" s="201">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5" s="202" t="str">
        <f>IFERROR(IF(COUNTIFS('Candidate Tracker'!$E:$E,'Positions Tracker'!$B245,'Candidate Tracker'!$I:$I,"Female")=0,"",COUNTIFS('Candidate Tracker'!$E:$E,'Positions Tracker'!$B245,'Candidate Tracker'!$I:$I,"Female")),"")</f>
        <v/>
      </c>
      <c r="BB245" s="202" t="str">
        <f>IFERROR(IF(COUNTIFS('Candidate Tracker'!$E:$E,'Positions Tracker'!$B245,'Candidate Tracker'!$I:$I,"male")=0,"",COUNTIFS('Candidate Tracker'!$E:$E,'Positions Tracker'!$B245,'Candidate Tracker'!$I:$I,"male")),"")</f>
        <v/>
      </c>
      <c r="BC245" s="201" t="str">
        <f>IFERROR(IF(COUNTIFS('Candidate Tracker'!$E:$E,'Positions Tracker'!$B245,'Candidate Tracker'!$C:$C,"&lt;&gt;WIP",'Candidate Tracker'!$C:$C,"&lt;&gt;Hold",'Candidate Tracker'!$C:$C,"&lt;&gt;Cancelled",'Candidate Tracker'!$C:$C,"&lt;&gt;Closed")/COUNTIFS('Candidate Tracker'!$E:$E,'Positions Tracker'!$B245)=0,"",COUNTIFS('Candidate Tracker'!$E:$E,'Positions Tracker'!$B245,'Candidate Tracker'!$C:$C,"&lt;&gt;WIP",'Candidate Tracker'!$C:$C,"&lt;&gt;Hold",'Candidate Tracker'!$C:$C,"&lt;&gt;Cancelled",'Candidate Tracker'!$C:$C,"&lt;&gt;Closed")/COUNTIFS('Candidate Tracker'!$E:$E,'Positions Tracker'!$B245)),"")</f>
        <v/>
      </c>
      <c r="BD245" s="162" t="str">
        <f t="shared" si="33"/>
        <v>Nov-25</v>
      </c>
      <c r="BE245" s="162" t="str">
        <f t="shared" si="34"/>
        <v/>
      </c>
      <c r="BF245" s="162" t="str">
        <f t="shared" si="35"/>
        <v/>
      </c>
      <c r="BG245" s="162" t="str">
        <f t="shared" si="36"/>
        <v/>
      </c>
    </row>
    <row r="246" spans="1:59">
      <c r="A246" s="166">
        <f t="shared" si="31"/>
        <v>245</v>
      </c>
      <c r="B246" s="196">
        <v>20264078</v>
      </c>
      <c r="C246" s="176" t="s">
        <v>840</v>
      </c>
      <c r="D246" s="176" t="s">
        <v>841</v>
      </c>
      <c r="E246" s="176" t="s">
        <v>4475</v>
      </c>
      <c r="F246" s="176" t="s">
        <v>4307</v>
      </c>
      <c r="G246" s="176" t="s">
        <v>1</v>
      </c>
      <c r="H246" s="176" t="s">
        <v>2658</v>
      </c>
      <c r="I246" s="176" t="s">
        <v>4308</v>
      </c>
      <c r="J246" s="176" t="s">
        <v>135</v>
      </c>
      <c r="K246" s="172">
        <v>45973</v>
      </c>
      <c r="L246" s="172">
        <v>45972</v>
      </c>
      <c r="M246" s="172">
        <v>45973</v>
      </c>
      <c r="N246" s="176" t="s">
        <v>4343</v>
      </c>
      <c r="O246" s="172"/>
      <c r="P246" s="172"/>
      <c r="Q246" s="172"/>
      <c r="R246" s="172"/>
      <c r="S246" s="172"/>
      <c r="T246" s="172"/>
      <c r="U246" s="176"/>
      <c r="V246" s="176"/>
      <c r="W246" s="176"/>
      <c r="X246" s="176" t="s">
        <v>63</v>
      </c>
      <c r="Y246" s="176" t="s">
        <v>2408</v>
      </c>
      <c r="Z246" s="176" t="s">
        <v>2408</v>
      </c>
      <c r="AA246" s="176" t="s">
        <v>4476</v>
      </c>
      <c r="AB246" s="176"/>
      <c r="AC246" s="176"/>
      <c r="AD246" s="176"/>
      <c r="AE246" s="176" t="s">
        <v>3355</v>
      </c>
      <c r="AF246" s="163">
        <v>9527983084</v>
      </c>
      <c r="AG246" s="164" t="s">
        <v>4477</v>
      </c>
      <c r="AH246" s="172" t="s">
        <v>55</v>
      </c>
      <c r="AI246" s="172">
        <v>45997</v>
      </c>
      <c r="AJ246" s="172"/>
      <c r="AK246" s="176" t="s">
        <v>1199</v>
      </c>
      <c r="AL246" s="165" t="s">
        <v>4478</v>
      </c>
      <c r="AM246" s="172">
        <v>46001</v>
      </c>
      <c r="AN246" s="172"/>
      <c r="AO246" s="172"/>
      <c r="AP246" s="172"/>
      <c r="AQ246" s="172"/>
      <c r="AR246" s="172"/>
      <c r="AS246" s="172"/>
      <c r="AT246" s="176">
        <f t="shared" ca="1" si="32"/>
        <v>0</v>
      </c>
      <c r="AU246" s="192" t="str">
        <f t="shared" ca="1" si="30"/>
        <v/>
      </c>
      <c r="AV246" s="192" t="str" cm="1">
        <f t="array" aca="1" ref="AV246" ca="1">IFERROR(_xlfn.IFS($AU246="","",$AU246&lt;=15,"0-15",AND($AU246&gt;=16,$AU246&lt;=30),"16-30",AND($AU246&gt;=31,$AU246&lt;=45),"31-45",AND($AU246&gt;=46,$AU246&lt;=60),"46-60",AND($AU246&gt;=61,$AU246&lt;=90),"61-90",AND($AU246&gt;=91),"&gt; 90",AND($AU246&gt;=2000),""),"")</f>
        <v/>
      </c>
      <c r="AW246" s="192" cm="1">
        <f t="array" aca="1" ref="AW246" ca="1">IFERROR(_xlfn.IFS(OR($M246="",$AM246=""),"",OR($C246="Offered",$C246="Joined"),($AM246-$M246)-$AT246),"")</f>
        <v>28</v>
      </c>
      <c r="AX246" s="192" t="str" cm="1">
        <f t="array" aca="1" ref="AX246" ca="1">IFERROR(_xlfn.IFS(OR($M246="",$AS246=""),"",$C246="Joined",($AS246-$M246)-$AT246),"")</f>
        <v/>
      </c>
      <c r="AY246" s="176" t="str">
        <f>IFERROR(IF(COUNTIFS('Candidate Tracker'!$E:$E,'Positions Tracker'!$B246,'Candidate Tracker'!$C:$C,"Offer Drop")=0,"",COUNTIFS('Candidate Tracker'!$E:$E,'Positions Tracker'!$B246,'Candidate Tracker'!$C:$C,"Offer Drop")),"")</f>
        <v/>
      </c>
      <c r="AZ246" s="19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6" s="194" t="str">
        <f>IFERROR(IF(COUNTIFS('Candidate Tracker'!$E:$E,'Positions Tracker'!$B246,'Candidate Tracker'!$I:$I,"Female")=0,"",COUNTIFS('Candidate Tracker'!$E:$E,'Positions Tracker'!$B246,'Candidate Tracker'!$I:$I,"Female")),"")</f>
        <v/>
      </c>
      <c r="BB246" s="194" t="str">
        <f>IFERROR(IF(COUNTIFS('Candidate Tracker'!$E:$E,'Positions Tracker'!$B246,'Candidate Tracker'!$I:$I,"male")=0,"",COUNTIFS('Candidate Tracker'!$E:$E,'Positions Tracker'!$B246,'Candidate Tracker'!$I:$I,"male")),"")</f>
        <v/>
      </c>
      <c r="BC246" s="193" t="str">
        <f>IFERROR(IF(COUNTIFS('Candidate Tracker'!$E:$E,'Positions Tracker'!$B246,'Candidate Tracker'!$C:$C,"&lt;&gt;WIP",'Candidate Tracker'!$C:$C,"&lt;&gt;Hold",'Candidate Tracker'!$C:$C,"&lt;&gt;Cancelled",'Candidate Tracker'!$C:$C,"&lt;&gt;Closed")/COUNTIFS('Candidate Tracker'!$E:$E,'Positions Tracker'!$B246)=0,"",COUNTIFS('Candidate Tracker'!$E:$E,'Positions Tracker'!$B246,'Candidate Tracker'!$C:$C,"&lt;&gt;WIP",'Candidate Tracker'!$C:$C,"&lt;&gt;Hold",'Candidate Tracker'!$C:$C,"&lt;&gt;Cancelled",'Candidate Tracker'!$C:$C,"&lt;&gt;Closed")/COUNTIFS('Candidate Tracker'!$E:$E,'Positions Tracker'!$B246)),"")</f>
        <v/>
      </c>
      <c r="BD246" s="176" t="str">
        <f t="shared" si="33"/>
        <v>Nov-25</v>
      </c>
      <c r="BE246" s="176" t="str">
        <f t="shared" si="34"/>
        <v>Dec-25</v>
      </c>
      <c r="BF246" s="176" t="str">
        <f t="shared" si="35"/>
        <v>Dec-25</v>
      </c>
      <c r="BG246" s="195">
        <v>45710</v>
      </c>
    </row>
    <row r="247" spans="1:59">
      <c r="A247" s="30">
        <f t="shared" si="31"/>
        <v>246</v>
      </c>
      <c r="B247" s="169">
        <v>20259507</v>
      </c>
      <c r="C247" s="169" t="s">
        <v>4271</v>
      </c>
      <c r="D247" s="169" t="s">
        <v>4254</v>
      </c>
      <c r="E247" s="169" t="s">
        <v>4352</v>
      </c>
      <c r="F247" s="169" t="s">
        <v>4479</v>
      </c>
      <c r="G247" s="169" t="s">
        <v>1</v>
      </c>
      <c r="H247" s="169" t="s">
        <v>66</v>
      </c>
      <c r="I247" s="169" t="s">
        <v>4480</v>
      </c>
      <c r="J247" s="169" t="s">
        <v>135</v>
      </c>
      <c r="K247" s="174"/>
      <c r="L247" s="174"/>
      <c r="M247" s="174"/>
      <c r="N247" s="169"/>
      <c r="O247" s="174"/>
      <c r="P247" s="174"/>
      <c r="Q247" s="174"/>
      <c r="R247" s="174"/>
      <c r="S247" s="174"/>
      <c r="T247" s="174"/>
      <c r="U247" s="169"/>
      <c r="V247" s="169"/>
      <c r="W247" s="169"/>
      <c r="X247" s="169"/>
      <c r="Y247" s="169" t="s">
        <v>2679</v>
      </c>
      <c r="Z247" s="169" t="s">
        <v>2679</v>
      </c>
      <c r="AA247" s="169" t="s">
        <v>4481</v>
      </c>
      <c r="AB247" s="169"/>
      <c r="AC247" s="169"/>
      <c r="AD247" s="169"/>
      <c r="AE247" s="169"/>
      <c r="AF247" s="169"/>
      <c r="AG247" s="169"/>
      <c r="AH247" s="174"/>
      <c r="AI247" s="174"/>
      <c r="AJ247" s="174"/>
      <c r="AK247" s="169"/>
      <c r="AL247" s="169"/>
      <c r="AM247" s="174"/>
      <c r="AN247" s="174"/>
      <c r="AO247" s="174"/>
      <c r="AP247" s="174"/>
      <c r="AQ247" s="174"/>
      <c r="AR247" s="174"/>
      <c r="AS247" s="174"/>
      <c r="AT247" s="169">
        <f t="shared" ca="1" si="32"/>
        <v>0</v>
      </c>
      <c r="AU247" s="204" t="str">
        <f t="shared" ca="1" si="30"/>
        <v/>
      </c>
      <c r="AV247" s="204" t="str" cm="1">
        <f t="array" aca="1" ref="AV247" ca="1">IFERROR(_xlfn.IFS($AU247="","",$AU247&lt;=15,"0-15",AND($AU247&gt;=16,$AU247&lt;=30),"16-30",AND($AU247&gt;=31,$AU247&lt;=45),"31-45",AND($AU247&gt;=46,$AU247&lt;=60),"46-60",AND($AU247&gt;=61,$AU247&lt;=90),"61-90",AND($AU247&gt;=91),"&gt; 90",AND($AU247&gt;=2000),""),"")</f>
        <v/>
      </c>
      <c r="AW247" s="204" t="str" cm="1">
        <f t="array" aca="1" ref="AW247" ca="1">IFERROR(_xlfn.IFS(OR($M247="",$AM247=""),"",OR($C247="Offered",$C247="Joined"),($AM247-$M247)-$AT247),"")</f>
        <v/>
      </c>
      <c r="AX247" s="204" t="str" cm="1">
        <f t="array" aca="1" ref="AX247" ca="1">IFERROR(_xlfn.IFS(OR($M247="",$AS247=""),"",$C247="Joined",($AS247-$M247)-$AT247),"")</f>
        <v/>
      </c>
      <c r="AY247" s="169" t="str">
        <f>IFERROR(IF(COUNTIFS('Candidate Tracker'!$E:$E,'Positions Tracker'!$B247,'Candidate Tracker'!$C:$C,"Offer Drop")=0,"",COUNTIFS('Candidate Tracker'!$E:$E,'Positions Tracker'!$B247,'Candidate Tracker'!$C:$C,"Offer Drop")),"")</f>
        <v/>
      </c>
      <c r="AZ247" s="205">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7" s="206" t="str">
        <f>IFERROR(IF(COUNTIFS('Candidate Tracker'!$E:$E,'Positions Tracker'!$B247,'Candidate Tracker'!$I:$I,"Female")=0,"",COUNTIFS('Candidate Tracker'!$E:$E,'Positions Tracker'!$B247,'Candidate Tracker'!$I:$I,"Female")),"")</f>
        <v/>
      </c>
      <c r="BB247" s="206" t="str">
        <f>IFERROR(IF(COUNTIFS('Candidate Tracker'!$E:$E,'Positions Tracker'!$B247,'Candidate Tracker'!$I:$I,"male")=0,"",COUNTIFS('Candidate Tracker'!$E:$E,'Positions Tracker'!$B247,'Candidate Tracker'!$I:$I,"male")),"")</f>
        <v/>
      </c>
      <c r="BC247" s="205" t="str">
        <f>IFERROR(IF(COUNTIFS('Candidate Tracker'!$E:$E,'Positions Tracker'!$B247,'Candidate Tracker'!$C:$C,"&lt;&gt;WIP",'Candidate Tracker'!$C:$C,"&lt;&gt;Hold",'Candidate Tracker'!$C:$C,"&lt;&gt;Cancelled",'Candidate Tracker'!$C:$C,"&lt;&gt;Closed")/COUNTIFS('Candidate Tracker'!$E:$E,'Positions Tracker'!$B247)=0,"",COUNTIFS('Candidate Tracker'!$E:$E,'Positions Tracker'!$B247,'Candidate Tracker'!$C:$C,"&lt;&gt;WIP",'Candidate Tracker'!$C:$C,"&lt;&gt;Hold",'Candidate Tracker'!$C:$C,"&lt;&gt;Cancelled",'Candidate Tracker'!$C:$C,"&lt;&gt;Closed")/COUNTIFS('Candidate Tracker'!$E:$E,'Positions Tracker'!$B247)),"")</f>
        <v/>
      </c>
      <c r="BD247" s="169" t="str">
        <f t="shared" si="33"/>
        <v/>
      </c>
      <c r="BE247" s="169" t="str">
        <f t="shared" si="34"/>
        <v/>
      </c>
      <c r="BF247" s="169" t="str">
        <f t="shared" si="35"/>
        <v/>
      </c>
      <c r="BG247" s="169" t="str">
        <f>IFERROR(IF($AS247="","",TEXT($AS247,"MMM-YY")),"")</f>
        <v/>
      </c>
    </row>
    <row r="248" spans="1:59">
      <c r="A248" s="30">
        <f t="shared" si="31"/>
        <v>247</v>
      </c>
      <c r="B248" s="30">
        <v>20261103</v>
      </c>
      <c r="C248" s="30" t="s">
        <v>3847</v>
      </c>
      <c r="D248" s="30" t="s">
        <v>4285</v>
      </c>
      <c r="E248" s="30" t="s">
        <v>4352</v>
      </c>
      <c r="F248" s="30" t="s">
        <v>4479</v>
      </c>
      <c r="G248" s="30" t="s">
        <v>1</v>
      </c>
      <c r="H248" s="30" t="s">
        <v>4388</v>
      </c>
      <c r="I248" s="30" t="s">
        <v>4480</v>
      </c>
      <c r="J248" s="30" t="s">
        <v>351</v>
      </c>
      <c r="K248" s="31"/>
      <c r="L248" s="31"/>
      <c r="M248" s="31">
        <v>45980</v>
      </c>
      <c r="N248" s="30" t="s">
        <v>3897</v>
      </c>
      <c r="O248" s="31">
        <v>45985</v>
      </c>
      <c r="P248" s="31"/>
      <c r="Q248" s="31"/>
      <c r="R248" s="31">
        <v>46013</v>
      </c>
      <c r="S248" s="31"/>
      <c r="T248" s="31"/>
      <c r="U248" s="30"/>
      <c r="V248" s="30"/>
      <c r="W248" s="30"/>
      <c r="X248" s="30"/>
      <c r="Y248" s="30" t="s">
        <v>2679</v>
      </c>
      <c r="Z248" s="30" t="s">
        <v>2679</v>
      </c>
      <c r="AA248" s="30" t="s">
        <v>4481</v>
      </c>
      <c r="AB248" s="30"/>
      <c r="AC248" s="30"/>
      <c r="AD248" s="30"/>
      <c r="AE248" s="30" t="s">
        <v>4373</v>
      </c>
      <c r="AF248" s="30"/>
      <c r="AG248" s="30"/>
      <c r="AH248" s="31"/>
      <c r="AI248" s="31">
        <v>46020</v>
      </c>
      <c r="AJ248" s="31"/>
      <c r="AK248" s="30" t="s">
        <v>63</v>
      </c>
      <c r="AL248" s="30">
        <v>1306046</v>
      </c>
      <c r="AM248" s="31"/>
      <c r="AN248" s="31"/>
      <c r="AO248" s="31"/>
      <c r="AP248" s="31"/>
      <c r="AQ248" s="31"/>
      <c r="AR248" s="31"/>
      <c r="AS248" s="31">
        <v>46097</v>
      </c>
      <c r="AT248" s="30">
        <f t="shared" ca="1" si="32"/>
        <v>28</v>
      </c>
      <c r="AU248" s="32" t="str">
        <f t="shared" ca="1" si="30"/>
        <v/>
      </c>
      <c r="AV248" s="32" t="str" cm="1">
        <f t="array" aca="1" ref="AV248" ca="1">IFERROR(_xlfn.IFS($AU248="","",$AU248&lt;=15,"0-15",AND($AU248&gt;=16,$AU248&lt;=30),"16-30",AND($AU248&gt;=31,$AU248&lt;=45),"31-45",AND($AU248&gt;=46,$AU248&lt;=60),"46-60",AND($AU248&gt;=61,$AU248&lt;=90),"61-90",AND($AU248&gt;=91),"&gt; 90",AND($AU248&gt;=2000),""),"")</f>
        <v/>
      </c>
      <c r="AW248" s="32" t="str" cm="1">
        <f t="array" aca="1" ref="AW248" ca="1">IFERROR(_xlfn.IFS(OR($M248="",$AM248=""),"",OR($C248="Offered",$C248="Joined"),($AM248-$M248)-$AT248),"")</f>
        <v/>
      </c>
      <c r="AX248" s="32" t="str" cm="1">
        <f t="array" aca="1" ref="AX248" ca="1">IFERROR(_xlfn.IFS(OR($M248="",$AS248=""),"",$C248="Joined",($AS248-$M248)-$AT248),"")</f>
        <v/>
      </c>
      <c r="AY248" s="30" t="str">
        <f>IFERROR(IF(COUNTIFS('Candidate Tracker'!$E:$E,'Positions Tracker'!$B248,'Candidate Tracker'!$C:$C,"Offer Drop")=0,"",COUNTIFS('Candidate Tracker'!$E:$E,'Positions Tracker'!$B248,'Candidate Tracker'!$C:$C,"Offer Drop")),"")</f>
        <v/>
      </c>
      <c r="AZ2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8" s="34" t="str">
        <f>IFERROR(IF(COUNTIFS('Candidate Tracker'!$E:$E,'Positions Tracker'!$B248,'Candidate Tracker'!$I:$I,"Female")=0,"",COUNTIFS('Candidate Tracker'!$E:$E,'Positions Tracker'!$B248,'Candidate Tracker'!$I:$I,"Female")),"")</f>
        <v/>
      </c>
      <c r="BB248" s="34" t="str">
        <f>IFERROR(IF(COUNTIFS('Candidate Tracker'!$E:$E,'Positions Tracker'!$B248,'Candidate Tracker'!$I:$I,"male")=0,"",COUNTIFS('Candidate Tracker'!$E:$E,'Positions Tracker'!$B248,'Candidate Tracker'!$I:$I,"male")),"")</f>
        <v/>
      </c>
      <c r="BC248" s="33" t="str">
        <f>IFERROR(IF(COUNTIFS('Candidate Tracker'!$E:$E,'Positions Tracker'!$B248,'Candidate Tracker'!$C:$C,"&lt;&gt;WIP",'Candidate Tracker'!$C:$C,"&lt;&gt;Hold",'Candidate Tracker'!$C:$C,"&lt;&gt;Cancelled",'Candidate Tracker'!$C:$C,"&lt;&gt;Closed")/COUNTIFS('Candidate Tracker'!$E:$E,'Positions Tracker'!$B248)=0,"",COUNTIFS('Candidate Tracker'!$E:$E,'Positions Tracker'!$B248,'Candidate Tracker'!$C:$C,"&lt;&gt;WIP",'Candidate Tracker'!$C:$C,"&lt;&gt;Hold",'Candidate Tracker'!$C:$C,"&lt;&gt;Cancelled",'Candidate Tracker'!$C:$C,"&lt;&gt;Closed")/COUNTIFS('Candidate Tracker'!$E:$E,'Positions Tracker'!$B248)),"")</f>
        <v/>
      </c>
      <c r="BD248" s="30" t="str">
        <f t="shared" si="33"/>
        <v>Nov-25</v>
      </c>
      <c r="BE248" s="30" t="str">
        <f t="shared" si="34"/>
        <v>Dec-25</v>
      </c>
      <c r="BF248" s="30" t="str">
        <f t="shared" si="35"/>
        <v/>
      </c>
      <c r="BG248" s="30" t="str">
        <f>IFERROR(IF($AS248="","",TEXT($AS248,"MMM-YY")),"")</f>
        <v>Mar-26</v>
      </c>
    </row>
    <row r="249" spans="1:59">
      <c r="A249" s="30">
        <f t="shared" si="31"/>
        <v>248</v>
      </c>
      <c r="B249" s="162">
        <v>20262088</v>
      </c>
      <c r="C249" s="162" t="s">
        <v>3857</v>
      </c>
      <c r="D249" s="162" t="s">
        <v>1056</v>
      </c>
      <c r="E249" s="162" t="s">
        <v>4482</v>
      </c>
      <c r="F249" s="162" t="s">
        <v>4479</v>
      </c>
      <c r="G249" s="162" t="s">
        <v>1</v>
      </c>
      <c r="H249" s="162" t="s">
        <v>66</v>
      </c>
      <c r="I249" s="162" t="s">
        <v>4483</v>
      </c>
      <c r="J249" s="162" t="s">
        <v>135</v>
      </c>
      <c r="K249" s="173"/>
      <c r="L249" s="173"/>
      <c r="M249" s="173">
        <v>45983</v>
      </c>
      <c r="N249" s="162"/>
      <c r="O249" s="173"/>
      <c r="P249" s="173"/>
      <c r="Q249" s="173"/>
      <c r="R249" s="173"/>
      <c r="S249" s="173"/>
      <c r="T249" s="173"/>
      <c r="U249" s="162"/>
      <c r="V249" s="162"/>
      <c r="W249" s="162"/>
      <c r="X249" s="162"/>
      <c r="Y249" s="162" t="s">
        <v>2679</v>
      </c>
      <c r="Z249" s="162" t="s">
        <v>2679</v>
      </c>
      <c r="AA249" s="162" t="s">
        <v>4481</v>
      </c>
      <c r="AB249" s="162"/>
      <c r="AC249" s="162"/>
      <c r="AD249" s="162"/>
      <c r="AE249" s="162"/>
      <c r="AF249" s="162"/>
      <c r="AG249" s="162"/>
      <c r="AH249" s="173"/>
      <c r="AI249" s="173"/>
      <c r="AJ249" s="173"/>
      <c r="AK249" s="162"/>
      <c r="AL249" s="162"/>
      <c r="AM249" s="173"/>
      <c r="AN249" s="173"/>
      <c r="AO249" s="173"/>
      <c r="AP249" s="173"/>
      <c r="AQ249" s="173"/>
      <c r="AR249" s="173"/>
      <c r="AS249" s="173"/>
      <c r="AT249" s="162">
        <f t="shared" ca="1" si="32"/>
        <v>0</v>
      </c>
      <c r="AU249" s="200" t="str">
        <f t="shared" ca="1" si="30"/>
        <v/>
      </c>
      <c r="AV249" s="200" t="str" cm="1">
        <f t="array" aca="1" ref="AV249" ca="1">IFERROR(_xlfn.IFS($AU249="","",$AU249&lt;=15,"0-15",AND($AU249&gt;=16,$AU249&lt;=30),"16-30",AND($AU249&gt;=31,$AU249&lt;=45),"31-45",AND($AU249&gt;=46,$AU249&lt;=60),"46-60",AND($AU249&gt;=61,$AU249&lt;=90),"61-90",AND($AU249&gt;=91),"&gt; 90",AND($AU249&gt;=2000),""),"")</f>
        <v/>
      </c>
      <c r="AW249" s="200" t="str" cm="1">
        <f t="array" aca="1" ref="AW249" ca="1">IFERROR(_xlfn.IFS(OR($M249="",$AM249=""),"",OR($C249="Offered",$C249="Joined"),($AM249-$M249)-$AT249),"")</f>
        <v/>
      </c>
      <c r="AX249" s="200" t="str" cm="1">
        <f t="array" aca="1" ref="AX249" ca="1">IFERROR(_xlfn.IFS(OR($M249="",$AS249=""),"",$C249="Joined",($AS249-$M249)-$AT249),"")</f>
        <v/>
      </c>
      <c r="AY249" s="162" t="str">
        <f>IFERROR(IF(COUNTIFS('Candidate Tracker'!$E:$E,'Positions Tracker'!$B249,'Candidate Tracker'!$C:$C,"Offer Drop")=0,"",COUNTIFS('Candidate Tracker'!$E:$E,'Positions Tracker'!$B249,'Candidate Tracker'!$C:$C,"Offer Drop")),"")</f>
        <v/>
      </c>
      <c r="AZ249" s="201">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49" s="202" t="str">
        <f>IFERROR(IF(COUNTIFS('Candidate Tracker'!$E:$E,'Positions Tracker'!$B249,'Candidate Tracker'!$I:$I,"Female")=0,"",COUNTIFS('Candidate Tracker'!$E:$E,'Positions Tracker'!$B249,'Candidate Tracker'!$I:$I,"Female")),"")</f>
        <v/>
      </c>
      <c r="BB249" s="202" t="str">
        <f>IFERROR(IF(COUNTIFS('Candidate Tracker'!$E:$E,'Positions Tracker'!$B249,'Candidate Tracker'!$I:$I,"male")=0,"",COUNTIFS('Candidate Tracker'!$E:$E,'Positions Tracker'!$B249,'Candidate Tracker'!$I:$I,"male")),"")</f>
        <v/>
      </c>
      <c r="BC249" s="201" t="str">
        <f>IFERROR(IF(COUNTIFS('Candidate Tracker'!$E:$E,'Positions Tracker'!$B249,'Candidate Tracker'!$C:$C,"&lt;&gt;WIP",'Candidate Tracker'!$C:$C,"&lt;&gt;Hold",'Candidate Tracker'!$C:$C,"&lt;&gt;Cancelled",'Candidate Tracker'!$C:$C,"&lt;&gt;Closed")/COUNTIFS('Candidate Tracker'!$E:$E,'Positions Tracker'!$B249)=0,"",COUNTIFS('Candidate Tracker'!$E:$E,'Positions Tracker'!$B249,'Candidate Tracker'!$C:$C,"&lt;&gt;WIP",'Candidate Tracker'!$C:$C,"&lt;&gt;Hold",'Candidate Tracker'!$C:$C,"&lt;&gt;Cancelled",'Candidate Tracker'!$C:$C,"&lt;&gt;Closed")/COUNTIFS('Candidate Tracker'!$E:$E,'Positions Tracker'!$B249)),"")</f>
        <v/>
      </c>
      <c r="BD249" s="162" t="str">
        <f t="shared" si="33"/>
        <v>Nov-25</v>
      </c>
      <c r="BE249" s="162" t="str">
        <f t="shared" si="34"/>
        <v/>
      </c>
      <c r="BF249" s="162" t="str">
        <f t="shared" si="35"/>
        <v/>
      </c>
      <c r="BG249" s="162" t="str">
        <f>IFERROR(IF($AS249="","",TEXT($AS249,"MMM-YY")),"")</f>
        <v/>
      </c>
    </row>
    <row r="250" spans="1:59">
      <c r="A250" s="166">
        <f t="shared" si="31"/>
        <v>249</v>
      </c>
      <c r="B250" s="197">
        <v>20259623</v>
      </c>
      <c r="C250" s="176" t="s">
        <v>840</v>
      </c>
      <c r="D250" s="176" t="s">
        <v>841</v>
      </c>
      <c r="E250" s="176" t="s">
        <v>3256</v>
      </c>
      <c r="F250" s="176" t="s">
        <v>4375</v>
      </c>
      <c r="G250" s="176" t="s">
        <v>1</v>
      </c>
      <c r="H250" s="176" t="s">
        <v>4429</v>
      </c>
      <c r="I250" s="176" t="s">
        <v>4449</v>
      </c>
      <c r="J250" s="176" t="s">
        <v>135</v>
      </c>
      <c r="K250" s="172">
        <v>45975</v>
      </c>
      <c r="L250" s="172">
        <v>45975</v>
      </c>
      <c r="M250" s="172">
        <v>45975</v>
      </c>
      <c r="N250" s="176" t="s">
        <v>4289</v>
      </c>
      <c r="O250" s="172"/>
      <c r="P250" s="172"/>
      <c r="Q250" s="172"/>
      <c r="R250" s="172"/>
      <c r="S250" s="172"/>
      <c r="T250" s="172"/>
      <c r="U250" s="176"/>
      <c r="V250" s="176"/>
      <c r="W250" s="176"/>
      <c r="X250" s="176" t="s">
        <v>890</v>
      </c>
      <c r="Y250" s="176" t="s">
        <v>2408</v>
      </c>
      <c r="Z250" s="176" t="s">
        <v>2408</v>
      </c>
      <c r="AA250" s="176" t="s">
        <v>4484</v>
      </c>
      <c r="AB250" s="176"/>
      <c r="AC250" s="176"/>
      <c r="AD250" s="176"/>
      <c r="AE250" s="176" t="s">
        <v>4485</v>
      </c>
      <c r="AF250" s="163">
        <v>7066564034</v>
      </c>
      <c r="AG250" s="164" t="s">
        <v>4486</v>
      </c>
      <c r="AH250" s="172" t="s">
        <v>55</v>
      </c>
      <c r="AI250" s="172">
        <v>46001</v>
      </c>
      <c r="AJ250" s="172"/>
      <c r="AK250" s="176" t="s">
        <v>3115</v>
      </c>
      <c r="AL250" s="165" t="s">
        <v>1954</v>
      </c>
      <c r="AM250" s="172">
        <v>46005</v>
      </c>
      <c r="AN250" s="172">
        <v>46006</v>
      </c>
      <c r="AO250" s="172"/>
      <c r="AP250" s="172">
        <v>46008</v>
      </c>
      <c r="AQ250" s="172"/>
      <c r="AR250" s="172"/>
      <c r="AS250" s="172"/>
      <c r="AT250" s="176">
        <f t="shared" ca="1" si="32"/>
        <v>0</v>
      </c>
      <c r="AU250" s="192" t="str">
        <f t="shared" ca="1" si="30"/>
        <v/>
      </c>
      <c r="AV250" s="192" t="str" cm="1">
        <f t="array" aca="1" ref="AV250" ca="1">IFERROR(_xlfn.IFS($AU250="","",$AU250&lt;=15,"0-15",AND($AU250&gt;=16,$AU250&lt;=30),"16-30",AND($AU250&gt;=31,$AU250&lt;=45),"31-45",AND($AU250&gt;=46,$AU250&lt;=60),"46-60",AND($AU250&gt;=61,$AU250&lt;=90),"61-90",AND($AU250&gt;=91),"&gt; 90",AND($AU250&gt;=2000),""),"")</f>
        <v/>
      </c>
      <c r="AW250" s="192" cm="1">
        <f t="array" aca="1" ref="AW250" ca="1">IFERROR(_xlfn.IFS(OR($M250="",$AM250=""),"",OR($C250="Offered",$C250="Joined"),($AM250-$M250)-$AT250),"")</f>
        <v>30</v>
      </c>
      <c r="AX250" s="192" t="str" cm="1">
        <f t="array" aca="1" ref="AX250" ca="1">IFERROR(_xlfn.IFS(OR($M250="",$AS250=""),"",$C250="Joined",($AS250-$M250)-$AT250),"")</f>
        <v/>
      </c>
      <c r="AY250" s="176" t="str">
        <f>IFERROR(IF(COUNTIFS('Candidate Tracker'!$E:$E,'Positions Tracker'!$B250,'Candidate Tracker'!$C:$C,"Offer Drop")=0,"",COUNTIFS('Candidate Tracker'!$E:$E,'Positions Tracker'!$B250,'Candidate Tracker'!$C:$C,"Offer Drop")),"")</f>
        <v/>
      </c>
      <c r="AZ250" s="19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0" s="194" t="str">
        <f>IFERROR(IF(COUNTIFS('Candidate Tracker'!$E:$E,'Positions Tracker'!$B250,'Candidate Tracker'!$I:$I,"Female")=0,"",COUNTIFS('Candidate Tracker'!$E:$E,'Positions Tracker'!$B250,'Candidate Tracker'!$I:$I,"Female")),"")</f>
        <v/>
      </c>
      <c r="BB250" s="194" t="str">
        <f>IFERROR(IF(COUNTIFS('Candidate Tracker'!$E:$E,'Positions Tracker'!$B250,'Candidate Tracker'!$I:$I,"male")=0,"",COUNTIFS('Candidate Tracker'!$E:$E,'Positions Tracker'!$B250,'Candidate Tracker'!$I:$I,"male")),"")</f>
        <v/>
      </c>
      <c r="BC250" s="193" t="str">
        <f>IFERROR(IF(COUNTIFS('Candidate Tracker'!$E:$E,'Positions Tracker'!$B250,'Candidate Tracker'!$C:$C,"&lt;&gt;WIP",'Candidate Tracker'!$C:$C,"&lt;&gt;Hold",'Candidate Tracker'!$C:$C,"&lt;&gt;Cancelled",'Candidate Tracker'!$C:$C,"&lt;&gt;Closed")/COUNTIFS('Candidate Tracker'!$E:$E,'Positions Tracker'!$B250)=0,"",COUNTIFS('Candidate Tracker'!$E:$E,'Positions Tracker'!$B250,'Candidate Tracker'!$C:$C,"&lt;&gt;WIP",'Candidate Tracker'!$C:$C,"&lt;&gt;Hold",'Candidate Tracker'!$C:$C,"&lt;&gt;Cancelled",'Candidate Tracker'!$C:$C,"&lt;&gt;Closed")/COUNTIFS('Candidate Tracker'!$E:$E,'Positions Tracker'!$B250)),"")</f>
        <v/>
      </c>
      <c r="BD250" s="176" t="str">
        <f t="shared" si="33"/>
        <v>Nov-25</v>
      </c>
      <c r="BE250" s="176" t="str">
        <f t="shared" si="34"/>
        <v>Dec-25</v>
      </c>
      <c r="BF250" s="176" t="str">
        <f t="shared" si="35"/>
        <v>Dec-25</v>
      </c>
      <c r="BG250" s="195">
        <v>46069</v>
      </c>
    </row>
    <row r="251" spans="1:59">
      <c r="A251" s="166" t="e">
        <f>#REF!+1</f>
        <v>#REF!</v>
      </c>
      <c r="B251" s="176">
        <v>20262148</v>
      </c>
      <c r="C251" s="176" t="s">
        <v>2</v>
      </c>
      <c r="D251" s="176" t="s">
        <v>1475</v>
      </c>
      <c r="E251" s="176" t="s">
        <v>4487</v>
      </c>
      <c r="F251" s="176" t="s">
        <v>4021</v>
      </c>
      <c r="G251" s="176" t="s">
        <v>1</v>
      </c>
      <c r="H251" s="176" t="s">
        <v>4429</v>
      </c>
      <c r="I251" s="178" t="s">
        <v>4488</v>
      </c>
      <c r="J251" s="176" t="s">
        <v>135</v>
      </c>
      <c r="K251" s="54">
        <v>45985</v>
      </c>
      <c r="L251" s="54">
        <v>45985</v>
      </c>
      <c r="M251" s="54">
        <v>45985</v>
      </c>
      <c r="N251" s="176"/>
      <c r="O251" s="172"/>
      <c r="P251" s="172"/>
      <c r="Q251" s="172"/>
      <c r="R251" s="172"/>
      <c r="S251" s="172"/>
      <c r="T251" s="172"/>
      <c r="U251" s="176"/>
      <c r="V251" s="176"/>
      <c r="W251" s="176"/>
      <c r="X251" s="176" t="s">
        <v>3115</v>
      </c>
      <c r="Y251" s="176" t="s">
        <v>2408</v>
      </c>
      <c r="Z251" s="176" t="s">
        <v>2408</v>
      </c>
      <c r="AA251" s="176" t="s">
        <v>4391</v>
      </c>
      <c r="AB251" s="176"/>
      <c r="AC251" s="182"/>
      <c r="AD251" s="30"/>
      <c r="AE251" s="30"/>
      <c r="AF251" s="30"/>
      <c r="AG251" s="30"/>
      <c r="AH251" s="31"/>
      <c r="AI251" s="31"/>
      <c r="AJ251" s="31"/>
      <c r="AK251" s="30"/>
      <c r="AL251" s="30"/>
      <c r="AM251" s="31"/>
      <c r="AN251" s="31"/>
      <c r="AO251" s="31"/>
      <c r="AP251" s="31"/>
      <c r="AQ251" s="31"/>
      <c r="AR251" s="31"/>
      <c r="AS251" s="31"/>
      <c r="AT251" s="30">
        <f t="shared" ca="1" si="32"/>
        <v>0</v>
      </c>
      <c r="AU251" s="32">
        <f t="shared" ca="1" si="30"/>
        <v>44</v>
      </c>
      <c r="AV251" s="32" t="str" cm="1">
        <f t="array" aca="1" ref="AV251" ca="1">IFERROR(_xlfn.IFS($AU251="","",$AU251&lt;=15,"0-15",AND($AU251&gt;=16,$AU251&lt;=30),"16-30",AND($AU251&gt;=31,$AU251&lt;=45),"31-45",AND($AU251&gt;=46,$AU251&lt;=60),"46-60",AND($AU251&gt;=61,$AU251&lt;=90),"61-90",AND($AU251&gt;=91),"&gt; 90",AND($AU251&gt;=2000),""),"")</f>
        <v>31-45</v>
      </c>
      <c r="AW251" s="32" t="str" cm="1">
        <f t="array" aca="1" ref="AW251" ca="1">IFERROR(_xlfn.IFS(OR($M251="",$AM251=""),"",OR($C251="Offered",$C251="Joined"),($AM251-$M251)-$AT251),"")</f>
        <v/>
      </c>
      <c r="AX251" s="32" t="str" cm="1">
        <f t="array" aca="1" ref="AX251" ca="1">IFERROR(_xlfn.IFS(OR($M251="",$AS251=""),"",$C251="Joined",($AS251-$M251)-$AT251),"")</f>
        <v/>
      </c>
      <c r="AY251" s="30" t="str">
        <f>IFERROR(IF(COUNTIFS('Candidate Tracker'!$E:$E,'Positions Tracker'!$B251,'Candidate Tracker'!$C:$C,"Offer Drop")=0,"",COUNTIFS('Candidate Tracker'!$E:$E,'Positions Tracker'!$B251,'Candidate Tracker'!$C:$C,"Offer Drop")),"")</f>
        <v/>
      </c>
      <c r="AZ2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1" s="34" t="str">
        <f>IFERROR(IF(COUNTIFS('Candidate Tracker'!$E:$E,'Positions Tracker'!$B251,'Candidate Tracker'!$I:$I,"Female")=0,"",COUNTIFS('Candidate Tracker'!$E:$E,'Positions Tracker'!$B251,'Candidate Tracker'!$I:$I,"Female")),"")</f>
        <v/>
      </c>
      <c r="BB251" s="34" t="str">
        <f>IFERROR(IF(COUNTIFS('Candidate Tracker'!$E:$E,'Positions Tracker'!$B251,'Candidate Tracker'!$I:$I,"male")=0,"",COUNTIFS('Candidate Tracker'!$E:$E,'Positions Tracker'!$B251,'Candidate Tracker'!$I:$I,"male")),"")</f>
        <v/>
      </c>
      <c r="BC251" s="33" t="str">
        <f>IFERROR(IF(COUNTIFS('Candidate Tracker'!$E:$E,'Positions Tracker'!$B251,'Candidate Tracker'!$C:$C,"&lt;&gt;WIP",'Candidate Tracker'!$C:$C,"&lt;&gt;Hold",'Candidate Tracker'!$C:$C,"&lt;&gt;Cancelled",'Candidate Tracker'!$C:$C,"&lt;&gt;Closed")/COUNTIFS('Candidate Tracker'!$E:$E,'Positions Tracker'!$B251)=0,"",COUNTIFS('Candidate Tracker'!$E:$E,'Positions Tracker'!$B251,'Candidate Tracker'!$C:$C,"&lt;&gt;WIP",'Candidate Tracker'!$C:$C,"&lt;&gt;Hold",'Candidate Tracker'!$C:$C,"&lt;&gt;Cancelled",'Candidate Tracker'!$C:$C,"&lt;&gt;Closed")/COUNTIFS('Candidate Tracker'!$E:$E,'Positions Tracker'!$B251)),"")</f>
        <v/>
      </c>
      <c r="BD251" s="30" t="str">
        <f t="shared" si="33"/>
        <v>Nov-25</v>
      </c>
      <c r="BE251" s="30" t="str">
        <f t="shared" si="34"/>
        <v/>
      </c>
      <c r="BF251" s="30" t="str">
        <f t="shared" si="35"/>
        <v/>
      </c>
      <c r="BG251" s="30" t="str">
        <f>IFERROR(IF($AS251="","",TEXT($AS251,"MMM-YY")),"")</f>
        <v/>
      </c>
    </row>
    <row r="252" spans="1:59">
      <c r="A252" s="166" t="e">
        <f t="shared" si="31"/>
        <v>#REF!</v>
      </c>
      <c r="B252" s="176">
        <v>20262149</v>
      </c>
      <c r="C252" s="187" t="s">
        <v>2</v>
      </c>
      <c r="D252" s="187" t="s">
        <v>1475</v>
      </c>
      <c r="E252" s="187" t="s">
        <v>4487</v>
      </c>
      <c r="F252" s="187" t="s">
        <v>4021</v>
      </c>
      <c r="G252" s="187" t="s">
        <v>1</v>
      </c>
      <c r="H252" s="187" t="s">
        <v>4429</v>
      </c>
      <c r="I252" s="218" t="s">
        <v>4488</v>
      </c>
      <c r="J252" s="187" t="s">
        <v>135</v>
      </c>
      <c r="K252" s="203">
        <v>45985</v>
      </c>
      <c r="L252" s="203">
        <v>45985</v>
      </c>
      <c r="M252" s="203">
        <v>45985</v>
      </c>
      <c r="N252" s="187"/>
      <c r="O252" s="188"/>
      <c r="P252" s="188"/>
      <c r="Q252" s="188"/>
      <c r="R252" s="188"/>
      <c r="S252" s="188"/>
      <c r="T252" s="188"/>
      <c r="U252" s="187"/>
      <c r="V252" s="187"/>
      <c r="W252" s="187"/>
      <c r="X252" s="187" t="s">
        <v>3115</v>
      </c>
      <c r="Y252" s="187" t="s">
        <v>2408</v>
      </c>
      <c r="Z252" s="187" t="s">
        <v>2408</v>
      </c>
      <c r="AA252" s="176" t="s">
        <v>4391</v>
      </c>
      <c r="AB252" s="187"/>
      <c r="AC252" s="184"/>
      <c r="AD252" s="162"/>
      <c r="AE252" s="162"/>
      <c r="AF252" s="162"/>
      <c r="AG252" s="162"/>
      <c r="AH252" s="173"/>
      <c r="AI252" s="173"/>
      <c r="AJ252" s="173"/>
      <c r="AK252" s="162"/>
      <c r="AL252" s="162"/>
      <c r="AM252" s="173"/>
      <c r="AN252" s="173"/>
      <c r="AO252" s="173"/>
      <c r="AP252" s="173"/>
      <c r="AQ252" s="173"/>
      <c r="AR252" s="173"/>
      <c r="AS252" s="173"/>
      <c r="AT252" s="162">
        <f t="shared" ca="1" si="32"/>
        <v>0</v>
      </c>
      <c r="AU252" s="200">
        <f t="shared" ca="1" si="30"/>
        <v>44</v>
      </c>
      <c r="AV252" s="200" t="str" cm="1">
        <f t="array" aca="1" ref="AV252" ca="1">IFERROR(_xlfn.IFS($AU252="","",$AU252&lt;=15,"0-15",AND($AU252&gt;=16,$AU252&lt;=30),"16-30",AND($AU252&gt;=31,$AU252&lt;=45),"31-45",AND($AU252&gt;=46,$AU252&lt;=60),"46-60",AND($AU252&gt;=61,$AU252&lt;=90),"61-90",AND($AU252&gt;=91),"&gt; 90",AND($AU252&gt;=2000),""),"")</f>
        <v>31-45</v>
      </c>
      <c r="AW252" s="200" t="str" cm="1">
        <f t="array" aca="1" ref="AW252" ca="1">IFERROR(_xlfn.IFS(OR($M252="",$AM252=""),"",OR($C252="Offered",$C252="Joined"),($AM252-$M252)-$AT252),"")</f>
        <v/>
      </c>
      <c r="AX252" s="200" t="str" cm="1">
        <f t="array" aca="1" ref="AX252" ca="1">IFERROR(_xlfn.IFS(OR($M252="",$AS252=""),"",$C252="Joined",($AS252-$M252)-$AT252),"")</f>
        <v/>
      </c>
      <c r="AY252" s="162" t="str">
        <f>IFERROR(IF(COUNTIFS('Candidate Tracker'!$E:$E,'Positions Tracker'!$B252,'Candidate Tracker'!$C:$C,"Offer Drop")=0,"",COUNTIFS('Candidate Tracker'!$E:$E,'Positions Tracker'!$B252,'Candidate Tracker'!$C:$C,"Offer Drop")),"")</f>
        <v/>
      </c>
      <c r="AZ252" s="201">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2" s="202" t="str">
        <f>IFERROR(IF(COUNTIFS('Candidate Tracker'!$E:$E,'Positions Tracker'!$B252,'Candidate Tracker'!$I:$I,"Female")=0,"",COUNTIFS('Candidate Tracker'!$E:$E,'Positions Tracker'!$B252,'Candidate Tracker'!$I:$I,"Female")),"")</f>
        <v/>
      </c>
      <c r="BB252" s="202" t="str">
        <f>IFERROR(IF(COUNTIFS('Candidate Tracker'!$E:$E,'Positions Tracker'!$B252,'Candidate Tracker'!$I:$I,"male")=0,"",COUNTIFS('Candidate Tracker'!$E:$E,'Positions Tracker'!$B252,'Candidate Tracker'!$I:$I,"male")),"")</f>
        <v/>
      </c>
      <c r="BC252" s="201" t="str">
        <f>IFERROR(IF(COUNTIFS('Candidate Tracker'!$E:$E,'Positions Tracker'!$B252,'Candidate Tracker'!$C:$C,"&lt;&gt;WIP",'Candidate Tracker'!$C:$C,"&lt;&gt;Hold",'Candidate Tracker'!$C:$C,"&lt;&gt;Cancelled",'Candidate Tracker'!$C:$C,"&lt;&gt;Closed")/COUNTIFS('Candidate Tracker'!$E:$E,'Positions Tracker'!$B252)=0,"",COUNTIFS('Candidate Tracker'!$E:$E,'Positions Tracker'!$B252,'Candidate Tracker'!$C:$C,"&lt;&gt;WIP",'Candidate Tracker'!$C:$C,"&lt;&gt;Hold",'Candidate Tracker'!$C:$C,"&lt;&gt;Cancelled",'Candidate Tracker'!$C:$C,"&lt;&gt;Closed")/COUNTIFS('Candidate Tracker'!$E:$E,'Positions Tracker'!$B252)),"")</f>
        <v/>
      </c>
      <c r="BD252" s="162" t="str">
        <f t="shared" si="33"/>
        <v>Nov-25</v>
      </c>
      <c r="BE252" s="162" t="str">
        <f t="shared" si="34"/>
        <v/>
      </c>
      <c r="BF252" s="162" t="str">
        <f t="shared" si="35"/>
        <v/>
      </c>
      <c r="BG252" s="162" t="str">
        <f>IFERROR(IF($AS252="","",TEXT($AS252,"MMM-YY")),"")</f>
        <v/>
      </c>
    </row>
    <row r="253" spans="1:59">
      <c r="A253" s="166" t="e">
        <f t="shared" si="31"/>
        <v>#REF!</v>
      </c>
      <c r="B253" s="198">
        <v>20262325</v>
      </c>
      <c r="C253" s="176" t="s">
        <v>840</v>
      </c>
      <c r="D253" s="176" t="s">
        <v>841</v>
      </c>
      <c r="E253" s="176" t="s">
        <v>3256</v>
      </c>
      <c r="F253" s="176" t="s">
        <v>4035</v>
      </c>
      <c r="G253" s="176" t="s">
        <v>1</v>
      </c>
      <c r="H253" s="176" t="s">
        <v>4429</v>
      </c>
      <c r="I253" s="176" t="s">
        <v>4489</v>
      </c>
      <c r="J253" s="176" t="s">
        <v>135</v>
      </c>
      <c r="K253" s="172">
        <v>45979</v>
      </c>
      <c r="L253" s="172">
        <v>45979</v>
      </c>
      <c r="M253" s="172">
        <v>45979</v>
      </c>
      <c r="N253" s="176" t="s">
        <v>4289</v>
      </c>
      <c r="O253" s="172"/>
      <c r="P253" s="172"/>
      <c r="Q253" s="172"/>
      <c r="R253" s="172"/>
      <c r="S253" s="172"/>
      <c r="T253" s="172"/>
      <c r="U253" s="176"/>
      <c r="V253" s="176"/>
      <c r="W253" s="176"/>
      <c r="X253" s="176" t="s">
        <v>3115</v>
      </c>
      <c r="Y253" s="176" t="s">
        <v>2408</v>
      </c>
      <c r="Z253" s="176" t="s">
        <v>2408</v>
      </c>
      <c r="AA253" s="176" t="s">
        <v>4490</v>
      </c>
      <c r="AB253" s="176"/>
      <c r="AC253" s="176"/>
      <c r="AD253" s="176"/>
      <c r="AE253" s="176" t="s">
        <v>4491</v>
      </c>
      <c r="AF253" s="248">
        <v>7066556820</v>
      </c>
      <c r="AG253" s="249" t="s">
        <v>4492</v>
      </c>
      <c r="AH253" s="188" t="s">
        <v>101</v>
      </c>
      <c r="AI253" s="188">
        <v>45999</v>
      </c>
      <c r="AJ253" s="172"/>
      <c r="AK253" s="176" t="s">
        <v>3115</v>
      </c>
      <c r="AL253" s="165" t="s">
        <v>4493</v>
      </c>
      <c r="AM253" s="172">
        <v>46001</v>
      </c>
      <c r="AN253" s="172"/>
      <c r="AO253" s="172"/>
      <c r="AP253" s="172"/>
      <c r="AQ253" s="172"/>
      <c r="AR253" s="172"/>
      <c r="AS253" s="172"/>
      <c r="AT253" s="176">
        <f t="shared" ca="1" si="32"/>
        <v>0</v>
      </c>
      <c r="AU253" s="192" t="str">
        <f t="shared" ca="1" si="30"/>
        <v/>
      </c>
      <c r="AV253" s="192" t="str" cm="1">
        <f t="array" aca="1" ref="AV253" ca="1">IFERROR(_xlfn.IFS($AU253="","",$AU253&lt;=15,"0-15",AND($AU253&gt;=16,$AU253&lt;=30),"16-30",AND($AU253&gt;=31,$AU253&lt;=45),"31-45",AND($AU253&gt;=46,$AU253&lt;=60),"46-60",AND($AU253&gt;=61,$AU253&lt;=90),"61-90",AND($AU253&gt;=91),"&gt; 90",AND($AU253&gt;=2000),""),"")</f>
        <v/>
      </c>
      <c r="AW253" s="192" cm="1">
        <f t="array" aca="1" ref="AW253" ca="1">IFERROR(_xlfn.IFS(OR($M253="",$AM253=""),"",OR($C253="Offered",$C253="Joined"),($AM253-$M253)-$AT253),"")</f>
        <v>22</v>
      </c>
      <c r="AX253" s="192" t="str" cm="1">
        <f t="array" aca="1" ref="AX253" ca="1">IFERROR(_xlfn.IFS(OR($M253="",$AS253=""),"",$C253="Joined",($AS253-$M253)-$AT253),"")</f>
        <v/>
      </c>
      <c r="AY253" s="176" t="str">
        <f>IFERROR(IF(COUNTIFS('Candidate Tracker'!$E:$E,'Positions Tracker'!$B253,'Candidate Tracker'!$C:$C,"Offer Drop")=0,"",COUNTIFS('Candidate Tracker'!$E:$E,'Positions Tracker'!$B253,'Candidate Tracker'!$C:$C,"Offer Drop")),"")</f>
        <v/>
      </c>
      <c r="AZ253" s="19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3" s="194" t="str">
        <f>IFERROR(IF(COUNTIFS('Candidate Tracker'!$E:$E,'Positions Tracker'!$B253,'Candidate Tracker'!$I:$I,"Female")=0,"",COUNTIFS('Candidate Tracker'!$E:$E,'Positions Tracker'!$B253,'Candidate Tracker'!$I:$I,"Female")),"")</f>
        <v/>
      </c>
      <c r="BB253" s="194" t="str">
        <f>IFERROR(IF(COUNTIFS('Candidate Tracker'!$E:$E,'Positions Tracker'!$B253,'Candidate Tracker'!$I:$I,"male")=0,"",COUNTIFS('Candidate Tracker'!$E:$E,'Positions Tracker'!$B253,'Candidate Tracker'!$I:$I,"male")),"")</f>
        <v/>
      </c>
      <c r="BC253" s="193" t="str">
        <f>IFERROR(IF(COUNTIFS('Candidate Tracker'!$E:$E,'Positions Tracker'!$B253,'Candidate Tracker'!$C:$C,"&lt;&gt;WIP",'Candidate Tracker'!$C:$C,"&lt;&gt;Hold",'Candidate Tracker'!$C:$C,"&lt;&gt;Cancelled",'Candidate Tracker'!$C:$C,"&lt;&gt;Closed")/COUNTIFS('Candidate Tracker'!$E:$E,'Positions Tracker'!$B253)=0,"",COUNTIFS('Candidate Tracker'!$E:$E,'Positions Tracker'!$B253,'Candidate Tracker'!$C:$C,"&lt;&gt;WIP",'Candidate Tracker'!$C:$C,"&lt;&gt;Hold",'Candidate Tracker'!$C:$C,"&lt;&gt;Cancelled",'Candidate Tracker'!$C:$C,"&lt;&gt;Closed")/COUNTIFS('Candidate Tracker'!$E:$E,'Positions Tracker'!$B253)),"")</f>
        <v/>
      </c>
      <c r="BD253" s="176" t="str">
        <f t="shared" si="33"/>
        <v>Nov-25</v>
      </c>
      <c r="BE253" s="176" t="str">
        <f t="shared" si="34"/>
        <v>Dec-25</v>
      </c>
      <c r="BF253" s="176" t="str">
        <f t="shared" si="35"/>
        <v>Dec-25</v>
      </c>
      <c r="BG253" s="195">
        <v>46069</v>
      </c>
    </row>
    <row r="254" spans="1:59">
      <c r="A254" s="166" t="e">
        <f t="shared" si="31"/>
        <v>#REF!</v>
      </c>
      <c r="B254" s="197">
        <v>20262371</v>
      </c>
      <c r="C254" s="176" t="s">
        <v>840</v>
      </c>
      <c r="D254" s="176" t="s">
        <v>841</v>
      </c>
      <c r="E254" s="176" t="s">
        <v>3256</v>
      </c>
      <c r="F254" s="176" t="s">
        <v>4035</v>
      </c>
      <c r="G254" s="176" t="s">
        <v>1</v>
      </c>
      <c r="H254" s="176" t="s">
        <v>4429</v>
      </c>
      <c r="I254" s="176" t="s">
        <v>4489</v>
      </c>
      <c r="J254" s="176" t="s">
        <v>135</v>
      </c>
      <c r="K254" s="172">
        <v>45980</v>
      </c>
      <c r="L254" s="172">
        <v>45980</v>
      </c>
      <c r="M254" s="172">
        <v>45980</v>
      </c>
      <c r="N254" s="176" t="s">
        <v>4289</v>
      </c>
      <c r="O254" s="172"/>
      <c r="P254" s="172"/>
      <c r="Q254" s="172"/>
      <c r="R254" s="172"/>
      <c r="S254" s="172"/>
      <c r="T254" s="172"/>
      <c r="U254" s="176"/>
      <c r="V254" s="176"/>
      <c r="W254" s="176"/>
      <c r="X254" s="176" t="s">
        <v>3115</v>
      </c>
      <c r="Y254" s="176" t="s">
        <v>2408</v>
      </c>
      <c r="Z254" s="176" t="s">
        <v>2408</v>
      </c>
      <c r="AA254" s="176" t="s">
        <v>4484</v>
      </c>
      <c r="AB254" s="176"/>
      <c r="AC254" s="176"/>
      <c r="AD254" s="176"/>
      <c r="AE254" s="196" t="s">
        <v>4494</v>
      </c>
      <c r="AF254" s="243">
        <v>-8308209235</v>
      </c>
      <c r="AG254" s="253" t="s">
        <v>4495</v>
      </c>
      <c r="AH254" s="244" t="s">
        <v>55</v>
      </c>
      <c r="AI254" s="244">
        <v>46002</v>
      </c>
      <c r="AJ254" s="246"/>
      <c r="AK254" s="176" t="s">
        <v>3115</v>
      </c>
      <c r="AL254" s="165"/>
      <c r="AM254" s="172"/>
      <c r="AN254" s="172"/>
      <c r="AO254" s="172"/>
      <c r="AP254" s="172"/>
      <c r="AQ254" s="172"/>
      <c r="AR254" s="172"/>
      <c r="AS254" s="172"/>
      <c r="AT254" s="176">
        <f t="shared" ca="1" si="32"/>
        <v>0</v>
      </c>
      <c r="AU254" s="192" t="str">
        <f t="shared" ca="1" si="30"/>
        <v/>
      </c>
      <c r="AV254" s="192" t="str" cm="1">
        <f t="array" aca="1" ref="AV254" ca="1">IFERROR(_xlfn.IFS($AU254="","",$AU254&lt;=15,"0-15",AND($AU254&gt;=16,$AU254&lt;=30),"16-30",AND($AU254&gt;=31,$AU254&lt;=45),"31-45",AND($AU254&gt;=46,$AU254&lt;=60),"46-60",AND($AU254&gt;=61,$AU254&lt;=90),"61-90",AND($AU254&gt;=91),"&gt; 90",AND($AU254&gt;=2000),""),"")</f>
        <v/>
      </c>
      <c r="AW254" s="192" t="str" cm="1">
        <f t="array" aca="1" ref="AW254" ca="1">IFERROR(_xlfn.IFS(OR($M254="",$AM254=""),"",OR($C254="Offered",$C254="Joined"),($AM254-$M254)-$AT254),"")</f>
        <v/>
      </c>
      <c r="AX254" s="192" t="str" cm="1">
        <f t="array" aca="1" ref="AX254" ca="1">IFERROR(_xlfn.IFS(OR($M254="",$AS254=""),"",$C254="Joined",($AS254-$M254)-$AT254),"")</f>
        <v/>
      </c>
      <c r="AY254" s="176" t="str">
        <f>IFERROR(IF(COUNTIFS('Candidate Tracker'!$E:$E,'Positions Tracker'!$B254,'Candidate Tracker'!$C:$C,"Offer Drop")=0,"",COUNTIFS('Candidate Tracker'!$E:$E,'Positions Tracker'!$B254,'Candidate Tracker'!$C:$C,"Offer Drop")),"")</f>
        <v/>
      </c>
      <c r="AZ254" s="19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4" s="194" t="str">
        <f>IFERROR(IF(COUNTIFS('Candidate Tracker'!$E:$E,'Positions Tracker'!$B254,'Candidate Tracker'!$I:$I,"Female")=0,"",COUNTIFS('Candidate Tracker'!$E:$E,'Positions Tracker'!$B254,'Candidate Tracker'!$I:$I,"Female")),"")</f>
        <v/>
      </c>
      <c r="BB254" s="194" t="str">
        <f>IFERROR(IF(COUNTIFS('Candidate Tracker'!$E:$E,'Positions Tracker'!$B254,'Candidate Tracker'!$I:$I,"male")=0,"",COUNTIFS('Candidate Tracker'!$E:$E,'Positions Tracker'!$B254,'Candidate Tracker'!$I:$I,"male")),"")</f>
        <v/>
      </c>
      <c r="BC254" s="193" t="str">
        <f>IFERROR(IF(COUNTIFS('Candidate Tracker'!$E:$E,'Positions Tracker'!$B254,'Candidate Tracker'!$C:$C,"&lt;&gt;WIP",'Candidate Tracker'!$C:$C,"&lt;&gt;Hold",'Candidate Tracker'!$C:$C,"&lt;&gt;Cancelled",'Candidate Tracker'!$C:$C,"&lt;&gt;Closed")/COUNTIFS('Candidate Tracker'!$E:$E,'Positions Tracker'!$B254)=0,"",COUNTIFS('Candidate Tracker'!$E:$E,'Positions Tracker'!$B254,'Candidate Tracker'!$C:$C,"&lt;&gt;WIP",'Candidate Tracker'!$C:$C,"&lt;&gt;Hold",'Candidate Tracker'!$C:$C,"&lt;&gt;Cancelled",'Candidate Tracker'!$C:$C,"&lt;&gt;Closed")/COUNTIFS('Candidate Tracker'!$E:$E,'Positions Tracker'!$B254)),"")</f>
        <v/>
      </c>
      <c r="BD254" s="176" t="str">
        <f t="shared" si="33"/>
        <v>Nov-25</v>
      </c>
      <c r="BE254" s="176" t="str">
        <f t="shared" si="34"/>
        <v>Dec-25</v>
      </c>
      <c r="BF254" s="176" t="str">
        <f t="shared" si="35"/>
        <v/>
      </c>
      <c r="BG254" s="195">
        <v>46069</v>
      </c>
    </row>
    <row r="255" spans="1:59">
      <c r="A255" s="166" t="e">
        <f t="shared" si="31"/>
        <v>#REF!</v>
      </c>
      <c r="B255" s="176">
        <v>20262536</v>
      </c>
      <c r="C255" s="189" t="s">
        <v>2</v>
      </c>
      <c r="D255" s="189" t="s">
        <v>1475</v>
      </c>
      <c r="E255" s="189" t="s">
        <v>4496</v>
      </c>
      <c r="F255" s="189" t="s">
        <v>4021</v>
      </c>
      <c r="G255" s="189" t="s">
        <v>1</v>
      </c>
      <c r="H255" s="189" t="s">
        <v>2658</v>
      </c>
      <c r="I255" s="207" t="s">
        <v>4497</v>
      </c>
      <c r="J255" s="189" t="s">
        <v>135</v>
      </c>
      <c r="K255" s="190">
        <v>45980</v>
      </c>
      <c r="L255" s="190">
        <v>45980</v>
      </c>
      <c r="M255" s="190">
        <v>45980</v>
      </c>
      <c r="N255" s="189"/>
      <c r="O255" s="190"/>
      <c r="P255" s="190"/>
      <c r="Q255" s="190"/>
      <c r="R255" s="190"/>
      <c r="S255" s="190"/>
      <c r="T255" s="190"/>
      <c r="U255" s="189"/>
      <c r="V255" s="189"/>
      <c r="W255" s="189"/>
      <c r="X255" s="189"/>
      <c r="Y255" s="189" t="s">
        <v>2408</v>
      </c>
      <c r="Z255" s="189" t="s">
        <v>2408</v>
      </c>
      <c r="AA255" s="176" t="s">
        <v>4498</v>
      </c>
      <c r="AB255" s="189"/>
      <c r="AC255" s="183"/>
      <c r="AD255" s="169"/>
      <c r="AE255" s="169"/>
      <c r="AF255" s="250"/>
      <c r="AG255" s="250"/>
      <c r="AH255" s="251"/>
      <c r="AI255" s="251"/>
      <c r="AJ255" s="174"/>
      <c r="AK255" s="169"/>
      <c r="AL255" s="169"/>
      <c r="AM255" s="174"/>
      <c r="AN255" s="174"/>
      <c r="AO255" s="174"/>
      <c r="AP255" s="174"/>
      <c r="AQ255" s="174"/>
      <c r="AR255" s="174"/>
      <c r="AS255" s="174"/>
      <c r="AT255" s="169">
        <f t="shared" ca="1" si="32"/>
        <v>0</v>
      </c>
      <c r="AU255" s="204">
        <f t="shared" ca="1" si="30"/>
        <v>49</v>
      </c>
      <c r="AV255" s="204" t="str" cm="1">
        <f t="array" aca="1" ref="AV255" ca="1">IFERROR(_xlfn.IFS($AU255="","",$AU255&lt;=15,"0-15",AND($AU255&gt;=16,$AU255&lt;=30),"16-30",AND($AU255&gt;=31,$AU255&lt;=45),"31-45",AND($AU255&gt;=46,$AU255&lt;=60),"46-60",AND($AU255&gt;=61,$AU255&lt;=90),"61-90",AND($AU255&gt;=91),"&gt; 90",AND($AU255&gt;=2000),""),"")</f>
        <v>46-60</v>
      </c>
      <c r="AW255" s="204" t="str" cm="1">
        <f t="array" aca="1" ref="AW255" ca="1">IFERROR(_xlfn.IFS(OR($M255="",$AM255=""),"",OR($C255="Offered",$C255="Joined"),($AM255-$M255)-$AT255),"")</f>
        <v/>
      </c>
      <c r="AX255" s="204" t="str" cm="1">
        <f t="array" aca="1" ref="AX255" ca="1">IFERROR(_xlfn.IFS(OR($M255="",$AS255=""),"",$C255="Joined",($AS255-$M255)-$AT255),"")</f>
        <v/>
      </c>
      <c r="AY255" s="169" t="str">
        <f>IFERROR(IF(COUNTIFS('Candidate Tracker'!$E:$E,'Positions Tracker'!$B255,'Candidate Tracker'!$C:$C,"Offer Drop")=0,"",COUNTIFS('Candidate Tracker'!$E:$E,'Positions Tracker'!$B255,'Candidate Tracker'!$C:$C,"Offer Drop")),"")</f>
        <v/>
      </c>
      <c r="AZ255" s="205">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5" s="206" t="str">
        <f>IFERROR(IF(COUNTIFS('Candidate Tracker'!$E:$E,'Positions Tracker'!$B255,'Candidate Tracker'!$I:$I,"Female")=0,"",COUNTIFS('Candidate Tracker'!$E:$E,'Positions Tracker'!$B255,'Candidate Tracker'!$I:$I,"Female")),"")</f>
        <v/>
      </c>
      <c r="BB255" s="206" t="str">
        <f>IFERROR(IF(COUNTIFS('Candidate Tracker'!$E:$E,'Positions Tracker'!$B255,'Candidate Tracker'!$I:$I,"male")=0,"",COUNTIFS('Candidate Tracker'!$E:$E,'Positions Tracker'!$B255,'Candidate Tracker'!$I:$I,"male")),"")</f>
        <v/>
      </c>
      <c r="BC255" s="205" t="str">
        <f>IFERROR(IF(COUNTIFS('Candidate Tracker'!$E:$E,'Positions Tracker'!$B255,'Candidate Tracker'!$C:$C,"&lt;&gt;WIP",'Candidate Tracker'!$C:$C,"&lt;&gt;Hold",'Candidate Tracker'!$C:$C,"&lt;&gt;Cancelled",'Candidate Tracker'!$C:$C,"&lt;&gt;Closed")/COUNTIFS('Candidate Tracker'!$E:$E,'Positions Tracker'!$B255)=0,"",COUNTIFS('Candidate Tracker'!$E:$E,'Positions Tracker'!$B255,'Candidate Tracker'!$C:$C,"&lt;&gt;WIP",'Candidate Tracker'!$C:$C,"&lt;&gt;Hold",'Candidate Tracker'!$C:$C,"&lt;&gt;Cancelled",'Candidate Tracker'!$C:$C,"&lt;&gt;Closed")/COUNTIFS('Candidate Tracker'!$E:$E,'Positions Tracker'!$B255)),"")</f>
        <v/>
      </c>
      <c r="BD255" s="169" t="str">
        <f t="shared" si="33"/>
        <v>Nov-25</v>
      </c>
      <c r="BE255" s="169" t="str">
        <f t="shared" si="34"/>
        <v/>
      </c>
      <c r="BF255" s="169" t="str">
        <f t="shared" si="35"/>
        <v/>
      </c>
      <c r="BG255" s="169" t="str">
        <f>IFERROR(IF($AS255="","",TEXT($AS255,"MMM-YY")),"")</f>
        <v/>
      </c>
    </row>
    <row r="256" spans="1:59">
      <c r="A256" s="167">
        <v>257</v>
      </c>
      <c r="B256" s="199">
        <v>20259592</v>
      </c>
      <c r="C256" s="176" t="s">
        <v>2</v>
      </c>
      <c r="D256" s="48" t="s">
        <v>1475</v>
      </c>
      <c r="E256" s="48" t="s">
        <v>3256</v>
      </c>
      <c r="F256" s="48" t="s">
        <v>4375</v>
      </c>
      <c r="G256" s="48" t="s">
        <v>1</v>
      </c>
      <c r="H256" s="48" t="s">
        <v>2409</v>
      </c>
      <c r="I256" s="177" t="s">
        <v>4449</v>
      </c>
      <c r="J256" s="176" t="s">
        <v>135</v>
      </c>
      <c r="K256" s="172">
        <v>45975</v>
      </c>
      <c r="L256" s="172">
        <v>45975</v>
      </c>
      <c r="M256" s="172">
        <v>45975</v>
      </c>
      <c r="N256" s="176" t="s">
        <v>4289</v>
      </c>
      <c r="O256" s="48"/>
      <c r="P256" s="48"/>
      <c r="Q256" s="48"/>
      <c r="R256" s="48"/>
      <c r="S256" s="48"/>
      <c r="T256" s="48"/>
      <c r="U256" s="48"/>
      <c r="V256" s="48"/>
      <c r="W256" s="48"/>
      <c r="X256" s="48" t="s">
        <v>3115</v>
      </c>
      <c r="Y256" s="48" t="s">
        <v>2408</v>
      </c>
      <c r="Z256" s="48" t="s">
        <v>2408</v>
      </c>
      <c r="AA256" s="48" t="s">
        <v>4490</v>
      </c>
      <c r="AB256" s="48"/>
      <c r="AC256" s="48"/>
      <c r="AD256" s="48"/>
      <c r="AE256" s="245"/>
      <c r="AF256" s="254"/>
      <c r="AG256" s="255"/>
      <c r="AH256" s="254"/>
      <c r="AI256" s="256"/>
      <c r="AJ256" s="247"/>
      <c r="AK256" s="48"/>
      <c r="AL256" s="171"/>
      <c r="AM256" s="54"/>
      <c r="AN256" s="54"/>
      <c r="AO256" s="48"/>
      <c r="AP256" s="48"/>
      <c r="AQ256" s="54"/>
      <c r="AR256" s="54"/>
      <c r="AS256" s="54"/>
      <c r="AT256" s="176">
        <f t="shared" ca="1" si="32"/>
        <v>0</v>
      </c>
      <c r="AU256" s="192">
        <f t="shared" ref="AU256:AU319" ca="1" si="37">IFERROR(IF(($M256=""),"",IF(OR(,$C256="Offer in Progress",$C256="WIP",$C256="WIP/Drop",$C256="WIP/New",$C256="WIP/Hold"),(TODAY()-$M256)-$AT256,"")),"")</f>
        <v>54</v>
      </c>
      <c r="AV256" s="192" t="str" cm="1">
        <f t="array" aca="1" ref="AV256" ca="1">IFERROR(_xlfn.IFS($AU256="","",$AU256&lt;=15,"0-15",AND($AU256&gt;=16,$AU256&lt;=30),"16-30",AND($AU256&gt;=31,$AU256&lt;=45),"31-45",AND($AU256&gt;=46,$AU256&lt;=60),"46-60",AND($AU256&gt;=61,$AU256&lt;=90),"61-90",AND($AU256&gt;=91),"&gt; 90",AND($AU256&gt;=2000),""),"")</f>
        <v>46-60</v>
      </c>
      <c r="AW256" s="192" t="str" cm="1">
        <f t="array" aca="1" ref="AW256" ca="1">IFERROR(_xlfn.IFS(OR($M256="",$AM256=""),"",OR($C256="Offered",$C256="Joined"),($AM256-$M256)-$AT256),"")</f>
        <v/>
      </c>
      <c r="AX256" s="192" t="str" cm="1">
        <f t="array" aca="1" ref="AX256" ca="1">IFERROR(_xlfn.IFS(OR($M256="",$AS256=""),"",$C256="Joined",($AS256-$M256)-$AT256),"")</f>
        <v/>
      </c>
      <c r="AY256" s="176" t="str">
        <f>IFERROR(IF(COUNTIFS('Candidate Tracker'!$E:$E,'Positions Tracker'!$B256,'Candidate Tracker'!$C:$C,"Offer Drop")=0,"",COUNTIFS('Candidate Tracker'!$E:$E,'Positions Tracker'!$B256,'Candidate Tracker'!$C:$C,"Offer Drop")),"")</f>
        <v/>
      </c>
      <c r="AZ256" s="19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6" s="194" t="str">
        <f>IFERROR(IF(COUNTIFS('Candidate Tracker'!$E:$E,'Positions Tracker'!$B256,'Candidate Tracker'!$I:$I,"Female")=0,"",COUNTIFS('Candidate Tracker'!$E:$E,'Positions Tracker'!$B256,'Candidate Tracker'!$I:$I,"Female")),"")</f>
        <v/>
      </c>
      <c r="BB256" s="194" t="str">
        <f>IFERROR(IF(COUNTIFS('Candidate Tracker'!$E:$E,'Positions Tracker'!$B256,'Candidate Tracker'!$I:$I,"male")=0,"",COUNTIFS('Candidate Tracker'!$E:$E,'Positions Tracker'!$B256,'Candidate Tracker'!$I:$I,"male")),"")</f>
        <v/>
      </c>
      <c r="BC256" s="193" t="str">
        <f>IFERROR(IF(COUNTIFS('Candidate Tracker'!$E:$E,'Positions Tracker'!$B256,'Candidate Tracker'!$C:$C,"&lt;&gt;WIP",'Candidate Tracker'!$C:$C,"&lt;&gt;Hold",'Candidate Tracker'!$C:$C,"&lt;&gt;Cancelled",'Candidate Tracker'!$C:$C,"&lt;&gt;Closed")/COUNTIFS('Candidate Tracker'!$E:$E,'Positions Tracker'!$B256)=0,"",COUNTIFS('Candidate Tracker'!$E:$E,'Positions Tracker'!$B256,'Candidate Tracker'!$C:$C,"&lt;&gt;WIP",'Candidate Tracker'!$C:$C,"&lt;&gt;Hold",'Candidate Tracker'!$C:$C,"&lt;&gt;Cancelled",'Candidate Tracker'!$C:$C,"&lt;&gt;Closed")/COUNTIFS('Candidate Tracker'!$E:$E,'Positions Tracker'!$B256)),"")</f>
        <v/>
      </c>
      <c r="BD256" s="176" t="str">
        <f t="shared" si="33"/>
        <v>Nov-25</v>
      </c>
      <c r="BE256" s="176" t="str">
        <f t="shared" si="34"/>
        <v/>
      </c>
      <c r="BF256" s="176" t="str">
        <f t="shared" si="35"/>
        <v/>
      </c>
      <c r="BG256" s="195">
        <v>46069</v>
      </c>
    </row>
    <row r="257" spans="1:59">
      <c r="A257" s="167">
        <v>258</v>
      </c>
      <c r="B257" s="179">
        <v>20260080</v>
      </c>
      <c r="C257" s="207" t="s">
        <v>0</v>
      </c>
      <c r="D257" s="208" t="s">
        <v>4254</v>
      </c>
      <c r="E257" s="209" t="s">
        <v>4418</v>
      </c>
      <c r="F257" s="210" t="s">
        <v>4341</v>
      </c>
      <c r="G257" s="210" t="s">
        <v>1</v>
      </c>
      <c r="H257" s="210" t="s">
        <v>2409</v>
      </c>
      <c r="I257" s="211" t="s">
        <v>4011</v>
      </c>
      <c r="J257" s="189" t="s">
        <v>135</v>
      </c>
      <c r="K257" s="212">
        <v>46001</v>
      </c>
      <c r="L257" s="212">
        <v>46001</v>
      </c>
      <c r="M257" s="212">
        <v>46001</v>
      </c>
      <c r="N257" s="210" t="s">
        <v>4289</v>
      </c>
      <c r="O257" s="210"/>
      <c r="P257" s="210"/>
      <c r="Q257" s="210"/>
      <c r="R257" s="210"/>
      <c r="S257" s="210"/>
      <c r="T257" s="210"/>
      <c r="U257" s="210"/>
      <c r="V257" s="210"/>
      <c r="W257" s="210"/>
      <c r="X257" s="210" t="s">
        <v>3115</v>
      </c>
      <c r="Y257" s="210" t="s">
        <v>2408</v>
      </c>
      <c r="Z257" s="210" t="s">
        <v>2408</v>
      </c>
      <c r="AA257" s="176" t="s">
        <v>4499</v>
      </c>
      <c r="AB257" s="210"/>
      <c r="AC257" s="185"/>
      <c r="AD257" s="170"/>
      <c r="AE257" s="170"/>
      <c r="AF257" s="170"/>
      <c r="AG257" s="170"/>
      <c r="AH257" s="170"/>
      <c r="AI257" s="175"/>
      <c r="AJ257" s="170"/>
      <c r="AK257" s="170"/>
      <c r="AL257" s="170"/>
      <c r="AM257" s="175"/>
      <c r="AN257" s="175"/>
      <c r="AO257" s="170"/>
      <c r="AP257" s="170"/>
      <c r="AQ257" s="175"/>
      <c r="AR257" s="175"/>
      <c r="AS257" s="175"/>
      <c r="AT257" s="169">
        <f t="shared" ref="AT257:AT320" ca="1" si="38">IFERROR(SUM(IF(AND(ISBLANK(T257),ISBLANK(Q257)),0,IF(T257="",TODAY()-Q257,T257-Q257))+IF(AND(ISBLANK(S257),ISBLANK(P257)),0,IF(S257="",TODAY()-P257,S257-P257))+IF(AND(ISBLANK(O257),ISBLANK(R257)),0,IF(R257="",TODAY()-O257,R257-O257))),"")</f>
        <v>0</v>
      </c>
      <c r="AU257" s="204">
        <f t="shared" ca="1" si="37"/>
        <v>28</v>
      </c>
      <c r="AV257" s="204" t="str" cm="1">
        <f t="array" aca="1" ref="AV257" ca="1">IFERROR(_xlfn.IFS($AU257="","",$AU257&lt;=15,"0-15",AND($AU257&gt;=16,$AU257&lt;=30),"16-30",AND($AU257&gt;=31,$AU257&lt;=45),"31-45",AND($AU257&gt;=46,$AU257&lt;=60),"46-60",AND($AU257&gt;=61,$AU257&lt;=90),"61-90",AND($AU257&gt;=91),"&gt; 90",AND($AU257&gt;=2000),""),"")</f>
        <v>16-30</v>
      </c>
      <c r="AW257" s="204" t="str" cm="1">
        <f t="array" aca="1" ref="AW257" ca="1">IFERROR(_xlfn.IFS(OR($M257="",$AM257=""),"",OR($C257="Offered",$C257="Joined"),($AM257-$M257)-$AT257),"")</f>
        <v/>
      </c>
      <c r="AX257" s="204" t="str" cm="1">
        <f t="array" aca="1" ref="AX257" ca="1">IFERROR(_xlfn.IFS(OR($M257="",$AS257=""),"",$C257="Joined",($AS257-$M257)-$AT257),"")</f>
        <v/>
      </c>
      <c r="AY257" s="169" t="str">
        <f>IFERROR(IF(COUNTIFS('Candidate Tracker'!$E:$E,'Positions Tracker'!$B257,'Candidate Tracker'!$C:$C,"Offer Drop")=0,"",COUNTIFS('Candidate Tracker'!$E:$E,'Positions Tracker'!$B257,'Candidate Tracker'!$C:$C,"Offer Drop")),"")</f>
        <v/>
      </c>
      <c r="AZ257" s="205">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7" s="206" t="str">
        <f>IFERROR(IF(COUNTIFS('Candidate Tracker'!$E:$E,'Positions Tracker'!$B257,'Candidate Tracker'!$I:$I,"Female")=0,"",COUNTIFS('Candidate Tracker'!$E:$E,'Positions Tracker'!$B257,'Candidate Tracker'!$I:$I,"Female")),"")</f>
        <v/>
      </c>
      <c r="BB257" s="206" t="str">
        <f>IFERROR(IF(COUNTIFS('Candidate Tracker'!$E:$E,'Positions Tracker'!$B257,'Candidate Tracker'!$I:$I,"male")=0,"",COUNTIFS('Candidate Tracker'!$E:$E,'Positions Tracker'!$B257,'Candidate Tracker'!$I:$I,"male")),"")</f>
        <v/>
      </c>
      <c r="BC257" s="205" t="str">
        <f>IFERROR(IF(COUNTIFS('Candidate Tracker'!$E:$E,'Positions Tracker'!$B257,'Candidate Tracker'!$C:$C,"&lt;&gt;WIP",'Candidate Tracker'!$C:$C,"&lt;&gt;Hold",'Candidate Tracker'!$C:$C,"&lt;&gt;Cancelled",'Candidate Tracker'!$C:$C,"&lt;&gt;Closed")/COUNTIFS('Candidate Tracker'!$E:$E,'Positions Tracker'!$B257)=0,"",COUNTIFS('Candidate Tracker'!$E:$E,'Positions Tracker'!$B257,'Candidate Tracker'!$C:$C,"&lt;&gt;WIP",'Candidate Tracker'!$C:$C,"&lt;&gt;Hold",'Candidate Tracker'!$C:$C,"&lt;&gt;Cancelled",'Candidate Tracker'!$C:$C,"&lt;&gt;Closed")/COUNTIFS('Candidate Tracker'!$E:$E,'Positions Tracker'!$B257)),"")</f>
        <v/>
      </c>
      <c r="BD257" s="169" t="str">
        <f t="shared" ref="BD257:BD320" si="39">IFERROR(IF($M257="","",TEXT($M257,"MMM-YY")),"")</f>
        <v>Dec-25</v>
      </c>
      <c r="BE257" s="169" t="str">
        <f t="shared" ref="BE257:BE320" si="40">IFERROR(IF($AI257="","",TEXT($AI257,"MMM-YY")),"")</f>
        <v/>
      </c>
      <c r="BF257" s="169" t="str">
        <f t="shared" ref="BF257:BF320" si="41">IFERROR(IF($AM257="","",TEXT($AM257,"MMM-YY")),"")</f>
        <v/>
      </c>
      <c r="BG257" s="169" t="str">
        <f t="shared" ref="BG257:BG320" si="42">IFERROR(IF($AS257="","",TEXT($AS257,"MMM-YY")),"")</f>
        <v/>
      </c>
    </row>
    <row r="258" spans="1:59">
      <c r="A258" s="181">
        <v>259</v>
      </c>
      <c r="B258" s="180">
        <v>20262142</v>
      </c>
      <c r="C258" s="178" t="s">
        <v>2</v>
      </c>
      <c r="D258" s="48" t="s">
        <v>1475</v>
      </c>
      <c r="E258" s="238" t="s">
        <v>4487</v>
      </c>
      <c r="F258" s="48" t="s">
        <v>4500</v>
      </c>
      <c r="G258" s="48" t="s">
        <v>1</v>
      </c>
      <c r="H258" s="48" t="s">
        <v>2409</v>
      </c>
      <c r="I258" s="241" t="s">
        <v>4501</v>
      </c>
      <c r="J258" s="176" t="s">
        <v>135</v>
      </c>
      <c r="K258" s="54">
        <v>46003</v>
      </c>
      <c r="L258" s="54">
        <v>46003</v>
      </c>
      <c r="M258" s="54">
        <v>46003</v>
      </c>
      <c r="N258" s="48" t="s">
        <v>4277</v>
      </c>
      <c r="O258" s="48"/>
      <c r="P258" s="48"/>
      <c r="Q258" s="48"/>
      <c r="R258" s="48"/>
      <c r="S258" s="48"/>
      <c r="T258" s="48"/>
      <c r="U258" s="48"/>
      <c r="V258" s="48"/>
      <c r="W258" s="48"/>
      <c r="X258" s="48" t="s">
        <v>3115</v>
      </c>
      <c r="Y258" s="48" t="s">
        <v>2408</v>
      </c>
      <c r="Z258" s="48" t="s">
        <v>2408</v>
      </c>
      <c r="AA258" s="48" t="s">
        <v>4502</v>
      </c>
      <c r="AB258" s="48"/>
      <c r="AC258" s="186"/>
      <c r="AD258" s="39"/>
      <c r="AE258" s="39"/>
      <c r="AF258" s="39"/>
      <c r="AG258" s="39"/>
      <c r="AH258" s="39"/>
      <c r="AI258" s="35"/>
      <c r="AJ258" s="39"/>
      <c r="AK258" s="39"/>
      <c r="AL258" s="39"/>
      <c r="AM258" s="35"/>
      <c r="AN258" s="35"/>
      <c r="AO258" s="39"/>
      <c r="AP258" s="39"/>
      <c r="AQ258" s="35"/>
      <c r="AR258" s="35"/>
      <c r="AS258" s="35"/>
      <c r="AT258" s="30">
        <f t="shared" ca="1" si="38"/>
        <v>0</v>
      </c>
      <c r="AU258" s="32">
        <f t="shared" ca="1" si="37"/>
        <v>26</v>
      </c>
      <c r="AV258" s="32" t="str" cm="1">
        <f t="array" aca="1" ref="AV258" ca="1">IFERROR(_xlfn.IFS($AU258="","",$AU258&lt;=15,"0-15",AND($AU258&gt;=16,$AU258&lt;=30),"16-30",AND($AU258&gt;=31,$AU258&lt;=45),"31-45",AND($AU258&gt;=46,$AU258&lt;=60),"46-60",AND($AU258&gt;=61,$AU258&lt;=90),"61-90",AND($AU258&gt;=91),"&gt; 90",AND($AU258&gt;=2000),""),"")</f>
        <v>16-30</v>
      </c>
      <c r="AW258" s="32" t="str" cm="1">
        <f t="array" aca="1" ref="AW258" ca="1">IFERROR(_xlfn.IFS(OR($M258="",$AM258=""),"",OR($C258="Offered",$C258="Joined"),($AM258-$M258)-$AT258),"")</f>
        <v/>
      </c>
      <c r="AX258" s="32" t="str" cm="1">
        <f t="array" aca="1" ref="AX258" ca="1">IFERROR(_xlfn.IFS(OR($M258="",$AS258=""),"",$C258="Joined",($AS258-$M258)-$AT258),"")</f>
        <v/>
      </c>
      <c r="AY258" s="30" t="str">
        <f>IFERROR(IF(COUNTIFS('Candidate Tracker'!$E:$E,'Positions Tracker'!$B258,'Candidate Tracker'!$C:$C,"Offer Drop")=0,"",COUNTIFS('Candidate Tracker'!$E:$E,'Positions Tracker'!$B258,'Candidate Tracker'!$C:$C,"Offer Drop")),"")</f>
        <v/>
      </c>
      <c r="AZ2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8" s="34" t="str">
        <f>IFERROR(IF(COUNTIFS('Candidate Tracker'!$E:$E,'Positions Tracker'!$B258,'Candidate Tracker'!$I:$I,"Female")=0,"",COUNTIFS('Candidate Tracker'!$E:$E,'Positions Tracker'!$B258,'Candidate Tracker'!$I:$I,"Female")),"")</f>
        <v/>
      </c>
      <c r="BB258" s="34" t="str">
        <f>IFERROR(IF(COUNTIFS('Candidate Tracker'!$E:$E,'Positions Tracker'!$B258,'Candidate Tracker'!$I:$I,"male")=0,"",COUNTIFS('Candidate Tracker'!$E:$E,'Positions Tracker'!$B258,'Candidate Tracker'!$I:$I,"male")),"")</f>
        <v/>
      </c>
      <c r="BC258" s="33" t="str">
        <f>IFERROR(IF(COUNTIFS('Candidate Tracker'!$E:$E,'Positions Tracker'!$B258,'Candidate Tracker'!$C:$C,"&lt;&gt;WIP",'Candidate Tracker'!$C:$C,"&lt;&gt;Hold",'Candidate Tracker'!$C:$C,"&lt;&gt;Cancelled",'Candidate Tracker'!$C:$C,"&lt;&gt;Closed")/COUNTIFS('Candidate Tracker'!$E:$E,'Positions Tracker'!$B258)=0,"",COUNTIFS('Candidate Tracker'!$E:$E,'Positions Tracker'!$B258,'Candidate Tracker'!$C:$C,"&lt;&gt;WIP",'Candidate Tracker'!$C:$C,"&lt;&gt;Hold",'Candidate Tracker'!$C:$C,"&lt;&gt;Cancelled",'Candidate Tracker'!$C:$C,"&lt;&gt;Closed")/COUNTIFS('Candidate Tracker'!$E:$E,'Positions Tracker'!$B258)),"")</f>
        <v/>
      </c>
      <c r="BD258" s="30" t="str">
        <f t="shared" si="39"/>
        <v>Dec-25</v>
      </c>
      <c r="BE258" s="30" t="str">
        <f t="shared" si="40"/>
        <v/>
      </c>
      <c r="BF258" s="30" t="str">
        <f t="shared" si="41"/>
        <v/>
      </c>
      <c r="BG258" s="30" t="str">
        <f t="shared" si="42"/>
        <v/>
      </c>
    </row>
    <row r="259" spans="1:59">
      <c r="A259" s="216">
        <v>260</v>
      </c>
      <c r="B259" s="233">
        <v>20262514</v>
      </c>
      <c r="C259" s="218" t="s">
        <v>0</v>
      </c>
      <c r="D259" s="219" t="s">
        <v>1056</v>
      </c>
      <c r="E259" s="233" t="s">
        <v>4503</v>
      </c>
      <c r="F259" s="219" t="s">
        <v>4504</v>
      </c>
      <c r="G259" s="219" t="s">
        <v>1</v>
      </c>
      <c r="H259" s="219" t="s">
        <v>2409</v>
      </c>
      <c r="I259" s="233" t="s">
        <v>4505</v>
      </c>
      <c r="J259" s="187" t="s">
        <v>135</v>
      </c>
      <c r="K259" s="203">
        <v>46003</v>
      </c>
      <c r="L259" s="203">
        <v>46003</v>
      </c>
      <c r="M259" s="203">
        <v>46003</v>
      </c>
      <c r="N259" s="219" t="s">
        <v>4289</v>
      </c>
      <c r="O259" s="219"/>
      <c r="P259" s="219"/>
      <c r="Q259" s="219"/>
      <c r="R259" s="219"/>
      <c r="S259" s="219"/>
      <c r="T259" s="219"/>
      <c r="U259" s="219"/>
      <c r="V259" s="219"/>
      <c r="W259" s="219"/>
      <c r="X259" s="219" t="s">
        <v>3115</v>
      </c>
      <c r="Y259" s="219" t="s">
        <v>2408</v>
      </c>
      <c r="Z259" s="219" t="s">
        <v>2408</v>
      </c>
      <c r="AA259" s="48"/>
      <c r="AB259" s="48"/>
      <c r="AC259" s="186"/>
      <c r="AD259" s="39"/>
      <c r="AE259" s="39"/>
      <c r="AF259" s="39"/>
      <c r="AG259" s="39"/>
      <c r="AH259" s="39"/>
      <c r="AI259" s="35"/>
      <c r="AJ259" s="39"/>
      <c r="AK259" s="39"/>
      <c r="AL259" s="39"/>
      <c r="AM259" s="35"/>
      <c r="AN259" s="35"/>
      <c r="AO259" s="39"/>
      <c r="AP259" s="39"/>
      <c r="AQ259" s="35"/>
      <c r="AR259" s="35"/>
      <c r="AS259" s="35"/>
      <c r="AT259" s="30">
        <f t="shared" ca="1" si="38"/>
        <v>0</v>
      </c>
      <c r="AU259" s="32">
        <f t="shared" ca="1" si="37"/>
        <v>26</v>
      </c>
      <c r="AV259" s="32" t="str" cm="1">
        <f t="array" aca="1" ref="AV259" ca="1">IFERROR(_xlfn.IFS($AU259="","",$AU259&lt;=15,"0-15",AND($AU259&gt;=16,$AU259&lt;=30),"16-30",AND($AU259&gt;=31,$AU259&lt;=45),"31-45",AND($AU259&gt;=46,$AU259&lt;=60),"46-60",AND($AU259&gt;=61,$AU259&lt;=90),"61-90",AND($AU259&gt;=91),"&gt; 90",AND($AU259&gt;=2000),""),"")</f>
        <v>16-30</v>
      </c>
      <c r="AW259" s="32" t="str" cm="1">
        <f t="array" aca="1" ref="AW259" ca="1">IFERROR(_xlfn.IFS(OR($M259="",$AM259=""),"",OR($C259="Offered",$C259="Joined"),($AM259-$M259)-$AT259),"")</f>
        <v/>
      </c>
      <c r="AX259" s="32" t="str" cm="1">
        <f t="array" aca="1" ref="AX259" ca="1">IFERROR(_xlfn.IFS(OR($M259="",$AS259=""),"",$C259="Joined",($AS259-$M259)-$AT259),"")</f>
        <v/>
      </c>
      <c r="AY259" s="30" t="str">
        <f>IFERROR(IF(COUNTIFS('Candidate Tracker'!$E:$E,'Positions Tracker'!$B259,'Candidate Tracker'!$C:$C,"Offer Drop")=0,"",COUNTIFS('Candidate Tracker'!$E:$E,'Positions Tracker'!$B259,'Candidate Tracker'!$C:$C,"Offer Drop")),"")</f>
        <v/>
      </c>
      <c r="AZ2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59" s="34" t="str">
        <f>IFERROR(IF(COUNTIFS('Candidate Tracker'!$E:$E,'Positions Tracker'!$B259,'Candidate Tracker'!$I:$I,"Female")=0,"",COUNTIFS('Candidate Tracker'!$E:$E,'Positions Tracker'!$B259,'Candidate Tracker'!$I:$I,"Female")),"")</f>
        <v/>
      </c>
      <c r="BB259" s="34" t="str">
        <f>IFERROR(IF(COUNTIFS('Candidate Tracker'!$E:$E,'Positions Tracker'!$B259,'Candidate Tracker'!$I:$I,"male")=0,"",COUNTIFS('Candidate Tracker'!$E:$E,'Positions Tracker'!$B259,'Candidate Tracker'!$I:$I,"male")),"")</f>
        <v/>
      </c>
      <c r="BC259" s="33" t="str">
        <f>IFERROR(IF(COUNTIFS('Candidate Tracker'!$E:$E,'Positions Tracker'!$B259,'Candidate Tracker'!$C:$C,"&lt;&gt;WIP",'Candidate Tracker'!$C:$C,"&lt;&gt;Hold",'Candidate Tracker'!$C:$C,"&lt;&gt;Cancelled",'Candidate Tracker'!$C:$C,"&lt;&gt;Closed")/COUNTIFS('Candidate Tracker'!$E:$E,'Positions Tracker'!$B259)=0,"",COUNTIFS('Candidate Tracker'!$E:$E,'Positions Tracker'!$B259,'Candidate Tracker'!$C:$C,"&lt;&gt;WIP",'Candidate Tracker'!$C:$C,"&lt;&gt;Hold",'Candidate Tracker'!$C:$C,"&lt;&gt;Cancelled",'Candidate Tracker'!$C:$C,"&lt;&gt;Closed")/COUNTIFS('Candidate Tracker'!$E:$E,'Positions Tracker'!$B259)),"")</f>
        <v/>
      </c>
      <c r="BD259" s="30" t="str">
        <f t="shared" si="39"/>
        <v>Dec-25</v>
      </c>
      <c r="BE259" s="30" t="str">
        <f t="shared" si="40"/>
        <v/>
      </c>
      <c r="BF259" s="30" t="str">
        <f t="shared" si="41"/>
        <v/>
      </c>
      <c r="BG259" s="30" t="str">
        <f t="shared" si="42"/>
        <v/>
      </c>
    </row>
    <row r="260" spans="1:59" ht="29">
      <c r="A260" s="39">
        <v>261</v>
      </c>
      <c r="B260" s="237">
        <v>20262646</v>
      </c>
      <c r="C260" s="160" t="s">
        <v>2510</v>
      </c>
      <c r="D260" s="39" t="s">
        <v>2511</v>
      </c>
      <c r="E260" s="239" t="s">
        <v>4506</v>
      </c>
      <c r="F260" s="226" t="s">
        <v>4506</v>
      </c>
      <c r="G260" s="39" t="s">
        <v>1</v>
      </c>
      <c r="H260" s="39" t="s">
        <v>2409</v>
      </c>
      <c r="I260" s="226" t="s">
        <v>4507</v>
      </c>
      <c r="J260" s="30" t="s">
        <v>135</v>
      </c>
      <c r="K260" s="35">
        <v>46003</v>
      </c>
      <c r="L260" s="35">
        <v>46003</v>
      </c>
      <c r="M260" s="35">
        <v>46003</v>
      </c>
      <c r="N260" s="39" t="s">
        <v>4277</v>
      </c>
      <c r="O260" s="39"/>
      <c r="P260" s="39"/>
      <c r="Q260" s="39"/>
      <c r="R260" s="39"/>
      <c r="S260" s="39"/>
      <c r="T260" s="39"/>
      <c r="U260" s="39"/>
      <c r="V260" s="39"/>
      <c r="W260" s="39"/>
      <c r="X260" s="39" t="s">
        <v>3115</v>
      </c>
      <c r="Y260" s="39" t="s">
        <v>2408</v>
      </c>
      <c r="Z260" s="39" t="s">
        <v>2679</v>
      </c>
      <c r="AA260" s="231" t="s">
        <v>4508</v>
      </c>
      <c r="AB260" s="48"/>
      <c r="AC260" s="186"/>
      <c r="AD260" s="39"/>
      <c r="AE260" s="39"/>
      <c r="AF260" s="39"/>
      <c r="AG260" s="39"/>
      <c r="AH260" s="39"/>
      <c r="AI260" s="35"/>
      <c r="AJ260" s="39"/>
      <c r="AK260" s="39"/>
      <c r="AL260" s="39"/>
      <c r="AM260" s="35"/>
      <c r="AN260" s="35"/>
      <c r="AO260" s="39"/>
      <c r="AP260" s="39"/>
      <c r="AQ260" s="35"/>
      <c r="AR260" s="35"/>
      <c r="AS260" s="35"/>
      <c r="AT260" s="30">
        <f t="shared" ca="1" si="38"/>
        <v>0</v>
      </c>
      <c r="AU260" s="32">
        <f t="shared" ca="1" si="37"/>
        <v>26</v>
      </c>
      <c r="AV260" s="32" t="str" cm="1">
        <f t="array" aca="1" ref="AV260" ca="1">IFERROR(_xlfn.IFS($AU260="","",$AU260&lt;=15,"0-15",AND($AU260&gt;=16,$AU260&lt;=30),"16-30",AND($AU260&gt;=31,$AU260&lt;=45),"31-45",AND($AU260&gt;=46,$AU260&lt;=60),"46-60",AND($AU260&gt;=61,$AU260&lt;=90),"61-90",AND($AU260&gt;=91),"&gt; 90",AND($AU260&gt;=2000),""),"")</f>
        <v>16-30</v>
      </c>
      <c r="AW260" s="32" t="str" cm="1">
        <f t="array" aca="1" ref="AW260" ca="1">IFERROR(_xlfn.IFS(OR($M260="",$AM260=""),"",OR($C260="Offered",$C260="Joined"),($AM260-$M260)-$AT260),"")</f>
        <v/>
      </c>
      <c r="AX260" s="32" t="str" cm="1">
        <f t="array" aca="1" ref="AX260" ca="1">IFERROR(_xlfn.IFS(OR($M260="",$AS260=""),"",$C260="Joined",($AS260-$M260)-$AT260),"")</f>
        <v/>
      </c>
      <c r="AY260" s="30" t="str">
        <f>IFERROR(IF(COUNTIFS('Candidate Tracker'!$E:$E,'Positions Tracker'!$B260,'Candidate Tracker'!$C:$C,"Offer Drop")=0,"",COUNTIFS('Candidate Tracker'!$E:$E,'Positions Tracker'!$B260,'Candidate Tracker'!$C:$C,"Offer Drop")),"")</f>
        <v/>
      </c>
      <c r="AZ2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0" s="34" t="str">
        <f>IFERROR(IF(COUNTIFS('Candidate Tracker'!$E:$E,'Positions Tracker'!$B260,'Candidate Tracker'!$I:$I,"Female")=0,"",COUNTIFS('Candidate Tracker'!$E:$E,'Positions Tracker'!$B260,'Candidate Tracker'!$I:$I,"Female")),"")</f>
        <v/>
      </c>
      <c r="BB260" s="34" t="str">
        <f>IFERROR(IF(COUNTIFS('Candidate Tracker'!$E:$E,'Positions Tracker'!$B260,'Candidate Tracker'!$I:$I,"male")=0,"",COUNTIFS('Candidate Tracker'!$E:$E,'Positions Tracker'!$B260,'Candidate Tracker'!$I:$I,"male")),"")</f>
        <v/>
      </c>
      <c r="BC260" s="33" t="str">
        <f>IFERROR(IF(COUNTIFS('Candidate Tracker'!$E:$E,'Positions Tracker'!$B260,'Candidate Tracker'!$C:$C,"&lt;&gt;WIP",'Candidate Tracker'!$C:$C,"&lt;&gt;Hold",'Candidate Tracker'!$C:$C,"&lt;&gt;Cancelled",'Candidate Tracker'!$C:$C,"&lt;&gt;Closed")/COUNTIFS('Candidate Tracker'!$E:$E,'Positions Tracker'!$B260)=0,"",COUNTIFS('Candidate Tracker'!$E:$E,'Positions Tracker'!$B260,'Candidate Tracker'!$C:$C,"&lt;&gt;WIP",'Candidate Tracker'!$C:$C,"&lt;&gt;Hold",'Candidate Tracker'!$C:$C,"&lt;&gt;Cancelled",'Candidate Tracker'!$C:$C,"&lt;&gt;Closed")/COUNTIFS('Candidate Tracker'!$E:$E,'Positions Tracker'!$B260)),"")</f>
        <v/>
      </c>
      <c r="BD260" s="30" t="str">
        <f t="shared" si="39"/>
        <v>Dec-25</v>
      </c>
      <c r="BE260" s="30" t="str">
        <f t="shared" si="40"/>
        <v/>
      </c>
      <c r="BF260" s="30" t="str">
        <f t="shared" si="41"/>
        <v/>
      </c>
      <c r="BG260" s="30" t="str">
        <f t="shared" si="42"/>
        <v/>
      </c>
    </row>
    <row r="261" spans="1:59">
      <c r="A261" s="224">
        <v>262</v>
      </c>
      <c r="B261" s="234">
        <v>20262647</v>
      </c>
      <c r="C261" s="207" t="s">
        <v>2</v>
      </c>
      <c r="D261" s="210" t="s">
        <v>1475</v>
      </c>
      <c r="E261" s="240" t="s">
        <v>4509</v>
      </c>
      <c r="F261" s="209" t="s">
        <v>4401</v>
      </c>
      <c r="G261" s="210" t="s">
        <v>1</v>
      </c>
      <c r="H261" s="210" t="s">
        <v>2409</v>
      </c>
      <c r="I261" s="207" t="s">
        <v>4488</v>
      </c>
      <c r="J261" s="189" t="s">
        <v>135</v>
      </c>
      <c r="K261" s="212">
        <v>46003</v>
      </c>
      <c r="L261" s="212">
        <v>46003</v>
      </c>
      <c r="M261" s="212">
        <v>46003</v>
      </c>
      <c r="N261" s="210" t="s">
        <v>4277</v>
      </c>
      <c r="O261" s="210"/>
      <c r="P261" s="210"/>
      <c r="Q261" s="210"/>
      <c r="R261" s="210"/>
      <c r="S261" s="210"/>
      <c r="T261" s="210"/>
      <c r="U261" s="210"/>
      <c r="V261" s="210"/>
      <c r="W261" s="210"/>
      <c r="X261" s="210" t="s">
        <v>3115</v>
      </c>
      <c r="Y261" s="210" t="s">
        <v>2408</v>
      </c>
      <c r="Z261" s="210" t="s">
        <v>2408</v>
      </c>
      <c r="AA261" s="48" t="s">
        <v>4510</v>
      </c>
      <c r="AB261" s="48"/>
      <c r="AC261" s="186"/>
      <c r="AD261" s="39"/>
      <c r="AE261" s="39"/>
      <c r="AF261" s="39"/>
      <c r="AG261" s="39"/>
      <c r="AH261" s="39"/>
      <c r="AI261" s="35"/>
      <c r="AJ261" s="39"/>
      <c r="AK261" s="39"/>
      <c r="AL261" s="39"/>
      <c r="AM261" s="35"/>
      <c r="AN261" s="35"/>
      <c r="AO261" s="39"/>
      <c r="AP261" s="39"/>
      <c r="AQ261" s="35"/>
      <c r="AR261" s="35"/>
      <c r="AS261" s="35"/>
      <c r="AT261" s="30">
        <f t="shared" ca="1" si="38"/>
        <v>0</v>
      </c>
      <c r="AU261" s="32">
        <f t="shared" ca="1" si="37"/>
        <v>26</v>
      </c>
      <c r="AV261" s="32" t="str" cm="1">
        <f t="array" aca="1" ref="AV261" ca="1">IFERROR(_xlfn.IFS($AU261="","",$AU261&lt;=15,"0-15",AND($AU261&gt;=16,$AU261&lt;=30),"16-30",AND($AU261&gt;=31,$AU261&lt;=45),"31-45",AND($AU261&gt;=46,$AU261&lt;=60),"46-60",AND($AU261&gt;=61,$AU261&lt;=90),"61-90",AND($AU261&gt;=91),"&gt; 90",AND($AU261&gt;=2000),""),"")</f>
        <v>16-30</v>
      </c>
      <c r="AW261" s="32" t="str" cm="1">
        <f t="array" aca="1" ref="AW261" ca="1">IFERROR(_xlfn.IFS(OR($M261="",$AM261=""),"",OR($C261="Offered",$C261="Joined"),($AM261-$M261)-$AT261),"")</f>
        <v/>
      </c>
      <c r="AX261" s="32" t="str" cm="1">
        <f t="array" aca="1" ref="AX261" ca="1">IFERROR(_xlfn.IFS(OR($M261="",$AS261=""),"",$C261="Joined",($AS261-$M261)-$AT261),"")</f>
        <v/>
      </c>
      <c r="AY261" s="30" t="str">
        <f>IFERROR(IF(COUNTIFS('Candidate Tracker'!$E:$E,'Positions Tracker'!$B261,'Candidate Tracker'!$C:$C,"Offer Drop")=0,"",COUNTIFS('Candidate Tracker'!$E:$E,'Positions Tracker'!$B261,'Candidate Tracker'!$C:$C,"Offer Drop")),"")</f>
        <v/>
      </c>
      <c r="AZ2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1" s="34" t="str">
        <f>IFERROR(IF(COUNTIFS('Candidate Tracker'!$E:$E,'Positions Tracker'!$B261,'Candidate Tracker'!$I:$I,"Female")=0,"",COUNTIFS('Candidate Tracker'!$E:$E,'Positions Tracker'!$B261,'Candidate Tracker'!$I:$I,"Female")),"")</f>
        <v/>
      </c>
      <c r="BB261" s="34" t="str">
        <f>IFERROR(IF(COUNTIFS('Candidate Tracker'!$E:$E,'Positions Tracker'!$B261,'Candidate Tracker'!$I:$I,"male")=0,"",COUNTIFS('Candidate Tracker'!$E:$E,'Positions Tracker'!$B261,'Candidate Tracker'!$I:$I,"male")),"")</f>
        <v/>
      </c>
      <c r="BC261" s="33" t="str">
        <f>IFERROR(IF(COUNTIFS('Candidate Tracker'!$E:$E,'Positions Tracker'!$B261,'Candidate Tracker'!$C:$C,"&lt;&gt;WIP",'Candidate Tracker'!$C:$C,"&lt;&gt;Hold",'Candidate Tracker'!$C:$C,"&lt;&gt;Cancelled",'Candidate Tracker'!$C:$C,"&lt;&gt;Closed")/COUNTIFS('Candidate Tracker'!$E:$E,'Positions Tracker'!$B261)=0,"",COUNTIFS('Candidate Tracker'!$E:$E,'Positions Tracker'!$B261,'Candidate Tracker'!$C:$C,"&lt;&gt;WIP",'Candidate Tracker'!$C:$C,"&lt;&gt;Hold",'Candidate Tracker'!$C:$C,"&lt;&gt;Cancelled",'Candidate Tracker'!$C:$C,"&lt;&gt;Closed")/COUNTIFS('Candidate Tracker'!$E:$E,'Positions Tracker'!$B261)),"")</f>
        <v/>
      </c>
      <c r="BD261" s="30" t="str">
        <f t="shared" si="39"/>
        <v>Dec-25</v>
      </c>
      <c r="BE261" s="30" t="str">
        <f t="shared" si="40"/>
        <v/>
      </c>
      <c r="BF261" s="30" t="str">
        <f t="shared" si="41"/>
        <v/>
      </c>
      <c r="BG261" s="30" t="str">
        <f t="shared" si="42"/>
        <v/>
      </c>
    </row>
    <row r="262" spans="1:59">
      <c r="A262" s="167">
        <v>263</v>
      </c>
      <c r="B262" s="213">
        <v>20262651</v>
      </c>
      <c r="C262" s="178" t="s">
        <v>2</v>
      </c>
      <c r="D262" s="48" t="s">
        <v>1475</v>
      </c>
      <c r="E262" s="238" t="s">
        <v>4509</v>
      </c>
      <c r="F262" s="180" t="s">
        <v>4401</v>
      </c>
      <c r="G262" s="48" t="s">
        <v>1</v>
      </c>
      <c r="H262" s="48" t="s">
        <v>2409</v>
      </c>
      <c r="I262" s="241" t="s">
        <v>4501</v>
      </c>
      <c r="J262" s="176" t="s">
        <v>135</v>
      </c>
      <c r="K262" s="54">
        <v>46003</v>
      </c>
      <c r="L262" s="54">
        <v>46003</v>
      </c>
      <c r="M262" s="54">
        <v>46003</v>
      </c>
      <c r="N262" s="48" t="s">
        <v>4277</v>
      </c>
      <c r="O262" s="48"/>
      <c r="P262" s="48"/>
      <c r="Q262" s="48"/>
      <c r="R262" s="48"/>
      <c r="S262" s="48"/>
      <c r="T262" s="48"/>
      <c r="U262" s="48"/>
      <c r="V262" s="48"/>
      <c r="W262" s="48"/>
      <c r="X262" s="48" t="s">
        <v>3115</v>
      </c>
      <c r="Y262" s="48" t="s">
        <v>2408</v>
      </c>
      <c r="Z262" s="48" t="s">
        <v>2408</v>
      </c>
      <c r="AA262" s="176" t="s">
        <v>4391</v>
      </c>
      <c r="AB262" s="48"/>
      <c r="AC262" s="186"/>
      <c r="AD262" s="39"/>
      <c r="AE262" s="39"/>
      <c r="AF262" s="39"/>
      <c r="AG262" s="39"/>
      <c r="AH262" s="39"/>
      <c r="AI262" s="35"/>
      <c r="AJ262" s="39"/>
      <c r="AK262" s="39"/>
      <c r="AL262" s="39"/>
      <c r="AM262" s="35"/>
      <c r="AN262" s="35"/>
      <c r="AO262" s="39"/>
      <c r="AP262" s="39"/>
      <c r="AQ262" s="35"/>
      <c r="AR262" s="35"/>
      <c r="AS262" s="35"/>
      <c r="AT262" s="30">
        <f t="shared" ca="1" si="38"/>
        <v>0</v>
      </c>
      <c r="AU262" s="32">
        <f t="shared" ca="1" si="37"/>
        <v>26</v>
      </c>
      <c r="AV262" s="32" t="str" cm="1">
        <f t="array" aca="1" ref="AV262" ca="1">IFERROR(_xlfn.IFS($AU262="","",$AU262&lt;=15,"0-15",AND($AU262&gt;=16,$AU262&lt;=30),"16-30",AND($AU262&gt;=31,$AU262&lt;=45),"31-45",AND($AU262&gt;=46,$AU262&lt;=60),"46-60",AND($AU262&gt;=61,$AU262&lt;=90),"61-90",AND($AU262&gt;=91),"&gt; 90",AND($AU262&gt;=2000),""),"")</f>
        <v>16-30</v>
      </c>
      <c r="AW262" s="32" t="str" cm="1">
        <f t="array" aca="1" ref="AW262" ca="1">IFERROR(_xlfn.IFS(OR($M262="",$AM262=""),"",OR($C262="Offered",$C262="Joined"),($AM262-$M262)-$AT262),"")</f>
        <v/>
      </c>
      <c r="AX262" s="32" t="str" cm="1">
        <f t="array" aca="1" ref="AX262" ca="1">IFERROR(_xlfn.IFS(OR($M262="",$AS262=""),"",$C262="Joined",($AS262-$M262)-$AT262),"")</f>
        <v/>
      </c>
      <c r="AY262" s="30" t="str">
        <f>IFERROR(IF(COUNTIFS('Candidate Tracker'!$E:$E,'Positions Tracker'!$B262,'Candidate Tracker'!$C:$C,"Offer Drop")=0,"",COUNTIFS('Candidate Tracker'!$E:$E,'Positions Tracker'!$B262,'Candidate Tracker'!$C:$C,"Offer Drop")),"")</f>
        <v/>
      </c>
      <c r="AZ2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2" s="34" t="str">
        <f>IFERROR(IF(COUNTIFS('Candidate Tracker'!$E:$E,'Positions Tracker'!$B262,'Candidate Tracker'!$I:$I,"Female")=0,"",COUNTIFS('Candidate Tracker'!$E:$E,'Positions Tracker'!$B262,'Candidate Tracker'!$I:$I,"Female")),"")</f>
        <v/>
      </c>
      <c r="BB262" s="34" t="str">
        <f>IFERROR(IF(COUNTIFS('Candidate Tracker'!$E:$E,'Positions Tracker'!$B262,'Candidate Tracker'!$I:$I,"male")=0,"",COUNTIFS('Candidate Tracker'!$E:$E,'Positions Tracker'!$B262,'Candidate Tracker'!$I:$I,"male")),"")</f>
        <v/>
      </c>
      <c r="BC262" s="33" t="str">
        <f>IFERROR(IF(COUNTIFS('Candidate Tracker'!$E:$E,'Positions Tracker'!$B262,'Candidate Tracker'!$C:$C,"&lt;&gt;WIP",'Candidate Tracker'!$C:$C,"&lt;&gt;Hold",'Candidate Tracker'!$C:$C,"&lt;&gt;Cancelled",'Candidate Tracker'!$C:$C,"&lt;&gt;Closed")/COUNTIFS('Candidate Tracker'!$E:$E,'Positions Tracker'!$B262)=0,"",COUNTIFS('Candidate Tracker'!$E:$E,'Positions Tracker'!$B262,'Candidate Tracker'!$C:$C,"&lt;&gt;WIP",'Candidate Tracker'!$C:$C,"&lt;&gt;Hold",'Candidate Tracker'!$C:$C,"&lt;&gt;Cancelled",'Candidate Tracker'!$C:$C,"&lt;&gt;Closed")/COUNTIFS('Candidate Tracker'!$E:$E,'Positions Tracker'!$B262)),"")</f>
        <v/>
      </c>
      <c r="BD262" s="30" t="str">
        <f t="shared" si="39"/>
        <v>Dec-25</v>
      </c>
      <c r="BE262" s="30" t="str">
        <f t="shared" si="40"/>
        <v/>
      </c>
      <c r="BF262" s="30" t="str">
        <f t="shared" si="41"/>
        <v/>
      </c>
      <c r="BG262" s="30" t="str">
        <f t="shared" si="42"/>
        <v/>
      </c>
    </row>
    <row r="263" spans="1:59">
      <c r="A263" s="216">
        <v>264</v>
      </c>
      <c r="B263" s="217">
        <v>20262678</v>
      </c>
      <c r="C263" s="218" t="s">
        <v>0</v>
      </c>
      <c r="D263" s="219" t="s">
        <v>4511</v>
      </c>
      <c r="E263" s="217" t="s">
        <v>4512</v>
      </c>
      <c r="F263" s="217" t="s">
        <v>4275</v>
      </c>
      <c r="G263" s="219" t="s">
        <v>1</v>
      </c>
      <c r="H263" s="219" t="s">
        <v>2409</v>
      </c>
      <c r="I263" s="217" t="s">
        <v>4507</v>
      </c>
      <c r="J263" s="220" t="s">
        <v>135</v>
      </c>
      <c r="K263" s="203">
        <v>46003</v>
      </c>
      <c r="L263" s="203">
        <v>46003</v>
      </c>
      <c r="M263" s="203">
        <v>46003</v>
      </c>
      <c r="N263" s="219" t="s">
        <v>4289</v>
      </c>
      <c r="O263" s="219"/>
      <c r="P263" s="219"/>
      <c r="Q263" s="219"/>
      <c r="R263" s="219"/>
      <c r="S263" s="219"/>
      <c r="T263" s="219"/>
      <c r="U263" s="219"/>
      <c r="V263" s="219"/>
      <c r="W263" s="219"/>
      <c r="X263" s="219" t="s">
        <v>3115</v>
      </c>
      <c r="Y263" s="219" t="s">
        <v>2408</v>
      </c>
      <c r="Z263" s="219" t="s">
        <v>2679</v>
      </c>
      <c r="AA263" s="219"/>
      <c r="AB263" s="219"/>
      <c r="AC263" s="221"/>
      <c r="AD263" s="222"/>
      <c r="AE263" s="222"/>
      <c r="AF263" s="222"/>
      <c r="AG263" s="222"/>
      <c r="AH263" s="222"/>
      <c r="AI263" s="223"/>
      <c r="AJ263" s="222"/>
      <c r="AK263" s="222"/>
      <c r="AL263" s="222"/>
      <c r="AM263" s="223"/>
      <c r="AN263" s="223"/>
      <c r="AO263" s="222"/>
      <c r="AP263" s="222"/>
      <c r="AQ263" s="223"/>
      <c r="AR263" s="223"/>
      <c r="AS263" s="223"/>
      <c r="AT263" s="162">
        <f t="shared" ca="1" si="38"/>
        <v>0</v>
      </c>
      <c r="AU263" s="200">
        <f t="shared" ca="1" si="37"/>
        <v>26</v>
      </c>
      <c r="AV263" s="200" t="str" cm="1">
        <f t="array" aca="1" ref="AV263" ca="1">IFERROR(_xlfn.IFS($AU263="","",$AU263&lt;=15,"0-15",AND($AU263&gt;=16,$AU263&lt;=30),"16-30",AND($AU263&gt;=31,$AU263&lt;=45),"31-45",AND($AU263&gt;=46,$AU263&lt;=60),"46-60",AND($AU263&gt;=61,$AU263&lt;=90),"61-90",AND($AU263&gt;=91),"&gt; 90",AND($AU263&gt;=2000),""),"")</f>
        <v>16-30</v>
      </c>
      <c r="AW263" s="200" t="str" cm="1">
        <f t="array" aca="1" ref="AW263" ca="1">IFERROR(_xlfn.IFS(OR($M263="",$AM263=""),"",OR($C263="Offered",$C263="Joined"),($AM263-$M263)-$AT263),"")</f>
        <v/>
      </c>
      <c r="AX263" s="200" t="str" cm="1">
        <f t="array" aca="1" ref="AX263" ca="1">IFERROR(_xlfn.IFS(OR($M263="",$AS263=""),"",$C263="Joined",($AS263-$M263)-$AT263),"")</f>
        <v/>
      </c>
      <c r="AY263" s="162" t="str">
        <f>IFERROR(IF(COUNTIFS('Candidate Tracker'!$E:$E,'Positions Tracker'!$B263,'Candidate Tracker'!$C:$C,"Offer Drop")=0,"",COUNTIFS('Candidate Tracker'!$E:$E,'Positions Tracker'!$B263,'Candidate Tracker'!$C:$C,"Offer Drop")),"")</f>
        <v/>
      </c>
      <c r="AZ263" s="201">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3" s="202" t="str">
        <f>IFERROR(IF(COUNTIFS('Candidate Tracker'!$E:$E,'Positions Tracker'!$B263,'Candidate Tracker'!$I:$I,"Female")=0,"",COUNTIFS('Candidate Tracker'!$E:$E,'Positions Tracker'!$B263,'Candidate Tracker'!$I:$I,"Female")),"")</f>
        <v/>
      </c>
      <c r="BB263" s="202" t="str">
        <f>IFERROR(IF(COUNTIFS('Candidate Tracker'!$E:$E,'Positions Tracker'!$B263,'Candidate Tracker'!$I:$I,"male")=0,"",COUNTIFS('Candidate Tracker'!$E:$E,'Positions Tracker'!$B263,'Candidate Tracker'!$I:$I,"male")),"")</f>
        <v/>
      </c>
      <c r="BC263" s="201" t="str">
        <f>IFERROR(IF(COUNTIFS('Candidate Tracker'!$E:$E,'Positions Tracker'!$B263,'Candidate Tracker'!$C:$C,"&lt;&gt;WIP",'Candidate Tracker'!$C:$C,"&lt;&gt;Hold",'Candidate Tracker'!$C:$C,"&lt;&gt;Cancelled",'Candidate Tracker'!$C:$C,"&lt;&gt;Closed")/COUNTIFS('Candidate Tracker'!$E:$E,'Positions Tracker'!$B263)=0,"",COUNTIFS('Candidate Tracker'!$E:$E,'Positions Tracker'!$B263,'Candidate Tracker'!$C:$C,"&lt;&gt;WIP",'Candidate Tracker'!$C:$C,"&lt;&gt;Hold",'Candidate Tracker'!$C:$C,"&lt;&gt;Cancelled",'Candidate Tracker'!$C:$C,"&lt;&gt;Closed")/COUNTIFS('Candidate Tracker'!$E:$E,'Positions Tracker'!$B263)),"")</f>
        <v/>
      </c>
      <c r="BD263" s="162" t="str">
        <f t="shared" si="39"/>
        <v>Dec-25</v>
      </c>
      <c r="BE263" s="162" t="str">
        <f t="shared" si="40"/>
        <v/>
      </c>
      <c r="BF263" s="162" t="str">
        <f t="shared" si="41"/>
        <v/>
      </c>
      <c r="BG263" s="162" t="str">
        <f t="shared" si="42"/>
        <v/>
      </c>
    </row>
    <row r="264" spans="1:59" ht="29">
      <c r="A264" s="39">
        <v>265</v>
      </c>
      <c r="B264" s="12">
        <v>20262648</v>
      </c>
      <c r="C264" s="160" t="s">
        <v>2</v>
      </c>
      <c r="D264" s="39" t="s">
        <v>256</v>
      </c>
      <c r="E264" s="22" t="s">
        <v>4509</v>
      </c>
      <c r="F264" s="39" t="s">
        <v>4401</v>
      </c>
      <c r="G264" s="39" t="s">
        <v>1</v>
      </c>
      <c r="H264" s="39" t="s">
        <v>2409</v>
      </c>
      <c r="I264" s="242" t="s">
        <v>4507</v>
      </c>
      <c r="J264" s="40" t="s">
        <v>135</v>
      </c>
      <c r="K264" s="35">
        <v>46003</v>
      </c>
      <c r="L264" s="35">
        <v>46003</v>
      </c>
      <c r="M264" s="35">
        <v>46003</v>
      </c>
      <c r="N264" s="39" t="s">
        <v>4277</v>
      </c>
      <c r="O264" s="39"/>
      <c r="P264" s="39"/>
      <c r="Q264" s="39"/>
      <c r="R264" s="39"/>
      <c r="S264" s="39"/>
      <c r="T264" s="39"/>
      <c r="U264" s="39"/>
      <c r="V264" s="39"/>
      <c r="W264" s="39"/>
      <c r="X264" s="39" t="s">
        <v>3115</v>
      </c>
      <c r="Y264" s="39" t="s">
        <v>2408</v>
      </c>
      <c r="Z264" s="39" t="s">
        <v>2679</v>
      </c>
      <c r="AA264" s="232" t="s">
        <v>4513</v>
      </c>
      <c r="AB264" s="39"/>
      <c r="AC264" s="39"/>
      <c r="AD264" s="39"/>
      <c r="AE264" s="39"/>
      <c r="AF264" s="39"/>
      <c r="AG264" s="39"/>
      <c r="AH264" s="39"/>
      <c r="AI264" s="35"/>
      <c r="AJ264" s="39"/>
      <c r="AK264" s="39"/>
      <c r="AL264" s="39"/>
      <c r="AM264" s="35"/>
      <c r="AN264" s="35"/>
      <c r="AO264" s="39"/>
      <c r="AP264" s="39"/>
      <c r="AQ264" s="35"/>
      <c r="AR264" s="35"/>
      <c r="AS264" s="35"/>
      <c r="AT264" s="30">
        <f t="shared" ca="1" si="38"/>
        <v>0</v>
      </c>
      <c r="AU264" s="32">
        <f t="shared" ca="1" si="37"/>
        <v>26</v>
      </c>
      <c r="AV264" s="32" t="str" cm="1">
        <f t="array" aca="1" ref="AV264" ca="1">IFERROR(_xlfn.IFS($AU264="","",$AU264&lt;=15,"0-15",AND($AU264&gt;=16,$AU264&lt;=30),"16-30",AND($AU264&gt;=31,$AU264&lt;=45),"31-45",AND($AU264&gt;=46,$AU264&lt;=60),"46-60",AND($AU264&gt;=61,$AU264&lt;=90),"61-90",AND($AU264&gt;=91),"&gt; 90",AND($AU264&gt;=2000),""),"")</f>
        <v>16-30</v>
      </c>
      <c r="AW264" s="32" t="str" cm="1">
        <f t="array" aca="1" ref="AW264" ca="1">IFERROR(_xlfn.IFS(OR($M264="",$AM264=""),"",OR($C264="Offered",$C264="Joined"),($AM264-$M264)-$AT264),"")</f>
        <v/>
      </c>
      <c r="AX264" s="32" t="str" cm="1">
        <f t="array" aca="1" ref="AX264" ca="1">IFERROR(_xlfn.IFS(OR($M264="",$AS264=""),"",$C264="Joined",($AS264-$M264)-$AT264),"")</f>
        <v/>
      </c>
      <c r="AY264" s="30" t="str">
        <f>IFERROR(IF(COUNTIFS('Candidate Tracker'!$E:$E,'Positions Tracker'!$B264,'Candidate Tracker'!$C:$C,"Offer Drop")=0,"",COUNTIFS('Candidate Tracker'!$E:$E,'Positions Tracker'!$B264,'Candidate Tracker'!$C:$C,"Offer Drop")),"")</f>
        <v/>
      </c>
      <c r="AZ2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4" s="34" t="str">
        <f>IFERROR(IF(COUNTIFS('Candidate Tracker'!$E:$E,'Positions Tracker'!$B264,'Candidate Tracker'!$I:$I,"Female")=0,"",COUNTIFS('Candidate Tracker'!$E:$E,'Positions Tracker'!$B264,'Candidate Tracker'!$I:$I,"Female")),"")</f>
        <v/>
      </c>
      <c r="BB264" s="34" t="str">
        <f>IFERROR(IF(COUNTIFS('Candidate Tracker'!$E:$E,'Positions Tracker'!$B264,'Candidate Tracker'!$I:$I,"male")=0,"",COUNTIFS('Candidate Tracker'!$E:$E,'Positions Tracker'!$B264,'Candidate Tracker'!$I:$I,"male")),"")</f>
        <v/>
      </c>
      <c r="BC264" s="33" t="str">
        <f>IFERROR(IF(COUNTIFS('Candidate Tracker'!$E:$E,'Positions Tracker'!$B264,'Candidate Tracker'!$C:$C,"&lt;&gt;WIP",'Candidate Tracker'!$C:$C,"&lt;&gt;Hold",'Candidate Tracker'!$C:$C,"&lt;&gt;Cancelled",'Candidate Tracker'!$C:$C,"&lt;&gt;Closed")/COUNTIFS('Candidate Tracker'!$E:$E,'Positions Tracker'!$B264)=0,"",COUNTIFS('Candidate Tracker'!$E:$E,'Positions Tracker'!$B264,'Candidate Tracker'!$C:$C,"&lt;&gt;WIP",'Candidate Tracker'!$C:$C,"&lt;&gt;Hold",'Candidate Tracker'!$C:$C,"&lt;&gt;Cancelled",'Candidate Tracker'!$C:$C,"&lt;&gt;Closed")/COUNTIFS('Candidate Tracker'!$E:$E,'Positions Tracker'!$B264)),"")</f>
        <v/>
      </c>
      <c r="BD264" s="30" t="str">
        <f t="shared" si="39"/>
        <v>Dec-25</v>
      </c>
      <c r="BE264" s="30" t="str">
        <f t="shared" si="40"/>
        <v/>
      </c>
      <c r="BF264" s="30" t="str">
        <f t="shared" si="41"/>
        <v/>
      </c>
      <c r="BG264" s="30" t="str">
        <f t="shared" si="42"/>
        <v/>
      </c>
    </row>
    <row r="265" spans="1:59">
      <c r="A265" s="224">
        <v>267</v>
      </c>
      <c r="B265" s="211">
        <v>20259286</v>
      </c>
      <c r="C265" s="207" t="s">
        <v>0</v>
      </c>
      <c r="D265" s="210" t="s">
        <v>1056</v>
      </c>
      <c r="E265" s="210" t="s">
        <v>4514</v>
      </c>
      <c r="F265" s="210" t="s">
        <v>4515</v>
      </c>
      <c r="G265" s="210" t="s">
        <v>1</v>
      </c>
      <c r="H265" s="210" t="s">
        <v>2409</v>
      </c>
      <c r="I265" s="225" t="s">
        <v>4516</v>
      </c>
      <c r="J265" s="225" t="s">
        <v>135</v>
      </c>
      <c r="K265" s="212">
        <v>46002</v>
      </c>
      <c r="L265" s="212">
        <v>46002</v>
      </c>
      <c r="M265" s="212">
        <v>46002</v>
      </c>
      <c r="N265" s="210" t="s">
        <v>4466</v>
      </c>
      <c r="O265" s="210"/>
      <c r="P265" s="210"/>
      <c r="Q265" s="210"/>
      <c r="R265" s="210"/>
      <c r="S265" s="210"/>
      <c r="T265" s="210"/>
      <c r="U265" s="210"/>
      <c r="V265" s="210"/>
      <c r="W265" s="210"/>
      <c r="X265" s="210" t="s">
        <v>4314</v>
      </c>
      <c r="Y265" s="210" t="s">
        <v>2408</v>
      </c>
      <c r="Z265" s="210" t="s">
        <v>2408</v>
      </c>
      <c r="AA265" s="210"/>
      <c r="AB265" s="210"/>
      <c r="AC265" s="185"/>
      <c r="AD265" s="170"/>
      <c r="AE265" s="170"/>
      <c r="AF265" s="170"/>
      <c r="AG265" s="170"/>
      <c r="AH265" s="170"/>
      <c r="AI265" s="175"/>
      <c r="AJ265" s="170"/>
      <c r="AK265" s="170"/>
      <c r="AL265" s="170"/>
      <c r="AM265" s="175"/>
      <c r="AN265" s="175"/>
      <c r="AO265" s="170"/>
      <c r="AP265" s="170"/>
      <c r="AQ265" s="175"/>
      <c r="AR265" s="175"/>
      <c r="AS265" s="175"/>
      <c r="AT265" s="169">
        <f t="shared" ca="1" si="38"/>
        <v>0</v>
      </c>
      <c r="AU265" s="204">
        <f t="shared" ca="1" si="37"/>
        <v>27</v>
      </c>
      <c r="AV265" s="204" t="str" cm="1">
        <f t="array" aca="1" ref="AV265" ca="1">IFERROR(_xlfn.IFS($AU265="","",$AU265&lt;=15,"0-15",AND($AU265&gt;=16,$AU265&lt;=30),"16-30",AND($AU265&gt;=31,$AU265&lt;=45),"31-45",AND($AU265&gt;=46,$AU265&lt;=60),"46-60",AND($AU265&gt;=61,$AU265&lt;=90),"61-90",AND($AU265&gt;=91),"&gt; 90",AND($AU265&gt;=2000),""),"")</f>
        <v>16-30</v>
      </c>
      <c r="AW265" s="204" t="str" cm="1">
        <f t="array" aca="1" ref="AW265" ca="1">IFERROR(_xlfn.IFS(OR($M265="",$AM265=""),"",OR($C265="Offered",$C265="Joined"),($AM265-$M265)-$AT265),"")</f>
        <v/>
      </c>
      <c r="AX265" s="204" t="str" cm="1">
        <f t="array" aca="1" ref="AX265" ca="1">IFERROR(_xlfn.IFS(OR($M265="",$AS265=""),"",$C265="Joined",($AS265-$M265)-$AT265),"")</f>
        <v/>
      </c>
      <c r="AY265" s="169" t="str">
        <f>IFERROR(IF(COUNTIFS('Candidate Tracker'!$E:$E,'Positions Tracker'!$B265,'Candidate Tracker'!$C:$C,"Offer Drop")=0,"",COUNTIFS('Candidate Tracker'!$E:$E,'Positions Tracker'!$B265,'Candidate Tracker'!$C:$C,"Offer Drop")),"")</f>
        <v/>
      </c>
      <c r="AZ265" s="205">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5" s="206" t="str">
        <f>IFERROR(IF(COUNTIFS('Candidate Tracker'!$E:$E,'Positions Tracker'!$B265,'Candidate Tracker'!$I:$I,"Female")=0,"",COUNTIFS('Candidate Tracker'!$E:$E,'Positions Tracker'!$B265,'Candidate Tracker'!$I:$I,"Female")),"")</f>
        <v/>
      </c>
      <c r="BB265" s="206" t="str">
        <f>IFERROR(IF(COUNTIFS('Candidate Tracker'!$E:$E,'Positions Tracker'!$B265,'Candidate Tracker'!$I:$I,"male")=0,"",COUNTIFS('Candidate Tracker'!$E:$E,'Positions Tracker'!$B265,'Candidate Tracker'!$I:$I,"male")),"")</f>
        <v/>
      </c>
      <c r="BC265" s="205" t="str">
        <f>IFERROR(IF(COUNTIFS('Candidate Tracker'!$E:$E,'Positions Tracker'!$B265,'Candidate Tracker'!$C:$C,"&lt;&gt;WIP",'Candidate Tracker'!$C:$C,"&lt;&gt;Hold",'Candidate Tracker'!$C:$C,"&lt;&gt;Cancelled",'Candidate Tracker'!$C:$C,"&lt;&gt;Closed")/COUNTIFS('Candidate Tracker'!$E:$E,'Positions Tracker'!$B265)=0,"",COUNTIFS('Candidate Tracker'!$E:$E,'Positions Tracker'!$B265,'Candidate Tracker'!$C:$C,"&lt;&gt;WIP",'Candidate Tracker'!$C:$C,"&lt;&gt;Hold",'Candidate Tracker'!$C:$C,"&lt;&gt;Cancelled",'Candidate Tracker'!$C:$C,"&lt;&gt;Closed")/COUNTIFS('Candidate Tracker'!$E:$E,'Positions Tracker'!$B265)),"")</f>
        <v/>
      </c>
      <c r="BD265" s="169" t="str">
        <f t="shared" si="39"/>
        <v>Dec-25</v>
      </c>
      <c r="BE265" s="169" t="str">
        <f t="shared" si="40"/>
        <v/>
      </c>
      <c r="BF265" s="169" t="str">
        <f t="shared" si="41"/>
        <v/>
      </c>
      <c r="BG265" s="169" t="str">
        <f t="shared" si="42"/>
        <v/>
      </c>
    </row>
    <row r="266" spans="1:59">
      <c r="A266" s="39">
        <v>268</v>
      </c>
      <c r="B266" s="170">
        <v>20264819</v>
      </c>
      <c r="C266" s="170" t="s">
        <v>2510</v>
      </c>
      <c r="D266" s="170" t="s">
        <v>4517</v>
      </c>
      <c r="E266" s="170" t="s">
        <v>4518</v>
      </c>
      <c r="F266" s="170" t="s">
        <v>4519</v>
      </c>
      <c r="G266" s="170" t="s">
        <v>1</v>
      </c>
      <c r="H266" s="170" t="s">
        <v>4388</v>
      </c>
      <c r="I266" s="30" t="s">
        <v>4480</v>
      </c>
      <c r="J266" s="191" t="s">
        <v>351</v>
      </c>
      <c r="K266" s="175">
        <v>46028</v>
      </c>
      <c r="L266" s="175">
        <v>46020</v>
      </c>
      <c r="M266" s="175">
        <v>46027</v>
      </c>
      <c r="N266" s="170" t="s">
        <v>3855</v>
      </c>
      <c r="O266" s="170"/>
      <c r="P266" s="170"/>
      <c r="Q266" s="170"/>
      <c r="R266" s="170"/>
      <c r="S266" s="170"/>
      <c r="T266" s="170"/>
      <c r="U266" s="170"/>
      <c r="V266" s="170"/>
      <c r="W266" s="170"/>
      <c r="X266" s="170" t="s">
        <v>4314</v>
      </c>
      <c r="Y266" s="170" t="s">
        <v>2679</v>
      </c>
      <c r="Z266" s="170" t="s">
        <v>2679</v>
      </c>
      <c r="AA266" s="170" t="s">
        <v>4520</v>
      </c>
      <c r="AB266" s="170"/>
      <c r="AC266" s="39"/>
      <c r="AD266" s="39"/>
      <c r="AE266" t="s">
        <v>4521</v>
      </c>
      <c r="AF266">
        <v>9167335607</v>
      </c>
      <c r="AG266" s="268" t="s">
        <v>4522</v>
      </c>
      <c r="AH266" s="39" t="s">
        <v>55</v>
      </c>
      <c r="AI266" s="35">
        <v>46020</v>
      </c>
      <c r="AJ266" s="35">
        <v>45662</v>
      </c>
      <c r="AK266" s="39" t="s">
        <v>63</v>
      </c>
      <c r="AL266" s="39">
        <v>1306045</v>
      </c>
      <c r="AM266" s="35">
        <v>46024</v>
      </c>
      <c r="AN266" s="35">
        <v>46027</v>
      </c>
      <c r="AO266" s="39"/>
      <c r="AP266" s="39"/>
      <c r="AQ266" s="35"/>
      <c r="AR266" s="35"/>
      <c r="AS266" s="35">
        <v>46041</v>
      </c>
      <c r="AT266" s="30">
        <f t="shared" ca="1" si="38"/>
        <v>0</v>
      </c>
      <c r="AU266" s="32">
        <f t="shared" ca="1" si="37"/>
        <v>2</v>
      </c>
      <c r="AV266" s="32" t="str" cm="1">
        <f t="array" aca="1" ref="AV266" ca="1">IFERROR(_xlfn.IFS($AU266="","",$AU266&lt;=15,"0-15",AND($AU266&gt;=16,$AU266&lt;=30),"16-30",AND($AU266&gt;=31,$AU266&lt;=45),"31-45",AND($AU266&gt;=46,$AU266&lt;=60),"46-60",AND($AU266&gt;=61,$AU266&lt;=90),"61-90",AND($AU266&gt;=91),"&gt; 90",AND($AU266&gt;=2000),""),"")</f>
        <v>0-15</v>
      </c>
      <c r="AW266" s="32" t="str" cm="1">
        <f t="array" aca="1" ref="AW266" ca="1">IFERROR(_xlfn.IFS(OR($M266="",$AM266=""),"",OR($C266="Offered",$C266="Joined"),($AM266-$M266)-$AT266),"")</f>
        <v/>
      </c>
      <c r="AX266" s="32" t="str" cm="1">
        <f t="array" aca="1" ref="AX266" ca="1">IFERROR(_xlfn.IFS(OR($M266="",$AS266=""),"",$C266="Joined",($AS266-$M266)-$AT266),"")</f>
        <v/>
      </c>
      <c r="AY266" s="30" t="str">
        <f>IFERROR(IF(COUNTIFS('Candidate Tracker'!$E:$E,'Positions Tracker'!$B266,'Candidate Tracker'!$C:$C,"Offer Drop")=0,"",COUNTIFS('Candidate Tracker'!$E:$E,'Positions Tracker'!$B266,'Candidate Tracker'!$C:$C,"Offer Drop")),"")</f>
        <v/>
      </c>
      <c r="AZ2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6" s="34" t="str">
        <f>IFERROR(IF(COUNTIFS('Candidate Tracker'!$E:$E,'Positions Tracker'!$B266,'Candidate Tracker'!$I:$I,"Female")=0,"",COUNTIFS('Candidate Tracker'!$E:$E,'Positions Tracker'!$B266,'Candidate Tracker'!$I:$I,"Female")),"")</f>
        <v/>
      </c>
      <c r="BB266" s="34" t="str">
        <f>IFERROR(IF(COUNTIFS('Candidate Tracker'!$E:$E,'Positions Tracker'!$B266,'Candidate Tracker'!$I:$I,"male")=0,"",COUNTIFS('Candidate Tracker'!$E:$E,'Positions Tracker'!$B266,'Candidate Tracker'!$I:$I,"male")),"")</f>
        <v/>
      </c>
      <c r="BC266" s="33" t="str">
        <f>IFERROR(IF(COUNTIFS('Candidate Tracker'!$E:$E,'Positions Tracker'!$B266,'Candidate Tracker'!$C:$C,"&lt;&gt;WIP",'Candidate Tracker'!$C:$C,"&lt;&gt;Hold",'Candidate Tracker'!$C:$C,"&lt;&gt;Cancelled",'Candidate Tracker'!$C:$C,"&lt;&gt;Closed")/COUNTIFS('Candidate Tracker'!$E:$E,'Positions Tracker'!$B266)=0,"",COUNTIFS('Candidate Tracker'!$E:$E,'Positions Tracker'!$B266,'Candidate Tracker'!$C:$C,"&lt;&gt;WIP",'Candidate Tracker'!$C:$C,"&lt;&gt;Hold",'Candidate Tracker'!$C:$C,"&lt;&gt;Cancelled",'Candidate Tracker'!$C:$C,"&lt;&gt;Closed")/COUNTIFS('Candidate Tracker'!$E:$E,'Positions Tracker'!$B266)),"")</f>
        <v/>
      </c>
      <c r="BD266" s="30" t="str">
        <f t="shared" si="39"/>
        <v>Jan-26</v>
      </c>
      <c r="BE266" s="30" t="str">
        <f t="shared" si="40"/>
        <v>Dec-25</v>
      </c>
      <c r="BF266" s="30" t="str">
        <f t="shared" si="41"/>
        <v>Jan-26</v>
      </c>
      <c r="BG266" s="30" t="str">
        <f t="shared" si="42"/>
        <v>Jan-26</v>
      </c>
    </row>
    <row r="267" spans="1:59">
      <c r="A267" s="39">
        <v>269</v>
      </c>
      <c r="B267" s="39">
        <v>20264127</v>
      </c>
      <c r="C267" s="39" t="s">
        <v>2</v>
      </c>
      <c r="D267" s="39" t="s">
        <v>4511</v>
      </c>
      <c r="E267" s="170" t="s">
        <v>4523</v>
      </c>
      <c r="F267" s="39" t="s">
        <v>2959</v>
      </c>
      <c r="G267" s="39" t="s">
        <v>3</v>
      </c>
      <c r="H267" s="39" t="s">
        <v>66</v>
      </c>
      <c r="I267" s="40" t="s">
        <v>4524</v>
      </c>
      <c r="J267" s="40"/>
      <c r="K267" s="35">
        <v>46028</v>
      </c>
      <c r="L267" s="35">
        <v>46028</v>
      </c>
      <c r="M267" s="35">
        <v>46028</v>
      </c>
      <c r="N267" s="39" t="s">
        <v>3926</v>
      </c>
      <c r="O267" s="39"/>
      <c r="P267" s="39"/>
      <c r="Q267" s="39"/>
      <c r="R267" s="39"/>
      <c r="S267" s="39"/>
      <c r="T267" s="39"/>
      <c r="U267" s="39"/>
      <c r="V267" s="39"/>
      <c r="W267" s="39"/>
      <c r="X267" s="39" t="s">
        <v>4314</v>
      </c>
      <c r="Y267" s="39" t="s">
        <v>2679</v>
      </c>
      <c r="Z267" s="39" t="s">
        <v>2679</v>
      </c>
      <c r="AA267" s="39"/>
      <c r="AB267" s="39"/>
      <c r="AC267" s="39"/>
      <c r="AD267" s="39"/>
      <c r="AE267" s="39"/>
      <c r="AF267" s="39"/>
      <c r="AG267" s="39"/>
      <c r="AH267" s="39"/>
      <c r="AI267" s="35"/>
      <c r="AJ267" s="39"/>
      <c r="AK267" s="39"/>
      <c r="AL267" s="39"/>
      <c r="AM267" s="35"/>
      <c r="AN267" s="35"/>
      <c r="AO267" s="39"/>
      <c r="AP267" s="39"/>
      <c r="AQ267" s="35"/>
      <c r="AR267" s="35"/>
      <c r="AS267" s="35"/>
      <c r="AT267" s="30">
        <f t="shared" ca="1" si="38"/>
        <v>0</v>
      </c>
      <c r="AU267" s="32">
        <f t="shared" ca="1" si="37"/>
        <v>1</v>
      </c>
      <c r="AV267" s="32" t="str" cm="1">
        <f t="array" aca="1" ref="AV267" ca="1">IFERROR(_xlfn.IFS($AU267="","",$AU267&lt;=15,"0-15",AND($AU267&gt;=16,$AU267&lt;=30),"16-30",AND($AU267&gt;=31,$AU267&lt;=45),"31-45",AND($AU267&gt;=46,$AU267&lt;=60),"46-60",AND($AU267&gt;=61,$AU267&lt;=90),"61-90",AND($AU267&gt;=91),"&gt; 90",AND($AU267&gt;=2000),""),"")</f>
        <v>0-15</v>
      </c>
      <c r="AW267" s="32" t="str" cm="1">
        <f t="array" aca="1" ref="AW267" ca="1">IFERROR(_xlfn.IFS(OR($M267="",$AM267=""),"",OR($C267="Offered",$C267="Joined"),($AM267-$M267)-$AT267),"")</f>
        <v/>
      </c>
      <c r="AX267" s="32" t="str" cm="1">
        <f t="array" aca="1" ref="AX267" ca="1">IFERROR(_xlfn.IFS(OR($M267="",$AS267=""),"",$C267="Joined",($AS267-$M267)-$AT267),"")</f>
        <v/>
      </c>
      <c r="AY267" s="30" t="str">
        <f>IFERROR(IF(COUNTIFS('Candidate Tracker'!$E:$E,'Positions Tracker'!$B267,'Candidate Tracker'!$C:$C,"Offer Drop")=0,"",COUNTIFS('Candidate Tracker'!$E:$E,'Positions Tracker'!$B267,'Candidate Tracker'!$C:$C,"Offer Drop")),"")</f>
        <v/>
      </c>
      <c r="AZ2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7" s="34" t="str">
        <f>IFERROR(IF(COUNTIFS('Candidate Tracker'!$E:$E,'Positions Tracker'!$B267,'Candidate Tracker'!$I:$I,"Female")=0,"",COUNTIFS('Candidate Tracker'!$E:$E,'Positions Tracker'!$B267,'Candidate Tracker'!$I:$I,"Female")),"")</f>
        <v/>
      </c>
      <c r="BB267" s="34" t="str">
        <f>IFERROR(IF(COUNTIFS('Candidate Tracker'!$E:$E,'Positions Tracker'!$B267,'Candidate Tracker'!$I:$I,"male")=0,"",COUNTIFS('Candidate Tracker'!$E:$E,'Positions Tracker'!$B267,'Candidate Tracker'!$I:$I,"male")),"")</f>
        <v/>
      </c>
      <c r="BC267" s="33" t="str">
        <f>IFERROR(IF(COUNTIFS('Candidate Tracker'!$E:$E,'Positions Tracker'!$B267,'Candidate Tracker'!$C:$C,"&lt;&gt;WIP",'Candidate Tracker'!$C:$C,"&lt;&gt;Hold",'Candidate Tracker'!$C:$C,"&lt;&gt;Cancelled",'Candidate Tracker'!$C:$C,"&lt;&gt;Closed")/COUNTIFS('Candidate Tracker'!$E:$E,'Positions Tracker'!$B267)=0,"",COUNTIFS('Candidate Tracker'!$E:$E,'Positions Tracker'!$B267,'Candidate Tracker'!$C:$C,"&lt;&gt;WIP",'Candidate Tracker'!$C:$C,"&lt;&gt;Hold",'Candidate Tracker'!$C:$C,"&lt;&gt;Cancelled",'Candidate Tracker'!$C:$C,"&lt;&gt;Closed")/COUNTIFS('Candidate Tracker'!$E:$E,'Positions Tracker'!$B267)),"")</f>
        <v/>
      </c>
      <c r="BD267" s="30" t="str">
        <f t="shared" si="39"/>
        <v>Jan-26</v>
      </c>
      <c r="BE267" s="30" t="str">
        <f t="shared" si="40"/>
        <v/>
      </c>
      <c r="BF267" s="30" t="str">
        <f t="shared" si="41"/>
        <v/>
      </c>
      <c r="BG267" s="30" t="str">
        <f t="shared" si="42"/>
        <v/>
      </c>
    </row>
    <row r="268" spans="1:59">
      <c r="A268" s="39"/>
      <c r="B268" s="39"/>
      <c r="C268" s="39"/>
      <c r="D268" s="39"/>
      <c r="E268" s="39"/>
      <c r="F268" s="39"/>
      <c r="G268" s="39"/>
      <c r="H268" s="39"/>
      <c r="I268" s="40"/>
      <c r="J268" s="40"/>
      <c r="K268" s="35"/>
      <c r="L268" s="35"/>
      <c r="M268" s="35"/>
      <c r="N268" s="39"/>
      <c r="O268" s="39"/>
      <c r="P268" s="39"/>
      <c r="Q268" s="39"/>
      <c r="R268" s="39"/>
      <c r="S268" s="39"/>
      <c r="T268" s="39"/>
      <c r="U268" s="39"/>
      <c r="V268" s="39"/>
      <c r="W268" s="39"/>
      <c r="X268" s="39"/>
      <c r="Y268" s="39"/>
      <c r="Z268" s="39"/>
      <c r="AA268" s="39"/>
      <c r="AB268" s="39"/>
      <c r="AC268" s="39"/>
      <c r="AD268" s="39"/>
      <c r="AE268" s="39"/>
      <c r="AF268" s="39"/>
      <c r="AG268" s="39"/>
      <c r="AH268" s="39"/>
      <c r="AI268" s="35"/>
      <c r="AJ268" s="39"/>
      <c r="AK268" s="39"/>
      <c r="AL268" s="39"/>
      <c r="AM268" s="35"/>
      <c r="AN268" s="35"/>
      <c r="AO268" s="39"/>
      <c r="AP268" s="39"/>
      <c r="AQ268" s="35"/>
      <c r="AR268" s="35"/>
      <c r="AS268" s="35"/>
      <c r="AT268" s="30">
        <f t="shared" ca="1" si="38"/>
        <v>0</v>
      </c>
      <c r="AU268" s="32" t="str">
        <f t="shared" ca="1" si="37"/>
        <v/>
      </c>
      <c r="AV268" s="32" t="str" cm="1">
        <f t="array" aca="1" ref="AV268" ca="1">IFERROR(_xlfn.IFS($AU268="","",$AU268&lt;=15,"0-15",AND($AU268&gt;=16,$AU268&lt;=30),"16-30",AND($AU268&gt;=31,$AU268&lt;=45),"31-45",AND($AU268&gt;=46,$AU268&lt;=60),"46-60",AND($AU268&gt;=61,$AU268&lt;=90),"61-90",AND($AU268&gt;=91),"&gt; 90",AND($AU268&gt;=2000),""),"")</f>
        <v/>
      </c>
      <c r="AW268" s="32" t="str" cm="1">
        <f t="array" aca="1" ref="AW268" ca="1">IFERROR(_xlfn.IFS(OR($M268="",$AM268=""),"",OR($C268="Offered",$C268="Joined"),($AM268-$M268)-$AT268),"")</f>
        <v/>
      </c>
      <c r="AX268" s="32" t="str" cm="1">
        <f t="array" aca="1" ref="AX268" ca="1">IFERROR(_xlfn.IFS(OR($M268="",$AS268=""),"",$C268="Joined",($AS268-$M268)-$AT268),"")</f>
        <v/>
      </c>
      <c r="AY268" s="30" t="str">
        <f>IFERROR(IF(COUNTIFS('Candidate Tracker'!$E:$E,'Positions Tracker'!$B268,'Candidate Tracker'!$C:$C,"Offer Drop")=0,"",COUNTIFS('Candidate Tracker'!$E:$E,'Positions Tracker'!$B268,'Candidate Tracker'!$C:$C,"Offer Drop")),"")</f>
        <v/>
      </c>
      <c r="AZ2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8" s="34" t="str">
        <f>IFERROR(IF(COUNTIFS('Candidate Tracker'!$E:$E,'Positions Tracker'!$B268,'Candidate Tracker'!$I:$I,"Female")=0,"",COUNTIFS('Candidate Tracker'!$E:$E,'Positions Tracker'!$B268,'Candidate Tracker'!$I:$I,"Female")),"")</f>
        <v/>
      </c>
      <c r="BB268" s="34" t="str">
        <f>IFERROR(IF(COUNTIFS('Candidate Tracker'!$E:$E,'Positions Tracker'!$B268,'Candidate Tracker'!$I:$I,"male")=0,"",COUNTIFS('Candidate Tracker'!$E:$E,'Positions Tracker'!$B268,'Candidate Tracker'!$I:$I,"male")),"")</f>
        <v/>
      </c>
      <c r="BC268" s="33" t="str">
        <f>IFERROR(IF(COUNTIFS('Candidate Tracker'!$E:$E,'Positions Tracker'!$B268,'Candidate Tracker'!$C:$C,"&lt;&gt;WIP",'Candidate Tracker'!$C:$C,"&lt;&gt;Hold",'Candidate Tracker'!$C:$C,"&lt;&gt;Cancelled",'Candidate Tracker'!$C:$C,"&lt;&gt;Closed")/COUNTIFS('Candidate Tracker'!$E:$E,'Positions Tracker'!$B268)=0,"",COUNTIFS('Candidate Tracker'!$E:$E,'Positions Tracker'!$B268,'Candidate Tracker'!$C:$C,"&lt;&gt;WIP",'Candidate Tracker'!$C:$C,"&lt;&gt;Hold",'Candidate Tracker'!$C:$C,"&lt;&gt;Cancelled",'Candidate Tracker'!$C:$C,"&lt;&gt;Closed")/COUNTIFS('Candidate Tracker'!$E:$E,'Positions Tracker'!$B268)),"")</f>
        <v/>
      </c>
      <c r="BD268" s="30" t="str">
        <f t="shared" si="39"/>
        <v/>
      </c>
      <c r="BE268" s="30" t="str">
        <f t="shared" si="40"/>
        <v/>
      </c>
      <c r="BF268" s="30" t="str">
        <f t="shared" si="41"/>
        <v/>
      </c>
      <c r="BG268" s="30" t="str">
        <f t="shared" si="42"/>
        <v/>
      </c>
    </row>
    <row r="269" spans="1:59">
      <c r="A269" s="39"/>
      <c r="B269" s="39"/>
      <c r="C269" s="39"/>
      <c r="D269" s="39"/>
      <c r="E269" s="39"/>
      <c r="F269" s="39"/>
      <c r="G269" s="39"/>
      <c r="H269" s="39"/>
      <c r="I269" s="40"/>
      <c r="J269" s="40"/>
      <c r="K269" s="35"/>
      <c r="L269" s="35"/>
      <c r="M269" s="35"/>
      <c r="N269" s="39"/>
      <c r="O269" s="39"/>
      <c r="P269" s="39"/>
      <c r="Q269" s="39"/>
      <c r="R269" s="39"/>
      <c r="S269" s="39"/>
      <c r="T269" s="39"/>
      <c r="U269" s="39"/>
      <c r="V269" s="39"/>
      <c r="W269" s="39"/>
      <c r="X269" s="39"/>
      <c r="Y269" s="39"/>
      <c r="Z269" s="39"/>
      <c r="AA269" s="39"/>
      <c r="AB269" s="39"/>
      <c r="AC269" s="39"/>
      <c r="AD269" s="39"/>
      <c r="AE269" s="39"/>
      <c r="AF269" s="39"/>
      <c r="AG269" s="39"/>
      <c r="AH269" s="39"/>
      <c r="AI269" s="35"/>
      <c r="AJ269" s="39"/>
      <c r="AK269" s="39"/>
      <c r="AL269" s="39"/>
      <c r="AM269" s="35"/>
      <c r="AN269" s="35"/>
      <c r="AO269" s="39"/>
      <c r="AP269" s="39"/>
      <c r="AQ269" s="35"/>
      <c r="AR269" s="35"/>
      <c r="AS269" s="35"/>
      <c r="AT269" s="30">
        <f t="shared" ca="1" si="38"/>
        <v>0</v>
      </c>
      <c r="AU269" s="32" t="str">
        <f t="shared" ca="1" si="37"/>
        <v/>
      </c>
      <c r="AV269" s="32" t="str" cm="1">
        <f t="array" aca="1" ref="AV269" ca="1">IFERROR(_xlfn.IFS($AU269="","",$AU269&lt;=15,"0-15",AND($AU269&gt;=16,$AU269&lt;=30),"16-30",AND($AU269&gt;=31,$AU269&lt;=45),"31-45",AND($AU269&gt;=46,$AU269&lt;=60),"46-60",AND($AU269&gt;=61,$AU269&lt;=90),"61-90",AND($AU269&gt;=91),"&gt; 90",AND($AU269&gt;=2000),""),"")</f>
        <v/>
      </c>
      <c r="AW269" s="32" t="str" cm="1">
        <f t="array" aca="1" ref="AW269" ca="1">IFERROR(_xlfn.IFS(OR($M269="",$AM269=""),"",OR($C269="Offered",$C269="Joined"),($AM269-$M269)-$AT269),"")</f>
        <v/>
      </c>
      <c r="AX269" s="32" t="str" cm="1">
        <f t="array" aca="1" ref="AX269" ca="1">IFERROR(_xlfn.IFS(OR($M269="",$AS269=""),"",$C269="Joined",($AS269-$M269)-$AT269),"")</f>
        <v/>
      </c>
      <c r="AY269" s="30" t="str">
        <f>IFERROR(IF(COUNTIFS('Candidate Tracker'!$E:$E,'Positions Tracker'!$B269,'Candidate Tracker'!$C:$C,"Offer Drop")=0,"",COUNTIFS('Candidate Tracker'!$E:$E,'Positions Tracker'!$B269,'Candidate Tracker'!$C:$C,"Offer Drop")),"")</f>
        <v/>
      </c>
      <c r="AZ2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69" s="34" t="str">
        <f>IFERROR(IF(COUNTIFS('Candidate Tracker'!$E:$E,'Positions Tracker'!$B269,'Candidate Tracker'!$I:$I,"Female")=0,"",COUNTIFS('Candidate Tracker'!$E:$E,'Positions Tracker'!$B269,'Candidate Tracker'!$I:$I,"Female")),"")</f>
        <v/>
      </c>
      <c r="BB269" s="34" t="str">
        <f>IFERROR(IF(COUNTIFS('Candidate Tracker'!$E:$E,'Positions Tracker'!$B269,'Candidate Tracker'!$I:$I,"male")=0,"",COUNTIFS('Candidate Tracker'!$E:$E,'Positions Tracker'!$B269,'Candidate Tracker'!$I:$I,"male")),"")</f>
        <v/>
      </c>
      <c r="BC269" s="33" t="str">
        <f>IFERROR(IF(COUNTIFS('Candidate Tracker'!$E:$E,'Positions Tracker'!$B269,'Candidate Tracker'!$C:$C,"&lt;&gt;WIP",'Candidate Tracker'!$C:$C,"&lt;&gt;Hold",'Candidate Tracker'!$C:$C,"&lt;&gt;Cancelled",'Candidate Tracker'!$C:$C,"&lt;&gt;Closed")/COUNTIFS('Candidate Tracker'!$E:$E,'Positions Tracker'!$B269)=0,"",COUNTIFS('Candidate Tracker'!$E:$E,'Positions Tracker'!$B269,'Candidate Tracker'!$C:$C,"&lt;&gt;WIP",'Candidate Tracker'!$C:$C,"&lt;&gt;Hold",'Candidate Tracker'!$C:$C,"&lt;&gt;Cancelled",'Candidate Tracker'!$C:$C,"&lt;&gt;Closed")/COUNTIFS('Candidate Tracker'!$E:$E,'Positions Tracker'!$B269)),"")</f>
        <v/>
      </c>
      <c r="BD269" s="30" t="str">
        <f t="shared" si="39"/>
        <v/>
      </c>
      <c r="BE269" s="30" t="str">
        <f t="shared" si="40"/>
        <v/>
      </c>
      <c r="BF269" s="30" t="str">
        <f t="shared" si="41"/>
        <v/>
      </c>
      <c r="BG269" s="30" t="str">
        <f t="shared" si="42"/>
        <v/>
      </c>
    </row>
    <row r="270" spans="1:59">
      <c r="A270" s="39"/>
      <c r="B270" s="39"/>
      <c r="C270" s="39"/>
      <c r="D270" s="39"/>
      <c r="E270" s="39"/>
      <c r="F270" s="39"/>
      <c r="G270" s="39"/>
      <c r="H270" s="39"/>
      <c r="I270" s="40"/>
      <c r="J270" s="40"/>
      <c r="K270" s="35"/>
      <c r="L270" s="35"/>
      <c r="M270" s="35"/>
      <c r="N270" s="39"/>
      <c r="O270" s="39"/>
      <c r="P270" s="39"/>
      <c r="Q270" s="39"/>
      <c r="R270" s="39"/>
      <c r="S270" s="39"/>
      <c r="T270" s="39"/>
      <c r="U270" s="39"/>
      <c r="V270" s="39"/>
      <c r="W270" s="39"/>
      <c r="X270" s="39"/>
      <c r="Y270" s="39"/>
      <c r="Z270" s="39"/>
      <c r="AA270" s="39"/>
      <c r="AB270" s="39"/>
      <c r="AC270" s="39"/>
      <c r="AD270" s="39"/>
      <c r="AE270" s="39"/>
      <c r="AF270" s="39"/>
      <c r="AG270" s="39"/>
      <c r="AH270" s="39"/>
      <c r="AI270" s="35"/>
      <c r="AJ270" s="39"/>
      <c r="AK270" s="39"/>
      <c r="AL270" s="39"/>
      <c r="AM270" s="35"/>
      <c r="AN270" s="35"/>
      <c r="AO270" s="39"/>
      <c r="AP270" s="39"/>
      <c r="AQ270" s="35"/>
      <c r="AR270" s="35"/>
      <c r="AS270" s="35"/>
      <c r="AT270" s="30">
        <f t="shared" ca="1" si="38"/>
        <v>0</v>
      </c>
      <c r="AU270" s="32" t="str">
        <f t="shared" ca="1" si="37"/>
        <v/>
      </c>
      <c r="AV270" s="32" t="str" cm="1">
        <f t="array" aca="1" ref="AV270" ca="1">IFERROR(_xlfn.IFS($AU270="","",$AU270&lt;=15,"0-15",AND($AU270&gt;=16,$AU270&lt;=30),"16-30",AND($AU270&gt;=31,$AU270&lt;=45),"31-45",AND($AU270&gt;=46,$AU270&lt;=60),"46-60",AND($AU270&gt;=61,$AU270&lt;=90),"61-90",AND($AU270&gt;=91),"&gt; 90",AND($AU270&gt;=2000),""),"")</f>
        <v/>
      </c>
      <c r="AW270" s="32" t="str" cm="1">
        <f t="array" aca="1" ref="AW270" ca="1">IFERROR(_xlfn.IFS(OR($M270="",$AM270=""),"",OR($C270="Offered",$C270="Joined"),($AM270-$M270)-$AT270),"")</f>
        <v/>
      </c>
      <c r="AX270" s="32" t="str" cm="1">
        <f t="array" aca="1" ref="AX270" ca="1">IFERROR(_xlfn.IFS(OR($M270="",$AS270=""),"",$C270="Joined",($AS270-$M270)-$AT270),"")</f>
        <v/>
      </c>
      <c r="AY270" s="30" t="str">
        <f>IFERROR(IF(COUNTIFS('Candidate Tracker'!$E:$E,'Positions Tracker'!$B270,'Candidate Tracker'!$C:$C,"Offer Drop")=0,"",COUNTIFS('Candidate Tracker'!$E:$E,'Positions Tracker'!$B270,'Candidate Tracker'!$C:$C,"Offer Drop")),"")</f>
        <v/>
      </c>
      <c r="AZ2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0" s="34" t="str">
        <f>IFERROR(IF(COUNTIFS('Candidate Tracker'!$E:$E,'Positions Tracker'!$B270,'Candidate Tracker'!$I:$I,"Female")=0,"",COUNTIFS('Candidate Tracker'!$E:$E,'Positions Tracker'!$B270,'Candidate Tracker'!$I:$I,"Female")),"")</f>
        <v/>
      </c>
      <c r="BB270" s="34" t="str">
        <f>IFERROR(IF(COUNTIFS('Candidate Tracker'!$E:$E,'Positions Tracker'!$B270,'Candidate Tracker'!$I:$I,"male")=0,"",COUNTIFS('Candidate Tracker'!$E:$E,'Positions Tracker'!$B270,'Candidate Tracker'!$I:$I,"male")),"")</f>
        <v/>
      </c>
      <c r="BC270" s="33" t="str">
        <f>IFERROR(IF(COUNTIFS('Candidate Tracker'!$E:$E,'Positions Tracker'!$B270,'Candidate Tracker'!$C:$C,"&lt;&gt;WIP",'Candidate Tracker'!$C:$C,"&lt;&gt;Hold",'Candidate Tracker'!$C:$C,"&lt;&gt;Cancelled",'Candidate Tracker'!$C:$C,"&lt;&gt;Closed")/COUNTIFS('Candidate Tracker'!$E:$E,'Positions Tracker'!$B270)=0,"",COUNTIFS('Candidate Tracker'!$E:$E,'Positions Tracker'!$B270,'Candidate Tracker'!$C:$C,"&lt;&gt;WIP",'Candidate Tracker'!$C:$C,"&lt;&gt;Hold",'Candidate Tracker'!$C:$C,"&lt;&gt;Cancelled",'Candidate Tracker'!$C:$C,"&lt;&gt;Closed")/COUNTIFS('Candidate Tracker'!$E:$E,'Positions Tracker'!$B270)),"")</f>
        <v/>
      </c>
      <c r="BD270" s="30" t="str">
        <f t="shared" si="39"/>
        <v/>
      </c>
      <c r="BE270" s="30" t="str">
        <f t="shared" si="40"/>
        <v/>
      </c>
      <c r="BF270" s="30" t="str">
        <f t="shared" si="41"/>
        <v/>
      </c>
      <c r="BG270" s="30" t="str">
        <f t="shared" si="42"/>
        <v/>
      </c>
    </row>
    <row r="271" spans="1:59">
      <c r="A271" s="39"/>
      <c r="B271" s="39"/>
      <c r="C271" s="39"/>
      <c r="D271" s="39"/>
      <c r="E271" s="39"/>
      <c r="F271" s="39"/>
      <c r="G271" s="39"/>
      <c r="H271" s="39"/>
      <c r="I271" s="40"/>
      <c r="J271" s="40"/>
      <c r="K271" s="35"/>
      <c r="L271" s="35"/>
      <c r="M271" s="35"/>
      <c r="N271" s="39"/>
      <c r="O271" s="39"/>
      <c r="P271" s="39"/>
      <c r="Q271" s="39"/>
      <c r="R271" s="39"/>
      <c r="S271" s="39"/>
      <c r="T271" s="39"/>
      <c r="U271" s="39"/>
      <c r="V271" s="39"/>
      <c r="W271" s="39"/>
      <c r="X271" s="39"/>
      <c r="Y271" s="39"/>
      <c r="Z271" s="39"/>
      <c r="AA271" s="39"/>
      <c r="AB271" s="39"/>
      <c r="AC271" s="39"/>
      <c r="AD271" s="39"/>
      <c r="AE271" s="39"/>
      <c r="AF271" s="39"/>
      <c r="AG271" s="39"/>
      <c r="AH271" s="39"/>
      <c r="AI271" s="35"/>
      <c r="AJ271" s="39"/>
      <c r="AK271" s="39"/>
      <c r="AL271" s="39"/>
      <c r="AM271" s="35"/>
      <c r="AN271" s="35"/>
      <c r="AO271" s="39"/>
      <c r="AP271" s="39"/>
      <c r="AQ271" s="35"/>
      <c r="AR271" s="35"/>
      <c r="AS271" s="35"/>
      <c r="AT271" s="30">
        <f t="shared" ca="1" si="38"/>
        <v>0</v>
      </c>
      <c r="AU271" s="32" t="str">
        <f t="shared" ca="1" si="37"/>
        <v/>
      </c>
      <c r="AV271" s="32" t="str" cm="1">
        <f t="array" aca="1" ref="AV271" ca="1">IFERROR(_xlfn.IFS($AU271="","",$AU271&lt;=15,"0-15",AND($AU271&gt;=16,$AU271&lt;=30),"16-30",AND($AU271&gt;=31,$AU271&lt;=45),"31-45",AND($AU271&gt;=46,$AU271&lt;=60),"46-60",AND($AU271&gt;=61,$AU271&lt;=90),"61-90",AND($AU271&gt;=91),"&gt; 90",AND($AU271&gt;=2000),""),"")</f>
        <v/>
      </c>
      <c r="AW271" s="32" t="str" cm="1">
        <f t="array" aca="1" ref="AW271" ca="1">IFERROR(_xlfn.IFS(OR($M271="",$AM271=""),"",OR($C271="Offered",$C271="Joined"),($AM271-$M271)-$AT271),"")</f>
        <v/>
      </c>
      <c r="AX271" s="32" t="str" cm="1">
        <f t="array" aca="1" ref="AX271" ca="1">IFERROR(_xlfn.IFS(OR($M271="",$AS271=""),"",$C271="Joined",($AS271-$M271)-$AT271),"")</f>
        <v/>
      </c>
      <c r="AY271" s="30" t="str">
        <f>IFERROR(IF(COUNTIFS('Candidate Tracker'!$E:$E,'Positions Tracker'!$B271,'Candidate Tracker'!$C:$C,"Offer Drop")=0,"",COUNTIFS('Candidate Tracker'!$E:$E,'Positions Tracker'!$B271,'Candidate Tracker'!$C:$C,"Offer Drop")),"")</f>
        <v/>
      </c>
      <c r="AZ2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1" s="34" t="str">
        <f>IFERROR(IF(COUNTIFS('Candidate Tracker'!$E:$E,'Positions Tracker'!$B271,'Candidate Tracker'!$I:$I,"Female")=0,"",COUNTIFS('Candidate Tracker'!$E:$E,'Positions Tracker'!$B271,'Candidate Tracker'!$I:$I,"Female")),"")</f>
        <v/>
      </c>
      <c r="BB271" s="34" t="str">
        <f>IFERROR(IF(COUNTIFS('Candidate Tracker'!$E:$E,'Positions Tracker'!$B271,'Candidate Tracker'!$I:$I,"male")=0,"",COUNTIFS('Candidate Tracker'!$E:$E,'Positions Tracker'!$B271,'Candidate Tracker'!$I:$I,"male")),"")</f>
        <v/>
      </c>
      <c r="BC271" s="33" t="str">
        <f>IFERROR(IF(COUNTIFS('Candidate Tracker'!$E:$E,'Positions Tracker'!$B271,'Candidate Tracker'!$C:$C,"&lt;&gt;WIP",'Candidate Tracker'!$C:$C,"&lt;&gt;Hold",'Candidate Tracker'!$C:$C,"&lt;&gt;Cancelled",'Candidate Tracker'!$C:$C,"&lt;&gt;Closed")/COUNTIFS('Candidate Tracker'!$E:$E,'Positions Tracker'!$B271)=0,"",COUNTIFS('Candidate Tracker'!$E:$E,'Positions Tracker'!$B271,'Candidate Tracker'!$C:$C,"&lt;&gt;WIP",'Candidate Tracker'!$C:$C,"&lt;&gt;Hold",'Candidate Tracker'!$C:$C,"&lt;&gt;Cancelled",'Candidate Tracker'!$C:$C,"&lt;&gt;Closed")/COUNTIFS('Candidate Tracker'!$E:$E,'Positions Tracker'!$B271)),"")</f>
        <v/>
      </c>
      <c r="BD271" s="30" t="str">
        <f t="shared" si="39"/>
        <v/>
      </c>
      <c r="BE271" s="30" t="str">
        <f t="shared" si="40"/>
        <v/>
      </c>
      <c r="BF271" s="30" t="str">
        <f t="shared" si="41"/>
        <v/>
      </c>
      <c r="BG271" s="30" t="str">
        <f t="shared" si="42"/>
        <v/>
      </c>
    </row>
    <row r="272" spans="1:59">
      <c r="A272" s="39"/>
      <c r="B272" s="39"/>
      <c r="C272" s="39"/>
      <c r="D272" s="39"/>
      <c r="E272" s="39"/>
      <c r="F272" s="39"/>
      <c r="G272" s="39"/>
      <c r="H272" s="39"/>
      <c r="I272" s="40"/>
      <c r="J272" s="40"/>
      <c r="K272" s="35"/>
      <c r="L272" s="35"/>
      <c r="M272" s="35"/>
      <c r="N272" s="39"/>
      <c r="O272" s="39"/>
      <c r="P272" s="39"/>
      <c r="Q272" s="39"/>
      <c r="R272" s="39"/>
      <c r="S272" s="39"/>
      <c r="T272" s="39"/>
      <c r="U272" s="39"/>
      <c r="V272" s="39"/>
      <c r="W272" s="39"/>
      <c r="X272" s="39"/>
      <c r="Y272" s="39"/>
      <c r="Z272" s="39"/>
      <c r="AA272" s="39"/>
      <c r="AB272" s="39"/>
      <c r="AC272" s="39"/>
      <c r="AD272" s="39"/>
      <c r="AE272" s="39"/>
      <c r="AF272" s="39"/>
      <c r="AG272" s="39"/>
      <c r="AH272" s="39"/>
      <c r="AI272" s="35"/>
      <c r="AJ272" s="39"/>
      <c r="AK272" s="39"/>
      <c r="AL272" s="39"/>
      <c r="AM272" s="35"/>
      <c r="AN272" s="35"/>
      <c r="AO272" s="39"/>
      <c r="AP272" s="39"/>
      <c r="AQ272" s="35"/>
      <c r="AR272" s="35"/>
      <c r="AS272" s="35"/>
      <c r="AT272" s="30">
        <f t="shared" ca="1" si="38"/>
        <v>0</v>
      </c>
      <c r="AU272" s="32" t="str">
        <f t="shared" ca="1" si="37"/>
        <v/>
      </c>
      <c r="AV272" s="32" t="str" cm="1">
        <f t="array" aca="1" ref="AV272" ca="1">IFERROR(_xlfn.IFS($AU272="","",$AU272&lt;=15,"0-15",AND($AU272&gt;=16,$AU272&lt;=30),"16-30",AND($AU272&gt;=31,$AU272&lt;=45),"31-45",AND($AU272&gt;=46,$AU272&lt;=60),"46-60",AND($AU272&gt;=61,$AU272&lt;=90),"61-90",AND($AU272&gt;=91),"&gt; 90",AND($AU272&gt;=2000),""),"")</f>
        <v/>
      </c>
      <c r="AW272" s="32" t="str" cm="1">
        <f t="array" aca="1" ref="AW272" ca="1">IFERROR(_xlfn.IFS(OR($M272="",$AM272=""),"",OR($C272="Offered",$C272="Joined"),($AM272-$M272)-$AT272),"")</f>
        <v/>
      </c>
      <c r="AX272" s="32" t="str" cm="1">
        <f t="array" aca="1" ref="AX272" ca="1">IFERROR(_xlfn.IFS(OR($M272="",$AS272=""),"",$C272="Joined",($AS272-$M272)-$AT272),"")</f>
        <v/>
      </c>
      <c r="AY272" s="30" t="str">
        <f>IFERROR(IF(COUNTIFS('Candidate Tracker'!$E:$E,'Positions Tracker'!$B272,'Candidate Tracker'!$C:$C,"Offer Drop")=0,"",COUNTIFS('Candidate Tracker'!$E:$E,'Positions Tracker'!$B272,'Candidate Tracker'!$C:$C,"Offer Drop")),"")</f>
        <v/>
      </c>
      <c r="AZ2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2" s="34" t="str">
        <f>IFERROR(IF(COUNTIFS('Candidate Tracker'!$E:$E,'Positions Tracker'!$B272,'Candidate Tracker'!$I:$I,"Female")=0,"",COUNTIFS('Candidate Tracker'!$E:$E,'Positions Tracker'!$B272,'Candidate Tracker'!$I:$I,"Female")),"")</f>
        <v/>
      </c>
      <c r="BB272" s="34" t="str">
        <f>IFERROR(IF(COUNTIFS('Candidate Tracker'!$E:$E,'Positions Tracker'!$B272,'Candidate Tracker'!$I:$I,"male")=0,"",COUNTIFS('Candidate Tracker'!$E:$E,'Positions Tracker'!$B272,'Candidate Tracker'!$I:$I,"male")),"")</f>
        <v/>
      </c>
      <c r="BC272" s="33" t="str">
        <f>IFERROR(IF(COUNTIFS('Candidate Tracker'!$E:$E,'Positions Tracker'!$B272,'Candidate Tracker'!$C:$C,"&lt;&gt;WIP",'Candidate Tracker'!$C:$C,"&lt;&gt;Hold",'Candidate Tracker'!$C:$C,"&lt;&gt;Cancelled",'Candidate Tracker'!$C:$C,"&lt;&gt;Closed")/COUNTIFS('Candidate Tracker'!$E:$E,'Positions Tracker'!$B272)=0,"",COUNTIFS('Candidate Tracker'!$E:$E,'Positions Tracker'!$B272,'Candidate Tracker'!$C:$C,"&lt;&gt;WIP",'Candidate Tracker'!$C:$C,"&lt;&gt;Hold",'Candidate Tracker'!$C:$C,"&lt;&gt;Cancelled",'Candidate Tracker'!$C:$C,"&lt;&gt;Closed")/COUNTIFS('Candidate Tracker'!$E:$E,'Positions Tracker'!$B272)),"")</f>
        <v/>
      </c>
      <c r="BD272" s="30" t="str">
        <f t="shared" si="39"/>
        <v/>
      </c>
      <c r="BE272" s="30" t="str">
        <f t="shared" si="40"/>
        <v/>
      </c>
      <c r="BF272" s="30" t="str">
        <f t="shared" si="41"/>
        <v/>
      </c>
      <c r="BG272" s="30" t="str">
        <f t="shared" si="42"/>
        <v/>
      </c>
    </row>
    <row r="273" spans="1:59">
      <c r="A273" s="39"/>
      <c r="B273" s="39"/>
      <c r="C273" s="39"/>
      <c r="D273" s="39"/>
      <c r="E273" s="39"/>
      <c r="F273" s="39"/>
      <c r="G273" s="39"/>
      <c r="H273" s="39"/>
      <c r="I273" s="40"/>
      <c r="J273" s="40"/>
      <c r="K273" s="35"/>
      <c r="L273" s="35"/>
      <c r="M273" s="35"/>
      <c r="N273" s="39"/>
      <c r="O273" s="39"/>
      <c r="P273" s="39"/>
      <c r="Q273" s="39"/>
      <c r="R273" s="39"/>
      <c r="S273" s="39"/>
      <c r="T273" s="39"/>
      <c r="U273" s="39"/>
      <c r="V273" s="39"/>
      <c r="W273" s="39"/>
      <c r="X273" s="39"/>
      <c r="Y273" s="39"/>
      <c r="Z273" s="39"/>
      <c r="AA273" s="39"/>
      <c r="AB273" s="39"/>
      <c r="AC273" s="39"/>
      <c r="AD273" s="39"/>
      <c r="AE273" s="39"/>
      <c r="AF273" s="39"/>
      <c r="AG273" s="39"/>
      <c r="AH273" s="39"/>
      <c r="AI273" s="35"/>
      <c r="AJ273" s="39"/>
      <c r="AK273" s="39"/>
      <c r="AL273" s="39"/>
      <c r="AM273" s="35"/>
      <c r="AN273" s="35"/>
      <c r="AO273" s="39"/>
      <c r="AP273" s="39"/>
      <c r="AQ273" s="35"/>
      <c r="AR273" s="35"/>
      <c r="AS273" s="35"/>
      <c r="AT273" s="30">
        <f t="shared" ca="1" si="38"/>
        <v>0</v>
      </c>
      <c r="AU273" s="32" t="str">
        <f t="shared" ca="1" si="37"/>
        <v/>
      </c>
      <c r="AV273" s="32" t="str" cm="1">
        <f t="array" aca="1" ref="AV273" ca="1">IFERROR(_xlfn.IFS($AU273="","",$AU273&lt;=15,"0-15",AND($AU273&gt;=16,$AU273&lt;=30),"16-30",AND($AU273&gt;=31,$AU273&lt;=45),"31-45",AND($AU273&gt;=46,$AU273&lt;=60),"46-60",AND($AU273&gt;=61,$AU273&lt;=90),"61-90",AND($AU273&gt;=91),"&gt; 90",AND($AU273&gt;=2000),""),"")</f>
        <v/>
      </c>
      <c r="AW273" s="32" t="str" cm="1">
        <f t="array" aca="1" ref="AW273" ca="1">IFERROR(_xlfn.IFS(OR($M273="",$AM273=""),"",OR($C273="Offered",$C273="Joined"),($AM273-$M273)-$AT273),"")</f>
        <v/>
      </c>
      <c r="AX273" s="32" t="str" cm="1">
        <f t="array" aca="1" ref="AX273" ca="1">IFERROR(_xlfn.IFS(OR($M273="",$AS273=""),"",$C273="Joined",($AS273-$M273)-$AT273),"")</f>
        <v/>
      </c>
      <c r="AY273" s="30" t="str">
        <f>IFERROR(IF(COUNTIFS('Candidate Tracker'!$E:$E,'Positions Tracker'!$B273,'Candidate Tracker'!$C:$C,"Offer Drop")=0,"",COUNTIFS('Candidate Tracker'!$E:$E,'Positions Tracker'!$B273,'Candidate Tracker'!$C:$C,"Offer Drop")),"")</f>
        <v/>
      </c>
      <c r="AZ2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3" s="34" t="str">
        <f>IFERROR(IF(COUNTIFS('Candidate Tracker'!$E:$E,'Positions Tracker'!$B273,'Candidate Tracker'!$I:$I,"Female")=0,"",COUNTIFS('Candidate Tracker'!$E:$E,'Positions Tracker'!$B273,'Candidate Tracker'!$I:$I,"Female")),"")</f>
        <v/>
      </c>
      <c r="BB273" s="34" t="str">
        <f>IFERROR(IF(COUNTIFS('Candidate Tracker'!$E:$E,'Positions Tracker'!$B273,'Candidate Tracker'!$I:$I,"male")=0,"",COUNTIFS('Candidate Tracker'!$E:$E,'Positions Tracker'!$B273,'Candidate Tracker'!$I:$I,"male")),"")</f>
        <v/>
      </c>
      <c r="BC273" s="33" t="str">
        <f>IFERROR(IF(COUNTIFS('Candidate Tracker'!$E:$E,'Positions Tracker'!$B273,'Candidate Tracker'!$C:$C,"&lt;&gt;WIP",'Candidate Tracker'!$C:$C,"&lt;&gt;Hold",'Candidate Tracker'!$C:$C,"&lt;&gt;Cancelled",'Candidate Tracker'!$C:$C,"&lt;&gt;Closed")/COUNTIFS('Candidate Tracker'!$E:$E,'Positions Tracker'!$B273)=0,"",COUNTIFS('Candidate Tracker'!$E:$E,'Positions Tracker'!$B273,'Candidate Tracker'!$C:$C,"&lt;&gt;WIP",'Candidate Tracker'!$C:$C,"&lt;&gt;Hold",'Candidate Tracker'!$C:$C,"&lt;&gt;Cancelled",'Candidate Tracker'!$C:$C,"&lt;&gt;Closed")/COUNTIFS('Candidate Tracker'!$E:$E,'Positions Tracker'!$B273)),"")</f>
        <v/>
      </c>
      <c r="BD273" s="30" t="str">
        <f t="shared" si="39"/>
        <v/>
      </c>
      <c r="BE273" s="30" t="str">
        <f t="shared" si="40"/>
        <v/>
      </c>
      <c r="BF273" s="30" t="str">
        <f t="shared" si="41"/>
        <v/>
      </c>
      <c r="BG273" s="30" t="str">
        <f t="shared" si="42"/>
        <v/>
      </c>
    </row>
    <row r="274" spans="1:59">
      <c r="A274" s="39"/>
      <c r="B274" s="39"/>
      <c r="C274" s="39"/>
      <c r="D274" s="39"/>
      <c r="E274" s="39"/>
      <c r="F274" s="39"/>
      <c r="G274" s="39"/>
      <c r="H274" s="39"/>
      <c r="I274" s="40"/>
      <c r="J274" s="40"/>
      <c r="K274" s="35"/>
      <c r="L274" s="35"/>
      <c r="M274" s="35"/>
      <c r="N274" s="39"/>
      <c r="O274" s="39"/>
      <c r="P274" s="39"/>
      <c r="Q274" s="39"/>
      <c r="R274" s="39"/>
      <c r="S274" s="39"/>
      <c r="T274" s="39"/>
      <c r="U274" s="39"/>
      <c r="V274" s="39"/>
      <c r="W274" s="39"/>
      <c r="X274" s="39"/>
      <c r="Y274" s="39"/>
      <c r="Z274" s="39"/>
      <c r="AA274" s="39"/>
      <c r="AB274" s="39"/>
      <c r="AC274" s="39"/>
      <c r="AD274" s="39"/>
      <c r="AE274" s="39"/>
      <c r="AF274" s="39"/>
      <c r="AG274" s="39"/>
      <c r="AH274" s="39"/>
      <c r="AI274" s="35"/>
      <c r="AJ274" s="39"/>
      <c r="AK274" s="39"/>
      <c r="AL274" s="39"/>
      <c r="AM274" s="35"/>
      <c r="AN274" s="35"/>
      <c r="AO274" s="39"/>
      <c r="AP274" s="39"/>
      <c r="AQ274" s="35"/>
      <c r="AR274" s="35"/>
      <c r="AS274" s="35"/>
      <c r="AT274" s="30">
        <f t="shared" ca="1" si="38"/>
        <v>0</v>
      </c>
      <c r="AU274" s="32" t="str">
        <f t="shared" ca="1" si="37"/>
        <v/>
      </c>
      <c r="AV274" s="32" t="str" cm="1">
        <f t="array" aca="1" ref="AV274" ca="1">IFERROR(_xlfn.IFS($AU274="","",$AU274&lt;=15,"0-15",AND($AU274&gt;=16,$AU274&lt;=30),"16-30",AND($AU274&gt;=31,$AU274&lt;=45),"31-45",AND($AU274&gt;=46,$AU274&lt;=60),"46-60",AND($AU274&gt;=61,$AU274&lt;=90),"61-90",AND($AU274&gt;=91),"&gt; 90",AND($AU274&gt;=2000),""),"")</f>
        <v/>
      </c>
      <c r="AW274" s="32" t="str" cm="1">
        <f t="array" aca="1" ref="AW274" ca="1">IFERROR(_xlfn.IFS(OR($M274="",$AM274=""),"",OR($C274="Offered",$C274="Joined"),($AM274-$M274)-$AT274),"")</f>
        <v/>
      </c>
      <c r="AX274" s="32" t="str" cm="1">
        <f t="array" aca="1" ref="AX274" ca="1">IFERROR(_xlfn.IFS(OR($M274="",$AS274=""),"",$C274="Joined",($AS274-$M274)-$AT274),"")</f>
        <v/>
      </c>
      <c r="AY274" s="30" t="str">
        <f>IFERROR(IF(COUNTIFS('Candidate Tracker'!$E:$E,'Positions Tracker'!$B274,'Candidate Tracker'!$C:$C,"Offer Drop")=0,"",COUNTIFS('Candidate Tracker'!$E:$E,'Positions Tracker'!$B274,'Candidate Tracker'!$C:$C,"Offer Drop")),"")</f>
        <v/>
      </c>
      <c r="AZ2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4" s="34" t="str">
        <f>IFERROR(IF(COUNTIFS('Candidate Tracker'!$E:$E,'Positions Tracker'!$B274,'Candidate Tracker'!$I:$I,"Female")=0,"",COUNTIFS('Candidate Tracker'!$E:$E,'Positions Tracker'!$B274,'Candidate Tracker'!$I:$I,"Female")),"")</f>
        <v/>
      </c>
      <c r="BB274" s="34" t="str">
        <f>IFERROR(IF(COUNTIFS('Candidate Tracker'!$E:$E,'Positions Tracker'!$B274,'Candidate Tracker'!$I:$I,"male")=0,"",COUNTIFS('Candidate Tracker'!$E:$E,'Positions Tracker'!$B274,'Candidate Tracker'!$I:$I,"male")),"")</f>
        <v/>
      </c>
      <c r="BC274" s="33" t="str">
        <f>IFERROR(IF(COUNTIFS('Candidate Tracker'!$E:$E,'Positions Tracker'!$B274,'Candidate Tracker'!$C:$C,"&lt;&gt;WIP",'Candidate Tracker'!$C:$C,"&lt;&gt;Hold",'Candidate Tracker'!$C:$C,"&lt;&gt;Cancelled",'Candidate Tracker'!$C:$C,"&lt;&gt;Closed")/COUNTIFS('Candidate Tracker'!$E:$E,'Positions Tracker'!$B274)=0,"",COUNTIFS('Candidate Tracker'!$E:$E,'Positions Tracker'!$B274,'Candidate Tracker'!$C:$C,"&lt;&gt;WIP",'Candidate Tracker'!$C:$C,"&lt;&gt;Hold",'Candidate Tracker'!$C:$C,"&lt;&gt;Cancelled",'Candidate Tracker'!$C:$C,"&lt;&gt;Closed")/COUNTIFS('Candidate Tracker'!$E:$E,'Positions Tracker'!$B274)),"")</f>
        <v/>
      </c>
      <c r="BD274" s="30" t="str">
        <f t="shared" si="39"/>
        <v/>
      </c>
      <c r="BE274" s="30" t="str">
        <f t="shared" si="40"/>
        <v/>
      </c>
      <c r="BF274" s="30" t="str">
        <f t="shared" si="41"/>
        <v/>
      </c>
      <c r="BG274" s="30" t="str">
        <f t="shared" si="42"/>
        <v/>
      </c>
    </row>
    <row r="275" spans="1:59">
      <c r="A275" s="39"/>
      <c r="B275" s="39"/>
      <c r="C275" s="39"/>
      <c r="D275" s="39"/>
      <c r="E275" s="39"/>
      <c r="F275" s="39"/>
      <c r="G275" s="39"/>
      <c r="H275" s="39"/>
      <c r="I275" s="40"/>
      <c r="J275" s="40"/>
      <c r="K275" s="35"/>
      <c r="L275" s="35"/>
      <c r="M275" s="35"/>
      <c r="N275" s="39"/>
      <c r="O275" s="39"/>
      <c r="P275" s="39"/>
      <c r="Q275" s="39"/>
      <c r="R275" s="39"/>
      <c r="S275" s="39"/>
      <c r="T275" s="39"/>
      <c r="U275" s="39"/>
      <c r="V275" s="39"/>
      <c r="W275" s="39"/>
      <c r="X275" s="39"/>
      <c r="Y275" s="39"/>
      <c r="Z275" s="39"/>
      <c r="AA275" s="39"/>
      <c r="AB275" s="39"/>
      <c r="AC275" s="39"/>
      <c r="AD275" s="39"/>
      <c r="AE275" s="39"/>
      <c r="AF275" s="39"/>
      <c r="AG275" s="39"/>
      <c r="AH275" s="39"/>
      <c r="AI275" s="35"/>
      <c r="AJ275" s="39"/>
      <c r="AK275" s="39"/>
      <c r="AL275" s="39"/>
      <c r="AM275" s="35"/>
      <c r="AN275" s="35"/>
      <c r="AO275" s="39"/>
      <c r="AP275" s="39"/>
      <c r="AQ275" s="35"/>
      <c r="AR275" s="35"/>
      <c r="AS275" s="35"/>
      <c r="AT275" s="30">
        <f t="shared" ca="1" si="38"/>
        <v>0</v>
      </c>
      <c r="AU275" s="32" t="str">
        <f t="shared" ca="1" si="37"/>
        <v/>
      </c>
      <c r="AV275" s="32" t="str" cm="1">
        <f t="array" aca="1" ref="AV275" ca="1">IFERROR(_xlfn.IFS($AU275="","",$AU275&lt;=15,"0-15",AND($AU275&gt;=16,$AU275&lt;=30),"16-30",AND($AU275&gt;=31,$AU275&lt;=45),"31-45",AND($AU275&gt;=46,$AU275&lt;=60),"46-60",AND($AU275&gt;=61,$AU275&lt;=90),"61-90",AND($AU275&gt;=91),"&gt; 90",AND($AU275&gt;=2000),""),"")</f>
        <v/>
      </c>
      <c r="AW275" s="32" t="str" cm="1">
        <f t="array" aca="1" ref="AW275" ca="1">IFERROR(_xlfn.IFS(OR($M275="",$AM275=""),"",OR($C275="Offered",$C275="Joined"),($AM275-$M275)-$AT275),"")</f>
        <v/>
      </c>
      <c r="AX275" s="32" t="str" cm="1">
        <f t="array" aca="1" ref="AX275" ca="1">IFERROR(_xlfn.IFS(OR($M275="",$AS275=""),"",$C275="Joined",($AS275-$M275)-$AT275),"")</f>
        <v/>
      </c>
      <c r="AY275" s="30" t="str">
        <f>IFERROR(IF(COUNTIFS('Candidate Tracker'!$E:$E,'Positions Tracker'!$B275,'Candidate Tracker'!$C:$C,"Offer Drop")=0,"",COUNTIFS('Candidate Tracker'!$E:$E,'Positions Tracker'!$B275,'Candidate Tracker'!$C:$C,"Offer Drop")),"")</f>
        <v/>
      </c>
      <c r="AZ2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5" s="34" t="str">
        <f>IFERROR(IF(COUNTIFS('Candidate Tracker'!$E:$E,'Positions Tracker'!$B275,'Candidate Tracker'!$I:$I,"Female")=0,"",COUNTIFS('Candidate Tracker'!$E:$E,'Positions Tracker'!$B275,'Candidate Tracker'!$I:$I,"Female")),"")</f>
        <v/>
      </c>
      <c r="BB275" s="34" t="str">
        <f>IFERROR(IF(COUNTIFS('Candidate Tracker'!$E:$E,'Positions Tracker'!$B275,'Candidate Tracker'!$I:$I,"male")=0,"",COUNTIFS('Candidate Tracker'!$E:$E,'Positions Tracker'!$B275,'Candidate Tracker'!$I:$I,"male")),"")</f>
        <v/>
      </c>
      <c r="BC275" s="33" t="str">
        <f>IFERROR(IF(COUNTIFS('Candidate Tracker'!$E:$E,'Positions Tracker'!$B275,'Candidate Tracker'!$C:$C,"&lt;&gt;WIP",'Candidate Tracker'!$C:$C,"&lt;&gt;Hold",'Candidate Tracker'!$C:$C,"&lt;&gt;Cancelled",'Candidate Tracker'!$C:$C,"&lt;&gt;Closed")/COUNTIFS('Candidate Tracker'!$E:$E,'Positions Tracker'!$B275)=0,"",COUNTIFS('Candidate Tracker'!$E:$E,'Positions Tracker'!$B275,'Candidate Tracker'!$C:$C,"&lt;&gt;WIP",'Candidate Tracker'!$C:$C,"&lt;&gt;Hold",'Candidate Tracker'!$C:$C,"&lt;&gt;Cancelled",'Candidate Tracker'!$C:$C,"&lt;&gt;Closed")/COUNTIFS('Candidate Tracker'!$E:$E,'Positions Tracker'!$B275)),"")</f>
        <v/>
      </c>
      <c r="BD275" s="30" t="str">
        <f t="shared" si="39"/>
        <v/>
      </c>
      <c r="BE275" s="30" t="str">
        <f t="shared" si="40"/>
        <v/>
      </c>
      <c r="BF275" s="30" t="str">
        <f t="shared" si="41"/>
        <v/>
      </c>
      <c r="BG275" s="30" t="str">
        <f t="shared" si="42"/>
        <v/>
      </c>
    </row>
    <row r="276" spans="1:59">
      <c r="A276" s="39"/>
      <c r="B276" s="39"/>
      <c r="C276" s="39"/>
      <c r="D276" s="39"/>
      <c r="E276" s="39"/>
      <c r="F276" s="39"/>
      <c r="G276" s="39"/>
      <c r="H276" s="39"/>
      <c r="I276" s="40"/>
      <c r="J276" s="40"/>
      <c r="K276" s="35"/>
      <c r="L276" s="35"/>
      <c r="M276" s="35"/>
      <c r="N276" s="39"/>
      <c r="O276" s="39"/>
      <c r="P276" s="39"/>
      <c r="Q276" s="39"/>
      <c r="R276" s="39"/>
      <c r="S276" s="39"/>
      <c r="T276" s="39"/>
      <c r="U276" s="39"/>
      <c r="V276" s="39"/>
      <c r="W276" s="39"/>
      <c r="X276" s="39"/>
      <c r="Y276" s="39"/>
      <c r="Z276" s="39"/>
      <c r="AA276" s="39"/>
      <c r="AB276" s="39"/>
      <c r="AC276" s="39"/>
      <c r="AD276" s="39"/>
      <c r="AE276" s="39"/>
      <c r="AF276" s="39"/>
      <c r="AG276" s="39"/>
      <c r="AH276" s="39"/>
      <c r="AI276" s="35"/>
      <c r="AJ276" s="39"/>
      <c r="AK276" s="39"/>
      <c r="AL276" s="39"/>
      <c r="AM276" s="35"/>
      <c r="AN276" s="35"/>
      <c r="AO276" s="39"/>
      <c r="AP276" s="39"/>
      <c r="AQ276" s="35"/>
      <c r="AR276" s="35"/>
      <c r="AS276" s="35"/>
      <c r="AT276" s="30">
        <f t="shared" ca="1" si="38"/>
        <v>0</v>
      </c>
      <c r="AU276" s="32" t="str">
        <f t="shared" ca="1" si="37"/>
        <v/>
      </c>
      <c r="AV276" s="32" t="str" cm="1">
        <f t="array" aca="1" ref="AV276" ca="1">IFERROR(_xlfn.IFS($AU276="","",$AU276&lt;=15,"0-15",AND($AU276&gt;=16,$AU276&lt;=30),"16-30",AND($AU276&gt;=31,$AU276&lt;=45),"31-45",AND($AU276&gt;=46,$AU276&lt;=60),"46-60",AND($AU276&gt;=61,$AU276&lt;=90),"61-90",AND($AU276&gt;=91),"&gt; 90",AND($AU276&gt;=2000),""),"")</f>
        <v/>
      </c>
      <c r="AW276" s="32" t="str" cm="1">
        <f t="array" aca="1" ref="AW276" ca="1">IFERROR(_xlfn.IFS(OR($M276="",$AM276=""),"",OR($C276="Offered",$C276="Joined"),($AM276-$M276)-$AT276),"")</f>
        <v/>
      </c>
      <c r="AX276" s="32" t="str" cm="1">
        <f t="array" aca="1" ref="AX276" ca="1">IFERROR(_xlfn.IFS(OR($M276="",$AS276=""),"",$C276="Joined",($AS276-$M276)-$AT276),"")</f>
        <v/>
      </c>
      <c r="AY276" s="30" t="str">
        <f>IFERROR(IF(COUNTIFS('Candidate Tracker'!$E:$E,'Positions Tracker'!$B276,'Candidate Tracker'!$C:$C,"Offer Drop")=0,"",COUNTIFS('Candidate Tracker'!$E:$E,'Positions Tracker'!$B276,'Candidate Tracker'!$C:$C,"Offer Drop")),"")</f>
        <v/>
      </c>
      <c r="AZ2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6" s="34" t="str">
        <f>IFERROR(IF(COUNTIFS('Candidate Tracker'!$E:$E,'Positions Tracker'!$B276,'Candidate Tracker'!$I:$I,"Female")=0,"",COUNTIFS('Candidate Tracker'!$E:$E,'Positions Tracker'!$B276,'Candidate Tracker'!$I:$I,"Female")),"")</f>
        <v/>
      </c>
      <c r="BB276" s="34" t="str">
        <f>IFERROR(IF(COUNTIFS('Candidate Tracker'!$E:$E,'Positions Tracker'!$B276,'Candidate Tracker'!$I:$I,"male")=0,"",COUNTIFS('Candidate Tracker'!$E:$E,'Positions Tracker'!$B276,'Candidate Tracker'!$I:$I,"male")),"")</f>
        <v/>
      </c>
      <c r="BC276" s="33" t="str">
        <f>IFERROR(IF(COUNTIFS('Candidate Tracker'!$E:$E,'Positions Tracker'!$B276,'Candidate Tracker'!$C:$C,"&lt;&gt;WIP",'Candidate Tracker'!$C:$C,"&lt;&gt;Hold",'Candidate Tracker'!$C:$C,"&lt;&gt;Cancelled",'Candidate Tracker'!$C:$C,"&lt;&gt;Closed")/COUNTIFS('Candidate Tracker'!$E:$E,'Positions Tracker'!$B276)=0,"",COUNTIFS('Candidate Tracker'!$E:$E,'Positions Tracker'!$B276,'Candidate Tracker'!$C:$C,"&lt;&gt;WIP",'Candidate Tracker'!$C:$C,"&lt;&gt;Hold",'Candidate Tracker'!$C:$C,"&lt;&gt;Cancelled",'Candidate Tracker'!$C:$C,"&lt;&gt;Closed")/COUNTIFS('Candidate Tracker'!$E:$E,'Positions Tracker'!$B276)),"")</f>
        <v/>
      </c>
      <c r="BD276" s="30" t="str">
        <f t="shared" si="39"/>
        <v/>
      </c>
      <c r="BE276" s="30" t="str">
        <f t="shared" si="40"/>
        <v/>
      </c>
      <c r="BF276" s="30" t="str">
        <f t="shared" si="41"/>
        <v/>
      </c>
      <c r="BG276" s="30" t="str">
        <f t="shared" si="42"/>
        <v/>
      </c>
    </row>
    <row r="277" spans="1:59">
      <c r="A277" s="39"/>
      <c r="B277" s="39"/>
      <c r="C277" s="39"/>
      <c r="D277" s="39"/>
      <c r="E277" s="39"/>
      <c r="F277" s="39"/>
      <c r="G277" s="39"/>
      <c r="H277" s="39"/>
      <c r="I277" s="40"/>
      <c r="J277" s="40"/>
      <c r="K277" s="35"/>
      <c r="L277" s="35"/>
      <c r="M277" s="35"/>
      <c r="N277" s="39"/>
      <c r="O277" s="39"/>
      <c r="P277" s="39"/>
      <c r="Q277" s="39"/>
      <c r="R277" s="39"/>
      <c r="S277" s="39"/>
      <c r="T277" s="39"/>
      <c r="U277" s="39"/>
      <c r="V277" s="39"/>
      <c r="W277" s="39"/>
      <c r="X277" s="39"/>
      <c r="Y277" s="39"/>
      <c r="Z277" s="39"/>
      <c r="AA277" s="39"/>
      <c r="AB277" s="39"/>
      <c r="AC277" s="39"/>
      <c r="AD277" s="39"/>
      <c r="AE277" s="39"/>
      <c r="AF277" s="39"/>
      <c r="AG277" s="39"/>
      <c r="AH277" s="39"/>
      <c r="AI277" s="35"/>
      <c r="AJ277" s="39"/>
      <c r="AK277" s="39"/>
      <c r="AL277" s="39"/>
      <c r="AM277" s="35"/>
      <c r="AN277" s="35"/>
      <c r="AO277" s="39"/>
      <c r="AP277" s="39"/>
      <c r="AQ277" s="35"/>
      <c r="AR277" s="35"/>
      <c r="AS277" s="35"/>
      <c r="AT277" s="30">
        <f t="shared" ca="1" si="38"/>
        <v>0</v>
      </c>
      <c r="AU277" s="32" t="str">
        <f t="shared" ca="1" si="37"/>
        <v/>
      </c>
      <c r="AV277" s="32" t="str" cm="1">
        <f t="array" aca="1" ref="AV277" ca="1">IFERROR(_xlfn.IFS($AU277="","",$AU277&lt;=15,"0-15",AND($AU277&gt;=16,$AU277&lt;=30),"16-30",AND($AU277&gt;=31,$AU277&lt;=45),"31-45",AND($AU277&gt;=46,$AU277&lt;=60),"46-60",AND($AU277&gt;=61,$AU277&lt;=90),"61-90",AND($AU277&gt;=91),"&gt; 90",AND($AU277&gt;=2000),""),"")</f>
        <v/>
      </c>
      <c r="AW277" s="32" t="str" cm="1">
        <f t="array" aca="1" ref="AW277" ca="1">IFERROR(_xlfn.IFS(OR($M277="",$AM277=""),"",OR($C277="Offered",$C277="Joined"),($AM277-$M277)-$AT277),"")</f>
        <v/>
      </c>
      <c r="AX277" s="32" t="str" cm="1">
        <f t="array" aca="1" ref="AX277" ca="1">IFERROR(_xlfn.IFS(OR($M277="",$AS277=""),"",$C277="Joined",($AS277-$M277)-$AT277),"")</f>
        <v/>
      </c>
      <c r="AY277" s="30" t="str">
        <f>IFERROR(IF(COUNTIFS('Candidate Tracker'!$E:$E,'Positions Tracker'!$B277,'Candidate Tracker'!$C:$C,"Offer Drop")=0,"",COUNTIFS('Candidate Tracker'!$E:$E,'Positions Tracker'!$B277,'Candidate Tracker'!$C:$C,"Offer Drop")),"")</f>
        <v/>
      </c>
      <c r="AZ2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7" s="34" t="str">
        <f>IFERROR(IF(COUNTIFS('Candidate Tracker'!$E:$E,'Positions Tracker'!$B277,'Candidate Tracker'!$I:$I,"Female")=0,"",COUNTIFS('Candidate Tracker'!$E:$E,'Positions Tracker'!$B277,'Candidate Tracker'!$I:$I,"Female")),"")</f>
        <v/>
      </c>
      <c r="BB277" s="34" t="str">
        <f>IFERROR(IF(COUNTIFS('Candidate Tracker'!$E:$E,'Positions Tracker'!$B277,'Candidate Tracker'!$I:$I,"male")=0,"",COUNTIFS('Candidate Tracker'!$E:$E,'Positions Tracker'!$B277,'Candidate Tracker'!$I:$I,"male")),"")</f>
        <v/>
      </c>
      <c r="BC277" s="33" t="str">
        <f>IFERROR(IF(COUNTIFS('Candidate Tracker'!$E:$E,'Positions Tracker'!$B277,'Candidate Tracker'!$C:$C,"&lt;&gt;WIP",'Candidate Tracker'!$C:$C,"&lt;&gt;Hold",'Candidate Tracker'!$C:$C,"&lt;&gt;Cancelled",'Candidate Tracker'!$C:$C,"&lt;&gt;Closed")/COUNTIFS('Candidate Tracker'!$E:$E,'Positions Tracker'!$B277)=0,"",COUNTIFS('Candidate Tracker'!$E:$E,'Positions Tracker'!$B277,'Candidate Tracker'!$C:$C,"&lt;&gt;WIP",'Candidate Tracker'!$C:$C,"&lt;&gt;Hold",'Candidate Tracker'!$C:$C,"&lt;&gt;Cancelled",'Candidate Tracker'!$C:$C,"&lt;&gt;Closed")/COUNTIFS('Candidate Tracker'!$E:$E,'Positions Tracker'!$B277)),"")</f>
        <v/>
      </c>
      <c r="BD277" s="30" t="str">
        <f t="shared" si="39"/>
        <v/>
      </c>
      <c r="BE277" s="30" t="str">
        <f t="shared" si="40"/>
        <v/>
      </c>
      <c r="BF277" s="30" t="str">
        <f t="shared" si="41"/>
        <v/>
      </c>
      <c r="BG277" s="30" t="str">
        <f t="shared" si="42"/>
        <v/>
      </c>
    </row>
    <row r="278" spans="1:59">
      <c r="A278" s="39"/>
      <c r="B278" s="39"/>
      <c r="C278" s="39"/>
      <c r="D278" s="39"/>
      <c r="E278" s="39"/>
      <c r="F278" s="39"/>
      <c r="G278" s="39"/>
      <c r="H278" s="39"/>
      <c r="I278" s="40"/>
      <c r="J278" s="40"/>
      <c r="K278" s="35"/>
      <c r="L278" s="35"/>
      <c r="M278" s="35"/>
      <c r="N278" s="39"/>
      <c r="O278" s="39"/>
      <c r="P278" s="39"/>
      <c r="Q278" s="39"/>
      <c r="R278" s="39"/>
      <c r="S278" s="39"/>
      <c r="T278" s="39"/>
      <c r="U278" s="39"/>
      <c r="V278" s="39"/>
      <c r="W278" s="39"/>
      <c r="X278" s="39"/>
      <c r="Y278" s="39"/>
      <c r="Z278" s="39"/>
      <c r="AA278" s="39"/>
      <c r="AB278" s="39"/>
      <c r="AC278" s="39"/>
      <c r="AD278" s="39"/>
      <c r="AE278" s="39"/>
      <c r="AF278" s="39"/>
      <c r="AG278" s="39"/>
      <c r="AH278" s="39"/>
      <c r="AI278" s="35"/>
      <c r="AJ278" s="39"/>
      <c r="AK278" s="39"/>
      <c r="AL278" s="39"/>
      <c r="AM278" s="35"/>
      <c r="AN278" s="35"/>
      <c r="AO278" s="39"/>
      <c r="AP278" s="39"/>
      <c r="AQ278" s="35"/>
      <c r="AR278" s="35"/>
      <c r="AS278" s="35"/>
      <c r="AT278" s="30">
        <f t="shared" ca="1" si="38"/>
        <v>0</v>
      </c>
      <c r="AU278" s="32" t="str">
        <f t="shared" ca="1" si="37"/>
        <v/>
      </c>
      <c r="AV278" s="32" t="str" cm="1">
        <f t="array" aca="1" ref="AV278" ca="1">IFERROR(_xlfn.IFS($AU278="","",$AU278&lt;=15,"0-15",AND($AU278&gt;=16,$AU278&lt;=30),"16-30",AND($AU278&gt;=31,$AU278&lt;=45),"31-45",AND($AU278&gt;=46,$AU278&lt;=60),"46-60",AND($AU278&gt;=61,$AU278&lt;=90),"61-90",AND($AU278&gt;=91),"&gt; 90",AND($AU278&gt;=2000),""),"")</f>
        <v/>
      </c>
      <c r="AW278" s="32" t="str" cm="1">
        <f t="array" aca="1" ref="AW278" ca="1">IFERROR(_xlfn.IFS(OR($M278="",$AM278=""),"",OR($C278="Offered",$C278="Joined"),($AM278-$M278)-$AT278),"")</f>
        <v/>
      </c>
      <c r="AX278" s="32" t="str" cm="1">
        <f t="array" aca="1" ref="AX278" ca="1">IFERROR(_xlfn.IFS(OR($M278="",$AS278=""),"",$C278="Joined",($AS278-$M278)-$AT278),"")</f>
        <v/>
      </c>
      <c r="AY278" s="30" t="str">
        <f>IFERROR(IF(COUNTIFS('Candidate Tracker'!$E:$E,'Positions Tracker'!$B278,'Candidate Tracker'!$C:$C,"Offer Drop")=0,"",COUNTIFS('Candidate Tracker'!$E:$E,'Positions Tracker'!$B278,'Candidate Tracker'!$C:$C,"Offer Drop")),"")</f>
        <v/>
      </c>
      <c r="AZ2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8" s="34" t="str">
        <f>IFERROR(IF(COUNTIFS('Candidate Tracker'!$E:$E,'Positions Tracker'!$B278,'Candidate Tracker'!$I:$I,"Female")=0,"",COUNTIFS('Candidate Tracker'!$E:$E,'Positions Tracker'!$B278,'Candidate Tracker'!$I:$I,"Female")),"")</f>
        <v/>
      </c>
      <c r="BB278" s="34" t="str">
        <f>IFERROR(IF(COUNTIFS('Candidate Tracker'!$E:$E,'Positions Tracker'!$B278,'Candidate Tracker'!$I:$I,"male")=0,"",COUNTIFS('Candidate Tracker'!$E:$E,'Positions Tracker'!$B278,'Candidate Tracker'!$I:$I,"male")),"")</f>
        <v/>
      </c>
      <c r="BC278" s="33" t="str">
        <f>IFERROR(IF(COUNTIFS('Candidate Tracker'!$E:$E,'Positions Tracker'!$B278,'Candidate Tracker'!$C:$C,"&lt;&gt;WIP",'Candidate Tracker'!$C:$C,"&lt;&gt;Hold",'Candidate Tracker'!$C:$C,"&lt;&gt;Cancelled",'Candidate Tracker'!$C:$C,"&lt;&gt;Closed")/COUNTIFS('Candidate Tracker'!$E:$E,'Positions Tracker'!$B278)=0,"",COUNTIFS('Candidate Tracker'!$E:$E,'Positions Tracker'!$B278,'Candidate Tracker'!$C:$C,"&lt;&gt;WIP",'Candidate Tracker'!$C:$C,"&lt;&gt;Hold",'Candidate Tracker'!$C:$C,"&lt;&gt;Cancelled",'Candidate Tracker'!$C:$C,"&lt;&gt;Closed")/COUNTIFS('Candidate Tracker'!$E:$E,'Positions Tracker'!$B278)),"")</f>
        <v/>
      </c>
      <c r="BD278" s="30" t="str">
        <f t="shared" si="39"/>
        <v/>
      </c>
      <c r="BE278" s="30" t="str">
        <f t="shared" si="40"/>
        <v/>
      </c>
      <c r="BF278" s="30" t="str">
        <f t="shared" si="41"/>
        <v/>
      </c>
      <c r="BG278" s="30" t="str">
        <f t="shared" si="42"/>
        <v/>
      </c>
    </row>
    <row r="279" spans="1:59">
      <c r="A279" s="39"/>
      <c r="B279" s="39"/>
      <c r="C279" s="39"/>
      <c r="D279" s="39"/>
      <c r="E279" s="39"/>
      <c r="F279" s="39"/>
      <c r="G279" s="39"/>
      <c r="H279" s="39"/>
      <c r="I279" s="40"/>
      <c r="J279" s="40"/>
      <c r="K279" s="35"/>
      <c r="L279" s="35"/>
      <c r="M279" s="35"/>
      <c r="N279" s="39"/>
      <c r="O279" s="39"/>
      <c r="P279" s="39"/>
      <c r="Q279" s="39"/>
      <c r="R279" s="39"/>
      <c r="S279" s="39"/>
      <c r="T279" s="39"/>
      <c r="U279" s="39"/>
      <c r="V279" s="39"/>
      <c r="W279" s="39"/>
      <c r="X279" s="39"/>
      <c r="Y279" s="39"/>
      <c r="Z279" s="39"/>
      <c r="AA279" s="39"/>
      <c r="AB279" s="39"/>
      <c r="AC279" s="39"/>
      <c r="AD279" s="39"/>
      <c r="AE279" s="39"/>
      <c r="AF279" s="39"/>
      <c r="AG279" s="39"/>
      <c r="AH279" s="39"/>
      <c r="AI279" s="35"/>
      <c r="AJ279" s="39"/>
      <c r="AK279" s="39"/>
      <c r="AL279" s="39"/>
      <c r="AM279" s="35"/>
      <c r="AN279" s="35"/>
      <c r="AO279" s="39"/>
      <c r="AP279" s="39"/>
      <c r="AQ279" s="35"/>
      <c r="AR279" s="35"/>
      <c r="AS279" s="35"/>
      <c r="AT279" s="30">
        <f t="shared" ca="1" si="38"/>
        <v>0</v>
      </c>
      <c r="AU279" s="32" t="str">
        <f t="shared" ca="1" si="37"/>
        <v/>
      </c>
      <c r="AV279" s="32" t="str" cm="1">
        <f t="array" aca="1" ref="AV279" ca="1">IFERROR(_xlfn.IFS($AU279="","",$AU279&lt;=15,"0-15",AND($AU279&gt;=16,$AU279&lt;=30),"16-30",AND($AU279&gt;=31,$AU279&lt;=45),"31-45",AND($AU279&gt;=46,$AU279&lt;=60),"46-60",AND($AU279&gt;=61,$AU279&lt;=90),"61-90",AND($AU279&gt;=91),"&gt; 90",AND($AU279&gt;=2000),""),"")</f>
        <v/>
      </c>
      <c r="AW279" s="32" t="str" cm="1">
        <f t="array" aca="1" ref="AW279" ca="1">IFERROR(_xlfn.IFS(OR($M279="",$AM279=""),"",OR($C279="Offered",$C279="Joined"),($AM279-$M279)-$AT279),"")</f>
        <v/>
      </c>
      <c r="AX279" s="32" t="str" cm="1">
        <f t="array" aca="1" ref="AX279" ca="1">IFERROR(_xlfn.IFS(OR($M279="",$AS279=""),"",$C279="Joined",($AS279-$M279)-$AT279),"")</f>
        <v/>
      </c>
      <c r="AY279" s="30" t="str">
        <f>IFERROR(IF(COUNTIFS('Candidate Tracker'!$E:$E,'Positions Tracker'!$B279,'Candidate Tracker'!$C:$C,"Offer Drop")=0,"",COUNTIFS('Candidate Tracker'!$E:$E,'Positions Tracker'!$B279,'Candidate Tracker'!$C:$C,"Offer Drop")),"")</f>
        <v/>
      </c>
      <c r="AZ2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79" s="34" t="str">
        <f>IFERROR(IF(COUNTIFS('Candidate Tracker'!$E:$E,'Positions Tracker'!$B279,'Candidate Tracker'!$I:$I,"Female")=0,"",COUNTIFS('Candidate Tracker'!$E:$E,'Positions Tracker'!$B279,'Candidate Tracker'!$I:$I,"Female")),"")</f>
        <v/>
      </c>
      <c r="BB279" s="34" t="str">
        <f>IFERROR(IF(COUNTIFS('Candidate Tracker'!$E:$E,'Positions Tracker'!$B279,'Candidate Tracker'!$I:$I,"male")=0,"",COUNTIFS('Candidate Tracker'!$E:$E,'Positions Tracker'!$B279,'Candidate Tracker'!$I:$I,"male")),"")</f>
        <v/>
      </c>
      <c r="BC279" s="33" t="str">
        <f>IFERROR(IF(COUNTIFS('Candidate Tracker'!$E:$E,'Positions Tracker'!$B279,'Candidate Tracker'!$C:$C,"&lt;&gt;WIP",'Candidate Tracker'!$C:$C,"&lt;&gt;Hold",'Candidate Tracker'!$C:$C,"&lt;&gt;Cancelled",'Candidate Tracker'!$C:$C,"&lt;&gt;Closed")/COUNTIFS('Candidate Tracker'!$E:$E,'Positions Tracker'!$B279)=0,"",COUNTIFS('Candidate Tracker'!$E:$E,'Positions Tracker'!$B279,'Candidate Tracker'!$C:$C,"&lt;&gt;WIP",'Candidate Tracker'!$C:$C,"&lt;&gt;Hold",'Candidate Tracker'!$C:$C,"&lt;&gt;Cancelled",'Candidate Tracker'!$C:$C,"&lt;&gt;Closed")/COUNTIFS('Candidate Tracker'!$E:$E,'Positions Tracker'!$B279)),"")</f>
        <v/>
      </c>
      <c r="BD279" s="30" t="str">
        <f t="shared" si="39"/>
        <v/>
      </c>
      <c r="BE279" s="30" t="str">
        <f t="shared" si="40"/>
        <v/>
      </c>
      <c r="BF279" s="30" t="str">
        <f t="shared" si="41"/>
        <v/>
      </c>
      <c r="BG279" s="30" t="str">
        <f t="shared" si="42"/>
        <v/>
      </c>
    </row>
    <row r="280" spans="1:59">
      <c r="A280" s="39"/>
      <c r="B280" s="39"/>
      <c r="C280" s="39"/>
      <c r="D280" s="39"/>
      <c r="E280" s="39"/>
      <c r="F280" s="39"/>
      <c r="G280" s="39"/>
      <c r="H280" s="39"/>
      <c r="I280" s="40"/>
      <c r="J280" s="40"/>
      <c r="K280" s="35"/>
      <c r="L280" s="35"/>
      <c r="M280" s="35"/>
      <c r="N280" s="39"/>
      <c r="O280" s="39"/>
      <c r="P280" s="39"/>
      <c r="Q280" s="39"/>
      <c r="R280" s="39"/>
      <c r="S280" s="39"/>
      <c r="T280" s="39"/>
      <c r="U280" s="39"/>
      <c r="V280" s="39"/>
      <c r="W280" s="39"/>
      <c r="X280" s="39"/>
      <c r="Y280" s="39"/>
      <c r="Z280" s="39"/>
      <c r="AA280" s="39"/>
      <c r="AB280" s="39"/>
      <c r="AC280" s="39"/>
      <c r="AD280" s="39"/>
      <c r="AE280" s="39"/>
      <c r="AF280" s="39"/>
      <c r="AG280" s="39"/>
      <c r="AH280" s="39"/>
      <c r="AI280" s="35"/>
      <c r="AJ280" s="39"/>
      <c r="AK280" s="39"/>
      <c r="AL280" s="39"/>
      <c r="AM280" s="35"/>
      <c r="AN280" s="35"/>
      <c r="AO280" s="39"/>
      <c r="AP280" s="39"/>
      <c r="AQ280" s="35"/>
      <c r="AR280" s="35"/>
      <c r="AS280" s="35"/>
      <c r="AT280" s="30">
        <f t="shared" ca="1" si="38"/>
        <v>0</v>
      </c>
      <c r="AU280" s="32" t="str">
        <f t="shared" ca="1" si="37"/>
        <v/>
      </c>
      <c r="AV280" s="32" t="str" cm="1">
        <f t="array" aca="1" ref="AV280" ca="1">IFERROR(_xlfn.IFS($AU280="","",$AU280&lt;=15,"0-15",AND($AU280&gt;=16,$AU280&lt;=30),"16-30",AND($AU280&gt;=31,$AU280&lt;=45),"31-45",AND($AU280&gt;=46,$AU280&lt;=60),"46-60",AND($AU280&gt;=61,$AU280&lt;=90),"61-90",AND($AU280&gt;=91),"&gt; 90",AND($AU280&gt;=2000),""),"")</f>
        <v/>
      </c>
      <c r="AW280" s="32" t="str" cm="1">
        <f t="array" aca="1" ref="AW280" ca="1">IFERROR(_xlfn.IFS(OR($M280="",$AM280=""),"",OR($C280="Offered",$C280="Joined"),($AM280-$M280)-$AT280),"")</f>
        <v/>
      </c>
      <c r="AX280" s="32" t="str" cm="1">
        <f t="array" aca="1" ref="AX280" ca="1">IFERROR(_xlfn.IFS(OR($M280="",$AS280=""),"",$C280="Joined",($AS280-$M280)-$AT280),"")</f>
        <v/>
      </c>
      <c r="AY280" s="30" t="str">
        <f>IFERROR(IF(COUNTIFS('Candidate Tracker'!$E:$E,'Positions Tracker'!$B280,'Candidate Tracker'!$C:$C,"Offer Drop")=0,"",COUNTIFS('Candidate Tracker'!$E:$E,'Positions Tracker'!$B280,'Candidate Tracker'!$C:$C,"Offer Drop")),"")</f>
        <v/>
      </c>
      <c r="AZ2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0" s="34" t="str">
        <f>IFERROR(IF(COUNTIFS('Candidate Tracker'!$E:$E,'Positions Tracker'!$B280,'Candidate Tracker'!$I:$I,"Female")=0,"",COUNTIFS('Candidate Tracker'!$E:$E,'Positions Tracker'!$B280,'Candidate Tracker'!$I:$I,"Female")),"")</f>
        <v/>
      </c>
      <c r="BB280" s="34" t="str">
        <f>IFERROR(IF(COUNTIFS('Candidate Tracker'!$E:$E,'Positions Tracker'!$B280,'Candidate Tracker'!$I:$I,"male")=0,"",COUNTIFS('Candidate Tracker'!$E:$E,'Positions Tracker'!$B280,'Candidate Tracker'!$I:$I,"male")),"")</f>
        <v/>
      </c>
      <c r="BC280" s="33" t="str">
        <f>IFERROR(IF(COUNTIFS('Candidate Tracker'!$E:$E,'Positions Tracker'!$B280,'Candidate Tracker'!$C:$C,"&lt;&gt;WIP",'Candidate Tracker'!$C:$C,"&lt;&gt;Hold",'Candidate Tracker'!$C:$C,"&lt;&gt;Cancelled",'Candidate Tracker'!$C:$C,"&lt;&gt;Closed")/COUNTIFS('Candidate Tracker'!$E:$E,'Positions Tracker'!$B280)=0,"",COUNTIFS('Candidate Tracker'!$E:$E,'Positions Tracker'!$B280,'Candidate Tracker'!$C:$C,"&lt;&gt;WIP",'Candidate Tracker'!$C:$C,"&lt;&gt;Hold",'Candidate Tracker'!$C:$C,"&lt;&gt;Cancelled",'Candidate Tracker'!$C:$C,"&lt;&gt;Closed")/COUNTIFS('Candidate Tracker'!$E:$E,'Positions Tracker'!$B280)),"")</f>
        <v/>
      </c>
      <c r="BD280" s="30" t="str">
        <f t="shared" si="39"/>
        <v/>
      </c>
      <c r="BE280" s="30" t="str">
        <f t="shared" si="40"/>
        <v/>
      </c>
      <c r="BF280" s="30" t="str">
        <f t="shared" si="41"/>
        <v/>
      </c>
      <c r="BG280" s="30" t="str">
        <f t="shared" si="42"/>
        <v/>
      </c>
    </row>
    <row r="281" spans="1:59">
      <c r="A281" s="39"/>
      <c r="B281" s="39"/>
      <c r="C281" s="39"/>
      <c r="D281" s="39"/>
      <c r="E281" s="39"/>
      <c r="F281" s="39"/>
      <c r="G281" s="39"/>
      <c r="H281" s="39"/>
      <c r="I281" s="40"/>
      <c r="J281" s="40"/>
      <c r="K281" s="35"/>
      <c r="L281" s="35"/>
      <c r="M281" s="35"/>
      <c r="N281" s="39"/>
      <c r="O281" s="39"/>
      <c r="P281" s="39"/>
      <c r="Q281" s="39"/>
      <c r="R281" s="39"/>
      <c r="S281" s="39"/>
      <c r="T281" s="39"/>
      <c r="U281" s="39"/>
      <c r="V281" s="39"/>
      <c r="W281" s="39"/>
      <c r="X281" s="39"/>
      <c r="Y281" s="39"/>
      <c r="Z281" s="39"/>
      <c r="AA281" s="39"/>
      <c r="AB281" s="39"/>
      <c r="AC281" s="39"/>
      <c r="AD281" s="39"/>
      <c r="AE281" s="39"/>
      <c r="AF281" s="39"/>
      <c r="AG281" s="39"/>
      <c r="AH281" s="39"/>
      <c r="AI281" s="35"/>
      <c r="AJ281" s="39"/>
      <c r="AK281" s="39"/>
      <c r="AL281" s="39"/>
      <c r="AM281" s="35"/>
      <c r="AN281" s="35"/>
      <c r="AO281" s="39"/>
      <c r="AP281" s="39"/>
      <c r="AQ281" s="35"/>
      <c r="AR281" s="35"/>
      <c r="AS281" s="35"/>
      <c r="AT281" s="30">
        <f t="shared" ca="1" si="38"/>
        <v>0</v>
      </c>
      <c r="AU281" s="32" t="str">
        <f t="shared" ca="1" si="37"/>
        <v/>
      </c>
      <c r="AV281" s="32" t="str" cm="1">
        <f t="array" aca="1" ref="AV281" ca="1">IFERROR(_xlfn.IFS($AU281="","",$AU281&lt;=15,"0-15",AND($AU281&gt;=16,$AU281&lt;=30),"16-30",AND($AU281&gt;=31,$AU281&lt;=45),"31-45",AND($AU281&gt;=46,$AU281&lt;=60),"46-60",AND($AU281&gt;=61,$AU281&lt;=90),"61-90",AND($AU281&gt;=91),"&gt; 90",AND($AU281&gt;=2000),""),"")</f>
        <v/>
      </c>
      <c r="AW281" s="32" t="str" cm="1">
        <f t="array" aca="1" ref="AW281" ca="1">IFERROR(_xlfn.IFS(OR($M281="",$AM281=""),"",OR($C281="Offered",$C281="Joined"),($AM281-$M281)-$AT281),"")</f>
        <v/>
      </c>
      <c r="AX281" s="32" t="str" cm="1">
        <f t="array" aca="1" ref="AX281" ca="1">IFERROR(_xlfn.IFS(OR($M281="",$AS281=""),"",$C281="Joined",($AS281-$M281)-$AT281),"")</f>
        <v/>
      </c>
      <c r="AY281" s="30" t="str">
        <f>IFERROR(IF(COUNTIFS('Candidate Tracker'!$E:$E,'Positions Tracker'!$B281,'Candidate Tracker'!$C:$C,"Offer Drop")=0,"",COUNTIFS('Candidate Tracker'!$E:$E,'Positions Tracker'!$B281,'Candidate Tracker'!$C:$C,"Offer Drop")),"")</f>
        <v/>
      </c>
      <c r="AZ2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1" s="34" t="str">
        <f>IFERROR(IF(COUNTIFS('Candidate Tracker'!$E:$E,'Positions Tracker'!$B281,'Candidate Tracker'!$I:$I,"Female")=0,"",COUNTIFS('Candidate Tracker'!$E:$E,'Positions Tracker'!$B281,'Candidate Tracker'!$I:$I,"Female")),"")</f>
        <v/>
      </c>
      <c r="BB281" s="34" t="str">
        <f>IFERROR(IF(COUNTIFS('Candidate Tracker'!$E:$E,'Positions Tracker'!$B281,'Candidate Tracker'!$I:$I,"male")=0,"",COUNTIFS('Candidate Tracker'!$E:$E,'Positions Tracker'!$B281,'Candidate Tracker'!$I:$I,"male")),"")</f>
        <v/>
      </c>
      <c r="BC281" s="33" t="str">
        <f>IFERROR(IF(COUNTIFS('Candidate Tracker'!$E:$E,'Positions Tracker'!$B281,'Candidate Tracker'!$C:$C,"&lt;&gt;WIP",'Candidate Tracker'!$C:$C,"&lt;&gt;Hold",'Candidate Tracker'!$C:$C,"&lt;&gt;Cancelled",'Candidate Tracker'!$C:$C,"&lt;&gt;Closed")/COUNTIFS('Candidate Tracker'!$E:$E,'Positions Tracker'!$B281)=0,"",COUNTIFS('Candidate Tracker'!$E:$E,'Positions Tracker'!$B281,'Candidate Tracker'!$C:$C,"&lt;&gt;WIP",'Candidate Tracker'!$C:$C,"&lt;&gt;Hold",'Candidate Tracker'!$C:$C,"&lt;&gt;Cancelled",'Candidate Tracker'!$C:$C,"&lt;&gt;Closed")/COUNTIFS('Candidate Tracker'!$E:$E,'Positions Tracker'!$B281)),"")</f>
        <v/>
      </c>
      <c r="BD281" s="30" t="str">
        <f t="shared" si="39"/>
        <v/>
      </c>
      <c r="BE281" s="30" t="str">
        <f t="shared" si="40"/>
        <v/>
      </c>
      <c r="BF281" s="30" t="str">
        <f t="shared" si="41"/>
        <v/>
      </c>
      <c r="BG281" s="30" t="str">
        <f t="shared" si="42"/>
        <v/>
      </c>
    </row>
    <row r="282" spans="1:59">
      <c r="A282" s="39"/>
      <c r="B282" s="39"/>
      <c r="C282" s="39"/>
      <c r="D282" s="39"/>
      <c r="E282" s="39"/>
      <c r="F282" s="39"/>
      <c r="G282" s="39"/>
      <c r="H282" s="39"/>
      <c r="I282" s="40"/>
      <c r="J282" s="40"/>
      <c r="K282" s="35"/>
      <c r="L282" s="35"/>
      <c r="M282" s="35"/>
      <c r="N282" s="39"/>
      <c r="O282" s="39"/>
      <c r="P282" s="39"/>
      <c r="Q282" s="39"/>
      <c r="R282" s="39"/>
      <c r="S282" s="39"/>
      <c r="T282" s="39"/>
      <c r="U282" s="39"/>
      <c r="V282" s="39"/>
      <c r="W282" s="39"/>
      <c r="X282" s="39"/>
      <c r="Y282" s="39"/>
      <c r="Z282" s="39"/>
      <c r="AA282" s="39"/>
      <c r="AB282" s="39"/>
      <c r="AC282" s="39"/>
      <c r="AD282" s="39"/>
      <c r="AE282" s="39"/>
      <c r="AF282" s="39"/>
      <c r="AG282" s="39"/>
      <c r="AH282" s="39"/>
      <c r="AI282" s="35"/>
      <c r="AJ282" s="39"/>
      <c r="AK282" s="39"/>
      <c r="AL282" s="39"/>
      <c r="AM282" s="35"/>
      <c r="AN282" s="35"/>
      <c r="AO282" s="39"/>
      <c r="AP282" s="39"/>
      <c r="AQ282" s="35"/>
      <c r="AR282" s="35"/>
      <c r="AS282" s="35"/>
      <c r="AT282" s="30">
        <f t="shared" ca="1" si="38"/>
        <v>0</v>
      </c>
      <c r="AU282" s="32" t="str">
        <f t="shared" ca="1" si="37"/>
        <v/>
      </c>
      <c r="AV282" s="32" t="str" cm="1">
        <f t="array" aca="1" ref="AV282" ca="1">IFERROR(_xlfn.IFS($AU282="","",$AU282&lt;=15,"0-15",AND($AU282&gt;=16,$AU282&lt;=30),"16-30",AND($AU282&gt;=31,$AU282&lt;=45),"31-45",AND($AU282&gt;=46,$AU282&lt;=60),"46-60",AND($AU282&gt;=61,$AU282&lt;=90),"61-90",AND($AU282&gt;=91),"&gt; 90",AND($AU282&gt;=2000),""),"")</f>
        <v/>
      </c>
      <c r="AW282" s="32" t="str" cm="1">
        <f t="array" aca="1" ref="AW282" ca="1">IFERROR(_xlfn.IFS(OR($M282="",$AM282=""),"",OR($C282="Offered",$C282="Joined"),($AM282-$M282)-$AT282),"")</f>
        <v/>
      </c>
      <c r="AX282" s="32" t="str" cm="1">
        <f t="array" aca="1" ref="AX282" ca="1">IFERROR(_xlfn.IFS(OR($M282="",$AS282=""),"",$C282="Joined",($AS282-$M282)-$AT282),"")</f>
        <v/>
      </c>
      <c r="AY282" s="30" t="str">
        <f>IFERROR(IF(COUNTIFS('Candidate Tracker'!$E:$E,'Positions Tracker'!$B282,'Candidate Tracker'!$C:$C,"Offer Drop")=0,"",COUNTIFS('Candidate Tracker'!$E:$E,'Positions Tracker'!$B282,'Candidate Tracker'!$C:$C,"Offer Drop")),"")</f>
        <v/>
      </c>
      <c r="AZ2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2" s="34" t="str">
        <f>IFERROR(IF(COUNTIFS('Candidate Tracker'!$E:$E,'Positions Tracker'!$B282,'Candidate Tracker'!$I:$I,"Female")=0,"",COUNTIFS('Candidate Tracker'!$E:$E,'Positions Tracker'!$B282,'Candidate Tracker'!$I:$I,"Female")),"")</f>
        <v/>
      </c>
      <c r="BB282" s="34" t="str">
        <f>IFERROR(IF(COUNTIFS('Candidate Tracker'!$E:$E,'Positions Tracker'!$B282,'Candidate Tracker'!$I:$I,"male")=0,"",COUNTIFS('Candidate Tracker'!$E:$E,'Positions Tracker'!$B282,'Candidate Tracker'!$I:$I,"male")),"")</f>
        <v/>
      </c>
      <c r="BC282" s="33" t="str">
        <f>IFERROR(IF(COUNTIFS('Candidate Tracker'!$E:$E,'Positions Tracker'!$B282,'Candidate Tracker'!$C:$C,"&lt;&gt;WIP",'Candidate Tracker'!$C:$C,"&lt;&gt;Hold",'Candidate Tracker'!$C:$C,"&lt;&gt;Cancelled",'Candidate Tracker'!$C:$C,"&lt;&gt;Closed")/COUNTIFS('Candidate Tracker'!$E:$E,'Positions Tracker'!$B282)=0,"",COUNTIFS('Candidate Tracker'!$E:$E,'Positions Tracker'!$B282,'Candidate Tracker'!$C:$C,"&lt;&gt;WIP",'Candidate Tracker'!$C:$C,"&lt;&gt;Hold",'Candidate Tracker'!$C:$C,"&lt;&gt;Cancelled",'Candidate Tracker'!$C:$C,"&lt;&gt;Closed")/COUNTIFS('Candidate Tracker'!$E:$E,'Positions Tracker'!$B282)),"")</f>
        <v/>
      </c>
      <c r="BD282" s="30" t="str">
        <f t="shared" si="39"/>
        <v/>
      </c>
      <c r="BE282" s="30" t="str">
        <f t="shared" si="40"/>
        <v/>
      </c>
      <c r="BF282" s="30" t="str">
        <f t="shared" si="41"/>
        <v/>
      </c>
      <c r="BG282" s="30" t="str">
        <f t="shared" si="42"/>
        <v/>
      </c>
    </row>
    <row r="283" spans="1:59">
      <c r="A283" s="39"/>
      <c r="B283" s="39"/>
      <c r="C283" s="39"/>
      <c r="D283" s="39"/>
      <c r="E283" s="39"/>
      <c r="F283" s="39"/>
      <c r="G283" s="39"/>
      <c r="H283" s="39"/>
      <c r="I283" s="40"/>
      <c r="J283" s="40"/>
      <c r="K283" s="35"/>
      <c r="L283" s="35"/>
      <c r="M283" s="35"/>
      <c r="N283" s="39"/>
      <c r="O283" s="39"/>
      <c r="P283" s="39"/>
      <c r="Q283" s="39"/>
      <c r="R283" s="39"/>
      <c r="S283" s="39"/>
      <c r="T283" s="39"/>
      <c r="U283" s="39"/>
      <c r="V283" s="39"/>
      <c r="W283" s="39"/>
      <c r="X283" s="39"/>
      <c r="Y283" s="39"/>
      <c r="Z283" s="39"/>
      <c r="AA283" s="39"/>
      <c r="AB283" s="39"/>
      <c r="AC283" s="39"/>
      <c r="AD283" s="39"/>
      <c r="AE283" s="39"/>
      <c r="AF283" s="39"/>
      <c r="AG283" s="39"/>
      <c r="AH283" s="39"/>
      <c r="AI283" s="35"/>
      <c r="AJ283" s="39"/>
      <c r="AK283" s="39"/>
      <c r="AL283" s="39"/>
      <c r="AM283" s="35"/>
      <c r="AN283" s="35"/>
      <c r="AO283" s="39"/>
      <c r="AP283" s="39"/>
      <c r="AQ283" s="35"/>
      <c r="AR283" s="35"/>
      <c r="AS283" s="35"/>
      <c r="AT283" s="30">
        <f t="shared" ca="1" si="38"/>
        <v>0</v>
      </c>
      <c r="AU283" s="32" t="str">
        <f t="shared" ca="1" si="37"/>
        <v/>
      </c>
      <c r="AV283" s="32" t="str" cm="1">
        <f t="array" aca="1" ref="AV283" ca="1">IFERROR(_xlfn.IFS($AU283="","",$AU283&lt;=15,"0-15",AND($AU283&gt;=16,$AU283&lt;=30),"16-30",AND($AU283&gt;=31,$AU283&lt;=45),"31-45",AND($AU283&gt;=46,$AU283&lt;=60),"46-60",AND($AU283&gt;=61,$AU283&lt;=90),"61-90",AND($AU283&gt;=91),"&gt; 90",AND($AU283&gt;=2000),""),"")</f>
        <v/>
      </c>
      <c r="AW283" s="32" t="str" cm="1">
        <f t="array" aca="1" ref="AW283" ca="1">IFERROR(_xlfn.IFS(OR($M283="",$AM283=""),"",OR($C283="Offered",$C283="Joined"),($AM283-$M283)-$AT283),"")</f>
        <v/>
      </c>
      <c r="AX283" s="32" t="str" cm="1">
        <f t="array" aca="1" ref="AX283" ca="1">IFERROR(_xlfn.IFS(OR($M283="",$AS283=""),"",$C283="Joined",($AS283-$M283)-$AT283),"")</f>
        <v/>
      </c>
      <c r="AY283" s="30" t="str">
        <f>IFERROR(IF(COUNTIFS('Candidate Tracker'!$E:$E,'Positions Tracker'!$B283,'Candidate Tracker'!$C:$C,"Offer Drop")=0,"",COUNTIFS('Candidate Tracker'!$E:$E,'Positions Tracker'!$B283,'Candidate Tracker'!$C:$C,"Offer Drop")),"")</f>
        <v/>
      </c>
      <c r="AZ2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3" s="34" t="str">
        <f>IFERROR(IF(COUNTIFS('Candidate Tracker'!$E:$E,'Positions Tracker'!$B283,'Candidate Tracker'!$I:$I,"Female")=0,"",COUNTIFS('Candidate Tracker'!$E:$E,'Positions Tracker'!$B283,'Candidate Tracker'!$I:$I,"Female")),"")</f>
        <v/>
      </c>
      <c r="BB283" s="34" t="str">
        <f>IFERROR(IF(COUNTIFS('Candidate Tracker'!$E:$E,'Positions Tracker'!$B283,'Candidate Tracker'!$I:$I,"male")=0,"",COUNTIFS('Candidate Tracker'!$E:$E,'Positions Tracker'!$B283,'Candidate Tracker'!$I:$I,"male")),"")</f>
        <v/>
      </c>
      <c r="BC283" s="33" t="str">
        <f>IFERROR(IF(COUNTIFS('Candidate Tracker'!$E:$E,'Positions Tracker'!$B283,'Candidate Tracker'!$C:$C,"&lt;&gt;WIP",'Candidate Tracker'!$C:$C,"&lt;&gt;Hold",'Candidate Tracker'!$C:$C,"&lt;&gt;Cancelled",'Candidate Tracker'!$C:$C,"&lt;&gt;Closed")/COUNTIFS('Candidate Tracker'!$E:$E,'Positions Tracker'!$B283)=0,"",COUNTIFS('Candidate Tracker'!$E:$E,'Positions Tracker'!$B283,'Candidate Tracker'!$C:$C,"&lt;&gt;WIP",'Candidate Tracker'!$C:$C,"&lt;&gt;Hold",'Candidate Tracker'!$C:$C,"&lt;&gt;Cancelled",'Candidate Tracker'!$C:$C,"&lt;&gt;Closed")/COUNTIFS('Candidate Tracker'!$E:$E,'Positions Tracker'!$B283)),"")</f>
        <v/>
      </c>
      <c r="BD283" s="30" t="str">
        <f t="shared" si="39"/>
        <v/>
      </c>
      <c r="BE283" s="30" t="str">
        <f t="shared" si="40"/>
        <v/>
      </c>
      <c r="BF283" s="30" t="str">
        <f t="shared" si="41"/>
        <v/>
      </c>
      <c r="BG283" s="30" t="str">
        <f t="shared" si="42"/>
        <v/>
      </c>
    </row>
    <row r="284" spans="1:59">
      <c r="A284" s="39"/>
      <c r="B284" s="39"/>
      <c r="C284" s="39"/>
      <c r="D284" s="39"/>
      <c r="E284" s="39"/>
      <c r="F284" s="39"/>
      <c r="G284" s="39"/>
      <c r="H284" s="39"/>
      <c r="I284" s="40"/>
      <c r="J284" s="40"/>
      <c r="K284" s="35"/>
      <c r="L284" s="35"/>
      <c r="M284" s="35"/>
      <c r="N284" s="39"/>
      <c r="O284" s="39"/>
      <c r="P284" s="39"/>
      <c r="Q284" s="39"/>
      <c r="R284" s="39"/>
      <c r="S284" s="39"/>
      <c r="T284" s="39"/>
      <c r="U284" s="39"/>
      <c r="V284" s="39"/>
      <c r="W284" s="39"/>
      <c r="X284" s="39"/>
      <c r="Y284" s="39"/>
      <c r="Z284" s="39"/>
      <c r="AA284" s="39"/>
      <c r="AB284" s="39"/>
      <c r="AC284" s="39"/>
      <c r="AD284" s="39"/>
      <c r="AE284" s="39"/>
      <c r="AF284" s="39"/>
      <c r="AG284" s="39"/>
      <c r="AH284" s="39"/>
      <c r="AI284" s="35"/>
      <c r="AJ284" s="39"/>
      <c r="AK284" s="39"/>
      <c r="AL284" s="39"/>
      <c r="AM284" s="35"/>
      <c r="AN284" s="35"/>
      <c r="AO284" s="39"/>
      <c r="AP284" s="39"/>
      <c r="AQ284" s="35"/>
      <c r="AR284" s="35"/>
      <c r="AS284" s="35"/>
      <c r="AT284" s="30">
        <f t="shared" ca="1" si="38"/>
        <v>0</v>
      </c>
      <c r="AU284" s="32" t="str">
        <f t="shared" ca="1" si="37"/>
        <v/>
      </c>
      <c r="AV284" s="32" t="str" cm="1">
        <f t="array" aca="1" ref="AV284" ca="1">IFERROR(_xlfn.IFS($AU284="","",$AU284&lt;=15,"0-15",AND($AU284&gt;=16,$AU284&lt;=30),"16-30",AND($AU284&gt;=31,$AU284&lt;=45),"31-45",AND($AU284&gt;=46,$AU284&lt;=60),"46-60",AND($AU284&gt;=61,$AU284&lt;=90),"61-90",AND($AU284&gt;=91),"&gt; 90",AND($AU284&gt;=2000),""),"")</f>
        <v/>
      </c>
      <c r="AW284" s="32" t="str" cm="1">
        <f t="array" aca="1" ref="AW284" ca="1">IFERROR(_xlfn.IFS(OR($M284="",$AM284=""),"",OR($C284="Offered",$C284="Joined"),($AM284-$M284)-$AT284),"")</f>
        <v/>
      </c>
      <c r="AX284" s="32" t="str" cm="1">
        <f t="array" aca="1" ref="AX284" ca="1">IFERROR(_xlfn.IFS(OR($M284="",$AS284=""),"",$C284="Joined",($AS284-$M284)-$AT284),"")</f>
        <v/>
      </c>
      <c r="AY284" s="30" t="str">
        <f>IFERROR(IF(COUNTIFS('Candidate Tracker'!$E:$E,'Positions Tracker'!$B284,'Candidate Tracker'!$C:$C,"Offer Drop")=0,"",COUNTIFS('Candidate Tracker'!$E:$E,'Positions Tracker'!$B284,'Candidate Tracker'!$C:$C,"Offer Drop")),"")</f>
        <v/>
      </c>
      <c r="AZ2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4" s="34" t="str">
        <f>IFERROR(IF(COUNTIFS('Candidate Tracker'!$E:$E,'Positions Tracker'!$B284,'Candidate Tracker'!$I:$I,"Female")=0,"",COUNTIFS('Candidate Tracker'!$E:$E,'Positions Tracker'!$B284,'Candidate Tracker'!$I:$I,"Female")),"")</f>
        <v/>
      </c>
      <c r="BB284" s="34" t="str">
        <f>IFERROR(IF(COUNTIFS('Candidate Tracker'!$E:$E,'Positions Tracker'!$B284,'Candidate Tracker'!$I:$I,"male")=0,"",COUNTIFS('Candidate Tracker'!$E:$E,'Positions Tracker'!$B284,'Candidate Tracker'!$I:$I,"male")),"")</f>
        <v/>
      </c>
      <c r="BC284" s="33" t="str">
        <f>IFERROR(IF(COUNTIFS('Candidate Tracker'!$E:$E,'Positions Tracker'!$B284,'Candidate Tracker'!$C:$C,"&lt;&gt;WIP",'Candidate Tracker'!$C:$C,"&lt;&gt;Hold",'Candidate Tracker'!$C:$C,"&lt;&gt;Cancelled",'Candidate Tracker'!$C:$C,"&lt;&gt;Closed")/COUNTIFS('Candidate Tracker'!$E:$E,'Positions Tracker'!$B284)=0,"",COUNTIFS('Candidate Tracker'!$E:$E,'Positions Tracker'!$B284,'Candidate Tracker'!$C:$C,"&lt;&gt;WIP",'Candidate Tracker'!$C:$C,"&lt;&gt;Hold",'Candidate Tracker'!$C:$C,"&lt;&gt;Cancelled",'Candidate Tracker'!$C:$C,"&lt;&gt;Closed")/COUNTIFS('Candidate Tracker'!$E:$E,'Positions Tracker'!$B284)),"")</f>
        <v/>
      </c>
      <c r="BD284" s="30" t="str">
        <f t="shared" si="39"/>
        <v/>
      </c>
      <c r="BE284" s="30" t="str">
        <f t="shared" si="40"/>
        <v/>
      </c>
      <c r="BF284" s="30" t="str">
        <f t="shared" si="41"/>
        <v/>
      </c>
      <c r="BG284" s="30" t="str">
        <f t="shared" si="42"/>
        <v/>
      </c>
    </row>
    <row r="285" spans="1:59">
      <c r="A285" s="39"/>
      <c r="B285" s="39"/>
      <c r="C285" s="39"/>
      <c r="D285" s="39"/>
      <c r="E285" s="39"/>
      <c r="F285" s="39"/>
      <c r="G285" s="39"/>
      <c r="H285" s="39"/>
      <c r="I285" s="40"/>
      <c r="J285" s="40"/>
      <c r="K285" s="35"/>
      <c r="L285" s="35"/>
      <c r="M285" s="35"/>
      <c r="N285" s="39"/>
      <c r="O285" s="39"/>
      <c r="P285" s="39"/>
      <c r="Q285" s="39"/>
      <c r="R285" s="39"/>
      <c r="S285" s="39"/>
      <c r="T285" s="39"/>
      <c r="U285" s="39"/>
      <c r="V285" s="39"/>
      <c r="W285" s="39"/>
      <c r="X285" s="39"/>
      <c r="Y285" s="39"/>
      <c r="Z285" s="39"/>
      <c r="AA285" s="39"/>
      <c r="AB285" s="39"/>
      <c r="AC285" s="39"/>
      <c r="AD285" s="39"/>
      <c r="AE285" s="39"/>
      <c r="AF285" s="39"/>
      <c r="AG285" s="39"/>
      <c r="AH285" s="39"/>
      <c r="AI285" s="35"/>
      <c r="AJ285" s="39"/>
      <c r="AK285" s="39"/>
      <c r="AL285" s="39"/>
      <c r="AM285" s="35"/>
      <c r="AN285" s="35"/>
      <c r="AO285" s="39"/>
      <c r="AP285" s="39"/>
      <c r="AQ285" s="35"/>
      <c r="AR285" s="35"/>
      <c r="AS285" s="35"/>
      <c r="AT285" s="30">
        <f t="shared" ca="1" si="38"/>
        <v>0</v>
      </c>
      <c r="AU285" s="32" t="str">
        <f t="shared" ca="1" si="37"/>
        <v/>
      </c>
      <c r="AV285" s="32" t="str" cm="1">
        <f t="array" aca="1" ref="AV285" ca="1">IFERROR(_xlfn.IFS($AU285="","",$AU285&lt;=15,"0-15",AND($AU285&gt;=16,$AU285&lt;=30),"16-30",AND($AU285&gt;=31,$AU285&lt;=45),"31-45",AND($AU285&gt;=46,$AU285&lt;=60),"46-60",AND($AU285&gt;=61,$AU285&lt;=90),"61-90",AND($AU285&gt;=91),"&gt; 90",AND($AU285&gt;=2000),""),"")</f>
        <v/>
      </c>
      <c r="AW285" s="32" t="str" cm="1">
        <f t="array" aca="1" ref="AW285" ca="1">IFERROR(_xlfn.IFS(OR($M285="",$AM285=""),"",OR($C285="Offered",$C285="Joined"),($AM285-$M285)-$AT285),"")</f>
        <v/>
      </c>
      <c r="AX285" s="32" t="str" cm="1">
        <f t="array" aca="1" ref="AX285" ca="1">IFERROR(_xlfn.IFS(OR($M285="",$AS285=""),"",$C285="Joined",($AS285-$M285)-$AT285),"")</f>
        <v/>
      </c>
      <c r="AY285" s="30" t="str">
        <f>IFERROR(IF(COUNTIFS('Candidate Tracker'!$E:$E,'Positions Tracker'!$B285,'Candidate Tracker'!$C:$C,"Offer Drop")=0,"",COUNTIFS('Candidate Tracker'!$E:$E,'Positions Tracker'!$B285,'Candidate Tracker'!$C:$C,"Offer Drop")),"")</f>
        <v/>
      </c>
      <c r="AZ2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5" s="34" t="str">
        <f>IFERROR(IF(COUNTIFS('Candidate Tracker'!$E:$E,'Positions Tracker'!$B285,'Candidate Tracker'!$I:$I,"Female")=0,"",COUNTIFS('Candidate Tracker'!$E:$E,'Positions Tracker'!$B285,'Candidate Tracker'!$I:$I,"Female")),"")</f>
        <v/>
      </c>
      <c r="BB285" s="34" t="str">
        <f>IFERROR(IF(COUNTIFS('Candidate Tracker'!$E:$E,'Positions Tracker'!$B285,'Candidate Tracker'!$I:$I,"male")=0,"",COUNTIFS('Candidate Tracker'!$E:$E,'Positions Tracker'!$B285,'Candidate Tracker'!$I:$I,"male")),"")</f>
        <v/>
      </c>
      <c r="BC285" s="33" t="str">
        <f>IFERROR(IF(COUNTIFS('Candidate Tracker'!$E:$E,'Positions Tracker'!$B285,'Candidate Tracker'!$C:$C,"&lt;&gt;WIP",'Candidate Tracker'!$C:$C,"&lt;&gt;Hold",'Candidate Tracker'!$C:$C,"&lt;&gt;Cancelled",'Candidate Tracker'!$C:$C,"&lt;&gt;Closed")/COUNTIFS('Candidate Tracker'!$E:$E,'Positions Tracker'!$B285)=0,"",COUNTIFS('Candidate Tracker'!$E:$E,'Positions Tracker'!$B285,'Candidate Tracker'!$C:$C,"&lt;&gt;WIP",'Candidate Tracker'!$C:$C,"&lt;&gt;Hold",'Candidate Tracker'!$C:$C,"&lt;&gt;Cancelled",'Candidate Tracker'!$C:$C,"&lt;&gt;Closed")/COUNTIFS('Candidate Tracker'!$E:$E,'Positions Tracker'!$B285)),"")</f>
        <v/>
      </c>
      <c r="BD285" s="30" t="str">
        <f t="shared" si="39"/>
        <v/>
      </c>
      <c r="BE285" s="30" t="str">
        <f t="shared" si="40"/>
        <v/>
      </c>
      <c r="BF285" s="30" t="str">
        <f t="shared" si="41"/>
        <v/>
      </c>
      <c r="BG285" s="30" t="str">
        <f t="shared" si="42"/>
        <v/>
      </c>
    </row>
    <row r="286" spans="1:59">
      <c r="A286" s="39"/>
      <c r="B286" s="39"/>
      <c r="C286" s="39"/>
      <c r="D286" s="39"/>
      <c r="E286" s="39"/>
      <c r="F286" s="39"/>
      <c r="G286" s="39"/>
      <c r="H286" s="39"/>
      <c r="I286" s="40"/>
      <c r="J286" s="40"/>
      <c r="K286" s="35"/>
      <c r="L286" s="35"/>
      <c r="M286" s="35"/>
      <c r="N286" s="39"/>
      <c r="O286" s="39"/>
      <c r="P286" s="39"/>
      <c r="Q286" s="39"/>
      <c r="R286" s="39"/>
      <c r="S286" s="39"/>
      <c r="T286" s="39"/>
      <c r="U286" s="39"/>
      <c r="V286" s="39"/>
      <c r="W286" s="39"/>
      <c r="X286" s="39"/>
      <c r="Y286" s="39"/>
      <c r="Z286" s="39"/>
      <c r="AA286" s="39"/>
      <c r="AB286" s="39"/>
      <c r="AC286" s="39"/>
      <c r="AD286" s="39"/>
      <c r="AE286" s="39"/>
      <c r="AF286" s="39"/>
      <c r="AG286" s="39"/>
      <c r="AH286" s="39"/>
      <c r="AI286" s="35"/>
      <c r="AJ286" s="39"/>
      <c r="AK286" s="39"/>
      <c r="AL286" s="39"/>
      <c r="AM286" s="35"/>
      <c r="AN286" s="35"/>
      <c r="AO286" s="39"/>
      <c r="AP286" s="39"/>
      <c r="AQ286" s="35"/>
      <c r="AR286" s="35"/>
      <c r="AS286" s="35"/>
      <c r="AT286" s="30">
        <f t="shared" ca="1" si="38"/>
        <v>0</v>
      </c>
      <c r="AU286" s="32" t="str">
        <f t="shared" ca="1" si="37"/>
        <v/>
      </c>
      <c r="AV286" s="32" t="str" cm="1">
        <f t="array" aca="1" ref="AV286" ca="1">IFERROR(_xlfn.IFS($AU286="","",$AU286&lt;=15,"0-15",AND($AU286&gt;=16,$AU286&lt;=30),"16-30",AND($AU286&gt;=31,$AU286&lt;=45),"31-45",AND($AU286&gt;=46,$AU286&lt;=60),"46-60",AND($AU286&gt;=61,$AU286&lt;=90),"61-90",AND($AU286&gt;=91),"&gt; 90",AND($AU286&gt;=2000),""),"")</f>
        <v/>
      </c>
      <c r="AW286" s="32" t="str" cm="1">
        <f t="array" aca="1" ref="AW286" ca="1">IFERROR(_xlfn.IFS(OR($M286="",$AM286=""),"",OR($C286="Offered",$C286="Joined"),($AM286-$M286)-$AT286),"")</f>
        <v/>
      </c>
      <c r="AX286" s="32" t="str" cm="1">
        <f t="array" aca="1" ref="AX286" ca="1">IFERROR(_xlfn.IFS(OR($M286="",$AS286=""),"",$C286="Joined",($AS286-$M286)-$AT286),"")</f>
        <v/>
      </c>
      <c r="AY286" s="30" t="str">
        <f>IFERROR(IF(COUNTIFS('Candidate Tracker'!$E:$E,'Positions Tracker'!$B286,'Candidate Tracker'!$C:$C,"Offer Drop")=0,"",COUNTIFS('Candidate Tracker'!$E:$E,'Positions Tracker'!$B286,'Candidate Tracker'!$C:$C,"Offer Drop")),"")</f>
        <v/>
      </c>
      <c r="AZ28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6" s="34" t="str">
        <f>IFERROR(IF(COUNTIFS('Candidate Tracker'!$E:$E,'Positions Tracker'!$B286,'Candidate Tracker'!$I:$I,"Female")=0,"",COUNTIFS('Candidate Tracker'!$E:$E,'Positions Tracker'!$B286,'Candidate Tracker'!$I:$I,"Female")),"")</f>
        <v/>
      </c>
      <c r="BB286" s="34" t="str">
        <f>IFERROR(IF(COUNTIFS('Candidate Tracker'!$E:$E,'Positions Tracker'!$B286,'Candidate Tracker'!$I:$I,"male")=0,"",COUNTIFS('Candidate Tracker'!$E:$E,'Positions Tracker'!$B286,'Candidate Tracker'!$I:$I,"male")),"")</f>
        <v/>
      </c>
      <c r="BC286" s="33" t="str">
        <f>IFERROR(IF(COUNTIFS('Candidate Tracker'!$E:$E,'Positions Tracker'!$B286,'Candidate Tracker'!$C:$C,"&lt;&gt;WIP",'Candidate Tracker'!$C:$C,"&lt;&gt;Hold",'Candidate Tracker'!$C:$C,"&lt;&gt;Cancelled",'Candidate Tracker'!$C:$C,"&lt;&gt;Closed")/COUNTIFS('Candidate Tracker'!$E:$E,'Positions Tracker'!$B286)=0,"",COUNTIFS('Candidate Tracker'!$E:$E,'Positions Tracker'!$B286,'Candidate Tracker'!$C:$C,"&lt;&gt;WIP",'Candidate Tracker'!$C:$C,"&lt;&gt;Hold",'Candidate Tracker'!$C:$C,"&lt;&gt;Cancelled",'Candidate Tracker'!$C:$C,"&lt;&gt;Closed")/COUNTIFS('Candidate Tracker'!$E:$E,'Positions Tracker'!$B286)),"")</f>
        <v/>
      </c>
      <c r="BD286" s="30" t="str">
        <f t="shared" si="39"/>
        <v/>
      </c>
      <c r="BE286" s="30" t="str">
        <f t="shared" si="40"/>
        <v/>
      </c>
      <c r="BF286" s="30" t="str">
        <f t="shared" si="41"/>
        <v/>
      </c>
      <c r="BG286" s="30" t="str">
        <f t="shared" si="42"/>
        <v/>
      </c>
    </row>
    <row r="287" spans="1:59">
      <c r="A287" s="39"/>
      <c r="B287" s="39"/>
      <c r="C287" s="39"/>
      <c r="D287" s="39"/>
      <c r="E287" s="39"/>
      <c r="F287" s="39"/>
      <c r="G287" s="39"/>
      <c r="H287" s="39"/>
      <c r="I287" s="40"/>
      <c r="J287" s="40"/>
      <c r="K287" s="35"/>
      <c r="L287" s="35"/>
      <c r="M287" s="35"/>
      <c r="N287" s="39"/>
      <c r="O287" s="39"/>
      <c r="P287" s="39"/>
      <c r="Q287" s="39"/>
      <c r="R287" s="39"/>
      <c r="S287" s="39"/>
      <c r="T287" s="39"/>
      <c r="U287" s="39"/>
      <c r="V287" s="39"/>
      <c r="W287" s="39"/>
      <c r="X287" s="39"/>
      <c r="Y287" s="39"/>
      <c r="Z287" s="39"/>
      <c r="AA287" s="39"/>
      <c r="AB287" s="39"/>
      <c r="AC287" s="39"/>
      <c r="AD287" s="39"/>
      <c r="AE287" s="39"/>
      <c r="AF287" s="39"/>
      <c r="AG287" s="39"/>
      <c r="AH287" s="39"/>
      <c r="AI287" s="35"/>
      <c r="AJ287" s="39"/>
      <c r="AK287" s="39"/>
      <c r="AL287" s="39"/>
      <c r="AM287" s="35"/>
      <c r="AN287" s="35"/>
      <c r="AO287" s="39"/>
      <c r="AP287" s="39"/>
      <c r="AQ287" s="35"/>
      <c r="AR287" s="35"/>
      <c r="AS287" s="35"/>
      <c r="AT287" s="30">
        <f t="shared" ca="1" si="38"/>
        <v>0</v>
      </c>
      <c r="AU287" s="32" t="str">
        <f t="shared" ca="1" si="37"/>
        <v/>
      </c>
      <c r="AV287" s="32" t="str" cm="1">
        <f t="array" aca="1" ref="AV287" ca="1">IFERROR(_xlfn.IFS($AU287="","",$AU287&lt;=15,"0-15",AND($AU287&gt;=16,$AU287&lt;=30),"16-30",AND($AU287&gt;=31,$AU287&lt;=45),"31-45",AND($AU287&gt;=46,$AU287&lt;=60),"46-60",AND($AU287&gt;=61,$AU287&lt;=90),"61-90",AND($AU287&gt;=91),"&gt; 90",AND($AU287&gt;=2000),""),"")</f>
        <v/>
      </c>
      <c r="AW287" s="32" t="str" cm="1">
        <f t="array" aca="1" ref="AW287" ca="1">IFERROR(_xlfn.IFS(OR($M287="",$AM287=""),"",OR($C287="Offered",$C287="Joined"),($AM287-$M287)-$AT287),"")</f>
        <v/>
      </c>
      <c r="AX287" s="32" t="str" cm="1">
        <f t="array" aca="1" ref="AX287" ca="1">IFERROR(_xlfn.IFS(OR($M287="",$AS287=""),"",$C287="Joined",($AS287-$M287)-$AT287),"")</f>
        <v/>
      </c>
      <c r="AY287" s="30" t="str">
        <f>IFERROR(IF(COUNTIFS('Candidate Tracker'!$E:$E,'Positions Tracker'!$B287,'Candidate Tracker'!$C:$C,"Offer Drop")=0,"",COUNTIFS('Candidate Tracker'!$E:$E,'Positions Tracker'!$B287,'Candidate Tracker'!$C:$C,"Offer Drop")),"")</f>
        <v/>
      </c>
      <c r="AZ28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7" s="34" t="str">
        <f>IFERROR(IF(COUNTIFS('Candidate Tracker'!$E:$E,'Positions Tracker'!$B287,'Candidate Tracker'!$I:$I,"Female")=0,"",COUNTIFS('Candidate Tracker'!$E:$E,'Positions Tracker'!$B287,'Candidate Tracker'!$I:$I,"Female")),"")</f>
        <v/>
      </c>
      <c r="BB287" s="34" t="str">
        <f>IFERROR(IF(COUNTIFS('Candidate Tracker'!$E:$E,'Positions Tracker'!$B287,'Candidate Tracker'!$I:$I,"male")=0,"",COUNTIFS('Candidate Tracker'!$E:$E,'Positions Tracker'!$B287,'Candidate Tracker'!$I:$I,"male")),"")</f>
        <v/>
      </c>
      <c r="BC287" s="33" t="str">
        <f>IFERROR(IF(COUNTIFS('Candidate Tracker'!$E:$E,'Positions Tracker'!$B287,'Candidate Tracker'!$C:$C,"&lt;&gt;WIP",'Candidate Tracker'!$C:$C,"&lt;&gt;Hold",'Candidate Tracker'!$C:$C,"&lt;&gt;Cancelled",'Candidate Tracker'!$C:$C,"&lt;&gt;Closed")/COUNTIFS('Candidate Tracker'!$E:$E,'Positions Tracker'!$B287)=0,"",COUNTIFS('Candidate Tracker'!$E:$E,'Positions Tracker'!$B287,'Candidate Tracker'!$C:$C,"&lt;&gt;WIP",'Candidate Tracker'!$C:$C,"&lt;&gt;Hold",'Candidate Tracker'!$C:$C,"&lt;&gt;Cancelled",'Candidate Tracker'!$C:$C,"&lt;&gt;Closed")/COUNTIFS('Candidate Tracker'!$E:$E,'Positions Tracker'!$B287)),"")</f>
        <v/>
      </c>
      <c r="BD287" s="30" t="str">
        <f t="shared" si="39"/>
        <v/>
      </c>
      <c r="BE287" s="30" t="str">
        <f t="shared" si="40"/>
        <v/>
      </c>
      <c r="BF287" s="30" t="str">
        <f t="shared" si="41"/>
        <v/>
      </c>
      <c r="BG287" s="30" t="str">
        <f t="shared" si="42"/>
        <v/>
      </c>
    </row>
    <row r="288" spans="1:59">
      <c r="A288" s="39"/>
      <c r="B288" s="39"/>
      <c r="C288" s="39"/>
      <c r="D288" s="39"/>
      <c r="E288" s="39"/>
      <c r="F288" s="39"/>
      <c r="G288" s="39"/>
      <c r="H288" s="39"/>
      <c r="I288" s="40"/>
      <c r="J288" s="40"/>
      <c r="K288" s="35"/>
      <c r="L288" s="35"/>
      <c r="M288" s="35"/>
      <c r="N288" s="39"/>
      <c r="O288" s="39"/>
      <c r="P288" s="39"/>
      <c r="Q288" s="39"/>
      <c r="R288" s="39"/>
      <c r="S288" s="39"/>
      <c r="T288" s="39"/>
      <c r="U288" s="39"/>
      <c r="V288" s="39"/>
      <c r="W288" s="39"/>
      <c r="X288" s="39"/>
      <c r="Y288" s="39"/>
      <c r="Z288" s="39"/>
      <c r="AA288" s="39"/>
      <c r="AB288" s="39"/>
      <c r="AC288" s="39"/>
      <c r="AD288" s="39"/>
      <c r="AE288" s="39"/>
      <c r="AF288" s="39"/>
      <c r="AG288" s="39"/>
      <c r="AH288" s="39"/>
      <c r="AI288" s="35"/>
      <c r="AJ288" s="39"/>
      <c r="AK288" s="39"/>
      <c r="AL288" s="39"/>
      <c r="AM288" s="35"/>
      <c r="AN288" s="35"/>
      <c r="AO288" s="39"/>
      <c r="AP288" s="39"/>
      <c r="AQ288" s="35"/>
      <c r="AR288" s="35"/>
      <c r="AS288" s="35"/>
      <c r="AT288" s="30">
        <f t="shared" ca="1" si="38"/>
        <v>0</v>
      </c>
      <c r="AU288" s="32" t="str">
        <f t="shared" ca="1" si="37"/>
        <v/>
      </c>
      <c r="AV288" s="32" t="str" cm="1">
        <f t="array" aca="1" ref="AV288" ca="1">IFERROR(_xlfn.IFS($AU288="","",$AU288&lt;=15,"0-15",AND($AU288&gt;=16,$AU288&lt;=30),"16-30",AND($AU288&gt;=31,$AU288&lt;=45),"31-45",AND($AU288&gt;=46,$AU288&lt;=60),"46-60",AND($AU288&gt;=61,$AU288&lt;=90),"61-90",AND($AU288&gt;=91),"&gt; 90",AND($AU288&gt;=2000),""),"")</f>
        <v/>
      </c>
      <c r="AW288" s="32" t="str" cm="1">
        <f t="array" aca="1" ref="AW288" ca="1">IFERROR(_xlfn.IFS(OR($M288="",$AM288=""),"",OR($C288="Offered",$C288="Joined"),($AM288-$M288)-$AT288),"")</f>
        <v/>
      </c>
      <c r="AX288" s="32" t="str" cm="1">
        <f t="array" aca="1" ref="AX288" ca="1">IFERROR(_xlfn.IFS(OR($M288="",$AS288=""),"",$C288="Joined",($AS288-$M288)-$AT288),"")</f>
        <v/>
      </c>
      <c r="AY288" s="30" t="str">
        <f>IFERROR(IF(COUNTIFS('Candidate Tracker'!$E:$E,'Positions Tracker'!$B288,'Candidate Tracker'!$C:$C,"Offer Drop")=0,"",COUNTIFS('Candidate Tracker'!$E:$E,'Positions Tracker'!$B288,'Candidate Tracker'!$C:$C,"Offer Drop")),"")</f>
        <v/>
      </c>
      <c r="AZ28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8" s="34" t="str">
        <f>IFERROR(IF(COUNTIFS('Candidate Tracker'!$E:$E,'Positions Tracker'!$B288,'Candidate Tracker'!$I:$I,"Female")=0,"",COUNTIFS('Candidate Tracker'!$E:$E,'Positions Tracker'!$B288,'Candidate Tracker'!$I:$I,"Female")),"")</f>
        <v/>
      </c>
      <c r="BB288" s="34" t="str">
        <f>IFERROR(IF(COUNTIFS('Candidate Tracker'!$E:$E,'Positions Tracker'!$B288,'Candidate Tracker'!$I:$I,"male")=0,"",COUNTIFS('Candidate Tracker'!$E:$E,'Positions Tracker'!$B288,'Candidate Tracker'!$I:$I,"male")),"")</f>
        <v/>
      </c>
      <c r="BC288" s="33" t="str">
        <f>IFERROR(IF(COUNTIFS('Candidate Tracker'!$E:$E,'Positions Tracker'!$B288,'Candidate Tracker'!$C:$C,"&lt;&gt;WIP",'Candidate Tracker'!$C:$C,"&lt;&gt;Hold",'Candidate Tracker'!$C:$C,"&lt;&gt;Cancelled",'Candidate Tracker'!$C:$C,"&lt;&gt;Closed")/COUNTIFS('Candidate Tracker'!$E:$E,'Positions Tracker'!$B288)=0,"",COUNTIFS('Candidate Tracker'!$E:$E,'Positions Tracker'!$B288,'Candidate Tracker'!$C:$C,"&lt;&gt;WIP",'Candidate Tracker'!$C:$C,"&lt;&gt;Hold",'Candidate Tracker'!$C:$C,"&lt;&gt;Cancelled",'Candidate Tracker'!$C:$C,"&lt;&gt;Closed")/COUNTIFS('Candidate Tracker'!$E:$E,'Positions Tracker'!$B288)),"")</f>
        <v/>
      </c>
      <c r="BD288" s="30" t="str">
        <f t="shared" si="39"/>
        <v/>
      </c>
      <c r="BE288" s="30" t="str">
        <f t="shared" si="40"/>
        <v/>
      </c>
      <c r="BF288" s="30" t="str">
        <f t="shared" si="41"/>
        <v/>
      </c>
      <c r="BG288" s="30" t="str">
        <f t="shared" si="42"/>
        <v/>
      </c>
    </row>
    <row r="289" spans="1:59">
      <c r="A289" s="39"/>
      <c r="B289" s="39"/>
      <c r="C289" s="39"/>
      <c r="D289" s="39"/>
      <c r="E289" s="39"/>
      <c r="F289" s="39"/>
      <c r="G289" s="39"/>
      <c r="H289" s="39"/>
      <c r="I289" s="40"/>
      <c r="J289" s="40"/>
      <c r="K289" s="35"/>
      <c r="L289" s="35"/>
      <c r="M289" s="35"/>
      <c r="N289" s="39"/>
      <c r="O289" s="39"/>
      <c r="P289" s="39"/>
      <c r="Q289" s="39"/>
      <c r="R289" s="39"/>
      <c r="S289" s="39"/>
      <c r="T289" s="39"/>
      <c r="U289" s="39"/>
      <c r="V289" s="39"/>
      <c r="W289" s="39"/>
      <c r="X289" s="39"/>
      <c r="Y289" s="39"/>
      <c r="Z289" s="39"/>
      <c r="AA289" s="39"/>
      <c r="AB289" s="39"/>
      <c r="AC289" s="39"/>
      <c r="AD289" s="39"/>
      <c r="AE289" s="39"/>
      <c r="AF289" s="39"/>
      <c r="AG289" s="39"/>
      <c r="AH289" s="39"/>
      <c r="AI289" s="35"/>
      <c r="AJ289" s="39"/>
      <c r="AK289" s="39"/>
      <c r="AL289" s="39"/>
      <c r="AM289" s="35"/>
      <c r="AN289" s="35"/>
      <c r="AO289" s="39"/>
      <c r="AP289" s="39"/>
      <c r="AQ289" s="35"/>
      <c r="AR289" s="35"/>
      <c r="AS289" s="35"/>
      <c r="AT289" s="30">
        <f t="shared" ca="1" si="38"/>
        <v>0</v>
      </c>
      <c r="AU289" s="32" t="str">
        <f t="shared" ca="1" si="37"/>
        <v/>
      </c>
      <c r="AV289" s="32" t="str" cm="1">
        <f t="array" aca="1" ref="AV289" ca="1">IFERROR(_xlfn.IFS($AU289="","",$AU289&lt;=15,"0-15",AND($AU289&gt;=16,$AU289&lt;=30),"16-30",AND($AU289&gt;=31,$AU289&lt;=45),"31-45",AND($AU289&gt;=46,$AU289&lt;=60),"46-60",AND($AU289&gt;=61,$AU289&lt;=90),"61-90",AND($AU289&gt;=91),"&gt; 90",AND($AU289&gt;=2000),""),"")</f>
        <v/>
      </c>
      <c r="AW289" s="32" t="str" cm="1">
        <f t="array" aca="1" ref="AW289" ca="1">IFERROR(_xlfn.IFS(OR($M289="",$AM289=""),"",OR($C289="Offered",$C289="Joined"),($AM289-$M289)-$AT289),"")</f>
        <v/>
      </c>
      <c r="AX289" s="32" t="str" cm="1">
        <f t="array" aca="1" ref="AX289" ca="1">IFERROR(_xlfn.IFS(OR($M289="",$AS289=""),"",$C289="Joined",($AS289-$M289)-$AT289),"")</f>
        <v/>
      </c>
      <c r="AY289" s="30" t="str">
        <f>IFERROR(IF(COUNTIFS('Candidate Tracker'!$E:$E,'Positions Tracker'!$B289,'Candidate Tracker'!$C:$C,"Offer Drop")=0,"",COUNTIFS('Candidate Tracker'!$E:$E,'Positions Tracker'!$B289,'Candidate Tracker'!$C:$C,"Offer Drop")),"")</f>
        <v/>
      </c>
      <c r="AZ28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89" s="34" t="str">
        <f>IFERROR(IF(COUNTIFS('Candidate Tracker'!$E:$E,'Positions Tracker'!$B289,'Candidate Tracker'!$I:$I,"Female")=0,"",COUNTIFS('Candidate Tracker'!$E:$E,'Positions Tracker'!$B289,'Candidate Tracker'!$I:$I,"Female")),"")</f>
        <v/>
      </c>
      <c r="BB289" s="34" t="str">
        <f>IFERROR(IF(COUNTIFS('Candidate Tracker'!$E:$E,'Positions Tracker'!$B289,'Candidate Tracker'!$I:$I,"male")=0,"",COUNTIFS('Candidate Tracker'!$E:$E,'Positions Tracker'!$B289,'Candidate Tracker'!$I:$I,"male")),"")</f>
        <v/>
      </c>
      <c r="BC289" s="33" t="str">
        <f>IFERROR(IF(COUNTIFS('Candidate Tracker'!$E:$E,'Positions Tracker'!$B289,'Candidate Tracker'!$C:$C,"&lt;&gt;WIP",'Candidate Tracker'!$C:$C,"&lt;&gt;Hold",'Candidate Tracker'!$C:$C,"&lt;&gt;Cancelled",'Candidate Tracker'!$C:$C,"&lt;&gt;Closed")/COUNTIFS('Candidate Tracker'!$E:$E,'Positions Tracker'!$B289)=0,"",COUNTIFS('Candidate Tracker'!$E:$E,'Positions Tracker'!$B289,'Candidate Tracker'!$C:$C,"&lt;&gt;WIP",'Candidate Tracker'!$C:$C,"&lt;&gt;Hold",'Candidate Tracker'!$C:$C,"&lt;&gt;Cancelled",'Candidate Tracker'!$C:$C,"&lt;&gt;Closed")/COUNTIFS('Candidate Tracker'!$E:$E,'Positions Tracker'!$B289)),"")</f>
        <v/>
      </c>
      <c r="BD289" s="30" t="str">
        <f t="shared" si="39"/>
        <v/>
      </c>
      <c r="BE289" s="30" t="str">
        <f t="shared" si="40"/>
        <v/>
      </c>
      <c r="BF289" s="30" t="str">
        <f t="shared" si="41"/>
        <v/>
      </c>
      <c r="BG289" s="30" t="str">
        <f t="shared" si="42"/>
        <v/>
      </c>
    </row>
    <row r="290" spans="1:59">
      <c r="A290" s="39"/>
      <c r="B290" s="39"/>
      <c r="C290" s="39"/>
      <c r="D290" s="39"/>
      <c r="E290" s="39"/>
      <c r="F290" s="39"/>
      <c r="G290" s="39"/>
      <c r="H290" s="39"/>
      <c r="I290" s="40"/>
      <c r="J290" s="40"/>
      <c r="K290" s="35"/>
      <c r="L290" s="35"/>
      <c r="M290" s="35"/>
      <c r="N290" s="39"/>
      <c r="O290" s="39"/>
      <c r="P290" s="39"/>
      <c r="Q290" s="39"/>
      <c r="R290" s="39"/>
      <c r="S290" s="39"/>
      <c r="T290" s="39"/>
      <c r="U290" s="39"/>
      <c r="V290" s="39"/>
      <c r="W290" s="39"/>
      <c r="X290" s="39"/>
      <c r="Y290" s="39"/>
      <c r="Z290" s="39"/>
      <c r="AA290" s="39"/>
      <c r="AB290" s="39"/>
      <c r="AC290" s="39"/>
      <c r="AD290" s="39"/>
      <c r="AE290" s="39"/>
      <c r="AF290" s="39"/>
      <c r="AG290" s="39"/>
      <c r="AH290" s="39"/>
      <c r="AI290" s="35"/>
      <c r="AJ290" s="39"/>
      <c r="AK290" s="39"/>
      <c r="AL290" s="39"/>
      <c r="AM290" s="35"/>
      <c r="AN290" s="35"/>
      <c r="AO290" s="39"/>
      <c r="AP290" s="39"/>
      <c r="AQ290" s="35"/>
      <c r="AR290" s="35"/>
      <c r="AS290" s="35"/>
      <c r="AT290" s="30">
        <f t="shared" ca="1" si="38"/>
        <v>0</v>
      </c>
      <c r="AU290" s="32" t="str">
        <f t="shared" ca="1" si="37"/>
        <v/>
      </c>
      <c r="AV290" s="32" t="str" cm="1">
        <f t="array" aca="1" ref="AV290" ca="1">IFERROR(_xlfn.IFS($AU290="","",$AU290&lt;=15,"0-15",AND($AU290&gt;=16,$AU290&lt;=30),"16-30",AND($AU290&gt;=31,$AU290&lt;=45),"31-45",AND($AU290&gt;=46,$AU290&lt;=60),"46-60",AND($AU290&gt;=61,$AU290&lt;=90),"61-90",AND($AU290&gt;=91),"&gt; 90",AND($AU290&gt;=2000),""),"")</f>
        <v/>
      </c>
      <c r="AW290" s="32" t="str" cm="1">
        <f t="array" aca="1" ref="AW290" ca="1">IFERROR(_xlfn.IFS(OR($M290="",$AM290=""),"",OR($C290="Offered",$C290="Joined"),($AM290-$M290)-$AT290),"")</f>
        <v/>
      </c>
      <c r="AX290" s="32" t="str" cm="1">
        <f t="array" aca="1" ref="AX290" ca="1">IFERROR(_xlfn.IFS(OR($M290="",$AS290=""),"",$C290="Joined",($AS290-$M290)-$AT290),"")</f>
        <v/>
      </c>
      <c r="AY290" s="30" t="str">
        <f>IFERROR(IF(COUNTIFS('Candidate Tracker'!$E:$E,'Positions Tracker'!$B290,'Candidate Tracker'!$C:$C,"Offer Drop")=0,"",COUNTIFS('Candidate Tracker'!$E:$E,'Positions Tracker'!$B290,'Candidate Tracker'!$C:$C,"Offer Drop")),"")</f>
        <v/>
      </c>
      <c r="AZ29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0" s="34" t="str">
        <f>IFERROR(IF(COUNTIFS('Candidate Tracker'!$E:$E,'Positions Tracker'!$B290,'Candidate Tracker'!$I:$I,"Female")=0,"",COUNTIFS('Candidate Tracker'!$E:$E,'Positions Tracker'!$B290,'Candidate Tracker'!$I:$I,"Female")),"")</f>
        <v/>
      </c>
      <c r="BB290" s="34" t="str">
        <f>IFERROR(IF(COUNTIFS('Candidate Tracker'!$E:$E,'Positions Tracker'!$B290,'Candidate Tracker'!$I:$I,"male")=0,"",COUNTIFS('Candidate Tracker'!$E:$E,'Positions Tracker'!$B290,'Candidate Tracker'!$I:$I,"male")),"")</f>
        <v/>
      </c>
      <c r="BC290" s="33" t="str">
        <f>IFERROR(IF(COUNTIFS('Candidate Tracker'!$E:$E,'Positions Tracker'!$B290,'Candidate Tracker'!$C:$C,"&lt;&gt;WIP",'Candidate Tracker'!$C:$C,"&lt;&gt;Hold",'Candidate Tracker'!$C:$C,"&lt;&gt;Cancelled",'Candidate Tracker'!$C:$C,"&lt;&gt;Closed")/COUNTIFS('Candidate Tracker'!$E:$E,'Positions Tracker'!$B290)=0,"",COUNTIFS('Candidate Tracker'!$E:$E,'Positions Tracker'!$B290,'Candidate Tracker'!$C:$C,"&lt;&gt;WIP",'Candidate Tracker'!$C:$C,"&lt;&gt;Hold",'Candidate Tracker'!$C:$C,"&lt;&gt;Cancelled",'Candidate Tracker'!$C:$C,"&lt;&gt;Closed")/COUNTIFS('Candidate Tracker'!$E:$E,'Positions Tracker'!$B290)),"")</f>
        <v/>
      </c>
      <c r="BD290" s="30" t="str">
        <f t="shared" si="39"/>
        <v/>
      </c>
      <c r="BE290" s="30" t="str">
        <f t="shared" si="40"/>
        <v/>
      </c>
      <c r="BF290" s="30" t="str">
        <f t="shared" si="41"/>
        <v/>
      </c>
      <c r="BG290" s="30" t="str">
        <f t="shared" si="42"/>
        <v/>
      </c>
    </row>
    <row r="291" spans="1:59">
      <c r="A291" s="39"/>
      <c r="B291" s="39"/>
      <c r="C291" s="39"/>
      <c r="D291" s="39"/>
      <c r="E291" s="39"/>
      <c r="F291" s="39"/>
      <c r="G291" s="39"/>
      <c r="H291" s="39"/>
      <c r="I291" s="40"/>
      <c r="J291" s="40"/>
      <c r="K291" s="35"/>
      <c r="L291" s="35"/>
      <c r="M291" s="35"/>
      <c r="N291" s="39"/>
      <c r="O291" s="39"/>
      <c r="P291" s="39"/>
      <c r="Q291" s="39"/>
      <c r="R291" s="39"/>
      <c r="S291" s="39"/>
      <c r="T291" s="39"/>
      <c r="U291" s="39"/>
      <c r="V291" s="39"/>
      <c r="W291" s="39"/>
      <c r="X291" s="39"/>
      <c r="Y291" s="39"/>
      <c r="Z291" s="39"/>
      <c r="AA291" s="39"/>
      <c r="AB291" s="39"/>
      <c r="AC291" s="39"/>
      <c r="AD291" s="39"/>
      <c r="AE291" s="39"/>
      <c r="AF291" s="39"/>
      <c r="AG291" s="39"/>
      <c r="AH291" s="39"/>
      <c r="AI291" s="35"/>
      <c r="AJ291" s="39"/>
      <c r="AK291" s="39"/>
      <c r="AL291" s="39"/>
      <c r="AM291" s="35"/>
      <c r="AN291" s="35"/>
      <c r="AO291" s="39"/>
      <c r="AP291" s="39"/>
      <c r="AQ291" s="35"/>
      <c r="AR291" s="35"/>
      <c r="AS291" s="35"/>
      <c r="AT291" s="30">
        <f t="shared" ca="1" si="38"/>
        <v>0</v>
      </c>
      <c r="AU291" s="32" t="str">
        <f t="shared" ca="1" si="37"/>
        <v/>
      </c>
      <c r="AV291" s="32" t="str" cm="1">
        <f t="array" aca="1" ref="AV291" ca="1">IFERROR(_xlfn.IFS($AU291="","",$AU291&lt;=15,"0-15",AND($AU291&gt;=16,$AU291&lt;=30),"16-30",AND($AU291&gt;=31,$AU291&lt;=45),"31-45",AND($AU291&gt;=46,$AU291&lt;=60),"46-60",AND($AU291&gt;=61,$AU291&lt;=90),"61-90",AND($AU291&gt;=91),"&gt; 90",AND($AU291&gt;=2000),""),"")</f>
        <v/>
      </c>
      <c r="AW291" s="32" t="str" cm="1">
        <f t="array" aca="1" ref="AW291" ca="1">IFERROR(_xlfn.IFS(OR($M291="",$AM291=""),"",OR($C291="Offered",$C291="Joined"),($AM291-$M291)-$AT291),"")</f>
        <v/>
      </c>
      <c r="AX291" s="32" t="str" cm="1">
        <f t="array" aca="1" ref="AX291" ca="1">IFERROR(_xlfn.IFS(OR($M291="",$AS291=""),"",$C291="Joined",($AS291-$M291)-$AT291),"")</f>
        <v/>
      </c>
      <c r="AY291" s="30" t="str">
        <f>IFERROR(IF(COUNTIFS('Candidate Tracker'!$E:$E,'Positions Tracker'!$B291,'Candidate Tracker'!$C:$C,"Offer Drop")=0,"",COUNTIFS('Candidate Tracker'!$E:$E,'Positions Tracker'!$B291,'Candidate Tracker'!$C:$C,"Offer Drop")),"")</f>
        <v/>
      </c>
      <c r="AZ29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1" s="34" t="str">
        <f>IFERROR(IF(COUNTIFS('Candidate Tracker'!$E:$E,'Positions Tracker'!$B291,'Candidate Tracker'!$I:$I,"Female")=0,"",COUNTIFS('Candidate Tracker'!$E:$E,'Positions Tracker'!$B291,'Candidate Tracker'!$I:$I,"Female")),"")</f>
        <v/>
      </c>
      <c r="BB291" s="34" t="str">
        <f>IFERROR(IF(COUNTIFS('Candidate Tracker'!$E:$E,'Positions Tracker'!$B291,'Candidate Tracker'!$I:$I,"male")=0,"",COUNTIFS('Candidate Tracker'!$E:$E,'Positions Tracker'!$B291,'Candidate Tracker'!$I:$I,"male")),"")</f>
        <v/>
      </c>
      <c r="BC291" s="33" t="str">
        <f>IFERROR(IF(COUNTIFS('Candidate Tracker'!$E:$E,'Positions Tracker'!$B291,'Candidate Tracker'!$C:$C,"&lt;&gt;WIP",'Candidate Tracker'!$C:$C,"&lt;&gt;Hold",'Candidate Tracker'!$C:$C,"&lt;&gt;Cancelled",'Candidate Tracker'!$C:$C,"&lt;&gt;Closed")/COUNTIFS('Candidate Tracker'!$E:$E,'Positions Tracker'!$B291)=0,"",COUNTIFS('Candidate Tracker'!$E:$E,'Positions Tracker'!$B291,'Candidate Tracker'!$C:$C,"&lt;&gt;WIP",'Candidate Tracker'!$C:$C,"&lt;&gt;Hold",'Candidate Tracker'!$C:$C,"&lt;&gt;Cancelled",'Candidate Tracker'!$C:$C,"&lt;&gt;Closed")/COUNTIFS('Candidate Tracker'!$E:$E,'Positions Tracker'!$B291)),"")</f>
        <v/>
      </c>
      <c r="BD291" s="30" t="str">
        <f t="shared" si="39"/>
        <v/>
      </c>
      <c r="BE291" s="30" t="str">
        <f t="shared" si="40"/>
        <v/>
      </c>
      <c r="BF291" s="30" t="str">
        <f t="shared" si="41"/>
        <v/>
      </c>
      <c r="BG291" s="30" t="str">
        <f t="shared" si="42"/>
        <v/>
      </c>
    </row>
    <row r="292" spans="1:59">
      <c r="A292" s="39"/>
      <c r="B292" s="39"/>
      <c r="C292" s="39"/>
      <c r="D292" s="39"/>
      <c r="E292" s="39"/>
      <c r="F292" s="39"/>
      <c r="G292" s="39"/>
      <c r="H292" s="39"/>
      <c r="I292" s="40"/>
      <c r="J292" s="40"/>
      <c r="K292" s="35"/>
      <c r="L292" s="35"/>
      <c r="M292" s="35"/>
      <c r="N292" s="39"/>
      <c r="O292" s="39"/>
      <c r="P292" s="39"/>
      <c r="Q292" s="39"/>
      <c r="R292" s="39"/>
      <c r="S292" s="39"/>
      <c r="T292" s="39"/>
      <c r="U292" s="39"/>
      <c r="V292" s="39"/>
      <c r="W292" s="39"/>
      <c r="X292" s="39"/>
      <c r="Y292" s="39"/>
      <c r="Z292" s="39"/>
      <c r="AA292" s="39"/>
      <c r="AB292" s="39"/>
      <c r="AC292" s="39"/>
      <c r="AD292" s="39"/>
      <c r="AE292" s="39"/>
      <c r="AF292" s="39"/>
      <c r="AG292" s="39"/>
      <c r="AH292" s="39"/>
      <c r="AI292" s="35"/>
      <c r="AJ292" s="39"/>
      <c r="AK292" s="39"/>
      <c r="AL292" s="39"/>
      <c r="AM292" s="35"/>
      <c r="AN292" s="35"/>
      <c r="AO292" s="39"/>
      <c r="AP292" s="39"/>
      <c r="AQ292" s="35"/>
      <c r="AR292" s="35"/>
      <c r="AS292" s="35"/>
      <c r="AT292" s="30">
        <f t="shared" ca="1" si="38"/>
        <v>0</v>
      </c>
      <c r="AU292" s="32" t="str">
        <f t="shared" ca="1" si="37"/>
        <v/>
      </c>
      <c r="AV292" s="32" t="str" cm="1">
        <f t="array" aca="1" ref="AV292" ca="1">IFERROR(_xlfn.IFS($AU292="","",$AU292&lt;=15,"0-15",AND($AU292&gt;=16,$AU292&lt;=30),"16-30",AND($AU292&gt;=31,$AU292&lt;=45),"31-45",AND($AU292&gt;=46,$AU292&lt;=60),"46-60",AND($AU292&gt;=61,$AU292&lt;=90),"61-90",AND($AU292&gt;=91),"&gt; 90",AND($AU292&gt;=2000),""),"")</f>
        <v/>
      </c>
      <c r="AW292" s="32" t="str" cm="1">
        <f t="array" aca="1" ref="AW292" ca="1">IFERROR(_xlfn.IFS(OR($M292="",$AM292=""),"",OR($C292="Offered",$C292="Joined"),($AM292-$M292)-$AT292),"")</f>
        <v/>
      </c>
      <c r="AX292" s="32" t="str" cm="1">
        <f t="array" aca="1" ref="AX292" ca="1">IFERROR(_xlfn.IFS(OR($M292="",$AS292=""),"",$C292="Joined",($AS292-$M292)-$AT292),"")</f>
        <v/>
      </c>
      <c r="AY292" s="30" t="str">
        <f>IFERROR(IF(COUNTIFS('Candidate Tracker'!$E:$E,'Positions Tracker'!$B292,'Candidate Tracker'!$C:$C,"Offer Drop")=0,"",COUNTIFS('Candidate Tracker'!$E:$E,'Positions Tracker'!$B292,'Candidate Tracker'!$C:$C,"Offer Drop")),"")</f>
        <v/>
      </c>
      <c r="AZ29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2" s="34" t="str">
        <f>IFERROR(IF(COUNTIFS('Candidate Tracker'!$E:$E,'Positions Tracker'!$B292,'Candidate Tracker'!$I:$I,"Female")=0,"",COUNTIFS('Candidate Tracker'!$E:$E,'Positions Tracker'!$B292,'Candidate Tracker'!$I:$I,"Female")),"")</f>
        <v/>
      </c>
      <c r="BB292" s="34" t="str">
        <f>IFERROR(IF(COUNTIFS('Candidate Tracker'!$E:$E,'Positions Tracker'!$B292,'Candidate Tracker'!$I:$I,"male")=0,"",COUNTIFS('Candidate Tracker'!$E:$E,'Positions Tracker'!$B292,'Candidate Tracker'!$I:$I,"male")),"")</f>
        <v/>
      </c>
      <c r="BC292" s="33" t="str">
        <f>IFERROR(IF(COUNTIFS('Candidate Tracker'!$E:$E,'Positions Tracker'!$B292,'Candidate Tracker'!$C:$C,"&lt;&gt;WIP",'Candidate Tracker'!$C:$C,"&lt;&gt;Hold",'Candidate Tracker'!$C:$C,"&lt;&gt;Cancelled",'Candidate Tracker'!$C:$C,"&lt;&gt;Closed")/COUNTIFS('Candidate Tracker'!$E:$E,'Positions Tracker'!$B292)=0,"",COUNTIFS('Candidate Tracker'!$E:$E,'Positions Tracker'!$B292,'Candidate Tracker'!$C:$C,"&lt;&gt;WIP",'Candidate Tracker'!$C:$C,"&lt;&gt;Hold",'Candidate Tracker'!$C:$C,"&lt;&gt;Cancelled",'Candidate Tracker'!$C:$C,"&lt;&gt;Closed")/COUNTIFS('Candidate Tracker'!$E:$E,'Positions Tracker'!$B292)),"")</f>
        <v/>
      </c>
      <c r="BD292" s="30" t="str">
        <f t="shared" si="39"/>
        <v/>
      </c>
      <c r="BE292" s="30" t="str">
        <f t="shared" si="40"/>
        <v/>
      </c>
      <c r="BF292" s="30" t="str">
        <f t="shared" si="41"/>
        <v/>
      </c>
      <c r="BG292" s="30" t="str">
        <f t="shared" si="42"/>
        <v/>
      </c>
    </row>
    <row r="293" spans="1:59">
      <c r="A293" s="39"/>
      <c r="B293" s="39"/>
      <c r="C293" s="39"/>
      <c r="D293" s="39"/>
      <c r="E293" s="39"/>
      <c r="F293" s="39"/>
      <c r="G293" s="39"/>
      <c r="H293" s="39"/>
      <c r="I293" s="40"/>
      <c r="J293" s="40"/>
      <c r="K293" s="35"/>
      <c r="L293" s="35"/>
      <c r="M293" s="35"/>
      <c r="N293" s="39"/>
      <c r="O293" s="39"/>
      <c r="P293" s="39"/>
      <c r="Q293" s="39"/>
      <c r="R293" s="39"/>
      <c r="S293" s="39"/>
      <c r="T293" s="39"/>
      <c r="U293" s="39"/>
      <c r="V293" s="39"/>
      <c r="W293" s="39"/>
      <c r="X293" s="39"/>
      <c r="Y293" s="39"/>
      <c r="Z293" s="39"/>
      <c r="AA293" s="39"/>
      <c r="AB293" s="39"/>
      <c r="AC293" s="39"/>
      <c r="AD293" s="39"/>
      <c r="AE293" s="39"/>
      <c r="AF293" s="39"/>
      <c r="AG293" s="39"/>
      <c r="AH293" s="39"/>
      <c r="AI293" s="35"/>
      <c r="AJ293" s="39"/>
      <c r="AK293" s="39"/>
      <c r="AL293" s="39"/>
      <c r="AM293" s="35"/>
      <c r="AN293" s="35"/>
      <c r="AO293" s="39"/>
      <c r="AP293" s="39"/>
      <c r="AQ293" s="35"/>
      <c r="AR293" s="35"/>
      <c r="AS293" s="35"/>
      <c r="AT293" s="30">
        <f t="shared" ca="1" si="38"/>
        <v>0</v>
      </c>
      <c r="AU293" s="32" t="str">
        <f t="shared" ca="1" si="37"/>
        <v/>
      </c>
      <c r="AV293" s="32" t="str" cm="1">
        <f t="array" aca="1" ref="AV293" ca="1">IFERROR(_xlfn.IFS($AU293="","",$AU293&lt;=15,"0-15",AND($AU293&gt;=16,$AU293&lt;=30),"16-30",AND($AU293&gt;=31,$AU293&lt;=45),"31-45",AND($AU293&gt;=46,$AU293&lt;=60),"46-60",AND($AU293&gt;=61,$AU293&lt;=90),"61-90",AND($AU293&gt;=91),"&gt; 90",AND($AU293&gt;=2000),""),"")</f>
        <v/>
      </c>
      <c r="AW293" s="32" t="str" cm="1">
        <f t="array" aca="1" ref="AW293" ca="1">IFERROR(_xlfn.IFS(OR($M293="",$AM293=""),"",OR($C293="Offered",$C293="Joined"),($AM293-$M293)-$AT293),"")</f>
        <v/>
      </c>
      <c r="AX293" s="32" t="str" cm="1">
        <f t="array" aca="1" ref="AX293" ca="1">IFERROR(_xlfn.IFS(OR($M293="",$AS293=""),"",$C293="Joined",($AS293-$M293)-$AT293),"")</f>
        <v/>
      </c>
      <c r="AY293" s="30" t="str">
        <f>IFERROR(IF(COUNTIFS('Candidate Tracker'!$E:$E,'Positions Tracker'!$B293,'Candidate Tracker'!$C:$C,"Offer Drop")=0,"",COUNTIFS('Candidate Tracker'!$E:$E,'Positions Tracker'!$B293,'Candidate Tracker'!$C:$C,"Offer Drop")),"")</f>
        <v/>
      </c>
      <c r="AZ29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3" s="34" t="str">
        <f>IFERROR(IF(COUNTIFS('Candidate Tracker'!$E:$E,'Positions Tracker'!$B293,'Candidate Tracker'!$I:$I,"Female")=0,"",COUNTIFS('Candidate Tracker'!$E:$E,'Positions Tracker'!$B293,'Candidate Tracker'!$I:$I,"Female")),"")</f>
        <v/>
      </c>
      <c r="BB293" s="34" t="str">
        <f>IFERROR(IF(COUNTIFS('Candidate Tracker'!$E:$E,'Positions Tracker'!$B293,'Candidate Tracker'!$I:$I,"male")=0,"",COUNTIFS('Candidate Tracker'!$E:$E,'Positions Tracker'!$B293,'Candidate Tracker'!$I:$I,"male")),"")</f>
        <v/>
      </c>
      <c r="BC293" s="33" t="str">
        <f>IFERROR(IF(COUNTIFS('Candidate Tracker'!$E:$E,'Positions Tracker'!$B293,'Candidate Tracker'!$C:$C,"&lt;&gt;WIP",'Candidate Tracker'!$C:$C,"&lt;&gt;Hold",'Candidate Tracker'!$C:$C,"&lt;&gt;Cancelled",'Candidate Tracker'!$C:$C,"&lt;&gt;Closed")/COUNTIFS('Candidate Tracker'!$E:$E,'Positions Tracker'!$B293)=0,"",COUNTIFS('Candidate Tracker'!$E:$E,'Positions Tracker'!$B293,'Candidate Tracker'!$C:$C,"&lt;&gt;WIP",'Candidate Tracker'!$C:$C,"&lt;&gt;Hold",'Candidate Tracker'!$C:$C,"&lt;&gt;Cancelled",'Candidate Tracker'!$C:$C,"&lt;&gt;Closed")/COUNTIFS('Candidate Tracker'!$E:$E,'Positions Tracker'!$B293)),"")</f>
        <v/>
      </c>
      <c r="BD293" s="30" t="str">
        <f t="shared" si="39"/>
        <v/>
      </c>
      <c r="BE293" s="30" t="str">
        <f t="shared" si="40"/>
        <v/>
      </c>
      <c r="BF293" s="30" t="str">
        <f t="shared" si="41"/>
        <v/>
      </c>
      <c r="BG293" s="30" t="str">
        <f t="shared" si="42"/>
        <v/>
      </c>
    </row>
    <row r="294" spans="1:59">
      <c r="A294" s="39"/>
      <c r="B294" s="39"/>
      <c r="C294" s="39"/>
      <c r="D294" s="39"/>
      <c r="E294" s="39"/>
      <c r="F294" s="39"/>
      <c r="G294" s="39"/>
      <c r="H294" s="39"/>
      <c r="I294" s="40"/>
      <c r="J294" s="40"/>
      <c r="K294" s="35"/>
      <c r="L294" s="35"/>
      <c r="M294" s="35"/>
      <c r="N294" s="39"/>
      <c r="O294" s="39"/>
      <c r="P294" s="39"/>
      <c r="Q294" s="39"/>
      <c r="R294" s="39"/>
      <c r="S294" s="39"/>
      <c r="T294" s="39"/>
      <c r="U294" s="39"/>
      <c r="V294" s="39"/>
      <c r="W294" s="39"/>
      <c r="X294" s="39"/>
      <c r="Y294" s="39"/>
      <c r="Z294" s="39"/>
      <c r="AA294" s="39"/>
      <c r="AB294" s="39"/>
      <c r="AC294" s="39"/>
      <c r="AD294" s="39"/>
      <c r="AE294" s="39"/>
      <c r="AF294" s="39"/>
      <c r="AG294" s="39"/>
      <c r="AH294" s="39"/>
      <c r="AI294" s="35"/>
      <c r="AJ294" s="39"/>
      <c r="AK294" s="39"/>
      <c r="AL294" s="39"/>
      <c r="AM294" s="35"/>
      <c r="AN294" s="35"/>
      <c r="AO294" s="39"/>
      <c r="AP294" s="39"/>
      <c r="AQ294" s="35"/>
      <c r="AR294" s="35"/>
      <c r="AS294" s="35"/>
      <c r="AT294" s="30">
        <f t="shared" ca="1" si="38"/>
        <v>0</v>
      </c>
      <c r="AU294" s="32" t="str">
        <f t="shared" ca="1" si="37"/>
        <v/>
      </c>
      <c r="AV294" s="32" t="str" cm="1">
        <f t="array" aca="1" ref="AV294" ca="1">IFERROR(_xlfn.IFS($AU294="","",$AU294&lt;=15,"0-15",AND($AU294&gt;=16,$AU294&lt;=30),"16-30",AND($AU294&gt;=31,$AU294&lt;=45),"31-45",AND($AU294&gt;=46,$AU294&lt;=60),"46-60",AND($AU294&gt;=61,$AU294&lt;=90),"61-90",AND($AU294&gt;=91),"&gt; 90",AND($AU294&gt;=2000),""),"")</f>
        <v/>
      </c>
      <c r="AW294" s="32" t="str" cm="1">
        <f t="array" aca="1" ref="AW294" ca="1">IFERROR(_xlfn.IFS(OR($M294="",$AM294=""),"",OR($C294="Offered",$C294="Joined"),($AM294-$M294)-$AT294),"")</f>
        <v/>
      </c>
      <c r="AX294" s="32" t="str" cm="1">
        <f t="array" aca="1" ref="AX294" ca="1">IFERROR(_xlfn.IFS(OR($M294="",$AS294=""),"",$C294="Joined",($AS294-$M294)-$AT294),"")</f>
        <v/>
      </c>
      <c r="AY294" s="30" t="str">
        <f>IFERROR(IF(COUNTIFS('Candidate Tracker'!$E:$E,'Positions Tracker'!$B294,'Candidate Tracker'!$C:$C,"Offer Drop")=0,"",COUNTIFS('Candidate Tracker'!$E:$E,'Positions Tracker'!$B294,'Candidate Tracker'!$C:$C,"Offer Drop")),"")</f>
        <v/>
      </c>
      <c r="AZ29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4" s="34" t="str">
        <f>IFERROR(IF(COUNTIFS('Candidate Tracker'!$E:$E,'Positions Tracker'!$B294,'Candidate Tracker'!$I:$I,"Female")=0,"",COUNTIFS('Candidate Tracker'!$E:$E,'Positions Tracker'!$B294,'Candidate Tracker'!$I:$I,"Female")),"")</f>
        <v/>
      </c>
      <c r="BB294" s="34" t="str">
        <f>IFERROR(IF(COUNTIFS('Candidate Tracker'!$E:$E,'Positions Tracker'!$B294,'Candidate Tracker'!$I:$I,"male")=0,"",COUNTIFS('Candidate Tracker'!$E:$E,'Positions Tracker'!$B294,'Candidate Tracker'!$I:$I,"male")),"")</f>
        <v/>
      </c>
      <c r="BC294" s="33" t="str">
        <f>IFERROR(IF(COUNTIFS('Candidate Tracker'!$E:$E,'Positions Tracker'!$B294,'Candidate Tracker'!$C:$C,"&lt;&gt;WIP",'Candidate Tracker'!$C:$C,"&lt;&gt;Hold",'Candidate Tracker'!$C:$C,"&lt;&gt;Cancelled",'Candidate Tracker'!$C:$C,"&lt;&gt;Closed")/COUNTIFS('Candidate Tracker'!$E:$E,'Positions Tracker'!$B294)=0,"",COUNTIFS('Candidate Tracker'!$E:$E,'Positions Tracker'!$B294,'Candidate Tracker'!$C:$C,"&lt;&gt;WIP",'Candidate Tracker'!$C:$C,"&lt;&gt;Hold",'Candidate Tracker'!$C:$C,"&lt;&gt;Cancelled",'Candidate Tracker'!$C:$C,"&lt;&gt;Closed")/COUNTIFS('Candidate Tracker'!$E:$E,'Positions Tracker'!$B294)),"")</f>
        <v/>
      </c>
      <c r="BD294" s="30" t="str">
        <f t="shared" si="39"/>
        <v/>
      </c>
      <c r="BE294" s="30" t="str">
        <f t="shared" si="40"/>
        <v/>
      </c>
      <c r="BF294" s="30" t="str">
        <f t="shared" si="41"/>
        <v/>
      </c>
      <c r="BG294" s="30" t="str">
        <f t="shared" si="42"/>
        <v/>
      </c>
    </row>
    <row r="295" spans="1:59">
      <c r="A295" s="39"/>
      <c r="B295" s="39"/>
      <c r="C295" s="39"/>
      <c r="D295" s="39"/>
      <c r="E295" s="39"/>
      <c r="F295" s="39"/>
      <c r="G295" s="39"/>
      <c r="H295" s="39"/>
      <c r="I295" s="40"/>
      <c r="J295" s="40"/>
      <c r="K295" s="35"/>
      <c r="L295" s="35"/>
      <c r="M295" s="35"/>
      <c r="N295" s="39"/>
      <c r="O295" s="39"/>
      <c r="P295" s="39"/>
      <c r="Q295" s="39"/>
      <c r="R295" s="39"/>
      <c r="S295" s="39"/>
      <c r="T295" s="39"/>
      <c r="U295" s="39"/>
      <c r="V295" s="39"/>
      <c r="W295" s="39"/>
      <c r="X295" s="39"/>
      <c r="Y295" s="39"/>
      <c r="Z295" s="39"/>
      <c r="AA295" s="39"/>
      <c r="AB295" s="39"/>
      <c r="AC295" s="39"/>
      <c r="AD295" s="39"/>
      <c r="AE295" s="39"/>
      <c r="AF295" s="39"/>
      <c r="AG295" s="39"/>
      <c r="AH295" s="39"/>
      <c r="AI295" s="35"/>
      <c r="AJ295" s="39"/>
      <c r="AK295" s="39"/>
      <c r="AL295" s="39"/>
      <c r="AM295" s="35"/>
      <c r="AN295" s="35"/>
      <c r="AO295" s="39"/>
      <c r="AP295" s="39"/>
      <c r="AQ295" s="35"/>
      <c r="AR295" s="35"/>
      <c r="AS295" s="35"/>
      <c r="AT295" s="30">
        <f t="shared" ca="1" si="38"/>
        <v>0</v>
      </c>
      <c r="AU295" s="32" t="str">
        <f t="shared" ca="1" si="37"/>
        <v/>
      </c>
      <c r="AV295" s="32" t="str" cm="1">
        <f t="array" aca="1" ref="AV295" ca="1">IFERROR(_xlfn.IFS($AU295="","",$AU295&lt;=15,"0-15",AND($AU295&gt;=16,$AU295&lt;=30),"16-30",AND($AU295&gt;=31,$AU295&lt;=45),"31-45",AND($AU295&gt;=46,$AU295&lt;=60),"46-60",AND($AU295&gt;=61,$AU295&lt;=90),"61-90",AND($AU295&gt;=91),"&gt; 90",AND($AU295&gt;=2000),""),"")</f>
        <v/>
      </c>
      <c r="AW295" s="32" t="str" cm="1">
        <f t="array" aca="1" ref="AW295" ca="1">IFERROR(_xlfn.IFS(OR($M295="",$AM295=""),"",OR($C295="Offered",$C295="Joined"),($AM295-$M295)-$AT295),"")</f>
        <v/>
      </c>
      <c r="AX295" s="32" t="str" cm="1">
        <f t="array" aca="1" ref="AX295" ca="1">IFERROR(_xlfn.IFS(OR($M295="",$AS295=""),"",$C295="Joined",($AS295-$M295)-$AT295),"")</f>
        <v/>
      </c>
      <c r="AY295" s="30" t="str">
        <f>IFERROR(IF(COUNTIFS('Candidate Tracker'!$E:$E,'Positions Tracker'!$B295,'Candidate Tracker'!$C:$C,"Offer Drop")=0,"",COUNTIFS('Candidate Tracker'!$E:$E,'Positions Tracker'!$B295,'Candidate Tracker'!$C:$C,"Offer Drop")),"")</f>
        <v/>
      </c>
      <c r="AZ29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5" s="34" t="str">
        <f>IFERROR(IF(COUNTIFS('Candidate Tracker'!$E:$E,'Positions Tracker'!$B295,'Candidate Tracker'!$I:$I,"Female")=0,"",COUNTIFS('Candidate Tracker'!$E:$E,'Positions Tracker'!$B295,'Candidate Tracker'!$I:$I,"Female")),"")</f>
        <v/>
      </c>
      <c r="BB295" s="34" t="str">
        <f>IFERROR(IF(COUNTIFS('Candidate Tracker'!$E:$E,'Positions Tracker'!$B295,'Candidate Tracker'!$I:$I,"male")=0,"",COUNTIFS('Candidate Tracker'!$E:$E,'Positions Tracker'!$B295,'Candidate Tracker'!$I:$I,"male")),"")</f>
        <v/>
      </c>
      <c r="BC295" s="33" t="str">
        <f>IFERROR(IF(COUNTIFS('Candidate Tracker'!$E:$E,'Positions Tracker'!$B295,'Candidate Tracker'!$C:$C,"&lt;&gt;WIP",'Candidate Tracker'!$C:$C,"&lt;&gt;Hold",'Candidate Tracker'!$C:$C,"&lt;&gt;Cancelled",'Candidate Tracker'!$C:$C,"&lt;&gt;Closed")/COUNTIFS('Candidate Tracker'!$E:$E,'Positions Tracker'!$B295)=0,"",COUNTIFS('Candidate Tracker'!$E:$E,'Positions Tracker'!$B295,'Candidate Tracker'!$C:$C,"&lt;&gt;WIP",'Candidate Tracker'!$C:$C,"&lt;&gt;Hold",'Candidate Tracker'!$C:$C,"&lt;&gt;Cancelled",'Candidate Tracker'!$C:$C,"&lt;&gt;Closed")/COUNTIFS('Candidate Tracker'!$E:$E,'Positions Tracker'!$B295)),"")</f>
        <v/>
      </c>
      <c r="BD295" s="30" t="str">
        <f t="shared" si="39"/>
        <v/>
      </c>
      <c r="BE295" s="30" t="str">
        <f t="shared" si="40"/>
        <v/>
      </c>
      <c r="BF295" s="30" t="str">
        <f t="shared" si="41"/>
        <v/>
      </c>
      <c r="BG295" s="30" t="str">
        <f t="shared" si="42"/>
        <v/>
      </c>
    </row>
    <row r="296" spans="1:59">
      <c r="A296" s="39"/>
      <c r="B296" s="39"/>
      <c r="C296" s="39"/>
      <c r="D296" s="39"/>
      <c r="E296" s="39"/>
      <c r="F296" s="39"/>
      <c r="G296" s="39"/>
      <c r="H296" s="39"/>
      <c r="I296" s="40"/>
      <c r="J296" s="40"/>
      <c r="K296" s="35"/>
      <c r="L296" s="35"/>
      <c r="M296" s="35"/>
      <c r="N296" s="39"/>
      <c r="O296" s="39"/>
      <c r="P296" s="39"/>
      <c r="Q296" s="39"/>
      <c r="R296" s="39"/>
      <c r="S296" s="39"/>
      <c r="T296" s="39"/>
      <c r="U296" s="39"/>
      <c r="V296" s="39"/>
      <c r="W296" s="39"/>
      <c r="X296" s="39"/>
      <c r="Y296" s="39"/>
      <c r="Z296" s="39"/>
      <c r="AA296" s="39"/>
      <c r="AB296" s="39"/>
      <c r="AC296" s="39"/>
      <c r="AD296" s="39"/>
      <c r="AE296" s="39"/>
      <c r="AF296" s="39"/>
      <c r="AG296" s="39"/>
      <c r="AH296" s="39"/>
      <c r="AI296" s="35"/>
      <c r="AJ296" s="39"/>
      <c r="AK296" s="39"/>
      <c r="AL296" s="39"/>
      <c r="AM296" s="35"/>
      <c r="AN296" s="35"/>
      <c r="AO296" s="39"/>
      <c r="AP296" s="39"/>
      <c r="AQ296" s="35"/>
      <c r="AR296" s="35"/>
      <c r="AS296" s="35"/>
      <c r="AT296" s="30">
        <f t="shared" ca="1" si="38"/>
        <v>0</v>
      </c>
      <c r="AU296" s="32" t="str">
        <f t="shared" ca="1" si="37"/>
        <v/>
      </c>
      <c r="AV296" s="32" t="str" cm="1">
        <f t="array" aca="1" ref="AV296" ca="1">IFERROR(_xlfn.IFS($AU296="","",$AU296&lt;=15,"0-15",AND($AU296&gt;=16,$AU296&lt;=30),"16-30",AND($AU296&gt;=31,$AU296&lt;=45),"31-45",AND($AU296&gt;=46,$AU296&lt;=60),"46-60",AND($AU296&gt;=61,$AU296&lt;=90),"61-90",AND($AU296&gt;=91),"&gt; 90",AND($AU296&gt;=2000),""),"")</f>
        <v/>
      </c>
      <c r="AW296" s="32" t="str" cm="1">
        <f t="array" aca="1" ref="AW296" ca="1">IFERROR(_xlfn.IFS(OR($M296="",$AM296=""),"",OR($C296="Offered",$C296="Joined"),($AM296-$M296)-$AT296),"")</f>
        <v/>
      </c>
      <c r="AX296" s="32" t="str" cm="1">
        <f t="array" aca="1" ref="AX296" ca="1">IFERROR(_xlfn.IFS(OR($M296="",$AS296=""),"",$C296="Joined",($AS296-$M296)-$AT296),"")</f>
        <v/>
      </c>
      <c r="AY296" s="30" t="str">
        <f>IFERROR(IF(COUNTIFS('Candidate Tracker'!$E:$E,'Positions Tracker'!$B296,'Candidate Tracker'!$C:$C,"Offer Drop")=0,"",COUNTIFS('Candidate Tracker'!$E:$E,'Positions Tracker'!$B296,'Candidate Tracker'!$C:$C,"Offer Drop")),"")</f>
        <v/>
      </c>
      <c r="AZ29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6" s="34" t="str">
        <f>IFERROR(IF(COUNTIFS('Candidate Tracker'!$E:$E,'Positions Tracker'!$B296,'Candidate Tracker'!$I:$I,"Female")=0,"",COUNTIFS('Candidate Tracker'!$E:$E,'Positions Tracker'!$B296,'Candidate Tracker'!$I:$I,"Female")),"")</f>
        <v/>
      </c>
      <c r="BB296" s="34" t="str">
        <f>IFERROR(IF(COUNTIFS('Candidate Tracker'!$E:$E,'Positions Tracker'!$B296,'Candidate Tracker'!$I:$I,"male")=0,"",COUNTIFS('Candidate Tracker'!$E:$E,'Positions Tracker'!$B296,'Candidate Tracker'!$I:$I,"male")),"")</f>
        <v/>
      </c>
      <c r="BC296" s="33" t="str">
        <f>IFERROR(IF(COUNTIFS('Candidate Tracker'!$E:$E,'Positions Tracker'!$B296,'Candidate Tracker'!$C:$C,"&lt;&gt;WIP",'Candidate Tracker'!$C:$C,"&lt;&gt;Hold",'Candidate Tracker'!$C:$C,"&lt;&gt;Cancelled",'Candidate Tracker'!$C:$C,"&lt;&gt;Closed")/COUNTIFS('Candidate Tracker'!$E:$E,'Positions Tracker'!$B296)=0,"",COUNTIFS('Candidate Tracker'!$E:$E,'Positions Tracker'!$B296,'Candidate Tracker'!$C:$C,"&lt;&gt;WIP",'Candidate Tracker'!$C:$C,"&lt;&gt;Hold",'Candidate Tracker'!$C:$C,"&lt;&gt;Cancelled",'Candidate Tracker'!$C:$C,"&lt;&gt;Closed")/COUNTIFS('Candidate Tracker'!$E:$E,'Positions Tracker'!$B296)),"")</f>
        <v/>
      </c>
      <c r="BD296" s="30" t="str">
        <f t="shared" si="39"/>
        <v/>
      </c>
      <c r="BE296" s="30" t="str">
        <f t="shared" si="40"/>
        <v/>
      </c>
      <c r="BF296" s="30" t="str">
        <f t="shared" si="41"/>
        <v/>
      </c>
      <c r="BG296" s="30" t="str">
        <f t="shared" si="42"/>
        <v/>
      </c>
    </row>
    <row r="297" spans="1:59">
      <c r="A297" s="39"/>
      <c r="B297" s="39"/>
      <c r="C297" s="39"/>
      <c r="D297" s="39"/>
      <c r="E297" s="39"/>
      <c r="F297" s="39"/>
      <c r="G297" s="39"/>
      <c r="H297" s="39"/>
      <c r="I297" s="40"/>
      <c r="J297" s="40"/>
      <c r="K297" s="35"/>
      <c r="L297" s="35"/>
      <c r="M297" s="35"/>
      <c r="N297" s="39"/>
      <c r="O297" s="39"/>
      <c r="P297" s="39"/>
      <c r="Q297" s="39"/>
      <c r="R297" s="39"/>
      <c r="S297" s="39"/>
      <c r="T297" s="39"/>
      <c r="U297" s="39"/>
      <c r="V297" s="39"/>
      <c r="W297" s="39"/>
      <c r="X297" s="39"/>
      <c r="Y297" s="39"/>
      <c r="Z297" s="39"/>
      <c r="AA297" s="39"/>
      <c r="AB297" s="39"/>
      <c r="AC297" s="39"/>
      <c r="AD297" s="39"/>
      <c r="AE297" s="39"/>
      <c r="AF297" s="39"/>
      <c r="AG297" s="39"/>
      <c r="AH297" s="39"/>
      <c r="AI297" s="35"/>
      <c r="AJ297" s="39"/>
      <c r="AK297" s="39"/>
      <c r="AL297" s="39"/>
      <c r="AM297" s="35"/>
      <c r="AN297" s="35"/>
      <c r="AO297" s="39"/>
      <c r="AP297" s="39"/>
      <c r="AQ297" s="35"/>
      <c r="AR297" s="35"/>
      <c r="AS297" s="35"/>
      <c r="AT297" s="30">
        <f t="shared" ca="1" si="38"/>
        <v>0</v>
      </c>
      <c r="AU297" s="32" t="str">
        <f t="shared" ca="1" si="37"/>
        <v/>
      </c>
      <c r="AV297" s="32" t="str" cm="1">
        <f t="array" aca="1" ref="AV297" ca="1">IFERROR(_xlfn.IFS($AU297="","",$AU297&lt;=15,"0-15",AND($AU297&gt;=16,$AU297&lt;=30),"16-30",AND($AU297&gt;=31,$AU297&lt;=45),"31-45",AND($AU297&gt;=46,$AU297&lt;=60),"46-60",AND($AU297&gt;=61,$AU297&lt;=90),"61-90",AND($AU297&gt;=91),"&gt; 90",AND($AU297&gt;=2000),""),"")</f>
        <v/>
      </c>
      <c r="AW297" s="32" t="str" cm="1">
        <f t="array" aca="1" ref="AW297" ca="1">IFERROR(_xlfn.IFS(OR($M297="",$AM297=""),"",OR($C297="Offered",$C297="Joined"),($AM297-$M297)-$AT297),"")</f>
        <v/>
      </c>
      <c r="AX297" s="32" t="str" cm="1">
        <f t="array" aca="1" ref="AX297" ca="1">IFERROR(_xlfn.IFS(OR($M297="",$AS297=""),"",$C297="Joined",($AS297-$M297)-$AT297),"")</f>
        <v/>
      </c>
      <c r="AY297" s="30" t="str">
        <f>IFERROR(IF(COUNTIFS('Candidate Tracker'!$E:$E,'Positions Tracker'!$B297,'Candidate Tracker'!$C:$C,"Offer Drop")=0,"",COUNTIFS('Candidate Tracker'!$E:$E,'Positions Tracker'!$B297,'Candidate Tracker'!$C:$C,"Offer Drop")),"")</f>
        <v/>
      </c>
      <c r="AZ29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7" s="34" t="str">
        <f>IFERROR(IF(COUNTIFS('Candidate Tracker'!$E:$E,'Positions Tracker'!$B297,'Candidate Tracker'!$I:$I,"Female")=0,"",COUNTIFS('Candidate Tracker'!$E:$E,'Positions Tracker'!$B297,'Candidate Tracker'!$I:$I,"Female")),"")</f>
        <v/>
      </c>
      <c r="BB297" s="34" t="str">
        <f>IFERROR(IF(COUNTIFS('Candidate Tracker'!$E:$E,'Positions Tracker'!$B297,'Candidate Tracker'!$I:$I,"male")=0,"",COUNTIFS('Candidate Tracker'!$E:$E,'Positions Tracker'!$B297,'Candidate Tracker'!$I:$I,"male")),"")</f>
        <v/>
      </c>
      <c r="BC297" s="33" t="str">
        <f>IFERROR(IF(COUNTIFS('Candidate Tracker'!$E:$E,'Positions Tracker'!$B297,'Candidate Tracker'!$C:$C,"&lt;&gt;WIP",'Candidate Tracker'!$C:$C,"&lt;&gt;Hold",'Candidate Tracker'!$C:$C,"&lt;&gt;Cancelled",'Candidate Tracker'!$C:$C,"&lt;&gt;Closed")/COUNTIFS('Candidate Tracker'!$E:$E,'Positions Tracker'!$B297)=0,"",COUNTIFS('Candidate Tracker'!$E:$E,'Positions Tracker'!$B297,'Candidate Tracker'!$C:$C,"&lt;&gt;WIP",'Candidate Tracker'!$C:$C,"&lt;&gt;Hold",'Candidate Tracker'!$C:$C,"&lt;&gt;Cancelled",'Candidate Tracker'!$C:$C,"&lt;&gt;Closed")/COUNTIFS('Candidate Tracker'!$E:$E,'Positions Tracker'!$B297)),"")</f>
        <v/>
      </c>
      <c r="BD297" s="30" t="str">
        <f t="shared" si="39"/>
        <v/>
      </c>
      <c r="BE297" s="30" t="str">
        <f t="shared" si="40"/>
        <v/>
      </c>
      <c r="BF297" s="30" t="str">
        <f t="shared" si="41"/>
        <v/>
      </c>
      <c r="BG297" s="30" t="str">
        <f t="shared" si="42"/>
        <v/>
      </c>
    </row>
    <row r="298" spans="1:59">
      <c r="A298" s="39"/>
      <c r="B298" s="39"/>
      <c r="C298" s="39"/>
      <c r="D298" s="39"/>
      <c r="E298" s="39"/>
      <c r="F298" s="39"/>
      <c r="G298" s="39"/>
      <c r="H298" s="39"/>
      <c r="I298" s="40"/>
      <c r="J298" s="40"/>
      <c r="K298" s="35"/>
      <c r="L298" s="35"/>
      <c r="M298" s="35"/>
      <c r="N298" s="39"/>
      <c r="O298" s="39"/>
      <c r="P298" s="39"/>
      <c r="Q298" s="39"/>
      <c r="R298" s="39"/>
      <c r="S298" s="39"/>
      <c r="T298" s="39"/>
      <c r="U298" s="39"/>
      <c r="V298" s="39"/>
      <c r="W298" s="39"/>
      <c r="X298" s="39"/>
      <c r="Y298" s="39"/>
      <c r="Z298" s="39"/>
      <c r="AA298" s="39"/>
      <c r="AB298" s="39"/>
      <c r="AC298" s="39"/>
      <c r="AD298" s="39"/>
      <c r="AE298" s="39"/>
      <c r="AF298" s="39"/>
      <c r="AG298" s="39"/>
      <c r="AH298" s="39"/>
      <c r="AI298" s="35"/>
      <c r="AJ298" s="39"/>
      <c r="AK298" s="39"/>
      <c r="AL298" s="39"/>
      <c r="AM298" s="35"/>
      <c r="AN298" s="35"/>
      <c r="AO298" s="39"/>
      <c r="AP298" s="39"/>
      <c r="AQ298" s="35"/>
      <c r="AR298" s="35"/>
      <c r="AS298" s="35"/>
      <c r="AT298" s="30">
        <f t="shared" ca="1" si="38"/>
        <v>0</v>
      </c>
      <c r="AU298" s="32" t="str">
        <f t="shared" ca="1" si="37"/>
        <v/>
      </c>
      <c r="AV298" s="32" t="str" cm="1">
        <f t="array" aca="1" ref="AV298" ca="1">IFERROR(_xlfn.IFS($AU298="","",$AU298&lt;=15,"0-15",AND($AU298&gt;=16,$AU298&lt;=30),"16-30",AND($AU298&gt;=31,$AU298&lt;=45),"31-45",AND($AU298&gt;=46,$AU298&lt;=60),"46-60",AND($AU298&gt;=61,$AU298&lt;=90),"61-90",AND($AU298&gt;=91),"&gt; 90",AND($AU298&gt;=2000),""),"")</f>
        <v/>
      </c>
      <c r="AW298" s="32" t="str" cm="1">
        <f t="array" aca="1" ref="AW298" ca="1">IFERROR(_xlfn.IFS(OR($M298="",$AM298=""),"",OR($C298="Offered",$C298="Joined"),($AM298-$M298)-$AT298),"")</f>
        <v/>
      </c>
      <c r="AX298" s="32" t="str" cm="1">
        <f t="array" aca="1" ref="AX298" ca="1">IFERROR(_xlfn.IFS(OR($M298="",$AS298=""),"",$C298="Joined",($AS298-$M298)-$AT298),"")</f>
        <v/>
      </c>
      <c r="AY298" s="30" t="str">
        <f>IFERROR(IF(COUNTIFS('Candidate Tracker'!$E:$E,'Positions Tracker'!$B298,'Candidate Tracker'!$C:$C,"Offer Drop")=0,"",COUNTIFS('Candidate Tracker'!$E:$E,'Positions Tracker'!$B298,'Candidate Tracker'!$C:$C,"Offer Drop")),"")</f>
        <v/>
      </c>
      <c r="AZ29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8" s="34" t="str">
        <f>IFERROR(IF(COUNTIFS('Candidate Tracker'!$E:$E,'Positions Tracker'!$B298,'Candidate Tracker'!$I:$I,"Female")=0,"",COUNTIFS('Candidate Tracker'!$E:$E,'Positions Tracker'!$B298,'Candidate Tracker'!$I:$I,"Female")),"")</f>
        <v/>
      </c>
      <c r="BB298" s="34" t="str">
        <f>IFERROR(IF(COUNTIFS('Candidate Tracker'!$E:$E,'Positions Tracker'!$B298,'Candidate Tracker'!$I:$I,"male")=0,"",COUNTIFS('Candidate Tracker'!$E:$E,'Positions Tracker'!$B298,'Candidate Tracker'!$I:$I,"male")),"")</f>
        <v/>
      </c>
      <c r="BC298" s="33" t="str">
        <f>IFERROR(IF(COUNTIFS('Candidate Tracker'!$E:$E,'Positions Tracker'!$B298,'Candidate Tracker'!$C:$C,"&lt;&gt;WIP",'Candidate Tracker'!$C:$C,"&lt;&gt;Hold",'Candidate Tracker'!$C:$C,"&lt;&gt;Cancelled",'Candidate Tracker'!$C:$C,"&lt;&gt;Closed")/COUNTIFS('Candidate Tracker'!$E:$E,'Positions Tracker'!$B298)=0,"",COUNTIFS('Candidate Tracker'!$E:$E,'Positions Tracker'!$B298,'Candidate Tracker'!$C:$C,"&lt;&gt;WIP",'Candidate Tracker'!$C:$C,"&lt;&gt;Hold",'Candidate Tracker'!$C:$C,"&lt;&gt;Cancelled",'Candidate Tracker'!$C:$C,"&lt;&gt;Closed")/COUNTIFS('Candidate Tracker'!$E:$E,'Positions Tracker'!$B298)),"")</f>
        <v/>
      </c>
      <c r="BD298" s="30" t="str">
        <f t="shared" si="39"/>
        <v/>
      </c>
      <c r="BE298" s="30" t="str">
        <f t="shared" si="40"/>
        <v/>
      </c>
      <c r="BF298" s="30" t="str">
        <f t="shared" si="41"/>
        <v/>
      </c>
      <c r="BG298" s="30" t="str">
        <f t="shared" si="42"/>
        <v/>
      </c>
    </row>
    <row r="299" spans="1:59">
      <c r="A299" s="39"/>
      <c r="B299" s="39"/>
      <c r="C299" s="39"/>
      <c r="D299" s="39"/>
      <c r="E299" s="39"/>
      <c r="F299" s="39"/>
      <c r="G299" s="39"/>
      <c r="H299" s="39"/>
      <c r="I299" s="40"/>
      <c r="J299" s="40"/>
      <c r="K299" s="35"/>
      <c r="L299" s="35"/>
      <c r="M299" s="35"/>
      <c r="N299" s="39"/>
      <c r="O299" s="39"/>
      <c r="P299" s="39"/>
      <c r="Q299" s="39"/>
      <c r="R299" s="39"/>
      <c r="S299" s="39"/>
      <c r="T299" s="39"/>
      <c r="U299" s="39"/>
      <c r="V299" s="39"/>
      <c r="W299" s="39"/>
      <c r="X299" s="39"/>
      <c r="Y299" s="39"/>
      <c r="Z299" s="39"/>
      <c r="AA299" s="39"/>
      <c r="AB299" s="39"/>
      <c r="AC299" s="39"/>
      <c r="AD299" s="39"/>
      <c r="AE299" s="39"/>
      <c r="AF299" s="39"/>
      <c r="AG299" s="39"/>
      <c r="AH299" s="39"/>
      <c r="AI299" s="35"/>
      <c r="AJ299" s="39"/>
      <c r="AK299" s="39"/>
      <c r="AL299" s="39"/>
      <c r="AM299" s="35"/>
      <c r="AN299" s="35"/>
      <c r="AO299" s="39"/>
      <c r="AP299" s="39"/>
      <c r="AQ299" s="35"/>
      <c r="AR299" s="35"/>
      <c r="AS299" s="35"/>
      <c r="AT299" s="30">
        <f t="shared" ca="1" si="38"/>
        <v>0</v>
      </c>
      <c r="AU299" s="32" t="str">
        <f t="shared" ca="1" si="37"/>
        <v/>
      </c>
      <c r="AV299" s="32" t="str" cm="1">
        <f t="array" aca="1" ref="AV299" ca="1">IFERROR(_xlfn.IFS($AU299="","",$AU299&lt;=15,"0-15",AND($AU299&gt;=16,$AU299&lt;=30),"16-30",AND($AU299&gt;=31,$AU299&lt;=45),"31-45",AND($AU299&gt;=46,$AU299&lt;=60),"46-60",AND($AU299&gt;=61,$AU299&lt;=90),"61-90",AND($AU299&gt;=91),"&gt; 90",AND($AU299&gt;=2000),""),"")</f>
        <v/>
      </c>
      <c r="AW299" s="32" t="str" cm="1">
        <f t="array" aca="1" ref="AW299" ca="1">IFERROR(_xlfn.IFS(OR($M299="",$AM299=""),"",OR($C299="Offered",$C299="Joined"),($AM299-$M299)-$AT299),"")</f>
        <v/>
      </c>
      <c r="AX299" s="32" t="str" cm="1">
        <f t="array" aca="1" ref="AX299" ca="1">IFERROR(_xlfn.IFS(OR($M299="",$AS299=""),"",$C299="Joined",($AS299-$M299)-$AT299),"")</f>
        <v/>
      </c>
      <c r="AY299" s="30" t="str">
        <f>IFERROR(IF(COUNTIFS('Candidate Tracker'!$E:$E,'Positions Tracker'!$B299,'Candidate Tracker'!$C:$C,"Offer Drop")=0,"",COUNTIFS('Candidate Tracker'!$E:$E,'Positions Tracker'!$B299,'Candidate Tracker'!$C:$C,"Offer Drop")),"")</f>
        <v/>
      </c>
      <c r="AZ29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299" s="34" t="str">
        <f>IFERROR(IF(COUNTIFS('Candidate Tracker'!$E:$E,'Positions Tracker'!$B299,'Candidate Tracker'!$I:$I,"Female")=0,"",COUNTIFS('Candidate Tracker'!$E:$E,'Positions Tracker'!$B299,'Candidate Tracker'!$I:$I,"Female")),"")</f>
        <v/>
      </c>
      <c r="BB299" s="34" t="str">
        <f>IFERROR(IF(COUNTIFS('Candidate Tracker'!$E:$E,'Positions Tracker'!$B299,'Candidate Tracker'!$I:$I,"male")=0,"",COUNTIFS('Candidate Tracker'!$E:$E,'Positions Tracker'!$B299,'Candidate Tracker'!$I:$I,"male")),"")</f>
        <v/>
      </c>
      <c r="BC299" s="33" t="str">
        <f>IFERROR(IF(COUNTIFS('Candidate Tracker'!$E:$E,'Positions Tracker'!$B299,'Candidate Tracker'!$C:$C,"&lt;&gt;WIP",'Candidate Tracker'!$C:$C,"&lt;&gt;Hold",'Candidate Tracker'!$C:$C,"&lt;&gt;Cancelled",'Candidate Tracker'!$C:$C,"&lt;&gt;Closed")/COUNTIFS('Candidate Tracker'!$E:$E,'Positions Tracker'!$B299)=0,"",COUNTIFS('Candidate Tracker'!$E:$E,'Positions Tracker'!$B299,'Candidate Tracker'!$C:$C,"&lt;&gt;WIP",'Candidate Tracker'!$C:$C,"&lt;&gt;Hold",'Candidate Tracker'!$C:$C,"&lt;&gt;Cancelled",'Candidate Tracker'!$C:$C,"&lt;&gt;Closed")/COUNTIFS('Candidate Tracker'!$E:$E,'Positions Tracker'!$B299)),"")</f>
        <v/>
      </c>
      <c r="BD299" s="30" t="str">
        <f t="shared" si="39"/>
        <v/>
      </c>
      <c r="BE299" s="30" t="str">
        <f t="shared" si="40"/>
        <v/>
      </c>
      <c r="BF299" s="30" t="str">
        <f t="shared" si="41"/>
        <v/>
      </c>
      <c r="BG299" s="30" t="str">
        <f t="shared" si="42"/>
        <v/>
      </c>
    </row>
    <row r="300" spans="1:59">
      <c r="A300" s="39"/>
      <c r="B300" s="39"/>
      <c r="C300" s="39"/>
      <c r="D300" s="39"/>
      <c r="E300" s="39"/>
      <c r="F300" s="39"/>
      <c r="G300" s="39"/>
      <c r="H300" s="39"/>
      <c r="I300" s="40"/>
      <c r="J300" s="40"/>
      <c r="K300" s="35"/>
      <c r="L300" s="35"/>
      <c r="M300" s="35"/>
      <c r="N300" s="39"/>
      <c r="O300" s="39"/>
      <c r="P300" s="39"/>
      <c r="Q300" s="39"/>
      <c r="R300" s="39"/>
      <c r="S300" s="39"/>
      <c r="T300" s="39"/>
      <c r="U300" s="39"/>
      <c r="V300" s="39"/>
      <c r="W300" s="39"/>
      <c r="X300" s="39"/>
      <c r="Y300" s="39"/>
      <c r="Z300" s="39"/>
      <c r="AA300" s="39"/>
      <c r="AB300" s="39"/>
      <c r="AC300" s="39"/>
      <c r="AD300" s="39"/>
      <c r="AE300" s="39"/>
      <c r="AF300" s="39"/>
      <c r="AG300" s="39"/>
      <c r="AH300" s="39"/>
      <c r="AI300" s="35"/>
      <c r="AJ300" s="39"/>
      <c r="AK300" s="39"/>
      <c r="AL300" s="39"/>
      <c r="AM300" s="35"/>
      <c r="AN300" s="35"/>
      <c r="AO300" s="39"/>
      <c r="AP300" s="39"/>
      <c r="AQ300" s="35"/>
      <c r="AR300" s="35"/>
      <c r="AS300" s="35"/>
      <c r="AT300" s="30">
        <f t="shared" ca="1" si="38"/>
        <v>0</v>
      </c>
      <c r="AU300" s="32" t="str">
        <f t="shared" ca="1" si="37"/>
        <v/>
      </c>
      <c r="AV300" s="32" t="str" cm="1">
        <f t="array" aca="1" ref="AV300" ca="1">IFERROR(_xlfn.IFS($AU300="","",$AU300&lt;=15,"0-15",AND($AU300&gt;=16,$AU300&lt;=30),"16-30",AND($AU300&gt;=31,$AU300&lt;=45),"31-45",AND($AU300&gt;=46,$AU300&lt;=60),"46-60",AND($AU300&gt;=61,$AU300&lt;=90),"61-90",AND($AU300&gt;=91),"&gt; 90",AND($AU300&gt;=2000),""),"")</f>
        <v/>
      </c>
      <c r="AW300" s="32" t="str" cm="1">
        <f t="array" aca="1" ref="AW300" ca="1">IFERROR(_xlfn.IFS(OR($M300="",$AM300=""),"",OR($C300="Offered",$C300="Joined"),($AM300-$M300)-$AT300),"")</f>
        <v/>
      </c>
      <c r="AX300" s="32" t="str" cm="1">
        <f t="array" aca="1" ref="AX300" ca="1">IFERROR(_xlfn.IFS(OR($M300="",$AS300=""),"",$C300="Joined",($AS300-$M300)-$AT300),"")</f>
        <v/>
      </c>
      <c r="AY300" s="30" t="str">
        <f>IFERROR(IF(COUNTIFS('Candidate Tracker'!$E:$E,'Positions Tracker'!$B300,'Candidate Tracker'!$C:$C,"Offer Drop")=0,"",COUNTIFS('Candidate Tracker'!$E:$E,'Positions Tracker'!$B300,'Candidate Tracker'!$C:$C,"Offer Drop")),"")</f>
        <v/>
      </c>
      <c r="AZ30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0" s="34" t="str">
        <f>IFERROR(IF(COUNTIFS('Candidate Tracker'!$E:$E,'Positions Tracker'!$B300,'Candidate Tracker'!$I:$I,"Female")=0,"",COUNTIFS('Candidate Tracker'!$E:$E,'Positions Tracker'!$B300,'Candidate Tracker'!$I:$I,"Female")),"")</f>
        <v/>
      </c>
      <c r="BB300" s="34" t="str">
        <f>IFERROR(IF(COUNTIFS('Candidate Tracker'!$E:$E,'Positions Tracker'!$B300,'Candidate Tracker'!$I:$I,"male")=0,"",COUNTIFS('Candidate Tracker'!$E:$E,'Positions Tracker'!$B300,'Candidate Tracker'!$I:$I,"male")),"")</f>
        <v/>
      </c>
      <c r="BC300" s="33" t="str">
        <f>IFERROR(IF(COUNTIFS('Candidate Tracker'!$E:$E,'Positions Tracker'!$B300,'Candidate Tracker'!$C:$C,"&lt;&gt;WIP",'Candidate Tracker'!$C:$C,"&lt;&gt;Hold",'Candidate Tracker'!$C:$C,"&lt;&gt;Cancelled",'Candidate Tracker'!$C:$C,"&lt;&gt;Closed")/COUNTIFS('Candidate Tracker'!$E:$E,'Positions Tracker'!$B300)=0,"",COUNTIFS('Candidate Tracker'!$E:$E,'Positions Tracker'!$B300,'Candidate Tracker'!$C:$C,"&lt;&gt;WIP",'Candidate Tracker'!$C:$C,"&lt;&gt;Hold",'Candidate Tracker'!$C:$C,"&lt;&gt;Cancelled",'Candidate Tracker'!$C:$C,"&lt;&gt;Closed")/COUNTIFS('Candidate Tracker'!$E:$E,'Positions Tracker'!$B300)),"")</f>
        <v/>
      </c>
      <c r="BD300" s="30" t="str">
        <f t="shared" si="39"/>
        <v/>
      </c>
      <c r="BE300" s="30" t="str">
        <f t="shared" si="40"/>
        <v/>
      </c>
      <c r="BF300" s="30" t="str">
        <f t="shared" si="41"/>
        <v/>
      </c>
      <c r="BG300" s="30" t="str">
        <f t="shared" si="42"/>
        <v/>
      </c>
    </row>
    <row r="301" spans="1:59">
      <c r="A301" s="39"/>
      <c r="B301" s="39"/>
      <c r="C301" s="39"/>
      <c r="D301" s="39"/>
      <c r="E301" s="39"/>
      <c r="F301" s="39"/>
      <c r="G301" s="39"/>
      <c r="H301" s="39"/>
      <c r="I301" s="40"/>
      <c r="J301" s="40"/>
      <c r="K301" s="35"/>
      <c r="L301" s="35"/>
      <c r="M301" s="35"/>
      <c r="N301" s="39"/>
      <c r="O301" s="39"/>
      <c r="P301" s="39"/>
      <c r="Q301" s="39"/>
      <c r="R301" s="39"/>
      <c r="S301" s="39"/>
      <c r="T301" s="39"/>
      <c r="U301" s="39"/>
      <c r="V301" s="39"/>
      <c r="W301" s="39"/>
      <c r="X301" s="39"/>
      <c r="Y301" s="39"/>
      <c r="Z301" s="39"/>
      <c r="AA301" s="39"/>
      <c r="AB301" s="39"/>
      <c r="AC301" s="39"/>
      <c r="AD301" s="39"/>
      <c r="AE301" s="39"/>
      <c r="AF301" s="39"/>
      <c r="AG301" s="39"/>
      <c r="AH301" s="39"/>
      <c r="AI301" s="35"/>
      <c r="AJ301" s="39"/>
      <c r="AK301" s="39"/>
      <c r="AL301" s="39"/>
      <c r="AM301" s="35"/>
      <c r="AN301" s="35"/>
      <c r="AO301" s="39"/>
      <c r="AP301" s="39"/>
      <c r="AQ301" s="35"/>
      <c r="AR301" s="35"/>
      <c r="AS301" s="35"/>
      <c r="AT301" s="30">
        <f t="shared" ca="1" si="38"/>
        <v>0</v>
      </c>
      <c r="AU301" s="32" t="str">
        <f t="shared" ca="1" si="37"/>
        <v/>
      </c>
      <c r="AV301" s="32" t="str" cm="1">
        <f t="array" aca="1" ref="AV301" ca="1">IFERROR(_xlfn.IFS($AU301="","",$AU301&lt;=15,"0-15",AND($AU301&gt;=16,$AU301&lt;=30),"16-30",AND($AU301&gt;=31,$AU301&lt;=45),"31-45",AND($AU301&gt;=46,$AU301&lt;=60),"46-60",AND($AU301&gt;=61,$AU301&lt;=90),"61-90",AND($AU301&gt;=91),"&gt; 90",AND($AU301&gt;=2000),""),"")</f>
        <v/>
      </c>
      <c r="AW301" s="32" t="str" cm="1">
        <f t="array" aca="1" ref="AW301" ca="1">IFERROR(_xlfn.IFS(OR($M301="",$AM301=""),"",OR($C301="Offered",$C301="Joined"),($AM301-$M301)-$AT301),"")</f>
        <v/>
      </c>
      <c r="AX301" s="32" t="str" cm="1">
        <f t="array" aca="1" ref="AX301" ca="1">IFERROR(_xlfn.IFS(OR($M301="",$AS301=""),"",$C301="Joined",($AS301-$M301)-$AT301),"")</f>
        <v/>
      </c>
      <c r="AY301" s="30" t="str">
        <f>IFERROR(IF(COUNTIFS('Candidate Tracker'!$E:$E,'Positions Tracker'!$B301,'Candidate Tracker'!$C:$C,"Offer Drop")=0,"",COUNTIFS('Candidate Tracker'!$E:$E,'Positions Tracker'!$B301,'Candidate Tracker'!$C:$C,"Offer Drop")),"")</f>
        <v/>
      </c>
      <c r="AZ30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1" s="34" t="str">
        <f>IFERROR(IF(COUNTIFS('Candidate Tracker'!$E:$E,'Positions Tracker'!$B301,'Candidate Tracker'!$I:$I,"Female")=0,"",COUNTIFS('Candidate Tracker'!$E:$E,'Positions Tracker'!$B301,'Candidate Tracker'!$I:$I,"Female")),"")</f>
        <v/>
      </c>
      <c r="BB301" s="34" t="str">
        <f>IFERROR(IF(COUNTIFS('Candidate Tracker'!$E:$E,'Positions Tracker'!$B301,'Candidate Tracker'!$I:$I,"male")=0,"",COUNTIFS('Candidate Tracker'!$E:$E,'Positions Tracker'!$B301,'Candidate Tracker'!$I:$I,"male")),"")</f>
        <v/>
      </c>
      <c r="BC301" s="33" t="str">
        <f>IFERROR(IF(COUNTIFS('Candidate Tracker'!$E:$E,'Positions Tracker'!$B301,'Candidate Tracker'!$C:$C,"&lt;&gt;WIP",'Candidate Tracker'!$C:$C,"&lt;&gt;Hold",'Candidate Tracker'!$C:$C,"&lt;&gt;Cancelled",'Candidate Tracker'!$C:$C,"&lt;&gt;Closed")/COUNTIFS('Candidate Tracker'!$E:$E,'Positions Tracker'!$B301)=0,"",COUNTIFS('Candidate Tracker'!$E:$E,'Positions Tracker'!$B301,'Candidate Tracker'!$C:$C,"&lt;&gt;WIP",'Candidate Tracker'!$C:$C,"&lt;&gt;Hold",'Candidate Tracker'!$C:$C,"&lt;&gt;Cancelled",'Candidate Tracker'!$C:$C,"&lt;&gt;Closed")/COUNTIFS('Candidate Tracker'!$E:$E,'Positions Tracker'!$B301)),"")</f>
        <v/>
      </c>
      <c r="BD301" s="30" t="str">
        <f t="shared" si="39"/>
        <v/>
      </c>
      <c r="BE301" s="30" t="str">
        <f t="shared" si="40"/>
        <v/>
      </c>
      <c r="BF301" s="30" t="str">
        <f t="shared" si="41"/>
        <v/>
      </c>
      <c r="BG301" s="30" t="str">
        <f t="shared" si="42"/>
        <v/>
      </c>
    </row>
    <row r="302" spans="1:59">
      <c r="A302" s="39"/>
      <c r="B302" s="39"/>
      <c r="C302" s="39"/>
      <c r="D302" s="39"/>
      <c r="E302" s="39"/>
      <c r="F302" s="39"/>
      <c r="G302" s="39"/>
      <c r="H302" s="39"/>
      <c r="I302" s="40"/>
      <c r="J302" s="40"/>
      <c r="K302" s="35"/>
      <c r="L302" s="35"/>
      <c r="M302" s="35"/>
      <c r="N302" s="39"/>
      <c r="O302" s="39"/>
      <c r="P302" s="39"/>
      <c r="Q302" s="39"/>
      <c r="R302" s="39"/>
      <c r="S302" s="39"/>
      <c r="T302" s="39"/>
      <c r="U302" s="39"/>
      <c r="V302" s="39"/>
      <c r="W302" s="39"/>
      <c r="X302" s="39"/>
      <c r="Y302" s="39"/>
      <c r="Z302" s="39"/>
      <c r="AA302" s="39"/>
      <c r="AB302" s="39"/>
      <c r="AC302" s="39"/>
      <c r="AD302" s="39"/>
      <c r="AE302" s="39"/>
      <c r="AF302" s="39"/>
      <c r="AG302" s="39"/>
      <c r="AH302" s="39"/>
      <c r="AI302" s="35"/>
      <c r="AJ302" s="39"/>
      <c r="AK302" s="39"/>
      <c r="AL302" s="39"/>
      <c r="AM302" s="35"/>
      <c r="AN302" s="35"/>
      <c r="AO302" s="39"/>
      <c r="AP302" s="39"/>
      <c r="AQ302" s="35"/>
      <c r="AR302" s="35"/>
      <c r="AS302" s="35"/>
      <c r="AT302" s="30">
        <f t="shared" ca="1" si="38"/>
        <v>0</v>
      </c>
      <c r="AU302" s="32" t="str">
        <f t="shared" ca="1" si="37"/>
        <v/>
      </c>
      <c r="AV302" s="32" t="str" cm="1">
        <f t="array" aca="1" ref="AV302" ca="1">IFERROR(_xlfn.IFS($AU302="","",$AU302&lt;=15,"0-15",AND($AU302&gt;=16,$AU302&lt;=30),"16-30",AND($AU302&gt;=31,$AU302&lt;=45),"31-45",AND($AU302&gt;=46,$AU302&lt;=60),"46-60",AND($AU302&gt;=61,$AU302&lt;=90),"61-90",AND($AU302&gt;=91),"&gt; 90",AND($AU302&gt;=2000),""),"")</f>
        <v/>
      </c>
      <c r="AW302" s="32" t="str" cm="1">
        <f t="array" aca="1" ref="AW302" ca="1">IFERROR(_xlfn.IFS(OR($M302="",$AM302=""),"",OR($C302="Offered",$C302="Joined"),($AM302-$M302)-$AT302),"")</f>
        <v/>
      </c>
      <c r="AX302" s="32" t="str" cm="1">
        <f t="array" aca="1" ref="AX302" ca="1">IFERROR(_xlfn.IFS(OR($M302="",$AS302=""),"",$C302="Joined",($AS302-$M302)-$AT302),"")</f>
        <v/>
      </c>
      <c r="AY302" s="30" t="str">
        <f>IFERROR(IF(COUNTIFS('Candidate Tracker'!$E:$E,'Positions Tracker'!$B302,'Candidate Tracker'!$C:$C,"Offer Drop")=0,"",COUNTIFS('Candidate Tracker'!$E:$E,'Positions Tracker'!$B302,'Candidate Tracker'!$C:$C,"Offer Drop")),"")</f>
        <v/>
      </c>
      <c r="AZ30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2" s="34" t="str">
        <f>IFERROR(IF(COUNTIFS('Candidate Tracker'!$E:$E,'Positions Tracker'!$B302,'Candidate Tracker'!$I:$I,"Female")=0,"",COUNTIFS('Candidate Tracker'!$E:$E,'Positions Tracker'!$B302,'Candidate Tracker'!$I:$I,"Female")),"")</f>
        <v/>
      </c>
      <c r="BB302" s="34" t="str">
        <f>IFERROR(IF(COUNTIFS('Candidate Tracker'!$E:$E,'Positions Tracker'!$B302,'Candidate Tracker'!$I:$I,"male")=0,"",COUNTIFS('Candidate Tracker'!$E:$E,'Positions Tracker'!$B302,'Candidate Tracker'!$I:$I,"male")),"")</f>
        <v/>
      </c>
      <c r="BC302" s="33" t="str">
        <f>IFERROR(IF(COUNTIFS('Candidate Tracker'!$E:$E,'Positions Tracker'!$B302,'Candidate Tracker'!$C:$C,"&lt;&gt;WIP",'Candidate Tracker'!$C:$C,"&lt;&gt;Hold",'Candidate Tracker'!$C:$C,"&lt;&gt;Cancelled",'Candidate Tracker'!$C:$C,"&lt;&gt;Closed")/COUNTIFS('Candidate Tracker'!$E:$E,'Positions Tracker'!$B302)=0,"",COUNTIFS('Candidate Tracker'!$E:$E,'Positions Tracker'!$B302,'Candidate Tracker'!$C:$C,"&lt;&gt;WIP",'Candidate Tracker'!$C:$C,"&lt;&gt;Hold",'Candidate Tracker'!$C:$C,"&lt;&gt;Cancelled",'Candidate Tracker'!$C:$C,"&lt;&gt;Closed")/COUNTIFS('Candidate Tracker'!$E:$E,'Positions Tracker'!$B302)),"")</f>
        <v/>
      </c>
      <c r="BD302" s="30" t="str">
        <f t="shared" si="39"/>
        <v/>
      </c>
      <c r="BE302" s="30" t="str">
        <f t="shared" si="40"/>
        <v/>
      </c>
      <c r="BF302" s="30" t="str">
        <f t="shared" si="41"/>
        <v/>
      </c>
      <c r="BG302" s="30" t="str">
        <f t="shared" si="42"/>
        <v/>
      </c>
    </row>
    <row r="303" spans="1:59">
      <c r="A303" s="39"/>
      <c r="B303" s="39"/>
      <c r="C303" s="39"/>
      <c r="D303" s="39"/>
      <c r="E303" s="39"/>
      <c r="F303" s="39"/>
      <c r="G303" s="39"/>
      <c r="H303" s="39"/>
      <c r="I303" s="40"/>
      <c r="J303" s="40"/>
      <c r="K303" s="35"/>
      <c r="L303" s="35"/>
      <c r="M303" s="35"/>
      <c r="N303" s="39"/>
      <c r="O303" s="39"/>
      <c r="P303" s="39"/>
      <c r="Q303" s="39"/>
      <c r="R303" s="39"/>
      <c r="S303" s="39"/>
      <c r="T303" s="39"/>
      <c r="U303" s="39"/>
      <c r="V303" s="39"/>
      <c r="W303" s="39"/>
      <c r="X303" s="39"/>
      <c r="Y303" s="39"/>
      <c r="Z303" s="39"/>
      <c r="AA303" s="39"/>
      <c r="AB303" s="39"/>
      <c r="AC303" s="39"/>
      <c r="AD303" s="39"/>
      <c r="AE303" s="39"/>
      <c r="AF303" s="39"/>
      <c r="AG303" s="39"/>
      <c r="AH303" s="39"/>
      <c r="AI303" s="35"/>
      <c r="AJ303" s="39"/>
      <c r="AK303" s="39"/>
      <c r="AL303" s="39"/>
      <c r="AM303" s="35"/>
      <c r="AN303" s="35"/>
      <c r="AO303" s="39"/>
      <c r="AP303" s="39"/>
      <c r="AQ303" s="35"/>
      <c r="AR303" s="35"/>
      <c r="AS303" s="35"/>
      <c r="AT303" s="30">
        <f t="shared" ca="1" si="38"/>
        <v>0</v>
      </c>
      <c r="AU303" s="32" t="str">
        <f t="shared" ca="1" si="37"/>
        <v/>
      </c>
      <c r="AV303" s="32" t="str" cm="1">
        <f t="array" aca="1" ref="AV303" ca="1">IFERROR(_xlfn.IFS($AU303="","",$AU303&lt;=15,"0-15",AND($AU303&gt;=16,$AU303&lt;=30),"16-30",AND($AU303&gt;=31,$AU303&lt;=45),"31-45",AND($AU303&gt;=46,$AU303&lt;=60),"46-60",AND($AU303&gt;=61,$AU303&lt;=90),"61-90",AND($AU303&gt;=91),"&gt; 90",AND($AU303&gt;=2000),""),"")</f>
        <v/>
      </c>
      <c r="AW303" s="32" t="str" cm="1">
        <f t="array" aca="1" ref="AW303" ca="1">IFERROR(_xlfn.IFS(OR($M303="",$AM303=""),"",OR($C303="Offered",$C303="Joined"),($AM303-$M303)-$AT303),"")</f>
        <v/>
      </c>
      <c r="AX303" s="32" t="str" cm="1">
        <f t="array" aca="1" ref="AX303" ca="1">IFERROR(_xlfn.IFS(OR($M303="",$AS303=""),"",$C303="Joined",($AS303-$M303)-$AT303),"")</f>
        <v/>
      </c>
      <c r="AY303" s="30" t="str">
        <f>IFERROR(IF(COUNTIFS('Candidate Tracker'!$E:$E,'Positions Tracker'!$B303,'Candidate Tracker'!$C:$C,"Offer Drop")=0,"",COUNTIFS('Candidate Tracker'!$E:$E,'Positions Tracker'!$B303,'Candidate Tracker'!$C:$C,"Offer Drop")),"")</f>
        <v/>
      </c>
      <c r="AZ30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3" s="34" t="str">
        <f>IFERROR(IF(COUNTIFS('Candidate Tracker'!$E:$E,'Positions Tracker'!$B303,'Candidate Tracker'!$I:$I,"Female")=0,"",COUNTIFS('Candidate Tracker'!$E:$E,'Positions Tracker'!$B303,'Candidate Tracker'!$I:$I,"Female")),"")</f>
        <v/>
      </c>
      <c r="BB303" s="34" t="str">
        <f>IFERROR(IF(COUNTIFS('Candidate Tracker'!$E:$E,'Positions Tracker'!$B303,'Candidate Tracker'!$I:$I,"male")=0,"",COUNTIFS('Candidate Tracker'!$E:$E,'Positions Tracker'!$B303,'Candidate Tracker'!$I:$I,"male")),"")</f>
        <v/>
      </c>
      <c r="BC303" s="33" t="str">
        <f>IFERROR(IF(COUNTIFS('Candidate Tracker'!$E:$E,'Positions Tracker'!$B303,'Candidate Tracker'!$C:$C,"&lt;&gt;WIP",'Candidate Tracker'!$C:$C,"&lt;&gt;Hold",'Candidate Tracker'!$C:$C,"&lt;&gt;Cancelled",'Candidate Tracker'!$C:$C,"&lt;&gt;Closed")/COUNTIFS('Candidate Tracker'!$E:$E,'Positions Tracker'!$B303)=0,"",COUNTIFS('Candidate Tracker'!$E:$E,'Positions Tracker'!$B303,'Candidate Tracker'!$C:$C,"&lt;&gt;WIP",'Candidate Tracker'!$C:$C,"&lt;&gt;Hold",'Candidate Tracker'!$C:$C,"&lt;&gt;Cancelled",'Candidate Tracker'!$C:$C,"&lt;&gt;Closed")/COUNTIFS('Candidate Tracker'!$E:$E,'Positions Tracker'!$B303)),"")</f>
        <v/>
      </c>
      <c r="BD303" s="30" t="str">
        <f t="shared" si="39"/>
        <v/>
      </c>
      <c r="BE303" s="30" t="str">
        <f t="shared" si="40"/>
        <v/>
      </c>
      <c r="BF303" s="30" t="str">
        <f t="shared" si="41"/>
        <v/>
      </c>
      <c r="BG303" s="30" t="str">
        <f t="shared" si="42"/>
        <v/>
      </c>
    </row>
    <row r="304" spans="1:59">
      <c r="A304" s="39"/>
      <c r="B304" s="39"/>
      <c r="C304" s="39"/>
      <c r="D304" s="39"/>
      <c r="E304" s="39"/>
      <c r="F304" s="39"/>
      <c r="G304" s="39"/>
      <c r="H304" s="39"/>
      <c r="I304" s="40"/>
      <c r="J304" s="40"/>
      <c r="K304" s="35"/>
      <c r="L304" s="35"/>
      <c r="M304" s="35"/>
      <c r="N304" s="39"/>
      <c r="O304" s="39"/>
      <c r="P304" s="39"/>
      <c r="Q304" s="39"/>
      <c r="R304" s="39"/>
      <c r="S304" s="39"/>
      <c r="T304" s="39"/>
      <c r="U304" s="39"/>
      <c r="V304" s="39"/>
      <c r="W304" s="39"/>
      <c r="X304" s="39"/>
      <c r="Y304" s="39"/>
      <c r="Z304" s="39"/>
      <c r="AA304" s="39"/>
      <c r="AB304" s="39"/>
      <c r="AC304" s="39"/>
      <c r="AD304" s="39"/>
      <c r="AE304" s="39"/>
      <c r="AF304" s="39"/>
      <c r="AG304" s="39"/>
      <c r="AH304" s="39"/>
      <c r="AI304" s="35"/>
      <c r="AJ304" s="39"/>
      <c r="AK304" s="39"/>
      <c r="AL304" s="39"/>
      <c r="AM304" s="35"/>
      <c r="AN304" s="35"/>
      <c r="AO304" s="39"/>
      <c r="AP304" s="39"/>
      <c r="AQ304" s="35"/>
      <c r="AR304" s="35"/>
      <c r="AS304" s="35"/>
      <c r="AT304" s="30">
        <f t="shared" ca="1" si="38"/>
        <v>0</v>
      </c>
      <c r="AU304" s="32" t="str">
        <f t="shared" ca="1" si="37"/>
        <v/>
      </c>
      <c r="AV304" s="32" t="str" cm="1">
        <f t="array" aca="1" ref="AV304" ca="1">IFERROR(_xlfn.IFS($AU304="","",$AU304&lt;=15,"0-15",AND($AU304&gt;=16,$AU304&lt;=30),"16-30",AND($AU304&gt;=31,$AU304&lt;=45),"31-45",AND($AU304&gt;=46,$AU304&lt;=60),"46-60",AND($AU304&gt;=61,$AU304&lt;=90),"61-90",AND($AU304&gt;=91),"&gt; 90",AND($AU304&gt;=2000),""),"")</f>
        <v/>
      </c>
      <c r="AW304" s="32" t="str" cm="1">
        <f t="array" aca="1" ref="AW304" ca="1">IFERROR(_xlfn.IFS(OR($M304="",$AM304=""),"",OR($C304="Offered",$C304="Joined"),($AM304-$M304)-$AT304),"")</f>
        <v/>
      </c>
      <c r="AX304" s="32" t="str" cm="1">
        <f t="array" aca="1" ref="AX304" ca="1">IFERROR(_xlfn.IFS(OR($M304="",$AS304=""),"",$C304="Joined",($AS304-$M304)-$AT304),"")</f>
        <v/>
      </c>
      <c r="AY304" s="30" t="str">
        <f>IFERROR(IF(COUNTIFS('Candidate Tracker'!$E:$E,'Positions Tracker'!$B304,'Candidate Tracker'!$C:$C,"Offer Drop")=0,"",COUNTIFS('Candidate Tracker'!$E:$E,'Positions Tracker'!$B304,'Candidate Tracker'!$C:$C,"Offer Drop")),"")</f>
        <v/>
      </c>
      <c r="AZ30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4" s="34" t="str">
        <f>IFERROR(IF(COUNTIFS('Candidate Tracker'!$E:$E,'Positions Tracker'!$B304,'Candidate Tracker'!$I:$I,"Female")=0,"",COUNTIFS('Candidate Tracker'!$E:$E,'Positions Tracker'!$B304,'Candidate Tracker'!$I:$I,"Female")),"")</f>
        <v/>
      </c>
      <c r="BB304" s="34" t="str">
        <f>IFERROR(IF(COUNTIFS('Candidate Tracker'!$E:$E,'Positions Tracker'!$B304,'Candidate Tracker'!$I:$I,"male")=0,"",COUNTIFS('Candidate Tracker'!$E:$E,'Positions Tracker'!$B304,'Candidate Tracker'!$I:$I,"male")),"")</f>
        <v/>
      </c>
      <c r="BC304" s="33" t="str">
        <f>IFERROR(IF(COUNTIFS('Candidate Tracker'!$E:$E,'Positions Tracker'!$B304,'Candidate Tracker'!$C:$C,"&lt;&gt;WIP",'Candidate Tracker'!$C:$C,"&lt;&gt;Hold",'Candidate Tracker'!$C:$C,"&lt;&gt;Cancelled",'Candidate Tracker'!$C:$C,"&lt;&gt;Closed")/COUNTIFS('Candidate Tracker'!$E:$E,'Positions Tracker'!$B304)=0,"",COUNTIFS('Candidate Tracker'!$E:$E,'Positions Tracker'!$B304,'Candidate Tracker'!$C:$C,"&lt;&gt;WIP",'Candidate Tracker'!$C:$C,"&lt;&gt;Hold",'Candidate Tracker'!$C:$C,"&lt;&gt;Cancelled",'Candidate Tracker'!$C:$C,"&lt;&gt;Closed")/COUNTIFS('Candidate Tracker'!$E:$E,'Positions Tracker'!$B304)),"")</f>
        <v/>
      </c>
      <c r="BD304" s="30" t="str">
        <f t="shared" si="39"/>
        <v/>
      </c>
      <c r="BE304" s="30" t="str">
        <f t="shared" si="40"/>
        <v/>
      </c>
      <c r="BF304" s="30" t="str">
        <f t="shared" si="41"/>
        <v/>
      </c>
      <c r="BG304" s="30" t="str">
        <f t="shared" si="42"/>
        <v/>
      </c>
    </row>
    <row r="305" spans="1:59">
      <c r="A305" s="39"/>
      <c r="B305" s="39"/>
      <c r="C305" s="39"/>
      <c r="D305" s="39"/>
      <c r="E305" s="39"/>
      <c r="F305" s="39"/>
      <c r="G305" s="39"/>
      <c r="H305" s="39"/>
      <c r="I305" s="40"/>
      <c r="J305" s="40"/>
      <c r="K305" s="35"/>
      <c r="L305" s="35"/>
      <c r="M305" s="35"/>
      <c r="N305" s="39"/>
      <c r="O305" s="39"/>
      <c r="P305" s="39"/>
      <c r="Q305" s="39"/>
      <c r="R305" s="39"/>
      <c r="S305" s="39"/>
      <c r="T305" s="39"/>
      <c r="U305" s="39"/>
      <c r="V305" s="39"/>
      <c r="W305" s="39"/>
      <c r="X305" s="39"/>
      <c r="Y305" s="39"/>
      <c r="Z305" s="39"/>
      <c r="AA305" s="39"/>
      <c r="AB305" s="39"/>
      <c r="AC305" s="39"/>
      <c r="AD305" s="39"/>
      <c r="AE305" s="39"/>
      <c r="AF305" s="39"/>
      <c r="AG305" s="39"/>
      <c r="AH305" s="39"/>
      <c r="AI305" s="35"/>
      <c r="AJ305" s="39"/>
      <c r="AK305" s="39"/>
      <c r="AL305" s="39"/>
      <c r="AM305" s="35"/>
      <c r="AN305" s="35"/>
      <c r="AO305" s="39"/>
      <c r="AP305" s="39"/>
      <c r="AQ305" s="35"/>
      <c r="AR305" s="35"/>
      <c r="AS305" s="35"/>
      <c r="AT305" s="30">
        <f t="shared" ca="1" si="38"/>
        <v>0</v>
      </c>
      <c r="AU305" s="32" t="str">
        <f t="shared" ca="1" si="37"/>
        <v/>
      </c>
      <c r="AV305" s="32" t="str" cm="1">
        <f t="array" aca="1" ref="AV305" ca="1">IFERROR(_xlfn.IFS($AU305="","",$AU305&lt;=15,"0-15",AND($AU305&gt;=16,$AU305&lt;=30),"16-30",AND($AU305&gt;=31,$AU305&lt;=45),"31-45",AND($AU305&gt;=46,$AU305&lt;=60),"46-60",AND($AU305&gt;=61,$AU305&lt;=90),"61-90",AND($AU305&gt;=91),"&gt; 90",AND($AU305&gt;=2000),""),"")</f>
        <v/>
      </c>
      <c r="AW305" s="32" t="str" cm="1">
        <f t="array" aca="1" ref="AW305" ca="1">IFERROR(_xlfn.IFS(OR($M305="",$AM305=""),"",OR($C305="Offered",$C305="Joined"),($AM305-$M305)-$AT305),"")</f>
        <v/>
      </c>
      <c r="AX305" s="32" t="str" cm="1">
        <f t="array" aca="1" ref="AX305" ca="1">IFERROR(_xlfn.IFS(OR($M305="",$AS305=""),"",$C305="Joined",($AS305-$M305)-$AT305),"")</f>
        <v/>
      </c>
      <c r="AY305" s="30" t="str">
        <f>IFERROR(IF(COUNTIFS('Candidate Tracker'!$E:$E,'Positions Tracker'!$B305,'Candidate Tracker'!$C:$C,"Offer Drop")=0,"",COUNTIFS('Candidate Tracker'!$E:$E,'Positions Tracker'!$B305,'Candidate Tracker'!$C:$C,"Offer Drop")),"")</f>
        <v/>
      </c>
      <c r="AZ30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5" s="34" t="str">
        <f>IFERROR(IF(COUNTIFS('Candidate Tracker'!$E:$E,'Positions Tracker'!$B305,'Candidate Tracker'!$I:$I,"Female")=0,"",COUNTIFS('Candidate Tracker'!$E:$E,'Positions Tracker'!$B305,'Candidate Tracker'!$I:$I,"Female")),"")</f>
        <v/>
      </c>
      <c r="BB305" s="34" t="str">
        <f>IFERROR(IF(COUNTIFS('Candidate Tracker'!$E:$E,'Positions Tracker'!$B305,'Candidate Tracker'!$I:$I,"male")=0,"",COUNTIFS('Candidate Tracker'!$E:$E,'Positions Tracker'!$B305,'Candidate Tracker'!$I:$I,"male")),"")</f>
        <v/>
      </c>
      <c r="BC305" s="33" t="str">
        <f>IFERROR(IF(COUNTIFS('Candidate Tracker'!$E:$E,'Positions Tracker'!$B305,'Candidate Tracker'!$C:$C,"&lt;&gt;WIP",'Candidate Tracker'!$C:$C,"&lt;&gt;Hold",'Candidate Tracker'!$C:$C,"&lt;&gt;Cancelled",'Candidate Tracker'!$C:$C,"&lt;&gt;Closed")/COUNTIFS('Candidate Tracker'!$E:$E,'Positions Tracker'!$B305)=0,"",COUNTIFS('Candidate Tracker'!$E:$E,'Positions Tracker'!$B305,'Candidate Tracker'!$C:$C,"&lt;&gt;WIP",'Candidate Tracker'!$C:$C,"&lt;&gt;Hold",'Candidate Tracker'!$C:$C,"&lt;&gt;Cancelled",'Candidate Tracker'!$C:$C,"&lt;&gt;Closed")/COUNTIFS('Candidate Tracker'!$E:$E,'Positions Tracker'!$B305)),"")</f>
        <v/>
      </c>
      <c r="BD305" s="30" t="str">
        <f t="shared" si="39"/>
        <v/>
      </c>
      <c r="BE305" s="30" t="str">
        <f t="shared" si="40"/>
        <v/>
      </c>
      <c r="BF305" s="30" t="str">
        <f t="shared" si="41"/>
        <v/>
      </c>
      <c r="BG305" s="30" t="str">
        <f t="shared" si="42"/>
        <v/>
      </c>
    </row>
    <row r="306" spans="1:59">
      <c r="A306" s="39"/>
      <c r="B306" s="39"/>
      <c r="C306" s="39"/>
      <c r="D306" s="39"/>
      <c r="E306" s="39"/>
      <c r="F306" s="39"/>
      <c r="G306" s="39"/>
      <c r="H306" s="39"/>
      <c r="I306" s="40"/>
      <c r="J306" s="40"/>
      <c r="K306" s="35"/>
      <c r="L306" s="35"/>
      <c r="M306" s="35"/>
      <c r="N306" s="39"/>
      <c r="O306" s="39"/>
      <c r="P306" s="39"/>
      <c r="Q306" s="39"/>
      <c r="R306" s="39"/>
      <c r="S306" s="39"/>
      <c r="T306" s="39"/>
      <c r="U306" s="39"/>
      <c r="V306" s="39"/>
      <c r="W306" s="39"/>
      <c r="X306" s="39"/>
      <c r="Y306" s="39"/>
      <c r="Z306" s="39"/>
      <c r="AA306" s="39"/>
      <c r="AB306" s="39"/>
      <c r="AC306" s="39"/>
      <c r="AD306" s="39"/>
      <c r="AE306" s="39"/>
      <c r="AF306" s="39"/>
      <c r="AG306" s="39"/>
      <c r="AH306" s="39"/>
      <c r="AI306" s="35"/>
      <c r="AJ306" s="39"/>
      <c r="AK306" s="39"/>
      <c r="AL306" s="39"/>
      <c r="AM306" s="35"/>
      <c r="AN306" s="35"/>
      <c r="AO306" s="39"/>
      <c r="AP306" s="39"/>
      <c r="AQ306" s="35"/>
      <c r="AR306" s="35"/>
      <c r="AS306" s="35"/>
      <c r="AT306" s="30">
        <f t="shared" ca="1" si="38"/>
        <v>0</v>
      </c>
      <c r="AU306" s="32" t="str">
        <f t="shared" ca="1" si="37"/>
        <v/>
      </c>
      <c r="AV306" s="32" t="str" cm="1">
        <f t="array" aca="1" ref="AV306" ca="1">IFERROR(_xlfn.IFS($AU306="","",$AU306&lt;=15,"0-15",AND($AU306&gt;=16,$AU306&lt;=30),"16-30",AND($AU306&gt;=31,$AU306&lt;=45),"31-45",AND($AU306&gt;=46,$AU306&lt;=60),"46-60",AND($AU306&gt;=61,$AU306&lt;=90),"61-90",AND($AU306&gt;=91),"&gt; 90",AND($AU306&gt;=2000),""),"")</f>
        <v/>
      </c>
      <c r="AW306" s="32" t="str" cm="1">
        <f t="array" aca="1" ref="AW306" ca="1">IFERROR(_xlfn.IFS(OR($M306="",$AM306=""),"",OR($C306="Offered",$C306="Joined"),($AM306-$M306)-$AT306),"")</f>
        <v/>
      </c>
      <c r="AX306" s="32" t="str" cm="1">
        <f t="array" aca="1" ref="AX306" ca="1">IFERROR(_xlfn.IFS(OR($M306="",$AS306=""),"",$C306="Joined",($AS306-$M306)-$AT306),"")</f>
        <v/>
      </c>
      <c r="AY306" s="30" t="str">
        <f>IFERROR(IF(COUNTIFS('Candidate Tracker'!$E:$E,'Positions Tracker'!$B306,'Candidate Tracker'!$C:$C,"Offer Drop")=0,"",COUNTIFS('Candidate Tracker'!$E:$E,'Positions Tracker'!$B306,'Candidate Tracker'!$C:$C,"Offer Drop")),"")</f>
        <v/>
      </c>
      <c r="AZ30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6" s="34" t="str">
        <f>IFERROR(IF(COUNTIFS('Candidate Tracker'!$E:$E,'Positions Tracker'!$B306,'Candidate Tracker'!$I:$I,"Female")=0,"",COUNTIFS('Candidate Tracker'!$E:$E,'Positions Tracker'!$B306,'Candidate Tracker'!$I:$I,"Female")),"")</f>
        <v/>
      </c>
      <c r="BB306" s="34" t="str">
        <f>IFERROR(IF(COUNTIFS('Candidate Tracker'!$E:$E,'Positions Tracker'!$B306,'Candidate Tracker'!$I:$I,"male")=0,"",COUNTIFS('Candidate Tracker'!$E:$E,'Positions Tracker'!$B306,'Candidate Tracker'!$I:$I,"male")),"")</f>
        <v/>
      </c>
      <c r="BC306" s="33" t="str">
        <f>IFERROR(IF(COUNTIFS('Candidate Tracker'!$E:$E,'Positions Tracker'!$B306,'Candidate Tracker'!$C:$C,"&lt;&gt;WIP",'Candidate Tracker'!$C:$C,"&lt;&gt;Hold",'Candidate Tracker'!$C:$C,"&lt;&gt;Cancelled",'Candidate Tracker'!$C:$C,"&lt;&gt;Closed")/COUNTIFS('Candidate Tracker'!$E:$E,'Positions Tracker'!$B306)=0,"",COUNTIFS('Candidate Tracker'!$E:$E,'Positions Tracker'!$B306,'Candidate Tracker'!$C:$C,"&lt;&gt;WIP",'Candidate Tracker'!$C:$C,"&lt;&gt;Hold",'Candidate Tracker'!$C:$C,"&lt;&gt;Cancelled",'Candidate Tracker'!$C:$C,"&lt;&gt;Closed")/COUNTIFS('Candidate Tracker'!$E:$E,'Positions Tracker'!$B306)),"")</f>
        <v/>
      </c>
      <c r="BD306" s="30" t="str">
        <f t="shared" si="39"/>
        <v/>
      </c>
      <c r="BE306" s="30" t="str">
        <f t="shared" si="40"/>
        <v/>
      </c>
      <c r="BF306" s="30" t="str">
        <f t="shared" si="41"/>
        <v/>
      </c>
      <c r="BG306" s="30" t="str">
        <f t="shared" si="42"/>
        <v/>
      </c>
    </row>
    <row r="307" spans="1:59">
      <c r="A307" s="39"/>
      <c r="B307" s="39"/>
      <c r="C307" s="39"/>
      <c r="D307" s="39"/>
      <c r="E307" s="39"/>
      <c r="F307" s="39"/>
      <c r="G307" s="39"/>
      <c r="H307" s="39"/>
      <c r="I307" s="40"/>
      <c r="J307" s="40"/>
      <c r="K307" s="35"/>
      <c r="L307" s="35"/>
      <c r="M307" s="35"/>
      <c r="N307" s="39"/>
      <c r="O307" s="39"/>
      <c r="P307" s="39"/>
      <c r="Q307" s="39"/>
      <c r="R307" s="39"/>
      <c r="S307" s="39"/>
      <c r="T307" s="39"/>
      <c r="U307" s="39"/>
      <c r="V307" s="39"/>
      <c r="W307" s="39"/>
      <c r="X307" s="39"/>
      <c r="Y307" s="39"/>
      <c r="Z307" s="39"/>
      <c r="AA307" s="39"/>
      <c r="AB307" s="39"/>
      <c r="AC307" s="39"/>
      <c r="AD307" s="39"/>
      <c r="AE307" s="39"/>
      <c r="AF307" s="39"/>
      <c r="AG307" s="39"/>
      <c r="AH307" s="39"/>
      <c r="AI307" s="35"/>
      <c r="AJ307" s="39"/>
      <c r="AK307" s="39"/>
      <c r="AL307" s="39"/>
      <c r="AM307" s="35"/>
      <c r="AN307" s="35"/>
      <c r="AO307" s="39"/>
      <c r="AP307" s="39"/>
      <c r="AQ307" s="35"/>
      <c r="AR307" s="35"/>
      <c r="AS307" s="35"/>
      <c r="AT307" s="30">
        <f t="shared" ca="1" si="38"/>
        <v>0</v>
      </c>
      <c r="AU307" s="32" t="str">
        <f t="shared" ca="1" si="37"/>
        <v/>
      </c>
      <c r="AV307" s="32" t="str" cm="1">
        <f t="array" aca="1" ref="AV307" ca="1">IFERROR(_xlfn.IFS($AU307="","",$AU307&lt;=15,"0-15",AND($AU307&gt;=16,$AU307&lt;=30),"16-30",AND($AU307&gt;=31,$AU307&lt;=45),"31-45",AND($AU307&gt;=46,$AU307&lt;=60),"46-60",AND($AU307&gt;=61,$AU307&lt;=90),"61-90",AND($AU307&gt;=91),"&gt; 90",AND($AU307&gt;=2000),""),"")</f>
        <v/>
      </c>
      <c r="AW307" s="32" t="str" cm="1">
        <f t="array" aca="1" ref="AW307" ca="1">IFERROR(_xlfn.IFS(OR($M307="",$AM307=""),"",OR($C307="Offered",$C307="Joined"),($AM307-$M307)-$AT307),"")</f>
        <v/>
      </c>
      <c r="AX307" s="32" t="str" cm="1">
        <f t="array" aca="1" ref="AX307" ca="1">IFERROR(_xlfn.IFS(OR($M307="",$AS307=""),"",$C307="Joined",($AS307-$M307)-$AT307),"")</f>
        <v/>
      </c>
      <c r="AY307" s="30" t="str">
        <f>IFERROR(IF(COUNTIFS('Candidate Tracker'!$E:$E,'Positions Tracker'!$B307,'Candidate Tracker'!$C:$C,"Offer Drop")=0,"",COUNTIFS('Candidate Tracker'!$E:$E,'Positions Tracker'!$B307,'Candidate Tracker'!$C:$C,"Offer Drop")),"")</f>
        <v/>
      </c>
      <c r="AZ30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7" s="34" t="str">
        <f>IFERROR(IF(COUNTIFS('Candidate Tracker'!$E:$E,'Positions Tracker'!$B307,'Candidate Tracker'!$I:$I,"Female")=0,"",COUNTIFS('Candidate Tracker'!$E:$E,'Positions Tracker'!$B307,'Candidate Tracker'!$I:$I,"Female")),"")</f>
        <v/>
      </c>
      <c r="BB307" s="34" t="str">
        <f>IFERROR(IF(COUNTIFS('Candidate Tracker'!$E:$E,'Positions Tracker'!$B307,'Candidate Tracker'!$I:$I,"male")=0,"",COUNTIFS('Candidate Tracker'!$E:$E,'Positions Tracker'!$B307,'Candidate Tracker'!$I:$I,"male")),"")</f>
        <v/>
      </c>
      <c r="BC307" s="33" t="str">
        <f>IFERROR(IF(COUNTIFS('Candidate Tracker'!$E:$E,'Positions Tracker'!$B307,'Candidate Tracker'!$C:$C,"&lt;&gt;WIP",'Candidate Tracker'!$C:$C,"&lt;&gt;Hold",'Candidate Tracker'!$C:$C,"&lt;&gt;Cancelled",'Candidate Tracker'!$C:$C,"&lt;&gt;Closed")/COUNTIFS('Candidate Tracker'!$E:$E,'Positions Tracker'!$B307)=0,"",COUNTIFS('Candidate Tracker'!$E:$E,'Positions Tracker'!$B307,'Candidate Tracker'!$C:$C,"&lt;&gt;WIP",'Candidate Tracker'!$C:$C,"&lt;&gt;Hold",'Candidate Tracker'!$C:$C,"&lt;&gt;Cancelled",'Candidate Tracker'!$C:$C,"&lt;&gt;Closed")/COUNTIFS('Candidate Tracker'!$E:$E,'Positions Tracker'!$B307)),"")</f>
        <v/>
      </c>
      <c r="BD307" s="30" t="str">
        <f t="shared" si="39"/>
        <v/>
      </c>
      <c r="BE307" s="30" t="str">
        <f t="shared" si="40"/>
        <v/>
      </c>
      <c r="BF307" s="30" t="str">
        <f t="shared" si="41"/>
        <v/>
      </c>
      <c r="BG307" s="30" t="str">
        <f t="shared" si="42"/>
        <v/>
      </c>
    </row>
    <row r="308" spans="1:59">
      <c r="A308" s="39"/>
      <c r="B308" s="39"/>
      <c r="C308" s="39"/>
      <c r="D308" s="39"/>
      <c r="E308" s="39"/>
      <c r="F308" s="39"/>
      <c r="G308" s="39"/>
      <c r="H308" s="39"/>
      <c r="I308" s="40"/>
      <c r="J308" s="40"/>
      <c r="K308" s="35"/>
      <c r="L308" s="35"/>
      <c r="M308" s="35"/>
      <c r="N308" s="39"/>
      <c r="O308" s="39"/>
      <c r="P308" s="39"/>
      <c r="Q308" s="39"/>
      <c r="R308" s="39"/>
      <c r="S308" s="39"/>
      <c r="T308" s="39"/>
      <c r="U308" s="39"/>
      <c r="V308" s="39"/>
      <c r="W308" s="39"/>
      <c r="X308" s="39"/>
      <c r="Y308" s="39"/>
      <c r="Z308" s="39"/>
      <c r="AA308" s="39"/>
      <c r="AB308" s="39"/>
      <c r="AC308" s="39"/>
      <c r="AD308" s="39"/>
      <c r="AE308" s="39"/>
      <c r="AF308" s="39"/>
      <c r="AG308" s="39"/>
      <c r="AH308" s="39"/>
      <c r="AI308" s="35"/>
      <c r="AJ308" s="39"/>
      <c r="AK308" s="39"/>
      <c r="AL308" s="39"/>
      <c r="AM308" s="35"/>
      <c r="AN308" s="35"/>
      <c r="AO308" s="39"/>
      <c r="AP308" s="39"/>
      <c r="AQ308" s="35"/>
      <c r="AR308" s="35"/>
      <c r="AS308" s="35"/>
      <c r="AT308" s="30">
        <f t="shared" ca="1" si="38"/>
        <v>0</v>
      </c>
      <c r="AU308" s="32" t="str">
        <f t="shared" ca="1" si="37"/>
        <v/>
      </c>
      <c r="AV308" s="32" t="str" cm="1">
        <f t="array" aca="1" ref="AV308" ca="1">IFERROR(_xlfn.IFS($AU308="","",$AU308&lt;=15,"0-15",AND($AU308&gt;=16,$AU308&lt;=30),"16-30",AND($AU308&gt;=31,$AU308&lt;=45),"31-45",AND($AU308&gt;=46,$AU308&lt;=60),"46-60",AND($AU308&gt;=61,$AU308&lt;=90),"61-90",AND($AU308&gt;=91),"&gt; 90",AND($AU308&gt;=2000),""),"")</f>
        <v/>
      </c>
      <c r="AW308" s="32" t="str" cm="1">
        <f t="array" aca="1" ref="AW308" ca="1">IFERROR(_xlfn.IFS(OR($M308="",$AM308=""),"",OR($C308="Offered",$C308="Joined"),($AM308-$M308)-$AT308),"")</f>
        <v/>
      </c>
      <c r="AX308" s="32" t="str" cm="1">
        <f t="array" aca="1" ref="AX308" ca="1">IFERROR(_xlfn.IFS(OR($M308="",$AS308=""),"",$C308="Joined",($AS308-$M308)-$AT308),"")</f>
        <v/>
      </c>
      <c r="AY308" s="30" t="str">
        <f>IFERROR(IF(COUNTIFS('Candidate Tracker'!$E:$E,'Positions Tracker'!$B308,'Candidate Tracker'!$C:$C,"Offer Drop")=0,"",COUNTIFS('Candidate Tracker'!$E:$E,'Positions Tracker'!$B308,'Candidate Tracker'!$C:$C,"Offer Drop")),"")</f>
        <v/>
      </c>
      <c r="AZ30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8" s="34" t="str">
        <f>IFERROR(IF(COUNTIFS('Candidate Tracker'!$E:$E,'Positions Tracker'!$B308,'Candidate Tracker'!$I:$I,"Female")=0,"",COUNTIFS('Candidate Tracker'!$E:$E,'Positions Tracker'!$B308,'Candidate Tracker'!$I:$I,"Female")),"")</f>
        <v/>
      </c>
      <c r="BB308" s="34" t="str">
        <f>IFERROR(IF(COUNTIFS('Candidate Tracker'!$E:$E,'Positions Tracker'!$B308,'Candidate Tracker'!$I:$I,"male")=0,"",COUNTIFS('Candidate Tracker'!$E:$E,'Positions Tracker'!$B308,'Candidate Tracker'!$I:$I,"male")),"")</f>
        <v/>
      </c>
      <c r="BC308" s="33" t="str">
        <f>IFERROR(IF(COUNTIFS('Candidate Tracker'!$E:$E,'Positions Tracker'!$B308,'Candidate Tracker'!$C:$C,"&lt;&gt;WIP",'Candidate Tracker'!$C:$C,"&lt;&gt;Hold",'Candidate Tracker'!$C:$C,"&lt;&gt;Cancelled",'Candidate Tracker'!$C:$C,"&lt;&gt;Closed")/COUNTIFS('Candidate Tracker'!$E:$E,'Positions Tracker'!$B308)=0,"",COUNTIFS('Candidate Tracker'!$E:$E,'Positions Tracker'!$B308,'Candidate Tracker'!$C:$C,"&lt;&gt;WIP",'Candidate Tracker'!$C:$C,"&lt;&gt;Hold",'Candidate Tracker'!$C:$C,"&lt;&gt;Cancelled",'Candidate Tracker'!$C:$C,"&lt;&gt;Closed")/COUNTIFS('Candidate Tracker'!$E:$E,'Positions Tracker'!$B308)),"")</f>
        <v/>
      </c>
      <c r="BD308" s="30" t="str">
        <f t="shared" si="39"/>
        <v/>
      </c>
      <c r="BE308" s="30" t="str">
        <f t="shared" si="40"/>
        <v/>
      </c>
      <c r="BF308" s="30" t="str">
        <f t="shared" si="41"/>
        <v/>
      </c>
      <c r="BG308" s="30" t="str">
        <f t="shared" si="42"/>
        <v/>
      </c>
    </row>
    <row r="309" spans="1:59">
      <c r="A309" s="39"/>
      <c r="B309" s="39"/>
      <c r="C309" s="39"/>
      <c r="D309" s="39"/>
      <c r="E309" s="39"/>
      <c r="F309" s="39"/>
      <c r="G309" s="39"/>
      <c r="H309" s="39"/>
      <c r="I309" s="40"/>
      <c r="J309" s="40"/>
      <c r="K309" s="35"/>
      <c r="L309" s="35"/>
      <c r="M309" s="35"/>
      <c r="N309" s="39"/>
      <c r="O309" s="39"/>
      <c r="P309" s="39"/>
      <c r="Q309" s="39"/>
      <c r="R309" s="39"/>
      <c r="S309" s="39"/>
      <c r="T309" s="39"/>
      <c r="U309" s="39"/>
      <c r="V309" s="39"/>
      <c r="W309" s="39"/>
      <c r="X309" s="39"/>
      <c r="Y309" s="39"/>
      <c r="Z309" s="39"/>
      <c r="AA309" s="39"/>
      <c r="AB309" s="39"/>
      <c r="AC309" s="39"/>
      <c r="AD309" s="39"/>
      <c r="AE309" s="39"/>
      <c r="AF309" s="39"/>
      <c r="AG309" s="39"/>
      <c r="AH309" s="39"/>
      <c r="AI309" s="35"/>
      <c r="AJ309" s="39"/>
      <c r="AK309" s="39"/>
      <c r="AL309" s="39"/>
      <c r="AM309" s="35"/>
      <c r="AN309" s="35"/>
      <c r="AO309" s="39"/>
      <c r="AP309" s="39"/>
      <c r="AQ309" s="35"/>
      <c r="AR309" s="35"/>
      <c r="AS309" s="35"/>
      <c r="AT309" s="30">
        <f t="shared" ca="1" si="38"/>
        <v>0</v>
      </c>
      <c r="AU309" s="32" t="str">
        <f t="shared" ca="1" si="37"/>
        <v/>
      </c>
      <c r="AV309" s="32" t="str" cm="1">
        <f t="array" aca="1" ref="AV309" ca="1">IFERROR(_xlfn.IFS($AU309="","",$AU309&lt;=15,"0-15",AND($AU309&gt;=16,$AU309&lt;=30),"16-30",AND($AU309&gt;=31,$AU309&lt;=45),"31-45",AND($AU309&gt;=46,$AU309&lt;=60),"46-60",AND($AU309&gt;=61,$AU309&lt;=90),"61-90",AND($AU309&gt;=91),"&gt; 90",AND($AU309&gt;=2000),""),"")</f>
        <v/>
      </c>
      <c r="AW309" s="32" t="str" cm="1">
        <f t="array" aca="1" ref="AW309" ca="1">IFERROR(_xlfn.IFS(OR($M309="",$AM309=""),"",OR($C309="Offered",$C309="Joined"),($AM309-$M309)-$AT309),"")</f>
        <v/>
      </c>
      <c r="AX309" s="32" t="str" cm="1">
        <f t="array" aca="1" ref="AX309" ca="1">IFERROR(_xlfn.IFS(OR($M309="",$AS309=""),"",$C309="Joined",($AS309-$M309)-$AT309),"")</f>
        <v/>
      </c>
      <c r="AY309" s="30" t="str">
        <f>IFERROR(IF(COUNTIFS('Candidate Tracker'!$E:$E,'Positions Tracker'!$B309,'Candidate Tracker'!$C:$C,"Offer Drop")=0,"",COUNTIFS('Candidate Tracker'!$E:$E,'Positions Tracker'!$B309,'Candidate Tracker'!$C:$C,"Offer Drop")),"")</f>
        <v/>
      </c>
      <c r="AZ30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09" s="34" t="str">
        <f>IFERROR(IF(COUNTIFS('Candidate Tracker'!$E:$E,'Positions Tracker'!$B309,'Candidate Tracker'!$I:$I,"Female")=0,"",COUNTIFS('Candidate Tracker'!$E:$E,'Positions Tracker'!$B309,'Candidate Tracker'!$I:$I,"Female")),"")</f>
        <v/>
      </c>
      <c r="BB309" s="34" t="str">
        <f>IFERROR(IF(COUNTIFS('Candidate Tracker'!$E:$E,'Positions Tracker'!$B309,'Candidate Tracker'!$I:$I,"male")=0,"",COUNTIFS('Candidate Tracker'!$E:$E,'Positions Tracker'!$B309,'Candidate Tracker'!$I:$I,"male")),"")</f>
        <v/>
      </c>
      <c r="BC309" s="33" t="str">
        <f>IFERROR(IF(COUNTIFS('Candidate Tracker'!$E:$E,'Positions Tracker'!$B309,'Candidate Tracker'!$C:$C,"&lt;&gt;WIP",'Candidate Tracker'!$C:$C,"&lt;&gt;Hold",'Candidate Tracker'!$C:$C,"&lt;&gt;Cancelled",'Candidate Tracker'!$C:$C,"&lt;&gt;Closed")/COUNTIFS('Candidate Tracker'!$E:$E,'Positions Tracker'!$B309)=0,"",COUNTIFS('Candidate Tracker'!$E:$E,'Positions Tracker'!$B309,'Candidate Tracker'!$C:$C,"&lt;&gt;WIP",'Candidate Tracker'!$C:$C,"&lt;&gt;Hold",'Candidate Tracker'!$C:$C,"&lt;&gt;Cancelled",'Candidate Tracker'!$C:$C,"&lt;&gt;Closed")/COUNTIFS('Candidate Tracker'!$E:$E,'Positions Tracker'!$B309)),"")</f>
        <v/>
      </c>
      <c r="BD309" s="30" t="str">
        <f t="shared" si="39"/>
        <v/>
      </c>
      <c r="BE309" s="30" t="str">
        <f t="shared" si="40"/>
        <v/>
      </c>
      <c r="BF309" s="30" t="str">
        <f t="shared" si="41"/>
        <v/>
      </c>
      <c r="BG309" s="30" t="str">
        <f t="shared" si="42"/>
        <v/>
      </c>
    </row>
    <row r="310" spans="1:59">
      <c r="A310" s="39"/>
      <c r="B310" s="39"/>
      <c r="C310" s="39"/>
      <c r="D310" s="39"/>
      <c r="E310" s="39"/>
      <c r="F310" s="39"/>
      <c r="G310" s="39"/>
      <c r="H310" s="39"/>
      <c r="I310" s="40"/>
      <c r="J310" s="40"/>
      <c r="K310" s="35"/>
      <c r="L310" s="35"/>
      <c r="M310" s="35"/>
      <c r="N310" s="39"/>
      <c r="O310" s="39"/>
      <c r="P310" s="39"/>
      <c r="Q310" s="39"/>
      <c r="R310" s="39"/>
      <c r="S310" s="39"/>
      <c r="T310" s="39"/>
      <c r="U310" s="39"/>
      <c r="V310" s="39"/>
      <c r="W310" s="39"/>
      <c r="X310" s="39"/>
      <c r="Y310" s="39"/>
      <c r="Z310" s="39"/>
      <c r="AA310" s="39"/>
      <c r="AB310" s="39"/>
      <c r="AC310" s="39"/>
      <c r="AD310" s="39"/>
      <c r="AE310" s="39"/>
      <c r="AF310" s="39"/>
      <c r="AG310" s="39"/>
      <c r="AH310" s="39"/>
      <c r="AI310" s="35"/>
      <c r="AJ310" s="39"/>
      <c r="AK310" s="39"/>
      <c r="AL310" s="39"/>
      <c r="AM310" s="35"/>
      <c r="AN310" s="35"/>
      <c r="AO310" s="39"/>
      <c r="AP310" s="39"/>
      <c r="AQ310" s="35"/>
      <c r="AR310" s="35"/>
      <c r="AS310" s="35"/>
      <c r="AT310" s="30">
        <f t="shared" ca="1" si="38"/>
        <v>0</v>
      </c>
      <c r="AU310" s="32" t="str">
        <f t="shared" ca="1" si="37"/>
        <v/>
      </c>
      <c r="AV310" s="32" t="str" cm="1">
        <f t="array" aca="1" ref="AV310" ca="1">IFERROR(_xlfn.IFS($AU310="","",$AU310&lt;=15,"0-15",AND($AU310&gt;=16,$AU310&lt;=30),"16-30",AND($AU310&gt;=31,$AU310&lt;=45),"31-45",AND($AU310&gt;=46,$AU310&lt;=60),"46-60",AND($AU310&gt;=61,$AU310&lt;=90),"61-90",AND($AU310&gt;=91),"&gt; 90",AND($AU310&gt;=2000),""),"")</f>
        <v/>
      </c>
      <c r="AW310" s="32" t="str" cm="1">
        <f t="array" aca="1" ref="AW310" ca="1">IFERROR(_xlfn.IFS(OR($M310="",$AM310=""),"",OR($C310="Offered",$C310="Joined"),($AM310-$M310)-$AT310),"")</f>
        <v/>
      </c>
      <c r="AX310" s="32" t="str" cm="1">
        <f t="array" aca="1" ref="AX310" ca="1">IFERROR(_xlfn.IFS(OR($M310="",$AS310=""),"",$C310="Joined",($AS310-$M310)-$AT310),"")</f>
        <v/>
      </c>
      <c r="AY310" s="30" t="str">
        <f>IFERROR(IF(COUNTIFS('Candidate Tracker'!$E:$E,'Positions Tracker'!$B310,'Candidate Tracker'!$C:$C,"Offer Drop")=0,"",COUNTIFS('Candidate Tracker'!$E:$E,'Positions Tracker'!$B310,'Candidate Tracker'!$C:$C,"Offer Drop")),"")</f>
        <v/>
      </c>
      <c r="AZ3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0" s="34" t="str">
        <f>IFERROR(IF(COUNTIFS('Candidate Tracker'!$E:$E,'Positions Tracker'!$B310,'Candidate Tracker'!$I:$I,"Female")=0,"",COUNTIFS('Candidate Tracker'!$E:$E,'Positions Tracker'!$B310,'Candidate Tracker'!$I:$I,"Female")),"")</f>
        <v/>
      </c>
      <c r="BB310" s="34" t="str">
        <f>IFERROR(IF(COUNTIFS('Candidate Tracker'!$E:$E,'Positions Tracker'!$B310,'Candidate Tracker'!$I:$I,"male")=0,"",COUNTIFS('Candidate Tracker'!$E:$E,'Positions Tracker'!$B310,'Candidate Tracker'!$I:$I,"male")),"")</f>
        <v/>
      </c>
      <c r="BC310" s="33" t="str">
        <f>IFERROR(IF(COUNTIFS('Candidate Tracker'!$E:$E,'Positions Tracker'!$B310,'Candidate Tracker'!$C:$C,"&lt;&gt;WIP",'Candidate Tracker'!$C:$C,"&lt;&gt;Hold",'Candidate Tracker'!$C:$C,"&lt;&gt;Cancelled",'Candidate Tracker'!$C:$C,"&lt;&gt;Closed")/COUNTIFS('Candidate Tracker'!$E:$E,'Positions Tracker'!$B310)=0,"",COUNTIFS('Candidate Tracker'!$E:$E,'Positions Tracker'!$B310,'Candidate Tracker'!$C:$C,"&lt;&gt;WIP",'Candidate Tracker'!$C:$C,"&lt;&gt;Hold",'Candidate Tracker'!$C:$C,"&lt;&gt;Cancelled",'Candidate Tracker'!$C:$C,"&lt;&gt;Closed")/COUNTIFS('Candidate Tracker'!$E:$E,'Positions Tracker'!$B310)),"")</f>
        <v/>
      </c>
      <c r="BD310" s="30" t="str">
        <f t="shared" si="39"/>
        <v/>
      </c>
      <c r="BE310" s="30" t="str">
        <f t="shared" si="40"/>
        <v/>
      </c>
      <c r="BF310" s="30" t="str">
        <f t="shared" si="41"/>
        <v/>
      </c>
      <c r="BG310" s="30" t="str">
        <f t="shared" si="42"/>
        <v/>
      </c>
    </row>
    <row r="311" spans="1:59">
      <c r="A311" s="39"/>
      <c r="B311" s="39"/>
      <c r="C311" s="39"/>
      <c r="D311" s="39"/>
      <c r="E311" s="39"/>
      <c r="F311" s="39"/>
      <c r="G311" s="39"/>
      <c r="H311" s="39"/>
      <c r="I311" s="40"/>
      <c r="J311" s="40"/>
      <c r="K311" s="35"/>
      <c r="L311" s="35"/>
      <c r="M311" s="35"/>
      <c r="N311" s="39"/>
      <c r="O311" s="39"/>
      <c r="P311" s="39"/>
      <c r="Q311" s="39"/>
      <c r="R311" s="39"/>
      <c r="S311" s="39"/>
      <c r="T311" s="39"/>
      <c r="U311" s="39"/>
      <c r="V311" s="39"/>
      <c r="W311" s="39"/>
      <c r="X311" s="39"/>
      <c r="Y311" s="39"/>
      <c r="Z311" s="39"/>
      <c r="AA311" s="39"/>
      <c r="AB311" s="39"/>
      <c r="AC311" s="39"/>
      <c r="AD311" s="39"/>
      <c r="AE311" s="39"/>
      <c r="AF311" s="39"/>
      <c r="AG311" s="39"/>
      <c r="AH311" s="39"/>
      <c r="AI311" s="35"/>
      <c r="AJ311" s="39"/>
      <c r="AK311" s="39"/>
      <c r="AL311" s="39"/>
      <c r="AM311" s="35"/>
      <c r="AN311" s="35"/>
      <c r="AO311" s="39"/>
      <c r="AP311" s="39"/>
      <c r="AQ311" s="35"/>
      <c r="AR311" s="35"/>
      <c r="AS311" s="35"/>
      <c r="AT311" s="30">
        <f t="shared" ca="1" si="38"/>
        <v>0</v>
      </c>
      <c r="AU311" s="32" t="str">
        <f t="shared" ca="1" si="37"/>
        <v/>
      </c>
      <c r="AV311" s="32" t="str" cm="1">
        <f t="array" aca="1" ref="AV311" ca="1">IFERROR(_xlfn.IFS($AU311="","",$AU311&lt;=15,"0-15",AND($AU311&gt;=16,$AU311&lt;=30),"16-30",AND($AU311&gt;=31,$AU311&lt;=45),"31-45",AND($AU311&gt;=46,$AU311&lt;=60),"46-60",AND($AU311&gt;=61,$AU311&lt;=90),"61-90",AND($AU311&gt;=91),"&gt; 90",AND($AU311&gt;=2000),""),"")</f>
        <v/>
      </c>
      <c r="AW311" s="32" t="str" cm="1">
        <f t="array" aca="1" ref="AW311" ca="1">IFERROR(_xlfn.IFS(OR($M311="",$AM311=""),"",OR($C311="Offered",$C311="Joined"),($AM311-$M311)-$AT311),"")</f>
        <v/>
      </c>
      <c r="AX311" s="32" t="str" cm="1">
        <f t="array" aca="1" ref="AX311" ca="1">IFERROR(_xlfn.IFS(OR($M311="",$AS311=""),"",$C311="Joined",($AS311-$M311)-$AT311),"")</f>
        <v/>
      </c>
      <c r="AY311" s="30" t="str">
        <f>IFERROR(IF(COUNTIFS('Candidate Tracker'!$E:$E,'Positions Tracker'!$B311,'Candidate Tracker'!$C:$C,"Offer Drop")=0,"",COUNTIFS('Candidate Tracker'!$E:$E,'Positions Tracker'!$B311,'Candidate Tracker'!$C:$C,"Offer Drop")),"")</f>
        <v/>
      </c>
      <c r="AZ3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1" s="34" t="str">
        <f>IFERROR(IF(COUNTIFS('Candidate Tracker'!$E:$E,'Positions Tracker'!$B311,'Candidate Tracker'!$I:$I,"Female")=0,"",COUNTIFS('Candidate Tracker'!$E:$E,'Positions Tracker'!$B311,'Candidate Tracker'!$I:$I,"Female")),"")</f>
        <v/>
      </c>
      <c r="BB311" s="34" t="str">
        <f>IFERROR(IF(COUNTIFS('Candidate Tracker'!$E:$E,'Positions Tracker'!$B311,'Candidate Tracker'!$I:$I,"male")=0,"",COUNTIFS('Candidate Tracker'!$E:$E,'Positions Tracker'!$B311,'Candidate Tracker'!$I:$I,"male")),"")</f>
        <v/>
      </c>
      <c r="BC311" s="33" t="str">
        <f>IFERROR(IF(COUNTIFS('Candidate Tracker'!$E:$E,'Positions Tracker'!$B311,'Candidate Tracker'!$C:$C,"&lt;&gt;WIP",'Candidate Tracker'!$C:$C,"&lt;&gt;Hold",'Candidate Tracker'!$C:$C,"&lt;&gt;Cancelled",'Candidate Tracker'!$C:$C,"&lt;&gt;Closed")/COUNTIFS('Candidate Tracker'!$E:$E,'Positions Tracker'!$B311)=0,"",COUNTIFS('Candidate Tracker'!$E:$E,'Positions Tracker'!$B311,'Candidate Tracker'!$C:$C,"&lt;&gt;WIP",'Candidate Tracker'!$C:$C,"&lt;&gt;Hold",'Candidate Tracker'!$C:$C,"&lt;&gt;Cancelled",'Candidate Tracker'!$C:$C,"&lt;&gt;Closed")/COUNTIFS('Candidate Tracker'!$E:$E,'Positions Tracker'!$B311)),"")</f>
        <v/>
      </c>
      <c r="BD311" s="30" t="str">
        <f t="shared" si="39"/>
        <v/>
      </c>
      <c r="BE311" s="30" t="str">
        <f t="shared" si="40"/>
        <v/>
      </c>
      <c r="BF311" s="30" t="str">
        <f t="shared" si="41"/>
        <v/>
      </c>
      <c r="BG311" s="30" t="str">
        <f t="shared" si="42"/>
        <v/>
      </c>
    </row>
    <row r="312" spans="1:59">
      <c r="A312" s="39"/>
      <c r="B312" s="39"/>
      <c r="C312" s="39"/>
      <c r="D312" s="39"/>
      <c r="E312" s="39"/>
      <c r="F312" s="39"/>
      <c r="G312" s="39"/>
      <c r="H312" s="39"/>
      <c r="I312" s="40"/>
      <c r="J312" s="40"/>
      <c r="K312" s="35"/>
      <c r="L312" s="35"/>
      <c r="M312" s="35"/>
      <c r="N312" s="39"/>
      <c r="O312" s="39"/>
      <c r="P312" s="39"/>
      <c r="Q312" s="39"/>
      <c r="R312" s="39"/>
      <c r="S312" s="39"/>
      <c r="T312" s="39"/>
      <c r="U312" s="39"/>
      <c r="V312" s="39"/>
      <c r="W312" s="39"/>
      <c r="X312" s="39"/>
      <c r="Y312" s="39"/>
      <c r="Z312" s="39"/>
      <c r="AA312" s="39"/>
      <c r="AB312" s="39"/>
      <c r="AC312" s="39"/>
      <c r="AD312" s="39"/>
      <c r="AE312" s="39"/>
      <c r="AF312" s="39"/>
      <c r="AG312" s="39"/>
      <c r="AH312" s="39"/>
      <c r="AI312" s="35"/>
      <c r="AJ312" s="39"/>
      <c r="AK312" s="39"/>
      <c r="AL312" s="39"/>
      <c r="AM312" s="35"/>
      <c r="AN312" s="35"/>
      <c r="AO312" s="39"/>
      <c r="AP312" s="39"/>
      <c r="AQ312" s="35"/>
      <c r="AR312" s="35"/>
      <c r="AS312" s="35"/>
      <c r="AT312" s="30">
        <f t="shared" ca="1" si="38"/>
        <v>0</v>
      </c>
      <c r="AU312" s="32" t="str">
        <f t="shared" ca="1" si="37"/>
        <v/>
      </c>
      <c r="AV312" s="32" t="str" cm="1">
        <f t="array" aca="1" ref="AV312" ca="1">IFERROR(_xlfn.IFS($AU312="","",$AU312&lt;=15,"0-15",AND($AU312&gt;=16,$AU312&lt;=30),"16-30",AND($AU312&gt;=31,$AU312&lt;=45),"31-45",AND($AU312&gt;=46,$AU312&lt;=60),"46-60",AND($AU312&gt;=61,$AU312&lt;=90),"61-90",AND($AU312&gt;=91),"&gt; 90",AND($AU312&gt;=2000),""),"")</f>
        <v/>
      </c>
      <c r="AW312" s="32" t="str" cm="1">
        <f t="array" aca="1" ref="AW312" ca="1">IFERROR(_xlfn.IFS(OR($M312="",$AM312=""),"",OR($C312="Offered",$C312="Joined"),($AM312-$M312)-$AT312),"")</f>
        <v/>
      </c>
      <c r="AX312" s="32" t="str" cm="1">
        <f t="array" aca="1" ref="AX312" ca="1">IFERROR(_xlfn.IFS(OR($M312="",$AS312=""),"",$C312="Joined",($AS312-$M312)-$AT312),"")</f>
        <v/>
      </c>
      <c r="AY312" s="30" t="str">
        <f>IFERROR(IF(COUNTIFS('Candidate Tracker'!$E:$E,'Positions Tracker'!$B312,'Candidate Tracker'!$C:$C,"Offer Drop")=0,"",COUNTIFS('Candidate Tracker'!$E:$E,'Positions Tracker'!$B312,'Candidate Tracker'!$C:$C,"Offer Drop")),"")</f>
        <v/>
      </c>
      <c r="AZ3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2" s="34" t="str">
        <f>IFERROR(IF(COUNTIFS('Candidate Tracker'!$E:$E,'Positions Tracker'!$B312,'Candidate Tracker'!$I:$I,"Female")=0,"",COUNTIFS('Candidate Tracker'!$E:$E,'Positions Tracker'!$B312,'Candidate Tracker'!$I:$I,"Female")),"")</f>
        <v/>
      </c>
      <c r="BB312" s="34" t="str">
        <f>IFERROR(IF(COUNTIFS('Candidate Tracker'!$E:$E,'Positions Tracker'!$B312,'Candidate Tracker'!$I:$I,"male")=0,"",COUNTIFS('Candidate Tracker'!$E:$E,'Positions Tracker'!$B312,'Candidate Tracker'!$I:$I,"male")),"")</f>
        <v/>
      </c>
      <c r="BC312" s="33" t="str">
        <f>IFERROR(IF(COUNTIFS('Candidate Tracker'!$E:$E,'Positions Tracker'!$B312,'Candidate Tracker'!$C:$C,"&lt;&gt;WIP",'Candidate Tracker'!$C:$C,"&lt;&gt;Hold",'Candidate Tracker'!$C:$C,"&lt;&gt;Cancelled",'Candidate Tracker'!$C:$C,"&lt;&gt;Closed")/COUNTIFS('Candidate Tracker'!$E:$E,'Positions Tracker'!$B312)=0,"",COUNTIFS('Candidate Tracker'!$E:$E,'Positions Tracker'!$B312,'Candidate Tracker'!$C:$C,"&lt;&gt;WIP",'Candidate Tracker'!$C:$C,"&lt;&gt;Hold",'Candidate Tracker'!$C:$C,"&lt;&gt;Cancelled",'Candidate Tracker'!$C:$C,"&lt;&gt;Closed")/COUNTIFS('Candidate Tracker'!$E:$E,'Positions Tracker'!$B312)),"")</f>
        <v/>
      </c>
      <c r="BD312" s="30" t="str">
        <f t="shared" si="39"/>
        <v/>
      </c>
      <c r="BE312" s="30" t="str">
        <f t="shared" si="40"/>
        <v/>
      </c>
      <c r="BF312" s="30" t="str">
        <f t="shared" si="41"/>
        <v/>
      </c>
      <c r="BG312" s="30" t="str">
        <f t="shared" si="42"/>
        <v/>
      </c>
    </row>
    <row r="313" spans="1:59">
      <c r="A313" s="39"/>
      <c r="B313" s="39"/>
      <c r="C313" s="39"/>
      <c r="D313" s="39"/>
      <c r="E313" s="39"/>
      <c r="F313" s="39"/>
      <c r="G313" s="39"/>
      <c r="H313" s="39"/>
      <c r="I313" s="40"/>
      <c r="J313" s="40"/>
      <c r="K313" s="35"/>
      <c r="L313" s="35"/>
      <c r="M313" s="35"/>
      <c r="N313" s="39"/>
      <c r="O313" s="39"/>
      <c r="P313" s="39"/>
      <c r="Q313" s="39"/>
      <c r="R313" s="39"/>
      <c r="S313" s="39"/>
      <c r="T313" s="39"/>
      <c r="U313" s="39"/>
      <c r="V313" s="39"/>
      <c r="W313" s="39"/>
      <c r="X313" s="39"/>
      <c r="Y313" s="39"/>
      <c r="Z313" s="39"/>
      <c r="AA313" s="39"/>
      <c r="AB313" s="39"/>
      <c r="AC313" s="39"/>
      <c r="AD313" s="39"/>
      <c r="AE313" s="39"/>
      <c r="AF313" s="39"/>
      <c r="AG313" s="39"/>
      <c r="AH313" s="39"/>
      <c r="AI313" s="35"/>
      <c r="AJ313" s="39"/>
      <c r="AK313" s="39"/>
      <c r="AL313" s="39"/>
      <c r="AM313" s="35"/>
      <c r="AN313" s="35"/>
      <c r="AO313" s="39"/>
      <c r="AP313" s="39"/>
      <c r="AQ313" s="35"/>
      <c r="AR313" s="35"/>
      <c r="AS313" s="35"/>
      <c r="AT313" s="30">
        <f t="shared" ca="1" si="38"/>
        <v>0</v>
      </c>
      <c r="AU313" s="32" t="str">
        <f t="shared" ca="1" si="37"/>
        <v/>
      </c>
      <c r="AV313" s="32" t="str" cm="1">
        <f t="array" aca="1" ref="AV313" ca="1">IFERROR(_xlfn.IFS($AU313="","",$AU313&lt;=15,"0-15",AND($AU313&gt;=16,$AU313&lt;=30),"16-30",AND($AU313&gt;=31,$AU313&lt;=45),"31-45",AND($AU313&gt;=46,$AU313&lt;=60),"46-60",AND($AU313&gt;=61,$AU313&lt;=90),"61-90",AND($AU313&gt;=91),"&gt; 90",AND($AU313&gt;=2000),""),"")</f>
        <v/>
      </c>
      <c r="AW313" s="32" t="str" cm="1">
        <f t="array" aca="1" ref="AW313" ca="1">IFERROR(_xlfn.IFS(OR($M313="",$AM313=""),"",OR($C313="Offered",$C313="Joined"),($AM313-$M313)-$AT313),"")</f>
        <v/>
      </c>
      <c r="AX313" s="32" t="str" cm="1">
        <f t="array" aca="1" ref="AX313" ca="1">IFERROR(_xlfn.IFS(OR($M313="",$AS313=""),"",$C313="Joined",($AS313-$M313)-$AT313),"")</f>
        <v/>
      </c>
      <c r="AY313" s="30" t="str">
        <f>IFERROR(IF(COUNTIFS('Candidate Tracker'!$E:$E,'Positions Tracker'!$B313,'Candidate Tracker'!$C:$C,"Offer Drop")=0,"",COUNTIFS('Candidate Tracker'!$E:$E,'Positions Tracker'!$B313,'Candidate Tracker'!$C:$C,"Offer Drop")),"")</f>
        <v/>
      </c>
      <c r="AZ3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3" s="34" t="str">
        <f>IFERROR(IF(COUNTIFS('Candidate Tracker'!$E:$E,'Positions Tracker'!$B313,'Candidate Tracker'!$I:$I,"Female")=0,"",COUNTIFS('Candidate Tracker'!$E:$E,'Positions Tracker'!$B313,'Candidate Tracker'!$I:$I,"Female")),"")</f>
        <v/>
      </c>
      <c r="BB313" s="34" t="str">
        <f>IFERROR(IF(COUNTIFS('Candidate Tracker'!$E:$E,'Positions Tracker'!$B313,'Candidate Tracker'!$I:$I,"male")=0,"",COUNTIFS('Candidate Tracker'!$E:$E,'Positions Tracker'!$B313,'Candidate Tracker'!$I:$I,"male")),"")</f>
        <v/>
      </c>
      <c r="BC313" s="33" t="str">
        <f>IFERROR(IF(COUNTIFS('Candidate Tracker'!$E:$E,'Positions Tracker'!$B313,'Candidate Tracker'!$C:$C,"&lt;&gt;WIP",'Candidate Tracker'!$C:$C,"&lt;&gt;Hold",'Candidate Tracker'!$C:$C,"&lt;&gt;Cancelled",'Candidate Tracker'!$C:$C,"&lt;&gt;Closed")/COUNTIFS('Candidate Tracker'!$E:$E,'Positions Tracker'!$B313)=0,"",COUNTIFS('Candidate Tracker'!$E:$E,'Positions Tracker'!$B313,'Candidate Tracker'!$C:$C,"&lt;&gt;WIP",'Candidate Tracker'!$C:$C,"&lt;&gt;Hold",'Candidate Tracker'!$C:$C,"&lt;&gt;Cancelled",'Candidate Tracker'!$C:$C,"&lt;&gt;Closed")/COUNTIFS('Candidate Tracker'!$E:$E,'Positions Tracker'!$B313)),"")</f>
        <v/>
      </c>
      <c r="BD313" s="30" t="str">
        <f t="shared" si="39"/>
        <v/>
      </c>
      <c r="BE313" s="30" t="str">
        <f t="shared" si="40"/>
        <v/>
      </c>
      <c r="BF313" s="30" t="str">
        <f t="shared" si="41"/>
        <v/>
      </c>
      <c r="BG313" s="30" t="str">
        <f t="shared" si="42"/>
        <v/>
      </c>
    </row>
    <row r="314" spans="1:59">
      <c r="A314" s="39"/>
      <c r="B314" s="39"/>
      <c r="C314" s="39"/>
      <c r="D314" s="39"/>
      <c r="E314" s="39"/>
      <c r="F314" s="39"/>
      <c r="G314" s="39"/>
      <c r="H314" s="39"/>
      <c r="I314" s="40"/>
      <c r="J314" s="40"/>
      <c r="K314" s="35"/>
      <c r="L314" s="35"/>
      <c r="M314" s="35"/>
      <c r="N314" s="39"/>
      <c r="O314" s="39"/>
      <c r="P314" s="39"/>
      <c r="Q314" s="39"/>
      <c r="R314" s="39"/>
      <c r="S314" s="39"/>
      <c r="T314" s="39"/>
      <c r="U314" s="39"/>
      <c r="V314" s="39"/>
      <c r="W314" s="39"/>
      <c r="X314" s="39"/>
      <c r="Y314" s="39"/>
      <c r="Z314" s="39"/>
      <c r="AA314" s="39"/>
      <c r="AB314" s="39"/>
      <c r="AC314" s="39"/>
      <c r="AD314" s="39"/>
      <c r="AE314" s="39"/>
      <c r="AF314" s="39"/>
      <c r="AG314" s="39"/>
      <c r="AH314" s="39"/>
      <c r="AI314" s="35"/>
      <c r="AJ314" s="39"/>
      <c r="AK314" s="39"/>
      <c r="AL314" s="39"/>
      <c r="AM314" s="35"/>
      <c r="AN314" s="35"/>
      <c r="AO314" s="39"/>
      <c r="AP314" s="39"/>
      <c r="AQ314" s="35"/>
      <c r="AR314" s="35"/>
      <c r="AS314" s="35"/>
      <c r="AT314" s="30">
        <f t="shared" ca="1" si="38"/>
        <v>0</v>
      </c>
      <c r="AU314" s="32" t="str">
        <f t="shared" ca="1" si="37"/>
        <v/>
      </c>
      <c r="AV314" s="32" t="str" cm="1">
        <f t="array" aca="1" ref="AV314" ca="1">IFERROR(_xlfn.IFS($AU314="","",$AU314&lt;=15,"0-15",AND($AU314&gt;=16,$AU314&lt;=30),"16-30",AND($AU314&gt;=31,$AU314&lt;=45),"31-45",AND($AU314&gt;=46,$AU314&lt;=60),"46-60",AND($AU314&gt;=61,$AU314&lt;=90),"61-90",AND($AU314&gt;=91),"&gt; 90",AND($AU314&gt;=2000),""),"")</f>
        <v/>
      </c>
      <c r="AW314" s="32" t="str" cm="1">
        <f t="array" aca="1" ref="AW314" ca="1">IFERROR(_xlfn.IFS(OR($M314="",$AM314=""),"",OR($C314="Offered",$C314="Joined"),($AM314-$M314)-$AT314),"")</f>
        <v/>
      </c>
      <c r="AX314" s="32" t="str" cm="1">
        <f t="array" aca="1" ref="AX314" ca="1">IFERROR(_xlfn.IFS(OR($M314="",$AS314=""),"",$C314="Joined",($AS314-$M314)-$AT314),"")</f>
        <v/>
      </c>
      <c r="AY314" s="30" t="str">
        <f>IFERROR(IF(COUNTIFS('Candidate Tracker'!$E:$E,'Positions Tracker'!$B314,'Candidate Tracker'!$C:$C,"Offer Drop")=0,"",COUNTIFS('Candidate Tracker'!$E:$E,'Positions Tracker'!$B314,'Candidate Tracker'!$C:$C,"Offer Drop")),"")</f>
        <v/>
      </c>
      <c r="AZ3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4" s="34" t="str">
        <f>IFERROR(IF(COUNTIFS('Candidate Tracker'!$E:$E,'Positions Tracker'!$B314,'Candidate Tracker'!$I:$I,"Female")=0,"",COUNTIFS('Candidate Tracker'!$E:$E,'Positions Tracker'!$B314,'Candidate Tracker'!$I:$I,"Female")),"")</f>
        <v/>
      </c>
      <c r="BB314" s="34" t="str">
        <f>IFERROR(IF(COUNTIFS('Candidate Tracker'!$E:$E,'Positions Tracker'!$B314,'Candidate Tracker'!$I:$I,"male")=0,"",COUNTIFS('Candidate Tracker'!$E:$E,'Positions Tracker'!$B314,'Candidate Tracker'!$I:$I,"male")),"")</f>
        <v/>
      </c>
      <c r="BC314" s="33" t="str">
        <f>IFERROR(IF(COUNTIFS('Candidate Tracker'!$E:$E,'Positions Tracker'!$B314,'Candidate Tracker'!$C:$C,"&lt;&gt;WIP",'Candidate Tracker'!$C:$C,"&lt;&gt;Hold",'Candidate Tracker'!$C:$C,"&lt;&gt;Cancelled",'Candidate Tracker'!$C:$C,"&lt;&gt;Closed")/COUNTIFS('Candidate Tracker'!$E:$E,'Positions Tracker'!$B314)=0,"",COUNTIFS('Candidate Tracker'!$E:$E,'Positions Tracker'!$B314,'Candidate Tracker'!$C:$C,"&lt;&gt;WIP",'Candidate Tracker'!$C:$C,"&lt;&gt;Hold",'Candidate Tracker'!$C:$C,"&lt;&gt;Cancelled",'Candidate Tracker'!$C:$C,"&lt;&gt;Closed")/COUNTIFS('Candidate Tracker'!$E:$E,'Positions Tracker'!$B314)),"")</f>
        <v/>
      </c>
      <c r="BD314" s="30" t="str">
        <f t="shared" si="39"/>
        <v/>
      </c>
      <c r="BE314" s="30" t="str">
        <f t="shared" si="40"/>
        <v/>
      </c>
      <c r="BF314" s="30" t="str">
        <f t="shared" si="41"/>
        <v/>
      </c>
      <c r="BG314" s="30" t="str">
        <f t="shared" si="42"/>
        <v/>
      </c>
    </row>
    <row r="315" spans="1:59">
      <c r="A315" s="39"/>
      <c r="B315" s="39"/>
      <c r="C315" s="39"/>
      <c r="D315" s="39"/>
      <c r="E315" s="39"/>
      <c r="F315" s="39"/>
      <c r="G315" s="39"/>
      <c r="H315" s="39"/>
      <c r="I315" s="40"/>
      <c r="J315" s="40"/>
      <c r="K315" s="35"/>
      <c r="L315" s="35"/>
      <c r="M315" s="35"/>
      <c r="N315" s="39"/>
      <c r="O315" s="39"/>
      <c r="P315" s="39"/>
      <c r="Q315" s="39"/>
      <c r="R315" s="39"/>
      <c r="S315" s="39"/>
      <c r="T315" s="39"/>
      <c r="U315" s="39"/>
      <c r="V315" s="39"/>
      <c r="W315" s="39"/>
      <c r="X315" s="39"/>
      <c r="Y315" s="39"/>
      <c r="Z315" s="39"/>
      <c r="AA315" s="39"/>
      <c r="AB315" s="39"/>
      <c r="AC315" s="39"/>
      <c r="AD315" s="39"/>
      <c r="AE315" s="39"/>
      <c r="AF315" s="39"/>
      <c r="AG315" s="39"/>
      <c r="AH315" s="39"/>
      <c r="AI315" s="35"/>
      <c r="AJ315" s="39"/>
      <c r="AK315" s="39"/>
      <c r="AL315" s="39"/>
      <c r="AM315" s="35"/>
      <c r="AN315" s="35"/>
      <c r="AO315" s="39"/>
      <c r="AP315" s="39"/>
      <c r="AQ315" s="35"/>
      <c r="AR315" s="35"/>
      <c r="AS315" s="35"/>
      <c r="AT315" s="30">
        <f t="shared" ca="1" si="38"/>
        <v>0</v>
      </c>
      <c r="AU315" s="32" t="str">
        <f t="shared" ca="1" si="37"/>
        <v/>
      </c>
      <c r="AV315" s="32" t="str" cm="1">
        <f t="array" aca="1" ref="AV315" ca="1">IFERROR(_xlfn.IFS($AU315="","",$AU315&lt;=15,"0-15",AND($AU315&gt;=16,$AU315&lt;=30),"16-30",AND($AU315&gt;=31,$AU315&lt;=45),"31-45",AND($AU315&gt;=46,$AU315&lt;=60),"46-60",AND($AU315&gt;=61,$AU315&lt;=90),"61-90",AND($AU315&gt;=91),"&gt; 90",AND($AU315&gt;=2000),""),"")</f>
        <v/>
      </c>
      <c r="AW315" s="32" t="str" cm="1">
        <f t="array" aca="1" ref="AW315" ca="1">IFERROR(_xlfn.IFS(OR($M315="",$AM315=""),"",OR($C315="Offered",$C315="Joined"),($AM315-$M315)-$AT315),"")</f>
        <v/>
      </c>
      <c r="AX315" s="32" t="str" cm="1">
        <f t="array" aca="1" ref="AX315" ca="1">IFERROR(_xlfn.IFS(OR($M315="",$AS315=""),"",$C315="Joined",($AS315-$M315)-$AT315),"")</f>
        <v/>
      </c>
      <c r="AY315" s="30" t="str">
        <f>IFERROR(IF(COUNTIFS('Candidate Tracker'!$E:$E,'Positions Tracker'!$B315,'Candidate Tracker'!$C:$C,"Offer Drop")=0,"",COUNTIFS('Candidate Tracker'!$E:$E,'Positions Tracker'!$B315,'Candidate Tracker'!$C:$C,"Offer Drop")),"")</f>
        <v/>
      </c>
      <c r="AZ3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5" s="34" t="str">
        <f>IFERROR(IF(COUNTIFS('Candidate Tracker'!$E:$E,'Positions Tracker'!$B315,'Candidate Tracker'!$I:$I,"Female")=0,"",COUNTIFS('Candidate Tracker'!$E:$E,'Positions Tracker'!$B315,'Candidate Tracker'!$I:$I,"Female")),"")</f>
        <v/>
      </c>
      <c r="BB315" s="34" t="str">
        <f>IFERROR(IF(COUNTIFS('Candidate Tracker'!$E:$E,'Positions Tracker'!$B315,'Candidate Tracker'!$I:$I,"male")=0,"",COUNTIFS('Candidate Tracker'!$E:$E,'Positions Tracker'!$B315,'Candidate Tracker'!$I:$I,"male")),"")</f>
        <v/>
      </c>
      <c r="BC315" s="33" t="str">
        <f>IFERROR(IF(COUNTIFS('Candidate Tracker'!$E:$E,'Positions Tracker'!$B315,'Candidate Tracker'!$C:$C,"&lt;&gt;WIP",'Candidate Tracker'!$C:$C,"&lt;&gt;Hold",'Candidate Tracker'!$C:$C,"&lt;&gt;Cancelled",'Candidate Tracker'!$C:$C,"&lt;&gt;Closed")/COUNTIFS('Candidate Tracker'!$E:$E,'Positions Tracker'!$B315)=0,"",COUNTIFS('Candidate Tracker'!$E:$E,'Positions Tracker'!$B315,'Candidate Tracker'!$C:$C,"&lt;&gt;WIP",'Candidate Tracker'!$C:$C,"&lt;&gt;Hold",'Candidate Tracker'!$C:$C,"&lt;&gt;Cancelled",'Candidate Tracker'!$C:$C,"&lt;&gt;Closed")/COUNTIFS('Candidate Tracker'!$E:$E,'Positions Tracker'!$B315)),"")</f>
        <v/>
      </c>
      <c r="BD315" s="30" t="str">
        <f t="shared" si="39"/>
        <v/>
      </c>
      <c r="BE315" s="30" t="str">
        <f t="shared" si="40"/>
        <v/>
      </c>
      <c r="BF315" s="30" t="str">
        <f t="shared" si="41"/>
        <v/>
      </c>
      <c r="BG315" s="30" t="str">
        <f t="shared" si="42"/>
        <v/>
      </c>
    </row>
    <row r="316" spans="1:59">
      <c r="A316" s="39"/>
      <c r="B316" s="39"/>
      <c r="C316" s="39"/>
      <c r="D316" s="39"/>
      <c r="E316" s="39"/>
      <c r="F316" s="39"/>
      <c r="G316" s="39"/>
      <c r="H316" s="39"/>
      <c r="I316" s="40"/>
      <c r="J316" s="40"/>
      <c r="K316" s="35"/>
      <c r="L316" s="35"/>
      <c r="M316" s="35"/>
      <c r="N316" s="39"/>
      <c r="O316" s="39"/>
      <c r="P316" s="39"/>
      <c r="Q316" s="39"/>
      <c r="R316" s="39"/>
      <c r="S316" s="39"/>
      <c r="T316" s="39"/>
      <c r="U316" s="39"/>
      <c r="V316" s="39"/>
      <c r="W316" s="39"/>
      <c r="X316" s="39"/>
      <c r="Y316" s="39"/>
      <c r="Z316" s="39"/>
      <c r="AA316" s="39"/>
      <c r="AB316" s="39"/>
      <c r="AC316" s="39"/>
      <c r="AD316" s="39"/>
      <c r="AE316" s="39"/>
      <c r="AF316" s="39"/>
      <c r="AG316" s="39"/>
      <c r="AH316" s="39"/>
      <c r="AI316" s="35"/>
      <c r="AJ316" s="39"/>
      <c r="AK316" s="39"/>
      <c r="AL316" s="39"/>
      <c r="AM316" s="35"/>
      <c r="AN316" s="35"/>
      <c r="AO316" s="39"/>
      <c r="AP316" s="39"/>
      <c r="AQ316" s="35"/>
      <c r="AR316" s="35"/>
      <c r="AS316" s="35"/>
      <c r="AT316" s="30">
        <f t="shared" ca="1" si="38"/>
        <v>0</v>
      </c>
      <c r="AU316" s="32" t="str">
        <f t="shared" ca="1" si="37"/>
        <v/>
      </c>
      <c r="AV316" s="32" t="str" cm="1">
        <f t="array" aca="1" ref="AV316" ca="1">IFERROR(_xlfn.IFS($AU316="","",$AU316&lt;=15,"0-15",AND($AU316&gt;=16,$AU316&lt;=30),"16-30",AND($AU316&gt;=31,$AU316&lt;=45),"31-45",AND($AU316&gt;=46,$AU316&lt;=60),"46-60",AND($AU316&gt;=61,$AU316&lt;=90),"61-90",AND($AU316&gt;=91),"&gt; 90",AND($AU316&gt;=2000),""),"")</f>
        <v/>
      </c>
      <c r="AW316" s="32" t="str" cm="1">
        <f t="array" aca="1" ref="AW316" ca="1">IFERROR(_xlfn.IFS(OR($M316="",$AM316=""),"",OR($C316="Offered",$C316="Joined"),($AM316-$M316)-$AT316),"")</f>
        <v/>
      </c>
      <c r="AX316" s="32" t="str" cm="1">
        <f t="array" aca="1" ref="AX316" ca="1">IFERROR(_xlfn.IFS(OR($M316="",$AS316=""),"",$C316="Joined",($AS316-$M316)-$AT316),"")</f>
        <v/>
      </c>
      <c r="AY316" s="30" t="str">
        <f>IFERROR(IF(COUNTIFS('Candidate Tracker'!$E:$E,'Positions Tracker'!$B316,'Candidate Tracker'!$C:$C,"Offer Drop")=0,"",COUNTIFS('Candidate Tracker'!$E:$E,'Positions Tracker'!$B316,'Candidate Tracker'!$C:$C,"Offer Drop")),"")</f>
        <v/>
      </c>
      <c r="AZ3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6" s="34" t="str">
        <f>IFERROR(IF(COUNTIFS('Candidate Tracker'!$E:$E,'Positions Tracker'!$B316,'Candidate Tracker'!$I:$I,"Female")=0,"",COUNTIFS('Candidate Tracker'!$E:$E,'Positions Tracker'!$B316,'Candidate Tracker'!$I:$I,"Female")),"")</f>
        <v/>
      </c>
      <c r="BB316" s="34" t="str">
        <f>IFERROR(IF(COUNTIFS('Candidate Tracker'!$E:$E,'Positions Tracker'!$B316,'Candidate Tracker'!$I:$I,"male")=0,"",COUNTIFS('Candidate Tracker'!$E:$E,'Positions Tracker'!$B316,'Candidate Tracker'!$I:$I,"male")),"")</f>
        <v/>
      </c>
      <c r="BC316" s="33" t="str">
        <f>IFERROR(IF(COUNTIFS('Candidate Tracker'!$E:$E,'Positions Tracker'!$B316,'Candidate Tracker'!$C:$C,"&lt;&gt;WIP",'Candidate Tracker'!$C:$C,"&lt;&gt;Hold",'Candidate Tracker'!$C:$C,"&lt;&gt;Cancelled",'Candidate Tracker'!$C:$C,"&lt;&gt;Closed")/COUNTIFS('Candidate Tracker'!$E:$E,'Positions Tracker'!$B316)=0,"",COUNTIFS('Candidate Tracker'!$E:$E,'Positions Tracker'!$B316,'Candidate Tracker'!$C:$C,"&lt;&gt;WIP",'Candidate Tracker'!$C:$C,"&lt;&gt;Hold",'Candidate Tracker'!$C:$C,"&lt;&gt;Cancelled",'Candidate Tracker'!$C:$C,"&lt;&gt;Closed")/COUNTIFS('Candidate Tracker'!$E:$E,'Positions Tracker'!$B316)),"")</f>
        <v/>
      </c>
      <c r="BD316" s="30" t="str">
        <f t="shared" si="39"/>
        <v/>
      </c>
      <c r="BE316" s="30" t="str">
        <f t="shared" si="40"/>
        <v/>
      </c>
      <c r="BF316" s="30" t="str">
        <f t="shared" si="41"/>
        <v/>
      </c>
      <c r="BG316" s="30" t="str">
        <f t="shared" si="42"/>
        <v/>
      </c>
    </row>
    <row r="317" spans="1:59">
      <c r="A317" s="39"/>
      <c r="B317" s="39"/>
      <c r="C317" s="39"/>
      <c r="D317" s="39"/>
      <c r="E317" s="39"/>
      <c r="F317" s="39"/>
      <c r="G317" s="39"/>
      <c r="H317" s="39"/>
      <c r="I317" s="40"/>
      <c r="J317" s="40"/>
      <c r="K317" s="35"/>
      <c r="L317" s="35"/>
      <c r="M317" s="35"/>
      <c r="N317" s="39"/>
      <c r="O317" s="39"/>
      <c r="P317" s="39"/>
      <c r="Q317" s="39"/>
      <c r="R317" s="39"/>
      <c r="S317" s="39"/>
      <c r="T317" s="39"/>
      <c r="U317" s="39"/>
      <c r="V317" s="39"/>
      <c r="W317" s="39"/>
      <c r="X317" s="39"/>
      <c r="Y317" s="39"/>
      <c r="Z317" s="39"/>
      <c r="AA317" s="39"/>
      <c r="AB317" s="39"/>
      <c r="AC317" s="39"/>
      <c r="AD317" s="39"/>
      <c r="AE317" s="39"/>
      <c r="AF317" s="39"/>
      <c r="AG317" s="39"/>
      <c r="AH317" s="39"/>
      <c r="AI317" s="35"/>
      <c r="AJ317" s="39"/>
      <c r="AK317" s="39"/>
      <c r="AL317" s="39"/>
      <c r="AM317" s="35"/>
      <c r="AN317" s="35"/>
      <c r="AO317" s="39"/>
      <c r="AP317" s="39"/>
      <c r="AQ317" s="35"/>
      <c r="AR317" s="35"/>
      <c r="AS317" s="35"/>
      <c r="AT317" s="30">
        <f t="shared" ca="1" si="38"/>
        <v>0</v>
      </c>
      <c r="AU317" s="32" t="str">
        <f t="shared" ca="1" si="37"/>
        <v/>
      </c>
      <c r="AV317" s="32" t="str" cm="1">
        <f t="array" aca="1" ref="AV317" ca="1">IFERROR(_xlfn.IFS($AU317="","",$AU317&lt;=15,"0-15",AND($AU317&gt;=16,$AU317&lt;=30),"16-30",AND($AU317&gt;=31,$AU317&lt;=45),"31-45",AND($AU317&gt;=46,$AU317&lt;=60),"46-60",AND($AU317&gt;=61,$AU317&lt;=90),"61-90",AND($AU317&gt;=91),"&gt; 90",AND($AU317&gt;=2000),""),"")</f>
        <v/>
      </c>
      <c r="AW317" s="32" t="str" cm="1">
        <f t="array" aca="1" ref="AW317" ca="1">IFERROR(_xlfn.IFS(OR($M317="",$AM317=""),"",OR($C317="Offered",$C317="Joined"),($AM317-$M317)-$AT317),"")</f>
        <v/>
      </c>
      <c r="AX317" s="32" t="str" cm="1">
        <f t="array" aca="1" ref="AX317" ca="1">IFERROR(_xlfn.IFS(OR($M317="",$AS317=""),"",$C317="Joined",($AS317-$M317)-$AT317),"")</f>
        <v/>
      </c>
      <c r="AY317" s="30" t="str">
        <f>IFERROR(IF(COUNTIFS('Candidate Tracker'!$E:$E,'Positions Tracker'!$B317,'Candidate Tracker'!$C:$C,"Offer Drop")=0,"",COUNTIFS('Candidate Tracker'!$E:$E,'Positions Tracker'!$B317,'Candidate Tracker'!$C:$C,"Offer Drop")),"")</f>
        <v/>
      </c>
      <c r="AZ3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7" s="34" t="str">
        <f>IFERROR(IF(COUNTIFS('Candidate Tracker'!$E:$E,'Positions Tracker'!$B317,'Candidate Tracker'!$I:$I,"Female")=0,"",COUNTIFS('Candidate Tracker'!$E:$E,'Positions Tracker'!$B317,'Candidate Tracker'!$I:$I,"Female")),"")</f>
        <v/>
      </c>
      <c r="BB317" s="34" t="str">
        <f>IFERROR(IF(COUNTIFS('Candidate Tracker'!$E:$E,'Positions Tracker'!$B317,'Candidate Tracker'!$I:$I,"male")=0,"",COUNTIFS('Candidate Tracker'!$E:$E,'Positions Tracker'!$B317,'Candidate Tracker'!$I:$I,"male")),"")</f>
        <v/>
      </c>
      <c r="BC317" s="33" t="str">
        <f>IFERROR(IF(COUNTIFS('Candidate Tracker'!$E:$E,'Positions Tracker'!$B317,'Candidate Tracker'!$C:$C,"&lt;&gt;WIP",'Candidate Tracker'!$C:$C,"&lt;&gt;Hold",'Candidate Tracker'!$C:$C,"&lt;&gt;Cancelled",'Candidate Tracker'!$C:$C,"&lt;&gt;Closed")/COUNTIFS('Candidate Tracker'!$E:$E,'Positions Tracker'!$B317)=0,"",COUNTIFS('Candidate Tracker'!$E:$E,'Positions Tracker'!$B317,'Candidate Tracker'!$C:$C,"&lt;&gt;WIP",'Candidate Tracker'!$C:$C,"&lt;&gt;Hold",'Candidate Tracker'!$C:$C,"&lt;&gt;Cancelled",'Candidate Tracker'!$C:$C,"&lt;&gt;Closed")/COUNTIFS('Candidate Tracker'!$E:$E,'Positions Tracker'!$B317)),"")</f>
        <v/>
      </c>
      <c r="BD317" s="30" t="str">
        <f t="shared" si="39"/>
        <v/>
      </c>
      <c r="BE317" s="30" t="str">
        <f t="shared" si="40"/>
        <v/>
      </c>
      <c r="BF317" s="30" t="str">
        <f t="shared" si="41"/>
        <v/>
      </c>
      <c r="BG317" s="30" t="str">
        <f t="shared" si="42"/>
        <v/>
      </c>
    </row>
    <row r="318" spans="1:59">
      <c r="A318" s="39"/>
      <c r="B318" s="39"/>
      <c r="C318" s="39"/>
      <c r="D318" s="39"/>
      <c r="E318" s="39"/>
      <c r="F318" s="39"/>
      <c r="G318" s="39"/>
      <c r="H318" s="39"/>
      <c r="I318" s="40"/>
      <c r="J318" s="40"/>
      <c r="K318" s="35"/>
      <c r="L318" s="35"/>
      <c r="M318" s="35"/>
      <c r="N318" s="39"/>
      <c r="O318" s="39"/>
      <c r="P318" s="39"/>
      <c r="Q318" s="39"/>
      <c r="R318" s="39"/>
      <c r="S318" s="39"/>
      <c r="T318" s="39"/>
      <c r="U318" s="39"/>
      <c r="V318" s="39"/>
      <c r="W318" s="39"/>
      <c r="X318" s="39"/>
      <c r="Y318" s="39"/>
      <c r="Z318" s="39"/>
      <c r="AA318" s="39"/>
      <c r="AB318" s="39"/>
      <c r="AC318" s="39"/>
      <c r="AD318" s="39"/>
      <c r="AE318" s="39"/>
      <c r="AF318" s="39"/>
      <c r="AG318" s="39"/>
      <c r="AH318" s="39"/>
      <c r="AI318" s="35"/>
      <c r="AJ318" s="39"/>
      <c r="AK318" s="39"/>
      <c r="AL318" s="39"/>
      <c r="AM318" s="35"/>
      <c r="AN318" s="35"/>
      <c r="AO318" s="39"/>
      <c r="AP318" s="39"/>
      <c r="AQ318" s="35"/>
      <c r="AR318" s="35"/>
      <c r="AS318" s="35"/>
      <c r="AT318" s="30">
        <f t="shared" ca="1" si="38"/>
        <v>0</v>
      </c>
      <c r="AU318" s="32" t="str">
        <f t="shared" ca="1" si="37"/>
        <v/>
      </c>
      <c r="AV318" s="32" t="str" cm="1">
        <f t="array" aca="1" ref="AV318" ca="1">IFERROR(_xlfn.IFS($AU318="","",$AU318&lt;=15,"0-15",AND($AU318&gt;=16,$AU318&lt;=30),"16-30",AND($AU318&gt;=31,$AU318&lt;=45),"31-45",AND($AU318&gt;=46,$AU318&lt;=60),"46-60",AND($AU318&gt;=61,$AU318&lt;=90),"61-90",AND($AU318&gt;=91),"&gt; 90",AND($AU318&gt;=2000),""),"")</f>
        <v/>
      </c>
      <c r="AW318" s="32" t="str" cm="1">
        <f t="array" aca="1" ref="AW318" ca="1">IFERROR(_xlfn.IFS(OR($M318="",$AM318=""),"",OR($C318="Offered",$C318="Joined"),($AM318-$M318)-$AT318),"")</f>
        <v/>
      </c>
      <c r="AX318" s="32" t="str" cm="1">
        <f t="array" aca="1" ref="AX318" ca="1">IFERROR(_xlfn.IFS(OR($M318="",$AS318=""),"",$C318="Joined",($AS318-$M318)-$AT318),"")</f>
        <v/>
      </c>
      <c r="AY318" s="30" t="str">
        <f>IFERROR(IF(COUNTIFS('Candidate Tracker'!$E:$E,'Positions Tracker'!$B318,'Candidate Tracker'!$C:$C,"Offer Drop")=0,"",COUNTIFS('Candidate Tracker'!$E:$E,'Positions Tracker'!$B318,'Candidate Tracker'!$C:$C,"Offer Drop")),"")</f>
        <v/>
      </c>
      <c r="AZ3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8" s="34" t="str">
        <f>IFERROR(IF(COUNTIFS('Candidate Tracker'!$E:$E,'Positions Tracker'!$B318,'Candidate Tracker'!$I:$I,"Female")=0,"",COUNTIFS('Candidate Tracker'!$E:$E,'Positions Tracker'!$B318,'Candidate Tracker'!$I:$I,"Female")),"")</f>
        <v/>
      </c>
      <c r="BB318" s="34" t="str">
        <f>IFERROR(IF(COUNTIFS('Candidate Tracker'!$E:$E,'Positions Tracker'!$B318,'Candidate Tracker'!$I:$I,"male")=0,"",COUNTIFS('Candidate Tracker'!$E:$E,'Positions Tracker'!$B318,'Candidate Tracker'!$I:$I,"male")),"")</f>
        <v/>
      </c>
      <c r="BC318" s="33" t="str">
        <f>IFERROR(IF(COUNTIFS('Candidate Tracker'!$E:$E,'Positions Tracker'!$B318,'Candidate Tracker'!$C:$C,"&lt;&gt;WIP",'Candidate Tracker'!$C:$C,"&lt;&gt;Hold",'Candidate Tracker'!$C:$C,"&lt;&gt;Cancelled",'Candidate Tracker'!$C:$C,"&lt;&gt;Closed")/COUNTIFS('Candidate Tracker'!$E:$E,'Positions Tracker'!$B318)=0,"",COUNTIFS('Candidate Tracker'!$E:$E,'Positions Tracker'!$B318,'Candidate Tracker'!$C:$C,"&lt;&gt;WIP",'Candidate Tracker'!$C:$C,"&lt;&gt;Hold",'Candidate Tracker'!$C:$C,"&lt;&gt;Cancelled",'Candidate Tracker'!$C:$C,"&lt;&gt;Closed")/COUNTIFS('Candidate Tracker'!$E:$E,'Positions Tracker'!$B318)),"")</f>
        <v/>
      </c>
      <c r="BD318" s="30" t="str">
        <f t="shared" si="39"/>
        <v/>
      </c>
      <c r="BE318" s="30" t="str">
        <f t="shared" si="40"/>
        <v/>
      </c>
      <c r="BF318" s="30" t="str">
        <f t="shared" si="41"/>
        <v/>
      </c>
      <c r="BG318" s="30" t="str">
        <f t="shared" si="42"/>
        <v/>
      </c>
    </row>
    <row r="319" spans="1:59">
      <c r="A319" s="39"/>
      <c r="B319" s="39"/>
      <c r="C319" s="39"/>
      <c r="D319" s="39"/>
      <c r="E319" s="39"/>
      <c r="F319" s="39"/>
      <c r="G319" s="39"/>
      <c r="H319" s="39"/>
      <c r="I319" s="40"/>
      <c r="J319" s="40"/>
      <c r="K319" s="35"/>
      <c r="L319" s="35"/>
      <c r="M319" s="35"/>
      <c r="N319" s="39"/>
      <c r="O319" s="39"/>
      <c r="P319" s="39"/>
      <c r="Q319" s="39"/>
      <c r="R319" s="39"/>
      <c r="S319" s="39"/>
      <c r="T319" s="39"/>
      <c r="U319" s="39"/>
      <c r="V319" s="39"/>
      <c r="W319" s="39"/>
      <c r="X319" s="39"/>
      <c r="Y319" s="39"/>
      <c r="Z319" s="39"/>
      <c r="AA319" s="39"/>
      <c r="AB319" s="39"/>
      <c r="AC319" s="39"/>
      <c r="AD319" s="39"/>
      <c r="AE319" s="39"/>
      <c r="AF319" s="39"/>
      <c r="AG319" s="39"/>
      <c r="AH319" s="39"/>
      <c r="AI319" s="35"/>
      <c r="AJ319" s="39"/>
      <c r="AK319" s="39"/>
      <c r="AL319" s="39"/>
      <c r="AM319" s="35"/>
      <c r="AN319" s="35"/>
      <c r="AO319" s="39"/>
      <c r="AP319" s="39"/>
      <c r="AQ319" s="35"/>
      <c r="AR319" s="35"/>
      <c r="AS319" s="35"/>
      <c r="AT319" s="30">
        <f t="shared" ca="1" si="38"/>
        <v>0</v>
      </c>
      <c r="AU319" s="32" t="str">
        <f t="shared" ca="1" si="37"/>
        <v/>
      </c>
      <c r="AV319" s="32" t="str" cm="1">
        <f t="array" aca="1" ref="AV319" ca="1">IFERROR(_xlfn.IFS($AU319="","",$AU319&lt;=15,"0-15",AND($AU319&gt;=16,$AU319&lt;=30),"16-30",AND($AU319&gt;=31,$AU319&lt;=45),"31-45",AND($AU319&gt;=46,$AU319&lt;=60),"46-60",AND($AU319&gt;=61,$AU319&lt;=90),"61-90",AND($AU319&gt;=91),"&gt; 90",AND($AU319&gt;=2000),""),"")</f>
        <v/>
      </c>
      <c r="AW319" s="32" t="str" cm="1">
        <f t="array" aca="1" ref="AW319" ca="1">IFERROR(_xlfn.IFS(OR($M319="",$AM319=""),"",OR($C319="Offered",$C319="Joined"),($AM319-$M319)-$AT319),"")</f>
        <v/>
      </c>
      <c r="AX319" s="32" t="str" cm="1">
        <f t="array" aca="1" ref="AX319" ca="1">IFERROR(_xlfn.IFS(OR($M319="",$AS319=""),"",$C319="Joined",($AS319-$M319)-$AT319),"")</f>
        <v/>
      </c>
      <c r="AY319" s="30" t="str">
        <f>IFERROR(IF(COUNTIFS('Candidate Tracker'!$E:$E,'Positions Tracker'!$B319,'Candidate Tracker'!$C:$C,"Offer Drop")=0,"",COUNTIFS('Candidate Tracker'!$E:$E,'Positions Tracker'!$B319,'Candidate Tracker'!$C:$C,"Offer Drop")),"")</f>
        <v/>
      </c>
      <c r="AZ3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19" s="34" t="str">
        <f>IFERROR(IF(COUNTIFS('Candidate Tracker'!$E:$E,'Positions Tracker'!$B319,'Candidate Tracker'!$I:$I,"Female")=0,"",COUNTIFS('Candidate Tracker'!$E:$E,'Positions Tracker'!$B319,'Candidate Tracker'!$I:$I,"Female")),"")</f>
        <v/>
      </c>
      <c r="BB319" s="34" t="str">
        <f>IFERROR(IF(COUNTIFS('Candidate Tracker'!$E:$E,'Positions Tracker'!$B319,'Candidate Tracker'!$I:$I,"male")=0,"",COUNTIFS('Candidate Tracker'!$E:$E,'Positions Tracker'!$B319,'Candidate Tracker'!$I:$I,"male")),"")</f>
        <v/>
      </c>
      <c r="BC319" s="33" t="str">
        <f>IFERROR(IF(COUNTIFS('Candidate Tracker'!$E:$E,'Positions Tracker'!$B319,'Candidate Tracker'!$C:$C,"&lt;&gt;WIP",'Candidate Tracker'!$C:$C,"&lt;&gt;Hold",'Candidate Tracker'!$C:$C,"&lt;&gt;Cancelled",'Candidate Tracker'!$C:$C,"&lt;&gt;Closed")/COUNTIFS('Candidate Tracker'!$E:$E,'Positions Tracker'!$B319)=0,"",COUNTIFS('Candidate Tracker'!$E:$E,'Positions Tracker'!$B319,'Candidate Tracker'!$C:$C,"&lt;&gt;WIP",'Candidate Tracker'!$C:$C,"&lt;&gt;Hold",'Candidate Tracker'!$C:$C,"&lt;&gt;Cancelled",'Candidate Tracker'!$C:$C,"&lt;&gt;Closed")/COUNTIFS('Candidate Tracker'!$E:$E,'Positions Tracker'!$B319)),"")</f>
        <v/>
      </c>
      <c r="BD319" s="30" t="str">
        <f t="shared" si="39"/>
        <v/>
      </c>
      <c r="BE319" s="30" t="str">
        <f t="shared" si="40"/>
        <v/>
      </c>
      <c r="BF319" s="30" t="str">
        <f t="shared" si="41"/>
        <v/>
      </c>
      <c r="BG319" s="30" t="str">
        <f t="shared" si="42"/>
        <v/>
      </c>
    </row>
    <row r="320" spans="1:59">
      <c r="A320" s="39"/>
      <c r="B320" s="39"/>
      <c r="C320" s="39"/>
      <c r="D320" s="39"/>
      <c r="E320" s="39"/>
      <c r="F320" s="39"/>
      <c r="G320" s="39"/>
      <c r="H320" s="39"/>
      <c r="I320" s="40"/>
      <c r="J320" s="40"/>
      <c r="K320" s="35"/>
      <c r="L320" s="35"/>
      <c r="M320" s="35"/>
      <c r="N320" s="39"/>
      <c r="O320" s="39"/>
      <c r="P320" s="39"/>
      <c r="Q320" s="39"/>
      <c r="R320" s="39"/>
      <c r="S320" s="39"/>
      <c r="T320" s="39"/>
      <c r="U320" s="39"/>
      <c r="V320" s="39"/>
      <c r="W320" s="39"/>
      <c r="X320" s="39"/>
      <c r="Y320" s="39"/>
      <c r="Z320" s="39"/>
      <c r="AA320" s="39"/>
      <c r="AB320" s="39"/>
      <c r="AC320" s="39"/>
      <c r="AD320" s="39"/>
      <c r="AE320" s="39"/>
      <c r="AF320" s="39"/>
      <c r="AG320" s="39"/>
      <c r="AH320" s="39"/>
      <c r="AI320" s="35"/>
      <c r="AJ320" s="39"/>
      <c r="AK320" s="39"/>
      <c r="AL320" s="39"/>
      <c r="AM320" s="35"/>
      <c r="AN320" s="35"/>
      <c r="AO320" s="39"/>
      <c r="AP320" s="39"/>
      <c r="AQ320" s="35"/>
      <c r="AR320" s="35"/>
      <c r="AS320" s="35"/>
      <c r="AT320" s="30">
        <f t="shared" ca="1" si="38"/>
        <v>0</v>
      </c>
      <c r="AU320" s="32" t="str">
        <f t="shared" ref="AU320:AU383" ca="1" si="43">IFERROR(IF(($M320=""),"",IF(OR(,$C320="Offer in Progress",$C320="WIP",$C320="WIP/Drop",$C320="WIP/New",$C320="WIP/Hold"),(TODAY()-$M320)-$AT320,"")),"")</f>
        <v/>
      </c>
      <c r="AV320" s="32" t="str" cm="1">
        <f t="array" aca="1" ref="AV320" ca="1">IFERROR(_xlfn.IFS($AU320="","",$AU320&lt;=15,"0-15",AND($AU320&gt;=16,$AU320&lt;=30),"16-30",AND($AU320&gt;=31,$AU320&lt;=45),"31-45",AND($AU320&gt;=46,$AU320&lt;=60),"46-60",AND($AU320&gt;=61,$AU320&lt;=90),"61-90",AND($AU320&gt;=91),"&gt; 90",AND($AU320&gt;=2000),""),"")</f>
        <v/>
      </c>
      <c r="AW320" s="32" t="str" cm="1">
        <f t="array" aca="1" ref="AW320" ca="1">IFERROR(_xlfn.IFS(OR($M320="",$AM320=""),"",OR($C320="Offered",$C320="Joined"),($AM320-$M320)-$AT320),"")</f>
        <v/>
      </c>
      <c r="AX320" s="32" t="str" cm="1">
        <f t="array" aca="1" ref="AX320" ca="1">IFERROR(_xlfn.IFS(OR($M320="",$AS320=""),"",$C320="Joined",($AS320-$M320)-$AT320),"")</f>
        <v/>
      </c>
      <c r="AY320" s="30" t="str">
        <f>IFERROR(IF(COUNTIFS('Candidate Tracker'!$E:$E,'Positions Tracker'!$B320,'Candidate Tracker'!$C:$C,"Offer Drop")=0,"",COUNTIFS('Candidate Tracker'!$E:$E,'Positions Tracker'!$B320,'Candidate Tracker'!$C:$C,"Offer Drop")),"")</f>
        <v/>
      </c>
      <c r="AZ3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0" s="34" t="str">
        <f>IFERROR(IF(COUNTIFS('Candidate Tracker'!$E:$E,'Positions Tracker'!$B320,'Candidate Tracker'!$I:$I,"Female")=0,"",COUNTIFS('Candidate Tracker'!$E:$E,'Positions Tracker'!$B320,'Candidate Tracker'!$I:$I,"Female")),"")</f>
        <v/>
      </c>
      <c r="BB320" s="34" t="str">
        <f>IFERROR(IF(COUNTIFS('Candidate Tracker'!$E:$E,'Positions Tracker'!$B320,'Candidate Tracker'!$I:$I,"male")=0,"",COUNTIFS('Candidate Tracker'!$E:$E,'Positions Tracker'!$B320,'Candidate Tracker'!$I:$I,"male")),"")</f>
        <v/>
      </c>
      <c r="BC320" s="33" t="str">
        <f>IFERROR(IF(COUNTIFS('Candidate Tracker'!$E:$E,'Positions Tracker'!$B320,'Candidate Tracker'!$C:$C,"&lt;&gt;WIP",'Candidate Tracker'!$C:$C,"&lt;&gt;Hold",'Candidate Tracker'!$C:$C,"&lt;&gt;Cancelled",'Candidate Tracker'!$C:$C,"&lt;&gt;Closed")/COUNTIFS('Candidate Tracker'!$E:$E,'Positions Tracker'!$B320)=0,"",COUNTIFS('Candidate Tracker'!$E:$E,'Positions Tracker'!$B320,'Candidate Tracker'!$C:$C,"&lt;&gt;WIP",'Candidate Tracker'!$C:$C,"&lt;&gt;Hold",'Candidate Tracker'!$C:$C,"&lt;&gt;Cancelled",'Candidate Tracker'!$C:$C,"&lt;&gt;Closed")/COUNTIFS('Candidate Tracker'!$E:$E,'Positions Tracker'!$B320)),"")</f>
        <v/>
      </c>
      <c r="BD320" s="30" t="str">
        <f t="shared" si="39"/>
        <v/>
      </c>
      <c r="BE320" s="30" t="str">
        <f t="shared" si="40"/>
        <v/>
      </c>
      <c r="BF320" s="30" t="str">
        <f t="shared" si="41"/>
        <v/>
      </c>
      <c r="BG320" s="30" t="str">
        <f t="shared" si="42"/>
        <v/>
      </c>
    </row>
    <row r="321" spans="1:59">
      <c r="A321" s="39"/>
      <c r="B321" s="39"/>
      <c r="C321" s="39"/>
      <c r="D321" s="39"/>
      <c r="E321" s="39"/>
      <c r="F321" s="39"/>
      <c r="G321" s="39"/>
      <c r="H321" s="39"/>
      <c r="I321" s="40"/>
      <c r="J321" s="40"/>
      <c r="K321" s="35"/>
      <c r="L321" s="35"/>
      <c r="M321" s="35"/>
      <c r="N321" s="39"/>
      <c r="O321" s="39"/>
      <c r="P321" s="39"/>
      <c r="Q321" s="39"/>
      <c r="R321" s="39"/>
      <c r="S321" s="39"/>
      <c r="T321" s="39"/>
      <c r="U321" s="39"/>
      <c r="V321" s="39"/>
      <c r="W321" s="39"/>
      <c r="X321" s="39"/>
      <c r="Y321" s="39"/>
      <c r="Z321" s="39"/>
      <c r="AA321" s="39"/>
      <c r="AB321" s="39"/>
      <c r="AC321" s="39"/>
      <c r="AD321" s="39"/>
      <c r="AE321" s="39"/>
      <c r="AF321" s="39"/>
      <c r="AG321" s="39"/>
      <c r="AH321" s="39"/>
      <c r="AI321" s="35"/>
      <c r="AJ321" s="39"/>
      <c r="AK321" s="39"/>
      <c r="AL321" s="39"/>
      <c r="AM321" s="35"/>
      <c r="AN321" s="35"/>
      <c r="AO321" s="39"/>
      <c r="AP321" s="39"/>
      <c r="AQ321" s="35"/>
      <c r="AR321" s="35"/>
      <c r="AS321" s="35"/>
      <c r="AT321" s="30">
        <f t="shared" ref="AT321:AT384" ca="1" si="44">IFERROR(SUM(IF(AND(ISBLANK(T321),ISBLANK(Q321)),0,IF(T321="",TODAY()-Q321,T321-Q321))+IF(AND(ISBLANK(S321),ISBLANK(P321)),0,IF(S321="",TODAY()-P321,S321-P321))+IF(AND(ISBLANK(O321),ISBLANK(R321)),0,IF(R321="",TODAY()-O321,R321-O321))),"")</f>
        <v>0</v>
      </c>
      <c r="AU321" s="32" t="str">
        <f t="shared" ca="1" si="43"/>
        <v/>
      </c>
      <c r="AV321" s="32" t="str" cm="1">
        <f t="array" aca="1" ref="AV321" ca="1">IFERROR(_xlfn.IFS($AU321="","",$AU321&lt;=15,"0-15",AND($AU321&gt;=16,$AU321&lt;=30),"16-30",AND($AU321&gt;=31,$AU321&lt;=45),"31-45",AND($AU321&gt;=46,$AU321&lt;=60),"46-60",AND($AU321&gt;=61,$AU321&lt;=90),"61-90",AND($AU321&gt;=91),"&gt; 90",AND($AU321&gt;=2000),""),"")</f>
        <v/>
      </c>
      <c r="AW321" s="32" t="str" cm="1">
        <f t="array" aca="1" ref="AW321" ca="1">IFERROR(_xlfn.IFS(OR($M321="",$AM321=""),"",OR($C321="Offered",$C321="Joined"),($AM321-$M321)-$AT321),"")</f>
        <v/>
      </c>
      <c r="AX321" s="32" t="str" cm="1">
        <f t="array" aca="1" ref="AX321" ca="1">IFERROR(_xlfn.IFS(OR($M321="",$AS321=""),"",$C321="Joined",($AS321-$M321)-$AT321),"")</f>
        <v/>
      </c>
      <c r="AY321" s="30" t="str">
        <f>IFERROR(IF(COUNTIFS('Candidate Tracker'!$E:$E,'Positions Tracker'!$B321,'Candidate Tracker'!$C:$C,"Offer Drop")=0,"",COUNTIFS('Candidate Tracker'!$E:$E,'Positions Tracker'!$B321,'Candidate Tracker'!$C:$C,"Offer Drop")),"")</f>
        <v/>
      </c>
      <c r="AZ3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1" s="34" t="str">
        <f>IFERROR(IF(COUNTIFS('Candidate Tracker'!$E:$E,'Positions Tracker'!$B321,'Candidate Tracker'!$I:$I,"Female")=0,"",COUNTIFS('Candidate Tracker'!$E:$E,'Positions Tracker'!$B321,'Candidate Tracker'!$I:$I,"Female")),"")</f>
        <v/>
      </c>
      <c r="BB321" s="34" t="str">
        <f>IFERROR(IF(COUNTIFS('Candidate Tracker'!$E:$E,'Positions Tracker'!$B321,'Candidate Tracker'!$I:$I,"male")=0,"",COUNTIFS('Candidate Tracker'!$E:$E,'Positions Tracker'!$B321,'Candidate Tracker'!$I:$I,"male")),"")</f>
        <v/>
      </c>
      <c r="BC321" s="33" t="str">
        <f>IFERROR(IF(COUNTIFS('Candidate Tracker'!$E:$E,'Positions Tracker'!$B321,'Candidate Tracker'!$C:$C,"&lt;&gt;WIP",'Candidate Tracker'!$C:$C,"&lt;&gt;Hold",'Candidate Tracker'!$C:$C,"&lt;&gt;Cancelled",'Candidate Tracker'!$C:$C,"&lt;&gt;Closed")/COUNTIFS('Candidate Tracker'!$E:$E,'Positions Tracker'!$B321)=0,"",COUNTIFS('Candidate Tracker'!$E:$E,'Positions Tracker'!$B321,'Candidate Tracker'!$C:$C,"&lt;&gt;WIP",'Candidate Tracker'!$C:$C,"&lt;&gt;Hold",'Candidate Tracker'!$C:$C,"&lt;&gt;Cancelled",'Candidate Tracker'!$C:$C,"&lt;&gt;Closed")/COUNTIFS('Candidate Tracker'!$E:$E,'Positions Tracker'!$B321)),"")</f>
        <v/>
      </c>
      <c r="BD321" s="30" t="str">
        <f t="shared" ref="BD321:BD384" si="45">IFERROR(IF($M321="","",TEXT($M321,"MMM-YY")),"")</f>
        <v/>
      </c>
      <c r="BE321" s="30" t="str">
        <f t="shared" ref="BE321:BE384" si="46">IFERROR(IF($AI321="","",TEXT($AI321,"MMM-YY")),"")</f>
        <v/>
      </c>
      <c r="BF321" s="30" t="str">
        <f t="shared" ref="BF321:BF384" si="47">IFERROR(IF($AM321="","",TEXT($AM321,"MMM-YY")),"")</f>
        <v/>
      </c>
      <c r="BG321" s="30" t="str">
        <f t="shared" ref="BG321:BG384" si="48">IFERROR(IF($AS321="","",TEXT($AS321,"MMM-YY")),"")</f>
        <v/>
      </c>
    </row>
    <row r="322" spans="1:59">
      <c r="A322" s="39"/>
      <c r="B322" s="39"/>
      <c r="C322" s="39"/>
      <c r="D322" s="39"/>
      <c r="E322" s="39"/>
      <c r="F322" s="39"/>
      <c r="G322" s="39"/>
      <c r="H322" s="39"/>
      <c r="I322" s="40"/>
      <c r="J322" s="40"/>
      <c r="K322" s="35"/>
      <c r="L322" s="35"/>
      <c r="M322" s="35"/>
      <c r="N322" s="39"/>
      <c r="O322" s="39"/>
      <c r="P322" s="39"/>
      <c r="Q322" s="39"/>
      <c r="R322" s="39"/>
      <c r="S322" s="39"/>
      <c r="T322" s="39"/>
      <c r="U322" s="39"/>
      <c r="V322" s="39"/>
      <c r="W322" s="39"/>
      <c r="X322" s="39"/>
      <c r="Y322" s="39"/>
      <c r="Z322" s="39"/>
      <c r="AA322" s="39"/>
      <c r="AB322" s="39"/>
      <c r="AC322" s="39"/>
      <c r="AD322" s="39"/>
      <c r="AE322" s="39"/>
      <c r="AF322" s="39"/>
      <c r="AG322" s="39"/>
      <c r="AH322" s="39"/>
      <c r="AI322" s="35"/>
      <c r="AJ322" s="39"/>
      <c r="AK322" s="39"/>
      <c r="AL322" s="39"/>
      <c r="AM322" s="35"/>
      <c r="AN322" s="35"/>
      <c r="AO322" s="39"/>
      <c r="AP322" s="39"/>
      <c r="AQ322" s="35"/>
      <c r="AR322" s="35"/>
      <c r="AS322" s="35"/>
      <c r="AT322" s="30">
        <f t="shared" ca="1" si="44"/>
        <v>0</v>
      </c>
      <c r="AU322" s="32" t="str">
        <f t="shared" ca="1" si="43"/>
        <v/>
      </c>
      <c r="AV322" s="32" t="str" cm="1">
        <f t="array" aca="1" ref="AV322" ca="1">IFERROR(_xlfn.IFS($AU322="","",$AU322&lt;=15,"0-15",AND($AU322&gt;=16,$AU322&lt;=30),"16-30",AND($AU322&gt;=31,$AU322&lt;=45),"31-45",AND($AU322&gt;=46,$AU322&lt;=60),"46-60",AND($AU322&gt;=61,$AU322&lt;=90),"61-90",AND($AU322&gt;=91),"&gt; 90",AND($AU322&gt;=2000),""),"")</f>
        <v/>
      </c>
      <c r="AW322" s="32" t="str" cm="1">
        <f t="array" aca="1" ref="AW322" ca="1">IFERROR(_xlfn.IFS(OR($M322="",$AM322=""),"",OR($C322="Offered",$C322="Joined"),($AM322-$M322)-$AT322),"")</f>
        <v/>
      </c>
      <c r="AX322" s="32" t="str" cm="1">
        <f t="array" aca="1" ref="AX322" ca="1">IFERROR(_xlfn.IFS(OR($M322="",$AS322=""),"",$C322="Joined",($AS322-$M322)-$AT322),"")</f>
        <v/>
      </c>
      <c r="AY322" s="30" t="str">
        <f>IFERROR(IF(COUNTIFS('Candidate Tracker'!$E:$E,'Positions Tracker'!$B322,'Candidate Tracker'!$C:$C,"Offer Drop")=0,"",COUNTIFS('Candidate Tracker'!$E:$E,'Positions Tracker'!$B322,'Candidate Tracker'!$C:$C,"Offer Drop")),"")</f>
        <v/>
      </c>
      <c r="AZ3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2" s="34" t="str">
        <f>IFERROR(IF(COUNTIFS('Candidate Tracker'!$E:$E,'Positions Tracker'!$B322,'Candidate Tracker'!$I:$I,"Female")=0,"",COUNTIFS('Candidate Tracker'!$E:$E,'Positions Tracker'!$B322,'Candidate Tracker'!$I:$I,"Female")),"")</f>
        <v/>
      </c>
      <c r="BB322" s="34" t="str">
        <f>IFERROR(IF(COUNTIFS('Candidate Tracker'!$E:$E,'Positions Tracker'!$B322,'Candidate Tracker'!$I:$I,"male")=0,"",COUNTIFS('Candidate Tracker'!$E:$E,'Positions Tracker'!$B322,'Candidate Tracker'!$I:$I,"male")),"")</f>
        <v/>
      </c>
      <c r="BC322" s="33" t="str">
        <f>IFERROR(IF(COUNTIFS('Candidate Tracker'!$E:$E,'Positions Tracker'!$B322,'Candidate Tracker'!$C:$C,"&lt;&gt;WIP",'Candidate Tracker'!$C:$C,"&lt;&gt;Hold",'Candidate Tracker'!$C:$C,"&lt;&gt;Cancelled",'Candidate Tracker'!$C:$C,"&lt;&gt;Closed")/COUNTIFS('Candidate Tracker'!$E:$E,'Positions Tracker'!$B322)=0,"",COUNTIFS('Candidate Tracker'!$E:$E,'Positions Tracker'!$B322,'Candidate Tracker'!$C:$C,"&lt;&gt;WIP",'Candidate Tracker'!$C:$C,"&lt;&gt;Hold",'Candidate Tracker'!$C:$C,"&lt;&gt;Cancelled",'Candidate Tracker'!$C:$C,"&lt;&gt;Closed")/COUNTIFS('Candidate Tracker'!$E:$E,'Positions Tracker'!$B322)),"")</f>
        <v/>
      </c>
      <c r="BD322" s="30" t="str">
        <f t="shared" si="45"/>
        <v/>
      </c>
      <c r="BE322" s="30" t="str">
        <f t="shared" si="46"/>
        <v/>
      </c>
      <c r="BF322" s="30" t="str">
        <f t="shared" si="47"/>
        <v/>
      </c>
      <c r="BG322" s="30" t="str">
        <f t="shared" si="48"/>
        <v/>
      </c>
    </row>
    <row r="323" spans="1:59">
      <c r="A323" s="39"/>
      <c r="B323" s="39"/>
      <c r="C323" s="39"/>
      <c r="D323" s="39"/>
      <c r="E323" s="39"/>
      <c r="F323" s="39"/>
      <c r="G323" s="39"/>
      <c r="H323" s="39"/>
      <c r="I323" s="40"/>
      <c r="J323" s="40"/>
      <c r="K323" s="35"/>
      <c r="L323" s="35"/>
      <c r="M323" s="35"/>
      <c r="N323" s="39"/>
      <c r="O323" s="39"/>
      <c r="P323" s="39"/>
      <c r="Q323" s="39"/>
      <c r="R323" s="39"/>
      <c r="S323" s="39"/>
      <c r="T323" s="39"/>
      <c r="U323" s="39"/>
      <c r="V323" s="39"/>
      <c r="W323" s="39"/>
      <c r="X323" s="39"/>
      <c r="Y323" s="39"/>
      <c r="Z323" s="39"/>
      <c r="AA323" s="39"/>
      <c r="AB323" s="39"/>
      <c r="AC323" s="39"/>
      <c r="AD323" s="39"/>
      <c r="AE323" s="39"/>
      <c r="AF323" s="39"/>
      <c r="AG323" s="39"/>
      <c r="AH323" s="39"/>
      <c r="AI323" s="35"/>
      <c r="AJ323" s="39"/>
      <c r="AK323" s="39"/>
      <c r="AL323" s="39"/>
      <c r="AM323" s="35"/>
      <c r="AN323" s="35"/>
      <c r="AO323" s="39"/>
      <c r="AP323" s="39"/>
      <c r="AQ323" s="35"/>
      <c r="AR323" s="35"/>
      <c r="AS323" s="35"/>
      <c r="AT323" s="30">
        <f t="shared" ca="1" si="44"/>
        <v>0</v>
      </c>
      <c r="AU323" s="32" t="str">
        <f t="shared" ca="1" si="43"/>
        <v/>
      </c>
      <c r="AV323" s="32" t="str" cm="1">
        <f t="array" aca="1" ref="AV323" ca="1">IFERROR(_xlfn.IFS($AU323="","",$AU323&lt;=15,"0-15",AND($AU323&gt;=16,$AU323&lt;=30),"16-30",AND($AU323&gt;=31,$AU323&lt;=45),"31-45",AND($AU323&gt;=46,$AU323&lt;=60),"46-60",AND($AU323&gt;=61,$AU323&lt;=90),"61-90",AND($AU323&gt;=91),"&gt; 90",AND($AU323&gt;=2000),""),"")</f>
        <v/>
      </c>
      <c r="AW323" s="32" t="str" cm="1">
        <f t="array" aca="1" ref="AW323" ca="1">IFERROR(_xlfn.IFS(OR($M323="",$AM323=""),"",OR($C323="Offered",$C323="Joined"),($AM323-$M323)-$AT323),"")</f>
        <v/>
      </c>
      <c r="AX323" s="32" t="str" cm="1">
        <f t="array" aca="1" ref="AX323" ca="1">IFERROR(_xlfn.IFS(OR($M323="",$AS323=""),"",$C323="Joined",($AS323-$M323)-$AT323),"")</f>
        <v/>
      </c>
      <c r="AY323" s="30" t="str">
        <f>IFERROR(IF(COUNTIFS('Candidate Tracker'!$E:$E,'Positions Tracker'!$B323,'Candidate Tracker'!$C:$C,"Offer Drop")=0,"",COUNTIFS('Candidate Tracker'!$E:$E,'Positions Tracker'!$B323,'Candidate Tracker'!$C:$C,"Offer Drop")),"")</f>
        <v/>
      </c>
      <c r="AZ3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3" s="34" t="str">
        <f>IFERROR(IF(COUNTIFS('Candidate Tracker'!$E:$E,'Positions Tracker'!$B323,'Candidate Tracker'!$I:$I,"Female")=0,"",COUNTIFS('Candidate Tracker'!$E:$E,'Positions Tracker'!$B323,'Candidate Tracker'!$I:$I,"Female")),"")</f>
        <v/>
      </c>
      <c r="BB323" s="34" t="str">
        <f>IFERROR(IF(COUNTIFS('Candidate Tracker'!$E:$E,'Positions Tracker'!$B323,'Candidate Tracker'!$I:$I,"male")=0,"",COUNTIFS('Candidate Tracker'!$E:$E,'Positions Tracker'!$B323,'Candidate Tracker'!$I:$I,"male")),"")</f>
        <v/>
      </c>
      <c r="BC323" s="33" t="str">
        <f>IFERROR(IF(COUNTIFS('Candidate Tracker'!$E:$E,'Positions Tracker'!$B323,'Candidate Tracker'!$C:$C,"&lt;&gt;WIP",'Candidate Tracker'!$C:$C,"&lt;&gt;Hold",'Candidate Tracker'!$C:$C,"&lt;&gt;Cancelled",'Candidate Tracker'!$C:$C,"&lt;&gt;Closed")/COUNTIFS('Candidate Tracker'!$E:$E,'Positions Tracker'!$B323)=0,"",COUNTIFS('Candidate Tracker'!$E:$E,'Positions Tracker'!$B323,'Candidate Tracker'!$C:$C,"&lt;&gt;WIP",'Candidate Tracker'!$C:$C,"&lt;&gt;Hold",'Candidate Tracker'!$C:$C,"&lt;&gt;Cancelled",'Candidate Tracker'!$C:$C,"&lt;&gt;Closed")/COUNTIFS('Candidate Tracker'!$E:$E,'Positions Tracker'!$B323)),"")</f>
        <v/>
      </c>
      <c r="BD323" s="30" t="str">
        <f t="shared" si="45"/>
        <v/>
      </c>
      <c r="BE323" s="30" t="str">
        <f t="shared" si="46"/>
        <v/>
      </c>
      <c r="BF323" s="30" t="str">
        <f t="shared" si="47"/>
        <v/>
      </c>
      <c r="BG323" s="30" t="str">
        <f t="shared" si="48"/>
        <v/>
      </c>
    </row>
    <row r="324" spans="1:59">
      <c r="A324" s="39"/>
      <c r="B324" s="39"/>
      <c r="C324" s="39"/>
      <c r="D324" s="39"/>
      <c r="E324" s="39"/>
      <c r="F324" s="39"/>
      <c r="G324" s="39"/>
      <c r="H324" s="39"/>
      <c r="I324" s="40"/>
      <c r="J324" s="40"/>
      <c r="K324" s="35"/>
      <c r="L324" s="35"/>
      <c r="M324" s="35"/>
      <c r="N324" s="39"/>
      <c r="O324" s="39"/>
      <c r="P324" s="39"/>
      <c r="Q324" s="39"/>
      <c r="R324" s="39"/>
      <c r="S324" s="39"/>
      <c r="T324" s="39"/>
      <c r="U324" s="39"/>
      <c r="V324" s="39"/>
      <c r="W324" s="39"/>
      <c r="X324" s="39"/>
      <c r="Y324" s="39"/>
      <c r="Z324" s="39"/>
      <c r="AA324" s="39"/>
      <c r="AB324" s="39"/>
      <c r="AC324" s="39"/>
      <c r="AD324" s="39"/>
      <c r="AE324" s="39"/>
      <c r="AF324" s="39"/>
      <c r="AG324" s="39"/>
      <c r="AH324" s="39"/>
      <c r="AI324" s="35"/>
      <c r="AJ324" s="39"/>
      <c r="AK324" s="39"/>
      <c r="AL324" s="39"/>
      <c r="AM324" s="35"/>
      <c r="AN324" s="35"/>
      <c r="AO324" s="39"/>
      <c r="AP324" s="39"/>
      <c r="AQ324" s="35"/>
      <c r="AR324" s="35"/>
      <c r="AS324" s="35"/>
      <c r="AT324" s="30">
        <f t="shared" ca="1" si="44"/>
        <v>0</v>
      </c>
      <c r="AU324" s="32" t="str">
        <f t="shared" ca="1" si="43"/>
        <v/>
      </c>
      <c r="AV324" s="32" t="str" cm="1">
        <f t="array" aca="1" ref="AV324" ca="1">IFERROR(_xlfn.IFS($AU324="","",$AU324&lt;=15,"0-15",AND($AU324&gt;=16,$AU324&lt;=30),"16-30",AND($AU324&gt;=31,$AU324&lt;=45),"31-45",AND($AU324&gt;=46,$AU324&lt;=60),"46-60",AND($AU324&gt;=61,$AU324&lt;=90),"61-90",AND($AU324&gt;=91),"&gt; 90",AND($AU324&gt;=2000),""),"")</f>
        <v/>
      </c>
      <c r="AW324" s="32" t="str" cm="1">
        <f t="array" aca="1" ref="AW324" ca="1">IFERROR(_xlfn.IFS(OR($M324="",$AM324=""),"",OR($C324="Offered",$C324="Joined"),($AM324-$M324)-$AT324),"")</f>
        <v/>
      </c>
      <c r="AX324" s="32" t="str" cm="1">
        <f t="array" aca="1" ref="AX324" ca="1">IFERROR(_xlfn.IFS(OR($M324="",$AS324=""),"",$C324="Joined",($AS324-$M324)-$AT324),"")</f>
        <v/>
      </c>
      <c r="AY324" s="30" t="str">
        <f>IFERROR(IF(COUNTIFS('Candidate Tracker'!$E:$E,'Positions Tracker'!$B324,'Candidate Tracker'!$C:$C,"Offer Drop")=0,"",COUNTIFS('Candidate Tracker'!$E:$E,'Positions Tracker'!$B324,'Candidate Tracker'!$C:$C,"Offer Drop")),"")</f>
        <v/>
      </c>
      <c r="AZ3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4" s="34" t="str">
        <f>IFERROR(IF(COUNTIFS('Candidate Tracker'!$E:$E,'Positions Tracker'!$B324,'Candidate Tracker'!$I:$I,"Female")=0,"",COUNTIFS('Candidate Tracker'!$E:$E,'Positions Tracker'!$B324,'Candidate Tracker'!$I:$I,"Female")),"")</f>
        <v/>
      </c>
      <c r="BB324" s="34" t="str">
        <f>IFERROR(IF(COUNTIFS('Candidate Tracker'!$E:$E,'Positions Tracker'!$B324,'Candidate Tracker'!$I:$I,"male")=0,"",COUNTIFS('Candidate Tracker'!$E:$E,'Positions Tracker'!$B324,'Candidate Tracker'!$I:$I,"male")),"")</f>
        <v/>
      </c>
      <c r="BC324" s="33" t="str">
        <f>IFERROR(IF(COUNTIFS('Candidate Tracker'!$E:$E,'Positions Tracker'!$B324,'Candidate Tracker'!$C:$C,"&lt;&gt;WIP",'Candidate Tracker'!$C:$C,"&lt;&gt;Hold",'Candidate Tracker'!$C:$C,"&lt;&gt;Cancelled",'Candidate Tracker'!$C:$C,"&lt;&gt;Closed")/COUNTIFS('Candidate Tracker'!$E:$E,'Positions Tracker'!$B324)=0,"",COUNTIFS('Candidate Tracker'!$E:$E,'Positions Tracker'!$B324,'Candidate Tracker'!$C:$C,"&lt;&gt;WIP",'Candidate Tracker'!$C:$C,"&lt;&gt;Hold",'Candidate Tracker'!$C:$C,"&lt;&gt;Cancelled",'Candidate Tracker'!$C:$C,"&lt;&gt;Closed")/COUNTIFS('Candidate Tracker'!$E:$E,'Positions Tracker'!$B324)),"")</f>
        <v/>
      </c>
      <c r="BD324" s="30" t="str">
        <f t="shared" si="45"/>
        <v/>
      </c>
      <c r="BE324" s="30" t="str">
        <f t="shared" si="46"/>
        <v/>
      </c>
      <c r="BF324" s="30" t="str">
        <f t="shared" si="47"/>
        <v/>
      </c>
      <c r="BG324" s="30" t="str">
        <f t="shared" si="48"/>
        <v/>
      </c>
    </row>
    <row r="325" spans="1:59">
      <c r="A325" s="39"/>
      <c r="B325" s="39"/>
      <c r="C325" s="39"/>
      <c r="D325" s="39"/>
      <c r="E325" s="39"/>
      <c r="F325" s="39"/>
      <c r="G325" s="39"/>
      <c r="H325" s="39"/>
      <c r="I325" s="40"/>
      <c r="J325" s="40"/>
      <c r="K325" s="35"/>
      <c r="L325" s="35"/>
      <c r="M325" s="35"/>
      <c r="N325" s="39"/>
      <c r="O325" s="39"/>
      <c r="P325" s="39"/>
      <c r="Q325" s="39"/>
      <c r="R325" s="39"/>
      <c r="S325" s="39"/>
      <c r="T325" s="39"/>
      <c r="U325" s="39"/>
      <c r="V325" s="39"/>
      <c r="W325" s="39"/>
      <c r="X325" s="39"/>
      <c r="Y325" s="39"/>
      <c r="Z325" s="39"/>
      <c r="AA325" s="39"/>
      <c r="AB325" s="39"/>
      <c r="AC325" s="39"/>
      <c r="AD325" s="39"/>
      <c r="AE325" s="39"/>
      <c r="AF325" s="39"/>
      <c r="AG325" s="39"/>
      <c r="AH325" s="39"/>
      <c r="AI325" s="35"/>
      <c r="AJ325" s="39"/>
      <c r="AK325" s="39"/>
      <c r="AL325" s="39"/>
      <c r="AM325" s="35"/>
      <c r="AN325" s="35"/>
      <c r="AO325" s="39"/>
      <c r="AP325" s="39"/>
      <c r="AQ325" s="35"/>
      <c r="AR325" s="35"/>
      <c r="AS325" s="35"/>
      <c r="AT325" s="30">
        <f t="shared" ca="1" si="44"/>
        <v>0</v>
      </c>
      <c r="AU325" s="32" t="str">
        <f t="shared" ca="1" si="43"/>
        <v/>
      </c>
      <c r="AV325" s="32" t="str" cm="1">
        <f t="array" aca="1" ref="AV325" ca="1">IFERROR(_xlfn.IFS($AU325="","",$AU325&lt;=15,"0-15",AND($AU325&gt;=16,$AU325&lt;=30),"16-30",AND($AU325&gt;=31,$AU325&lt;=45),"31-45",AND($AU325&gt;=46,$AU325&lt;=60),"46-60",AND($AU325&gt;=61,$AU325&lt;=90),"61-90",AND($AU325&gt;=91),"&gt; 90",AND($AU325&gt;=2000),""),"")</f>
        <v/>
      </c>
      <c r="AW325" s="32" t="str" cm="1">
        <f t="array" aca="1" ref="AW325" ca="1">IFERROR(_xlfn.IFS(OR($M325="",$AM325=""),"",OR($C325="Offered",$C325="Joined"),($AM325-$M325)-$AT325),"")</f>
        <v/>
      </c>
      <c r="AX325" s="32" t="str" cm="1">
        <f t="array" aca="1" ref="AX325" ca="1">IFERROR(_xlfn.IFS(OR($M325="",$AS325=""),"",$C325="Joined",($AS325-$M325)-$AT325),"")</f>
        <v/>
      </c>
      <c r="AY325" s="30" t="str">
        <f>IFERROR(IF(COUNTIFS('Candidate Tracker'!$E:$E,'Positions Tracker'!$B325,'Candidate Tracker'!$C:$C,"Offer Drop")=0,"",COUNTIFS('Candidate Tracker'!$E:$E,'Positions Tracker'!$B325,'Candidate Tracker'!$C:$C,"Offer Drop")),"")</f>
        <v/>
      </c>
      <c r="AZ3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5" s="34" t="str">
        <f>IFERROR(IF(COUNTIFS('Candidate Tracker'!$E:$E,'Positions Tracker'!$B325,'Candidate Tracker'!$I:$I,"Female")=0,"",COUNTIFS('Candidate Tracker'!$E:$E,'Positions Tracker'!$B325,'Candidate Tracker'!$I:$I,"Female")),"")</f>
        <v/>
      </c>
      <c r="BB325" s="34" t="str">
        <f>IFERROR(IF(COUNTIFS('Candidate Tracker'!$E:$E,'Positions Tracker'!$B325,'Candidate Tracker'!$I:$I,"male")=0,"",COUNTIFS('Candidate Tracker'!$E:$E,'Positions Tracker'!$B325,'Candidate Tracker'!$I:$I,"male")),"")</f>
        <v/>
      </c>
      <c r="BC325" s="33" t="str">
        <f>IFERROR(IF(COUNTIFS('Candidate Tracker'!$E:$E,'Positions Tracker'!$B325,'Candidate Tracker'!$C:$C,"&lt;&gt;WIP",'Candidate Tracker'!$C:$C,"&lt;&gt;Hold",'Candidate Tracker'!$C:$C,"&lt;&gt;Cancelled",'Candidate Tracker'!$C:$C,"&lt;&gt;Closed")/COUNTIFS('Candidate Tracker'!$E:$E,'Positions Tracker'!$B325)=0,"",COUNTIFS('Candidate Tracker'!$E:$E,'Positions Tracker'!$B325,'Candidate Tracker'!$C:$C,"&lt;&gt;WIP",'Candidate Tracker'!$C:$C,"&lt;&gt;Hold",'Candidate Tracker'!$C:$C,"&lt;&gt;Cancelled",'Candidate Tracker'!$C:$C,"&lt;&gt;Closed")/COUNTIFS('Candidate Tracker'!$E:$E,'Positions Tracker'!$B325)),"")</f>
        <v/>
      </c>
      <c r="BD325" s="30" t="str">
        <f t="shared" si="45"/>
        <v/>
      </c>
      <c r="BE325" s="30" t="str">
        <f t="shared" si="46"/>
        <v/>
      </c>
      <c r="BF325" s="30" t="str">
        <f t="shared" si="47"/>
        <v/>
      </c>
      <c r="BG325" s="30" t="str">
        <f t="shared" si="48"/>
        <v/>
      </c>
    </row>
    <row r="326" spans="1:59">
      <c r="A326" s="39"/>
      <c r="B326" s="39"/>
      <c r="C326" s="39"/>
      <c r="D326" s="39"/>
      <c r="E326" s="39"/>
      <c r="F326" s="39"/>
      <c r="G326" s="39"/>
      <c r="H326" s="39"/>
      <c r="I326" s="40"/>
      <c r="J326" s="40"/>
      <c r="K326" s="35"/>
      <c r="L326" s="35"/>
      <c r="M326" s="35"/>
      <c r="N326" s="39"/>
      <c r="O326" s="39"/>
      <c r="P326" s="39"/>
      <c r="Q326" s="39"/>
      <c r="R326" s="39"/>
      <c r="S326" s="39"/>
      <c r="T326" s="39"/>
      <c r="U326" s="39"/>
      <c r="V326" s="39"/>
      <c r="W326" s="39"/>
      <c r="X326" s="39"/>
      <c r="Y326" s="39"/>
      <c r="Z326" s="39"/>
      <c r="AA326" s="39"/>
      <c r="AB326" s="39"/>
      <c r="AC326" s="39"/>
      <c r="AD326" s="39"/>
      <c r="AE326" s="39"/>
      <c r="AF326" s="39"/>
      <c r="AG326" s="39"/>
      <c r="AH326" s="39"/>
      <c r="AI326" s="35"/>
      <c r="AJ326" s="39"/>
      <c r="AK326" s="39"/>
      <c r="AL326" s="39"/>
      <c r="AM326" s="35"/>
      <c r="AN326" s="35"/>
      <c r="AO326" s="39"/>
      <c r="AP326" s="39"/>
      <c r="AQ326" s="35"/>
      <c r="AR326" s="35"/>
      <c r="AS326" s="35"/>
      <c r="AT326" s="30">
        <f t="shared" ca="1" si="44"/>
        <v>0</v>
      </c>
      <c r="AU326" s="32" t="str">
        <f t="shared" ca="1" si="43"/>
        <v/>
      </c>
      <c r="AV326" s="32" t="str" cm="1">
        <f t="array" aca="1" ref="AV326" ca="1">IFERROR(_xlfn.IFS($AU326="","",$AU326&lt;=15,"0-15",AND($AU326&gt;=16,$AU326&lt;=30),"16-30",AND($AU326&gt;=31,$AU326&lt;=45),"31-45",AND($AU326&gt;=46,$AU326&lt;=60),"46-60",AND($AU326&gt;=61,$AU326&lt;=90),"61-90",AND($AU326&gt;=91),"&gt; 90",AND($AU326&gt;=2000),""),"")</f>
        <v/>
      </c>
      <c r="AW326" s="32" t="str" cm="1">
        <f t="array" aca="1" ref="AW326" ca="1">IFERROR(_xlfn.IFS(OR($M326="",$AM326=""),"",OR($C326="Offered",$C326="Joined"),($AM326-$M326)-$AT326),"")</f>
        <v/>
      </c>
      <c r="AX326" s="32" t="str" cm="1">
        <f t="array" aca="1" ref="AX326" ca="1">IFERROR(_xlfn.IFS(OR($M326="",$AS326=""),"",$C326="Joined",($AS326-$M326)-$AT326),"")</f>
        <v/>
      </c>
      <c r="AY326" s="30" t="str">
        <f>IFERROR(IF(COUNTIFS('Candidate Tracker'!$E:$E,'Positions Tracker'!$B326,'Candidate Tracker'!$C:$C,"Offer Drop")=0,"",COUNTIFS('Candidate Tracker'!$E:$E,'Positions Tracker'!$B326,'Candidate Tracker'!$C:$C,"Offer Drop")),"")</f>
        <v/>
      </c>
      <c r="AZ3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6" s="34" t="str">
        <f>IFERROR(IF(COUNTIFS('Candidate Tracker'!$E:$E,'Positions Tracker'!$B326,'Candidate Tracker'!$I:$I,"Female")=0,"",COUNTIFS('Candidate Tracker'!$E:$E,'Positions Tracker'!$B326,'Candidate Tracker'!$I:$I,"Female")),"")</f>
        <v/>
      </c>
      <c r="BB326" s="34" t="str">
        <f>IFERROR(IF(COUNTIFS('Candidate Tracker'!$E:$E,'Positions Tracker'!$B326,'Candidate Tracker'!$I:$I,"male")=0,"",COUNTIFS('Candidate Tracker'!$E:$E,'Positions Tracker'!$B326,'Candidate Tracker'!$I:$I,"male")),"")</f>
        <v/>
      </c>
      <c r="BC326" s="33" t="str">
        <f>IFERROR(IF(COUNTIFS('Candidate Tracker'!$E:$E,'Positions Tracker'!$B326,'Candidate Tracker'!$C:$C,"&lt;&gt;WIP",'Candidate Tracker'!$C:$C,"&lt;&gt;Hold",'Candidate Tracker'!$C:$C,"&lt;&gt;Cancelled",'Candidate Tracker'!$C:$C,"&lt;&gt;Closed")/COUNTIFS('Candidate Tracker'!$E:$E,'Positions Tracker'!$B326)=0,"",COUNTIFS('Candidate Tracker'!$E:$E,'Positions Tracker'!$B326,'Candidate Tracker'!$C:$C,"&lt;&gt;WIP",'Candidate Tracker'!$C:$C,"&lt;&gt;Hold",'Candidate Tracker'!$C:$C,"&lt;&gt;Cancelled",'Candidate Tracker'!$C:$C,"&lt;&gt;Closed")/COUNTIFS('Candidate Tracker'!$E:$E,'Positions Tracker'!$B326)),"")</f>
        <v/>
      </c>
      <c r="BD326" s="30" t="str">
        <f t="shared" si="45"/>
        <v/>
      </c>
      <c r="BE326" s="30" t="str">
        <f t="shared" si="46"/>
        <v/>
      </c>
      <c r="BF326" s="30" t="str">
        <f t="shared" si="47"/>
        <v/>
      </c>
      <c r="BG326" s="30" t="str">
        <f t="shared" si="48"/>
        <v/>
      </c>
    </row>
    <row r="327" spans="1:59">
      <c r="A327" s="39"/>
      <c r="B327" s="39"/>
      <c r="C327" s="39"/>
      <c r="D327" s="39"/>
      <c r="E327" s="39"/>
      <c r="F327" s="39"/>
      <c r="G327" s="39"/>
      <c r="H327" s="39"/>
      <c r="I327" s="40"/>
      <c r="J327" s="40"/>
      <c r="K327" s="35"/>
      <c r="L327" s="35"/>
      <c r="M327" s="35"/>
      <c r="N327" s="39"/>
      <c r="O327" s="39"/>
      <c r="P327" s="39"/>
      <c r="Q327" s="39"/>
      <c r="R327" s="39"/>
      <c r="S327" s="39"/>
      <c r="T327" s="39"/>
      <c r="U327" s="39"/>
      <c r="V327" s="39"/>
      <c r="W327" s="39"/>
      <c r="X327" s="39"/>
      <c r="Y327" s="39"/>
      <c r="Z327" s="39"/>
      <c r="AA327" s="39"/>
      <c r="AB327" s="39"/>
      <c r="AC327" s="39"/>
      <c r="AD327" s="39"/>
      <c r="AE327" s="39"/>
      <c r="AF327" s="39"/>
      <c r="AG327" s="39"/>
      <c r="AH327" s="39"/>
      <c r="AI327" s="35"/>
      <c r="AJ327" s="39"/>
      <c r="AK327" s="39"/>
      <c r="AL327" s="39"/>
      <c r="AM327" s="35"/>
      <c r="AN327" s="35"/>
      <c r="AO327" s="39"/>
      <c r="AP327" s="39"/>
      <c r="AQ327" s="35"/>
      <c r="AR327" s="35"/>
      <c r="AS327" s="35"/>
      <c r="AT327" s="30">
        <f t="shared" ca="1" si="44"/>
        <v>0</v>
      </c>
      <c r="AU327" s="32" t="str">
        <f t="shared" ca="1" si="43"/>
        <v/>
      </c>
      <c r="AV327" s="32" t="str" cm="1">
        <f t="array" aca="1" ref="AV327" ca="1">IFERROR(_xlfn.IFS($AU327="","",$AU327&lt;=15,"0-15",AND($AU327&gt;=16,$AU327&lt;=30),"16-30",AND($AU327&gt;=31,$AU327&lt;=45),"31-45",AND($AU327&gt;=46,$AU327&lt;=60),"46-60",AND($AU327&gt;=61,$AU327&lt;=90),"61-90",AND($AU327&gt;=91),"&gt; 90",AND($AU327&gt;=2000),""),"")</f>
        <v/>
      </c>
      <c r="AW327" s="32" t="str" cm="1">
        <f t="array" aca="1" ref="AW327" ca="1">IFERROR(_xlfn.IFS(OR($M327="",$AM327=""),"",OR($C327="Offered",$C327="Joined"),($AM327-$M327)-$AT327),"")</f>
        <v/>
      </c>
      <c r="AX327" s="32" t="str" cm="1">
        <f t="array" aca="1" ref="AX327" ca="1">IFERROR(_xlfn.IFS(OR($M327="",$AS327=""),"",$C327="Joined",($AS327-$M327)-$AT327),"")</f>
        <v/>
      </c>
      <c r="AY327" s="30" t="str">
        <f>IFERROR(IF(COUNTIFS('Candidate Tracker'!$E:$E,'Positions Tracker'!$B327,'Candidate Tracker'!$C:$C,"Offer Drop")=0,"",COUNTIFS('Candidate Tracker'!$E:$E,'Positions Tracker'!$B327,'Candidate Tracker'!$C:$C,"Offer Drop")),"")</f>
        <v/>
      </c>
      <c r="AZ3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7" s="34" t="str">
        <f>IFERROR(IF(COUNTIFS('Candidate Tracker'!$E:$E,'Positions Tracker'!$B327,'Candidate Tracker'!$I:$I,"Female")=0,"",COUNTIFS('Candidate Tracker'!$E:$E,'Positions Tracker'!$B327,'Candidate Tracker'!$I:$I,"Female")),"")</f>
        <v/>
      </c>
      <c r="BB327" s="34" t="str">
        <f>IFERROR(IF(COUNTIFS('Candidate Tracker'!$E:$E,'Positions Tracker'!$B327,'Candidate Tracker'!$I:$I,"male")=0,"",COUNTIFS('Candidate Tracker'!$E:$E,'Positions Tracker'!$B327,'Candidate Tracker'!$I:$I,"male")),"")</f>
        <v/>
      </c>
      <c r="BC327" s="33" t="str">
        <f>IFERROR(IF(COUNTIFS('Candidate Tracker'!$E:$E,'Positions Tracker'!$B327,'Candidate Tracker'!$C:$C,"&lt;&gt;WIP",'Candidate Tracker'!$C:$C,"&lt;&gt;Hold",'Candidate Tracker'!$C:$C,"&lt;&gt;Cancelled",'Candidate Tracker'!$C:$C,"&lt;&gt;Closed")/COUNTIFS('Candidate Tracker'!$E:$E,'Positions Tracker'!$B327)=0,"",COUNTIFS('Candidate Tracker'!$E:$E,'Positions Tracker'!$B327,'Candidate Tracker'!$C:$C,"&lt;&gt;WIP",'Candidate Tracker'!$C:$C,"&lt;&gt;Hold",'Candidate Tracker'!$C:$C,"&lt;&gt;Cancelled",'Candidate Tracker'!$C:$C,"&lt;&gt;Closed")/COUNTIFS('Candidate Tracker'!$E:$E,'Positions Tracker'!$B327)),"")</f>
        <v/>
      </c>
      <c r="BD327" s="30" t="str">
        <f t="shared" si="45"/>
        <v/>
      </c>
      <c r="BE327" s="30" t="str">
        <f t="shared" si="46"/>
        <v/>
      </c>
      <c r="BF327" s="30" t="str">
        <f t="shared" si="47"/>
        <v/>
      </c>
      <c r="BG327" s="30" t="str">
        <f t="shared" si="48"/>
        <v/>
      </c>
    </row>
    <row r="328" spans="1:59">
      <c r="A328" s="39"/>
      <c r="B328" s="39"/>
      <c r="C328" s="39"/>
      <c r="D328" s="39"/>
      <c r="E328" s="39"/>
      <c r="F328" s="39"/>
      <c r="G328" s="39"/>
      <c r="H328" s="39"/>
      <c r="I328" s="40"/>
      <c r="J328" s="40"/>
      <c r="K328" s="35"/>
      <c r="L328" s="35"/>
      <c r="M328" s="35"/>
      <c r="N328" s="39"/>
      <c r="O328" s="39"/>
      <c r="P328" s="39"/>
      <c r="Q328" s="39"/>
      <c r="R328" s="39"/>
      <c r="S328" s="39"/>
      <c r="T328" s="39"/>
      <c r="U328" s="39"/>
      <c r="V328" s="39"/>
      <c r="W328" s="39"/>
      <c r="X328" s="39"/>
      <c r="Y328" s="39"/>
      <c r="Z328" s="39"/>
      <c r="AA328" s="39"/>
      <c r="AB328" s="39"/>
      <c r="AC328" s="39"/>
      <c r="AD328" s="39"/>
      <c r="AE328" s="39"/>
      <c r="AF328" s="39"/>
      <c r="AG328" s="39"/>
      <c r="AH328" s="39"/>
      <c r="AI328" s="35"/>
      <c r="AJ328" s="39"/>
      <c r="AK328" s="39"/>
      <c r="AL328" s="39"/>
      <c r="AM328" s="35"/>
      <c r="AN328" s="35"/>
      <c r="AO328" s="39"/>
      <c r="AP328" s="39"/>
      <c r="AQ328" s="35"/>
      <c r="AR328" s="35"/>
      <c r="AS328" s="35"/>
      <c r="AT328" s="30">
        <f t="shared" ca="1" si="44"/>
        <v>0</v>
      </c>
      <c r="AU328" s="32" t="str">
        <f t="shared" ca="1" si="43"/>
        <v/>
      </c>
      <c r="AV328" s="32" t="str" cm="1">
        <f t="array" aca="1" ref="AV328" ca="1">IFERROR(_xlfn.IFS($AU328="","",$AU328&lt;=15,"0-15",AND($AU328&gt;=16,$AU328&lt;=30),"16-30",AND($AU328&gt;=31,$AU328&lt;=45),"31-45",AND($AU328&gt;=46,$AU328&lt;=60),"46-60",AND($AU328&gt;=61,$AU328&lt;=90),"61-90",AND($AU328&gt;=91),"&gt; 90",AND($AU328&gt;=2000),""),"")</f>
        <v/>
      </c>
      <c r="AW328" s="32" t="str" cm="1">
        <f t="array" aca="1" ref="AW328" ca="1">IFERROR(_xlfn.IFS(OR($M328="",$AM328=""),"",OR($C328="Offered",$C328="Joined"),($AM328-$M328)-$AT328),"")</f>
        <v/>
      </c>
      <c r="AX328" s="32" t="str" cm="1">
        <f t="array" aca="1" ref="AX328" ca="1">IFERROR(_xlfn.IFS(OR($M328="",$AS328=""),"",$C328="Joined",($AS328-$M328)-$AT328),"")</f>
        <v/>
      </c>
      <c r="AY328" s="30" t="str">
        <f>IFERROR(IF(COUNTIFS('Candidate Tracker'!$E:$E,'Positions Tracker'!$B328,'Candidate Tracker'!$C:$C,"Offer Drop")=0,"",COUNTIFS('Candidate Tracker'!$E:$E,'Positions Tracker'!$B328,'Candidate Tracker'!$C:$C,"Offer Drop")),"")</f>
        <v/>
      </c>
      <c r="AZ32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8" s="34" t="str">
        <f>IFERROR(IF(COUNTIFS('Candidate Tracker'!$E:$E,'Positions Tracker'!$B328,'Candidate Tracker'!$I:$I,"Female")=0,"",COUNTIFS('Candidate Tracker'!$E:$E,'Positions Tracker'!$B328,'Candidate Tracker'!$I:$I,"Female")),"")</f>
        <v/>
      </c>
      <c r="BB328" s="34" t="str">
        <f>IFERROR(IF(COUNTIFS('Candidate Tracker'!$E:$E,'Positions Tracker'!$B328,'Candidate Tracker'!$I:$I,"male")=0,"",COUNTIFS('Candidate Tracker'!$E:$E,'Positions Tracker'!$B328,'Candidate Tracker'!$I:$I,"male")),"")</f>
        <v/>
      </c>
      <c r="BC328" s="33" t="str">
        <f>IFERROR(IF(COUNTIFS('Candidate Tracker'!$E:$E,'Positions Tracker'!$B328,'Candidate Tracker'!$C:$C,"&lt;&gt;WIP",'Candidate Tracker'!$C:$C,"&lt;&gt;Hold",'Candidate Tracker'!$C:$C,"&lt;&gt;Cancelled",'Candidate Tracker'!$C:$C,"&lt;&gt;Closed")/COUNTIFS('Candidate Tracker'!$E:$E,'Positions Tracker'!$B328)=0,"",COUNTIFS('Candidate Tracker'!$E:$E,'Positions Tracker'!$B328,'Candidate Tracker'!$C:$C,"&lt;&gt;WIP",'Candidate Tracker'!$C:$C,"&lt;&gt;Hold",'Candidate Tracker'!$C:$C,"&lt;&gt;Cancelled",'Candidate Tracker'!$C:$C,"&lt;&gt;Closed")/COUNTIFS('Candidate Tracker'!$E:$E,'Positions Tracker'!$B328)),"")</f>
        <v/>
      </c>
      <c r="BD328" s="30" t="str">
        <f t="shared" si="45"/>
        <v/>
      </c>
      <c r="BE328" s="30" t="str">
        <f t="shared" si="46"/>
        <v/>
      </c>
      <c r="BF328" s="30" t="str">
        <f t="shared" si="47"/>
        <v/>
      </c>
      <c r="BG328" s="30" t="str">
        <f t="shared" si="48"/>
        <v/>
      </c>
    </row>
    <row r="329" spans="1:59">
      <c r="A329" s="39"/>
      <c r="B329" s="39"/>
      <c r="C329" s="39"/>
      <c r="D329" s="39"/>
      <c r="E329" s="39"/>
      <c r="F329" s="39"/>
      <c r="G329" s="39"/>
      <c r="H329" s="39"/>
      <c r="I329" s="40"/>
      <c r="J329" s="40"/>
      <c r="K329" s="35"/>
      <c r="L329" s="35"/>
      <c r="M329" s="35"/>
      <c r="N329" s="39"/>
      <c r="O329" s="39"/>
      <c r="P329" s="39"/>
      <c r="Q329" s="39"/>
      <c r="R329" s="39"/>
      <c r="S329" s="39"/>
      <c r="T329" s="39"/>
      <c r="U329" s="39"/>
      <c r="V329" s="39"/>
      <c r="W329" s="39"/>
      <c r="X329" s="39"/>
      <c r="Y329" s="39"/>
      <c r="Z329" s="39"/>
      <c r="AA329" s="39"/>
      <c r="AB329" s="39"/>
      <c r="AC329" s="39"/>
      <c r="AD329" s="39"/>
      <c r="AE329" s="39"/>
      <c r="AF329" s="39"/>
      <c r="AG329" s="39"/>
      <c r="AH329" s="39"/>
      <c r="AI329" s="35"/>
      <c r="AJ329" s="39"/>
      <c r="AK329" s="39"/>
      <c r="AL329" s="39"/>
      <c r="AM329" s="35"/>
      <c r="AN329" s="35"/>
      <c r="AO329" s="39"/>
      <c r="AP329" s="39"/>
      <c r="AQ329" s="35"/>
      <c r="AR329" s="35"/>
      <c r="AS329" s="35"/>
      <c r="AT329" s="30">
        <f t="shared" ca="1" si="44"/>
        <v>0</v>
      </c>
      <c r="AU329" s="32" t="str">
        <f t="shared" ca="1" si="43"/>
        <v/>
      </c>
      <c r="AV329" s="32" t="str" cm="1">
        <f t="array" aca="1" ref="AV329" ca="1">IFERROR(_xlfn.IFS($AU329="","",$AU329&lt;=15,"0-15",AND($AU329&gt;=16,$AU329&lt;=30),"16-30",AND($AU329&gt;=31,$AU329&lt;=45),"31-45",AND($AU329&gt;=46,$AU329&lt;=60),"46-60",AND($AU329&gt;=61,$AU329&lt;=90),"61-90",AND($AU329&gt;=91),"&gt; 90",AND($AU329&gt;=2000),""),"")</f>
        <v/>
      </c>
      <c r="AW329" s="32" t="str" cm="1">
        <f t="array" aca="1" ref="AW329" ca="1">IFERROR(_xlfn.IFS(OR($M329="",$AM329=""),"",OR($C329="Offered",$C329="Joined"),($AM329-$M329)-$AT329),"")</f>
        <v/>
      </c>
      <c r="AX329" s="32" t="str" cm="1">
        <f t="array" aca="1" ref="AX329" ca="1">IFERROR(_xlfn.IFS(OR($M329="",$AS329=""),"",$C329="Joined",($AS329-$M329)-$AT329),"")</f>
        <v/>
      </c>
      <c r="AY329" s="30" t="str">
        <f>IFERROR(IF(COUNTIFS('Candidate Tracker'!$E:$E,'Positions Tracker'!$B329,'Candidate Tracker'!$C:$C,"Offer Drop")=0,"",COUNTIFS('Candidate Tracker'!$E:$E,'Positions Tracker'!$B329,'Candidate Tracker'!$C:$C,"Offer Drop")),"")</f>
        <v/>
      </c>
      <c r="AZ3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29" s="34" t="str">
        <f>IFERROR(IF(COUNTIFS('Candidate Tracker'!$E:$E,'Positions Tracker'!$B329,'Candidate Tracker'!$I:$I,"Female")=0,"",COUNTIFS('Candidate Tracker'!$E:$E,'Positions Tracker'!$B329,'Candidate Tracker'!$I:$I,"Female")),"")</f>
        <v/>
      </c>
      <c r="BB329" s="34" t="str">
        <f>IFERROR(IF(COUNTIFS('Candidate Tracker'!$E:$E,'Positions Tracker'!$B329,'Candidate Tracker'!$I:$I,"male")=0,"",COUNTIFS('Candidate Tracker'!$E:$E,'Positions Tracker'!$B329,'Candidate Tracker'!$I:$I,"male")),"")</f>
        <v/>
      </c>
      <c r="BC329" s="33" t="str">
        <f>IFERROR(IF(COUNTIFS('Candidate Tracker'!$E:$E,'Positions Tracker'!$B329,'Candidate Tracker'!$C:$C,"&lt;&gt;WIP",'Candidate Tracker'!$C:$C,"&lt;&gt;Hold",'Candidate Tracker'!$C:$C,"&lt;&gt;Cancelled",'Candidate Tracker'!$C:$C,"&lt;&gt;Closed")/COUNTIFS('Candidate Tracker'!$E:$E,'Positions Tracker'!$B329)=0,"",COUNTIFS('Candidate Tracker'!$E:$E,'Positions Tracker'!$B329,'Candidate Tracker'!$C:$C,"&lt;&gt;WIP",'Candidate Tracker'!$C:$C,"&lt;&gt;Hold",'Candidate Tracker'!$C:$C,"&lt;&gt;Cancelled",'Candidate Tracker'!$C:$C,"&lt;&gt;Closed")/COUNTIFS('Candidate Tracker'!$E:$E,'Positions Tracker'!$B329)),"")</f>
        <v/>
      </c>
      <c r="BD329" s="30" t="str">
        <f t="shared" si="45"/>
        <v/>
      </c>
      <c r="BE329" s="30" t="str">
        <f t="shared" si="46"/>
        <v/>
      </c>
      <c r="BF329" s="30" t="str">
        <f t="shared" si="47"/>
        <v/>
      </c>
      <c r="BG329" s="30" t="str">
        <f t="shared" si="48"/>
        <v/>
      </c>
    </row>
    <row r="330" spans="1:59">
      <c r="A330" s="39"/>
      <c r="B330" s="39"/>
      <c r="C330" s="39"/>
      <c r="D330" s="39"/>
      <c r="E330" s="39"/>
      <c r="F330" s="39"/>
      <c r="G330" s="39"/>
      <c r="H330" s="39"/>
      <c r="I330" s="40"/>
      <c r="J330" s="40"/>
      <c r="K330" s="35"/>
      <c r="L330" s="35"/>
      <c r="M330" s="35"/>
      <c r="N330" s="39"/>
      <c r="O330" s="39"/>
      <c r="P330" s="39"/>
      <c r="Q330" s="39"/>
      <c r="R330" s="39"/>
      <c r="S330" s="39"/>
      <c r="T330" s="39"/>
      <c r="U330" s="39"/>
      <c r="V330" s="39"/>
      <c r="W330" s="39"/>
      <c r="X330" s="39"/>
      <c r="Y330" s="39"/>
      <c r="Z330" s="39"/>
      <c r="AA330" s="39"/>
      <c r="AB330" s="39"/>
      <c r="AC330" s="39"/>
      <c r="AD330" s="39"/>
      <c r="AE330" s="39"/>
      <c r="AF330" s="39"/>
      <c r="AG330" s="39"/>
      <c r="AH330" s="39"/>
      <c r="AI330" s="35"/>
      <c r="AJ330" s="39"/>
      <c r="AK330" s="39"/>
      <c r="AL330" s="39"/>
      <c r="AM330" s="35"/>
      <c r="AN330" s="35"/>
      <c r="AO330" s="39"/>
      <c r="AP330" s="39"/>
      <c r="AQ330" s="35"/>
      <c r="AR330" s="35"/>
      <c r="AS330" s="35"/>
      <c r="AT330" s="30">
        <f t="shared" ca="1" si="44"/>
        <v>0</v>
      </c>
      <c r="AU330" s="32" t="str">
        <f t="shared" ca="1" si="43"/>
        <v/>
      </c>
      <c r="AV330" s="32" t="str" cm="1">
        <f t="array" aca="1" ref="AV330" ca="1">IFERROR(_xlfn.IFS($AU330="","",$AU330&lt;=15,"0-15",AND($AU330&gt;=16,$AU330&lt;=30),"16-30",AND($AU330&gt;=31,$AU330&lt;=45),"31-45",AND($AU330&gt;=46,$AU330&lt;=60),"46-60",AND($AU330&gt;=61,$AU330&lt;=90),"61-90",AND($AU330&gt;=91),"&gt; 90",AND($AU330&gt;=2000),""),"")</f>
        <v/>
      </c>
      <c r="AW330" s="32" t="str" cm="1">
        <f t="array" aca="1" ref="AW330" ca="1">IFERROR(_xlfn.IFS(OR($M330="",$AM330=""),"",OR($C330="Offered",$C330="Joined"),($AM330-$M330)-$AT330),"")</f>
        <v/>
      </c>
      <c r="AX330" s="32" t="str" cm="1">
        <f t="array" aca="1" ref="AX330" ca="1">IFERROR(_xlfn.IFS(OR($M330="",$AS330=""),"",$C330="Joined",($AS330-$M330)-$AT330),"")</f>
        <v/>
      </c>
      <c r="AY330" s="30" t="str">
        <f>IFERROR(IF(COUNTIFS('Candidate Tracker'!$E:$E,'Positions Tracker'!$B330,'Candidate Tracker'!$C:$C,"Offer Drop")=0,"",COUNTIFS('Candidate Tracker'!$E:$E,'Positions Tracker'!$B330,'Candidate Tracker'!$C:$C,"Offer Drop")),"")</f>
        <v/>
      </c>
      <c r="AZ3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0" s="34" t="str">
        <f>IFERROR(IF(COUNTIFS('Candidate Tracker'!$E:$E,'Positions Tracker'!$B330,'Candidate Tracker'!$I:$I,"Female")=0,"",COUNTIFS('Candidate Tracker'!$E:$E,'Positions Tracker'!$B330,'Candidate Tracker'!$I:$I,"Female")),"")</f>
        <v/>
      </c>
      <c r="BB330" s="34" t="str">
        <f>IFERROR(IF(COUNTIFS('Candidate Tracker'!$E:$E,'Positions Tracker'!$B330,'Candidate Tracker'!$I:$I,"male")=0,"",COUNTIFS('Candidate Tracker'!$E:$E,'Positions Tracker'!$B330,'Candidate Tracker'!$I:$I,"male")),"")</f>
        <v/>
      </c>
      <c r="BC330" s="33" t="str">
        <f>IFERROR(IF(COUNTIFS('Candidate Tracker'!$E:$E,'Positions Tracker'!$B330,'Candidate Tracker'!$C:$C,"&lt;&gt;WIP",'Candidate Tracker'!$C:$C,"&lt;&gt;Hold",'Candidate Tracker'!$C:$C,"&lt;&gt;Cancelled",'Candidate Tracker'!$C:$C,"&lt;&gt;Closed")/COUNTIFS('Candidate Tracker'!$E:$E,'Positions Tracker'!$B330)=0,"",COUNTIFS('Candidate Tracker'!$E:$E,'Positions Tracker'!$B330,'Candidate Tracker'!$C:$C,"&lt;&gt;WIP",'Candidate Tracker'!$C:$C,"&lt;&gt;Hold",'Candidate Tracker'!$C:$C,"&lt;&gt;Cancelled",'Candidate Tracker'!$C:$C,"&lt;&gt;Closed")/COUNTIFS('Candidate Tracker'!$E:$E,'Positions Tracker'!$B330)),"")</f>
        <v/>
      </c>
      <c r="BD330" s="30" t="str">
        <f t="shared" si="45"/>
        <v/>
      </c>
      <c r="BE330" s="30" t="str">
        <f t="shared" si="46"/>
        <v/>
      </c>
      <c r="BF330" s="30" t="str">
        <f t="shared" si="47"/>
        <v/>
      </c>
      <c r="BG330" s="30" t="str">
        <f t="shared" si="48"/>
        <v/>
      </c>
    </row>
    <row r="331" spans="1:59">
      <c r="A331" s="39"/>
      <c r="B331" s="39"/>
      <c r="C331" s="39"/>
      <c r="D331" s="39"/>
      <c r="E331" s="39"/>
      <c r="F331" s="39"/>
      <c r="G331" s="39"/>
      <c r="H331" s="39"/>
      <c r="I331" s="40"/>
      <c r="J331" s="40"/>
      <c r="K331" s="35"/>
      <c r="L331" s="35"/>
      <c r="M331" s="35"/>
      <c r="N331" s="39"/>
      <c r="O331" s="39"/>
      <c r="P331" s="39"/>
      <c r="Q331" s="39"/>
      <c r="R331" s="39"/>
      <c r="S331" s="39"/>
      <c r="T331" s="39"/>
      <c r="U331" s="39"/>
      <c r="V331" s="39"/>
      <c r="W331" s="39"/>
      <c r="X331" s="39"/>
      <c r="Y331" s="39"/>
      <c r="Z331" s="39"/>
      <c r="AA331" s="39"/>
      <c r="AB331" s="39"/>
      <c r="AC331" s="39"/>
      <c r="AD331" s="39"/>
      <c r="AE331" s="39"/>
      <c r="AF331" s="39"/>
      <c r="AG331" s="39"/>
      <c r="AH331" s="39"/>
      <c r="AI331" s="35"/>
      <c r="AJ331" s="39"/>
      <c r="AK331" s="39"/>
      <c r="AL331" s="39"/>
      <c r="AM331" s="35"/>
      <c r="AN331" s="35"/>
      <c r="AO331" s="39"/>
      <c r="AP331" s="39"/>
      <c r="AQ331" s="35"/>
      <c r="AR331" s="35"/>
      <c r="AS331" s="35"/>
      <c r="AT331" s="30">
        <f t="shared" ca="1" si="44"/>
        <v>0</v>
      </c>
      <c r="AU331" s="32" t="str">
        <f t="shared" ca="1" si="43"/>
        <v/>
      </c>
      <c r="AV331" s="32" t="str" cm="1">
        <f t="array" aca="1" ref="AV331" ca="1">IFERROR(_xlfn.IFS($AU331="","",$AU331&lt;=15,"0-15",AND($AU331&gt;=16,$AU331&lt;=30),"16-30",AND($AU331&gt;=31,$AU331&lt;=45),"31-45",AND($AU331&gt;=46,$AU331&lt;=60),"46-60",AND($AU331&gt;=61,$AU331&lt;=90),"61-90",AND($AU331&gt;=91),"&gt; 90",AND($AU331&gt;=2000),""),"")</f>
        <v/>
      </c>
      <c r="AW331" s="32" t="str" cm="1">
        <f t="array" aca="1" ref="AW331" ca="1">IFERROR(_xlfn.IFS(OR($M331="",$AM331=""),"",OR($C331="Offered",$C331="Joined"),($AM331-$M331)-$AT331),"")</f>
        <v/>
      </c>
      <c r="AX331" s="32" t="str" cm="1">
        <f t="array" aca="1" ref="AX331" ca="1">IFERROR(_xlfn.IFS(OR($M331="",$AS331=""),"",$C331="Joined",($AS331-$M331)-$AT331),"")</f>
        <v/>
      </c>
      <c r="AY331" s="30" t="str">
        <f>IFERROR(IF(COUNTIFS('Candidate Tracker'!$E:$E,'Positions Tracker'!$B331,'Candidate Tracker'!$C:$C,"Offer Drop")=0,"",COUNTIFS('Candidate Tracker'!$E:$E,'Positions Tracker'!$B331,'Candidate Tracker'!$C:$C,"Offer Drop")),"")</f>
        <v/>
      </c>
      <c r="AZ3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1" s="34" t="str">
        <f>IFERROR(IF(COUNTIFS('Candidate Tracker'!$E:$E,'Positions Tracker'!$B331,'Candidate Tracker'!$I:$I,"Female")=0,"",COUNTIFS('Candidate Tracker'!$E:$E,'Positions Tracker'!$B331,'Candidate Tracker'!$I:$I,"Female")),"")</f>
        <v/>
      </c>
      <c r="BB331" s="34" t="str">
        <f>IFERROR(IF(COUNTIFS('Candidate Tracker'!$E:$E,'Positions Tracker'!$B331,'Candidate Tracker'!$I:$I,"male")=0,"",COUNTIFS('Candidate Tracker'!$E:$E,'Positions Tracker'!$B331,'Candidate Tracker'!$I:$I,"male")),"")</f>
        <v/>
      </c>
      <c r="BC331" s="33" t="str">
        <f>IFERROR(IF(COUNTIFS('Candidate Tracker'!$E:$E,'Positions Tracker'!$B331,'Candidate Tracker'!$C:$C,"&lt;&gt;WIP",'Candidate Tracker'!$C:$C,"&lt;&gt;Hold",'Candidate Tracker'!$C:$C,"&lt;&gt;Cancelled",'Candidate Tracker'!$C:$C,"&lt;&gt;Closed")/COUNTIFS('Candidate Tracker'!$E:$E,'Positions Tracker'!$B331)=0,"",COUNTIFS('Candidate Tracker'!$E:$E,'Positions Tracker'!$B331,'Candidate Tracker'!$C:$C,"&lt;&gt;WIP",'Candidate Tracker'!$C:$C,"&lt;&gt;Hold",'Candidate Tracker'!$C:$C,"&lt;&gt;Cancelled",'Candidate Tracker'!$C:$C,"&lt;&gt;Closed")/COUNTIFS('Candidate Tracker'!$E:$E,'Positions Tracker'!$B331)),"")</f>
        <v/>
      </c>
      <c r="BD331" s="30" t="str">
        <f t="shared" si="45"/>
        <v/>
      </c>
      <c r="BE331" s="30" t="str">
        <f t="shared" si="46"/>
        <v/>
      </c>
      <c r="BF331" s="30" t="str">
        <f t="shared" si="47"/>
        <v/>
      </c>
      <c r="BG331" s="30" t="str">
        <f t="shared" si="48"/>
        <v/>
      </c>
    </row>
    <row r="332" spans="1:59">
      <c r="A332" s="39"/>
      <c r="B332" s="39"/>
      <c r="C332" s="39"/>
      <c r="D332" s="39"/>
      <c r="E332" s="39"/>
      <c r="F332" s="39"/>
      <c r="G332" s="39"/>
      <c r="H332" s="39"/>
      <c r="I332" s="40"/>
      <c r="J332" s="40"/>
      <c r="K332" s="35"/>
      <c r="L332" s="35"/>
      <c r="M332" s="35"/>
      <c r="N332" s="39"/>
      <c r="O332" s="39"/>
      <c r="P332" s="39"/>
      <c r="Q332" s="39"/>
      <c r="R332" s="39"/>
      <c r="S332" s="39"/>
      <c r="T332" s="39"/>
      <c r="U332" s="39"/>
      <c r="V332" s="39"/>
      <c r="W332" s="39"/>
      <c r="X332" s="39"/>
      <c r="Y332" s="39"/>
      <c r="Z332" s="39"/>
      <c r="AA332" s="39"/>
      <c r="AB332" s="39"/>
      <c r="AC332" s="39"/>
      <c r="AD332" s="39"/>
      <c r="AE332" s="39"/>
      <c r="AF332" s="39"/>
      <c r="AG332" s="39"/>
      <c r="AH332" s="39"/>
      <c r="AI332" s="35"/>
      <c r="AJ332" s="39"/>
      <c r="AK332" s="39"/>
      <c r="AL332" s="39"/>
      <c r="AM332" s="35"/>
      <c r="AN332" s="35"/>
      <c r="AO332" s="39"/>
      <c r="AP332" s="39"/>
      <c r="AQ332" s="35"/>
      <c r="AR332" s="35"/>
      <c r="AS332" s="35"/>
      <c r="AT332" s="30">
        <f t="shared" ca="1" si="44"/>
        <v>0</v>
      </c>
      <c r="AU332" s="32" t="str">
        <f t="shared" ca="1" si="43"/>
        <v/>
      </c>
      <c r="AV332" s="32" t="str" cm="1">
        <f t="array" aca="1" ref="AV332" ca="1">IFERROR(_xlfn.IFS($AU332="","",$AU332&lt;=15,"0-15",AND($AU332&gt;=16,$AU332&lt;=30),"16-30",AND($AU332&gt;=31,$AU332&lt;=45),"31-45",AND($AU332&gt;=46,$AU332&lt;=60),"46-60",AND($AU332&gt;=61,$AU332&lt;=90),"61-90",AND($AU332&gt;=91),"&gt; 90",AND($AU332&gt;=2000),""),"")</f>
        <v/>
      </c>
      <c r="AW332" s="32" t="str" cm="1">
        <f t="array" aca="1" ref="AW332" ca="1">IFERROR(_xlfn.IFS(OR($M332="",$AM332=""),"",OR($C332="Offered",$C332="Joined"),($AM332-$M332)-$AT332),"")</f>
        <v/>
      </c>
      <c r="AX332" s="32" t="str" cm="1">
        <f t="array" aca="1" ref="AX332" ca="1">IFERROR(_xlfn.IFS(OR($M332="",$AS332=""),"",$C332="Joined",($AS332-$M332)-$AT332),"")</f>
        <v/>
      </c>
      <c r="AY332" s="30" t="str">
        <f>IFERROR(IF(COUNTIFS('Candidate Tracker'!$E:$E,'Positions Tracker'!$B332,'Candidate Tracker'!$C:$C,"Offer Drop")=0,"",COUNTIFS('Candidate Tracker'!$E:$E,'Positions Tracker'!$B332,'Candidate Tracker'!$C:$C,"Offer Drop")),"")</f>
        <v/>
      </c>
      <c r="AZ3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2" s="34" t="str">
        <f>IFERROR(IF(COUNTIFS('Candidate Tracker'!$E:$E,'Positions Tracker'!$B332,'Candidate Tracker'!$I:$I,"Female")=0,"",COUNTIFS('Candidate Tracker'!$E:$E,'Positions Tracker'!$B332,'Candidate Tracker'!$I:$I,"Female")),"")</f>
        <v/>
      </c>
      <c r="BB332" s="34" t="str">
        <f>IFERROR(IF(COUNTIFS('Candidate Tracker'!$E:$E,'Positions Tracker'!$B332,'Candidate Tracker'!$I:$I,"male")=0,"",COUNTIFS('Candidate Tracker'!$E:$E,'Positions Tracker'!$B332,'Candidate Tracker'!$I:$I,"male")),"")</f>
        <v/>
      </c>
      <c r="BC332" s="33" t="str">
        <f>IFERROR(IF(COUNTIFS('Candidate Tracker'!$E:$E,'Positions Tracker'!$B332,'Candidate Tracker'!$C:$C,"&lt;&gt;WIP",'Candidate Tracker'!$C:$C,"&lt;&gt;Hold",'Candidate Tracker'!$C:$C,"&lt;&gt;Cancelled",'Candidate Tracker'!$C:$C,"&lt;&gt;Closed")/COUNTIFS('Candidate Tracker'!$E:$E,'Positions Tracker'!$B332)=0,"",COUNTIFS('Candidate Tracker'!$E:$E,'Positions Tracker'!$B332,'Candidate Tracker'!$C:$C,"&lt;&gt;WIP",'Candidate Tracker'!$C:$C,"&lt;&gt;Hold",'Candidate Tracker'!$C:$C,"&lt;&gt;Cancelled",'Candidate Tracker'!$C:$C,"&lt;&gt;Closed")/COUNTIFS('Candidate Tracker'!$E:$E,'Positions Tracker'!$B332)),"")</f>
        <v/>
      </c>
      <c r="BD332" s="30" t="str">
        <f t="shared" si="45"/>
        <v/>
      </c>
      <c r="BE332" s="30" t="str">
        <f t="shared" si="46"/>
        <v/>
      </c>
      <c r="BF332" s="30" t="str">
        <f t="shared" si="47"/>
        <v/>
      </c>
      <c r="BG332" s="30" t="str">
        <f t="shared" si="48"/>
        <v/>
      </c>
    </row>
    <row r="333" spans="1:59">
      <c r="A333" s="39"/>
      <c r="B333" s="39"/>
      <c r="C333" s="39"/>
      <c r="D333" s="39"/>
      <c r="E333" s="39"/>
      <c r="F333" s="39"/>
      <c r="G333" s="39"/>
      <c r="H333" s="39"/>
      <c r="I333" s="40"/>
      <c r="J333" s="40"/>
      <c r="K333" s="35"/>
      <c r="L333" s="35"/>
      <c r="M333" s="35"/>
      <c r="N333" s="39"/>
      <c r="O333" s="39"/>
      <c r="P333" s="39"/>
      <c r="Q333" s="39"/>
      <c r="R333" s="39"/>
      <c r="S333" s="39"/>
      <c r="T333" s="39"/>
      <c r="U333" s="39"/>
      <c r="V333" s="39"/>
      <c r="W333" s="39"/>
      <c r="X333" s="39"/>
      <c r="Y333" s="39"/>
      <c r="Z333" s="39"/>
      <c r="AA333" s="39"/>
      <c r="AB333" s="39"/>
      <c r="AC333" s="39"/>
      <c r="AD333" s="39"/>
      <c r="AE333" s="39"/>
      <c r="AF333" s="39"/>
      <c r="AG333" s="39"/>
      <c r="AH333" s="39"/>
      <c r="AI333" s="35"/>
      <c r="AJ333" s="39"/>
      <c r="AK333" s="39"/>
      <c r="AL333" s="39"/>
      <c r="AM333" s="35"/>
      <c r="AN333" s="35"/>
      <c r="AO333" s="39"/>
      <c r="AP333" s="39"/>
      <c r="AQ333" s="35"/>
      <c r="AR333" s="35"/>
      <c r="AS333" s="35"/>
      <c r="AT333" s="30">
        <f t="shared" ca="1" si="44"/>
        <v>0</v>
      </c>
      <c r="AU333" s="32" t="str">
        <f t="shared" ca="1" si="43"/>
        <v/>
      </c>
      <c r="AV333" s="32" t="str" cm="1">
        <f t="array" aca="1" ref="AV333" ca="1">IFERROR(_xlfn.IFS($AU333="","",$AU333&lt;=15,"0-15",AND($AU333&gt;=16,$AU333&lt;=30),"16-30",AND($AU333&gt;=31,$AU333&lt;=45),"31-45",AND($AU333&gt;=46,$AU333&lt;=60),"46-60",AND($AU333&gt;=61,$AU333&lt;=90),"61-90",AND($AU333&gt;=91),"&gt; 90",AND($AU333&gt;=2000),""),"")</f>
        <v/>
      </c>
      <c r="AW333" s="32" t="str" cm="1">
        <f t="array" aca="1" ref="AW333" ca="1">IFERROR(_xlfn.IFS(OR($M333="",$AM333=""),"",OR($C333="Offered",$C333="Joined"),($AM333-$M333)-$AT333),"")</f>
        <v/>
      </c>
      <c r="AX333" s="32" t="str" cm="1">
        <f t="array" aca="1" ref="AX333" ca="1">IFERROR(_xlfn.IFS(OR($M333="",$AS333=""),"",$C333="Joined",($AS333-$M333)-$AT333),"")</f>
        <v/>
      </c>
      <c r="AY333" s="30" t="str">
        <f>IFERROR(IF(COUNTIFS('Candidate Tracker'!$E:$E,'Positions Tracker'!$B333,'Candidate Tracker'!$C:$C,"Offer Drop")=0,"",COUNTIFS('Candidate Tracker'!$E:$E,'Positions Tracker'!$B333,'Candidate Tracker'!$C:$C,"Offer Drop")),"")</f>
        <v/>
      </c>
      <c r="AZ3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3" s="34" t="str">
        <f>IFERROR(IF(COUNTIFS('Candidate Tracker'!$E:$E,'Positions Tracker'!$B333,'Candidate Tracker'!$I:$I,"Female")=0,"",COUNTIFS('Candidate Tracker'!$E:$E,'Positions Tracker'!$B333,'Candidate Tracker'!$I:$I,"Female")),"")</f>
        <v/>
      </c>
      <c r="BB333" s="34" t="str">
        <f>IFERROR(IF(COUNTIFS('Candidate Tracker'!$E:$E,'Positions Tracker'!$B333,'Candidate Tracker'!$I:$I,"male")=0,"",COUNTIFS('Candidate Tracker'!$E:$E,'Positions Tracker'!$B333,'Candidate Tracker'!$I:$I,"male")),"")</f>
        <v/>
      </c>
      <c r="BC333" s="33" t="str">
        <f>IFERROR(IF(COUNTIFS('Candidate Tracker'!$E:$E,'Positions Tracker'!$B333,'Candidate Tracker'!$C:$C,"&lt;&gt;WIP",'Candidate Tracker'!$C:$C,"&lt;&gt;Hold",'Candidate Tracker'!$C:$C,"&lt;&gt;Cancelled",'Candidate Tracker'!$C:$C,"&lt;&gt;Closed")/COUNTIFS('Candidate Tracker'!$E:$E,'Positions Tracker'!$B333)=0,"",COUNTIFS('Candidate Tracker'!$E:$E,'Positions Tracker'!$B333,'Candidate Tracker'!$C:$C,"&lt;&gt;WIP",'Candidate Tracker'!$C:$C,"&lt;&gt;Hold",'Candidate Tracker'!$C:$C,"&lt;&gt;Cancelled",'Candidate Tracker'!$C:$C,"&lt;&gt;Closed")/COUNTIFS('Candidate Tracker'!$E:$E,'Positions Tracker'!$B333)),"")</f>
        <v/>
      </c>
      <c r="BD333" s="30" t="str">
        <f t="shared" si="45"/>
        <v/>
      </c>
      <c r="BE333" s="30" t="str">
        <f t="shared" si="46"/>
        <v/>
      </c>
      <c r="BF333" s="30" t="str">
        <f t="shared" si="47"/>
        <v/>
      </c>
      <c r="BG333" s="30" t="str">
        <f t="shared" si="48"/>
        <v/>
      </c>
    </row>
    <row r="334" spans="1:59">
      <c r="A334" s="39"/>
      <c r="B334" s="39"/>
      <c r="C334" s="39"/>
      <c r="D334" s="39"/>
      <c r="E334" s="39"/>
      <c r="F334" s="39"/>
      <c r="G334" s="39"/>
      <c r="H334" s="39"/>
      <c r="I334" s="40"/>
      <c r="J334" s="40"/>
      <c r="K334" s="35"/>
      <c r="L334" s="35"/>
      <c r="M334" s="35"/>
      <c r="N334" s="39"/>
      <c r="O334" s="39"/>
      <c r="P334" s="39"/>
      <c r="Q334" s="39"/>
      <c r="R334" s="39"/>
      <c r="S334" s="39"/>
      <c r="T334" s="39"/>
      <c r="U334" s="39"/>
      <c r="V334" s="39"/>
      <c r="W334" s="39"/>
      <c r="X334" s="39"/>
      <c r="Y334" s="39"/>
      <c r="Z334" s="39"/>
      <c r="AA334" s="39"/>
      <c r="AB334" s="39"/>
      <c r="AC334" s="39"/>
      <c r="AD334" s="39"/>
      <c r="AE334" s="39"/>
      <c r="AF334" s="39"/>
      <c r="AG334" s="39"/>
      <c r="AH334" s="39"/>
      <c r="AI334" s="35"/>
      <c r="AJ334" s="39"/>
      <c r="AK334" s="39"/>
      <c r="AL334" s="39"/>
      <c r="AM334" s="35"/>
      <c r="AN334" s="35"/>
      <c r="AO334" s="39"/>
      <c r="AP334" s="39"/>
      <c r="AQ334" s="35"/>
      <c r="AR334" s="35"/>
      <c r="AS334" s="35"/>
      <c r="AT334" s="30">
        <f t="shared" ca="1" si="44"/>
        <v>0</v>
      </c>
      <c r="AU334" s="32" t="str">
        <f t="shared" ca="1" si="43"/>
        <v/>
      </c>
      <c r="AV334" s="32" t="str" cm="1">
        <f t="array" aca="1" ref="AV334" ca="1">IFERROR(_xlfn.IFS($AU334="","",$AU334&lt;=15,"0-15",AND($AU334&gt;=16,$AU334&lt;=30),"16-30",AND($AU334&gt;=31,$AU334&lt;=45),"31-45",AND($AU334&gt;=46,$AU334&lt;=60),"46-60",AND($AU334&gt;=61,$AU334&lt;=90),"61-90",AND($AU334&gt;=91),"&gt; 90",AND($AU334&gt;=2000),""),"")</f>
        <v/>
      </c>
      <c r="AW334" s="32" t="str" cm="1">
        <f t="array" aca="1" ref="AW334" ca="1">IFERROR(_xlfn.IFS(OR($M334="",$AM334=""),"",OR($C334="Offered",$C334="Joined"),($AM334-$M334)-$AT334),"")</f>
        <v/>
      </c>
      <c r="AX334" s="32" t="str" cm="1">
        <f t="array" aca="1" ref="AX334" ca="1">IFERROR(_xlfn.IFS(OR($M334="",$AS334=""),"",$C334="Joined",($AS334-$M334)-$AT334),"")</f>
        <v/>
      </c>
      <c r="AY334" s="30" t="str">
        <f>IFERROR(IF(COUNTIFS('Candidate Tracker'!$E:$E,'Positions Tracker'!$B334,'Candidate Tracker'!$C:$C,"Offer Drop")=0,"",COUNTIFS('Candidate Tracker'!$E:$E,'Positions Tracker'!$B334,'Candidate Tracker'!$C:$C,"Offer Drop")),"")</f>
        <v/>
      </c>
      <c r="AZ3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4" s="34" t="str">
        <f>IFERROR(IF(COUNTIFS('Candidate Tracker'!$E:$E,'Positions Tracker'!$B334,'Candidate Tracker'!$I:$I,"Female")=0,"",COUNTIFS('Candidate Tracker'!$E:$E,'Positions Tracker'!$B334,'Candidate Tracker'!$I:$I,"Female")),"")</f>
        <v/>
      </c>
      <c r="BB334" s="34" t="str">
        <f>IFERROR(IF(COUNTIFS('Candidate Tracker'!$E:$E,'Positions Tracker'!$B334,'Candidate Tracker'!$I:$I,"male")=0,"",COUNTIFS('Candidate Tracker'!$E:$E,'Positions Tracker'!$B334,'Candidate Tracker'!$I:$I,"male")),"")</f>
        <v/>
      </c>
      <c r="BC334" s="33" t="str">
        <f>IFERROR(IF(COUNTIFS('Candidate Tracker'!$E:$E,'Positions Tracker'!$B334,'Candidate Tracker'!$C:$C,"&lt;&gt;WIP",'Candidate Tracker'!$C:$C,"&lt;&gt;Hold",'Candidate Tracker'!$C:$C,"&lt;&gt;Cancelled",'Candidate Tracker'!$C:$C,"&lt;&gt;Closed")/COUNTIFS('Candidate Tracker'!$E:$E,'Positions Tracker'!$B334)=0,"",COUNTIFS('Candidate Tracker'!$E:$E,'Positions Tracker'!$B334,'Candidate Tracker'!$C:$C,"&lt;&gt;WIP",'Candidate Tracker'!$C:$C,"&lt;&gt;Hold",'Candidate Tracker'!$C:$C,"&lt;&gt;Cancelled",'Candidate Tracker'!$C:$C,"&lt;&gt;Closed")/COUNTIFS('Candidate Tracker'!$E:$E,'Positions Tracker'!$B334)),"")</f>
        <v/>
      </c>
      <c r="BD334" s="30" t="str">
        <f t="shared" si="45"/>
        <v/>
      </c>
      <c r="BE334" s="30" t="str">
        <f t="shared" si="46"/>
        <v/>
      </c>
      <c r="BF334" s="30" t="str">
        <f t="shared" si="47"/>
        <v/>
      </c>
      <c r="BG334" s="30" t="str">
        <f t="shared" si="48"/>
        <v/>
      </c>
    </row>
    <row r="335" spans="1:59">
      <c r="A335" s="39"/>
      <c r="B335" s="39"/>
      <c r="C335" s="39"/>
      <c r="D335" s="39"/>
      <c r="E335" s="39"/>
      <c r="F335" s="39"/>
      <c r="G335" s="39"/>
      <c r="H335" s="39"/>
      <c r="I335" s="40"/>
      <c r="J335" s="40"/>
      <c r="K335" s="35"/>
      <c r="L335" s="35"/>
      <c r="M335" s="35"/>
      <c r="N335" s="39"/>
      <c r="O335" s="39"/>
      <c r="P335" s="39"/>
      <c r="Q335" s="39"/>
      <c r="R335" s="39"/>
      <c r="S335" s="39"/>
      <c r="T335" s="39"/>
      <c r="U335" s="39"/>
      <c r="V335" s="39"/>
      <c r="W335" s="39"/>
      <c r="X335" s="39"/>
      <c r="Y335" s="39"/>
      <c r="Z335" s="39"/>
      <c r="AA335" s="39"/>
      <c r="AB335" s="39"/>
      <c r="AC335" s="39"/>
      <c r="AD335" s="39"/>
      <c r="AE335" s="39"/>
      <c r="AF335" s="39"/>
      <c r="AG335" s="39"/>
      <c r="AH335" s="39"/>
      <c r="AI335" s="35"/>
      <c r="AJ335" s="39"/>
      <c r="AK335" s="39"/>
      <c r="AL335" s="39"/>
      <c r="AM335" s="35"/>
      <c r="AN335" s="35"/>
      <c r="AO335" s="39"/>
      <c r="AP335" s="39"/>
      <c r="AQ335" s="35"/>
      <c r="AR335" s="35"/>
      <c r="AS335" s="35"/>
      <c r="AT335" s="30">
        <f t="shared" ca="1" si="44"/>
        <v>0</v>
      </c>
      <c r="AU335" s="32" t="str">
        <f t="shared" ca="1" si="43"/>
        <v/>
      </c>
      <c r="AV335" s="32" t="str" cm="1">
        <f t="array" aca="1" ref="AV335" ca="1">IFERROR(_xlfn.IFS($AU335="","",$AU335&lt;=15,"0-15",AND($AU335&gt;=16,$AU335&lt;=30),"16-30",AND($AU335&gt;=31,$AU335&lt;=45),"31-45",AND($AU335&gt;=46,$AU335&lt;=60),"46-60",AND($AU335&gt;=61,$AU335&lt;=90),"61-90",AND($AU335&gt;=91),"&gt; 90",AND($AU335&gt;=2000),""),"")</f>
        <v/>
      </c>
      <c r="AW335" s="32" t="str" cm="1">
        <f t="array" aca="1" ref="AW335" ca="1">IFERROR(_xlfn.IFS(OR($M335="",$AM335=""),"",OR($C335="Offered",$C335="Joined"),($AM335-$M335)-$AT335),"")</f>
        <v/>
      </c>
      <c r="AX335" s="32" t="str" cm="1">
        <f t="array" aca="1" ref="AX335" ca="1">IFERROR(_xlfn.IFS(OR($M335="",$AS335=""),"",$C335="Joined",($AS335-$M335)-$AT335),"")</f>
        <v/>
      </c>
      <c r="AY335" s="30" t="str">
        <f>IFERROR(IF(COUNTIFS('Candidate Tracker'!$E:$E,'Positions Tracker'!$B335,'Candidate Tracker'!$C:$C,"Offer Drop")=0,"",COUNTIFS('Candidate Tracker'!$E:$E,'Positions Tracker'!$B335,'Candidate Tracker'!$C:$C,"Offer Drop")),"")</f>
        <v/>
      </c>
      <c r="AZ3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5" s="34" t="str">
        <f>IFERROR(IF(COUNTIFS('Candidate Tracker'!$E:$E,'Positions Tracker'!$B335,'Candidate Tracker'!$I:$I,"Female")=0,"",COUNTIFS('Candidate Tracker'!$E:$E,'Positions Tracker'!$B335,'Candidate Tracker'!$I:$I,"Female")),"")</f>
        <v/>
      </c>
      <c r="BB335" s="34" t="str">
        <f>IFERROR(IF(COUNTIFS('Candidate Tracker'!$E:$E,'Positions Tracker'!$B335,'Candidate Tracker'!$I:$I,"male")=0,"",COUNTIFS('Candidate Tracker'!$E:$E,'Positions Tracker'!$B335,'Candidate Tracker'!$I:$I,"male")),"")</f>
        <v/>
      </c>
      <c r="BC335" s="33" t="str">
        <f>IFERROR(IF(COUNTIFS('Candidate Tracker'!$E:$E,'Positions Tracker'!$B335,'Candidate Tracker'!$C:$C,"&lt;&gt;WIP",'Candidate Tracker'!$C:$C,"&lt;&gt;Hold",'Candidate Tracker'!$C:$C,"&lt;&gt;Cancelled",'Candidate Tracker'!$C:$C,"&lt;&gt;Closed")/COUNTIFS('Candidate Tracker'!$E:$E,'Positions Tracker'!$B335)=0,"",COUNTIFS('Candidate Tracker'!$E:$E,'Positions Tracker'!$B335,'Candidate Tracker'!$C:$C,"&lt;&gt;WIP",'Candidate Tracker'!$C:$C,"&lt;&gt;Hold",'Candidate Tracker'!$C:$C,"&lt;&gt;Cancelled",'Candidate Tracker'!$C:$C,"&lt;&gt;Closed")/COUNTIFS('Candidate Tracker'!$E:$E,'Positions Tracker'!$B335)),"")</f>
        <v/>
      </c>
      <c r="BD335" s="30" t="str">
        <f t="shared" si="45"/>
        <v/>
      </c>
      <c r="BE335" s="30" t="str">
        <f t="shared" si="46"/>
        <v/>
      </c>
      <c r="BF335" s="30" t="str">
        <f t="shared" si="47"/>
        <v/>
      </c>
      <c r="BG335" s="30" t="str">
        <f t="shared" si="48"/>
        <v/>
      </c>
    </row>
    <row r="336" spans="1:59">
      <c r="A336" s="39"/>
      <c r="B336" s="39"/>
      <c r="C336" s="39"/>
      <c r="D336" s="39"/>
      <c r="E336" s="39"/>
      <c r="F336" s="39"/>
      <c r="G336" s="39"/>
      <c r="H336" s="39"/>
      <c r="I336" s="40"/>
      <c r="J336" s="40"/>
      <c r="K336" s="35"/>
      <c r="L336" s="35"/>
      <c r="M336" s="35"/>
      <c r="N336" s="39"/>
      <c r="O336" s="39"/>
      <c r="P336" s="39"/>
      <c r="Q336" s="39"/>
      <c r="R336" s="39"/>
      <c r="S336" s="39"/>
      <c r="T336" s="39"/>
      <c r="U336" s="39"/>
      <c r="V336" s="39"/>
      <c r="W336" s="39"/>
      <c r="X336" s="39"/>
      <c r="Y336" s="39"/>
      <c r="Z336" s="39"/>
      <c r="AA336" s="39"/>
      <c r="AB336" s="39"/>
      <c r="AC336" s="39"/>
      <c r="AD336" s="39"/>
      <c r="AE336" s="39"/>
      <c r="AF336" s="39"/>
      <c r="AG336" s="39"/>
      <c r="AH336" s="39"/>
      <c r="AI336" s="35"/>
      <c r="AJ336" s="39"/>
      <c r="AK336" s="39"/>
      <c r="AL336" s="39"/>
      <c r="AM336" s="35"/>
      <c r="AN336" s="35"/>
      <c r="AO336" s="39"/>
      <c r="AP336" s="39"/>
      <c r="AQ336" s="35"/>
      <c r="AR336" s="35"/>
      <c r="AS336" s="35"/>
      <c r="AT336" s="30">
        <f t="shared" ca="1" si="44"/>
        <v>0</v>
      </c>
      <c r="AU336" s="32" t="str">
        <f t="shared" ca="1" si="43"/>
        <v/>
      </c>
      <c r="AV336" s="32" t="str" cm="1">
        <f t="array" aca="1" ref="AV336" ca="1">IFERROR(_xlfn.IFS($AU336="","",$AU336&lt;=15,"0-15",AND($AU336&gt;=16,$AU336&lt;=30),"16-30",AND($AU336&gt;=31,$AU336&lt;=45),"31-45",AND($AU336&gt;=46,$AU336&lt;=60),"46-60",AND($AU336&gt;=61,$AU336&lt;=90),"61-90",AND($AU336&gt;=91),"&gt; 90",AND($AU336&gt;=2000),""),"")</f>
        <v/>
      </c>
      <c r="AW336" s="32" t="str" cm="1">
        <f t="array" aca="1" ref="AW336" ca="1">IFERROR(_xlfn.IFS(OR($M336="",$AM336=""),"",OR($C336="Offered",$C336="Joined"),($AM336-$M336)-$AT336),"")</f>
        <v/>
      </c>
      <c r="AX336" s="32" t="str" cm="1">
        <f t="array" aca="1" ref="AX336" ca="1">IFERROR(_xlfn.IFS(OR($M336="",$AS336=""),"",$C336="Joined",($AS336-$M336)-$AT336),"")</f>
        <v/>
      </c>
      <c r="AY336" s="30" t="str">
        <f>IFERROR(IF(COUNTIFS('Candidate Tracker'!$E:$E,'Positions Tracker'!$B336,'Candidate Tracker'!$C:$C,"Offer Drop")=0,"",COUNTIFS('Candidate Tracker'!$E:$E,'Positions Tracker'!$B336,'Candidate Tracker'!$C:$C,"Offer Drop")),"")</f>
        <v/>
      </c>
      <c r="AZ3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6" s="34" t="str">
        <f>IFERROR(IF(COUNTIFS('Candidate Tracker'!$E:$E,'Positions Tracker'!$B336,'Candidate Tracker'!$I:$I,"Female")=0,"",COUNTIFS('Candidate Tracker'!$E:$E,'Positions Tracker'!$B336,'Candidate Tracker'!$I:$I,"Female")),"")</f>
        <v/>
      </c>
      <c r="BB336" s="34" t="str">
        <f>IFERROR(IF(COUNTIFS('Candidate Tracker'!$E:$E,'Positions Tracker'!$B336,'Candidate Tracker'!$I:$I,"male")=0,"",COUNTIFS('Candidate Tracker'!$E:$E,'Positions Tracker'!$B336,'Candidate Tracker'!$I:$I,"male")),"")</f>
        <v/>
      </c>
      <c r="BC336" s="33" t="str">
        <f>IFERROR(IF(COUNTIFS('Candidate Tracker'!$E:$E,'Positions Tracker'!$B336,'Candidate Tracker'!$C:$C,"&lt;&gt;WIP",'Candidate Tracker'!$C:$C,"&lt;&gt;Hold",'Candidate Tracker'!$C:$C,"&lt;&gt;Cancelled",'Candidate Tracker'!$C:$C,"&lt;&gt;Closed")/COUNTIFS('Candidate Tracker'!$E:$E,'Positions Tracker'!$B336)=0,"",COUNTIFS('Candidate Tracker'!$E:$E,'Positions Tracker'!$B336,'Candidate Tracker'!$C:$C,"&lt;&gt;WIP",'Candidate Tracker'!$C:$C,"&lt;&gt;Hold",'Candidate Tracker'!$C:$C,"&lt;&gt;Cancelled",'Candidate Tracker'!$C:$C,"&lt;&gt;Closed")/COUNTIFS('Candidate Tracker'!$E:$E,'Positions Tracker'!$B336)),"")</f>
        <v/>
      </c>
      <c r="BD336" s="30" t="str">
        <f t="shared" si="45"/>
        <v/>
      </c>
      <c r="BE336" s="30" t="str">
        <f t="shared" si="46"/>
        <v/>
      </c>
      <c r="BF336" s="30" t="str">
        <f t="shared" si="47"/>
        <v/>
      </c>
      <c r="BG336" s="30" t="str">
        <f t="shared" si="48"/>
        <v/>
      </c>
    </row>
    <row r="337" spans="1:59">
      <c r="A337" s="39"/>
      <c r="B337" s="39"/>
      <c r="C337" s="39"/>
      <c r="D337" s="39"/>
      <c r="E337" s="39"/>
      <c r="F337" s="39"/>
      <c r="G337" s="39"/>
      <c r="H337" s="39"/>
      <c r="I337" s="40"/>
      <c r="J337" s="40"/>
      <c r="K337" s="35"/>
      <c r="L337" s="35"/>
      <c r="M337" s="35"/>
      <c r="N337" s="39"/>
      <c r="O337" s="39"/>
      <c r="P337" s="39"/>
      <c r="Q337" s="39"/>
      <c r="R337" s="39"/>
      <c r="S337" s="39"/>
      <c r="T337" s="39"/>
      <c r="U337" s="39"/>
      <c r="V337" s="39"/>
      <c r="W337" s="39"/>
      <c r="X337" s="39"/>
      <c r="Y337" s="39"/>
      <c r="Z337" s="39"/>
      <c r="AA337" s="39"/>
      <c r="AB337" s="39"/>
      <c r="AC337" s="39"/>
      <c r="AD337" s="39"/>
      <c r="AE337" s="39"/>
      <c r="AF337" s="39"/>
      <c r="AG337" s="39"/>
      <c r="AH337" s="39"/>
      <c r="AI337" s="35"/>
      <c r="AJ337" s="39"/>
      <c r="AK337" s="39"/>
      <c r="AL337" s="39"/>
      <c r="AM337" s="35"/>
      <c r="AN337" s="35"/>
      <c r="AO337" s="39"/>
      <c r="AP337" s="39"/>
      <c r="AQ337" s="35"/>
      <c r="AR337" s="35"/>
      <c r="AS337" s="35"/>
      <c r="AT337" s="30">
        <f t="shared" ca="1" si="44"/>
        <v>0</v>
      </c>
      <c r="AU337" s="32" t="str">
        <f t="shared" ca="1" si="43"/>
        <v/>
      </c>
      <c r="AV337" s="32" t="str" cm="1">
        <f t="array" aca="1" ref="AV337" ca="1">IFERROR(_xlfn.IFS($AU337="","",$AU337&lt;=15,"0-15",AND($AU337&gt;=16,$AU337&lt;=30),"16-30",AND($AU337&gt;=31,$AU337&lt;=45),"31-45",AND($AU337&gt;=46,$AU337&lt;=60),"46-60",AND($AU337&gt;=61,$AU337&lt;=90),"61-90",AND($AU337&gt;=91),"&gt; 90",AND($AU337&gt;=2000),""),"")</f>
        <v/>
      </c>
      <c r="AW337" s="32" t="str" cm="1">
        <f t="array" aca="1" ref="AW337" ca="1">IFERROR(_xlfn.IFS(OR($M337="",$AM337=""),"",OR($C337="Offered",$C337="Joined"),($AM337-$M337)-$AT337),"")</f>
        <v/>
      </c>
      <c r="AX337" s="32" t="str" cm="1">
        <f t="array" aca="1" ref="AX337" ca="1">IFERROR(_xlfn.IFS(OR($M337="",$AS337=""),"",$C337="Joined",($AS337-$M337)-$AT337),"")</f>
        <v/>
      </c>
      <c r="AY337" s="30" t="str">
        <f>IFERROR(IF(COUNTIFS('Candidate Tracker'!$E:$E,'Positions Tracker'!$B337,'Candidate Tracker'!$C:$C,"Offer Drop")=0,"",COUNTIFS('Candidate Tracker'!$E:$E,'Positions Tracker'!$B337,'Candidate Tracker'!$C:$C,"Offer Drop")),"")</f>
        <v/>
      </c>
      <c r="AZ3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7" s="34" t="str">
        <f>IFERROR(IF(COUNTIFS('Candidate Tracker'!$E:$E,'Positions Tracker'!$B337,'Candidate Tracker'!$I:$I,"Female")=0,"",COUNTIFS('Candidate Tracker'!$E:$E,'Positions Tracker'!$B337,'Candidate Tracker'!$I:$I,"Female")),"")</f>
        <v/>
      </c>
      <c r="BB337" s="34" t="str">
        <f>IFERROR(IF(COUNTIFS('Candidate Tracker'!$E:$E,'Positions Tracker'!$B337,'Candidate Tracker'!$I:$I,"male")=0,"",COUNTIFS('Candidate Tracker'!$E:$E,'Positions Tracker'!$B337,'Candidate Tracker'!$I:$I,"male")),"")</f>
        <v/>
      </c>
      <c r="BC337" s="33" t="str">
        <f>IFERROR(IF(COUNTIFS('Candidate Tracker'!$E:$E,'Positions Tracker'!$B337,'Candidate Tracker'!$C:$C,"&lt;&gt;WIP",'Candidate Tracker'!$C:$C,"&lt;&gt;Hold",'Candidate Tracker'!$C:$C,"&lt;&gt;Cancelled",'Candidate Tracker'!$C:$C,"&lt;&gt;Closed")/COUNTIFS('Candidate Tracker'!$E:$E,'Positions Tracker'!$B337)=0,"",COUNTIFS('Candidate Tracker'!$E:$E,'Positions Tracker'!$B337,'Candidate Tracker'!$C:$C,"&lt;&gt;WIP",'Candidate Tracker'!$C:$C,"&lt;&gt;Hold",'Candidate Tracker'!$C:$C,"&lt;&gt;Cancelled",'Candidate Tracker'!$C:$C,"&lt;&gt;Closed")/COUNTIFS('Candidate Tracker'!$E:$E,'Positions Tracker'!$B337)),"")</f>
        <v/>
      </c>
      <c r="BD337" s="30" t="str">
        <f t="shared" si="45"/>
        <v/>
      </c>
      <c r="BE337" s="30" t="str">
        <f t="shared" si="46"/>
        <v/>
      </c>
      <c r="BF337" s="30" t="str">
        <f t="shared" si="47"/>
        <v/>
      </c>
      <c r="BG337" s="30" t="str">
        <f t="shared" si="48"/>
        <v/>
      </c>
    </row>
    <row r="338" spans="1:59">
      <c r="A338" s="39"/>
      <c r="B338" s="39"/>
      <c r="C338" s="39"/>
      <c r="D338" s="39"/>
      <c r="E338" s="39"/>
      <c r="F338" s="39"/>
      <c r="G338" s="39"/>
      <c r="H338" s="39"/>
      <c r="I338" s="40"/>
      <c r="J338" s="40"/>
      <c r="K338" s="35"/>
      <c r="L338" s="35"/>
      <c r="M338" s="35"/>
      <c r="N338" s="39"/>
      <c r="O338" s="39"/>
      <c r="P338" s="39"/>
      <c r="Q338" s="39"/>
      <c r="R338" s="39"/>
      <c r="S338" s="39"/>
      <c r="T338" s="39"/>
      <c r="U338" s="39"/>
      <c r="V338" s="39"/>
      <c r="W338" s="39"/>
      <c r="X338" s="39"/>
      <c r="Y338" s="39"/>
      <c r="Z338" s="39"/>
      <c r="AA338" s="39"/>
      <c r="AB338" s="39"/>
      <c r="AC338" s="39"/>
      <c r="AD338" s="39"/>
      <c r="AE338" s="39"/>
      <c r="AF338" s="39"/>
      <c r="AG338" s="39"/>
      <c r="AH338" s="39"/>
      <c r="AI338" s="35"/>
      <c r="AJ338" s="39"/>
      <c r="AK338" s="39"/>
      <c r="AL338" s="39"/>
      <c r="AM338" s="35"/>
      <c r="AN338" s="35"/>
      <c r="AO338" s="39"/>
      <c r="AP338" s="39"/>
      <c r="AQ338" s="35"/>
      <c r="AR338" s="35"/>
      <c r="AS338" s="35"/>
      <c r="AT338" s="30">
        <f t="shared" ca="1" si="44"/>
        <v>0</v>
      </c>
      <c r="AU338" s="32" t="str">
        <f t="shared" ca="1" si="43"/>
        <v/>
      </c>
      <c r="AV338" s="32" t="str" cm="1">
        <f t="array" aca="1" ref="AV338" ca="1">IFERROR(_xlfn.IFS($AU338="","",$AU338&lt;=15,"0-15",AND($AU338&gt;=16,$AU338&lt;=30),"16-30",AND($AU338&gt;=31,$AU338&lt;=45),"31-45",AND($AU338&gt;=46,$AU338&lt;=60),"46-60",AND($AU338&gt;=61,$AU338&lt;=90),"61-90",AND($AU338&gt;=91),"&gt; 90",AND($AU338&gt;=2000),""),"")</f>
        <v/>
      </c>
      <c r="AW338" s="32" t="str" cm="1">
        <f t="array" aca="1" ref="AW338" ca="1">IFERROR(_xlfn.IFS(OR($M338="",$AM338=""),"",OR($C338="Offered",$C338="Joined"),($AM338-$M338)-$AT338),"")</f>
        <v/>
      </c>
      <c r="AX338" s="32" t="str" cm="1">
        <f t="array" aca="1" ref="AX338" ca="1">IFERROR(_xlfn.IFS(OR($M338="",$AS338=""),"",$C338="Joined",($AS338-$M338)-$AT338),"")</f>
        <v/>
      </c>
      <c r="AY338" s="30" t="str">
        <f>IFERROR(IF(COUNTIFS('Candidate Tracker'!$E:$E,'Positions Tracker'!$B338,'Candidate Tracker'!$C:$C,"Offer Drop")=0,"",COUNTIFS('Candidate Tracker'!$E:$E,'Positions Tracker'!$B338,'Candidate Tracker'!$C:$C,"Offer Drop")),"")</f>
        <v/>
      </c>
      <c r="AZ3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8" s="34" t="str">
        <f>IFERROR(IF(COUNTIFS('Candidate Tracker'!$E:$E,'Positions Tracker'!$B338,'Candidate Tracker'!$I:$I,"Female")=0,"",COUNTIFS('Candidate Tracker'!$E:$E,'Positions Tracker'!$B338,'Candidate Tracker'!$I:$I,"Female")),"")</f>
        <v/>
      </c>
      <c r="BB338" s="34" t="str">
        <f>IFERROR(IF(COUNTIFS('Candidate Tracker'!$E:$E,'Positions Tracker'!$B338,'Candidate Tracker'!$I:$I,"male")=0,"",COUNTIFS('Candidate Tracker'!$E:$E,'Positions Tracker'!$B338,'Candidate Tracker'!$I:$I,"male")),"")</f>
        <v/>
      </c>
      <c r="BC338" s="33" t="str">
        <f>IFERROR(IF(COUNTIFS('Candidate Tracker'!$E:$E,'Positions Tracker'!$B338,'Candidate Tracker'!$C:$C,"&lt;&gt;WIP",'Candidate Tracker'!$C:$C,"&lt;&gt;Hold",'Candidate Tracker'!$C:$C,"&lt;&gt;Cancelled",'Candidate Tracker'!$C:$C,"&lt;&gt;Closed")/COUNTIFS('Candidate Tracker'!$E:$E,'Positions Tracker'!$B338)=0,"",COUNTIFS('Candidate Tracker'!$E:$E,'Positions Tracker'!$B338,'Candidate Tracker'!$C:$C,"&lt;&gt;WIP",'Candidate Tracker'!$C:$C,"&lt;&gt;Hold",'Candidate Tracker'!$C:$C,"&lt;&gt;Cancelled",'Candidate Tracker'!$C:$C,"&lt;&gt;Closed")/COUNTIFS('Candidate Tracker'!$E:$E,'Positions Tracker'!$B338)),"")</f>
        <v/>
      </c>
      <c r="BD338" s="30" t="str">
        <f t="shared" si="45"/>
        <v/>
      </c>
      <c r="BE338" s="30" t="str">
        <f t="shared" si="46"/>
        <v/>
      </c>
      <c r="BF338" s="30" t="str">
        <f t="shared" si="47"/>
        <v/>
      </c>
      <c r="BG338" s="30" t="str">
        <f t="shared" si="48"/>
        <v/>
      </c>
    </row>
    <row r="339" spans="1:59">
      <c r="A339" s="39"/>
      <c r="B339" s="39"/>
      <c r="C339" s="39"/>
      <c r="D339" s="39"/>
      <c r="E339" s="39"/>
      <c r="F339" s="39"/>
      <c r="G339" s="39"/>
      <c r="H339" s="39"/>
      <c r="I339" s="40"/>
      <c r="J339" s="40"/>
      <c r="K339" s="35"/>
      <c r="L339" s="35"/>
      <c r="M339" s="35"/>
      <c r="N339" s="39"/>
      <c r="O339" s="39"/>
      <c r="P339" s="39"/>
      <c r="Q339" s="39"/>
      <c r="R339" s="39"/>
      <c r="S339" s="39"/>
      <c r="T339" s="39"/>
      <c r="U339" s="39"/>
      <c r="V339" s="39"/>
      <c r="W339" s="39"/>
      <c r="X339" s="39"/>
      <c r="Y339" s="39"/>
      <c r="Z339" s="39"/>
      <c r="AA339" s="39"/>
      <c r="AB339" s="39"/>
      <c r="AC339" s="39"/>
      <c r="AD339" s="39"/>
      <c r="AE339" s="39"/>
      <c r="AF339" s="39"/>
      <c r="AG339" s="39"/>
      <c r="AH339" s="39"/>
      <c r="AI339" s="35"/>
      <c r="AJ339" s="39"/>
      <c r="AK339" s="39"/>
      <c r="AL339" s="39"/>
      <c r="AM339" s="35"/>
      <c r="AN339" s="35"/>
      <c r="AO339" s="39"/>
      <c r="AP339" s="39"/>
      <c r="AQ339" s="35"/>
      <c r="AR339" s="35"/>
      <c r="AS339" s="35"/>
      <c r="AT339" s="30">
        <f t="shared" ca="1" si="44"/>
        <v>0</v>
      </c>
      <c r="AU339" s="32" t="str">
        <f t="shared" ca="1" si="43"/>
        <v/>
      </c>
      <c r="AV339" s="32" t="str" cm="1">
        <f t="array" aca="1" ref="AV339" ca="1">IFERROR(_xlfn.IFS($AU339="","",$AU339&lt;=15,"0-15",AND($AU339&gt;=16,$AU339&lt;=30),"16-30",AND($AU339&gt;=31,$AU339&lt;=45),"31-45",AND($AU339&gt;=46,$AU339&lt;=60),"46-60",AND($AU339&gt;=61,$AU339&lt;=90),"61-90",AND($AU339&gt;=91),"&gt; 90",AND($AU339&gt;=2000),""),"")</f>
        <v/>
      </c>
      <c r="AW339" s="32" t="str" cm="1">
        <f t="array" aca="1" ref="AW339" ca="1">IFERROR(_xlfn.IFS(OR($M339="",$AM339=""),"",OR($C339="Offered",$C339="Joined"),($AM339-$M339)-$AT339),"")</f>
        <v/>
      </c>
      <c r="AX339" s="32" t="str" cm="1">
        <f t="array" aca="1" ref="AX339" ca="1">IFERROR(_xlfn.IFS(OR($M339="",$AS339=""),"",$C339="Joined",($AS339-$M339)-$AT339),"")</f>
        <v/>
      </c>
      <c r="AY339" s="30" t="str">
        <f>IFERROR(IF(COUNTIFS('Candidate Tracker'!$E:$E,'Positions Tracker'!$B339,'Candidate Tracker'!$C:$C,"Offer Drop")=0,"",COUNTIFS('Candidate Tracker'!$E:$E,'Positions Tracker'!$B339,'Candidate Tracker'!$C:$C,"Offer Drop")),"")</f>
        <v/>
      </c>
      <c r="AZ3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39" s="34" t="str">
        <f>IFERROR(IF(COUNTIFS('Candidate Tracker'!$E:$E,'Positions Tracker'!$B339,'Candidate Tracker'!$I:$I,"Female")=0,"",COUNTIFS('Candidate Tracker'!$E:$E,'Positions Tracker'!$B339,'Candidate Tracker'!$I:$I,"Female")),"")</f>
        <v/>
      </c>
      <c r="BB339" s="34" t="str">
        <f>IFERROR(IF(COUNTIFS('Candidate Tracker'!$E:$E,'Positions Tracker'!$B339,'Candidate Tracker'!$I:$I,"male")=0,"",COUNTIFS('Candidate Tracker'!$E:$E,'Positions Tracker'!$B339,'Candidate Tracker'!$I:$I,"male")),"")</f>
        <v/>
      </c>
      <c r="BC339" s="33" t="str">
        <f>IFERROR(IF(COUNTIFS('Candidate Tracker'!$E:$E,'Positions Tracker'!$B339,'Candidate Tracker'!$C:$C,"&lt;&gt;WIP",'Candidate Tracker'!$C:$C,"&lt;&gt;Hold",'Candidate Tracker'!$C:$C,"&lt;&gt;Cancelled",'Candidate Tracker'!$C:$C,"&lt;&gt;Closed")/COUNTIFS('Candidate Tracker'!$E:$E,'Positions Tracker'!$B339)=0,"",COUNTIFS('Candidate Tracker'!$E:$E,'Positions Tracker'!$B339,'Candidate Tracker'!$C:$C,"&lt;&gt;WIP",'Candidate Tracker'!$C:$C,"&lt;&gt;Hold",'Candidate Tracker'!$C:$C,"&lt;&gt;Cancelled",'Candidate Tracker'!$C:$C,"&lt;&gt;Closed")/COUNTIFS('Candidate Tracker'!$E:$E,'Positions Tracker'!$B339)),"")</f>
        <v/>
      </c>
      <c r="BD339" s="30" t="str">
        <f t="shared" si="45"/>
        <v/>
      </c>
      <c r="BE339" s="30" t="str">
        <f t="shared" si="46"/>
        <v/>
      </c>
      <c r="BF339" s="30" t="str">
        <f t="shared" si="47"/>
        <v/>
      </c>
      <c r="BG339" s="30" t="str">
        <f t="shared" si="48"/>
        <v/>
      </c>
    </row>
    <row r="340" spans="1:59">
      <c r="A340" s="39"/>
      <c r="B340" s="39"/>
      <c r="C340" s="39"/>
      <c r="D340" s="39"/>
      <c r="E340" s="39"/>
      <c r="F340" s="39"/>
      <c r="G340" s="39"/>
      <c r="H340" s="39"/>
      <c r="I340" s="40"/>
      <c r="J340" s="40"/>
      <c r="K340" s="35"/>
      <c r="L340" s="35"/>
      <c r="M340" s="35"/>
      <c r="N340" s="39"/>
      <c r="O340" s="39"/>
      <c r="P340" s="39"/>
      <c r="Q340" s="39"/>
      <c r="R340" s="39"/>
      <c r="S340" s="39"/>
      <c r="T340" s="39"/>
      <c r="U340" s="39"/>
      <c r="V340" s="39"/>
      <c r="W340" s="39"/>
      <c r="X340" s="39"/>
      <c r="Y340" s="39"/>
      <c r="Z340" s="39"/>
      <c r="AA340" s="39"/>
      <c r="AB340" s="39"/>
      <c r="AC340" s="39"/>
      <c r="AD340" s="39"/>
      <c r="AE340" s="39"/>
      <c r="AF340" s="39"/>
      <c r="AG340" s="39"/>
      <c r="AH340" s="39"/>
      <c r="AI340" s="35"/>
      <c r="AJ340" s="39"/>
      <c r="AK340" s="39"/>
      <c r="AL340" s="39"/>
      <c r="AM340" s="35"/>
      <c r="AN340" s="35"/>
      <c r="AO340" s="39"/>
      <c r="AP340" s="39"/>
      <c r="AQ340" s="35"/>
      <c r="AR340" s="35"/>
      <c r="AS340" s="35"/>
      <c r="AT340" s="30">
        <f t="shared" ca="1" si="44"/>
        <v>0</v>
      </c>
      <c r="AU340" s="32" t="str">
        <f t="shared" ca="1" si="43"/>
        <v/>
      </c>
      <c r="AV340" s="32" t="str" cm="1">
        <f t="array" aca="1" ref="AV340" ca="1">IFERROR(_xlfn.IFS($AU340="","",$AU340&lt;=15,"0-15",AND($AU340&gt;=16,$AU340&lt;=30),"16-30",AND($AU340&gt;=31,$AU340&lt;=45),"31-45",AND($AU340&gt;=46,$AU340&lt;=60),"46-60",AND($AU340&gt;=61,$AU340&lt;=90),"61-90",AND($AU340&gt;=91),"&gt; 90",AND($AU340&gt;=2000),""),"")</f>
        <v/>
      </c>
      <c r="AW340" s="32" t="str" cm="1">
        <f t="array" aca="1" ref="AW340" ca="1">IFERROR(_xlfn.IFS(OR($M340="",$AM340=""),"",OR($C340="Offered",$C340="Joined"),($AM340-$M340)-$AT340),"")</f>
        <v/>
      </c>
      <c r="AX340" s="32" t="str" cm="1">
        <f t="array" aca="1" ref="AX340" ca="1">IFERROR(_xlfn.IFS(OR($M340="",$AS340=""),"",$C340="Joined",($AS340-$M340)-$AT340),"")</f>
        <v/>
      </c>
      <c r="AY340" s="30" t="str">
        <f>IFERROR(IF(COUNTIFS('Candidate Tracker'!$E:$E,'Positions Tracker'!$B340,'Candidate Tracker'!$C:$C,"Offer Drop")=0,"",COUNTIFS('Candidate Tracker'!$E:$E,'Positions Tracker'!$B340,'Candidate Tracker'!$C:$C,"Offer Drop")),"")</f>
        <v/>
      </c>
      <c r="AZ3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0" s="34" t="str">
        <f>IFERROR(IF(COUNTIFS('Candidate Tracker'!$E:$E,'Positions Tracker'!$B340,'Candidate Tracker'!$I:$I,"Female")=0,"",COUNTIFS('Candidate Tracker'!$E:$E,'Positions Tracker'!$B340,'Candidate Tracker'!$I:$I,"Female")),"")</f>
        <v/>
      </c>
      <c r="BB340" s="34" t="str">
        <f>IFERROR(IF(COUNTIFS('Candidate Tracker'!$E:$E,'Positions Tracker'!$B340,'Candidate Tracker'!$I:$I,"male")=0,"",COUNTIFS('Candidate Tracker'!$E:$E,'Positions Tracker'!$B340,'Candidate Tracker'!$I:$I,"male")),"")</f>
        <v/>
      </c>
      <c r="BC340" s="33" t="str">
        <f>IFERROR(IF(COUNTIFS('Candidate Tracker'!$E:$E,'Positions Tracker'!$B340,'Candidate Tracker'!$C:$C,"&lt;&gt;WIP",'Candidate Tracker'!$C:$C,"&lt;&gt;Hold",'Candidate Tracker'!$C:$C,"&lt;&gt;Cancelled",'Candidate Tracker'!$C:$C,"&lt;&gt;Closed")/COUNTIFS('Candidate Tracker'!$E:$E,'Positions Tracker'!$B340)=0,"",COUNTIFS('Candidate Tracker'!$E:$E,'Positions Tracker'!$B340,'Candidate Tracker'!$C:$C,"&lt;&gt;WIP",'Candidate Tracker'!$C:$C,"&lt;&gt;Hold",'Candidate Tracker'!$C:$C,"&lt;&gt;Cancelled",'Candidate Tracker'!$C:$C,"&lt;&gt;Closed")/COUNTIFS('Candidate Tracker'!$E:$E,'Positions Tracker'!$B340)),"")</f>
        <v/>
      </c>
      <c r="BD340" s="30" t="str">
        <f t="shared" si="45"/>
        <v/>
      </c>
      <c r="BE340" s="30" t="str">
        <f t="shared" si="46"/>
        <v/>
      </c>
      <c r="BF340" s="30" t="str">
        <f t="shared" si="47"/>
        <v/>
      </c>
      <c r="BG340" s="30" t="str">
        <f t="shared" si="48"/>
        <v/>
      </c>
    </row>
    <row r="341" spans="1:59">
      <c r="A341" s="39"/>
      <c r="B341" s="39"/>
      <c r="C341" s="39"/>
      <c r="D341" s="39"/>
      <c r="E341" s="39"/>
      <c r="F341" s="39"/>
      <c r="G341" s="39"/>
      <c r="H341" s="39"/>
      <c r="I341" s="40"/>
      <c r="J341" s="40"/>
      <c r="K341" s="35"/>
      <c r="L341" s="35"/>
      <c r="M341" s="35"/>
      <c r="N341" s="39"/>
      <c r="O341" s="39"/>
      <c r="P341" s="39"/>
      <c r="Q341" s="39"/>
      <c r="R341" s="39"/>
      <c r="S341" s="39"/>
      <c r="T341" s="39"/>
      <c r="U341" s="39"/>
      <c r="V341" s="39"/>
      <c r="W341" s="39"/>
      <c r="X341" s="39"/>
      <c r="Y341" s="39"/>
      <c r="Z341" s="39"/>
      <c r="AA341" s="39"/>
      <c r="AB341" s="39"/>
      <c r="AC341" s="39"/>
      <c r="AD341" s="39"/>
      <c r="AE341" s="39"/>
      <c r="AF341" s="39"/>
      <c r="AG341" s="39"/>
      <c r="AH341" s="39"/>
      <c r="AI341" s="35"/>
      <c r="AJ341" s="39"/>
      <c r="AK341" s="39"/>
      <c r="AL341" s="39"/>
      <c r="AM341" s="35"/>
      <c r="AN341" s="35"/>
      <c r="AO341" s="39"/>
      <c r="AP341" s="39"/>
      <c r="AQ341" s="35"/>
      <c r="AR341" s="35"/>
      <c r="AS341" s="35"/>
      <c r="AT341" s="30">
        <f t="shared" ca="1" si="44"/>
        <v>0</v>
      </c>
      <c r="AU341" s="32" t="str">
        <f t="shared" ca="1" si="43"/>
        <v/>
      </c>
      <c r="AV341" s="32" t="str" cm="1">
        <f t="array" aca="1" ref="AV341" ca="1">IFERROR(_xlfn.IFS($AU341="","",$AU341&lt;=15,"0-15",AND($AU341&gt;=16,$AU341&lt;=30),"16-30",AND($AU341&gt;=31,$AU341&lt;=45),"31-45",AND($AU341&gt;=46,$AU341&lt;=60),"46-60",AND($AU341&gt;=61,$AU341&lt;=90),"61-90",AND($AU341&gt;=91),"&gt; 90",AND($AU341&gt;=2000),""),"")</f>
        <v/>
      </c>
      <c r="AW341" s="32" t="str" cm="1">
        <f t="array" aca="1" ref="AW341" ca="1">IFERROR(_xlfn.IFS(OR($M341="",$AM341=""),"",OR($C341="Offered",$C341="Joined"),($AM341-$M341)-$AT341),"")</f>
        <v/>
      </c>
      <c r="AX341" s="32" t="str" cm="1">
        <f t="array" aca="1" ref="AX341" ca="1">IFERROR(_xlfn.IFS(OR($M341="",$AS341=""),"",$C341="Joined",($AS341-$M341)-$AT341),"")</f>
        <v/>
      </c>
      <c r="AY341" s="30" t="str">
        <f>IFERROR(IF(COUNTIFS('Candidate Tracker'!$E:$E,'Positions Tracker'!$B341,'Candidate Tracker'!$C:$C,"Offer Drop")=0,"",COUNTIFS('Candidate Tracker'!$E:$E,'Positions Tracker'!$B341,'Candidate Tracker'!$C:$C,"Offer Drop")),"")</f>
        <v/>
      </c>
      <c r="AZ3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1" s="34" t="str">
        <f>IFERROR(IF(COUNTIFS('Candidate Tracker'!$E:$E,'Positions Tracker'!$B341,'Candidate Tracker'!$I:$I,"Female")=0,"",COUNTIFS('Candidate Tracker'!$E:$E,'Positions Tracker'!$B341,'Candidate Tracker'!$I:$I,"Female")),"")</f>
        <v/>
      </c>
      <c r="BB341" s="34" t="str">
        <f>IFERROR(IF(COUNTIFS('Candidate Tracker'!$E:$E,'Positions Tracker'!$B341,'Candidate Tracker'!$I:$I,"male")=0,"",COUNTIFS('Candidate Tracker'!$E:$E,'Positions Tracker'!$B341,'Candidate Tracker'!$I:$I,"male")),"")</f>
        <v/>
      </c>
      <c r="BC341" s="33" t="str">
        <f>IFERROR(IF(COUNTIFS('Candidate Tracker'!$E:$E,'Positions Tracker'!$B341,'Candidate Tracker'!$C:$C,"&lt;&gt;WIP",'Candidate Tracker'!$C:$C,"&lt;&gt;Hold",'Candidate Tracker'!$C:$C,"&lt;&gt;Cancelled",'Candidate Tracker'!$C:$C,"&lt;&gt;Closed")/COUNTIFS('Candidate Tracker'!$E:$E,'Positions Tracker'!$B341)=0,"",COUNTIFS('Candidate Tracker'!$E:$E,'Positions Tracker'!$B341,'Candidate Tracker'!$C:$C,"&lt;&gt;WIP",'Candidate Tracker'!$C:$C,"&lt;&gt;Hold",'Candidate Tracker'!$C:$C,"&lt;&gt;Cancelled",'Candidate Tracker'!$C:$C,"&lt;&gt;Closed")/COUNTIFS('Candidate Tracker'!$E:$E,'Positions Tracker'!$B341)),"")</f>
        <v/>
      </c>
      <c r="BD341" s="30" t="str">
        <f t="shared" si="45"/>
        <v/>
      </c>
      <c r="BE341" s="30" t="str">
        <f t="shared" si="46"/>
        <v/>
      </c>
      <c r="BF341" s="30" t="str">
        <f t="shared" si="47"/>
        <v/>
      </c>
      <c r="BG341" s="30" t="str">
        <f t="shared" si="48"/>
        <v/>
      </c>
    </row>
    <row r="342" spans="1:59">
      <c r="A342" s="39"/>
      <c r="B342" s="39"/>
      <c r="C342" s="39"/>
      <c r="D342" s="39"/>
      <c r="E342" s="39"/>
      <c r="F342" s="39"/>
      <c r="G342" s="39"/>
      <c r="H342" s="39"/>
      <c r="I342" s="40"/>
      <c r="J342" s="40"/>
      <c r="K342" s="35"/>
      <c r="L342" s="35"/>
      <c r="M342" s="35"/>
      <c r="N342" s="39"/>
      <c r="O342" s="39"/>
      <c r="P342" s="39"/>
      <c r="Q342" s="39"/>
      <c r="R342" s="39"/>
      <c r="S342" s="39"/>
      <c r="T342" s="39"/>
      <c r="U342" s="39"/>
      <c r="V342" s="39"/>
      <c r="W342" s="39"/>
      <c r="X342" s="39"/>
      <c r="Y342" s="39"/>
      <c r="Z342" s="39"/>
      <c r="AA342" s="39"/>
      <c r="AB342" s="39"/>
      <c r="AC342" s="39"/>
      <c r="AD342" s="39"/>
      <c r="AE342" s="39"/>
      <c r="AF342" s="39"/>
      <c r="AG342" s="39"/>
      <c r="AH342" s="39"/>
      <c r="AI342" s="35"/>
      <c r="AJ342" s="39"/>
      <c r="AK342" s="39"/>
      <c r="AL342" s="39"/>
      <c r="AM342" s="35"/>
      <c r="AN342" s="35"/>
      <c r="AO342" s="39"/>
      <c r="AP342" s="39"/>
      <c r="AQ342" s="35"/>
      <c r="AR342" s="35"/>
      <c r="AS342" s="35"/>
      <c r="AT342" s="30">
        <f t="shared" ca="1" si="44"/>
        <v>0</v>
      </c>
      <c r="AU342" s="32" t="str">
        <f t="shared" ca="1" si="43"/>
        <v/>
      </c>
      <c r="AV342" s="32" t="str" cm="1">
        <f t="array" aca="1" ref="AV342" ca="1">IFERROR(_xlfn.IFS($AU342="","",$AU342&lt;=15,"0-15",AND($AU342&gt;=16,$AU342&lt;=30),"16-30",AND($AU342&gt;=31,$AU342&lt;=45),"31-45",AND($AU342&gt;=46,$AU342&lt;=60),"46-60",AND($AU342&gt;=61,$AU342&lt;=90),"61-90",AND($AU342&gt;=91),"&gt; 90",AND($AU342&gt;=2000),""),"")</f>
        <v/>
      </c>
      <c r="AW342" s="32" t="str" cm="1">
        <f t="array" aca="1" ref="AW342" ca="1">IFERROR(_xlfn.IFS(OR($M342="",$AM342=""),"",OR($C342="Offered",$C342="Joined"),($AM342-$M342)-$AT342),"")</f>
        <v/>
      </c>
      <c r="AX342" s="32" t="str" cm="1">
        <f t="array" aca="1" ref="AX342" ca="1">IFERROR(_xlfn.IFS(OR($M342="",$AS342=""),"",$C342="Joined",($AS342-$M342)-$AT342),"")</f>
        <v/>
      </c>
      <c r="AY342" s="30" t="str">
        <f>IFERROR(IF(COUNTIFS('Candidate Tracker'!$E:$E,'Positions Tracker'!$B342,'Candidate Tracker'!$C:$C,"Offer Drop")=0,"",COUNTIFS('Candidate Tracker'!$E:$E,'Positions Tracker'!$B342,'Candidate Tracker'!$C:$C,"Offer Drop")),"")</f>
        <v/>
      </c>
      <c r="AZ3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2" s="34" t="str">
        <f>IFERROR(IF(COUNTIFS('Candidate Tracker'!$E:$E,'Positions Tracker'!$B342,'Candidate Tracker'!$I:$I,"Female")=0,"",COUNTIFS('Candidate Tracker'!$E:$E,'Positions Tracker'!$B342,'Candidate Tracker'!$I:$I,"Female")),"")</f>
        <v/>
      </c>
      <c r="BB342" s="34" t="str">
        <f>IFERROR(IF(COUNTIFS('Candidate Tracker'!$E:$E,'Positions Tracker'!$B342,'Candidate Tracker'!$I:$I,"male")=0,"",COUNTIFS('Candidate Tracker'!$E:$E,'Positions Tracker'!$B342,'Candidate Tracker'!$I:$I,"male")),"")</f>
        <v/>
      </c>
      <c r="BC342" s="33" t="str">
        <f>IFERROR(IF(COUNTIFS('Candidate Tracker'!$E:$E,'Positions Tracker'!$B342,'Candidate Tracker'!$C:$C,"&lt;&gt;WIP",'Candidate Tracker'!$C:$C,"&lt;&gt;Hold",'Candidate Tracker'!$C:$C,"&lt;&gt;Cancelled",'Candidate Tracker'!$C:$C,"&lt;&gt;Closed")/COUNTIFS('Candidate Tracker'!$E:$E,'Positions Tracker'!$B342)=0,"",COUNTIFS('Candidate Tracker'!$E:$E,'Positions Tracker'!$B342,'Candidate Tracker'!$C:$C,"&lt;&gt;WIP",'Candidate Tracker'!$C:$C,"&lt;&gt;Hold",'Candidate Tracker'!$C:$C,"&lt;&gt;Cancelled",'Candidate Tracker'!$C:$C,"&lt;&gt;Closed")/COUNTIFS('Candidate Tracker'!$E:$E,'Positions Tracker'!$B342)),"")</f>
        <v/>
      </c>
      <c r="BD342" s="30" t="str">
        <f t="shared" si="45"/>
        <v/>
      </c>
      <c r="BE342" s="30" t="str">
        <f t="shared" si="46"/>
        <v/>
      </c>
      <c r="BF342" s="30" t="str">
        <f t="shared" si="47"/>
        <v/>
      </c>
      <c r="BG342" s="30" t="str">
        <f t="shared" si="48"/>
        <v/>
      </c>
    </row>
    <row r="343" spans="1:59">
      <c r="A343" s="39"/>
      <c r="B343" s="39"/>
      <c r="C343" s="39"/>
      <c r="D343" s="39"/>
      <c r="E343" s="39"/>
      <c r="F343" s="39"/>
      <c r="G343" s="39"/>
      <c r="H343" s="39"/>
      <c r="I343" s="40"/>
      <c r="J343" s="40"/>
      <c r="K343" s="35"/>
      <c r="L343" s="35"/>
      <c r="M343" s="35"/>
      <c r="N343" s="39"/>
      <c r="O343" s="39"/>
      <c r="P343" s="39"/>
      <c r="Q343" s="39"/>
      <c r="R343" s="39"/>
      <c r="S343" s="39"/>
      <c r="T343" s="39"/>
      <c r="U343" s="39"/>
      <c r="V343" s="39"/>
      <c r="W343" s="39"/>
      <c r="X343" s="39"/>
      <c r="Y343" s="39"/>
      <c r="Z343" s="39"/>
      <c r="AA343" s="39"/>
      <c r="AB343" s="39"/>
      <c r="AC343" s="39"/>
      <c r="AD343" s="39"/>
      <c r="AE343" s="39"/>
      <c r="AF343" s="39"/>
      <c r="AG343" s="39"/>
      <c r="AH343" s="39"/>
      <c r="AI343" s="35"/>
      <c r="AJ343" s="39"/>
      <c r="AK343" s="39"/>
      <c r="AL343" s="39"/>
      <c r="AM343" s="35"/>
      <c r="AN343" s="35"/>
      <c r="AO343" s="39"/>
      <c r="AP343" s="39"/>
      <c r="AQ343" s="35"/>
      <c r="AR343" s="35"/>
      <c r="AS343" s="35"/>
      <c r="AT343" s="30">
        <f t="shared" ca="1" si="44"/>
        <v>0</v>
      </c>
      <c r="AU343" s="32" t="str">
        <f t="shared" ca="1" si="43"/>
        <v/>
      </c>
      <c r="AV343" s="32" t="str" cm="1">
        <f t="array" aca="1" ref="AV343" ca="1">IFERROR(_xlfn.IFS($AU343="","",$AU343&lt;=15,"0-15",AND($AU343&gt;=16,$AU343&lt;=30),"16-30",AND($AU343&gt;=31,$AU343&lt;=45),"31-45",AND($AU343&gt;=46,$AU343&lt;=60),"46-60",AND($AU343&gt;=61,$AU343&lt;=90),"61-90",AND($AU343&gt;=91),"&gt; 90",AND($AU343&gt;=2000),""),"")</f>
        <v/>
      </c>
      <c r="AW343" s="32" t="str" cm="1">
        <f t="array" aca="1" ref="AW343" ca="1">IFERROR(_xlfn.IFS(OR($M343="",$AM343=""),"",OR($C343="Offered",$C343="Joined"),($AM343-$M343)-$AT343),"")</f>
        <v/>
      </c>
      <c r="AX343" s="32" t="str" cm="1">
        <f t="array" aca="1" ref="AX343" ca="1">IFERROR(_xlfn.IFS(OR($M343="",$AS343=""),"",$C343="Joined",($AS343-$M343)-$AT343),"")</f>
        <v/>
      </c>
      <c r="AY343" s="30" t="str">
        <f>IFERROR(IF(COUNTIFS('Candidate Tracker'!$E:$E,'Positions Tracker'!$B343,'Candidate Tracker'!$C:$C,"Offer Drop")=0,"",COUNTIFS('Candidate Tracker'!$E:$E,'Positions Tracker'!$B343,'Candidate Tracker'!$C:$C,"Offer Drop")),"")</f>
        <v/>
      </c>
      <c r="AZ3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3" s="34" t="str">
        <f>IFERROR(IF(COUNTIFS('Candidate Tracker'!$E:$E,'Positions Tracker'!$B343,'Candidate Tracker'!$I:$I,"Female")=0,"",COUNTIFS('Candidate Tracker'!$E:$E,'Positions Tracker'!$B343,'Candidate Tracker'!$I:$I,"Female")),"")</f>
        <v/>
      </c>
      <c r="BB343" s="34" t="str">
        <f>IFERROR(IF(COUNTIFS('Candidate Tracker'!$E:$E,'Positions Tracker'!$B343,'Candidate Tracker'!$I:$I,"male")=0,"",COUNTIFS('Candidate Tracker'!$E:$E,'Positions Tracker'!$B343,'Candidate Tracker'!$I:$I,"male")),"")</f>
        <v/>
      </c>
      <c r="BC343" s="33" t="str">
        <f>IFERROR(IF(COUNTIFS('Candidate Tracker'!$E:$E,'Positions Tracker'!$B343,'Candidate Tracker'!$C:$C,"&lt;&gt;WIP",'Candidate Tracker'!$C:$C,"&lt;&gt;Hold",'Candidate Tracker'!$C:$C,"&lt;&gt;Cancelled",'Candidate Tracker'!$C:$C,"&lt;&gt;Closed")/COUNTIFS('Candidate Tracker'!$E:$E,'Positions Tracker'!$B343)=0,"",COUNTIFS('Candidate Tracker'!$E:$E,'Positions Tracker'!$B343,'Candidate Tracker'!$C:$C,"&lt;&gt;WIP",'Candidate Tracker'!$C:$C,"&lt;&gt;Hold",'Candidate Tracker'!$C:$C,"&lt;&gt;Cancelled",'Candidate Tracker'!$C:$C,"&lt;&gt;Closed")/COUNTIFS('Candidate Tracker'!$E:$E,'Positions Tracker'!$B343)),"")</f>
        <v/>
      </c>
      <c r="BD343" s="30" t="str">
        <f t="shared" si="45"/>
        <v/>
      </c>
      <c r="BE343" s="30" t="str">
        <f t="shared" si="46"/>
        <v/>
      </c>
      <c r="BF343" s="30" t="str">
        <f t="shared" si="47"/>
        <v/>
      </c>
      <c r="BG343" s="30" t="str">
        <f t="shared" si="48"/>
        <v/>
      </c>
    </row>
    <row r="344" spans="1:59">
      <c r="A344" s="39"/>
      <c r="B344" s="39"/>
      <c r="C344" s="39"/>
      <c r="D344" s="39"/>
      <c r="E344" s="39"/>
      <c r="F344" s="39"/>
      <c r="G344" s="39"/>
      <c r="H344" s="39"/>
      <c r="I344" s="40"/>
      <c r="J344" s="40"/>
      <c r="K344" s="35"/>
      <c r="L344" s="35"/>
      <c r="M344" s="35"/>
      <c r="N344" s="39"/>
      <c r="O344" s="39"/>
      <c r="P344" s="39"/>
      <c r="Q344" s="39"/>
      <c r="R344" s="39"/>
      <c r="S344" s="39"/>
      <c r="T344" s="39"/>
      <c r="U344" s="39"/>
      <c r="V344" s="39"/>
      <c r="W344" s="39"/>
      <c r="X344" s="39"/>
      <c r="Y344" s="39"/>
      <c r="Z344" s="39"/>
      <c r="AA344" s="39"/>
      <c r="AB344" s="39"/>
      <c r="AC344" s="39"/>
      <c r="AD344" s="39"/>
      <c r="AE344" s="39"/>
      <c r="AF344" s="39"/>
      <c r="AG344" s="39"/>
      <c r="AH344" s="39"/>
      <c r="AI344" s="35"/>
      <c r="AJ344" s="39"/>
      <c r="AK344" s="39"/>
      <c r="AL344" s="39"/>
      <c r="AM344" s="35"/>
      <c r="AN344" s="35"/>
      <c r="AO344" s="39"/>
      <c r="AP344" s="39"/>
      <c r="AQ344" s="35"/>
      <c r="AR344" s="35"/>
      <c r="AS344" s="35"/>
      <c r="AT344" s="30">
        <f t="shared" ca="1" si="44"/>
        <v>0</v>
      </c>
      <c r="AU344" s="32" t="str">
        <f t="shared" ca="1" si="43"/>
        <v/>
      </c>
      <c r="AV344" s="32" t="str" cm="1">
        <f t="array" aca="1" ref="AV344" ca="1">IFERROR(_xlfn.IFS($AU344="","",$AU344&lt;=15,"0-15",AND($AU344&gt;=16,$AU344&lt;=30),"16-30",AND($AU344&gt;=31,$AU344&lt;=45),"31-45",AND($AU344&gt;=46,$AU344&lt;=60),"46-60",AND($AU344&gt;=61,$AU344&lt;=90),"61-90",AND($AU344&gt;=91),"&gt; 90",AND($AU344&gt;=2000),""),"")</f>
        <v/>
      </c>
      <c r="AW344" s="32" t="str" cm="1">
        <f t="array" aca="1" ref="AW344" ca="1">IFERROR(_xlfn.IFS(OR($M344="",$AM344=""),"",OR($C344="Offered",$C344="Joined"),($AM344-$M344)-$AT344),"")</f>
        <v/>
      </c>
      <c r="AX344" s="32" t="str" cm="1">
        <f t="array" aca="1" ref="AX344" ca="1">IFERROR(_xlfn.IFS(OR($M344="",$AS344=""),"",$C344="Joined",($AS344-$M344)-$AT344),"")</f>
        <v/>
      </c>
      <c r="AY344" s="30" t="str">
        <f>IFERROR(IF(COUNTIFS('Candidate Tracker'!$E:$E,'Positions Tracker'!$B344,'Candidate Tracker'!$C:$C,"Offer Drop")=0,"",COUNTIFS('Candidate Tracker'!$E:$E,'Positions Tracker'!$B344,'Candidate Tracker'!$C:$C,"Offer Drop")),"")</f>
        <v/>
      </c>
      <c r="AZ3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4" s="34" t="str">
        <f>IFERROR(IF(COUNTIFS('Candidate Tracker'!$E:$E,'Positions Tracker'!$B344,'Candidate Tracker'!$I:$I,"Female")=0,"",COUNTIFS('Candidate Tracker'!$E:$E,'Positions Tracker'!$B344,'Candidate Tracker'!$I:$I,"Female")),"")</f>
        <v/>
      </c>
      <c r="BB344" s="34" t="str">
        <f>IFERROR(IF(COUNTIFS('Candidate Tracker'!$E:$E,'Positions Tracker'!$B344,'Candidate Tracker'!$I:$I,"male")=0,"",COUNTIFS('Candidate Tracker'!$E:$E,'Positions Tracker'!$B344,'Candidate Tracker'!$I:$I,"male")),"")</f>
        <v/>
      </c>
      <c r="BC344" s="33" t="str">
        <f>IFERROR(IF(COUNTIFS('Candidate Tracker'!$E:$E,'Positions Tracker'!$B344,'Candidate Tracker'!$C:$C,"&lt;&gt;WIP",'Candidate Tracker'!$C:$C,"&lt;&gt;Hold",'Candidate Tracker'!$C:$C,"&lt;&gt;Cancelled",'Candidate Tracker'!$C:$C,"&lt;&gt;Closed")/COUNTIFS('Candidate Tracker'!$E:$E,'Positions Tracker'!$B344)=0,"",COUNTIFS('Candidate Tracker'!$E:$E,'Positions Tracker'!$B344,'Candidate Tracker'!$C:$C,"&lt;&gt;WIP",'Candidate Tracker'!$C:$C,"&lt;&gt;Hold",'Candidate Tracker'!$C:$C,"&lt;&gt;Cancelled",'Candidate Tracker'!$C:$C,"&lt;&gt;Closed")/COUNTIFS('Candidate Tracker'!$E:$E,'Positions Tracker'!$B344)),"")</f>
        <v/>
      </c>
      <c r="BD344" s="30" t="str">
        <f t="shared" si="45"/>
        <v/>
      </c>
      <c r="BE344" s="30" t="str">
        <f t="shared" si="46"/>
        <v/>
      </c>
      <c r="BF344" s="30" t="str">
        <f t="shared" si="47"/>
        <v/>
      </c>
      <c r="BG344" s="30" t="str">
        <f t="shared" si="48"/>
        <v/>
      </c>
    </row>
    <row r="345" spans="1:59">
      <c r="A345" s="39"/>
      <c r="B345" s="39"/>
      <c r="C345" s="39"/>
      <c r="D345" s="39"/>
      <c r="E345" s="39"/>
      <c r="F345" s="39"/>
      <c r="G345" s="39"/>
      <c r="H345" s="39"/>
      <c r="I345" s="40"/>
      <c r="J345" s="40"/>
      <c r="K345" s="35"/>
      <c r="L345" s="35"/>
      <c r="M345" s="35"/>
      <c r="N345" s="39"/>
      <c r="O345" s="39"/>
      <c r="P345" s="39"/>
      <c r="Q345" s="39"/>
      <c r="R345" s="39"/>
      <c r="S345" s="39"/>
      <c r="T345" s="39"/>
      <c r="U345" s="39"/>
      <c r="V345" s="39"/>
      <c r="W345" s="39"/>
      <c r="X345" s="39"/>
      <c r="Y345" s="39"/>
      <c r="Z345" s="39"/>
      <c r="AA345" s="39"/>
      <c r="AB345" s="39"/>
      <c r="AC345" s="39"/>
      <c r="AD345" s="39"/>
      <c r="AE345" s="39"/>
      <c r="AF345" s="39"/>
      <c r="AG345" s="39"/>
      <c r="AH345" s="39"/>
      <c r="AI345" s="35"/>
      <c r="AJ345" s="39"/>
      <c r="AK345" s="39"/>
      <c r="AL345" s="39"/>
      <c r="AM345" s="35"/>
      <c r="AN345" s="35"/>
      <c r="AO345" s="39"/>
      <c r="AP345" s="39"/>
      <c r="AQ345" s="35"/>
      <c r="AR345" s="35"/>
      <c r="AS345" s="35"/>
      <c r="AT345" s="30">
        <f t="shared" ca="1" si="44"/>
        <v>0</v>
      </c>
      <c r="AU345" s="32" t="str">
        <f t="shared" ca="1" si="43"/>
        <v/>
      </c>
      <c r="AV345" s="32" t="str" cm="1">
        <f t="array" aca="1" ref="AV345" ca="1">IFERROR(_xlfn.IFS($AU345="","",$AU345&lt;=15,"0-15",AND($AU345&gt;=16,$AU345&lt;=30),"16-30",AND($AU345&gt;=31,$AU345&lt;=45),"31-45",AND($AU345&gt;=46,$AU345&lt;=60),"46-60",AND($AU345&gt;=61,$AU345&lt;=90),"61-90",AND($AU345&gt;=91),"&gt; 90",AND($AU345&gt;=2000),""),"")</f>
        <v/>
      </c>
      <c r="AW345" s="32" t="str" cm="1">
        <f t="array" aca="1" ref="AW345" ca="1">IFERROR(_xlfn.IFS(OR($M345="",$AM345=""),"",OR($C345="Offered",$C345="Joined"),($AM345-$M345)-$AT345),"")</f>
        <v/>
      </c>
      <c r="AX345" s="32" t="str" cm="1">
        <f t="array" aca="1" ref="AX345" ca="1">IFERROR(_xlfn.IFS(OR($M345="",$AS345=""),"",$C345="Joined",($AS345-$M345)-$AT345),"")</f>
        <v/>
      </c>
      <c r="AY345" s="30" t="str">
        <f>IFERROR(IF(COUNTIFS('Candidate Tracker'!$E:$E,'Positions Tracker'!$B345,'Candidate Tracker'!$C:$C,"Offer Drop")=0,"",COUNTIFS('Candidate Tracker'!$E:$E,'Positions Tracker'!$B345,'Candidate Tracker'!$C:$C,"Offer Drop")),"")</f>
        <v/>
      </c>
      <c r="AZ34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5" s="34" t="str">
        <f>IFERROR(IF(COUNTIFS('Candidate Tracker'!$E:$E,'Positions Tracker'!$B345,'Candidate Tracker'!$I:$I,"Female")=0,"",COUNTIFS('Candidate Tracker'!$E:$E,'Positions Tracker'!$B345,'Candidate Tracker'!$I:$I,"Female")),"")</f>
        <v/>
      </c>
      <c r="BB345" s="34" t="str">
        <f>IFERROR(IF(COUNTIFS('Candidate Tracker'!$E:$E,'Positions Tracker'!$B345,'Candidate Tracker'!$I:$I,"male")=0,"",COUNTIFS('Candidate Tracker'!$E:$E,'Positions Tracker'!$B345,'Candidate Tracker'!$I:$I,"male")),"")</f>
        <v/>
      </c>
      <c r="BC345" s="33" t="str">
        <f>IFERROR(IF(COUNTIFS('Candidate Tracker'!$E:$E,'Positions Tracker'!$B345,'Candidate Tracker'!$C:$C,"&lt;&gt;WIP",'Candidate Tracker'!$C:$C,"&lt;&gt;Hold",'Candidate Tracker'!$C:$C,"&lt;&gt;Cancelled",'Candidate Tracker'!$C:$C,"&lt;&gt;Closed")/COUNTIFS('Candidate Tracker'!$E:$E,'Positions Tracker'!$B345)=0,"",COUNTIFS('Candidate Tracker'!$E:$E,'Positions Tracker'!$B345,'Candidate Tracker'!$C:$C,"&lt;&gt;WIP",'Candidate Tracker'!$C:$C,"&lt;&gt;Hold",'Candidate Tracker'!$C:$C,"&lt;&gt;Cancelled",'Candidate Tracker'!$C:$C,"&lt;&gt;Closed")/COUNTIFS('Candidate Tracker'!$E:$E,'Positions Tracker'!$B345)),"")</f>
        <v/>
      </c>
      <c r="BD345" s="30" t="str">
        <f t="shared" si="45"/>
        <v/>
      </c>
      <c r="BE345" s="30" t="str">
        <f t="shared" si="46"/>
        <v/>
      </c>
      <c r="BF345" s="30" t="str">
        <f t="shared" si="47"/>
        <v/>
      </c>
      <c r="BG345" s="30" t="str">
        <f t="shared" si="48"/>
        <v/>
      </c>
    </row>
    <row r="346" spans="1:59">
      <c r="A346" s="39"/>
      <c r="B346" s="39"/>
      <c r="C346" s="39"/>
      <c r="D346" s="39"/>
      <c r="E346" s="39"/>
      <c r="F346" s="39"/>
      <c r="G346" s="39"/>
      <c r="H346" s="39"/>
      <c r="I346" s="40"/>
      <c r="J346" s="40"/>
      <c r="K346" s="35"/>
      <c r="L346" s="35"/>
      <c r="M346" s="35"/>
      <c r="N346" s="39"/>
      <c r="O346" s="39"/>
      <c r="P346" s="39"/>
      <c r="Q346" s="39"/>
      <c r="R346" s="39"/>
      <c r="S346" s="39"/>
      <c r="T346" s="39"/>
      <c r="U346" s="39"/>
      <c r="V346" s="39"/>
      <c r="W346" s="39"/>
      <c r="X346" s="39"/>
      <c r="Y346" s="39"/>
      <c r="Z346" s="39"/>
      <c r="AA346" s="39"/>
      <c r="AB346" s="39"/>
      <c r="AC346" s="39"/>
      <c r="AD346" s="39"/>
      <c r="AE346" s="39"/>
      <c r="AF346" s="39"/>
      <c r="AG346" s="39"/>
      <c r="AH346" s="39"/>
      <c r="AI346" s="35"/>
      <c r="AJ346" s="39"/>
      <c r="AK346" s="39"/>
      <c r="AL346" s="39"/>
      <c r="AM346" s="35"/>
      <c r="AN346" s="35"/>
      <c r="AO346" s="39"/>
      <c r="AP346" s="39"/>
      <c r="AQ346" s="35"/>
      <c r="AR346" s="35"/>
      <c r="AS346" s="35"/>
      <c r="AT346" s="30">
        <f t="shared" ca="1" si="44"/>
        <v>0</v>
      </c>
      <c r="AU346" s="32" t="str">
        <f t="shared" ca="1" si="43"/>
        <v/>
      </c>
      <c r="AV346" s="32" t="str" cm="1">
        <f t="array" aca="1" ref="AV346" ca="1">IFERROR(_xlfn.IFS($AU346="","",$AU346&lt;=15,"0-15",AND($AU346&gt;=16,$AU346&lt;=30),"16-30",AND($AU346&gt;=31,$AU346&lt;=45),"31-45",AND($AU346&gt;=46,$AU346&lt;=60),"46-60",AND($AU346&gt;=61,$AU346&lt;=90),"61-90",AND($AU346&gt;=91),"&gt; 90",AND($AU346&gt;=2000),""),"")</f>
        <v/>
      </c>
      <c r="AW346" s="32" t="str" cm="1">
        <f t="array" aca="1" ref="AW346" ca="1">IFERROR(_xlfn.IFS(OR($M346="",$AM346=""),"",OR($C346="Offered",$C346="Joined"),($AM346-$M346)-$AT346),"")</f>
        <v/>
      </c>
      <c r="AX346" s="32" t="str" cm="1">
        <f t="array" aca="1" ref="AX346" ca="1">IFERROR(_xlfn.IFS(OR($M346="",$AS346=""),"",$C346="Joined",($AS346-$M346)-$AT346),"")</f>
        <v/>
      </c>
      <c r="AY346" s="30" t="str">
        <f>IFERROR(IF(COUNTIFS('Candidate Tracker'!$E:$E,'Positions Tracker'!$B346,'Candidate Tracker'!$C:$C,"Offer Drop")=0,"",COUNTIFS('Candidate Tracker'!$E:$E,'Positions Tracker'!$B346,'Candidate Tracker'!$C:$C,"Offer Drop")),"")</f>
        <v/>
      </c>
      <c r="AZ34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6" s="34" t="str">
        <f>IFERROR(IF(COUNTIFS('Candidate Tracker'!$E:$E,'Positions Tracker'!$B346,'Candidate Tracker'!$I:$I,"Female")=0,"",COUNTIFS('Candidate Tracker'!$E:$E,'Positions Tracker'!$B346,'Candidate Tracker'!$I:$I,"Female")),"")</f>
        <v/>
      </c>
      <c r="BB346" s="34" t="str">
        <f>IFERROR(IF(COUNTIFS('Candidate Tracker'!$E:$E,'Positions Tracker'!$B346,'Candidate Tracker'!$I:$I,"male")=0,"",COUNTIFS('Candidate Tracker'!$E:$E,'Positions Tracker'!$B346,'Candidate Tracker'!$I:$I,"male")),"")</f>
        <v/>
      </c>
      <c r="BC346" s="33" t="str">
        <f>IFERROR(IF(COUNTIFS('Candidate Tracker'!$E:$E,'Positions Tracker'!$B346,'Candidate Tracker'!$C:$C,"&lt;&gt;WIP",'Candidate Tracker'!$C:$C,"&lt;&gt;Hold",'Candidate Tracker'!$C:$C,"&lt;&gt;Cancelled",'Candidate Tracker'!$C:$C,"&lt;&gt;Closed")/COUNTIFS('Candidate Tracker'!$E:$E,'Positions Tracker'!$B346)=0,"",COUNTIFS('Candidate Tracker'!$E:$E,'Positions Tracker'!$B346,'Candidate Tracker'!$C:$C,"&lt;&gt;WIP",'Candidate Tracker'!$C:$C,"&lt;&gt;Hold",'Candidate Tracker'!$C:$C,"&lt;&gt;Cancelled",'Candidate Tracker'!$C:$C,"&lt;&gt;Closed")/COUNTIFS('Candidate Tracker'!$E:$E,'Positions Tracker'!$B346)),"")</f>
        <v/>
      </c>
      <c r="BD346" s="30" t="str">
        <f t="shared" si="45"/>
        <v/>
      </c>
      <c r="BE346" s="30" t="str">
        <f t="shared" si="46"/>
        <v/>
      </c>
      <c r="BF346" s="30" t="str">
        <f t="shared" si="47"/>
        <v/>
      </c>
      <c r="BG346" s="30" t="str">
        <f t="shared" si="48"/>
        <v/>
      </c>
    </row>
    <row r="347" spans="1:59">
      <c r="A347" s="39"/>
      <c r="B347" s="39"/>
      <c r="C347" s="39"/>
      <c r="D347" s="39"/>
      <c r="E347" s="39"/>
      <c r="F347" s="39"/>
      <c r="G347" s="39"/>
      <c r="H347" s="39"/>
      <c r="I347" s="40"/>
      <c r="J347" s="40"/>
      <c r="K347" s="35"/>
      <c r="L347" s="35"/>
      <c r="M347" s="35"/>
      <c r="N347" s="39"/>
      <c r="O347" s="39"/>
      <c r="P347" s="39"/>
      <c r="Q347" s="39"/>
      <c r="R347" s="39"/>
      <c r="S347" s="39"/>
      <c r="T347" s="39"/>
      <c r="U347" s="39"/>
      <c r="V347" s="39"/>
      <c r="W347" s="39"/>
      <c r="X347" s="39"/>
      <c r="Y347" s="39"/>
      <c r="Z347" s="39"/>
      <c r="AA347" s="39"/>
      <c r="AB347" s="39"/>
      <c r="AC347" s="39"/>
      <c r="AD347" s="39"/>
      <c r="AE347" s="39"/>
      <c r="AF347" s="39"/>
      <c r="AG347" s="39"/>
      <c r="AH347" s="39"/>
      <c r="AI347" s="35"/>
      <c r="AJ347" s="39"/>
      <c r="AK347" s="39"/>
      <c r="AL347" s="39"/>
      <c r="AM347" s="35"/>
      <c r="AN347" s="35"/>
      <c r="AO347" s="39"/>
      <c r="AP347" s="39"/>
      <c r="AQ347" s="35"/>
      <c r="AR347" s="35"/>
      <c r="AS347" s="35"/>
      <c r="AT347" s="30">
        <f t="shared" ca="1" si="44"/>
        <v>0</v>
      </c>
      <c r="AU347" s="32" t="str">
        <f t="shared" ca="1" si="43"/>
        <v/>
      </c>
      <c r="AV347" s="32" t="str" cm="1">
        <f t="array" aca="1" ref="AV347" ca="1">IFERROR(_xlfn.IFS($AU347="","",$AU347&lt;=15,"0-15",AND($AU347&gt;=16,$AU347&lt;=30),"16-30",AND($AU347&gt;=31,$AU347&lt;=45),"31-45",AND($AU347&gt;=46,$AU347&lt;=60),"46-60",AND($AU347&gt;=61,$AU347&lt;=90),"61-90",AND($AU347&gt;=91),"&gt; 90",AND($AU347&gt;=2000),""),"")</f>
        <v/>
      </c>
      <c r="AW347" s="32" t="str" cm="1">
        <f t="array" aca="1" ref="AW347" ca="1">IFERROR(_xlfn.IFS(OR($M347="",$AM347=""),"",OR($C347="Offered",$C347="Joined"),($AM347-$M347)-$AT347),"")</f>
        <v/>
      </c>
      <c r="AX347" s="32" t="str" cm="1">
        <f t="array" aca="1" ref="AX347" ca="1">IFERROR(_xlfn.IFS(OR($M347="",$AS347=""),"",$C347="Joined",($AS347-$M347)-$AT347),"")</f>
        <v/>
      </c>
      <c r="AY347" s="30" t="str">
        <f>IFERROR(IF(COUNTIFS('Candidate Tracker'!$E:$E,'Positions Tracker'!$B347,'Candidate Tracker'!$C:$C,"Offer Drop")=0,"",COUNTIFS('Candidate Tracker'!$E:$E,'Positions Tracker'!$B347,'Candidate Tracker'!$C:$C,"Offer Drop")),"")</f>
        <v/>
      </c>
      <c r="AZ34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7" s="34" t="str">
        <f>IFERROR(IF(COUNTIFS('Candidate Tracker'!$E:$E,'Positions Tracker'!$B347,'Candidate Tracker'!$I:$I,"Female")=0,"",COUNTIFS('Candidate Tracker'!$E:$E,'Positions Tracker'!$B347,'Candidate Tracker'!$I:$I,"Female")),"")</f>
        <v/>
      </c>
      <c r="BB347" s="34" t="str">
        <f>IFERROR(IF(COUNTIFS('Candidate Tracker'!$E:$E,'Positions Tracker'!$B347,'Candidate Tracker'!$I:$I,"male")=0,"",COUNTIFS('Candidate Tracker'!$E:$E,'Positions Tracker'!$B347,'Candidate Tracker'!$I:$I,"male")),"")</f>
        <v/>
      </c>
      <c r="BC347" s="33" t="str">
        <f>IFERROR(IF(COUNTIFS('Candidate Tracker'!$E:$E,'Positions Tracker'!$B347,'Candidate Tracker'!$C:$C,"&lt;&gt;WIP",'Candidate Tracker'!$C:$C,"&lt;&gt;Hold",'Candidate Tracker'!$C:$C,"&lt;&gt;Cancelled",'Candidate Tracker'!$C:$C,"&lt;&gt;Closed")/COUNTIFS('Candidate Tracker'!$E:$E,'Positions Tracker'!$B347)=0,"",COUNTIFS('Candidate Tracker'!$E:$E,'Positions Tracker'!$B347,'Candidate Tracker'!$C:$C,"&lt;&gt;WIP",'Candidate Tracker'!$C:$C,"&lt;&gt;Hold",'Candidate Tracker'!$C:$C,"&lt;&gt;Cancelled",'Candidate Tracker'!$C:$C,"&lt;&gt;Closed")/COUNTIFS('Candidate Tracker'!$E:$E,'Positions Tracker'!$B347)),"")</f>
        <v/>
      </c>
      <c r="BD347" s="30" t="str">
        <f t="shared" si="45"/>
        <v/>
      </c>
      <c r="BE347" s="30" t="str">
        <f t="shared" si="46"/>
        <v/>
      </c>
      <c r="BF347" s="30" t="str">
        <f t="shared" si="47"/>
        <v/>
      </c>
      <c r="BG347" s="30" t="str">
        <f t="shared" si="48"/>
        <v/>
      </c>
    </row>
    <row r="348" spans="1:59">
      <c r="A348" s="39"/>
      <c r="B348" s="39"/>
      <c r="C348" s="39"/>
      <c r="D348" s="39"/>
      <c r="E348" s="39"/>
      <c r="F348" s="39"/>
      <c r="G348" s="39"/>
      <c r="H348" s="39"/>
      <c r="I348" s="40"/>
      <c r="J348" s="40"/>
      <c r="K348" s="35"/>
      <c r="L348" s="35"/>
      <c r="M348" s="35"/>
      <c r="N348" s="39"/>
      <c r="O348" s="39"/>
      <c r="P348" s="39"/>
      <c r="Q348" s="39"/>
      <c r="R348" s="39"/>
      <c r="S348" s="39"/>
      <c r="T348" s="39"/>
      <c r="U348" s="39"/>
      <c r="V348" s="39"/>
      <c r="W348" s="39"/>
      <c r="X348" s="39"/>
      <c r="Y348" s="39"/>
      <c r="Z348" s="39"/>
      <c r="AA348" s="39"/>
      <c r="AB348" s="39"/>
      <c r="AC348" s="39"/>
      <c r="AD348" s="39"/>
      <c r="AE348" s="39"/>
      <c r="AF348" s="39"/>
      <c r="AG348" s="39"/>
      <c r="AH348" s="39"/>
      <c r="AI348" s="35"/>
      <c r="AJ348" s="39"/>
      <c r="AK348" s="39"/>
      <c r="AL348" s="39"/>
      <c r="AM348" s="35"/>
      <c r="AN348" s="35"/>
      <c r="AO348" s="39"/>
      <c r="AP348" s="39"/>
      <c r="AQ348" s="35"/>
      <c r="AR348" s="35"/>
      <c r="AS348" s="35"/>
      <c r="AT348" s="30">
        <f t="shared" ca="1" si="44"/>
        <v>0</v>
      </c>
      <c r="AU348" s="32" t="str">
        <f t="shared" ca="1" si="43"/>
        <v/>
      </c>
      <c r="AV348" s="32" t="str" cm="1">
        <f t="array" aca="1" ref="AV348" ca="1">IFERROR(_xlfn.IFS($AU348="","",$AU348&lt;=15,"0-15",AND($AU348&gt;=16,$AU348&lt;=30),"16-30",AND($AU348&gt;=31,$AU348&lt;=45),"31-45",AND($AU348&gt;=46,$AU348&lt;=60),"46-60",AND($AU348&gt;=61,$AU348&lt;=90),"61-90",AND($AU348&gt;=91),"&gt; 90",AND($AU348&gt;=2000),""),"")</f>
        <v/>
      </c>
      <c r="AW348" s="32" t="str" cm="1">
        <f t="array" aca="1" ref="AW348" ca="1">IFERROR(_xlfn.IFS(OR($M348="",$AM348=""),"",OR($C348="Offered",$C348="Joined"),($AM348-$M348)-$AT348),"")</f>
        <v/>
      </c>
      <c r="AX348" s="32" t="str" cm="1">
        <f t="array" aca="1" ref="AX348" ca="1">IFERROR(_xlfn.IFS(OR($M348="",$AS348=""),"",$C348="Joined",($AS348-$M348)-$AT348),"")</f>
        <v/>
      </c>
      <c r="AY348" s="30" t="str">
        <f>IFERROR(IF(COUNTIFS('Candidate Tracker'!$E:$E,'Positions Tracker'!$B348,'Candidate Tracker'!$C:$C,"Offer Drop")=0,"",COUNTIFS('Candidate Tracker'!$E:$E,'Positions Tracker'!$B348,'Candidate Tracker'!$C:$C,"Offer Drop")),"")</f>
        <v/>
      </c>
      <c r="AZ3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8" s="34" t="str">
        <f>IFERROR(IF(COUNTIFS('Candidate Tracker'!$E:$E,'Positions Tracker'!$B348,'Candidate Tracker'!$I:$I,"Female")=0,"",COUNTIFS('Candidate Tracker'!$E:$E,'Positions Tracker'!$B348,'Candidate Tracker'!$I:$I,"Female")),"")</f>
        <v/>
      </c>
      <c r="BB348" s="34" t="str">
        <f>IFERROR(IF(COUNTIFS('Candidate Tracker'!$E:$E,'Positions Tracker'!$B348,'Candidate Tracker'!$I:$I,"male")=0,"",COUNTIFS('Candidate Tracker'!$E:$E,'Positions Tracker'!$B348,'Candidate Tracker'!$I:$I,"male")),"")</f>
        <v/>
      </c>
      <c r="BC348" s="33" t="str">
        <f>IFERROR(IF(COUNTIFS('Candidate Tracker'!$E:$E,'Positions Tracker'!$B348,'Candidate Tracker'!$C:$C,"&lt;&gt;WIP",'Candidate Tracker'!$C:$C,"&lt;&gt;Hold",'Candidate Tracker'!$C:$C,"&lt;&gt;Cancelled",'Candidate Tracker'!$C:$C,"&lt;&gt;Closed")/COUNTIFS('Candidate Tracker'!$E:$E,'Positions Tracker'!$B348)=0,"",COUNTIFS('Candidate Tracker'!$E:$E,'Positions Tracker'!$B348,'Candidate Tracker'!$C:$C,"&lt;&gt;WIP",'Candidate Tracker'!$C:$C,"&lt;&gt;Hold",'Candidate Tracker'!$C:$C,"&lt;&gt;Cancelled",'Candidate Tracker'!$C:$C,"&lt;&gt;Closed")/COUNTIFS('Candidate Tracker'!$E:$E,'Positions Tracker'!$B348)),"")</f>
        <v/>
      </c>
      <c r="BD348" s="30" t="str">
        <f t="shared" si="45"/>
        <v/>
      </c>
      <c r="BE348" s="30" t="str">
        <f t="shared" si="46"/>
        <v/>
      </c>
      <c r="BF348" s="30" t="str">
        <f t="shared" si="47"/>
        <v/>
      </c>
      <c r="BG348" s="30" t="str">
        <f t="shared" si="48"/>
        <v/>
      </c>
    </row>
    <row r="349" spans="1:59">
      <c r="A349" s="39"/>
      <c r="B349" s="39"/>
      <c r="C349" s="39"/>
      <c r="D349" s="39"/>
      <c r="E349" s="39"/>
      <c r="F349" s="39"/>
      <c r="G349" s="39"/>
      <c r="H349" s="39"/>
      <c r="I349" s="40"/>
      <c r="J349" s="40"/>
      <c r="K349" s="35"/>
      <c r="L349" s="35"/>
      <c r="M349" s="35"/>
      <c r="N349" s="39"/>
      <c r="O349" s="39"/>
      <c r="P349" s="39"/>
      <c r="Q349" s="39"/>
      <c r="R349" s="39"/>
      <c r="S349" s="39"/>
      <c r="T349" s="39"/>
      <c r="U349" s="39"/>
      <c r="V349" s="39"/>
      <c r="W349" s="39"/>
      <c r="X349" s="39"/>
      <c r="Y349" s="39"/>
      <c r="Z349" s="39"/>
      <c r="AA349" s="39"/>
      <c r="AB349" s="39"/>
      <c r="AC349" s="39"/>
      <c r="AD349" s="39"/>
      <c r="AE349" s="39"/>
      <c r="AF349" s="39"/>
      <c r="AG349" s="39"/>
      <c r="AH349" s="39"/>
      <c r="AI349" s="35"/>
      <c r="AJ349" s="39"/>
      <c r="AK349" s="39"/>
      <c r="AL349" s="39"/>
      <c r="AM349" s="35"/>
      <c r="AN349" s="35"/>
      <c r="AO349" s="39"/>
      <c r="AP349" s="39"/>
      <c r="AQ349" s="35"/>
      <c r="AR349" s="35"/>
      <c r="AS349" s="35"/>
      <c r="AT349" s="30">
        <f t="shared" ca="1" si="44"/>
        <v>0</v>
      </c>
      <c r="AU349" s="32" t="str">
        <f t="shared" ca="1" si="43"/>
        <v/>
      </c>
      <c r="AV349" s="32" t="str" cm="1">
        <f t="array" aca="1" ref="AV349" ca="1">IFERROR(_xlfn.IFS($AU349="","",$AU349&lt;=15,"0-15",AND($AU349&gt;=16,$AU349&lt;=30),"16-30",AND($AU349&gt;=31,$AU349&lt;=45),"31-45",AND($AU349&gt;=46,$AU349&lt;=60),"46-60",AND($AU349&gt;=61,$AU349&lt;=90),"61-90",AND($AU349&gt;=91),"&gt; 90",AND($AU349&gt;=2000),""),"")</f>
        <v/>
      </c>
      <c r="AW349" s="32" t="str" cm="1">
        <f t="array" aca="1" ref="AW349" ca="1">IFERROR(_xlfn.IFS(OR($M349="",$AM349=""),"",OR($C349="Offered",$C349="Joined"),($AM349-$M349)-$AT349),"")</f>
        <v/>
      </c>
      <c r="AX349" s="32" t="str" cm="1">
        <f t="array" aca="1" ref="AX349" ca="1">IFERROR(_xlfn.IFS(OR($M349="",$AS349=""),"",$C349="Joined",($AS349-$M349)-$AT349),"")</f>
        <v/>
      </c>
      <c r="AY349" s="30" t="str">
        <f>IFERROR(IF(COUNTIFS('Candidate Tracker'!$E:$E,'Positions Tracker'!$B349,'Candidate Tracker'!$C:$C,"Offer Drop")=0,"",COUNTIFS('Candidate Tracker'!$E:$E,'Positions Tracker'!$B349,'Candidate Tracker'!$C:$C,"Offer Drop")),"")</f>
        <v/>
      </c>
      <c r="AZ34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49" s="34" t="str">
        <f>IFERROR(IF(COUNTIFS('Candidate Tracker'!$E:$E,'Positions Tracker'!$B349,'Candidate Tracker'!$I:$I,"Female")=0,"",COUNTIFS('Candidate Tracker'!$E:$E,'Positions Tracker'!$B349,'Candidate Tracker'!$I:$I,"Female")),"")</f>
        <v/>
      </c>
      <c r="BB349" s="34" t="str">
        <f>IFERROR(IF(COUNTIFS('Candidate Tracker'!$E:$E,'Positions Tracker'!$B349,'Candidate Tracker'!$I:$I,"male")=0,"",COUNTIFS('Candidate Tracker'!$E:$E,'Positions Tracker'!$B349,'Candidate Tracker'!$I:$I,"male")),"")</f>
        <v/>
      </c>
      <c r="BC349" s="33" t="str">
        <f>IFERROR(IF(COUNTIFS('Candidate Tracker'!$E:$E,'Positions Tracker'!$B349,'Candidate Tracker'!$C:$C,"&lt;&gt;WIP",'Candidate Tracker'!$C:$C,"&lt;&gt;Hold",'Candidate Tracker'!$C:$C,"&lt;&gt;Cancelled",'Candidate Tracker'!$C:$C,"&lt;&gt;Closed")/COUNTIFS('Candidate Tracker'!$E:$E,'Positions Tracker'!$B349)=0,"",COUNTIFS('Candidate Tracker'!$E:$E,'Positions Tracker'!$B349,'Candidate Tracker'!$C:$C,"&lt;&gt;WIP",'Candidate Tracker'!$C:$C,"&lt;&gt;Hold",'Candidate Tracker'!$C:$C,"&lt;&gt;Cancelled",'Candidate Tracker'!$C:$C,"&lt;&gt;Closed")/COUNTIFS('Candidate Tracker'!$E:$E,'Positions Tracker'!$B349)),"")</f>
        <v/>
      </c>
      <c r="BD349" s="30" t="str">
        <f t="shared" si="45"/>
        <v/>
      </c>
      <c r="BE349" s="30" t="str">
        <f t="shared" si="46"/>
        <v/>
      </c>
      <c r="BF349" s="30" t="str">
        <f t="shared" si="47"/>
        <v/>
      </c>
      <c r="BG349" s="30" t="str">
        <f t="shared" si="48"/>
        <v/>
      </c>
    </row>
    <row r="350" spans="1:59">
      <c r="A350" s="39"/>
      <c r="B350" s="39"/>
      <c r="C350" s="39"/>
      <c r="D350" s="39"/>
      <c r="E350" s="39"/>
      <c r="F350" s="39"/>
      <c r="G350" s="39"/>
      <c r="H350" s="39"/>
      <c r="I350" s="40"/>
      <c r="J350" s="40"/>
      <c r="K350" s="35"/>
      <c r="L350" s="35"/>
      <c r="M350" s="35"/>
      <c r="N350" s="39"/>
      <c r="O350" s="39"/>
      <c r="P350" s="39"/>
      <c r="Q350" s="39"/>
      <c r="R350" s="39"/>
      <c r="S350" s="39"/>
      <c r="T350" s="39"/>
      <c r="U350" s="39"/>
      <c r="V350" s="39"/>
      <c r="W350" s="39"/>
      <c r="X350" s="39"/>
      <c r="Y350" s="39"/>
      <c r="Z350" s="39"/>
      <c r="AA350" s="39"/>
      <c r="AB350" s="39"/>
      <c r="AC350" s="39"/>
      <c r="AD350" s="39"/>
      <c r="AE350" s="39"/>
      <c r="AF350" s="39"/>
      <c r="AG350" s="39"/>
      <c r="AH350" s="39"/>
      <c r="AI350" s="35"/>
      <c r="AJ350" s="39"/>
      <c r="AK350" s="39"/>
      <c r="AL350" s="39"/>
      <c r="AM350" s="35"/>
      <c r="AN350" s="35"/>
      <c r="AO350" s="39"/>
      <c r="AP350" s="39"/>
      <c r="AQ350" s="35"/>
      <c r="AR350" s="35"/>
      <c r="AS350" s="35"/>
      <c r="AT350" s="30">
        <f t="shared" ca="1" si="44"/>
        <v>0</v>
      </c>
      <c r="AU350" s="32" t="str">
        <f t="shared" ca="1" si="43"/>
        <v/>
      </c>
      <c r="AV350" s="32" t="str" cm="1">
        <f t="array" aca="1" ref="AV350" ca="1">IFERROR(_xlfn.IFS($AU350="","",$AU350&lt;=15,"0-15",AND($AU350&gt;=16,$AU350&lt;=30),"16-30",AND($AU350&gt;=31,$AU350&lt;=45),"31-45",AND($AU350&gt;=46,$AU350&lt;=60),"46-60",AND($AU350&gt;=61,$AU350&lt;=90),"61-90",AND($AU350&gt;=91),"&gt; 90",AND($AU350&gt;=2000),""),"")</f>
        <v/>
      </c>
      <c r="AW350" s="32" t="str" cm="1">
        <f t="array" aca="1" ref="AW350" ca="1">IFERROR(_xlfn.IFS(OR($M350="",$AM350=""),"",OR($C350="Offered",$C350="Joined"),($AM350-$M350)-$AT350),"")</f>
        <v/>
      </c>
      <c r="AX350" s="32" t="str" cm="1">
        <f t="array" aca="1" ref="AX350" ca="1">IFERROR(_xlfn.IFS(OR($M350="",$AS350=""),"",$C350="Joined",($AS350-$M350)-$AT350),"")</f>
        <v/>
      </c>
      <c r="AY350" s="30" t="str">
        <f>IFERROR(IF(COUNTIFS('Candidate Tracker'!$E:$E,'Positions Tracker'!$B350,'Candidate Tracker'!$C:$C,"Offer Drop")=0,"",COUNTIFS('Candidate Tracker'!$E:$E,'Positions Tracker'!$B350,'Candidate Tracker'!$C:$C,"Offer Drop")),"")</f>
        <v/>
      </c>
      <c r="AZ35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0" s="34" t="str">
        <f>IFERROR(IF(COUNTIFS('Candidate Tracker'!$E:$E,'Positions Tracker'!$B350,'Candidate Tracker'!$I:$I,"Female")=0,"",COUNTIFS('Candidate Tracker'!$E:$E,'Positions Tracker'!$B350,'Candidate Tracker'!$I:$I,"Female")),"")</f>
        <v/>
      </c>
      <c r="BB350" s="34" t="str">
        <f>IFERROR(IF(COUNTIFS('Candidate Tracker'!$E:$E,'Positions Tracker'!$B350,'Candidate Tracker'!$I:$I,"male")=0,"",COUNTIFS('Candidate Tracker'!$E:$E,'Positions Tracker'!$B350,'Candidate Tracker'!$I:$I,"male")),"")</f>
        <v/>
      </c>
      <c r="BC350" s="33" t="str">
        <f>IFERROR(IF(COUNTIFS('Candidate Tracker'!$E:$E,'Positions Tracker'!$B350,'Candidate Tracker'!$C:$C,"&lt;&gt;WIP",'Candidate Tracker'!$C:$C,"&lt;&gt;Hold",'Candidate Tracker'!$C:$C,"&lt;&gt;Cancelled",'Candidate Tracker'!$C:$C,"&lt;&gt;Closed")/COUNTIFS('Candidate Tracker'!$E:$E,'Positions Tracker'!$B350)=0,"",COUNTIFS('Candidate Tracker'!$E:$E,'Positions Tracker'!$B350,'Candidate Tracker'!$C:$C,"&lt;&gt;WIP",'Candidate Tracker'!$C:$C,"&lt;&gt;Hold",'Candidate Tracker'!$C:$C,"&lt;&gt;Cancelled",'Candidate Tracker'!$C:$C,"&lt;&gt;Closed")/COUNTIFS('Candidate Tracker'!$E:$E,'Positions Tracker'!$B350)),"")</f>
        <v/>
      </c>
      <c r="BD350" s="30" t="str">
        <f t="shared" si="45"/>
        <v/>
      </c>
      <c r="BE350" s="30" t="str">
        <f t="shared" si="46"/>
        <v/>
      </c>
      <c r="BF350" s="30" t="str">
        <f t="shared" si="47"/>
        <v/>
      </c>
      <c r="BG350" s="30" t="str">
        <f t="shared" si="48"/>
        <v/>
      </c>
    </row>
    <row r="351" spans="1:59">
      <c r="A351" s="39"/>
      <c r="B351" s="39"/>
      <c r="C351" s="39"/>
      <c r="D351" s="39"/>
      <c r="E351" s="39"/>
      <c r="F351" s="39"/>
      <c r="G351" s="39"/>
      <c r="H351" s="39"/>
      <c r="I351" s="40"/>
      <c r="J351" s="40"/>
      <c r="K351" s="35"/>
      <c r="L351" s="35"/>
      <c r="M351" s="35"/>
      <c r="N351" s="39"/>
      <c r="O351" s="39"/>
      <c r="P351" s="39"/>
      <c r="Q351" s="39"/>
      <c r="R351" s="39"/>
      <c r="S351" s="39"/>
      <c r="T351" s="39"/>
      <c r="U351" s="39"/>
      <c r="V351" s="39"/>
      <c r="W351" s="39"/>
      <c r="X351" s="39"/>
      <c r="Y351" s="39"/>
      <c r="Z351" s="39"/>
      <c r="AA351" s="39"/>
      <c r="AB351" s="39"/>
      <c r="AC351" s="39"/>
      <c r="AD351" s="39"/>
      <c r="AE351" s="39"/>
      <c r="AF351" s="39"/>
      <c r="AG351" s="39"/>
      <c r="AH351" s="39"/>
      <c r="AI351" s="35"/>
      <c r="AJ351" s="39"/>
      <c r="AK351" s="39"/>
      <c r="AL351" s="39"/>
      <c r="AM351" s="35"/>
      <c r="AN351" s="35"/>
      <c r="AO351" s="39"/>
      <c r="AP351" s="39"/>
      <c r="AQ351" s="35"/>
      <c r="AR351" s="35"/>
      <c r="AS351" s="35"/>
      <c r="AT351" s="30">
        <f t="shared" ca="1" si="44"/>
        <v>0</v>
      </c>
      <c r="AU351" s="32" t="str">
        <f t="shared" ca="1" si="43"/>
        <v/>
      </c>
      <c r="AV351" s="32" t="str" cm="1">
        <f t="array" aca="1" ref="AV351" ca="1">IFERROR(_xlfn.IFS($AU351="","",$AU351&lt;=15,"0-15",AND($AU351&gt;=16,$AU351&lt;=30),"16-30",AND($AU351&gt;=31,$AU351&lt;=45),"31-45",AND($AU351&gt;=46,$AU351&lt;=60),"46-60",AND($AU351&gt;=61,$AU351&lt;=90),"61-90",AND($AU351&gt;=91),"&gt; 90",AND($AU351&gt;=2000),""),"")</f>
        <v/>
      </c>
      <c r="AW351" s="32" t="str" cm="1">
        <f t="array" aca="1" ref="AW351" ca="1">IFERROR(_xlfn.IFS(OR($M351="",$AM351=""),"",OR($C351="Offered",$C351="Joined"),($AM351-$M351)-$AT351),"")</f>
        <v/>
      </c>
      <c r="AX351" s="32" t="str" cm="1">
        <f t="array" aca="1" ref="AX351" ca="1">IFERROR(_xlfn.IFS(OR($M351="",$AS351=""),"",$C351="Joined",($AS351-$M351)-$AT351),"")</f>
        <v/>
      </c>
      <c r="AY351" s="30" t="str">
        <f>IFERROR(IF(COUNTIFS('Candidate Tracker'!$E:$E,'Positions Tracker'!$B351,'Candidate Tracker'!$C:$C,"Offer Drop")=0,"",COUNTIFS('Candidate Tracker'!$E:$E,'Positions Tracker'!$B351,'Candidate Tracker'!$C:$C,"Offer Drop")),"")</f>
        <v/>
      </c>
      <c r="AZ3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1" s="34" t="str">
        <f>IFERROR(IF(COUNTIFS('Candidate Tracker'!$E:$E,'Positions Tracker'!$B351,'Candidate Tracker'!$I:$I,"Female")=0,"",COUNTIFS('Candidate Tracker'!$E:$E,'Positions Tracker'!$B351,'Candidate Tracker'!$I:$I,"Female")),"")</f>
        <v/>
      </c>
      <c r="BB351" s="34" t="str">
        <f>IFERROR(IF(COUNTIFS('Candidate Tracker'!$E:$E,'Positions Tracker'!$B351,'Candidate Tracker'!$I:$I,"male")=0,"",COUNTIFS('Candidate Tracker'!$E:$E,'Positions Tracker'!$B351,'Candidate Tracker'!$I:$I,"male")),"")</f>
        <v/>
      </c>
      <c r="BC351" s="33" t="str">
        <f>IFERROR(IF(COUNTIFS('Candidate Tracker'!$E:$E,'Positions Tracker'!$B351,'Candidate Tracker'!$C:$C,"&lt;&gt;WIP",'Candidate Tracker'!$C:$C,"&lt;&gt;Hold",'Candidate Tracker'!$C:$C,"&lt;&gt;Cancelled",'Candidate Tracker'!$C:$C,"&lt;&gt;Closed")/COUNTIFS('Candidate Tracker'!$E:$E,'Positions Tracker'!$B351)=0,"",COUNTIFS('Candidate Tracker'!$E:$E,'Positions Tracker'!$B351,'Candidate Tracker'!$C:$C,"&lt;&gt;WIP",'Candidate Tracker'!$C:$C,"&lt;&gt;Hold",'Candidate Tracker'!$C:$C,"&lt;&gt;Cancelled",'Candidate Tracker'!$C:$C,"&lt;&gt;Closed")/COUNTIFS('Candidate Tracker'!$E:$E,'Positions Tracker'!$B351)),"")</f>
        <v/>
      </c>
      <c r="BD351" s="30" t="str">
        <f t="shared" si="45"/>
        <v/>
      </c>
      <c r="BE351" s="30" t="str">
        <f t="shared" si="46"/>
        <v/>
      </c>
      <c r="BF351" s="30" t="str">
        <f t="shared" si="47"/>
        <v/>
      </c>
      <c r="BG351" s="30" t="str">
        <f t="shared" si="48"/>
        <v/>
      </c>
    </row>
    <row r="352" spans="1:59">
      <c r="A352" s="39"/>
      <c r="B352" s="39"/>
      <c r="C352" s="39"/>
      <c r="D352" s="39"/>
      <c r="E352" s="39"/>
      <c r="F352" s="39"/>
      <c r="G352" s="39"/>
      <c r="H352" s="39"/>
      <c r="I352" s="40"/>
      <c r="J352" s="40"/>
      <c r="K352" s="35"/>
      <c r="L352" s="35"/>
      <c r="M352" s="35"/>
      <c r="N352" s="39"/>
      <c r="O352" s="39"/>
      <c r="P352" s="39"/>
      <c r="Q352" s="39"/>
      <c r="R352" s="39"/>
      <c r="S352" s="39"/>
      <c r="T352" s="39"/>
      <c r="U352" s="39"/>
      <c r="V352" s="39"/>
      <c r="W352" s="39"/>
      <c r="X352" s="39"/>
      <c r="Y352" s="39"/>
      <c r="Z352" s="39"/>
      <c r="AA352" s="39"/>
      <c r="AB352" s="39"/>
      <c r="AC352" s="39"/>
      <c r="AD352" s="39"/>
      <c r="AE352" s="39"/>
      <c r="AF352" s="39"/>
      <c r="AG352" s="39"/>
      <c r="AH352" s="39"/>
      <c r="AI352" s="35"/>
      <c r="AJ352" s="39"/>
      <c r="AK352" s="39"/>
      <c r="AL352" s="39"/>
      <c r="AM352" s="35"/>
      <c r="AN352" s="35"/>
      <c r="AO352" s="39"/>
      <c r="AP352" s="39"/>
      <c r="AQ352" s="35"/>
      <c r="AR352" s="35"/>
      <c r="AS352" s="35"/>
      <c r="AT352" s="30">
        <f t="shared" ca="1" si="44"/>
        <v>0</v>
      </c>
      <c r="AU352" s="32" t="str">
        <f t="shared" ca="1" si="43"/>
        <v/>
      </c>
      <c r="AV352" s="32" t="str" cm="1">
        <f t="array" aca="1" ref="AV352" ca="1">IFERROR(_xlfn.IFS($AU352="","",$AU352&lt;=15,"0-15",AND($AU352&gt;=16,$AU352&lt;=30),"16-30",AND($AU352&gt;=31,$AU352&lt;=45),"31-45",AND($AU352&gt;=46,$AU352&lt;=60),"46-60",AND($AU352&gt;=61,$AU352&lt;=90),"61-90",AND($AU352&gt;=91),"&gt; 90",AND($AU352&gt;=2000),""),"")</f>
        <v/>
      </c>
      <c r="AW352" s="32" t="str" cm="1">
        <f t="array" aca="1" ref="AW352" ca="1">IFERROR(_xlfn.IFS(OR($M352="",$AM352=""),"",OR($C352="Offered",$C352="Joined"),($AM352-$M352)-$AT352),"")</f>
        <v/>
      </c>
      <c r="AX352" s="32" t="str" cm="1">
        <f t="array" aca="1" ref="AX352" ca="1">IFERROR(_xlfn.IFS(OR($M352="",$AS352=""),"",$C352="Joined",($AS352-$M352)-$AT352),"")</f>
        <v/>
      </c>
      <c r="AY352" s="30" t="str">
        <f>IFERROR(IF(COUNTIFS('Candidate Tracker'!$E:$E,'Positions Tracker'!$B352,'Candidate Tracker'!$C:$C,"Offer Drop")=0,"",COUNTIFS('Candidate Tracker'!$E:$E,'Positions Tracker'!$B352,'Candidate Tracker'!$C:$C,"Offer Drop")),"")</f>
        <v/>
      </c>
      <c r="AZ35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2" s="34" t="str">
        <f>IFERROR(IF(COUNTIFS('Candidate Tracker'!$E:$E,'Positions Tracker'!$B352,'Candidate Tracker'!$I:$I,"Female")=0,"",COUNTIFS('Candidate Tracker'!$E:$E,'Positions Tracker'!$B352,'Candidate Tracker'!$I:$I,"Female")),"")</f>
        <v/>
      </c>
      <c r="BB352" s="34" t="str">
        <f>IFERROR(IF(COUNTIFS('Candidate Tracker'!$E:$E,'Positions Tracker'!$B352,'Candidate Tracker'!$I:$I,"male")=0,"",COUNTIFS('Candidate Tracker'!$E:$E,'Positions Tracker'!$B352,'Candidate Tracker'!$I:$I,"male")),"")</f>
        <v/>
      </c>
      <c r="BC352" s="33" t="str">
        <f>IFERROR(IF(COUNTIFS('Candidate Tracker'!$E:$E,'Positions Tracker'!$B352,'Candidate Tracker'!$C:$C,"&lt;&gt;WIP",'Candidate Tracker'!$C:$C,"&lt;&gt;Hold",'Candidate Tracker'!$C:$C,"&lt;&gt;Cancelled",'Candidate Tracker'!$C:$C,"&lt;&gt;Closed")/COUNTIFS('Candidate Tracker'!$E:$E,'Positions Tracker'!$B352)=0,"",COUNTIFS('Candidate Tracker'!$E:$E,'Positions Tracker'!$B352,'Candidate Tracker'!$C:$C,"&lt;&gt;WIP",'Candidate Tracker'!$C:$C,"&lt;&gt;Hold",'Candidate Tracker'!$C:$C,"&lt;&gt;Cancelled",'Candidate Tracker'!$C:$C,"&lt;&gt;Closed")/COUNTIFS('Candidate Tracker'!$E:$E,'Positions Tracker'!$B352)),"")</f>
        <v/>
      </c>
      <c r="BD352" s="30" t="str">
        <f t="shared" si="45"/>
        <v/>
      </c>
      <c r="BE352" s="30" t="str">
        <f t="shared" si="46"/>
        <v/>
      </c>
      <c r="BF352" s="30" t="str">
        <f t="shared" si="47"/>
        <v/>
      </c>
      <c r="BG352" s="30" t="str">
        <f t="shared" si="48"/>
        <v/>
      </c>
    </row>
    <row r="353" spans="1:59">
      <c r="A353" s="39"/>
      <c r="B353" s="39"/>
      <c r="C353" s="39"/>
      <c r="D353" s="39"/>
      <c r="E353" s="39"/>
      <c r="F353" s="39"/>
      <c r="G353" s="39"/>
      <c r="H353" s="39"/>
      <c r="I353" s="40"/>
      <c r="J353" s="40"/>
      <c r="K353" s="35"/>
      <c r="L353" s="35"/>
      <c r="M353" s="35"/>
      <c r="N353" s="39"/>
      <c r="O353" s="39"/>
      <c r="P353" s="39"/>
      <c r="Q353" s="39"/>
      <c r="R353" s="39"/>
      <c r="S353" s="39"/>
      <c r="T353" s="39"/>
      <c r="U353" s="39"/>
      <c r="V353" s="39"/>
      <c r="W353" s="39"/>
      <c r="X353" s="39"/>
      <c r="Y353" s="39"/>
      <c r="Z353" s="39"/>
      <c r="AA353" s="39"/>
      <c r="AB353" s="39"/>
      <c r="AC353" s="39"/>
      <c r="AD353" s="39"/>
      <c r="AE353" s="39"/>
      <c r="AF353" s="39"/>
      <c r="AG353" s="39"/>
      <c r="AH353" s="39"/>
      <c r="AI353" s="35"/>
      <c r="AJ353" s="39"/>
      <c r="AK353" s="39"/>
      <c r="AL353" s="39"/>
      <c r="AM353" s="35"/>
      <c r="AN353" s="35"/>
      <c r="AO353" s="39"/>
      <c r="AP353" s="39"/>
      <c r="AQ353" s="35"/>
      <c r="AR353" s="35"/>
      <c r="AS353" s="35"/>
      <c r="AT353" s="30">
        <f t="shared" ca="1" si="44"/>
        <v>0</v>
      </c>
      <c r="AU353" s="32" t="str">
        <f t="shared" ca="1" si="43"/>
        <v/>
      </c>
      <c r="AV353" s="32" t="str" cm="1">
        <f t="array" aca="1" ref="AV353" ca="1">IFERROR(_xlfn.IFS($AU353="","",$AU353&lt;=15,"0-15",AND($AU353&gt;=16,$AU353&lt;=30),"16-30",AND($AU353&gt;=31,$AU353&lt;=45),"31-45",AND($AU353&gt;=46,$AU353&lt;=60),"46-60",AND($AU353&gt;=61,$AU353&lt;=90),"61-90",AND($AU353&gt;=91),"&gt; 90",AND($AU353&gt;=2000),""),"")</f>
        <v/>
      </c>
      <c r="AW353" s="32" t="str" cm="1">
        <f t="array" aca="1" ref="AW353" ca="1">IFERROR(_xlfn.IFS(OR($M353="",$AM353=""),"",OR($C353="Offered",$C353="Joined"),($AM353-$M353)-$AT353),"")</f>
        <v/>
      </c>
      <c r="AX353" s="32" t="str" cm="1">
        <f t="array" aca="1" ref="AX353" ca="1">IFERROR(_xlfn.IFS(OR($M353="",$AS353=""),"",$C353="Joined",($AS353-$M353)-$AT353),"")</f>
        <v/>
      </c>
      <c r="AY353" s="30" t="str">
        <f>IFERROR(IF(COUNTIFS('Candidate Tracker'!$E:$E,'Positions Tracker'!$B353,'Candidate Tracker'!$C:$C,"Offer Drop")=0,"",COUNTIFS('Candidate Tracker'!$E:$E,'Positions Tracker'!$B353,'Candidate Tracker'!$C:$C,"Offer Drop")),"")</f>
        <v/>
      </c>
      <c r="AZ35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3" s="34" t="str">
        <f>IFERROR(IF(COUNTIFS('Candidate Tracker'!$E:$E,'Positions Tracker'!$B353,'Candidate Tracker'!$I:$I,"Female")=0,"",COUNTIFS('Candidate Tracker'!$E:$E,'Positions Tracker'!$B353,'Candidate Tracker'!$I:$I,"Female")),"")</f>
        <v/>
      </c>
      <c r="BB353" s="34" t="str">
        <f>IFERROR(IF(COUNTIFS('Candidate Tracker'!$E:$E,'Positions Tracker'!$B353,'Candidate Tracker'!$I:$I,"male")=0,"",COUNTIFS('Candidate Tracker'!$E:$E,'Positions Tracker'!$B353,'Candidate Tracker'!$I:$I,"male")),"")</f>
        <v/>
      </c>
      <c r="BC353" s="33" t="str">
        <f>IFERROR(IF(COUNTIFS('Candidate Tracker'!$E:$E,'Positions Tracker'!$B353,'Candidate Tracker'!$C:$C,"&lt;&gt;WIP",'Candidate Tracker'!$C:$C,"&lt;&gt;Hold",'Candidate Tracker'!$C:$C,"&lt;&gt;Cancelled",'Candidate Tracker'!$C:$C,"&lt;&gt;Closed")/COUNTIFS('Candidate Tracker'!$E:$E,'Positions Tracker'!$B353)=0,"",COUNTIFS('Candidate Tracker'!$E:$E,'Positions Tracker'!$B353,'Candidate Tracker'!$C:$C,"&lt;&gt;WIP",'Candidate Tracker'!$C:$C,"&lt;&gt;Hold",'Candidate Tracker'!$C:$C,"&lt;&gt;Cancelled",'Candidate Tracker'!$C:$C,"&lt;&gt;Closed")/COUNTIFS('Candidate Tracker'!$E:$E,'Positions Tracker'!$B353)),"")</f>
        <v/>
      </c>
      <c r="BD353" s="30" t="str">
        <f t="shared" si="45"/>
        <v/>
      </c>
      <c r="BE353" s="30" t="str">
        <f t="shared" si="46"/>
        <v/>
      </c>
      <c r="BF353" s="30" t="str">
        <f t="shared" si="47"/>
        <v/>
      </c>
      <c r="BG353" s="30" t="str">
        <f t="shared" si="48"/>
        <v/>
      </c>
    </row>
    <row r="354" spans="1:59">
      <c r="A354" s="39"/>
      <c r="B354" s="39"/>
      <c r="C354" s="39"/>
      <c r="D354" s="39"/>
      <c r="E354" s="39"/>
      <c r="F354" s="39"/>
      <c r="G354" s="39"/>
      <c r="H354" s="39"/>
      <c r="I354" s="40"/>
      <c r="J354" s="40"/>
      <c r="K354" s="35"/>
      <c r="L354" s="35"/>
      <c r="M354" s="35"/>
      <c r="N354" s="39"/>
      <c r="O354" s="39"/>
      <c r="P354" s="39"/>
      <c r="Q354" s="39"/>
      <c r="R354" s="39"/>
      <c r="S354" s="39"/>
      <c r="T354" s="39"/>
      <c r="U354" s="39"/>
      <c r="V354" s="39"/>
      <c r="W354" s="39"/>
      <c r="X354" s="39"/>
      <c r="Y354" s="39"/>
      <c r="Z354" s="39"/>
      <c r="AA354" s="39"/>
      <c r="AB354" s="39"/>
      <c r="AC354" s="39"/>
      <c r="AD354" s="39"/>
      <c r="AE354" s="39"/>
      <c r="AF354" s="39"/>
      <c r="AG354" s="39"/>
      <c r="AH354" s="39"/>
      <c r="AI354" s="35"/>
      <c r="AJ354" s="39"/>
      <c r="AK354" s="39"/>
      <c r="AL354" s="39"/>
      <c r="AM354" s="35"/>
      <c r="AN354" s="35"/>
      <c r="AO354" s="39"/>
      <c r="AP354" s="39"/>
      <c r="AQ354" s="35"/>
      <c r="AR354" s="35"/>
      <c r="AS354" s="35"/>
      <c r="AT354" s="30">
        <f t="shared" ca="1" si="44"/>
        <v>0</v>
      </c>
      <c r="AU354" s="32" t="str">
        <f t="shared" ca="1" si="43"/>
        <v/>
      </c>
      <c r="AV354" s="32" t="str" cm="1">
        <f t="array" aca="1" ref="AV354" ca="1">IFERROR(_xlfn.IFS($AU354="","",$AU354&lt;=15,"0-15",AND($AU354&gt;=16,$AU354&lt;=30),"16-30",AND($AU354&gt;=31,$AU354&lt;=45),"31-45",AND($AU354&gt;=46,$AU354&lt;=60),"46-60",AND($AU354&gt;=61,$AU354&lt;=90),"61-90",AND($AU354&gt;=91),"&gt; 90",AND($AU354&gt;=2000),""),"")</f>
        <v/>
      </c>
      <c r="AW354" s="32" t="str" cm="1">
        <f t="array" aca="1" ref="AW354" ca="1">IFERROR(_xlfn.IFS(OR($M354="",$AM354=""),"",OR($C354="Offered",$C354="Joined"),($AM354-$M354)-$AT354),"")</f>
        <v/>
      </c>
      <c r="AX354" s="32" t="str" cm="1">
        <f t="array" aca="1" ref="AX354" ca="1">IFERROR(_xlfn.IFS(OR($M354="",$AS354=""),"",$C354="Joined",($AS354-$M354)-$AT354),"")</f>
        <v/>
      </c>
      <c r="AY354" s="30" t="str">
        <f>IFERROR(IF(COUNTIFS('Candidate Tracker'!$E:$E,'Positions Tracker'!$B354,'Candidate Tracker'!$C:$C,"Offer Drop")=0,"",COUNTIFS('Candidate Tracker'!$E:$E,'Positions Tracker'!$B354,'Candidate Tracker'!$C:$C,"Offer Drop")),"")</f>
        <v/>
      </c>
      <c r="AZ35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4" s="34" t="str">
        <f>IFERROR(IF(COUNTIFS('Candidate Tracker'!$E:$E,'Positions Tracker'!$B354,'Candidate Tracker'!$I:$I,"Female")=0,"",COUNTIFS('Candidate Tracker'!$E:$E,'Positions Tracker'!$B354,'Candidate Tracker'!$I:$I,"Female")),"")</f>
        <v/>
      </c>
      <c r="BB354" s="34" t="str">
        <f>IFERROR(IF(COUNTIFS('Candidate Tracker'!$E:$E,'Positions Tracker'!$B354,'Candidate Tracker'!$I:$I,"male")=0,"",COUNTIFS('Candidate Tracker'!$E:$E,'Positions Tracker'!$B354,'Candidate Tracker'!$I:$I,"male")),"")</f>
        <v/>
      </c>
      <c r="BC354" s="33" t="str">
        <f>IFERROR(IF(COUNTIFS('Candidate Tracker'!$E:$E,'Positions Tracker'!$B354,'Candidate Tracker'!$C:$C,"&lt;&gt;WIP",'Candidate Tracker'!$C:$C,"&lt;&gt;Hold",'Candidate Tracker'!$C:$C,"&lt;&gt;Cancelled",'Candidate Tracker'!$C:$C,"&lt;&gt;Closed")/COUNTIFS('Candidate Tracker'!$E:$E,'Positions Tracker'!$B354)=0,"",COUNTIFS('Candidate Tracker'!$E:$E,'Positions Tracker'!$B354,'Candidate Tracker'!$C:$C,"&lt;&gt;WIP",'Candidate Tracker'!$C:$C,"&lt;&gt;Hold",'Candidate Tracker'!$C:$C,"&lt;&gt;Cancelled",'Candidate Tracker'!$C:$C,"&lt;&gt;Closed")/COUNTIFS('Candidate Tracker'!$E:$E,'Positions Tracker'!$B354)),"")</f>
        <v/>
      </c>
      <c r="BD354" s="30" t="str">
        <f t="shared" si="45"/>
        <v/>
      </c>
      <c r="BE354" s="30" t="str">
        <f t="shared" si="46"/>
        <v/>
      </c>
      <c r="BF354" s="30" t="str">
        <f t="shared" si="47"/>
        <v/>
      </c>
      <c r="BG354" s="30" t="str">
        <f t="shared" si="48"/>
        <v/>
      </c>
    </row>
    <row r="355" spans="1:59">
      <c r="A355" s="39"/>
      <c r="B355" s="39"/>
      <c r="C355" s="39"/>
      <c r="D355" s="39"/>
      <c r="E355" s="39"/>
      <c r="F355" s="39"/>
      <c r="G355" s="39"/>
      <c r="H355" s="39"/>
      <c r="I355" s="40"/>
      <c r="J355" s="40"/>
      <c r="K355" s="35"/>
      <c r="L355" s="35"/>
      <c r="M355" s="35"/>
      <c r="N355" s="39"/>
      <c r="O355" s="39"/>
      <c r="P355" s="39"/>
      <c r="Q355" s="39"/>
      <c r="R355" s="39"/>
      <c r="S355" s="39"/>
      <c r="T355" s="39"/>
      <c r="U355" s="39"/>
      <c r="V355" s="39"/>
      <c r="W355" s="39"/>
      <c r="X355" s="39"/>
      <c r="Y355" s="39"/>
      <c r="Z355" s="39"/>
      <c r="AA355" s="39"/>
      <c r="AB355" s="39"/>
      <c r="AC355" s="39"/>
      <c r="AD355" s="39"/>
      <c r="AE355" s="39"/>
      <c r="AF355" s="39"/>
      <c r="AG355" s="39"/>
      <c r="AH355" s="39"/>
      <c r="AI355" s="35"/>
      <c r="AJ355" s="39"/>
      <c r="AK355" s="39"/>
      <c r="AL355" s="39"/>
      <c r="AM355" s="35"/>
      <c r="AN355" s="35"/>
      <c r="AO355" s="39"/>
      <c r="AP355" s="39"/>
      <c r="AQ355" s="35"/>
      <c r="AR355" s="35"/>
      <c r="AS355" s="35"/>
      <c r="AT355" s="30">
        <f t="shared" ca="1" si="44"/>
        <v>0</v>
      </c>
      <c r="AU355" s="32" t="str">
        <f t="shared" ca="1" si="43"/>
        <v/>
      </c>
      <c r="AV355" s="32" t="str" cm="1">
        <f t="array" aca="1" ref="AV355" ca="1">IFERROR(_xlfn.IFS($AU355="","",$AU355&lt;=15,"0-15",AND($AU355&gt;=16,$AU355&lt;=30),"16-30",AND($AU355&gt;=31,$AU355&lt;=45),"31-45",AND($AU355&gt;=46,$AU355&lt;=60),"46-60",AND($AU355&gt;=61,$AU355&lt;=90),"61-90",AND($AU355&gt;=91),"&gt; 90",AND($AU355&gt;=2000),""),"")</f>
        <v/>
      </c>
      <c r="AW355" s="32" t="str" cm="1">
        <f t="array" aca="1" ref="AW355" ca="1">IFERROR(_xlfn.IFS(OR($M355="",$AM355=""),"",OR($C355="Offered",$C355="Joined"),($AM355-$M355)-$AT355),"")</f>
        <v/>
      </c>
      <c r="AX355" s="32" t="str" cm="1">
        <f t="array" aca="1" ref="AX355" ca="1">IFERROR(_xlfn.IFS(OR($M355="",$AS355=""),"",$C355="Joined",($AS355-$M355)-$AT355),"")</f>
        <v/>
      </c>
      <c r="AY355" s="30" t="str">
        <f>IFERROR(IF(COUNTIFS('Candidate Tracker'!$E:$E,'Positions Tracker'!$B355,'Candidate Tracker'!$C:$C,"Offer Drop")=0,"",COUNTIFS('Candidate Tracker'!$E:$E,'Positions Tracker'!$B355,'Candidate Tracker'!$C:$C,"Offer Drop")),"")</f>
        <v/>
      </c>
      <c r="AZ35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5" s="34" t="str">
        <f>IFERROR(IF(COUNTIFS('Candidate Tracker'!$E:$E,'Positions Tracker'!$B355,'Candidate Tracker'!$I:$I,"Female")=0,"",COUNTIFS('Candidate Tracker'!$E:$E,'Positions Tracker'!$B355,'Candidate Tracker'!$I:$I,"Female")),"")</f>
        <v/>
      </c>
      <c r="BB355" s="34" t="str">
        <f>IFERROR(IF(COUNTIFS('Candidate Tracker'!$E:$E,'Positions Tracker'!$B355,'Candidate Tracker'!$I:$I,"male")=0,"",COUNTIFS('Candidate Tracker'!$E:$E,'Positions Tracker'!$B355,'Candidate Tracker'!$I:$I,"male")),"")</f>
        <v/>
      </c>
      <c r="BC355" s="33" t="str">
        <f>IFERROR(IF(COUNTIFS('Candidate Tracker'!$E:$E,'Positions Tracker'!$B355,'Candidate Tracker'!$C:$C,"&lt;&gt;WIP",'Candidate Tracker'!$C:$C,"&lt;&gt;Hold",'Candidate Tracker'!$C:$C,"&lt;&gt;Cancelled",'Candidate Tracker'!$C:$C,"&lt;&gt;Closed")/COUNTIFS('Candidate Tracker'!$E:$E,'Positions Tracker'!$B355)=0,"",COUNTIFS('Candidate Tracker'!$E:$E,'Positions Tracker'!$B355,'Candidate Tracker'!$C:$C,"&lt;&gt;WIP",'Candidate Tracker'!$C:$C,"&lt;&gt;Hold",'Candidate Tracker'!$C:$C,"&lt;&gt;Cancelled",'Candidate Tracker'!$C:$C,"&lt;&gt;Closed")/COUNTIFS('Candidate Tracker'!$E:$E,'Positions Tracker'!$B355)),"")</f>
        <v/>
      </c>
      <c r="BD355" s="30" t="str">
        <f t="shared" si="45"/>
        <v/>
      </c>
      <c r="BE355" s="30" t="str">
        <f t="shared" si="46"/>
        <v/>
      </c>
      <c r="BF355" s="30" t="str">
        <f t="shared" si="47"/>
        <v/>
      </c>
      <c r="BG355" s="30" t="str">
        <f t="shared" si="48"/>
        <v/>
      </c>
    </row>
    <row r="356" spans="1:59">
      <c r="A356" s="39"/>
      <c r="B356" s="39"/>
      <c r="C356" s="39"/>
      <c r="D356" s="39"/>
      <c r="E356" s="39"/>
      <c r="F356" s="39"/>
      <c r="G356" s="39"/>
      <c r="H356" s="39"/>
      <c r="I356" s="40"/>
      <c r="J356" s="40"/>
      <c r="K356" s="35"/>
      <c r="L356" s="35"/>
      <c r="M356" s="35"/>
      <c r="N356" s="39"/>
      <c r="O356" s="39"/>
      <c r="P356" s="39"/>
      <c r="Q356" s="39"/>
      <c r="R356" s="39"/>
      <c r="S356" s="39"/>
      <c r="T356" s="39"/>
      <c r="U356" s="39"/>
      <c r="V356" s="39"/>
      <c r="W356" s="39"/>
      <c r="X356" s="39"/>
      <c r="Y356" s="39"/>
      <c r="Z356" s="39"/>
      <c r="AA356" s="39"/>
      <c r="AB356" s="39"/>
      <c r="AC356" s="39"/>
      <c r="AD356" s="39"/>
      <c r="AE356" s="39"/>
      <c r="AF356" s="39"/>
      <c r="AG356" s="39"/>
      <c r="AH356" s="39"/>
      <c r="AI356" s="35"/>
      <c r="AJ356" s="39"/>
      <c r="AK356" s="39"/>
      <c r="AL356" s="39"/>
      <c r="AM356" s="35"/>
      <c r="AN356" s="35"/>
      <c r="AO356" s="39"/>
      <c r="AP356" s="39"/>
      <c r="AQ356" s="35"/>
      <c r="AR356" s="35"/>
      <c r="AS356" s="35"/>
      <c r="AT356" s="30">
        <f t="shared" ca="1" si="44"/>
        <v>0</v>
      </c>
      <c r="AU356" s="32" t="str">
        <f t="shared" ca="1" si="43"/>
        <v/>
      </c>
      <c r="AV356" s="32" t="str" cm="1">
        <f t="array" aca="1" ref="AV356" ca="1">IFERROR(_xlfn.IFS($AU356="","",$AU356&lt;=15,"0-15",AND($AU356&gt;=16,$AU356&lt;=30),"16-30",AND($AU356&gt;=31,$AU356&lt;=45),"31-45",AND($AU356&gt;=46,$AU356&lt;=60),"46-60",AND($AU356&gt;=61,$AU356&lt;=90),"61-90",AND($AU356&gt;=91),"&gt; 90",AND($AU356&gt;=2000),""),"")</f>
        <v/>
      </c>
      <c r="AW356" s="32" t="str" cm="1">
        <f t="array" aca="1" ref="AW356" ca="1">IFERROR(_xlfn.IFS(OR($M356="",$AM356=""),"",OR($C356="Offered",$C356="Joined"),($AM356-$M356)-$AT356),"")</f>
        <v/>
      </c>
      <c r="AX356" s="32" t="str" cm="1">
        <f t="array" aca="1" ref="AX356" ca="1">IFERROR(_xlfn.IFS(OR($M356="",$AS356=""),"",$C356="Joined",($AS356-$M356)-$AT356),"")</f>
        <v/>
      </c>
      <c r="AY356" s="30" t="str">
        <f>IFERROR(IF(COUNTIFS('Candidate Tracker'!$E:$E,'Positions Tracker'!$B356,'Candidate Tracker'!$C:$C,"Offer Drop")=0,"",COUNTIFS('Candidate Tracker'!$E:$E,'Positions Tracker'!$B356,'Candidate Tracker'!$C:$C,"Offer Drop")),"")</f>
        <v/>
      </c>
      <c r="AZ35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6" s="34" t="str">
        <f>IFERROR(IF(COUNTIFS('Candidate Tracker'!$E:$E,'Positions Tracker'!$B356,'Candidate Tracker'!$I:$I,"Female")=0,"",COUNTIFS('Candidate Tracker'!$E:$E,'Positions Tracker'!$B356,'Candidate Tracker'!$I:$I,"Female")),"")</f>
        <v/>
      </c>
      <c r="BB356" s="34" t="str">
        <f>IFERROR(IF(COUNTIFS('Candidate Tracker'!$E:$E,'Positions Tracker'!$B356,'Candidate Tracker'!$I:$I,"male")=0,"",COUNTIFS('Candidate Tracker'!$E:$E,'Positions Tracker'!$B356,'Candidate Tracker'!$I:$I,"male")),"")</f>
        <v/>
      </c>
      <c r="BC356" s="33" t="str">
        <f>IFERROR(IF(COUNTIFS('Candidate Tracker'!$E:$E,'Positions Tracker'!$B356,'Candidate Tracker'!$C:$C,"&lt;&gt;WIP",'Candidate Tracker'!$C:$C,"&lt;&gt;Hold",'Candidate Tracker'!$C:$C,"&lt;&gt;Cancelled",'Candidate Tracker'!$C:$C,"&lt;&gt;Closed")/COUNTIFS('Candidate Tracker'!$E:$E,'Positions Tracker'!$B356)=0,"",COUNTIFS('Candidate Tracker'!$E:$E,'Positions Tracker'!$B356,'Candidate Tracker'!$C:$C,"&lt;&gt;WIP",'Candidate Tracker'!$C:$C,"&lt;&gt;Hold",'Candidate Tracker'!$C:$C,"&lt;&gt;Cancelled",'Candidate Tracker'!$C:$C,"&lt;&gt;Closed")/COUNTIFS('Candidate Tracker'!$E:$E,'Positions Tracker'!$B356)),"")</f>
        <v/>
      </c>
      <c r="BD356" s="30" t="str">
        <f t="shared" si="45"/>
        <v/>
      </c>
      <c r="BE356" s="30" t="str">
        <f t="shared" si="46"/>
        <v/>
      </c>
      <c r="BF356" s="30" t="str">
        <f t="shared" si="47"/>
        <v/>
      </c>
      <c r="BG356" s="30" t="str">
        <f t="shared" si="48"/>
        <v/>
      </c>
    </row>
    <row r="357" spans="1:59">
      <c r="A357" s="39"/>
      <c r="B357" s="39"/>
      <c r="C357" s="39"/>
      <c r="D357" s="39"/>
      <c r="E357" s="39"/>
      <c r="F357" s="39"/>
      <c r="G357" s="39"/>
      <c r="H357" s="39"/>
      <c r="I357" s="40"/>
      <c r="J357" s="40"/>
      <c r="K357" s="35"/>
      <c r="L357" s="35"/>
      <c r="M357" s="35"/>
      <c r="N357" s="39"/>
      <c r="O357" s="39"/>
      <c r="P357" s="39"/>
      <c r="Q357" s="39"/>
      <c r="R357" s="39"/>
      <c r="S357" s="39"/>
      <c r="T357" s="39"/>
      <c r="U357" s="39"/>
      <c r="V357" s="39"/>
      <c r="W357" s="39"/>
      <c r="X357" s="39"/>
      <c r="Y357" s="39"/>
      <c r="Z357" s="39"/>
      <c r="AA357" s="39"/>
      <c r="AB357" s="39"/>
      <c r="AC357" s="39"/>
      <c r="AD357" s="39"/>
      <c r="AE357" s="39"/>
      <c r="AF357" s="39"/>
      <c r="AG357" s="39"/>
      <c r="AH357" s="39"/>
      <c r="AI357" s="35"/>
      <c r="AJ357" s="39"/>
      <c r="AK357" s="39"/>
      <c r="AL357" s="39"/>
      <c r="AM357" s="35"/>
      <c r="AN357" s="35"/>
      <c r="AO357" s="39"/>
      <c r="AP357" s="39"/>
      <c r="AQ357" s="35"/>
      <c r="AR357" s="35"/>
      <c r="AS357" s="35"/>
      <c r="AT357" s="30">
        <f t="shared" ca="1" si="44"/>
        <v>0</v>
      </c>
      <c r="AU357" s="32" t="str">
        <f t="shared" ca="1" si="43"/>
        <v/>
      </c>
      <c r="AV357" s="32" t="str" cm="1">
        <f t="array" aca="1" ref="AV357" ca="1">IFERROR(_xlfn.IFS($AU357="","",$AU357&lt;=15,"0-15",AND($AU357&gt;=16,$AU357&lt;=30),"16-30",AND($AU357&gt;=31,$AU357&lt;=45),"31-45",AND($AU357&gt;=46,$AU357&lt;=60),"46-60",AND($AU357&gt;=61,$AU357&lt;=90),"61-90",AND($AU357&gt;=91),"&gt; 90",AND($AU357&gt;=2000),""),"")</f>
        <v/>
      </c>
      <c r="AW357" s="32" t="str" cm="1">
        <f t="array" aca="1" ref="AW357" ca="1">IFERROR(_xlfn.IFS(OR($M357="",$AM357=""),"",OR($C357="Offered",$C357="Joined"),($AM357-$M357)-$AT357),"")</f>
        <v/>
      </c>
      <c r="AX357" s="32" t="str" cm="1">
        <f t="array" aca="1" ref="AX357" ca="1">IFERROR(_xlfn.IFS(OR($M357="",$AS357=""),"",$C357="Joined",($AS357-$M357)-$AT357),"")</f>
        <v/>
      </c>
      <c r="AY357" s="30" t="str">
        <f>IFERROR(IF(COUNTIFS('Candidate Tracker'!$E:$E,'Positions Tracker'!$B357,'Candidate Tracker'!$C:$C,"Offer Drop")=0,"",COUNTIFS('Candidate Tracker'!$E:$E,'Positions Tracker'!$B357,'Candidate Tracker'!$C:$C,"Offer Drop")),"")</f>
        <v/>
      </c>
      <c r="AZ35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7" s="34" t="str">
        <f>IFERROR(IF(COUNTIFS('Candidate Tracker'!$E:$E,'Positions Tracker'!$B357,'Candidate Tracker'!$I:$I,"Female")=0,"",COUNTIFS('Candidate Tracker'!$E:$E,'Positions Tracker'!$B357,'Candidate Tracker'!$I:$I,"Female")),"")</f>
        <v/>
      </c>
      <c r="BB357" s="34" t="str">
        <f>IFERROR(IF(COUNTIFS('Candidate Tracker'!$E:$E,'Positions Tracker'!$B357,'Candidate Tracker'!$I:$I,"male")=0,"",COUNTIFS('Candidate Tracker'!$E:$E,'Positions Tracker'!$B357,'Candidate Tracker'!$I:$I,"male")),"")</f>
        <v/>
      </c>
      <c r="BC357" s="33" t="str">
        <f>IFERROR(IF(COUNTIFS('Candidate Tracker'!$E:$E,'Positions Tracker'!$B357,'Candidate Tracker'!$C:$C,"&lt;&gt;WIP",'Candidate Tracker'!$C:$C,"&lt;&gt;Hold",'Candidate Tracker'!$C:$C,"&lt;&gt;Cancelled",'Candidate Tracker'!$C:$C,"&lt;&gt;Closed")/COUNTIFS('Candidate Tracker'!$E:$E,'Positions Tracker'!$B357)=0,"",COUNTIFS('Candidate Tracker'!$E:$E,'Positions Tracker'!$B357,'Candidate Tracker'!$C:$C,"&lt;&gt;WIP",'Candidate Tracker'!$C:$C,"&lt;&gt;Hold",'Candidate Tracker'!$C:$C,"&lt;&gt;Cancelled",'Candidate Tracker'!$C:$C,"&lt;&gt;Closed")/COUNTIFS('Candidate Tracker'!$E:$E,'Positions Tracker'!$B357)),"")</f>
        <v/>
      </c>
      <c r="BD357" s="30" t="str">
        <f t="shared" si="45"/>
        <v/>
      </c>
      <c r="BE357" s="30" t="str">
        <f t="shared" si="46"/>
        <v/>
      </c>
      <c r="BF357" s="30" t="str">
        <f t="shared" si="47"/>
        <v/>
      </c>
      <c r="BG357" s="30" t="str">
        <f t="shared" si="48"/>
        <v/>
      </c>
    </row>
    <row r="358" spans="1:59">
      <c r="A358" s="39"/>
      <c r="B358" s="39"/>
      <c r="C358" s="39"/>
      <c r="D358" s="39"/>
      <c r="E358" s="39"/>
      <c r="F358" s="39"/>
      <c r="G358" s="39"/>
      <c r="H358" s="39"/>
      <c r="I358" s="40"/>
      <c r="J358" s="40"/>
      <c r="K358" s="35"/>
      <c r="L358" s="35"/>
      <c r="M358" s="35"/>
      <c r="N358" s="39"/>
      <c r="O358" s="39"/>
      <c r="P358" s="39"/>
      <c r="Q358" s="39"/>
      <c r="R358" s="39"/>
      <c r="S358" s="39"/>
      <c r="T358" s="39"/>
      <c r="U358" s="39"/>
      <c r="V358" s="39"/>
      <c r="W358" s="39"/>
      <c r="X358" s="39"/>
      <c r="Y358" s="39"/>
      <c r="Z358" s="39"/>
      <c r="AA358" s="39"/>
      <c r="AB358" s="39"/>
      <c r="AC358" s="39"/>
      <c r="AD358" s="39"/>
      <c r="AE358" s="39"/>
      <c r="AF358" s="39"/>
      <c r="AG358" s="39"/>
      <c r="AH358" s="39"/>
      <c r="AI358" s="35"/>
      <c r="AJ358" s="39"/>
      <c r="AK358" s="39"/>
      <c r="AL358" s="39"/>
      <c r="AM358" s="35"/>
      <c r="AN358" s="35"/>
      <c r="AO358" s="39"/>
      <c r="AP358" s="39"/>
      <c r="AQ358" s="35"/>
      <c r="AR358" s="35"/>
      <c r="AS358" s="35"/>
      <c r="AT358" s="30">
        <f t="shared" ca="1" si="44"/>
        <v>0</v>
      </c>
      <c r="AU358" s="32" t="str">
        <f t="shared" ca="1" si="43"/>
        <v/>
      </c>
      <c r="AV358" s="32" t="str" cm="1">
        <f t="array" aca="1" ref="AV358" ca="1">IFERROR(_xlfn.IFS($AU358="","",$AU358&lt;=15,"0-15",AND($AU358&gt;=16,$AU358&lt;=30),"16-30",AND($AU358&gt;=31,$AU358&lt;=45),"31-45",AND($AU358&gt;=46,$AU358&lt;=60),"46-60",AND($AU358&gt;=61,$AU358&lt;=90),"61-90",AND($AU358&gt;=91),"&gt; 90",AND($AU358&gt;=2000),""),"")</f>
        <v/>
      </c>
      <c r="AW358" s="32" t="str" cm="1">
        <f t="array" aca="1" ref="AW358" ca="1">IFERROR(_xlfn.IFS(OR($M358="",$AM358=""),"",OR($C358="Offered",$C358="Joined"),($AM358-$M358)-$AT358),"")</f>
        <v/>
      </c>
      <c r="AX358" s="32" t="str" cm="1">
        <f t="array" aca="1" ref="AX358" ca="1">IFERROR(_xlfn.IFS(OR($M358="",$AS358=""),"",$C358="Joined",($AS358-$M358)-$AT358),"")</f>
        <v/>
      </c>
      <c r="AY358" s="30" t="str">
        <f>IFERROR(IF(COUNTIFS('Candidate Tracker'!$E:$E,'Positions Tracker'!$B358,'Candidate Tracker'!$C:$C,"Offer Drop")=0,"",COUNTIFS('Candidate Tracker'!$E:$E,'Positions Tracker'!$B358,'Candidate Tracker'!$C:$C,"Offer Drop")),"")</f>
        <v/>
      </c>
      <c r="AZ3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8" s="34" t="str">
        <f>IFERROR(IF(COUNTIFS('Candidate Tracker'!$E:$E,'Positions Tracker'!$B358,'Candidate Tracker'!$I:$I,"Female")=0,"",COUNTIFS('Candidate Tracker'!$E:$E,'Positions Tracker'!$B358,'Candidate Tracker'!$I:$I,"Female")),"")</f>
        <v/>
      </c>
      <c r="BB358" s="34" t="str">
        <f>IFERROR(IF(COUNTIFS('Candidate Tracker'!$E:$E,'Positions Tracker'!$B358,'Candidate Tracker'!$I:$I,"male")=0,"",COUNTIFS('Candidate Tracker'!$E:$E,'Positions Tracker'!$B358,'Candidate Tracker'!$I:$I,"male")),"")</f>
        <v/>
      </c>
      <c r="BC358" s="33" t="str">
        <f>IFERROR(IF(COUNTIFS('Candidate Tracker'!$E:$E,'Positions Tracker'!$B358,'Candidate Tracker'!$C:$C,"&lt;&gt;WIP",'Candidate Tracker'!$C:$C,"&lt;&gt;Hold",'Candidate Tracker'!$C:$C,"&lt;&gt;Cancelled",'Candidate Tracker'!$C:$C,"&lt;&gt;Closed")/COUNTIFS('Candidate Tracker'!$E:$E,'Positions Tracker'!$B358)=0,"",COUNTIFS('Candidate Tracker'!$E:$E,'Positions Tracker'!$B358,'Candidate Tracker'!$C:$C,"&lt;&gt;WIP",'Candidate Tracker'!$C:$C,"&lt;&gt;Hold",'Candidate Tracker'!$C:$C,"&lt;&gt;Cancelled",'Candidate Tracker'!$C:$C,"&lt;&gt;Closed")/COUNTIFS('Candidate Tracker'!$E:$E,'Positions Tracker'!$B358)),"")</f>
        <v/>
      </c>
      <c r="BD358" s="30" t="str">
        <f t="shared" si="45"/>
        <v/>
      </c>
      <c r="BE358" s="30" t="str">
        <f t="shared" si="46"/>
        <v/>
      </c>
      <c r="BF358" s="30" t="str">
        <f t="shared" si="47"/>
        <v/>
      </c>
      <c r="BG358" s="30" t="str">
        <f t="shared" si="48"/>
        <v/>
      </c>
    </row>
    <row r="359" spans="1:59">
      <c r="A359" s="39"/>
      <c r="B359" s="39"/>
      <c r="C359" s="39"/>
      <c r="D359" s="39"/>
      <c r="E359" s="39"/>
      <c r="F359" s="39"/>
      <c r="G359" s="39"/>
      <c r="H359" s="39"/>
      <c r="I359" s="40"/>
      <c r="J359" s="40"/>
      <c r="K359" s="35"/>
      <c r="L359" s="35"/>
      <c r="M359" s="35"/>
      <c r="N359" s="39"/>
      <c r="O359" s="39"/>
      <c r="P359" s="39"/>
      <c r="Q359" s="39"/>
      <c r="R359" s="39"/>
      <c r="S359" s="39"/>
      <c r="T359" s="39"/>
      <c r="U359" s="39"/>
      <c r="V359" s="39"/>
      <c r="W359" s="39"/>
      <c r="X359" s="39"/>
      <c r="Y359" s="39"/>
      <c r="Z359" s="39"/>
      <c r="AA359" s="39"/>
      <c r="AB359" s="39"/>
      <c r="AC359" s="39"/>
      <c r="AD359" s="39"/>
      <c r="AE359" s="39"/>
      <c r="AF359" s="39"/>
      <c r="AG359" s="39"/>
      <c r="AH359" s="39"/>
      <c r="AI359" s="35"/>
      <c r="AJ359" s="39"/>
      <c r="AK359" s="39"/>
      <c r="AL359" s="39"/>
      <c r="AM359" s="35"/>
      <c r="AN359" s="35"/>
      <c r="AO359" s="39"/>
      <c r="AP359" s="39"/>
      <c r="AQ359" s="35"/>
      <c r="AR359" s="35"/>
      <c r="AS359" s="35"/>
      <c r="AT359" s="30">
        <f t="shared" ca="1" si="44"/>
        <v>0</v>
      </c>
      <c r="AU359" s="32" t="str">
        <f t="shared" ca="1" si="43"/>
        <v/>
      </c>
      <c r="AV359" s="32" t="str" cm="1">
        <f t="array" aca="1" ref="AV359" ca="1">IFERROR(_xlfn.IFS($AU359="","",$AU359&lt;=15,"0-15",AND($AU359&gt;=16,$AU359&lt;=30),"16-30",AND($AU359&gt;=31,$AU359&lt;=45),"31-45",AND($AU359&gt;=46,$AU359&lt;=60),"46-60",AND($AU359&gt;=61,$AU359&lt;=90),"61-90",AND($AU359&gt;=91),"&gt; 90",AND($AU359&gt;=2000),""),"")</f>
        <v/>
      </c>
      <c r="AW359" s="32" t="str" cm="1">
        <f t="array" aca="1" ref="AW359" ca="1">IFERROR(_xlfn.IFS(OR($M359="",$AM359=""),"",OR($C359="Offered",$C359="Joined"),($AM359-$M359)-$AT359),"")</f>
        <v/>
      </c>
      <c r="AX359" s="32" t="str" cm="1">
        <f t="array" aca="1" ref="AX359" ca="1">IFERROR(_xlfn.IFS(OR($M359="",$AS359=""),"",$C359="Joined",($AS359-$M359)-$AT359),"")</f>
        <v/>
      </c>
      <c r="AY359" s="30" t="str">
        <f>IFERROR(IF(COUNTIFS('Candidate Tracker'!$E:$E,'Positions Tracker'!$B359,'Candidate Tracker'!$C:$C,"Offer Drop")=0,"",COUNTIFS('Candidate Tracker'!$E:$E,'Positions Tracker'!$B359,'Candidate Tracker'!$C:$C,"Offer Drop")),"")</f>
        <v/>
      </c>
      <c r="AZ3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59" s="34" t="str">
        <f>IFERROR(IF(COUNTIFS('Candidate Tracker'!$E:$E,'Positions Tracker'!$B359,'Candidate Tracker'!$I:$I,"Female")=0,"",COUNTIFS('Candidate Tracker'!$E:$E,'Positions Tracker'!$B359,'Candidate Tracker'!$I:$I,"Female")),"")</f>
        <v/>
      </c>
      <c r="BB359" s="34" t="str">
        <f>IFERROR(IF(COUNTIFS('Candidate Tracker'!$E:$E,'Positions Tracker'!$B359,'Candidate Tracker'!$I:$I,"male")=0,"",COUNTIFS('Candidate Tracker'!$E:$E,'Positions Tracker'!$B359,'Candidate Tracker'!$I:$I,"male")),"")</f>
        <v/>
      </c>
      <c r="BC359" s="33" t="str">
        <f>IFERROR(IF(COUNTIFS('Candidate Tracker'!$E:$E,'Positions Tracker'!$B359,'Candidate Tracker'!$C:$C,"&lt;&gt;WIP",'Candidate Tracker'!$C:$C,"&lt;&gt;Hold",'Candidate Tracker'!$C:$C,"&lt;&gt;Cancelled",'Candidate Tracker'!$C:$C,"&lt;&gt;Closed")/COUNTIFS('Candidate Tracker'!$E:$E,'Positions Tracker'!$B359)=0,"",COUNTIFS('Candidate Tracker'!$E:$E,'Positions Tracker'!$B359,'Candidate Tracker'!$C:$C,"&lt;&gt;WIP",'Candidate Tracker'!$C:$C,"&lt;&gt;Hold",'Candidate Tracker'!$C:$C,"&lt;&gt;Cancelled",'Candidate Tracker'!$C:$C,"&lt;&gt;Closed")/COUNTIFS('Candidate Tracker'!$E:$E,'Positions Tracker'!$B359)),"")</f>
        <v/>
      </c>
      <c r="BD359" s="30" t="str">
        <f t="shared" si="45"/>
        <v/>
      </c>
      <c r="BE359" s="30" t="str">
        <f t="shared" si="46"/>
        <v/>
      </c>
      <c r="BF359" s="30" t="str">
        <f t="shared" si="47"/>
        <v/>
      </c>
      <c r="BG359" s="30" t="str">
        <f t="shared" si="48"/>
        <v/>
      </c>
    </row>
    <row r="360" spans="1:59">
      <c r="A360" s="39"/>
      <c r="B360" s="39"/>
      <c r="C360" s="39"/>
      <c r="D360" s="39"/>
      <c r="E360" s="39"/>
      <c r="F360" s="39"/>
      <c r="G360" s="39"/>
      <c r="H360" s="39"/>
      <c r="I360" s="40"/>
      <c r="J360" s="40"/>
      <c r="K360" s="35"/>
      <c r="L360" s="35"/>
      <c r="M360" s="35"/>
      <c r="N360" s="39"/>
      <c r="O360" s="39"/>
      <c r="P360" s="39"/>
      <c r="Q360" s="39"/>
      <c r="R360" s="39"/>
      <c r="S360" s="39"/>
      <c r="T360" s="39"/>
      <c r="U360" s="39"/>
      <c r="V360" s="39"/>
      <c r="W360" s="39"/>
      <c r="X360" s="39"/>
      <c r="Y360" s="39"/>
      <c r="Z360" s="39"/>
      <c r="AA360" s="39"/>
      <c r="AB360" s="39"/>
      <c r="AC360" s="39"/>
      <c r="AD360" s="39"/>
      <c r="AE360" s="39"/>
      <c r="AF360" s="39"/>
      <c r="AG360" s="39"/>
      <c r="AH360" s="39"/>
      <c r="AI360" s="35"/>
      <c r="AJ360" s="39"/>
      <c r="AK360" s="39"/>
      <c r="AL360" s="39"/>
      <c r="AM360" s="35"/>
      <c r="AN360" s="35"/>
      <c r="AO360" s="39"/>
      <c r="AP360" s="39"/>
      <c r="AQ360" s="35"/>
      <c r="AR360" s="35"/>
      <c r="AS360" s="35"/>
      <c r="AT360" s="30">
        <f t="shared" ca="1" si="44"/>
        <v>0</v>
      </c>
      <c r="AU360" s="32" t="str">
        <f t="shared" ca="1" si="43"/>
        <v/>
      </c>
      <c r="AV360" s="32" t="str" cm="1">
        <f t="array" aca="1" ref="AV360" ca="1">IFERROR(_xlfn.IFS($AU360="","",$AU360&lt;=15,"0-15",AND($AU360&gt;=16,$AU360&lt;=30),"16-30",AND($AU360&gt;=31,$AU360&lt;=45),"31-45",AND($AU360&gt;=46,$AU360&lt;=60),"46-60",AND($AU360&gt;=61,$AU360&lt;=90),"61-90",AND($AU360&gt;=91),"&gt; 90",AND($AU360&gt;=2000),""),"")</f>
        <v/>
      </c>
      <c r="AW360" s="32" t="str" cm="1">
        <f t="array" aca="1" ref="AW360" ca="1">IFERROR(_xlfn.IFS(OR($M360="",$AM360=""),"",OR($C360="Offered",$C360="Joined"),($AM360-$M360)-$AT360),"")</f>
        <v/>
      </c>
      <c r="AX360" s="32" t="str" cm="1">
        <f t="array" aca="1" ref="AX360" ca="1">IFERROR(_xlfn.IFS(OR($M360="",$AS360=""),"",$C360="Joined",($AS360-$M360)-$AT360),"")</f>
        <v/>
      </c>
      <c r="AY360" s="30" t="str">
        <f>IFERROR(IF(COUNTIFS('Candidate Tracker'!$E:$E,'Positions Tracker'!$B360,'Candidate Tracker'!$C:$C,"Offer Drop")=0,"",COUNTIFS('Candidate Tracker'!$E:$E,'Positions Tracker'!$B360,'Candidate Tracker'!$C:$C,"Offer Drop")),"")</f>
        <v/>
      </c>
      <c r="AZ3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0" s="34" t="str">
        <f>IFERROR(IF(COUNTIFS('Candidate Tracker'!$E:$E,'Positions Tracker'!$B360,'Candidate Tracker'!$I:$I,"Female")=0,"",COUNTIFS('Candidate Tracker'!$E:$E,'Positions Tracker'!$B360,'Candidate Tracker'!$I:$I,"Female")),"")</f>
        <v/>
      </c>
      <c r="BB360" s="34" t="str">
        <f>IFERROR(IF(COUNTIFS('Candidate Tracker'!$E:$E,'Positions Tracker'!$B360,'Candidate Tracker'!$I:$I,"male")=0,"",COUNTIFS('Candidate Tracker'!$E:$E,'Positions Tracker'!$B360,'Candidate Tracker'!$I:$I,"male")),"")</f>
        <v/>
      </c>
      <c r="BC360" s="33" t="str">
        <f>IFERROR(IF(COUNTIFS('Candidate Tracker'!$E:$E,'Positions Tracker'!$B360,'Candidate Tracker'!$C:$C,"&lt;&gt;WIP",'Candidate Tracker'!$C:$C,"&lt;&gt;Hold",'Candidate Tracker'!$C:$C,"&lt;&gt;Cancelled",'Candidate Tracker'!$C:$C,"&lt;&gt;Closed")/COUNTIFS('Candidate Tracker'!$E:$E,'Positions Tracker'!$B360)=0,"",COUNTIFS('Candidate Tracker'!$E:$E,'Positions Tracker'!$B360,'Candidate Tracker'!$C:$C,"&lt;&gt;WIP",'Candidate Tracker'!$C:$C,"&lt;&gt;Hold",'Candidate Tracker'!$C:$C,"&lt;&gt;Cancelled",'Candidate Tracker'!$C:$C,"&lt;&gt;Closed")/COUNTIFS('Candidate Tracker'!$E:$E,'Positions Tracker'!$B360)),"")</f>
        <v/>
      </c>
      <c r="BD360" s="30" t="str">
        <f t="shared" si="45"/>
        <v/>
      </c>
      <c r="BE360" s="30" t="str">
        <f t="shared" si="46"/>
        <v/>
      </c>
      <c r="BF360" s="30" t="str">
        <f t="shared" si="47"/>
        <v/>
      </c>
      <c r="BG360" s="30" t="str">
        <f t="shared" si="48"/>
        <v/>
      </c>
    </row>
    <row r="361" spans="1:59">
      <c r="A361" s="39"/>
      <c r="B361" s="39"/>
      <c r="C361" s="39"/>
      <c r="D361" s="39"/>
      <c r="E361" s="39"/>
      <c r="F361" s="39"/>
      <c r="G361" s="39"/>
      <c r="H361" s="39"/>
      <c r="I361" s="40"/>
      <c r="J361" s="40"/>
      <c r="K361" s="35"/>
      <c r="L361" s="35"/>
      <c r="M361" s="35"/>
      <c r="N361" s="39"/>
      <c r="O361" s="39"/>
      <c r="P361" s="39"/>
      <c r="Q361" s="39"/>
      <c r="R361" s="39"/>
      <c r="S361" s="39"/>
      <c r="T361" s="39"/>
      <c r="U361" s="39"/>
      <c r="V361" s="39"/>
      <c r="W361" s="39"/>
      <c r="X361" s="39"/>
      <c r="Y361" s="39"/>
      <c r="Z361" s="39"/>
      <c r="AA361" s="39"/>
      <c r="AB361" s="39"/>
      <c r="AC361" s="39"/>
      <c r="AD361" s="39"/>
      <c r="AE361" s="39"/>
      <c r="AF361" s="39"/>
      <c r="AG361" s="39"/>
      <c r="AH361" s="39"/>
      <c r="AI361" s="35"/>
      <c r="AJ361" s="39"/>
      <c r="AK361" s="39"/>
      <c r="AL361" s="39"/>
      <c r="AM361" s="35"/>
      <c r="AN361" s="35"/>
      <c r="AO361" s="39"/>
      <c r="AP361" s="39"/>
      <c r="AQ361" s="35"/>
      <c r="AR361" s="35"/>
      <c r="AS361" s="35"/>
      <c r="AT361" s="30">
        <f t="shared" ca="1" si="44"/>
        <v>0</v>
      </c>
      <c r="AU361" s="32" t="str">
        <f t="shared" ca="1" si="43"/>
        <v/>
      </c>
      <c r="AV361" s="32" t="str" cm="1">
        <f t="array" aca="1" ref="AV361" ca="1">IFERROR(_xlfn.IFS($AU361="","",$AU361&lt;=15,"0-15",AND($AU361&gt;=16,$AU361&lt;=30),"16-30",AND($AU361&gt;=31,$AU361&lt;=45),"31-45",AND($AU361&gt;=46,$AU361&lt;=60),"46-60",AND($AU361&gt;=61,$AU361&lt;=90),"61-90",AND($AU361&gt;=91),"&gt; 90",AND($AU361&gt;=2000),""),"")</f>
        <v/>
      </c>
      <c r="AW361" s="32" t="str" cm="1">
        <f t="array" aca="1" ref="AW361" ca="1">IFERROR(_xlfn.IFS(OR($M361="",$AM361=""),"",OR($C361="Offered",$C361="Joined"),($AM361-$M361)-$AT361),"")</f>
        <v/>
      </c>
      <c r="AX361" s="32" t="str" cm="1">
        <f t="array" aca="1" ref="AX361" ca="1">IFERROR(_xlfn.IFS(OR($M361="",$AS361=""),"",$C361="Joined",($AS361-$M361)-$AT361),"")</f>
        <v/>
      </c>
      <c r="AY361" s="30" t="str">
        <f>IFERROR(IF(COUNTIFS('Candidate Tracker'!$E:$E,'Positions Tracker'!$B361,'Candidate Tracker'!$C:$C,"Offer Drop")=0,"",COUNTIFS('Candidate Tracker'!$E:$E,'Positions Tracker'!$B361,'Candidate Tracker'!$C:$C,"Offer Drop")),"")</f>
        <v/>
      </c>
      <c r="AZ3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1" s="34" t="str">
        <f>IFERROR(IF(COUNTIFS('Candidate Tracker'!$E:$E,'Positions Tracker'!$B361,'Candidate Tracker'!$I:$I,"Female")=0,"",COUNTIFS('Candidate Tracker'!$E:$E,'Positions Tracker'!$B361,'Candidate Tracker'!$I:$I,"Female")),"")</f>
        <v/>
      </c>
      <c r="BB361" s="34" t="str">
        <f>IFERROR(IF(COUNTIFS('Candidate Tracker'!$E:$E,'Positions Tracker'!$B361,'Candidate Tracker'!$I:$I,"male")=0,"",COUNTIFS('Candidate Tracker'!$E:$E,'Positions Tracker'!$B361,'Candidate Tracker'!$I:$I,"male")),"")</f>
        <v/>
      </c>
      <c r="BC361" s="33" t="str">
        <f>IFERROR(IF(COUNTIFS('Candidate Tracker'!$E:$E,'Positions Tracker'!$B361,'Candidate Tracker'!$C:$C,"&lt;&gt;WIP",'Candidate Tracker'!$C:$C,"&lt;&gt;Hold",'Candidate Tracker'!$C:$C,"&lt;&gt;Cancelled",'Candidate Tracker'!$C:$C,"&lt;&gt;Closed")/COUNTIFS('Candidate Tracker'!$E:$E,'Positions Tracker'!$B361)=0,"",COUNTIFS('Candidate Tracker'!$E:$E,'Positions Tracker'!$B361,'Candidate Tracker'!$C:$C,"&lt;&gt;WIP",'Candidate Tracker'!$C:$C,"&lt;&gt;Hold",'Candidate Tracker'!$C:$C,"&lt;&gt;Cancelled",'Candidate Tracker'!$C:$C,"&lt;&gt;Closed")/COUNTIFS('Candidate Tracker'!$E:$E,'Positions Tracker'!$B361)),"")</f>
        <v/>
      </c>
      <c r="BD361" s="30" t="str">
        <f t="shared" si="45"/>
        <v/>
      </c>
      <c r="BE361" s="30" t="str">
        <f t="shared" si="46"/>
        <v/>
      </c>
      <c r="BF361" s="30" t="str">
        <f t="shared" si="47"/>
        <v/>
      </c>
      <c r="BG361" s="30" t="str">
        <f t="shared" si="48"/>
        <v/>
      </c>
    </row>
    <row r="362" spans="1:59">
      <c r="A362" s="39"/>
      <c r="B362" s="39"/>
      <c r="C362" s="39"/>
      <c r="D362" s="39"/>
      <c r="E362" s="39"/>
      <c r="F362" s="39"/>
      <c r="G362" s="39"/>
      <c r="H362" s="39"/>
      <c r="I362" s="40"/>
      <c r="J362" s="40"/>
      <c r="K362" s="35"/>
      <c r="L362" s="35"/>
      <c r="M362" s="35"/>
      <c r="N362" s="39"/>
      <c r="O362" s="39"/>
      <c r="P362" s="39"/>
      <c r="Q362" s="39"/>
      <c r="R362" s="39"/>
      <c r="S362" s="39"/>
      <c r="T362" s="39"/>
      <c r="U362" s="39"/>
      <c r="V362" s="39"/>
      <c r="W362" s="39"/>
      <c r="X362" s="39"/>
      <c r="Y362" s="39"/>
      <c r="Z362" s="39"/>
      <c r="AA362" s="39"/>
      <c r="AB362" s="39"/>
      <c r="AC362" s="39"/>
      <c r="AD362" s="39"/>
      <c r="AE362" s="39"/>
      <c r="AF362" s="39"/>
      <c r="AG362" s="39"/>
      <c r="AH362" s="39"/>
      <c r="AI362" s="35"/>
      <c r="AJ362" s="39"/>
      <c r="AK362" s="39"/>
      <c r="AL362" s="39"/>
      <c r="AM362" s="35"/>
      <c r="AN362" s="35"/>
      <c r="AO362" s="39"/>
      <c r="AP362" s="39"/>
      <c r="AQ362" s="35"/>
      <c r="AR362" s="35"/>
      <c r="AS362" s="35"/>
      <c r="AT362" s="30">
        <f t="shared" ca="1" si="44"/>
        <v>0</v>
      </c>
      <c r="AU362" s="32" t="str">
        <f t="shared" ca="1" si="43"/>
        <v/>
      </c>
      <c r="AV362" s="32" t="str" cm="1">
        <f t="array" aca="1" ref="AV362" ca="1">IFERROR(_xlfn.IFS($AU362="","",$AU362&lt;=15,"0-15",AND($AU362&gt;=16,$AU362&lt;=30),"16-30",AND($AU362&gt;=31,$AU362&lt;=45),"31-45",AND($AU362&gt;=46,$AU362&lt;=60),"46-60",AND($AU362&gt;=61,$AU362&lt;=90),"61-90",AND($AU362&gt;=91),"&gt; 90",AND($AU362&gt;=2000),""),"")</f>
        <v/>
      </c>
      <c r="AW362" s="32" t="str" cm="1">
        <f t="array" aca="1" ref="AW362" ca="1">IFERROR(_xlfn.IFS(OR($M362="",$AM362=""),"",OR($C362="Offered",$C362="Joined"),($AM362-$M362)-$AT362),"")</f>
        <v/>
      </c>
      <c r="AX362" s="32" t="str" cm="1">
        <f t="array" aca="1" ref="AX362" ca="1">IFERROR(_xlfn.IFS(OR($M362="",$AS362=""),"",$C362="Joined",($AS362-$M362)-$AT362),"")</f>
        <v/>
      </c>
      <c r="AY362" s="30" t="str">
        <f>IFERROR(IF(COUNTIFS('Candidate Tracker'!$E:$E,'Positions Tracker'!$B362,'Candidate Tracker'!$C:$C,"Offer Drop")=0,"",COUNTIFS('Candidate Tracker'!$E:$E,'Positions Tracker'!$B362,'Candidate Tracker'!$C:$C,"Offer Drop")),"")</f>
        <v/>
      </c>
      <c r="AZ3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2" s="34" t="str">
        <f>IFERROR(IF(COUNTIFS('Candidate Tracker'!$E:$E,'Positions Tracker'!$B362,'Candidate Tracker'!$I:$I,"Female")=0,"",COUNTIFS('Candidate Tracker'!$E:$E,'Positions Tracker'!$B362,'Candidate Tracker'!$I:$I,"Female")),"")</f>
        <v/>
      </c>
      <c r="BB362" s="34" t="str">
        <f>IFERROR(IF(COUNTIFS('Candidate Tracker'!$E:$E,'Positions Tracker'!$B362,'Candidate Tracker'!$I:$I,"male")=0,"",COUNTIFS('Candidate Tracker'!$E:$E,'Positions Tracker'!$B362,'Candidate Tracker'!$I:$I,"male")),"")</f>
        <v/>
      </c>
      <c r="BC362" s="33" t="str">
        <f>IFERROR(IF(COUNTIFS('Candidate Tracker'!$E:$E,'Positions Tracker'!$B362,'Candidate Tracker'!$C:$C,"&lt;&gt;WIP",'Candidate Tracker'!$C:$C,"&lt;&gt;Hold",'Candidate Tracker'!$C:$C,"&lt;&gt;Cancelled",'Candidate Tracker'!$C:$C,"&lt;&gt;Closed")/COUNTIFS('Candidate Tracker'!$E:$E,'Positions Tracker'!$B362)=0,"",COUNTIFS('Candidate Tracker'!$E:$E,'Positions Tracker'!$B362,'Candidate Tracker'!$C:$C,"&lt;&gt;WIP",'Candidate Tracker'!$C:$C,"&lt;&gt;Hold",'Candidate Tracker'!$C:$C,"&lt;&gt;Cancelled",'Candidate Tracker'!$C:$C,"&lt;&gt;Closed")/COUNTIFS('Candidate Tracker'!$E:$E,'Positions Tracker'!$B362)),"")</f>
        <v/>
      </c>
      <c r="BD362" s="30" t="str">
        <f t="shared" si="45"/>
        <v/>
      </c>
      <c r="BE362" s="30" t="str">
        <f t="shared" si="46"/>
        <v/>
      </c>
      <c r="BF362" s="30" t="str">
        <f t="shared" si="47"/>
        <v/>
      </c>
      <c r="BG362" s="30" t="str">
        <f t="shared" si="48"/>
        <v/>
      </c>
    </row>
    <row r="363" spans="1:59">
      <c r="A363" s="39"/>
      <c r="B363" s="39"/>
      <c r="C363" s="39"/>
      <c r="D363" s="39"/>
      <c r="E363" s="39"/>
      <c r="F363" s="39"/>
      <c r="G363" s="39"/>
      <c r="H363" s="39"/>
      <c r="I363" s="40"/>
      <c r="J363" s="40"/>
      <c r="K363" s="35"/>
      <c r="L363" s="35"/>
      <c r="M363" s="35"/>
      <c r="N363" s="39"/>
      <c r="O363" s="39"/>
      <c r="P363" s="39"/>
      <c r="Q363" s="39"/>
      <c r="R363" s="39"/>
      <c r="S363" s="39"/>
      <c r="T363" s="39"/>
      <c r="U363" s="39"/>
      <c r="V363" s="39"/>
      <c r="W363" s="39"/>
      <c r="X363" s="39"/>
      <c r="Y363" s="39"/>
      <c r="Z363" s="39"/>
      <c r="AA363" s="39"/>
      <c r="AB363" s="39"/>
      <c r="AC363" s="39"/>
      <c r="AD363" s="39"/>
      <c r="AE363" s="39"/>
      <c r="AF363" s="39"/>
      <c r="AG363" s="39"/>
      <c r="AH363" s="39"/>
      <c r="AI363" s="35"/>
      <c r="AJ363" s="39"/>
      <c r="AK363" s="39"/>
      <c r="AL363" s="39"/>
      <c r="AM363" s="35"/>
      <c r="AN363" s="35"/>
      <c r="AO363" s="39"/>
      <c r="AP363" s="39"/>
      <c r="AQ363" s="35"/>
      <c r="AR363" s="35"/>
      <c r="AS363" s="35"/>
      <c r="AT363" s="30">
        <f t="shared" ca="1" si="44"/>
        <v>0</v>
      </c>
      <c r="AU363" s="32" t="str">
        <f t="shared" ca="1" si="43"/>
        <v/>
      </c>
      <c r="AV363" s="32" t="str" cm="1">
        <f t="array" aca="1" ref="AV363" ca="1">IFERROR(_xlfn.IFS($AU363="","",$AU363&lt;=15,"0-15",AND($AU363&gt;=16,$AU363&lt;=30),"16-30",AND($AU363&gt;=31,$AU363&lt;=45),"31-45",AND($AU363&gt;=46,$AU363&lt;=60),"46-60",AND($AU363&gt;=61,$AU363&lt;=90),"61-90",AND($AU363&gt;=91),"&gt; 90",AND($AU363&gt;=2000),""),"")</f>
        <v/>
      </c>
      <c r="AW363" s="32" t="str" cm="1">
        <f t="array" aca="1" ref="AW363" ca="1">IFERROR(_xlfn.IFS(OR($M363="",$AM363=""),"",OR($C363="Offered",$C363="Joined"),($AM363-$M363)-$AT363),"")</f>
        <v/>
      </c>
      <c r="AX363" s="32" t="str" cm="1">
        <f t="array" aca="1" ref="AX363" ca="1">IFERROR(_xlfn.IFS(OR($M363="",$AS363=""),"",$C363="Joined",($AS363-$M363)-$AT363),"")</f>
        <v/>
      </c>
      <c r="AY363" s="30" t="str">
        <f>IFERROR(IF(COUNTIFS('Candidate Tracker'!$E:$E,'Positions Tracker'!$B363,'Candidate Tracker'!$C:$C,"Offer Drop")=0,"",COUNTIFS('Candidate Tracker'!$E:$E,'Positions Tracker'!$B363,'Candidate Tracker'!$C:$C,"Offer Drop")),"")</f>
        <v/>
      </c>
      <c r="AZ36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3" s="34" t="str">
        <f>IFERROR(IF(COUNTIFS('Candidate Tracker'!$E:$E,'Positions Tracker'!$B363,'Candidate Tracker'!$I:$I,"Female")=0,"",COUNTIFS('Candidate Tracker'!$E:$E,'Positions Tracker'!$B363,'Candidate Tracker'!$I:$I,"Female")),"")</f>
        <v/>
      </c>
      <c r="BB363" s="34" t="str">
        <f>IFERROR(IF(COUNTIFS('Candidate Tracker'!$E:$E,'Positions Tracker'!$B363,'Candidate Tracker'!$I:$I,"male")=0,"",COUNTIFS('Candidate Tracker'!$E:$E,'Positions Tracker'!$B363,'Candidate Tracker'!$I:$I,"male")),"")</f>
        <v/>
      </c>
      <c r="BC363" s="33" t="str">
        <f>IFERROR(IF(COUNTIFS('Candidate Tracker'!$E:$E,'Positions Tracker'!$B363,'Candidate Tracker'!$C:$C,"&lt;&gt;WIP",'Candidate Tracker'!$C:$C,"&lt;&gt;Hold",'Candidate Tracker'!$C:$C,"&lt;&gt;Cancelled",'Candidate Tracker'!$C:$C,"&lt;&gt;Closed")/COUNTIFS('Candidate Tracker'!$E:$E,'Positions Tracker'!$B363)=0,"",COUNTIFS('Candidate Tracker'!$E:$E,'Positions Tracker'!$B363,'Candidate Tracker'!$C:$C,"&lt;&gt;WIP",'Candidate Tracker'!$C:$C,"&lt;&gt;Hold",'Candidate Tracker'!$C:$C,"&lt;&gt;Cancelled",'Candidate Tracker'!$C:$C,"&lt;&gt;Closed")/COUNTIFS('Candidate Tracker'!$E:$E,'Positions Tracker'!$B363)),"")</f>
        <v/>
      </c>
      <c r="BD363" s="30" t="str">
        <f t="shared" si="45"/>
        <v/>
      </c>
      <c r="BE363" s="30" t="str">
        <f t="shared" si="46"/>
        <v/>
      </c>
      <c r="BF363" s="30" t="str">
        <f t="shared" si="47"/>
        <v/>
      </c>
      <c r="BG363" s="30" t="str">
        <f t="shared" si="48"/>
        <v/>
      </c>
    </row>
    <row r="364" spans="1:59">
      <c r="A364" s="39"/>
      <c r="B364" s="39"/>
      <c r="C364" s="39"/>
      <c r="D364" s="39"/>
      <c r="E364" s="39"/>
      <c r="F364" s="39"/>
      <c r="G364" s="39"/>
      <c r="H364" s="39"/>
      <c r="I364" s="40"/>
      <c r="J364" s="40"/>
      <c r="K364" s="35"/>
      <c r="L364" s="35"/>
      <c r="M364" s="35"/>
      <c r="N364" s="39"/>
      <c r="O364" s="39"/>
      <c r="P364" s="39"/>
      <c r="Q364" s="39"/>
      <c r="R364" s="39"/>
      <c r="S364" s="39"/>
      <c r="T364" s="39"/>
      <c r="U364" s="39"/>
      <c r="V364" s="39"/>
      <c r="W364" s="39"/>
      <c r="X364" s="39"/>
      <c r="Y364" s="39"/>
      <c r="Z364" s="39"/>
      <c r="AA364" s="39"/>
      <c r="AB364" s="39"/>
      <c r="AC364" s="39"/>
      <c r="AD364" s="39"/>
      <c r="AE364" s="39"/>
      <c r="AF364" s="39"/>
      <c r="AG364" s="39"/>
      <c r="AH364" s="39"/>
      <c r="AI364" s="35"/>
      <c r="AJ364" s="39"/>
      <c r="AK364" s="39"/>
      <c r="AL364" s="39"/>
      <c r="AM364" s="35"/>
      <c r="AN364" s="35"/>
      <c r="AO364" s="39"/>
      <c r="AP364" s="39"/>
      <c r="AQ364" s="35"/>
      <c r="AR364" s="35"/>
      <c r="AS364" s="35"/>
      <c r="AT364" s="30">
        <f t="shared" ca="1" si="44"/>
        <v>0</v>
      </c>
      <c r="AU364" s="32" t="str">
        <f t="shared" ca="1" si="43"/>
        <v/>
      </c>
      <c r="AV364" s="32" t="str" cm="1">
        <f t="array" aca="1" ref="AV364" ca="1">IFERROR(_xlfn.IFS($AU364="","",$AU364&lt;=15,"0-15",AND($AU364&gt;=16,$AU364&lt;=30),"16-30",AND($AU364&gt;=31,$AU364&lt;=45),"31-45",AND($AU364&gt;=46,$AU364&lt;=60),"46-60",AND($AU364&gt;=61,$AU364&lt;=90),"61-90",AND($AU364&gt;=91),"&gt; 90",AND($AU364&gt;=2000),""),"")</f>
        <v/>
      </c>
      <c r="AW364" s="32" t="str" cm="1">
        <f t="array" aca="1" ref="AW364" ca="1">IFERROR(_xlfn.IFS(OR($M364="",$AM364=""),"",OR($C364="Offered",$C364="Joined"),($AM364-$M364)-$AT364),"")</f>
        <v/>
      </c>
      <c r="AX364" s="32" t="str" cm="1">
        <f t="array" aca="1" ref="AX364" ca="1">IFERROR(_xlfn.IFS(OR($M364="",$AS364=""),"",$C364="Joined",($AS364-$M364)-$AT364),"")</f>
        <v/>
      </c>
      <c r="AY364" s="30" t="str">
        <f>IFERROR(IF(COUNTIFS('Candidate Tracker'!$E:$E,'Positions Tracker'!$B364,'Candidate Tracker'!$C:$C,"Offer Drop")=0,"",COUNTIFS('Candidate Tracker'!$E:$E,'Positions Tracker'!$B364,'Candidate Tracker'!$C:$C,"Offer Drop")),"")</f>
        <v/>
      </c>
      <c r="AZ3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4" s="34" t="str">
        <f>IFERROR(IF(COUNTIFS('Candidate Tracker'!$E:$E,'Positions Tracker'!$B364,'Candidate Tracker'!$I:$I,"Female")=0,"",COUNTIFS('Candidate Tracker'!$E:$E,'Positions Tracker'!$B364,'Candidate Tracker'!$I:$I,"Female")),"")</f>
        <v/>
      </c>
      <c r="BB364" s="34" t="str">
        <f>IFERROR(IF(COUNTIFS('Candidate Tracker'!$E:$E,'Positions Tracker'!$B364,'Candidate Tracker'!$I:$I,"male")=0,"",COUNTIFS('Candidate Tracker'!$E:$E,'Positions Tracker'!$B364,'Candidate Tracker'!$I:$I,"male")),"")</f>
        <v/>
      </c>
      <c r="BC364" s="33" t="str">
        <f>IFERROR(IF(COUNTIFS('Candidate Tracker'!$E:$E,'Positions Tracker'!$B364,'Candidate Tracker'!$C:$C,"&lt;&gt;WIP",'Candidate Tracker'!$C:$C,"&lt;&gt;Hold",'Candidate Tracker'!$C:$C,"&lt;&gt;Cancelled",'Candidate Tracker'!$C:$C,"&lt;&gt;Closed")/COUNTIFS('Candidate Tracker'!$E:$E,'Positions Tracker'!$B364)=0,"",COUNTIFS('Candidate Tracker'!$E:$E,'Positions Tracker'!$B364,'Candidate Tracker'!$C:$C,"&lt;&gt;WIP",'Candidate Tracker'!$C:$C,"&lt;&gt;Hold",'Candidate Tracker'!$C:$C,"&lt;&gt;Cancelled",'Candidate Tracker'!$C:$C,"&lt;&gt;Closed")/COUNTIFS('Candidate Tracker'!$E:$E,'Positions Tracker'!$B364)),"")</f>
        <v/>
      </c>
      <c r="BD364" s="30" t="str">
        <f t="shared" si="45"/>
        <v/>
      </c>
      <c r="BE364" s="30" t="str">
        <f t="shared" si="46"/>
        <v/>
      </c>
      <c r="BF364" s="30" t="str">
        <f t="shared" si="47"/>
        <v/>
      </c>
      <c r="BG364" s="30" t="str">
        <f t="shared" si="48"/>
        <v/>
      </c>
    </row>
    <row r="365" spans="1:59">
      <c r="A365" s="39"/>
      <c r="B365" s="39"/>
      <c r="C365" s="39"/>
      <c r="D365" s="39"/>
      <c r="E365" s="39"/>
      <c r="F365" s="39"/>
      <c r="G365" s="39"/>
      <c r="H365" s="39"/>
      <c r="I365" s="40"/>
      <c r="J365" s="40"/>
      <c r="K365" s="35"/>
      <c r="L365" s="35"/>
      <c r="M365" s="35"/>
      <c r="N365" s="39"/>
      <c r="O365" s="39"/>
      <c r="P365" s="39"/>
      <c r="Q365" s="39"/>
      <c r="R365" s="39"/>
      <c r="S365" s="39"/>
      <c r="T365" s="39"/>
      <c r="U365" s="39"/>
      <c r="V365" s="39"/>
      <c r="W365" s="39"/>
      <c r="X365" s="39"/>
      <c r="Y365" s="39"/>
      <c r="Z365" s="39"/>
      <c r="AA365" s="39"/>
      <c r="AB365" s="39"/>
      <c r="AC365" s="39"/>
      <c r="AD365" s="39"/>
      <c r="AE365" s="39"/>
      <c r="AF365" s="39"/>
      <c r="AG365" s="39"/>
      <c r="AH365" s="39"/>
      <c r="AI365" s="35"/>
      <c r="AJ365" s="39"/>
      <c r="AK365" s="39"/>
      <c r="AL365" s="39"/>
      <c r="AM365" s="35"/>
      <c r="AN365" s="35"/>
      <c r="AO365" s="39"/>
      <c r="AP365" s="39"/>
      <c r="AQ365" s="35"/>
      <c r="AR365" s="35"/>
      <c r="AS365" s="35"/>
      <c r="AT365" s="30">
        <f t="shared" ca="1" si="44"/>
        <v>0</v>
      </c>
      <c r="AU365" s="32" t="str">
        <f t="shared" ca="1" si="43"/>
        <v/>
      </c>
      <c r="AV365" s="32" t="str" cm="1">
        <f t="array" aca="1" ref="AV365" ca="1">IFERROR(_xlfn.IFS($AU365="","",$AU365&lt;=15,"0-15",AND($AU365&gt;=16,$AU365&lt;=30),"16-30",AND($AU365&gt;=31,$AU365&lt;=45),"31-45",AND($AU365&gt;=46,$AU365&lt;=60),"46-60",AND($AU365&gt;=61,$AU365&lt;=90),"61-90",AND($AU365&gt;=91),"&gt; 90",AND($AU365&gt;=2000),""),"")</f>
        <v/>
      </c>
      <c r="AW365" s="32" t="str" cm="1">
        <f t="array" aca="1" ref="AW365" ca="1">IFERROR(_xlfn.IFS(OR($M365="",$AM365=""),"",OR($C365="Offered",$C365="Joined"),($AM365-$M365)-$AT365),"")</f>
        <v/>
      </c>
      <c r="AX365" s="32" t="str" cm="1">
        <f t="array" aca="1" ref="AX365" ca="1">IFERROR(_xlfn.IFS(OR($M365="",$AS365=""),"",$C365="Joined",($AS365-$M365)-$AT365),"")</f>
        <v/>
      </c>
      <c r="AY365" s="30" t="str">
        <f>IFERROR(IF(COUNTIFS('Candidate Tracker'!$E:$E,'Positions Tracker'!$B365,'Candidate Tracker'!$C:$C,"Offer Drop")=0,"",COUNTIFS('Candidate Tracker'!$E:$E,'Positions Tracker'!$B365,'Candidate Tracker'!$C:$C,"Offer Drop")),"")</f>
        <v/>
      </c>
      <c r="AZ36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5" s="34" t="str">
        <f>IFERROR(IF(COUNTIFS('Candidate Tracker'!$E:$E,'Positions Tracker'!$B365,'Candidate Tracker'!$I:$I,"Female")=0,"",COUNTIFS('Candidate Tracker'!$E:$E,'Positions Tracker'!$B365,'Candidate Tracker'!$I:$I,"Female")),"")</f>
        <v/>
      </c>
      <c r="BB365" s="34" t="str">
        <f>IFERROR(IF(COUNTIFS('Candidate Tracker'!$E:$E,'Positions Tracker'!$B365,'Candidate Tracker'!$I:$I,"male")=0,"",COUNTIFS('Candidate Tracker'!$E:$E,'Positions Tracker'!$B365,'Candidate Tracker'!$I:$I,"male")),"")</f>
        <v/>
      </c>
      <c r="BC365" s="33" t="str">
        <f>IFERROR(IF(COUNTIFS('Candidate Tracker'!$E:$E,'Positions Tracker'!$B365,'Candidate Tracker'!$C:$C,"&lt;&gt;WIP",'Candidate Tracker'!$C:$C,"&lt;&gt;Hold",'Candidate Tracker'!$C:$C,"&lt;&gt;Cancelled",'Candidate Tracker'!$C:$C,"&lt;&gt;Closed")/COUNTIFS('Candidate Tracker'!$E:$E,'Positions Tracker'!$B365)=0,"",COUNTIFS('Candidate Tracker'!$E:$E,'Positions Tracker'!$B365,'Candidate Tracker'!$C:$C,"&lt;&gt;WIP",'Candidate Tracker'!$C:$C,"&lt;&gt;Hold",'Candidate Tracker'!$C:$C,"&lt;&gt;Cancelled",'Candidate Tracker'!$C:$C,"&lt;&gt;Closed")/COUNTIFS('Candidate Tracker'!$E:$E,'Positions Tracker'!$B365)),"")</f>
        <v/>
      </c>
      <c r="BD365" s="30" t="str">
        <f t="shared" si="45"/>
        <v/>
      </c>
      <c r="BE365" s="30" t="str">
        <f t="shared" si="46"/>
        <v/>
      </c>
      <c r="BF365" s="30" t="str">
        <f t="shared" si="47"/>
        <v/>
      </c>
      <c r="BG365" s="30" t="str">
        <f t="shared" si="48"/>
        <v/>
      </c>
    </row>
    <row r="366" spans="1:59">
      <c r="A366" s="39"/>
      <c r="B366" s="39"/>
      <c r="C366" s="39"/>
      <c r="D366" s="39"/>
      <c r="E366" s="39"/>
      <c r="F366" s="39"/>
      <c r="G366" s="39"/>
      <c r="H366" s="39"/>
      <c r="I366" s="40"/>
      <c r="J366" s="40"/>
      <c r="K366" s="35"/>
      <c r="L366" s="35"/>
      <c r="M366" s="35"/>
      <c r="N366" s="39"/>
      <c r="O366" s="39"/>
      <c r="P366" s="39"/>
      <c r="Q366" s="39"/>
      <c r="R366" s="39"/>
      <c r="S366" s="39"/>
      <c r="T366" s="39"/>
      <c r="U366" s="39"/>
      <c r="V366" s="39"/>
      <c r="W366" s="39"/>
      <c r="X366" s="39"/>
      <c r="Y366" s="39"/>
      <c r="Z366" s="39"/>
      <c r="AA366" s="39"/>
      <c r="AB366" s="39"/>
      <c r="AC366" s="39"/>
      <c r="AD366" s="39"/>
      <c r="AE366" s="39"/>
      <c r="AF366" s="39"/>
      <c r="AG366" s="39"/>
      <c r="AH366" s="39"/>
      <c r="AI366" s="35"/>
      <c r="AJ366" s="39"/>
      <c r="AK366" s="39"/>
      <c r="AL366" s="39"/>
      <c r="AM366" s="35"/>
      <c r="AN366" s="35"/>
      <c r="AO366" s="39"/>
      <c r="AP366" s="39"/>
      <c r="AQ366" s="35"/>
      <c r="AR366" s="35"/>
      <c r="AS366" s="35"/>
      <c r="AT366" s="30">
        <f t="shared" ca="1" si="44"/>
        <v>0</v>
      </c>
      <c r="AU366" s="32" t="str">
        <f t="shared" ca="1" si="43"/>
        <v/>
      </c>
      <c r="AV366" s="32" t="str" cm="1">
        <f t="array" aca="1" ref="AV366" ca="1">IFERROR(_xlfn.IFS($AU366="","",$AU366&lt;=15,"0-15",AND($AU366&gt;=16,$AU366&lt;=30),"16-30",AND($AU366&gt;=31,$AU366&lt;=45),"31-45",AND($AU366&gt;=46,$AU366&lt;=60),"46-60",AND($AU366&gt;=61,$AU366&lt;=90),"61-90",AND($AU366&gt;=91),"&gt; 90",AND($AU366&gt;=2000),""),"")</f>
        <v/>
      </c>
      <c r="AW366" s="32" t="str" cm="1">
        <f t="array" aca="1" ref="AW366" ca="1">IFERROR(_xlfn.IFS(OR($M366="",$AM366=""),"",OR($C366="Offered",$C366="Joined"),($AM366-$M366)-$AT366),"")</f>
        <v/>
      </c>
      <c r="AX366" s="32" t="str" cm="1">
        <f t="array" aca="1" ref="AX366" ca="1">IFERROR(_xlfn.IFS(OR($M366="",$AS366=""),"",$C366="Joined",($AS366-$M366)-$AT366),"")</f>
        <v/>
      </c>
      <c r="AY366" s="30" t="str">
        <f>IFERROR(IF(COUNTIFS('Candidate Tracker'!$E:$E,'Positions Tracker'!$B366,'Candidate Tracker'!$C:$C,"Offer Drop")=0,"",COUNTIFS('Candidate Tracker'!$E:$E,'Positions Tracker'!$B366,'Candidate Tracker'!$C:$C,"Offer Drop")),"")</f>
        <v/>
      </c>
      <c r="AZ3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6" s="34" t="str">
        <f>IFERROR(IF(COUNTIFS('Candidate Tracker'!$E:$E,'Positions Tracker'!$B366,'Candidate Tracker'!$I:$I,"Female")=0,"",COUNTIFS('Candidate Tracker'!$E:$E,'Positions Tracker'!$B366,'Candidate Tracker'!$I:$I,"Female")),"")</f>
        <v/>
      </c>
      <c r="BB366" s="34" t="str">
        <f>IFERROR(IF(COUNTIFS('Candidate Tracker'!$E:$E,'Positions Tracker'!$B366,'Candidate Tracker'!$I:$I,"male")=0,"",COUNTIFS('Candidate Tracker'!$E:$E,'Positions Tracker'!$B366,'Candidate Tracker'!$I:$I,"male")),"")</f>
        <v/>
      </c>
      <c r="BC366" s="33" t="str">
        <f>IFERROR(IF(COUNTIFS('Candidate Tracker'!$E:$E,'Positions Tracker'!$B366,'Candidate Tracker'!$C:$C,"&lt;&gt;WIP",'Candidate Tracker'!$C:$C,"&lt;&gt;Hold",'Candidate Tracker'!$C:$C,"&lt;&gt;Cancelled",'Candidate Tracker'!$C:$C,"&lt;&gt;Closed")/COUNTIFS('Candidate Tracker'!$E:$E,'Positions Tracker'!$B366)=0,"",COUNTIFS('Candidate Tracker'!$E:$E,'Positions Tracker'!$B366,'Candidate Tracker'!$C:$C,"&lt;&gt;WIP",'Candidate Tracker'!$C:$C,"&lt;&gt;Hold",'Candidate Tracker'!$C:$C,"&lt;&gt;Cancelled",'Candidate Tracker'!$C:$C,"&lt;&gt;Closed")/COUNTIFS('Candidate Tracker'!$E:$E,'Positions Tracker'!$B366)),"")</f>
        <v/>
      </c>
      <c r="BD366" s="30" t="str">
        <f t="shared" si="45"/>
        <v/>
      </c>
      <c r="BE366" s="30" t="str">
        <f t="shared" si="46"/>
        <v/>
      </c>
      <c r="BF366" s="30" t="str">
        <f t="shared" si="47"/>
        <v/>
      </c>
      <c r="BG366" s="30" t="str">
        <f t="shared" si="48"/>
        <v/>
      </c>
    </row>
    <row r="367" spans="1:59">
      <c r="A367" s="39"/>
      <c r="B367" s="39"/>
      <c r="C367" s="39"/>
      <c r="D367" s="39"/>
      <c r="E367" s="39"/>
      <c r="F367" s="39"/>
      <c r="G367" s="39"/>
      <c r="H367" s="39"/>
      <c r="I367" s="40"/>
      <c r="J367" s="40"/>
      <c r="K367" s="35"/>
      <c r="L367" s="35"/>
      <c r="M367" s="35"/>
      <c r="N367" s="39"/>
      <c r="O367" s="39"/>
      <c r="P367" s="39"/>
      <c r="Q367" s="39"/>
      <c r="R367" s="39"/>
      <c r="S367" s="39"/>
      <c r="T367" s="39"/>
      <c r="U367" s="39"/>
      <c r="V367" s="39"/>
      <c r="W367" s="39"/>
      <c r="X367" s="39"/>
      <c r="Y367" s="39"/>
      <c r="Z367" s="39"/>
      <c r="AA367" s="39"/>
      <c r="AB367" s="39"/>
      <c r="AC367" s="39"/>
      <c r="AD367" s="39"/>
      <c r="AE367" s="39"/>
      <c r="AF367" s="39"/>
      <c r="AG367" s="39"/>
      <c r="AH367" s="39"/>
      <c r="AI367" s="35"/>
      <c r="AJ367" s="39"/>
      <c r="AK367" s="39"/>
      <c r="AL367" s="39"/>
      <c r="AM367" s="35"/>
      <c r="AN367" s="35"/>
      <c r="AO367" s="39"/>
      <c r="AP367" s="39"/>
      <c r="AQ367" s="35"/>
      <c r="AR367" s="35"/>
      <c r="AS367" s="35"/>
      <c r="AT367" s="30">
        <f t="shared" ca="1" si="44"/>
        <v>0</v>
      </c>
      <c r="AU367" s="32" t="str">
        <f t="shared" ca="1" si="43"/>
        <v/>
      </c>
      <c r="AV367" s="32" t="str" cm="1">
        <f t="array" aca="1" ref="AV367" ca="1">IFERROR(_xlfn.IFS($AU367="","",$AU367&lt;=15,"0-15",AND($AU367&gt;=16,$AU367&lt;=30),"16-30",AND($AU367&gt;=31,$AU367&lt;=45),"31-45",AND($AU367&gt;=46,$AU367&lt;=60),"46-60",AND($AU367&gt;=61,$AU367&lt;=90),"61-90",AND($AU367&gt;=91),"&gt; 90",AND($AU367&gt;=2000),""),"")</f>
        <v/>
      </c>
      <c r="AW367" s="32" t="str" cm="1">
        <f t="array" aca="1" ref="AW367" ca="1">IFERROR(_xlfn.IFS(OR($M367="",$AM367=""),"",OR($C367="Offered",$C367="Joined"),($AM367-$M367)-$AT367),"")</f>
        <v/>
      </c>
      <c r="AX367" s="32" t="str" cm="1">
        <f t="array" aca="1" ref="AX367" ca="1">IFERROR(_xlfn.IFS(OR($M367="",$AS367=""),"",$C367="Joined",($AS367-$M367)-$AT367),"")</f>
        <v/>
      </c>
      <c r="AY367" s="30" t="str">
        <f>IFERROR(IF(COUNTIFS('Candidate Tracker'!$E:$E,'Positions Tracker'!$B367,'Candidate Tracker'!$C:$C,"Offer Drop")=0,"",COUNTIFS('Candidate Tracker'!$E:$E,'Positions Tracker'!$B367,'Candidate Tracker'!$C:$C,"Offer Drop")),"")</f>
        <v/>
      </c>
      <c r="AZ3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7" s="34" t="str">
        <f>IFERROR(IF(COUNTIFS('Candidate Tracker'!$E:$E,'Positions Tracker'!$B367,'Candidate Tracker'!$I:$I,"Female")=0,"",COUNTIFS('Candidate Tracker'!$E:$E,'Positions Tracker'!$B367,'Candidate Tracker'!$I:$I,"Female")),"")</f>
        <v/>
      </c>
      <c r="BB367" s="34" t="str">
        <f>IFERROR(IF(COUNTIFS('Candidate Tracker'!$E:$E,'Positions Tracker'!$B367,'Candidate Tracker'!$I:$I,"male")=0,"",COUNTIFS('Candidate Tracker'!$E:$E,'Positions Tracker'!$B367,'Candidate Tracker'!$I:$I,"male")),"")</f>
        <v/>
      </c>
      <c r="BC367" s="33" t="str">
        <f>IFERROR(IF(COUNTIFS('Candidate Tracker'!$E:$E,'Positions Tracker'!$B367,'Candidate Tracker'!$C:$C,"&lt;&gt;WIP",'Candidate Tracker'!$C:$C,"&lt;&gt;Hold",'Candidate Tracker'!$C:$C,"&lt;&gt;Cancelled",'Candidate Tracker'!$C:$C,"&lt;&gt;Closed")/COUNTIFS('Candidate Tracker'!$E:$E,'Positions Tracker'!$B367)=0,"",COUNTIFS('Candidate Tracker'!$E:$E,'Positions Tracker'!$B367,'Candidate Tracker'!$C:$C,"&lt;&gt;WIP",'Candidate Tracker'!$C:$C,"&lt;&gt;Hold",'Candidate Tracker'!$C:$C,"&lt;&gt;Cancelled",'Candidate Tracker'!$C:$C,"&lt;&gt;Closed")/COUNTIFS('Candidate Tracker'!$E:$E,'Positions Tracker'!$B367)),"")</f>
        <v/>
      </c>
      <c r="BD367" s="30" t="str">
        <f t="shared" si="45"/>
        <v/>
      </c>
      <c r="BE367" s="30" t="str">
        <f t="shared" si="46"/>
        <v/>
      </c>
      <c r="BF367" s="30" t="str">
        <f t="shared" si="47"/>
        <v/>
      </c>
      <c r="BG367" s="30" t="str">
        <f t="shared" si="48"/>
        <v/>
      </c>
    </row>
    <row r="368" spans="1:59">
      <c r="A368" s="39"/>
      <c r="B368" s="39"/>
      <c r="C368" s="39"/>
      <c r="D368" s="39"/>
      <c r="E368" s="39"/>
      <c r="F368" s="39"/>
      <c r="G368" s="39"/>
      <c r="H368" s="39"/>
      <c r="I368" s="40"/>
      <c r="J368" s="40"/>
      <c r="K368" s="35"/>
      <c r="L368" s="35"/>
      <c r="M368" s="35"/>
      <c r="N368" s="39"/>
      <c r="O368" s="39"/>
      <c r="P368" s="39"/>
      <c r="Q368" s="39"/>
      <c r="R368" s="39"/>
      <c r="S368" s="39"/>
      <c r="T368" s="39"/>
      <c r="U368" s="39"/>
      <c r="V368" s="39"/>
      <c r="W368" s="39"/>
      <c r="X368" s="39"/>
      <c r="Y368" s="39"/>
      <c r="Z368" s="39"/>
      <c r="AA368" s="39"/>
      <c r="AB368" s="39"/>
      <c r="AC368" s="39"/>
      <c r="AD368" s="39"/>
      <c r="AE368" s="39"/>
      <c r="AF368" s="39"/>
      <c r="AG368" s="39"/>
      <c r="AH368" s="39"/>
      <c r="AI368" s="35"/>
      <c r="AJ368" s="39"/>
      <c r="AK368" s="39"/>
      <c r="AL368" s="39"/>
      <c r="AM368" s="35"/>
      <c r="AN368" s="35"/>
      <c r="AO368" s="39"/>
      <c r="AP368" s="39"/>
      <c r="AQ368" s="35"/>
      <c r="AR368" s="35"/>
      <c r="AS368" s="35"/>
      <c r="AT368" s="30">
        <f t="shared" ca="1" si="44"/>
        <v>0</v>
      </c>
      <c r="AU368" s="32" t="str">
        <f t="shared" ca="1" si="43"/>
        <v/>
      </c>
      <c r="AV368" s="32" t="str" cm="1">
        <f t="array" aca="1" ref="AV368" ca="1">IFERROR(_xlfn.IFS($AU368="","",$AU368&lt;=15,"0-15",AND($AU368&gt;=16,$AU368&lt;=30),"16-30",AND($AU368&gt;=31,$AU368&lt;=45),"31-45",AND($AU368&gt;=46,$AU368&lt;=60),"46-60",AND($AU368&gt;=61,$AU368&lt;=90),"61-90",AND($AU368&gt;=91),"&gt; 90",AND($AU368&gt;=2000),""),"")</f>
        <v/>
      </c>
      <c r="AW368" s="32" t="str" cm="1">
        <f t="array" aca="1" ref="AW368" ca="1">IFERROR(_xlfn.IFS(OR($M368="",$AM368=""),"",OR($C368="Offered",$C368="Joined"),($AM368-$M368)-$AT368),"")</f>
        <v/>
      </c>
      <c r="AX368" s="32" t="str" cm="1">
        <f t="array" aca="1" ref="AX368" ca="1">IFERROR(_xlfn.IFS(OR($M368="",$AS368=""),"",$C368="Joined",($AS368-$M368)-$AT368),"")</f>
        <v/>
      </c>
      <c r="AY368" s="30" t="str">
        <f>IFERROR(IF(COUNTIFS('Candidate Tracker'!$E:$E,'Positions Tracker'!$B368,'Candidate Tracker'!$C:$C,"Offer Drop")=0,"",COUNTIFS('Candidate Tracker'!$E:$E,'Positions Tracker'!$B368,'Candidate Tracker'!$C:$C,"Offer Drop")),"")</f>
        <v/>
      </c>
      <c r="AZ3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8" s="34" t="str">
        <f>IFERROR(IF(COUNTIFS('Candidate Tracker'!$E:$E,'Positions Tracker'!$B368,'Candidate Tracker'!$I:$I,"Female")=0,"",COUNTIFS('Candidate Tracker'!$E:$E,'Positions Tracker'!$B368,'Candidate Tracker'!$I:$I,"Female")),"")</f>
        <v/>
      </c>
      <c r="BB368" s="34" t="str">
        <f>IFERROR(IF(COUNTIFS('Candidate Tracker'!$E:$E,'Positions Tracker'!$B368,'Candidate Tracker'!$I:$I,"male")=0,"",COUNTIFS('Candidate Tracker'!$E:$E,'Positions Tracker'!$B368,'Candidate Tracker'!$I:$I,"male")),"")</f>
        <v/>
      </c>
      <c r="BC368" s="33" t="str">
        <f>IFERROR(IF(COUNTIFS('Candidate Tracker'!$E:$E,'Positions Tracker'!$B368,'Candidate Tracker'!$C:$C,"&lt;&gt;WIP",'Candidate Tracker'!$C:$C,"&lt;&gt;Hold",'Candidate Tracker'!$C:$C,"&lt;&gt;Cancelled",'Candidate Tracker'!$C:$C,"&lt;&gt;Closed")/COUNTIFS('Candidate Tracker'!$E:$E,'Positions Tracker'!$B368)=0,"",COUNTIFS('Candidate Tracker'!$E:$E,'Positions Tracker'!$B368,'Candidate Tracker'!$C:$C,"&lt;&gt;WIP",'Candidate Tracker'!$C:$C,"&lt;&gt;Hold",'Candidate Tracker'!$C:$C,"&lt;&gt;Cancelled",'Candidate Tracker'!$C:$C,"&lt;&gt;Closed")/COUNTIFS('Candidate Tracker'!$E:$E,'Positions Tracker'!$B368)),"")</f>
        <v/>
      </c>
      <c r="BD368" s="30" t="str">
        <f t="shared" si="45"/>
        <v/>
      </c>
      <c r="BE368" s="30" t="str">
        <f t="shared" si="46"/>
        <v/>
      </c>
      <c r="BF368" s="30" t="str">
        <f t="shared" si="47"/>
        <v/>
      </c>
      <c r="BG368" s="30" t="str">
        <f t="shared" si="48"/>
        <v/>
      </c>
    </row>
    <row r="369" spans="1:59">
      <c r="A369" s="39"/>
      <c r="B369" s="39"/>
      <c r="C369" s="39"/>
      <c r="D369" s="39"/>
      <c r="E369" s="39"/>
      <c r="F369" s="39"/>
      <c r="G369" s="39"/>
      <c r="H369" s="39"/>
      <c r="I369" s="40"/>
      <c r="J369" s="40"/>
      <c r="K369" s="35"/>
      <c r="L369" s="35"/>
      <c r="M369" s="35"/>
      <c r="N369" s="39"/>
      <c r="O369" s="39"/>
      <c r="P369" s="39"/>
      <c r="Q369" s="39"/>
      <c r="R369" s="39"/>
      <c r="S369" s="39"/>
      <c r="T369" s="39"/>
      <c r="U369" s="39"/>
      <c r="V369" s="39"/>
      <c r="W369" s="39"/>
      <c r="X369" s="39"/>
      <c r="Y369" s="39"/>
      <c r="Z369" s="39"/>
      <c r="AA369" s="39"/>
      <c r="AB369" s="39"/>
      <c r="AC369" s="39"/>
      <c r="AD369" s="39"/>
      <c r="AE369" s="39"/>
      <c r="AF369" s="39"/>
      <c r="AG369" s="39"/>
      <c r="AH369" s="39"/>
      <c r="AI369" s="35"/>
      <c r="AJ369" s="39"/>
      <c r="AK369" s="39"/>
      <c r="AL369" s="39"/>
      <c r="AM369" s="35"/>
      <c r="AN369" s="35"/>
      <c r="AO369" s="39"/>
      <c r="AP369" s="39"/>
      <c r="AQ369" s="35"/>
      <c r="AR369" s="35"/>
      <c r="AS369" s="35"/>
      <c r="AT369" s="30">
        <f t="shared" ca="1" si="44"/>
        <v>0</v>
      </c>
      <c r="AU369" s="32" t="str">
        <f t="shared" ca="1" si="43"/>
        <v/>
      </c>
      <c r="AV369" s="32" t="str" cm="1">
        <f t="array" aca="1" ref="AV369" ca="1">IFERROR(_xlfn.IFS($AU369="","",$AU369&lt;=15,"0-15",AND($AU369&gt;=16,$AU369&lt;=30),"16-30",AND($AU369&gt;=31,$AU369&lt;=45),"31-45",AND($AU369&gt;=46,$AU369&lt;=60),"46-60",AND($AU369&gt;=61,$AU369&lt;=90),"61-90",AND($AU369&gt;=91),"&gt; 90",AND($AU369&gt;=2000),""),"")</f>
        <v/>
      </c>
      <c r="AW369" s="32" t="str" cm="1">
        <f t="array" aca="1" ref="AW369" ca="1">IFERROR(_xlfn.IFS(OR($M369="",$AM369=""),"",OR($C369="Offered",$C369="Joined"),($AM369-$M369)-$AT369),"")</f>
        <v/>
      </c>
      <c r="AX369" s="32" t="str" cm="1">
        <f t="array" aca="1" ref="AX369" ca="1">IFERROR(_xlfn.IFS(OR($M369="",$AS369=""),"",$C369="Joined",($AS369-$M369)-$AT369),"")</f>
        <v/>
      </c>
      <c r="AY369" s="30" t="str">
        <f>IFERROR(IF(COUNTIFS('Candidate Tracker'!$E:$E,'Positions Tracker'!$B369,'Candidate Tracker'!$C:$C,"Offer Drop")=0,"",COUNTIFS('Candidate Tracker'!$E:$E,'Positions Tracker'!$B369,'Candidate Tracker'!$C:$C,"Offer Drop")),"")</f>
        <v/>
      </c>
      <c r="AZ3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69" s="34" t="str">
        <f>IFERROR(IF(COUNTIFS('Candidate Tracker'!$E:$E,'Positions Tracker'!$B369,'Candidate Tracker'!$I:$I,"Female")=0,"",COUNTIFS('Candidate Tracker'!$E:$E,'Positions Tracker'!$B369,'Candidate Tracker'!$I:$I,"Female")),"")</f>
        <v/>
      </c>
      <c r="BB369" s="34" t="str">
        <f>IFERROR(IF(COUNTIFS('Candidate Tracker'!$E:$E,'Positions Tracker'!$B369,'Candidate Tracker'!$I:$I,"male")=0,"",COUNTIFS('Candidate Tracker'!$E:$E,'Positions Tracker'!$B369,'Candidate Tracker'!$I:$I,"male")),"")</f>
        <v/>
      </c>
      <c r="BC369" s="33" t="str">
        <f>IFERROR(IF(COUNTIFS('Candidate Tracker'!$E:$E,'Positions Tracker'!$B369,'Candidate Tracker'!$C:$C,"&lt;&gt;WIP",'Candidate Tracker'!$C:$C,"&lt;&gt;Hold",'Candidate Tracker'!$C:$C,"&lt;&gt;Cancelled",'Candidate Tracker'!$C:$C,"&lt;&gt;Closed")/COUNTIFS('Candidate Tracker'!$E:$E,'Positions Tracker'!$B369)=0,"",COUNTIFS('Candidate Tracker'!$E:$E,'Positions Tracker'!$B369,'Candidate Tracker'!$C:$C,"&lt;&gt;WIP",'Candidate Tracker'!$C:$C,"&lt;&gt;Hold",'Candidate Tracker'!$C:$C,"&lt;&gt;Cancelled",'Candidate Tracker'!$C:$C,"&lt;&gt;Closed")/COUNTIFS('Candidate Tracker'!$E:$E,'Positions Tracker'!$B369)),"")</f>
        <v/>
      </c>
      <c r="BD369" s="30" t="str">
        <f t="shared" si="45"/>
        <v/>
      </c>
      <c r="BE369" s="30" t="str">
        <f t="shared" si="46"/>
        <v/>
      </c>
      <c r="BF369" s="30" t="str">
        <f t="shared" si="47"/>
        <v/>
      </c>
      <c r="BG369" s="30" t="str">
        <f t="shared" si="48"/>
        <v/>
      </c>
    </row>
    <row r="370" spans="1:59">
      <c r="A370" s="39"/>
      <c r="B370" s="39"/>
      <c r="C370" s="39"/>
      <c r="D370" s="39"/>
      <c r="E370" s="39"/>
      <c r="F370" s="39"/>
      <c r="G370" s="39"/>
      <c r="H370" s="39"/>
      <c r="I370" s="40"/>
      <c r="J370" s="40"/>
      <c r="K370" s="35"/>
      <c r="L370" s="35"/>
      <c r="M370" s="35"/>
      <c r="N370" s="39"/>
      <c r="O370" s="39"/>
      <c r="P370" s="39"/>
      <c r="Q370" s="39"/>
      <c r="R370" s="39"/>
      <c r="S370" s="39"/>
      <c r="T370" s="39"/>
      <c r="U370" s="39"/>
      <c r="V370" s="39"/>
      <c r="W370" s="39"/>
      <c r="X370" s="39"/>
      <c r="Y370" s="39"/>
      <c r="Z370" s="39"/>
      <c r="AA370" s="39"/>
      <c r="AB370" s="39"/>
      <c r="AC370" s="39"/>
      <c r="AD370" s="39"/>
      <c r="AE370" s="39"/>
      <c r="AF370" s="39"/>
      <c r="AG370" s="39"/>
      <c r="AH370" s="39"/>
      <c r="AI370" s="35"/>
      <c r="AJ370" s="39"/>
      <c r="AK370" s="39"/>
      <c r="AL370" s="39"/>
      <c r="AM370" s="35"/>
      <c r="AN370" s="35"/>
      <c r="AO370" s="39"/>
      <c r="AP370" s="39"/>
      <c r="AQ370" s="35"/>
      <c r="AR370" s="35"/>
      <c r="AS370" s="35"/>
      <c r="AT370" s="30">
        <f t="shared" ca="1" si="44"/>
        <v>0</v>
      </c>
      <c r="AU370" s="32" t="str">
        <f t="shared" ca="1" si="43"/>
        <v/>
      </c>
      <c r="AV370" s="32" t="str" cm="1">
        <f t="array" aca="1" ref="AV370" ca="1">IFERROR(_xlfn.IFS($AU370="","",$AU370&lt;=15,"0-15",AND($AU370&gt;=16,$AU370&lt;=30),"16-30",AND($AU370&gt;=31,$AU370&lt;=45),"31-45",AND($AU370&gt;=46,$AU370&lt;=60),"46-60",AND($AU370&gt;=61,$AU370&lt;=90),"61-90",AND($AU370&gt;=91),"&gt; 90",AND($AU370&gt;=2000),""),"")</f>
        <v/>
      </c>
      <c r="AW370" s="32" t="str" cm="1">
        <f t="array" aca="1" ref="AW370" ca="1">IFERROR(_xlfn.IFS(OR($M370="",$AM370=""),"",OR($C370="Offered",$C370="Joined"),($AM370-$M370)-$AT370),"")</f>
        <v/>
      </c>
      <c r="AX370" s="32" t="str" cm="1">
        <f t="array" aca="1" ref="AX370" ca="1">IFERROR(_xlfn.IFS(OR($M370="",$AS370=""),"",$C370="Joined",($AS370-$M370)-$AT370),"")</f>
        <v/>
      </c>
      <c r="AY370" s="30" t="str">
        <f>IFERROR(IF(COUNTIFS('Candidate Tracker'!$E:$E,'Positions Tracker'!$B370,'Candidate Tracker'!$C:$C,"Offer Drop")=0,"",COUNTIFS('Candidate Tracker'!$E:$E,'Positions Tracker'!$B370,'Candidate Tracker'!$C:$C,"Offer Drop")),"")</f>
        <v/>
      </c>
      <c r="AZ3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0" s="34" t="str">
        <f>IFERROR(IF(COUNTIFS('Candidate Tracker'!$E:$E,'Positions Tracker'!$B370,'Candidate Tracker'!$I:$I,"Female")=0,"",COUNTIFS('Candidate Tracker'!$E:$E,'Positions Tracker'!$B370,'Candidate Tracker'!$I:$I,"Female")),"")</f>
        <v/>
      </c>
      <c r="BB370" s="34" t="str">
        <f>IFERROR(IF(COUNTIFS('Candidate Tracker'!$E:$E,'Positions Tracker'!$B370,'Candidate Tracker'!$I:$I,"male")=0,"",COUNTIFS('Candidate Tracker'!$E:$E,'Positions Tracker'!$B370,'Candidate Tracker'!$I:$I,"male")),"")</f>
        <v/>
      </c>
      <c r="BC370" s="33" t="str">
        <f>IFERROR(IF(COUNTIFS('Candidate Tracker'!$E:$E,'Positions Tracker'!$B370,'Candidate Tracker'!$C:$C,"&lt;&gt;WIP",'Candidate Tracker'!$C:$C,"&lt;&gt;Hold",'Candidate Tracker'!$C:$C,"&lt;&gt;Cancelled",'Candidate Tracker'!$C:$C,"&lt;&gt;Closed")/COUNTIFS('Candidate Tracker'!$E:$E,'Positions Tracker'!$B370)=0,"",COUNTIFS('Candidate Tracker'!$E:$E,'Positions Tracker'!$B370,'Candidate Tracker'!$C:$C,"&lt;&gt;WIP",'Candidate Tracker'!$C:$C,"&lt;&gt;Hold",'Candidate Tracker'!$C:$C,"&lt;&gt;Cancelled",'Candidate Tracker'!$C:$C,"&lt;&gt;Closed")/COUNTIFS('Candidate Tracker'!$E:$E,'Positions Tracker'!$B370)),"")</f>
        <v/>
      </c>
      <c r="BD370" s="30" t="str">
        <f t="shared" si="45"/>
        <v/>
      </c>
      <c r="BE370" s="30" t="str">
        <f t="shared" si="46"/>
        <v/>
      </c>
      <c r="BF370" s="30" t="str">
        <f t="shared" si="47"/>
        <v/>
      </c>
      <c r="BG370" s="30" t="str">
        <f t="shared" si="48"/>
        <v/>
      </c>
    </row>
    <row r="371" spans="1:59">
      <c r="A371" s="39"/>
      <c r="B371" s="39"/>
      <c r="C371" s="39"/>
      <c r="D371" s="39"/>
      <c r="E371" s="39"/>
      <c r="F371" s="39"/>
      <c r="G371" s="39"/>
      <c r="H371" s="39"/>
      <c r="I371" s="40"/>
      <c r="J371" s="40"/>
      <c r="K371" s="35"/>
      <c r="L371" s="35"/>
      <c r="M371" s="35"/>
      <c r="N371" s="39"/>
      <c r="O371" s="39"/>
      <c r="P371" s="39"/>
      <c r="Q371" s="39"/>
      <c r="R371" s="39"/>
      <c r="S371" s="39"/>
      <c r="T371" s="39"/>
      <c r="U371" s="39"/>
      <c r="V371" s="39"/>
      <c r="W371" s="39"/>
      <c r="X371" s="39"/>
      <c r="Y371" s="39"/>
      <c r="Z371" s="39"/>
      <c r="AA371" s="39"/>
      <c r="AB371" s="39"/>
      <c r="AC371" s="39"/>
      <c r="AD371" s="39"/>
      <c r="AE371" s="39"/>
      <c r="AF371" s="39"/>
      <c r="AG371" s="39"/>
      <c r="AH371" s="39"/>
      <c r="AI371" s="35"/>
      <c r="AJ371" s="39"/>
      <c r="AK371" s="39"/>
      <c r="AL371" s="39"/>
      <c r="AM371" s="35"/>
      <c r="AN371" s="35"/>
      <c r="AO371" s="39"/>
      <c r="AP371" s="39"/>
      <c r="AQ371" s="35"/>
      <c r="AR371" s="35"/>
      <c r="AS371" s="35"/>
      <c r="AT371" s="30">
        <f t="shared" ca="1" si="44"/>
        <v>0</v>
      </c>
      <c r="AU371" s="32" t="str">
        <f t="shared" ca="1" si="43"/>
        <v/>
      </c>
      <c r="AV371" s="32" t="str" cm="1">
        <f t="array" aca="1" ref="AV371" ca="1">IFERROR(_xlfn.IFS($AU371="","",$AU371&lt;=15,"0-15",AND($AU371&gt;=16,$AU371&lt;=30),"16-30",AND($AU371&gt;=31,$AU371&lt;=45),"31-45",AND($AU371&gt;=46,$AU371&lt;=60),"46-60",AND($AU371&gt;=61,$AU371&lt;=90),"61-90",AND($AU371&gt;=91),"&gt; 90",AND($AU371&gt;=2000),""),"")</f>
        <v/>
      </c>
      <c r="AW371" s="32" t="str" cm="1">
        <f t="array" aca="1" ref="AW371" ca="1">IFERROR(_xlfn.IFS(OR($M371="",$AM371=""),"",OR($C371="Offered",$C371="Joined"),($AM371-$M371)-$AT371),"")</f>
        <v/>
      </c>
      <c r="AX371" s="32" t="str" cm="1">
        <f t="array" aca="1" ref="AX371" ca="1">IFERROR(_xlfn.IFS(OR($M371="",$AS371=""),"",$C371="Joined",($AS371-$M371)-$AT371),"")</f>
        <v/>
      </c>
      <c r="AY371" s="30" t="str">
        <f>IFERROR(IF(COUNTIFS('Candidate Tracker'!$E:$E,'Positions Tracker'!$B371,'Candidate Tracker'!$C:$C,"Offer Drop")=0,"",COUNTIFS('Candidate Tracker'!$E:$E,'Positions Tracker'!$B371,'Candidate Tracker'!$C:$C,"Offer Drop")),"")</f>
        <v/>
      </c>
      <c r="AZ3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1" s="34" t="str">
        <f>IFERROR(IF(COUNTIFS('Candidate Tracker'!$E:$E,'Positions Tracker'!$B371,'Candidate Tracker'!$I:$I,"Female")=0,"",COUNTIFS('Candidate Tracker'!$E:$E,'Positions Tracker'!$B371,'Candidate Tracker'!$I:$I,"Female")),"")</f>
        <v/>
      </c>
      <c r="BB371" s="34" t="str">
        <f>IFERROR(IF(COUNTIFS('Candidate Tracker'!$E:$E,'Positions Tracker'!$B371,'Candidate Tracker'!$I:$I,"male")=0,"",COUNTIFS('Candidate Tracker'!$E:$E,'Positions Tracker'!$B371,'Candidate Tracker'!$I:$I,"male")),"")</f>
        <v/>
      </c>
      <c r="BC371" s="33" t="str">
        <f>IFERROR(IF(COUNTIFS('Candidate Tracker'!$E:$E,'Positions Tracker'!$B371,'Candidate Tracker'!$C:$C,"&lt;&gt;WIP",'Candidate Tracker'!$C:$C,"&lt;&gt;Hold",'Candidate Tracker'!$C:$C,"&lt;&gt;Cancelled",'Candidate Tracker'!$C:$C,"&lt;&gt;Closed")/COUNTIFS('Candidate Tracker'!$E:$E,'Positions Tracker'!$B371)=0,"",COUNTIFS('Candidate Tracker'!$E:$E,'Positions Tracker'!$B371,'Candidate Tracker'!$C:$C,"&lt;&gt;WIP",'Candidate Tracker'!$C:$C,"&lt;&gt;Hold",'Candidate Tracker'!$C:$C,"&lt;&gt;Cancelled",'Candidate Tracker'!$C:$C,"&lt;&gt;Closed")/COUNTIFS('Candidate Tracker'!$E:$E,'Positions Tracker'!$B371)),"")</f>
        <v/>
      </c>
      <c r="BD371" s="30" t="str">
        <f t="shared" si="45"/>
        <v/>
      </c>
      <c r="BE371" s="30" t="str">
        <f t="shared" si="46"/>
        <v/>
      </c>
      <c r="BF371" s="30" t="str">
        <f t="shared" si="47"/>
        <v/>
      </c>
      <c r="BG371" s="30" t="str">
        <f t="shared" si="48"/>
        <v/>
      </c>
    </row>
    <row r="372" spans="1:59">
      <c r="A372" s="39"/>
      <c r="B372" s="39"/>
      <c r="C372" s="39"/>
      <c r="D372" s="39"/>
      <c r="E372" s="39"/>
      <c r="F372" s="39"/>
      <c r="G372" s="39"/>
      <c r="H372" s="39"/>
      <c r="I372" s="40"/>
      <c r="J372" s="40"/>
      <c r="K372" s="35"/>
      <c r="L372" s="35"/>
      <c r="M372" s="35"/>
      <c r="N372" s="39"/>
      <c r="O372" s="39"/>
      <c r="P372" s="39"/>
      <c r="Q372" s="39"/>
      <c r="R372" s="39"/>
      <c r="S372" s="39"/>
      <c r="T372" s="39"/>
      <c r="U372" s="39"/>
      <c r="V372" s="39"/>
      <c r="W372" s="39"/>
      <c r="X372" s="39"/>
      <c r="Y372" s="39"/>
      <c r="Z372" s="39"/>
      <c r="AA372" s="39"/>
      <c r="AB372" s="39"/>
      <c r="AC372" s="39"/>
      <c r="AD372" s="39"/>
      <c r="AE372" s="39"/>
      <c r="AF372" s="39"/>
      <c r="AG372" s="39"/>
      <c r="AH372" s="39"/>
      <c r="AI372" s="35"/>
      <c r="AJ372" s="39"/>
      <c r="AK372" s="39"/>
      <c r="AL372" s="39"/>
      <c r="AM372" s="35"/>
      <c r="AN372" s="35"/>
      <c r="AO372" s="39"/>
      <c r="AP372" s="39"/>
      <c r="AQ372" s="35"/>
      <c r="AR372" s="35"/>
      <c r="AS372" s="35"/>
      <c r="AT372" s="30">
        <f t="shared" ca="1" si="44"/>
        <v>0</v>
      </c>
      <c r="AU372" s="32" t="str">
        <f t="shared" ca="1" si="43"/>
        <v/>
      </c>
      <c r="AV372" s="32" t="str" cm="1">
        <f t="array" aca="1" ref="AV372" ca="1">IFERROR(_xlfn.IFS($AU372="","",$AU372&lt;=15,"0-15",AND($AU372&gt;=16,$AU372&lt;=30),"16-30",AND($AU372&gt;=31,$AU372&lt;=45),"31-45",AND($AU372&gt;=46,$AU372&lt;=60),"46-60",AND($AU372&gt;=61,$AU372&lt;=90),"61-90",AND($AU372&gt;=91),"&gt; 90",AND($AU372&gt;=2000),""),"")</f>
        <v/>
      </c>
      <c r="AW372" s="32" t="str" cm="1">
        <f t="array" aca="1" ref="AW372" ca="1">IFERROR(_xlfn.IFS(OR($M372="",$AM372=""),"",OR($C372="Offered",$C372="Joined"),($AM372-$M372)-$AT372),"")</f>
        <v/>
      </c>
      <c r="AX372" s="32" t="str" cm="1">
        <f t="array" aca="1" ref="AX372" ca="1">IFERROR(_xlfn.IFS(OR($M372="",$AS372=""),"",$C372="Joined",($AS372-$M372)-$AT372),"")</f>
        <v/>
      </c>
      <c r="AY372" s="30" t="str">
        <f>IFERROR(IF(COUNTIFS('Candidate Tracker'!$E:$E,'Positions Tracker'!$B372,'Candidate Tracker'!$C:$C,"Offer Drop")=0,"",COUNTIFS('Candidate Tracker'!$E:$E,'Positions Tracker'!$B372,'Candidate Tracker'!$C:$C,"Offer Drop")),"")</f>
        <v/>
      </c>
      <c r="AZ3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2" s="34" t="str">
        <f>IFERROR(IF(COUNTIFS('Candidate Tracker'!$E:$E,'Positions Tracker'!$B372,'Candidate Tracker'!$I:$I,"Female")=0,"",COUNTIFS('Candidate Tracker'!$E:$E,'Positions Tracker'!$B372,'Candidate Tracker'!$I:$I,"Female")),"")</f>
        <v/>
      </c>
      <c r="BB372" s="34" t="str">
        <f>IFERROR(IF(COUNTIFS('Candidate Tracker'!$E:$E,'Positions Tracker'!$B372,'Candidate Tracker'!$I:$I,"male")=0,"",COUNTIFS('Candidate Tracker'!$E:$E,'Positions Tracker'!$B372,'Candidate Tracker'!$I:$I,"male")),"")</f>
        <v/>
      </c>
      <c r="BC372" s="33" t="str">
        <f>IFERROR(IF(COUNTIFS('Candidate Tracker'!$E:$E,'Positions Tracker'!$B372,'Candidate Tracker'!$C:$C,"&lt;&gt;WIP",'Candidate Tracker'!$C:$C,"&lt;&gt;Hold",'Candidate Tracker'!$C:$C,"&lt;&gt;Cancelled",'Candidate Tracker'!$C:$C,"&lt;&gt;Closed")/COUNTIFS('Candidate Tracker'!$E:$E,'Positions Tracker'!$B372)=0,"",COUNTIFS('Candidate Tracker'!$E:$E,'Positions Tracker'!$B372,'Candidate Tracker'!$C:$C,"&lt;&gt;WIP",'Candidate Tracker'!$C:$C,"&lt;&gt;Hold",'Candidate Tracker'!$C:$C,"&lt;&gt;Cancelled",'Candidate Tracker'!$C:$C,"&lt;&gt;Closed")/COUNTIFS('Candidate Tracker'!$E:$E,'Positions Tracker'!$B372)),"")</f>
        <v/>
      </c>
      <c r="BD372" s="30" t="str">
        <f t="shared" si="45"/>
        <v/>
      </c>
      <c r="BE372" s="30" t="str">
        <f t="shared" si="46"/>
        <v/>
      </c>
      <c r="BF372" s="30" t="str">
        <f t="shared" si="47"/>
        <v/>
      </c>
      <c r="BG372" s="30" t="str">
        <f t="shared" si="48"/>
        <v/>
      </c>
    </row>
    <row r="373" spans="1:59">
      <c r="A373" s="39"/>
      <c r="B373" s="39"/>
      <c r="C373" s="39"/>
      <c r="D373" s="39"/>
      <c r="E373" s="39"/>
      <c r="F373" s="39"/>
      <c r="G373" s="39"/>
      <c r="H373" s="39"/>
      <c r="I373" s="40"/>
      <c r="J373" s="40"/>
      <c r="K373" s="35"/>
      <c r="L373" s="35"/>
      <c r="M373" s="35"/>
      <c r="N373" s="39"/>
      <c r="O373" s="39"/>
      <c r="P373" s="39"/>
      <c r="Q373" s="39"/>
      <c r="R373" s="39"/>
      <c r="S373" s="39"/>
      <c r="T373" s="39"/>
      <c r="U373" s="39"/>
      <c r="V373" s="39"/>
      <c r="W373" s="39"/>
      <c r="X373" s="39"/>
      <c r="Y373" s="39"/>
      <c r="Z373" s="39"/>
      <c r="AA373" s="39"/>
      <c r="AB373" s="39"/>
      <c r="AC373" s="39"/>
      <c r="AD373" s="39"/>
      <c r="AE373" s="39"/>
      <c r="AF373" s="39"/>
      <c r="AG373" s="39"/>
      <c r="AH373" s="39"/>
      <c r="AI373" s="35"/>
      <c r="AJ373" s="39"/>
      <c r="AK373" s="39"/>
      <c r="AL373" s="39"/>
      <c r="AM373" s="35"/>
      <c r="AN373" s="35"/>
      <c r="AO373" s="39"/>
      <c r="AP373" s="39"/>
      <c r="AQ373" s="35"/>
      <c r="AR373" s="35"/>
      <c r="AS373" s="35"/>
      <c r="AT373" s="30">
        <f t="shared" ca="1" si="44"/>
        <v>0</v>
      </c>
      <c r="AU373" s="32" t="str">
        <f t="shared" ca="1" si="43"/>
        <v/>
      </c>
      <c r="AV373" s="32" t="str" cm="1">
        <f t="array" aca="1" ref="AV373" ca="1">IFERROR(_xlfn.IFS($AU373="","",$AU373&lt;=15,"0-15",AND($AU373&gt;=16,$AU373&lt;=30),"16-30",AND($AU373&gt;=31,$AU373&lt;=45),"31-45",AND($AU373&gt;=46,$AU373&lt;=60),"46-60",AND($AU373&gt;=61,$AU373&lt;=90),"61-90",AND($AU373&gt;=91),"&gt; 90",AND($AU373&gt;=2000),""),"")</f>
        <v/>
      </c>
      <c r="AW373" s="32" t="str" cm="1">
        <f t="array" aca="1" ref="AW373" ca="1">IFERROR(_xlfn.IFS(OR($M373="",$AM373=""),"",OR($C373="Offered",$C373="Joined"),($AM373-$M373)-$AT373),"")</f>
        <v/>
      </c>
      <c r="AX373" s="32" t="str" cm="1">
        <f t="array" aca="1" ref="AX373" ca="1">IFERROR(_xlfn.IFS(OR($M373="",$AS373=""),"",$C373="Joined",($AS373-$M373)-$AT373),"")</f>
        <v/>
      </c>
      <c r="AY373" s="30" t="str">
        <f>IFERROR(IF(COUNTIFS('Candidate Tracker'!$E:$E,'Positions Tracker'!$B373,'Candidate Tracker'!$C:$C,"Offer Drop")=0,"",COUNTIFS('Candidate Tracker'!$E:$E,'Positions Tracker'!$B373,'Candidate Tracker'!$C:$C,"Offer Drop")),"")</f>
        <v/>
      </c>
      <c r="AZ3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3" s="34" t="str">
        <f>IFERROR(IF(COUNTIFS('Candidate Tracker'!$E:$E,'Positions Tracker'!$B373,'Candidate Tracker'!$I:$I,"Female")=0,"",COUNTIFS('Candidate Tracker'!$E:$E,'Positions Tracker'!$B373,'Candidate Tracker'!$I:$I,"Female")),"")</f>
        <v/>
      </c>
      <c r="BB373" s="34" t="str">
        <f>IFERROR(IF(COUNTIFS('Candidate Tracker'!$E:$E,'Positions Tracker'!$B373,'Candidate Tracker'!$I:$I,"male")=0,"",COUNTIFS('Candidate Tracker'!$E:$E,'Positions Tracker'!$B373,'Candidate Tracker'!$I:$I,"male")),"")</f>
        <v/>
      </c>
      <c r="BC373" s="33" t="str">
        <f>IFERROR(IF(COUNTIFS('Candidate Tracker'!$E:$E,'Positions Tracker'!$B373,'Candidate Tracker'!$C:$C,"&lt;&gt;WIP",'Candidate Tracker'!$C:$C,"&lt;&gt;Hold",'Candidate Tracker'!$C:$C,"&lt;&gt;Cancelled",'Candidate Tracker'!$C:$C,"&lt;&gt;Closed")/COUNTIFS('Candidate Tracker'!$E:$E,'Positions Tracker'!$B373)=0,"",COUNTIFS('Candidate Tracker'!$E:$E,'Positions Tracker'!$B373,'Candidate Tracker'!$C:$C,"&lt;&gt;WIP",'Candidate Tracker'!$C:$C,"&lt;&gt;Hold",'Candidate Tracker'!$C:$C,"&lt;&gt;Cancelled",'Candidate Tracker'!$C:$C,"&lt;&gt;Closed")/COUNTIFS('Candidate Tracker'!$E:$E,'Positions Tracker'!$B373)),"")</f>
        <v/>
      </c>
      <c r="BD373" s="30" t="str">
        <f t="shared" si="45"/>
        <v/>
      </c>
      <c r="BE373" s="30" t="str">
        <f t="shared" si="46"/>
        <v/>
      </c>
      <c r="BF373" s="30" t="str">
        <f t="shared" si="47"/>
        <v/>
      </c>
      <c r="BG373" s="30" t="str">
        <f t="shared" si="48"/>
        <v/>
      </c>
    </row>
    <row r="374" spans="1:59">
      <c r="A374" s="39"/>
      <c r="B374" s="39"/>
      <c r="C374" s="39"/>
      <c r="D374" s="39"/>
      <c r="E374" s="39"/>
      <c r="F374" s="39"/>
      <c r="G374" s="39"/>
      <c r="H374" s="39"/>
      <c r="I374" s="40"/>
      <c r="J374" s="40"/>
      <c r="K374" s="35"/>
      <c r="L374" s="35"/>
      <c r="M374" s="35"/>
      <c r="N374" s="39"/>
      <c r="O374" s="39"/>
      <c r="P374" s="39"/>
      <c r="Q374" s="39"/>
      <c r="R374" s="39"/>
      <c r="S374" s="39"/>
      <c r="T374" s="39"/>
      <c r="U374" s="39"/>
      <c r="V374" s="39"/>
      <c r="W374" s="39"/>
      <c r="X374" s="39"/>
      <c r="Y374" s="39"/>
      <c r="Z374" s="39"/>
      <c r="AA374" s="39"/>
      <c r="AB374" s="39"/>
      <c r="AC374" s="39"/>
      <c r="AD374" s="39"/>
      <c r="AE374" s="39"/>
      <c r="AF374" s="39"/>
      <c r="AG374" s="39"/>
      <c r="AH374" s="39"/>
      <c r="AI374" s="35"/>
      <c r="AJ374" s="39"/>
      <c r="AK374" s="39"/>
      <c r="AL374" s="39"/>
      <c r="AM374" s="35"/>
      <c r="AN374" s="35"/>
      <c r="AO374" s="39"/>
      <c r="AP374" s="39"/>
      <c r="AQ374" s="35"/>
      <c r="AR374" s="35"/>
      <c r="AS374" s="35"/>
      <c r="AT374" s="30">
        <f t="shared" ca="1" si="44"/>
        <v>0</v>
      </c>
      <c r="AU374" s="32" t="str">
        <f t="shared" ca="1" si="43"/>
        <v/>
      </c>
      <c r="AV374" s="32" t="str" cm="1">
        <f t="array" aca="1" ref="AV374" ca="1">IFERROR(_xlfn.IFS($AU374="","",$AU374&lt;=15,"0-15",AND($AU374&gt;=16,$AU374&lt;=30),"16-30",AND($AU374&gt;=31,$AU374&lt;=45),"31-45",AND($AU374&gt;=46,$AU374&lt;=60),"46-60",AND($AU374&gt;=61,$AU374&lt;=90),"61-90",AND($AU374&gt;=91),"&gt; 90",AND($AU374&gt;=2000),""),"")</f>
        <v/>
      </c>
      <c r="AW374" s="32" t="str" cm="1">
        <f t="array" aca="1" ref="AW374" ca="1">IFERROR(_xlfn.IFS(OR($M374="",$AM374=""),"",OR($C374="Offered",$C374="Joined"),($AM374-$M374)-$AT374),"")</f>
        <v/>
      </c>
      <c r="AX374" s="32" t="str" cm="1">
        <f t="array" aca="1" ref="AX374" ca="1">IFERROR(_xlfn.IFS(OR($M374="",$AS374=""),"",$C374="Joined",($AS374-$M374)-$AT374),"")</f>
        <v/>
      </c>
      <c r="AY374" s="30" t="str">
        <f>IFERROR(IF(COUNTIFS('Candidate Tracker'!$E:$E,'Positions Tracker'!$B374,'Candidate Tracker'!$C:$C,"Offer Drop")=0,"",COUNTIFS('Candidate Tracker'!$E:$E,'Positions Tracker'!$B374,'Candidate Tracker'!$C:$C,"Offer Drop")),"")</f>
        <v/>
      </c>
      <c r="AZ3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4" s="34" t="str">
        <f>IFERROR(IF(COUNTIFS('Candidate Tracker'!$E:$E,'Positions Tracker'!$B374,'Candidate Tracker'!$I:$I,"Female")=0,"",COUNTIFS('Candidate Tracker'!$E:$E,'Positions Tracker'!$B374,'Candidate Tracker'!$I:$I,"Female")),"")</f>
        <v/>
      </c>
      <c r="BB374" s="34" t="str">
        <f>IFERROR(IF(COUNTIFS('Candidate Tracker'!$E:$E,'Positions Tracker'!$B374,'Candidate Tracker'!$I:$I,"male")=0,"",COUNTIFS('Candidate Tracker'!$E:$E,'Positions Tracker'!$B374,'Candidate Tracker'!$I:$I,"male")),"")</f>
        <v/>
      </c>
      <c r="BC374" s="33" t="str">
        <f>IFERROR(IF(COUNTIFS('Candidate Tracker'!$E:$E,'Positions Tracker'!$B374,'Candidate Tracker'!$C:$C,"&lt;&gt;WIP",'Candidate Tracker'!$C:$C,"&lt;&gt;Hold",'Candidate Tracker'!$C:$C,"&lt;&gt;Cancelled",'Candidate Tracker'!$C:$C,"&lt;&gt;Closed")/COUNTIFS('Candidate Tracker'!$E:$E,'Positions Tracker'!$B374)=0,"",COUNTIFS('Candidate Tracker'!$E:$E,'Positions Tracker'!$B374,'Candidate Tracker'!$C:$C,"&lt;&gt;WIP",'Candidate Tracker'!$C:$C,"&lt;&gt;Hold",'Candidate Tracker'!$C:$C,"&lt;&gt;Cancelled",'Candidate Tracker'!$C:$C,"&lt;&gt;Closed")/COUNTIFS('Candidate Tracker'!$E:$E,'Positions Tracker'!$B374)),"")</f>
        <v/>
      </c>
      <c r="BD374" s="30" t="str">
        <f t="shared" si="45"/>
        <v/>
      </c>
      <c r="BE374" s="30" t="str">
        <f t="shared" si="46"/>
        <v/>
      </c>
      <c r="BF374" s="30" t="str">
        <f t="shared" si="47"/>
        <v/>
      </c>
      <c r="BG374" s="30" t="str">
        <f t="shared" si="48"/>
        <v/>
      </c>
    </row>
    <row r="375" spans="1:59">
      <c r="A375" s="39"/>
      <c r="B375" s="39"/>
      <c r="C375" s="39"/>
      <c r="D375" s="39"/>
      <c r="E375" s="39"/>
      <c r="F375" s="39"/>
      <c r="G375" s="39"/>
      <c r="H375" s="39"/>
      <c r="I375" s="40"/>
      <c r="J375" s="40"/>
      <c r="K375" s="35"/>
      <c r="L375" s="35"/>
      <c r="M375" s="35"/>
      <c r="N375" s="39"/>
      <c r="O375" s="39"/>
      <c r="P375" s="39"/>
      <c r="Q375" s="39"/>
      <c r="R375" s="39"/>
      <c r="S375" s="39"/>
      <c r="T375" s="39"/>
      <c r="U375" s="39"/>
      <c r="V375" s="39"/>
      <c r="W375" s="39"/>
      <c r="X375" s="39"/>
      <c r="Y375" s="39"/>
      <c r="Z375" s="39"/>
      <c r="AA375" s="39"/>
      <c r="AB375" s="39"/>
      <c r="AC375" s="39"/>
      <c r="AD375" s="39"/>
      <c r="AE375" s="39"/>
      <c r="AF375" s="39"/>
      <c r="AG375" s="39"/>
      <c r="AH375" s="39"/>
      <c r="AI375" s="35"/>
      <c r="AJ375" s="39"/>
      <c r="AK375" s="39"/>
      <c r="AL375" s="39"/>
      <c r="AM375" s="35"/>
      <c r="AN375" s="35"/>
      <c r="AO375" s="39"/>
      <c r="AP375" s="39"/>
      <c r="AQ375" s="35"/>
      <c r="AR375" s="35"/>
      <c r="AS375" s="35"/>
      <c r="AT375" s="30">
        <f t="shared" ca="1" si="44"/>
        <v>0</v>
      </c>
      <c r="AU375" s="32" t="str">
        <f t="shared" ca="1" si="43"/>
        <v/>
      </c>
      <c r="AV375" s="32" t="str" cm="1">
        <f t="array" aca="1" ref="AV375" ca="1">IFERROR(_xlfn.IFS($AU375="","",$AU375&lt;=15,"0-15",AND($AU375&gt;=16,$AU375&lt;=30),"16-30",AND($AU375&gt;=31,$AU375&lt;=45),"31-45",AND($AU375&gt;=46,$AU375&lt;=60),"46-60",AND($AU375&gt;=61,$AU375&lt;=90),"61-90",AND($AU375&gt;=91),"&gt; 90",AND($AU375&gt;=2000),""),"")</f>
        <v/>
      </c>
      <c r="AW375" s="32" t="str" cm="1">
        <f t="array" aca="1" ref="AW375" ca="1">IFERROR(_xlfn.IFS(OR($M375="",$AM375=""),"",OR($C375="Offered",$C375="Joined"),($AM375-$M375)-$AT375),"")</f>
        <v/>
      </c>
      <c r="AX375" s="32" t="str" cm="1">
        <f t="array" aca="1" ref="AX375" ca="1">IFERROR(_xlfn.IFS(OR($M375="",$AS375=""),"",$C375="Joined",($AS375-$M375)-$AT375),"")</f>
        <v/>
      </c>
      <c r="AY375" s="30" t="str">
        <f>IFERROR(IF(COUNTIFS('Candidate Tracker'!$E:$E,'Positions Tracker'!$B375,'Candidate Tracker'!$C:$C,"Offer Drop")=0,"",COUNTIFS('Candidate Tracker'!$E:$E,'Positions Tracker'!$B375,'Candidate Tracker'!$C:$C,"Offer Drop")),"")</f>
        <v/>
      </c>
      <c r="AZ3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5" s="34" t="str">
        <f>IFERROR(IF(COUNTIFS('Candidate Tracker'!$E:$E,'Positions Tracker'!$B375,'Candidate Tracker'!$I:$I,"Female")=0,"",COUNTIFS('Candidate Tracker'!$E:$E,'Positions Tracker'!$B375,'Candidate Tracker'!$I:$I,"Female")),"")</f>
        <v/>
      </c>
      <c r="BB375" s="34" t="str">
        <f>IFERROR(IF(COUNTIFS('Candidate Tracker'!$E:$E,'Positions Tracker'!$B375,'Candidate Tracker'!$I:$I,"male")=0,"",COUNTIFS('Candidate Tracker'!$E:$E,'Positions Tracker'!$B375,'Candidate Tracker'!$I:$I,"male")),"")</f>
        <v/>
      </c>
      <c r="BC375" s="33" t="str">
        <f>IFERROR(IF(COUNTIFS('Candidate Tracker'!$E:$E,'Positions Tracker'!$B375,'Candidate Tracker'!$C:$C,"&lt;&gt;WIP",'Candidate Tracker'!$C:$C,"&lt;&gt;Hold",'Candidate Tracker'!$C:$C,"&lt;&gt;Cancelled",'Candidate Tracker'!$C:$C,"&lt;&gt;Closed")/COUNTIFS('Candidate Tracker'!$E:$E,'Positions Tracker'!$B375)=0,"",COUNTIFS('Candidate Tracker'!$E:$E,'Positions Tracker'!$B375,'Candidate Tracker'!$C:$C,"&lt;&gt;WIP",'Candidate Tracker'!$C:$C,"&lt;&gt;Hold",'Candidate Tracker'!$C:$C,"&lt;&gt;Cancelled",'Candidate Tracker'!$C:$C,"&lt;&gt;Closed")/COUNTIFS('Candidate Tracker'!$E:$E,'Positions Tracker'!$B375)),"")</f>
        <v/>
      </c>
      <c r="BD375" s="30" t="str">
        <f t="shared" si="45"/>
        <v/>
      </c>
      <c r="BE375" s="30" t="str">
        <f t="shared" si="46"/>
        <v/>
      </c>
      <c r="BF375" s="30" t="str">
        <f t="shared" si="47"/>
        <v/>
      </c>
      <c r="BG375" s="30" t="str">
        <f t="shared" si="48"/>
        <v/>
      </c>
    </row>
    <row r="376" spans="1:59">
      <c r="A376" s="39"/>
      <c r="B376" s="39"/>
      <c r="C376" s="39"/>
      <c r="D376" s="39"/>
      <c r="E376" s="39"/>
      <c r="F376" s="39"/>
      <c r="G376" s="39"/>
      <c r="H376" s="39"/>
      <c r="I376" s="40"/>
      <c r="J376" s="40"/>
      <c r="K376" s="35"/>
      <c r="L376" s="35"/>
      <c r="M376" s="35"/>
      <c r="N376" s="39"/>
      <c r="O376" s="39"/>
      <c r="P376" s="39"/>
      <c r="Q376" s="39"/>
      <c r="R376" s="39"/>
      <c r="S376" s="39"/>
      <c r="T376" s="39"/>
      <c r="U376" s="39"/>
      <c r="V376" s="39"/>
      <c r="W376" s="39"/>
      <c r="X376" s="39"/>
      <c r="Y376" s="39"/>
      <c r="Z376" s="39"/>
      <c r="AA376" s="39"/>
      <c r="AB376" s="39"/>
      <c r="AC376" s="39"/>
      <c r="AD376" s="39"/>
      <c r="AE376" s="39"/>
      <c r="AF376" s="39"/>
      <c r="AG376" s="39"/>
      <c r="AH376" s="39"/>
      <c r="AI376" s="35"/>
      <c r="AJ376" s="39"/>
      <c r="AK376" s="39"/>
      <c r="AL376" s="39"/>
      <c r="AM376" s="35"/>
      <c r="AN376" s="35"/>
      <c r="AO376" s="39"/>
      <c r="AP376" s="39"/>
      <c r="AQ376" s="35"/>
      <c r="AR376" s="35"/>
      <c r="AS376" s="35"/>
      <c r="AT376" s="30">
        <f t="shared" ca="1" si="44"/>
        <v>0</v>
      </c>
      <c r="AU376" s="32" t="str">
        <f t="shared" ca="1" si="43"/>
        <v/>
      </c>
      <c r="AV376" s="32" t="str" cm="1">
        <f t="array" aca="1" ref="AV376" ca="1">IFERROR(_xlfn.IFS($AU376="","",$AU376&lt;=15,"0-15",AND($AU376&gt;=16,$AU376&lt;=30),"16-30",AND($AU376&gt;=31,$AU376&lt;=45),"31-45",AND($AU376&gt;=46,$AU376&lt;=60),"46-60",AND($AU376&gt;=61,$AU376&lt;=90),"61-90",AND($AU376&gt;=91),"&gt; 90",AND($AU376&gt;=2000),""),"")</f>
        <v/>
      </c>
      <c r="AW376" s="32" t="str" cm="1">
        <f t="array" aca="1" ref="AW376" ca="1">IFERROR(_xlfn.IFS(OR($M376="",$AM376=""),"",OR($C376="Offered",$C376="Joined"),($AM376-$M376)-$AT376),"")</f>
        <v/>
      </c>
      <c r="AX376" s="32" t="str" cm="1">
        <f t="array" aca="1" ref="AX376" ca="1">IFERROR(_xlfn.IFS(OR($M376="",$AS376=""),"",$C376="Joined",($AS376-$M376)-$AT376),"")</f>
        <v/>
      </c>
      <c r="AY376" s="30" t="str">
        <f>IFERROR(IF(COUNTIFS('Candidate Tracker'!$E:$E,'Positions Tracker'!$B376,'Candidate Tracker'!$C:$C,"Offer Drop")=0,"",COUNTIFS('Candidate Tracker'!$E:$E,'Positions Tracker'!$B376,'Candidate Tracker'!$C:$C,"Offer Drop")),"")</f>
        <v/>
      </c>
      <c r="AZ3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6" s="34" t="str">
        <f>IFERROR(IF(COUNTIFS('Candidate Tracker'!$E:$E,'Positions Tracker'!$B376,'Candidate Tracker'!$I:$I,"Female")=0,"",COUNTIFS('Candidate Tracker'!$E:$E,'Positions Tracker'!$B376,'Candidate Tracker'!$I:$I,"Female")),"")</f>
        <v/>
      </c>
      <c r="BB376" s="34" t="str">
        <f>IFERROR(IF(COUNTIFS('Candidate Tracker'!$E:$E,'Positions Tracker'!$B376,'Candidate Tracker'!$I:$I,"male")=0,"",COUNTIFS('Candidate Tracker'!$E:$E,'Positions Tracker'!$B376,'Candidate Tracker'!$I:$I,"male")),"")</f>
        <v/>
      </c>
      <c r="BC376" s="33" t="str">
        <f>IFERROR(IF(COUNTIFS('Candidate Tracker'!$E:$E,'Positions Tracker'!$B376,'Candidate Tracker'!$C:$C,"&lt;&gt;WIP",'Candidate Tracker'!$C:$C,"&lt;&gt;Hold",'Candidate Tracker'!$C:$C,"&lt;&gt;Cancelled",'Candidate Tracker'!$C:$C,"&lt;&gt;Closed")/COUNTIFS('Candidate Tracker'!$E:$E,'Positions Tracker'!$B376)=0,"",COUNTIFS('Candidate Tracker'!$E:$E,'Positions Tracker'!$B376,'Candidate Tracker'!$C:$C,"&lt;&gt;WIP",'Candidate Tracker'!$C:$C,"&lt;&gt;Hold",'Candidate Tracker'!$C:$C,"&lt;&gt;Cancelled",'Candidate Tracker'!$C:$C,"&lt;&gt;Closed")/COUNTIFS('Candidate Tracker'!$E:$E,'Positions Tracker'!$B376)),"")</f>
        <v/>
      </c>
      <c r="BD376" s="30" t="str">
        <f t="shared" si="45"/>
        <v/>
      </c>
      <c r="BE376" s="30" t="str">
        <f t="shared" si="46"/>
        <v/>
      </c>
      <c r="BF376" s="30" t="str">
        <f t="shared" si="47"/>
        <v/>
      </c>
      <c r="BG376" s="30" t="str">
        <f t="shared" si="48"/>
        <v/>
      </c>
    </row>
    <row r="377" spans="1:59">
      <c r="A377" s="39"/>
      <c r="B377" s="39"/>
      <c r="C377" s="39"/>
      <c r="D377" s="39"/>
      <c r="E377" s="39"/>
      <c r="F377" s="39"/>
      <c r="G377" s="39"/>
      <c r="H377" s="39"/>
      <c r="I377" s="40"/>
      <c r="J377" s="40"/>
      <c r="K377" s="35"/>
      <c r="L377" s="35"/>
      <c r="M377" s="35"/>
      <c r="N377" s="39"/>
      <c r="O377" s="39"/>
      <c r="P377" s="39"/>
      <c r="Q377" s="39"/>
      <c r="R377" s="39"/>
      <c r="S377" s="39"/>
      <c r="T377" s="39"/>
      <c r="U377" s="39"/>
      <c r="V377" s="39"/>
      <c r="W377" s="39"/>
      <c r="X377" s="39"/>
      <c r="Y377" s="39"/>
      <c r="Z377" s="39"/>
      <c r="AA377" s="39"/>
      <c r="AB377" s="39"/>
      <c r="AC377" s="39"/>
      <c r="AD377" s="39"/>
      <c r="AE377" s="39"/>
      <c r="AF377" s="39"/>
      <c r="AG377" s="39"/>
      <c r="AH377" s="39"/>
      <c r="AI377" s="35"/>
      <c r="AJ377" s="39"/>
      <c r="AK377" s="39"/>
      <c r="AL377" s="39"/>
      <c r="AM377" s="35"/>
      <c r="AN377" s="35"/>
      <c r="AO377" s="39"/>
      <c r="AP377" s="39"/>
      <c r="AQ377" s="35"/>
      <c r="AR377" s="35"/>
      <c r="AS377" s="35"/>
      <c r="AT377" s="30">
        <f t="shared" ca="1" si="44"/>
        <v>0</v>
      </c>
      <c r="AU377" s="32" t="str">
        <f t="shared" ca="1" si="43"/>
        <v/>
      </c>
      <c r="AV377" s="32" t="str" cm="1">
        <f t="array" aca="1" ref="AV377" ca="1">IFERROR(_xlfn.IFS($AU377="","",$AU377&lt;=15,"0-15",AND($AU377&gt;=16,$AU377&lt;=30),"16-30",AND($AU377&gt;=31,$AU377&lt;=45),"31-45",AND($AU377&gt;=46,$AU377&lt;=60),"46-60",AND($AU377&gt;=61,$AU377&lt;=90),"61-90",AND($AU377&gt;=91),"&gt; 90",AND($AU377&gt;=2000),""),"")</f>
        <v/>
      </c>
      <c r="AW377" s="32" t="str" cm="1">
        <f t="array" aca="1" ref="AW377" ca="1">IFERROR(_xlfn.IFS(OR($M377="",$AM377=""),"",OR($C377="Offered",$C377="Joined"),($AM377-$M377)-$AT377),"")</f>
        <v/>
      </c>
      <c r="AX377" s="32" t="str" cm="1">
        <f t="array" aca="1" ref="AX377" ca="1">IFERROR(_xlfn.IFS(OR($M377="",$AS377=""),"",$C377="Joined",($AS377-$M377)-$AT377),"")</f>
        <v/>
      </c>
      <c r="AY377" s="30" t="str">
        <f>IFERROR(IF(COUNTIFS('Candidate Tracker'!$E:$E,'Positions Tracker'!$B377,'Candidate Tracker'!$C:$C,"Offer Drop")=0,"",COUNTIFS('Candidate Tracker'!$E:$E,'Positions Tracker'!$B377,'Candidate Tracker'!$C:$C,"Offer Drop")),"")</f>
        <v/>
      </c>
      <c r="AZ3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7" s="34" t="str">
        <f>IFERROR(IF(COUNTIFS('Candidate Tracker'!$E:$E,'Positions Tracker'!$B377,'Candidate Tracker'!$I:$I,"Female")=0,"",COUNTIFS('Candidate Tracker'!$E:$E,'Positions Tracker'!$B377,'Candidate Tracker'!$I:$I,"Female")),"")</f>
        <v/>
      </c>
      <c r="BB377" s="34" t="str">
        <f>IFERROR(IF(COUNTIFS('Candidate Tracker'!$E:$E,'Positions Tracker'!$B377,'Candidate Tracker'!$I:$I,"male")=0,"",COUNTIFS('Candidate Tracker'!$E:$E,'Positions Tracker'!$B377,'Candidate Tracker'!$I:$I,"male")),"")</f>
        <v/>
      </c>
      <c r="BC377" s="33" t="str">
        <f>IFERROR(IF(COUNTIFS('Candidate Tracker'!$E:$E,'Positions Tracker'!$B377,'Candidate Tracker'!$C:$C,"&lt;&gt;WIP",'Candidate Tracker'!$C:$C,"&lt;&gt;Hold",'Candidate Tracker'!$C:$C,"&lt;&gt;Cancelled",'Candidate Tracker'!$C:$C,"&lt;&gt;Closed")/COUNTIFS('Candidate Tracker'!$E:$E,'Positions Tracker'!$B377)=0,"",COUNTIFS('Candidate Tracker'!$E:$E,'Positions Tracker'!$B377,'Candidate Tracker'!$C:$C,"&lt;&gt;WIP",'Candidate Tracker'!$C:$C,"&lt;&gt;Hold",'Candidate Tracker'!$C:$C,"&lt;&gt;Cancelled",'Candidate Tracker'!$C:$C,"&lt;&gt;Closed")/COUNTIFS('Candidate Tracker'!$E:$E,'Positions Tracker'!$B377)),"")</f>
        <v/>
      </c>
      <c r="BD377" s="30" t="str">
        <f t="shared" si="45"/>
        <v/>
      </c>
      <c r="BE377" s="30" t="str">
        <f t="shared" si="46"/>
        <v/>
      </c>
      <c r="BF377" s="30" t="str">
        <f t="shared" si="47"/>
        <v/>
      </c>
      <c r="BG377" s="30" t="str">
        <f t="shared" si="48"/>
        <v/>
      </c>
    </row>
    <row r="378" spans="1:59">
      <c r="A378" s="39"/>
      <c r="B378" s="39"/>
      <c r="C378" s="39"/>
      <c r="D378" s="39"/>
      <c r="E378" s="39"/>
      <c r="F378" s="39"/>
      <c r="G378" s="39"/>
      <c r="H378" s="39"/>
      <c r="I378" s="40"/>
      <c r="J378" s="40"/>
      <c r="K378" s="35"/>
      <c r="L378" s="35"/>
      <c r="M378" s="35"/>
      <c r="N378" s="39"/>
      <c r="O378" s="39"/>
      <c r="P378" s="39"/>
      <c r="Q378" s="39"/>
      <c r="R378" s="39"/>
      <c r="S378" s="39"/>
      <c r="T378" s="39"/>
      <c r="U378" s="39"/>
      <c r="V378" s="39"/>
      <c r="W378" s="39"/>
      <c r="X378" s="39"/>
      <c r="Y378" s="39"/>
      <c r="Z378" s="39"/>
      <c r="AA378" s="39"/>
      <c r="AB378" s="39"/>
      <c r="AC378" s="39"/>
      <c r="AD378" s="39"/>
      <c r="AE378" s="39"/>
      <c r="AF378" s="39"/>
      <c r="AG378" s="39"/>
      <c r="AH378" s="39"/>
      <c r="AI378" s="35"/>
      <c r="AJ378" s="39"/>
      <c r="AK378" s="39"/>
      <c r="AL378" s="39"/>
      <c r="AM378" s="35"/>
      <c r="AN378" s="35"/>
      <c r="AO378" s="39"/>
      <c r="AP378" s="39"/>
      <c r="AQ378" s="35"/>
      <c r="AR378" s="35"/>
      <c r="AS378" s="35"/>
      <c r="AT378" s="30">
        <f t="shared" ca="1" si="44"/>
        <v>0</v>
      </c>
      <c r="AU378" s="32" t="str">
        <f t="shared" ca="1" si="43"/>
        <v/>
      </c>
      <c r="AV378" s="32" t="str" cm="1">
        <f t="array" aca="1" ref="AV378" ca="1">IFERROR(_xlfn.IFS($AU378="","",$AU378&lt;=15,"0-15",AND($AU378&gt;=16,$AU378&lt;=30),"16-30",AND($AU378&gt;=31,$AU378&lt;=45),"31-45",AND($AU378&gt;=46,$AU378&lt;=60),"46-60",AND($AU378&gt;=61,$AU378&lt;=90),"61-90",AND($AU378&gt;=91),"&gt; 90",AND($AU378&gt;=2000),""),"")</f>
        <v/>
      </c>
      <c r="AW378" s="32" t="str" cm="1">
        <f t="array" aca="1" ref="AW378" ca="1">IFERROR(_xlfn.IFS(OR($M378="",$AM378=""),"",OR($C378="Offered",$C378="Joined"),($AM378-$M378)-$AT378),"")</f>
        <v/>
      </c>
      <c r="AX378" s="32" t="str" cm="1">
        <f t="array" aca="1" ref="AX378" ca="1">IFERROR(_xlfn.IFS(OR($M378="",$AS378=""),"",$C378="Joined",($AS378-$M378)-$AT378),"")</f>
        <v/>
      </c>
      <c r="AY378" s="30" t="str">
        <f>IFERROR(IF(COUNTIFS('Candidate Tracker'!$E:$E,'Positions Tracker'!$B378,'Candidate Tracker'!$C:$C,"Offer Drop")=0,"",COUNTIFS('Candidate Tracker'!$E:$E,'Positions Tracker'!$B378,'Candidate Tracker'!$C:$C,"Offer Drop")),"")</f>
        <v/>
      </c>
      <c r="AZ3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8" s="34" t="str">
        <f>IFERROR(IF(COUNTIFS('Candidate Tracker'!$E:$E,'Positions Tracker'!$B378,'Candidate Tracker'!$I:$I,"Female")=0,"",COUNTIFS('Candidate Tracker'!$E:$E,'Positions Tracker'!$B378,'Candidate Tracker'!$I:$I,"Female")),"")</f>
        <v/>
      </c>
      <c r="BB378" s="34" t="str">
        <f>IFERROR(IF(COUNTIFS('Candidate Tracker'!$E:$E,'Positions Tracker'!$B378,'Candidate Tracker'!$I:$I,"male")=0,"",COUNTIFS('Candidate Tracker'!$E:$E,'Positions Tracker'!$B378,'Candidate Tracker'!$I:$I,"male")),"")</f>
        <v/>
      </c>
      <c r="BC378" s="33" t="str">
        <f>IFERROR(IF(COUNTIFS('Candidate Tracker'!$E:$E,'Positions Tracker'!$B378,'Candidate Tracker'!$C:$C,"&lt;&gt;WIP",'Candidate Tracker'!$C:$C,"&lt;&gt;Hold",'Candidate Tracker'!$C:$C,"&lt;&gt;Cancelled",'Candidate Tracker'!$C:$C,"&lt;&gt;Closed")/COUNTIFS('Candidate Tracker'!$E:$E,'Positions Tracker'!$B378)=0,"",COUNTIFS('Candidate Tracker'!$E:$E,'Positions Tracker'!$B378,'Candidate Tracker'!$C:$C,"&lt;&gt;WIP",'Candidate Tracker'!$C:$C,"&lt;&gt;Hold",'Candidate Tracker'!$C:$C,"&lt;&gt;Cancelled",'Candidate Tracker'!$C:$C,"&lt;&gt;Closed")/COUNTIFS('Candidate Tracker'!$E:$E,'Positions Tracker'!$B378)),"")</f>
        <v/>
      </c>
      <c r="BD378" s="30" t="str">
        <f t="shared" si="45"/>
        <v/>
      </c>
      <c r="BE378" s="30" t="str">
        <f t="shared" si="46"/>
        <v/>
      </c>
      <c r="BF378" s="30" t="str">
        <f t="shared" si="47"/>
        <v/>
      </c>
      <c r="BG378" s="30" t="str">
        <f t="shared" si="48"/>
        <v/>
      </c>
    </row>
    <row r="379" spans="1:59">
      <c r="A379" s="39"/>
      <c r="B379" s="39"/>
      <c r="C379" s="39"/>
      <c r="D379" s="39"/>
      <c r="E379" s="39"/>
      <c r="F379" s="39"/>
      <c r="G379" s="39"/>
      <c r="H379" s="39"/>
      <c r="I379" s="40"/>
      <c r="J379" s="40"/>
      <c r="K379" s="35"/>
      <c r="L379" s="35"/>
      <c r="M379" s="35"/>
      <c r="N379" s="39"/>
      <c r="O379" s="39"/>
      <c r="P379" s="39"/>
      <c r="Q379" s="39"/>
      <c r="R379" s="39"/>
      <c r="S379" s="39"/>
      <c r="T379" s="39"/>
      <c r="U379" s="39"/>
      <c r="V379" s="39"/>
      <c r="W379" s="39"/>
      <c r="X379" s="39"/>
      <c r="Y379" s="39"/>
      <c r="Z379" s="39"/>
      <c r="AA379" s="39"/>
      <c r="AB379" s="39"/>
      <c r="AC379" s="39"/>
      <c r="AD379" s="39"/>
      <c r="AE379" s="39"/>
      <c r="AF379" s="39"/>
      <c r="AG379" s="39"/>
      <c r="AH379" s="39"/>
      <c r="AI379" s="35"/>
      <c r="AJ379" s="39"/>
      <c r="AK379" s="39"/>
      <c r="AL379" s="39"/>
      <c r="AM379" s="35"/>
      <c r="AN379" s="35"/>
      <c r="AO379" s="39"/>
      <c r="AP379" s="39"/>
      <c r="AQ379" s="35"/>
      <c r="AR379" s="35"/>
      <c r="AS379" s="35"/>
      <c r="AT379" s="30">
        <f t="shared" ca="1" si="44"/>
        <v>0</v>
      </c>
      <c r="AU379" s="32" t="str">
        <f t="shared" ca="1" si="43"/>
        <v/>
      </c>
      <c r="AV379" s="32" t="str" cm="1">
        <f t="array" aca="1" ref="AV379" ca="1">IFERROR(_xlfn.IFS($AU379="","",$AU379&lt;=15,"0-15",AND($AU379&gt;=16,$AU379&lt;=30),"16-30",AND($AU379&gt;=31,$AU379&lt;=45),"31-45",AND($AU379&gt;=46,$AU379&lt;=60),"46-60",AND($AU379&gt;=61,$AU379&lt;=90),"61-90",AND($AU379&gt;=91),"&gt; 90",AND($AU379&gt;=2000),""),"")</f>
        <v/>
      </c>
      <c r="AW379" s="32" t="str" cm="1">
        <f t="array" aca="1" ref="AW379" ca="1">IFERROR(_xlfn.IFS(OR($M379="",$AM379=""),"",OR($C379="Offered",$C379="Joined"),($AM379-$M379)-$AT379),"")</f>
        <v/>
      </c>
      <c r="AX379" s="32" t="str" cm="1">
        <f t="array" aca="1" ref="AX379" ca="1">IFERROR(_xlfn.IFS(OR($M379="",$AS379=""),"",$C379="Joined",($AS379-$M379)-$AT379),"")</f>
        <v/>
      </c>
      <c r="AY379" s="30" t="str">
        <f>IFERROR(IF(COUNTIFS('Candidate Tracker'!$E:$E,'Positions Tracker'!$B379,'Candidate Tracker'!$C:$C,"Offer Drop")=0,"",COUNTIFS('Candidate Tracker'!$E:$E,'Positions Tracker'!$B379,'Candidate Tracker'!$C:$C,"Offer Drop")),"")</f>
        <v/>
      </c>
      <c r="AZ3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79" s="34" t="str">
        <f>IFERROR(IF(COUNTIFS('Candidate Tracker'!$E:$E,'Positions Tracker'!$B379,'Candidate Tracker'!$I:$I,"Female")=0,"",COUNTIFS('Candidate Tracker'!$E:$E,'Positions Tracker'!$B379,'Candidate Tracker'!$I:$I,"Female")),"")</f>
        <v/>
      </c>
      <c r="BB379" s="34" t="str">
        <f>IFERROR(IF(COUNTIFS('Candidate Tracker'!$E:$E,'Positions Tracker'!$B379,'Candidate Tracker'!$I:$I,"male")=0,"",COUNTIFS('Candidate Tracker'!$E:$E,'Positions Tracker'!$B379,'Candidate Tracker'!$I:$I,"male")),"")</f>
        <v/>
      </c>
      <c r="BC379" s="33" t="str">
        <f>IFERROR(IF(COUNTIFS('Candidate Tracker'!$E:$E,'Positions Tracker'!$B379,'Candidate Tracker'!$C:$C,"&lt;&gt;WIP",'Candidate Tracker'!$C:$C,"&lt;&gt;Hold",'Candidate Tracker'!$C:$C,"&lt;&gt;Cancelled",'Candidate Tracker'!$C:$C,"&lt;&gt;Closed")/COUNTIFS('Candidate Tracker'!$E:$E,'Positions Tracker'!$B379)=0,"",COUNTIFS('Candidate Tracker'!$E:$E,'Positions Tracker'!$B379,'Candidate Tracker'!$C:$C,"&lt;&gt;WIP",'Candidate Tracker'!$C:$C,"&lt;&gt;Hold",'Candidate Tracker'!$C:$C,"&lt;&gt;Cancelled",'Candidate Tracker'!$C:$C,"&lt;&gt;Closed")/COUNTIFS('Candidate Tracker'!$E:$E,'Positions Tracker'!$B379)),"")</f>
        <v/>
      </c>
      <c r="BD379" s="30" t="str">
        <f t="shared" si="45"/>
        <v/>
      </c>
      <c r="BE379" s="30" t="str">
        <f t="shared" si="46"/>
        <v/>
      </c>
      <c r="BF379" s="30" t="str">
        <f t="shared" si="47"/>
        <v/>
      </c>
      <c r="BG379" s="30" t="str">
        <f t="shared" si="48"/>
        <v/>
      </c>
    </row>
    <row r="380" spans="1:59">
      <c r="A380" s="39"/>
      <c r="B380" s="39"/>
      <c r="C380" s="39"/>
      <c r="D380" s="39"/>
      <c r="E380" s="39"/>
      <c r="F380" s="39"/>
      <c r="G380" s="39"/>
      <c r="H380" s="39"/>
      <c r="I380" s="40"/>
      <c r="J380" s="40"/>
      <c r="K380" s="35"/>
      <c r="L380" s="35"/>
      <c r="M380" s="35"/>
      <c r="N380" s="39"/>
      <c r="O380" s="39"/>
      <c r="P380" s="39"/>
      <c r="Q380" s="39"/>
      <c r="R380" s="39"/>
      <c r="S380" s="39"/>
      <c r="T380" s="39"/>
      <c r="U380" s="39"/>
      <c r="V380" s="39"/>
      <c r="W380" s="39"/>
      <c r="X380" s="39"/>
      <c r="Y380" s="39"/>
      <c r="Z380" s="39"/>
      <c r="AA380" s="39"/>
      <c r="AB380" s="39"/>
      <c r="AC380" s="39"/>
      <c r="AD380" s="39"/>
      <c r="AE380" s="39"/>
      <c r="AF380" s="39"/>
      <c r="AG380" s="39"/>
      <c r="AH380" s="39"/>
      <c r="AI380" s="35"/>
      <c r="AJ380" s="39"/>
      <c r="AK380" s="39"/>
      <c r="AL380" s="39"/>
      <c r="AM380" s="35"/>
      <c r="AN380" s="35"/>
      <c r="AO380" s="39"/>
      <c r="AP380" s="39"/>
      <c r="AQ380" s="35"/>
      <c r="AR380" s="35"/>
      <c r="AS380" s="35"/>
      <c r="AT380" s="30">
        <f t="shared" ca="1" si="44"/>
        <v>0</v>
      </c>
      <c r="AU380" s="32" t="str">
        <f t="shared" ca="1" si="43"/>
        <v/>
      </c>
      <c r="AV380" s="32" t="str" cm="1">
        <f t="array" aca="1" ref="AV380" ca="1">IFERROR(_xlfn.IFS($AU380="","",$AU380&lt;=15,"0-15",AND($AU380&gt;=16,$AU380&lt;=30),"16-30",AND($AU380&gt;=31,$AU380&lt;=45),"31-45",AND($AU380&gt;=46,$AU380&lt;=60),"46-60",AND($AU380&gt;=61,$AU380&lt;=90),"61-90",AND($AU380&gt;=91),"&gt; 90",AND($AU380&gt;=2000),""),"")</f>
        <v/>
      </c>
      <c r="AW380" s="32" t="str" cm="1">
        <f t="array" aca="1" ref="AW380" ca="1">IFERROR(_xlfn.IFS(OR($M380="",$AM380=""),"",OR($C380="Offered",$C380="Joined"),($AM380-$M380)-$AT380),"")</f>
        <v/>
      </c>
      <c r="AX380" s="32" t="str" cm="1">
        <f t="array" aca="1" ref="AX380" ca="1">IFERROR(_xlfn.IFS(OR($M380="",$AS380=""),"",$C380="Joined",($AS380-$M380)-$AT380),"")</f>
        <v/>
      </c>
      <c r="AY380" s="30" t="str">
        <f>IFERROR(IF(COUNTIFS('Candidate Tracker'!$E:$E,'Positions Tracker'!$B380,'Candidate Tracker'!$C:$C,"Offer Drop")=0,"",COUNTIFS('Candidate Tracker'!$E:$E,'Positions Tracker'!$B380,'Candidate Tracker'!$C:$C,"Offer Drop")),"")</f>
        <v/>
      </c>
      <c r="AZ3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0" s="34" t="str">
        <f>IFERROR(IF(COUNTIFS('Candidate Tracker'!$E:$E,'Positions Tracker'!$B380,'Candidate Tracker'!$I:$I,"Female")=0,"",COUNTIFS('Candidate Tracker'!$E:$E,'Positions Tracker'!$B380,'Candidate Tracker'!$I:$I,"Female")),"")</f>
        <v/>
      </c>
      <c r="BB380" s="34" t="str">
        <f>IFERROR(IF(COUNTIFS('Candidate Tracker'!$E:$E,'Positions Tracker'!$B380,'Candidate Tracker'!$I:$I,"male")=0,"",COUNTIFS('Candidate Tracker'!$E:$E,'Positions Tracker'!$B380,'Candidate Tracker'!$I:$I,"male")),"")</f>
        <v/>
      </c>
      <c r="BC380" s="33" t="str">
        <f>IFERROR(IF(COUNTIFS('Candidate Tracker'!$E:$E,'Positions Tracker'!$B380,'Candidate Tracker'!$C:$C,"&lt;&gt;WIP",'Candidate Tracker'!$C:$C,"&lt;&gt;Hold",'Candidate Tracker'!$C:$C,"&lt;&gt;Cancelled",'Candidate Tracker'!$C:$C,"&lt;&gt;Closed")/COUNTIFS('Candidate Tracker'!$E:$E,'Positions Tracker'!$B380)=0,"",COUNTIFS('Candidate Tracker'!$E:$E,'Positions Tracker'!$B380,'Candidate Tracker'!$C:$C,"&lt;&gt;WIP",'Candidate Tracker'!$C:$C,"&lt;&gt;Hold",'Candidate Tracker'!$C:$C,"&lt;&gt;Cancelled",'Candidate Tracker'!$C:$C,"&lt;&gt;Closed")/COUNTIFS('Candidate Tracker'!$E:$E,'Positions Tracker'!$B380)),"")</f>
        <v/>
      </c>
      <c r="BD380" s="30" t="str">
        <f t="shared" si="45"/>
        <v/>
      </c>
      <c r="BE380" s="30" t="str">
        <f t="shared" si="46"/>
        <v/>
      </c>
      <c r="BF380" s="30" t="str">
        <f t="shared" si="47"/>
        <v/>
      </c>
      <c r="BG380" s="30" t="str">
        <f t="shared" si="48"/>
        <v/>
      </c>
    </row>
    <row r="381" spans="1:59">
      <c r="A381" s="39"/>
      <c r="B381" s="39"/>
      <c r="C381" s="39"/>
      <c r="D381" s="39"/>
      <c r="E381" s="39"/>
      <c r="F381" s="39"/>
      <c r="G381" s="39"/>
      <c r="H381" s="39"/>
      <c r="I381" s="40"/>
      <c r="J381" s="40"/>
      <c r="K381" s="35"/>
      <c r="L381" s="35"/>
      <c r="M381" s="35"/>
      <c r="N381" s="39"/>
      <c r="O381" s="39"/>
      <c r="P381" s="39"/>
      <c r="Q381" s="39"/>
      <c r="R381" s="39"/>
      <c r="S381" s="39"/>
      <c r="T381" s="39"/>
      <c r="U381" s="39"/>
      <c r="V381" s="39"/>
      <c r="W381" s="39"/>
      <c r="X381" s="39"/>
      <c r="Y381" s="39"/>
      <c r="Z381" s="39"/>
      <c r="AA381" s="39"/>
      <c r="AB381" s="39"/>
      <c r="AC381" s="39"/>
      <c r="AD381" s="39"/>
      <c r="AE381" s="39"/>
      <c r="AF381" s="39"/>
      <c r="AG381" s="39"/>
      <c r="AH381" s="39"/>
      <c r="AI381" s="35"/>
      <c r="AJ381" s="39"/>
      <c r="AK381" s="39"/>
      <c r="AL381" s="39"/>
      <c r="AM381" s="35"/>
      <c r="AN381" s="35"/>
      <c r="AO381" s="39"/>
      <c r="AP381" s="39"/>
      <c r="AQ381" s="35"/>
      <c r="AR381" s="35"/>
      <c r="AS381" s="35"/>
      <c r="AT381" s="30">
        <f t="shared" ca="1" si="44"/>
        <v>0</v>
      </c>
      <c r="AU381" s="32" t="str">
        <f t="shared" ca="1" si="43"/>
        <v/>
      </c>
      <c r="AV381" s="32" t="str" cm="1">
        <f t="array" aca="1" ref="AV381" ca="1">IFERROR(_xlfn.IFS($AU381="","",$AU381&lt;=15,"0-15",AND($AU381&gt;=16,$AU381&lt;=30),"16-30",AND($AU381&gt;=31,$AU381&lt;=45),"31-45",AND($AU381&gt;=46,$AU381&lt;=60),"46-60",AND($AU381&gt;=61,$AU381&lt;=90),"61-90",AND($AU381&gt;=91),"&gt; 90",AND($AU381&gt;=2000),""),"")</f>
        <v/>
      </c>
      <c r="AW381" s="32" t="str" cm="1">
        <f t="array" aca="1" ref="AW381" ca="1">IFERROR(_xlfn.IFS(OR($M381="",$AM381=""),"",OR($C381="Offered",$C381="Joined"),($AM381-$M381)-$AT381),"")</f>
        <v/>
      </c>
      <c r="AX381" s="32" t="str" cm="1">
        <f t="array" aca="1" ref="AX381" ca="1">IFERROR(_xlfn.IFS(OR($M381="",$AS381=""),"",$C381="Joined",($AS381-$M381)-$AT381),"")</f>
        <v/>
      </c>
      <c r="AY381" s="30" t="str">
        <f>IFERROR(IF(COUNTIFS('Candidate Tracker'!$E:$E,'Positions Tracker'!$B381,'Candidate Tracker'!$C:$C,"Offer Drop")=0,"",COUNTIFS('Candidate Tracker'!$E:$E,'Positions Tracker'!$B381,'Candidate Tracker'!$C:$C,"Offer Drop")),"")</f>
        <v/>
      </c>
      <c r="AZ3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1" s="34" t="str">
        <f>IFERROR(IF(COUNTIFS('Candidate Tracker'!$E:$E,'Positions Tracker'!$B381,'Candidate Tracker'!$I:$I,"Female")=0,"",COUNTIFS('Candidate Tracker'!$E:$E,'Positions Tracker'!$B381,'Candidate Tracker'!$I:$I,"Female")),"")</f>
        <v/>
      </c>
      <c r="BB381" s="34" t="str">
        <f>IFERROR(IF(COUNTIFS('Candidate Tracker'!$E:$E,'Positions Tracker'!$B381,'Candidate Tracker'!$I:$I,"male")=0,"",COUNTIFS('Candidate Tracker'!$E:$E,'Positions Tracker'!$B381,'Candidate Tracker'!$I:$I,"male")),"")</f>
        <v/>
      </c>
      <c r="BC381" s="33" t="str">
        <f>IFERROR(IF(COUNTIFS('Candidate Tracker'!$E:$E,'Positions Tracker'!$B381,'Candidate Tracker'!$C:$C,"&lt;&gt;WIP",'Candidate Tracker'!$C:$C,"&lt;&gt;Hold",'Candidate Tracker'!$C:$C,"&lt;&gt;Cancelled",'Candidate Tracker'!$C:$C,"&lt;&gt;Closed")/COUNTIFS('Candidate Tracker'!$E:$E,'Positions Tracker'!$B381)=0,"",COUNTIFS('Candidate Tracker'!$E:$E,'Positions Tracker'!$B381,'Candidate Tracker'!$C:$C,"&lt;&gt;WIP",'Candidate Tracker'!$C:$C,"&lt;&gt;Hold",'Candidate Tracker'!$C:$C,"&lt;&gt;Cancelled",'Candidate Tracker'!$C:$C,"&lt;&gt;Closed")/COUNTIFS('Candidate Tracker'!$E:$E,'Positions Tracker'!$B381)),"")</f>
        <v/>
      </c>
      <c r="BD381" s="30" t="str">
        <f t="shared" si="45"/>
        <v/>
      </c>
      <c r="BE381" s="30" t="str">
        <f t="shared" si="46"/>
        <v/>
      </c>
      <c r="BF381" s="30" t="str">
        <f t="shared" si="47"/>
        <v/>
      </c>
      <c r="BG381" s="30" t="str">
        <f t="shared" si="48"/>
        <v/>
      </c>
    </row>
    <row r="382" spans="1:59">
      <c r="A382" s="39"/>
      <c r="B382" s="39"/>
      <c r="C382" s="39"/>
      <c r="D382" s="39"/>
      <c r="E382" s="39"/>
      <c r="F382" s="39"/>
      <c r="G382" s="39"/>
      <c r="H382" s="39"/>
      <c r="I382" s="40"/>
      <c r="J382" s="40"/>
      <c r="K382" s="35"/>
      <c r="L382" s="35"/>
      <c r="M382" s="35"/>
      <c r="N382" s="39"/>
      <c r="O382" s="39"/>
      <c r="P382" s="39"/>
      <c r="Q382" s="39"/>
      <c r="R382" s="39"/>
      <c r="S382" s="39"/>
      <c r="T382" s="39"/>
      <c r="U382" s="39"/>
      <c r="V382" s="39"/>
      <c r="W382" s="39"/>
      <c r="X382" s="39"/>
      <c r="Y382" s="39"/>
      <c r="Z382" s="39"/>
      <c r="AA382" s="39"/>
      <c r="AB382" s="39"/>
      <c r="AC382" s="39"/>
      <c r="AD382" s="39"/>
      <c r="AE382" s="39"/>
      <c r="AF382" s="39"/>
      <c r="AG382" s="39"/>
      <c r="AH382" s="39"/>
      <c r="AI382" s="35"/>
      <c r="AJ382" s="39"/>
      <c r="AK382" s="39"/>
      <c r="AL382" s="39"/>
      <c r="AM382" s="35"/>
      <c r="AN382" s="35"/>
      <c r="AO382" s="39"/>
      <c r="AP382" s="39"/>
      <c r="AQ382" s="35"/>
      <c r="AR382" s="35"/>
      <c r="AS382" s="35"/>
      <c r="AT382" s="30">
        <f t="shared" ca="1" si="44"/>
        <v>0</v>
      </c>
      <c r="AU382" s="32" t="str">
        <f t="shared" ca="1" si="43"/>
        <v/>
      </c>
      <c r="AV382" s="32" t="str" cm="1">
        <f t="array" aca="1" ref="AV382" ca="1">IFERROR(_xlfn.IFS($AU382="","",$AU382&lt;=15,"0-15",AND($AU382&gt;=16,$AU382&lt;=30),"16-30",AND($AU382&gt;=31,$AU382&lt;=45),"31-45",AND($AU382&gt;=46,$AU382&lt;=60),"46-60",AND($AU382&gt;=61,$AU382&lt;=90),"61-90",AND($AU382&gt;=91),"&gt; 90",AND($AU382&gt;=2000),""),"")</f>
        <v/>
      </c>
      <c r="AW382" s="32" t="str" cm="1">
        <f t="array" aca="1" ref="AW382" ca="1">IFERROR(_xlfn.IFS(OR($M382="",$AM382=""),"",OR($C382="Offered",$C382="Joined"),($AM382-$M382)-$AT382),"")</f>
        <v/>
      </c>
      <c r="AX382" s="32" t="str" cm="1">
        <f t="array" aca="1" ref="AX382" ca="1">IFERROR(_xlfn.IFS(OR($M382="",$AS382=""),"",$C382="Joined",($AS382-$M382)-$AT382),"")</f>
        <v/>
      </c>
      <c r="AY382" s="30" t="str">
        <f>IFERROR(IF(COUNTIFS('Candidate Tracker'!$E:$E,'Positions Tracker'!$B382,'Candidate Tracker'!$C:$C,"Offer Drop")=0,"",COUNTIFS('Candidate Tracker'!$E:$E,'Positions Tracker'!$B382,'Candidate Tracker'!$C:$C,"Offer Drop")),"")</f>
        <v/>
      </c>
      <c r="AZ3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2" s="34" t="str">
        <f>IFERROR(IF(COUNTIFS('Candidate Tracker'!$E:$E,'Positions Tracker'!$B382,'Candidate Tracker'!$I:$I,"Female")=0,"",COUNTIFS('Candidate Tracker'!$E:$E,'Positions Tracker'!$B382,'Candidate Tracker'!$I:$I,"Female")),"")</f>
        <v/>
      </c>
      <c r="BB382" s="34" t="str">
        <f>IFERROR(IF(COUNTIFS('Candidate Tracker'!$E:$E,'Positions Tracker'!$B382,'Candidate Tracker'!$I:$I,"male")=0,"",COUNTIFS('Candidate Tracker'!$E:$E,'Positions Tracker'!$B382,'Candidate Tracker'!$I:$I,"male")),"")</f>
        <v/>
      </c>
      <c r="BC382" s="33" t="str">
        <f>IFERROR(IF(COUNTIFS('Candidate Tracker'!$E:$E,'Positions Tracker'!$B382,'Candidate Tracker'!$C:$C,"&lt;&gt;WIP",'Candidate Tracker'!$C:$C,"&lt;&gt;Hold",'Candidate Tracker'!$C:$C,"&lt;&gt;Cancelled",'Candidate Tracker'!$C:$C,"&lt;&gt;Closed")/COUNTIFS('Candidate Tracker'!$E:$E,'Positions Tracker'!$B382)=0,"",COUNTIFS('Candidate Tracker'!$E:$E,'Positions Tracker'!$B382,'Candidate Tracker'!$C:$C,"&lt;&gt;WIP",'Candidate Tracker'!$C:$C,"&lt;&gt;Hold",'Candidate Tracker'!$C:$C,"&lt;&gt;Cancelled",'Candidate Tracker'!$C:$C,"&lt;&gt;Closed")/COUNTIFS('Candidate Tracker'!$E:$E,'Positions Tracker'!$B382)),"")</f>
        <v/>
      </c>
      <c r="BD382" s="30" t="str">
        <f t="shared" si="45"/>
        <v/>
      </c>
      <c r="BE382" s="30" t="str">
        <f t="shared" si="46"/>
        <v/>
      </c>
      <c r="BF382" s="30" t="str">
        <f t="shared" si="47"/>
        <v/>
      </c>
      <c r="BG382" s="30" t="str">
        <f t="shared" si="48"/>
        <v/>
      </c>
    </row>
    <row r="383" spans="1:59">
      <c r="A383" s="39"/>
      <c r="B383" s="39"/>
      <c r="C383" s="39"/>
      <c r="D383" s="39"/>
      <c r="E383" s="39"/>
      <c r="F383" s="39"/>
      <c r="G383" s="39"/>
      <c r="H383" s="39"/>
      <c r="I383" s="40"/>
      <c r="J383" s="40"/>
      <c r="K383" s="35"/>
      <c r="L383" s="35"/>
      <c r="M383" s="35"/>
      <c r="N383" s="39"/>
      <c r="O383" s="39"/>
      <c r="P383" s="39"/>
      <c r="Q383" s="39"/>
      <c r="R383" s="39"/>
      <c r="S383" s="39"/>
      <c r="T383" s="39"/>
      <c r="U383" s="39"/>
      <c r="V383" s="39"/>
      <c r="W383" s="39"/>
      <c r="X383" s="39"/>
      <c r="Y383" s="39"/>
      <c r="Z383" s="39"/>
      <c r="AA383" s="39"/>
      <c r="AB383" s="39"/>
      <c r="AC383" s="39"/>
      <c r="AD383" s="39"/>
      <c r="AE383" s="39"/>
      <c r="AF383" s="39"/>
      <c r="AG383" s="39"/>
      <c r="AH383" s="39"/>
      <c r="AI383" s="35"/>
      <c r="AJ383" s="39"/>
      <c r="AK383" s="39"/>
      <c r="AL383" s="39"/>
      <c r="AM383" s="35"/>
      <c r="AN383" s="35"/>
      <c r="AO383" s="39"/>
      <c r="AP383" s="39"/>
      <c r="AQ383" s="35"/>
      <c r="AR383" s="35"/>
      <c r="AS383" s="35"/>
      <c r="AT383" s="30">
        <f t="shared" ca="1" si="44"/>
        <v>0</v>
      </c>
      <c r="AU383" s="32" t="str">
        <f t="shared" ca="1" si="43"/>
        <v/>
      </c>
      <c r="AV383" s="32" t="str" cm="1">
        <f t="array" aca="1" ref="AV383" ca="1">IFERROR(_xlfn.IFS($AU383="","",$AU383&lt;=15,"0-15",AND($AU383&gt;=16,$AU383&lt;=30),"16-30",AND($AU383&gt;=31,$AU383&lt;=45),"31-45",AND($AU383&gt;=46,$AU383&lt;=60),"46-60",AND($AU383&gt;=61,$AU383&lt;=90),"61-90",AND($AU383&gt;=91),"&gt; 90",AND($AU383&gt;=2000),""),"")</f>
        <v/>
      </c>
      <c r="AW383" s="32" t="str" cm="1">
        <f t="array" aca="1" ref="AW383" ca="1">IFERROR(_xlfn.IFS(OR($M383="",$AM383=""),"",OR($C383="Offered",$C383="Joined"),($AM383-$M383)-$AT383),"")</f>
        <v/>
      </c>
      <c r="AX383" s="32" t="str" cm="1">
        <f t="array" aca="1" ref="AX383" ca="1">IFERROR(_xlfn.IFS(OR($M383="",$AS383=""),"",$C383="Joined",($AS383-$M383)-$AT383),"")</f>
        <v/>
      </c>
      <c r="AY383" s="30" t="str">
        <f>IFERROR(IF(COUNTIFS('Candidate Tracker'!$E:$E,'Positions Tracker'!$B383,'Candidate Tracker'!$C:$C,"Offer Drop")=0,"",COUNTIFS('Candidate Tracker'!$E:$E,'Positions Tracker'!$B383,'Candidate Tracker'!$C:$C,"Offer Drop")),"")</f>
        <v/>
      </c>
      <c r="AZ3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3" s="34" t="str">
        <f>IFERROR(IF(COUNTIFS('Candidate Tracker'!$E:$E,'Positions Tracker'!$B383,'Candidate Tracker'!$I:$I,"Female")=0,"",COUNTIFS('Candidate Tracker'!$E:$E,'Positions Tracker'!$B383,'Candidate Tracker'!$I:$I,"Female")),"")</f>
        <v/>
      </c>
      <c r="BB383" s="34" t="str">
        <f>IFERROR(IF(COUNTIFS('Candidate Tracker'!$E:$E,'Positions Tracker'!$B383,'Candidate Tracker'!$I:$I,"male")=0,"",COUNTIFS('Candidate Tracker'!$E:$E,'Positions Tracker'!$B383,'Candidate Tracker'!$I:$I,"male")),"")</f>
        <v/>
      </c>
      <c r="BC383" s="33" t="str">
        <f>IFERROR(IF(COUNTIFS('Candidate Tracker'!$E:$E,'Positions Tracker'!$B383,'Candidate Tracker'!$C:$C,"&lt;&gt;WIP",'Candidate Tracker'!$C:$C,"&lt;&gt;Hold",'Candidate Tracker'!$C:$C,"&lt;&gt;Cancelled",'Candidate Tracker'!$C:$C,"&lt;&gt;Closed")/COUNTIFS('Candidate Tracker'!$E:$E,'Positions Tracker'!$B383)=0,"",COUNTIFS('Candidate Tracker'!$E:$E,'Positions Tracker'!$B383,'Candidate Tracker'!$C:$C,"&lt;&gt;WIP",'Candidate Tracker'!$C:$C,"&lt;&gt;Hold",'Candidate Tracker'!$C:$C,"&lt;&gt;Cancelled",'Candidate Tracker'!$C:$C,"&lt;&gt;Closed")/COUNTIFS('Candidate Tracker'!$E:$E,'Positions Tracker'!$B383)),"")</f>
        <v/>
      </c>
      <c r="BD383" s="30" t="str">
        <f t="shared" si="45"/>
        <v/>
      </c>
      <c r="BE383" s="30" t="str">
        <f t="shared" si="46"/>
        <v/>
      </c>
      <c r="BF383" s="30" t="str">
        <f t="shared" si="47"/>
        <v/>
      </c>
      <c r="BG383" s="30" t="str">
        <f t="shared" si="48"/>
        <v/>
      </c>
    </row>
    <row r="384" spans="1:59">
      <c r="A384" s="39"/>
      <c r="B384" s="39"/>
      <c r="C384" s="39"/>
      <c r="D384" s="39"/>
      <c r="E384" s="39"/>
      <c r="F384" s="39"/>
      <c r="G384" s="39"/>
      <c r="H384" s="39"/>
      <c r="I384" s="40"/>
      <c r="J384" s="40"/>
      <c r="K384" s="35"/>
      <c r="L384" s="35"/>
      <c r="M384" s="35"/>
      <c r="N384" s="39"/>
      <c r="O384" s="39"/>
      <c r="P384" s="39"/>
      <c r="Q384" s="39"/>
      <c r="R384" s="39"/>
      <c r="S384" s="39"/>
      <c r="T384" s="39"/>
      <c r="U384" s="39"/>
      <c r="V384" s="39"/>
      <c r="W384" s="39"/>
      <c r="X384" s="39"/>
      <c r="Y384" s="39"/>
      <c r="Z384" s="39"/>
      <c r="AA384" s="39"/>
      <c r="AB384" s="39"/>
      <c r="AC384" s="39"/>
      <c r="AD384" s="39"/>
      <c r="AE384" s="39"/>
      <c r="AF384" s="39"/>
      <c r="AG384" s="39"/>
      <c r="AH384" s="39"/>
      <c r="AI384" s="35"/>
      <c r="AJ384" s="39"/>
      <c r="AK384" s="39"/>
      <c r="AL384" s="39"/>
      <c r="AM384" s="35"/>
      <c r="AN384" s="35"/>
      <c r="AO384" s="39"/>
      <c r="AP384" s="39"/>
      <c r="AQ384" s="35"/>
      <c r="AR384" s="35"/>
      <c r="AS384" s="35"/>
      <c r="AT384" s="30">
        <f t="shared" ca="1" si="44"/>
        <v>0</v>
      </c>
      <c r="AU384" s="32" t="str">
        <f t="shared" ref="AU384:AU447" ca="1" si="49">IFERROR(IF(($M384=""),"",IF(OR(,$C384="Offer in Progress",$C384="WIP",$C384="WIP/Drop",$C384="WIP/New",$C384="WIP/Hold"),(TODAY()-$M384)-$AT384,"")),"")</f>
        <v/>
      </c>
      <c r="AV384" s="32" t="str" cm="1">
        <f t="array" aca="1" ref="AV384" ca="1">IFERROR(_xlfn.IFS($AU384="","",$AU384&lt;=15,"0-15",AND($AU384&gt;=16,$AU384&lt;=30),"16-30",AND($AU384&gt;=31,$AU384&lt;=45),"31-45",AND($AU384&gt;=46,$AU384&lt;=60),"46-60",AND($AU384&gt;=61,$AU384&lt;=90),"61-90",AND($AU384&gt;=91),"&gt; 90",AND($AU384&gt;=2000),""),"")</f>
        <v/>
      </c>
      <c r="AW384" s="32" t="str" cm="1">
        <f t="array" aca="1" ref="AW384" ca="1">IFERROR(_xlfn.IFS(OR($M384="",$AM384=""),"",OR($C384="Offered",$C384="Joined"),($AM384-$M384)-$AT384),"")</f>
        <v/>
      </c>
      <c r="AX384" s="32" t="str" cm="1">
        <f t="array" aca="1" ref="AX384" ca="1">IFERROR(_xlfn.IFS(OR($M384="",$AS384=""),"",$C384="Joined",($AS384-$M384)-$AT384),"")</f>
        <v/>
      </c>
      <c r="AY384" s="30" t="str">
        <f>IFERROR(IF(COUNTIFS('Candidate Tracker'!$E:$E,'Positions Tracker'!$B384,'Candidate Tracker'!$C:$C,"Offer Drop")=0,"",COUNTIFS('Candidate Tracker'!$E:$E,'Positions Tracker'!$B384,'Candidate Tracker'!$C:$C,"Offer Drop")),"")</f>
        <v/>
      </c>
      <c r="AZ3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4" s="34" t="str">
        <f>IFERROR(IF(COUNTIFS('Candidate Tracker'!$E:$E,'Positions Tracker'!$B384,'Candidate Tracker'!$I:$I,"Female")=0,"",COUNTIFS('Candidate Tracker'!$E:$E,'Positions Tracker'!$B384,'Candidate Tracker'!$I:$I,"Female")),"")</f>
        <v/>
      </c>
      <c r="BB384" s="34" t="str">
        <f>IFERROR(IF(COUNTIFS('Candidate Tracker'!$E:$E,'Positions Tracker'!$B384,'Candidate Tracker'!$I:$I,"male")=0,"",COUNTIFS('Candidate Tracker'!$E:$E,'Positions Tracker'!$B384,'Candidate Tracker'!$I:$I,"male")),"")</f>
        <v/>
      </c>
      <c r="BC384" s="33" t="str">
        <f>IFERROR(IF(COUNTIFS('Candidate Tracker'!$E:$E,'Positions Tracker'!$B384,'Candidate Tracker'!$C:$C,"&lt;&gt;WIP",'Candidate Tracker'!$C:$C,"&lt;&gt;Hold",'Candidate Tracker'!$C:$C,"&lt;&gt;Cancelled",'Candidate Tracker'!$C:$C,"&lt;&gt;Closed")/COUNTIFS('Candidate Tracker'!$E:$E,'Positions Tracker'!$B384)=0,"",COUNTIFS('Candidate Tracker'!$E:$E,'Positions Tracker'!$B384,'Candidate Tracker'!$C:$C,"&lt;&gt;WIP",'Candidate Tracker'!$C:$C,"&lt;&gt;Hold",'Candidate Tracker'!$C:$C,"&lt;&gt;Cancelled",'Candidate Tracker'!$C:$C,"&lt;&gt;Closed")/COUNTIFS('Candidate Tracker'!$E:$E,'Positions Tracker'!$B384)),"")</f>
        <v/>
      </c>
      <c r="BD384" s="30" t="str">
        <f t="shared" si="45"/>
        <v/>
      </c>
      <c r="BE384" s="30" t="str">
        <f t="shared" si="46"/>
        <v/>
      </c>
      <c r="BF384" s="30" t="str">
        <f t="shared" si="47"/>
        <v/>
      </c>
      <c r="BG384" s="30" t="str">
        <f t="shared" si="48"/>
        <v/>
      </c>
    </row>
    <row r="385" spans="1:59">
      <c r="A385" s="39"/>
      <c r="B385" s="39"/>
      <c r="C385" s="39"/>
      <c r="D385" s="39"/>
      <c r="E385" s="39"/>
      <c r="F385" s="39"/>
      <c r="G385" s="39"/>
      <c r="H385" s="39"/>
      <c r="I385" s="40"/>
      <c r="J385" s="40"/>
      <c r="K385" s="35"/>
      <c r="L385" s="35"/>
      <c r="M385" s="35"/>
      <c r="N385" s="39"/>
      <c r="O385" s="39"/>
      <c r="P385" s="39"/>
      <c r="Q385" s="39"/>
      <c r="R385" s="39"/>
      <c r="S385" s="39"/>
      <c r="T385" s="39"/>
      <c r="U385" s="39"/>
      <c r="V385" s="39"/>
      <c r="W385" s="39"/>
      <c r="X385" s="39"/>
      <c r="Y385" s="39"/>
      <c r="Z385" s="39"/>
      <c r="AA385" s="39"/>
      <c r="AB385" s="39"/>
      <c r="AC385" s="39"/>
      <c r="AD385" s="39"/>
      <c r="AE385" s="39"/>
      <c r="AF385" s="39"/>
      <c r="AG385" s="39"/>
      <c r="AH385" s="39"/>
      <c r="AI385" s="35"/>
      <c r="AJ385" s="39"/>
      <c r="AK385" s="39"/>
      <c r="AL385" s="39"/>
      <c r="AM385" s="35"/>
      <c r="AN385" s="35"/>
      <c r="AO385" s="39"/>
      <c r="AP385" s="39"/>
      <c r="AQ385" s="35"/>
      <c r="AR385" s="35"/>
      <c r="AS385" s="35"/>
      <c r="AT385" s="30">
        <f t="shared" ref="AT385:AT448" ca="1" si="50">IFERROR(SUM(IF(AND(ISBLANK(T385),ISBLANK(Q385)),0,IF(T385="",TODAY()-Q385,T385-Q385))+IF(AND(ISBLANK(S385),ISBLANK(P385)),0,IF(S385="",TODAY()-P385,S385-P385))+IF(AND(ISBLANK(O385),ISBLANK(R385)),0,IF(R385="",TODAY()-O385,R385-O385))),"")</f>
        <v>0</v>
      </c>
      <c r="AU385" s="32" t="str">
        <f t="shared" ca="1" si="49"/>
        <v/>
      </c>
      <c r="AV385" s="32" t="str" cm="1">
        <f t="array" aca="1" ref="AV385" ca="1">IFERROR(_xlfn.IFS($AU385="","",$AU385&lt;=15,"0-15",AND($AU385&gt;=16,$AU385&lt;=30),"16-30",AND($AU385&gt;=31,$AU385&lt;=45),"31-45",AND($AU385&gt;=46,$AU385&lt;=60),"46-60",AND($AU385&gt;=61,$AU385&lt;=90),"61-90",AND($AU385&gt;=91),"&gt; 90",AND($AU385&gt;=2000),""),"")</f>
        <v/>
      </c>
      <c r="AW385" s="32" t="str" cm="1">
        <f t="array" aca="1" ref="AW385" ca="1">IFERROR(_xlfn.IFS(OR($M385="",$AM385=""),"",OR($C385="Offered",$C385="Joined"),($AM385-$M385)-$AT385),"")</f>
        <v/>
      </c>
      <c r="AX385" s="32" t="str" cm="1">
        <f t="array" aca="1" ref="AX385" ca="1">IFERROR(_xlfn.IFS(OR($M385="",$AS385=""),"",$C385="Joined",($AS385-$M385)-$AT385),"")</f>
        <v/>
      </c>
      <c r="AY385" s="30" t="str">
        <f>IFERROR(IF(COUNTIFS('Candidate Tracker'!$E:$E,'Positions Tracker'!$B385,'Candidate Tracker'!$C:$C,"Offer Drop")=0,"",COUNTIFS('Candidate Tracker'!$E:$E,'Positions Tracker'!$B385,'Candidate Tracker'!$C:$C,"Offer Drop")),"")</f>
        <v/>
      </c>
      <c r="AZ3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5" s="34" t="str">
        <f>IFERROR(IF(COUNTIFS('Candidate Tracker'!$E:$E,'Positions Tracker'!$B385,'Candidate Tracker'!$I:$I,"Female")=0,"",COUNTIFS('Candidate Tracker'!$E:$E,'Positions Tracker'!$B385,'Candidate Tracker'!$I:$I,"Female")),"")</f>
        <v/>
      </c>
      <c r="BB385" s="34" t="str">
        <f>IFERROR(IF(COUNTIFS('Candidate Tracker'!$E:$E,'Positions Tracker'!$B385,'Candidate Tracker'!$I:$I,"male")=0,"",COUNTIFS('Candidate Tracker'!$E:$E,'Positions Tracker'!$B385,'Candidate Tracker'!$I:$I,"male")),"")</f>
        <v/>
      </c>
      <c r="BC385" s="33" t="str">
        <f>IFERROR(IF(COUNTIFS('Candidate Tracker'!$E:$E,'Positions Tracker'!$B385,'Candidate Tracker'!$C:$C,"&lt;&gt;WIP",'Candidate Tracker'!$C:$C,"&lt;&gt;Hold",'Candidate Tracker'!$C:$C,"&lt;&gt;Cancelled",'Candidate Tracker'!$C:$C,"&lt;&gt;Closed")/COUNTIFS('Candidate Tracker'!$E:$E,'Positions Tracker'!$B385)=0,"",COUNTIFS('Candidate Tracker'!$E:$E,'Positions Tracker'!$B385,'Candidate Tracker'!$C:$C,"&lt;&gt;WIP",'Candidate Tracker'!$C:$C,"&lt;&gt;Hold",'Candidate Tracker'!$C:$C,"&lt;&gt;Cancelled",'Candidate Tracker'!$C:$C,"&lt;&gt;Closed")/COUNTIFS('Candidate Tracker'!$E:$E,'Positions Tracker'!$B385)),"")</f>
        <v/>
      </c>
      <c r="BD385" s="30" t="str">
        <f t="shared" ref="BD385:BD448" si="51">IFERROR(IF($M385="","",TEXT($M385,"MMM-YY")),"")</f>
        <v/>
      </c>
      <c r="BE385" s="30" t="str">
        <f t="shared" ref="BE385:BE448" si="52">IFERROR(IF($AI385="","",TEXT($AI385,"MMM-YY")),"")</f>
        <v/>
      </c>
      <c r="BF385" s="30" t="str">
        <f t="shared" ref="BF385:BF448" si="53">IFERROR(IF($AM385="","",TEXT($AM385,"MMM-YY")),"")</f>
        <v/>
      </c>
      <c r="BG385" s="30" t="str">
        <f t="shared" ref="BG385:BG448" si="54">IFERROR(IF($AS385="","",TEXT($AS385,"MMM-YY")),"")</f>
        <v/>
      </c>
    </row>
    <row r="386" spans="1:59">
      <c r="A386" s="39"/>
      <c r="B386" s="39"/>
      <c r="C386" s="39"/>
      <c r="D386" s="39"/>
      <c r="E386" s="39"/>
      <c r="F386" s="39"/>
      <c r="G386" s="39"/>
      <c r="H386" s="39"/>
      <c r="I386" s="40"/>
      <c r="J386" s="40"/>
      <c r="K386" s="35"/>
      <c r="L386" s="35"/>
      <c r="M386" s="35"/>
      <c r="N386" s="39"/>
      <c r="O386" s="39"/>
      <c r="P386" s="39"/>
      <c r="Q386" s="39"/>
      <c r="R386" s="39"/>
      <c r="S386" s="39"/>
      <c r="T386" s="39"/>
      <c r="U386" s="39"/>
      <c r="V386" s="39"/>
      <c r="W386" s="39"/>
      <c r="X386" s="39"/>
      <c r="Y386" s="39"/>
      <c r="Z386" s="39"/>
      <c r="AA386" s="39"/>
      <c r="AB386" s="39"/>
      <c r="AC386" s="39"/>
      <c r="AD386" s="39"/>
      <c r="AE386" s="39"/>
      <c r="AF386" s="39"/>
      <c r="AG386" s="39"/>
      <c r="AH386" s="39"/>
      <c r="AI386" s="35"/>
      <c r="AJ386" s="39"/>
      <c r="AK386" s="39"/>
      <c r="AL386" s="39"/>
      <c r="AM386" s="35"/>
      <c r="AN386" s="35"/>
      <c r="AO386" s="39"/>
      <c r="AP386" s="39"/>
      <c r="AQ386" s="35"/>
      <c r="AR386" s="35"/>
      <c r="AS386" s="35"/>
      <c r="AT386" s="30">
        <f t="shared" ca="1" si="50"/>
        <v>0</v>
      </c>
      <c r="AU386" s="32" t="str">
        <f t="shared" ca="1" si="49"/>
        <v/>
      </c>
      <c r="AV386" s="32" t="str" cm="1">
        <f t="array" aca="1" ref="AV386" ca="1">IFERROR(_xlfn.IFS($AU386="","",$AU386&lt;=15,"0-15",AND($AU386&gt;=16,$AU386&lt;=30),"16-30",AND($AU386&gt;=31,$AU386&lt;=45),"31-45",AND($AU386&gt;=46,$AU386&lt;=60),"46-60",AND($AU386&gt;=61,$AU386&lt;=90),"61-90",AND($AU386&gt;=91),"&gt; 90",AND($AU386&gt;=2000),""),"")</f>
        <v/>
      </c>
      <c r="AW386" s="32" t="str" cm="1">
        <f t="array" aca="1" ref="AW386" ca="1">IFERROR(_xlfn.IFS(OR($M386="",$AM386=""),"",OR($C386="Offered",$C386="Joined"),($AM386-$M386)-$AT386),"")</f>
        <v/>
      </c>
      <c r="AX386" s="32" t="str" cm="1">
        <f t="array" aca="1" ref="AX386" ca="1">IFERROR(_xlfn.IFS(OR($M386="",$AS386=""),"",$C386="Joined",($AS386-$M386)-$AT386),"")</f>
        <v/>
      </c>
      <c r="AY386" s="30" t="str">
        <f>IFERROR(IF(COUNTIFS('Candidate Tracker'!$E:$E,'Positions Tracker'!$B386,'Candidate Tracker'!$C:$C,"Offer Drop")=0,"",COUNTIFS('Candidate Tracker'!$E:$E,'Positions Tracker'!$B386,'Candidate Tracker'!$C:$C,"Offer Drop")),"")</f>
        <v/>
      </c>
      <c r="AZ38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6" s="34" t="str">
        <f>IFERROR(IF(COUNTIFS('Candidate Tracker'!$E:$E,'Positions Tracker'!$B386,'Candidate Tracker'!$I:$I,"Female")=0,"",COUNTIFS('Candidate Tracker'!$E:$E,'Positions Tracker'!$B386,'Candidate Tracker'!$I:$I,"Female")),"")</f>
        <v/>
      </c>
      <c r="BB386" s="34" t="str">
        <f>IFERROR(IF(COUNTIFS('Candidate Tracker'!$E:$E,'Positions Tracker'!$B386,'Candidate Tracker'!$I:$I,"male")=0,"",COUNTIFS('Candidate Tracker'!$E:$E,'Positions Tracker'!$B386,'Candidate Tracker'!$I:$I,"male")),"")</f>
        <v/>
      </c>
      <c r="BC386" s="33" t="str">
        <f>IFERROR(IF(COUNTIFS('Candidate Tracker'!$E:$E,'Positions Tracker'!$B386,'Candidate Tracker'!$C:$C,"&lt;&gt;WIP",'Candidate Tracker'!$C:$C,"&lt;&gt;Hold",'Candidate Tracker'!$C:$C,"&lt;&gt;Cancelled",'Candidate Tracker'!$C:$C,"&lt;&gt;Closed")/COUNTIFS('Candidate Tracker'!$E:$E,'Positions Tracker'!$B386)=0,"",COUNTIFS('Candidate Tracker'!$E:$E,'Positions Tracker'!$B386,'Candidate Tracker'!$C:$C,"&lt;&gt;WIP",'Candidate Tracker'!$C:$C,"&lt;&gt;Hold",'Candidate Tracker'!$C:$C,"&lt;&gt;Cancelled",'Candidate Tracker'!$C:$C,"&lt;&gt;Closed")/COUNTIFS('Candidate Tracker'!$E:$E,'Positions Tracker'!$B386)),"")</f>
        <v/>
      </c>
      <c r="BD386" s="30" t="str">
        <f t="shared" si="51"/>
        <v/>
      </c>
      <c r="BE386" s="30" t="str">
        <f t="shared" si="52"/>
        <v/>
      </c>
      <c r="BF386" s="30" t="str">
        <f t="shared" si="53"/>
        <v/>
      </c>
      <c r="BG386" s="30" t="str">
        <f t="shared" si="54"/>
        <v/>
      </c>
    </row>
    <row r="387" spans="1:59">
      <c r="A387" s="39"/>
      <c r="B387" s="39"/>
      <c r="C387" s="39"/>
      <c r="D387" s="39"/>
      <c r="E387" s="39"/>
      <c r="F387" s="39"/>
      <c r="G387" s="39"/>
      <c r="H387" s="39"/>
      <c r="I387" s="40"/>
      <c r="J387" s="40"/>
      <c r="K387" s="35"/>
      <c r="L387" s="35"/>
      <c r="M387" s="35"/>
      <c r="N387" s="39"/>
      <c r="O387" s="39"/>
      <c r="P387" s="39"/>
      <c r="Q387" s="39"/>
      <c r="R387" s="39"/>
      <c r="S387" s="39"/>
      <c r="T387" s="39"/>
      <c r="U387" s="39"/>
      <c r="V387" s="39"/>
      <c r="W387" s="39"/>
      <c r="X387" s="39"/>
      <c r="Y387" s="39"/>
      <c r="Z387" s="39"/>
      <c r="AA387" s="39"/>
      <c r="AB387" s="39"/>
      <c r="AC387" s="39"/>
      <c r="AD387" s="39"/>
      <c r="AE387" s="39"/>
      <c r="AF387" s="39"/>
      <c r="AG387" s="39"/>
      <c r="AH387" s="39"/>
      <c r="AI387" s="35"/>
      <c r="AJ387" s="39"/>
      <c r="AK387" s="39"/>
      <c r="AL387" s="39"/>
      <c r="AM387" s="35"/>
      <c r="AN387" s="35"/>
      <c r="AO387" s="39"/>
      <c r="AP387" s="39"/>
      <c r="AQ387" s="35"/>
      <c r="AR387" s="35"/>
      <c r="AS387" s="35"/>
      <c r="AT387" s="30">
        <f t="shared" ca="1" si="50"/>
        <v>0</v>
      </c>
      <c r="AU387" s="32" t="str">
        <f t="shared" ca="1" si="49"/>
        <v/>
      </c>
      <c r="AV387" s="32" t="str" cm="1">
        <f t="array" aca="1" ref="AV387" ca="1">IFERROR(_xlfn.IFS($AU387="","",$AU387&lt;=15,"0-15",AND($AU387&gt;=16,$AU387&lt;=30),"16-30",AND($AU387&gt;=31,$AU387&lt;=45),"31-45",AND($AU387&gt;=46,$AU387&lt;=60),"46-60",AND($AU387&gt;=61,$AU387&lt;=90),"61-90",AND($AU387&gt;=91),"&gt; 90",AND($AU387&gt;=2000),""),"")</f>
        <v/>
      </c>
      <c r="AW387" s="32" t="str" cm="1">
        <f t="array" aca="1" ref="AW387" ca="1">IFERROR(_xlfn.IFS(OR($M387="",$AM387=""),"",OR($C387="Offered",$C387="Joined"),($AM387-$M387)-$AT387),"")</f>
        <v/>
      </c>
      <c r="AX387" s="32" t="str" cm="1">
        <f t="array" aca="1" ref="AX387" ca="1">IFERROR(_xlfn.IFS(OR($M387="",$AS387=""),"",$C387="Joined",($AS387-$M387)-$AT387),"")</f>
        <v/>
      </c>
      <c r="AY387" s="30" t="str">
        <f>IFERROR(IF(COUNTIFS('Candidate Tracker'!$E:$E,'Positions Tracker'!$B387,'Candidate Tracker'!$C:$C,"Offer Drop")=0,"",COUNTIFS('Candidate Tracker'!$E:$E,'Positions Tracker'!$B387,'Candidate Tracker'!$C:$C,"Offer Drop")),"")</f>
        <v/>
      </c>
      <c r="AZ38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7" s="34" t="str">
        <f>IFERROR(IF(COUNTIFS('Candidate Tracker'!$E:$E,'Positions Tracker'!$B387,'Candidate Tracker'!$I:$I,"Female")=0,"",COUNTIFS('Candidate Tracker'!$E:$E,'Positions Tracker'!$B387,'Candidate Tracker'!$I:$I,"Female")),"")</f>
        <v/>
      </c>
      <c r="BB387" s="34" t="str">
        <f>IFERROR(IF(COUNTIFS('Candidate Tracker'!$E:$E,'Positions Tracker'!$B387,'Candidate Tracker'!$I:$I,"male")=0,"",COUNTIFS('Candidate Tracker'!$E:$E,'Positions Tracker'!$B387,'Candidate Tracker'!$I:$I,"male")),"")</f>
        <v/>
      </c>
      <c r="BC387" s="33" t="str">
        <f>IFERROR(IF(COUNTIFS('Candidate Tracker'!$E:$E,'Positions Tracker'!$B387,'Candidate Tracker'!$C:$C,"&lt;&gt;WIP",'Candidate Tracker'!$C:$C,"&lt;&gt;Hold",'Candidate Tracker'!$C:$C,"&lt;&gt;Cancelled",'Candidate Tracker'!$C:$C,"&lt;&gt;Closed")/COUNTIFS('Candidate Tracker'!$E:$E,'Positions Tracker'!$B387)=0,"",COUNTIFS('Candidate Tracker'!$E:$E,'Positions Tracker'!$B387,'Candidate Tracker'!$C:$C,"&lt;&gt;WIP",'Candidate Tracker'!$C:$C,"&lt;&gt;Hold",'Candidate Tracker'!$C:$C,"&lt;&gt;Cancelled",'Candidate Tracker'!$C:$C,"&lt;&gt;Closed")/COUNTIFS('Candidate Tracker'!$E:$E,'Positions Tracker'!$B387)),"")</f>
        <v/>
      </c>
      <c r="BD387" s="30" t="str">
        <f t="shared" si="51"/>
        <v/>
      </c>
      <c r="BE387" s="30" t="str">
        <f t="shared" si="52"/>
        <v/>
      </c>
      <c r="BF387" s="30" t="str">
        <f t="shared" si="53"/>
        <v/>
      </c>
      <c r="BG387" s="30" t="str">
        <f t="shared" si="54"/>
        <v/>
      </c>
    </row>
    <row r="388" spans="1:59">
      <c r="A388" s="39"/>
      <c r="B388" s="39"/>
      <c r="C388" s="39"/>
      <c r="D388" s="39"/>
      <c r="E388" s="39"/>
      <c r="F388" s="39"/>
      <c r="G388" s="39"/>
      <c r="H388" s="39"/>
      <c r="I388" s="40"/>
      <c r="J388" s="40"/>
      <c r="K388" s="35"/>
      <c r="L388" s="35"/>
      <c r="M388" s="35"/>
      <c r="N388" s="39"/>
      <c r="O388" s="39"/>
      <c r="P388" s="39"/>
      <c r="Q388" s="39"/>
      <c r="R388" s="39"/>
      <c r="S388" s="39"/>
      <c r="T388" s="39"/>
      <c r="U388" s="39"/>
      <c r="V388" s="39"/>
      <c r="W388" s="39"/>
      <c r="X388" s="39"/>
      <c r="Y388" s="39"/>
      <c r="Z388" s="39"/>
      <c r="AA388" s="39"/>
      <c r="AB388" s="39"/>
      <c r="AC388" s="39"/>
      <c r="AD388" s="39"/>
      <c r="AE388" s="39"/>
      <c r="AF388" s="39"/>
      <c r="AG388" s="39"/>
      <c r="AH388" s="39"/>
      <c r="AI388" s="35"/>
      <c r="AJ388" s="39"/>
      <c r="AK388" s="39"/>
      <c r="AL388" s="39"/>
      <c r="AM388" s="35"/>
      <c r="AN388" s="35"/>
      <c r="AO388" s="39"/>
      <c r="AP388" s="39"/>
      <c r="AQ388" s="35"/>
      <c r="AR388" s="35"/>
      <c r="AS388" s="35"/>
      <c r="AT388" s="30">
        <f t="shared" ca="1" si="50"/>
        <v>0</v>
      </c>
      <c r="AU388" s="32" t="str">
        <f t="shared" ca="1" si="49"/>
        <v/>
      </c>
      <c r="AV388" s="32" t="str" cm="1">
        <f t="array" aca="1" ref="AV388" ca="1">IFERROR(_xlfn.IFS($AU388="","",$AU388&lt;=15,"0-15",AND($AU388&gt;=16,$AU388&lt;=30),"16-30",AND($AU388&gt;=31,$AU388&lt;=45),"31-45",AND($AU388&gt;=46,$AU388&lt;=60),"46-60",AND($AU388&gt;=61,$AU388&lt;=90),"61-90",AND($AU388&gt;=91),"&gt; 90",AND($AU388&gt;=2000),""),"")</f>
        <v/>
      </c>
      <c r="AW388" s="32" t="str" cm="1">
        <f t="array" aca="1" ref="AW388" ca="1">IFERROR(_xlfn.IFS(OR($M388="",$AM388=""),"",OR($C388="Offered",$C388="Joined"),($AM388-$M388)-$AT388),"")</f>
        <v/>
      </c>
      <c r="AX388" s="32" t="str" cm="1">
        <f t="array" aca="1" ref="AX388" ca="1">IFERROR(_xlfn.IFS(OR($M388="",$AS388=""),"",$C388="Joined",($AS388-$M388)-$AT388),"")</f>
        <v/>
      </c>
      <c r="AY388" s="30" t="str">
        <f>IFERROR(IF(COUNTIFS('Candidate Tracker'!$E:$E,'Positions Tracker'!$B388,'Candidate Tracker'!$C:$C,"Offer Drop")=0,"",COUNTIFS('Candidate Tracker'!$E:$E,'Positions Tracker'!$B388,'Candidate Tracker'!$C:$C,"Offer Drop")),"")</f>
        <v/>
      </c>
      <c r="AZ38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8" s="34" t="str">
        <f>IFERROR(IF(COUNTIFS('Candidate Tracker'!$E:$E,'Positions Tracker'!$B388,'Candidate Tracker'!$I:$I,"Female")=0,"",COUNTIFS('Candidate Tracker'!$E:$E,'Positions Tracker'!$B388,'Candidate Tracker'!$I:$I,"Female")),"")</f>
        <v/>
      </c>
      <c r="BB388" s="34" t="str">
        <f>IFERROR(IF(COUNTIFS('Candidate Tracker'!$E:$E,'Positions Tracker'!$B388,'Candidate Tracker'!$I:$I,"male")=0,"",COUNTIFS('Candidate Tracker'!$E:$E,'Positions Tracker'!$B388,'Candidate Tracker'!$I:$I,"male")),"")</f>
        <v/>
      </c>
      <c r="BC388" s="33" t="str">
        <f>IFERROR(IF(COUNTIFS('Candidate Tracker'!$E:$E,'Positions Tracker'!$B388,'Candidate Tracker'!$C:$C,"&lt;&gt;WIP",'Candidate Tracker'!$C:$C,"&lt;&gt;Hold",'Candidate Tracker'!$C:$C,"&lt;&gt;Cancelled",'Candidate Tracker'!$C:$C,"&lt;&gt;Closed")/COUNTIFS('Candidate Tracker'!$E:$E,'Positions Tracker'!$B388)=0,"",COUNTIFS('Candidate Tracker'!$E:$E,'Positions Tracker'!$B388,'Candidate Tracker'!$C:$C,"&lt;&gt;WIP",'Candidate Tracker'!$C:$C,"&lt;&gt;Hold",'Candidate Tracker'!$C:$C,"&lt;&gt;Cancelled",'Candidate Tracker'!$C:$C,"&lt;&gt;Closed")/COUNTIFS('Candidate Tracker'!$E:$E,'Positions Tracker'!$B388)),"")</f>
        <v/>
      </c>
      <c r="BD388" s="30" t="str">
        <f t="shared" si="51"/>
        <v/>
      </c>
      <c r="BE388" s="30" t="str">
        <f t="shared" si="52"/>
        <v/>
      </c>
      <c r="BF388" s="30" t="str">
        <f t="shared" si="53"/>
        <v/>
      </c>
      <c r="BG388" s="30" t="str">
        <f t="shared" si="54"/>
        <v/>
      </c>
    </row>
    <row r="389" spans="1:59">
      <c r="A389" s="39"/>
      <c r="B389" s="39"/>
      <c r="C389" s="39"/>
      <c r="D389" s="39"/>
      <c r="E389" s="39"/>
      <c r="F389" s="39"/>
      <c r="G389" s="39"/>
      <c r="H389" s="39"/>
      <c r="I389" s="40"/>
      <c r="J389" s="40"/>
      <c r="K389" s="35"/>
      <c r="L389" s="35"/>
      <c r="M389" s="35"/>
      <c r="N389" s="39"/>
      <c r="O389" s="39"/>
      <c r="P389" s="39"/>
      <c r="Q389" s="39"/>
      <c r="R389" s="39"/>
      <c r="S389" s="39"/>
      <c r="T389" s="39"/>
      <c r="U389" s="39"/>
      <c r="V389" s="39"/>
      <c r="W389" s="39"/>
      <c r="X389" s="39"/>
      <c r="Y389" s="39"/>
      <c r="Z389" s="39"/>
      <c r="AA389" s="39"/>
      <c r="AB389" s="39"/>
      <c r="AC389" s="39"/>
      <c r="AD389" s="39"/>
      <c r="AE389" s="39"/>
      <c r="AF389" s="39"/>
      <c r="AG389" s="39"/>
      <c r="AH389" s="39"/>
      <c r="AI389" s="35"/>
      <c r="AJ389" s="39"/>
      <c r="AK389" s="39"/>
      <c r="AL389" s="39"/>
      <c r="AM389" s="35"/>
      <c r="AN389" s="35"/>
      <c r="AO389" s="39"/>
      <c r="AP389" s="39"/>
      <c r="AQ389" s="35"/>
      <c r="AR389" s="35"/>
      <c r="AS389" s="35"/>
      <c r="AT389" s="30">
        <f t="shared" ca="1" si="50"/>
        <v>0</v>
      </c>
      <c r="AU389" s="32" t="str">
        <f t="shared" ca="1" si="49"/>
        <v/>
      </c>
      <c r="AV389" s="32" t="str" cm="1">
        <f t="array" aca="1" ref="AV389" ca="1">IFERROR(_xlfn.IFS($AU389="","",$AU389&lt;=15,"0-15",AND($AU389&gt;=16,$AU389&lt;=30),"16-30",AND($AU389&gt;=31,$AU389&lt;=45),"31-45",AND($AU389&gt;=46,$AU389&lt;=60),"46-60",AND($AU389&gt;=61,$AU389&lt;=90),"61-90",AND($AU389&gt;=91),"&gt; 90",AND($AU389&gt;=2000),""),"")</f>
        <v/>
      </c>
      <c r="AW389" s="32" t="str" cm="1">
        <f t="array" aca="1" ref="AW389" ca="1">IFERROR(_xlfn.IFS(OR($M389="",$AM389=""),"",OR($C389="Offered",$C389="Joined"),($AM389-$M389)-$AT389),"")</f>
        <v/>
      </c>
      <c r="AX389" s="32" t="str" cm="1">
        <f t="array" aca="1" ref="AX389" ca="1">IFERROR(_xlfn.IFS(OR($M389="",$AS389=""),"",$C389="Joined",($AS389-$M389)-$AT389),"")</f>
        <v/>
      </c>
      <c r="AY389" s="30" t="str">
        <f>IFERROR(IF(COUNTIFS('Candidate Tracker'!$E:$E,'Positions Tracker'!$B389,'Candidate Tracker'!$C:$C,"Offer Drop")=0,"",COUNTIFS('Candidate Tracker'!$E:$E,'Positions Tracker'!$B389,'Candidate Tracker'!$C:$C,"Offer Drop")),"")</f>
        <v/>
      </c>
      <c r="AZ38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89" s="34" t="str">
        <f>IFERROR(IF(COUNTIFS('Candidate Tracker'!$E:$E,'Positions Tracker'!$B389,'Candidate Tracker'!$I:$I,"Female")=0,"",COUNTIFS('Candidate Tracker'!$E:$E,'Positions Tracker'!$B389,'Candidate Tracker'!$I:$I,"Female")),"")</f>
        <v/>
      </c>
      <c r="BB389" s="34" t="str">
        <f>IFERROR(IF(COUNTIFS('Candidate Tracker'!$E:$E,'Positions Tracker'!$B389,'Candidate Tracker'!$I:$I,"male")=0,"",COUNTIFS('Candidate Tracker'!$E:$E,'Positions Tracker'!$B389,'Candidate Tracker'!$I:$I,"male")),"")</f>
        <v/>
      </c>
      <c r="BC389" s="33" t="str">
        <f>IFERROR(IF(COUNTIFS('Candidate Tracker'!$E:$E,'Positions Tracker'!$B389,'Candidate Tracker'!$C:$C,"&lt;&gt;WIP",'Candidate Tracker'!$C:$C,"&lt;&gt;Hold",'Candidate Tracker'!$C:$C,"&lt;&gt;Cancelled",'Candidate Tracker'!$C:$C,"&lt;&gt;Closed")/COUNTIFS('Candidate Tracker'!$E:$E,'Positions Tracker'!$B389)=0,"",COUNTIFS('Candidate Tracker'!$E:$E,'Positions Tracker'!$B389,'Candidate Tracker'!$C:$C,"&lt;&gt;WIP",'Candidate Tracker'!$C:$C,"&lt;&gt;Hold",'Candidate Tracker'!$C:$C,"&lt;&gt;Cancelled",'Candidate Tracker'!$C:$C,"&lt;&gt;Closed")/COUNTIFS('Candidate Tracker'!$E:$E,'Positions Tracker'!$B389)),"")</f>
        <v/>
      </c>
      <c r="BD389" s="30" t="str">
        <f t="shared" si="51"/>
        <v/>
      </c>
      <c r="BE389" s="30" t="str">
        <f t="shared" si="52"/>
        <v/>
      </c>
      <c r="BF389" s="30" t="str">
        <f t="shared" si="53"/>
        <v/>
      </c>
      <c r="BG389" s="30" t="str">
        <f t="shared" si="54"/>
        <v/>
      </c>
    </row>
    <row r="390" spans="1:59">
      <c r="A390" s="39"/>
      <c r="B390" s="39"/>
      <c r="C390" s="39"/>
      <c r="D390" s="39"/>
      <c r="E390" s="39"/>
      <c r="F390" s="39"/>
      <c r="G390" s="39"/>
      <c r="H390" s="39"/>
      <c r="I390" s="40"/>
      <c r="J390" s="40"/>
      <c r="K390" s="35"/>
      <c r="L390" s="35"/>
      <c r="M390" s="35"/>
      <c r="N390" s="39"/>
      <c r="O390" s="39"/>
      <c r="P390" s="39"/>
      <c r="Q390" s="39"/>
      <c r="R390" s="39"/>
      <c r="S390" s="39"/>
      <c r="T390" s="39"/>
      <c r="U390" s="39"/>
      <c r="V390" s="39"/>
      <c r="W390" s="39"/>
      <c r="X390" s="39"/>
      <c r="Y390" s="39"/>
      <c r="Z390" s="39"/>
      <c r="AA390" s="39"/>
      <c r="AB390" s="39"/>
      <c r="AC390" s="39"/>
      <c r="AD390" s="39"/>
      <c r="AE390" s="39"/>
      <c r="AF390" s="39"/>
      <c r="AG390" s="39"/>
      <c r="AH390" s="39"/>
      <c r="AI390" s="35"/>
      <c r="AJ390" s="39"/>
      <c r="AK390" s="39"/>
      <c r="AL390" s="39"/>
      <c r="AM390" s="35"/>
      <c r="AN390" s="35"/>
      <c r="AO390" s="39"/>
      <c r="AP390" s="39"/>
      <c r="AQ390" s="35"/>
      <c r="AR390" s="35"/>
      <c r="AS390" s="35"/>
      <c r="AT390" s="30">
        <f t="shared" ca="1" si="50"/>
        <v>0</v>
      </c>
      <c r="AU390" s="32" t="str">
        <f t="shared" ca="1" si="49"/>
        <v/>
      </c>
      <c r="AV390" s="32" t="str" cm="1">
        <f t="array" aca="1" ref="AV390" ca="1">IFERROR(_xlfn.IFS($AU390="","",$AU390&lt;=15,"0-15",AND($AU390&gt;=16,$AU390&lt;=30),"16-30",AND($AU390&gt;=31,$AU390&lt;=45),"31-45",AND($AU390&gt;=46,$AU390&lt;=60),"46-60",AND($AU390&gt;=61,$AU390&lt;=90),"61-90",AND($AU390&gt;=91),"&gt; 90",AND($AU390&gt;=2000),""),"")</f>
        <v/>
      </c>
      <c r="AW390" s="32" t="str" cm="1">
        <f t="array" aca="1" ref="AW390" ca="1">IFERROR(_xlfn.IFS(OR($M390="",$AM390=""),"",OR($C390="Offered",$C390="Joined"),($AM390-$M390)-$AT390),"")</f>
        <v/>
      </c>
      <c r="AX390" s="32" t="str" cm="1">
        <f t="array" aca="1" ref="AX390" ca="1">IFERROR(_xlfn.IFS(OR($M390="",$AS390=""),"",$C390="Joined",($AS390-$M390)-$AT390),"")</f>
        <v/>
      </c>
      <c r="AY390" s="30" t="str">
        <f>IFERROR(IF(COUNTIFS('Candidate Tracker'!$E:$E,'Positions Tracker'!$B390,'Candidate Tracker'!$C:$C,"Offer Drop")=0,"",COUNTIFS('Candidate Tracker'!$E:$E,'Positions Tracker'!$B390,'Candidate Tracker'!$C:$C,"Offer Drop")),"")</f>
        <v/>
      </c>
      <c r="AZ39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0" s="34" t="str">
        <f>IFERROR(IF(COUNTIFS('Candidate Tracker'!$E:$E,'Positions Tracker'!$B390,'Candidate Tracker'!$I:$I,"Female")=0,"",COUNTIFS('Candidate Tracker'!$E:$E,'Positions Tracker'!$B390,'Candidate Tracker'!$I:$I,"Female")),"")</f>
        <v/>
      </c>
      <c r="BB390" s="34" t="str">
        <f>IFERROR(IF(COUNTIFS('Candidate Tracker'!$E:$E,'Positions Tracker'!$B390,'Candidate Tracker'!$I:$I,"male")=0,"",COUNTIFS('Candidate Tracker'!$E:$E,'Positions Tracker'!$B390,'Candidate Tracker'!$I:$I,"male")),"")</f>
        <v/>
      </c>
      <c r="BC390" s="33" t="str">
        <f>IFERROR(IF(COUNTIFS('Candidate Tracker'!$E:$E,'Positions Tracker'!$B390,'Candidate Tracker'!$C:$C,"&lt;&gt;WIP",'Candidate Tracker'!$C:$C,"&lt;&gt;Hold",'Candidate Tracker'!$C:$C,"&lt;&gt;Cancelled",'Candidate Tracker'!$C:$C,"&lt;&gt;Closed")/COUNTIFS('Candidate Tracker'!$E:$E,'Positions Tracker'!$B390)=0,"",COUNTIFS('Candidate Tracker'!$E:$E,'Positions Tracker'!$B390,'Candidate Tracker'!$C:$C,"&lt;&gt;WIP",'Candidate Tracker'!$C:$C,"&lt;&gt;Hold",'Candidate Tracker'!$C:$C,"&lt;&gt;Cancelled",'Candidate Tracker'!$C:$C,"&lt;&gt;Closed")/COUNTIFS('Candidate Tracker'!$E:$E,'Positions Tracker'!$B390)),"")</f>
        <v/>
      </c>
      <c r="BD390" s="30" t="str">
        <f t="shared" si="51"/>
        <v/>
      </c>
      <c r="BE390" s="30" t="str">
        <f t="shared" si="52"/>
        <v/>
      </c>
      <c r="BF390" s="30" t="str">
        <f t="shared" si="53"/>
        <v/>
      </c>
      <c r="BG390" s="30" t="str">
        <f t="shared" si="54"/>
        <v/>
      </c>
    </row>
    <row r="391" spans="1:59">
      <c r="A391" s="39"/>
      <c r="B391" s="39"/>
      <c r="C391" s="39"/>
      <c r="D391" s="39"/>
      <c r="E391" s="39"/>
      <c r="F391" s="39"/>
      <c r="G391" s="39"/>
      <c r="H391" s="39"/>
      <c r="I391" s="40"/>
      <c r="J391" s="40"/>
      <c r="K391" s="35"/>
      <c r="L391" s="35"/>
      <c r="M391" s="35"/>
      <c r="N391" s="39"/>
      <c r="O391" s="39"/>
      <c r="P391" s="39"/>
      <c r="Q391" s="39"/>
      <c r="R391" s="39"/>
      <c r="S391" s="39"/>
      <c r="T391" s="39"/>
      <c r="U391" s="39"/>
      <c r="V391" s="39"/>
      <c r="W391" s="39"/>
      <c r="X391" s="39"/>
      <c r="Y391" s="39"/>
      <c r="Z391" s="39"/>
      <c r="AA391" s="39"/>
      <c r="AB391" s="39"/>
      <c r="AC391" s="39"/>
      <c r="AD391" s="39"/>
      <c r="AE391" s="39"/>
      <c r="AF391" s="39"/>
      <c r="AG391" s="39"/>
      <c r="AH391" s="39"/>
      <c r="AI391" s="35"/>
      <c r="AJ391" s="39"/>
      <c r="AK391" s="39"/>
      <c r="AL391" s="39"/>
      <c r="AM391" s="35"/>
      <c r="AN391" s="35"/>
      <c r="AO391" s="39"/>
      <c r="AP391" s="39"/>
      <c r="AQ391" s="35"/>
      <c r="AR391" s="35"/>
      <c r="AS391" s="35"/>
      <c r="AT391" s="30">
        <f t="shared" ca="1" si="50"/>
        <v>0</v>
      </c>
      <c r="AU391" s="32" t="str">
        <f t="shared" ca="1" si="49"/>
        <v/>
      </c>
      <c r="AV391" s="32" t="str" cm="1">
        <f t="array" aca="1" ref="AV391" ca="1">IFERROR(_xlfn.IFS($AU391="","",$AU391&lt;=15,"0-15",AND($AU391&gt;=16,$AU391&lt;=30),"16-30",AND($AU391&gt;=31,$AU391&lt;=45),"31-45",AND($AU391&gt;=46,$AU391&lt;=60),"46-60",AND($AU391&gt;=61,$AU391&lt;=90),"61-90",AND($AU391&gt;=91),"&gt; 90",AND($AU391&gt;=2000),""),"")</f>
        <v/>
      </c>
      <c r="AW391" s="32" t="str" cm="1">
        <f t="array" aca="1" ref="AW391" ca="1">IFERROR(_xlfn.IFS(OR($M391="",$AM391=""),"",OR($C391="Offered",$C391="Joined"),($AM391-$M391)-$AT391),"")</f>
        <v/>
      </c>
      <c r="AX391" s="32" t="str" cm="1">
        <f t="array" aca="1" ref="AX391" ca="1">IFERROR(_xlfn.IFS(OR($M391="",$AS391=""),"",$C391="Joined",($AS391-$M391)-$AT391),"")</f>
        <v/>
      </c>
      <c r="AY391" s="30" t="str">
        <f>IFERROR(IF(COUNTIFS('Candidate Tracker'!$E:$E,'Positions Tracker'!$B391,'Candidate Tracker'!$C:$C,"Offer Drop")=0,"",COUNTIFS('Candidate Tracker'!$E:$E,'Positions Tracker'!$B391,'Candidate Tracker'!$C:$C,"Offer Drop")),"")</f>
        <v/>
      </c>
      <c r="AZ39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1" s="34" t="str">
        <f>IFERROR(IF(COUNTIFS('Candidate Tracker'!$E:$E,'Positions Tracker'!$B391,'Candidate Tracker'!$I:$I,"Female")=0,"",COUNTIFS('Candidate Tracker'!$E:$E,'Positions Tracker'!$B391,'Candidate Tracker'!$I:$I,"Female")),"")</f>
        <v/>
      </c>
      <c r="BB391" s="34" t="str">
        <f>IFERROR(IF(COUNTIFS('Candidate Tracker'!$E:$E,'Positions Tracker'!$B391,'Candidate Tracker'!$I:$I,"male")=0,"",COUNTIFS('Candidate Tracker'!$E:$E,'Positions Tracker'!$B391,'Candidate Tracker'!$I:$I,"male")),"")</f>
        <v/>
      </c>
      <c r="BC391" s="33" t="str">
        <f>IFERROR(IF(COUNTIFS('Candidate Tracker'!$E:$E,'Positions Tracker'!$B391,'Candidate Tracker'!$C:$C,"&lt;&gt;WIP",'Candidate Tracker'!$C:$C,"&lt;&gt;Hold",'Candidate Tracker'!$C:$C,"&lt;&gt;Cancelled",'Candidate Tracker'!$C:$C,"&lt;&gt;Closed")/COUNTIFS('Candidate Tracker'!$E:$E,'Positions Tracker'!$B391)=0,"",COUNTIFS('Candidate Tracker'!$E:$E,'Positions Tracker'!$B391,'Candidate Tracker'!$C:$C,"&lt;&gt;WIP",'Candidate Tracker'!$C:$C,"&lt;&gt;Hold",'Candidate Tracker'!$C:$C,"&lt;&gt;Cancelled",'Candidate Tracker'!$C:$C,"&lt;&gt;Closed")/COUNTIFS('Candidate Tracker'!$E:$E,'Positions Tracker'!$B391)),"")</f>
        <v/>
      </c>
      <c r="BD391" s="30" t="str">
        <f t="shared" si="51"/>
        <v/>
      </c>
      <c r="BE391" s="30" t="str">
        <f t="shared" si="52"/>
        <v/>
      </c>
      <c r="BF391" s="30" t="str">
        <f t="shared" si="53"/>
        <v/>
      </c>
      <c r="BG391" s="30" t="str">
        <f t="shared" si="54"/>
        <v/>
      </c>
    </row>
    <row r="392" spans="1:59">
      <c r="A392" s="39"/>
      <c r="B392" s="39"/>
      <c r="C392" s="39"/>
      <c r="D392" s="39"/>
      <c r="E392" s="39"/>
      <c r="F392" s="39"/>
      <c r="G392" s="39"/>
      <c r="H392" s="39"/>
      <c r="I392" s="40"/>
      <c r="J392" s="40"/>
      <c r="K392" s="35"/>
      <c r="L392" s="35"/>
      <c r="M392" s="35"/>
      <c r="N392" s="39"/>
      <c r="O392" s="39"/>
      <c r="P392" s="39"/>
      <c r="Q392" s="39"/>
      <c r="R392" s="39"/>
      <c r="S392" s="39"/>
      <c r="T392" s="39"/>
      <c r="U392" s="39"/>
      <c r="V392" s="39"/>
      <c r="W392" s="39"/>
      <c r="X392" s="39"/>
      <c r="Y392" s="39"/>
      <c r="Z392" s="39"/>
      <c r="AA392" s="39"/>
      <c r="AB392" s="39"/>
      <c r="AC392" s="39"/>
      <c r="AD392" s="39"/>
      <c r="AE392" s="39"/>
      <c r="AF392" s="39"/>
      <c r="AG392" s="39"/>
      <c r="AH392" s="39"/>
      <c r="AI392" s="35"/>
      <c r="AJ392" s="39"/>
      <c r="AK392" s="39"/>
      <c r="AL392" s="39"/>
      <c r="AM392" s="35"/>
      <c r="AN392" s="35"/>
      <c r="AO392" s="39"/>
      <c r="AP392" s="39"/>
      <c r="AQ392" s="35"/>
      <c r="AR392" s="35"/>
      <c r="AS392" s="35"/>
      <c r="AT392" s="30">
        <f t="shared" ca="1" si="50"/>
        <v>0</v>
      </c>
      <c r="AU392" s="32" t="str">
        <f t="shared" ca="1" si="49"/>
        <v/>
      </c>
      <c r="AV392" s="32" t="str" cm="1">
        <f t="array" aca="1" ref="AV392" ca="1">IFERROR(_xlfn.IFS($AU392="","",$AU392&lt;=15,"0-15",AND($AU392&gt;=16,$AU392&lt;=30),"16-30",AND($AU392&gt;=31,$AU392&lt;=45),"31-45",AND($AU392&gt;=46,$AU392&lt;=60),"46-60",AND($AU392&gt;=61,$AU392&lt;=90),"61-90",AND($AU392&gt;=91),"&gt; 90",AND($AU392&gt;=2000),""),"")</f>
        <v/>
      </c>
      <c r="AW392" s="32" t="str" cm="1">
        <f t="array" aca="1" ref="AW392" ca="1">IFERROR(_xlfn.IFS(OR($M392="",$AM392=""),"",OR($C392="Offered",$C392="Joined"),($AM392-$M392)-$AT392),"")</f>
        <v/>
      </c>
      <c r="AX392" s="32" t="str" cm="1">
        <f t="array" aca="1" ref="AX392" ca="1">IFERROR(_xlfn.IFS(OR($M392="",$AS392=""),"",$C392="Joined",($AS392-$M392)-$AT392),"")</f>
        <v/>
      </c>
      <c r="AY392" s="30" t="str">
        <f>IFERROR(IF(COUNTIFS('Candidate Tracker'!$E:$E,'Positions Tracker'!$B392,'Candidate Tracker'!$C:$C,"Offer Drop")=0,"",COUNTIFS('Candidate Tracker'!$E:$E,'Positions Tracker'!$B392,'Candidate Tracker'!$C:$C,"Offer Drop")),"")</f>
        <v/>
      </c>
      <c r="AZ39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2" s="34" t="str">
        <f>IFERROR(IF(COUNTIFS('Candidate Tracker'!$E:$E,'Positions Tracker'!$B392,'Candidate Tracker'!$I:$I,"Female")=0,"",COUNTIFS('Candidate Tracker'!$E:$E,'Positions Tracker'!$B392,'Candidate Tracker'!$I:$I,"Female")),"")</f>
        <v/>
      </c>
      <c r="BB392" s="34" t="str">
        <f>IFERROR(IF(COUNTIFS('Candidate Tracker'!$E:$E,'Positions Tracker'!$B392,'Candidate Tracker'!$I:$I,"male")=0,"",COUNTIFS('Candidate Tracker'!$E:$E,'Positions Tracker'!$B392,'Candidate Tracker'!$I:$I,"male")),"")</f>
        <v/>
      </c>
      <c r="BC392" s="33" t="str">
        <f>IFERROR(IF(COUNTIFS('Candidate Tracker'!$E:$E,'Positions Tracker'!$B392,'Candidate Tracker'!$C:$C,"&lt;&gt;WIP",'Candidate Tracker'!$C:$C,"&lt;&gt;Hold",'Candidate Tracker'!$C:$C,"&lt;&gt;Cancelled",'Candidate Tracker'!$C:$C,"&lt;&gt;Closed")/COUNTIFS('Candidate Tracker'!$E:$E,'Positions Tracker'!$B392)=0,"",COUNTIFS('Candidate Tracker'!$E:$E,'Positions Tracker'!$B392,'Candidate Tracker'!$C:$C,"&lt;&gt;WIP",'Candidate Tracker'!$C:$C,"&lt;&gt;Hold",'Candidate Tracker'!$C:$C,"&lt;&gt;Cancelled",'Candidate Tracker'!$C:$C,"&lt;&gt;Closed")/COUNTIFS('Candidate Tracker'!$E:$E,'Positions Tracker'!$B392)),"")</f>
        <v/>
      </c>
      <c r="BD392" s="30" t="str">
        <f t="shared" si="51"/>
        <v/>
      </c>
      <c r="BE392" s="30" t="str">
        <f t="shared" si="52"/>
        <v/>
      </c>
      <c r="BF392" s="30" t="str">
        <f t="shared" si="53"/>
        <v/>
      </c>
      <c r="BG392" s="30" t="str">
        <f t="shared" si="54"/>
        <v/>
      </c>
    </row>
    <row r="393" spans="1:59">
      <c r="A393" s="39"/>
      <c r="B393" s="39"/>
      <c r="C393" s="39"/>
      <c r="D393" s="39"/>
      <c r="E393" s="39"/>
      <c r="F393" s="39"/>
      <c r="G393" s="39"/>
      <c r="H393" s="39"/>
      <c r="I393" s="40"/>
      <c r="J393" s="40"/>
      <c r="K393" s="35"/>
      <c r="L393" s="35"/>
      <c r="M393" s="35"/>
      <c r="N393" s="39"/>
      <c r="O393" s="39"/>
      <c r="P393" s="39"/>
      <c r="Q393" s="39"/>
      <c r="R393" s="39"/>
      <c r="S393" s="39"/>
      <c r="T393" s="39"/>
      <c r="U393" s="39"/>
      <c r="V393" s="39"/>
      <c r="W393" s="39"/>
      <c r="X393" s="39"/>
      <c r="Y393" s="39"/>
      <c r="Z393" s="39"/>
      <c r="AA393" s="39"/>
      <c r="AB393" s="39"/>
      <c r="AC393" s="39"/>
      <c r="AD393" s="39"/>
      <c r="AE393" s="39"/>
      <c r="AF393" s="39"/>
      <c r="AG393" s="39"/>
      <c r="AH393" s="39"/>
      <c r="AI393" s="35"/>
      <c r="AJ393" s="39"/>
      <c r="AK393" s="39"/>
      <c r="AL393" s="39"/>
      <c r="AM393" s="35"/>
      <c r="AN393" s="35"/>
      <c r="AO393" s="39"/>
      <c r="AP393" s="39"/>
      <c r="AQ393" s="35"/>
      <c r="AR393" s="35"/>
      <c r="AS393" s="35"/>
      <c r="AT393" s="30">
        <f t="shared" ca="1" si="50"/>
        <v>0</v>
      </c>
      <c r="AU393" s="32" t="str">
        <f t="shared" ca="1" si="49"/>
        <v/>
      </c>
      <c r="AV393" s="32" t="str" cm="1">
        <f t="array" aca="1" ref="AV393" ca="1">IFERROR(_xlfn.IFS($AU393="","",$AU393&lt;=15,"0-15",AND($AU393&gt;=16,$AU393&lt;=30),"16-30",AND($AU393&gt;=31,$AU393&lt;=45),"31-45",AND($AU393&gt;=46,$AU393&lt;=60),"46-60",AND($AU393&gt;=61,$AU393&lt;=90),"61-90",AND($AU393&gt;=91),"&gt; 90",AND($AU393&gt;=2000),""),"")</f>
        <v/>
      </c>
      <c r="AW393" s="32" t="str" cm="1">
        <f t="array" aca="1" ref="AW393" ca="1">IFERROR(_xlfn.IFS(OR($M393="",$AM393=""),"",OR($C393="Offered",$C393="Joined"),($AM393-$M393)-$AT393),"")</f>
        <v/>
      </c>
      <c r="AX393" s="32" t="str" cm="1">
        <f t="array" aca="1" ref="AX393" ca="1">IFERROR(_xlfn.IFS(OR($M393="",$AS393=""),"",$C393="Joined",($AS393-$M393)-$AT393),"")</f>
        <v/>
      </c>
      <c r="AY393" s="30" t="str">
        <f>IFERROR(IF(COUNTIFS('Candidate Tracker'!$E:$E,'Positions Tracker'!$B393,'Candidate Tracker'!$C:$C,"Offer Drop")=0,"",COUNTIFS('Candidate Tracker'!$E:$E,'Positions Tracker'!$B393,'Candidate Tracker'!$C:$C,"Offer Drop")),"")</f>
        <v/>
      </c>
      <c r="AZ39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3" s="34" t="str">
        <f>IFERROR(IF(COUNTIFS('Candidate Tracker'!$E:$E,'Positions Tracker'!$B393,'Candidate Tracker'!$I:$I,"Female")=0,"",COUNTIFS('Candidate Tracker'!$E:$E,'Positions Tracker'!$B393,'Candidate Tracker'!$I:$I,"Female")),"")</f>
        <v/>
      </c>
      <c r="BB393" s="34" t="str">
        <f>IFERROR(IF(COUNTIFS('Candidate Tracker'!$E:$E,'Positions Tracker'!$B393,'Candidate Tracker'!$I:$I,"male")=0,"",COUNTIFS('Candidate Tracker'!$E:$E,'Positions Tracker'!$B393,'Candidate Tracker'!$I:$I,"male")),"")</f>
        <v/>
      </c>
      <c r="BC393" s="33" t="str">
        <f>IFERROR(IF(COUNTIFS('Candidate Tracker'!$E:$E,'Positions Tracker'!$B393,'Candidate Tracker'!$C:$C,"&lt;&gt;WIP",'Candidate Tracker'!$C:$C,"&lt;&gt;Hold",'Candidate Tracker'!$C:$C,"&lt;&gt;Cancelled",'Candidate Tracker'!$C:$C,"&lt;&gt;Closed")/COUNTIFS('Candidate Tracker'!$E:$E,'Positions Tracker'!$B393)=0,"",COUNTIFS('Candidate Tracker'!$E:$E,'Positions Tracker'!$B393,'Candidate Tracker'!$C:$C,"&lt;&gt;WIP",'Candidate Tracker'!$C:$C,"&lt;&gt;Hold",'Candidate Tracker'!$C:$C,"&lt;&gt;Cancelled",'Candidate Tracker'!$C:$C,"&lt;&gt;Closed")/COUNTIFS('Candidate Tracker'!$E:$E,'Positions Tracker'!$B393)),"")</f>
        <v/>
      </c>
      <c r="BD393" s="30" t="str">
        <f t="shared" si="51"/>
        <v/>
      </c>
      <c r="BE393" s="30" t="str">
        <f t="shared" si="52"/>
        <v/>
      </c>
      <c r="BF393" s="30" t="str">
        <f t="shared" si="53"/>
        <v/>
      </c>
      <c r="BG393" s="30" t="str">
        <f t="shared" si="54"/>
        <v/>
      </c>
    </row>
    <row r="394" spans="1:59">
      <c r="A394" s="39"/>
      <c r="B394" s="39"/>
      <c r="C394" s="39"/>
      <c r="D394" s="39"/>
      <c r="E394" s="39"/>
      <c r="F394" s="39"/>
      <c r="G394" s="39"/>
      <c r="H394" s="39"/>
      <c r="I394" s="40"/>
      <c r="J394" s="40"/>
      <c r="K394" s="35"/>
      <c r="L394" s="35"/>
      <c r="M394" s="35"/>
      <c r="N394" s="39"/>
      <c r="O394" s="39"/>
      <c r="P394" s="39"/>
      <c r="Q394" s="39"/>
      <c r="R394" s="39"/>
      <c r="S394" s="39"/>
      <c r="T394" s="39"/>
      <c r="U394" s="39"/>
      <c r="V394" s="39"/>
      <c r="W394" s="39"/>
      <c r="X394" s="39"/>
      <c r="Y394" s="39"/>
      <c r="Z394" s="39"/>
      <c r="AA394" s="39"/>
      <c r="AB394" s="39"/>
      <c r="AC394" s="39"/>
      <c r="AD394" s="39"/>
      <c r="AE394" s="39"/>
      <c r="AF394" s="39"/>
      <c r="AG394" s="39"/>
      <c r="AH394" s="39"/>
      <c r="AI394" s="35"/>
      <c r="AJ394" s="39"/>
      <c r="AK394" s="39"/>
      <c r="AL394" s="39"/>
      <c r="AM394" s="35"/>
      <c r="AN394" s="35"/>
      <c r="AO394" s="39"/>
      <c r="AP394" s="39"/>
      <c r="AQ394" s="35"/>
      <c r="AR394" s="35"/>
      <c r="AS394" s="35"/>
      <c r="AT394" s="30">
        <f t="shared" ca="1" si="50"/>
        <v>0</v>
      </c>
      <c r="AU394" s="32" t="str">
        <f t="shared" ca="1" si="49"/>
        <v/>
      </c>
      <c r="AV394" s="32" t="str" cm="1">
        <f t="array" aca="1" ref="AV394" ca="1">IFERROR(_xlfn.IFS($AU394="","",$AU394&lt;=15,"0-15",AND($AU394&gt;=16,$AU394&lt;=30),"16-30",AND($AU394&gt;=31,$AU394&lt;=45),"31-45",AND($AU394&gt;=46,$AU394&lt;=60),"46-60",AND($AU394&gt;=61,$AU394&lt;=90),"61-90",AND($AU394&gt;=91),"&gt; 90",AND($AU394&gt;=2000),""),"")</f>
        <v/>
      </c>
      <c r="AW394" s="32" t="str" cm="1">
        <f t="array" aca="1" ref="AW394" ca="1">IFERROR(_xlfn.IFS(OR($M394="",$AM394=""),"",OR($C394="Offered",$C394="Joined"),($AM394-$M394)-$AT394),"")</f>
        <v/>
      </c>
      <c r="AX394" s="32" t="str" cm="1">
        <f t="array" aca="1" ref="AX394" ca="1">IFERROR(_xlfn.IFS(OR($M394="",$AS394=""),"",$C394="Joined",($AS394-$M394)-$AT394),"")</f>
        <v/>
      </c>
      <c r="AY394" s="30" t="str">
        <f>IFERROR(IF(COUNTIFS('Candidate Tracker'!$E:$E,'Positions Tracker'!$B394,'Candidate Tracker'!$C:$C,"Offer Drop")=0,"",COUNTIFS('Candidate Tracker'!$E:$E,'Positions Tracker'!$B394,'Candidate Tracker'!$C:$C,"Offer Drop")),"")</f>
        <v/>
      </c>
      <c r="AZ39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4" s="34" t="str">
        <f>IFERROR(IF(COUNTIFS('Candidate Tracker'!$E:$E,'Positions Tracker'!$B394,'Candidate Tracker'!$I:$I,"Female")=0,"",COUNTIFS('Candidate Tracker'!$E:$E,'Positions Tracker'!$B394,'Candidate Tracker'!$I:$I,"Female")),"")</f>
        <v/>
      </c>
      <c r="BB394" s="34" t="str">
        <f>IFERROR(IF(COUNTIFS('Candidate Tracker'!$E:$E,'Positions Tracker'!$B394,'Candidate Tracker'!$I:$I,"male")=0,"",COUNTIFS('Candidate Tracker'!$E:$E,'Positions Tracker'!$B394,'Candidate Tracker'!$I:$I,"male")),"")</f>
        <v/>
      </c>
      <c r="BC394" s="33" t="str">
        <f>IFERROR(IF(COUNTIFS('Candidate Tracker'!$E:$E,'Positions Tracker'!$B394,'Candidate Tracker'!$C:$C,"&lt;&gt;WIP",'Candidate Tracker'!$C:$C,"&lt;&gt;Hold",'Candidate Tracker'!$C:$C,"&lt;&gt;Cancelled",'Candidate Tracker'!$C:$C,"&lt;&gt;Closed")/COUNTIFS('Candidate Tracker'!$E:$E,'Positions Tracker'!$B394)=0,"",COUNTIFS('Candidate Tracker'!$E:$E,'Positions Tracker'!$B394,'Candidate Tracker'!$C:$C,"&lt;&gt;WIP",'Candidate Tracker'!$C:$C,"&lt;&gt;Hold",'Candidate Tracker'!$C:$C,"&lt;&gt;Cancelled",'Candidate Tracker'!$C:$C,"&lt;&gt;Closed")/COUNTIFS('Candidate Tracker'!$E:$E,'Positions Tracker'!$B394)),"")</f>
        <v/>
      </c>
      <c r="BD394" s="30" t="str">
        <f t="shared" si="51"/>
        <v/>
      </c>
      <c r="BE394" s="30" t="str">
        <f t="shared" si="52"/>
        <v/>
      </c>
      <c r="BF394" s="30" t="str">
        <f t="shared" si="53"/>
        <v/>
      </c>
      <c r="BG394" s="30" t="str">
        <f t="shared" si="54"/>
        <v/>
      </c>
    </row>
    <row r="395" spans="1:59">
      <c r="A395" s="39"/>
      <c r="B395" s="39"/>
      <c r="C395" s="39"/>
      <c r="D395" s="39"/>
      <c r="E395" s="39"/>
      <c r="F395" s="39"/>
      <c r="G395" s="39"/>
      <c r="H395" s="39"/>
      <c r="I395" s="40"/>
      <c r="J395" s="40"/>
      <c r="K395" s="35"/>
      <c r="L395" s="35"/>
      <c r="M395" s="35"/>
      <c r="N395" s="39"/>
      <c r="O395" s="39"/>
      <c r="P395" s="39"/>
      <c r="Q395" s="39"/>
      <c r="R395" s="39"/>
      <c r="S395" s="39"/>
      <c r="T395" s="39"/>
      <c r="U395" s="39"/>
      <c r="V395" s="39"/>
      <c r="W395" s="39"/>
      <c r="X395" s="39"/>
      <c r="Y395" s="39"/>
      <c r="Z395" s="39"/>
      <c r="AA395" s="39"/>
      <c r="AB395" s="39"/>
      <c r="AC395" s="39"/>
      <c r="AD395" s="39"/>
      <c r="AE395" s="39"/>
      <c r="AF395" s="39"/>
      <c r="AG395" s="39"/>
      <c r="AH395" s="39"/>
      <c r="AI395" s="35"/>
      <c r="AJ395" s="39"/>
      <c r="AK395" s="39"/>
      <c r="AL395" s="39"/>
      <c r="AM395" s="35"/>
      <c r="AN395" s="35"/>
      <c r="AO395" s="39"/>
      <c r="AP395" s="39"/>
      <c r="AQ395" s="35"/>
      <c r="AR395" s="35"/>
      <c r="AS395" s="35"/>
      <c r="AT395" s="30">
        <f t="shared" ca="1" si="50"/>
        <v>0</v>
      </c>
      <c r="AU395" s="32" t="str">
        <f t="shared" ca="1" si="49"/>
        <v/>
      </c>
      <c r="AV395" s="32" t="str" cm="1">
        <f t="array" aca="1" ref="AV395" ca="1">IFERROR(_xlfn.IFS($AU395="","",$AU395&lt;=15,"0-15",AND($AU395&gt;=16,$AU395&lt;=30),"16-30",AND($AU395&gt;=31,$AU395&lt;=45),"31-45",AND($AU395&gt;=46,$AU395&lt;=60),"46-60",AND($AU395&gt;=61,$AU395&lt;=90),"61-90",AND($AU395&gt;=91),"&gt; 90",AND($AU395&gt;=2000),""),"")</f>
        <v/>
      </c>
      <c r="AW395" s="32" t="str" cm="1">
        <f t="array" aca="1" ref="AW395" ca="1">IFERROR(_xlfn.IFS(OR($M395="",$AM395=""),"",OR($C395="Offered",$C395="Joined"),($AM395-$M395)-$AT395),"")</f>
        <v/>
      </c>
      <c r="AX395" s="32" t="str" cm="1">
        <f t="array" aca="1" ref="AX395" ca="1">IFERROR(_xlfn.IFS(OR($M395="",$AS395=""),"",$C395="Joined",($AS395-$M395)-$AT395),"")</f>
        <v/>
      </c>
      <c r="AY395" s="30" t="str">
        <f>IFERROR(IF(COUNTIFS('Candidate Tracker'!$E:$E,'Positions Tracker'!$B395,'Candidate Tracker'!$C:$C,"Offer Drop")=0,"",COUNTIFS('Candidate Tracker'!$E:$E,'Positions Tracker'!$B395,'Candidate Tracker'!$C:$C,"Offer Drop")),"")</f>
        <v/>
      </c>
      <c r="AZ39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5" s="34" t="str">
        <f>IFERROR(IF(COUNTIFS('Candidate Tracker'!$E:$E,'Positions Tracker'!$B395,'Candidate Tracker'!$I:$I,"Female")=0,"",COUNTIFS('Candidate Tracker'!$E:$E,'Positions Tracker'!$B395,'Candidate Tracker'!$I:$I,"Female")),"")</f>
        <v/>
      </c>
      <c r="BB395" s="34" t="str">
        <f>IFERROR(IF(COUNTIFS('Candidate Tracker'!$E:$E,'Positions Tracker'!$B395,'Candidate Tracker'!$I:$I,"male")=0,"",COUNTIFS('Candidate Tracker'!$E:$E,'Positions Tracker'!$B395,'Candidate Tracker'!$I:$I,"male")),"")</f>
        <v/>
      </c>
      <c r="BC395" s="33" t="str">
        <f>IFERROR(IF(COUNTIFS('Candidate Tracker'!$E:$E,'Positions Tracker'!$B395,'Candidate Tracker'!$C:$C,"&lt;&gt;WIP",'Candidate Tracker'!$C:$C,"&lt;&gt;Hold",'Candidate Tracker'!$C:$C,"&lt;&gt;Cancelled",'Candidate Tracker'!$C:$C,"&lt;&gt;Closed")/COUNTIFS('Candidate Tracker'!$E:$E,'Positions Tracker'!$B395)=0,"",COUNTIFS('Candidate Tracker'!$E:$E,'Positions Tracker'!$B395,'Candidate Tracker'!$C:$C,"&lt;&gt;WIP",'Candidate Tracker'!$C:$C,"&lt;&gt;Hold",'Candidate Tracker'!$C:$C,"&lt;&gt;Cancelled",'Candidate Tracker'!$C:$C,"&lt;&gt;Closed")/COUNTIFS('Candidate Tracker'!$E:$E,'Positions Tracker'!$B395)),"")</f>
        <v/>
      </c>
      <c r="BD395" s="30" t="str">
        <f t="shared" si="51"/>
        <v/>
      </c>
      <c r="BE395" s="30" t="str">
        <f t="shared" si="52"/>
        <v/>
      </c>
      <c r="BF395" s="30" t="str">
        <f t="shared" si="53"/>
        <v/>
      </c>
      <c r="BG395" s="30" t="str">
        <f t="shared" si="54"/>
        <v/>
      </c>
    </row>
    <row r="396" spans="1:59">
      <c r="A396" s="39"/>
      <c r="B396" s="39"/>
      <c r="C396" s="39"/>
      <c r="D396" s="39"/>
      <c r="E396" s="39"/>
      <c r="F396" s="39"/>
      <c r="G396" s="39"/>
      <c r="H396" s="39"/>
      <c r="I396" s="40"/>
      <c r="J396" s="40"/>
      <c r="K396" s="35"/>
      <c r="L396" s="35"/>
      <c r="M396" s="35"/>
      <c r="N396" s="39"/>
      <c r="O396" s="39"/>
      <c r="P396" s="39"/>
      <c r="Q396" s="39"/>
      <c r="R396" s="39"/>
      <c r="S396" s="39"/>
      <c r="T396" s="39"/>
      <c r="U396" s="39"/>
      <c r="V396" s="39"/>
      <c r="W396" s="39"/>
      <c r="X396" s="39"/>
      <c r="Y396" s="39"/>
      <c r="Z396" s="39"/>
      <c r="AA396" s="39"/>
      <c r="AB396" s="39"/>
      <c r="AC396" s="39"/>
      <c r="AD396" s="39"/>
      <c r="AE396" s="39"/>
      <c r="AF396" s="39"/>
      <c r="AG396" s="39"/>
      <c r="AH396" s="39"/>
      <c r="AI396" s="35"/>
      <c r="AJ396" s="39"/>
      <c r="AK396" s="39"/>
      <c r="AL396" s="39"/>
      <c r="AM396" s="35"/>
      <c r="AN396" s="35"/>
      <c r="AO396" s="39"/>
      <c r="AP396" s="39"/>
      <c r="AQ396" s="35"/>
      <c r="AR396" s="35"/>
      <c r="AS396" s="35"/>
      <c r="AT396" s="30">
        <f t="shared" ca="1" si="50"/>
        <v>0</v>
      </c>
      <c r="AU396" s="32" t="str">
        <f t="shared" ca="1" si="49"/>
        <v/>
      </c>
      <c r="AV396" s="32" t="str" cm="1">
        <f t="array" aca="1" ref="AV396" ca="1">IFERROR(_xlfn.IFS($AU396="","",$AU396&lt;=15,"0-15",AND($AU396&gt;=16,$AU396&lt;=30),"16-30",AND($AU396&gt;=31,$AU396&lt;=45),"31-45",AND($AU396&gt;=46,$AU396&lt;=60),"46-60",AND($AU396&gt;=61,$AU396&lt;=90),"61-90",AND($AU396&gt;=91),"&gt; 90",AND($AU396&gt;=2000),""),"")</f>
        <v/>
      </c>
      <c r="AW396" s="32" t="str" cm="1">
        <f t="array" aca="1" ref="AW396" ca="1">IFERROR(_xlfn.IFS(OR($M396="",$AM396=""),"",OR($C396="Offered",$C396="Joined"),($AM396-$M396)-$AT396),"")</f>
        <v/>
      </c>
      <c r="AX396" s="32" t="str" cm="1">
        <f t="array" aca="1" ref="AX396" ca="1">IFERROR(_xlfn.IFS(OR($M396="",$AS396=""),"",$C396="Joined",($AS396-$M396)-$AT396),"")</f>
        <v/>
      </c>
      <c r="AY396" s="30" t="str">
        <f>IFERROR(IF(COUNTIFS('Candidate Tracker'!$E:$E,'Positions Tracker'!$B396,'Candidate Tracker'!$C:$C,"Offer Drop")=0,"",COUNTIFS('Candidate Tracker'!$E:$E,'Positions Tracker'!$B396,'Candidate Tracker'!$C:$C,"Offer Drop")),"")</f>
        <v/>
      </c>
      <c r="AZ39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6" s="34" t="str">
        <f>IFERROR(IF(COUNTIFS('Candidate Tracker'!$E:$E,'Positions Tracker'!$B396,'Candidate Tracker'!$I:$I,"Female")=0,"",COUNTIFS('Candidate Tracker'!$E:$E,'Positions Tracker'!$B396,'Candidate Tracker'!$I:$I,"Female")),"")</f>
        <v/>
      </c>
      <c r="BB396" s="34" t="str">
        <f>IFERROR(IF(COUNTIFS('Candidate Tracker'!$E:$E,'Positions Tracker'!$B396,'Candidate Tracker'!$I:$I,"male")=0,"",COUNTIFS('Candidate Tracker'!$E:$E,'Positions Tracker'!$B396,'Candidate Tracker'!$I:$I,"male")),"")</f>
        <v/>
      </c>
      <c r="BC396" s="33" t="str">
        <f>IFERROR(IF(COUNTIFS('Candidate Tracker'!$E:$E,'Positions Tracker'!$B396,'Candidate Tracker'!$C:$C,"&lt;&gt;WIP",'Candidate Tracker'!$C:$C,"&lt;&gt;Hold",'Candidate Tracker'!$C:$C,"&lt;&gt;Cancelled",'Candidate Tracker'!$C:$C,"&lt;&gt;Closed")/COUNTIFS('Candidate Tracker'!$E:$E,'Positions Tracker'!$B396)=0,"",COUNTIFS('Candidate Tracker'!$E:$E,'Positions Tracker'!$B396,'Candidate Tracker'!$C:$C,"&lt;&gt;WIP",'Candidate Tracker'!$C:$C,"&lt;&gt;Hold",'Candidate Tracker'!$C:$C,"&lt;&gt;Cancelled",'Candidate Tracker'!$C:$C,"&lt;&gt;Closed")/COUNTIFS('Candidate Tracker'!$E:$E,'Positions Tracker'!$B396)),"")</f>
        <v/>
      </c>
      <c r="BD396" s="30" t="str">
        <f t="shared" si="51"/>
        <v/>
      </c>
      <c r="BE396" s="30" t="str">
        <f t="shared" si="52"/>
        <v/>
      </c>
      <c r="BF396" s="30" t="str">
        <f t="shared" si="53"/>
        <v/>
      </c>
      <c r="BG396" s="30" t="str">
        <f t="shared" si="54"/>
        <v/>
      </c>
    </row>
    <row r="397" spans="1:59">
      <c r="A397" s="39"/>
      <c r="B397" s="39"/>
      <c r="C397" s="39"/>
      <c r="D397" s="39"/>
      <c r="E397" s="39"/>
      <c r="F397" s="39"/>
      <c r="G397" s="39"/>
      <c r="H397" s="39"/>
      <c r="I397" s="40"/>
      <c r="J397" s="40"/>
      <c r="K397" s="35"/>
      <c r="L397" s="35"/>
      <c r="M397" s="35"/>
      <c r="N397" s="39"/>
      <c r="O397" s="39"/>
      <c r="P397" s="39"/>
      <c r="Q397" s="39"/>
      <c r="R397" s="39"/>
      <c r="S397" s="39"/>
      <c r="T397" s="39"/>
      <c r="U397" s="39"/>
      <c r="V397" s="39"/>
      <c r="W397" s="39"/>
      <c r="X397" s="39"/>
      <c r="Y397" s="39"/>
      <c r="Z397" s="39"/>
      <c r="AA397" s="39"/>
      <c r="AB397" s="39"/>
      <c r="AC397" s="39"/>
      <c r="AD397" s="39"/>
      <c r="AE397" s="39"/>
      <c r="AF397" s="39"/>
      <c r="AG397" s="39"/>
      <c r="AH397" s="39"/>
      <c r="AI397" s="35"/>
      <c r="AJ397" s="39"/>
      <c r="AK397" s="39"/>
      <c r="AL397" s="39"/>
      <c r="AM397" s="35"/>
      <c r="AN397" s="35"/>
      <c r="AO397" s="39"/>
      <c r="AP397" s="39"/>
      <c r="AQ397" s="35"/>
      <c r="AR397" s="35"/>
      <c r="AS397" s="35"/>
      <c r="AT397" s="30">
        <f t="shared" ca="1" si="50"/>
        <v>0</v>
      </c>
      <c r="AU397" s="32" t="str">
        <f t="shared" ca="1" si="49"/>
        <v/>
      </c>
      <c r="AV397" s="32" t="str" cm="1">
        <f t="array" aca="1" ref="AV397" ca="1">IFERROR(_xlfn.IFS($AU397="","",$AU397&lt;=15,"0-15",AND($AU397&gt;=16,$AU397&lt;=30),"16-30",AND($AU397&gt;=31,$AU397&lt;=45),"31-45",AND($AU397&gt;=46,$AU397&lt;=60),"46-60",AND($AU397&gt;=61,$AU397&lt;=90),"61-90",AND($AU397&gt;=91),"&gt; 90",AND($AU397&gt;=2000),""),"")</f>
        <v/>
      </c>
      <c r="AW397" s="32" t="str" cm="1">
        <f t="array" aca="1" ref="AW397" ca="1">IFERROR(_xlfn.IFS(OR($M397="",$AM397=""),"",OR($C397="Offered",$C397="Joined"),($AM397-$M397)-$AT397),"")</f>
        <v/>
      </c>
      <c r="AX397" s="32" t="str" cm="1">
        <f t="array" aca="1" ref="AX397" ca="1">IFERROR(_xlfn.IFS(OR($M397="",$AS397=""),"",$C397="Joined",($AS397-$M397)-$AT397),"")</f>
        <v/>
      </c>
      <c r="AY397" s="30" t="str">
        <f>IFERROR(IF(COUNTIFS('Candidate Tracker'!$E:$E,'Positions Tracker'!$B397,'Candidate Tracker'!$C:$C,"Offer Drop")=0,"",COUNTIFS('Candidate Tracker'!$E:$E,'Positions Tracker'!$B397,'Candidate Tracker'!$C:$C,"Offer Drop")),"")</f>
        <v/>
      </c>
      <c r="AZ39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7" s="34" t="str">
        <f>IFERROR(IF(COUNTIFS('Candidate Tracker'!$E:$E,'Positions Tracker'!$B397,'Candidate Tracker'!$I:$I,"Female")=0,"",COUNTIFS('Candidate Tracker'!$E:$E,'Positions Tracker'!$B397,'Candidate Tracker'!$I:$I,"Female")),"")</f>
        <v/>
      </c>
      <c r="BB397" s="34" t="str">
        <f>IFERROR(IF(COUNTIFS('Candidate Tracker'!$E:$E,'Positions Tracker'!$B397,'Candidate Tracker'!$I:$I,"male")=0,"",COUNTIFS('Candidate Tracker'!$E:$E,'Positions Tracker'!$B397,'Candidate Tracker'!$I:$I,"male")),"")</f>
        <v/>
      </c>
      <c r="BC397" s="33" t="str">
        <f>IFERROR(IF(COUNTIFS('Candidate Tracker'!$E:$E,'Positions Tracker'!$B397,'Candidate Tracker'!$C:$C,"&lt;&gt;WIP",'Candidate Tracker'!$C:$C,"&lt;&gt;Hold",'Candidate Tracker'!$C:$C,"&lt;&gt;Cancelled",'Candidate Tracker'!$C:$C,"&lt;&gt;Closed")/COUNTIFS('Candidate Tracker'!$E:$E,'Positions Tracker'!$B397)=0,"",COUNTIFS('Candidate Tracker'!$E:$E,'Positions Tracker'!$B397,'Candidate Tracker'!$C:$C,"&lt;&gt;WIP",'Candidate Tracker'!$C:$C,"&lt;&gt;Hold",'Candidate Tracker'!$C:$C,"&lt;&gt;Cancelled",'Candidate Tracker'!$C:$C,"&lt;&gt;Closed")/COUNTIFS('Candidate Tracker'!$E:$E,'Positions Tracker'!$B397)),"")</f>
        <v/>
      </c>
      <c r="BD397" s="30" t="str">
        <f t="shared" si="51"/>
        <v/>
      </c>
      <c r="BE397" s="30" t="str">
        <f t="shared" si="52"/>
        <v/>
      </c>
      <c r="BF397" s="30" t="str">
        <f t="shared" si="53"/>
        <v/>
      </c>
      <c r="BG397" s="30" t="str">
        <f t="shared" si="54"/>
        <v/>
      </c>
    </row>
    <row r="398" spans="1:59">
      <c r="A398" s="39"/>
      <c r="B398" s="39"/>
      <c r="C398" s="39"/>
      <c r="D398" s="39"/>
      <c r="E398" s="39"/>
      <c r="F398" s="39"/>
      <c r="G398" s="39"/>
      <c r="H398" s="39"/>
      <c r="I398" s="40"/>
      <c r="J398" s="40"/>
      <c r="K398" s="35"/>
      <c r="L398" s="35"/>
      <c r="M398" s="35"/>
      <c r="N398" s="39"/>
      <c r="O398" s="39"/>
      <c r="P398" s="39"/>
      <c r="Q398" s="39"/>
      <c r="R398" s="39"/>
      <c r="S398" s="39"/>
      <c r="T398" s="39"/>
      <c r="U398" s="39"/>
      <c r="V398" s="39"/>
      <c r="W398" s="39"/>
      <c r="X398" s="39"/>
      <c r="Y398" s="39"/>
      <c r="Z398" s="39"/>
      <c r="AA398" s="39"/>
      <c r="AB398" s="39"/>
      <c r="AC398" s="39"/>
      <c r="AD398" s="39"/>
      <c r="AE398" s="39"/>
      <c r="AF398" s="39"/>
      <c r="AG398" s="39"/>
      <c r="AH398" s="39"/>
      <c r="AI398" s="35"/>
      <c r="AJ398" s="39"/>
      <c r="AK398" s="39"/>
      <c r="AL398" s="39"/>
      <c r="AM398" s="35"/>
      <c r="AN398" s="35"/>
      <c r="AO398" s="39"/>
      <c r="AP398" s="39"/>
      <c r="AQ398" s="35"/>
      <c r="AR398" s="35"/>
      <c r="AS398" s="35"/>
      <c r="AT398" s="30">
        <f t="shared" ca="1" si="50"/>
        <v>0</v>
      </c>
      <c r="AU398" s="32" t="str">
        <f t="shared" ca="1" si="49"/>
        <v/>
      </c>
      <c r="AV398" s="32" t="str" cm="1">
        <f t="array" aca="1" ref="AV398" ca="1">IFERROR(_xlfn.IFS($AU398="","",$AU398&lt;=15,"0-15",AND($AU398&gt;=16,$AU398&lt;=30),"16-30",AND($AU398&gt;=31,$AU398&lt;=45),"31-45",AND($AU398&gt;=46,$AU398&lt;=60),"46-60",AND($AU398&gt;=61,$AU398&lt;=90),"61-90",AND($AU398&gt;=91),"&gt; 90",AND($AU398&gt;=2000),""),"")</f>
        <v/>
      </c>
      <c r="AW398" s="32" t="str" cm="1">
        <f t="array" aca="1" ref="AW398" ca="1">IFERROR(_xlfn.IFS(OR($M398="",$AM398=""),"",OR($C398="Offered",$C398="Joined"),($AM398-$M398)-$AT398),"")</f>
        <v/>
      </c>
      <c r="AX398" s="32" t="str" cm="1">
        <f t="array" aca="1" ref="AX398" ca="1">IFERROR(_xlfn.IFS(OR($M398="",$AS398=""),"",$C398="Joined",($AS398-$M398)-$AT398),"")</f>
        <v/>
      </c>
      <c r="AY398" s="30" t="str">
        <f>IFERROR(IF(COUNTIFS('Candidate Tracker'!$E:$E,'Positions Tracker'!$B398,'Candidate Tracker'!$C:$C,"Offer Drop")=0,"",COUNTIFS('Candidate Tracker'!$E:$E,'Positions Tracker'!$B398,'Candidate Tracker'!$C:$C,"Offer Drop")),"")</f>
        <v/>
      </c>
      <c r="AZ39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8" s="34" t="str">
        <f>IFERROR(IF(COUNTIFS('Candidate Tracker'!$E:$E,'Positions Tracker'!$B398,'Candidate Tracker'!$I:$I,"Female")=0,"",COUNTIFS('Candidate Tracker'!$E:$E,'Positions Tracker'!$B398,'Candidate Tracker'!$I:$I,"Female")),"")</f>
        <v/>
      </c>
      <c r="BB398" s="34" t="str">
        <f>IFERROR(IF(COUNTIFS('Candidate Tracker'!$E:$E,'Positions Tracker'!$B398,'Candidate Tracker'!$I:$I,"male")=0,"",COUNTIFS('Candidate Tracker'!$E:$E,'Positions Tracker'!$B398,'Candidate Tracker'!$I:$I,"male")),"")</f>
        <v/>
      </c>
      <c r="BC398" s="33" t="str">
        <f>IFERROR(IF(COUNTIFS('Candidate Tracker'!$E:$E,'Positions Tracker'!$B398,'Candidate Tracker'!$C:$C,"&lt;&gt;WIP",'Candidate Tracker'!$C:$C,"&lt;&gt;Hold",'Candidate Tracker'!$C:$C,"&lt;&gt;Cancelled",'Candidate Tracker'!$C:$C,"&lt;&gt;Closed")/COUNTIFS('Candidate Tracker'!$E:$E,'Positions Tracker'!$B398)=0,"",COUNTIFS('Candidate Tracker'!$E:$E,'Positions Tracker'!$B398,'Candidate Tracker'!$C:$C,"&lt;&gt;WIP",'Candidate Tracker'!$C:$C,"&lt;&gt;Hold",'Candidate Tracker'!$C:$C,"&lt;&gt;Cancelled",'Candidate Tracker'!$C:$C,"&lt;&gt;Closed")/COUNTIFS('Candidate Tracker'!$E:$E,'Positions Tracker'!$B398)),"")</f>
        <v/>
      </c>
      <c r="BD398" s="30" t="str">
        <f t="shared" si="51"/>
        <v/>
      </c>
      <c r="BE398" s="30" t="str">
        <f t="shared" si="52"/>
        <v/>
      </c>
      <c r="BF398" s="30" t="str">
        <f t="shared" si="53"/>
        <v/>
      </c>
      <c r="BG398" s="30" t="str">
        <f t="shared" si="54"/>
        <v/>
      </c>
    </row>
    <row r="399" spans="1:59">
      <c r="A399" s="39"/>
      <c r="B399" s="39"/>
      <c r="C399" s="39"/>
      <c r="D399" s="39"/>
      <c r="E399" s="39"/>
      <c r="F399" s="39"/>
      <c r="G399" s="39"/>
      <c r="H399" s="39"/>
      <c r="I399" s="40"/>
      <c r="J399" s="40"/>
      <c r="K399" s="35"/>
      <c r="L399" s="35"/>
      <c r="M399" s="35"/>
      <c r="N399" s="39"/>
      <c r="O399" s="39"/>
      <c r="P399" s="39"/>
      <c r="Q399" s="39"/>
      <c r="R399" s="39"/>
      <c r="S399" s="39"/>
      <c r="T399" s="39"/>
      <c r="U399" s="39"/>
      <c r="V399" s="39"/>
      <c r="W399" s="39"/>
      <c r="X399" s="39"/>
      <c r="Y399" s="39"/>
      <c r="Z399" s="39"/>
      <c r="AA399" s="39"/>
      <c r="AB399" s="39"/>
      <c r="AC399" s="39"/>
      <c r="AD399" s="39"/>
      <c r="AE399" s="39"/>
      <c r="AF399" s="39"/>
      <c r="AG399" s="39"/>
      <c r="AH399" s="39"/>
      <c r="AI399" s="35"/>
      <c r="AJ399" s="39"/>
      <c r="AK399" s="39"/>
      <c r="AL399" s="39"/>
      <c r="AM399" s="35"/>
      <c r="AN399" s="35"/>
      <c r="AO399" s="39"/>
      <c r="AP399" s="39"/>
      <c r="AQ399" s="35"/>
      <c r="AR399" s="35"/>
      <c r="AS399" s="35"/>
      <c r="AT399" s="30">
        <f t="shared" ca="1" si="50"/>
        <v>0</v>
      </c>
      <c r="AU399" s="32" t="str">
        <f t="shared" ca="1" si="49"/>
        <v/>
      </c>
      <c r="AV399" s="32" t="str" cm="1">
        <f t="array" aca="1" ref="AV399" ca="1">IFERROR(_xlfn.IFS($AU399="","",$AU399&lt;=15,"0-15",AND($AU399&gt;=16,$AU399&lt;=30),"16-30",AND($AU399&gt;=31,$AU399&lt;=45),"31-45",AND($AU399&gt;=46,$AU399&lt;=60),"46-60",AND($AU399&gt;=61,$AU399&lt;=90),"61-90",AND($AU399&gt;=91),"&gt; 90",AND($AU399&gt;=2000),""),"")</f>
        <v/>
      </c>
      <c r="AW399" s="32" t="str" cm="1">
        <f t="array" aca="1" ref="AW399" ca="1">IFERROR(_xlfn.IFS(OR($M399="",$AM399=""),"",OR($C399="Offered",$C399="Joined"),($AM399-$M399)-$AT399),"")</f>
        <v/>
      </c>
      <c r="AX399" s="32" t="str" cm="1">
        <f t="array" aca="1" ref="AX399" ca="1">IFERROR(_xlfn.IFS(OR($M399="",$AS399=""),"",$C399="Joined",($AS399-$M399)-$AT399),"")</f>
        <v/>
      </c>
      <c r="AY399" s="30" t="str">
        <f>IFERROR(IF(COUNTIFS('Candidate Tracker'!$E:$E,'Positions Tracker'!$B399,'Candidate Tracker'!$C:$C,"Offer Drop")=0,"",COUNTIFS('Candidate Tracker'!$E:$E,'Positions Tracker'!$B399,'Candidate Tracker'!$C:$C,"Offer Drop")),"")</f>
        <v/>
      </c>
      <c r="AZ39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399" s="34" t="str">
        <f>IFERROR(IF(COUNTIFS('Candidate Tracker'!$E:$E,'Positions Tracker'!$B399,'Candidate Tracker'!$I:$I,"Female")=0,"",COUNTIFS('Candidate Tracker'!$E:$E,'Positions Tracker'!$B399,'Candidate Tracker'!$I:$I,"Female")),"")</f>
        <v/>
      </c>
      <c r="BB399" s="34" t="str">
        <f>IFERROR(IF(COUNTIFS('Candidate Tracker'!$E:$E,'Positions Tracker'!$B399,'Candidate Tracker'!$I:$I,"male")=0,"",COUNTIFS('Candidate Tracker'!$E:$E,'Positions Tracker'!$B399,'Candidate Tracker'!$I:$I,"male")),"")</f>
        <v/>
      </c>
      <c r="BC399" s="33" t="str">
        <f>IFERROR(IF(COUNTIFS('Candidate Tracker'!$E:$E,'Positions Tracker'!$B399,'Candidate Tracker'!$C:$C,"&lt;&gt;WIP",'Candidate Tracker'!$C:$C,"&lt;&gt;Hold",'Candidate Tracker'!$C:$C,"&lt;&gt;Cancelled",'Candidate Tracker'!$C:$C,"&lt;&gt;Closed")/COUNTIFS('Candidate Tracker'!$E:$E,'Positions Tracker'!$B399)=0,"",COUNTIFS('Candidate Tracker'!$E:$E,'Positions Tracker'!$B399,'Candidate Tracker'!$C:$C,"&lt;&gt;WIP",'Candidate Tracker'!$C:$C,"&lt;&gt;Hold",'Candidate Tracker'!$C:$C,"&lt;&gt;Cancelled",'Candidate Tracker'!$C:$C,"&lt;&gt;Closed")/COUNTIFS('Candidate Tracker'!$E:$E,'Positions Tracker'!$B399)),"")</f>
        <v/>
      </c>
      <c r="BD399" s="30" t="str">
        <f t="shared" si="51"/>
        <v/>
      </c>
      <c r="BE399" s="30" t="str">
        <f t="shared" si="52"/>
        <v/>
      </c>
      <c r="BF399" s="30" t="str">
        <f t="shared" si="53"/>
        <v/>
      </c>
      <c r="BG399" s="30" t="str">
        <f t="shared" si="54"/>
        <v/>
      </c>
    </row>
    <row r="400" spans="1:59">
      <c r="A400" s="39"/>
      <c r="B400" s="39"/>
      <c r="C400" s="39"/>
      <c r="D400" s="39"/>
      <c r="E400" s="39"/>
      <c r="F400" s="39"/>
      <c r="G400" s="39"/>
      <c r="H400" s="39"/>
      <c r="I400" s="40"/>
      <c r="J400" s="40"/>
      <c r="K400" s="35"/>
      <c r="L400" s="35"/>
      <c r="M400" s="35"/>
      <c r="N400" s="39"/>
      <c r="O400" s="39"/>
      <c r="P400" s="39"/>
      <c r="Q400" s="39"/>
      <c r="R400" s="39"/>
      <c r="S400" s="39"/>
      <c r="T400" s="39"/>
      <c r="U400" s="39"/>
      <c r="V400" s="39"/>
      <c r="W400" s="39"/>
      <c r="X400" s="39"/>
      <c r="Y400" s="39"/>
      <c r="Z400" s="39"/>
      <c r="AA400" s="39"/>
      <c r="AB400" s="39"/>
      <c r="AC400" s="39"/>
      <c r="AD400" s="39"/>
      <c r="AE400" s="39"/>
      <c r="AF400" s="39"/>
      <c r="AG400" s="39"/>
      <c r="AH400" s="39"/>
      <c r="AI400" s="35"/>
      <c r="AJ400" s="39"/>
      <c r="AK400" s="39"/>
      <c r="AL400" s="39"/>
      <c r="AM400" s="35"/>
      <c r="AN400" s="35"/>
      <c r="AO400" s="39"/>
      <c r="AP400" s="39"/>
      <c r="AQ400" s="35"/>
      <c r="AR400" s="35"/>
      <c r="AS400" s="35"/>
      <c r="AT400" s="30">
        <f t="shared" ca="1" si="50"/>
        <v>0</v>
      </c>
      <c r="AU400" s="32" t="str">
        <f t="shared" ca="1" si="49"/>
        <v/>
      </c>
      <c r="AV400" s="32" t="str" cm="1">
        <f t="array" aca="1" ref="AV400" ca="1">IFERROR(_xlfn.IFS($AU400="","",$AU400&lt;=15,"0-15",AND($AU400&gt;=16,$AU400&lt;=30),"16-30",AND($AU400&gt;=31,$AU400&lt;=45),"31-45",AND($AU400&gt;=46,$AU400&lt;=60),"46-60",AND($AU400&gt;=61,$AU400&lt;=90),"61-90",AND($AU400&gt;=91),"&gt; 90",AND($AU400&gt;=2000),""),"")</f>
        <v/>
      </c>
      <c r="AW400" s="32" t="str" cm="1">
        <f t="array" aca="1" ref="AW400" ca="1">IFERROR(_xlfn.IFS(OR($M400="",$AM400=""),"",OR($C400="Offered",$C400="Joined"),($AM400-$M400)-$AT400),"")</f>
        <v/>
      </c>
      <c r="AX400" s="32" t="str" cm="1">
        <f t="array" aca="1" ref="AX400" ca="1">IFERROR(_xlfn.IFS(OR($M400="",$AS400=""),"",$C400="Joined",($AS400-$M400)-$AT400),"")</f>
        <v/>
      </c>
      <c r="AY400" s="30" t="str">
        <f>IFERROR(IF(COUNTIFS('Candidate Tracker'!$E:$E,'Positions Tracker'!$B400,'Candidate Tracker'!$C:$C,"Offer Drop")=0,"",COUNTIFS('Candidate Tracker'!$E:$E,'Positions Tracker'!$B400,'Candidate Tracker'!$C:$C,"Offer Drop")),"")</f>
        <v/>
      </c>
      <c r="AZ40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0" s="34" t="str">
        <f>IFERROR(IF(COUNTIFS('Candidate Tracker'!$E:$E,'Positions Tracker'!$B400,'Candidate Tracker'!$I:$I,"Female")=0,"",COUNTIFS('Candidate Tracker'!$E:$E,'Positions Tracker'!$B400,'Candidate Tracker'!$I:$I,"Female")),"")</f>
        <v/>
      </c>
      <c r="BB400" s="34" t="str">
        <f>IFERROR(IF(COUNTIFS('Candidate Tracker'!$E:$E,'Positions Tracker'!$B400,'Candidate Tracker'!$I:$I,"male")=0,"",COUNTIFS('Candidate Tracker'!$E:$E,'Positions Tracker'!$B400,'Candidate Tracker'!$I:$I,"male")),"")</f>
        <v/>
      </c>
      <c r="BC400" s="33" t="str">
        <f>IFERROR(IF(COUNTIFS('Candidate Tracker'!$E:$E,'Positions Tracker'!$B400,'Candidate Tracker'!$C:$C,"&lt;&gt;WIP",'Candidate Tracker'!$C:$C,"&lt;&gt;Hold",'Candidate Tracker'!$C:$C,"&lt;&gt;Cancelled",'Candidate Tracker'!$C:$C,"&lt;&gt;Closed")/COUNTIFS('Candidate Tracker'!$E:$E,'Positions Tracker'!$B400)=0,"",COUNTIFS('Candidate Tracker'!$E:$E,'Positions Tracker'!$B400,'Candidate Tracker'!$C:$C,"&lt;&gt;WIP",'Candidate Tracker'!$C:$C,"&lt;&gt;Hold",'Candidate Tracker'!$C:$C,"&lt;&gt;Cancelled",'Candidate Tracker'!$C:$C,"&lt;&gt;Closed")/COUNTIFS('Candidate Tracker'!$E:$E,'Positions Tracker'!$B400)),"")</f>
        <v/>
      </c>
      <c r="BD400" s="30" t="str">
        <f t="shared" si="51"/>
        <v/>
      </c>
      <c r="BE400" s="30" t="str">
        <f t="shared" si="52"/>
        <v/>
      </c>
      <c r="BF400" s="30" t="str">
        <f t="shared" si="53"/>
        <v/>
      </c>
      <c r="BG400" s="30" t="str">
        <f t="shared" si="54"/>
        <v/>
      </c>
    </row>
    <row r="401" spans="1:59">
      <c r="A401" s="39"/>
      <c r="B401" s="39"/>
      <c r="C401" s="39"/>
      <c r="D401" s="39"/>
      <c r="E401" s="39"/>
      <c r="F401" s="39"/>
      <c r="G401" s="39"/>
      <c r="H401" s="39"/>
      <c r="I401" s="40"/>
      <c r="J401" s="40"/>
      <c r="K401" s="35"/>
      <c r="L401" s="35"/>
      <c r="M401" s="35"/>
      <c r="N401" s="39"/>
      <c r="O401" s="39"/>
      <c r="P401" s="39"/>
      <c r="Q401" s="39"/>
      <c r="R401" s="39"/>
      <c r="S401" s="39"/>
      <c r="T401" s="39"/>
      <c r="U401" s="39"/>
      <c r="V401" s="39"/>
      <c r="W401" s="39"/>
      <c r="X401" s="39"/>
      <c r="Y401" s="39"/>
      <c r="Z401" s="39"/>
      <c r="AA401" s="39"/>
      <c r="AB401" s="39"/>
      <c r="AC401" s="39"/>
      <c r="AD401" s="39"/>
      <c r="AE401" s="39"/>
      <c r="AF401" s="39"/>
      <c r="AG401" s="39"/>
      <c r="AH401" s="39"/>
      <c r="AI401" s="35"/>
      <c r="AJ401" s="39"/>
      <c r="AK401" s="39"/>
      <c r="AL401" s="39"/>
      <c r="AM401" s="35"/>
      <c r="AN401" s="35"/>
      <c r="AO401" s="39"/>
      <c r="AP401" s="39"/>
      <c r="AQ401" s="35"/>
      <c r="AR401" s="35"/>
      <c r="AS401" s="35"/>
      <c r="AT401" s="30">
        <f t="shared" ca="1" si="50"/>
        <v>0</v>
      </c>
      <c r="AU401" s="32" t="str">
        <f t="shared" ca="1" si="49"/>
        <v/>
      </c>
      <c r="AV401" s="32" t="str" cm="1">
        <f t="array" aca="1" ref="AV401" ca="1">IFERROR(_xlfn.IFS($AU401="","",$AU401&lt;=15,"0-15",AND($AU401&gt;=16,$AU401&lt;=30),"16-30",AND($AU401&gt;=31,$AU401&lt;=45),"31-45",AND($AU401&gt;=46,$AU401&lt;=60),"46-60",AND($AU401&gt;=61,$AU401&lt;=90),"61-90",AND($AU401&gt;=91),"&gt; 90",AND($AU401&gt;=2000),""),"")</f>
        <v/>
      </c>
      <c r="AW401" s="32" t="str" cm="1">
        <f t="array" aca="1" ref="AW401" ca="1">IFERROR(_xlfn.IFS(OR($M401="",$AM401=""),"",OR($C401="Offered",$C401="Joined"),($AM401-$M401)-$AT401),"")</f>
        <v/>
      </c>
      <c r="AX401" s="32" t="str" cm="1">
        <f t="array" aca="1" ref="AX401" ca="1">IFERROR(_xlfn.IFS(OR($M401="",$AS401=""),"",$C401="Joined",($AS401-$M401)-$AT401),"")</f>
        <v/>
      </c>
      <c r="AY401" s="30" t="str">
        <f>IFERROR(IF(COUNTIFS('Candidate Tracker'!$E:$E,'Positions Tracker'!$B401,'Candidate Tracker'!$C:$C,"Offer Drop")=0,"",COUNTIFS('Candidate Tracker'!$E:$E,'Positions Tracker'!$B401,'Candidate Tracker'!$C:$C,"Offer Drop")),"")</f>
        <v/>
      </c>
      <c r="AZ40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1" s="34" t="str">
        <f>IFERROR(IF(COUNTIFS('Candidate Tracker'!$E:$E,'Positions Tracker'!$B401,'Candidate Tracker'!$I:$I,"Female")=0,"",COUNTIFS('Candidate Tracker'!$E:$E,'Positions Tracker'!$B401,'Candidate Tracker'!$I:$I,"Female")),"")</f>
        <v/>
      </c>
      <c r="BB401" s="34" t="str">
        <f>IFERROR(IF(COUNTIFS('Candidate Tracker'!$E:$E,'Positions Tracker'!$B401,'Candidate Tracker'!$I:$I,"male")=0,"",COUNTIFS('Candidate Tracker'!$E:$E,'Positions Tracker'!$B401,'Candidate Tracker'!$I:$I,"male")),"")</f>
        <v/>
      </c>
      <c r="BC401" s="33" t="str">
        <f>IFERROR(IF(COUNTIFS('Candidate Tracker'!$E:$E,'Positions Tracker'!$B401,'Candidate Tracker'!$C:$C,"&lt;&gt;WIP",'Candidate Tracker'!$C:$C,"&lt;&gt;Hold",'Candidate Tracker'!$C:$C,"&lt;&gt;Cancelled",'Candidate Tracker'!$C:$C,"&lt;&gt;Closed")/COUNTIFS('Candidate Tracker'!$E:$E,'Positions Tracker'!$B401)=0,"",COUNTIFS('Candidate Tracker'!$E:$E,'Positions Tracker'!$B401,'Candidate Tracker'!$C:$C,"&lt;&gt;WIP",'Candidate Tracker'!$C:$C,"&lt;&gt;Hold",'Candidate Tracker'!$C:$C,"&lt;&gt;Cancelled",'Candidate Tracker'!$C:$C,"&lt;&gt;Closed")/COUNTIFS('Candidate Tracker'!$E:$E,'Positions Tracker'!$B401)),"")</f>
        <v/>
      </c>
      <c r="BD401" s="30" t="str">
        <f t="shared" si="51"/>
        <v/>
      </c>
      <c r="BE401" s="30" t="str">
        <f t="shared" si="52"/>
        <v/>
      </c>
      <c r="BF401" s="30" t="str">
        <f t="shared" si="53"/>
        <v/>
      </c>
      <c r="BG401" s="30" t="str">
        <f t="shared" si="54"/>
        <v/>
      </c>
    </row>
    <row r="402" spans="1:59">
      <c r="A402" s="39"/>
      <c r="B402" s="39"/>
      <c r="C402" s="39"/>
      <c r="D402" s="39"/>
      <c r="E402" s="39"/>
      <c r="F402" s="39"/>
      <c r="G402" s="39"/>
      <c r="H402" s="39"/>
      <c r="I402" s="40"/>
      <c r="J402" s="40"/>
      <c r="K402" s="35"/>
      <c r="L402" s="35"/>
      <c r="M402" s="35"/>
      <c r="N402" s="39"/>
      <c r="O402" s="39"/>
      <c r="P402" s="39"/>
      <c r="Q402" s="39"/>
      <c r="R402" s="39"/>
      <c r="S402" s="39"/>
      <c r="T402" s="39"/>
      <c r="U402" s="39"/>
      <c r="V402" s="39"/>
      <c r="W402" s="39"/>
      <c r="X402" s="39"/>
      <c r="Y402" s="39"/>
      <c r="Z402" s="39"/>
      <c r="AA402" s="39"/>
      <c r="AB402" s="39"/>
      <c r="AC402" s="39"/>
      <c r="AD402" s="39"/>
      <c r="AE402" s="39"/>
      <c r="AF402" s="39"/>
      <c r="AG402" s="39"/>
      <c r="AH402" s="39"/>
      <c r="AI402" s="35"/>
      <c r="AJ402" s="39"/>
      <c r="AK402" s="39"/>
      <c r="AL402" s="39"/>
      <c r="AM402" s="35"/>
      <c r="AN402" s="35"/>
      <c r="AO402" s="39"/>
      <c r="AP402" s="39"/>
      <c r="AQ402" s="35"/>
      <c r="AR402" s="35"/>
      <c r="AS402" s="35"/>
      <c r="AT402" s="30">
        <f t="shared" ca="1" si="50"/>
        <v>0</v>
      </c>
      <c r="AU402" s="32" t="str">
        <f t="shared" ca="1" si="49"/>
        <v/>
      </c>
      <c r="AV402" s="32" t="str" cm="1">
        <f t="array" aca="1" ref="AV402" ca="1">IFERROR(_xlfn.IFS($AU402="","",$AU402&lt;=15,"0-15",AND($AU402&gt;=16,$AU402&lt;=30),"16-30",AND($AU402&gt;=31,$AU402&lt;=45),"31-45",AND($AU402&gt;=46,$AU402&lt;=60),"46-60",AND($AU402&gt;=61,$AU402&lt;=90),"61-90",AND($AU402&gt;=91),"&gt; 90",AND($AU402&gt;=2000),""),"")</f>
        <v/>
      </c>
      <c r="AW402" s="32" t="str" cm="1">
        <f t="array" aca="1" ref="AW402" ca="1">IFERROR(_xlfn.IFS(OR($M402="",$AM402=""),"",OR($C402="Offered",$C402="Joined"),($AM402-$M402)-$AT402),"")</f>
        <v/>
      </c>
      <c r="AX402" s="32" t="str" cm="1">
        <f t="array" aca="1" ref="AX402" ca="1">IFERROR(_xlfn.IFS(OR($M402="",$AS402=""),"",$C402="Joined",($AS402-$M402)-$AT402),"")</f>
        <v/>
      </c>
      <c r="AY402" s="30" t="str">
        <f>IFERROR(IF(COUNTIFS('Candidate Tracker'!$E:$E,'Positions Tracker'!$B402,'Candidate Tracker'!$C:$C,"Offer Drop")=0,"",COUNTIFS('Candidate Tracker'!$E:$E,'Positions Tracker'!$B402,'Candidate Tracker'!$C:$C,"Offer Drop")),"")</f>
        <v/>
      </c>
      <c r="AZ40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2" s="34" t="str">
        <f>IFERROR(IF(COUNTIFS('Candidate Tracker'!$E:$E,'Positions Tracker'!$B402,'Candidate Tracker'!$I:$I,"Female")=0,"",COUNTIFS('Candidate Tracker'!$E:$E,'Positions Tracker'!$B402,'Candidate Tracker'!$I:$I,"Female")),"")</f>
        <v/>
      </c>
      <c r="BB402" s="34" t="str">
        <f>IFERROR(IF(COUNTIFS('Candidate Tracker'!$E:$E,'Positions Tracker'!$B402,'Candidate Tracker'!$I:$I,"male")=0,"",COUNTIFS('Candidate Tracker'!$E:$E,'Positions Tracker'!$B402,'Candidate Tracker'!$I:$I,"male")),"")</f>
        <v/>
      </c>
      <c r="BC402" s="33" t="str">
        <f>IFERROR(IF(COUNTIFS('Candidate Tracker'!$E:$E,'Positions Tracker'!$B402,'Candidate Tracker'!$C:$C,"&lt;&gt;WIP",'Candidate Tracker'!$C:$C,"&lt;&gt;Hold",'Candidate Tracker'!$C:$C,"&lt;&gt;Cancelled",'Candidate Tracker'!$C:$C,"&lt;&gt;Closed")/COUNTIFS('Candidate Tracker'!$E:$E,'Positions Tracker'!$B402)=0,"",COUNTIFS('Candidate Tracker'!$E:$E,'Positions Tracker'!$B402,'Candidate Tracker'!$C:$C,"&lt;&gt;WIP",'Candidate Tracker'!$C:$C,"&lt;&gt;Hold",'Candidate Tracker'!$C:$C,"&lt;&gt;Cancelled",'Candidate Tracker'!$C:$C,"&lt;&gt;Closed")/COUNTIFS('Candidate Tracker'!$E:$E,'Positions Tracker'!$B402)),"")</f>
        <v/>
      </c>
      <c r="BD402" s="30" t="str">
        <f t="shared" si="51"/>
        <v/>
      </c>
      <c r="BE402" s="30" t="str">
        <f t="shared" si="52"/>
        <v/>
      </c>
      <c r="BF402" s="30" t="str">
        <f t="shared" si="53"/>
        <v/>
      </c>
      <c r="BG402" s="30" t="str">
        <f t="shared" si="54"/>
        <v/>
      </c>
    </row>
    <row r="403" spans="1:59">
      <c r="A403" s="39"/>
      <c r="B403" s="39"/>
      <c r="C403" s="39"/>
      <c r="D403" s="39"/>
      <c r="E403" s="39"/>
      <c r="F403" s="39"/>
      <c r="G403" s="39"/>
      <c r="H403" s="39"/>
      <c r="I403" s="40"/>
      <c r="J403" s="40"/>
      <c r="K403" s="35"/>
      <c r="L403" s="35"/>
      <c r="M403" s="35"/>
      <c r="N403" s="39"/>
      <c r="O403" s="39"/>
      <c r="P403" s="39"/>
      <c r="Q403" s="39"/>
      <c r="R403" s="39"/>
      <c r="S403" s="39"/>
      <c r="T403" s="39"/>
      <c r="U403" s="39"/>
      <c r="V403" s="39"/>
      <c r="W403" s="39"/>
      <c r="X403" s="39"/>
      <c r="Y403" s="39"/>
      <c r="Z403" s="39"/>
      <c r="AA403" s="39"/>
      <c r="AB403" s="39"/>
      <c r="AC403" s="39"/>
      <c r="AD403" s="39"/>
      <c r="AE403" s="39"/>
      <c r="AF403" s="39"/>
      <c r="AG403" s="39"/>
      <c r="AH403" s="39"/>
      <c r="AI403" s="35"/>
      <c r="AJ403" s="39"/>
      <c r="AK403" s="39"/>
      <c r="AL403" s="39"/>
      <c r="AM403" s="35"/>
      <c r="AN403" s="35"/>
      <c r="AO403" s="39"/>
      <c r="AP403" s="39"/>
      <c r="AQ403" s="35"/>
      <c r="AR403" s="35"/>
      <c r="AS403" s="35"/>
      <c r="AT403" s="30">
        <f t="shared" ca="1" si="50"/>
        <v>0</v>
      </c>
      <c r="AU403" s="32" t="str">
        <f t="shared" ca="1" si="49"/>
        <v/>
      </c>
      <c r="AV403" s="32" t="str" cm="1">
        <f t="array" aca="1" ref="AV403" ca="1">IFERROR(_xlfn.IFS($AU403="","",$AU403&lt;=15,"0-15",AND($AU403&gt;=16,$AU403&lt;=30),"16-30",AND($AU403&gt;=31,$AU403&lt;=45),"31-45",AND($AU403&gt;=46,$AU403&lt;=60),"46-60",AND($AU403&gt;=61,$AU403&lt;=90),"61-90",AND($AU403&gt;=91),"&gt; 90",AND($AU403&gt;=2000),""),"")</f>
        <v/>
      </c>
      <c r="AW403" s="32" t="str" cm="1">
        <f t="array" aca="1" ref="AW403" ca="1">IFERROR(_xlfn.IFS(OR($M403="",$AM403=""),"",OR($C403="Offered",$C403="Joined"),($AM403-$M403)-$AT403),"")</f>
        <v/>
      </c>
      <c r="AX403" s="32" t="str" cm="1">
        <f t="array" aca="1" ref="AX403" ca="1">IFERROR(_xlfn.IFS(OR($M403="",$AS403=""),"",$C403="Joined",($AS403-$M403)-$AT403),"")</f>
        <v/>
      </c>
      <c r="AY403" s="30" t="str">
        <f>IFERROR(IF(COUNTIFS('Candidate Tracker'!$E:$E,'Positions Tracker'!$B403,'Candidate Tracker'!$C:$C,"Offer Drop")=0,"",COUNTIFS('Candidate Tracker'!$E:$E,'Positions Tracker'!$B403,'Candidate Tracker'!$C:$C,"Offer Drop")),"")</f>
        <v/>
      </c>
      <c r="AZ40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3" s="34" t="str">
        <f>IFERROR(IF(COUNTIFS('Candidate Tracker'!$E:$E,'Positions Tracker'!$B403,'Candidate Tracker'!$I:$I,"Female")=0,"",COUNTIFS('Candidate Tracker'!$E:$E,'Positions Tracker'!$B403,'Candidate Tracker'!$I:$I,"Female")),"")</f>
        <v/>
      </c>
      <c r="BB403" s="34" t="str">
        <f>IFERROR(IF(COUNTIFS('Candidate Tracker'!$E:$E,'Positions Tracker'!$B403,'Candidate Tracker'!$I:$I,"male")=0,"",COUNTIFS('Candidate Tracker'!$E:$E,'Positions Tracker'!$B403,'Candidate Tracker'!$I:$I,"male")),"")</f>
        <v/>
      </c>
      <c r="BC403" s="33" t="str">
        <f>IFERROR(IF(COUNTIFS('Candidate Tracker'!$E:$E,'Positions Tracker'!$B403,'Candidate Tracker'!$C:$C,"&lt;&gt;WIP",'Candidate Tracker'!$C:$C,"&lt;&gt;Hold",'Candidate Tracker'!$C:$C,"&lt;&gt;Cancelled",'Candidate Tracker'!$C:$C,"&lt;&gt;Closed")/COUNTIFS('Candidate Tracker'!$E:$E,'Positions Tracker'!$B403)=0,"",COUNTIFS('Candidate Tracker'!$E:$E,'Positions Tracker'!$B403,'Candidate Tracker'!$C:$C,"&lt;&gt;WIP",'Candidate Tracker'!$C:$C,"&lt;&gt;Hold",'Candidate Tracker'!$C:$C,"&lt;&gt;Cancelled",'Candidate Tracker'!$C:$C,"&lt;&gt;Closed")/COUNTIFS('Candidate Tracker'!$E:$E,'Positions Tracker'!$B403)),"")</f>
        <v/>
      </c>
      <c r="BD403" s="30" t="str">
        <f t="shared" si="51"/>
        <v/>
      </c>
      <c r="BE403" s="30" t="str">
        <f t="shared" si="52"/>
        <v/>
      </c>
      <c r="BF403" s="30" t="str">
        <f t="shared" si="53"/>
        <v/>
      </c>
      <c r="BG403" s="30" t="str">
        <f t="shared" si="54"/>
        <v/>
      </c>
    </row>
    <row r="404" spans="1:59">
      <c r="A404" s="39"/>
      <c r="B404" s="39"/>
      <c r="C404" s="39"/>
      <c r="D404" s="39"/>
      <c r="E404" s="39"/>
      <c r="F404" s="39"/>
      <c r="G404" s="39"/>
      <c r="H404" s="39"/>
      <c r="I404" s="40"/>
      <c r="J404" s="40"/>
      <c r="K404" s="35"/>
      <c r="L404" s="35"/>
      <c r="M404" s="35"/>
      <c r="N404" s="39"/>
      <c r="O404" s="39"/>
      <c r="P404" s="39"/>
      <c r="Q404" s="39"/>
      <c r="R404" s="39"/>
      <c r="S404" s="39"/>
      <c r="T404" s="39"/>
      <c r="U404" s="39"/>
      <c r="V404" s="39"/>
      <c r="W404" s="39"/>
      <c r="X404" s="39"/>
      <c r="Y404" s="39"/>
      <c r="Z404" s="39"/>
      <c r="AA404" s="39"/>
      <c r="AB404" s="39"/>
      <c r="AC404" s="39"/>
      <c r="AD404" s="39"/>
      <c r="AE404" s="39"/>
      <c r="AF404" s="39"/>
      <c r="AG404" s="39"/>
      <c r="AH404" s="39"/>
      <c r="AI404" s="35"/>
      <c r="AJ404" s="39"/>
      <c r="AK404" s="39"/>
      <c r="AL404" s="39"/>
      <c r="AM404" s="35"/>
      <c r="AN404" s="35"/>
      <c r="AO404" s="39"/>
      <c r="AP404" s="39"/>
      <c r="AQ404" s="35"/>
      <c r="AR404" s="35"/>
      <c r="AS404" s="35"/>
      <c r="AT404" s="30">
        <f t="shared" ca="1" si="50"/>
        <v>0</v>
      </c>
      <c r="AU404" s="32" t="str">
        <f t="shared" ca="1" si="49"/>
        <v/>
      </c>
      <c r="AV404" s="32" t="str" cm="1">
        <f t="array" aca="1" ref="AV404" ca="1">IFERROR(_xlfn.IFS($AU404="","",$AU404&lt;=15,"0-15",AND($AU404&gt;=16,$AU404&lt;=30),"16-30",AND($AU404&gt;=31,$AU404&lt;=45),"31-45",AND($AU404&gt;=46,$AU404&lt;=60),"46-60",AND($AU404&gt;=61,$AU404&lt;=90),"61-90",AND($AU404&gt;=91),"&gt; 90",AND($AU404&gt;=2000),""),"")</f>
        <v/>
      </c>
      <c r="AW404" s="32" t="str" cm="1">
        <f t="array" aca="1" ref="AW404" ca="1">IFERROR(_xlfn.IFS(OR($M404="",$AM404=""),"",OR($C404="Offered",$C404="Joined"),($AM404-$M404)-$AT404),"")</f>
        <v/>
      </c>
      <c r="AX404" s="32" t="str" cm="1">
        <f t="array" aca="1" ref="AX404" ca="1">IFERROR(_xlfn.IFS(OR($M404="",$AS404=""),"",$C404="Joined",($AS404-$M404)-$AT404),"")</f>
        <v/>
      </c>
      <c r="AY404" s="30" t="str">
        <f>IFERROR(IF(COUNTIFS('Candidate Tracker'!$E:$E,'Positions Tracker'!$B404,'Candidate Tracker'!$C:$C,"Offer Drop")=0,"",COUNTIFS('Candidate Tracker'!$E:$E,'Positions Tracker'!$B404,'Candidate Tracker'!$C:$C,"Offer Drop")),"")</f>
        <v/>
      </c>
      <c r="AZ40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4" s="34" t="str">
        <f>IFERROR(IF(COUNTIFS('Candidate Tracker'!$E:$E,'Positions Tracker'!$B404,'Candidate Tracker'!$I:$I,"Female")=0,"",COUNTIFS('Candidate Tracker'!$E:$E,'Positions Tracker'!$B404,'Candidate Tracker'!$I:$I,"Female")),"")</f>
        <v/>
      </c>
      <c r="BB404" s="34" t="str">
        <f>IFERROR(IF(COUNTIFS('Candidate Tracker'!$E:$E,'Positions Tracker'!$B404,'Candidate Tracker'!$I:$I,"male")=0,"",COUNTIFS('Candidate Tracker'!$E:$E,'Positions Tracker'!$B404,'Candidate Tracker'!$I:$I,"male")),"")</f>
        <v/>
      </c>
      <c r="BC404" s="33" t="str">
        <f>IFERROR(IF(COUNTIFS('Candidate Tracker'!$E:$E,'Positions Tracker'!$B404,'Candidate Tracker'!$C:$C,"&lt;&gt;WIP",'Candidate Tracker'!$C:$C,"&lt;&gt;Hold",'Candidate Tracker'!$C:$C,"&lt;&gt;Cancelled",'Candidate Tracker'!$C:$C,"&lt;&gt;Closed")/COUNTIFS('Candidate Tracker'!$E:$E,'Positions Tracker'!$B404)=0,"",COUNTIFS('Candidate Tracker'!$E:$E,'Positions Tracker'!$B404,'Candidate Tracker'!$C:$C,"&lt;&gt;WIP",'Candidate Tracker'!$C:$C,"&lt;&gt;Hold",'Candidate Tracker'!$C:$C,"&lt;&gt;Cancelled",'Candidate Tracker'!$C:$C,"&lt;&gt;Closed")/COUNTIFS('Candidate Tracker'!$E:$E,'Positions Tracker'!$B404)),"")</f>
        <v/>
      </c>
      <c r="BD404" s="30" t="str">
        <f t="shared" si="51"/>
        <v/>
      </c>
      <c r="BE404" s="30" t="str">
        <f t="shared" si="52"/>
        <v/>
      </c>
      <c r="BF404" s="30" t="str">
        <f t="shared" si="53"/>
        <v/>
      </c>
      <c r="BG404" s="30" t="str">
        <f t="shared" si="54"/>
        <v/>
      </c>
    </row>
    <row r="405" spans="1:59">
      <c r="A405" s="39"/>
      <c r="B405" s="39"/>
      <c r="C405" s="39"/>
      <c r="D405" s="39"/>
      <c r="E405" s="39"/>
      <c r="F405" s="39"/>
      <c r="G405" s="39"/>
      <c r="H405" s="39"/>
      <c r="I405" s="40"/>
      <c r="J405" s="40"/>
      <c r="K405" s="35"/>
      <c r="L405" s="35"/>
      <c r="M405" s="35"/>
      <c r="N405" s="39"/>
      <c r="O405" s="39"/>
      <c r="P405" s="39"/>
      <c r="Q405" s="39"/>
      <c r="R405" s="39"/>
      <c r="S405" s="39"/>
      <c r="T405" s="39"/>
      <c r="U405" s="39"/>
      <c r="V405" s="39"/>
      <c r="W405" s="39"/>
      <c r="X405" s="39"/>
      <c r="Y405" s="39"/>
      <c r="Z405" s="39"/>
      <c r="AA405" s="39"/>
      <c r="AB405" s="39"/>
      <c r="AC405" s="39"/>
      <c r="AD405" s="39"/>
      <c r="AE405" s="39"/>
      <c r="AF405" s="39"/>
      <c r="AG405" s="39"/>
      <c r="AH405" s="39"/>
      <c r="AI405" s="35"/>
      <c r="AJ405" s="39"/>
      <c r="AK405" s="39"/>
      <c r="AL405" s="39"/>
      <c r="AM405" s="35"/>
      <c r="AN405" s="35"/>
      <c r="AO405" s="39"/>
      <c r="AP405" s="39"/>
      <c r="AQ405" s="35"/>
      <c r="AR405" s="35"/>
      <c r="AS405" s="35"/>
      <c r="AT405" s="30">
        <f t="shared" ca="1" si="50"/>
        <v>0</v>
      </c>
      <c r="AU405" s="32" t="str">
        <f t="shared" ca="1" si="49"/>
        <v/>
      </c>
      <c r="AV405" s="32" t="str" cm="1">
        <f t="array" aca="1" ref="AV405" ca="1">IFERROR(_xlfn.IFS($AU405="","",$AU405&lt;=15,"0-15",AND($AU405&gt;=16,$AU405&lt;=30),"16-30",AND($AU405&gt;=31,$AU405&lt;=45),"31-45",AND($AU405&gt;=46,$AU405&lt;=60),"46-60",AND($AU405&gt;=61,$AU405&lt;=90),"61-90",AND($AU405&gt;=91),"&gt; 90",AND($AU405&gt;=2000),""),"")</f>
        <v/>
      </c>
      <c r="AW405" s="32" t="str" cm="1">
        <f t="array" aca="1" ref="AW405" ca="1">IFERROR(_xlfn.IFS(OR($M405="",$AM405=""),"",OR($C405="Offered",$C405="Joined"),($AM405-$M405)-$AT405),"")</f>
        <v/>
      </c>
      <c r="AX405" s="32" t="str" cm="1">
        <f t="array" aca="1" ref="AX405" ca="1">IFERROR(_xlfn.IFS(OR($M405="",$AS405=""),"",$C405="Joined",($AS405-$M405)-$AT405),"")</f>
        <v/>
      </c>
      <c r="AY405" s="30" t="str">
        <f>IFERROR(IF(COUNTIFS('Candidate Tracker'!$E:$E,'Positions Tracker'!$B405,'Candidate Tracker'!$C:$C,"Offer Drop")=0,"",COUNTIFS('Candidate Tracker'!$E:$E,'Positions Tracker'!$B405,'Candidate Tracker'!$C:$C,"Offer Drop")),"")</f>
        <v/>
      </c>
      <c r="AZ40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5" s="34" t="str">
        <f>IFERROR(IF(COUNTIFS('Candidate Tracker'!$E:$E,'Positions Tracker'!$B405,'Candidate Tracker'!$I:$I,"Female")=0,"",COUNTIFS('Candidate Tracker'!$E:$E,'Positions Tracker'!$B405,'Candidate Tracker'!$I:$I,"Female")),"")</f>
        <v/>
      </c>
      <c r="BB405" s="34" t="str">
        <f>IFERROR(IF(COUNTIFS('Candidate Tracker'!$E:$E,'Positions Tracker'!$B405,'Candidate Tracker'!$I:$I,"male")=0,"",COUNTIFS('Candidate Tracker'!$E:$E,'Positions Tracker'!$B405,'Candidate Tracker'!$I:$I,"male")),"")</f>
        <v/>
      </c>
      <c r="BC405" s="33" t="str">
        <f>IFERROR(IF(COUNTIFS('Candidate Tracker'!$E:$E,'Positions Tracker'!$B405,'Candidate Tracker'!$C:$C,"&lt;&gt;WIP",'Candidate Tracker'!$C:$C,"&lt;&gt;Hold",'Candidate Tracker'!$C:$C,"&lt;&gt;Cancelled",'Candidate Tracker'!$C:$C,"&lt;&gt;Closed")/COUNTIFS('Candidate Tracker'!$E:$E,'Positions Tracker'!$B405)=0,"",COUNTIFS('Candidate Tracker'!$E:$E,'Positions Tracker'!$B405,'Candidate Tracker'!$C:$C,"&lt;&gt;WIP",'Candidate Tracker'!$C:$C,"&lt;&gt;Hold",'Candidate Tracker'!$C:$C,"&lt;&gt;Cancelled",'Candidate Tracker'!$C:$C,"&lt;&gt;Closed")/COUNTIFS('Candidate Tracker'!$E:$E,'Positions Tracker'!$B405)),"")</f>
        <v/>
      </c>
      <c r="BD405" s="30" t="str">
        <f t="shared" si="51"/>
        <v/>
      </c>
      <c r="BE405" s="30" t="str">
        <f t="shared" si="52"/>
        <v/>
      </c>
      <c r="BF405" s="30" t="str">
        <f t="shared" si="53"/>
        <v/>
      </c>
      <c r="BG405" s="30" t="str">
        <f t="shared" si="54"/>
        <v/>
      </c>
    </row>
    <row r="406" spans="1:59">
      <c r="A406" s="39"/>
      <c r="B406" s="39"/>
      <c r="C406" s="39"/>
      <c r="D406" s="39"/>
      <c r="E406" s="39"/>
      <c r="F406" s="39"/>
      <c r="G406" s="39"/>
      <c r="H406" s="39"/>
      <c r="I406" s="40"/>
      <c r="J406" s="40"/>
      <c r="K406" s="35"/>
      <c r="L406" s="35"/>
      <c r="M406" s="35"/>
      <c r="N406" s="39"/>
      <c r="O406" s="39"/>
      <c r="P406" s="39"/>
      <c r="Q406" s="39"/>
      <c r="R406" s="39"/>
      <c r="S406" s="39"/>
      <c r="T406" s="39"/>
      <c r="U406" s="39"/>
      <c r="V406" s="39"/>
      <c r="W406" s="39"/>
      <c r="X406" s="39"/>
      <c r="Y406" s="39"/>
      <c r="Z406" s="39"/>
      <c r="AA406" s="39"/>
      <c r="AB406" s="39"/>
      <c r="AC406" s="39"/>
      <c r="AD406" s="39"/>
      <c r="AE406" s="39"/>
      <c r="AF406" s="39"/>
      <c r="AG406" s="39"/>
      <c r="AH406" s="39"/>
      <c r="AI406" s="35"/>
      <c r="AJ406" s="39"/>
      <c r="AK406" s="39"/>
      <c r="AL406" s="39"/>
      <c r="AM406" s="35"/>
      <c r="AN406" s="35"/>
      <c r="AO406" s="39"/>
      <c r="AP406" s="39"/>
      <c r="AQ406" s="35"/>
      <c r="AR406" s="35"/>
      <c r="AS406" s="35"/>
      <c r="AT406" s="30">
        <f t="shared" ca="1" si="50"/>
        <v>0</v>
      </c>
      <c r="AU406" s="32" t="str">
        <f t="shared" ca="1" si="49"/>
        <v/>
      </c>
      <c r="AV406" s="32" t="str" cm="1">
        <f t="array" aca="1" ref="AV406" ca="1">IFERROR(_xlfn.IFS($AU406="","",$AU406&lt;=15,"0-15",AND($AU406&gt;=16,$AU406&lt;=30),"16-30",AND($AU406&gt;=31,$AU406&lt;=45),"31-45",AND($AU406&gt;=46,$AU406&lt;=60),"46-60",AND($AU406&gt;=61,$AU406&lt;=90),"61-90",AND($AU406&gt;=91),"&gt; 90",AND($AU406&gt;=2000),""),"")</f>
        <v/>
      </c>
      <c r="AW406" s="32" t="str" cm="1">
        <f t="array" aca="1" ref="AW406" ca="1">IFERROR(_xlfn.IFS(OR($M406="",$AM406=""),"",OR($C406="Offered",$C406="Joined"),($AM406-$M406)-$AT406),"")</f>
        <v/>
      </c>
      <c r="AX406" s="32" t="str" cm="1">
        <f t="array" aca="1" ref="AX406" ca="1">IFERROR(_xlfn.IFS(OR($M406="",$AS406=""),"",$C406="Joined",($AS406-$M406)-$AT406),"")</f>
        <v/>
      </c>
      <c r="AY406" s="30" t="str">
        <f>IFERROR(IF(COUNTIFS('Candidate Tracker'!$E:$E,'Positions Tracker'!$B406,'Candidate Tracker'!$C:$C,"Offer Drop")=0,"",COUNTIFS('Candidate Tracker'!$E:$E,'Positions Tracker'!$B406,'Candidate Tracker'!$C:$C,"Offer Drop")),"")</f>
        <v/>
      </c>
      <c r="AZ40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6" s="34" t="str">
        <f>IFERROR(IF(COUNTIFS('Candidate Tracker'!$E:$E,'Positions Tracker'!$B406,'Candidate Tracker'!$I:$I,"Female")=0,"",COUNTIFS('Candidate Tracker'!$E:$E,'Positions Tracker'!$B406,'Candidate Tracker'!$I:$I,"Female")),"")</f>
        <v/>
      </c>
      <c r="BB406" s="34" t="str">
        <f>IFERROR(IF(COUNTIFS('Candidate Tracker'!$E:$E,'Positions Tracker'!$B406,'Candidate Tracker'!$I:$I,"male")=0,"",COUNTIFS('Candidate Tracker'!$E:$E,'Positions Tracker'!$B406,'Candidate Tracker'!$I:$I,"male")),"")</f>
        <v/>
      </c>
      <c r="BC406" s="33" t="str">
        <f>IFERROR(IF(COUNTIFS('Candidate Tracker'!$E:$E,'Positions Tracker'!$B406,'Candidate Tracker'!$C:$C,"&lt;&gt;WIP",'Candidate Tracker'!$C:$C,"&lt;&gt;Hold",'Candidate Tracker'!$C:$C,"&lt;&gt;Cancelled",'Candidate Tracker'!$C:$C,"&lt;&gt;Closed")/COUNTIFS('Candidate Tracker'!$E:$E,'Positions Tracker'!$B406)=0,"",COUNTIFS('Candidate Tracker'!$E:$E,'Positions Tracker'!$B406,'Candidate Tracker'!$C:$C,"&lt;&gt;WIP",'Candidate Tracker'!$C:$C,"&lt;&gt;Hold",'Candidate Tracker'!$C:$C,"&lt;&gt;Cancelled",'Candidate Tracker'!$C:$C,"&lt;&gt;Closed")/COUNTIFS('Candidate Tracker'!$E:$E,'Positions Tracker'!$B406)),"")</f>
        <v/>
      </c>
      <c r="BD406" s="30" t="str">
        <f t="shared" si="51"/>
        <v/>
      </c>
      <c r="BE406" s="30" t="str">
        <f t="shared" si="52"/>
        <v/>
      </c>
      <c r="BF406" s="30" t="str">
        <f t="shared" si="53"/>
        <v/>
      </c>
      <c r="BG406" s="30" t="str">
        <f t="shared" si="54"/>
        <v/>
      </c>
    </row>
    <row r="407" spans="1:59">
      <c r="A407" s="39"/>
      <c r="B407" s="39"/>
      <c r="C407" s="39"/>
      <c r="D407" s="39"/>
      <c r="E407" s="39"/>
      <c r="F407" s="39"/>
      <c r="G407" s="39"/>
      <c r="H407" s="39"/>
      <c r="I407" s="40"/>
      <c r="J407" s="40"/>
      <c r="K407" s="35"/>
      <c r="L407" s="35"/>
      <c r="M407" s="35"/>
      <c r="N407" s="39"/>
      <c r="O407" s="39"/>
      <c r="P407" s="39"/>
      <c r="Q407" s="39"/>
      <c r="R407" s="39"/>
      <c r="S407" s="39"/>
      <c r="T407" s="39"/>
      <c r="U407" s="39"/>
      <c r="V407" s="39"/>
      <c r="W407" s="39"/>
      <c r="X407" s="39"/>
      <c r="Y407" s="39"/>
      <c r="Z407" s="39"/>
      <c r="AA407" s="39"/>
      <c r="AB407" s="39"/>
      <c r="AC407" s="39"/>
      <c r="AD407" s="39"/>
      <c r="AE407" s="39"/>
      <c r="AF407" s="39"/>
      <c r="AG407" s="39"/>
      <c r="AH407" s="39"/>
      <c r="AI407" s="35"/>
      <c r="AJ407" s="39"/>
      <c r="AK407" s="39"/>
      <c r="AL407" s="39"/>
      <c r="AM407" s="35"/>
      <c r="AN407" s="35"/>
      <c r="AO407" s="39"/>
      <c r="AP407" s="39"/>
      <c r="AQ407" s="35"/>
      <c r="AR407" s="35"/>
      <c r="AS407" s="35"/>
      <c r="AT407" s="30">
        <f t="shared" ca="1" si="50"/>
        <v>0</v>
      </c>
      <c r="AU407" s="32" t="str">
        <f t="shared" ca="1" si="49"/>
        <v/>
      </c>
      <c r="AV407" s="32" t="str" cm="1">
        <f t="array" aca="1" ref="AV407" ca="1">IFERROR(_xlfn.IFS($AU407="","",$AU407&lt;=15,"0-15",AND($AU407&gt;=16,$AU407&lt;=30),"16-30",AND($AU407&gt;=31,$AU407&lt;=45),"31-45",AND($AU407&gt;=46,$AU407&lt;=60),"46-60",AND($AU407&gt;=61,$AU407&lt;=90),"61-90",AND($AU407&gt;=91),"&gt; 90",AND($AU407&gt;=2000),""),"")</f>
        <v/>
      </c>
      <c r="AW407" s="32" t="str" cm="1">
        <f t="array" aca="1" ref="AW407" ca="1">IFERROR(_xlfn.IFS(OR($M407="",$AM407=""),"",OR($C407="Offered",$C407="Joined"),($AM407-$M407)-$AT407),"")</f>
        <v/>
      </c>
      <c r="AX407" s="32" t="str" cm="1">
        <f t="array" aca="1" ref="AX407" ca="1">IFERROR(_xlfn.IFS(OR($M407="",$AS407=""),"",$C407="Joined",($AS407-$M407)-$AT407),"")</f>
        <v/>
      </c>
      <c r="AY407" s="30" t="str">
        <f>IFERROR(IF(COUNTIFS('Candidate Tracker'!$E:$E,'Positions Tracker'!$B407,'Candidate Tracker'!$C:$C,"Offer Drop")=0,"",COUNTIFS('Candidate Tracker'!$E:$E,'Positions Tracker'!$B407,'Candidate Tracker'!$C:$C,"Offer Drop")),"")</f>
        <v/>
      </c>
      <c r="AZ40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7" s="34" t="str">
        <f>IFERROR(IF(COUNTIFS('Candidate Tracker'!$E:$E,'Positions Tracker'!$B407,'Candidate Tracker'!$I:$I,"Female")=0,"",COUNTIFS('Candidate Tracker'!$E:$E,'Positions Tracker'!$B407,'Candidate Tracker'!$I:$I,"Female")),"")</f>
        <v/>
      </c>
      <c r="BB407" s="34" t="str">
        <f>IFERROR(IF(COUNTIFS('Candidate Tracker'!$E:$E,'Positions Tracker'!$B407,'Candidate Tracker'!$I:$I,"male")=0,"",COUNTIFS('Candidate Tracker'!$E:$E,'Positions Tracker'!$B407,'Candidate Tracker'!$I:$I,"male")),"")</f>
        <v/>
      </c>
      <c r="BC407" s="33" t="str">
        <f>IFERROR(IF(COUNTIFS('Candidate Tracker'!$E:$E,'Positions Tracker'!$B407,'Candidate Tracker'!$C:$C,"&lt;&gt;WIP",'Candidate Tracker'!$C:$C,"&lt;&gt;Hold",'Candidate Tracker'!$C:$C,"&lt;&gt;Cancelled",'Candidate Tracker'!$C:$C,"&lt;&gt;Closed")/COUNTIFS('Candidate Tracker'!$E:$E,'Positions Tracker'!$B407)=0,"",COUNTIFS('Candidate Tracker'!$E:$E,'Positions Tracker'!$B407,'Candidate Tracker'!$C:$C,"&lt;&gt;WIP",'Candidate Tracker'!$C:$C,"&lt;&gt;Hold",'Candidate Tracker'!$C:$C,"&lt;&gt;Cancelled",'Candidate Tracker'!$C:$C,"&lt;&gt;Closed")/COUNTIFS('Candidate Tracker'!$E:$E,'Positions Tracker'!$B407)),"")</f>
        <v/>
      </c>
      <c r="BD407" s="30" t="str">
        <f t="shared" si="51"/>
        <v/>
      </c>
      <c r="BE407" s="30" t="str">
        <f t="shared" si="52"/>
        <v/>
      </c>
      <c r="BF407" s="30" t="str">
        <f t="shared" si="53"/>
        <v/>
      </c>
      <c r="BG407" s="30" t="str">
        <f t="shared" si="54"/>
        <v/>
      </c>
    </row>
    <row r="408" spans="1:59">
      <c r="A408" s="39"/>
      <c r="B408" s="39"/>
      <c r="C408" s="39"/>
      <c r="D408" s="39"/>
      <c r="E408" s="39"/>
      <c r="F408" s="39"/>
      <c r="G408" s="39"/>
      <c r="H408" s="39"/>
      <c r="I408" s="40"/>
      <c r="J408" s="40"/>
      <c r="K408" s="35"/>
      <c r="L408" s="35"/>
      <c r="M408" s="35"/>
      <c r="N408" s="39"/>
      <c r="O408" s="39"/>
      <c r="P408" s="39"/>
      <c r="Q408" s="39"/>
      <c r="R408" s="39"/>
      <c r="S408" s="39"/>
      <c r="T408" s="39"/>
      <c r="U408" s="39"/>
      <c r="V408" s="39"/>
      <c r="W408" s="39"/>
      <c r="X408" s="39"/>
      <c r="Y408" s="39"/>
      <c r="Z408" s="39"/>
      <c r="AA408" s="39"/>
      <c r="AB408" s="39"/>
      <c r="AC408" s="39"/>
      <c r="AD408" s="39"/>
      <c r="AE408" s="39"/>
      <c r="AF408" s="39"/>
      <c r="AG408" s="39"/>
      <c r="AH408" s="39"/>
      <c r="AI408" s="35"/>
      <c r="AJ408" s="39"/>
      <c r="AK408" s="39"/>
      <c r="AL408" s="39"/>
      <c r="AM408" s="35"/>
      <c r="AN408" s="35"/>
      <c r="AO408" s="39"/>
      <c r="AP408" s="39"/>
      <c r="AQ408" s="35"/>
      <c r="AR408" s="35"/>
      <c r="AS408" s="35"/>
      <c r="AT408" s="30">
        <f t="shared" ca="1" si="50"/>
        <v>0</v>
      </c>
      <c r="AU408" s="32" t="str">
        <f t="shared" ca="1" si="49"/>
        <v/>
      </c>
      <c r="AV408" s="32" t="str" cm="1">
        <f t="array" aca="1" ref="AV408" ca="1">IFERROR(_xlfn.IFS($AU408="","",$AU408&lt;=15,"0-15",AND($AU408&gt;=16,$AU408&lt;=30),"16-30",AND($AU408&gt;=31,$AU408&lt;=45),"31-45",AND($AU408&gt;=46,$AU408&lt;=60),"46-60",AND($AU408&gt;=61,$AU408&lt;=90),"61-90",AND($AU408&gt;=91),"&gt; 90",AND($AU408&gt;=2000),""),"")</f>
        <v/>
      </c>
      <c r="AW408" s="32" t="str" cm="1">
        <f t="array" aca="1" ref="AW408" ca="1">IFERROR(_xlfn.IFS(OR($M408="",$AM408=""),"",OR($C408="Offered",$C408="Joined"),($AM408-$M408)-$AT408),"")</f>
        <v/>
      </c>
      <c r="AX408" s="32" t="str" cm="1">
        <f t="array" aca="1" ref="AX408" ca="1">IFERROR(_xlfn.IFS(OR($M408="",$AS408=""),"",$C408="Joined",($AS408-$M408)-$AT408),"")</f>
        <v/>
      </c>
      <c r="AY408" s="30" t="str">
        <f>IFERROR(IF(COUNTIFS('Candidate Tracker'!$E:$E,'Positions Tracker'!$B408,'Candidate Tracker'!$C:$C,"Offer Drop")=0,"",COUNTIFS('Candidate Tracker'!$E:$E,'Positions Tracker'!$B408,'Candidate Tracker'!$C:$C,"Offer Drop")),"")</f>
        <v/>
      </c>
      <c r="AZ40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8" s="34" t="str">
        <f>IFERROR(IF(COUNTIFS('Candidate Tracker'!$E:$E,'Positions Tracker'!$B408,'Candidate Tracker'!$I:$I,"Female")=0,"",COUNTIFS('Candidate Tracker'!$E:$E,'Positions Tracker'!$B408,'Candidate Tracker'!$I:$I,"Female")),"")</f>
        <v/>
      </c>
      <c r="BB408" s="34" t="str">
        <f>IFERROR(IF(COUNTIFS('Candidate Tracker'!$E:$E,'Positions Tracker'!$B408,'Candidate Tracker'!$I:$I,"male")=0,"",COUNTIFS('Candidate Tracker'!$E:$E,'Positions Tracker'!$B408,'Candidate Tracker'!$I:$I,"male")),"")</f>
        <v/>
      </c>
      <c r="BC408" s="33" t="str">
        <f>IFERROR(IF(COUNTIFS('Candidate Tracker'!$E:$E,'Positions Tracker'!$B408,'Candidate Tracker'!$C:$C,"&lt;&gt;WIP",'Candidate Tracker'!$C:$C,"&lt;&gt;Hold",'Candidate Tracker'!$C:$C,"&lt;&gt;Cancelled",'Candidate Tracker'!$C:$C,"&lt;&gt;Closed")/COUNTIFS('Candidate Tracker'!$E:$E,'Positions Tracker'!$B408)=0,"",COUNTIFS('Candidate Tracker'!$E:$E,'Positions Tracker'!$B408,'Candidate Tracker'!$C:$C,"&lt;&gt;WIP",'Candidate Tracker'!$C:$C,"&lt;&gt;Hold",'Candidate Tracker'!$C:$C,"&lt;&gt;Cancelled",'Candidate Tracker'!$C:$C,"&lt;&gt;Closed")/COUNTIFS('Candidate Tracker'!$E:$E,'Positions Tracker'!$B408)),"")</f>
        <v/>
      </c>
      <c r="BD408" s="30" t="str">
        <f t="shared" si="51"/>
        <v/>
      </c>
      <c r="BE408" s="30" t="str">
        <f t="shared" si="52"/>
        <v/>
      </c>
      <c r="BF408" s="30" t="str">
        <f t="shared" si="53"/>
        <v/>
      </c>
      <c r="BG408" s="30" t="str">
        <f t="shared" si="54"/>
        <v/>
      </c>
    </row>
    <row r="409" spans="1:59">
      <c r="A409" s="39"/>
      <c r="B409" s="39"/>
      <c r="C409" s="39"/>
      <c r="D409" s="39"/>
      <c r="E409" s="39"/>
      <c r="F409" s="39"/>
      <c r="G409" s="39"/>
      <c r="H409" s="39"/>
      <c r="I409" s="40"/>
      <c r="J409" s="40"/>
      <c r="K409" s="35"/>
      <c r="L409" s="35"/>
      <c r="M409" s="35"/>
      <c r="N409" s="39"/>
      <c r="O409" s="39"/>
      <c r="P409" s="39"/>
      <c r="Q409" s="39"/>
      <c r="R409" s="39"/>
      <c r="S409" s="39"/>
      <c r="T409" s="39"/>
      <c r="U409" s="39"/>
      <c r="V409" s="39"/>
      <c r="W409" s="39"/>
      <c r="X409" s="39"/>
      <c r="Y409" s="39"/>
      <c r="Z409" s="39"/>
      <c r="AA409" s="39"/>
      <c r="AB409" s="39"/>
      <c r="AC409" s="39"/>
      <c r="AD409" s="39"/>
      <c r="AE409" s="39"/>
      <c r="AF409" s="39"/>
      <c r="AG409" s="39"/>
      <c r="AH409" s="39"/>
      <c r="AI409" s="35"/>
      <c r="AJ409" s="39"/>
      <c r="AK409" s="39"/>
      <c r="AL409" s="39"/>
      <c r="AM409" s="35"/>
      <c r="AN409" s="35"/>
      <c r="AO409" s="39"/>
      <c r="AP409" s="39"/>
      <c r="AQ409" s="35"/>
      <c r="AR409" s="35"/>
      <c r="AS409" s="35"/>
      <c r="AT409" s="30">
        <f t="shared" ca="1" si="50"/>
        <v>0</v>
      </c>
      <c r="AU409" s="32" t="str">
        <f t="shared" ca="1" si="49"/>
        <v/>
      </c>
      <c r="AV409" s="32" t="str" cm="1">
        <f t="array" aca="1" ref="AV409" ca="1">IFERROR(_xlfn.IFS($AU409="","",$AU409&lt;=15,"0-15",AND($AU409&gt;=16,$AU409&lt;=30),"16-30",AND($AU409&gt;=31,$AU409&lt;=45),"31-45",AND($AU409&gt;=46,$AU409&lt;=60),"46-60",AND($AU409&gt;=61,$AU409&lt;=90),"61-90",AND($AU409&gt;=91),"&gt; 90",AND($AU409&gt;=2000),""),"")</f>
        <v/>
      </c>
      <c r="AW409" s="32" t="str" cm="1">
        <f t="array" aca="1" ref="AW409" ca="1">IFERROR(_xlfn.IFS(OR($M409="",$AM409=""),"",OR($C409="Offered",$C409="Joined"),($AM409-$M409)-$AT409),"")</f>
        <v/>
      </c>
      <c r="AX409" s="32" t="str" cm="1">
        <f t="array" aca="1" ref="AX409" ca="1">IFERROR(_xlfn.IFS(OR($M409="",$AS409=""),"",$C409="Joined",($AS409-$M409)-$AT409),"")</f>
        <v/>
      </c>
      <c r="AY409" s="30" t="str">
        <f>IFERROR(IF(COUNTIFS('Candidate Tracker'!$E:$E,'Positions Tracker'!$B409,'Candidate Tracker'!$C:$C,"Offer Drop")=0,"",COUNTIFS('Candidate Tracker'!$E:$E,'Positions Tracker'!$B409,'Candidate Tracker'!$C:$C,"Offer Drop")),"")</f>
        <v/>
      </c>
      <c r="AZ40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09" s="34" t="str">
        <f>IFERROR(IF(COUNTIFS('Candidate Tracker'!$E:$E,'Positions Tracker'!$B409,'Candidate Tracker'!$I:$I,"Female")=0,"",COUNTIFS('Candidate Tracker'!$E:$E,'Positions Tracker'!$B409,'Candidate Tracker'!$I:$I,"Female")),"")</f>
        <v/>
      </c>
      <c r="BB409" s="34" t="str">
        <f>IFERROR(IF(COUNTIFS('Candidate Tracker'!$E:$E,'Positions Tracker'!$B409,'Candidate Tracker'!$I:$I,"male")=0,"",COUNTIFS('Candidate Tracker'!$E:$E,'Positions Tracker'!$B409,'Candidate Tracker'!$I:$I,"male")),"")</f>
        <v/>
      </c>
      <c r="BC409" s="33" t="str">
        <f>IFERROR(IF(COUNTIFS('Candidate Tracker'!$E:$E,'Positions Tracker'!$B409,'Candidate Tracker'!$C:$C,"&lt;&gt;WIP",'Candidate Tracker'!$C:$C,"&lt;&gt;Hold",'Candidate Tracker'!$C:$C,"&lt;&gt;Cancelled",'Candidate Tracker'!$C:$C,"&lt;&gt;Closed")/COUNTIFS('Candidate Tracker'!$E:$E,'Positions Tracker'!$B409)=0,"",COUNTIFS('Candidate Tracker'!$E:$E,'Positions Tracker'!$B409,'Candidate Tracker'!$C:$C,"&lt;&gt;WIP",'Candidate Tracker'!$C:$C,"&lt;&gt;Hold",'Candidate Tracker'!$C:$C,"&lt;&gt;Cancelled",'Candidate Tracker'!$C:$C,"&lt;&gt;Closed")/COUNTIFS('Candidate Tracker'!$E:$E,'Positions Tracker'!$B409)),"")</f>
        <v/>
      </c>
      <c r="BD409" s="30" t="str">
        <f t="shared" si="51"/>
        <v/>
      </c>
      <c r="BE409" s="30" t="str">
        <f t="shared" si="52"/>
        <v/>
      </c>
      <c r="BF409" s="30" t="str">
        <f t="shared" si="53"/>
        <v/>
      </c>
      <c r="BG409" s="30" t="str">
        <f t="shared" si="54"/>
        <v/>
      </c>
    </row>
    <row r="410" spans="1:59">
      <c r="A410" s="39"/>
      <c r="B410" s="39"/>
      <c r="C410" s="39"/>
      <c r="D410" s="39"/>
      <c r="E410" s="39"/>
      <c r="F410" s="39"/>
      <c r="G410" s="39"/>
      <c r="H410" s="39"/>
      <c r="I410" s="40"/>
      <c r="J410" s="40"/>
      <c r="K410" s="35"/>
      <c r="L410" s="35"/>
      <c r="M410" s="35"/>
      <c r="N410" s="39"/>
      <c r="O410" s="39"/>
      <c r="P410" s="39"/>
      <c r="Q410" s="39"/>
      <c r="R410" s="39"/>
      <c r="S410" s="39"/>
      <c r="T410" s="39"/>
      <c r="U410" s="39"/>
      <c r="V410" s="39"/>
      <c r="W410" s="39"/>
      <c r="X410" s="39"/>
      <c r="Y410" s="39"/>
      <c r="Z410" s="39"/>
      <c r="AA410" s="39"/>
      <c r="AB410" s="39"/>
      <c r="AC410" s="39"/>
      <c r="AD410" s="39"/>
      <c r="AE410" s="39"/>
      <c r="AF410" s="39"/>
      <c r="AG410" s="39"/>
      <c r="AH410" s="39"/>
      <c r="AI410" s="35"/>
      <c r="AJ410" s="39"/>
      <c r="AK410" s="39"/>
      <c r="AL410" s="39"/>
      <c r="AM410" s="35"/>
      <c r="AN410" s="35"/>
      <c r="AO410" s="39"/>
      <c r="AP410" s="39"/>
      <c r="AQ410" s="35"/>
      <c r="AR410" s="35"/>
      <c r="AS410" s="35"/>
      <c r="AT410" s="30">
        <f t="shared" ca="1" si="50"/>
        <v>0</v>
      </c>
      <c r="AU410" s="32" t="str">
        <f t="shared" ca="1" si="49"/>
        <v/>
      </c>
      <c r="AV410" s="32" t="str" cm="1">
        <f t="array" aca="1" ref="AV410" ca="1">IFERROR(_xlfn.IFS($AU410="","",$AU410&lt;=15,"0-15",AND($AU410&gt;=16,$AU410&lt;=30),"16-30",AND($AU410&gt;=31,$AU410&lt;=45),"31-45",AND($AU410&gt;=46,$AU410&lt;=60),"46-60",AND($AU410&gt;=61,$AU410&lt;=90),"61-90",AND($AU410&gt;=91),"&gt; 90",AND($AU410&gt;=2000),""),"")</f>
        <v/>
      </c>
      <c r="AW410" s="32" t="str" cm="1">
        <f t="array" aca="1" ref="AW410" ca="1">IFERROR(_xlfn.IFS(OR($M410="",$AM410=""),"",OR($C410="Offered",$C410="Joined"),($AM410-$M410)-$AT410),"")</f>
        <v/>
      </c>
      <c r="AX410" s="32" t="str" cm="1">
        <f t="array" aca="1" ref="AX410" ca="1">IFERROR(_xlfn.IFS(OR($M410="",$AS410=""),"",$C410="Joined",($AS410-$M410)-$AT410),"")</f>
        <v/>
      </c>
      <c r="AY410" s="30" t="str">
        <f>IFERROR(IF(COUNTIFS('Candidate Tracker'!$E:$E,'Positions Tracker'!$B410,'Candidate Tracker'!$C:$C,"Offer Drop")=0,"",COUNTIFS('Candidate Tracker'!$E:$E,'Positions Tracker'!$B410,'Candidate Tracker'!$C:$C,"Offer Drop")),"")</f>
        <v/>
      </c>
      <c r="AZ4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0" s="34" t="str">
        <f>IFERROR(IF(COUNTIFS('Candidate Tracker'!$E:$E,'Positions Tracker'!$B410,'Candidate Tracker'!$I:$I,"Female")=0,"",COUNTIFS('Candidate Tracker'!$E:$E,'Positions Tracker'!$B410,'Candidate Tracker'!$I:$I,"Female")),"")</f>
        <v/>
      </c>
      <c r="BB410" s="34" t="str">
        <f>IFERROR(IF(COUNTIFS('Candidate Tracker'!$E:$E,'Positions Tracker'!$B410,'Candidate Tracker'!$I:$I,"male")=0,"",COUNTIFS('Candidate Tracker'!$E:$E,'Positions Tracker'!$B410,'Candidate Tracker'!$I:$I,"male")),"")</f>
        <v/>
      </c>
      <c r="BC410" s="33" t="str">
        <f>IFERROR(IF(COUNTIFS('Candidate Tracker'!$E:$E,'Positions Tracker'!$B410,'Candidate Tracker'!$C:$C,"&lt;&gt;WIP",'Candidate Tracker'!$C:$C,"&lt;&gt;Hold",'Candidate Tracker'!$C:$C,"&lt;&gt;Cancelled",'Candidate Tracker'!$C:$C,"&lt;&gt;Closed")/COUNTIFS('Candidate Tracker'!$E:$E,'Positions Tracker'!$B410)=0,"",COUNTIFS('Candidate Tracker'!$E:$E,'Positions Tracker'!$B410,'Candidate Tracker'!$C:$C,"&lt;&gt;WIP",'Candidate Tracker'!$C:$C,"&lt;&gt;Hold",'Candidate Tracker'!$C:$C,"&lt;&gt;Cancelled",'Candidate Tracker'!$C:$C,"&lt;&gt;Closed")/COUNTIFS('Candidate Tracker'!$E:$E,'Positions Tracker'!$B410)),"")</f>
        <v/>
      </c>
      <c r="BD410" s="30" t="str">
        <f t="shared" si="51"/>
        <v/>
      </c>
      <c r="BE410" s="30" t="str">
        <f t="shared" si="52"/>
        <v/>
      </c>
      <c r="BF410" s="30" t="str">
        <f t="shared" si="53"/>
        <v/>
      </c>
      <c r="BG410" s="30" t="str">
        <f t="shared" si="54"/>
        <v/>
      </c>
    </row>
    <row r="411" spans="1:59">
      <c r="A411" s="39"/>
      <c r="B411" s="39"/>
      <c r="C411" s="39"/>
      <c r="D411" s="39"/>
      <c r="E411" s="39"/>
      <c r="F411" s="39"/>
      <c r="G411" s="39"/>
      <c r="H411" s="39"/>
      <c r="I411" s="40"/>
      <c r="J411" s="40"/>
      <c r="K411" s="35"/>
      <c r="L411" s="35"/>
      <c r="M411" s="35"/>
      <c r="N411" s="39"/>
      <c r="O411" s="39"/>
      <c r="P411" s="39"/>
      <c r="Q411" s="39"/>
      <c r="R411" s="39"/>
      <c r="S411" s="39"/>
      <c r="T411" s="39"/>
      <c r="U411" s="39"/>
      <c r="V411" s="39"/>
      <c r="W411" s="39"/>
      <c r="X411" s="39"/>
      <c r="Y411" s="39"/>
      <c r="Z411" s="39"/>
      <c r="AA411" s="39"/>
      <c r="AB411" s="39"/>
      <c r="AC411" s="39"/>
      <c r="AD411" s="39"/>
      <c r="AE411" s="39"/>
      <c r="AF411" s="39"/>
      <c r="AG411" s="39"/>
      <c r="AH411" s="39"/>
      <c r="AI411" s="35"/>
      <c r="AJ411" s="39"/>
      <c r="AK411" s="39"/>
      <c r="AL411" s="39"/>
      <c r="AM411" s="35"/>
      <c r="AN411" s="35"/>
      <c r="AO411" s="39"/>
      <c r="AP411" s="39"/>
      <c r="AQ411" s="35"/>
      <c r="AR411" s="35"/>
      <c r="AS411" s="35"/>
      <c r="AT411" s="30">
        <f t="shared" ca="1" si="50"/>
        <v>0</v>
      </c>
      <c r="AU411" s="32" t="str">
        <f t="shared" ca="1" si="49"/>
        <v/>
      </c>
      <c r="AV411" s="32" t="str" cm="1">
        <f t="array" aca="1" ref="AV411" ca="1">IFERROR(_xlfn.IFS($AU411="","",$AU411&lt;=15,"0-15",AND($AU411&gt;=16,$AU411&lt;=30),"16-30",AND($AU411&gt;=31,$AU411&lt;=45),"31-45",AND($AU411&gt;=46,$AU411&lt;=60),"46-60",AND($AU411&gt;=61,$AU411&lt;=90),"61-90",AND($AU411&gt;=91),"&gt; 90",AND($AU411&gt;=2000),""),"")</f>
        <v/>
      </c>
      <c r="AW411" s="32" t="str" cm="1">
        <f t="array" aca="1" ref="AW411" ca="1">IFERROR(_xlfn.IFS(OR($M411="",$AM411=""),"",OR($C411="Offered",$C411="Joined"),($AM411-$M411)-$AT411),"")</f>
        <v/>
      </c>
      <c r="AX411" s="32" t="str" cm="1">
        <f t="array" aca="1" ref="AX411" ca="1">IFERROR(_xlfn.IFS(OR($M411="",$AS411=""),"",$C411="Joined",($AS411-$M411)-$AT411),"")</f>
        <v/>
      </c>
      <c r="AY411" s="30" t="str">
        <f>IFERROR(IF(COUNTIFS('Candidate Tracker'!$E:$E,'Positions Tracker'!$B411,'Candidate Tracker'!$C:$C,"Offer Drop")=0,"",COUNTIFS('Candidate Tracker'!$E:$E,'Positions Tracker'!$B411,'Candidate Tracker'!$C:$C,"Offer Drop")),"")</f>
        <v/>
      </c>
      <c r="AZ4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1" s="34" t="str">
        <f>IFERROR(IF(COUNTIFS('Candidate Tracker'!$E:$E,'Positions Tracker'!$B411,'Candidate Tracker'!$I:$I,"Female")=0,"",COUNTIFS('Candidate Tracker'!$E:$E,'Positions Tracker'!$B411,'Candidate Tracker'!$I:$I,"Female")),"")</f>
        <v/>
      </c>
      <c r="BB411" s="34" t="str">
        <f>IFERROR(IF(COUNTIFS('Candidate Tracker'!$E:$E,'Positions Tracker'!$B411,'Candidate Tracker'!$I:$I,"male")=0,"",COUNTIFS('Candidate Tracker'!$E:$E,'Positions Tracker'!$B411,'Candidate Tracker'!$I:$I,"male")),"")</f>
        <v/>
      </c>
      <c r="BC411" s="33" t="str">
        <f>IFERROR(IF(COUNTIFS('Candidate Tracker'!$E:$E,'Positions Tracker'!$B411,'Candidate Tracker'!$C:$C,"&lt;&gt;WIP",'Candidate Tracker'!$C:$C,"&lt;&gt;Hold",'Candidate Tracker'!$C:$C,"&lt;&gt;Cancelled",'Candidate Tracker'!$C:$C,"&lt;&gt;Closed")/COUNTIFS('Candidate Tracker'!$E:$E,'Positions Tracker'!$B411)=0,"",COUNTIFS('Candidate Tracker'!$E:$E,'Positions Tracker'!$B411,'Candidate Tracker'!$C:$C,"&lt;&gt;WIP",'Candidate Tracker'!$C:$C,"&lt;&gt;Hold",'Candidate Tracker'!$C:$C,"&lt;&gt;Cancelled",'Candidate Tracker'!$C:$C,"&lt;&gt;Closed")/COUNTIFS('Candidate Tracker'!$E:$E,'Positions Tracker'!$B411)),"")</f>
        <v/>
      </c>
      <c r="BD411" s="30" t="str">
        <f t="shared" si="51"/>
        <v/>
      </c>
      <c r="BE411" s="30" t="str">
        <f t="shared" si="52"/>
        <v/>
      </c>
      <c r="BF411" s="30" t="str">
        <f t="shared" si="53"/>
        <v/>
      </c>
      <c r="BG411" s="30" t="str">
        <f t="shared" si="54"/>
        <v/>
      </c>
    </row>
    <row r="412" spans="1:59">
      <c r="A412" s="39"/>
      <c r="B412" s="39"/>
      <c r="C412" s="39"/>
      <c r="D412" s="39"/>
      <c r="E412" s="39"/>
      <c r="F412" s="39"/>
      <c r="G412" s="39"/>
      <c r="H412" s="39"/>
      <c r="I412" s="40"/>
      <c r="J412" s="40"/>
      <c r="K412" s="35"/>
      <c r="L412" s="35"/>
      <c r="M412" s="35"/>
      <c r="N412" s="39"/>
      <c r="O412" s="39"/>
      <c r="P412" s="39"/>
      <c r="Q412" s="39"/>
      <c r="R412" s="39"/>
      <c r="S412" s="39"/>
      <c r="T412" s="39"/>
      <c r="U412" s="39"/>
      <c r="V412" s="39"/>
      <c r="W412" s="39"/>
      <c r="X412" s="39"/>
      <c r="Y412" s="39"/>
      <c r="Z412" s="39"/>
      <c r="AA412" s="39"/>
      <c r="AB412" s="39"/>
      <c r="AC412" s="39"/>
      <c r="AD412" s="39"/>
      <c r="AE412" s="39"/>
      <c r="AF412" s="39"/>
      <c r="AG412" s="39"/>
      <c r="AH412" s="39"/>
      <c r="AI412" s="35"/>
      <c r="AJ412" s="39"/>
      <c r="AK412" s="39"/>
      <c r="AL412" s="39"/>
      <c r="AM412" s="35"/>
      <c r="AN412" s="35"/>
      <c r="AO412" s="39"/>
      <c r="AP412" s="39"/>
      <c r="AQ412" s="35"/>
      <c r="AR412" s="35"/>
      <c r="AS412" s="35"/>
      <c r="AT412" s="30">
        <f t="shared" ca="1" si="50"/>
        <v>0</v>
      </c>
      <c r="AU412" s="32" t="str">
        <f t="shared" ca="1" si="49"/>
        <v/>
      </c>
      <c r="AV412" s="32" t="str" cm="1">
        <f t="array" aca="1" ref="AV412" ca="1">IFERROR(_xlfn.IFS($AU412="","",$AU412&lt;=15,"0-15",AND($AU412&gt;=16,$AU412&lt;=30),"16-30",AND($AU412&gt;=31,$AU412&lt;=45),"31-45",AND($AU412&gt;=46,$AU412&lt;=60),"46-60",AND($AU412&gt;=61,$AU412&lt;=90),"61-90",AND($AU412&gt;=91),"&gt; 90",AND($AU412&gt;=2000),""),"")</f>
        <v/>
      </c>
      <c r="AW412" s="32" t="str" cm="1">
        <f t="array" aca="1" ref="AW412" ca="1">IFERROR(_xlfn.IFS(OR($M412="",$AM412=""),"",OR($C412="Offered",$C412="Joined"),($AM412-$M412)-$AT412),"")</f>
        <v/>
      </c>
      <c r="AX412" s="32" t="str" cm="1">
        <f t="array" aca="1" ref="AX412" ca="1">IFERROR(_xlfn.IFS(OR($M412="",$AS412=""),"",$C412="Joined",($AS412-$M412)-$AT412),"")</f>
        <v/>
      </c>
      <c r="AY412" s="30" t="str">
        <f>IFERROR(IF(COUNTIFS('Candidate Tracker'!$E:$E,'Positions Tracker'!$B412,'Candidate Tracker'!$C:$C,"Offer Drop")=0,"",COUNTIFS('Candidate Tracker'!$E:$E,'Positions Tracker'!$B412,'Candidate Tracker'!$C:$C,"Offer Drop")),"")</f>
        <v/>
      </c>
      <c r="AZ4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2" s="34" t="str">
        <f>IFERROR(IF(COUNTIFS('Candidate Tracker'!$E:$E,'Positions Tracker'!$B412,'Candidate Tracker'!$I:$I,"Female")=0,"",COUNTIFS('Candidate Tracker'!$E:$E,'Positions Tracker'!$B412,'Candidate Tracker'!$I:$I,"Female")),"")</f>
        <v/>
      </c>
      <c r="BB412" s="34" t="str">
        <f>IFERROR(IF(COUNTIFS('Candidate Tracker'!$E:$E,'Positions Tracker'!$B412,'Candidate Tracker'!$I:$I,"male")=0,"",COUNTIFS('Candidate Tracker'!$E:$E,'Positions Tracker'!$B412,'Candidate Tracker'!$I:$I,"male")),"")</f>
        <v/>
      </c>
      <c r="BC412" s="33" t="str">
        <f>IFERROR(IF(COUNTIFS('Candidate Tracker'!$E:$E,'Positions Tracker'!$B412,'Candidate Tracker'!$C:$C,"&lt;&gt;WIP",'Candidate Tracker'!$C:$C,"&lt;&gt;Hold",'Candidate Tracker'!$C:$C,"&lt;&gt;Cancelled",'Candidate Tracker'!$C:$C,"&lt;&gt;Closed")/COUNTIFS('Candidate Tracker'!$E:$E,'Positions Tracker'!$B412)=0,"",COUNTIFS('Candidate Tracker'!$E:$E,'Positions Tracker'!$B412,'Candidate Tracker'!$C:$C,"&lt;&gt;WIP",'Candidate Tracker'!$C:$C,"&lt;&gt;Hold",'Candidate Tracker'!$C:$C,"&lt;&gt;Cancelled",'Candidate Tracker'!$C:$C,"&lt;&gt;Closed")/COUNTIFS('Candidate Tracker'!$E:$E,'Positions Tracker'!$B412)),"")</f>
        <v/>
      </c>
      <c r="BD412" s="30" t="str">
        <f t="shared" si="51"/>
        <v/>
      </c>
      <c r="BE412" s="30" t="str">
        <f t="shared" si="52"/>
        <v/>
      </c>
      <c r="BF412" s="30" t="str">
        <f t="shared" si="53"/>
        <v/>
      </c>
      <c r="BG412" s="30" t="str">
        <f t="shared" si="54"/>
        <v/>
      </c>
    </row>
    <row r="413" spans="1:59">
      <c r="A413" s="39"/>
      <c r="B413" s="39"/>
      <c r="C413" s="39"/>
      <c r="D413" s="39"/>
      <c r="E413" s="39"/>
      <c r="F413" s="39"/>
      <c r="G413" s="39"/>
      <c r="H413" s="39"/>
      <c r="I413" s="40"/>
      <c r="J413" s="40"/>
      <c r="K413" s="35"/>
      <c r="L413" s="35"/>
      <c r="M413" s="35"/>
      <c r="N413" s="39"/>
      <c r="O413" s="39"/>
      <c r="P413" s="39"/>
      <c r="Q413" s="39"/>
      <c r="R413" s="39"/>
      <c r="S413" s="39"/>
      <c r="T413" s="39"/>
      <c r="U413" s="39"/>
      <c r="V413" s="39"/>
      <c r="W413" s="39"/>
      <c r="X413" s="39"/>
      <c r="Y413" s="39"/>
      <c r="Z413" s="39"/>
      <c r="AA413" s="39"/>
      <c r="AB413" s="39"/>
      <c r="AC413" s="39"/>
      <c r="AD413" s="39"/>
      <c r="AE413" s="39"/>
      <c r="AF413" s="39"/>
      <c r="AG413" s="39"/>
      <c r="AH413" s="39"/>
      <c r="AI413" s="35"/>
      <c r="AJ413" s="39"/>
      <c r="AK413" s="39"/>
      <c r="AL413" s="39"/>
      <c r="AM413" s="35"/>
      <c r="AN413" s="35"/>
      <c r="AO413" s="39"/>
      <c r="AP413" s="39"/>
      <c r="AQ413" s="35"/>
      <c r="AR413" s="35"/>
      <c r="AS413" s="35"/>
      <c r="AT413" s="30">
        <f t="shared" ca="1" si="50"/>
        <v>0</v>
      </c>
      <c r="AU413" s="32" t="str">
        <f t="shared" ca="1" si="49"/>
        <v/>
      </c>
      <c r="AV413" s="32" t="str" cm="1">
        <f t="array" aca="1" ref="AV413" ca="1">IFERROR(_xlfn.IFS($AU413="","",$AU413&lt;=15,"0-15",AND($AU413&gt;=16,$AU413&lt;=30),"16-30",AND($AU413&gt;=31,$AU413&lt;=45),"31-45",AND($AU413&gt;=46,$AU413&lt;=60),"46-60",AND($AU413&gt;=61,$AU413&lt;=90),"61-90",AND($AU413&gt;=91),"&gt; 90",AND($AU413&gt;=2000),""),"")</f>
        <v/>
      </c>
      <c r="AW413" s="32" t="str" cm="1">
        <f t="array" aca="1" ref="AW413" ca="1">IFERROR(_xlfn.IFS(OR($M413="",$AM413=""),"",OR($C413="Offered",$C413="Joined"),($AM413-$M413)-$AT413),"")</f>
        <v/>
      </c>
      <c r="AX413" s="32" t="str" cm="1">
        <f t="array" aca="1" ref="AX413" ca="1">IFERROR(_xlfn.IFS(OR($M413="",$AS413=""),"",$C413="Joined",($AS413-$M413)-$AT413),"")</f>
        <v/>
      </c>
      <c r="AY413" s="30" t="str">
        <f>IFERROR(IF(COUNTIFS('Candidate Tracker'!$E:$E,'Positions Tracker'!$B413,'Candidate Tracker'!$C:$C,"Offer Drop")=0,"",COUNTIFS('Candidate Tracker'!$E:$E,'Positions Tracker'!$B413,'Candidate Tracker'!$C:$C,"Offer Drop")),"")</f>
        <v/>
      </c>
      <c r="AZ4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3" s="34" t="str">
        <f>IFERROR(IF(COUNTIFS('Candidate Tracker'!$E:$E,'Positions Tracker'!$B413,'Candidate Tracker'!$I:$I,"Female")=0,"",COUNTIFS('Candidate Tracker'!$E:$E,'Positions Tracker'!$B413,'Candidate Tracker'!$I:$I,"Female")),"")</f>
        <v/>
      </c>
      <c r="BB413" s="34" t="str">
        <f>IFERROR(IF(COUNTIFS('Candidate Tracker'!$E:$E,'Positions Tracker'!$B413,'Candidate Tracker'!$I:$I,"male")=0,"",COUNTIFS('Candidate Tracker'!$E:$E,'Positions Tracker'!$B413,'Candidate Tracker'!$I:$I,"male")),"")</f>
        <v/>
      </c>
      <c r="BC413" s="33" t="str">
        <f>IFERROR(IF(COUNTIFS('Candidate Tracker'!$E:$E,'Positions Tracker'!$B413,'Candidate Tracker'!$C:$C,"&lt;&gt;WIP",'Candidate Tracker'!$C:$C,"&lt;&gt;Hold",'Candidate Tracker'!$C:$C,"&lt;&gt;Cancelled",'Candidate Tracker'!$C:$C,"&lt;&gt;Closed")/COUNTIFS('Candidate Tracker'!$E:$E,'Positions Tracker'!$B413)=0,"",COUNTIFS('Candidate Tracker'!$E:$E,'Positions Tracker'!$B413,'Candidate Tracker'!$C:$C,"&lt;&gt;WIP",'Candidate Tracker'!$C:$C,"&lt;&gt;Hold",'Candidate Tracker'!$C:$C,"&lt;&gt;Cancelled",'Candidate Tracker'!$C:$C,"&lt;&gt;Closed")/COUNTIFS('Candidate Tracker'!$E:$E,'Positions Tracker'!$B413)),"")</f>
        <v/>
      </c>
      <c r="BD413" s="30" t="str">
        <f t="shared" si="51"/>
        <v/>
      </c>
      <c r="BE413" s="30" t="str">
        <f t="shared" si="52"/>
        <v/>
      </c>
      <c r="BF413" s="30" t="str">
        <f t="shared" si="53"/>
        <v/>
      </c>
      <c r="BG413" s="30" t="str">
        <f t="shared" si="54"/>
        <v/>
      </c>
    </row>
    <row r="414" spans="1:59">
      <c r="A414" s="39"/>
      <c r="B414" s="39"/>
      <c r="C414" s="39"/>
      <c r="D414" s="39"/>
      <c r="E414" s="39"/>
      <c r="F414" s="39"/>
      <c r="G414" s="39"/>
      <c r="H414" s="39"/>
      <c r="I414" s="40"/>
      <c r="J414" s="40"/>
      <c r="K414" s="35"/>
      <c r="L414" s="35"/>
      <c r="M414" s="35"/>
      <c r="N414" s="39"/>
      <c r="O414" s="39"/>
      <c r="P414" s="39"/>
      <c r="Q414" s="39"/>
      <c r="R414" s="39"/>
      <c r="S414" s="39"/>
      <c r="T414" s="39"/>
      <c r="U414" s="39"/>
      <c r="V414" s="39"/>
      <c r="W414" s="39"/>
      <c r="X414" s="39"/>
      <c r="Y414" s="39"/>
      <c r="Z414" s="39"/>
      <c r="AA414" s="39"/>
      <c r="AB414" s="39"/>
      <c r="AC414" s="39"/>
      <c r="AD414" s="39"/>
      <c r="AE414" s="39"/>
      <c r="AF414" s="39"/>
      <c r="AG414" s="39"/>
      <c r="AH414" s="39"/>
      <c r="AI414" s="35"/>
      <c r="AJ414" s="39"/>
      <c r="AK414" s="39"/>
      <c r="AL414" s="39"/>
      <c r="AM414" s="35"/>
      <c r="AN414" s="35"/>
      <c r="AO414" s="39"/>
      <c r="AP414" s="39"/>
      <c r="AQ414" s="35"/>
      <c r="AR414" s="35"/>
      <c r="AS414" s="35"/>
      <c r="AT414" s="30">
        <f t="shared" ca="1" si="50"/>
        <v>0</v>
      </c>
      <c r="AU414" s="32" t="str">
        <f t="shared" ca="1" si="49"/>
        <v/>
      </c>
      <c r="AV414" s="32" t="str" cm="1">
        <f t="array" aca="1" ref="AV414" ca="1">IFERROR(_xlfn.IFS($AU414="","",$AU414&lt;=15,"0-15",AND($AU414&gt;=16,$AU414&lt;=30),"16-30",AND($AU414&gt;=31,$AU414&lt;=45),"31-45",AND($AU414&gt;=46,$AU414&lt;=60),"46-60",AND($AU414&gt;=61,$AU414&lt;=90),"61-90",AND($AU414&gt;=91),"&gt; 90",AND($AU414&gt;=2000),""),"")</f>
        <v/>
      </c>
      <c r="AW414" s="32" t="str" cm="1">
        <f t="array" aca="1" ref="AW414" ca="1">IFERROR(_xlfn.IFS(OR($M414="",$AM414=""),"",OR($C414="Offered",$C414="Joined"),($AM414-$M414)-$AT414),"")</f>
        <v/>
      </c>
      <c r="AX414" s="32" t="str" cm="1">
        <f t="array" aca="1" ref="AX414" ca="1">IFERROR(_xlfn.IFS(OR($M414="",$AS414=""),"",$C414="Joined",($AS414-$M414)-$AT414),"")</f>
        <v/>
      </c>
      <c r="AY414" s="30" t="str">
        <f>IFERROR(IF(COUNTIFS('Candidate Tracker'!$E:$E,'Positions Tracker'!$B414,'Candidate Tracker'!$C:$C,"Offer Drop")=0,"",COUNTIFS('Candidate Tracker'!$E:$E,'Positions Tracker'!$B414,'Candidate Tracker'!$C:$C,"Offer Drop")),"")</f>
        <v/>
      </c>
      <c r="AZ4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4" s="34" t="str">
        <f>IFERROR(IF(COUNTIFS('Candidate Tracker'!$E:$E,'Positions Tracker'!$B414,'Candidate Tracker'!$I:$I,"Female")=0,"",COUNTIFS('Candidate Tracker'!$E:$E,'Positions Tracker'!$B414,'Candidate Tracker'!$I:$I,"Female")),"")</f>
        <v/>
      </c>
      <c r="BB414" s="34" t="str">
        <f>IFERROR(IF(COUNTIFS('Candidate Tracker'!$E:$E,'Positions Tracker'!$B414,'Candidate Tracker'!$I:$I,"male")=0,"",COUNTIFS('Candidate Tracker'!$E:$E,'Positions Tracker'!$B414,'Candidate Tracker'!$I:$I,"male")),"")</f>
        <v/>
      </c>
      <c r="BC414" s="33" t="str">
        <f>IFERROR(IF(COUNTIFS('Candidate Tracker'!$E:$E,'Positions Tracker'!$B414,'Candidate Tracker'!$C:$C,"&lt;&gt;WIP",'Candidate Tracker'!$C:$C,"&lt;&gt;Hold",'Candidate Tracker'!$C:$C,"&lt;&gt;Cancelled",'Candidate Tracker'!$C:$C,"&lt;&gt;Closed")/COUNTIFS('Candidate Tracker'!$E:$E,'Positions Tracker'!$B414)=0,"",COUNTIFS('Candidate Tracker'!$E:$E,'Positions Tracker'!$B414,'Candidate Tracker'!$C:$C,"&lt;&gt;WIP",'Candidate Tracker'!$C:$C,"&lt;&gt;Hold",'Candidate Tracker'!$C:$C,"&lt;&gt;Cancelled",'Candidate Tracker'!$C:$C,"&lt;&gt;Closed")/COUNTIFS('Candidate Tracker'!$E:$E,'Positions Tracker'!$B414)),"")</f>
        <v/>
      </c>
      <c r="BD414" s="30" t="str">
        <f t="shared" si="51"/>
        <v/>
      </c>
      <c r="BE414" s="30" t="str">
        <f t="shared" si="52"/>
        <v/>
      </c>
      <c r="BF414" s="30" t="str">
        <f t="shared" si="53"/>
        <v/>
      </c>
      <c r="BG414" s="30" t="str">
        <f t="shared" si="54"/>
        <v/>
      </c>
    </row>
    <row r="415" spans="1:59">
      <c r="A415" s="39"/>
      <c r="B415" s="39"/>
      <c r="C415" s="39"/>
      <c r="D415" s="39"/>
      <c r="E415" s="39"/>
      <c r="F415" s="39"/>
      <c r="G415" s="39"/>
      <c r="H415" s="39"/>
      <c r="I415" s="40"/>
      <c r="J415" s="40"/>
      <c r="K415" s="35"/>
      <c r="L415" s="35"/>
      <c r="M415" s="35"/>
      <c r="N415" s="39"/>
      <c r="O415" s="39"/>
      <c r="P415" s="39"/>
      <c r="Q415" s="39"/>
      <c r="R415" s="39"/>
      <c r="S415" s="39"/>
      <c r="T415" s="39"/>
      <c r="U415" s="39"/>
      <c r="V415" s="39"/>
      <c r="W415" s="39"/>
      <c r="X415" s="39"/>
      <c r="Y415" s="39"/>
      <c r="Z415" s="39"/>
      <c r="AA415" s="39"/>
      <c r="AB415" s="39"/>
      <c r="AC415" s="39"/>
      <c r="AD415" s="39"/>
      <c r="AE415" s="39"/>
      <c r="AF415" s="39"/>
      <c r="AG415" s="39"/>
      <c r="AH415" s="39"/>
      <c r="AI415" s="35"/>
      <c r="AJ415" s="39"/>
      <c r="AK415" s="39"/>
      <c r="AL415" s="39"/>
      <c r="AM415" s="35"/>
      <c r="AN415" s="35"/>
      <c r="AO415" s="39"/>
      <c r="AP415" s="39"/>
      <c r="AQ415" s="35"/>
      <c r="AR415" s="35"/>
      <c r="AS415" s="35"/>
      <c r="AT415" s="30">
        <f t="shared" ca="1" si="50"/>
        <v>0</v>
      </c>
      <c r="AU415" s="32" t="str">
        <f t="shared" ca="1" si="49"/>
        <v/>
      </c>
      <c r="AV415" s="32" t="str" cm="1">
        <f t="array" aca="1" ref="AV415" ca="1">IFERROR(_xlfn.IFS($AU415="","",$AU415&lt;=15,"0-15",AND($AU415&gt;=16,$AU415&lt;=30),"16-30",AND($AU415&gt;=31,$AU415&lt;=45),"31-45",AND($AU415&gt;=46,$AU415&lt;=60),"46-60",AND($AU415&gt;=61,$AU415&lt;=90),"61-90",AND($AU415&gt;=91),"&gt; 90",AND($AU415&gt;=2000),""),"")</f>
        <v/>
      </c>
      <c r="AW415" s="32" t="str" cm="1">
        <f t="array" aca="1" ref="AW415" ca="1">IFERROR(_xlfn.IFS(OR($M415="",$AM415=""),"",OR($C415="Offered",$C415="Joined"),($AM415-$M415)-$AT415),"")</f>
        <v/>
      </c>
      <c r="AX415" s="32" t="str" cm="1">
        <f t="array" aca="1" ref="AX415" ca="1">IFERROR(_xlfn.IFS(OR($M415="",$AS415=""),"",$C415="Joined",($AS415-$M415)-$AT415),"")</f>
        <v/>
      </c>
      <c r="AY415" s="30" t="str">
        <f>IFERROR(IF(COUNTIFS('Candidate Tracker'!$E:$E,'Positions Tracker'!$B415,'Candidate Tracker'!$C:$C,"Offer Drop")=0,"",COUNTIFS('Candidate Tracker'!$E:$E,'Positions Tracker'!$B415,'Candidate Tracker'!$C:$C,"Offer Drop")),"")</f>
        <v/>
      </c>
      <c r="AZ4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5" s="34" t="str">
        <f>IFERROR(IF(COUNTIFS('Candidate Tracker'!$E:$E,'Positions Tracker'!$B415,'Candidate Tracker'!$I:$I,"Female")=0,"",COUNTIFS('Candidate Tracker'!$E:$E,'Positions Tracker'!$B415,'Candidate Tracker'!$I:$I,"Female")),"")</f>
        <v/>
      </c>
      <c r="BB415" s="34" t="str">
        <f>IFERROR(IF(COUNTIFS('Candidate Tracker'!$E:$E,'Positions Tracker'!$B415,'Candidate Tracker'!$I:$I,"male")=0,"",COUNTIFS('Candidate Tracker'!$E:$E,'Positions Tracker'!$B415,'Candidate Tracker'!$I:$I,"male")),"")</f>
        <v/>
      </c>
      <c r="BC415" s="33" t="str">
        <f>IFERROR(IF(COUNTIFS('Candidate Tracker'!$E:$E,'Positions Tracker'!$B415,'Candidate Tracker'!$C:$C,"&lt;&gt;WIP",'Candidate Tracker'!$C:$C,"&lt;&gt;Hold",'Candidate Tracker'!$C:$C,"&lt;&gt;Cancelled",'Candidate Tracker'!$C:$C,"&lt;&gt;Closed")/COUNTIFS('Candidate Tracker'!$E:$E,'Positions Tracker'!$B415)=0,"",COUNTIFS('Candidate Tracker'!$E:$E,'Positions Tracker'!$B415,'Candidate Tracker'!$C:$C,"&lt;&gt;WIP",'Candidate Tracker'!$C:$C,"&lt;&gt;Hold",'Candidate Tracker'!$C:$C,"&lt;&gt;Cancelled",'Candidate Tracker'!$C:$C,"&lt;&gt;Closed")/COUNTIFS('Candidate Tracker'!$E:$E,'Positions Tracker'!$B415)),"")</f>
        <v/>
      </c>
      <c r="BD415" s="30" t="str">
        <f t="shared" si="51"/>
        <v/>
      </c>
      <c r="BE415" s="30" t="str">
        <f t="shared" si="52"/>
        <v/>
      </c>
      <c r="BF415" s="30" t="str">
        <f t="shared" si="53"/>
        <v/>
      </c>
      <c r="BG415" s="30" t="str">
        <f t="shared" si="54"/>
        <v/>
      </c>
    </row>
    <row r="416" spans="1:59">
      <c r="A416" s="39"/>
      <c r="B416" s="39"/>
      <c r="C416" s="39"/>
      <c r="D416" s="39"/>
      <c r="E416" s="39"/>
      <c r="F416" s="39"/>
      <c r="G416" s="39"/>
      <c r="H416" s="39"/>
      <c r="I416" s="40"/>
      <c r="J416" s="40"/>
      <c r="K416" s="35"/>
      <c r="L416" s="35"/>
      <c r="M416" s="35"/>
      <c r="N416" s="39"/>
      <c r="O416" s="39"/>
      <c r="P416" s="39"/>
      <c r="Q416" s="39"/>
      <c r="R416" s="39"/>
      <c r="S416" s="39"/>
      <c r="T416" s="39"/>
      <c r="U416" s="39"/>
      <c r="V416" s="39"/>
      <c r="W416" s="39"/>
      <c r="X416" s="39"/>
      <c r="Y416" s="39"/>
      <c r="Z416" s="39"/>
      <c r="AA416" s="39"/>
      <c r="AB416" s="39"/>
      <c r="AC416" s="39"/>
      <c r="AD416" s="39"/>
      <c r="AE416" s="39"/>
      <c r="AF416" s="39"/>
      <c r="AG416" s="39"/>
      <c r="AH416" s="39"/>
      <c r="AI416" s="35"/>
      <c r="AJ416" s="39"/>
      <c r="AK416" s="39"/>
      <c r="AL416" s="39"/>
      <c r="AM416" s="35"/>
      <c r="AN416" s="35"/>
      <c r="AO416" s="39"/>
      <c r="AP416" s="39"/>
      <c r="AQ416" s="35"/>
      <c r="AR416" s="35"/>
      <c r="AS416" s="35"/>
      <c r="AT416" s="30">
        <f t="shared" ca="1" si="50"/>
        <v>0</v>
      </c>
      <c r="AU416" s="32" t="str">
        <f t="shared" ca="1" si="49"/>
        <v/>
      </c>
      <c r="AV416" s="32" t="str" cm="1">
        <f t="array" aca="1" ref="AV416" ca="1">IFERROR(_xlfn.IFS($AU416="","",$AU416&lt;=15,"0-15",AND($AU416&gt;=16,$AU416&lt;=30),"16-30",AND($AU416&gt;=31,$AU416&lt;=45),"31-45",AND($AU416&gt;=46,$AU416&lt;=60),"46-60",AND($AU416&gt;=61,$AU416&lt;=90),"61-90",AND($AU416&gt;=91),"&gt; 90",AND($AU416&gt;=2000),""),"")</f>
        <v/>
      </c>
      <c r="AW416" s="32" t="str" cm="1">
        <f t="array" aca="1" ref="AW416" ca="1">IFERROR(_xlfn.IFS(OR($M416="",$AM416=""),"",OR($C416="Offered",$C416="Joined"),($AM416-$M416)-$AT416),"")</f>
        <v/>
      </c>
      <c r="AX416" s="32" t="str" cm="1">
        <f t="array" aca="1" ref="AX416" ca="1">IFERROR(_xlfn.IFS(OR($M416="",$AS416=""),"",$C416="Joined",($AS416-$M416)-$AT416),"")</f>
        <v/>
      </c>
      <c r="AY416" s="30" t="str">
        <f>IFERROR(IF(COUNTIFS('Candidate Tracker'!$E:$E,'Positions Tracker'!$B416,'Candidate Tracker'!$C:$C,"Offer Drop")=0,"",COUNTIFS('Candidate Tracker'!$E:$E,'Positions Tracker'!$B416,'Candidate Tracker'!$C:$C,"Offer Drop")),"")</f>
        <v/>
      </c>
      <c r="AZ4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6" s="34" t="str">
        <f>IFERROR(IF(COUNTIFS('Candidate Tracker'!$E:$E,'Positions Tracker'!$B416,'Candidate Tracker'!$I:$I,"Female")=0,"",COUNTIFS('Candidate Tracker'!$E:$E,'Positions Tracker'!$B416,'Candidate Tracker'!$I:$I,"Female")),"")</f>
        <v/>
      </c>
      <c r="BB416" s="34" t="str">
        <f>IFERROR(IF(COUNTIFS('Candidate Tracker'!$E:$E,'Positions Tracker'!$B416,'Candidate Tracker'!$I:$I,"male")=0,"",COUNTIFS('Candidate Tracker'!$E:$E,'Positions Tracker'!$B416,'Candidate Tracker'!$I:$I,"male")),"")</f>
        <v/>
      </c>
      <c r="BC416" s="33" t="str">
        <f>IFERROR(IF(COUNTIFS('Candidate Tracker'!$E:$E,'Positions Tracker'!$B416,'Candidate Tracker'!$C:$C,"&lt;&gt;WIP",'Candidate Tracker'!$C:$C,"&lt;&gt;Hold",'Candidate Tracker'!$C:$C,"&lt;&gt;Cancelled",'Candidate Tracker'!$C:$C,"&lt;&gt;Closed")/COUNTIFS('Candidate Tracker'!$E:$E,'Positions Tracker'!$B416)=0,"",COUNTIFS('Candidate Tracker'!$E:$E,'Positions Tracker'!$B416,'Candidate Tracker'!$C:$C,"&lt;&gt;WIP",'Candidate Tracker'!$C:$C,"&lt;&gt;Hold",'Candidate Tracker'!$C:$C,"&lt;&gt;Cancelled",'Candidate Tracker'!$C:$C,"&lt;&gt;Closed")/COUNTIFS('Candidate Tracker'!$E:$E,'Positions Tracker'!$B416)),"")</f>
        <v/>
      </c>
      <c r="BD416" s="30" t="str">
        <f t="shared" si="51"/>
        <v/>
      </c>
      <c r="BE416" s="30" t="str">
        <f t="shared" si="52"/>
        <v/>
      </c>
      <c r="BF416" s="30" t="str">
        <f t="shared" si="53"/>
        <v/>
      </c>
      <c r="BG416" s="30" t="str">
        <f t="shared" si="54"/>
        <v/>
      </c>
    </row>
    <row r="417" spans="1:59">
      <c r="A417" s="39"/>
      <c r="B417" s="39"/>
      <c r="C417" s="39"/>
      <c r="D417" s="39"/>
      <c r="E417" s="39"/>
      <c r="F417" s="39"/>
      <c r="G417" s="39"/>
      <c r="H417" s="39"/>
      <c r="I417" s="40"/>
      <c r="J417" s="40"/>
      <c r="K417" s="35"/>
      <c r="L417" s="35"/>
      <c r="M417" s="35"/>
      <c r="N417" s="39"/>
      <c r="O417" s="39"/>
      <c r="P417" s="39"/>
      <c r="Q417" s="39"/>
      <c r="R417" s="39"/>
      <c r="S417" s="39"/>
      <c r="T417" s="39"/>
      <c r="U417" s="39"/>
      <c r="V417" s="39"/>
      <c r="W417" s="39"/>
      <c r="X417" s="39"/>
      <c r="Y417" s="39"/>
      <c r="Z417" s="39"/>
      <c r="AA417" s="39"/>
      <c r="AB417" s="39"/>
      <c r="AC417" s="39"/>
      <c r="AD417" s="39"/>
      <c r="AE417" s="39"/>
      <c r="AF417" s="39"/>
      <c r="AG417" s="39"/>
      <c r="AH417" s="39"/>
      <c r="AI417" s="35"/>
      <c r="AJ417" s="39"/>
      <c r="AK417" s="39"/>
      <c r="AL417" s="39"/>
      <c r="AM417" s="35"/>
      <c r="AN417" s="35"/>
      <c r="AO417" s="39"/>
      <c r="AP417" s="39"/>
      <c r="AQ417" s="35"/>
      <c r="AR417" s="35"/>
      <c r="AS417" s="35"/>
      <c r="AT417" s="30">
        <f t="shared" ca="1" si="50"/>
        <v>0</v>
      </c>
      <c r="AU417" s="32" t="str">
        <f t="shared" ca="1" si="49"/>
        <v/>
      </c>
      <c r="AV417" s="32" t="str" cm="1">
        <f t="array" aca="1" ref="AV417" ca="1">IFERROR(_xlfn.IFS($AU417="","",$AU417&lt;=15,"0-15",AND($AU417&gt;=16,$AU417&lt;=30),"16-30",AND($AU417&gt;=31,$AU417&lt;=45),"31-45",AND($AU417&gt;=46,$AU417&lt;=60),"46-60",AND($AU417&gt;=61,$AU417&lt;=90),"61-90",AND($AU417&gt;=91),"&gt; 90",AND($AU417&gt;=2000),""),"")</f>
        <v/>
      </c>
      <c r="AW417" s="32" t="str" cm="1">
        <f t="array" aca="1" ref="AW417" ca="1">IFERROR(_xlfn.IFS(OR($M417="",$AM417=""),"",OR($C417="Offered",$C417="Joined"),($AM417-$M417)-$AT417),"")</f>
        <v/>
      </c>
      <c r="AX417" s="32" t="str" cm="1">
        <f t="array" aca="1" ref="AX417" ca="1">IFERROR(_xlfn.IFS(OR($M417="",$AS417=""),"",$C417="Joined",($AS417-$M417)-$AT417),"")</f>
        <v/>
      </c>
      <c r="AY417" s="30" t="str">
        <f>IFERROR(IF(COUNTIFS('Candidate Tracker'!$E:$E,'Positions Tracker'!$B417,'Candidate Tracker'!$C:$C,"Offer Drop")=0,"",COUNTIFS('Candidate Tracker'!$E:$E,'Positions Tracker'!$B417,'Candidate Tracker'!$C:$C,"Offer Drop")),"")</f>
        <v/>
      </c>
      <c r="AZ4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7" s="34" t="str">
        <f>IFERROR(IF(COUNTIFS('Candidate Tracker'!$E:$E,'Positions Tracker'!$B417,'Candidate Tracker'!$I:$I,"Female")=0,"",COUNTIFS('Candidate Tracker'!$E:$E,'Positions Tracker'!$B417,'Candidate Tracker'!$I:$I,"Female")),"")</f>
        <v/>
      </c>
      <c r="BB417" s="34" t="str">
        <f>IFERROR(IF(COUNTIFS('Candidate Tracker'!$E:$E,'Positions Tracker'!$B417,'Candidate Tracker'!$I:$I,"male")=0,"",COUNTIFS('Candidate Tracker'!$E:$E,'Positions Tracker'!$B417,'Candidate Tracker'!$I:$I,"male")),"")</f>
        <v/>
      </c>
      <c r="BC417" s="33" t="str">
        <f>IFERROR(IF(COUNTIFS('Candidate Tracker'!$E:$E,'Positions Tracker'!$B417,'Candidate Tracker'!$C:$C,"&lt;&gt;WIP",'Candidate Tracker'!$C:$C,"&lt;&gt;Hold",'Candidate Tracker'!$C:$C,"&lt;&gt;Cancelled",'Candidate Tracker'!$C:$C,"&lt;&gt;Closed")/COUNTIFS('Candidate Tracker'!$E:$E,'Positions Tracker'!$B417)=0,"",COUNTIFS('Candidate Tracker'!$E:$E,'Positions Tracker'!$B417,'Candidate Tracker'!$C:$C,"&lt;&gt;WIP",'Candidate Tracker'!$C:$C,"&lt;&gt;Hold",'Candidate Tracker'!$C:$C,"&lt;&gt;Cancelled",'Candidate Tracker'!$C:$C,"&lt;&gt;Closed")/COUNTIFS('Candidate Tracker'!$E:$E,'Positions Tracker'!$B417)),"")</f>
        <v/>
      </c>
      <c r="BD417" s="30" t="str">
        <f t="shared" si="51"/>
        <v/>
      </c>
      <c r="BE417" s="30" t="str">
        <f t="shared" si="52"/>
        <v/>
      </c>
      <c r="BF417" s="30" t="str">
        <f t="shared" si="53"/>
        <v/>
      </c>
      <c r="BG417" s="30" t="str">
        <f t="shared" si="54"/>
        <v/>
      </c>
    </row>
    <row r="418" spans="1:59">
      <c r="A418" s="39"/>
      <c r="B418" s="39"/>
      <c r="C418" s="39"/>
      <c r="D418" s="39"/>
      <c r="E418" s="39"/>
      <c r="F418" s="39"/>
      <c r="G418" s="39"/>
      <c r="H418" s="39"/>
      <c r="I418" s="40"/>
      <c r="J418" s="40"/>
      <c r="K418" s="35"/>
      <c r="L418" s="35"/>
      <c r="M418" s="35"/>
      <c r="N418" s="39"/>
      <c r="O418" s="39"/>
      <c r="P418" s="39"/>
      <c r="Q418" s="39"/>
      <c r="R418" s="39"/>
      <c r="S418" s="39"/>
      <c r="T418" s="39"/>
      <c r="U418" s="39"/>
      <c r="V418" s="39"/>
      <c r="W418" s="39"/>
      <c r="X418" s="39"/>
      <c r="Y418" s="39"/>
      <c r="Z418" s="39"/>
      <c r="AA418" s="39"/>
      <c r="AB418" s="39"/>
      <c r="AC418" s="39"/>
      <c r="AD418" s="39"/>
      <c r="AE418" s="39"/>
      <c r="AF418" s="39"/>
      <c r="AG418" s="39"/>
      <c r="AH418" s="39"/>
      <c r="AI418" s="35"/>
      <c r="AJ418" s="39"/>
      <c r="AK418" s="39"/>
      <c r="AL418" s="39"/>
      <c r="AM418" s="35"/>
      <c r="AN418" s="35"/>
      <c r="AO418" s="39"/>
      <c r="AP418" s="39"/>
      <c r="AQ418" s="35"/>
      <c r="AR418" s="35"/>
      <c r="AS418" s="35"/>
      <c r="AT418" s="30">
        <f t="shared" ca="1" si="50"/>
        <v>0</v>
      </c>
      <c r="AU418" s="32" t="str">
        <f t="shared" ca="1" si="49"/>
        <v/>
      </c>
      <c r="AV418" s="32" t="str" cm="1">
        <f t="array" aca="1" ref="AV418" ca="1">IFERROR(_xlfn.IFS($AU418="","",$AU418&lt;=15,"0-15",AND($AU418&gt;=16,$AU418&lt;=30),"16-30",AND($AU418&gt;=31,$AU418&lt;=45),"31-45",AND($AU418&gt;=46,$AU418&lt;=60),"46-60",AND($AU418&gt;=61,$AU418&lt;=90),"61-90",AND($AU418&gt;=91),"&gt; 90",AND($AU418&gt;=2000),""),"")</f>
        <v/>
      </c>
      <c r="AW418" s="32" t="str" cm="1">
        <f t="array" aca="1" ref="AW418" ca="1">IFERROR(_xlfn.IFS(OR($M418="",$AM418=""),"",OR($C418="Offered",$C418="Joined"),($AM418-$M418)-$AT418),"")</f>
        <v/>
      </c>
      <c r="AX418" s="32" t="str" cm="1">
        <f t="array" aca="1" ref="AX418" ca="1">IFERROR(_xlfn.IFS(OR($M418="",$AS418=""),"",$C418="Joined",($AS418-$M418)-$AT418),"")</f>
        <v/>
      </c>
      <c r="AY418" s="30" t="str">
        <f>IFERROR(IF(COUNTIFS('Candidate Tracker'!$E:$E,'Positions Tracker'!$B418,'Candidate Tracker'!$C:$C,"Offer Drop")=0,"",COUNTIFS('Candidate Tracker'!$E:$E,'Positions Tracker'!$B418,'Candidate Tracker'!$C:$C,"Offer Drop")),"")</f>
        <v/>
      </c>
      <c r="AZ4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8" s="34" t="str">
        <f>IFERROR(IF(COUNTIFS('Candidate Tracker'!$E:$E,'Positions Tracker'!$B418,'Candidate Tracker'!$I:$I,"Female")=0,"",COUNTIFS('Candidate Tracker'!$E:$E,'Positions Tracker'!$B418,'Candidate Tracker'!$I:$I,"Female")),"")</f>
        <v/>
      </c>
      <c r="BB418" s="34" t="str">
        <f>IFERROR(IF(COUNTIFS('Candidate Tracker'!$E:$E,'Positions Tracker'!$B418,'Candidate Tracker'!$I:$I,"male")=0,"",COUNTIFS('Candidate Tracker'!$E:$E,'Positions Tracker'!$B418,'Candidate Tracker'!$I:$I,"male")),"")</f>
        <v/>
      </c>
      <c r="BC418" s="33" t="str">
        <f>IFERROR(IF(COUNTIFS('Candidate Tracker'!$E:$E,'Positions Tracker'!$B418,'Candidate Tracker'!$C:$C,"&lt;&gt;WIP",'Candidate Tracker'!$C:$C,"&lt;&gt;Hold",'Candidate Tracker'!$C:$C,"&lt;&gt;Cancelled",'Candidate Tracker'!$C:$C,"&lt;&gt;Closed")/COUNTIFS('Candidate Tracker'!$E:$E,'Positions Tracker'!$B418)=0,"",COUNTIFS('Candidate Tracker'!$E:$E,'Positions Tracker'!$B418,'Candidate Tracker'!$C:$C,"&lt;&gt;WIP",'Candidate Tracker'!$C:$C,"&lt;&gt;Hold",'Candidate Tracker'!$C:$C,"&lt;&gt;Cancelled",'Candidate Tracker'!$C:$C,"&lt;&gt;Closed")/COUNTIFS('Candidate Tracker'!$E:$E,'Positions Tracker'!$B418)),"")</f>
        <v/>
      </c>
      <c r="BD418" s="30" t="str">
        <f t="shared" si="51"/>
        <v/>
      </c>
      <c r="BE418" s="30" t="str">
        <f t="shared" si="52"/>
        <v/>
      </c>
      <c r="BF418" s="30" t="str">
        <f t="shared" si="53"/>
        <v/>
      </c>
      <c r="BG418" s="30" t="str">
        <f t="shared" si="54"/>
        <v/>
      </c>
    </row>
    <row r="419" spans="1:59">
      <c r="A419" s="39"/>
      <c r="B419" s="39"/>
      <c r="C419" s="39"/>
      <c r="D419" s="39"/>
      <c r="E419" s="39"/>
      <c r="F419" s="39"/>
      <c r="G419" s="39"/>
      <c r="H419" s="39"/>
      <c r="I419" s="40"/>
      <c r="J419" s="40"/>
      <c r="K419" s="35"/>
      <c r="L419" s="35"/>
      <c r="M419" s="35"/>
      <c r="N419" s="39"/>
      <c r="O419" s="39"/>
      <c r="P419" s="39"/>
      <c r="Q419" s="39"/>
      <c r="R419" s="39"/>
      <c r="S419" s="39"/>
      <c r="T419" s="39"/>
      <c r="U419" s="39"/>
      <c r="V419" s="39"/>
      <c r="W419" s="39"/>
      <c r="X419" s="39"/>
      <c r="Y419" s="39"/>
      <c r="Z419" s="39"/>
      <c r="AA419" s="39"/>
      <c r="AB419" s="39"/>
      <c r="AC419" s="39"/>
      <c r="AD419" s="39"/>
      <c r="AE419" s="39"/>
      <c r="AF419" s="39"/>
      <c r="AG419" s="39"/>
      <c r="AH419" s="39"/>
      <c r="AI419" s="35"/>
      <c r="AJ419" s="39"/>
      <c r="AK419" s="39"/>
      <c r="AL419" s="39"/>
      <c r="AM419" s="35"/>
      <c r="AN419" s="35"/>
      <c r="AO419" s="39"/>
      <c r="AP419" s="39"/>
      <c r="AQ419" s="35"/>
      <c r="AR419" s="35"/>
      <c r="AS419" s="35"/>
      <c r="AT419" s="30">
        <f t="shared" ca="1" si="50"/>
        <v>0</v>
      </c>
      <c r="AU419" s="32" t="str">
        <f t="shared" ca="1" si="49"/>
        <v/>
      </c>
      <c r="AV419" s="32" t="str" cm="1">
        <f t="array" aca="1" ref="AV419" ca="1">IFERROR(_xlfn.IFS($AU419="","",$AU419&lt;=15,"0-15",AND($AU419&gt;=16,$AU419&lt;=30),"16-30",AND($AU419&gt;=31,$AU419&lt;=45),"31-45",AND($AU419&gt;=46,$AU419&lt;=60),"46-60",AND($AU419&gt;=61,$AU419&lt;=90),"61-90",AND($AU419&gt;=91),"&gt; 90",AND($AU419&gt;=2000),""),"")</f>
        <v/>
      </c>
      <c r="AW419" s="32" t="str" cm="1">
        <f t="array" aca="1" ref="AW419" ca="1">IFERROR(_xlfn.IFS(OR($M419="",$AM419=""),"",OR($C419="Offered",$C419="Joined"),($AM419-$M419)-$AT419),"")</f>
        <v/>
      </c>
      <c r="AX419" s="32" t="str" cm="1">
        <f t="array" aca="1" ref="AX419" ca="1">IFERROR(_xlfn.IFS(OR($M419="",$AS419=""),"",$C419="Joined",($AS419-$M419)-$AT419),"")</f>
        <v/>
      </c>
      <c r="AY419" s="30" t="str">
        <f>IFERROR(IF(COUNTIFS('Candidate Tracker'!$E:$E,'Positions Tracker'!$B419,'Candidate Tracker'!$C:$C,"Offer Drop")=0,"",COUNTIFS('Candidate Tracker'!$E:$E,'Positions Tracker'!$B419,'Candidate Tracker'!$C:$C,"Offer Drop")),"")</f>
        <v/>
      </c>
      <c r="AZ4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19" s="34" t="str">
        <f>IFERROR(IF(COUNTIFS('Candidate Tracker'!$E:$E,'Positions Tracker'!$B419,'Candidate Tracker'!$I:$I,"Female")=0,"",COUNTIFS('Candidate Tracker'!$E:$E,'Positions Tracker'!$B419,'Candidate Tracker'!$I:$I,"Female")),"")</f>
        <v/>
      </c>
      <c r="BB419" s="34" t="str">
        <f>IFERROR(IF(COUNTIFS('Candidate Tracker'!$E:$E,'Positions Tracker'!$B419,'Candidate Tracker'!$I:$I,"male")=0,"",COUNTIFS('Candidate Tracker'!$E:$E,'Positions Tracker'!$B419,'Candidate Tracker'!$I:$I,"male")),"")</f>
        <v/>
      </c>
      <c r="BC419" s="33" t="str">
        <f>IFERROR(IF(COUNTIFS('Candidate Tracker'!$E:$E,'Positions Tracker'!$B419,'Candidate Tracker'!$C:$C,"&lt;&gt;WIP",'Candidate Tracker'!$C:$C,"&lt;&gt;Hold",'Candidate Tracker'!$C:$C,"&lt;&gt;Cancelled",'Candidate Tracker'!$C:$C,"&lt;&gt;Closed")/COUNTIFS('Candidate Tracker'!$E:$E,'Positions Tracker'!$B419)=0,"",COUNTIFS('Candidate Tracker'!$E:$E,'Positions Tracker'!$B419,'Candidate Tracker'!$C:$C,"&lt;&gt;WIP",'Candidate Tracker'!$C:$C,"&lt;&gt;Hold",'Candidate Tracker'!$C:$C,"&lt;&gt;Cancelled",'Candidate Tracker'!$C:$C,"&lt;&gt;Closed")/COUNTIFS('Candidate Tracker'!$E:$E,'Positions Tracker'!$B419)),"")</f>
        <v/>
      </c>
      <c r="BD419" s="30" t="str">
        <f t="shared" si="51"/>
        <v/>
      </c>
      <c r="BE419" s="30" t="str">
        <f t="shared" si="52"/>
        <v/>
      </c>
      <c r="BF419" s="30" t="str">
        <f t="shared" si="53"/>
        <v/>
      </c>
      <c r="BG419" s="30" t="str">
        <f t="shared" si="54"/>
        <v/>
      </c>
    </row>
    <row r="420" spans="1:59">
      <c r="A420" s="39"/>
      <c r="B420" s="39"/>
      <c r="C420" s="39"/>
      <c r="D420" s="39"/>
      <c r="E420" s="39"/>
      <c r="F420" s="39"/>
      <c r="G420" s="39"/>
      <c r="H420" s="39"/>
      <c r="I420" s="40"/>
      <c r="J420" s="40"/>
      <c r="K420" s="35"/>
      <c r="L420" s="35"/>
      <c r="M420" s="35"/>
      <c r="N420" s="39"/>
      <c r="O420" s="39"/>
      <c r="P420" s="39"/>
      <c r="Q420" s="39"/>
      <c r="R420" s="39"/>
      <c r="S420" s="39"/>
      <c r="T420" s="39"/>
      <c r="U420" s="39"/>
      <c r="V420" s="39"/>
      <c r="W420" s="39"/>
      <c r="X420" s="39"/>
      <c r="Y420" s="39"/>
      <c r="Z420" s="39"/>
      <c r="AA420" s="39"/>
      <c r="AB420" s="39"/>
      <c r="AC420" s="39"/>
      <c r="AD420" s="39"/>
      <c r="AE420" s="39"/>
      <c r="AF420" s="39"/>
      <c r="AG420" s="39"/>
      <c r="AH420" s="39"/>
      <c r="AI420" s="35"/>
      <c r="AJ420" s="39"/>
      <c r="AK420" s="39"/>
      <c r="AL420" s="39"/>
      <c r="AM420" s="35"/>
      <c r="AN420" s="35"/>
      <c r="AO420" s="39"/>
      <c r="AP420" s="39"/>
      <c r="AQ420" s="35"/>
      <c r="AR420" s="35"/>
      <c r="AS420" s="35"/>
      <c r="AT420" s="30">
        <f t="shared" ca="1" si="50"/>
        <v>0</v>
      </c>
      <c r="AU420" s="32" t="str">
        <f t="shared" ca="1" si="49"/>
        <v/>
      </c>
      <c r="AV420" s="32" t="str" cm="1">
        <f t="array" aca="1" ref="AV420" ca="1">IFERROR(_xlfn.IFS($AU420="","",$AU420&lt;=15,"0-15",AND($AU420&gt;=16,$AU420&lt;=30),"16-30",AND($AU420&gt;=31,$AU420&lt;=45),"31-45",AND($AU420&gt;=46,$AU420&lt;=60),"46-60",AND($AU420&gt;=61,$AU420&lt;=90),"61-90",AND($AU420&gt;=91),"&gt; 90",AND($AU420&gt;=2000),""),"")</f>
        <v/>
      </c>
      <c r="AW420" s="32" t="str" cm="1">
        <f t="array" aca="1" ref="AW420" ca="1">IFERROR(_xlfn.IFS(OR($M420="",$AM420=""),"",OR($C420="Offered",$C420="Joined"),($AM420-$M420)-$AT420),"")</f>
        <v/>
      </c>
      <c r="AX420" s="32" t="str" cm="1">
        <f t="array" aca="1" ref="AX420" ca="1">IFERROR(_xlfn.IFS(OR($M420="",$AS420=""),"",$C420="Joined",($AS420-$M420)-$AT420),"")</f>
        <v/>
      </c>
      <c r="AY420" s="30" t="str">
        <f>IFERROR(IF(COUNTIFS('Candidate Tracker'!$E:$E,'Positions Tracker'!$B420,'Candidate Tracker'!$C:$C,"Offer Drop")=0,"",COUNTIFS('Candidate Tracker'!$E:$E,'Positions Tracker'!$B420,'Candidate Tracker'!$C:$C,"Offer Drop")),"")</f>
        <v/>
      </c>
      <c r="AZ4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0" s="34" t="str">
        <f>IFERROR(IF(COUNTIFS('Candidate Tracker'!$E:$E,'Positions Tracker'!$B420,'Candidate Tracker'!$I:$I,"Female")=0,"",COUNTIFS('Candidate Tracker'!$E:$E,'Positions Tracker'!$B420,'Candidate Tracker'!$I:$I,"Female")),"")</f>
        <v/>
      </c>
      <c r="BB420" s="34" t="str">
        <f>IFERROR(IF(COUNTIFS('Candidate Tracker'!$E:$E,'Positions Tracker'!$B420,'Candidate Tracker'!$I:$I,"male")=0,"",COUNTIFS('Candidate Tracker'!$E:$E,'Positions Tracker'!$B420,'Candidate Tracker'!$I:$I,"male")),"")</f>
        <v/>
      </c>
      <c r="BC420" s="33" t="str">
        <f>IFERROR(IF(COUNTIFS('Candidate Tracker'!$E:$E,'Positions Tracker'!$B420,'Candidate Tracker'!$C:$C,"&lt;&gt;WIP",'Candidate Tracker'!$C:$C,"&lt;&gt;Hold",'Candidate Tracker'!$C:$C,"&lt;&gt;Cancelled",'Candidate Tracker'!$C:$C,"&lt;&gt;Closed")/COUNTIFS('Candidate Tracker'!$E:$E,'Positions Tracker'!$B420)=0,"",COUNTIFS('Candidate Tracker'!$E:$E,'Positions Tracker'!$B420,'Candidate Tracker'!$C:$C,"&lt;&gt;WIP",'Candidate Tracker'!$C:$C,"&lt;&gt;Hold",'Candidate Tracker'!$C:$C,"&lt;&gt;Cancelled",'Candidate Tracker'!$C:$C,"&lt;&gt;Closed")/COUNTIFS('Candidate Tracker'!$E:$E,'Positions Tracker'!$B420)),"")</f>
        <v/>
      </c>
      <c r="BD420" s="30" t="str">
        <f t="shared" si="51"/>
        <v/>
      </c>
      <c r="BE420" s="30" t="str">
        <f t="shared" si="52"/>
        <v/>
      </c>
      <c r="BF420" s="30" t="str">
        <f t="shared" si="53"/>
        <v/>
      </c>
      <c r="BG420" s="30" t="str">
        <f t="shared" si="54"/>
        <v/>
      </c>
    </row>
    <row r="421" spans="1:59">
      <c r="A421" s="39"/>
      <c r="B421" s="39"/>
      <c r="C421" s="39"/>
      <c r="D421" s="39"/>
      <c r="E421" s="39"/>
      <c r="F421" s="39"/>
      <c r="G421" s="39"/>
      <c r="H421" s="39"/>
      <c r="I421" s="40"/>
      <c r="J421" s="40"/>
      <c r="K421" s="35"/>
      <c r="L421" s="35"/>
      <c r="M421" s="35"/>
      <c r="N421" s="39"/>
      <c r="O421" s="39"/>
      <c r="P421" s="39"/>
      <c r="Q421" s="39"/>
      <c r="R421" s="39"/>
      <c r="S421" s="39"/>
      <c r="T421" s="39"/>
      <c r="U421" s="39"/>
      <c r="V421" s="39"/>
      <c r="W421" s="39"/>
      <c r="X421" s="39"/>
      <c r="Y421" s="39"/>
      <c r="Z421" s="39"/>
      <c r="AA421" s="39"/>
      <c r="AB421" s="39"/>
      <c r="AC421" s="39"/>
      <c r="AD421" s="39"/>
      <c r="AE421" s="39"/>
      <c r="AF421" s="39"/>
      <c r="AG421" s="39"/>
      <c r="AH421" s="39"/>
      <c r="AI421" s="35"/>
      <c r="AJ421" s="39"/>
      <c r="AK421" s="39"/>
      <c r="AL421" s="39"/>
      <c r="AM421" s="35"/>
      <c r="AN421" s="35"/>
      <c r="AO421" s="39"/>
      <c r="AP421" s="39"/>
      <c r="AQ421" s="35"/>
      <c r="AR421" s="35"/>
      <c r="AS421" s="35"/>
      <c r="AT421" s="30">
        <f t="shared" ca="1" si="50"/>
        <v>0</v>
      </c>
      <c r="AU421" s="32" t="str">
        <f t="shared" ca="1" si="49"/>
        <v/>
      </c>
      <c r="AV421" s="32" t="str" cm="1">
        <f t="array" aca="1" ref="AV421" ca="1">IFERROR(_xlfn.IFS($AU421="","",$AU421&lt;=15,"0-15",AND($AU421&gt;=16,$AU421&lt;=30),"16-30",AND($AU421&gt;=31,$AU421&lt;=45),"31-45",AND($AU421&gt;=46,$AU421&lt;=60),"46-60",AND($AU421&gt;=61,$AU421&lt;=90),"61-90",AND($AU421&gt;=91),"&gt; 90",AND($AU421&gt;=2000),""),"")</f>
        <v/>
      </c>
      <c r="AW421" s="32" t="str" cm="1">
        <f t="array" aca="1" ref="AW421" ca="1">IFERROR(_xlfn.IFS(OR($M421="",$AM421=""),"",OR($C421="Offered",$C421="Joined"),($AM421-$M421)-$AT421),"")</f>
        <v/>
      </c>
      <c r="AX421" s="32" t="str" cm="1">
        <f t="array" aca="1" ref="AX421" ca="1">IFERROR(_xlfn.IFS(OR($M421="",$AS421=""),"",$C421="Joined",($AS421-$M421)-$AT421),"")</f>
        <v/>
      </c>
      <c r="AY421" s="30" t="str">
        <f>IFERROR(IF(COUNTIFS('Candidate Tracker'!$E:$E,'Positions Tracker'!$B421,'Candidate Tracker'!$C:$C,"Offer Drop")=0,"",COUNTIFS('Candidate Tracker'!$E:$E,'Positions Tracker'!$B421,'Candidate Tracker'!$C:$C,"Offer Drop")),"")</f>
        <v/>
      </c>
      <c r="AZ4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1" s="34" t="str">
        <f>IFERROR(IF(COUNTIFS('Candidate Tracker'!$E:$E,'Positions Tracker'!$B421,'Candidate Tracker'!$I:$I,"Female")=0,"",COUNTIFS('Candidate Tracker'!$E:$E,'Positions Tracker'!$B421,'Candidate Tracker'!$I:$I,"Female")),"")</f>
        <v/>
      </c>
      <c r="BB421" s="34" t="str">
        <f>IFERROR(IF(COUNTIFS('Candidate Tracker'!$E:$E,'Positions Tracker'!$B421,'Candidate Tracker'!$I:$I,"male")=0,"",COUNTIFS('Candidate Tracker'!$E:$E,'Positions Tracker'!$B421,'Candidate Tracker'!$I:$I,"male")),"")</f>
        <v/>
      </c>
      <c r="BC421" s="33" t="str">
        <f>IFERROR(IF(COUNTIFS('Candidate Tracker'!$E:$E,'Positions Tracker'!$B421,'Candidate Tracker'!$C:$C,"&lt;&gt;WIP",'Candidate Tracker'!$C:$C,"&lt;&gt;Hold",'Candidate Tracker'!$C:$C,"&lt;&gt;Cancelled",'Candidate Tracker'!$C:$C,"&lt;&gt;Closed")/COUNTIFS('Candidate Tracker'!$E:$E,'Positions Tracker'!$B421)=0,"",COUNTIFS('Candidate Tracker'!$E:$E,'Positions Tracker'!$B421,'Candidate Tracker'!$C:$C,"&lt;&gt;WIP",'Candidate Tracker'!$C:$C,"&lt;&gt;Hold",'Candidate Tracker'!$C:$C,"&lt;&gt;Cancelled",'Candidate Tracker'!$C:$C,"&lt;&gt;Closed")/COUNTIFS('Candidate Tracker'!$E:$E,'Positions Tracker'!$B421)),"")</f>
        <v/>
      </c>
      <c r="BD421" s="30" t="str">
        <f t="shared" si="51"/>
        <v/>
      </c>
      <c r="BE421" s="30" t="str">
        <f t="shared" si="52"/>
        <v/>
      </c>
      <c r="BF421" s="30" t="str">
        <f t="shared" si="53"/>
        <v/>
      </c>
      <c r="BG421" s="30" t="str">
        <f t="shared" si="54"/>
        <v/>
      </c>
    </row>
    <row r="422" spans="1:59">
      <c r="A422" s="39"/>
      <c r="B422" s="39"/>
      <c r="C422" s="39"/>
      <c r="D422" s="39"/>
      <c r="E422" s="39"/>
      <c r="F422" s="39"/>
      <c r="G422" s="39"/>
      <c r="H422" s="39"/>
      <c r="I422" s="40"/>
      <c r="J422" s="40"/>
      <c r="K422" s="35"/>
      <c r="L422" s="35"/>
      <c r="M422" s="35"/>
      <c r="N422" s="39"/>
      <c r="O422" s="39"/>
      <c r="P422" s="39"/>
      <c r="Q422" s="39"/>
      <c r="R422" s="39"/>
      <c r="S422" s="39"/>
      <c r="T422" s="39"/>
      <c r="U422" s="39"/>
      <c r="V422" s="39"/>
      <c r="W422" s="39"/>
      <c r="X422" s="39"/>
      <c r="Y422" s="39"/>
      <c r="Z422" s="39"/>
      <c r="AA422" s="39"/>
      <c r="AB422" s="39"/>
      <c r="AC422" s="39"/>
      <c r="AD422" s="39"/>
      <c r="AE422" s="39"/>
      <c r="AF422" s="39"/>
      <c r="AG422" s="39"/>
      <c r="AH422" s="39"/>
      <c r="AI422" s="35"/>
      <c r="AJ422" s="39"/>
      <c r="AK422" s="39"/>
      <c r="AL422" s="39"/>
      <c r="AM422" s="35"/>
      <c r="AN422" s="35"/>
      <c r="AO422" s="39"/>
      <c r="AP422" s="39"/>
      <c r="AQ422" s="35"/>
      <c r="AR422" s="35"/>
      <c r="AS422" s="35"/>
      <c r="AT422" s="30">
        <f t="shared" ca="1" si="50"/>
        <v>0</v>
      </c>
      <c r="AU422" s="32" t="str">
        <f t="shared" ca="1" si="49"/>
        <v/>
      </c>
      <c r="AV422" s="32" t="str" cm="1">
        <f t="array" aca="1" ref="AV422" ca="1">IFERROR(_xlfn.IFS($AU422="","",$AU422&lt;=15,"0-15",AND($AU422&gt;=16,$AU422&lt;=30),"16-30",AND($AU422&gt;=31,$AU422&lt;=45),"31-45",AND($AU422&gt;=46,$AU422&lt;=60),"46-60",AND($AU422&gt;=61,$AU422&lt;=90),"61-90",AND($AU422&gt;=91),"&gt; 90",AND($AU422&gt;=2000),""),"")</f>
        <v/>
      </c>
      <c r="AW422" s="32" t="str" cm="1">
        <f t="array" aca="1" ref="AW422" ca="1">IFERROR(_xlfn.IFS(OR($M422="",$AM422=""),"",OR($C422="Offered",$C422="Joined"),($AM422-$M422)-$AT422),"")</f>
        <v/>
      </c>
      <c r="AX422" s="32" t="str" cm="1">
        <f t="array" aca="1" ref="AX422" ca="1">IFERROR(_xlfn.IFS(OR($M422="",$AS422=""),"",$C422="Joined",($AS422-$M422)-$AT422),"")</f>
        <v/>
      </c>
      <c r="AY422" s="30" t="str">
        <f>IFERROR(IF(COUNTIFS('Candidate Tracker'!$E:$E,'Positions Tracker'!$B422,'Candidate Tracker'!$C:$C,"Offer Drop")=0,"",COUNTIFS('Candidate Tracker'!$E:$E,'Positions Tracker'!$B422,'Candidate Tracker'!$C:$C,"Offer Drop")),"")</f>
        <v/>
      </c>
      <c r="AZ4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2" s="34" t="str">
        <f>IFERROR(IF(COUNTIFS('Candidate Tracker'!$E:$E,'Positions Tracker'!$B422,'Candidate Tracker'!$I:$I,"Female")=0,"",COUNTIFS('Candidate Tracker'!$E:$E,'Positions Tracker'!$B422,'Candidate Tracker'!$I:$I,"Female")),"")</f>
        <v/>
      </c>
      <c r="BB422" s="34" t="str">
        <f>IFERROR(IF(COUNTIFS('Candidate Tracker'!$E:$E,'Positions Tracker'!$B422,'Candidate Tracker'!$I:$I,"male")=0,"",COUNTIFS('Candidate Tracker'!$E:$E,'Positions Tracker'!$B422,'Candidate Tracker'!$I:$I,"male")),"")</f>
        <v/>
      </c>
      <c r="BC422" s="33" t="str">
        <f>IFERROR(IF(COUNTIFS('Candidate Tracker'!$E:$E,'Positions Tracker'!$B422,'Candidate Tracker'!$C:$C,"&lt;&gt;WIP",'Candidate Tracker'!$C:$C,"&lt;&gt;Hold",'Candidate Tracker'!$C:$C,"&lt;&gt;Cancelled",'Candidate Tracker'!$C:$C,"&lt;&gt;Closed")/COUNTIFS('Candidate Tracker'!$E:$E,'Positions Tracker'!$B422)=0,"",COUNTIFS('Candidate Tracker'!$E:$E,'Positions Tracker'!$B422,'Candidate Tracker'!$C:$C,"&lt;&gt;WIP",'Candidate Tracker'!$C:$C,"&lt;&gt;Hold",'Candidate Tracker'!$C:$C,"&lt;&gt;Cancelled",'Candidate Tracker'!$C:$C,"&lt;&gt;Closed")/COUNTIFS('Candidate Tracker'!$E:$E,'Positions Tracker'!$B422)),"")</f>
        <v/>
      </c>
      <c r="BD422" s="30" t="str">
        <f t="shared" si="51"/>
        <v/>
      </c>
      <c r="BE422" s="30" t="str">
        <f t="shared" si="52"/>
        <v/>
      </c>
      <c r="BF422" s="30" t="str">
        <f t="shared" si="53"/>
        <v/>
      </c>
      <c r="BG422" s="30" t="str">
        <f t="shared" si="54"/>
        <v/>
      </c>
    </row>
    <row r="423" spans="1:59">
      <c r="A423" s="39"/>
      <c r="B423" s="39"/>
      <c r="C423" s="39"/>
      <c r="D423" s="39"/>
      <c r="E423" s="39"/>
      <c r="F423" s="39"/>
      <c r="G423" s="39"/>
      <c r="H423" s="39"/>
      <c r="I423" s="40"/>
      <c r="J423" s="40"/>
      <c r="K423" s="35"/>
      <c r="L423" s="35"/>
      <c r="M423" s="35"/>
      <c r="N423" s="39"/>
      <c r="O423" s="39"/>
      <c r="P423" s="39"/>
      <c r="Q423" s="39"/>
      <c r="R423" s="39"/>
      <c r="S423" s="39"/>
      <c r="T423" s="39"/>
      <c r="U423" s="39"/>
      <c r="V423" s="39"/>
      <c r="W423" s="39"/>
      <c r="X423" s="39"/>
      <c r="Y423" s="39"/>
      <c r="Z423" s="39"/>
      <c r="AA423" s="39"/>
      <c r="AB423" s="39"/>
      <c r="AC423" s="39"/>
      <c r="AD423" s="39"/>
      <c r="AE423" s="39"/>
      <c r="AF423" s="39"/>
      <c r="AG423" s="39"/>
      <c r="AH423" s="39"/>
      <c r="AI423" s="35"/>
      <c r="AJ423" s="39"/>
      <c r="AK423" s="39"/>
      <c r="AL423" s="39"/>
      <c r="AM423" s="35"/>
      <c r="AN423" s="35"/>
      <c r="AO423" s="39"/>
      <c r="AP423" s="39"/>
      <c r="AQ423" s="35"/>
      <c r="AR423" s="35"/>
      <c r="AS423" s="35"/>
      <c r="AT423" s="30">
        <f t="shared" ca="1" si="50"/>
        <v>0</v>
      </c>
      <c r="AU423" s="32" t="str">
        <f t="shared" ca="1" si="49"/>
        <v/>
      </c>
      <c r="AV423" s="32" t="str" cm="1">
        <f t="array" aca="1" ref="AV423" ca="1">IFERROR(_xlfn.IFS($AU423="","",$AU423&lt;=15,"0-15",AND($AU423&gt;=16,$AU423&lt;=30),"16-30",AND($AU423&gt;=31,$AU423&lt;=45),"31-45",AND($AU423&gt;=46,$AU423&lt;=60),"46-60",AND($AU423&gt;=61,$AU423&lt;=90),"61-90",AND($AU423&gt;=91),"&gt; 90",AND($AU423&gt;=2000),""),"")</f>
        <v/>
      </c>
      <c r="AW423" s="32" t="str" cm="1">
        <f t="array" aca="1" ref="AW423" ca="1">IFERROR(_xlfn.IFS(OR($M423="",$AM423=""),"",OR($C423="Offered",$C423="Joined"),($AM423-$M423)-$AT423),"")</f>
        <v/>
      </c>
      <c r="AX423" s="32" t="str" cm="1">
        <f t="array" aca="1" ref="AX423" ca="1">IFERROR(_xlfn.IFS(OR($M423="",$AS423=""),"",$C423="Joined",($AS423-$M423)-$AT423),"")</f>
        <v/>
      </c>
      <c r="AY423" s="30" t="str">
        <f>IFERROR(IF(COUNTIFS('Candidate Tracker'!$E:$E,'Positions Tracker'!$B423,'Candidate Tracker'!$C:$C,"Offer Drop")=0,"",COUNTIFS('Candidate Tracker'!$E:$E,'Positions Tracker'!$B423,'Candidate Tracker'!$C:$C,"Offer Drop")),"")</f>
        <v/>
      </c>
      <c r="AZ4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3" s="34" t="str">
        <f>IFERROR(IF(COUNTIFS('Candidate Tracker'!$E:$E,'Positions Tracker'!$B423,'Candidate Tracker'!$I:$I,"Female")=0,"",COUNTIFS('Candidate Tracker'!$E:$E,'Positions Tracker'!$B423,'Candidate Tracker'!$I:$I,"Female")),"")</f>
        <v/>
      </c>
      <c r="BB423" s="34" t="str">
        <f>IFERROR(IF(COUNTIFS('Candidate Tracker'!$E:$E,'Positions Tracker'!$B423,'Candidate Tracker'!$I:$I,"male")=0,"",COUNTIFS('Candidate Tracker'!$E:$E,'Positions Tracker'!$B423,'Candidate Tracker'!$I:$I,"male")),"")</f>
        <v/>
      </c>
      <c r="BC423" s="33" t="str">
        <f>IFERROR(IF(COUNTIFS('Candidate Tracker'!$E:$E,'Positions Tracker'!$B423,'Candidate Tracker'!$C:$C,"&lt;&gt;WIP",'Candidate Tracker'!$C:$C,"&lt;&gt;Hold",'Candidate Tracker'!$C:$C,"&lt;&gt;Cancelled",'Candidate Tracker'!$C:$C,"&lt;&gt;Closed")/COUNTIFS('Candidate Tracker'!$E:$E,'Positions Tracker'!$B423)=0,"",COUNTIFS('Candidate Tracker'!$E:$E,'Positions Tracker'!$B423,'Candidate Tracker'!$C:$C,"&lt;&gt;WIP",'Candidate Tracker'!$C:$C,"&lt;&gt;Hold",'Candidate Tracker'!$C:$C,"&lt;&gt;Cancelled",'Candidate Tracker'!$C:$C,"&lt;&gt;Closed")/COUNTIFS('Candidate Tracker'!$E:$E,'Positions Tracker'!$B423)),"")</f>
        <v/>
      </c>
      <c r="BD423" s="30" t="str">
        <f t="shared" si="51"/>
        <v/>
      </c>
      <c r="BE423" s="30" t="str">
        <f t="shared" si="52"/>
        <v/>
      </c>
      <c r="BF423" s="30" t="str">
        <f t="shared" si="53"/>
        <v/>
      </c>
      <c r="BG423" s="30" t="str">
        <f t="shared" si="54"/>
        <v/>
      </c>
    </row>
    <row r="424" spans="1:59">
      <c r="A424" s="39"/>
      <c r="B424" s="39"/>
      <c r="C424" s="39"/>
      <c r="D424" s="39"/>
      <c r="E424" s="39"/>
      <c r="F424" s="39"/>
      <c r="G424" s="39"/>
      <c r="H424" s="39"/>
      <c r="I424" s="40"/>
      <c r="J424" s="40"/>
      <c r="K424" s="35"/>
      <c r="L424" s="35"/>
      <c r="M424" s="35"/>
      <c r="N424" s="39"/>
      <c r="O424" s="39"/>
      <c r="P424" s="39"/>
      <c r="Q424" s="39"/>
      <c r="R424" s="39"/>
      <c r="S424" s="39"/>
      <c r="T424" s="39"/>
      <c r="U424" s="39"/>
      <c r="V424" s="39"/>
      <c r="W424" s="39"/>
      <c r="X424" s="39"/>
      <c r="Y424" s="39"/>
      <c r="Z424" s="39"/>
      <c r="AA424" s="39"/>
      <c r="AB424" s="39"/>
      <c r="AC424" s="39"/>
      <c r="AD424" s="39"/>
      <c r="AE424" s="39"/>
      <c r="AF424" s="39"/>
      <c r="AG424" s="39"/>
      <c r="AH424" s="39"/>
      <c r="AI424" s="35"/>
      <c r="AJ424" s="39"/>
      <c r="AK424" s="39"/>
      <c r="AL424" s="39"/>
      <c r="AM424" s="35"/>
      <c r="AN424" s="35"/>
      <c r="AO424" s="39"/>
      <c r="AP424" s="39"/>
      <c r="AQ424" s="35"/>
      <c r="AR424" s="35"/>
      <c r="AS424" s="35"/>
      <c r="AT424" s="30">
        <f t="shared" ca="1" si="50"/>
        <v>0</v>
      </c>
      <c r="AU424" s="32" t="str">
        <f t="shared" ca="1" si="49"/>
        <v/>
      </c>
      <c r="AV424" s="32" t="str" cm="1">
        <f t="array" aca="1" ref="AV424" ca="1">IFERROR(_xlfn.IFS($AU424="","",$AU424&lt;=15,"0-15",AND($AU424&gt;=16,$AU424&lt;=30),"16-30",AND($AU424&gt;=31,$AU424&lt;=45),"31-45",AND($AU424&gt;=46,$AU424&lt;=60),"46-60",AND($AU424&gt;=61,$AU424&lt;=90),"61-90",AND($AU424&gt;=91),"&gt; 90",AND($AU424&gt;=2000),""),"")</f>
        <v/>
      </c>
      <c r="AW424" s="32" t="str" cm="1">
        <f t="array" aca="1" ref="AW424" ca="1">IFERROR(_xlfn.IFS(OR($M424="",$AM424=""),"",OR($C424="Offered",$C424="Joined"),($AM424-$M424)-$AT424),"")</f>
        <v/>
      </c>
      <c r="AX424" s="32" t="str" cm="1">
        <f t="array" aca="1" ref="AX424" ca="1">IFERROR(_xlfn.IFS(OR($M424="",$AS424=""),"",$C424="Joined",($AS424-$M424)-$AT424),"")</f>
        <v/>
      </c>
      <c r="AY424" s="30" t="str">
        <f>IFERROR(IF(COUNTIFS('Candidate Tracker'!$E:$E,'Positions Tracker'!$B424,'Candidate Tracker'!$C:$C,"Offer Drop")=0,"",COUNTIFS('Candidate Tracker'!$E:$E,'Positions Tracker'!$B424,'Candidate Tracker'!$C:$C,"Offer Drop")),"")</f>
        <v/>
      </c>
      <c r="AZ4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4" s="34" t="str">
        <f>IFERROR(IF(COUNTIFS('Candidate Tracker'!$E:$E,'Positions Tracker'!$B424,'Candidate Tracker'!$I:$I,"Female")=0,"",COUNTIFS('Candidate Tracker'!$E:$E,'Positions Tracker'!$B424,'Candidate Tracker'!$I:$I,"Female")),"")</f>
        <v/>
      </c>
      <c r="BB424" s="34" t="str">
        <f>IFERROR(IF(COUNTIFS('Candidate Tracker'!$E:$E,'Positions Tracker'!$B424,'Candidate Tracker'!$I:$I,"male")=0,"",COUNTIFS('Candidate Tracker'!$E:$E,'Positions Tracker'!$B424,'Candidate Tracker'!$I:$I,"male")),"")</f>
        <v/>
      </c>
      <c r="BC424" s="33" t="str">
        <f>IFERROR(IF(COUNTIFS('Candidate Tracker'!$E:$E,'Positions Tracker'!$B424,'Candidate Tracker'!$C:$C,"&lt;&gt;WIP",'Candidate Tracker'!$C:$C,"&lt;&gt;Hold",'Candidate Tracker'!$C:$C,"&lt;&gt;Cancelled",'Candidate Tracker'!$C:$C,"&lt;&gt;Closed")/COUNTIFS('Candidate Tracker'!$E:$E,'Positions Tracker'!$B424)=0,"",COUNTIFS('Candidate Tracker'!$E:$E,'Positions Tracker'!$B424,'Candidate Tracker'!$C:$C,"&lt;&gt;WIP",'Candidate Tracker'!$C:$C,"&lt;&gt;Hold",'Candidate Tracker'!$C:$C,"&lt;&gt;Cancelled",'Candidate Tracker'!$C:$C,"&lt;&gt;Closed")/COUNTIFS('Candidate Tracker'!$E:$E,'Positions Tracker'!$B424)),"")</f>
        <v/>
      </c>
      <c r="BD424" s="30" t="str">
        <f t="shared" si="51"/>
        <v/>
      </c>
      <c r="BE424" s="30" t="str">
        <f t="shared" si="52"/>
        <v/>
      </c>
      <c r="BF424" s="30" t="str">
        <f t="shared" si="53"/>
        <v/>
      </c>
      <c r="BG424" s="30" t="str">
        <f t="shared" si="54"/>
        <v/>
      </c>
    </row>
    <row r="425" spans="1:59">
      <c r="A425" s="39"/>
      <c r="B425" s="39"/>
      <c r="C425" s="39"/>
      <c r="D425" s="39"/>
      <c r="E425" s="39"/>
      <c r="F425" s="39"/>
      <c r="G425" s="39"/>
      <c r="H425" s="39"/>
      <c r="I425" s="40"/>
      <c r="J425" s="40"/>
      <c r="K425" s="35"/>
      <c r="L425" s="35"/>
      <c r="M425" s="35"/>
      <c r="N425" s="39"/>
      <c r="O425" s="39"/>
      <c r="P425" s="39"/>
      <c r="Q425" s="39"/>
      <c r="R425" s="39"/>
      <c r="S425" s="39"/>
      <c r="T425" s="39"/>
      <c r="U425" s="39"/>
      <c r="V425" s="39"/>
      <c r="W425" s="39"/>
      <c r="X425" s="39"/>
      <c r="Y425" s="39"/>
      <c r="Z425" s="39"/>
      <c r="AA425" s="39"/>
      <c r="AB425" s="39"/>
      <c r="AC425" s="39"/>
      <c r="AD425" s="39"/>
      <c r="AE425" s="39"/>
      <c r="AF425" s="39"/>
      <c r="AG425" s="39"/>
      <c r="AH425" s="39"/>
      <c r="AI425" s="35"/>
      <c r="AJ425" s="39"/>
      <c r="AK425" s="39"/>
      <c r="AL425" s="39"/>
      <c r="AM425" s="35"/>
      <c r="AN425" s="35"/>
      <c r="AO425" s="39"/>
      <c r="AP425" s="39"/>
      <c r="AQ425" s="35"/>
      <c r="AR425" s="35"/>
      <c r="AS425" s="35"/>
      <c r="AT425" s="30">
        <f t="shared" ca="1" si="50"/>
        <v>0</v>
      </c>
      <c r="AU425" s="32" t="str">
        <f t="shared" ca="1" si="49"/>
        <v/>
      </c>
      <c r="AV425" s="32" t="str" cm="1">
        <f t="array" aca="1" ref="AV425" ca="1">IFERROR(_xlfn.IFS($AU425="","",$AU425&lt;=15,"0-15",AND($AU425&gt;=16,$AU425&lt;=30),"16-30",AND($AU425&gt;=31,$AU425&lt;=45),"31-45",AND($AU425&gt;=46,$AU425&lt;=60),"46-60",AND($AU425&gt;=61,$AU425&lt;=90),"61-90",AND($AU425&gt;=91),"&gt; 90",AND($AU425&gt;=2000),""),"")</f>
        <v/>
      </c>
      <c r="AW425" s="32" t="str" cm="1">
        <f t="array" aca="1" ref="AW425" ca="1">IFERROR(_xlfn.IFS(OR($M425="",$AM425=""),"",OR($C425="Offered",$C425="Joined"),($AM425-$M425)-$AT425),"")</f>
        <v/>
      </c>
      <c r="AX425" s="32" t="str" cm="1">
        <f t="array" aca="1" ref="AX425" ca="1">IFERROR(_xlfn.IFS(OR($M425="",$AS425=""),"",$C425="Joined",($AS425-$M425)-$AT425),"")</f>
        <v/>
      </c>
      <c r="AY425" s="30" t="str">
        <f>IFERROR(IF(COUNTIFS('Candidate Tracker'!$E:$E,'Positions Tracker'!$B425,'Candidate Tracker'!$C:$C,"Offer Drop")=0,"",COUNTIFS('Candidate Tracker'!$E:$E,'Positions Tracker'!$B425,'Candidate Tracker'!$C:$C,"Offer Drop")),"")</f>
        <v/>
      </c>
      <c r="AZ4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5" s="34" t="str">
        <f>IFERROR(IF(COUNTIFS('Candidate Tracker'!$E:$E,'Positions Tracker'!$B425,'Candidate Tracker'!$I:$I,"Female")=0,"",COUNTIFS('Candidate Tracker'!$E:$E,'Positions Tracker'!$B425,'Candidate Tracker'!$I:$I,"Female")),"")</f>
        <v/>
      </c>
      <c r="BB425" s="34" t="str">
        <f>IFERROR(IF(COUNTIFS('Candidate Tracker'!$E:$E,'Positions Tracker'!$B425,'Candidate Tracker'!$I:$I,"male")=0,"",COUNTIFS('Candidate Tracker'!$E:$E,'Positions Tracker'!$B425,'Candidate Tracker'!$I:$I,"male")),"")</f>
        <v/>
      </c>
      <c r="BC425" s="33" t="str">
        <f>IFERROR(IF(COUNTIFS('Candidate Tracker'!$E:$E,'Positions Tracker'!$B425,'Candidate Tracker'!$C:$C,"&lt;&gt;WIP",'Candidate Tracker'!$C:$C,"&lt;&gt;Hold",'Candidate Tracker'!$C:$C,"&lt;&gt;Cancelled",'Candidate Tracker'!$C:$C,"&lt;&gt;Closed")/COUNTIFS('Candidate Tracker'!$E:$E,'Positions Tracker'!$B425)=0,"",COUNTIFS('Candidate Tracker'!$E:$E,'Positions Tracker'!$B425,'Candidate Tracker'!$C:$C,"&lt;&gt;WIP",'Candidate Tracker'!$C:$C,"&lt;&gt;Hold",'Candidate Tracker'!$C:$C,"&lt;&gt;Cancelled",'Candidate Tracker'!$C:$C,"&lt;&gt;Closed")/COUNTIFS('Candidate Tracker'!$E:$E,'Positions Tracker'!$B425)),"")</f>
        <v/>
      </c>
      <c r="BD425" s="30" t="str">
        <f t="shared" si="51"/>
        <v/>
      </c>
      <c r="BE425" s="30" t="str">
        <f t="shared" si="52"/>
        <v/>
      </c>
      <c r="BF425" s="30" t="str">
        <f t="shared" si="53"/>
        <v/>
      </c>
      <c r="BG425" s="30" t="str">
        <f t="shared" si="54"/>
        <v/>
      </c>
    </row>
    <row r="426" spans="1:59">
      <c r="A426" s="39"/>
      <c r="B426" s="39"/>
      <c r="C426" s="39"/>
      <c r="D426" s="39"/>
      <c r="E426" s="39"/>
      <c r="F426" s="39"/>
      <c r="G426" s="39"/>
      <c r="H426" s="39"/>
      <c r="I426" s="40"/>
      <c r="J426" s="40"/>
      <c r="K426" s="35"/>
      <c r="L426" s="35"/>
      <c r="M426" s="35"/>
      <c r="N426" s="39"/>
      <c r="O426" s="39"/>
      <c r="P426" s="39"/>
      <c r="Q426" s="39"/>
      <c r="R426" s="39"/>
      <c r="S426" s="39"/>
      <c r="T426" s="39"/>
      <c r="U426" s="39"/>
      <c r="V426" s="39"/>
      <c r="W426" s="39"/>
      <c r="X426" s="39"/>
      <c r="Y426" s="39"/>
      <c r="Z426" s="39"/>
      <c r="AA426" s="39"/>
      <c r="AB426" s="39"/>
      <c r="AC426" s="39"/>
      <c r="AD426" s="39"/>
      <c r="AE426" s="39"/>
      <c r="AF426" s="39"/>
      <c r="AG426" s="39"/>
      <c r="AH426" s="39"/>
      <c r="AI426" s="35"/>
      <c r="AJ426" s="39"/>
      <c r="AK426" s="39"/>
      <c r="AL426" s="39"/>
      <c r="AM426" s="35"/>
      <c r="AN426" s="35"/>
      <c r="AO426" s="39"/>
      <c r="AP426" s="39"/>
      <c r="AQ426" s="35"/>
      <c r="AR426" s="35"/>
      <c r="AS426" s="35"/>
      <c r="AT426" s="30">
        <f t="shared" ca="1" si="50"/>
        <v>0</v>
      </c>
      <c r="AU426" s="32" t="str">
        <f t="shared" ca="1" si="49"/>
        <v/>
      </c>
      <c r="AV426" s="32" t="str" cm="1">
        <f t="array" aca="1" ref="AV426" ca="1">IFERROR(_xlfn.IFS($AU426="","",$AU426&lt;=15,"0-15",AND($AU426&gt;=16,$AU426&lt;=30),"16-30",AND($AU426&gt;=31,$AU426&lt;=45),"31-45",AND($AU426&gt;=46,$AU426&lt;=60),"46-60",AND($AU426&gt;=61,$AU426&lt;=90),"61-90",AND($AU426&gt;=91),"&gt; 90",AND($AU426&gt;=2000),""),"")</f>
        <v/>
      </c>
      <c r="AW426" s="32" t="str" cm="1">
        <f t="array" aca="1" ref="AW426" ca="1">IFERROR(_xlfn.IFS(OR($M426="",$AM426=""),"",OR($C426="Offered",$C426="Joined"),($AM426-$M426)-$AT426),"")</f>
        <v/>
      </c>
      <c r="AX426" s="32" t="str" cm="1">
        <f t="array" aca="1" ref="AX426" ca="1">IFERROR(_xlfn.IFS(OR($M426="",$AS426=""),"",$C426="Joined",($AS426-$M426)-$AT426),"")</f>
        <v/>
      </c>
      <c r="AY426" s="30" t="str">
        <f>IFERROR(IF(COUNTIFS('Candidate Tracker'!$E:$E,'Positions Tracker'!$B426,'Candidate Tracker'!$C:$C,"Offer Drop")=0,"",COUNTIFS('Candidate Tracker'!$E:$E,'Positions Tracker'!$B426,'Candidate Tracker'!$C:$C,"Offer Drop")),"")</f>
        <v/>
      </c>
      <c r="AZ4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6" s="34" t="str">
        <f>IFERROR(IF(COUNTIFS('Candidate Tracker'!$E:$E,'Positions Tracker'!$B426,'Candidate Tracker'!$I:$I,"Female")=0,"",COUNTIFS('Candidate Tracker'!$E:$E,'Positions Tracker'!$B426,'Candidate Tracker'!$I:$I,"Female")),"")</f>
        <v/>
      </c>
      <c r="BB426" s="34" t="str">
        <f>IFERROR(IF(COUNTIFS('Candidate Tracker'!$E:$E,'Positions Tracker'!$B426,'Candidate Tracker'!$I:$I,"male")=0,"",COUNTIFS('Candidate Tracker'!$E:$E,'Positions Tracker'!$B426,'Candidate Tracker'!$I:$I,"male")),"")</f>
        <v/>
      </c>
      <c r="BC426" s="33" t="str">
        <f>IFERROR(IF(COUNTIFS('Candidate Tracker'!$E:$E,'Positions Tracker'!$B426,'Candidate Tracker'!$C:$C,"&lt;&gt;WIP",'Candidate Tracker'!$C:$C,"&lt;&gt;Hold",'Candidate Tracker'!$C:$C,"&lt;&gt;Cancelled",'Candidate Tracker'!$C:$C,"&lt;&gt;Closed")/COUNTIFS('Candidate Tracker'!$E:$E,'Positions Tracker'!$B426)=0,"",COUNTIFS('Candidate Tracker'!$E:$E,'Positions Tracker'!$B426,'Candidate Tracker'!$C:$C,"&lt;&gt;WIP",'Candidate Tracker'!$C:$C,"&lt;&gt;Hold",'Candidate Tracker'!$C:$C,"&lt;&gt;Cancelled",'Candidate Tracker'!$C:$C,"&lt;&gt;Closed")/COUNTIFS('Candidate Tracker'!$E:$E,'Positions Tracker'!$B426)),"")</f>
        <v/>
      </c>
      <c r="BD426" s="30" t="str">
        <f t="shared" si="51"/>
        <v/>
      </c>
      <c r="BE426" s="30" t="str">
        <f t="shared" si="52"/>
        <v/>
      </c>
      <c r="BF426" s="30" t="str">
        <f t="shared" si="53"/>
        <v/>
      </c>
      <c r="BG426" s="30" t="str">
        <f t="shared" si="54"/>
        <v/>
      </c>
    </row>
    <row r="427" spans="1:59">
      <c r="A427" s="39"/>
      <c r="B427" s="39"/>
      <c r="C427" s="39"/>
      <c r="D427" s="39"/>
      <c r="E427" s="39"/>
      <c r="F427" s="39"/>
      <c r="G427" s="39"/>
      <c r="H427" s="39"/>
      <c r="I427" s="40"/>
      <c r="J427" s="40"/>
      <c r="K427" s="35"/>
      <c r="L427" s="35"/>
      <c r="M427" s="35"/>
      <c r="N427" s="39"/>
      <c r="O427" s="39"/>
      <c r="P427" s="39"/>
      <c r="Q427" s="39"/>
      <c r="R427" s="39"/>
      <c r="S427" s="39"/>
      <c r="T427" s="39"/>
      <c r="U427" s="39"/>
      <c r="V427" s="39"/>
      <c r="W427" s="39"/>
      <c r="X427" s="39"/>
      <c r="Y427" s="39"/>
      <c r="Z427" s="39"/>
      <c r="AA427" s="39"/>
      <c r="AB427" s="39"/>
      <c r="AC427" s="39"/>
      <c r="AD427" s="39"/>
      <c r="AE427" s="39"/>
      <c r="AF427" s="39"/>
      <c r="AG427" s="39"/>
      <c r="AH427" s="39"/>
      <c r="AI427" s="35"/>
      <c r="AJ427" s="39"/>
      <c r="AK427" s="39"/>
      <c r="AL427" s="39"/>
      <c r="AM427" s="35"/>
      <c r="AN427" s="35"/>
      <c r="AO427" s="39"/>
      <c r="AP427" s="39"/>
      <c r="AQ427" s="35"/>
      <c r="AR427" s="35"/>
      <c r="AS427" s="35"/>
      <c r="AT427" s="30">
        <f t="shared" ca="1" si="50"/>
        <v>0</v>
      </c>
      <c r="AU427" s="32" t="str">
        <f t="shared" ca="1" si="49"/>
        <v/>
      </c>
      <c r="AV427" s="32" t="str" cm="1">
        <f t="array" aca="1" ref="AV427" ca="1">IFERROR(_xlfn.IFS($AU427="","",$AU427&lt;=15,"0-15",AND($AU427&gt;=16,$AU427&lt;=30),"16-30",AND($AU427&gt;=31,$AU427&lt;=45),"31-45",AND($AU427&gt;=46,$AU427&lt;=60),"46-60",AND($AU427&gt;=61,$AU427&lt;=90),"61-90",AND($AU427&gt;=91),"&gt; 90",AND($AU427&gt;=2000),""),"")</f>
        <v/>
      </c>
      <c r="AW427" s="32" t="str" cm="1">
        <f t="array" aca="1" ref="AW427" ca="1">IFERROR(_xlfn.IFS(OR($M427="",$AM427=""),"",OR($C427="Offered",$C427="Joined"),($AM427-$M427)-$AT427),"")</f>
        <v/>
      </c>
      <c r="AX427" s="32" t="str" cm="1">
        <f t="array" aca="1" ref="AX427" ca="1">IFERROR(_xlfn.IFS(OR($M427="",$AS427=""),"",$C427="Joined",($AS427-$M427)-$AT427),"")</f>
        <v/>
      </c>
      <c r="AY427" s="30" t="str">
        <f>IFERROR(IF(COUNTIFS('Candidate Tracker'!$E:$E,'Positions Tracker'!$B427,'Candidate Tracker'!$C:$C,"Offer Drop")=0,"",COUNTIFS('Candidate Tracker'!$E:$E,'Positions Tracker'!$B427,'Candidate Tracker'!$C:$C,"Offer Drop")),"")</f>
        <v/>
      </c>
      <c r="AZ4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7" s="34" t="str">
        <f>IFERROR(IF(COUNTIFS('Candidate Tracker'!$E:$E,'Positions Tracker'!$B427,'Candidate Tracker'!$I:$I,"Female")=0,"",COUNTIFS('Candidate Tracker'!$E:$E,'Positions Tracker'!$B427,'Candidate Tracker'!$I:$I,"Female")),"")</f>
        <v/>
      </c>
      <c r="BB427" s="34" t="str">
        <f>IFERROR(IF(COUNTIFS('Candidate Tracker'!$E:$E,'Positions Tracker'!$B427,'Candidate Tracker'!$I:$I,"male")=0,"",COUNTIFS('Candidate Tracker'!$E:$E,'Positions Tracker'!$B427,'Candidate Tracker'!$I:$I,"male")),"")</f>
        <v/>
      </c>
      <c r="BC427" s="33" t="str">
        <f>IFERROR(IF(COUNTIFS('Candidate Tracker'!$E:$E,'Positions Tracker'!$B427,'Candidate Tracker'!$C:$C,"&lt;&gt;WIP",'Candidate Tracker'!$C:$C,"&lt;&gt;Hold",'Candidate Tracker'!$C:$C,"&lt;&gt;Cancelled",'Candidate Tracker'!$C:$C,"&lt;&gt;Closed")/COUNTIFS('Candidate Tracker'!$E:$E,'Positions Tracker'!$B427)=0,"",COUNTIFS('Candidate Tracker'!$E:$E,'Positions Tracker'!$B427,'Candidate Tracker'!$C:$C,"&lt;&gt;WIP",'Candidate Tracker'!$C:$C,"&lt;&gt;Hold",'Candidate Tracker'!$C:$C,"&lt;&gt;Cancelled",'Candidate Tracker'!$C:$C,"&lt;&gt;Closed")/COUNTIFS('Candidate Tracker'!$E:$E,'Positions Tracker'!$B427)),"")</f>
        <v/>
      </c>
      <c r="BD427" s="30" t="str">
        <f t="shared" si="51"/>
        <v/>
      </c>
      <c r="BE427" s="30" t="str">
        <f t="shared" si="52"/>
        <v/>
      </c>
      <c r="BF427" s="30" t="str">
        <f t="shared" si="53"/>
        <v/>
      </c>
      <c r="BG427" s="30" t="str">
        <f t="shared" si="54"/>
        <v/>
      </c>
    </row>
    <row r="428" spans="1:59">
      <c r="A428" s="39"/>
      <c r="B428" s="39"/>
      <c r="C428" s="39"/>
      <c r="D428" s="39"/>
      <c r="E428" s="39"/>
      <c r="F428" s="39"/>
      <c r="G428" s="39"/>
      <c r="H428" s="39"/>
      <c r="I428" s="40"/>
      <c r="J428" s="40"/>
      <c r="K428" s="35"/>
      <c r="L428" s="35"/>
      <c r="M428" s="35"/>
      <c r="N428" s="39"/>
      <c r="O428" s="39"/>
      <c r="P428" s="39"/>
      <c r="Q428" s="39"/>
      <c r="R428" s="39"/>
      <c r="S428" s="39"/>
      <c r="T428" s="39"/>
      <c r="U428" s="39"/>
      <c r="V428" s="39"/>
      <c r="W428" s="39"/>
      <c r="X428" s="39"/>
      <c r="Y428" s="39"/>
      <c r="Z428" s="39"/>
      <c r="AA428" s="39"/>
      <c r="AB428" s="39"/>
      <c r="AC428" s="39"/>
      <c r="AD428" s="39"/>
      <c r="AE428" s="39"/>
      <c r="AF428" s="39"/>
      <c r="AG428" s="39"/>
      <c r="AH428" s="39"/>
      <c r="AI428" s="35"/>
      <c r="AJ428" s="39"/>
      <c r="AK428" s="39"/>
      <c r="AL428" s="39"/>
      <c r="AM428" s="35"/>
      <c r="AN428" s="35"/>
      <c r="AO428" s="39"/>
      <c r="AP428" s="39"/>
      <c r="AQ428" s="35"/>
      <c r="AR428" s="35"/>
      <c r="AS428" s="35"/>
      <c r="AT428" s="30">
        <f t="shared" ca="1" si="50"/>
        <v>0</v>
      </c>
      <c r="AU428" s="32" t="str">
        <f t="shared" ca="1" si="49"/>
        <v/>
      </c>
      <c r="AV428" s="32" t="str" cm="1">
        <f t="array" aca="1" ref="AV428" ca="1">IFERROR(_xlfn.IFS($AU428="","",$AU428&lt;=15,"0-15",AND($AU428&gt;=16,$AU428&lt;=30),"16-30",AND($AU428&gt;=31,$AU428&lt;=45),"31-45",AND($AU428&gt;=46,$AU428&lt;=60),"46-60",AND($AU428&gt;=61,$AU428&lt;=90),"61-90",AND($AU428&gt;=91),"&gt; 90",AND($AU428&gt;=2000),""),"")</f>
        <v/>
      </c>
      <c r="AW428" s="32" t="str" cm="1">
        <f t="array" aca="1" ref="AW428" ca="1">IFERROR(_xlfn.IFS(OR($M428="",$AM428=""),"",OR($C428="Offered",$C428="Joined"),($AM428-$M428)-$AT428),"")</f>
        <v/>
      </c>
      <c r="AX428" s="32" t="str" cm="1">
        <f t="array" aca="1" ref="AX428" ca="1">IFERROR(_xlfn.IFS(OR($M428="",$AS428=""),"",$C428="Joined",($AS428-$M428)-$AT428),"")</f>
        <v/>
      </c>
      <c r="AY428" s="30" t="str">
        <f>IFERROR(IF(COUNTIFS('Candidate Tracker'!$E:$E,'Positions Tracker'!$B428,'Candidate Tracker'!$C:$C,"Offer Drop")=0,"",COUNTIFS('Candidate Tracker'!$E:$E,'Positions Tracker'!$B428,'Candidate Tracker'!$C:$C,"Offer Drop")),"")</f>
        <v/>
      </c>
      <c r="AZ42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8" s="34" t="str">
        <f>IFERROR(IF(COUNTIFS('Candidate Tracker'!$E:$E,'Positions Tracker'!$B428,'Candidate Tracker'!$I:$I,"Female")=0,"",COUNTIFS('Candidate Tracker'!$E:$E,'Positions Tracker'!$B428,'Candidate Tracker'!$I:$I,"Female")),"")</f>
        <v/>
      </c>
      <c r="BB428" s="34" t="str">
        <f>IFERROR(IF(COUNTIFS('Candidate Tracker'!$E:$E,'Positions Tracker'!$B428,'Candidate Tracker'!$I:$I,"male")=0,"",COUNTIFS('Candidate Tracker'!$E:$E,'Positions Tracker'!$B428,'Candidate Tracker'!$I:$I,"male")),"")</f>
        <v/>
      </c>
      <c r="BC428" s="33" t="str">
        <f>IFERROR(IF(COUNTIFS('Candidate Tracker'!$E:$E,'Positions Tracker'!$B428,'Candidate Tracker'!$C:$C,"&lt;&gt;WIP",'Candidate Tracker'!$C:$C,"&lt;&gt;Hold",'Candidate Tracker'!$C:$C,"&lt;&gt;Cancelled",'Candidate Tracker'!$C:$C,"&lt;&gt;Closed")/COUNTIFS('Candidate Tracker'!$E:$E,'Positions Tracker'!$B428)=0,"",COUNTIFS('Candidate Tracker'!$E:$E,'Positions Tracker'!$B428,'Candidate Tracker'!$C:$C,"&lt;&gt;WIP",'Candidate Tracker'!$C:$C,"&lt;&gt;Hold",'Candidate Tracker'!$C:$C,"&lt;&gt;Cancelled",'Candidate Tracker'!$C:$C,"&lt;&gt;Closed")/COUNTIFS('Candidate Tracker'!$E:$E,'Positions Tracker'!$B428)),"")</f>
        <v/>
      </c>
      <c r="BD428" s="30" t="str">
        <f t="shared" si="51"/>
        <v/>
      </c>
      <c r="BE428" s="30" t="str">
        <f t="shared" si="52"/>
        <v/>
      </c>
      <c r="BF428" s="30" t="str">
        <f t="shared" si="53"/>
        <v/>
      </c>
      <c r="BG428" s="30" t="str">
        <f t="shared" si="54"/>
        <v/>
      </c>
    </row>
    <row r="429" spans="1:59">
      <c r="A429" s="39"/>
      <c r="B429" s="39"/>
      <c r="C429" s="39"/>
      <c r="D429" s="39"/>
      <c r="E429" s="39"/>
      <c r="F429" s="39"/>
      <c r="G429" s="39"/>
      <c r="H429" s="39"/>
      <c r="I429" s="40"/>
      <c r="J429" s="40"/>
      <c r="K429" s="35"/>
      <c r="L429" s="35"/>
      <c r="M429" s="35"/>
      <c r="N429" s="39"/>
      <c r="O429" s="39"/>
      <c r="P429" s="39"/>
      <c r="Q429" s="39"/>
      <c r="R429" s="39"/>
      <c r="S429" s="39"/>
      <c r="T429" s="39"/>
      <c r="U429" s="39"/>
      <c r="V429" s="39"/>
      <c r="W429" s="39"/>
      <c r="X429" s="39"/>
      <c r="Y429" s="39"/>
      <c r="Z429" s="39"/>
      <c r="AA429" s="39"/>
      <c r="AB429" s="39"/>
      <c r="AC429" s="39"/>
      <c r="AD429" s="39"/>
      <c r="AE429" s="39"/>
      <c r="AF429" s="39"/>
      <c r="AG429" s="39"/>
      <c r="AH429" s="39"/>
      <c r="AI429" s="35"/>
      <c r="AJ429" s="39"/>
      <c r="AK429" s="39"/>
      <c r="AL429" s="39"/>
      <c r="AM429" s="35"/>
      <c r="AN429" s="35"/>
      <c r="AO429" s="39"/>
      <c r="AP429" s="39"/>
      <c r="AQ429" s="35"/>
      <c r="AR429" s="35"/>
      <c r="AS429" s="35"/>
      <c r="AT429" s="30">
        <f t="shared" ca="1" si="50"/>
        <v>0</v>
      </c>
      <c r="AU429" s="32" t="str">
        <f t="shared" ca="1" si="49"/>
        <v/>
      </c>
      <c r="AV429" s="32" t="str" cm="1">
        <f t="array" aca="1" ref="AV429" ca="1">IFERROR(_xlfn.IFS($AU429="","",$AU429&lt;=15,"0-15",AND($AU429&gt;=16,$AU429&lt;=30),"16-30",AND($AU429&gt;=31,$AU429&lt;=45),"31-45",AND($AU429&gt;=46,$AU429&lt;=60),"46-60",AND($AU429&gt;=61,$AU429&lt;=90),"61-90",AND($AU429&gt;=91),"&gt; 90",AND($AU429&gt;=2000),""),"")</f>
        <v/>
      </c>
      <c r="AW429" s="32" t="str" cm="1">
        <f t="array" aca="1" ref="AW429" ca="1">IFERROR(_xlfn.IFS(OR($M429="",$AM429=""),"",OR($C429="Offered",$C429="Joined"),($AM429-$M429)-$AT429),"")</f>
        <v/>
      </c>
      <c r="AX429" s="32" t="str" cm="1">
        <f t="array" aca="1" ref="AX429" ca="1">IFERROR(_xlfn.IFS(OR($M429="",$AS429=""),"",$C429="Joined",($AS429-$M429)-$AT429),"")</f>
        <v/>
      </c>
      <c r="AY429" s="30" t="str">
        <f>IFERROR(IF(COUNTIFS('Candidate Tracker'!$E:$E,'Positions Tracker'!$B429,'Candidate Tracker'!$C:$C,"Offer Drop")=0,"",COUNTIFS('Candidate Tracker'!$E:$E,'Positions Tracker'!$B429,'Candidate Tracker'!$C:$C,"Offer Drop")),"")</f>
        <v/>
      </c>
      <c r="AZ4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29" s="34" t="str">
        <f>IFERROR(IF(COUNTIFS('Candidate Tracker'!$E:$E,'Positions Tracker'!$B429,'Candidate Tracker'!$I:$I,"Female")=0,"",COUNTIFS('Candidate Tracker'!$E:$E,'Positions Tracker'!$B429,'Candidate Tracker'!$I:$I,"Female")),"")</f>
        <v/>
      </c>
      <c r="BB429" s="34" t="str">
        <f>IFERROR(IF(COUNTIFS('Candidate Tracker'!$E:$E,'Positions Tracker'!$B429,'Candidate Tracker'!$I:$I,"male")=0,"",COUNTIFS('Candidate Tracker'!$E:$E,'Positions Tracker'!$B429,'Candidate Tracker'!$I:$I,"male")),"")</f>
        <v/>
      </c>
      <c r="BC429" s="33" t="str">
        <f>IFERROR(IF(COUNTIFS('Candidate Tracker'!$E:$E,'Positions Tracker'!$B429,'Candidate Tracker'!$C:$C,"&lt;&gt;WIP",'Candidate Tracker'!$C:$C,"&lt;&gt;Hold",'Candidate Tracker'!$C:$C,"&lt;&gt;Cancelled",'Candidate Tracker'!$C:$C,"&lt;&gt;Closed")/COUNTIFS('Candidate Tracker'!$E:$E,'Positions Tracker'!$B429)=0,"",COUNTIFS('Candidate Tracker'!$E:$E,'Positions Tracker'!$B429,'Candidate Tracker'!$C:$C,"&lt;&gt;WIP",'Candidate Tracker'!$C:$C,"&lt;&gt;Hold",'Candidate Tracker'!$C:$C,"&lt;&gt;Cancelled",'Candidate Tracker'!$C:$C,"&lt;&gt;Closed")/COUNTIFS('Candidate Tracker'!$E:$E,'Positions Tracker'!$B429)),"")</f>
        <v/>
      </c>
      <c r="BD429" s="30" t="str">
        <f t="shared" si="51"/>
        <v/>
      </c>
      <c r="BE429" s="30" t="str">
        <f t="shared" si="52"/>
        <v/>
      </c>
      <c r="BF429" s="30" t="str">
        <f t="shared" si="53"/>
        <v/>
      </c>
      <c r="BG429" s="30" t="str">
        <f t="shared" si="54"/>
        <v/>
      </c>
    </row>
    <row r="430" spans="1:59">
      <c r="A430" s="39"/>
      <c r="B430" s="39"/>
      <c r="C430" s="39"/>
      <c r="D430" s="39"/>
      <c r="E430" s="39"/>
      <c r="F430" s="39"/>
      <c r="G430" s="39"/>
      <c r="H430" s="39"/>
      <c r="I430" s="40"/>
      <c r="J430" s="40"/>
      <c r="K430" s="35"/>
      <c r="L430" s="35"/>
      <c r="M430" s="35"/>
      <c r="N430" s="39"/>
      <c r="O430" s="39"/>
      <c r="P430" s="39"/>
      <c r="Q430" s="39"/>
      <c r="R430" s="39"/>
      <c r="S430" s="39"/>
      <c r="T430" s="39"/>
      <c r="U430" s="39"/>
      <c r="V430" s="39"/>
      <c r="W430" s="39"/>
      <c r="X430" s="39"/>
      <c r="Y430" s="39"/>
      <c r="Z430" s="39"/>
      <c r="AA430" s="39"/>
      <c r="AB430" s="39"/>
      <c r="AC430" s="39"/>
      <c r="AD430" s="39"/>
      <c r="AE430" s="39"/>
      <c r="AF430" s="39"/>
      <c r="AG430" s="39"/>
      <c r="AH430" s="39"/>
      <c r="AI430" s="35"/>
      <c r="AJ430" s="39"/>
      <c r="AK430" s="39"/>
      <c r="AL430" s="39"/>
      <c r="AM430" s="35"/>
      <c r="AN430" s="35"/>
      <c r="AO430" s="39"/>
      <c r="AP430" s="39"/>
      <c r="AQ430" s="35"/>
      <c r="AR430" s="35"/>
      <c r="AS430" s="35"/>
      <c r="AT430" s="30">
        <f t="shared" ca="1" si="50"/>
        <v>0</v>
      </c>
      <c r="AU430" s="32" t="str">
        <f t="shared" ca="1" si="49"/>
        <v/>
      </c>
      <c r="AV430" s="32" t="str" cm="1">
        <f t="array" aca="1" ref="AV430" ca="1">IFERROR(_xlfn.IFS($AU430="","",$AU430&lt;=15,"0-15",AND($AU430&gt;=16,$AU430&lt;=30),"16-30",AND($AU430&gt;=31,$AU430&lt;=45),"31-45",AND($AU430&gt;=46,$AU430&lt;=60),"46-60",AND($AU430&gt;=61,$AU430&lt;=90),"61-90",AND($AU430&gt;=91),"&gt; 90",AND($AU430&gt;=2000),""),"")</f>
        <v/>
      </c>
      <c r="AW430" s="32" t="str" cm="1">
        <f t="array" aca="1" ref="AW430" ca="1">IFERROR(_xlfn.IFS(OR($M430="",$AM430=""),"",OR($C430="Offered",$C430="Joined"),($AM430-$M430)-$AT430),"")</f>
        <v/>
      </c>
      <c r="AX430" s="32" t="str" cm="1">
        <f t="array" aca="1" ref="AX430" ca="1">IFERROR(_xlfn.IFS(OR($M430="",$AS430=""),"",$C430="Joined",($AS430-$M430)-$AT430),"")</f>
        <v/>
      </c>
      <c r="AY430" s="30" t="str">
        <f>IFERROR(IF(COUNTIFS('Candidate Tracker'!$E:$E,'Positions Tracker'!$B430,'Candidate Tracker'!$C:$C,"Offer Drop")=0,"",COUNTIFS('Candidate Tracker'!$E:$E,'Positions Tracker'!$B430,'Candidate Tracker'!$C:$C,"Offer Drop")),"")</f>
        <v/>
      </c>
      <c r="AZ4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0" s="34" t="str">
        <f>IFERROR(IF(COUNTIFS('Candidate Tracker'!$E:$E,'Positions Tracker'!$B430,'Candidate Tracker'!$I:$I,"Female")=0,"",COUNTIFS('Candidate Tracker'!$E:$E,'Positions Tracker'!$B430,'Candidate Tracker'!$I:$I,"Female")),"")</f>
        <v/>
      </c>
      <c r="BB430" s="34" t="str">
        <f>IFERROR(IF(COUNTIFS('Candidate Tracker'!$E:$E,'Positions Tracker'!$B430,'Candidate Tracker'!$I:$I,"male")=0,"",COUNTIFS('Candidate Tracker'!$E:$E,'Positions Tracker'!$B430,'Candidate Tracker'!$I:$I,"male")),"")</f>
        <v/>
      </c>
      <c r="BC430" s="33" t="str">
        <f>IFERROR(IF(COUNTIFS('Candidate Tracker'!$E:$E,'Positions Tracker'!$B430,'Candidate Tracker'!$C:$C,"&lt;&gt;WIP",'Candidate Tracker'!$C:$C,"&lt;&gt;Hold",'Candidate Tracker'!$C:$C,"&lt;&gt;Cancelled",'Candidate Tracker'!$C:$C,"&lt;&gt;Closed")/COUNTIFS('Candidate Tracker'!$E:$E,'Positions Tracker'!$B430)=0,"",COUNTIFS('Candidate Tracker'!$E:$E,'Positions Tracker'!$B430,'Candidate Tracker'!$C:$C,"&lt;&gt;WIP",'Candidate Tracker'!$C:$C,"&lt;&gt;Hold",'Candidate Tracker'!$C:$C,"&lt;&gt;Cancelled",'Candidate Tracker'!$C:$C,"&lt;&gt;Closed")/COUNTIFS('Candidate Tracker'!$E:$E,'Positions Tracker'!$B430)),"")</f>
        <v/>
      </c>
      <c r="BD430" s="30" t="str">
        <f t="shared" si="51"/>
        <v/>
      </c>
      <c r="BE430" s="30" t="str">
        <f t="shared" si="52"/>
        <v/>
      </c>
      <c r="BF430" s="30" t="str">
        <f t="shared" si="53"/>
        <v/>
      </c>
      <c r="BG430" s="30" t="str">
        <f t="shared" si="54"/>
        <v/>
      </c>
    </row>
    <row r="431" spans="1:59">
      <c r="A431" s="39"/>
      <c r="B431" s="39"/>
      <c r="C431" s="39"/>
      <c r="D431" s="39"/>
      <c r="E431" s="39"/>
      <c r="F431" s="39"/>
      <c r="G431" s="39"/>
      <c r="H431" s="39"/>
      <c r="I431" s="40"/>
      <c r="J431" s="40"/>
      <c r="K431" s="35"/>
      <c r="L431" s="35"/>
      <c r="M431" s="35"/>
      <c r="N431" s="39"/>
      <c r="O431" s="39"/>
      <c r="P431" s="39"/>
      <c r="Q431" s="39"/>
      <c r="R431" s="39"/>
      <c r="S431" s="39"/>
      <c r="T431" s="39"/>
      <c r="U431" s="39"/>
      <c r="V431" s="39"/>
      <c r="W431" s="39"/>
      <c r="X431" s="39"/>
      <c r="Y431" s="39"/>
      <c r="Z431" s="39"/>
      <c r="AA431" s="39"/>
      <c r="AB431" s="39"/>
      <c r="AC431" s="39"/>
      <c r="AD431" s="39"/>
      <c r="AE431" s="39"/>
      <c r="AF431" s="39"/>
      <c r="AG431" s="39"/>
      <c r="AH431" s="39"/>
      <c r="AI431" s="35"/>
      <c r="AJ431" s="39"/>
      <c r="AK431" s="39"/>
      <c r="AL431" s="39"/>
      <c r="AM431" s="35"/>
      <c r="AN431" s="35"/>
      <c r="AO431" s="39"/>
      <c r="AP431" s="39"/>
      <c r="AQ431" s="35"/>
      <c r="AR431" s="35"/>
      <c r="AS431" s="35"/>
      <c r="AT431" s="30">
        <f t="shared" ca="1" si="50"/>
        <v>0</v>
      </c>
      <c r="AU431" s="32" t="str">
        <f t="shared" ca="1" si="49"/>
        <v/>
      </c>
      <c r="AV431" s="32" t="str" cm="1">
        <f t="array" aca="1" ref="AV431" ca="1">IFERROR(_xlfn.IFS($AU431="","",$AU431&lt;=15,"0-15",AND($AU431&gt;=16,$AU431&lt;=30),"16-30",AND($AU431&gt;=31,$AU431&lt;=45),"31-45",AND($AU431&gt;=46,$AU431&lt;=60),"46-60",AND($AU431&gt;=61,$AU431&lt;=90),"61-90",AND($AU431&gt;=91),"&gt; 90",AND($AU431&gt;=2000),""),"")</f>
        <v/>
      </c>
      <c r="AW431" s="32" t="str" cm="1">
        <f t="array" aca="1" ref="AW431" ca="1">IFERROR(_xlfn.IFS(OR($M431="",$AM431=""),"",OR($C431="Offered",$C431="Joined"),($AM431-$M431)-$AT431),"")</f>
        <v/>
      </c>
      <c r="AX431" s="32" t="str" cm="1">
        <f t="array" aca="1" ref="AX431" ca="1">IFERROR(_xlfn.IFS(OR($M431="",$AS431=""),"",$C431="Joined",($AS431-$M431)-$AT431),"")</f>
        <v/>
      </c>
      <c r="AY431" s="30" t="str">
        <f>IFERROR(IF(COUNTIFS('Candidate Tracker'!$E:$E,'Positions Tracker'!$B431,'Candidate Tracker'!$C:$C,"Offer Drop")=0,"",COUNTIFS('Candidate Tracker'!$E:$E,'Positions Tracker'!$B431,'Candidate Tracker'!$C:$C,"Offer Drop")),"")</f>
        <v/>
      </c>
      <c r="AZ4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1" s="34" t="str">
        <f>IFERROR(IF(COUNTIFS('Candidate Tracker'!$E:$E,'Positions Tracker'!$B431,'Candidate Tracker'!$I:$I,"Female")=0,"",COUNTIFS('Candidate Tracker'!$E:$E,'Positions Tracker'!$B431,'Candidate Tracker'!$I:$I,"Female")),"")</f>
        <v/>
      </c>
      <c r="BB431" s="34" t="str">
        <f>IFERROR(IF(COUNTIFS('Candidate Tracker'!$E:$E,'Positions Tracker'!$B431,'Candidate Tracker'!$I:$I,"male")=0,"",COUNTIFS('Candidate Tracker'!$E:$E,'Positions Tracker'!$B431,'Candidate Tracker'!$I:$I,"male")),"")</f>
        <v/>
      </c>
      <c r="BC431" s="33" t="str">
        <f>IFERROR(IF(COUNTIFS('Candidate Tracker'!$E:$E,'Positions Tracker'!$B431,'Candidate Tracker'!$C:$C,"&lt;&gt;WIP",'Candidate Tracker'!$C:$C,"&lt;&gt;Hold",'Candidate Tracker'!$C:$C,"&lt;&gt;Cancelled",'Candidate Tracker'!$C:$C,"&lt;&gt;Closed")/COUNTIFS('Candidate Tracker'!$E:$E,'Positions Tracker'!$B431)=0,"",COUNTIFS('Candidate Tracker'!$E:$E,'Positions Tracker'!$B431,'Candidate Tracker'!$C:$C,"&lt;&gt;WIP",'Candidate Tracker'!$C:$C,"&lt;&gt;Hold",'Candidate Tracker'!$C:$C,"&lt;&gt;Cancelled",'Candidate Tracker'!$C:$C,"&lt;&gt;Closed")/COUNTIFS('Candidate Tracker'!$E:$E,'Positions Tracker'!$B431)),"")</f>
        <v/>
      </c>
      <c r="BD431" s="30" t="str">
        <f t="shared" si="51"/>
        <v/>
      </c>
      <c r="BE431" s="30" t="str">
        <f t="shared" si="52"/>
        <v/>
      </c>
      <c r="BF431" s="30" t="str">
        <f t="shared" si="53"/>
        <v/>
      </c>
      <c r="BG431" s="30" t="str">
        <f t="shared" si="54"/>
        <v/>
      </c>
    </row>
    <row r="432" spans="1:59">
      <c r="A432" s="39"/>
      <c r="B432" s="39"/>
      <c r="C432" s="39"/>
      <c r="D432" s="39"/>
      <c r="E432" s="39"/>
      <c r="F432" s="39"/>
      <c r="G432" s="39"/>
      <c r="H432" s="39"/>
      <c r="I432" s="40"/>
      <c r="J432" s="40"/>
      <c r="K432" s="35"/>
      <c r="L432" s="35"/>
      <c r="M432" s="35"/>
      <c r="N432" s="39"/>
      <c r="O432" s="39"/>
      <c r="P432" s="39"/>
      <c r="Q432" s="39"/>
      <c r="R432" s="39"/>
      <c r="S432" s="39"/>
      <c r="T432" s="39"/>
      <c r="U432" s="39"/>
      <c r="V432" s="39"/>
      <c r="W432" s="39"/>
      <c r="X432" s="39"/>
      <c r="Y432" s="39"/>
      <c r="Z432" s="39"/>
      <c r="AA432" s="39"/>
      <c r="AB432" s="39"/>
      <c r="AC432" s="39"/>
      <c r="AD432" s="39"/>
      <c r="AE432" s="39"/>
      <c r="AF432" s="39"/>
      <c r="AG432" s="39"/>
      <c r="AH432" s="39"/>
      <c r="AI432" s="35"/>
      <c r="AJ432" s="39"/>
      <c r="AK432" s="39"/>
      <c r="AL432" s="39"/>
      <c r="AM432" s="35"/>
      <c r="AN432" s="35"/>
      <c r="AO432" s="39"/>
      <c r="AP432" s="39"/>
      <c r="AQ432" s="35"/>
      <c r="AR432" s="35"/>
      <c r="AS432" s="35"/>
      <c r="AT432" s="30">
        <f t="shared" ca="1" si="50"/>
        <v>0</v>
      </c>
      <c r="AU432" s="32" t="str">
        <f t="shared" ca="1" si="49"/>
        <v/>
      </c>
      <c r="AV432" s="32" t="str" cm="1">
        <f t="array" aca="1" ref="AV432" ca="1">IFERROR(_xlfn.IFS($AU432="","",$AU432&lt;=15,"0-15",AND($AU432&gt;=16,$AU432&lt;=30),"16-30",AND($AU432&gt;=31,$AU432&lt;=45),"31-45",AND($AU432&gt;=46,$AU432&lt;=60),"46-60",AND($AU432&gt;=61,$AU432&lt;=90),"61-90",AND($AU432&gt;=91),"&gt; 90",AND($AU432&gt;=2000),""),"")</f>
        <v/>
      </c>
      <c r="AW432" s="32" t="str" cm="1">
        <f t="array" aca="1" ref="AW432" ca="1">IFERROR(_xlfn.IFS(OR($M432="",$AM432=""),"",OR($C432="Offered",$C432="Joined"),($AM432-$M432)-$AT432),"")</f>
        <v/>
      </c>
      <c r="AX432" s="32" t="str" cm="1">
        <f t="array" aca="1" ref="AX432" ca="1">IFERROR(_xlfn.IFS(OR($M432="",$AS432=""),"",$C432="Joined",($AS432-$M432)-$AT432),"")</f>
        <v/>
      </c>
      <c r="AY432" s="30" t="str">
        <f>IFERROR(IF(COUNTIFS('Candidate Tracker'!$E:$E,'Positions Tracker'!$B432,'Candidate Tracker'!$C:$C,"Offer Drop")=0,"",COUNTIFS('Candidate Tracker'!$E:$E,'Positions Tracker'!$B432,'Candidate Tracker'!$C:$C,"Offer Drop")),"")</f>
        <v/>
      </c>
      <c r="AZ4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2" s="34" t="str">
        <f>IFERROR(IF(COUNTIFS('Candidate Tracker'!$E:$E,'Positions Tracker'!$B432,'Candidate Tracker'!$I:$I,"Female")=0,"",COUNTIFS('Candidate Tracker'!$E:$E,'Positions Tracker'!$B432,'Candidate Tracker'!$I:$I,"Female")),"")</f>
        <v/>
      </c>
      <c r="BB432" s="34" t="str">
        <f>IFERROR(IF(COUNTIFS('Candidate Tracker'!$E:$E,'Positions Tracker'!$B432,'Candidate Tracker'!$I:$I,"male")=0,"",COUNTIFS('Candidate Tracker'!$E:$E,'Positions Tracker'!$B432,'Candidate Tracker'!$I:$I,"male")),"")</f>
        <v/>
      </c>
      <c r="BC432" s="33" t="str">
        <f>IFERROR(IF(COUNTIFS('Candidate Tracker'!$E:$E,'Positions Tracker'!$B432,'Candidate Tracker'!$C:$C,"&lt;&gt;WIP",'Candidate Tracker'!$C:$C,"&lt;&gt;Hold",'Candidate Tracker'!$C:$C,"&lt;&gt;Cancelled",'Candidate Tracker'!$C:$C,"&lt;&gt;Closed")/COUNTIFS('Candidate Tracker'!$E:$E,'Positions Tracker'!$B432)=0,"",COUNTIFS('Candidate Tracker'!$E:$E,'Positions Tracker'!$B432,'Candidate Tracker'!$C:$C,"&lt;&gt;WIP",'Candidate Tracker'!$C:$C,"&lt;&gt;Hold",'Candidate Tracker'!$C:$C,"&lt;&gt;Cancelled",'Candidate Tracker'!$C:$C,"&lt;&gt;Closed")/COUNTIFS('Candidate Tracker'!$E:$E,'Positions Tracker'!$B432)),"")</f>
        <v/>
      </c>
      <c r="BD432" s="30" t="str">
        <f t="shared" si="51"/>
        <v/>
      </c>
      <c r="BE432" s="30" t="str">
        <f t="shared" si="52"/>
        <v/>
      </c>
      <c r="BF432" s="30" t="str">
        <f t="shared" si="53"/>
        <v/>
      </c>
      <c r="BG432" s="30" t="str">
        <f t="shared" si="54"/>
        <v/>
      </c>
    </row>
    <row r="433" spans="1:59">
      <c r="A433" s="39"/>
      <c r="B433" s="39"/>
      <c r="C433" s="39"/>
      <c r="D433" s="39"/>
      <c r="E433" s="39"/>
      <c r="F433" s="39"/>
      <c r="G433" s="39"/>
      <c r="H433" s="39"/>
      <c r="I433" s="40"/>
      <c r="J433" s="40"/>
      <c r="K433" s="35"/>
      <c r="L433" s="35"/>
      <c r="M433" s="35"/>
      <c r="N433" s="39"/>
      <c r="O433" s="39"/>
      <c r="P433" s="39"/>
      <c r="Q433" s="39"/>
      <c r="R433" s="39"/>
      <c r="S433" s="39"/>
      <c r="T433" s="39"/>
      <c r="U433" s="39"/>
      <c r="V433" s="39"/>
      <c r="W433" s="39"/>
      <c r="X433" s="39"/>
      <c r="Y433" s="39"/>
      <c r="Z433" s="39"/>
      <c r="AA433" s="39"/>
      <c r="AB433" s="39"/>
      <c r="AC433" s="39"/>
      <c r="AD433" s="39"/>
      <c r="AE433" s="39"/>
      <c r="AF433" s="39"/>
      <c r="AG433" s="39"/>
      <c r="AH433" s="39"/>
      <c r="AI433" s="35"/>
      <c r="AJ433" s="39"/>
      <c r="AK433" s="39"/>
      <c r="AL433" s="39"/>
      <c r="AM433" s="35"/>
      <c r="AN433" s="35"/>
      <c r="AO433" s="39"/>
      <c r="AP433" s="39"/>
      <c r="AQ433" s="35"/>
      <c r="AR433" s="35"/>
      <c r="AS433" s="35"/>
      <c r="AT433" s="30">
        <f t="shared" ca="1" si="50"/>
        <v>0</v>
      </c>
      <c r="AU433" s="32" t="str">
        <f t="shared" ca="1" si="49"/>
        <v/>
      </c>
      <c r="AV433" s="32" t="str" cm="1">
        <f t="array" aca="1" ref="AV433" ca="1">IFERROR(_xlfn.IFS($AU433="","",$AU433&lt;=15,"0-15",AND($AU433&gt;=16,$AU433&lt;=30),"16-30",AND($AU433&gt;=31,$AU433&lt;=45),"31-45",AND($AU433&gt;=46,$AU433&lt;=60),"46-60",AND($AU433&gt;=61,$AU433&lt;=90),"61-90",AND($AU433&gt;=91),"&gt; 90",AND($AU433&gt;=2000),""),"")</f>
        <v/>
      </c>
      <c r="AW433" s="32" t="str" cm="1">
        <f t="array" aca="1" ref="AW433" ca="1">IFERROR(_xlfn.IFS(OR($M433="",$AM433=""),"",OR($C433="Offered",$C433="Joined"),($AM433-$M433)-$AT433),"")</f>
        <v/>
      </c>
      <c r="AX433" s="32" t="str" cm="1">
        <f t="array" aca="1" ref="AX433" ca="1">IFERROR(_xlfn.IFS(OR($M433="",$AS433=""),"",$C433="Joined",($AS433-$M433)-$AT433),"")</f>
        <v/>
      </c>
      <c r="AY433" s="30" t="str">
        <f>IFERROR(IF(COUNTIFS('Candidate Tracker'!$E:$E,'Positions Tracker'!$B433,'Candidate Tracker'!$C:$C,"Offer Drop")=0,"",COUNTIFS('Candidate Tracker'!$E:$E,'Positions Tracker'!$B433,'Candidate Tracker'!$C:$C,"Offer Drop")),"")</f>
        <v/>
      </c>
      <c r="AZ4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3" s="34" t="str">
        <f>IFERROR(IF(COUNTIFS('Candidate Tracker'!$E:$E,'Positions Tracker'!$B433,'Candidate Tracker'!$I:$I,"Female")=0,"",COUNTIFS('Candidate Tracker'!$E:$E,'Positions Tracker'!$B433,'Candidate Tracker'!$I:$I,"Female")),"")</f>
        <v/>
      </c>
      <c r="BB433" s="34" t="str">
        <f>IFERROR(IF(COUNTIFS('Candidate Tracker'!$E:$E,'Positions Tracker'!$B433,'Candidate Tracker'!$I:$I,"male")=0,"",COUNTIFS('Candidate Tracker'!$E:$E,'Positions Tracker'!$B433,'Candidate Tracker'!$I:$I,"male")),"")</f>
        <v/>
      </c>
      <c r="BC433" s="33" t="str">
        <f>IFERROR(IF(COUNTIFS('Candidate Tracker'!$E:$E,'Positions Tracker'!$B433,'Candidate Tracker'!$C:$C,"&lt;&gt;WIP",'Candidate Tracker'!$C:$C,"&lt;&gt;Hold",'Candidate Tracker'!$C:$C,"&lt;&gt;Cancelled",'Candidate Tracker'!$C:$C,"&lt;&gt;Closed")/COUNTIFS('Candidate Tracker'!$E:$E,'Positions Tracker'!$B433)=0,"",COUNTIFS('Candidate Tracker'!$E:$E,'Positions Tracker'!$B433,'Candidate Tracker'!$C:$C,"&lt;&gt;WIP",'Candidate Tracker'!$C:$C,"&lt;&gt;Hold",'Candidate Tracker'!$C:$C,"&lt;&gt;Cancelled",'Candidate Tracker'!$C:$C,"&lt;&gt;Closed")/COUNTIFS('Candidate Tracker'!$E:$E,'Positions Tracker'!$B433)),"")</f>
        <v/>
      </c>
      <c r="BD433" s="30" t="str">
        <f t="shared" si="51"/>
        <v/>
      </c>
      <c r="BE433" s="30" t="str">
        <f t="shared" si="52"/>
        <v/>
      </c>
      <c r="BF433" s="30" t="str">
        <f t="shared" si="53"/>
        <v/>
      </c>
      <c r="BG433" s="30" t="str">
        <f t="shared" si="54"/>
        <v/>
      </c>
    </row>
    <row r="434" spans="1:59">
      <c r="A434" s="39"/>
      <c r="B434" s="39"/>
      <c r="C434" s="39"/>
      <c r="D434" s="39"/>
      <c r="E434" s="39"/>
      <c r="F434" s="39"/>
      <c r="G434" s="39"/>
      <c r="H434" s="39"/>
      <c r="I434" s="40"/>
      <c r="J434" s="40"/>
      <c r="K434" s="35"/>
      <c r="L434" s="35"/>
      <c r="M434" s="35"/>
      <c r="N434" s="39"/>
      <c r="O434" s="39"/>
      <c r="P434" s="39"/>
      <c r="Q434" s="39"/>
      <c r="R434" s="39"/>
      <c r="S434" s="39"/>
      <c r="T434" s="39"/>
      <c r="U434" s="39"/>
      <c r="V434" s="39"/>
      <c r="W434" s="39"/>
      <c r="X434" s="39"/>
      <c r="Y434" s="39"/>
      <c r="Z434" s="39"/>
      <c r="AA434" s="39"/>
      <c r="AB434" s="39"/>
      <c r="AC434" s="39"/>
      <c r="AD434" s="39"/>
      <c r="AE434" s="39"/>
      <c r="AF434" s="39"/>
      <c r="AG434" s="39"/>
      <c r="AH434" s="39"/>
      <c r="AI434" s="35"/>
      <c r="AJ434" s="39"/>
      <c r="AK434" s="39"/>
      <c r="AL434" s="39"/>
      <c r="AM434" s="35"/>
      <c r="AN434" s="35"/>
      <c r="AO434" s="39"/>
      <c r="AP434" s="39"/>
      <c r="AQ434" s="35"/>
      <c r="AR434" s="35"/>
      <c r="AS434" s="35"/>
      <c r="AT434" s="30">
        <f t="shared" ca="1" si="50"/>
        <v>0</v>
      </c>
      <c r="AU434" s="32" t="str">
        <f t="shared" ca="1" si="49"/>
        <v/>
      </c>
      <c r="AV434" s="32" t="str" cm="1">
        <f t="array" aca="1" ref="AV434" ca="1">IFERROR(_xlfn.IFS($AU434="","",$AU434&lt;=15,"0-15",AND($AU434&gt;=16,$AU434&lt;=30),"16-30",AND($AU434&gt;=31,$AU434&lt;=45),"31-45",AND($AU434&gt;=46,$AU434&lt;=60),"46-60",AND($AU434&gt;=61,$AU434&lt;=90),"61-90",AND($AU434&gt;=91),"&gt; 90",AND($AU434&gt;=2000),""),"")</f>
        <v/>
      </c>
      <c r="AW434" s="32" t="str" cm="1">
        <f t="array" aca="1" ref="AW434" ca="1">IFERROR(_xlfn.IFS(OR($M434="",$AM434=""),"",OR($C434="Offered",$C434="Joined"),($AM434-$M434)-$AT434),"")</f>
        <v/>
      </c>
      <c r="AX434" s="32" t="str" cm="1">
        <f t="array" aca="1" ref="AX434" ca="1">IFERROR(_xlfn.IFS(OR($M434="",$AS434=""),"",$C434="Joined",($AS434-$M434)-$AT434),"")</f>
        <v/>
      </c>
      <c r="AY434" s="30" t="str">
        <f>IFERROR(IF(COUNTIFS('Candidate Tracker'!$E:$E,'Positions Tracker'!$B434,'Candidate Tracker'!$C:$C,"Offer Drop")=0,"",COUNTIFS('Candidate Tracker'!$E:$E,'Positions Tracker'!$B434,'Candidate Tracker'!$C:$C,"Offer Drop")),"")</f>
        <v/>
      </c>
      <c r="AZ4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4" s="34" t="str">
        <f>IFERROR(IF(COUNTIFS('Candidate Tracker'!$E:$E,'Positions Tracker'!$B434,'Candidate Tracker'!$I:$I,"Female")=0,"",COUNTIFS('Candidate Tracker'!$E:$E,'Positions Tracker'!$B434,'Candidate Tracker'!$I:$I,"Female")),"")</f>
        <v/>
      </c>
      <c r="BB434" s="34" t="str">
        <f>IFERROR(IF(COUNTIFS('Candidate Tracker'!$E:$E,'Positions Tracker'!$B434,'Candidate Tracker'!$I:$I,"male")=0,"",COUNTIFS('Candidate Tracker'!$E:$E,'Positions Tracker'!$B434,'Candidate Tracker'!$I:$I,"male")),"")</f>
        <v/>
      </c>
      <c r="BC434" s="33" t="str">
        <f>IFERROR(IF(COUNTIFS('Candidate Tracker'!$E:$E,'Positions Tracker'!$B434,'Candidate Tracker'!$C:$C,"&lt;&gt;WIP",'Candidate Tracker'!$C:$C,"&lt;&gt;Hold",'Candidate Tracker'!$C:$C,"&lt;&gt;Cancelled",'Candidate Tracker'!$C:$C,"&lt;&gt;Closed")/COUNTIFS('Candidate Tracker'!$E:$E,'Positions Tracker'!$B434)=0,"",COUNTIFS('Candidate Tracker'!$E:$E,'Positions Tracker'!$B434,'Candidate Tracker'!$C:$C,"&lt;&gt;WIP",'Candidate Tracker'!$C:$C,"&lt;&gt;Hold",'Candidate Tracker'!$C:$C,"&lt;&gt;Cancelled",'Candidate Tracker'!$C:$C,"&lt;&gt;Closed")/COUNTIFS('Candidate Tracker'!$E:$E,'Positions Tracker'!$B434)),"")</f>
        <v/>
      </c>
      <c r="BD434" s="30" t="str">
        <f t="shared" si="51"/>
        <v/>
      </c>
      <c r="BE434" s="30" t="str">
        <f t="shared" si="52"/>
        <v/>
      </c>
      <c r="BF434" s="30" t="str">
        <f t="shared" si="53"/>
        <v/>
      </c>
      <c r="BG434" s="30" t="str">
        <f t="shared" si="54"/>
        <v/>
      </c>
    </row>
    <row r="435" spans="1:59">
      <c r="A435" s="39"/>
      <c r="B435" s="39"/>
      <c r="C435" s="39"/>
      <c r="D435" s="39"/>
      <c r="E435" s="39"/>
      <c r="F435" s="39"/>
      <c r="G435" s="39"/>
      <c r="H435" s="39"/>
      <c r="I435" s="40"/>
      <c r="J435" s="40"/>
      <c r="K435" s="35"/>
      <c r="L435" s="35"/>
      <c r="M435" s="35"/>
      <c r="N435" s="39"/>
      <c r="O435" s="39"/>
      <c r="P435" s="39"/>
      <c r="Q435" s="39"/>
      <c r="R435" s="39"/>
      <c r="S435" s="39"/>
      <c r="T435" s="39"/>
      <c r="U435" s="39"/>
      <c r="V435" s="39"/>
      <c r="W435" s="39"/>
      <c r="X435" s="39"/>
      <c r="Y435" s="39"/>
      <c r="Z435" s="39"/>
      <c r="AA435" s="39"/>
      <c r="AB435" s="39"/>
      <c r="AC435" s="39"/>
      <c r="AD435" s="39"/>
      <c r="AE435" s="39"/>
      <c r="AF435" s="39"/>
      <c r="AG435" s="39"/>
      <c r="AH435" s="39"/>
      <c r="AI435" s="35"/>
      <c r="AJ435" s="39"/>
      <c r="AK435" s="39"/>
      <c r="AL435" s="39"/>
      <c r="AM435" s="35"/>
      <c r="AN435" s="35"/>
      <c r="AO435" s="39"/>
      <c r="AP435" s="39"/>
      <c r="AQ435" s="35"/>
      <c r="AR435" s="35"/>
      <c r="AS435" s="35"/>
      <c r="AT435" s="30">
        <f t="shared" ca="1" si="50"/>
        <v>0</v>
      </c>
      <c r="AU435" s="32" t="str">
        <f t="shared" ca="1" si="49"/>
        <v/>
      </c>
      <c r="AV435" s="32" t="str" cm="1">
        <f t="array" aca="1" ref="AV435" ca="1">IFERROR(_xlfn.IFS($AU435="","",$AU435&lt;=15,"0-15",AND($AU435&gt;=16,$AU435&lt;=30),"16-30",AND($AU435&gt;=31,$AU435&lt;=45),"31-45",AND($AU435&gt;=46,$AU435&lt;=60),"46-60",AND($AU435&gt;=61,$AU435&lt;=90),"61-90",AND($AU435&gt;=91),"&gt; 90",AND($AU435&gt;=2000),""),"")</f>
        <v/>
      </c>
      <c r="AW435" s="32" t="str" cm="1">
        <f t="array" aca="1" ref="AW435" ca="1">IFERROR(_xlfn.IFS(OR($M435="",$AM435=""),"",OR($C435="Offered",$C435="Joined"),($AM435-$M435)-$AT435),"")</f>
        <v/>
      </c>
      <c r="AX435" s="32" t="str" cm="1">
        <f t="array" aca="1" ref="AX435" ca="1">IFERROR(_xlfn.IFS(OR($M435="",$AS435=""),"",$C435="Joined",($AS435-$M435)-$AT435),"")</f>
        <v/>
      </c>
      <c r="AY435" s="30" t="str">
        <f>IFERROR(IF(COUNTIFS('Candidate Tracker'!$E:$E,'Positions Tracker'!$B435,'Candidate Tracker'!$C:$C,"Offer Drop")=0,"",COUNTIFS('Candidate Tracker'!$E:$E,'Positions Tracker'!$B435,'Candidate Tracker'!$C:$C,"Offer Drop")),"")</f>
        <v/>
      </c>
      <c r="AZ4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5" s="34" t="str">
        <f>IFERROR(IF(COUNTIFS('Candidate Tracker'!$E:$E,'Positions Tracker'!$B435,'Candidate Tracker'!$I:$I,"Female")=0,"",COUNTIFS('Candidate Tracker'!$E:$E,'Positions Tracker'!$B435,'Candidate Tracker'!$I:$I,"Female")),"")</f>
        <v/>
      </c>
      <c r="BB435" s="34" t="str">
        <f>IFERROR(IF(COUNTIFS('Candidate Tracker'!$E:$E,'Positions Tracker'!$B435,'Candidate Tracker'!$I:$I,"male")=0,"",COUNTIFS('Candidate Tracker'!$E:$E,'Positions Tracker'!$B435,'Candidate Tracker'!$I:$I,"male")),"")</f>
        <v/>
      </c>
      <c r="BC435" s="33" t="str">
        <f>IFERROR(IF(COUNTIFS('Candidate Tracker'!$E:$E,'Positions Tracker'!$B435,'Candidate Tracker'!$C:$C,"&lt;&gt;WIP",'Candidate Tracker'!$C:$C,"&lt;&gt;Hold",'Candidate Tracker'!$C:$C,"&lt;&gt;Cancelled",'Candidate Tracker'!$C:$C,"&lt;&gt;Closed")/COUNTIFS('Candidate Tracker'!$E:$E,'Positions Tracker'!$B435)=0,"",COUNTIFS('Candidate Tracker'!$E:$E,'Positions Tracker'!$B435,'Candidate Tracker'!$C:$C,"&lt;&gt;WIP",'Candidate Tracker'!$C:$C,"&lt;&gt;Hold",'Candidate Tracker'!$C:$C,"&lt;&gt;Cancelled",'Candidate Tracker'!$C:$C,"&lt;&gt;Closed")/COUNTIFS('Candidate Tracker'!$E:$E,'Positions Tracker'!$B435)),"")</f>
        <v/>
      </c>
      <c r="BD435" s="30" t="str">
        <f t="shared" si="51"/>
        <v/>
      </c>
      <c r="BE435" s="30" t="str">
        <f t="shared" si="52"/>
        <v/>
      </c>
      <c r="BF435" s="30" t="str">
        <f t="shared" si="53"/>
        <v/>
      </c>
      <c r="BG435" s="30" t="str">
        <f t="shared" si="54"/>
        <v/>
      </c>
    </row>
    <row r="436" spans="1:59">
      <c r="A436" s="39"/>
      <c r="B436" s="39"/>
      <c r="C436" s="39"/>
      <c r="D436" s="39"/>
      <c r="E436" s="39"/>
      <c r="F436" s="39"/>
      <c r="G436" s="39"/>
      <c r="H436" s="39"/>
      <c r="I436" s="40"/>
      <c r="J436" s="40"/>
      <c r="K436" s="35"/>
      <c r="L436" s="35"/>
      <c r="M436" s="35"/>
      <c r="N436" s="39"/>
      <c r="O436" s="39"/>
      <c r="P436" s="39"/>
      <c r="Q436" s="39"/>
      <c r="R436" s="39"/>
      <c r="S436" s="39"/>
      <c r="T436" s="39"/>
      <c r="U436" s="39"/>
      <c r="V436" s="39"/>
      <c r="W436" s="39"/>
      <c r="X436" s="39"/>
      <c r="Y436" s="39"/>
      <c r="Z436" s="39"/>
      <c r="AA436" s="39"/>
      <c r="AB436" s="39"/>
      <c r="AC436" s="39"/>
      <c r="AD436" s="39"/>
      <c r="AE436" s="39"/>
      <c r="AF436" s="39"/>
      <c r="AG436" s="39"/>
      <c r="AH436" s="39"/>
      <c r="AI436" s="35"/>
      <c r="AJ436" s="39"/>
      <c r="AK436" s="39"/>
      <c r="AL436" s="39"/>
      <c r="AM436" s="35"/>
      <c r="AN436" s="35"/>
      <c r="AO436" s="39"/>
      <c r="AP436" s="39"/>
      <c r="AQ436" s="35"/>
      <c r="AR436" s="35"/>
      <c r="AS436" s="35"/>
      <c r="AT436" s="30">
        <f t="shared" ca="1" si="50"/>
        <v>0</v>
      </c>
      <c r="AU436" s="32" t="str">
        <f t="shared" ca="1" si="49"/>
        <v/>
      </c>
      <c r="AV436" s="32" t="str" cm="1">
        <f t="array" aca="1" ref="AV436" ca="1">IFERROR(_xlfn.IFS($AU436="","",$AU436&lt;=15,"0-15",AND($AU436&gt;=16,$AU436&lt;=30),"16-30",AND($AU436&gt;=31,$AU436&lt;=45),"31-45",AND($AU436&gt;=46,$AU436&lt;=60),"46-60",AND($AU436&gt;=61,$AU436&lt;=90),"61-90",AND($AU436&gt;=91),"&gt; 90",AND($AU436&gt;=2000),""),"")</f>
        <v/>
      </c>
      <c r="AW436" s="32" t="str" cm="1">
        <f t="array" aca="1" ref="AW436" ca="1">IFERROR(_xlfn.IFS(OR($M436="",$AM436=""),"",OR($C436="Offered",$C436="Joined"),($AM436-$M436)-$AT436),"")</f>
        <v/>
      </c>
      <c r="AX436" s="32" t="str" cm="1">
        <f t="array" aca="1" ref="AX436" ca="1">IFERROR(_xlfn.IFS(OR($M436="",$AS436=""),"",$C436="Joined",($AS436-$M436)-$AT436),"")</f>
        <v/>
      </c>
      <c r="AY436" s="30" t="str">
        <f>IFERROR(IF(COUNTIFS('Candidate Tracker'!$E:$E,'Positions Tracker'!$B436,'Candidate Tracker'!$C:$C,"Offer Drop")=0,"",COUNTIFS('Candidate Tracker'!$E:$E,'Positions Tracker'!$B436,'Candidate Tracker'!$C:$C,"Offer Drop")),"")</f>
        <v/>
      </c>
      <c r="AZ4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6" s="34" t="str">
        <f>IFERROR(IF(COUNTIFS('Candidate Tracker'!$E:$E,'Positions Tracker'!$B436,'Candidate Tracker'!$I:$I,"Female")=0,"",COUNTIFS('Candidate Tracker'!$E:$E,'Positions Tracker'!$B436,'Candidate Tracker'!$I:$I,"Female")),"")</f>
        <v/>
      </c>
      <c r="BB436" s="34" t="str">
        <f>IFERROR(IF(COUNTIFS('Candidate Tracker'!$E:$E,'Positions Tracker'!$B436,'Candidate Tracker'!$I:$I,"male")=0,"",COUNTIFS('Candidate Tracker'!$E:$E,'Positions Tracker'!$B436,'Candidate Tracker'!$I:$I,"male")),"")</f>
        <v/>
      </c>
      <c r="BC436" s="33" t="str">
        <f>IFERROR(IF(COUNTIFS('Candidate Tracker'!$E:$E,'Positions Tracker'!$B436,'Candidate Tracker'!$C:$C,"&lt;&gt;WIP",'Candidate Tracker'!$C:$C,"&lt;&gt;Hold",'Candidate Tracker'!$C:$C,"&lt;&gt;Cancelled",'Candidate Tracker'!$C:$C,"&lt;&gt;Closed")/COUNTIFS('Candidate Tracker'!$E:$E,'Positions Tracker'!$B436)=0,"",COUNTIFS('Candidate Tracker'!$E:$E,'Positions Tracker'!$B436,'Candidate Tracker'!$C:$C,"&lt;&gt;WIP",'Candidate Tracker'!$C:$C,"&lt;&gt;Hold",'Candidate Tracker'!$C:$C,"&lt;&gt;Cancelled",'Candidate Tracker'!$C:$C,"&lt;&gt;Closed")/COUNTIFS('Candidate Tracker'!$E:$E,'Positions Tracker'!$B436)),"")</f>
        <v/>
      </c>
      <c r="BD436" s="30" t="str">
        <f t="shared" si="51"/>
        <v/>
      </c>
      <c r="BE436" s="30" t="str">
        <f t="shared" si="52"/>
        <v/>
      </c>
      <c r="BF436" s="30" t="str">
        <f t="shared" si="53"/>
        <v/>
      </c>
      <c r="BG436" s="30" t="str">
        <f t="shared" si="54"/>
        <v/>
      </c>
    </row>
    <row r="437" spans="1:59">
      <c r="A437" s="39"/>
      <c r="B437" s="39"/>
      <c r="C437" s="39"/>
      <c r="D437" s="39"/>
      <c r="E437" s="39"/>
      <c r="F437" s="39"/>
      <c r="G437" s="39"/>
      <c r="H437" s="39"/>
      <c r="I437" s="40"/>
      <c r="J437" s="40"/>
      <c r="K437" s="35"/>
      <c r="L437" s="35"/>
      <c r="M437" s="35"/>
      <c r="N437" s="39"/>
      <c r="O437" s="39"/>
      <c r="P437" s="39"/>
      <c r="Q437" s="39"/>
      <c r="R437" s="39"/>
      <c r="S437" s="39"/>
      <c r="T437" s="39"/>
      <c r="U437" s="39"/>
      <c r="V437" s="39"/>
      <c r="W437" s="39"/>
      <c r="X437" s="39"/>
      <c r="Y437" s="39"/>
      <c r="Z437" s="39"/>
      <c r="AA437" s="39"/>
      <c r="AB437" s="39"/>
      <c r="AC437" s="39"/>
      <c r="AD437" s="39"/>
      <c r="AE437" s="39"/>
      <c r="AF437" s="39"/>
      <c r="AG437" s="39"/>
      <c r="AH437" s="39"/>
      <c r="AI437" s="35"/>
      <c r="AJ437" s="39"/>
      <c r="AK437" s="39"/>
      <c r="AL437" s="39"/>
      <c r="AM437" s="35"/>
      <c r="AN437" s="35"/>
      <c r="AO437" s="39"/>
      <c r="AP437" s="39"/>
      <c r="AQ437" s="35"/>
      <c r="AR437" s="35"/>
      <c r="AS437" s="35"/>
      <c r="AT437" s="30">
        <f t="shared" ca="1" si="50"/>
        <v>0</v>
      </c>
      <c r="AU437" s="32" t="str">
        <f t="shared" ca="1" si="49"/>
        <v/>
      </c>
      <c r="AV437" s="32" t="str" cm="1">
        <f t="array" aca="1" ref="AV437" ca="1">IFERROR(_xlfn.IFS($AU437="","",$AU437&lt;=15,"0-15",AND($AU437&gt;=16,$AU437&lt;=30),"16-30",AND($AU437&gt;=31,$AU437&lt;=45),"31-45",AND($AU437&gt;=46,$AU437&lt;=60),"46-60",AND($AU437&gt;=61,$AU437&lt;=90),"61-90",AND($AU437&gt;=91),"&gt; 90",AND($AU437&gt;=2000),""),"")</f>
        <v/>
      </c>
      <c r="AW437" s="32" t="str" cm="1">
        <f t="array" aca="1" ref="AW437" ca="1">IFERROR(_xlfn.IFS(OR($M437="",$AM437=""),"",OR($C437="Offered",$C437="Joined"),($AM437-$M437)-$AT437),"")</f>
        <v/>
      </c>
      <c r="AX437" s="32" t="str" cm="1">
        <f t="array" aca="1" ref="AX437" ca="1">IFERROR(_xlfn.IFS(OR($M437="",$AS437=""),"",$C437="Joined",($AS437-$M437)-$AT437),"")</f>
        <v/>
      </c>
      <c r="AY437" s="30" t="str">
        <f>IFERROR(IF(COUNTIFS('Candidate Tracker'!$E:$E,'Positions Tracker'!$B437,'Candidate Tracker'!$C:$C,"Offer Drop")=0,"",COUNTIFS('Candidate Tracker'!$E:$E,'Positions Tracker'!$B437,'Candidate Tracker'!$C:$C,"Offer Drop")),"")</f>
        <v/>
      </c>
      <c r="AZ4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7" s="34" t="str">
        <f>IFERROR(IF(COUNTIFS('Candidate Tracker'!$E:$E,'Positions Tracker'!$B437,'Candidate Tracker'!$I:$I,"Female")=0,"",COUNTIFS('Candidate Tracker'!$E:$E,'Positions Tracker'!$B437,'Candidate Tracker'!$I:$I,"Female")),"")</f>
        <v/>
      </c>
      <c r="BB437" s="34" t="str">
        <f>IFERROR(IF(COUNTIFS('Candidate Tracker'!$E:$E,'Positions Tracker'!$B437,'Candidate Tracker'!$I:$I,"male")=0,"",COUNTIFS('Candidate Tracker'!$E:$E,'Positions Tracker'!$B437,'Candidate Tracker'!$I:$I,"male")),"")</f>
        <v/>
      </c>
      <c r="BC437" s="33" t="str">
        <f>IFERROR(IF(COUNTIFS('Candidate Tracker'!$E:$E,'Positions Tracker'!$B437,'Candidate Tracker'!$C:$C,"&lt;&gt;WIP",'Candidate Tracker'!$C:$C,"&lt;&gt;Hold",'Candidate Tracker'!$C:$C,"&lt;&gt;Cancelled",'Candidate Tracker'!$C:$C,"&lt;&gt;Closed")/COUNTIFS('Candidate Tracker'!$E:$E,'Positions Tracker'!$B437)=0,"",COUNTIFS('Candidate Tracker'!$E:$E,'Positions Tracker'!$B437,'Candidate Tracker'!$C:$C,"&lt;&gt;WIP",'Candidate Tracker'!$C:$C,"&lt;&gt;Hold",'Candidate Tracker'!$C:$C,"&lt;&gt;Cancelled",'Candidate Tracker'!$C:$C,"&lt;&gt;Closed")/COUNTIFS('Candidate Tracker'!$E:$E,'Positions Tracker'!$B437)),"")</f>
        <v/>
      </c>
      <c r="BD437" s="30" t="str">
        <f t="shared" si="51"/>
        <v/>
      </c>
      <c r="BE437" s="30" t="str">
        <f t="shared" si="52"/>
        <v/>
      </c>
      <c r="BF437" s="30" t="str">
        <f t="shared" si="53"/>
        <v/>
      </c>
      <c r="BG437" s="30" t="str">
        <f t="shared" si="54"/>
        <v/>
      </c>
    </row>
    <row r="438" spans="1:59">
      <c r="A438" s="39"/>
      <c r="B438" s="39"/>
      <c r="C438" s="39"/>
      <c r="D438" s="39"/>
      <c r="E438" s="39"/>
      <c r="F438" s="39"/>
      <c r="G438" s="39"/>
      <c r="H438" s="39"/>
      <c r="I438" s="40"/>
      <c r="J438" s="40"/>
      <c r="K438" s="35"/>
      <c r="L438" s="35"/>
      <c r="M438" s="35"/>
      <c r="N438" s="39"/>
      <c r="O438" s="39"/>
      <c r="P438" s="39"/>
      <c r="Q438" s="39"/>
      <c r="R438" s="39"/>
      <c r="S438" s="39"/>
      <c r="T438" s="39"/>
      <c r="U438" s="39"/>
      <c r="V438" s="39"/>
      <c r="W438" s="39"/>
      <c r="X438" s="39"/>
      <c r="Y438" s="39"/>
      <c r="Z438" s="39"/>
      <c r="AA438" s="39"/>
      <c r="AB438" s="39"/>
      <c r="AC438" s="39"/>
      <c r="AD438" s="39"/>
      <c r="AE438" s="39"/>
      <c r="AF438" s="39"/>
      <c r="AG438" s="39"/>
      <c r="AH438" s="39"/>
      <c r="AI438" s="35"/>
      <c r="AJ438" s="39"/>
      <c r="AK438" s="39"/>
      <c r="AL438" s="39"/>
      <c r="AM438" s="35"/>
      <c r="AN438" s="35"/>
      <c r="AO438" s="39"/>
      <c r="AP438" s="39"/>
      <c r="AQ438" s="35"/>
      <c r="AR438" s="35"/>
      <c r="AS438" s="35"/>
      <c r="AT438" s="30">
        <f t="shared" ca="1" si="50"/>
        <v>0</v>
      </c>
      <c r="AU438" s="32" t="str">
        <f t="shared" ca="1" si="49"/>
        <v/>
      </c>
      <c r="AV438" s="32" t="str" cm="1">
        <f t="array" aca="1" ref="AV438" ca="1">IFERROR(_xlfn.IFS($AU438="","",$AU438&lt;=15,"0-15",AND($AU438&gt;=16,$AU438&lt;=30),"16-30",AND($AU438&gt;=31,$AU438&lt;=45),"31-45",AND($AU438&gt;=46,$AU438&lt;=60),"46-60",AND($AU438&gt;=61,$AU438&lt;=90),"61-90",AND($AU438&gt;=91),"&gt; 90",AND($AU438&gt;=2000),""),"")</f>
        <v/>
      </c>
      <c r="AW438" s="32" t="str" cm="1">
        <f t="array" aca="1" ref="AW438" ca="1">IFERROR(_xlfn.IFS(OR($M438="",$AM438=""),"",OR($C438="Offered",$C438="Joined"),($AM438-$M438)-$AT438),"")</f>
        <v/>
      </c>
      <c r="AX438" s="32" t="str" cm="1">
        <f t="array" aca="1" ref="AX438" ca="1">IFERROR(_xlfn.IFS(OR($M438="",$AS438=""),"",$C438="Joined",($AS438-$M438)-$AT438),"")</f>
        <v/>
      </c>
      <c r="AY438" s="30" t="str">
        <f>IFERROR(IF(COUNTIFS('Candidate Tracker'!$E:$E,'Positions Tracker'!$B438,'Candidate Tracker'!$C:$C,"Offer Drop")=0,"",COUNTIFS('Candidate Tracker'!$E:$E,'Positions Tracker'!$B438,'Candidate Tracker'!$C:$C,"Offer Drop")),"")</f>
        <v/>
      </c>
      <c r="AZ4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8" s="34" t="str">
        <f>IFERROR(IF(COUNTIFS('Candidate Tracker'!$E:$E,'Positions Tracker'!$B438,'Candidate Tracker'!$I:$I,"Female")=0,"",COUNTIFS('Candidate Tracker'!$E:$E,'Positions Tracker'!$B438,'Candidate Tracker'!$I:$I,"Female")),"")</f>
        <v/>
      </c>
      <c r="BB438" s="34" t="str">
        <f>IFERROR(IF(COUNTIFS('Candidate Tracker'!$E:$E,'Positions Tracker'!$B438,'Candidate Tracker'!$I:$I,"male")=0,"",COUNTIFS('Candidate Tracker'!$E:$E,'Positions Tracker'!$B438,'Candidate Tracker'!$I:$I,"male")),"")</f>
        <v/>
      </c>
      <c r="BC438" s="33" t="str">
        <f>IFERROR(IF(COUNTIFS('Candidate Tracker'!$E:$E,'Positions Tracker'!$B438,'Candidate Tracker'!$C:$C,"&lt;&gt;WIP",'Candidate Tracker'!$C:$C,"&lt;&gt;Hold",'Candidate Tracker'!$C:$C,"&lt;&gt;Cancelled",'Candidate Tracker'!$C:$C,"&lt;&gt;Closed")/COUNTIFS('Candidate Tracker'!$E:$E,'Positions Tracker'!$B438)=0,"",COUNTIFS('Candidate Tracker'!$E:$E,'Positions Tracker'!$B438,'Candidate Tracker'!$C:$C,"&lt;&gt;WIP",'Candidate Tracker'!$C:$C,"&lt;&gt;Hold",'Candidate Tracker'!$C:$C,"&lt;&gt;Cancelled",'Candidate Tracker'!$C:$C,"&lt;&gt;Closed")/COUNTIFS('Candidate Tracker'!$E:$E,'Positions Tracker'!$B438)),"")</f>
        <v/>
      </c>
      <c r="BD438" s="30" t="str">
        <f t="shared" si="51"/>
        <v/>
      </c>
      <c r="BE438" s="30" t="str">
        <f t="shared" si="52"/>
        <v/>
      </c>
      <c r="BF438" s="30" t="str">
        <f t="shared" si="53"/>
        <v/>
      </c>
      <c r="BG438" s="30" t="str">
        <f t="shared" si="54"/>
        <v/>
      </c>
    </row>
    <row r="439" spans="1:59">
      <c r="A439" s="39"/>
      <c r="B439" s="39"/>
      <c r="C439" s="39"/>
      <c r="D439" s="39"/>
      <c r="E439" s="39"/>
      <c r="F439" s="39"/>
      <c r="G439" s="39"/>
      <c r="H439" s="39"/>
      <c r="I439" s="40"/>
      <c r="J439" s="40"/>
      <c r="K439" s="35"/>
      <c r="L439" s="35"/>
      <c r="M439" s="35"/>
      <c r="N439" s="39"/>
      <c r="O439" s="39"/>
      <c r="P439" s="39"/>
      <c r="Q439" s="39"/>
      <c r="R439" s="39"/>
      <c r="S439" s="39"/>
      <c r="T439" s="39"/>
      <c r="U439" s="39"/>
      <c r="V439" s="39"/>
      <c r="W439" s="39"/>
      <c r="X439" s="39"/>
      <c r="Y439" s="39"/>
      <c r="Z439" s="39"/>
      <c r="AA439" s="39"/>
      <c r="AB439" s="39"/>
      <c r="AC439" s="39"/>
      <c r="AD439" s="39"/>
      <c r="AE439" s="39"/>
      <c r="AF439" s="39"/>
      <c r="AG439" s="39"/>
      <c r="AH439" s="39"/>
      <c r="AI439" s="35"/>
      <c r="AJ439" s="39"/>
      <c r="AK439" s="39"/>
      <c r="AL439" s="39"/>
      <c r="AM439" s="35"/>
      <c r="AN439" s="35"/>
      <c r="AO439" s="39"/>
      <c r="AP439" s="39"/>
      <c r="AQ439" s="35"/>
      <c r="AR439" s="35"/>
      <c r="AS439" s="35"/>
      <c r="AT439" s="30">
        <f t="shared" ca="1" si="50"/>
        <v>0</v>
      </c>
      <c r="AU439" s="32" t="str">
        <f t="shared" ca="1" si="49"/>
        <v/>
      </c>
      <c r="AV439" s="32" t="str" cm="1">
        <f t="array" aca="1" ref="AV439" ca="1">IFERROR(_xlfn.IFS($AU439="","",$AU439&lt;=15,"0-15",AND($AU439&gt;=16,$AU439&lt;=30),"16-30",AND($AU439&gt;=31,$AU439&lt;=45),"31-45",AND($AU439&gt;=46,$AU439&lt;=60),"46-60",AND($AU439&gt;=61,$AU439&lt;=90),"61-90",AND($AU439&gt;=91),"&gt; 90",AND($AU439&gt;=2000),""),"")</f>
        <v/>
      </c>
      <c r="AW439" s="32" t="str" cm="1">
        <f t="array" aca="1" ref="AW439" ca="1">IFERROR(_xlfn.IFS(OR($M439="",$AM439=""),"",OR($C439="Offered",$C439="Joined"),($AM439-$M439)-$AT439),"")</f>
        <v/>
      </c>
      <c r="AX439" s="32" t="str" cm="1">
        <f t="array" aca="1" ref="AX439" ca="1">IFERROR(_xlfn.IFS(OR($M439="",$AS439=""),"",$C439="Joined",($AS439-$M439)-$AT439),"")</f>
        <v/>
      </c>
      <c r="AY439" s="30" t="str">
        <f>IFERROR(IF(COUNTIFS('Candidate Tracker'!$E:$E,'Positions Tracker'!$B439,'Candidate Tracker'!$C:$C,"Offer Drop")=0,"",COUNTIFS('Candidate Tracker'!$E:$E,'Positions Tracker'!$B439,'Candidate Tracker'!$C:$C,"Offer Drop")),"")</f>
        <v/>
      </c>
      <c r="AZ4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39" s="34" t="str">
        <f>IFERROR(IF(COUNTIFS('Candidate Tracker'!$E:$E,'Positions Tracker'!$B439,'Candidate Tracker'!$I:$I,"Female")=0,"",COUNTIFS('Candidate Tracker'!$E:$E,'Positions Tracker'!$B439,'Candidate Tracker'!$I:$I,"Female")),"")</f>
        <v/>
      </c>
      <c r="BB439" s="34" t="str">
        <f>IFERROR(IF(COUNTIFS('Candidate Tracker'!$E:$E,'Positions Tracker'!$B439,'Candidate Tracker'!$I:$I,"male")=0,"",COUNTIFS('Candidate Tracker'!$E:$E,'Positions Tracker'!$B439,'Candidate Tracker'!$I:$I,"male")),"")</f>
        <v/>
      </c>
      <c r="BC439" s="33" t="str">
        <f>IFERROR(IF(COUNTIFS('Candidate Tracker'!$E:$E,'Positions Tracker'!$B439,'Candidate Tracker'!$C:$C,"&lt;&gt;WIP",'Candidate Tracker'!$C:$C,"&lt;&gt;Hold",'Candidate Tracker'!$C:$C,"&lt;&gt;Cancelled",'Candidate Tracker'!$C:$C,"&lt;&gt;Closed")/COUNTIFS('Candidate Tracker'!$E:$E,'Positions Tracker'!$B439)=0,"",COUNTIFS('Candidate Tracker'!$E:$E,'Positions Tracker'!$B439,'Candidate Tracker'!$C:$C,"&lt;&gt;WIP",'Candidate Tracker'!$C:$C,"&lt;&gt;Hold",'Candidate Tracker'!$C:$C,"&lt;&gt;Cancelled",'Candidate Tracker'!$C:$C,"&lt;&gt;Closed")/COUNTIFS('Candidate Tracker'!$E:$E,'Positions Tracker'!$B439)),"")</f>
        <v/>
      </c>
      <c r="BD439" s="30" t="str">
        <f t="shared" si="51"/>
        <v/>
      </c>
      <c r="BE439" s="30" t="str">
        <f t="shared" si="52"/>
        <v/>
      </c>
      <c r="BF439" s="30" t="str">
        <f t="shared" si="53"/>
        <v/>
      </c>
      <c r="BG439" s="30" t="str">
        <f t="shared" si="54"/>
        <v/>
      </c>
    </row>
    <row r="440" spans="1:59">
      <c r="A440" s="39"/>
      <c r="B440" s="39"/>
      <c r="C440" s="39"/>
      <c r="D440" s="39"/>
      <c r="E440" s="39"/>
      <c r="F440" s="39"/>
      <c r="G440" s="39"/>
      <c r="H440" s="39"/>
      <c r="I440" s="40"/>
      <c r="J440" s="40"/>
      <c r="K440" s="35"/>
      <c r="L440" s="35"/>
      <c r="M440" s="35"/>
      <c r="N440" s="39"/>
      <c r="O440" s="39"/>
      <c r="P440" s="39"/>
      <c r="Q440" s="39"/>
      <c r="R440" s="39"/>
      <c r="S440" s="39"/>
      <c r="T440" s="39"/>
      <c r="U440" s="39"/>
      <c r="V440" s="39"/>
      <c r="W440" s="39"/>
      <c r="X440" s="39"/>
      <c r="Y440" s="39"/>
      <c r="Z440" s="39"/>
      <c r="AA440" s="39"/>
      <c r="AB440" s="39"/>
      <c r="AC440" s="39"/>
      <c r="AD440" s="39"/>
      <c r="AE440" s="39"/>
      <c r="AF440" s="39"/>
      <c r="AG440" s="39"/>
      <c r="AH440" s="39"/>
      <c r="AI440" s="35"/>
      <c r="AJ440" s="39"/>
      <c r="AK440" s="39"/>
      <c r="AL440" s="39"/>
      <c r="AM440" s="35"/>
      <c r="AN440" s="35"/>
      <c r="AO440" s="39"/>
      <c r="AP440" s="39"/>
      <c r="AQ440" s="35"/>
      <c r="AR440" s="35"/>
      <c r="AS440" s="35"/>
      <c r="AT440" s="30">
        <f t="shared" ca="1" si="50"/>
        <v>0</v>
      </c>
      <c r="AU440" s="32" t="str">
        <f t="shared" ca="1" si="49"/>
        <v/>
      </c>
      <c r="AV440" s="32" t="str" cm="1">
        <f t="array" aca="1" ref="AV440" ca="1">IFERROR(_xlfn.IFS($AU440="","",$AU440&lt;=15,"0-15",AND($AU440&gt;=16,$AU440&lt;=30),"16-30",AND($AU440&gt;=31,$AU440&lt;=45),"31-45",AND($AU440&gt;=46,$AU440&lt;=60),"46-60",AND($AU440&gt;=61,$AU440&lt;=90),"61-90",AND($AU440&gt;=91),"&gt; 90",AND($AU440&gt;=2000),""),"")</f>
        <v/>
      </c>
      <c r="AW440" s="32" t="str" cm="1">
        <f t="array" aca="1" ref="AW440" ca="1">IFERROR(_xlfn.IFS(OR($M440="",$AM440=""),"",OR($C440="Offered",$C440="Joined"),($AM440-$M440)-$AT440),"")</f>
        <v/>
      </c>
      <c r="AX440" s="32" t="str" cm="1">
        <f t="array" aca="1" ref="AX440" ca="1">IFERROR(_xlfn.IFS(OR($M440="",$AS440=""),"",$C440="Joined",($AS440-$M440)-$AT440),"")</f>
        <v/>
      </c>
      <c r="AY440" s="30" t="str">
        <f>IFERROR(IF(COUNTIFS('Candidate Tracker'!$E:$E,'Positions Tracker'!$B440,'Candidate Tracker'!$C:$C,"Offer Drop")=0,"",COUNTIFS('Candidate Tracker'!$E:$E,'Positions Tracker'!$B440,'Candidate Tracker'!$C:$C,"Offer Drop")),"")</f>
        <v/>
      </c>
      <c r="AZ4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0" s="34" t="str">
        <f>IFERROR(IF(COUNTIFS('Candidate Tracker'!$E:$E,'Positions Tracker'!$B440,'Candidate Tracker'!$I:$I,"Female")=0,"",COUNTIFS('Candidate Tracker'!$E:$E,'Positions Tracker'!$B440,'Candidate Tracker'!$I:$I,"Female")),"")</f>
        <v/>
      </c>
      <c r="BB440" s="34" t="str">
        <f>IFERROR(IF(COUNTIFS('Candidate Tracker'!$E:$E,'Positions Tracker'!$B440,'Candidate Tracker'!$I:$I,"male")=0,"",COUNTIFS('Candidate Tracker'!$E:$E,'Positions Tracker'!$B440,'Candidate Tracker'!$I:$I,"male")),"")</f>
        <v/>
      </c>
      <c r="BC440" s="33" t="str">
        <f>IFERROR(IF(COUNTIFS('Candidate Tracker'!$E:$E,'Positions Tracker'!$B440,'Candidate Tracker'!$C:$C,"&lt;&gt;WIP",'Candidate Tracker'!$C:$C,"&lt;&gt;Hold",'Candidate Tracker'!$C:$C,"&lt;&gt;Cancelled",'Candidate Tracker'!$C:$C,"&lt;&gt;Closed")/COUNTIFS('Candidate Tracker'!$E:$E,'Positions Tracker'!$B440)=0,"",COUNTIFS('Candidate Tracker'!$E:$E,'Positions Tracker'!$B440,'Candidate Tracker'!$C:$C,"&lt;&gt;WIP",'Candidate Tracker'!$C:$C,"&lt;&gt;Hold",'Candidate Tracker'!$C:$C,"&lt;&gt;Cancelled",'Candidate Tracker'!$C:$C,"&lt;&gt;Closed")/COUNTIFS('Candidate Tracker'!$E:$E,'Positions Tracker'!$B440)),"")</f>
        <v/>
      </c>
      <c r="BD440" s="30" t="str">
        <f t="shared" si="51"/>
        <v/>
      </c>
      <c r="BE440" s="30" t="str">
        <f t="shared" si="52"/>
        <v/>
      </c>
      <c r="BF440" s="30" t="str">
        <f t="shared" si="53"/>
        <v/>
      </c>
      <c r="BG440" s="30" t="str">
        <f t="shared" si="54"/>
        <v/>
      </c>
    </row>
    <row r="441" spans="1:59">
      <c r="A441" s="39"/>
      <c r="B441" s="39"/>
      <c r="C441" s="39"/>
      <c r="D441" s="39"/>
      <c r="E441" s="39"/>
      <c r="F441" s="39"/>
      <c r="G441" s="39"/>
      <c r="H441" s="39"/>
      <c r="I441" s="40"/>
      <c r="J441" s="40"/>
      <c r="K441" s="35"/>
      <c r="L441" s="35"/>
      <c r="M441" s="35"/>
      <c r="N441" s="39"/>
      <c r="O441" s="39"/>
      <c r="P441" s="39"/>
      <c r="Q441" s="39"/>
      <c r="R441" s="39"/>
      <c r="S441" s="39"/>
      <c r="T441" s="39"/>
      <c r="U441" s="39"/>
      <c r="V441" s="39"/>
      <c r="W441" s="39"/>
      <c r="X441" s="39"/>
      <c r="Y441" s="39"/>
      <c r="Z441" s="39"/>
      <c r="AA441" s="39"/>
      <c r="AB441" s="39"/>
      <c r="AC441" s="39"/>
      <c r="AD441" s="39"/>
      <c r="AE441" s="39"/>
      <c r="AF441" s="39"/>
      <c r="AG441" s="39"/>
      <c r="AH441" s="39"/>
      <c r="AI441" s="35"/>
      <c r="AJ441" s="39"/>
      <c r="AK441" s="39"/>
      <c r="AL441" s="39"/>
      <c r="AM441" s="35"/>
      <c r="AN441" s="35"/>
      <c r="AO441" s="39"/>
      <c r="AP441" s="39"/>
      <c r="AQ441" s="35"/>
      <c r="AR441" s="35"/>
      <c r="AS441" s="35"/>
      <c r="AT441" s="30">
        <f t="shared" ca="1" si="50"/>
        <v>0</v>
      </c>
      <c r="AU441" s="32" t="str">
        <f t="shared" ca="1" si="49"/>
        <v/>
      </c>
      <c r="AV441" s="32" t="str" cm="1">
        <f t="array" aca="1" ref="AV441" ca="1">IFERROR(_xlfn.IFS($AU441="","",$AU441&lt;=15,"0-15",AND($AU441&gt;=16,$AU441&lt;=30),"16-30",AND($AU441&gt;=31,$AU441&lt;=45),"31-45",AND($AU441&gt;=46,$AU441&lt;=60),"46-60",AND($AU441&gt;=61,$AU441&lt;=90),"61-90",AND($AU441&gt;=91),"&gt; 90",AND($AU441&gt;=2000),""),"")</f>
        <v/>
      </c>
      <c r="AW441" s="32" t="str" cm="1">
        <f t="array" aca="1" ref="AW441" ca="1">IFERROR(_xlfn.IFS(OR($M441="",$AM441=""),"",OR($C441="Offered",$C441="Joined"),($AM441-$M441)-$AT441),"")</f>
        <v/>
      </c>
      <c r="AX441" s="32" t="str" cm="1">
        <f t="array" aca="1" ref="AX441" ca="1">IFERROR(_xlfn.IFS(OR($M441="",$AS441=""),"",$C441="Joined",($AS441-$M441)-$AT441),"")</f>
        <v/>
      </c>
      <c r="AY441" s="30" t="str">
        <f>IFERROR(IF(COUNTIFS('Candidate Tracker'!$E:$E,'Positions Tracker'!$B441,'Candidate Tracker'!$C:$C,"Offer Drop")=0,"",COUNTIFS('Candidate Tracker'!$E:$E,'Positions Tracker'!$B441,'Candidate Tracker'!$C:$C,"Offer Drop")),"")</f>
        <v/>
      </c>
      <c r="AZ4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1" s="34" t="str">
        <f>IFERROR(IF(COUNTIFS('Candidate Tracker'!$E:$E,'Positions Tracker'!$B441,'Candidate Tracker'!$I:$I,"Female")=0,"",COUNTIFS('Candidate Tracker'!$E:$E,'Positions Tracker'!$B441,'Candidate Tracker'!$I:$I,"Female")),"")</f>
        <v/>
      </c>
      <c r="BB441" s="34" t="str">
        <f>IFERROR(IF(COUNTIFS('Candidate Tracker'!$E:$E,'Positions Tracker'!$B441,'Candidate Tracker'!$I:$I,"male")=0,"",COUNTIFS('Candidate Tracker'!$E:$E,'Positions Tracker'!$B441,'Candidate Tracker'!$I:$I,"male")),"")</f>
        <v/>
      </c>
      <c r="BC441" s="33" t="str">
        <f>IFERROR(IF(COUNTIFS('Candidate Tracker'!$E:$E,'Positions Tracker'!$B441,'Candidate Tracker'!$C:$C,"&lt;&gt;WIP",'Candidate Tracker'!$C:$C,"&lt;&gt;Hold",'Candidate Tracker'!$C:$C,"&lt;&gt;Cancelled",'Candidate Tracker'!$C:$C,"&lt;&gt;Closed")/COUNTIFS('Candidate Tracker'!$E:$E,'Positions Tracker'!$B441)=0,"",COUNTIFS('Candidate Tracker'!$E:$E,'Positions Tracker'!$B441,'Candidate Tracker'!$C:$C,"&lt;&gt;WIP",'Candidate Tracker'!$C:$C,"&lt;&gt;Hold",'Candidate Tracker'!$C:$C,"&lt;&gt;Cancelled",'Candidate Tracker'!$C:$C,"&lt;&gt;Closed")/COUNTIFS('Candidate Tracker'!$E:$E,'Positions Tracker'!$B441)),"")</f>
        <v/>
      </c>
      <c r="BD441" s="30" t="str">
        <f t="shared" si="51"/>
        <v/>
      </c>
      <c r="BE441" s="30" t="str">
        <f t="shared" si="52"/>
        <v/>
      </c>
      <c r="BF441" s="30" t="str">
        <f t="shared" si="53"/>
        <v/>
      </c>
      <c r="BG441" s="30" t="str">
        <f t="shared" si="54"/>
        <v/>
      </c>
    </row>
    <row r="442" spans="1:59">
      <c r="A442" s="39"/>
      <c r="B442" s="39"/>
      <c r="C442" s="39"/>
      <c r="D442" s="39"/>
      <c r="E442" s="39"/>
      <c r="F442" s="39"/>
      <c r="G442" s="39"/>
      <c r="H442" s="39"/>
      <c r="I442" s="40"/>
      <c r="J442" s="40"/>
      <c r="K442" s="35"/>
      <c r="L442" s="35"/>
      <c r="M442" s="35"/>
      <c r="N442" s="39"/>
      <c r="O442" s="39"/>
      <c r="P442" s="39"/>
      <c r="Q442" s="39"/>
      <c r="R442" s="39"/>
      <c r="S442" s="39"/>
      <c r="T442" s="39"/>
      <c r="U442" s="39"/>
      <c r="V442" s="39"/>
      <c r="W442" s="39"/>
      <c r="X442" s="39"/>
      <c r="Y442" s="39"/>
      <c r="Z442" s="39"/>
      <c r="AA442" s="39"/>
      <c r="AB442" s="39"/>
      <c r="AC442" s="39"/>
      <c r="AD442" s="39"/>
      <c r="AE442" s="39"/>
      <c r="AF442" s="39"/>
      <c r="AG442" s="39"/>
      <c r="AH442" s="39"/>
      <c r="AI442" s="35"/>
      <c r="AJ442" s="39"/>
      <c r="AK442" s="39"/>
      <c r="AL442" s="39"/>
      <c r="AM442" s="35"/>
      <c r="AN442" s="35"/>
      <c r="AO442" s="39"/>
      <c r="AP442" s="39"/>
      <c r="AQ442" s="35"/>
      <c r="AR442" s="35"/>
      <c r="AS442" s="35"/>
      <c r="AT442" s="30">
        <f t="shared" ca="1" si="50"/>
        <v>0</v>
      </c>
      <c r="AU442" s="32" t="str">
        <f t="shared" ca="1" si="49"/>
        <v/>
      </c>
      <c r="AV442" s="32" t="str" cm="1">
        <f t="array" aca="1" ref="AV442" ca="1">IFERROR(_xlfn.IFS($AU442="","",$AU442&lt;=15,"0-15",AND($AU442&gt;=16,$AU442&lt;=30),"16-30",AND($AU442&gt;=31,$AU442&lt;=45),"31-45",AND($AU442&gt;=46,$AU442&lt;=60),"46-60",AND($AU442&gt;=61,$AU442&lt;=90),"61-90",AND($AU442&gt;=91),"&gt; 90",AND($AU442&gt;=2000),""),"")</f>
        <v/>
      </c>
      <c r="AW442" s="32" t="str" cm="1">
        <f t="array" aca="1" ref="AW442" ca="1">IFERROR(_xlfn.IFS(OR($M442="",$AM442=""),"",OR($C442="Offered",$C442="Joined"),($AM442-$M442)-$AT442),"")</f>
        <v/>
      </c>
      <c r="AX442" s="32" t="str" cm="1">
        <f t="array" aca="1" ref="AX442" ca="1">IFERROR(_xlfn.IFS(OR($M442="",$AS442=""),"",$C442="Joined",($AS442-$M442)-$AT442),"")</f>
        <v/>
      </c>
      <c r="AY442" s="30" t="str">
        <f>IFERROR(IF(COUNTIFS('Candidate Tracker'!$E:$E,'Positions Tracker'!$B442,'Candidate Tracker'!$C:$C,"Offer Drop")=0,"",COUNTIFS('Candidate Tracker'!$E:$E,'Positions Tracker'!$B442,'Candidate Tracker'!$C:$C,"Offer Drop")),"")</f>
        <v/>
      </c>
      <c r="AZ4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2" s="34" t="str">
        <f>IFERROR(IF(COUNTIFS('Candidate Tracker'!$E:$E,'Positions Tracker'!$B442,'Candidate Tracker'!$I:$I,"Female")=0,"",COUNTIFS('Candidate Tracker'!$E:$E,'Positions Tracker'!$B442,'Candidate Tracker'!$I:$I,"Female")),"")</f>
        <v/>
      </c>
      <c r="BB442" s="34" t="str">
        <f>IFERROR(IF(COUNTIFS('Candidate Tracker'!$E:$E,'Positions Tracker'!$B442,'Candidate Tracker'!$I:$I,"male")=0,"",COUNTIFS('Candidate Tracker'!$E:$E,'Positions Tracker'!$B442,'Candidate Tracker'!$I:$I,"male")),"")</f>
        <v/>
      </c>
      <c r="BC442" s="33" t="str">
        <f>IFERROR(IF(COUNTIFS('Candidate Tracker'!$E:$E,'Positions Tracker'!$B442,'Candidate Tracker'!$C:$C,"&lt;&gt;WIP",'Candidate Tracker'!$C:$C,"&lt;&gt;Hold",'Candidate Tracker'!$C:$C,"&lt;&gt;Cancelled",'Candidate Tracker'!$C:$C,"&lt;&gt;Closed")/COUNTIFS('Candidate Tracker'!$E:$E,'Positions Tracker'!$B442)=0,"",COUNTIFS('Candidate Tracker'!$E:$E,'Positions Tracker'!$B442,'Candidate Tracker'!$C:$C,"&lt;&gt;WIP",'Candidate Tracker'!$C:$C,"&lt;&gt;Hold",'Candidate Tracker'!$C:$C,"&lt;&gt;Cancelled",'Candidate Tracker'!$C:$C,"&lt;&gt;Closed")/COUNTIFS('Candidate Tracker'!$E:$E,'Positions Tracker'!$B442)),"")</f>
        <v/>
      </c>
      <c r="BD442" s="30" t="str">
        <f t="shared" si="51"/>
        <v/>
      </c>
      <c r="BE442" s="30" t="str">
        <f t="shared" si="52"/>
        <v/>
      </c>
      <c r="BF442" s="30" t="str">
        <f t="shared" si="53"/>
        <v/>
      </c>
      <c r="BG442" s="30" t="str">
        <f t="shared" si="54"/>
        <v/>
      </c>
    </row>
    <row r="443" spans="1:59">
      <c r="A443" s="39"/>
      <c r="B443" s="39"/>
      <c r="C443" s="39"/>
      <c r="D443" s="39"/>
      <c r="E443" s="39"/>
      <c r="F443" s="39"/>
      <c r="G443" s="39"/>
      <c r="H443" s="39"/>
      <c r="I443" s="40"/>
      <c r="J443" s="40"/>
      <c r="K443" s="35"/>
      <c r="L443" s="35"/>
      <c r="M443" s="35"/>
      <c r="N443" s="39"/>
      <c r="O443" s="39"/>
      <c r="P443" s="39"/>
      <c r="Q443" s="39"/>
      <c r="R443" s="39"/>
      <c r="S443" s="39"/>
      <c r="T443" s="39"/>
      <c r="U443" s="39"/>
      <c r="V443" s="39"/>
      <c r="W443" s="39"/>
      <c r="X443" s="39"/>
      <c r="Y443" s="39"/>
      <c r="Z443" s="39"/>
      <c r="AA443" s="39"/>
      <c r="AB443" s="39"/>
      <c r="AC443" s="39"/>
      <c r="AD443" s="39"/>
      <c r="AE443" s="39"/>
      <c r="AF443" s="39"/>
      <c r="AG443" s="39"/>
      <c r="AH443" s="39"/>
      <c r="AI443" s="35"/>
      <c r="AJ443" s="39"/>
      <c r="AK443" s="39"/>
      <c r="AL443" s="39"/>
      <c r="AM443" s="35"/>
      <c r="AN443" s="35"/>
      <c r="AO443" s="39"/>
      <c r="AP443" s="39"/>
      <c r="AQ443" s="35"/>
      <c r="AR443" s="35"/>
      <c r="AS443" s="35"/>
      <c r="AT443" s="30">
        <f t="shared" ca="1" si="50"/>
        <v>0</v>
      </c>
      <c r="AU443" s="32" t="str">
        <f t="shared" ca="1" si="49"/>
        <v/>
      </c>
      <c r="AV443" s="32" t="str" cm="1">
        <f t="array" aca="1" ref="AV443" ca="1">IFERROR(_xlfn.IFS($AU443="","",$AU443&lt;=15,"0-15",AND($AU443&gt;=16,$AU443&lt;=30),"16-30",AND($AU443&gt;=31,$AU443&lt;=45),"31-45",AND($AU443&gt;=46,$AU443&lt;=60),"46-60",AND($AU443&gt;=61,$AU443&lt;=90),"61-90",AND($AU443&gt;=91),"&gt; 90",AND($AU443&gt;=2000),""),"")</f>
        <v/>
      </c>
      <c r="AW443" s="32" t="str" cm="1">
        <f t="array" aca="1" ref="AW443" ca="1">IFERROR(_xlfn.IFS(OR($M443="",$AM443=""),"",OR($C443="Offered",$C443="Joined"),($AM443-$M443)-$AT443),"")</f>
        <v/>
      </c>
      <c r="AX443" s="32" t="str" cm="1">
        <f t="array" aca="1" ref="AX443" ca="1">IFERROR(_xlfn.IFS(OR($M443="",$AS443=""),"",$C443="Joined",($AS443-$M443)-$AT443),"")</f>
        <v/>
      </c>
      <c r="AY443" s="30" t="str">
        <f>IFERROR(IF(COUNTIFS('Candidate Tracker'!$E:$E,'Positions Tracker'!$B443,'Candidate Tracker'!$C:$C,"Offer Drop")=0,"",COUNTIFS('Candidate Tracker'!$E:$E,'Positions Tracker'!$B443,'Candidate Tracker'!$C:$C,"Offer Drop")),"")</f>
        <v/>
      </c>
      <c r="AZ4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3" s="34" t="str">
        <f>IFERROR(IF(COUNTIFS('Candidate Tracker'!$E:$E,'Positions Tracker'!$B443,'Candidate Tracker'!$I:$I,"Female")=0,"",COUNTIFS('Candidate Tracker'!$E:$E,'Positions Tracker'!$B443,'Candidate Tracker'!$I:$I,"Female")),"")</f>
        <v/>
      </c>
      <c r="BB443" s="34" t="str">
        <f>IFERROR(IF(COUNTIFS('Candidate Tracker'!$E:$E,'Positions Tracker'!$B443,'Candidate Tracker'!$I:$I,"male")=0,"",COUNTIFS('Candidate Tracker'!$E:$E,'Positions Tracker'!$B443,'Candidate Tracker'!$I:$I,"male")),"")</f>
        <v/>
      </c>
      <c r="BC443" s="33" t="str">
        <f>IFERROR(IF(COUNTIFS('Candidate Tracker'!$E:$E,'Positions Tracker'!$B443,'Candidate Tracker'!$C:$C,"&lt;&gt;WIP",'Candidate Tracker'!$C:$C,"&lt;&gt;Hold",'Candidate Tracker'!$C:$C,"&lt;&gt;Cancelled",'Candidate Tracker'!$C:$C,"&lt;&gt;Closed")/COUNTIFS('Candidate Tracker'!$E:$E,'Positions Tracker'!$B443)=0,"",COUNTIFS('Candidate Tracker'!$E:$E,'Positions Tracker'!$B443,'Candidate Tracker'!$C:$C,"&lt;&gt;WIP",'Candidate Tracker'!$C:$C,"&lt;&gt;Hold",'Candidate Tracker'!$C:$C,"&lt;&gt;Cancelled",'Candidate Tracker'!$C:$C,"&lt;&gt;Closed")/COUNTIFS('Candidate Tracker'!$E:$E,'Positions Tracker'!$B443)),"")</f>
        <v/>
      </c>
      <c r="BD443" s="30" t="str">
        <f t="shared" si="51"/>
        <v/>
      </c>
      <c r="BE443" s="30" t="str">
        <f t="shared" si="52"/>
        <v/>
      </c>
      <c r="BF443" s="30" t="str">
        <f t="shared" si="53"/>
        <v/>
      </c>
      <c r="BG443" s="30" t="str">
        <f t="shared" si="54"/>
        <v/>
      </c>
    </row>
    <row r="444" spans="1:59">
      <c r="A444" s="39"/>
      <c r="B444" s="39"/>
      <c r="C444" s="39"/>
      <c r="D444" s="39"/>
      <c r="E444" s="39"/>
      <c r="F444" s="39"/>
      <c r="G444" s="39"/>
      <c r="H444" s="39"/>
      <c r="I444" s="40"/>
      <c r="J444" s="40"/>
      <c r="K444" s="35"/>
      <c r="L444" s="35"/>
      <c r="M444" s="35"/>
      <c r="N444" s="39"/>
      <c r="O444" s="39"/>
      <c r="P444" s="39"/>
      <c r="Q444" s="39"/>
      <c r="R444" s="39"/>
      <c r="S444" s="39"/>
      <c r="T444" s="39"/>
      <c r="U444" s="39"/>
      <c r="V444" s="39"/>
      <c r="W444" s="39"/>
      <c r="X444" s="39"/>
      <c r="Y444" s="39"/>
      <c r="Z444" s="39"/>
      <c r="AA444" s="39"/>
      <c r="AB444" s="39"/>
      <c r="AC444" s="39"/>
      <c r="AD444" s="39"/>
      <c r="AE444" s="39"/>
      <c r="AF444" s="39"/>
      <c r="AG444" s="39"/>
      <c r="AH444" s="39"/>
      <c r="AI444" s="35"/>
      <c r="AJ444" s="39"/>
      <c r="AK444" s="39"/>
      <c r="AL444" s="39"/>
      <c r="AM444" s="35"/>
      <c r="AN444" s="35"/>
      <c r="AO444" s="39"/>
      <c r="AP444" s="39"/>
      <c r="AQ444" s="35"/>
      <c r="AR444" s="35"/>
      <c r="AS444" s="35"/>
      <c r="AT444" s="30">
        <f t="shared" ca="1" si="50"/>
        <v>0</v>
      </c>
      <c r="AU444" s="32" t="str">
        <f t="shared" ca="1" si="49"/>
        <v/>
      </c>
      <c r="AV444" s="32" t="str" cm="1">
        <f t="array" aca="1" ref="AV444" ca="1">IFERROR(_xlfn.IFS($AU444="","",$AU444&lt;=15,"0-15",AND($AU444&gt;=16,$AU444&lt;=30),"16-30",AND($AU444&gt;=31,$AU444&lt;=45),"31-45",AND($AU444&gt;=46,$AU444&lt;=60),"46-60",AND($AU444&gt;=61,$AU444&lt;=90),"61-90",AND($AU444&gt;=91),"&gt; 90",AND($AU444&gt;=2000),""),"")</f>
        <v/>
      </c>
      <c r="AW444" s="32" t="str" cm="1">
        <f t="array" aca="1" ref="AW444" ca="1">IFERROR(_xlfn.IFS(OR($M444="",$AM444=""),"",OR($C444="Offered",$C444="Joined"),($AM444-$M444)-$AT444),"")</f>
        <v/>
      </c>
      <c r="AX444" s="32" t="str" cm="1">
        <f t="array" aca="1" ref="AX444" ca="1">IFERROR(_xlfn.IFS(OR($M444="",$AS444=""),"",$C444="Joined",($AS444-$M444)-$AT444),"")</f>
        <v/>
      </c>
      <c r="AY444" s="30" t="str">
        <f>IFERROR(IF(COUNTIFS('Candidate Tracker'!$E:$E,'Positions Tracker'!$B444,'Candidate Tracker'!$C:$C,"Offer Drop")=0,"",COUNTIFS('Candidate Tracker'!$E:$E,'Positions Tracker'!$B444,'Candidate Tracker'!$C:$C,"Offer Drop")),"")</f>
        <v/>
      </c>
      <c r="AZ4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4" s="34" t="str">
        <f>IFERROR(IF(COUNTIFS('Candidate Tracker'!$E:$E,'Positions Tracker'!$B444,'Candidate Tracker'!$I:$I,"Female")=0,"",COUNTIFS('Candidate Tracker'!$E:$E,'Positions Tracker'!$B444,'Candidate Tracker'!$I:$I,"Female")),"")</f>
        <v/>
      </c>
      <c r="BB444" s="34" t="str">
        <f>IFERROR(IF(COUNTIFS('Candidate Tracker'!$E:$E,'Positions Tracker'!$B444,'Candidate Tracker'!$I:$I,"male")=0,"",COUNTIFS('Candidate Tracker'!$E:$E,'Positions Tracker'!$B444,'Candidate Tracker'!$I:$I,"male")),"")</f>
        <v/>
      </c>
      <c r="BC444" s="33" t="str">
        <f>IFERROR(IF(COUNTIFS('Candidate Tracker'!$E:$E,'Positions Tracker'!$B444,'Candidate Tracker'!$C:$C,"&lt;&gt;WIP",'Candidate Tracker'!$C:$C,"&lt;&gt;Hold",'Candidate Tracker'!$C:$C,"&lt;&gt;Cancelled",'Candidate Tracker'!$C:$C,"&lt;&gt;Closed")/COUNTIFS('Candidate Tracker'!$E:$E,'Positions Tracker'!$B444)=0,"",COUNTIFS('Candidate Tracker'!$E:$E,'Positions Tracker'!$B444,'Candidate Tracker'!$C:$C,"&lt;&gt;WIP",'Candidate Tracker'!$C:$C,"&lt;&gt;Hold",'Candidate Tracker'!$C:$C,"&lt;&gt;Cancelled",'Candidate Tracker'!$C:$C,"&lt;&gt;Closed")/COUNTIFS('Candidate Tracker'!$E:$E,'Positions Tracker'!$B444)),"")</f>
        <v/>
      </c>
      <c r="BD444" s="30" t="str">
        <f t="shared" si="51"/>
        <v/>
      </c>
      <c r="BE444" s="30" t="str">
        <f t="shared" si="52"/>
        <v/>
      </c>
      <c r="BF444" s="30" t="str">
        <f t="shared" si="53"/>
        <v/>
      </c>
      <c r="BG444" s="30" t="str">
        <f t="shared" si="54"/>
        <v/>
      </c>
    </row>
    <row r="445" spans="1:59">
      <c r="A445" s="39"/>
      <c r="B445" s="39"/>
      <c r="C445" s="39"/>
      <c r="D445" s="39"/>
      <c r="E445" s="39"/>
      <c r="F445" s="39"/>
      <c r="G445" s="39"/>
      <c r="H445" s="39"/>
      <c r="I445" s="40"/>
      <c r="J445" s="40"/>
      <c r="K445" s="35"/>
      <c r="L445" s="35"/>
      <c r="M445" s="35"/>
      <c r="N445" s="39"/>
      <c r="O445" s="39"/>
      <c r="P445" s="39"/>
      <c r="Q445" s="39"/>
      <c r="R445" s="39"/>
      <c r="S445" s="39"/>
      <c r="T445" s="39"/>
      <c r="U445" s="39"/>
      <c r="V445" s="39"/>
      <c r="W445" s="39"/>
      <c r="X445" s="39"/>
      <c r="Y445" s="39"/>
      <c r="Z445" s="39"/>
      <c r="AA445" s="39"/>
      <c r="AB445" s="39"/>
      <c r="AC445" s="39"/>
      <c r="AD445" s="39"/>
      <c r="AE445" s="39"/>
      <c r="AF445" s="39"/>
      <c r="AG445" s="39"/>
      <c r="AH445" s="39"/>
      <c r="AI445" s="35"/>
      <c r="AJ445" s="39"/>
      <c r="AK445" s="39"/>
      <c r="AL445" s="39"/>
      <c r="AM445" s="35"/>
      <c r="AN445" s="35"/>
      <c r="AO445" s="39"/>
      <c r="AP445" s="39"/>
      <c r="AQ445" s="35"/>
      <c r="AR445" s="35"/>
      <c r="AS445" s="35"/>
      <c r="AT445" s="30">
        <f t="shared" ca="1" si="50"/>
        <v>0</v>
      </c>
      <c r="AU445" s="32" t="str">
        <f t="shared" ca="1" si="49"/>
        <v/>
      </c>
      <c r="AV445" s="32" t="str" cm="1">
        <f t="array" aca="1" ref="AV445" ca="1">IFERROR(_xlfn.IFS($AU445="","",$AU445&lt;=15,"0-15",AND($AU445&gt;=16,$AU445&lt;=30),"16-30",AND($AU445&gt;=31,$AU445&lt;=45),"31-45",AND($AU445&gt;=46,$AU445&lt;=60),"46-60",AND($AU445&gt;=61,$AU445&lt;=90),"61-90",AND($AU445&gt;=91),"&gt; 90",AND($AU445&gt;=2000),""),"")</f>
        <v/>
      </c>
      <c r="AW445" s="32" t="str" cm="1">
        <f t="array" aca="1" ref="AW445" ca="1">IFERROR(_xlfn.IFS(OR($M445="",$AM445=""),"",OR($C445="Offered",$C445="Joined"),($AM445-$M445)-$AT445),"")</f>
        <v/>
      </c>
      <c r="AX445" s="32" t="str" cm="1">
        <f t="array" aca="1" ref="AX445" ca="1">IFERROR(_xlfn.IFS(OR($M445="",$AS445=""),"",$C445="Joined",($AS445-$M445)-$AT445),"")</f>
        <v/>
      </c>
      <c r="AY445" s="30" t="str">
        <f>IFERROR(IF(COUNTIFS('Candidate Tracker'!$E:$E,'Positions Tracker'!$B445,'Candidate Tracker'!$C:$C,"Offer Drop")=0,"",COUNTIFS('Candidate Tracker'!$E:$E,'Positions Tracker'!$B445,'Candidate Tracker'!$C:$C,"Offer Drop")),"")</f>
        <v/>
      </c>
      <c r="AZ44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5" s="34" t="str">
        <f>IFERROR(IF(COUNTIFS('Candidate Tracker'!$E:$E,'Positions Tracker'!$B445,'Candidate Tracker'!$I:$I,"Female")=0,"",COUNTIFS('Candidate Tracker'!$E:$E,'Positions Tracker'!$B445,'Candidate Tracker'!$I:$I,"Female")),"")</f>
        <v/>
      </c>
      <c r="BB445" s="34" t="str">
        <f>IFERROR(IF(COUNTIFS('Candidate Tracker'!$E:$E,'Positions Tracker'!$B445,'Candidate Tracker'!$I:$I,"male")=0,"",COUNTIFS('Candidate Tracker'!$E:$E,'Positions Tracker'!$B445,'Candidate Tracker'!$I:$I,"male")),"")</f>
        <v/>
      </c>
      <c r="BC445" s="33" t="str">
        <f>IFERROR(IF(COUNTIFS('Candidate Tracker'!$E:$E,'Positions Tracker'!$B445,'Candidate Tracker'!$C:$C,"&lt;&gt;WIP",'Candidate Tracker'!$C:$C,"&lt;&gt;Hold",'Candidate Tracker'!$C:$C,"&lt;&gt;Cancelled",'Candidate Tracker'!$C:$C,"&lt;&gt;Closed")/COUNTIFS('Candidate Tracker'!$E:$E,'Positions Tracker'!$B445)=0,"",COUNTIFS('Candidate Tracker'!$E:$E,'Positions Tracker'!$B445,'Candidate Tracker'!$C:$C,"&lt;&gt;WIP",'Candidate Tracker'!$C:$C,"&lt;&gt;Hold",'Candidate Tracker'!$C:$C,"&lt;&gt;Cancelled",'Candidate Tracker'!$C:$C,"&lt;&gt;Closed")/COUNTIFS('Candidate Tracker'!$E:$E,'Positions Tracker'!$B445)),"")</f>
        <v/>
      </c>
      <c r="BD445" s="30" t="str">
        <f t="shared" si="51"/>
        <v/>
      </c>
      <c r="BE445" s="30" t="str">
        <f t="shared" si="52"/>
        <v/>
      </c>
      <c r="BF445" s="30" t="str">
        <f t="shared" si="53"/>
        <v/>
      </c>
      <c r="BG445" s="30" t="str">
        <f t="shared" si="54"/>
        <v/>
      </c>
    </row>
    <row r="446" spans="1:59">
      <c r="A446" s="39"/>
      <c r="B446" s="39"/>
      <c r="C446" s="39"/>
      <c r="D446" s="39"/>
      <c r="E446" s="39"/>
      <c r="F446" s="39"/>
      <c r="G446" s="39"/>
      <c r="H446" s="39"/>
      <c r="I446" s="40"/>
      <c r="J446" s="40"/>
      <c r="K446" s="35"/>
      <c r="L446" s="35"/>
      <c r="M446" s="35"/>
      <c r="N446" s="39"/>
      <c r="O446" s="39"/>
      <c r="P446" s="39"/>
      <c r="Q446" s="39"/>
      <c r="R446" s="39"/>
      <c r="S446" s="39"/>
      <c r="T446" s="39"/>
      <c r="U446" s="39"/>
      <c r="V446" s="39"/>
      <c r="W446" s="39"/>
      <c r="X446" s="39"/>
      <c r="Y446" s="39"/>
      <c r="Z446" s="39"/>
      <c r="AA446" s="39"/>
      <c r="AB446" s="39"/>
      <c r="AC446" s="39"/>
      <c r="AD446" s="39"/>
      <c r="AE446" s="39"/>
      <c r="AF446" s="39"/>
      <c r="AG446" s="39"/>
      <c r="AH446" s="39"/>
      <c r="AI446" s="35"/>
      <c r="AJ446" s="39"/>
      <c r="AK446" s="39"/>
      <c r="AL446" s="39"/>
      <c r="AM446" s="35"/>
      <c r="AN446" s="35"/>
      <c r="AO446" s="39"/>
      <c r="AP446" s="39"/>
      <c r="AQ446" s="35"/>
      <c r="AR446" s="35"/>
      <c r="AS446" s="35"/>
      <c r="AT446" s="30">
        <f t="shared" ca="1" si="50"/>
        <v>0</v>
      </c>
      <c r="AU446" s="32" t="str">
        <f t="shared" ca="1" si="49"/>
        <v/>
      </c>
      <c r="AV446" s="32" t="str" cm="1">
        <f t="array" aca="1" ref="AV446" ca="1">IFERROR(_xlfn.IFS($AU446="","",$AU446&lt;=15,"0-15",AND($AU446&gt;=16,$AU446&lt;=30),"16-30",AND($AU446&gt;=31,$AU446&lt;=45),"31-45",AND($AU446&gt;=46,$AU446&lt;=60),"46-60",AND($AU446&gt;=61,$AU446&lt;=90),"61-90",AND($AU446&gt;=91),"&gt; 90",AND($AU446&gt;=2000),""),"")</f>
        <v/>
      </c>
      <c r="AW446" s="32" t="str" cm="1">
        <f t="array" aca="1" ref="AW446" ca="1">IFERROR(_xlfn.IFS(OR($M446="",$AM446=""),"",OR($C446="Offered",$C446="Joined"),($AM446-$M446)-$AT446),"")</f>
        <v/>
      </c>
      <c r="AX446" s="32" t="str" cm="1">
        <f t="array" aca="1" ref="AX446" ca="1">IFERROR(_xlfn.IFS(OR($M446="",$AS446=""),"",$C446="Joined",($AS446-$M446)-$AT446),"")</f>
        <v/>
      </c>
      <c r="AY446" s="30" t="str">
        <f>IFERROR(IF(COUNTIFS('Candidate Tracker'!$E:$E,'Positions Tracker'!$B446,'Candidate Tracker'!$C:$C,"Offer Drop")=0,"",COUNTIFS('Candidate Tracker'!$E:$E,'Positions Tracker'!$B446,'Candidate Tracker'!$C:$C,"Offer Drop")),"")</f>
        <v/>
      </c>
      <c r="AZ44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6" s="34" t="str">
        <f>IFERROR(IF(COUNTIFS('Candidate Tracker'!$E:$E,'Positions Tracker'!$B446,'Candidate Tracker'!$I:$I,"Female")=0,"",COUNTIFS('Candidate Tracker'!$E:$E,'Positions Tracker'!$B446,'Candidate Tracker'!$I:$I,"Female")),"")</f>
        <v/>
      </c>
      <c r="BB446" s="34" t="str">
        <f>IFERROR(IF(COUNTIFS('Candidate Tracker'!$E:$E,'Positions Tracker'!$B446,'Candidate Tracker'!$I:$I,"male")=0,"",COUNTIFS('Candidate Tracker'!$E:$E,'Positions Tracker'!$B446,'Candidate Tracker'!$I:$I,"male")),"")</f>
        <v/>
      </c>
      <c r="BC446" s="33" t="str">
        <f>IFERROR(IF(COUNTIFS('Candidate Tracker'!$E:$E,'Positions Tracker'!$B446,'Candidate Tracker'!$C:$C,"&lt;&gt;WIP",'Candidate Tracker'!$C:$C,"&lt;&gt;Hold",'Candidate Tracker'!$C:$C,"&lt;&gt;Cancelled",'Candidate Tracker'!$C:$C,"&lt;&gt;Closed")/COUNTIFS('Candidate Tracker'!$E:$E,'Positions Tracker'!$B446)=0,"",COUNTIFS('Candidate Tracker'!$E:$E,'Positions Tracker'!$B446,'Candidate Tracker'!$C:$C,"&lt;&gt;WIP",'Candidate Tracker'!$C:$C,"&lt;&gt;Hold",'Candidate Tracker'!$C:$C,"&lt;&gt;Cancelled",'Candidate Tracker'!$C:$C,"&lt;&gt;Closed")/COUNTIFS('Candidate Tracker'!$E:$E,'Positions Tracker'!$B446)),"")</f>
        <v/>
      </c>
      <c r="BD446" s="30" t="str">
        <f t="shared" si="51"/>
        <v/>
      </c>
      <c r="BE446" s="30" t="str">
        <f t="shared" si="52"/>
        <v/>
      </c>
      <c r="BF446" s="30" t="str">
        <f t="shared" si="53"/>
        <v/>
      </c>
      <c r="BG446" s="30" t="str">
        <f t="shared" si="54"/>
        <v/>
      </c>
    </row>
    <row r="447" spans="1:59">
      <c r="A447" s="39"/>
      <c r="B447" s="39"/>
      <c r="C447" s="39"/>
      <c r="D447" s="39"/>
      <c r="E447" s="39"/>
      <c r="F447" s="39"/>
      <c r="G447" s="39"/>
      <c r="H447" s="39"/>
      <c r="I447" s="40"/>
      <c r="J447" s="40"/>
      <c r="K447" s="35"/>
      <c r="L447" s="35"/>
      <c r="M447" s="35"/>
      <c r="N447" s="39"/>
      <c r="O447" s="39"/>
      <c r="P447" s="39"/>
      <c r="Q447" s="39"/>
      <c r="R447" s="39"/>
      <c r="S447" s="39"/>
      <c r="T447" s="39"/>
      <c r="U447" s="39"/>
      <c r="V447" s="39"/>
      <c r="W447" s="39"/>
      <c r="X447" s="39"/>
      <c r="Y447" s="39"/>
      <c r="Z447" s="39"/>
      <c r="AA447" s="39"/>
      <c r="AB447" s="39"/>
      <c r="AC447" s="39"/>
      <c r="AD447" s="39"/>
      <c r="AE447" s="39"/>
      <c r="AF447" s="39"/>
      <c r="AG447" s="39"/>
      <c r="AH447" s="39"/>
      <c r="AI447" s="35"/>
      <c r="AJ447" s="39"/>
      <c r="AK447" s="39"/>
      <c r="AL447" s="39"/>
      <c r="AM447" s="35"/>
      <c r="AN447" s="35"/>
      <c r="AO447" s="39"/>
      <c r="AP447" s="39"/>
      <c r="AQ447" s="35"/>
      <c r="AR447" s="35"/>
      <c r="AS447" s="35"/>
      <c r="AT447" s="30">
        <f t="shared" ca="1" si="50"/>
        <v>0</v>
      </c>
      <c r="AU447" s="32" t="str">
        <f t="shared" ca="1" si="49"/>
        <v/>
      </c>
      <c r="AV447" s="32" t="str" cm="1">
        <f t="array" aca="1" ref="AV447" ca="1">IFERROR(_xlfn.IFS($AU447="","",$AU447&lt;=15,"0-15",AND($AU447&gt;=16,$AU447&lt;=30),"16-30",AND($AU447&gt;=31,$AU447&lt;=45),"31-45",AND($AU447&gt;=46,$AU447&lt;=60),"46-60",AND($AU447&gt;=61,$AU447&lt;=90),"61-90",AND($AU447&gt;=91),"&gt; 90",AND($AU447&gt;=2000),""),"")</f>
        <v/>
      </c>
      <c r="AW447" s="32" t="str" cm="1">
        <f t="array" aca="1" ref="AW447" ca="1">IFERROR(_xlfn.IFS(OR($M447="",$AM447=""),"",OR($C447="Offered",$C447="Joined"),($AM447-$M447)-$AT447),"")</f>
        <v/>
      </c>
      <c r="AX447" s="32" t="str" cm="1">
        <f t="array" aca="1" ref="AX447" ca="1">IFERROR(_xlfn.IFS(OR($M447="",$AS447=""),"",$C447="Joined",($AS447-$M447)-$AT447),"")</f>
        <v/>
      </c>
      <c r="AY447" s="30" t="str">
        <f>IFERROR(IF(COUNTIFS('Candidate Tracker'!$E:$E,'Positions Tracker'!$B447,'Candidate Tracker'!$C:$C,"Offer Drop")=0,"",COUNTIFS('Candidate Tracker'!$E:$E,'Positions Tracker'!$B447,'Candidate Tracker'!$C:$C,"Offer Drop")),"")</f>
        <v/>
      </c>
      <c r="AZ44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7" s="34" t="str">
        <f>IFERROR(IF(COUNTIFS('Candidate Tracker'!$E:$E,'Positions Tracker'!$B447,'Candidate Tracker'!$I:$I,"Female")=0,"",COUNTIFS('Candidate Tracker'!$E:$E,'Positions Tracker'!$B447,'Candidate Tracker'!$I:$I,"Female")),"")</f>
        <v/>
      </c>
      <c r="BB447" s="34" t="str">
        <f>IFERROR(IF(COUNTIFS('Candidate Tracker'!$E:$E,'Positions Tracker'!$B447,'Candidate Tracker'!$I:$I,"male")=0,"",COUNTIFS('Candidate Tracker'!$E:$E,'Positions Tracker'!$B447,'Candidate Tracker'!$I:$I,"male")),"")</f>
        <v/>
      </c>
      <c r="BC447" s="33" t="str">
        <f>IFERROR(IF(COUNTIFS('Candidate Tracker'!$E:$E,'Positions Tracker'!$B447,'Candidate Tracker'!$C:$C,"&lt;&gt;WIP",'Candidate Tracker'!$C:$C,"&lt;&gt;Hold",'Candidate Tracker'!$C:$C,"&lt;&gt;Cancelled",'Candidate Tracker'!$C:$C,"&lt;&gt;Closed")/COUNTIFS('Candidate Tracker'!$E:$E,'Positions Tracker'!$B447)=0,"",COUNTIFS('Candidate Tracker'!$E:$E,'Positions Tracker'!$B447,'Candidate Tracker'!$C:$C,"&lt;&gt;WIP",'Candidate Tracker'!$C:$C,"&lt;&gt;Hold",'Candidate Tracker'!$C:$C,"&lt;&gt;Cancelled",'Candidate Tracker'!$C:$C,"&lt;&gt;Closed")/COUNTIFS('Candidate Tracker'!$E:$E,'Positions Tracker'!$B447)),"")</f>
        <v/>
      </c>
      <c r="BD447" s="30" t="str">
        <f t="shared" si="51"/>
        <v/>
      </c>
      <c r="BE447" s="30" t="str">
        <f t="shared" si="52"/>
        <v/>
      </c>
      <c r="BF447" s="30" t="str">
        <f t="shared" si="53"/>
        <v/>
      </c>
      <c r="BG447" s="30" t="str">
        <f t="shared" si="54"/>
        <v/>
      </c>
    </row>
    <row r="448" spans="1:59">
      <c r="A448" s="39"/>
      <c r="B448" s="39"/>
      <c r="C448" s="39"/>
      <c r="D448" s="39"/>
      <c r="E448" s="39"/>
      <c r="F448" s="39"/>
      <c r="G448" s="39"/>
      <c r="H448" s="39"/>
      <c r="I448" s="40"/>
      <c r="J448" s="40"/>
      <c r="K448" s="35"/>
      <c r="L448" s="35"/>
      <c r="M448" s="35"/>
      <c r="N448" s="39"/>
      <c r="O448" s="39"/>
      <c r="P448" s="39"/>
      <c r="Q448" s="39"/>
      <c r="R448" s="39"/>
      <c r="S448" s="39"/>
      <c r="T448" s="39"/>
      <c r="U448" s="39"/>
      <c r="V448" s="39"/>
      <c r="W448" s="39"/>
      <c r="X448" s="39"/>
      <c r="Y448" s="39"/>
      <c r="Z448" s="39"/>
      <c r="AA448" s="39"/>
      <c r="AB448" s="39"/>
      <c r="AC448" s="39"/>
      <c r="AD448" s="39"/>
      <c r="AE448" s="39"/>
      <c r="AF448" s="39"/>
      <c r="AG448" s="39"/>
      <c r="AH448" s="39"/>
      <c r="AI448" s="35"/>
      <c r="AJ448" s="39"/>
      <c r="AK448" s="39"/>
      <c r="AL448" s="39"/>
      <c r="AM448" s="35"/>
      <c r="AN448" s="35"/>
      <c r="AO448" s="39"/>
      <c r="AP448" s="39"/>
      <c r="AQ448" s="35"/>
      <c r="AR448" s="35"/>
      <c r="AS448" s="35"/>
      <c r="AT448" s="30">
        <f t="shared" ca="1" si="50"/>
        <v>0</v>
      </c>
      <c r="AU448" s="32" t="str">
        <f t="shared" ref="AU448:AU511" ca="1" si="55">IFERROR(IF(($M448=""),"",IF(OR(,$C448="Offer in Progress",$C448="WIP",$C448="WIP/Drop",$C448="WIP/New",$C448="WIP/Hold"),(TODAY()-$M448)-$AT448,"")),"")</f>
        <v/>
      </c>
      <c r="AV448" s="32" t="str" cm="1">
        <f t="array" aca="1" ref="AV448" ca="1">IFERROR(_xlfn.IFS($AU448="","",$AU448&lt;=15,"0-15",AND($AU448&gt;=16,$AU448&lt;=30),"16-30",AND($AU448&gt;=31,$AU448&lt;=45),"31-45",AND($AU448&gt;=46,$AU448&lt;=60),"46-60",AND($AU448&gt;=61,$AU448&lt;=90),"61-90",AND($AU448&gt;=91),"&gt; 90",AND($AU448&gt;=2000),""),"")</f>
        <v/>
      </c>
      <c r="AW448" s="32" t="str" cm="1">
        <f t="array" aca="1" ref="AW448" ca="1">IFERROR(_xlfn.IFS(OR($M448="",$AM448=""),"",OR($C448="Offered",$C448="Joined"),($AM448-$M448)-$AT448),"")</f>
        <v/>
      </c>
      <c r="AX448" s="32" t="str" cm="1">
        <f t="array" aca="1" ref="AX448" ca="1">IFERROR(_xlfn.IFS(OR($M448="",$AS448=""),"",$C448="Joined",($AS448-$M448)-$AT448),"")</f>
        <v/>
      </c>
      <c r="AY448" s="30" t="str">
        <f>IFERROR(IF(COUNTIFS('Candidate Tracker'!$E:$E,'Positions Tracker'!$B448,'Candidate Tracker'!$C:$C,"Offer Drop")=0,"",COUNTIFS('Candidate Tracker'!$E:$E,'Positions Tracker'!$B448,'Candidate Tracker'!$C:$C,"Offer Drop")),"")</f>
        <v/>
      </c>
      <c r="AZ4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8" s="34" t="str">
        <f>IFERROR(IF(COUNTIFS('Candidate Tracker'!$E:$E,'Positions Tracker'!$B448,'Candidate Tracker'!$I:$I,"Female")=0,"",COUNTIFS('Candidate Tracker'!$E:$E,'Positions Tracker'!$B448,'Candidate Tracker'!$I:$I,"Female")),"")</f>
        <v/>
      </c>
      <c r="BB448" s="34" t="str">
        <f>IFERROR(IF(COUNTIFS('Candidate Tracker'!$E:$E,'Positions Tracker'!$B448,'Candidate Tracker'!$I:$I,"male")=0,"",COUNTIFS('Candidate Tracker'!$E:$E,'Positions Tracker'!$B448,'Candidate Tracker'!$I:$I,"male")),"")</f>
        <v/>
      </c>
      <c r="BC448" s="33" t="str">
        <f>IFERROR(IF(COUNTIFS('Candidate Tracker'!$E:$E,'Positions Tracker'!$B448,'Candidate Tracker'!$C:$C,"&lt;&gt;WIP",'Candidate Tracker'!$C:$C,"&lt;&gt;Hold",'Candidate Tracker'!$C:$C,"&lt;&gt;Cancelled",'Candidate Tracker'!$C:$C,"&lt;&gt;Closed")/COUNTIFS('Candidate Tracker'!$E:$E,'Positions Tracker'!$B448)=0,"",COUNTIFS('Candidate Tracker'!$E:$E,'Positions Tracker'!$B448,'Candidate Tracker'!$C:$C,"&lt;&gt;WIP",'Candidate Tracker'!$C:$C,"&lt;&gt;Hold",'Candidate Tracker'!$C:$C,"&lt;&gt;Cancelled",'Candidate Tracker'!$C:$C,"&lt;&gt;Closed")/COUNTIFS('Candidate Tracker'!$E:$E,'Positions Tracker'!$B448)),"")</f>
        <v/>
      </c>
      <c r="BD448" s="30" t="str">
        <f t="shared" si="51"/>
        <v/>
      </c>
      <c r="BE448" s="30" t="str">
        <f t="shared" si="52"/>
        <v/>
      </c>
      <c r="BF448" s="30" t="str">
        <f t="shared" si="53"/>
        <v/>
      </c>
      <c r="BG448" s="30" t="str">
        <f t="shared" si="54"/>
        <v/>
      </c>
    </row>
    <row r="449" spans="1:59">
      <c r="A449" s="39"/>
      <c r="B449" s="39"/>
      <c r="C449" s="39"/>
      <c r="D449" s="39"/>
      <c r="E449" s="39"/>
      <c r="F449" s="39"/>
      <c r="G449" s="39"/>
      <c r="H449" s="39"/>
      <c r="I449" s="40"/>
      <c r="J449" s="40"/>
      <c r="K449" s="35"/>
      <c r="L449" s="35"/>
      <c r="M449" s="35"/>
      <c r="N449" s="39"/>
      <c r="O449" s="39"/>
      <c r="P449" s="39"/>
      <c r="Q449" s="39"/>
      <c r="R449" s="39"/>
      <c r="S449" s="39"/>
      <c r="T449" s="39"/>
      <c r="U449" s="39"/>
      <c r="V449" s="39"/>
      <c r="W449" s="39"/>
      <c r="X449" s="39"/>
      <c r="Y449" s="39"/>
      <c r="Z449" s="39"/>
      <c r="AA449" s="39"/>
      <c r="AB449" s="39"/>
      <c r="AC449" s="39"/>
      <c r="AD449" s="39"/>
      <c r="AE449" s="39"/>
      <c r="AF449" s="39"/>
      <c r="AG449" s="39"/>
      <c r="AH449" s="39"/>
      <c r="AI449" s="35"/>
      <c r="AJ449" s="39"/>
      <c r="AK449" s="39"/>
      <c r="AL449" s="39"/>
      <c r="AM449" s="35"/>
      <c r="AN449" s="35"/>
      <c r="AO449" s="39"/>
      <c r="AP449" s="39"/>
      <c r="AQ449" s="35"/>
      <c r="AR449" s="35"/>
      <c r="AS449" s="35"/>
      <c r="AT449" s="30">
        <f t="shared" ref="AT449:AT512" ca="1" si="56">IFERROR(SUM(IF(AND(ISBLANK(T449),ISBLANK(Q449)),0,IF(T449="",TODAY()-Q449,T449-Q449))+IF(AND(ISBLANK(S449),ISBLANK(P449)),0,IF(S449="",TODAY()-P449,S449-P449))+IF(AND(ISBLANK(O449),ISBLANK(R449)),0,IF(R449="",TODAY()-O449,R449-O449))),"")</f>
        <v>0</v>
      </c>
      <c r="AU449" s="32" t="str">
        <f t="shared" ca="1" si="55"/>
        <v/>
      </c>
      <c r="AV449" s="32" t="str" cm="1">
        <f t="array" aca="1" ref="AV449" ca="1">IFERROR(_xlfn.IFS($AU449="","",$AU449&lt;=15,"0-15",AND($AU449&gt;=16,$AU449&lt;=30),"16-30",AND($AU449&gt;=31,$AU449&lt;=45),"31-45",AND($AU449&gt;=46,$AU449&lt;=60),"46-60",AND($AU449&gt;=61,$AU449&lt;=90),"61-90",AND($AU449&gt;=91),"&gt; 90",AND($AU449&gt;=2000),""),"")</f>
        <v/>
      </c>
      <c r="AW449" s="32" t="str" cm="1">
        <f t="array" aca="1" ref="AW449" ca="1">IFERROR(_xlfn.IFS(OR($M449="",$AM449=""),"",OR($C449="Offered",$C449="Joined"),($AM449-$M449)-$AT449),"")</f>
        <v/>
      </c>
      <c r="AX449" s="32" t="str" cm="1">
        <f t="array" aca="1" ref="AX449" ca="1">IFERROR(_xlfn.IFS(OR($M449="",$AS449=""),"",$C449="Joined",($AS449-$M449)-$AT449),"")</f>
        <v/>
      </c>
      <c r="AY449" s="30" t="str">
        <f>IFERROR(IF(COUNTIFS('Candidate Tracker'!$E:$E,'Positions Tracker'!$B449,'Candidate Tracker'!$C:$C,"Offer Drop")=0,"",COUNTIFS('Candidate Tracker'!$E:$E,'Positions Tracker'!$B449,'Candidate Tracker'!$C:$C,"Offer Drop")),"")</f>
        <v/>
      </c>
      <c r="AZ44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49" s="34" t="str">
        <f>IFERROR(IF(COUNTIFS('Candidate Tracker'!$E:$E,'Positions Tracker'!$B449,'Candidate Tracker'!$I:$I,"Female")=0,"",COUNTIFS('Candidate Tracker'!$E:$E,'Positions Tracker'!$B449,'Candidate Tracker'!$I:$I,"Female")),"")</f>
        <v/>
      </c>
      <c r="BB449" s="34" t="str">
        <f>IFERROR(IF(COUNTIFS('Candidate Tracker'!$E:$E,'Positions Tracker'!$B449,'Candidate Tracker'!$I:$I,"male")=0,"",COUNTIFS('Candidate Tracker'!$E:$E,'Positions Tracker'!$B449,'Candidate Tracker'!$I:$I,"male")),"")</f>
        <v/>
      </c>
      <c r="BC449" s="33" t="str">
        <f>IFERROR(IF(COUNTIFS('Candidate Tracker'!$E:$E,'Positions Tracker'!$B449,'Candidate Tracker'!$C:$C,"&lt;&gt;WIP",'Candidate Tracker'!$C:$C,"&lt;&gt;Hold",'Candidate Tracker'!$C:$C,"&lt;&gt;Cancelled",'Candidate Tracker'!$C:$C,"&lt;&gt;Closed")/COUNTIFS('Candidate Tracker'!$E:$E,'Positions Tracker'!$B449)=0,"",COUNTIFS('Candidate Tracker'!$E:$E,'Positions Tracker'!$B449,'Candidate Tracker'!$C:$C,"&lt;&gt;WIP",'Candidate Tracker'!$C:$C,"&lt;&gt;Hold",'Candidate Tracker'!$C:$C,"&lt;&gt;Cancelled",'Candidate Tracker'!$C:$C,"&lt;&gt;Closed")/COUNTIFS('Candidate Tracker'!$E:$E,'Positions Tracker'!$B449)),"")</f>
        <v/>
      </c>
      <c r="BD449" s="30" t="str">
        <f t="shared" ref="BD449:BD512" si="57">IFERROR(IF($M449="","",TEXT($M449,"MMM-YY")),"")</f>
        <v/>
      </c>
      <c r="BE449" s="30" t="str">
        <f t="shared" ref="BE449:BE512" si="58">IFERROR(IF($AI449="","",TEXT($AI449,"MMM-YY")),"")</f>
        <v/>
      </c>
      <c r="BF449" s="30" t="str">
        <f t="shared" ref="BF449:BF512" si="59">IFERROR(IF($AM449="","",TEXT($AM449,"MMM-YY")),"")</f>
        <v/>
      </c>
      <c r="BG449" s="30" t="str">
        <f t="shared" ref="BG449:BG512" si="60">IFERROR(IF($AS449="","",TEXT($AS449,"MMM-YY")),"")</f>
        <v/>
      </c>
    </row>
    <row r="450" spans="1:59">
      <c r="A450" s="39"/>
      <c r="B450" s="39"/>
      <c r="C450" s="39"/>
      <c r="D450" s="39"/>
      <c r="E450" s="39"/>
      <c r="F450" s="39"/>
      <c r="G450" s="39"/>
      <c r="H450" s="39"/>
      <c r="I450" s="40"/>
      <c r="J450" s="40"/>
      <c r="K450" s="35"/>
      <c r="L450" s="35"/>
      <c r="M450" s="35"/>
      <c r="N450" s="39"/>
      <c r="O450" s="39"/>
      <c r="P450" s="39"/>
      <c r="Q450" s="39"/>
      <c r="R450" s="39"/>
      <c r="S450" s="39"/>
      <c r="T450" s="39"/>
      <c r="U450" s="39"/>
      <c r="V450" s="39"/>
      <c r="W450" s="39"/>
      <c r="X450" s="39"/>
      <c r="Y450" s="39"/>
      <c r="Z450" s="39"/>
      <c r="AA450" s="39"/>
      <c r="AB450" s="39"/>
      <c r="AC450" s="39"/>
      <c r="AD450" s="39"/>
      <c r="AE450" s="39"/>
      <c r="AF450" s="39"/>
      <c r="AG450" s="39"/>
      <c r="AH450" s="39"/>
      <c r="AI450" s="35"/>
      <c r="AJ450" s="39"/>
      <c r="AK450" s="39"/>
      <c r="AL450" s="39"/>
      <c r="AM450" s="35"/>
      <c r="AN450" s="35"/>
      <c r="AO450" s="39"/>
      <c r="AP450" s="39"/>
      <c r="AQ450" s="35"/>
      <c r="AR450" s="35"/>
      <c r="AS450" s="35"/>
      <c r="AT450" s="30">
        <f t="shared" ca="1" si="56"/>
        <v>0</v>
      </c>
      <c r="AU450" s="32" t="str">
        <f t="shared" ca="1" si="55"/>
        <v/>
      </c>
      <c r="AV450" s="32" t="str" cm="1">
        <f t="array" aca="1" ref="AV450" ca="1">IFERROR(_xlfn.IFS($AU450="","",$AU450&lt;=15,"0-15",AND($AU450&gt;=16,$AU450&lt;=30),"16-30",AND($AU450&gt;=31,$AU450&lt;=45),"31-45",AND($AU450&gt;=46,$AU450&lt;=60),"46-60",AND($AU450&gt;=61,$AU450&lt;=90),"61-90",AND($AU450&gt;=91),"&gt; 90",AND($AU450&gt;=2000),""),"")</f>
        <v/>
      </c>
      <c r="AW450" s="32" t="str" cm="1">
        <f t="array" aca="1" ref="AW450" ca="1">IFERROR(_xlfn.IFS(OR($M450="",$AM450=""),"",OR($C450="Offered",$C450="Joined"),($AM450-$M450)-$AT450),"")</f>
        <v/>
      </c>
      <c r="AX450" s="32" t="str" cm="1">
        <f t="array" aca="1" ref="AX450" ca="1">IFERROR(_xlfn.IFS(OR($M450="",$AS450=""),"",$C450="Joined",($AS450-$M450)-$AT450),"")</f>
        <v/>
      </c>
      <c r="AY450" s="30" t="str">
        <f>IFERROR(IF(COUNTIFS('Candidate Tracker'!$E:$E,'Positions Tracker'!$B450,'Candidate Tracker'!$C:$C,"Offer Drop")=0,"",COUNTIFS('Candidate Tracker'!$E:$E,'Positions Tracker'!$B450,'Candidate Tracker'!$C:$C,"Offer Drop")),"")</f>
        <v/>
      </c>
      <c r="AZ45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0" s="34" t="str">
        <f>IFERROR(IF(COUNTIFS('Candidate Tracker'!$E:$E,'Positions Tracker'!$B450,'Candidate Tracker'!$I:$I,"Female")=0,"",COUNTIFS('Candidate Tracker'!$E:$E,'Positions Tracker'!$B450,'Candidate Tracker'!$I:$I,"Female")),"")</f>
        <v/>
      </c>
      <c r="BB450" s="34" t="str">
        <f>IFERROR(IF(COUNTIFS('Candidate Tracker'!$E:$E,'Positions Tracker'!$B450,'Candidate Tracker'!$I:$I,"male")=0,"",COUNTIFS('Candidate Tracker'!$E:$E,'Positions Tracker'!$B450,'Candidate Tracker'!$I:$I,"male")),"")</f>
        <v/>
      </c>
      <c r="BC450" s="33" t="str">
        <f>IFERROR(IF(COUNTIFS('Candidate Tracker'!$E:$E,'Positions Tracker'!$B450,'Candidate Tracker'!$C:$C,"&lt;&gt;WIP",'Candidate Tracker'!$C:$C,"&lt;&gt;Hold",'Candidate Tracker'!$C:$C,"&lt;&gt;Cancelled",'Candidate Tracker'!$C:$C,"&lt;&gt;Closed")/COUNTIFS('Candidate Tracker'!$E:$E,'Positions Tracker'!$B450)=0,"",COUNTIFS('Candidate Tracker'!$E:$E,'Positions Tracker'!$B450,'Candidate Tracker'!$C:$C,"&lt;&gt;WIP",'Candidate Tracker'!$C:$C,"&lt;&gt;Hold",'Candidate Tracker'!$C:$C,"&lt;&gt;Cancelled",'Candidate Tracker'!$C:$C,"&lt;&gt;Closed")/COUNTIFS('Candidate Tracker'!$E:$E,'Positions Tracker'!$B450)),"")</f>
        <v/>
      </c>
      <c r="BD450" s="30" t="str">
        <f t="shared" si="57"/>
        <v/>
      </c>
      <c r="BE450" s="30" t="str">
        <f t="shared" si="58"/>
        <v/>
      </c>
      <c r="BF450" s="30" t="str">
        <f t="shared" si="59"/>
        <v/>
      </c>
      <c r="BG450" s="30" t="str">
        <f t="shared" si="60"/>
        <v/>
      </c>
    </row>
    <row r="451" spans="1:59">
      <c r="A451" s="39"/>
      <c r="B451" s="39"/>
      <c r="C451" s="39"/>
      <c r="D451" s="39"/>
      <c r="E451" s="39"/>
      <c r="F451" s="39"/>
      <c r="G451" s="39"/>
      <c r="H451" s="39"/>
      <c r="I451" s="40"/>
      <c r="J451" s="40"/>
      <c r="K451" s="35"/>
      <c r="L451" s="35"/>
      <c r="M451" s="35"/>
      <c r="N451" s="39"/>
      <c r="O451" s="39"/>
      <c r="P451" s="39"/>
      <c r="Q451" s="39"/>
      <c r="R451" s="39"/>
      <c r="S451" s="39"/>
      <c r="T451" s="39"/>
      <c r="U451" s="39"/>
      <c r="V451" s="39"/>
      <c r="W451" s="39"/>
      <c r="X451" s="39"/>
      <c r="Y451" s="39"/>
      <c r="Z451" s="39"/>
      <c r="AA451" s="39"/>
      <c r="AB451" s="39"/>
      <c r="AC451" s="39"/>
      <c r="AD451" s="39"/>
      <c r="AE451" s="39"/>
      <c r="AF451" s="39"/>
      <c r="AG451" s="39"/>
      <c r="AH451" s="39"/>
      <c r="AI451" s="35"/>
      <c r="AJ451" s="39"/>
      <c r="AK451" s="39"/>
      <c r="AL451" s="39"/>
      <c r="AM451" s="35"/>
      <c r="AN451" s="35"/>
      <c r="AO451" s="39"/>
      <c r="AP451" s="39"/>
      <c r="AQ451" s="35"/>
      <c r="AR451" s="35"/>
      <c r="AS451" s="35"/>
      <c r="AT451" s="30">
        <f t="shared" ca="1" si="56"/>
        <v>0</v>
      </c>
      <c r="AU451" s="32" t="str">
        <f t="shared" ca="1" si="55"/>
        <v/>
      </c>
      <c r="AV451" s="32" t="str" cm="1">
        <f t="array" aca="1" ref="AV451" ca="1">IFERROR(_xlfn.IFS($AU451="","",$AU451&lt;=15,"0-15",AND($AU451&gt;=16,$AU451&lt;=30),"16-30",AND($AU451&gt;=31,$AU451&lt;=45),"31-45",AND($AU451&gt;=46,$AU451&lt;=60),"46-60",AND($AU451&gt;=61,$AU451&lt;=90),"61-90",AND($AU451&gt;=91),"&gt; 90",AND($AU451&gt;=2000),""),"")</f>
        <v/>
      </c>
      <c r="AW451" s="32" t="str" cm="1">
        <f t="array" aca="1" ref="AW451" ca="1">IFERROR(_xlfn.IFS(OR($M451="",$AM451=""),"",OR($C451="Offered",$C451="Joined"),($AM451-$M451)-$AT451),"")</f>
        <v/>
      </c>
      <c r="AX451" s="32" t="str" cm="1">
        <f t="array" aca="1" ref="AX451" ca="1">IFERROR(_xlfn.IFS(OR($M451="",$AS451=""),"",$C451="Joined",($AS451-$M451)-$AT451),"")</f>
        <v/>
      </c>
      <c r="AY451" s="30" t="str">
        <f>IFERROR(IF(COUNTIFS('Candidate Tracker'!$E:$E,'Positions Tracker'!$B451,'Candidate Tracker'!$C:$C,"Offer Drop")=0,"",COUNTIFS('Candidate Tracker'!$E:$E,'Positions Tracker'!$B451,'Candidate Tracker'!$C:$C,"Offer Drop")),"")</f>
        <v/>
      </c>
      <c r="AZ4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1" s="34" t="str">
        <f>IFERROR(IF(COUNTIFS('Candidate Tracker'!$E:$E,'Positions Tracker'!$B451,'Candidate Tracker'!$I:$I,"Female")=0,"",COUNTIFS('Candidate Tracker'!$E:$E,'Positions Tracker'!$B451,'Candidate Tracker'!$I:$I,"Female")),"")</f>
        <v/>
      </c>
      <c r="BB451" s="34" t="str">
        <f>IFERROR(IF(COUNTIFS('Candidate Tracker'!$E:$E,'Positions Tracker'!$B451,'Candidate Tracker'!$I:$I,"male")=0,"",COUNTIFS('Candidate Tracker'!$E:$E,'Positions Tracker'!$B451,'Candidate Tracker'!$I:$I,"male")),"")</f>
        <v/>
      </c>
      <c r="BC451" s="33" t="str">
        <f>IFERROR(IF(COUNTIFS('Candidate Tracker'!$E:$E,'Positions Tracker'!$B451,'Candidate Tracker'!$C:$C,"&lt;&gt;WIP",'Candidate Tracker'!$C:$C,"&lt;&gt;Hold",'Candidate Tracker'!$C:$C,"&lt;&gt;Cancelled",'Candidate Tracker'!$C:$C,"&lt;&gt;Closed")/COUNTIFS('Candidate Tracker'!$E:$E,'Positions Tracker'!$B451)=0,"",COUNTIFS('Candidate Tracker'!$E:$E,'Positions Tracker'!$B451,'Candidate Tracker'!$C:$C,"&lt;&gt;WIP",'Candidate Tracker'!$C:$C,"&lt;&gt;Hold",'Candidate Tracker'!$C:$C,"&lt;&gt;Cancelled",'Candidate Tracker'!$C:$C,"&lt;&gt;Closed")/COUNTIFS('Candidate Tracker'!$E:$E,'Positions Tracker'!$B451)),"")</f>
        <v/>
      </c>
      <c r="BD451" s="30" t="str">
        <f t="shared" si="57"/>
        <v/>
      </c>
      <c r="BE451" s="30" t="str">
        <f t="shared" si="58"/>
        <v/>
      </c>
      <c r="BF451" s="30" t="str">
        <f t="shared" si="59"/>
        <v/>
      </c>
      <c r="BG451" s="30" t="str">
        <f t="shared" si="60"/>
        <v/>
      </c>
    </row>
    <row r="452" spans="1:59">
      <c r="A452" s="39"/>
      <c r="B452" s="39"/>
      <c r="C452" s="39"/>
      <c r="D452" s="39"/>
      <c r="E452" s="39"/>
      <c r="F452" s="39"/>
      <c r="G452" s="39"/>
      <c r="H452" s="39"/>
      <c r="I452" s="40"/>
      <c r="J452" s="40"/>
      <c r="K452" s="35"/>
      <c r="L452" s="35"/>
      <c r="M452" s="35"/>
      <c r="N452" s="39"/>
      <c r="O452" s="39"/>
      <c r="P452" s="39"/>
      <c r="Q452" s="39"/>
      <c r="R452" s="39"/>
      <c r="S452" s="39"/>
      <c r="T452" s="39"/>
      <c r="U452" s="39"/>
      <c r="V452" s="39"/>
      <c r="W452" s="39"/>
      <c r="X452" s="39"/>
      <c r="Y452" s="39"/>
      <c r="Z452" s="39"/>
      <c r="AA452" s="39"/>
      <c r="AB452" s="39"/>
      <c r="AC452" s="39"/>
      <c r="AD452" s="39"/>
      <c r="AE452" s="39"/>
      <c r="AF452" s="39"/>
      <c r="AG452" s="39"/>
      <c r="AH452" s="39"/>
      <c r="AI452" s="35"/>
      <c r="AJ452" s="39"/>
      <c r="AK452" s="39"/>
      <c r="AL452" s="39"/>
      <c r="AM452" s="35"/>
      <c r="AN452" s="35"/>
      <c r="AO452" s="39"/>
      <c r="AP452" s="39"/>
      <c r="AQ452" s="35"/>
      <c r="AR452" s="35"/>
      <c r="AS452" s="35"/>
      <c r="AT452" s="30">
        <f t="shared" ca="1" si="56"/>
        <v>0</v>
      </c>
      <c r="AU452" s="32" t="str">
        <f t="shared" ca="1" si="55"/>
        <v/>
      </c>
      <c r="AV452" s="32" t="str" cm="1">
        <f t="array" aca="1" ref="AV452" ca="1">IFERROR(_xlfn.IFS($AU452="","",$AU452&lt;=15,"0-15",AND($AU452&gt;=16,$AU452&lt;=30),"16-30",AND($AU452&gt;=31,$AU452&lt;=45),"31-45",AND($AU452&gt;=46,$AU452&lt;=60),"46-60",AND($AU452&gt;=61,$AU452&lt;=90),"61-90",AND($AU452&gt;=91),"&gt; 90",AND($AU452&gt;=2000),""),"")</f>
        <v/>
      </c>
      <c r="AW452" s="32" t="str" cm="1">
        <f t="array" aca="1" ref="AW452" ca="1">IFERROR(_xlfn.IFS(OR($M452="",$AM452=""),"",OR($C452="Offered",$C452="Joined"),($AM452-$M452)-$AT452),"")</f>
        <v/>
      </c>
      <c r="AX452" s="32" t="str" cm="1">
        <f t="array" aca="1" ref="AX452" ca="1">IFERROR(_xlfn.IFS(OR($M452="",$AS452=""),"",$C452="Joined",($AS452-$M452)-$AT452),"")</f>
        <v/>
      </c>
      <c r="AY452" s="30" t="str">
        <f>IFERROR(IF(COUNTIFS('Candidate Tracker'!$E:$E,'Positions Tracker'!$B452,'Candidate Tracker'!$C:$C,"Offer Drop")=0,"",COUNTIFS('Candidate Tracker'!$E:$E,'Positions Tracker'!$B452,'Candidate Tracker'!$C:$C,"Offer Drop")),"")</f>
        <v/>
      </c>
      <c r="AZ45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2" s="34" t="str">
        <f>IFERROR(IF(COUNTIFS('Candidate Tracker'!$E:$E,'Positions Tracker'!$B452,'Candidate Tracker'!$I:$I,"Female")=0,"",COUNTIFS('Candidate Tracker'!$E:$E,'Positions Tracker'!$B452,'Candidate Tracker'!$I:$I,"Female")),"")</f>
        <v/>
      </c>
      <c r="BB452" s="34" t="str">
        <f>IFERROR(IF(COUNTIFS('Candidate Tracker'!$E:$E,'Positions Tracker'!$B452,'Candidate Tracker'!$I:$I,"male")=0,"",COUNTIFS('Candidate Tracker'!$E:$E,'Positions Tracker'!$B452,'Candidate Tracker'!$I:$I,"male")),"")</f>
        <v/>
      </c>
      <c r="BC452" s="33" t="str">
        <f>IFERROR(IF(COUNTIFS('Candidate Tracker'!$E:$E,'Positions Tracker'!$B452,'Candidate Tracker'!$C:$C,"&lt;&gt;WIP",'Candidate Tracker'!$C:$C,"&lt;&gt;Hold",'Candidate Tracker'!$C:$C,"&lt;&gt;Cancelled",'Candidate Tracker'!$C:$C,"&lt;&gt;Closed")/COUNTIFS('Candidate Tracker'!$E:$E,'Positions Tracker'!$B452)=0,"",COUNTIFS('Candidate Tracker'!$E:$E,'Positions Tracker'!$B452,'Candidate Tracker'!$C:$C,"&lt;&gt;WIP",'Candidate Tracker'!$C:$C,"&lt;&gt;Hold",'Candidate Tracker'!$C:$C,"&lt;&gt;Cancelled",'Candidate Tracker'!$C:$C,"&lt;&gt;Closed")/COUNTIFS('Candidate Tracker'!$E:$E,'Positions Tracker'!$B452)),"")</f>
        <v/>
      </c>
      <c r="BD452" s="30" t="str">
        <f t="shared" si="57"/>
        <v/>
      </c>
      <c r="BE452" s="30" t="str">
        <f t="shared" si="58"/>
        <v/>
      </c>
      <c r="BF452" s="30" t="str">
        <f t="shared" si="59"/>
        <v/>
      </c>
      <c r="BG452" s="30" t="str">
        <f t="shared" si="60"/>
        <v/>
      </c>
    </row>
    <row r="453" spans="1:59">
      <c r="A453" s="39"/>
      <c r="B453" s="39"/>
      <c r="C453" s="39"/>
      <c r="D453" s="39"/>
      <c r="E453" s="39"/>
      <c r="F453" s="39"/>
      <c r="G453" s="39"/>
      <c r="H453" s="39"/>
      <c r="I453" s="40"/>
      <c r="J453" s="40"/>
      <c r="K453" s="35"/>
      <c r="L453" s="35"/>
      <c r="M453" s="35"/>
      <c r="N453" s="39"/>
      <c r="O453" s="39"/>
      <c r="P453" s="39"/>
      <c r="Q453" s="39"/>
      <c r="R453" s="39"/>
      <c r="S453" s="39"/>
      <c r="T453" s="39"/>
      <c r="U453" s="39"/>
      <c r="V453" s="39"/>
      <c r="W453" s="39"/>
      <c r="X453" s="39"/>
      <c r="Y453" s="39"/>
      <c r="Z453" s="39"/>
      <c r="AA453" s="39"/>
      <c r="AB453" s="39"/>
      <c r="AC453" s="39"/>
      <c r="AD453" s="39"/>
      <c r="AE453" s="39"/>
      <c r="AF453" s="39"/>
      <c r="AG453" s="39"/>
      <c r="AH453" s="39"/>
      <c r="AI453" s="35"/>
      <c r="AJ453" s="39"/>
      <c r="AK453" s="39"/>
      <c r="AL453" s="39"/>
      <c r="AM453" s="35"/>
      <c r="AN453" s="35"/>
      <c r="AO453" s="39"/>
      <c r="AP453" s="39"/>
      <c r="AQ453" s="35"/>
      <c r="AR453" s="35"/>
      <c r="AS453" s="35"/>
      <c r="AT453" s="30">
        <f t="shared" ca="1" si="56"/>
        <v>0</v>
      </c>
      <c r="AU453" s="32" t="str">
        <f t="shared" ca="1" si="55"/>
        <v/>
      </c>
      <c r="AV453" s="32" t="str" cm="1">
        <f t="array" aca="1" ref="AV453" ca="1">IFERROR(_xlfn.IFS($AU453="","",$AU453&lt;=15,"0-15",AND($AU453&gt;=16,$AU453&lt;=30),"16-30",AND($AU453&gt;=31,$AU453&lt;=45),"31-45",AND($AU453&gt;=46,$AU453&lt;=60),"46-60",AND($AU453&gt;=61,$AU453&lt;=90),"61-90",AND($AU453&gt;=91),"&gt; 90",AND($AU453&gt;=2000),""),"")</f>
        <v/>
      </c>
      <c r="AW453" s="32" t="str" cm="1">
        <f t="array" aca="1" ref="AW453" ca="1">IFERROR(_xlfn.IFS(OR($M453="",$AM453=""),"",OR($C453="Offered",$C453="Joined"),($AM453-$M453)-$AT453),"")</f>
        <v/>
      </c>
      <c r="AX453" s="32" t="str" cm="1">
        <f t="array" aca="1" ref="AX453" ca="1">IFERROR(_xlfn.IFS(OR($M453="",$AS453=""),"",$C453="Joined",($AS453-$M453)-$AT453),"")</f>
        <v/>
      </c>
      <c r="AY453" s="30" t="str">
        <f>IFERROR(IF(COUNTIFS('Candidate Tracker'!$E:$E,'Positions Tracker'!$B453,'Candidate Tracker'!$C:$C,"Offer Drop")=0,"",COUNTIFS('Candidate Tracker'!$E:$E,'Positions Tracker'!$B453,'Candidate Tracker'!$C:$C,"Offer Drop")),"")</f>
        <v/>
      </c>
      <c r="AZ45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3" s="34" t="str">
        <f>IFERROR(IF(COUNTIFS('Candidate Tracker'!$E:$E,'Positions Tracker'!$B453,'Candidate Tracker'!$I:$I,"Female")=0,"",COUNTIFS('Candidate Tracker'!$E:$E,'Positions Tracker'!$B453,'Candidate Tracker'!$I:$I,"Female")),"")</f>
        <v/>
      </c>
      <c r="BB453" s="34" t="str">
        <f>IFERROR(IF(COUNTIFS('Candidate Tracker'!$E:$E,'Positions Tracker'!$B453,'Candidate Tracker'!$I:$I,"male")=0,"",COUNTIFS('Candidate Tracker'!$E:$E,'Positions Tracker'!$B453,'Candidate Tracker'!$I:$I,"male")),"")</f>
        <v/>
      </c>
      <c r="BC453" s="33" t="str">
        <f>IFERROR(IF(COUNTIFS('Candidate Tracker'!$E:$E,'Positions Tracker'!$B453,'Candidate Tracker'!$C:$C,"&lt;&gt;WIP",'Candidate Tracker'!$C:$C,"&lt;&gt;Hold",'Candidate Tracker'!$C:$C,"&lt;&gt;Cancelled",'Candidate Tracker'!$C:$C,"&lt;&gt;Closed")/COUNTIFS('Candidate Tracker'!$E:$E,'Positions Tracker'!$B453)=0,"",COUNTIFS('Candidate Tracker'!$E:$E,'Positions Tracker'!$B453,'Candidate Tracker'!$C:$C,"&lt;&gt;WIP",'Candidate Tracker'!$C:$C,"&lt;&gt;Hold",'Candidate Tracker'!$C:$C,"&lt;&gt;Cancelled",'Candidate Tracker'!$C:$C,"&lt;&gt;Closed")/COUNTIFS('Candidate Tracker'!$E:$E,'Positions Tracker'!$B453)),"")</f>
        <v/>
      </c>
      <c r="BD453" s="30" t="str">
        <f t="shared" si="57"/>
        <v/>
      </c>
      <c r="BE453" s="30" t="str">
        <f t="shared" si="58"/>
        <v/>
      </c>
      <c r="BF453" s="30" t="str">
        <f t="shared" si="59"/>
        <v/>
      </c>
      <c r="BG453" s="30" t="str">
        <f t="shared" si="60"/>
        <v/>
      </c>
    </row>
    <row r="454" spans="1:59">
      <c r="A454" s="39"/>
      <c r="B454" s="39"/>
      <c r="C454" s="39"/>
      <c r="D454" s="39"/>
      <c r="E454" s="39"/>
      <c r="F454" s="39"/>
      <c r="G454" s="39"/>
      <c r="H454" s="39"/>
      <c r="I454" s="40"/>
      <c r="J454" s="40"/>
      <c r="K454" s="35"/>
      <c r="L454" s="35"/>
      <c r="M454" s="35"/>
      <c r="N454" s="39"/>
      <c r="O454" s="39"/>
      <c r="P454" s="39"/>
      <c r="Q454" s="39"/>
      <c r="R454" s="39"/>
      <c r="S454" s="39"/>
      <c r="T454" s="39"/>
      <c r="U454" s="39"/>
      <c r="V454" s="39"/>
      <c r="W454" s="39"/>
      <c r="X454" s="39"/>
      <c r="Y454" s="39"/>
      <c r="Z454" s="39"/>
      <c r="AA454" s="39"/>
      <c r="AB454" s="39"/>
      <c r="AC454" s="39"/>
      <c r="AD454" s="39"/>
      <c r="AE454" s="39"/>
      <c r="AF454" s="39"/>
      <c r="AG454" s="39"/>
      <c r="AH454" s="39"/>
      <c r="AI454" s="35"/>
      <c r="AJ454" s="39"/>
      <c r="AK454" s="39"/>
      <c r="AL454" s="39"/>
      <c r="AM454" s="35"/>
      <c r="AN454" s="35"/>
      <c r="AO454" s="39"/>
      <c r="AP454" s="39"/>
      <c r="AQ454" s="35"/>
      <c r="AR454" s="35"/>
      <c r="AS454" s="35"/>
      <c r="AT454" s="30">
        <f t="shared" ca="1" si="56"/>
        <v>0</v>
      </c>
      <c r="AU454" s="32" t="str">
        <f t="shared" ca="1" si="55"/>
        <v/>
      </c>
      <c r="AV454" s="32" t="str" cm="1">
        <f t="array" aca="1" ref="AV454" ca="1">IFERROR(_xlfn.IFS($AU454="","",$AU454&lt;=15,"0-15",AND($AU454&gt;=16,$AU454&lt;=30),"16-30",AND($AU454&gt;=31,$AU454&lt;=45),"31-45",AND($AU454&gt;=46,$AU454&lt;=60),"46-60",AND($AU454&gt;=61,$AU454&lt;=90),"61-90",AND($AU454&gt;=91),"&gt; 90",AND($AU454&gt;=2000),""),"")</f>
        <v/>
      </c>
      <c r="AW454" s="32" t="str" cm="1">
        <f t="array" aca="1" ref="AW454" ca="1">IFERROR(_xlfn.IFS(OR($M454="",$AM454=""),"",OR($C454="Offered",$C454="Joined"),($AM454-$M454)-$AT454),"")</f>
        <v/>
      </c>
      <c r="AX454" s="32" t="str" cm="1">
        <f t="array" aca="1" ref="AX454" ca="1">IFERROR(_xlfn.IFS(OR($M454="",$AS454=""),"",$C454="Joined",($AS454-$M454)-$AT454),"")</f>
        <v/>
      </c>
      <c r="AY454" s="30" t="str">
        <f>IFERROR(IF(COUNTIFS('Candidate Tracker'!$E:$E,'Positions Tracker'!$B454,'Candidate Tracker'!$C:$C,"Offer Drop")=0,"",COUNTIFS('Candidate Tracker'!$E:$E,'Positions Tracker'!$B454,'Candidate Tracker'!$C:$C,"Offer Drop")),"")</f>
        <v/>
      </c>
      <c r="AZ45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4" s="34" t="str">
        <f>IFERROR(IF(COUNTIFS('Candidate Tracker'!$E:$E,'Positions Tracker'!$B454,'Candidate Tracker'!$I:$I,"Female")=0,"",COUNTIFS('Candidate Tracker'!$E:$E,'Positions Tracker'!$B454,'Candidate Tracker'!$I:$I,"Female")),"")</f>
        <v/>
      </c>
      <c r="BB454" s="34" t="str">
        <f>IFERROR(IF(COUNTIFS('Candidate Tracker'!$E:$E,'Positions Tracker'!$B454,'Candidate Tracker'!$I:$I,"male")=0,"",COUNTIFS('Candidate Tracker'!$E:$E,'Positions Tracker'!$B454,'Candidate Tracker'!$I:$I,"male")),"")</f>
        <v/>
      </c>
      <c r="BC454" s="33" t="str">
        <f>IFERROR(IF(COUNTIFS('Candidate Tracker'!$E:$E,'Positions Tracker'!$B454,'Candidate Tracker'!$C:$C,"&lt;&gt;WIP",'Candidate Tracker'!$C:$C,"&lt;&gt;Hold",'Candidate Tracker'!$C:$C,"&lt;&gt;Cancelled",'Candidate Tracker'!$C:$C,"&lt;&gt;Closed")/COUNTIFS('Candidate Tracker'!$E:$E,'Positions Tracker'!$B454)=0,"",COUNTIFS('Candidate Tracker'!$E:$E,'Positions Tracker'!$B454,'Candidate Tracker'!$C:$C,"&lt;&gt;WIP",'Candidate Tracker'!$C:$C,"&lt;&gt;Hold",'Candidate Tracker'!$C:$C,"&lt;&gt;Cancelled",'Candidate Tracker'!$C:$C,"&lt;&gt;Closed")/COUNTIFS('Candidate Tracker'!$E:$E,'Positions Tracker'!$B454)),"")</f>
        <v/>
      </c>
      <c r="BD454" s="30" t="str">
        <f t="shared" si="57"/>
        <v/>
      </c>
      <c r="BE454" s="30" t="str">
        <f t="shared" si="58"/>
        <v/>
      </c>
      <c r="BF454" s="30" t="str">
        <f t="shared" si="59"/>
        <v/>
      </c>
      <c r="BG454" s="30" t="str">
        <f t="shared" si="60"/>
        <v/>
      </c>
    </row>
    <row r="455" spans="1:59">
      <c r="A455" s="39"/>
      <c r="B455" s="39"/>
      <c r="C455" s="39"/>
      <c r="D455" s="39"/>
      <c r="E455" s="39"/>
      <c r="F455" s="39"/>
      <c r="G455" s="39"/>
      <c r="H455" s="39"/>
      <c r="I455" s="40"/>
      <c r="J455" s="40"/>
      <c r="K455" s="35"/>
      <c r="L455" s="35"/>
      <c r="M455" s="35"/>
      <c r="N455" s="39"/>
      <c r="O455" s="39"/>
      <c r="P455" s="39"/>
      <c r="Q455" s="39"/>
      <c r="R455" s="39"/>
      <c r="S455" s="39"/>
      <c r="T455" s="39"/>
      <c r="U455" s="39"/>
      <c r="V455" s="39"/>
      <c r="W455" s="39"/>
      <c r="X455" s="39"/>
      <c r="Y455" s="39"/>
      <c r="Z455" s="39"/>
      <c r="AA455" s="39"/>
      <c r="AB455" s="39"/>
      <c r="AC455" s="39"/>
      <c r="AD455" s="39"/>
      <c r="AE455" s="39"/>
      <c r="AF455" s="39"/>
      <c r="AG455" s="39"/>
      <c r="AH455" s="39"/>
      <c r="AI455" s="35"/>
      <c r="AJ455" s="39"/>
      <c r="AK455" s="39"/>
      <c r="AL455" s="39"/>
      <c r="AM455" s="35"/>
      <c r="AN455" s="35"/>
      <c r="AO455" s="39"/>
      <c r="AP455" s="39"/>
      <c r="AQ455" s="35"/>
      <c r="AR455" s="35"/>
      <c r="AS455" s="35"/>
      <c r="AT455" s="30">
        <f t="shared" ca="1" si="56"/>
        <v>0</v>
      </c>
      <c r="AU455" s="32" t="str">
        <f t="shared" ca="1" si="55"/>
        <v/>
      </c>
      <c r="AV455" s="32" t="str" cm="1">
        <f t="array" aca="1" ref="AV455" ca="1">IFERROR(_xlfn.IFS($AU455="","",$AU455&lt;=15,"0-15",AND($AU455&gt;=16,$AU455&lt;=30),"16-30",AND($AU455&gt;=31,$AU455&lt;=45),"31-45",AND($AU455&gt;=46,$AU455&lt;=60),"46-60",AND($AU455&gt;=61,$AU455&lt;=90),"61-90",AND($AU455&gt;=91),"&gt; 90",AND($AU455&gt;=2000),""),"")</f>
        <v/>
      </c>
      <c r="AW455" s="32" t="str" cm="1">
        <f t="array" aca="1" ref="AW455" ca="1">IFERROR(_xlfn.IFS(OR($M455="",$AM455=""),"",OR($C455="Offered",$C455="Joined"),($AM455-$M455)-$AT455),"")</f>
        <v/>
      </c>
      <c r="AX455" s="32" t="str" cm="1">
        <f t="array" aca="1" ref="AX455" ca="1">IFERROR(_xlfn.IFS(OR($M455="",$AS455=""),"",$C455="Joined",($AS455-$M455)-$AT455),"")</f>
        <v/>
      </c>
      <c r="AY455" s="30" t="str">
        <f>IFERROR(IF(COUNTIFS('Candidate Tracker'!$E:$E,'Positions Tracker'!$B455,'Candidate Tracker'!$C:$C,"Offer Drop")=0,"",COUNTIFS('Candidate Tracker'!$E:$E,'Positions Tracker'!$B455,'Candidate Tracker'!$C:$C,"Offer Drop")),"")</f>
        <v/>
      </c>
      <c r="AZ45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5" s="34" t="str">
        <f>IFERROR(IF(COUNTIFS('Candidate Tracker'!$E:$E,'Positions Tracker'!$B455,'Candidate Tracker'!$I:$I,"Female")=0,"",COUNTIFS('Candidate Tracker'!$E:$E,'Positions Tracker'!$B455,'Candidate Tracker'!$I:$I,"Female")),"")</f>
        <v/>
      </c>
      <c r="BB455" s="34" t="str">
        <f>IFERROR(IF(COUNTIFS('Candidate Tracker'!$E:$E,'Positions Tracker'!$B455,'Candidate Tracker'!$I:$I,"male")=0,"",COUNTIFS('Candidate Tracker'!$E:$E,'Positions Tracker'!$B455,'Candidate Tracker'!$I:$I,"male")),"")</f>
        <v/>
      </c>
      <c r="BC455" s="33" t="str">
        <f>IFERROR(IF(COUNTIFS('Candidate Tracker'!$E:$E,'Positions Tracker'!$B455,'Candidate Tracker'!$C:$C,"&lt;&gt;WIP",'Candidate Tracker'!$C:$C,"&lt;&gt;Hold",'Candidate Tracker'!$C:$C,"&lt;&gt;Cancelled",'Candidate Tracker'!$C:$C,"&lt;&gt;Closed")/COUNTIFS('Candidate Tracker'!$E:$E,'Positions Tracker'!$B455)=0,"",COUNTIFS('Candidate Tracker'!$E:$E,'Positions Tracker'!$B455,'Candidate Tracker'!$C:$C,"&lt;&gt;WIP",'Candidate Tracker'!$C:$C,"&lt;&gt;Hold",'Candidate Tracker'!$C:$C,"&lt;&gt;Cancelled",'Candidate Tracker'!$C:$C,"&lt;&gt;Closed")/COUNTIFS('Candidate Tracker'!$E:$E,'Positions Tracker'!$B455)),"")</f>
        <v/>
      </c>
      <c r="BD455" s="30" t="str">
        <f t="shared" si="57"/>
        <v/>
      </c>
      <c r="BE455" s="30" t="str">
        <f t="shared" si="58"/>
        <v/>
      </c>
      <c r="BF455" s="30" t="str">
        <f t="shared" si="59"/>
        <v/>
      </c>
      <c r="BG455" s="30" t="str">
        <f t="shared" si="60"/>
        <v/>
      </c>
    </row>
    <row r="456" spans="1:59">
      <c r="A456" s="39"/>
      <c r="B456" s="39"/>
      <c r="C456" s="39"/>
      <c r="D456" s="39"/>
      <c r="E456" s="39"/>
      <c r="F456" s="39"/>
      <c r="G456" s="39"/>
      <c r="H456" s="39"/>
      <c r="I456" s="40"/>
      <c r="J456" s="40"/>
      <c r="K456" s="35"/>
      <c r="L456" s="35"/>
      <c r="M456" s="35"/>
      <c r="N456" s="39"/>
      <c r="O456" s="39"/>
      <c r="P456" s="39"/>
      <c r="Q456" s="39"/>
      <c r="R456" s="39"/>
      <c r="S456" s="39"/>
      <c r="T456" s="39"/>
      <c r="U456" s="39"/>
      <c r="V456" s="39"/>
      <c r="W456" s="39"/>
      <c r="X456" s="39"/>
      <c r="Y456" s="39"/>
      <c r="Z456" s="39"/>
      <c r="AA456" s="39"/>
      <c r="AB456" s="39"/>
      <c r="AC456" s="39"/>
      <c r="AD456" s="39"/>
      <c r="AE456" s="39"/>
      <c r="AF456" s="39"/>
      <c r="AG456" s="39"/>
      <c r="AH456" s="39"/>
      <c r="AI456" s="35"/>
      <c r="AJ456" s="39"/>
      <c r="AK456" s="39"/>
      <c r="AL456" s="39"/>
      <c r="AM456" s="35"/>
      <c r="AN456" s="35"/>
      <c r="AO456" s="39"/>
      <c r="AP456" s="39"/>
      <c r="AQ456" s="35"/>
      <c r="AR456" s="35"/>
      <c r="AS456" s="35"/>
      <c r="AT456" s="30">
        <f t="shared" ca="1" si="56"/>
        <v>0</v>
      </c>
      <c r="AU456" s="32" t="str">
        <f t="shared" ca="1" si="55"/>
        <v/>
      </c>
      <c r="AV456" s="32" t="str" cm="1">
        <f t="array" aca="1" ref="AV456" ca="1">IFERROR(_xlfn.IFS($AU456="","",$AU456&lt;=15,"0-15",AND($AU456&gt;=16,$AU456&lt;=30),"16-30",AND($AU456&gt;=31,$AU456&lt;=45),"31-45",AND($AU456&gt;=46,$AU456&lt;=60),"46-60",AND($AU456&gt;=61,$AU456&lt;=90),"61-90",AND($AU456&gt;=91),"&gt; 90",AND($AU456&gt;=2000),""),"")</f>
        <v/>
      </c>
      <c r="AW456" s="32" t="str" cm="1">
        <f t="array" aca="1" ref="AW456" ca="1">IFERROR(_xlfn.IFS(OR($M456="",$AM456=""),"",OR($C456="Offered",$C456="Joined"),($AM456-$M456)-$AT456),"")</f>
        <v/>
      </c>
      <c r="AX456" s="32" t="str" cm="1">
        <f t="array" aca="1" ref="AX456" ca="1">IFERROR(_xlfn.IFS(OR($M456="",$AS456=""),"",$C456="Joined",($AS456-$M456)-$AT456),"")</f>
        <v/>
      </c>
      <c r="AY456" s="30" t="str">
        <f>IFERROR(IF(COUNTIFS('Candidate Tracker'!$E:$E,'Positions Tracker'!$B456,'Candidate Tracker'!$C:$C,"Offer Drop")=0,"",COUNTIFS('Candidate Tracker'!$E:$E,'Positions Tracker'!$B456,'Candidate Tracker'!$C:$C,"Offer Drop")),"")</f>
        <v/>
      </c>
      <c r="AZ45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6" s="34" t="str">
        <f>IFERROR(IF(COUNTIFS('Candidate Tracker'!$E:$E,'Positions Tracker'!$B456,'Candidate Tracker'!$I:$I,"Female")=0,"",COUNTIFS('Candidate Tracker'!$E:$E,'Positions Tracker'!$B456,'Candidate Tracker'!$I:$I,"Female")),"")</f>
        <v/>
      </c>
      <c r="BB456" s="34" t="str">
        <f>IFERROR(IF(COUNTIFS('Candidate Tracker'!$E:$E,'Positions Tracker'!$B456,'Candidate Tracker'!$I:$I,"male")=0,"",COUNTIFS('Candidate Tracker'!$E:$E,'Positions Tracker'!$B456,'Candidate Tracker'!$I:$I,"male")),"")</f>
        <v/>
      </c>
      <c r="BC456" s="33" t="str">
        <f>IFERROR(IF(COUNTIFS('Candidate Tracker'!$E:$E,'Positions Tracker'!$B456,'Candidate Tracker'!$C:$C,"&lt;&gt;WIP",'Candidate Tracker'!$C:$C,"&lt;&gt;Hold",'Candidate Tracker'!$C:$C,"&lt;&gt;Cancelled",'Candidate Tracker'!$C:$C,"&lt;&gt;Closed")/COUNTIFS('Candidate Tracker'!$E:$E,'Positions Tracker'!$B456)=0,"",COUNTIFS('Candidate Tracker'!$E:$E,'Positions Tracker'!$B456,'Candidate Tracker'!$C:$C,"&lt;&gt;WIP",'Candidate Tracker'!$C:$C,"&lt;&gt;Hold",'Candidate Tracker'!$C:$C,"&lt;&gt;Cancelled",'Candidate Tracker'!$C:$C,"&lt;&gt;Closed")/COUNTIFS('Candidate Tracker'!$E:$E,'Positions Tracker'!$B456)),"")</f>
        <v/>
      </c>
      <c r="BD456" s="30" t="str">
        <f t="shared" si="57"/>
        <v/>
      </c>
      <c r="BE456" s="30" t="str">
        <f t="shared" si="58"/>
        <v/>
      </c>
      <c r="BF456" s="30" t="str">
        <f t="shared" si="59"/>
        <v/>
      </c>
      <c r="BG456" s="30" t="str">
        <f t="shared" si="60"/>
        <v/>
      </c>
    </row>
    <row r="457" spans="1:59">
      <c r="A457" s="39"/>
      <c r="B457" s="39"/>
      <c r="C457" s="39"/>
      <c r="D457" s="39"/>
      <c r="E457" s="39"/>
      <c r="F457" s="39"/>
      <c r="G457" s="39"/>
      <c r="H457" s="39"/>
      <c r="I457" s="40"/>
      <c r="J457" s="40"/>
      <c r="K457" s="35"/>
      <c r="L457" s="35"/>
      <c r="M457" s="35"/>
      <c r="N457" s="39"/>
      <c r="O457" s="39"/>
      <c r="P457" s="39"/>
      <c r="Q457" s="39"/>
      <c r="R457" s="39"/>
      <c r="S457" s="39"/>
      <c r="T457" s="39"/>
      <c r="U457" s="39"/>
      <c r="V457" s="39"/>
      <c r="W457" s="39"/>
      <c r="X457" s="39"/>
      <c r="Y457" s="39"/>
      <c r="Z457" s="39"/>
      <c r="AA457" s="39"/>
      <c r="AB457" s="39"/>
      <c r="AC457" s="39"/>
      <c r="AD457" s="39"/>
      <c r="AE457" s="39"/>
      <c r="AF457" s="39"/>
      <c r="AG457" s="39"/>
      <c r="AH457" s="39"/>
      <c r="AI457" s="35"/>
      <c r="AJ457" s="39"/>
      <c r="AK457" s="39"/>
      <c r="AL457" s="39"/>
      <c r="AM457" s="35"/>
      <c r="AN457" s="35"/>
      <c r="AO457" s="39"/>
      <c r="AP457" s="39"/>
      <c r="AQ457" s="35"/>
      <c r="AR457" s="35"/>
      <c r="AS457" s="35"/>
      <c r="AT457" s="30">
        <f t="shared" ca="1" si="56"/>
        <v>0</v>
      </c>
      <c r="AU457" s="32" t="str">
        <f t="shared" ca="1" si="55"/>
        <v/>
      </c>
      <c r="AV457" s="32" t="str" cm="1">
        <f t="array" aca="1" ref="AV457" ca="1">IFERROR(_xlfn.IFS($AU457="","",$AU457&lt;=15,"0-15",AND($AU457&gt;=16,$AU457&lt;=30),"16-30",AND($AU457&gt;=31,$AU457&lt;=45),"31-45",AND($AU457&gt;=46,$AU457&lt;=60),"46-60",AND($AU457&gt;=61,$AU457&lt;=90),"61-90",AND($AU457&gt;=91),"&gt; 90",AND($AU457&gt;=2000),""),"")</f>
        <v/>
      </c>
      <c r="AW457" s="32" t="str" cm="1">
        <f t="array" aca="1" ref="AW457" ca="1">IFERROR(_xlfn.IFS(OR($M457="",$AM457=""),"",OR($C457="Offered",$C457="Joined"),($AM457-$M457)-$AT457),"")</f>
        <v/>
      </c>
      <c r="AX457" s="32" t="str" cm="1">
        <f t="array" aca="1" ref="AX457" ca="1">IFERROR(_xlfn.IFS(OR($M457="",$AS457=""),"",$C457="Joined",($AS457-$M457)-$AT457),"")</f>
        <v/>
      </c>
      <c r="AY457" s="30" t="str">
        <f>IFERROR(IF(COUNTIFS('Candidate Tracker'!$E:$E,'Positions Tracker'!$B457,'Candidate Tracker'!$C:$C,"Offer Drop")=0,"",COUNTIFS('Candidate Tracker'!$E:$E,'Positions Tracker'!$B457,'Candidate Tracker'!$C:$C,"Offer Drop")),"")</f>
        <v/>
      </c>
      <c r="AZ45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7" s="34" t="str">
        <f>IFERROR(IF(COUNTIFS('Candidate Tracker'!$E:$E,'Positions Tracker'!$B457,'Candidate Tracker'!$I:$I,"Female")=0,"",COUNTIFS('Candidate Tracker'!$E:$E,'Positions Tracker'!$B457,'Candidate Tracker'!$I:$I,"Female")),"")</f>
        <v/>
      </c>
      <c r="BB457" s="34" t="str">
        <f>IFERROR(IF(COUNTIFS('Candidate Tracker'!$E:$E,'Positions Tracker'!$B457,'Candidate Tracker'!$I:$I,"male")=0,"",COUNTIFS('Candidate Tracker'!$E:$E,'Positions Tracker'!$B457,'Candidate Tracker'!$I:$I,"male")),"")</f>
        <v/>
      </c>
      <c r="BC457" s="33" t="str">
        <f>IFERROR(IF(COUNTIFS('Candidate Tracker'!$E:$E,'Positions Tracker'!$B457,'Candidate Tracker'!$C:$C,"&lt;&gt;WIP",'Candidate Tracker'!$C:$C,"&lt;&gt;Hold",'Candidate Tracker'!$C:$C,"&lt;&gt;Cancelled",'Candidate Tracker'!$C:$C,"&lt;&gt;Closed")/COUNTIFS('Candidate Tracker'!$E:$E,'Positions Tracker'!$B457)=0,"",COUNTIFS('Candidate Tracker'!$E:$E,'Positions Tracker'!$B457,'Candidate Tracker'!$C:$C,"&lt;&gt;WIP",'Candidate Tracker'!$C:$C,"&lt;&gt;Hold",'Candidate Tracker'!$C:$C,"&lt;&gt;Cancelled",'Candidate Tracker'!$C:$C,"&lt;&gt;Closed")/COUNTIFS('Candidate Tracker'!$E:$E,'Positions Tracker'!$B457)),"")</f>
        <v/>
      </c>
      <c r="BD457" s="30" t="str">
        <f t="shared" si="57"/>
        <v/>
      </c>
      <c r="BE457" s="30" t="str">
        <f t="shared" si="58"/>
        <v/>
      </c>
      <c r="BF457" s="30" t="str">
        <f t="shared" si="59"/>
        <v/>
      </c>
      <c r="BG457" s="30" t="str">
        <f t="shared" si="60"/>
        <v/>
      </c>
    </row>
    <row r="458" spans="1:59">
      <c r="A458" s="39"/>
      <c r="B458" s="39"/>
      <c r="C458" s="39"/>
      <c r="D458" s="39"/>
      <c r="E458" s="39"/>
      <c r="F458" s="39"/>
      <c r="G458" s="39"/>
      <c r="H458" s="39"/>
      <c r="I458" s="40"/>
      <c r="J458" s="40"/>
      <c r="K458" s="35"/>
      <c r="L458" s="35"/>
      <c r="M458" s="35"/>
      <c r="N458" s="39"/>
      <c r="O458" s="39"/>
      <c r="P458" s="39"/>
      <c r="Q458" s="39"/>
      <c r="R458" s="39"/>
      <c r="S458" s="39"/>
      <c r="T458" s="39"/>
      <c r="U458" s="39"/>
      <c r="V458" s="39"/>
      <c r="W458" s="39"/>
      <c r="X458" s="39"/>
      <c r="Y458" s="39"/>
      <c r="Z458" s="39"/>
      <c r="AA458" s="39"/>
      <c r="AB458" s="39"/>
      <c r="AC458" s="39"/>
      <c r="AD458" s="39"/>
      <c r="AE458" s="39"/>
      <c r="AF458" s="39"/>
      <c r="AG458" s="39"/>
      <c r="AH458" s="39"/>
      <c r="AI458" s="35"/>
      <c r="AJ458" s="39"/>
      <c r="AK458" s="39"/>
      <c r="AL458" s="39"/>
      <c r="AM458" s="35"/>
      <c r="AN458" s="35"/>
      <c r="AO458" s="39"/>
      <c r="AP458" s="39"/>
      <c r="AQ458" s="35"/>
      <c r="AR458" s="35"/>
      <c r="AS458" s="35"/>
      <c r="AT458" s="30">
        <f t="shared" ca="1" si="56"/>
        <v>0</v>
      </c>
      <c r="AU458" s="32" t="str">
        <f t="shared" ca="1" si="55"/>
        <v/>
      </c>
      <c r="AV458" s="32" t="str" cm="1">
        <f t="array" aca="1" ref="AV458" ca="1">IFERROR(_xlfn.IFS($AU458="","",$AU458&lt;=15,"0-15",AND($AU458&gt;=16,$AU458&lt;=30),"16-30",AND($AU458&gt;=31,$AU458&lt;=45),"31-45",AND($AU458&gt;=46,$AU458&lt;=60),"46-60",AND($AU458&gt;=61,$AU458&lt;=90),"61-90",AND($AU458&gt;=91),"&gt; 90",AND($AU458&gt;=2000),""),"")</f>
        <v/>
      </c>
      <c r="AW458" s="32" t="str" cm="1">
        <f t="array" aca="1" ref="AW458" ca="1">IFERROR(_xlfn.IFS(OR($M458="",$AM458=""),"",OR($C458="Offered",$C458="Joined"),($AM458-$M458)-$AT458),"")</f>
        <v/>
      </c>
      <c r="AX458" s="32" t="str" cm="1">
        <f t="array" aca="1" ref="AX458" ca="1">IFERROR(_xlfn.IFS(OR($M458="",$AS458=""),"",$C458="Joined",($AS458-$M458)-$AT458),"")</f>
        <v/>
      </c>
      <c r="AY458" s="30" t="str">
        <f>IFERROR(IF(COUNTIFS('Candidate Tracker'!$E:$E,'Positions Tracker'!$B458,'Candidate Tracker'!$C:$C,"Offer Drop")=0,"",COUNTIFS('Candidate Tracker'!$E:$E,'Positions Tracker'!$B458,'Candidate Tracker'!$C:$C,"Offer Drop")),"")</f>
        <v/>
      </c>
      <c r="AZ4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8" s="34" t="str">
        <f>IFERROR(IF(COUNTIFS('Candidate Tracker'!$E:$E,'Positions Tracker'!$B458,'Candidate Tracker'!$I:$I,"Female")=0,"",COUNTIFS('Candidate Tracker'!$E:$E,'Positions Tracker'!$B458,'Candidate Tracker'!$I:$I,"Female")),"")</f>
        <v/>
      </c>
      <c r="BB458" s="34" t="str">
        <f>IFERROR(IF(COUNTIFS('Candidate Tracker'!$E:$E,'Positions Tracker'!$B458,'Candidate Tracker'!$I:$I,"male")=0,"",COUNTIFS('Candidate Tracker'!$E:$E,'Positions Tracker'!$B458,'Candidate Tracker'!$I:$I,"male")),"")</f>
        <v/>
      </c>
      <c r="BC458" s="33" t="str">
        <f>IFERROR(IF(COUNTIFS('Candidate Tracker'!$E:$E,'Positions Tracker'!$B458,'Candidate Tracker'!$C:$C,"&lt;&gt;WIP",'Candidate Tracker'!$C:$C,"&lt;&gt;Hold",'Candidate Tracker'!$C:$C,"&lt;&gt;Cancelled",'Candidate Tracker'!$C:$C,"&lt;&gt;Closed")/COUNTIFS('Candidate Tracker'!$E:$E,'Positions Tracker'!$B458)=0,"",COUNTIFS('Candidate Tracker'!$E:$E,'Positions Tracker'!$B458,'Candidate Tracker'!$C:$C,"&lt;&gt;WIP",'Candidate Tracker'!$C:$C,"&lt;&gt;Hold",'Candidate Tracker'!$C:$C,"&lt;&gt;Cancelled",'Candidate Tracker'!$C:$C,"&lt;&gt;Closed")/COUNTIFS('Candidate Tracker'!$E:$E,'Positions Tracker'!$B458)),"")</f>
        <v/>
      </c>
      <c r="BD458" s="30" t="str">
        <f t="shared" si="57"/>
        <v/>
      </c>
      <c r="BE458" s="30" t="str">
        <f t="shared" si="58"/>
        <v/>
      </c>
      <c r="BF458" s="30" t="str">
        <f t="shared" si="59"/>
        <v/>
      </c>
      <c r="BG458" s="30" t="str">
        <f t="shared" si="60"/>
        <v/>
      </c>
    </row>
    <row r="459" spans="1:59">
      <c r="A459" s="39"/>
      <c r="B459" s="39"/>
      <c r="C459" s="39"/>
      <c r="D459" s="39"/>
      <c r="E459" s="39"/>
      <c r="F459" s="39"/>
      <c r="G459" s="39"/>
      <c r="H459" s="39"/>
      <c r="I459" s="40"/>
      <c r="J459" s="40"/>
      <c r="K459" s="35"/>
      <c r="L459" s="35"/>
      <c r="M459" s="35"/>
      <c r="N459" s="39"/>
      <c r="O459" s="39"/>
      <c r="P459" s="39"/>
      <c r="Q459" s="39"/>
      <c r="R459" s="39"/>
      <c r="S459" s="39"/>
      <c r="T459" s="39"/>
      <c r="U459" s="39"/>
      <c r="V459" s="39"/>
      <c r="W459" s="39"/>
      <c r="X459" s="39"/>
      <c r="Y459" s="39"/>
      <c r="Z459" s="39"/>
      <c r="AA459" s="39"/>
      <c r="AB459" s="39"/>
      <c r="AC459" s="39"/>
      <c r="AD459" s="39"/>
      <c r="AE459" s="39"/>
      <c r="AF459" s="39"/>
      <c r="AG459" s="39"/>
      <c r="AH459" s="39"/>
      <c r="AI459" s="35"/>
      <c r="AJ459" s="39"/>
      <c r="AK459" s="39"/>
      <c r="AL459" s="39"/>
      <c r="AM459" s="35"/>
      <c r="AN459" s="35"/>
      <c r="AO459" s="39"/>
      <c r="AP459" s="39"/>
      <c r="AQ459" s="35"/>
      <c r="AR459" s="35"/>
      <c r="AS459" s="35"/>
      <c r="AT459" s="30">
        <f t="shared" ca="1" si="56"/>
        <v>0</v>
      </c>
      <c r="AU459" s="32" t="str">
        <f t="shared" ca="1" si="55"/>
        <v/>
      </c>
      <c r="AV459" s="32" t="str" cm="1">
        <f t="array" aca="1" ref="AV459" ca="1">IFERROR(_xlfn.IFS($AU459="","",$AU459&lt;=15,"0-15",AND($AU459&gt;=16,$AU459&lt;=30),"16-30",AND($AU459&gt;=31,$AU459&lt;=45),"31-45",AND($AU459&gt;=46,$AU459&lt;=60),"46-60",AND($AU459&gt;=61,$AU459&lt;=90),"61-90",AND($AU459&gt;=91),"&gt; 90",AND($AU459&gt;=2000),""),"")</f>
        <v/>
      </c>
      <c r="AW459" s="32" t="str" cm="1">
        <f t="array" aca="1" ref="AW459" ca="1">IFERROR(_xlfn.IFS(OR($M459="",$AM459=""),"",OR($C459="Offered",$C459="Joined"),($AM459-$M459)-$AT459),"")</f>
        <v/>
      </c>
      <c r="AX459" s="32" t="str" cm="1">
        <f t="array" aca="1" ref="AX459" ca="1">IFERROR(_xlfn.IFS(OR($M459="",$AS459=""),"",$C459="Joined",($AS459-$M459)-$AT459),"")</f>
        <v/>
      </c>
      <c r="AY459" s="30" t="str">
        <f>IFERROR(IF(COUNTIFS('Candidate Tracker'!$E:$E,'Positions Tracker'!$B459,'Candidate Tracker'!$C:$C,"Offer Drop")=0,"",COUNTIFS('Candidate Tracker'!$E:$E,'Positions Tracker'!$B459,'Candidate Tracker'!$C:$C,"Offer Drop")),"")</f>
        <v/>
      </c>
      <c r="AZ4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59" s="34" t="str">
        <f>IFERROR(IF(COUNTIFS('Candidate Tracker'!$E:$E,'Positions Tracker'!$B459,'Candidate Tracker'!$I:$I,"Female")=0,"",COUNTIFS('Candidate Tracker'!$E:$E,'Positions Tracker'!$B459,'Candidate Tracker'!$I:$I,"Female")),"")</f>
        <v/>
      </c>
      <c r="BB459" s="34" t="str">
        <f>IFERROR(IF(COUNTIFS('Candidate Tracker'!$E:$E,'Positions Tracker'!$B459,'Candidate Tracker'!$I:$I,"male")=0,"",COUNTIFS('Candidate Tracker'!$E:$E,'Positions Tracker'!$B459,'Candidate Tracker'!$I:$I,"male")),"")</f>
        <v/>
      </c>
      <c r="BC459" s="33" t="str">
        <f>IFERROR(IF(COUNTIFS('Candidate Tracker'!$E:$E,'Positions Tracker'!$B459,'Candidate Tracker'!$C:$C,"&lt;&gt;WIP",'Candidate Tracker'!$C:$C,"&lt;&gt;Hold",'Candidate Tracker'!$C:$C,"&lt;&gt;Cancelled",'Candidate Tracker'!$C:$C,"&lt;&gt;Closed")/COUNTIFS('Candidate Tracker'!$E:$E,'Positions Tracker'!$B459)=0,"",COUNTIFS('Candidate Tracker'!$E:$E,'Positions Tracker'!$B459,'Candidate Tracker'!$C:$C,"&lt;&gt;WIP",'Candidate Tracker'!$C:$C,"&lt;&gt;Hold",'Candidate Tracker'!$C:$C,"&lt;&gt;Cancelled",'Candidate Tracker'!$C:$C,"&lt;&gt;Closed")/COUNTIFS('Candidate Tracker'!$E:$E,'Positions Tracker'!$B459)),"")</f>
        <v/>
      </c>
      <c r="BD459" s="30" t="str">
        <f t="shared" si="57"/>
        <v/>
      </c>
      <c r="BE459" s="30" t="str">
        <f t="shared" si="58"/>
        <v/>
      </c>
      <c r="BF459" s="30" t="str">
        <f t="shared" si="59"/>
        <v/>
      </c>
      <c r="BG459" s="30" t="str">
        <f t="shared" si="60"/>
        <v/>
      </c>
    </row>
    <row r="460" spans="1:59">
      <c r="A460" s="39"/>
      <c r="B460" s="39"/>
      <c r="C460" s="39"/>
      <c r="D460" s="39"/>
      <c r="E460" s="39"/>
      <c r="F460" s="39"/>
      <c r="G460" s="39"/>
      <c r="H460" s="39"/>
      <c r="I460" s="40"/>
      <c r="J460" s="40"/>
      <c r="K460" s="35"/>
      <c r="L460" s="35"/>
      <c r="M460" s="35"/>
      <c r="N460" s="39"/>
      <c r="O460" s="39"/>
      <c r="P460" s="39"/>
      <c r="Q460" s="39"/>
      <c r="R460" s="39"/>
      <c r="S460" s="39"/>
      <c r="T460" s="39"/>
      <c r="U460" s="39"/>
      <c r="V460" s="39"/>
      <c r="W460" s="39"/>
      <c r="X460" s="39"/>
      <c r="Y460" s="39"/>
      <c r="Z460" s="39"/>
      <c r="AA460" s="39"/>
      <c r="AB460" s="39"/>
      <c r="AC460" s="39"/>
      <c r="AD460" s="39"/>
      <c r="AE460" s="39"/>
      <c r="AF460" s="39"/>
      <c r="AG460" s="39"/>
      <c r="AH460" s="39"/>
      <c r="AI460" s="35"/>
      <c r="AJ460" s="39"/>
      <c r="AK460" s="39"/>
      <c r="AL460" s="39"/>
      <c r="AM460" s="35"/>
      <c r="AN460" s="35"/>
      <c r="AO460" s="39"/>
      <c r="AP460" s="39"/>
      <c r="AQ460" s="35"/>
      <c r="AR460" s="35"/>
      <c r="AS460" s="35"/>
      <c r="AT460" s="30">
        <f t="shared" ca="1" si="56"/>
        <v>0</v>
      </c>
      <c r="AU460" s="32" t="str">
        <f t="shared" ca="1" si="55"/>
        <v/>
      </c>
      <c r="AV460" s="32" t="str" cm="1">
        <f t="array" aca="1" ref="AV460" ca="1">IFERROR(_xlfn.IFS($AU460="","",$AU460&lt;=15,"0-15",AND($AU460&gt;=16,$AU460&lt;=30),"16-30",AND($AU460&gt;=31,$AU460&lt;=45),"31-45",AND($AU460&gt;=46,$AU460&lt;=60),"46-60",AND($AU460&gt;=61,$AU460&lt;=90),"61-90",AND($AU460&gt;=91),"&gt; 90",AND($AU460&gt;=2000),""),"")</f>
        <v/>
      </c>
      <c r="AW460" s="32" t="str" cm="1">
        <f t="array" aca="1" ref="AW460" ca="1">IFERROR(_xlfn.IFS(OR($M460="",$AM460=""),"",OR($C460="Offered",$C460="Joined"),($AM460-$M460)-$AT460),"")</f>
        <v/>
      </c>
      <c r="AX460" s="32" t="str" cm="1">
        <f t="array" aca="1" ref="AX460" ca="1">IFERROR(_xlfn.IFS(OR($M460="",$AS460=""),"",$C460="Joined",($AS460-$M460)-$AT460),"")</f>
        <v/>
      </c>
      <c r="AY460" s="30" t="str">
        <f>IFERROR(IF(COUNTIFS('Candidate Tracker'!$E:$E,'Positions Tracker'!$B460,'Candidate Tracker'!$C:$C,"Offer Drop")=0,"",COUNTIFS('Candidate Tracker'!$E:$E,'Positions Tracker'!$B460,'Candidate Tracker'!$C:$C,"Offer Drop")),"")</f>
        <v/>
      </c>
      <c r="AZ4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0" s="34" t="str">
        <f>IFERROR(IF(COUNTIFS('Candidate Tracker'!$E:$E,'Positions Tracker'!$B460,'Candidate Tracker'!$I:$I,"Female")=0,"",COUNTIFS('Candidate Tracker'!$E:$E,'Positions Tracker'!$B460,'Candidate Tracker'!$I:$I,"Female")),"")</f>
        <v/>
      </c>
      <c r="BB460" s="34" t="str">
        <f>IFERROR(IF(COUNTIFS('Candidate Tracker'!$E:$E,'Positions Tracker'!$B460,'Candidate Tracker'!$I:$I,"male")=0,"",COUNTIFS('Candidate Tracker'!$E:$E,'Positions Tracker'!$B460,'Candidate Tracker'!$I:$I,"male")),"")</f>
        <v/>
      </c>
      <c r="BC460" s="33" t="str">
        <f>IFERROR(IF(COUNTIFS('Candidate Tracker'!$E:$E,'Positions Tracker'!$B460,'Candidate Tracker'!$C:$C,"&lt;&gt;WIP",'Candidate Tracker'!$C:$C,"&lt;&gt;Hold",'Candidate Tracker'!$C:$C,"&lt;&gt;Cancelled",'Candidate Tracker'!$C:$C,"&lt;&gt;Closed")/COUNTIFS('Candidate Tracker'!$E:$E,'Positions Tracker'!$B460)=0,"",COUNTIFS('Candidate Tracker'!$E:$E,'Positions Tracker'!$B460,'Candidate Tracker'!$C:$C,"&lt;&gt;WIP",'Candidate Tracker'!$C:$C,"&lt;&gt;Hold",'Candidate Tracker'!$C:$C,"&lt;&gt;Cancelled",'Candidate Tracker'!$C:$C,"&lt;&gt;Closed")/COUNTIFS('Candidate Tracker'!$E:$E,'Positions Tracker'!$B460)),"")</f>
        <v/>
      </c>
      <c r="BD460" s="30" t="str">
        <f t="shared" si="57"/>
        <v/>
      </c>
      <c r="BE460" s="30" t="str">
        <f t="shared" si="58"/>
        <v/>
      </c>
      <c r="BF460" s="30" t="str">
        <f t="shared" si="59"/>
        <v/>
      </c>
      <c r="BG460" s="30" t="str">
        <f t="shared" si="60"/>
        <v/>
      </c>
    </row>
    <row r="461" spans="1:59">
      <c r="A461" s="39"/>
      <c r="B461" s="39"/>
      <c r="C461" s="39"/>
      <c r="D461" s="39"/>
      <c r="E461" s="39"/>
      <c r="F461" s="39"/>
      <c r="G461" s="39"/>
      <c r="H461" s="39"/>
      <c r="I461" s="40"/>
      <c r="J461" s="40"/>
      <c r="K461" s="35"/>
      <c r="L461" s="35"/>
      <c r="M461" s="35"/>
      <c r="N461" s="39"/>
      <c r="O461" s="39"/>
      <c r="P461" s="39"/>
      <c r="Q461" s="39"/>
      <c r="R461" s="39"/>
      <c r="S461" s="39"/>
      <c r="T461" s="39"/>
      <c r="U461" s="39"/>
      <c r="V461" s="39"/>
      <c r="W461" s="39"/>
      <c r="X461" s="39"/>
      <c r="Y461" s="39"/>
      <c r="Z461" s="39"/>
      <c r="AA461" s="39"/>
      <c r="AB461" s="39"/>
      <c r="AC461" s="39"/>
      <c r="AD461" s="39"/>
      <c r="AE461" s="39"/>
      <c r="AF461" s="39"/>
      <c r="AG461" s="39"/>
      <c r="AH461" s="39"/>
      <c r="AI461" s="35"/>
      <c r="AJ461" s="39"/>
      <c r="AK461" s="39"/>
      <c r="AL461" s="39"/>
      <c r="AM461" s="35"/>
      <c r="AN461" s="35"/>
      <c r="AO461" s="39"/>
      <c r="AP461" s="39"/>
      <c r="AQ461" s="35"/>
      <c r="AR461" s="35"/>
      <c r="AS461" s="35"/>
      <c r="AT461" s="30">
        <f t="shared" ca="1" si="56"/>
        <v>0</v>
      </c>
      <c r="AU461" s="32" t="str">
        <f t="shared" ca="1" si="55"/>
        <v/>
      </c>
      <c r="AV461" s="32" t="str" cm="1">
        <f t="array" aca="1" ref="AV461" ca="1">IFERROR(_xlfn.IFS($AU461="","",$AU461&lt;=15,"0-15",AND($AU461&gt;=16,$AU461&lt;=30),"16-30",AND($AU461&gt;=31,$AU461&lt;=45),"31-45",AND($AU461&gt;=46,$AU461&lt;=60),"46-60",AND($AU461&gt;=61,$AU461&lt;=90),"61-90",AND($AU461&gt;=91),"&gt; 90",AND($AU461&gt;=2000),""),"")</f>
        <v/>
      </c>
      <c r="AW461" s="32" t="str" cm="1">
        <f t="array" aca="1" ref="AW461" ca="1">IFERROR(_xlfn.IFS(OR($M461="",$AM461=""),"",OR($C461="Offered",$C461="Joined"),($AM461-$M461)-$AT461),"")</f>
        <v/>
      </c>
      <c r="AX461" s="32" t="str" cm="1">
        <f t="array" aca="1" ref="AX461" ca="1">IFERROR(_xlfn.IFS(OR($M461="",$AS461=""),"",$C461="Joined",($AS461-$M461)-$AT461),"")</f>
        <v/>
      </c>
      <c r="AY461" s="30" t="str">
        <f>IFERROR(IF(COUNTIFS('Candidate Tracker'!$E:$E,'Positions Tracker'!$B461,'Candidate Tracker'!$C:$C,"Offer Drop")=0,"",COUNTIFS('Candidate Tracker'!$E:$E,'Positions Tracker'!$B461,'Candidate Tracker'!$C:$C,"Offer Drop")),"")</f>
        <v/>
      </c>
      <c r="AZ4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1" s="34" t="str">
        <f>IFERROR(IF(COUNTIFS('Candidate Tracker'!$E:$E,'Positions Tracker'!$B461,'Candidate Tracker'!$I:$I,"Female")=0,"",COUNTIFS('Candidate Tracker'!$E:$E,'Positions Tracker'!$B461,'Candidate Tracker'!$I:$I,"Female")),"")</f>
        <v/>
      </c>
      <c r="BB461" s="34" t="str">
        <f>IFERROR(IF(COUNTIFS('Candidate Tracker'!$E:$E,'Positions Tracker'!$B461,'Candidate Tracker'!$I:$I,"male")=0,"",COUNTIFS('Candidate Tracker'!$E:$E,'Positions Tracker'!$B461,'Candidate Tracker'!$I:$I,"male")),"")</f>
        <v/>
      </c>
      <c r="BC461" s="33" t="str">
        <f>IFERROR(IF(COUNTIFS('Candidate Tracker'!$E:$E,'Positions Tracker'!$B461,'Candidate Tracker'!$C:$C,"&lt;&gt;WIP",'Candidate Tracker'!$C:$C,"&lt;&gt;Hold",'Candidate Tracker'!$C:$C,"&lt;&gt;Cancelled",'Candidate Tracker'!$C:$C,"&lt;&gt;Closed")/COUNTIFS('Candidate Tracker'!$E:$E,'Positions Tracker'!$B461)=0,"",COUNTIFS('Candidate Tracker'!$E:$E,'Positions Tracker'!$B461,'Candidate Tracker'!$C:$C,"&lt;&gt;WIP",'Candidate Tracker'!$C:$C,"&lt;&gt;Hold",'Candidate Tracker'!$C:$C,"&lt;&gt;Cancelled",'Candidate Tracker'!$C:$C,"&lt;&gt;Closed")/COUNTIFS('Candidate Tracker'!$E:$E,'Positions Tracker'!$B461)),"")</f>
        <v/>
      </c>
      <c r="BD461" s="30" t="str">
        <f t="shared" si="57"/>
        <v/>
      </c>
      <c r="BE461" s="30" t="str">
        <f t="shared" si="58"/>
        <v/>
      </c>
      <c r="BF461" s="30" t="str">
        <f t="shared" si="59"/>
        <v/>
      </c>
      <c r="BG461" s="30" t="str">
        <f t="shared" si="60"/>
        <v/>
      </c>
    </row>
    <row r="462" spans="1:59">
      <c r="A462" s="39"/>
      <c r="B462" s="39"/>
      <c r="C462" s="39"/>
      <c r="D462" s="39"/>
      <c r="E462" s="39"/>
      <c r="F462" s="39"/>
      <c r="G462" s="39"/>
      <c r="H462" s="39"/>
      <c r="I462" s="40"/>
      <c r="J462" s="40"/>
      <c r="K462" s="35"/>
      <c r="L462" s="35"/>
      <c r="M462" s="35"/>
      <c r="N462" s="39"/>
      <c r="O462" s="39"/>
      <c r="P462" s="39"/>
      <c r="Q462" s="39"/>
      <c r="R462" s="39"/>
      <c r="S462" s="39"/>
      <c r="T462" s="39"/>
      <c r="U462" s="39"/>
      <c r="V462" s="39"/>
      <c r="W462" s="39"/>
      <c r="X462" s="39"/>
      <c r="Y462" s="39"/>
      <c r="Z462" s="39"/>
      <c r="AA462" s="39"/>
      <c r="AB462" s="39"/>
      <c r="AC462" s="39"/>
      <c r="AD462" s="39"/>
      <c r="AE462" s="39"/>
      <c r="AF462" s="39"/>
      <c r="AG462" s="39"/>
      <c r="AH462" s="39"/>
      <c r="AI462" s="35"/>
      <c r="AJ462" s="39"/>
      <c r="AK462" s="39"/>
      <c r="AL462" s="39"/>
      <c r="AM462" s="35"/>
      <c r="AN462" s="35"/>
      <c r="AO462" s="39"/>
      <c r="AP462" s="39"/>
      <c r="AQ462" s="35"/>
      <c r="AR462" s="35"/>
      <c r="AS462" s="35"/>
      <c r="AT462" s="30">
        <f t="shared" ca="1" si="56"/>
        <v>0</v>
      </c>
      <c r="AU462" s="32" t="str">
        <f t="shared" ca="1" si="55"/>
        <v/>
      </c>
      <c r="AV462" s="32" t="str" cm="1">
        <f t="array" aca="1" ref="AV462" ca="1">IFERROR(_xlfn.IFS($AU462="","",$AU462&lt;=15,"0-15",AND($AU462&gt;=16,$AU462&lt;=30),"16-30",AND($AU462&gt;=31,$AU462&lt;=45),"31-45",AND($AU462&gt;=46,$AU462&lt;=60),"46-60",AND($AU462&gt;=61,$AU462&lt;=90),"61-90",AND($AU462&gt;=91),"&gt; 90",AND($AU462&gt;=2000),""),"")</f>
        <v/>
      </c>
      <c r="AW462" s="32" t="str" cm="1">
        <f t="array" aca="1" ref="AW462" ca="1">IFERROR(_xlfn.IFS(OR($M462="",$AM462=""),"",OR($C462="Offered",$C462="Joined"),($AM462-$M462)-$AT462),"")</f>
        <v/>
      </c>
      <c r="AX462" s="32" t="str" cm="1">
        <f t="array" aca="1" ref="AX462" ca="1">IFERROR(_xlfn.IFS(OR($M462="",$AS462=""),"",$C462="Joined",($AS462-$M462)-$AT462),"")</f>
        <v/>
      </c>
      <c r="AY462" s="30" t="str">
        <f>IFERROR(IF(COUNTIFS('Candidate Tracker'!$E:$E,'Positions Tracker'!$B462,'Candidate Tracker'!$C:$C,"Offer Drop")=0,"",COUNTIFS('Candidate Tracker'!$E:$E,'Positions Tracker'!$B462,'Candidate Tracker'!$C:$C,"Offer Drop")),"")</f>
        <v/>
      </c>
      <c r="AZ4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2" s="34" t="str">
        <f>IFERROR(IF(COUNTIFS('Candidate Tracker'!$E:$E,'Positions Tracker'!$B462,'Candidate Tracker'!$I:$I,"Female")=0,"",COUNTIFS('Candidate Tracker'!$E:$E,'Positions Tracker'!$B462,'Candidate Tracker'!$I:$I,"Female")),"")</f>
        <v/>
      </c>
      <c r="BB462" s="34" t="str">
        <f>IFERROR(IF(COUNTIFS('Candidate Tracker'!$E:$E,'Positions Tracker'!$B462,'Candidate Tracker'!$I:$I,"male")=0,"",COUNTIFS('Candidate Tracker'!$E:$E,'Positions Tracker'!$B462,'Candidate Tracker'!$I:$I,"male")),"")</f>
        <v/>
      </c>
      <c r="BC462" s="33" t="str">
        <f>IFERROR(IF(COUNTIFS('Candidate Tracker'!$E:$E,'Positions Tracker'!$B462,'Candidate Tracker'!$C:$C,"&lt;&gt;WIP",'Candidate Tracker'!$C:$C,"&lt;&gt;Hold",'Candidate Tracker'!$C:$C,"&lt;&gt;Cancelled",'Candidate Tracker'!$C:$C,"&lt;&gt;Closed")/COUNTIFS('Candidate Tracker'!$E:$E,'Positions Tracker'!$B462)=0,"",COUNTIFS('Candidate Tracker'!$E:$E,'Positions Tracker'!$B462,'Candidate Tracker'!$C:$C,"&lt;&gt;WIP",'Candidate Tracker'!$C:$C,"&lt;&gt;Hold",'Candidate Tracker'!$C:$C,"&lt;&gt;Cancelled",'Candidate Tracker'!$C:$C,"&lt;&gt;Closed")/COUNTIFS('Candidate Tracker'!$E:$E,'Positions Tracker'!$B462)),"")</f>
        <v/>
      </c>
      <c r="BD462" s="30" t="str">
        <f t="shared" si="57"/>
        <v/>
      </c>
      <c r="BE462" s="30" t="str">
        <f t="shared" si="58"/>
        <v/>
      </c>
      <c r="BF462" s="30" t="str">
        <f t="shared" si="59"/>
        <v/>
      </c>
      <c r="BG462" s="30" t="str">
        <f t="shared" si="60"/>
        <v/>
      </c>
    </row>
    <row r="463" spans="1:59">
      <c r="A463" s="39"/>
      <c r="B463" s="39"/>
      <c r="C463" s="39"/>
      <c r="D463" s="39"/>
      <c r="E463" s="39"/>
      <c r="F463" s="39"/>
      <c r="G463" s="39"/>
      <c r="H463" s="39"/>
      <c r="I463" s="40"/>
      <c r="J463" s="40"/>
      <c r="K463" s="35"/>
      <c r="L463" s="35"/>
      <c r="M463" s="35"/>
      <c r="N463" s="39"/>
      <c r="O463" s="39"/>
      <c r="P463" s="39"/>
      <c r="Q463" s="39"/>
      <c r="R463" s="39"/>
      <c r="S463" s="39"/>
      <c r="T463" s="39"/>
      <c r="U463" s="39"/>
      <c r="V463" s="39"/>
      <c r="W463" s="39"/>
      <c r="X463" s="39"/>
      <c r="Y463" s="39"/>
      <c r="Z463" s="39"/>
      <c r="AA463" s="39"/>
      <c r="AB463" s="39"/>
      <c r="AC463" s="39"/>
      <c r="AD463" s="39"/>
      <c r="AE463" s="39"/>
      <c r="AF463" s="39"/>
      <c r="AG463" s="39"/>
      <c r="AH463" s="39"/>
      <c r="AI463" s="35"/>
      <c r="AJ463" s="39"/>
      <c r="AK463" s="39"/>
      <c r="AL463" s="39"/>
      <c r="AM463" s="35"/>
      <c r="AN463" s="35"/>
      <c r="AO463" s="39"/>
      <c r="AP463" s="39"/>
      <c r="AQ463" s="35"/>
      <c r="AR463" s="35"/>
      <c r="AS463" s="35"/>
      <c r="AT463" s="30">
        <f t="shared" ca="1" si="56"/>
        <v>0</v>
      </c>
      <c r="AU463" s="32" t="str">
        <f t="shared" ca="1" si="55"/>
        <v/>
      </c>
      <c r="AV463" s="32" t="str" cm="1">
        <f t="array" aca="1" ref="AV463" ca="1">IFERROR(_xlfn.IFS($AU463="","",$AU463&lt;=15,"0-15",AND($AU463&gt;=16,$AU463&lt;=30),"16-30",AND($AU463&gt;=31,$AU463&lt;=45),"31-45",AND($AU463&gt;=46,$AU463&lt;=60),"46-60",AND($AU463&gt;=61,$AU463&lt;=90),"61-90",AND($AU463&gt;=91),"&gt; 90",AND($AU463&gt;=2000),""),"")</f>
        <v/>
      </c>
      <c r="AW463" s="32" t="str" cm="1">
        <f t="array" aca="1" ref="AW463" ca="1">IFERROR(_xlfn.IFS(OR($M463="",$AM463=""),"",OR($C463="Offered",$C463="Joined"),($AM463-$M463)-$AT463),"")</f>
        <v/>
      </c>
      <c r="AX463" s="32" t="str" cm="1">
        <f t="array" aca="1" ref="AX463" ca="1">IFERROR(_xlfn.IFS(OR($M463="",$AS463=""),"",$C463="Joined",($AS463-$M463)-$AT463),"")</f>
        <v/>
      </c>
      <c r="AY463" s="30" t="str">
        <f>IFERROR(IF(COUNTIFS('Candidate Tracker'!$E:$E,'Positions Tracker'!$B463,'Candidate Tracker'!$C:$C,"Offer Drop")=0,"",COUNTIFS('Candidate Tracker'!$E:$E,'Positions Tracker'!$B463,'Candidate Tracker'!$C:$C,"Offer Drop")),"")</f>
        <v/>
      </c>
      <c r="AZ46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3" s="34" t="str">
        <f>IFERROR(IF(COUNTIFS('Candidate Tracker'!$E:$E,'Positions Tracker'!$B463,'Candidate Tracker'!$I:$I,"Female")=0,"",COUNTIFS('Candidate Tracker'!$E:$E,'Positions Tracker'!$B463,'Candidate Tracker'!$I:$I,"Female")),"")</f>
        <v/>
      </c>
      <c r="BB463" s="34" t="str">
        <f>IFERROR(IF(COUNTIFS('Candidate Tracker'!$E:$E,'Positions Tracker'!$B463,'Candidate Tracker'!$I:$I,"male")=0,"",COUNTIFS('Candidate Tracker'!$E:$E,'Positions Tracker'!$B463,'Candidate Tracker'!$I:$I,"male")),"")</f>
        <v/>
      </c>
      <c r="BC463" s="33" t="str">
        <f>IFERROR(IF(COUNTIFS('Candidate Tracker'!$E:$E,'Positions Tracker'!$B463,'Candidate Tracker'!$C:$C,"&lt;&gt;WIP",'Candidate Tracker'!$C:$C,"&lt;&gt;Hold",'Candidate Tracker'!$C:$C,"&lt;&gt;Cancelled",'Candidate Tracker'!$C:$C,"&lt;&gt;Closed")/COUNTIFS('Candidate Tracker'!$E:$E,'Positions Tracker'!$B463)=0,"",COUNTIFS('Candidate Tracker'!$E:$E,'Positions Tracker'!$B463,'Candidate Tracker'!$C:$C,"&lt;&gt;WIP",'Candidate Tracker'!$C:$C,"&lt;&gt;Hold",'Candidate Tracker'!$C:$C,"&lt;&gt;Cancelled",'Candidate Tracker'!$C:$C,"&lt;&gt;Closed")/COUNTIFS('Candidate Tracker'!$E:$E,'Positions Tracker'!$B463)),"")</f>
        <v/>
      </c>
      <c r="BD463" s="30" t="str">
        <f t="shared" si="57"/>
        <v/>
      </c>
      <c r="BE463" s="30" t="str">
        <f t="shared" si="58"/>
        <v/>
      </c>
      <c r="BF463" s="30" t="str">
        <f t="shared" si="59"/>
        <v/>
      </c>
      <c r="BG463" s="30" t="str">
        <f t="shared" si="60"/>
        <v/>
      </c>
    </row>
    <row r="464" spans="1:59">
      <c r="A464" s="39"/>
      <c r="B464" s="39"/>
      <c r="C464" s="39"/>
      <c r="D464" s="39"/>
      <c r="E464" s="39"/>
      <c r="F464" s="39"/>
      <c r="G464" s="39"/>
      <c r="H464" s="39"/>
      <c r="I464" s="40"/>
      <c r="J464" s="40"/>
      <c r="K464" s="35"/>
      <c r="L464" s="35"/>
      <c r="M464" s="35"/>
      <c r="N464" s="39"/>
      <c r="O464" s="39"/>
      <c r="P464" s="39"/>
      <c r="Q464" s="39"/>
      <c r="R464" s="39"/>
      <c r="S464" s="39"/>
      <c r="T464" s="39"/>
      <c r="U464" s="39"/>
      <c r="V464" s="39"/>
      <c r="W464" s="39"/>
      <c r="X464" s="39"/>
      <c r="Y464" s="39"/>
      <c r="Z464" s="39"/>
      <c r="AA464" s="39"/>
      <c r="AB464" s="39"/>
      <c r="AC464" s="39"/>
      <c r="AD464" s="39"/>
      <c r="AE464" s="39"/>
      <c r="AF464" s="39"/>
      <c r="AG464" s="39"/>
      <c r="AH464" s="39"/>
      <c r="AI464" s="35"/>
      <c r="AJ464" s="39"/>
      <c r="AK464" s="39"/>
      <c r="AL464" s="39"/>
      <c r="AM464" s="35"/>
      <c r="AN464" s="35"/>
      <c r="AO464" s="39"/>
      <c r="AP464" s="39"/>
      <c r="AQ464" s="35"/>
      <c r="AR464" s="35"/>
      <c r="AS464" s="35"/>
      <c r="AT464" s="30">
        <f t="shared" ca="1" si="56"/>
        <v>0</v>
      </c>
      <c r="AU464" s="32" t="str">
        <f t="shared" ca="1" si="55"/>
        <v/>
      </c>
      <c r="AV464" s="32" t="str" cm="1">
        <f t="array" aca="1" ref="AV464" ca="1">IFERROR(_xlfn.IFS($AU464="","",$AU464&lt;=15,"0-15",AND($AU464&gt;=16,$AU464&lt;=30),"16-30",AND($AU464&gt;=31,$AU464&lt;=45),"31-45",AND($AU464&gt;=46,$AU464&lt;=60),"46-60",AND($AU464&gt;=61,$AU464&lt;=90),"61-90",AND($AU464&gt;=91),"&gt; 90",AND($AU464&gt;=2000),""),"")</f>
        <v/>
      </c>
      <c r="AW464" s="32" t="str" cm="1">
        <f t="array" aca="1" ref="AW464" ca="1">IFERROR(_xlfn.IFS(OR($M464="",$AM464=""),"",OR($C464="Offered",$C464="Joined"),($AM464-$M464)-$AT464),"")</f>
        <v/>
      </c>
      <c r="AX464" s="32" t="str" cm="1">
        <f t="array" aca="1" ref="AX464" ca="1">IFERROR(_xlfn.IFS(OR($M464="",$AS464=""),"",$C464="Joined",($AS464-$M464)-$AT464),"")</f>
        <v/>
      </c>
      <c r="AY464" s="30" t="str">
        <f>IFERROR(IF(COUNTIFS('Candidate Tracker'!$E:$E,'Positions Tracker'!$B464,'Candidate Tracker'!$C:$C,"Offer Drop")=0,"",COUNTIFS('Candidate Tracker'!$E:$E,'Positions Tracker'!$B464,'Candidate Tracker'!$C:$C,"Offer Drop")),"")</f>
        <v/>
      </c>
      <c r="AZ4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4" s="34" t="str">
        <f>IFERROR(IF(COUNTIFS('Candidate Tracker'!$E:$E,'Positions Tracker'!$B464,'Candidate Tracker'!$I:$I,"Female")=0,"",COUNTIFS('Candidate Tracker'!$E:$E,'Positions Tracker'!$B464,'Candidate Tracker'!$I:$I,"Female")),"")</f>
        <v/>
      </c>
      <c r="BB464" s="34" t="str">
        <f>IFERROR(IF(COUNTIFS('Candidate Tracker'!$E:$E,'Positions Tracker'!$B464,'Candidate Tracker'!$I:$I,"male")=0,"",COUNTIFS('Candidate Tracker'!$E:$E,'Positions Tracker'!$B464,'Candidate Tracker'!$I:$I,"male")),"")</f>
        <v/>
      </c>
      <c r="BC464" s="33" t="str">
        <f>IFERROR(IF(COUNTIFS('Candidate Tracker'!$E:$E,'Positions Tracker'!$B464,'Candidate Tracker'!$C:$C,"&lt;&gt;WIP",'Candidate Tracker'!$C:$C,"&lt;&gt;Hold",'Candidate Tracker'!$C:$C,"&lt;&gt;Cancelled",'Candidate Tracker'!$C:$C,"&lt;&gt;Closed")/COUNTIFS('Candidate Tracker'!$E:$E,'Positions Tracker'!$B464)=0,"",COUNTIFS('Candidate Tracker'!$E:$E,'Positions Tracker'!$B464,'Candidate Tracker'!$C:$C,"&lt;&gt;WIP",'Candidate Tracker'!$C:$C,"&lt;&gt;Hold",'Candidate Tracker'!$C:$C,"&lt;&gt;Cancelled",'Candidate Tracker'!$C:$C,"&lt;&gt;Closed")/COUNTIFS('Candidate Tracker'!$E:$E,'Positions Tracker'!$B464)),"")</f>
        <v/>
      </c>
      <c r="BD464" s="30" t="str">
        <f t="shared" si="57"/>
        <v/>
      </c>
      <c r="BE464" s="30" t="str">
        <f t="shared" si="58"/>
        <v/>
      </c>
      <c r="BF464" s="30" t="str">
        <f t="shared" si="59"/>
        <v/>
      </c>
      <c r="BG464" s="30" t="str">
        <f t="shared" si="60"/>
        <v/>
      </c>
    </row>
    <row r="465" spans="1:59">
      <c r="A465" s="39"/>
      <c r="B465" s="39"/>
      <c r="C465" s="39"/>
      <c r="D465" s="39"/>
      <c r="E465" s="39"/>
      <c r="F465" s="39"/>
      <c r="G465" s="39"/>
      <c r="H465" s="39"/>
      <c r="I465" s="40"/>
      <c r="J465" s="40"/>
      <c r="K465" s="35"/>
      <c r="L465" s="35"/>
      <c r="M465" s="35"/>
      <c r="N465" s="39"/>
      <c r="O465" s="39"/>
      <c r="P465" s="39"/>
      <c r="Q465" s="39"/>
      <c r="R465" s="39"/>
      <c r="S465" s="39"/>
      <c r="T465" s="39"/>
      <c r="U465" s="39"/>
      <c r="V465" s="39"/>
      <c r="W465" s="39"/>
      <c r="X465" s="39"/>
      <c r="Y465" s="39"/>
      <c r="Z465" s="39"/>
      <c r="AA465" s="39"/>
      <c r="AB465" s="39"/>
      <c r="AC465" s="39"/>
      <c r="AD465" s="39"/>
      <c r="AE465" s="39"/>
      <c r="AF465" s="39"/>
      <c r="AG465" s="39"/>
      <c r="AH465" s="39"/>
      <c r="AI465" s="35"/>
      <c r="AJ465" s="39"/>
      <c r="AK465" s="39"/>
      <c r="AL465" s="39"/>
      <c r="AM465" s="35"/>
      <c r="AN465" s="35"/>
      <c r="AO465" s="39"/>
      <c r="AP465" s="39"/>
      <c r="AQ465" s="35"/>
      <c r="AR465" s="35"/>
      <c r="AS465" s="35"/>
      <c r="AT465" s="30">
        <f t="shared" ca="1" si="56"/>
        <v>0</v>
      </c>
      <c r="AU465" s="32" t="str">
        <f t="shared" ca="1" si="55"/>
        <v/>
      </c>
      <c r="AV465" s="32" t="str" cm="1">
        <f t="array" aca="1" ref="AV465" ca="1">IFERROR(_xlfn.IFS($AU465="","",$AU465&lt;=15,"0-15",AND($AU465&gt;=16,$AU465&lt;=30),"16-30",AND($AU465&gt;=31,$AU465&lt;=45),"31-45",AND($AU465&gt;=46,$AU465&lt;=60),"46-60",AND($AU465&gt;=61,$AU465&lt;=90),"61-90",AND($AU465&gt;=91),"&gt; 90",AND($AU465&gt;=2000),""),"")</f>
        <v/>
      </c>
      <c r="AW465" s="32" t="str" cm="1">
        <f t="array" aca="1" ref="AW465" ca="1">IFERROR(_xlfn.IFS(OR($M465="",$AM465=""),"",OR($C465="Offered",$C465="Joined"),($AM465-$M465)-$AT465),"")</f>
        <v/>
      </c>
      <c r="AX465" s="32" t="str" cm="1">
        <f t="array" aca="1" ref="AX465" ca="1">IFERROR(_xlfn.IFS(OR($M465="",$AS465=""),"",$C465="Joined",($AS465-$M465)-$AT465),"")</f>
        <v/>
      </c>
      <c r="AY465" s="30" t="str">
        <f>IFERROR(IF(COUNTIFS('Candidate Tracker'!$E:$E,'Positions Tracker'!$B465,'Candidate Tracker'!$C:$C,"Offer Drop")=0,"",COUNTIFS('Candidate Tracker'!$E:$E,'Positions Tracker'!$B465,'Candidate Tracker'!$C:$C,"Offer Drop")),"")</f>
        <v/>
      </c>
      <c r="AZ46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5" s="34" t="str">
        <f>IFERROR(IF(COUNTIFS('Candidate Tracker'!$E:$E,'Positions Tracker'!$B465,'Candidate Tracker'!$I:$I,"Female")=0,"",COUNTIFS('Candidate Tracker'!$E:$E,'Positions Tracker'!$B465,'Candidate Tracker'!$I:$I,"Female")),"")</f>
        <v/>
      </c>
      <c r="BB465" s="34" t="str">
        <f>IFERROR(IF(COUNTIFS('Candidate Tracker'!$E:$E,'Positions Tracker'!$B465,'Candidate Tracker'!$I:$I,"male")=0,"",COUNTIFS('Candidate Tracker'!$E:$E,'Positions Tracker'!$B465,'Candidate Tracker'!$I:$I,"male")),"")</f>
        <v/>
      </c>
      <c r="BC465" s="33" t="str">
        <f>IFERROR(IF(COUNTIFS('Candidate Tracker'!$E:$E,'Positions Tracker'!$B465,'Candidate Tracker'!$C:$C,"&lt;&gt;WIP",'Candidate Tracker'!$C:$C,"&lt;&gt;Hold",'Candidate Tracker'!$C:$C,"&lt;&gt;Cancelled",'Candidate Tracker'!$C:$C,"&lt;&gt;Closed")/COUNTIFS('Candidate Tracker'!$E:$E,'Positions Tracker'!$B465)=0,"",COUNTIFS('Candidate Tracker'!$E:$E,'Positions Tracker'!$B465,'Candidate Tracker'!$C:$C,"&lt;&gt;WIP",'Candidate Tracker'!$C:$C,"&lt;&gt;Hold",'Candidate Tracker'!$C:$C,"&lt;&gt;Cancelled",'Candidate Tracker'!$C:$C,"&lt;&gt;Closed")/COUNTIFS('Candidate Tracker'!$E:$E,'Positions Tracker'!$B465)),"")</f>
        <v/>
      </c>
      <c r="BD465" s="30" t="str">
        <f t="shared" si="57"/>
        <v/>
      </c>
      <c r="BE465" s="30" t="str">
        <f t="shared" si="58"/>
        <v/>
      </c>
      <c r="BF465" s="30" t="str">
        <f t="shared" si="59"/>
        <v/>
      </c>
      <c r="BG465" s="30" t="str">
        <f t="shared" si="60"/>
        <v/>
      </c>
    </row>
    <row r="466" spans="1:59">
      <c r="A466" s="39"/>
      <c r="B466" s="39"/>
      <c r="C466" s="39"/>
      <c r="D466" s="39"/>
      <c r="E466" s="39"/>
      <c r="F466" s="39"/>
      <c r="G466" s="39"/>
      <c r="H466" s="39"/>
      <c r="I466" s="40"/>
      <c r="J466" s="40"/>
      <c r="K466" s="35"/>
      <c r="L466" s="35"/>
      <c r="M466" s="35"/>
      <c r="N466" s="39"/>
      <c r="O466" s="39"/>
      <c r="P466" s="39"/>
      <c r="Q466" s="39"/>
      <c r="R466" s="39"/>
      <c r="S466" s="39"/>
      <c r="T466" s="39"/>
      <c r="U466" s="39"/>
      <c r="V466" s="39"/>
      <c r="W466" s="39"/>
      <c r="X466" s="39"/>
      <c r="Y466" s="39"/>
      <c r="Z466" s="39"/>
      <c r="AA466" s="39"/>
      <c r="AB466" s="39"/>
      <c r="AC466" s="39"/>
      <c r="AD466" s="39"/>
      <c r="AE466" s="39"/>
      <c r="AF466" s="39"/>
      <c r="AG466" s="39"/>
      <c r="AH466" s="39"/>
      <c r="AI466" s="35"/>
      <c r="AJ466" s="39"/>
      <c r="AK466" s="39"/>
      <c r="AL466" s="39"/>
      <c r="AM466" s="35"/>
      <c r="AN466" s="35"/>
      <c r="AO466" s="39"/>
      <c r="AP466" s="39"/>
      <c r="AQ466" s="35"/>
      <c r="AR466" s="35"/>
      <c r="AS466" s="35"/>
      <c r="AT466" s="30">
        <f t="shared" ca="1" si="56"/>
        <v>0</v>
      </c>
      <c r="AU466" s="32" t="str">
        <f t="shared" ca="1" si="55"/>
        <v/>
      </c>
      <c r="AV466" s="32" t="str" cm="1">
        <f t="array" aca="1" ref="AV466" ca="1">IFERROR(_xlfn.IFS($AU466="","",$AU466&lt;=15,"0-15",AND($AU466&gt;=16,$AU466&lt;=30),"16-30",AND($AU466&gt;=31,$AU466&lt;=45),"31-45",AND($AU466&gt;=46,$AU466&lt;=60),"46-60",AND($AU466&gt;=61,$AU466&lt;=90),"61-90",AND($AU466&gt;=91),"&gt; 90",AND($AU466&gt;=2000),""),"")</f>
        <v/>
      </c>
      <c r="AW466" s="32" t="str" cm="1">
        <f t="array" aca="1" ref="AW466" ca="1">IFERROR(_xlfn.IFS(OR($M466="",$AM466=""),"",OR($C466="Offered",$C466="Joined"),($AM466-$M466)-$AT466),"")</f>
        <v/>
      </c>
      <c r="AX466" s="32" t="str" cm="1">
        <f t="array" aca="1" ref="AX466" ca="1">IFERROR(_xlfn.IFS(OR($M466="",$AS466=""),"",$C466="Joined",($AS466-$M466)-$AT466),"")</f>
        <v/>
      </c>
      <c r="AY466" s="30" t="str">
        <f>IFERROR(IF(COUNTIFS('Candidate Tracker'!$E:$E,'Positions Tracker'!$B466,'Candidate Tracker'!$C:$C,"Offer Drop")=0,"",COUNTIFS('Candidate Tracker'!$E:$E,'Positions Tracker'!$B466,'Candidate Tracker'!$C:$C,"Offer Drop")),"")</f>
        <v/>
      </c>
      <c r="AZ4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6" s="34" t="str">
        <f>IFERROR(IF(COUNTIFS('Candidate Tracker'!$E:$E,'Positions Tracker'!$B466,'Candidate Tracker'!$I:$I,"Female")=0,"",COUNTIFS('Candidate Tracker'!$E:$E,'Positions Tracker'!$B466,'Candidate Tracker'!$I:$I,"Female")),"")</f>
        <v/>
      </c>
      <c r="BB466" s="34" t="str">
        <f>IFERROR(IF(COUNTIFS('Candidate Tracker'!$E:$E,'Positions Tracker'!$B466,'Candidate Tracker'!$I:$I,"male")=0,"",COUNTIFS('Candidate Tracker'!$E:$E,'Positions Tracker'!$B466,'Candidate Tracker'!$I:$I,"male")),"")</f>
        <v/>
      </c>
      <c r="BC466" s="33" t="str">
        <f>IFERROR(IF(COUNTIFS('Candidate Tracker'!$E:$E,'Positions Tracker'!$B466,'Candidate Tracker'!$C:$C,"&lt;&gt;WIP",'Candidate Tracker'!$C:$C,"&lt;&gt;Hold",'Candidate Tracker'!$C:$C,"&lt;&gt;Cancelled",'Candidate Tracker'!$C:$C,"&lt;&gt;Closed")/COUNTIFS('Candidate Tracker'!$E:$E,'Positions Tracker'!$B466)=0,"",COUNTIFS('Candidate Tracker'!$E:$E,'Positions Tracker'!$B466,'Candidate Tracker'!$C:$C,"&lt;&gt;WIP",'Candidate Tracker'!$C:$C,"&lt;&gt;Hold",'Candidate Tracker'!$C:$C,"&lt;&gt;Cancelled",'Candidate Tracker'!$C:$C,"&lt;&gt;Closed")/COUNTIFS('Candidate Tracker'!$E:$E,'Positions Tracker'!$B466)),"")</f>
        <v/>
      </c>
      <c r="BD466" s="30" t="str">
        <f t="shared" si="57"/>
        <v/>
      </c>
      <c r="BE466" s="30" t="str">
        <f t="shared" si="58"/>
        <v/>
      </c>
      <c r="BF466" s="30" t="str">
        <f t="shared" si="59"/>
        <v/>
      </c>
      <c r="BG466" s="30" t="str">
        <f t="shared" si="60"/>
        <v/>
      </c>
    </row>
    <row r="467" spans="1:59">
      <c r="A467" s="39"/>
      <c r="B467" s="39"/>
      <c r="C467" s="39"/>
      <c r="D467" s="39"/>
      <c r="E467" s="39"/>
      <c r="F467" s="39"/>
      <c r="G467" s="39"/>
      <c r="H467" s="39"/>
      <c r="I467" s="40"/>
      <c r="J467" s="40"/>
      <c r="K467" s="35"/>
      <c r="L467" s="35"/>
      <c r="M467" s="35"/>
      <c r="N467" s="39"/>
      <c r="O467" s="39"/>
      <c r="P467" s="39"/>
      <c r="Q467" s="39"/>
      <c r="R467" s="39"/>
      <c r="S467" s="39"/>
      <c r="T467" s="39"/>
      <c r="U467" s="39"/>
      <c r="V467" s="39"/>
      <c r="W467" s="39"/>
      <c r="X467" s="39"/>
      <c r="Y467" s="39"/>
      <c r="Z467" s="39"/>
      <c r="AA467" s="39"/>
      <c r="AB467" s="39"/>
      <c r="AC467" s="39"/>
      <c r="AD467" s="39"/>
      <c r="AE467" s="39"/>
      <c r="AF467" s="39"/>
      <c r="AG467" s="39"/>
      <c r="AH467" s="39"/>
      <c r="AI467" s="35"/>
      <c r="AJ467" s="39"/>
      <c r="AK467" s="39"/>
      <c r="AL467" s="39"/>
      <c r="AM467" s="35"/>
      <c r="AN467" s="35"/>
      <c r="AO467" s="39"/>
      <c r="AP467" s="39"/>
      <c r="AQ467" s="35"/>
      <c r="AR467" s="35"/>
      <c r="AS467" s="35"/>
      <c r="AT467" s="30">
        <f t="shared" ca="1" si="56"/>
        <v>0</v>
      </c>
      <c r="AU467" s="32" t="str">
        <f t="shared" ca="1" si="55"/>
        <v/>
      </c>
      <c r="AV467" s="32" t="str" cm="1">
        <f t="array" aca="1" ref="AV467" ca="1">IFERROR(_xlfn.IFS($AU467="","",$AU467&lt;=15,"0-15",AND($AU467&gt;=16,$AU467&lt;=30),"16-30",AND($AU467&gt;=31,$AU467&lt;=45),"31-45",AND($AU467&gt;=46,$AU467&lt;=60),"46-60",AND($AU467&gt;=61,$AU467&lt;=90),"61-90",AND($AU467&gt;=91),"&gt; 90",AND($AU467&gt;=2000),""),"")</f>
        <v/>
      </c>
      <c r="AW467" s="32" t="str" cm="1">
        <f t="array" aca="1" ref="AW467" ca="1">IFERROR(_xlfn.IFS(OR($M467="",$AM467=""),"",OR($C467="Offered",$C467="Joined"),($AM467-$M467)-$AT467),"")</f>
        <v/>
      </c>
      <c r="AX467" s="32" t="str" cm="1">
        <f t="array" aca="1" ref="AX467" ca="1">IFERROR(_xlfn.IFS(OR($M467="",$AS467=""),"",$C467="Joined",($AS467-$M467)-$AT467),"")</f>
        <v/>
      </c>
      <c r="AY467" s="30" t="str">
        <f>IFERROR(IF(COUNTIFS('Candidate Tracker'!$E:$E,'Positions Tracker'!$B467,'Candidate Tracker'!$C:$C,"Offer Drop")=0,"",COUNTIFS('Candidate Tracker'!$E:$E,'Positions Tracker'!$B467,'Candidate Tracker'!$C:$C,"Offer Drop")),"")</f>
        <v/>
      </c>
      <c r="AZ4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7" s="34" t="str">
        <f>IFERROR(IF(COUNTIFS('Candidate Tracker'!$E:$E,'Positions Tracker'!$B467,'Candidate Tracker'!$I:$I,"Female")=0,"",COUNTIFS('Candidate Tracker'!$E:$E,'Positions Tracker'!$B467,'Candidate Tracker'!$I:$I,"Female")),"")</f>
        <v/>
      </c>
      <c r="BB467" s="34" t="str">
        <f>IFERROR(IF(COUNTIFS('Candidate Tracker'!$E:$E,'Positions Tracker'!$B467,'Candidate Tracker'!$I:$I,"male")=0,"",COUNTIFS('Candidate Tracker'!$E:$E,'Positions Tracker'!$B467,'Candidate Tracker'!$I:$I,"male")),"")</f>
        <v/>
      </c>
      <c r="BC467" s="33" t="str">
        <f>IFERROR(IF(COUNTIFS('Candidate Tracker'!$E:$E,'Positions Tracker'!$B467,'Candidate Tracker'!$C:$C,"&lt;&gt;WIP",'Candidate Tracker'!$C:$C,"&lt;&gt;Hold",'Candidate Tracker'!$C:$C,"&lt;&gt;Cancelled",'Candidate Tracker'!$C:$C,"&lt;&gt;Closed")/COUNTIFS('Candidate Tracker'!$E:$E,'Positions Tracker'!$B467)=0,"",COUNTIFS('Candidate Tracker'!$E:$E,'Positions Tracker'!$B467,'Candidate Tracker'!$C:$C,"&lt;&gt;WIP",'Candidate Tracker'!$C:$C,"&lt;&gt;Hold",'Candidate Tracker'!$C:$C,"&lt;&gt;Cancelled",'Candidate Tracker'!$C:$C,"&lt;&gt;Closed")/COUNTIFS('Candidate Tracker'!$E:$E,'Positions Tracker'!$B467)),"")</f>
        <v/>
      </c>
      <c r="BD467" s="30" t="str">
        <f t="shared" si="57"/>
        <v/>
      </c>
      <c r="BE467" s="30" t="str">
        <f t="shared" si="58"/>
        <v/>
      </c>
      <c r="BF467" s="30" t="str">
        <f t="shared" si="59"/>
        <v/>
      </c>
      <c r="BG467" s="30" t="str">
        <f t="shared" si="60"/>
        <v/>
      </c>
    </row>
    <row r="468" spans="1:59">
      <c r="A468" s="39"/>
      <c r="B468" s="39"/>
      <c r="C468" s="39"/>
      <c r="D468" s="39"/>
      <c r="E468" s="39"/>
      <c r="F468" s="39"/>
      <c r="G468" s="39"/>
      <c r="H468" s="39"/>
      <c r="I468" s="40"/>
      <c r="J468" s="40"/>
      <c r="K468" s="35"/>
      <c r="L468" s="35"/>
      <c r="M468" s="35"/>
      <c r="N468" s="39"/>
      <c r="O468" s="39"/>
      <c r="P468" s="39"/>
      <c r="Q468" s="39"/>
      <c r="R468" s="39"/>
      <c r="S468" s="39"/>
      <c r="T468" s="39"/>
      <c r="U468" s="39"/>
      <c r="V468" s="39"/>
      <c r="W468" s="39"/>
      <c r="X468" s="39"/>
      <c r="Y468" s="39"/>
      <c r="Z468" s="39"/>
      <c r="AA468" s="39"/>
      <c r="AB468" s="39"/>
      <c r="AC468" s="39"/>
      <c r="AD468" s="39"/>
      <c r="AE468" s="39"/>
      <c r="AF468" s="39"/>
      <c r="AG468" s="39"/>
      <c r="AH468" s="39"/>
      <c r="AI468" s="35"/>
      <c r="AJ468" s="39"/>
      <c r="AK468" s="39"/>
      <c r="AL468" s="39"/>
      <c r="AM468" s="35"/>
      <c r="AN468" s="35"/>
      <c r="AO468" s="39"/>
      <c r="AP468" s="39"/>
      <c r="AQ468" s="35"/>
      <c r="AR468" s="35"/>
      <c r="AS468" s="35"/>
      <c r="AT468" s="30">
        <f t="shared" ca="1" si="56"/>
        <v>0</v>
      </c>
      <c r="AU468" s="32" t="str">
        <f t="shared" ca="1" si="55"/>
        <v/>
      </c>
      <c r="AV468" s="32" t="str" cm="1">
        <f t="array" aca="1" ref="AV468" ca="1">IFERROR(_xlfn.IFS($AU468="","",$AU468&lt;=15,"0-15",AND($AU468&gt;=16,$AU468&lt;=30),"16-30",AND($AU468&gt;=31,$AU468&lt;=45),"31-45",AND($AU468&gt;=46,$AU468&lt;=60),"46-60",AND($AU468&gt;=61,$AU468&lt;=90),"61-90",AND($AU468&gt;=91),"&gt; 90",AND($AU468&gt;=2000),""),"")</f>
        <v/>
      </c>
      <c r="AW468" s="32" t="str" cm="1">
        <f t="array" aca="1" ref="AW468" ca="1">IFERROR(_xlfn.IFS(OR($M468="",$AM468=""),"",OR($C468="Offered",$C468="Joined"),($AM468-$M468)-$AT468),"")</f>
        <v/>
      </c>
      <c r="AX468" s="32" t="str" cm="1">
        <f t="array" aca="1" ref="AX468" ca="1">IFERROR(_xlfn.IFS(OR($M468="",$AS468=""),"",$C468="Joined",($AS468-$M468)-$AT468),"")</f>
        <v/>
      </c>
      <c r="AY468" s="30" t="str">
        <f>IFERROR(IF(COUNTIFS('Candidate Tracker'!$E:$E,'Positions Tracker'!$B468,'Candidate Tracker'!$C:$C,"Offer Drop")=0,"",COUNTIFS('Candidate Tracker'!$E:$E,'Positions Tracker'!$B468,'Candidate Tracker'!$C:$C,"Offer Drop")),"")</f>
        <v/>
      </c>
      <c r="AZ4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8" s="34" t="str">
        <f>IFERROR(IF(COUNTIFS('Candidate Tracker'!$E:$E,'Positions Tracker'!$B468,'Candidate Tracker'!$I:$I,"Female")=0,"",COUNTIFS('Candidate Tracker'!$E:$E,'Positions Tracker'!$B468,'Candidate Tracker'!$I:$I,"Female")),"")</f>
        <v/>
      </c>
      <c r="BB468" s="34" t="str">
        <f>IFERROR(IF(COUNTIFS('Candidate Tracker'!$E:$E,'Positions Tracker'!$B468,'Candidate Tracker'!$I:$I,"male")=0,"",COUNTIFS('Candidate Tracker'!$E:$E,'Positions Tracker'!$B468,'Candidate Tracker'!$I:$I,"male")),"")</f>
        <v/>
      </c>
      <c r="BC468" s="33" t="str">
        <f>IFERROR(IF(COUNTIFS('Candidate Tracker'!$E:$E,'Positions Tracker'!$B468,'Candidate Tracker'!$C:$C,"&lt;&gt;WIP",'Candidate Tracker'!$C:$C,"&lt;&gt;Hold",'Candidate Tracker'!$C:$C,"&lt;&gt;Cancelled",'Candidate Tracker'!$C:$C,"&lt;&gt;Closed")/COUNTIFS('Candidate Tracker'!$E:$E,'Positions Tracker'!$B468)=0,"",COUNTIFS('Candidate Tracker'!$E:$E,'Positions Tracker'!$B468,'Candidate Tracker'!$C:$C,"&lt;&gt;WIP",'Candidate Tracker'!$C:$C,"&lt;&gt;Hold",'Candidate Tracker'!$C:$C,"&lt;&gt;Cancelled",'Candidate Tracker'!$C:$C,"&lt;&gt;Closed")/COUNTIFS('Candidate Tracker'!$E:$E,'Positions Tracker'!$B468)),"")</f>
        <v/>
      </c>
      <c r="BD468" s="30" t="str">
        <f t="shared" si="57"/>
        <v/>
      </c>
      <c r="BE468" s="30" t="str">
        <f t="shared" si="58"/>
        <v/>
      </c>
      <c r="BF468" s="30" t="str">
        <f t="shared" si="59"/>
        <v/>
      </c>
      <c r="BG468" s="30" t="str">
        <f t="shared" si="60"/>
        <v/>
      </c>
    </row>
    <row r="469" spans="1:59">
      <c r="A469" s="39"/>
      <c r="B469" s="39"/>
      <c r="C469" s="39"/>
      <c r="D469" s="39"/>
      <c r="E469" s="39"/>
      <c r="F469" s="39"/>
      <c r="G469" s="39"/>
      <c r="H469" s="39"/>
      <c r="I469" s="40"/>
      <c r="J469" s="40"/>
      <c r="K469" s="35"/>
      <c r="L469" s="35"/>
      <c r="M469" s="35"/>
      <c r="N469" s="39"/>
      <c r="O469" s="39"/>
      <c r="P469" s="39"/>
      <c r="Q469" s="39"/>
      <c r="R469" s="39"/>
      <c r="S469" s="39"/>
      <c r="T469" s="39"/>
      <c r="U469" s="39"/>
      <c r="V469" s="39"/>
      <c r="W469" s="39"/>
      <c r="X469" s="39"/>
      <c r="Y469" s="39"/>
      <c r="Z469" s="39"/>
      <c r="AA469" s="39"/>
      <c r="AB469" s="39"/>
      <c r="AC469" s="39"/>
      <c r="AD469" s="39"/>
      <c r="AE469" s="39"/>
      <c r="AF469" s="39"/>
      <c r="AG469" s="39"/>
      <c r="AH469" s="39"/>
      <c r="AI469" s="35"/>
      <c r="AJ469" s="39"/>
      <c r="AK469" s="39"/>
      <c r="AL469" s="39"/>
      <c r="AM469" s="35"/>
      <c r="AN469" s="35"/>
      <c r="AO469" s="39"/>
      <c r="AP469" s="39"/>
      <c r="AQ469" s="35"/>
      <c r="AR469" s="35"/>
      <c r="AS469" s="35"/>
      <c r="AT469" s="30">
        <f t="shared" ca="1" si="56"/>
        <v>0</v>
      </c>
      <c r="AU469" s="32" t="str">
        <f t="shared" ca="1" si="55"/>
        <v/>
      </c>
      <c r="AV469" s="32" t="str" cm="1">
        <f t="array" aca="1" ref="AV469" ca="1">IFERROR(_xlfn.IFS($AU469="","",$AU469&lt;=15,"0-15",AND($AU469&gt;=16,$AU469&lt;=30),"16-30",AND($AU469&gt;=31,$AU469&lt;=45),"31-45",AND($AU469&gt;=46,$AU469&lt;=60),"46-60",AND($AU469&gt;=61,$AU469&lt;=90),"61-90",AND($AU469&gt;=91),"&gt; 90",AND($AU469&gt;=2000),""),"")</f>
        <v/>
      </c>
      <c r="AW469" s="32" t="str" cm="1">
        <f t="array" aca="1" ref="AW469" ca="1">IFERROR(_xlfn.IFS(OR($M469="",$AM469=""),"",OR($C469="Offered",$C469="Joined"),($AM469-$M469)-$AT469),"")</f>
        <v/>
      </c>
      <c r="AX469" s="32" t="str" cm="1">
        <f t="array" aca="1" ref="AX469" ca="1">IFERROR(_xlfn.IFS(OR($M469="",$AS469=""),"",$C469="Joined",($AS469-$M469)-$AT469),"")</f>
        <v/>
      </c>
      <c r="AY469" s="30" t="str">
        <f>IFERROR(IF(COUNTIFS('Candidate Tracker'!$E:$E,'Positions Tracker'!$B469,'Candidate Tracker'!$C:$C,"Offer Drop")=0,"",COUNTIFS('Candidate Tracker'!$E:$E,'Positions Tracker'!$B469,'Candidate Tracker'!$C:$C,"Offer Drop")),"")</f>
        <v/>
      </c>
      <c r="AZ4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69" s="34" t="str">
        <f>IFERROR(IF(COUNTIFS('Candidate Tracker'!$E:$E,'Positions Tracker'!$B469,'Candidate Tracker'!$I:$I,"Female")=0,"",COUNTIFS('Candidate Tracker'!$E:$E,'Positions Tracker'!$B469,'Candidate Tracker'!$I:$I,"Female")),"")</f>
        <v/>
      </c>
      <c r="BB469" s="34" t="str">
        <f>IFERROR(IF(COUNTIFS('Candidate Tracker'!$E:$E,'Positions Tracker'!$B469,'Candidate Tracker'!$I:$I,"male")=0,"",COUNTIFS('Candidate Tracker'!$E:$E,'Positions Tracker'!$B469,'Candidate Tracker'!$I:$I,"male")),"")</f>
        <v/>
      </c>
      <c r="BC469" s="33" t="str">
        <f>IFERROR(IF(COUNTIFS('Candidate Tracker'!$E:$E,'Positions Tracker'!$B469,'Candidate Tracker'!$C:$C,"&lt;&gt;WIP",'Candidate Tracker'!$C:$C,"&lt;&gt;Hold",'Candidate Tracker'!$C:$C,"&lt;&gt;Cancelled",'Candidate Tracker'!$C:$C,"&lt;&gt;Closed")/COUNTIFS('Candidate Tracker'!$E:$E,'Positions Tracker'!$B469)=0,"",COUNTIFS('Candidate Tracker'!$E:$E,'Positions Tracker'!$B469,'Candidate Tracker'!$C:$C,"&lt;&gt;WIP",'Candidate Tracker'!$C:$C,"&lt;&gt;Hold",'Candidate Tracker'!$C:$C,"&lt;&gt;Cancelled",'Candidate Tracker'!$C:$C,"&lt;&gt;Closed")/COUNTIFS('Candidate Tracker'!$E:$E,'Positions Tracker'!$B469)),"")</f>
        <v/>
      </c>
      <c r="BD469" s="30" t="str">
        <f t="shared" si="57"/>
        <v/>
      </c>
      <c r="BE469" s="30" t="str">
        <f t="shared" si="58"/>
        <v/>
      </c>
      <c r="BF469" s="30" t="str">
        <f t="shared" si="59"/>
        <v/>
      </c>
      <c r="BG469" s="30" t="str">
        <f t="shared" si="60"/>
        <v/>
      </c>
    </row>
    <row r="470" spans="1:59">
      <c r="A470" s="39"/>
      <c r="B470" s="39"/>
      <c r="C470" s="39"/>
      <c r="D470" s="39"/>
      <c r="E470" s="39"/>
      <c r="F470" s="39"/>
      <c r="G470" s="39"/>
      <c r="H470" s="39"/>
      <c r="I470" s="40"/>
      <c r="J470" s="40"/>
      <c r="K470" s="35"/>
      <c r="L470" s="35"/>
      <c r="M470" s="35"/>
      <c r="N470" s="39"/>
      <c r="O470" s="39"/>
      <c r="P470" s="39"/>
      <c r="Q470" s="39"/>
      <c r="R470" s="39"/>
      <c r="S470" s="39"/>
      <c r="T470" s="39"/>
      <c r="U470" s="39"/>
      <c r="V470" s="39"/>
      <c r="W470" s="39"/>
      <c r="X470" s="39"/>
      <c r="Y470" s="39"/>
      <c r="Z470" s="39"/>
      <c r="AA470" s="39"/>
      <c r="AB470" s="39"/>
      <c r="AC470" s="39"/>
      <c r="AD470" s="39"/>
      <c r="AE470" s="39"/>
      <c r="AF470" s="39"/>
      <c r="AG470" s="39"/>
      <c r="AH470" s="39"/>
      <c r="AI470" s="35"/>
      <c r="AJ470" s="39"/>
      <c r="AK470" s="39"/>
      <c r="AL470" s="39"/>
      <c r="AM470" s="35"/>
      <c r="AN470" s="35"/>
      <c r="AO470" s="39"/>
      <c r="AP470" s="39"/>
      <c r="AQ470" s="35"/>
      <c r="AR470" s="35"/>
      <c r="AS470" s="35"/>
      <c r="AT470" s="30">
        <f t="shared" ca="1" si="56"/>
        <v>0</v>
      </c>
      <c r="AU470" s="32" t="str">
        <f t="shared" ca="1" si="55"/>
        <v/>
      </c>
      <c r="AV470" s="32" t="str" cm="1">
        <f t="array" aca="1" ref="AV470" ca="1">IFERROR(_xlfn.IFS($AU470="","",$AU470&lt;=15,"0-15",AND($AU470&gt;=16,$AU470&lt;=30),"16-30",AND($AU470&gt;=31,$AU470&lt;=45),"31-45",AND($AU470&gt;=46,$AU470&lt;=60),"46-60",AND($AU470&gt;=61,$AU470&lt;=90),"61-90",AND($AU470&gt;=91),"&gt; 90",AND($AU470&gt;=2000),""),"")</f>
        <v/>
      </c>
      <c r="AW470" s="32" t="str" cm="1">
        <f t="array" aca="1" ref="AW470" ca="1">IFERROR(_xlfn.IFS(OR($M470="",$AM470=""),"",OR($C470="Offered",$C470="Joined"),($AM470-$M470)-$AT470),"")</f>
        <v/>
      </c>
      <c r="AX470" s="32" t="str" cm="1">
        <f t="array" aca="1" ref="AX470" ca="1">IFERROR(_xlfn.IFS(OR($M470="",$AS470=""),"",$C470="Joined",($AS470-$M470)-$AT470),"")</f>
        <v/>
      </c>
      <c r="AY470" s="30" t="str">
        <f>IFERROR(IF(COUNTIFS('Candidate Tracker'!$E:$E,'Positions Tracker'!$B470,'Candidate Tracker'!$C:$C,"Offer Drop")=0,"",COUNTIFS('Candidate Tracker'!$E:$E,'Positions Tracker'!$B470,'Candidate Tracker'!$C:$C,"Offer Drop")),"")</f>
        <v/>
      </c>
      <c r="AZ4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0" s="34" t="str">
        <f>IFERROR(IF(COUNTIFS('Candidate Tracker'!$E:$E,'Positions Tracker'!$B470,'Candidate Tracker'!$I:$I,"Female")=0,"",COUNTIFS('Candidate Tracker'!$E:$E,'Positions Tracker'!$B470,'Candidate Tracker'!$I:$I,"Female")),"")</f>
        <v/>
      </c>
      <c r="BB470" s="34" t="str">
        <f>IFERROR(IF(COUNTIFS('Candidate Tracker'!$E:$E,'Positions Tracker'!$B470,'Candidate Tracker'!$I:$I,"male")=0,"",COUNTIFS('Candidate Tracker'!$E:$E,'Positions Tracker'!$B470,'Candidate Tracker'!$I:$I,"male")),"")</f>
        <v/>
      </c>
      <c r="BC470" s="33" t="str">
        <f>IFERROR(IF(COUNTIFS('Candidate Tracker'!$E:$E,'Positions Tracker'!$B470,'Candidate Tracker'!$C:$C,"&lt;&gt;WIP",'Candidate Tracker'!$C:$C,"&lt;&gt;Hold",'Candidate Tracker'!$C:$C,"&lt;&gt;Cancelled",'Candidate Tracker'!$C:$C,"&lt;&gt;Closed")/COUNTIFS('Candidate Tracker'!$E:$E,'Positions Tracker'!$B470)=0,"",COUNTIFS('Candidate Tracker'!$E:$E,'Positions Tracker'!$B470,'Candidate Tracker'!$C:$C,"&lt;&gt;WIP",'Candidate Tracker'!$C:$C,"&lt;&gt;Hold",'Candidate Tracker'!$C:$C,"&lt;&gt;Cancelled",'Candidate Tracker'!$C:$C,"&lt;&gt;Closed")/COUNTIFS('Candidate Tracker'!$E:$E,'Positions Tracker'!$B470)),"")</f>
        <v/>
      </c>
      <c r="BD470" s="30" t="str">
        <f t="shared" si="57"/>
        <v/>
      </c>
      <c r="BE470" s="30" t="str">
        <f t="shared" si="58"/>
        <v/>
      </c>
      <c r="BF470" s="30" t="str">
        <f t="shared" si="59"/>
        <v/>
      </c>
      <c r="BG470" s="30" t="str">
        <f t="shared" si="60"/>
        <v/>
      </c>
    </row>
    <row r="471" spans="1:59">
      <c r="A471" s="39"/>
      <c r="B471" s="39"/>
      <c r="C471" s="39"/>
      <c r="D471" s="39"/>
      <c r="E471" s="39"/>
      <c r="F471" s="39"/>
      <c r="G471" s="39"/>
      <c r="H471" s="39"/>
      <c r="I471" s="40"/>
      <c r="J471" s="40"/>
      <c r="K471" s="35"/>
      <c r="L471" s="35"/>
      <c r="M471" s="35"/>
      <c r="N471" s="39"/>
      <c r="O471" s="39"/>
      <c r="P471" s="39"/>
      <c r="Q471" s="39"/>
      <c r="R471" s="39"/>
      <c r="S471" s="39"/>
      <c r="T471" s="39"/>
      <c r="U471" s="39"/>
      <c r="V471" s="39"/>
      <c r="W471" s="39"/>
      <c r="X471" s="39"/>
      <c r="Y471" s="39"/>
      <c r="Z471" s="39"/>
      <c r="AA471" s="39"/>
      <c r="AB471" s="39"/>
      <c r="AC471" s="39"/>
      <c r="AD471" s="39"/>
      <c r="AE471" s="39"/>
      <c r="AF471" s="39"/>
      <c r="AG471" s="39"/>
      <c r="AH471" s="39"/>
      <c r="AI471" s="35"/>
      <c r="AJ471" s="39"/>
      <c r="AK471" s="39"/>
      <c r="AL471" s="39"/>
      <c r="AM471" s="35"/>
      <c r="AN471" s="35"/>
      <c r="AO471" s="39"/>
      <c r="AP471" s="39"/>
      <c r="AQ471" s="35"/>
      <c r="AR471" s="35"/>
      <c r="AS471" s="35"/>
      <c r="AT471" s="30">
        <f t="shared" ca="1" si="56"/>
        <v>0</v>
      </c>
      <c r="AU471" s="32" t="str">
        <f t="shared" ca="1" si="55"/>
        <v/>
      </c>
      <c r="AV471" s="32" t="str" cm="1">
        <f t="array" aca="1" ref="AV471" ca="1">IFERROR(_xlfn.IFS($AU471="","",$AU471&lt;=15,"0-15",AND($AU471&gt;=16,$AU471&lt;=30),"16-30",AND($AU471&gt;=31,$AU471&lt;=45),"31-45",AND($AU471&gt;=46,$AU471&lt;=60),"46-60",AND($AU471&gt;=61,$AU471&lt;=90),"61-90",AND($AU471&gt;=91),"&gt; 90",AND($AU471&gt;=2000),""),"")</f>
        <v/>
      </c>
      <c r="AW471" s="32" t="str" cm="1">
        <f t="array" aca="1" ref="AW471" ca="1">IFERROR(_xlfn.IFS(OR($M471="",$AM471=""),"",OR($C471="Offered",$C471="Joined"),($AM471-$M471)-$AT471),"")</f>
        <v/>
      </c>
      <c r="AX471" s="32" t="str" cm="1">
        <f t="array" aca="1" ref="AX471" ca="1">IFERROR(_xlfn.IFS(OR($M471="",$AS471=""),"",$C471="Joined",($AS471-$M471)-$AT471),"")</f>
        <v/>
      </c>
      <c r="AY471" s="30" t="str">
        <f>IFERROR(IF(COUNTIFS('Candidate Tracker'!$E:$E,'Positions Tracker'!$B471,'Candidate Tracker'!$C:$C,"Offer Drop")=0,"",COUNTIFS('Candidate Tracker'!$E:$E,'Positions Tracker'!$B471,'Candidate Tracker'!$C:$C,"Offer Drop")),"")</f>
        <v/>
      </c>
      <c r="AZ4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1" s="34" t="str">
        <f>IFERROR(IF(COUNTIFS('Candidate Tracker'!$E:$E,'Positions Tracker'!$B471,'Candidate Tracker'!$I:$I,"Female")=0,"",COUNTIFS('Candidate Tracker'!$E:$E,'Positions Tracker'!$B471,'Candidate Tracker'!$I:$I,"Female")),"")</f>
        <v/>
      </c>
      <c r="BB471" s="34" t="str">
        <f>IFERROR(IF(COUNTIFS('Candidate Tracker'!$E:$E,'Positions Tracker'!$B471,'Candidate Tracker'!$I:$I,"male")=0,"",COUNTIFS('Candidate Tracker'!$E:$E,'Positions Tracker'!$B471,'Candidate Tracker'!$I:$I,"male")),"")</f>
        <v/>
      </c>
      <c r="BC471" s="33" t="str">
        <f>IFERROR(IF(COUNTIFS('Candidate Tracker'!$E:$E,'Positions Tracker'!$B471,'Candidate Tracker'!$C:$C,"&lt;&gt;WIP",'Candidate Tracker'!$C:$C,"&lt;&gt;Hold",'Candidate Tracker'!$C:$C,"&lt;&gt;Cancelled",'Candidate Tracker'!$C:$C,"&lt;&gt;Closed")/COUNTIFS('Candidate Tracker'!$E:$E,'Positions Tracker'!$B471)=0,"",COUNTIFS('Candidate Tracker'!$E:$E,'Positions Tracker'!$B471,'Candidate Tracker'!$C:$C,"&lt;&gt;WIP",'Candidate Tracker'!$C:$C,"&lt;&gt;Hold",'Candidate Tracker'!$C:$C,"&lt;&gt;Cancelled",'Candidate Tracker'!$C:$C,"&lt;&gt;Closed")/COUNTIFS('Candidate Tracker'!$E:$E,'Positions Tracker'!$B471)),"")</f>
        <v/>
      </c>
      <c r="BD471" s="30" t="str">
        <f t="shared" si="57"/>
        <v/>
      </c>
      <c r="BE471" s="30" t="str">
        <f t="shared" si="58"/>
        <v/>
      </c>
      <c r="BF471" s="30" t="str">
        <f t="shared" si="59"/>
        <v/>
      </c>
      <c r="BG471" s="30" t="str">
        <f t="shared" si="60"/>
        <v/>
      </c>
    </row>
    <row r="472" spans="1:59">
      <c r="A472" s="39"/>
      <c r="B472" s="39"/>
      <c r="C472" s="39"/>
      <c r="D472" s="39"/>
      <c r="E472" s="39"/>
      <c r="F472" s="39"/>
      <c r="G472" s="39"/>
      <c r="H472" s="39"/>
      <c r="I472" s="40"/>
      <c r="J472" s="40"/>
      <c r="K472" s="35"/>
      <c r="L472" s="35"/>
      <c r="M472" s="35"/>
      <c r="N472" s="39"/>
      <c r="O472" s="39"/>
      <c r="P472" s="39"/>
      <c r="Q472" s="39"/>
      <c r="R472" s="39"/>
      <c r="S472" s="39"/>
      <c r="T472" s="39"/>
      <c r="U472" s="39"/>
      <c r="V472" s="39"/>
      <c r="W472" s="39"/>
      <c r="X472" s="39"/>
      <c r="Y472" s="39"/>
      <c r="Z472" s="39"/>
      <c r="AA472" s="39"/>
      <c r="AB472" s="39"/>
      <c r="AC472" s="39"/>
      <c r="AD472" s="39"/>
      <c r="AE472" s="39"/>
      <c r="AF472" s="39"/>
      <c r="AG472" s="39"/>
      <c r="AH472" s="39"/>
      <c r="AI472" s="35"/>
      <c r="AJ472" s="39"/>
      <c r="AK472" s="39"/>
      <c r="AL472" s="39"/>
      <c r="AM472" s="35"/>
      <c r="AN472" s="35"/>
      <c r="AO472" s="39"/>
      <c r="AP472" s="39"/>
      <c r="AQ472" s="35"/>
      <c r="AR472" s="35"/>
      <c r="AS472" s="35"/>
      <c r="AT472" s="30">
        <f t="shared" ca="1" si="56"/>
        <v>0</v>
      </c>
      <c r="AU472" s="32" t="str">
        <f t="shared" ca="1" si="55"/>
        <v/>
      </c>
      <c r="AV472" s="32" t="str" cm="1">
        <f t="array" aca="1" ref="AV472" ca="1">IFERROR(_xlfn.IFS($AU472="","",$AU472&lt;=15,"0-15",AND($AU472&gt;=16,$AU472&lt;=30),"16-30",AND($AU472&gt;=31,$AU472&lt;=45),"31-45",AND($AU472&gt;=46,$AU472&lt;=60),"46-60",AND($AU472&gt;=61,$AU472&lt;=90),"61-90",AND($AU472&gt;=91),"&gt; 90",AND($AU472&gt;=2000),""),"")</f>
        <v/>
      </c>
      <c r="AW472" s="32" t="str" cm="1">
        <f t="array" aca="1" ref="AW472" ca="1">IFERROR(_xlfn.IFS(OR($M472="",$AM472=""),"",OR($C472="Offered",$C472="Joined"),($AM472-$M472)-$AT472),"")</f>
        <v/>
      </c>
      <c r="AX472" s="32" t="str" cm="1">
        <f t="array" aca="1" ref="AX472" ca="1">IFERROR(_xlfn.IFS(OR($M472="",$AS472=""),"",$C472="Joined",($AS472-$M472)-$AT472),"")</f>
        <v/>
      </c>
      <c r="AY472" s="30" t="str">
        <f>IFERROR(IF(COUNTIFS('Candidate Tracker'!$E:$E,'Positions Tracker'!$B472,'Candidate Tracker'!$C:$C,"Offer Drop")=0,"",COUNTIFS('Candidate Tracker'!$E:$E,'Positions Tracker'!$B472,'Candidate Tracker'!$C:$C,"Offer Drop")),"")</f>
        <v/>
      </c>
      <c r="AZ4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2" s="34" t="str">
        <f>IFERROR(IF(COUNTIFS('Candidate Tracker'!$E:$E,'Positions Tracker'!$B472,'Candidate Tracker'!$I:$I,"Female")=0,"",COUNTIFS('Candidate Tracker'!$E:$E,'Positions Tracker'!$B472,'Candidate Tracker'!$I:$I,"Female")),"")</f>
        <v/>
      </c>
      <c r="BB472" s="34" t="str">
        <f>IFERROR(IF(COUNTIFS('Candidate Tracker'!$E:$E,'Positions Tracker'!$B472,'Candidate Tracker'!$I:$I,"male")=0,"",COUNTIFS('Candidate Tracker'!$E:$E,'Positions Tracker'!$B472,'Candidate Tracker'!$I:$I,"male")),"")</f>
        <v/>
      </c>
      <c r="BC472" s="33" t="str">
        <f>IFERROR(IF(COUNTIFS('Candidate Tracker'!$E:$E,'Positions Tracker'!$B472,'Candidate Tracker'!$C:$C,"&lt;&gt;WIP",'Candidate Tracker'!$C:$C,"&lt;&gt;Hold",'Candidate Tracker'!$C:$C,"&lt;&gt;Cancelled",'Candidate Tracker'!$C:$C,"&lt;&gt;Closed")/COUNTIFS('Candidate Tracker'!$E:$E,'Positions Tracker'!$B472)=0,"",COUNTIFS('Candidate Tracker'!$E:$E,'Positions Tracker'!$B472,'Candidate Tracker'!$C:$C,"&lt;&gt;WIP",'Candidate Tracker'!$C:$C,"&lt;&gt;Hold",'Candidate Tracker'!$C:$C,"&lt;&gt;Cancelled",'Candidate Tracker'!$C:$C,"&lt;&gt;Closed")/COUNTIFS('Candidate Tracker'!$E:$E,'Positions Tracker'!$B472)),"")</f>
        <v/>
      </c>
      <c r="BD472" s="30" t="str">
        <f t="shared" si="57"/>
        <v/>
      </c>
      <c r="BE472" s="30" t="str">
        <f t="shared" si="58"/>
        <v/>
      </c>
      <c r="BF472" s="30" t="str">
        <f t="shared" si="59"/>
        <v/>
      </c>
      <c r="BG472" s="30" t="str">
        <f t="shared" si="60"/>
        <v/>
      </c>
    </row>
    <row r="473" spans="1:59">
      <c r="A473" s="39"/>
      <c r="B473" s="39"/>
      <c r="C473" s="39"/>
      <c r="D473" s="39"/>
      <c r="E473" s="39"/>
      <c r="F473" s="39"/>
      <c r="G473" s="39"/>
      <c r="H473" s="39"/>
      <c r="I473" s="40"/>
      <c r="J473" s="40"/>
      <c r="K473" s="35"/>
      <c r="L473" s="35"/>
      <c r="M473" s="35"/>
      <c r="N473" s="39"/>
      <c r="O473" s="39"/>
      <c r="P473" s="39"/>
      <c r="Q473" s="39"/>
      <c r="R473" s="39"/>
      <c r="S473" s="39"/>
      <c r="T473" s="39"/>
      <c r="U473" s="39"/>
      <c r="V473" s="39"/>
      <c r="W473" s="39"/>
      <c r="X473" s="39"/>
      <c r="Y473" s="39"/>
      <c r="Z473" s="39"/>
      <c r="AA473" s="39"/>
      <c r="AB473" s="39"/>
      <c r="AC473" s="39"/>
      <c r="AD473" s="39"/>
      <c r="AE473" s="39"/>
      <c r="AF473" s="39"/>
      <c r="AG473" s="39"/>
      <c r="AH473" s="39"/>
      <c r="AI473" s="35"/>
      <c r="AJ473" s="39"/>
      <c r="AK473" s="39"/>
      <c r="AL473" s="39"/>
      <c r="AM473" s="35"/>
      <c r="AN473" s="35"/>
      <c r="AO473" s="39"/>
      <c r="AP473" s="39"/>
      <c r="AQ473" s="35"/>
      <c r="AR473" s="35"/>
      <c r="AS473" s="35"/>
      <c r="AT473" s="30">
        <f t="shared" ca="1" si="56"/>
        <v>0</v>
      </c>
      <c r="AU473" s="32" t="str">
        <f t="shared" ca="1" si="55"/>
        <v/>
      </c>
      <c r="AV473" s="32" t="str" cm="1">
        <f t="array" aca="1" ref="AV473" ca="1">IFERROR(_xlfn.IFS($AU473="","",$AU473&lt;=15,"0-15",AND($AU473&gt;=16,$AU473&lt;=30),"16-30",AND($AU473&gt;=31,$AU473&lt;=45),"31-45",AND($AU473&gt;=46,$AU473&lt;=60),"46-60",AND($AU473&gt;=61,$AU473&lt;=90),"61-90",AND($AU473&gt;=91),"&gt; 90",AND($AU473&gt;=2000),""),"")</f>
        <v/>
      </c>
      <c r="AW473" s="32" t="str" cm="1">
        <f t="array" aca="1" ref="AW473" ca="1">IFERROR(_xlfn.IFS(OR($M473="",$AM473=""),"",OR($C473="Offered",$C473="Joined"),($AM473-$M473)-$AT473),"")</f>
        <v/>
      </c>
      <c r="AX473" s="32" t="str" cm="1">
        <f t="array" aca="1" ref="AX473" ca="1">IFERROR(_xlfn.IFS(OR($M473="",$AS473=""),"",$C473="Joined",($AS473-$M473)-$AT473),"")</f>
        <v/>
      </c>
      <c r="AY473" s="30" t="str">
        <f>IFERROR(IF(COUNTIFS('Candidate Tracker'!$E:$E,'Positions Tracker'!$B473,'Candidate Tracker'!$C:$C,"Offer Drop")=0,"",COUNTIFS('Candidate Tracker'!$E:$E,'Positions Tracker'!$B473,'Candidate Tracker'!$C:$C,"Offer Drop")),"")</f>
        <v/>
      </c>
      <c r="AZ4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3" s="34" t="str">
        <f>IFERROR(IF(COUNTIFS('Candidate Tracker'!$E:$E,'Positions Tracker'!$B473,'Candidate Tracker'!$I:$I,"Female")=0,"",COUNTIFS('Candidate Tracker'!$E:$E,'Positions Tracker'!$B473,'Candidate Tracker'!$I:$I,"Female")),"")</f>
        <v/>
      </c>
      <c r="BB473" s="34" t="str">
        <f>IFERROR(IF(COUNTIFS('Candidate Tracker'!$E:$E,'Positions Tracker'!$B473,'Candidate Tracker'!$I:$I,"male")=0,"",COUNTIFS('Candidate Tracker'!$E:$E,'Positions Tracker'!$B473,'Candidate Tracker'!$I:$I,"male")),"")</f>
        <v/>
      </c>
      <c r="BC473" s="33" t="str">
        <f>IFERROR(IF(COUNTIFS('Candidate Tracker'!$E:$E,'Positions Tracker'!$B473,'Candidate Tracker'!$C:$C,"&lt;&gt;WIP",'Candidate Tracker'!$C:$C,"&lt;&gt;Hold",'Candidate Tracker'!$C:$C,"&lt;&gt;Cancelled",'Candidate Tracker'!$C:$C,"&lt;&gt;Closed")/COUNTIFS('Candidate Tracker'!$E:$E,'Positions Tracker'!$B473)=0,"",COUNTIFS('Candidate Tracker'!$E:$E,'Positions Tracker'!$B473,'Candidate Tracker'!$C:$C,"&lt;&gt;WIP",'Candidate Tracker'!$C:$C,"&lt;&gt;Hold",'Candidate Tracker'!$C:$C,"&lt;&gt;Cancelled",'Candidate Tracker'!$C:$C,"&lt;&gt;Closed")/COUNTIFS('Candidate Tracker'!$E:$E,'Positions Tracker'!$B473)),"")</f>
        <v/>
      </c>
      <c r="BD473" s="30" t="str">
        <f t="shared" si="57"/>
        <v/>
      </c>
      <c r="BE473" s="30" t="str">
        <f t="shared" si="58"/>
        <v/>
      </c>
      <c r="BF473" s="30" t="str">
        <f t="shared" si="59"/>
        <v/>
      </c>
      <c r="BG473" s="30" t="str">
        <f t="shared" si="60"/>
        <v/>
      </c>
    </row>
    <row r="474" spans="1:59">
      <c r="A474" s="39"/>
      <c r="B474" s="39"/>
      <c r="C474" s="39"/>
      <c r="D474" s="39"/>
      <c r="E474" s="39"/>
      <c r="F474" s="39"/>
      <c r="G474" s="39"/>
      <c r="H474" s="39"/>
      <c r="I474" s="40"/>
      <c r="J474" s="40"/>
      <c r="K474" s="35"/>
      <c r="L474" s="35"/>
      <c r="M474" s="35"/>
      <c r="N474" s="39"/>
      <c r="O474" s="39"/>
      <c r="P474" s="39"/>
      <c r="Q474" s="39"/>
      <c r="R474" s="39"/>
      <c r="S474" s="39"/>
      <c r="T474" s="39"/>
      <c r="U474" s="39"/>
      <c r="V474" s="39"/>
      <c r="W474" s="39"/>
      <c r="X474" s="39"/>
      <c r="Y474" s="39"/>
      <c r="Z474" s="39"/>
      <c r="AA474" s="39"/>
      <c r="AB474" s="39"/>
      <c r="AC474" s="39"/>
      <c r="AD474" s="39"/>
      <c r="AE474" s="39"/>
      <c r="AF474" s="39"/>
      <c r="AG474" s="39"/>
      <c r="AH474" s="39"/>
      <c r="AI474" s="35"/>
      <c r="AJ474" s="39"/>
      <c r="AK474" s="39"/>
      <c r="AL474" s="39"/>
      <c r="AM474" s="35"/>
      <c r="AN474" s="35"/>
      <c r="AO474" s="39"/>
      <c r="AP474" s="39"/>
      <c r="AQ474" s="35"/>
      <c r="AR474" s="35"/>
      <c r="AS474" s="35"/>
      <c r="AT474" s="30">
        <f t="shared" ca="1" si="56"/>
        <v>0</v>
      </c>
      <c r="AU474" s="32" t="str">
        <f t="shared" ca="1" si="55"/>
        <v/>
      </c>
      <c r="AV474" s="32" t="str" cm="1">
        <f t="array" aca="1" ref="AV474" ca="1">IFERROR(_xlfn.IFS($AU474="","",$AU474&lt;=15,"0-15",AND($AU474&gt;=16,$AU474&lt;=30),"16-30",AND($AU474&gt;=31,$AU474&lt;=45),"31-45",AND($AU474&gt;=46,$AU474&lt;=60),"46-60",AND($AU474&gt;=61,$AU474&lt;=90),"61-90",AND($AU474&gt;=91),"&gt; 90",AND($AU474&gt;=2000),""),"")</f>
        <v/>
      </c>
      <c r="AW474" s="32" t="str" cm="1">
        <f t="array" aca="1" ref="AW474" ca="1">IFERROR(_xlfn.IFS(OR($M474="",$AM474=""),"",OR($C474="Offered",$C474="Joined"),($AM474-$M474)-$AT474),"")</f>
        <v/>
      </c>
      <c r="AX474" s="32" t="str" cm="1">
        <f t="array" aca="1" ref="AX474" ca="1">IFERROR(_xlfn.IFS(OR($M474="",$AS474=""),"",$C474="Joined",($AS474-$M474)-$AT474),"")</f>
        <v/>
      </c>
      <c r="AY474" s="30" t="str">
        <f>IFERROR(IF(COUNTIFS('Candidate Tracker'!$E:$E,'Positions Tracker'!$B474,'Candidate Tracker'!$C:$C,"Offer Drop")=0,"",COUNTIFS('Candidate Tracker'!$E:$E,'Positions Tracker'!$B474,'Candidate Tracker'!$C:$C,"Offer Drop")),"")</f>
        <v/>
      </c>
      <c r="AZ4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4" s="34" t="str">
        <f>IFERROR(IF(COUNTIFS('Candidate Tracker'!$E:$E,'Positions Tracker'!$B474,'Candidate Tracker'!$I:$I,"Female")=0,"",COUNTIFS('Candidate Tracker'!$E:$E,'Positions Tracker'!$B474,'Candidate Tracker'!$I:$I,"Female")),"")</f>
        <v/>
      </c>
      <c r="BB474" s="34" t="str">
        <f>IFERROR(IF(COUNTIFS('Candidate Tracker'!$E:$E,'Positions Tracker'!$B474,'Candidate Tracker'!$I:$I,"male")=0,"",COUNTIFS('Candidate Tracker'!$E:$E,'Positions Tracker'!$B474,'Candidate Tracker'!$I:$I,"male")),"")</f>
        <v/>
      </c>
      <c r="BC474" s="33" t="str">
        <f>IFERROR(IF(COUNTIFS('Candidate Tracker'!$E:$E,'Positions Tracker'!$B474,'Candidate Tracker'!$C:$C,"&lt;&gt;WIP",'Candidate Tracker'!$C:$C,"&lt;&gt;Hold",'Candidate Tracker'!$C:$C,"&lt;&gt;Cancelled",'Candidate Tracker'!$C:$C,"&lt;&gt;Closed")/COUNTIFS('Candidate Tracker'!$E:$E,'Positions Tracker'!$B474)=0,"",COUNTIFS('Candidate Tracker'!$E:$E,'Positions Tracker'!$B474,'Candidate Tracker'!$C:$C,"&lt;&gt;WIP",'Candidate Tracker'!$C:$C,"&lt;&gt;Hold",'Candidate Tracker'!$C:$C,"&lt;&gt;Cancelled",'Candidate Tracker'!$C:$C,"&lt;&gt;Closed")/COUNTIFS('Candidate Tracker'!$E:$E,'Positions Tracker'!$B474)),"")</f>
        <v/>
      </c>
      <c r="BD474" s="30" t="str">
        <f t="shared" si="57"/>
        <v/>
      </c>
      <c r="BE474" s="30" t="str">
        <f t="shared" si="58"/>
        <v/>
      </c>
      <c r="BF474" s="30" t="str">
        <f t="shared" si="59"/>
        <v/>
      </c>
      <c r="BG474" s="30" t="str">
        <f t="shared" si="60"/>
        <v/>
      </c>
    </row>
    <row r="475" spans="1:59">
      <c r="A475" s="39"/>
      <c r="B475" s="39"/>
      <c r="C475" s="39"/>
      <c r="D475" s="39"/>
      <c r="E475" s="39"/>
      <c r="F475" s="39"/>
      <c r="G475" s="39"/>
      <c r="H475" s="39"/>
      <c r="I475" s="40"/>
      <c r="J475" s="40"/>
      <c r="K475" s="35"/>
      <c r="L475" s="35"/>
      <c r="M475" s="35"/>
      <c r="N475" s="39"/>
      <c r="O475" s="39"/>
      <c r="P475" s="39"/>
      <c r="Q475" s="39"/>
      <c r="R475" s="39"/>
      <c r="S475" s="39"/>
      <c r="T475" s="39"/>
      <c r="U475" s="39"/>
      <c r="V475" s="39"/>
      <c r="W475" s="39"/>
      <c r="X475" s="39"/>
      <c r="Y475" s="39"/>
      <c r="Z475" s="39"/>
      <c r="AA475" s="39"/>
      <c r="AB475" s="39"/>
      <c r="AC475" s="39"/>
      <c r="AD475" s="39"/>
      <c r="AE475" s="39"/>
      <c r="AF475" s="39"/>
      <c r="AG475" s="39"/>
      <c r="AH475" s="39"/>
      <c r="AI475" s="35"/>
      <c r="AJ475" s="39"/>
      <c r="AK475" s="39"/>
      <c r="AL475" s="39"/>
      <c r="AM475" s="35"/>
      <c r="AN475" s="35"/>
      <c r="AO475" s="39"/>
      <c r="AP475" s="39"/>
      <c r="AQ475" s="35"/>
      <c r="AR475" s="35"/>
      <c r="AS475" s="35"/>
      <c r="AT475" s="30">
        <f t="shared" ca="1" si="56"/>
        <v>0</v>
      </c>
      <c r="AU475" s="32" t="str">
        <f t="shared" ca="1" si="55"/>
        <v/>
      </c>
      <c r="AV475" s="32" t="str" cm="1">
        <f t="array" aca="1" ref="AV475" ca="1">IFERROR(_xlfn.IFS($AU475="","",$AU475&lt;=15,"0-15",AND($AU475&gt;=16,$AU475&lt;=30),"16-30",AND($AU475&gt;=31,$AU475&lt;=45),"31-45",AND($AU475&gt;=46,$AU475&lt;=60),"46-60",AND($AU475&gt;=61,$AU475&lt;=90),"61-90",AND($AU475&gt;=91),"&gt; 90",AND($AU475&gt;=2000),""),"")</f>
        <v/>
      </c>
      <c r="AW475" s="32" t="str" cm="1">
        <f t="array" aca="1" ref="AW475" ca="1">IFERROR(_xlfn.IFS(OR($M475="",$AM475=""),"",OR($C475="Offered",$C475="Joined"),($AM475-$M475)-$AT475),"")</f>
        <v/>
      </c>
      <c r="AX475" s="32" t="str" cm="1">
        <f t="array" aca="1" ref="AX475" ca="1">IFERROR(_xlfn.IFS(OR($M475="",$AS475=""),"",$C475="Joined",($AS475-$M475)-$AT475),"")</f>
        <v/>
      </c>
      <c r="AY475" s="30" t="str">
        <f>IFERROR(IF(COUNTIFS('Candidate Tracker'!$E:$E,'Positions Tracker'!$B475,'Candidate Tracker'!$C:$C,"Offer Drop")=0,"",COUNTIFS('Candidate Tracker'!$E:$E,'Positions Tracker'!$B475,'Candidate Tracker'!$C:$C,"Offer Drop")),"")</f>
        <v/>
      </c>
      <c r="AZ4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5" s="34" t="str">
        <f>IFERROR(IF(COUNTIFS('Candidate Tracker'!$E:$E,'Positions Tracker'!$B475,'Candidate Tracker'!$I:$I,"Female")=0,"",COUNTIFS('Candidate Tracker'!$E:$E,'Positions Tracker'!$B475,'Candidate Tracker'!$I:$I,"Female")),"")</f>
        <v/>
      </c>
      <c r="BB475" s="34" t="str">
        <f>IFERROR(IF(COUNTIFS('Candidate Tracker'!$E:$E,'Positions Tracker'!$B475,'Candidate Tracker'!$I:$I,"male")=0,"",COUNTIFS('Candidate Tracker'!$E:$E,'Positions Tracker'!$B475,'Candidate Tracker'!$I:$I,"male")),"")</f>
        <v/>
      </c>
      <c r="BC475" s="33" t="str">
        <f>IFERROR(IF(COUNTIFS('Candidate Tracker'!$E:$E,'Positions Tracker'!$B475,'Candidate Tracker'!$C:$C,"&lt;&gt;WIP",'Candidate Tracker'!$C:$C,"&lt;&gt;Hold",'Candidate Tracker'!$C:$C,"&lt;&gt;Cancelled",'Candidate Tracker'!$C:$C,"&lt;&gt;Closed")/COUNTIFS('Candidate Tracker'!$E:$E,'Positions Tracker'!$B475)=0,"",COUNTIFS('Candidate Tracker'!$E:$E,'Positions Tracker'!$B475,'Candidate Tracker'!$C:$C,"&lt;&gt;WIP",'Candidate Tracker'!$C:$C,"&lt;&gt;Hold",'Candidate Tracker'!$C:$C,"&lt;&gt;Cancelled",'Candidate Tracker'!$C:$C,"&lt;&gt;Closed")/COUNTIFS('Candidate Tracker'!$E:$E,'Positions Tracker'!$B475)),"")</f>
        <v/>
      </c>
      <c r="BD475" s="30" t="str">
        <f t="shared" si="57"/>
        <v/>
      </c>
      <c r="BE475" s="30" t="str">
        <f t="shared" si="58"/>
        <v/>
      </c>
      <c r="BF475" s="30" t="str">
        <f t="shared" si="59"/>
        <v/>
      </c>
      <c r="BG475" s="30" t="str">
        <f t="shared" si="60"/>
        <v/>
      </c>
    </row>
    <row r="476" spans="1:59">
      <c r="A476" s="39"/>
      <c r="B476" s="39"/>
      <c r="C476" s="39"/>
      <c r="D476" s="39"/>
      <c r="E476" s="39"/>
      <c r="F476" s="39"/>
      <c r="G476" s="39"/>
      <c r="H476" s="39"/>
      <c r="I476" s="40"/>
      <c r="J476" s="40"/>
      <c r="K476" s="35"/>
      <c r="L476" s="35"/>
      <c r="M476" s="35"/>
      <c r="N476" s="39"/>
      <c r="O476" s="39"/>
      <c r="P476" s="39"/>
      <c r="Q476" s="39"/>
      <c r="R476" s="39"/>
      <c r="S476" s="39"/>
      <c r="T476" s="39"/>
      <c r="U476" s="39"/>
      <c r="V476" s="39"/>
      <c r="W476" s="39"/>
      <c r="X476" s="39"/>
      <c r="Y476" s="39"/>
      <c r="Z476" s="39"/>
      <c r="AA476" s="39"/>
      <c r="AB476" s="39"/>
      <c r="AC476" s="39"/>
      <c r="AD476" s="39"/>
      <c r="AE476" s="39"/>
      <c r="AF476" s="39"/>
      <c r="AG476" s="39"/>
      <c r="AH476" s="39"/>
      <c r="AI476" s="35"/>
      <c r="AJ476" s="39"/>
      <c r="AK476" s="39"/>
      <c r="AL476" s="39"/>
      <c r="AM476" s="35"/>
      <c r="AN476" s="35"/>
      <c r="AO476" s="39"/>
      <c r="AP476" s="39"/>
      <c r="AQ476" s="35"/>
      <c r="AR476" s="35"/>
      <c r="AS476" s="35"/>
      <c r="AT476" s="30">
        <f t="shared" ca="1" si="56"/>
        <v>0</v>
      </c>
      <c r="AU476" s="32" t="str">
        <f t="shared" ca="1" si="55"/>
        <v/>
      </c>
      <c r="AV476" s="32" t="str" cm="1">
        <f t="array" aca="1" ref="AV476" ca="1">IFERROR(_xlfn.IFS($AU476="","",$AU476&lt;=15,"0-15",AND($AU476&gt;=16,$AU476&lt;=30),"16-30",AND($AU476&gt;=31,$AU476&lt;=45),"31-45",AND($AU476&gt;=46,$AU476&lt;=60),"46-60",AND($AU476&gt;=61,$AU476&lt;=90),"61-90",AND($AU476&gt;=91),"&gt; 90",AND($AU476&gt;=2000),""),"")</f>
        <v/>
      </c>
      <c r="AW476" s="32" t="str" cm="1">
        <f t="array" aca="1" ref="AW476" ca="1">IFERROR(_xlfn.IFS(OR($M476="",$AM476=""),"",OR($C476="Offered",$C476="Joined"),($AM476-$M476)-$AT476),"")</f>
        <v/>
      </c>
      <c r="AX476" s="32" t="str" cm="1">
        <f t="array" aca="1" ref="AX476" ca="1">IFERROR(_xlfn.IFS(OR($M476="",$AS476=""),"",$C476="Joined",($AS476-$M476)-$AT476),"")</f>
        <v/>
      </c>
      <c r="AY476" s="30" t="str">
        <f>IFERROR(IF(COUNTIFS('Candidate Tracker'!$E:$E,'Positions Tracker'!$B476,'Candidate Tracker'!$C:$C,"Offer Drop")=0,"",COUNTIFS('Candidate Tracker'!$E:$E,'Positions Tracker'!$B476,'Candidate Tracker'!$C:$C,"Offer Drop")),"")</f>
        <v/>
      </c>
      <c r="AZ4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6" s="34" t="str">
        <f>IFERROR(IF(COUNTIFS('Candidate Tracker'!$E:$E,'Positions Tracker'!$B476,'Candidate Tracker'!$I:$I,"Female")=0,"",COUNTIFS('Candidate Tracker'!$E:$E,'Positions Tracker'!$B476,'Candidate Tracker'!$I:$I,"Female")),"")</f>
        <v/>
      </c>
      <c r="BB476" s="34" t="str">
        <f>IFERROR(IF(COUNTIFS('Candidate Tracker'!$E:$E,'Positions Tracker'!$B476,'Candidate Tracker'!$I:$I,"male")=0,"",COUNTIFS('Candidate Tracker'!$E:$E,'Positions Tracker'!$B476,'Candidate Tracker'!$I:$I,"male")),"")</f>
        <v/>
      </c>
      <c r="BC476" s="33" t="str">
        <f>IFERROR(IF(COUNTIFS('Candidate Tracker'!$E:$E,'Positions Tracker'!$B476,'Candidate Tracker'!$C:$C,"&lt;&gt;WIP",'Candidate Tracker'!$C:$C,"&lt;&gt;Hold",'Candidate Tracker'!$C:$C,"&lt;&gt;Cancelled",'Candidate Tracker'!$C:$C,"&lt;&gt;Closed")/COUNTIFS('Candidate Tracker'!$E:$E,'Positions Tracker'!$B476)=0,"",COUNTIFS('Candidate Tracker'!$E:$E,'Positions Tracker'!$B476,'Candidate Tracker'!$C:$C,"&lt;&gt;WIP",'Candidate Tracker'!$C:$C,"&lt;&gt;Hold",'Candidate Tracker'!$C:$C,"&lt;&gt;Cancelled",'Candidate Tracker'!$C:$C,"&lt;&gt;Closed")/COUNTIFS('Candidate Tracker'!$E:$E,'Positions Tracker'!$B476)),"")</f>
        <v/>
      </c>
      <c r="BD476" s="30" t="str">
        <f t="shared" si="57"/>
        <v/>
      </c>
      <c r="BE476" s="30" t="str">
        <f t="shared" si="58"/>
        <v/>
      </c>
      <c r="BF476" s="30" t="str">
        <f t="shared" si="59"/>
        <v/>
      </c>
      <c r="BG476" s="30" t="str">
        <f t="shared" si="60"/>
        <v/>
      </c>
    </row>
    <row r="477" spans="1:59">
      <c r="A477" s="39"/>
      <c r="B477" s="39"/>
      <c r="C477" s="39"/>
      <c r="D477" s="39"/>
      <c r="E477" s="39"/>
      <c r="F477" s="39"/>
      <c r="G477" s="39"/>
      <c r="H477" s="39"/>
      <c r="I477" s="40"/>
      <c r="J477" s="40"/>
      <c r="K477" s="35"/>
      <c r="L477" s="35"/>
      <c r="M477" s="35"/>
      <c r="N477" s="39"/>
      <c r="O477" s="39"/>
      <c r="P477" s="39"/>
      <c r="Q477" s="39"/>
      <c r="R477" s="39"/>
      <c r="S477" s="39"/>
      <c r="T477" s="39"/>
      <c r="U477" s="39"/>
      <c r="V477" s="39"/>
      <c r="W477" s="39"/>
      <c r="X477" s="39"/>
      <c r="Y477" s="39"/>
      <c r="Z477" s="39"/>
      <c r="AA477" s="39"/>
      <c r="AB477" s="39"/>
      <c r="AC477" s="39"/>
      <c r="AD477" s="39"/>
      <c r="AE477" s="39"/>
      <c r="AF477" s="39"/>
      <c r="AG477" s="39"/>
      <c r="AH477" s="39"/>
      <c r="AI477" s="35"/>
      <c r="AJ477" s="39"/>
      <c r="AK477" s="39"/>
      <c r="AL477" s="39"/>
      <c r="AM477" s="35"/>
      <c r="AN477" s="35"/>
      <c r="AO477" s="39"/>
      <c r="AP477" s="39"/>
      <c r="AQ477" s="35"/>
      <c r="AR477" s="35"/>
      <c r="AS477" s="35"/>
      <c r="AT477" s="30">
        <f t="shared" ca="1" si="56"/>
        <v>0</v>
      </c>
      <c r="AU477" s="32" t="str">
        <f t="shared" ca="1" si="55"/>
        <v/>
      </c>
      <c r="AV477" s="32" t="str" cm="1">
        <f t="array" aca="1" ref="AV477" ca="1">IFERROR(_xlfn.IFS($AU477="","",$AU477&lt;=15,"0-15",AND($AU477&gt;=16,$AU477&lt;=30),"16-30",AND($AU477&gt;=31,$AU477&lt;=45),"31-45",AND($AU477&gt;=46,$AU477&lt;=60),"46-60",AND($AU477&gt;=61,$AU477&lt;=90),"61-90",AND($AU477&gt;=91),"&gt; 90",AND($AU477&gt;=2000),""),"")</f>
        <v/>
      </c>
      <c r="AW477" s="32" t="str" cm="1">
        <f t="array" aca="1" ref="AW477" ca="1">IFERROR(_xlfn.IFS(OR($M477="",$AM477=""),"",OR($C477="Offered",$C477="Joined"),($AM477-$M477)-$AT477),"")</f>
        <v/>
      </c>
      <c r="AX477" s="32" t="str" cm="1">
        <f t="array" aca="1" ref="AX477" ca="1">IFERROR(_xlfn.IFS(OR($M477="",$AS477=""),"",$C477="Joined",($AS477-$M477)-$AT477),"")</f>
        <v/>
      </c>
      <c r="AY477" s="30" t="str">
        <f>IFERROR(IF(COUNTIFS('Candidate Tracker'!$E:$E,'Positions Tracker'!$B477,'Candidate Tracker'!$C:$C,"Offer Drop")=0,"",COUNTIFS('Candidate Tracker'!$E:$E,'Positions Tracker'!$B477,'Candidate Tracker'!$C:$C,"Offer Drop")),"")</f>
        <v/>
      </c>
      <c r="AZ4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7" s="34" t="str">
        <f>IFERROR(IF(COUNTIFS('Candidate Tracker'!$E:$E,'Positions Tracker'!$B477,'Candidate Tracker'!$I:$I,"Female")=0,"",COUNTIFS('Candidate Tracker'!$E:$E,'Positions Tracker'!$B477,'Candidate Tracker'!$I:$I,"Female")),"")</f>
        <v/>
      </c>
      <c r="BB477" s="34" t="str">
        <f>IFERROR(IF(COUNTIFS('Candidate Tracker'!$E:$E,'Positions Tracker'!$B477,'Candidate Tracker'!$I:$I,"male")=0,"",COUNTIFS('Candidate Tracker'!$E:$E,'Positions Tracker'!$B477,'Candidate Tracker'!$I:$I,"male")),"")</f>
        <v/>
      </c>
      <c r="BC477" s="33" t="str">
        <f>IFERROR(IF(COUNTIFS('Candidate Tracker'!$E:$E,'Positions Tracker'!$B477,'Candidate Tracker'!$C:$C,"&lt;&gt;WIP",'Candidate Tracker'!$C:$C,"&lt;&gt;Hold",'Candidate Tracker'!$C:$C,"&lt;&gt;Cancelled",'Candidate Tracker'!$C:$C,"&lt;&gt;Closed")/COUNTIFS('Candidate Tracker'!$E:$E,'Positions Tracker'!$B477)=0,"",COUNTIFS('Candidate Tracker'!$E:$E,'Positions Tracker'!$B477,'Candidate Tracker'!$C:$C,"&lt;&gt;WIP",'Candidate Tracker'!$C:$C,"&lt;&gt;Hold",'Candidate Tracker'!$C:$C,"&lt;&gt;Cancelled",'Candidate Tracker'!$C:$C,"&lt;&gt;Closed")/COUNTIFS('Candidate Tracker'!$E:$E,'Positions Tracker'!$B477)),"")</f>
        <v/>
      </c>
      <c r="BD477" s="30" t="str">
        <f t="shared" si="57"/>
        <v/>
      </c>
      <c r="BE477" s="30" t="str">
        <f t="shared" si="58"/>
        <v/>
      </c>
      <c r="BF477" s="30" t="str">
        <f t="shared" si="59"/>
        <v/>
      </c>
      <c r="BG477" s="30" t="str">
        <f t="shared" si="60"/>
        <v/>
      </c>
    </row>
    <row r="478" spans="1:59">
      <c r="A478" s="39"/>
      <c r="B478" s="39"/>
      <c r="C478" s="39"/>
      <c r="D478" s="39"/>
      <c r="E478" s="39"/>
      <c r="F478" s="39"/>
      <c r="G478" s="39"/>
      <c r="H478" s="39"/>
      <c r="I478" s="40"/>
      <c r="J478" s="40"/>
      <c r="K478" s="35"/>
      <c r="L478" s="35"/>
      <c r="M478" s="35"/>
      <c r="N478" s="39"/>
      <c r="O478" s="39"/>
      <c r="P478" s="39"/>
      <c r="Q478" s="39"/>
      <c r="R478" s="39"/>
      <c r="S478" s="39"/>
      <c r="T478" s="39"/>
      <c r="U478" s="39"/>
      <c r="V478" s="39"/>
      <c r="W478" s="39"/>
      <c r="X478" s="39"/>
      <c r="Y478" s="39"/>
      <c r="Z478" s="39"/>
      <c r="AA478" s="39"/>
      <c r="AB478" s="39"/>
      <c r="AC478" s="39"/>
      <c r="AD478" s="39"/>
      <c r="AE478" s="39"/>
      <c r="AF478" s="39"/>
      <c r="AG478" s="39"/>
      <c r="AH478" s="39"/>
      <c r="AI478" s="35"/>
      <c r="AJ478" s="39"/>
      <c r="AK478" s="39"/>
      <c r="AL478" s="39"/>
      <c r="AM478" s="35"/>
      <c r="AN478" s="35"/>
      <c r="AO478" s="39"/>
      <c r="AP478" s="39"/>
      <c r="AQ478" s="35"/>
      <c r="AR478" s="35"/>
      <c r="AS478" s="35"/>
      <c r="AT478" s="30">
        <f t="shared" ca="1" si="56"/>
        <v>0</v>
      </c>
      <c r="AU478" s="32" t="str">
        <f t="shared" ca="1" si="55"/>
        <v/>
      </c>
      <c r="AV478" s="32" t="str" cm="1">
        <f t="array" aca="1" ref="AV478" ca="1">IFERROR(_xlfn.IFS($AU478="","",$AU478&lt;=15,"0-15",AND($AU478&gt;=16,$AU478&lt;=30),"16-30",AND($AU478&gt;=31,$AU478&lt;=45),"31-45",AND($AU478&gt;=46,$AU478&lt;=60),"46-60",AND($AU478&gt;=61,$AU478&lt;=90),"61-90",AND($AU478&gt;=91),"&gt; 90",AND($AU478&gt;=2000),""),"")</f>
        <v/>
      </c>
      <c r="AW478" s="32" t="str" cm="1">
        <f t="array" aca="1" ref="AW478" ca="1">IFERROR(_xlfn.IFS(OR($M478="",$AM478=""),"",OR($C478="Offered",$C478="Joined"),($AM478-$M478)-$AT478),"")</f>
        <v/>
      </c>
      <c r="AX478" s="32" t="str" cm="1">
        <f t="array" aca="1" ref="AX478" ca="1">IFERROR(_xlfn.IFS(OR($M478="",$AS478=""),"",$C478="Joined",($AS478-$M478)-$AT478),"")</f>
        <v/>
      </c>
      <c r="AY478" s="30" t="str">
        <f>IFERROR(IF(COUNTIFS('Candidate Tracker'!$E:$E,'Positions Tracker'!$B478,'Candidate Tracker'!$C:$C,"Offer Drop")=0,"",COUNTIFS('Candidate Tracker'!$E:$E,'Positions Tracker'!$B478,'Candidate Tracker'!$C:$C,"Offer Drop")),"")</f>
        <v/>
      </c>
      <c r="AZ4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8" s="34" t="str">
        <f>IFERROR(IF(COUNTIFS('Candidate Tracker'!$E:$E,'Positions Tracker'!$B478,'Candidate Tracker'!$I:$I,"Female")=0,"",COUNTIFS('Candidate Tracker'!$E:$E,'Positions Tracker'!$B478,'Candidate Tracker'!$I:$I,"Female")),"")</f>
        <v/>
      </c>
      <c r="BB478" s="34" t="str">
        <f>IFERROR(IF(COUNTIFS('Candidate Tracker'!$E:$E,'Positions Tracker'!$B478,'Candidate Tracker'!$I:$I,"male")=0,"",COUNTIFS('Candidate Tracker'!$E:$E,'Positions Tracker'!$B478,'Candidate Tracker'!$I:$I,"male")),"")</f>
        <v/>
      </c>
      <c r="BC478" s="33" t="str">
        <f>IFERROR(IF(COUNTIFS('Candidate Tracker'!$E:$E,'Positions Tracker'!$B478,'Candidate Tracker'!$C:$C,"&lt;&gt;WIP",'Candidate Tracker'!$C:$C,"&lt;&gt;Hold",'Candidate Tracker'!$C:$C,"&lt;&gt;Cancelled",'Candidate Tracker'!$C:$C,"&lt;&gt;Closed")/COUNTIFS('Candidate Tracker'!$E:$E,'Positions Tracker'!$B478)=0,"",COUNTIFS('Candidate Tracker'!$E:$E,'Positions Tracker'!$B478,'Candidate Tracker'!$C:$C,"&lt;&gt;WIP",'Candidate Tracker'!$C:$C,"&lt;&gt;Hold",'Candidate Tracker'!$C:$C,"&lt;&gt;Cancelled",'Candidate Tracker'!$C:$C,"&lt;&gt;Closed")/COUNTIFS('Candidate Tracker'!$E:$E,'Positions Tracker'!$B478)),"")</f>
        <v/>
      </c>
      <c r="BD478" s="30" t="str">
        <f t="shared" si="57"/>
        <v/>
      </c>
      <c r="BE478" s="30" t="str">
        <f t="shared" si="58"/>
        <v/>
      </c>
      <c r="BF478" s="30" t="str">
        <f t="shared" si="59"/>
        <v/>
      </c>
      <c r="BG478" s="30" t="str">
        <f t="shared" si="60"/>
        <v/>
      </c>
    </row>
    <row r="479" spans="1:59">
      <c r="A479" s="39"/>
      <c r="B479" s="39"/>
      <c r="C479" s="39"/>
      <c r="D479" s="39"/>
      <c r="E479" s="39"/>
      <c r="F479" s="39"/>
      <c r="G479" s="39"/>
      <c r="H479" s="39"/>
      <c r="I479" s="40"/>
      <c r="J479" s="40"/>
      <c r="K479" s="35"/>
      <c r="L479" s="35"/>
      <c r="M479" s="35"/>
      <c r="N479" s="39"/>
      <c r="O479" s="39"/>
      <c r="P479" s="39"/>
      <c r="Q479" s="39"/>
      <c r="R479" s="39"/>
      <c r="S479" s="39"/>
      <c r="T479" s="39"/>
      <c r="U479" s="39"/>
      <c r="V479" s="39"/>
      <c r="W479" s="39"/>
      <c r="X479" s="39"/>
      <c r="Y479" s="39"/>
      <c r="Z479" s="39"/>
      <c r="AA479" s="39"/>
      <c r="AB479" s="39"/>
      <c r="AC479" s="39"/>
      <c r="AD479" s="39"/>
      <c r="AE479" s="39"/>
      <c r="AF479" s="39"/>
      <c r="AG479" s="39"/>
      <c r="AH479" s="39"/>
      <c r="AI479" s="35"/>
      <c r="AJ479" s="39"/>
      <c r="AK479" s="39"/>
      <c r="AL479" s="39"/>
      <c r="AM479" s="35"/>
      <c r="AN479" s="35"/>
      <c r="AO479" s="39"/>
      <c r="AP479" s="39"/>
      <c r="AQ479" s="35"/>
      <c r="AR479" s="35"/>
      <c r="AS479" s="35"/>
      <c r="AT479" s="30">
        <f t="shared" ca="1" si="56"/>
        <v>0</v>
      </c>
      <c r="AU479" s="32" t="str">
        <f t="shared" ca="1" si="55"/>
        <v/>
      </c>
      <c r="AV479" s="32" t="str" cm="1">
        <f t="array" aca="1" ref="AV479" ca="1">IFERROR(_xlfn.IFS($AU479="","",$AU479&lt;=15,"0-15",AND($AU479&gt;=16,$AU479&lt;=30),"16-30",AND($AU479&gt;=31,$AU479&lt;=45),"31-45",AND($AU479&gt;=46,$AU479&lt;=60),"46-60",AND($AU479&gt;=61,$AU479&lt;=90),"61-90",AND($AU479&gt;=91),"&gt; 90",AND($AU479&gt;=2000),""),"")</f>
        <v/>
      </c>
      <c r="AW479" s="32" t="str" cm="1">
        <f t="array" aca="1" ref="AW479" ca="1">IFERROR(_xlfn.IFS(OR($M479="",$AM479=""),"",OR($C479="Offered",$C479="Joined"),($AM479-$M479)-$AT479),"")</f>
        <v/>
      </c>
      <c r="AX479" s="32" t="str" cm="1">
        <f t="array" aca="1" ref="AX479" ca="1">IFERROR(_xlfn.IFS(OR($M479="",$AS479=""),"",$C479="Joined",($AS479-$M479)-$AT479),"")</f>
        <v/>
      </c>
      <c r="AY479" s="30" t="str">
        <f>IFERROR(IF(COUNTIFS('Candidate Tracker'!$E:$E,'Positions Tracker'!$B479,'Candidate Tracker'!$C:$C,"Offer Drop")=0,"",COUNTIFS('Candidate Tracker'!$E:$E,'Positions Tracker'!$B479,'Candidate Tracker'!$C:$C,"Offer Drop")),"")</f>
        <v/>
      </c>
      <c r="AZ4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79" s="34" t="str">
        <f>IFERROR(IF(COUNTIFS('Candidate Tracker'!$E:$E,'Positions Tracker'!$B479,'Candidate Tracker'!$I:$I,"Female")=0,"",COUNTIFS('Candidate Tracker'!$E:$E,'Positions Tracker'!$B479,'Candidate Tracker'!$I:$I,"Female")),"")</f>
        <v/>
      </c>
      <c r="BB479" s="34" t="str">
        <f>IFERROR(IF(COUNTIFS('Candidate Tracker'!$E:$E,'Positions Tracker'!$B479,'Candidate Tracker'!$I:$I,"male")=0,"",COUNTIFS('Candidate Tracker'!$E:$E,'Positions Tracker'!$B479,'Candidate Tracker'!$I:$I,"male")),"")</f>
        <v/>
      </c>
      <c r="BC479" s="33" t="str">
        <f>IFERROR(IF(COUNTIFS('Candidate Tracker'!$E:$E,'Positions Tracker'!$B479,'Candidate Tracker'!$C:$C,"&lt;&gt;WIP",'Candidate Tracker'!$C:$C,"&lt;&gt;Hold",'Candidate Tracker'!$C:$C,"&lt;&gt;Cancelled",'Candidate Tracker'!$C:$C,"&lt;&gt;Closed")/COUNTIFS('Candidate Tracker'!$E:$E,'Positions Tracker'!$B479)=0,"",COUNTIFS('Candidate Tracker'!$E:$E,'Positions Tracker'!$B479,'Candidate Tracker'!$C:$C,"&lt;&gt;WIP",'Candidate Tracker'!$C:$C,"&lt;&gt;Hold",'Candidate Tracker'!$C:$C,"&lt;&gt;Cancelled",'Candidate Tracker'!$C:$C,"&lt;&gt;Closed")/COUNTIFS('Candidate Tracker'!$E:$E,'Positions Tracker'!$B479)),"")</f>
        <v/>
      </c>
      <c r="BD479" s="30" t="str">
        <f t="shared" si="57"/>
        <v/>
      </c>
      <c r="BE479" s="30" t="str">
        <f t="shared" si="58"/>
        <v/>
      </c>
      <c r="BF479" s="30" t="str">
        <f t="shared" si="59"/>
        <v/>
      </c>
      <c r="BG479" s="30" t="str">
        <f t="shared" si="60"/>
        <v/>
      </c>
    </row>
    <row r="480" spans="1:59">
      <c r="A480" s="39"/>
      <c r="B480" s="39"/>
      <c r="C480" s="39"/>
      <c r="D480" s="39"/>
      <c r="E480" s="39"/>
      <c r="F480" s="39"/>
      <c r="G480" s="39"/>
      <c r="H480" s="39"/>
      <c r="I480" s="40"/>
      <c r="J480" s="40"/>
      <c r="K480" s="35"/>
      <c r="L480" s="35"/>
      <c r="M480" s="35"/>
      <c r="N480" s="39"/>
      <c r="O480" s="39"/>
      <c r="P480" s="39"/>
      <c r="Q480" s="39"/>
      <c r="R480" s="39"/>
      <c r="S480" s="39"/>
      <c r="T480" s="39"/>
      <c r="U480" s="39"/>
      <c r="V480" s="39"/>
      <c r="W480" s="39"/>
      <c r="X480" s="39"/>
      <c r="Y480" s="39"/>
      <c r="Z480" s="39"/>
      <c r="AA480" s="39"/>
      <c r="AB480" s="39"/>
      <c r="AC480" s="39"/>
      <c r="AD480" s="39"/>
      <c r="AE480" s="39"/>
      <c r="AF480" s="39"/>
      <c r="AG480" s="39"/>
      <c r="AH480" s="39"/>
      <c r="AI480" s="35"/>
      <c r="AJ480" s="39"/>
      <c r="AK480" s="39"/>
      <c r="AL480" s="39"/>
      <c r="AM480" s="35"/>
      <c r="AN480" s="35"/>
      <c r="AO480" s="39"/>
      <c r="AP480" s="39"/>
      <c r="AQ480" s="35"/>
      <c r="AR480" s="35"/>
      <c r="AS480" s="35"/>
      <c r="AT480" s="30">
        <f t="shared" ca="1" si="56"/>
        <v>0</v>
      </c>
      <c r="AU480" s="32" t="str">
        <f t="shared" ca="1" si="55"/>
        <v/>
      </c>
      <c r="AV480" s="32" t="str" cm="1">
        <f t="array" aca="1" ref="AV480" ca="1">IFERROR(_xlfn.IFS($AU480="","",$AU480&lt;=15,"0-15",AND($AU480&gt;=16,$AU480&lt;=30),"16-30",AND($AU480&gt;=31,$AU480&lt;=45),"31-45",AND($AU480&gt;=46,$AU480&lt;=60),"46-60",AND($AU480&gt;=61,$AU480&lt;=90),"61-90",AND($AU480&gt;=91),"&gt; 90",AND($AU480&gt;=2000),""),"")</f>
        <v/>
      </c>
      <c r="AW480" s="32" t="str" cm="1">
        <f t="array" aca="1" ref="AW480" ca="1">IFERROR(_xlfn.IFS(OR($M480="",$AM480=""),"",OR($C480="Offered",$C480="Joined"),($AM480-$M480)-$AT480),"")</f>
        <v/>
      </c>
      <c r="AX480" s="32" t="str" cm="1">
        <f t="array" aca="1" ref="AX480" ca="1">IFERROR(_xlfn.IFS(OR($M480="",$AS480=""),"",$C480="Joined",($AS480-$M480)-$AT480),"")</f>
        <v/>
      </c>
      <c r="AY480" s="30" t="str">
        <f>IFERROR(IF(COUNTIFS('Candidate Tracker'!$E:$E,'Positions Tracker'!$B480,'Candidate Tracker'!$C:$C,"Offer Drop")=0,"",COUNTIFS('Candidate Tracker'!$E:$E,'Positions Tracker'!$B480,'Candidate Tracker'!$C:$C,"Offer Drop")),"")</f>
        <v/>
      </c>
      <c r="AZ4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0" s="34" t="str">
        <f>IFERROR(IF(COUNTIFS('Candidate Tracker'!$E:$E,'Positions Tracker'!$B480,'Candidate Tracker'!$I:$I,"Female")=0,"",COUNTIFS('Candidate Tracker'!$E:$E,'Positions Tracker'!$B480,'Candidate Tracker'!$I:$I,"Female")),"")</f>
        <v/>
      </c>
      <c r="BB480" s="34" t="str">
        <f>IFERROR(IF(COUNTIFS('Candidate Tracker'!$E:$E,'Positions Tracker'!$B480,'Candidate Tracker'!$I:$I,"male")=0,"",COUNTIFS('Candidate Tracker'!$E:$E,'Positions Tracker'!$B480,'Candidate Tracker'!$I:$I,"male")),"")</f>
        <v/>
      </c>
      <c r="BC480" s="33" t="str">
        <f>IFERROR(IF(COUNTIFS('Candidate Tracker'!$E:$E,'Positions Tracker'!$B480,'Candidate Tracker'!$C:$C,"&lt;&gt;WIP",'Candidate Tracker'!$C:$C,"&lt;&gt;Hold",'Candidate Tracker'!$C:$C,"&lt;&gt;Cancelled",'Candidate Tracker'!$C:$C,"&lt;&gt;Closed")/COUNTIFS('Candidate Tracker'!$E:$E,'Positions Tracker'!$B480)=0,"",COUNTIFS('Candidate Tracker'!$E:$E,'Positions Tracker'!$B480,'Candidate Tracker'!$C:$C,"&lt;&gt;WIP",'Candidate Tracker'!$C:$C,"&lt;&gt;Hold",'Candidate Tracker'!$C:$C,"&lt;&gt;Cancelled",'Candidate Tracker'!$C:$C,"&lt;&gt;Closed")/COUNTIFS('Candidate Tracker'!$E:$E,'Positions Tracker'!$B480)),"")</f>
        <v/>
      </c>
      <c r="BD480" s="30" t="str">
        <f t="shared" si="57"/>
        <v/>
      </c>
      <c r="BE480" s="30" t="str">
        <f t="shared" si="58"/>
        <v/>
      </c>
      <c r="BF480" s="30" t="str">
        <f t="shared" si="59"/>
        <v/>
      </c>
      <c r="BG480" s="30" t="str">
        <f t="shared" si="60"/>
        <v/>
      </c>
    </row>
    <row r="481" spans="1:59">
      <c r="A481" s="39"/>
      <c r="B481" s="39"/>
      <c r="C481" s="39"/>
      <c r="D481" s="39"/>
      <c r="E481" s="39"/>
      <c r="F481" s="39"/>
      <c r="G481" s="39"/>
      <c r="H481" s="39"/>
      <c r="I481" s="40"/>
      <c r="J481" s="40"/>
      <c r="K481" s="35"/>
      <c r="L481" s="35"/>
      <c r="M481" s="35"/>
      <c r="N481" s="39"/>
      <c r="O481" s="39"/>
      <c r="P481" s="39"/>
      <c r="Q481" s="39"/>
      <c r="R481" s="39"/>
      <c r="S481" s="39"/>
      <c r="T481" s="39"/>
      <c r="U481" s="39"/>
      <c r="V481" s="39"/>
      <c r="W481" s="39"/>
      <c r="X481" s="39"/>
      <c r="Y481" s="39"/>
      <c r="Z481" s="39"/>
      <c r="AA481" s="39"/>
      <c r="AB481" s="39"/>
      <c r="AC481" s="39"/>
      <c r="AD481" s="39"/>
      <c r="AE481" s="39"/>
      <c r="AF481" s="39"/>
      <c r="AG481" s="39"/>
      <c r="AH481" s="39"/>
      <c r="AI481" s="35"/>
      <c r="AJ481" s="39"/>
      <c r="AK481" s="39"/>
      <c r="AL481" s="39"/>
      <c r="AM481" s="35"/>
      <c r="AN481" s="35"/>
      <c r="AO481" s="39"/>
      <c r="AP481" s="39"/>
      <c r="AQ481" s="35"/>
      <c r="AR481" s="35"/>
      <c r="AS481" s="35"/>
      <c r="AT481" s="30">
        <f t="shared" ca="1" si="56"/>
        <v>0</v>
      </c>
      <c r="AU481" s="32" t="str">
        <f t="shared" ca="1" si="55"/>
        <v/>
      </c>
      <c r="AV481" s="32" t="str" cm="1">
        <f t="array" aca="1" ref="AV481" ca="1">IFERROR(_xlfn.IFS($AU481="","",$AU481&lt;=15,"0-15",AND($AU481&gt;=16,$AU481&lt;=30),"16-30",AND($AU481&gt;=31,$AU481&lt;=45),"31-45",AND($AU481&gt;=46,$AU481&lt;=60),"46-60",AND($AU481&gt;=61,$AU481&lt;=90),"61-90",AND($AU481&gt;=91),"&gt; 90",AND($AU481&gt;=2000),""),"")</f>
        <v/>
      </c>
      <c r="AW481" s="32" t="str" cm="1">
        <f t="array" aca="1" ref="AW481" ca="1">IFERROR(_xlfn.IFS(OR($M481="",$AM481=""),"",OR($C481="Offered",$C481="Joined"),($AM481-$M481)-$AT481),"")</f>
        <v/>
      </c>
      <c r="AX481" s="32" t="str" cm="1">
        <f t="array" aca="1" ref="AX481" ca="1">IFERROR(_xlfn.IFS(OR($M481="",$AS481=""),"",$C481="Joined",($AS481-$M481)-$AT481),"")</f>
        <v/>
      </c>
      <c r="AY481" s="30" t="str">
        <f>IFERROR(IF(COUNTIFS('Candidate Tracker'!$E:$E,'Positions Tracker'!$B481,'Candidate Tracker'!$C:$C,"Offer Drop")=0,"",COUNTIFS('Candidate Tracker'!$E:$E,'Positions Tracker'!$B481,'Candidate Tracker'!$C:$C,"Offer Drop")),"")</f>
        <v/>
      </c>
      <c r="AZ4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1" s="34" t="str">
        <f>IFERROR(IF(COUNTIFS('Candidate Tracker'!$E:$E,'Positions Tracker'!$B481,'Candidate Tracker'!$I:$I,"Female")=0,"",COUNTIFS('Candidate Tracker'!$E:$E,'Positions Tracker'!$B481,'Candidate Tracker'!$I:$I,"Female")),"")</f>
        <v/>
      </c>
      <c r="BB481" s="34" t="str">
        <f>IFERROR(IF(COUNTIFS('Candidate Tracker'!$E:$E,'Positions Tracker'!$B481,'Candidate Tracker'!$I:$I,"male")=0,"",COUNTIFS('Candidate Tracker'!$E:$E,'Positions Tracker'!$B481,'Candidate Tracker'!$I:$I,"male")),"")</f>
        <v/>
      </c>
      <c r="BC481" s="33" t="str">
        <f>IFERROR(IF(COUNTIFS('Candidate Tracker'!$E:$E,'Positions Tracker'!$B481,'Candidate Tracker'!$C:$C,"&lt;&gt;WIP",'Candidate Tracker'!$C:$C,"&lt;&gt;Hold",'Candidate Tracker'!$C:$C,"&lt;&gt;Cancelled",'Candidate Tracker'!$C:$C,"&lt;&gt;Closed")/COUNTIFS('Candidate Tracker'!$E:$E,'Positions Tracker'!$B481)=0,"",COUNTIFS('Candidate Tracker'!$E:$E,'Positions Tracker'!$B481,'Candidate Tracker'!$C:$C,"&lt;&gt;WIP",'Candidate Tracker'!$C:$C,"&lt;&gt;Hold",'Candidate Tracker'!$C:$C,"&lt;&gt;Cancelled",'Candidate Tracker'!$C:$C,"&lt;&gt;Closed")/COUNTIFS('Candidate Tracker'!$E:$E,'Positions Tracker'!$B481)),"")</f>
        <v/>
      </c>
      <c r="BD481" s="30" t="str">
        <f t="shared" si="57"/>
        <v/>
      </c>
      <c r="BE481" s="30" t="str">
        <f t="shared" si="58"/>
        <v/>
      </c>
      <c r="BF481" s="30" t="str">
        <f t="shared" si="59"/>
        <v/>
      </c>
      <c r="BG481" s="30" t="str">
        <f t="shared" si="60"/>
        <v/>
      </c>
    </row>
    <row r="482" spans="1:59">
      <c r="A482" s="39"/>
      <c r="B482" s="39"/>
      <c r="C482" s="39"/>
      <c r="D482" s="39"/>
      <c r="E482" s="39"/>
      <c r="F482" s="39"/>
      <c r="G482" s="39"/>
      <c r="H482" s="39"/>
      <c r="I482" s="40"/>
      <c r="J482" s="40"/>
      <c r="K482" s="35"/>
      <c r="L482" s="35"/>
      <c r="M482" s="35"/>
      <c r="N482" s="39"/>
      <c r="O482" s="39"/>
      <c r="P482" s="39"/>
      <c r="Q482" s="39"/>
      <c r="R482" s="39"/>
      <c r="S482" s="39"/>
      <c r="T482" s="39"/>
      <c r="U482" s="39"/>
      <c r="V482" s="39"/>
      <c r="W482" s="39"/>
      <c r="X482" s="39"/>
      <c r="Y482" s="39"/>
      <c r="Z482" s="39"/>
      <c r="AA482" s="39"/>
      <c r="AB482" s="39"/>
      <c r="AC482" s="39"/>
      <c r="AD482" s="39"/>
      <c r="AE482" s="39"/>
      <c r="AF482" s="39"/>
      <c r="AG482" s="39"/>
      <c r="AH482" s="39"/>
      <c r="AI482" s="35"/>
      <c r="AJ482" s="39"/>
      <c r="AK482" s="39"/>
      <c r="AL482" s="39"/>
      <c r="AM482" s="35"/>
      <c r="AN482" s="35"/>
      <c r="AO482" s="39"/>
      <c r="AP482" s="39"/>
      <c r="AQ482" s="35"/>
      <c r="AR482" s="35"/>
      <c r="AS482" s="35"/>
      <c r="AT482" s="30">
        <f t="shared" ca="1" si="56"/>
        <v>0</v>
      </c>
      <c r="AU482" s="32" t="str">
        <f t="shared" ca="1" si="55"/>
        <v/>
      </c>
      <c r="AV482" s="32" t="str" cm="1">
        <f t="array" aca="1" ref="AV482" ca="1">IFERROR(_xlfn.IFS($AU482="","",$AU482&lt;=15,"0-15",AND($AU482&gt;=16,$AU482&lt;=30),"16-30",AND($AU482&gt;=31,$AU482&lt;=45),"31-45",AND($AU482&gt;=46,$AU482&lt;=60),"46-60",AND($AU482&gt;=61,$AU482&lt;=90),"61-90",AND($AU482&gt;=91),"&gt; 90",AND($AU482&gt;=2000),""),"")</f>
        <v/>
      </c>
      <c r="AW482" s="32" t="str" cm="1">
        <f t="array" aca="1" ref="AW482" ca="1">IFERROR(_xlfn.IFS(OR($M482="",$AM482=""),"",OR($C482="Offered",$C482="Joined"),($AM482-$M482)-$AT482),"")</f>
        <v/>
      </c>
      <c r="AX482" s="32" t="str" cm="1">
        <f t="array" aca="1" ref="AX482" ca="1">IFERROR(_xlfn.IFS(OR($M482="",$AS482=""),"",$C482="Joined",($AS482-$M482)-$AT482),"")</f>
        <v/>
      </c>
      <c r="AY482" s="30" t="str">
        <f>IFERROR(IF(COUNTIFS('Candidate Tracker'!$E:$E,'Positions Tracker'!$B482,'Candidate Tracker'!$C:$C,"Offer Drop")=0,"",COUNTIFS('Candidate Tracker'!$E:$E,'Positions Tracker'!$B482,'Candidate Tracker'!$C:$C,"Offer Drop")),"")</f>
        <v/>
      </c>
      <c r="AZ4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2" s="34" t="str">
        <f>IFERROR(IF(COUNTIFS('Candidate Tracker'!$E:$E,'Positions Tracker'!$B482,'Candidate Tracker'!$I:$I,"Female")=0,"",COUNTIFS('Candidate Tracker'!$E:$E,'Positions Tracker'!$B482,'Candidate Tracker'!$I:$I,"Female")),"")</f>
        <v/>
      </c>
      <c r="BB482" s="34" t="str">
        <f>IFERROR(IF(COUNTIFS('Candidate Tracker'!$E:$E,'Positions Tracker'!$B482,'Candidate Tracker'!$I:$I,"male")=0,"",COUNTIFS('Candidate Tracker'!$E:$E,'Positions Tracker'!$B482,'Candidate Tracker'!$I:$I,"male")),"")</f>
        <v/>
      </c>
      <c r="BC482" s="33" t="str">
        <f>IFERROR(IF(COUNTIFS('Candidate Tracker'!$E:$E,'Positions Tracker'!$B482,'Candidate Tracker'!$C:$C,"&lt;&gt;WIP",'Candidate Tracker'!$C:$C,"&lt;&gt;Hold",'Candidate Tracker'!$C:$C,"&lt;&gt;Cancelled",'Candidate Tracker'!$C:$C,"&lt;&gt;Closed")/COUNTIFS('Candidate Tracker'!$E:$E,'Positions Tracker'!$B482)=0,"",COUNTIFS('Candidate Tracker'!$E:$E,'Positions Tracker'!$B482,'Candidate Tracker'!$C:$C,"&lt;&gt;WIP",'Candidate Tracker'!$C:$C,"&lt;&gt;Hold",'Candidate Tracker'!$C:$C,"&lt;&gt;Cancelled",'Candidate Tracker'!$C:$C,"&lt;&gt;Closed")/COUNTIFS('Candidate Tracker'!$E:$E,'Positions Tracker'!$B482)),"")</f>
        <v/>
      </c>
      <c r="BD482" s="30" t="str">
        <f t="shared" si="57"/>
        <v/>
      </c>
      <c r="BE482" s="30" t="str">
        <f t="shared" si="58"/>
        <v/>
      </c>
      <c r="BF482" s="30" t="str">
        <f t="shared" si="59"/>
        <v/>
      </c>
      <c r="BG482" s="30" t="str">
        <f t="shared" si="60"/>
        <v/>
      </c>
    </row>
    <row r="483" spans="1:59">
      <c r="A483" s="39"/>
      <c r="B483" s="39"/>
      <c r="C483" s="39"/>
      <c r="D483" s="39"/>
      <c r="E483" s="39"/>
      <c r="F483" s="39"/>
      <c r="G483" s="39"/>
      <c r="H483" s="39"/>
      <c r="I483" s="40"/>
      <c r="J483" s="40"/>
      <c r="K483" s="35"/>
      <c r="L483" s="35"/>
      <c r="M483" s="35"/>
      <c r="N483" s="39"/>
      <c r="O483" s="39"/>
      <c r="P483" s="39"/>
      <c r="Q483" s="39"/>
      <c r="R483" s="39"/>
      <c r="S483" s="39"/>
      <c r="T483" s="39"/>
      <c r="U483" s="39"/>
      <c r="V483" s="39"/>
      <c r="W483" s="39"/>
      <c r="X483" s="39"/>
      <c r="Y483" s="39"/>
      <c r="Z483" s="39"/>
      <c r="AA483" s="39"/>
      <c r="AB483" s="39"/>
      <c r="AC483" s="39"/>
      <c r="AD483" s="39"/>
      <c r="AE483" s="39"/>
      <c r="AF483" s="39"/>
      <c r="AG483" s="39"/>
      <c r="AH483" s="39"/>
      <c r="AI483" s="35"/>
      <c r="AJ483" s="39"/>
      <c r="AK483" s="39"/>
      <c r="AL483" s="39"/>
      <c r="AM483" s="35"/>
      <c r="AN483" s="35"/>
      <c r="AO483" s="39"/>
      <c r="AP483" s="39"/>
      <c r="AQ483" s="35"/>
      <c r="AR483" s="35"/>
      <c r="AS483" s="35"/>
      <c r="AT483" s="30">
        <f t="shared" ca="1" si="56"/>
        <v>0</v>
      </c>
      <c r="AU483" s="32" t="str">
        <f t="shared" ca="1" si="55"/>
        <v/>
      </c>
      <c r="AV483" s="32" t="str" cm="1">
        <f t="array" aca="1" ref="AV483" ca="1">IFERROR(_xlfn.IFS($AU483="","",$AU483&lt;=15,"0-15",AND($AU483&gt;=16,$AU483&lt;=30),"16-30",AND($AU483&gt;=31,$AU483&lt;=45),"31-45",AND($AU483&gt;=46,$AU483&lt;=60),"46-60",AND($AU483&gt;=61,$AU483&lt;=90),"61-90",AND($AU483&gt;=91),"&gt; 90",AND($AU483&gt;=2000),""),"")</f>
        <v/>
      </c>
      <c r="AW483" s="32" t="str" cm="1">
        <f t="array" aca="1" ref="AW483" ca="1">IFERROR(_xlfn.IFS(OR($M483="",$AM483=""),"",OR($C483="Offered",$C483="Joined"),($AM483-$M483)-$AT483),"")</f>
        <v/>
      </c>
      <c r="AX483" s="32" t="str" cm="1">
        <f t="array" aca="1" ref="AX483" ca="1">IFERROR(_xlfn.IFS(OR($M483="",$AS483=""),"",$C483="Joined",($AS483-$M483)-$AT483),"")</f>
        <v/>
      </c>
      <c r="AY483" s="30" t="str">
        <f>IFERROR(IF(COUNTIFS('Candidate Tracker'!$E:$E,'Positions Tracker'!$B483,'Candidate Tracker'!$C:$C,"Offer Drop")=0,"",COUNTIFS('Candidate Tracker'!$E:$E,'Positions Tracker'!$B483,'Candidate Tracker'!$C:$C,"Offer Drop")),"")</f>
        <v/>
      </c>
      <c r="AZ4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3" s="34" t="str">
        <f>IFERROR(IF(COUNTIFS('Candidate Tracker'!$E:$E,'Positions Tracker'!$B483,'Candidate Tracker'!$I:$I,"Female")=0,"",COUNTIFS('Candidate Tracker'!$E:$E,'Positions Tracker'!$B483,'Candidate Tracker'!$I:$I,"Female")),"")</f>
        <v/>
      </c>
      <c r="BB483" s="34" t="str">
        <f>IFERROR(IF(COUNTIFS('Candidate Tracker'!$E:$E,'Positions Tracker'!$B483,'Candidate Tracker'!$I:$I,"male")=0,"",COUNTIFS('Candidate Tracker'!$E:$E,'Positions Tracker'!$B483,'Candidate Tracker'!$I:$I,"male")),"")</f>
        <v/>
      </c>
      <c r="BC483" s="33" t="str">
        <f>IFERROR(IF(COUNTIFS('Candidate Tracker'!$E:$E,'Positions Tracker'!$B483,'Candidate Tracker'!$C:$C,"&lt;&gt;WIP",'Candidate Tracker'!$C:$C,"&lt;&gt;Hold",'Candidate Tracker'!$C:$C,"&lt;&gt;Cancelled",'Candidate Tracker'!$C:$C,"&lt;&gt;Closed")/COUNTIFS('Candidate Tracker'!$E:$E,'Positions Tracker'!$B483)=0,"",COUNTIFS('Candidate Tracker'!$E:$E,'Positions Tracker'!$B483,'Candidate Tracker'!$C:$C,"&lt;&gt;WIP",'Candidate Tracker'!$C:$C,"&lt;&gt;Hold",'Candidate Tracker'!$C:$C,"&lt;&gt;Cancelled",'Candidate Tracker'!$C:$C,"&lt;&gt;Closed")/COUNTIFS('Candidate Tracker'!$E:$E,'Positions Tracker'!$B483)),"")</f>
        <v/>
      </c>
      <c r="BD483" s="30" t="str">
        <f t="shared" si="57"/>
        <v/>
      </c>
      <c r="BE483" s="30" t="str">
        <f t="shared" si="58"/>
        <v/>
      </c>
      <c r="BF483" s="30" t="str">
        <f t="shared" si="59"/>
        <v/>
      </c>
      <c r="BG483" s="30" t="str">
        <f t="shared" si="60"/>
        <v/>
      </c>
    </row>
    <row r="484" spans="1:59">
      <c r="A484" s="39"/>
      <c r="B484" s="39"/>
      <c r="C484" s="39"/>
      <c r="D484" s="39"/>
      <c r="E484" s="39"/>
      <c r="F484" s="39"/>
      <c r="G484" s="39"/>
      <c r="H484" s="39"/>
      <c r="I484" s="40"/>
      <c r="J484" s="40"/>
      <c r="K484" s="35"/>
      <c r="L484" s="35"/>
      <c r="M484" s="35"/>
      <c r="N484" s="39"/>
      <c r="O484" s="39"/>
      <c r="P484" s="39"/>
      <c r="Q484" s="39"/>
      <c r="R484" s="39"/>
      <c r="S484" s="39"/>
      <c r="T484" s="39"/>
      <c r="U484" s="39"/>
      <c r="V484" s="39"/>
      <c r="W484" s="39"/>
      <c r="X484" s="39"/>
      <c r="Y484" s="39"/>
      <c r="Z484" s="39"/>
      <c r="AA484" s="39"/>
      <c r="AB484" s="39"/>
      <c r="AC484" s="39"/>
      <c r="AD484" s="39"/>
      <c r="AE484" s="39"/>
      <c r="AF484" s="39"/>
      <c r="AG484" s="39"/>
      <c r="AH484" s="39"/>
      <c r="AI484" s="35"/>
      <c r="AJ484" s="39"/>
      <c r="AK484" s="39"/>
      <c r="AL484" s="39"/>
      <c r="AM484" s="35"/>
      <c r="AN484" s="35"/>
      <c r="AO484" s="39"/>
      <c r="AP484" s="39"/>
      <c r="AQ484" s="35"/>
      <c r="AR484" s="35"/>
      <c r="AS484" s="35"/>
      <c r="AT484" s="30">
        <f t="shared" ca="1" si="56"/>
        <v>0</v>
      </c>
      <c r="AU484" s="32" t="str">
        <f t="shared" ca="1" si="55"/>
        <v/>
      </c>
      <c r="AV484" s="32" t="str" cm="1">
        <f t="array" aca="1" ref="AV484" ca="1">IFERROR(_xlfn.IFS($AU484="","",$AU484&lt;=15,"0-15",AND($AU484&gt;=16,$AU484&lt;=30),"16-30",AND($AU484&gt;=31,$AU484&lt;=45),"31-45",AND($AU484&gt;=46,$AU484&lt;=60),"46-60",AND($AU484&gt;=61,$AU484&lt;=90),"61-90",AND($AU484&gt;=91),"&gt; 90",AND($AU484&gt;=2000),""),"")</f>
        <v/>
      </c>
      <c r="AW484" s="32" t="str" cm="1">
        <f t="array" aca="1" ref="AW484" ca="1">IFERROR(_xlfn.IFS(OR($M484="",$AM484=""),"",OR($C484="Offered",$C484="Joined"),($AM484-$M484)-$AT484),"")</f>
        <v/>
      </c>
      <c r="AX484" s="32" t="str" cm="1">
        <f t="array" aca="1" ref="AX484" ca="1">IFERROR(_xlfn.IFS(OR($M484="",$AS484=""),"",$C484="Joined",($AS484-$M484)-$AT484),"")</f>
        <v/>
      </c>
      <c r="AY484" s="30" t="str">
        <f>IFERROR(IF(COUNTIFS('Candidate Tracker'!$E:$E,'Positions Tracker'!$B484,'Candidate Tracker'!$C:$C,"Offer Drop")=0,"",COUNTIFS('Candidate Tracker'!$E:$E,'Positions Tracker'!$B484,'Candidate Tracker'!$C:$C,"Offer Drop")),"")</f>
        <v/>
      </c>
      <c r="AZ4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4" s="34" t="str">
        <f>IFERROR(IF(COUNTIFS('Candidate Tracker'!$E:$E,'Positions Tracker'!$B484,'Candidate Tracker'!$I:$I,"Female")=0,"",COUNTIFS('Candidate Tracker'!$E:$E,'Positions Tracker'!$B484,'Candidate Tracker'!$I:$I,"Female")),"")</f>
        <v/>
      </c>
      <c r="BB484" s="34" t="str">
        <f>IFERROR(IF(COUNTIFS('Candidate Tracker'!$E:$E,'Positions Tracker'!$B484,'Candidate Tracker'!$I:$I,"male")=0,"",COUNTIFS('Candidate Tracker'!$E:$E,'Positions Tracker'!$B484,'Candidate Tracker'!$I:$I,"male")),"")</f>
        <v/>
      </c>
      <c r="BC484" s="33" t="str">
        <f>IFERROR(IF(COUNTIFS('Candidate Tracker'!$E:$E,'Positions Tracker'!$B484,'Candidate Tracker'!$C:$C,"&lt;&gt;WIP",'Candidate Tracker'!$C:$C,"&lt;&gt;Hold",'Candidate Tracker'!$C:$C,"&lt;&gt;Cancelled",'Candidate Tracker'!$C:$C,"&lt;&gt;Closed")/COUNTIFS('Candidate Tracker'!$E:$E,'Positions Tracker'!$B484)=0,"",COUNTIFS('Candidate Tracker'!$E:$E,'Positions Tracker'!$B484,'Candidate Tracker'!$C:$C,"&lt;&gt;WIP",'Candidate Tracker'!$C:$C,"&lt;&gt;Hold",'Candidate Tracker'!$C:$C,"&lt;&gt;Cancelled",'Candidate Tracker'!$C:$C,"&lt;&gt;Closed")/COUNTIFS('Candidate Tracker'!$E:$E,'Positions Tracker'!$B484)),"")</f>
        <v/>
      </c>
      <c r="BD484" s="30" t="str">
        <f t="shared" si="57"/>
        <v/>
      </c>
      <c r="BE484" s="30" t="str">
        <f t="shared" si="58"/>
        <v/>
      </c>
      <c r="BF484" s="30" t="str">
        <f t="shared" si="59"/>
        <v/>
      </c>
      <c r="BG484" s="30" t="str">
        <f t="shared" si="60"/>
        <v/>
      </c>
    </row>
    <row r="485" spans="1:59">
      <c r="A485" s="39"/>
      <c r="B485" s="39"/>
      <c r="C485" s="39"/>
      <c r="D485" s="39"/>
      <c r="E485" s="39"/>
      <c r="F485" s="39"/>
      <c r="G485" s="39"/>
      <c r="H485" s="39"/>
      <c r="I485" s="40"/>
      <c r="J485" s="40"/>
      <c r="K485" s="35"/>
      <c r="L485" s="35"/>
      <c r="M485" s="35"/>
      <c r="N485" s="39"/>
      <c r="O485" s="39"/>
      <c r="P485" s="39"/>
      <c r="Q485" s="39"/>
      <c r="R485" s="39"/>
      <c r="S485" s="39"/>
      <c r="T485" s="39"/>
      <c r="U485" s="39"/>
      <c r="V485" s="39"/>
      <c r="W485" s="39"/>
      <c r="X485" s="39"/>
      <c r="Y485" s="39"/>
      <c r="Z485" s="39"/>
      <c r="AA485" s="39"/>
      <c r="AB485" s="39"/>
      <c r="AC485" s="39"/>
      <c r="AD485" s="39"/>
      <c r="AE485" s="39"/>
      <c r="AF485" s="39"/>
      <c r="AG485" s="39"/>
      <c r="AH485" s="39"/>
      <c r="AI485" s="35"/>
      <c r="AJ485" s="39"/>
      <c r="AK485" s="39"/>
      <c r="AL485" s="39"/>
      <c r="AM485" s="35"/>
      <c r="AN485" s="35"/>
      <c r="AO485" s="39"/>
      <c r="AP485" s="39"/>
      <c r="AQ485" s="35"/>
      <c r="AR485" s="35"/>
      <c r="AS485" s="35"/>
      <c r="AT485" s="30">
        <f t="shared" ca="1" si="56"/>
        <v>0</v>
      </c>
      <c r="AU485" s="32" t="str">
        <f t="shared" ca="1" si="55"/>
        <v/>
      </c>
      <c r="AV485" s="32" t="str" cm="1">
        <f t="array" aca="1" ref="AV485" ca="1">IFERROR(_xlfn.IFS($AU485="","",$AU485&lt;=15,"0-15",AND($AU485&gt;=16,$AU485&lt;=30),"16-30",AND($AU485&gt;=31,$AU485&lt;=45),"31-45",AND($AU485&gt;=46,$AU485&lt;=60),"46-60",AND($AU485&gt;=61,$AU485&lt;=90),"61-90",AND($AU485&gt;=91),"&gt; 90",AND($AU485&gt;=2000),""),"")</f>
        <v/>
      </c>
      <c r="AW485" s="32" t="str" cm="1">
        <f t="array" aca="1" ref="AW485" ca="1">IFERROR(_xlfn.IFS(OR($M485="",$AM485=""),"",OR($C485="Offered",$C485="Joined"),($AM485-$M485)-$AT485),"")</f>
        <v/>
      </c>
      <c r="AX485" s="32" t="str" cm="1">
        <f t="array" aca="1" ref="AX485" ca="1">IFERROR(_xlfn.IFS(OR($M485="",$AS485=""),"",$C485="Joined",($AS485-$M485)-$AT485),"")</f>
        <v/>
      </c>
      <c r="AY485" s="30" t="str">
        <f>IFERROR(IF(COUNTIFS('Candidate Tracker'!$E:$E,'Positions Tracker'!$B485,'Candidate Tracker'!$C:$C,"Offer Drop")=0,"",COUNTIFS('Candidate Tracker'!$E:$E,'Positions Tracker'!$B485,'Candidate Tracker'!$C:$C,"Offer Drop")),"")</f>
        <v/>
      </c>
      <c r="AZ4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5" s="34" t="str">
        <f>IFERROR(IF(COUNTIFS('Candidate Tracker'!$E:$E,'Positions Tracker'!$B485,'Candidate Tracker'!$I:$I,"Female")=0,"",COUNTIFS('Candidate Tracker'!$E:$E,'Positions Tracker'!$B485,'Candidate Tracker'!$I:$I,"Female")),"")</f>
        <v/>
      </c>
      <c r="BB485" s="34" t="str">
        <f>IFERROR(IF(COUNTIFS('Candidate Tracker'!$E:$E,'Positions Tracker'!$B485,'Candidate Tracker'!$I:$I,"male")=0,"",COUNTIFS('Candidate Tracker'!$E:$E,'Positions Tracker'!$B485,'Candidate Tracker'!$I:$I,"male")),"")</f>
        <v/>
      </c>
      <c r="BC485" s="33" t="str">
        <f>IFERROR(IF(COUNTIFS('Candidate Tracker'!$E:$E,'Positions Tracker'!$B485,'Candidate Tracker'!$C:$C,"&lt;&gt;WIP",'Candidate Tracker'!$C:$C,"&lt;&gt;Hold",'Candidate Tracker'!$C:$C,"&lt;&gt;Cancelled",'Candidate Tracker'!$C:$C,"&lt;&gt;Closed")/COUNTIFS('Candidate Tracker'!$E:$E,'Positions Tracker'!$B485)=0,"",COUNTIFS('Candidate Tracker'!$E:$E,'Positions Tracker'!$B485,'Candidate Tracker'!$C:$C,"&lt;&gt;WIP",'Candidate Tracker'!$C:$C,"&lt;&gt;Hold",'Candidate Tracker'!$C:$C,"&lt;&gt;Cancelled",'Candidate Tracker'!$C:$C,"&lt;&gt;Closed")/COUNTIFS('Candidate Tracker'!$E:$E,'Positions Tracker'!$B485)),"")</f>
        <v/>
      </c>
      <c r="BD485" s="30" t="str">
        <f t="shared" si="57"/>
        <v/>
      </c>
      <c r="BE485" s="30" t="str">
        <f t="shared" si="58"/>
        <v/>
      </c>
      <c r="BF485" s="30" t="str">
        <f t="shared" si="59"/>
        <v/>
      </c>
      <c r="BG485" s="30" t="str">
        <f t="shared" si="60"/>
        <v/>
      </c>
    </row>
    <row r="486" spans="1:59">
      <c r="A486" s="39"/>
      <c r="B486" s="39"/>
      <c r="C486" s="39"/>
      <c r="D486" s="39"/>
      <c r="E486" s="39"/>
      <c r="F486" s="39"/>
      <c r="G486" s="39"/>
      <c r="H486" s="39"/>
      <c r="I486" s="40"/>
      <c r="J486" s="40"/>
      <c r="K486" s="35"/>
      <c r="L486" s="35"/>
      <c r="M486" s="35"/>
      <c r="N486" s="39"/>
      <c r="O486" s="39"/>
      <c r="P486" s="39"/>
      <c r="Q486" s="39"/>
      <c r="R486" s="39"/>
      <c r="S486" s="39"/>
      <c r="T486" s="39"/>
      <c r="U486" s="39"/>
      <c r="V486" s="39"/>
      <c r="W486" s="39"/>
      <c r="X486" s="39"/>
      <c r="Y486" s="39"/>
      <c r="Z486" s="39"/>
      <c r="AA486" s="39"/>
      <c r="AB486" s="39"/>
      <c r="AC486" s="39"/>
      <c r="AD486" s="39"/>
      <c r="AE486" s="39"/>
      <c r="AF486" s="39"/>
      <c r="AG486" s="39"/>
      <c r="AH486" s="39"/>
      <c r="AI486" s="35"/>
      <c r="AJ486" s="39"/>
      <c r="AK486" s="39"/>
      <c r="AL486" s="39"/>
      <c r="AM486" s="35"/>
      <c r="AN486" s="35"/>
      <c r="AO486" s="39"/>
      <c r="AP486" s="39"/>
      <c r="AQ486" s="35"/>
      <c r="AR486" s="35"/>
      <c r="AS486" s="35"/>
      <c r="AT486" s="30">
        <f t="shared" ca="1" si="56"/>
        <v>0</v>
      </c>
      <c r="AU486" s="32" t="str">
        <f t="shared" ca="1" si="55"/>
        <v/>
      </c>
      <c r="AV486" s="32" t="str" cm="1">
        <f t="array" aca="1" ref="AV486" ca="1">IFERROR(_xlfn.IFS($AU486="","",$AU486&lt;=15,"0-15",AND($AU486&gt;=16,$AU486&lt;=30),"16-30",AND($AU486&gt;=31,$AU486&lt;=45),"31-45",AND($AU486&gt;=46,$AU486&lt;=60),"46-60",AND($AU486&gt;=61,$AU486&lt;=90),"61-90",AND($AU486&gt;=91),"&gt; 90",AND($AU486&gt;=2000),""),"")</f>
        <v/>
      </c>
      <c r="AW486" s="32" t="str" cm="1">
        <f t="array" aca="1" ref="AW486" ca="1">IFERROR(_xlfn.IFS(OR($M486="",$AM486=""),"",OR($C486="Offered",$C486="Joined"),($AM486-$M486)-$AT486),"")</f>
        <v/>
      </c>
      <c r="AX486" s="32" t="str" cm="1">
        <f t="array" aca="1" ref="AX486" ca="1">IFERROR(_xlfn.IFS(OR($M486="",$AS486=""),"",$C486="Joined",($AS486-$M486)-$AT486),"")</f>
        <v/>
      </c>
      <c r="AY486" s="30" t="str">
        <f>IFERROR(IF(COUNTIFS('Candidate Tracker'!$E:$E,'Positions Tracker'!$B486,'Candidate Tracker'!$C:$C,"Offer Drop")=0,"",COUNTIFS('Candidate Tracker'!$E:$E,'Positions Tracker'!$B486,'Candidate Tracker'!$C:$C,"Offer Drop")),"")</f>
        <v/>
      </c>
      <c r="AZ48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6" s="34" t="str">
        <f>IFERROR(IF(COUNTIFS('Candidate Tracker'!$E:$E,'Positions Tracker'!$B486,'Candidate Tracker'!$I:$I,"Female")=0,"",COUNTIFS('Candidate Tracker'!$E:$E,'Positions Tracker'!$B486,'Candidate Tracker'!$I:$I,"Female")),"")</f>
        <v/>
      </c>
      <c r="BB486" s="34" t="str">
        <f>IFERROR(IF(COUNTIFS('Candidate Tracker'!$E:$E,'Positions Tracker'!$B486,'Candidate Tracker'!$I:$I,"male")=0,"",COUNTIFS('Candidate Tracker'!$E:$E,'Positions Tracker'!$B486,'Candidate Tracker'!$I:$I,"male")),"")</f>
        <v/>
      </c>
      <c r="BC486" s="33" t="str">
        <f>IFERROR(IF(COUNTIFS('Candidate Tracker'!$E:$E,'Positions Tracker'!$B486,'Candidate Tracker'!$C:$C,"&lt;&gt;WIP",'Candidate Tracker'!$C:$C,"&lt;&gt;Hold",'Candidate Tracker'!$C:$C,"&lt;&gt;Cancelled",'Candidate Tracker'!$C:$C,"&lt;&gt;Closed")/COUNTIFS('Candidate Tracker'!$E:$E,'Positions Tracker'!$B486)=0,"",COUNTIFS('Candidate Tracker'!$E:$E,'Positions Tracker'!$B486,'Candidate Tracker'!$C:$C,"&lt;&gt;WIP",'Candidate Tracker'!$C:$C,"&lt;&gt;Hold",'Candidate Tracker'!$C:$C,"&lt;&gt;Cancelled",'Candidate Tracker'!$C:$C,"&lt;&gt;Closed")/COUNTIFS('Candidate Tracker'!$E:$E,'Positions Tracker'!$B486)),"")</f>
        <v/>
      </c>
      <c r="BD486" s="30" t="str">
        <f t="shared" si="57"/>
        <v/>
      </c>
      <c r="BE486" s="30" t="str">
        <f t="shared" si="58"/>
        <v/>
      </c>
      <c r="BF486" s="30" t="str">
        <f t="shared" si="59"/>
        <v/>
      </c>
      <c r="BG486" s="30" t="str">
        <f t="shared" si="60"/>
        <v/>
      </c>
    </row>
    <row r="487" spans="1:59">
      <c r="A487" s="39"/>
      <c r="B487" s="39"/>
      <c r="C487" s="39"/>
      <c r="D487" s="39"/>
      <c r="E487" s="39"/>
      <c r="F487" s="39"/>
      <c r="G487" s="39"/>
      <c r="H487" s="39"/>
      <c r="I487" s="40"/>
      <c r="J487" s="40"/>
      <c r="K487" s="35"/>
      <c r="L487" s="35"/>
      <c r="M487" s="35"/>
      <c r="N487" s="39"/>
      <c r="O487" s="39"/>
      <c r="P487" s="39"/>
      <c r="Q487" s="39"/>
      <c r="R487" s="39"/>
      <c r="S487" s="39"/>
      <c r="T487" s="39"/>
      <c r="U487" s="39"/>
      <c r="V487" s="39"/>
      <c r="W487" s="39"/>
      <c r="X487" s="39"/>
      <c r="Y487" s="39"/>
      <c r="Z487" s="39"/>
      <c r="AA487" s="39"/>
      <c r="AB487" s="39"/>
      <c r="AC487" s="39"/>
      <c r="AD487" s="39"/>
      <c r="AE487" s="39"/>
      <c r="AF487" s="39"/>
      <c r="AG487" s="39"/>
      <c r="AH487" s="39"/>
      <c r="AI487" s="35"/>
      <c r="AJ487" s="39"/>
      <c r="AK487" s="39"/>
      <c r="AL487" s="39"/>
      <c r="AM487" s="35"/>
      <c r="AN487" s="35"/>
      <c r="AO487" s="39"/>
      <c r="AP487" s="39"/>
      <c r="AQ487" s="35"/>
      <c r="AR487" s="35"/>
      <c r="AS487" s="35"/>
      <c r="AT487" s="30">
        <f t="shared" ca="1" si="56"/>
        <v>0</v>
      </c>
      <c r="AU487" s="32" t="str">
        <f t="shared" ca="1" si="55"/>
        <v/>
      </c>
      <c r="AV487" s="32" t="str" cm="1">
        <f t="array" aca="1" ref="AV487" ca="1">IFERROR(_xlfn.IFS($AU487="","",$AU487&lt;=15,"0-15",AND($AU487&gt;=16,$AU487&lt;=30),"16-30",AND($AU487&gt;=31,$AU487&lt;=45),"31-45",AND($AU487&gt;=46,$AU487&lt;=60),"46-60",AND($AU487&gt;=61,$AU487&lt;=90),"61-90",AND($AU487&gt;=91),"&gt; 90",AND($AU487&gt;=2000),""),"")</f>
        <v/>
      </c>
      <c r="AW487" s="32" t="str" cm="1">
        <f t="array" aca="1" ref="AW487" ca="1">IFERROR(_xlfn.IFS(OR($M487="",$AM487=""),"",OR($C487="Offered",$C487="Joined"),($AM487-$M487)-$AT487),"")</f>
        <v/>
      </c>
      <c r="AX487" s="32" t="str" cm="1">
        <f t="array" aca="1" ref="AX487" ca="1">IFERROR(_xlfn.IFS(OR($M487="",$AS487=""),"",$C487="Joined",($AS487-$M487)-$AT487),"")</f>
        <v/>
      </c>
      <c r="AY487" s="30" t="str">
        <f>IFERROR(IF(COUNTIFS('Candidate Tracker'!$E:$E,'Positions Tracker'!$B487,'Candidate Tracker'!$C:$C,"Offer Drop")=0,"",COUNTIFS('Candidate Tracker'!$E:$E,'Positions Tracker'!$B487,'Candidate Tracker'!$C:$C,"Offer Drop")),"")</f>
        <v/>
      </c>
      <c r="AZ48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7" s="34" t="str">
        <f>IFERROR(IF(COUNTIFS('Candidate Tracker'!$E:$E,'Positions Tracker'!$B487,'Candidate Tracker'!$I:$I,"Female")=0,"",COUNTIFS('Candidate Tracker'!$E:$E,'Positions Tracker'!$B487,'Candidate Tracker'!$I:$I,"Female")),"")</f>
        <v/>
      </c>
      <c r="BB487" s="34" t="str">
        <f>IFERROR(IF(COUNTIFS('Candidate Tracker'!$E:$E,'Positions Tracker'!$B487,'Candidate Tracker'!$I:$I,"male")=0,"",COUNTIFS('Candidate Tracker'!$E:$E,'Positions Tracker'!$B487,'Candidate Tracker'!$I:$I,"male")),"")</f>
        <v/>
      </c>
      <c r="BC487" s="33" t="str">
        <f>IFERROR(IF(COUNTIFS('Candidate Tracker'!$E:$E,'Positions Tracker'!$B487,'Candidate Tracker'!$C:$C,"&lt;&gt;WIP",'Candidate Tracker'!$C:$C,"&lt;&gt;Hold",'Candidate Tracker'!$C:$C,"&lt;&gt;Cancelled",'Candidate Tracker'!$C:$C,"&lt;&gt;Closed")/COUNTIFS('Candidate Tracker'!$E:$E,'Positions Tracker'!$B487)=0,"",COUNTIFS('Candidate Tracker'!$E:$E,'Positions Tracker'!$B487,'Candidate Tracker'!$C:$C,"&lt;&gt;WIP",'Candidate Tracker'!$C:$C,"&lt;&gt;Hold",'Candidate Tracker'!$C:$C,"&lt;&gt;Cancelled",'Candidate Tracker'!$C:$C,"&lt;&gt;Closed")/COUNTIFS('Candidate Tracker'!$E:$E,'Positions Tracker'!$B487)),"")</f>
        <v/>
      </c>
      <c r="BD487" s="30" t="str">
        <f t="shared" si="57"/>
        <v/>
      </c>
      <c r="BE487" s="30" t="str">
        <f t="shared" si="58"/>
        <v/>
      </c>
      <c r="BF487" s="30" t="str">
        <f t="shared" si="59"/>
        <v/>
      </c>
      <c r="BG487" s="30" t="str">
        <f t="shared" si="60"/>
        <v/>
      </c>
    </row>
    <row r="488" spans="1:59">
      <c r="A488" s="39"/>
      <c r="B488" s="39"/>
      <c r="C488" s="39"/>
      <c r="D488" s="39"/>
      <c r="E488" s="39"/>
      <c r="F488" s="39"/>
      <c r="G488" s="39"/>
      <c r="H488" s="39"/>
      <c r="I488" s="40"/>
      <c r="J488" s="40"/>
      <c r="K488" s="35"/>
      <c r="L488" s="35"/>
      <c r="M488" s="35"/>
      <c r="N488" s="39"/>
      <c r="O488" s="39"/>
      <c r="P488" s="39"/>
      <c r="Q488" s="39"/>
      <c r="R488" s="39"/>
      <c r="S488" s="39"/>
      <c r="T488" s="39"/>
      <c r="U488" s="39"/>
      <c r="V488" s="39"/>
      <c r="W488" s="39"/>
      <c r="X488" s="39"/>
      <c r="Y488" s="39"/>
      <c r="Z488" s="39"/>
      <c r="AA488" s="39"/>
      <c r="AB488" s="39"/>
      <c r="AC488" s="39"/>
      <c r="AD488" s="39"/>
      <c r="AE488" s="39"/>
      <c r="AF488" s="39"/>
      <c r="AG488" s="39"/>
      <c r="AH488" s="39"/>
      <c r="AI488" s="35"/>
      <c r="AJ488" s="39"/>
      <c r="AK488" s="39"/>
      <c r="AL488" s="39"/>
      <c r="AM488" s="35"/>
      <c r="AN488" s="35"/>
      <c r="AO488" s="39"/>
      <c r="AP488" s="39"/>
      <c r="AQ488" s="35"/>
      <c r="AR488" s="35"/>
      <c r="AS488" s="35"/>
      <c r="AT488" s="30">
        <f t="shared" ca="1" si="56"/>
        <v>0</v>
      </c>
      <c r="AU488" s="32" t="str">
        <f t="shared" ca="1" si="55"/>
        <v/>
      </c>
      <c r="AV488" s="32" t="str" cm="1">
        <f t="array" aca="1" ref="AV488" ca="1">IFERROR(_xlfn.IFS($AU488="","",$AU488&lt;=15,"0-15",AND($AU488&gt;=16,$AU488&lt;=30),"16-30",AND($AU488&gt;=31,$AU488&lt;=45),"31-45",AND($AU488&gt;=46,$AU488&lt;=60),"46-60",AND($AU488&gt;=61,$AU488&lt;=90),"61-90",AND($AU488&gt;=91),"&gt; 90",AND($AU488&gt;=2000),""),"")</f>
        <v/>
      </c>
      <c r="AW488" s="32" t="str" cm="1">
        <f t="array" aca="1" ref="AW488" ca="1">IFERROR(_xlfn.IFS(OR($M488="",$AM488=""),"",OR($C488="Offered",$C488="Joined"),($AM488-$M488)-$AT488),"")</f>
        <v/>
      </c>
      <c r="AX488" s="32" t="str" cm="1">
        <f t="array" aca="1" ref="AX488" ca="1">IFERROR(_xlfn.IFS(OR($M488="",$AS488=""),"",$C488="Joined",($AS488-$M488)-$AT488),"")</f>
        <v/>
      </c>
      <c r="AY488" s="30" t="str">
        <f>IFERROR(IF(COUNTIFS('Candidate Tracker'!$E:$E,'Positions Tracker'!$B488,'Candidate Tracker'!$C:$C,"Offer Drop")=0,"",COUNTIFS('Candidate Tracker'!$E:$E,'Positions Tracker'!$B488,'Candidate Tracker'!$C:$C,"Offer Drop")),"")</f>
        <v/>
      </c>
      <c r="AZ48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8" s="34" t="str">
        <f>IFERROR(IF(COUNTIFS('Candidate Tracker'!$E:$E,'Positions Tracker'!$B488,'Candidate Tracker'!$I:$I,"Female")=0,"",COUNTIFS('Candidate Tracker'!$E:$E,'Positions Tracker'!$B488,'Candidate Tracker'!$I:$I,"Female")),"")</f>
        <v/>
      </c>
      <c r="BB488" s="34" t="str">
        <f>IFERROR(IF(COUNTIFS('Candidate Tracker'!$E:$E,'Positions Tracker'!$B488,'Candidate Tracker'!$I:$I,"male")=0,"",COUNTIFS('Candidate Tracker'!$E:$E,'Positions Tracker'!$B488,'Candidate Tracker'!$I:$I,"male")),"")</f>
        <v/>
      </c>
      <c r="BC488" s="33" t="str">
        <f>IFERROR(IF(COUNTIFS('Candidate Tracker'!$E:$E,'Positions Tracker'!$B488,'Candidate Tracker'!$C:$C,"&lt;&gt;WIP",'Candidate Tracker'!$C:$C,"&lt;&gt;Hold",'Candidate Tracker'!$C:$C,"&lt;&gt;Cancelled",'Candidate Tracker'!$C:$C,"&lt;&gt;Closed")/COUNTIFS('Candidate Tracker'!$E:$E,'Positions Tracker'!$B488)=0,"",COUNTIFS('Candidate Tracker'!$E:$E,'Positions Tracker'!$B488,'Candidate Tracker'!$C:$C,"&lt;&gt;WIP",'Candidate Tracker'!$C:$C,"&lt;&gt;Hold",'Candidate Tracker'!$C:$C,"&lt;&gt;Cancelled",'Candidate Tracker'!$C:$C,"&lt;&gt;Closed")/COUNTIFS('Candidate Tracker'!$E:$E,'Positions Tracker'!$B488)),"")</f>
        <v/>
      </c>
      <c r="BD488" s="30" t="str">
        <f t="shared" si="57"/>
        <v/>
      </c>
      <c r="BE488" s="30" t="str">
        <f t="shared" si="58"/>
        <v/>
      </c>
      <c r="BF488" s="30" t="str">
        <f t="shared" si="59"/>
        <v/>
      </c>
      <c r="BG488" s="30" t="str">
        <f t="shared" si="60"/>
        <v/>
      </c>
    </row>
    <row r="489" spans="1:59">
      <c r="A489" s="39"/>
      <c r="B489" s="39"/>
      <c r="C489" s="39"/>
      <c r="D489" s="39"/>
      <c r="E489" s="39"/>
      <c r="F489" s="39"/>
      <c r="G489" s="39"/>
      <c r="H489" s="39"/>
      <c r="I489" s="40"/>
      <c r="J489" s="40"/>
      <c r="K489" s="35"/>
      <c r="L489" s="35"/>
      <c r="M489" s="35"/>
      <c r="N489" s="39"/>
      <c r="O489" s="39"/>
      <c r="P489" s="39"/>
      <c r="Q489" s="39"/>
      <c r="R489" s="39"/>
      <c r="S489" s="39"/>
      <c r="T489" s="39"/>
      <c r="U489" s="39"/>
      <c r="V489" s="39"/>
      <c r="W489" s="39"/>
      <c r="X489" s="39"/>
      <c r="Y489" s="39"/>
      <c r="Z489" s="39"/>
      <c r="AA489" s="39"/>
      <c r="AB489" s="39"/>
      <c r="AC489" s="39"/>
      <c r="AD489" s="39"/>
      <c r="AE489" s="39"/>
      <c r="AF489" s="39"/>
      <c r="AG489" s="39"/>
      <c r="AH489" s="39"/>
      <c r="AI489" s="35"/>
      <c r="AJ489" s="39"/>
      <c r="AK489" s="39"/>
      <c r="AL489" s="39"/>
      <c r="AM489" s="35"/>
      <c r="AN489" s="35"/>
      <c r="AO489" s="39"/>
      <c r="AP489" s="39"/>
      <c r="AQ489" s="35"/>
      <c r="AR489" s="35"/>
      <c r="AS489" s="35"/>
      <c r="AT489" s="30">
        <f t="shared" ca="1" si="56"/>
        <v>0</v>
      </c>
      <c r="AU489" s="32" t="str">
        <f t="shared" ca="1" si="55"/>
        <v/>
      </c>
      <c r="AV489" s="32" t="str" cm="1">
        <f t="array" aca="1" ref="AV489" ca="1">IFERROR(_xlfn.IFS($AU489="","",$AU489&lt;=15,"0-15",AND($AU489&gt;=16,$AU489&lt;=30),"16-30",AND($AU489&gt;=31,$AU489&lt;=45),"31-45",AND($AU489&gt;=46,$AU489&lt;=60),"46-60",AND($AU489&gt;=61,$AU489&lt;=90),"61-90",AND($AU489&gt;=91),"&gt; 90",AND($AU489&gt;=2000),""),"")</f>
        <v/>
      </c>
      <c r="AW489" s="32" t="str" cm="1">
        <f t="array" aca="1" ref="AW489" ca="1">IFERROR(_xlfn.IFS(OR($M489="",$AM489=""),"",OR($C489="Offered",$C489="Joined"),($AM489-$M489)-$AT489),"")</f>
        <v/>
      </c>
      <c r="AX489" s="32" t="str" cm="1">
        <f t="array" aca="1" ref="AX489" ca="1">IFERROR(_xlfn.IFS(OR($M489="",$AS489=""),"",$C489="Joined",($AS489-$M489)-$AT489),"")</f>
        <v/>
      </c>
      <c r="AY489" s="30" t="str">
        <f>IFERROR(IF(COUNTIFS('Candidate Tracker'!$E:$E,'Positions Tracker'!$B489,'Candidate Tracker'!$C:$C,"Offer Drop")=0,"",COUNTIFS('Candidate Tracker'!$E:$E,'Positions Tracker'!$B489,'Candidate Tracker'!$C:$C,"Offer Drop")),"")</f>
        <v/>
      </c>
      <c r="AZ48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89" s="34" t="str">
        <f>IFERROR(IF(COUNTIFS('Candidate Tracker'!$E:$E,'Positions Tracker'!$B489,'Candidate Tracker'!$I:$I,"Female")=0,"",COUNTIFS('Candidate Tracker'!$E:$E,'Positions Tracker'!$B489,'Candidate Tracker'!$I:$I,"Female")),"")</f>
        <v/>
      </c>
      <c r="BB489" s="34" t="str">
        <f>IFERROR(IF(COUNTIFS('Candidate Tracker'!$E:$E,'Positions Tracker'!$B489,'Candidate Tracker'!$I:$I,"male")=0,"",COUNTIFS('Candidate Tracker'!$E:$E,'Positions Tracker'!$B489,'Candidate Tracker'!$I:$I,"male")),"")</f>
        <v/>
      </c>
      <c r="BC489" s="33" t="str">
        <f>IFERROR(IF(COUNTIFS('Candidate Tracker'!$E:$E,'Positions Tracker'!$B489,'Candidate Tracker'!$C:$C,"&lt;&gt;WIP",'Candidate Tracker'!$C:$C,"&lt;&gt;Hold",'Candidate Tracker'!$C:$C,"&lt;&gt;Cancelled",'Candidate Tracker'!$C:$C,"&lt;&gt;Closed")/COUNTIFS('Candidate Tracker'!$E:$E,'Positions Tracker'!$B489)=0,"",COUNTIFS('Candidate Tracker'!$E:$E,'Positions Tracker'!$B489,'Candidate Tracker'!$C:$C,"&lt;&gt;WIP",'Candidate Tracker'!$C:$C,"&lt;&gt;Hold",'Candidate Tracker'!$C:$C,"&lt;&gt;Cancelled",'Candidate Tracker'!$C:$C,"&lt;&gt;Closed")/COUNTIFS('Candidate Tracker'!$E:$E,'Positions Tracker'!$B489)),"")</f>
        <v/>
      </c>
      <c r="BD489" s="30" t="str">
        <f t="shared" si="57"/>
        <v/>
      </c>
      <c r="BE489" s="30" t="str">
        <f t="shared" si="58"/>
        <v/>
      </c>
      <c r="BF489" s="30" t="str">
        <f t="shared" si="59"/>
        <v/>
      </c>
      <c r="BG489" s="30" t="str">
        <f t="shared" si="60"/>
        <v/>
      </c>
    </row>
    <row r="490" spans="1:59">
      <c r="A490" s="39"/>
      <c r="B490" s="39"/>
      <c r="C490" s="39"/>
      <c r="D490" s="39"/>
      <c r="E490" s="39"/>
      <c r="F490" s="39"/>
      <c r="G490" s="39"/>
      <c r="H490" s="39"/>
      <c r="I490" s="40"/>
      <c r="J490" s="40"/>
      <c r="K490" s="35"/>
      <c r="L490" s="35"/>
      <c r="M490" s="35"/>
      <c r="N490" s="39"/>
      <c r="O490" s="39"/>
      <c r="P490" s="39"/>
      <c r="Q490" s="39"/>
      <c r="R490" s="39"/>
      <c r="S490" s="39"/>
      <c r="T490" s="39"/>
      <c r="U490" s="39"/>
      <c r="V490" s="39"/>
      <c r="W490" s="39"/>
      <c r="X490" s="39"/>
      <c r="Y490" s="39"/>
      <c r="Z490" s="39"/>
      <c r="AA490" s="39"/>
      <c r="AB490" s="39"/>
      <c r="AC490" s="39"/>
      <c r="AD490" s="39"/>
      <c r="AE490" s="39"/>
      <c r="AF490" s="39"/>
      <c r="AG490" s="39"/>
      <c r="AH490" s="39"/>
      <c r="AI490" s="35"/>
      <c r="AJ490" s="39"/>
      <c r="AK490" s="39"/>
      <c r="AL490" s="39"/>
      <c r="AM490" s="35"/>
      <c r="AN490" s="35"/>
      <c r="AO490" s="39"/>
      <c r="AP490" s="39"/>
      <c r="AQ490" s="35"/>
      <c r="AR490" s="35"/>
      <c r="AS490" s="35"/>
      <c r="AT490" s="30">
        <f t="shared" ca="1" si="56"/>
        <v>0</v>
      </c>
      <c r="AU490" s="32" t="str">
        <f t="shared" ca="1" si="55"/>
        <v/>
      </c>
      <c r="AV490" s="32" t="str" cm="1">
        <f t="array" aca="1" ref="AV490" ca="1">IFERROR(_xlfn.IFS($AU490="","",$AU490&lt;=15,"0-15",AND($AU490&gt;=16,$AU490&lt;=30),"16-30",AND($AU490&gt;=31,$AU490&lt;=45),"31-45",AND($AU490&gt;=46,$AU490&lt;=60),"46-60",AND($AU490&gt;=61,$AU490&lt;=90),"61-90",AND($AU490&gt;=91),"&gt; 90",AND($AU490&gt;=2000),""),"")</f>
        <v/>
      </c>
      <c r="AW490" s="32" t="str" cm="1">
        <f t="array" aca="1" ref="AW490" ca="1">IFERROR(_xlfn.IFS(OR($M490="",$AM490=""),"",OR($C490="Offered",$C490="Joined"),($AM490-$M490)-$AT490),"")</f>
        <v/>
      </c>
      <c r="AX490" s="32" t="str" cm="1">
        <f t="array" aca="1" ref="AX490" ca="1">IFERROR(_xlfn.IFS(OR($M490="",$AS490=""),"",$C490="Joined",($AS490-$M490)-$AT490),"")</f>
        <v/>
      </c>
      <c r="AY490" s="30" t="str">
        <f>IFERROR(IF(COUNTIFS('Candidate Tracker'!$E:$E,'Positions Tracker'!$B490,'Candidate Tracker'!$C:$C,"Offer Drop")=0,"",COUNTIFS('Candidate Tracker'!$E:$E,'Positions Tracker'!$B490,'Candidate Tracker'!$C:$C,"Offer Drop")),"")</f>
        <v/>
      </c>
      <c r="AZ49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0" s="34" t="str">
        <f>IFERROR(IF(COUNTIFS('Candidate Tracker'!$E:$E,'Positions Tracker'!$B490,'Candidate Tracker'!$I:$I,"Female")=0,"",COUNTIFS('Candidate Tracker'!$E:$E,'Positions Tracker'!$B490,'Candidate Tracker'!$I:$I,"Female")),"")</f>
        <v/>
      </c>
      <c r="BB490" s="34" t="str">
        <f>IFERROR(IF(COUNTIFS('Candidate Tracker'!$E:$E,'Positions Tracker'!$B490,'Candidate Tracker'!$I:$I,"male")=0,"",COUNTIFS('Candidate Tracker'!$E:$E,'Positions Tracker'!$B490,'Candidate Tracker'!$I:$I,"male")),"")</f>
        <v/>
      </c>
      <c r="BC490" s="33" t="str">
        <f>IFERROR(IF(COUNTIFS('Candidate Tracker'!$E:$E,'Positions Tracker'!$B490,'Candidate Tracker'!$C:$C,"&lt;&gt;WIP",'Candidate Tracker'!$C:$C,"&lt;&gt;Hold",'Candidate Tracker'!$C:$C,"&lt;&gt;Cancelled",'Candidate Tracker'!$C:$C,"&lt;&gt;Closed")/COUNTIFS('Candidate Tracker'!$E:$E,'Positions Tracker'!$B490)=0,"",COUNTIFS('Candidate Tracker'!$E:$E,'Positions Tracker'!$B490,'Candidate Tracker'!$C:$C,"&lt;&gt;WIP",'Candidate Tracker'!$C:$C,"&lt;&gt;Hold",'Candidate Tracker'!$C:$C,"&lt;&gt;Cancelled",'Candidate Tracker'!$C:$C,"&lt;&gt;Closed")/COUNTIFS('Candidate Tracker'!$E:$E,'Positions Tracker'!$B490)),"")</f>
        <v/>
      </c>
      <c r="BD490" s="30" t="str">
        <f t="shared" si="57"/>
        <v/>
      </c>
      <c r="BE490" s="30" t="str">
        <f t="shared" si="58"/>
        <v/>
      </c>
      <c r="BF490" s="30" t="str">
        <f t="shared" si="59"/>
        <v/>
      </c>
      <c r="BG490" s="30" t="str">
        <f t="shared" si="60"/>
        <v/>
      </c>
    </row>
    <row r="491" spans="1:59">
      <c r="A491" s="39"/>
      <c r="B491" s="39"/>
      <c r="C491" s="39"/>
      <c r="D491" s="39"/>
      <c r="E491" s="39"/>
      <c r="F491" s="39"/>
      <c r="G491" s="39"/>
      <c r="H491" s="39"/>
      <c r="I491" s="40"/>
      <c r="J491" s="40"/>
      <c r="K491" s="35"/>
      <c r="L491" s="35"/>
      <c r="M491" s="35"/>
      <c r="N491" s="39"/>
      <c r="O491" s="39"/>
      <c r="P491" s="39"/>
      <c r="Q491" s="39"/>
      <c r="R491" s="39"/>
      <c r="S491" s="39"/>
      <c r="T491" s="39"/>
      <c r="U491" s="39"/>
      <c r="V491" s="39"/>
      <c r="W491" s="39"/>
      <c r="X491" s="39"/>
      <c r="Y491" s="39"/>
      <c r="Z491" s="39"/>
      <c r="AA491" s="39"/>
      <c r="AB491" s="39"/>
      <c r="AC491" s="39"/>
      <c r="AD491" s="39"/>
      <c r="AE491" s="39"/>
      <c r="AF491" s="39"/>
      <c r="AG491" s="39"/>
      <c r="AH491" s="39"/>
      <c r="AI491" s="35"/>
      <c r="AJ491" s="39"/>
      <c r="AK491" s="39"/>
      <c r="AL491" s="39"/>
      <c r="AM491" s="35"/>
      <c r="AN491" s="35"/>
      <c r="AO491" s="39"/>
      <c r="AP491" s="39"/>
      <c r="AQ491" s="35"/>
      <c r="AR491" s="35"/>
      <c r="AS491" s="35"/>
      <c r="AT491" s="30">
        <f t="shared" ca="1" si="56"/>
        <v>0</v>
      </c>
      <c r="AU491" s="32" t="str">
        <f t="shared" ca="1" si="55"/>
        <v/>
      </c>
      <c r="AV491" s="32" t="str" cm="1">
        <f t="array" aca="1" ref="AV491" ca="1">IFERROR(_xlfn.IFS($AU491="","",$AU491&lt;=15,"0-15",AND($AU491&gt;=16,$AU491&lt;=30),"16-30",AND($AU491&gt;=31,$AU491&lt;=45),"31-45",AND($AU491&gt;=46,$AU491&lt;=60),"46-60",AND($AU491&gt;=61,$AU491&lt;=90),"61-90",AND($AU491&gt;=91),"&gt; 90",AND($AU491&gt;=2000),""),"")</f>
        <v/>
      </c>
      <c r="AW491" s="32" t="str" cm="1">
        <f t="array" aca="1" ref="AW491" ca="1">IFERROR(_xlfn.IFS(OR($M491="",$AM491=""),"",OR($C491="Offered",$C491="Joined"),($AM491-$M491)-$AT491),"")</f>
        <v/>
      </c>
      <c r="AX491" s="32" t="str" cm="1">
        <f t="array" aca="1" ref="AX491" ca="1">IFERROR(_xlfn.IFS(OR($M491="",$AS491=""),"",$C491="Joined",($AS491-$M491)-$AT491),"")</f>
        <v/>
      </c>
      <c r="AY491" s="30" t="str">
        <f>IFERROR(IF(COUNTIFS('Candidate Tracker'!$E:$E,'Positions Tracker'!$B491,'Candidate Tracker'!$C:$C,"Offer Drop")=0,"",COUNTIFS('Candidate Tracker'!$E:$E,'Positions Tracker'!$B491,'Candidate Tracker'!$C:$C,"Offer Drop")),"")</f>
        <v/>
      </c>
      <c r="AZ49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1" s="34" t="str">
        <f>IFERROR(IF(COUNTIFS('Candidate Tracker'!$E:$E,'Positions Tracker'!$B491,'Candidate Tracker'!$I:$I,"Female")=0,"",COUNTIFS('Candidate Tracker'!$E:$E,'Positions Tracker'!$B491,'Candidate Tracker'!$I:$I,"Female")),"")</f>
        <v/>
      </c>
      <c r="BB491" s="34" t="str">
        <f>IFERROR(IF(COUNTIFS('Candidate Tracker'!$E:$E,'Positions Tracker'!$B491,'Candidate Tracker'!$I:$I,"male")=0,"",COUNTIFS('Candidate Tracker'!$E:$E,'Positions Tracker'!$B491,'Candidate Tracker'!$I:$I,"male")),"")</f>
        <v/>
      </c>
      <c r="BC491" s="33" t="str">
        <f>IFERROR(IF(COUNTIFS('Candidate Tracker'!$E:$E,'Positions Tracker'!$B491,'Candidate Tracker'!$C:$C,"&lt;&gt;WIP",'Candidate Tracker'!$C:$C,"&lt;&gt;Hold",'Candidate Tracker'!$C:$C,"&lt;&gt;Cancelled",'Candidate Tracker'!$C:$C,"&lt;&gt;Closed")/COUNTIFS('Candidate Tracker'!$E:$E,'Positions Tracker'!$B491)=0,"",COUNTIFS('Candidate Tracker'!$E:$E,'Positions Tracker'!$B491,'Candidate Tracker'!$C:$C,"&lt;&gt;WIP",'Candidate Tracker'!$C:$C,"&lt;&gt;Hold",'Candidate Tracker'!$C:$C,"&lt;&gt;Cancelled",'Candidate Tracker'!$C:$C,"&lt;&gt;Closed")/COUNTIFS('Candidate Tracker'!$E:$E,'Positions Tracker'!$B491)),"")</f>
        <v/>
      </c>
      <c r="BD491" s="30" t="str">
        <f t="shared" si="57"/>
        <v/>
      </c>
      <c r="BE491" s="30" t="str">
        <f t="shared" si="58"/>
        <v/>
      </c>
      <c r="BF491" s="30" t="str">
        <f t="shared" si="59"/>
        <v/>
      </c>
      <c r="BG491" s="30" t="str">
        <f t="shared" si="60"/>
        <v/>
      </c>
    </row>
    <row r="492" spans="1:59">
      <c r="A492" s="39"/>
      <c r="B492" s="39"/>
      <c r="C492" s="39"/>
      <c r="D492" s="39"/>
      <c r="E492" s="39"/>
      <c r="F492" s="39"/>
      <c r="G492" s="39"/>
      <c r="H492" s="39"/>
      <c r="I492" s="40"/>
      <c r="J492" s="40"/>
      <c r="K492" s="35"/>
      <c r="L492" s="35"/>
      <c r="M492" s="35"/>
      <c r="N492" s="39"/>
      <c r="O492" s="39"/>
      <c r="P492" s="39"/>
      <c r="Q492" s="39"/>
      <c r="R492" s="39"/>
      <c r="S492" s="39"/>
      <c r="T492" s="39"/>
      <c r="U492" s="39"/>
      <c r="V492" s="39"/>
      <c r="W492" s="39"/>
      <c r="X492" s="39"/>
      <c r="Y492" s="39"/>
      <c r="Z492" s="39"/>
      <c r="AA492" s="39"/>
      <c r="AB492" s="39"/>
      <c r="AC492" s="39"/>
      <c r="AD492" s="39"/>
      <c r="AE492" s="39"/>
      <c r="AF492" s="39"/>
      <c r="AG492" s="39"/>
      <c r="AH492" s="39"/>
      <c r="AI492" s="35"/>
      <c r="AJ492" s="39"/>
      <c r="AK492" s="39"/>
      <c r="AL492" s="39"/>
      <c r="AM492" s="35"/>
      <c r="AN492" s="35"/>
      <c r="AO492" s="39"/>
      <c r="AP492" s="39"/>
      <c r="AQ492" s="35"/>
      <c r="AR492" s="35"/>
      <c r="AS492" s="35"/>
      <c r="AT492" s="30">
        <f t="shared" ca="1" si="56"/>
        <v>0</v>
      </c>
      <c r="AU492" s="32" t="str">
        <f t="shared" ca="1" si="55"/>
        <v/>
      </c>
      <c r="AV492" s="32" t="str" cm="1">
        <f t="array" aca="1" ref="AV492" ca="1">IFERROR(_xlfn.IFS($AU492="","",$AU492&lt;=15,"0-15",AND($AU492&gt;=16,$AU492&lt;=30),"16-30",AND($AU492&gt;=31,$AU492&lt;=45),"31-45",AND($AU492&gt;=46,$AU492&lt;=60),"46-60",AND($AU492&gt;=61,$AU492&lt;=90),"61-90",AND($AU492&gt;=91),"&gt; 90",AND($AU492&gt;=2000),""),"")</f>
        <v/>
      </c>
      <c r="AW492" s="32" t="str" cm="1">
        <f t="array" aca="1" ref="AW492" ca="1">IFERROR(_xlfn.IFS(OR($M492="",$AM492=""),"",OR($C492="Offered",$C492="Joined"),($AM492-$M492)-$AT492),"")</f>
        <v/>
      </c>
      <c r="AX492" s="32" t="str" cm="1">
        <f t="array" aca="1" ref="AX492" ca="1">IFERROR(_xlfn.IFS(OR($M492="",$AS492=""),"",$C492="Joined",($AS492-$M492)-$AT492),"")</f>
        <v/>
      </c>
      <c r="AY492" s="30" t="str">
        <f>IFERROR(IF(COUNTIFS('Candidate Tracker'!$E:$E,'Positions Tracker'!$B492,'Candidate Tracker'!$C:$C,"Offer Drop")=0,"",COUNTIFS('Candidate Tracker'!$E:$E,'Positions Tracker'!$B492,'Candidate Tracker'!$C:$C,"Offer Drop")),"")</f>
        <v/>
      </c>
      <c r="AZ49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2" s="34" t="str">
        <f>IFERROR(IF(COUNTIFS('Candidate Tracker'!$E:$E,'Positions Tracker'!$B492,'Candidate Tracker'!$I:$I,"Female")=0,"",COUNTIFS('Candidate Tracker'!$E:$E,'Positions Tracker'!$B492,'Candidate Tracker'!$I:$I,"Female")),"")</f>
        <v/>
      </c>
      <c r="BB492" s="34" t="str">
        <f>IFERROR(IF(COUNTIFS('Candidate Tracker'!$E:$E,'Positions Tracker'!$B492,'Candidate Tracker'!$I:$I,"male")=0,"",COUNTIFS('Candidate Tracker'!$E:$E,'Positions Tracker'!$B492,'Candidate Tracker'!$I:$I,"male")),"")</f>
        <v/>
      </c>
      <c r="BC492" s="33" t="str">
        <f>IFERROR(IF(COUNTIFS('Candidate Tracker'!$E:$E,'Positions Tracker'!$B492,'Candidate Tracker'!$C:$C,"&lt;&gt;WIP",'Candidate Tracker'!$C:$C,"&lt;&gt;Hold",'Candidate Tracker'!$C:$C,"&lt;&gt;Cancelled",'Candidate Tracker'!$C:$C,"&lt;&gt;Closed")/COUNTIFS('Candidate Tracker'!$E:$E,'Positions Tracker'!$B492)=0,"",COUNTIFS('Candidate Tracker'!$E:$E,'Positions Tracker'!$B492,'Candidate Tracker'!$C:$C,"&lt;&gt;WIP",'Candidate Tracker'!$C:$C,"&lt;&gt;Hold",'Candidate Tracker'!$C:$C,"&lt;&gt;Cancelled",'Candidate Tracker'!$C:$C,"&lt;&gt;Closed")/COUNTIFS('Candidate Tracker'!$E:$E,'Positions Tracker'!$B492)),"")</f>
        <v/>
      </c>
      <c r="BD492" s="30" t="str">
        <f t="shared" si="57"/>
        <v/>
      </c>
      <c r="BE492" s="30" t="str">
        <f t="shared" si="58"/>
        <v/>
      </c>
      <c r="BF492" s="30" t="str">
        <f t="shared" si="59"/>
        <v/>
      </c>
      <c r="BG492" s="30" t="str">
        <f t="shared" si="60"/>
        <v/>
      </c>
    </row>
    <row r="493" spans="1:59">
      <c r="A493" s="39"/>
      <c r="B493" s="39"/>
      <c r="C493" s="39"/>
      <c r="D493" s="39"/>
      <c r="E493" s="39"/>
      <c r="F493" s="39"/>
      <c r="G493" s="39"/>
      <c r="H493" s="39"/>
      <c r="I493" s="40"/>
      <c r="J493" s="40"/>
      <c r="K493" s="35"/>
      <c r="L493" s="35"/>
      <c r="M493" s="35"/>
      <c r="N493" s="39"/>
      <c r="O493" s="39"/>
      <c r="P493" s="39"/>
      <c r="Q493" s="39"/>
      <c r="R493" s="39"/>
      <c r="S493" s="39"/>
      <c r="T493" s="39"/>
      <c r="U493" s="39"/>
      <c r="V493" s="39"/>
      <c r="W493" s="39"/>
      <c r="X493" s="39"/>
      <c r="Y493" s="39"/>
      <c r="Z493" s="39"/>
      <c r="AA493" s="39"/>
      <c r="AB493" s="39"/>
      <c r="AC493" s="39"/>
      <c r="AD493" s="39"/>
      <c r="AE493" s="39"/>
      <c r="AF493" s="39"/>
      <c r="AG493" s="39"/>
      <c r="AH493" s="39"/>
      <c r="AI493" s="35"/>
      <c r="AJ493" s="39"/>
      <c r="AK493" s="39"/>
      <c r="AL493" s="39"/>
      <c r="AM493" s="35"/>
      <c r="AN493" s="35"/>
      <c r="AO493" s="39"/>
      <c r="AP493" s="39"/>
      <c r="AQ493" s="35"/>
      <c r="AR493" s="35"/>
      <c r="AS493" s="35"/>
      <c r="AT493" s="30">
        <f t="shared" ca="1" si="56"/>
        <v>0</v>
      </c>
      <c r="AU493" s="32" t="str">
        <f t="shared" ca="1" si="55"/>
        <v/>
      </c>
      <c r="AV493" s="32" t="str" cm="1">
        <f t="array" aca="1" ref="AV493" ca="1">IFERROR(_xlfn.IFS($AU493="","",$AU493&lt;=15,"0-15",AND($AU493&gt;=16,$AU493&lt;=30),"16-30",AND($AU493&gt;=31,$AU493&lt;=45),"31-45",AND($AU493&gt;=46,$AU493&lt;=60),"46-60",AND($AU493&gt;=61,$AU493&lt;=90),"61-90",AND($AU493&gt;=91),"&gt; 90",AND($AU493&gt;=2000),""),"")</f>
        <v/>
      </c>
      <c r="AW493" s="32" t="str" cm="1">
        <f t="array" aca="1" ref="AW493" ca="1">IFERROR(_xlfn.IFS(OR($M493="",$AM493=""),"",OR($C493="Offered",$C493="Joined"),($AM493-$M493)-$AT493),"")</f>
        <v/>
      </c>
      <c r="AX493" s="32" t="str" cm="1">
        <f t="array" aca="1" ref="AX493" ca="1">IFERROR(_xlfn.IFS(OR($M493="",$AS493=""),"",$C493="Joined",($AS493-$M493)-$AT493),"")</f>
        <v/>
      </c>
      <c r="AY493" s="30" t="str">
        <f>IFERROR(IF(COUNTIFS('Candidate Tracker'!$E:$E,'Positions Tracker'!$B493,'Candidate Tracker'!$C:$C,"Offer Drop")=0,"",COUNTIFS('Candidate Tracker'!$E:$E,'Positions Tracker'!$B493,'Candidate Tracker'!$C:$C,"Offer Drop")),"")</f>
        <v/>
      </c>
      <c r="AZ49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3" s="34" t="str">
        <f>IFERROR(IF(COUNTIFS('Candidate Tracker'!$E:$E,'Positions Tracker'!$B493,'Candidate Tracker'!$I:$I,"Female")=0,"",COUNTIFS('Candidate Tracker'!$E:$E,'Positions Tracker'!$B493,'Candidate Tracker'!$I:$I,"Female")),"")</f>
        <v/>
      </c>
      <c r="BB493" s="34" t="str">
        <f>IFERROR(IF(COUNTIFS('Candidate Tracker'!$E:$E,'Positions Tracker'!$B493,'Candidate Tracker'!$I:$I,"male")=0,"",COUNTIFS('Candidate Tracker'!$E:$E,'Positions Tracker'!$B493,'Candidate Tracker'!$I:$I,"male")),"")</f>
        <v/>
      </c>
      <c r="BC493" s="33" t="str">
        <f>IFERROR(IF(COUNTIFS('Candidate Tracker'!$E:$E,'Positions Tracker'!$B493,'Candidate Tracker'!$C:$C,"&lt;&gt;WIP",'Candidate Tracker'!$C:$C,"&lt;&gt;Hold",'Candidate Tracker'!$C:$C,"&lt;&gt;Cancelled",'Candidate Tracker'!$C:$C,"&lt;&gt;Closed")/COUNTIFS('Candidate Tracker'!$E:$E,'Positions Tracker'!$B493)=0,"",COUNTIFS('Candidate Tracker'!$E:$E,'Positions Tracker'!$B493,'Candidate Tracker'!$C:$C,"&lt;&gt;WIP",'Candidate Tracker'!$C:$C,"&lt;&gt;Hold",'Candidate Tracker'!$C:$C,"&lt;&gt;Cancelled",'Candidate Tracker'!$C:$C,"&lt;&gt;Closed")/COUNTIFS('Candidate Tracker'!$E:$E,'Positions Tracker'!$B493)),"")</f>
        <v/>
      </c>
      <c r="BD493" s="30" t="str">
        <f t="shared" si="57"/>
        <v/>
      </c>
      <c r="BE493" s="30" t="str">
        <f t="shared" si="58"/>
        <v/>
      </c>
      <c r="BF493" s="30" t="str">
        <f t="shared" si="59"/>
        <v/>
      </c>
      <c r="BG493" s="30" t="str">
        <f t="shared" si="60"/>
        <v/>
      </c>
    </row>
    <row r="494" spans="1:59">
      <c r="A494" s="39"/>
      <c r="B494" s="39"/>
      <c r="C494" s="39"/>
      <c r="D494" s="39"/>
      <c r="E494" s="39"/>
      <c r="F494" s="39"/>
      <c r="G494" s="39"/>
      <c r="H494" s="39"/>
      <c r="I494" s="40"/>
      <c r="J494" s="40"/>
      <c r="K494" s="35"/>
      <c r="L494" s="35"/>
      <c r="M494" s="35"/>
      <c r="N494" s="39"/>
      <c r="O494" s="39"/>
      <c r="P494" s="39"/>
      <c r="Q494" s="39"/>
      <c r="R494" s="39"/>
      <c r="S494" s="39"/>
      <c r="T494" s="39"/>
      <c r="U494" s="39"/>
      <c r="V494" s="39"/>
      <c r="W494" s="39"/>
      <c r="X494" s="39"/>
      <c r="Y494" s="39"/>
      <c r="Z494" s="39"/>
      <c r="AA494" s="39"/>
      <c r="AB494" s="39"/>
      <c r="AC494" s="39"/>
      <c r="AD494" s="39"/>
      <c r="AE494" s="39"/>
      <c r="AF494" s="39"/>
      <c r="AG494" s="39"/>
      <c r="AH494" s="39"/>
      <c r="AI494" s="35"/>
      <c r="AJ494" s="39"/>
      <c r="AK494" s="39"/>
      <c r="AL494" s="39"/>
      <c r="AM494" s="35"/>
      <c r="AN494" s="35"/>
      <c r="AO494" s="39"/>
      <c r="AP494" s="39"/>
      <c r="AQ494" s="35"/>
      <c r="AR494" s="35"/>
      <c r="AS494" s="35"/>
      <c r="AT494" s="30">
        <f t="shared" ca="1" si="56"/>
        <v>0</v>
      </c>
      <c r="AU494" s="32" t="str">
        <f t="shared" ca="1" si="55"/>
        <v/>
      </c>
      <c r="AV494" s="32" t="str" cm="1">
        <f t="array" aca="1" ref="AV494" ca="1">IFERROR(_xlfn.IFS($AU494="","",$AU494&lt;=15,"0-15",AND($AU494&gt;=16,$AU494&lt;=30),"16-30",AND($AU494&gt;=31,$AU494&lt;=45),"31-45",AND($AU494&gt;=46,$AU494&lt;=60),"46-60",AND($AU494&gt;=61,$AU494&lt;=90),"61-90",AND($AU494&gt;=91),"&gt; 90",AND($AU494&gt;=2000),""),"")</f>
        <v/>
      </c>
      <c r="AW494" s="32" t="str" cm="1">
        <f t="array" aca="1" ref="AW494" ca="1">IFERROR(_xlfn.IFS(OR($M494="",$AM494=""),"",OR($C494="Offered",$C494="Joined"),($AM494-$M494)-$AT494),"")</f>
        <v/>
      </c>
      <c r="AX494" s="32" t="str" cm="1">
        <f t="array" aca="1" ref="AX494" ca="1">IFERROR(_xlfn.IFS(OR($M494="",$AS494=""),"",$C494="Joined",($AS494-$M494)-$AT494),"")</f>
        <v/>
      </c>
      <c r="AY494" s="30" t="str">
        <f>IFERROR(IF(COUNTIFS('Candidate Tracker'!$E:$E,'Positions Tracker'!$B494,'Candidate Tracker'!$C:$C,"Offer Drop")=0,"",COUNTIFS('Candidate Tracker'!$E:$E,'Positions Tracker'!$B494,'Candidate Tracker'!$C:$C,"Offer Drop")),"")</f>
        <v/>
      </c>
      <c r="AZ49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4" s="34" t="str">
        <f>IFERROR(IF(COUNTIFS('Candidate Tracker'!$E:$E,'Positions Tracker'!$B494,'Candidate Tracker'!$I:$I,"Female")=0,"",COUNTIFS('Candidate Tracker'!$E:$E,'Positions Tracker'!$B494,'Candidate Tracker'!$I:$I,"Female")),"")</f>
        <v/>
      </c>
      <c r="BB494" s="34" t="str">
        <f>IFERROR(IF(COUNTIFS('Candidate Tracker'!$E:$E,'Positions Tracker'!$B494,'Candidate Tracker'!$I:$I,"male")=0,"",COUNTIFS('Candidate Tracker'!$E:$E,'Positions Tracker'!$B494,'Candidate Tracker'!$I:$I,"male")),"")</f>
        <v/>
      </c>
      <c r="BC494" s="33" t="str">
        <f>IFERROR(IF(COUNTIFS('Candidate Tracker'!$E:$E,'Positions Tracker'!$B494,'Candidate Tracker'!$C:$C,"&lt;&gt;WIP",'Candidate Tracker'!$C:$C,"&lt;&gt;Hold",'Candidate Tracker'!$C:$C,"&lt;&gt;Cancelled",'Candidate Tracker'!$C:$C,"&lt;&gt;Closed")/COUNTIFS('Candidate Tracker'!$E:$E,'Positions Tracker'!$B494)=0,"",COUNTIFS('Candidate Tracker'!$E:$E,'Positions Tracker'!$B494,'Candidate Tracker'!$C:$C,"&lt;&gt;WIP",'Candidate Tracker'!$C:$C,"&lt;&gt;Hold",'Candidate Tracker'!$C:$C,"&lt;&gt;Cancelled",'Candidate Tracker'!$C:$C,"&lt;&gt;Closed")/COUNTIFS('Candidate Tracker'!$E:$E,'Positions Tracker'!$B494)),"")</f>
        <v/>
      </c>
      <c r="BD494" s="30" t="str">
        <f t="shared" si="57"/>
        <v/>
      </c>
      <c r="BE494" s="30" t="str">
        <f t="shared" si="58"/>
        <v/>
      </c>
      <c r="BF494" s="30" t="str">
        <f t="shared" si="59"/>
        <v/>
      </c>
      <c r="BG494" s="30" t="str">
        <f t="shared" si="60"/>
        <v/>
      </c>
    </row>
    <row r="495" spans="1:59">
      <c r="A495" s="39"/>
      <c r="B495" s="39"/>
      <c r="C495" s="39"/>
      <c r="D495" s="39"/>
      <c r="E495" s="39"/>
      <c r="F495" s="39"/>
      <c r="G495" s="39"/>
      <c r="H495" s="39"/>
      <c r="I495" s="40"/>
      <c r="J495" s="40"/>
      <c r="K495" s="35"/>
      <c r="L495" s="35"/>
      <c r="M495" s="35"/>
      <c r="N495" s="39"/>
      <c r="O495" s="39"/>
      <c r="P495" s="39"/>
      <c r="Q495" s="39"/>
      <c r="R495" s="39"/>
      <c r="S495" s="39"/>
      <c r="T495" s="39"/>
      <c r="U495" s="39"/>
      <c r="V495" s="39"/>
      <c r="W495" s="39"/>
      <c r="X495" s="39"/>
      <c r="Y495" s="39"/>
      <c r="Z495" s="39"/>
      <c r="AA495" s="39"/>
      <c r="AB495" s="39"/>
      <c r="AC495" s="39"/>
      <c r="AD495" s="39"/>
      <c r="AE495" s="39"/>
      <c r="AF495" s="39"/>
      <c r="AG495" s="39"/>
      <c r="AH495" s="39"/>
      <c r="AI495" s="35"/>
      <c r="AJ495" s="39"/>
      <c r="AK495" s="39"/>
      <c r="AL495" s="39"/>
      <c r="AM495" s="35"/>
      <c r="AN495" s="35"/>
      <c r="AO495" s="39"/>
      <c r="AP495" s="39"/>
      <c r="AQ495" s="35"/>
      <c r="AR495" s="35"/>
      <c r="AS495" s="35"/>
      <c r="AT495" s="30">
        <f t="shared" ca="1" si="56"/>
        <v>0</v>
      </c>
      <c r="AU495" s="32" t="str">
        <f t="shared" ca="1" si="55"/>
        <v/>
      </c>
      <c r="AV495" s="32" t="str" cm="1">
        <f t="array" aca="1" ref="AV495" ca="1">IFERROR(_xlfn.IFS($AU495="","",$AU495&lt;=15,"0-15",AND($AU495&gt;=16,$AU495&lt;=30),"16-30",AND($AU495&gt;=31,$AU495&lt;=45),"31-45",AND($AU495&gt;=46,$AU495&lt;=60),"46-60",AND($AU495&gt;=61,$AU495&lt;=90),"61-90",AND($AU495&gt;=91),"&gt; 90",AND($AU495&gt;=2000),""),"")</f>
        <v/>
      </c>
      <c r="AW495" s="32" t="str" cm="1">
        <f t="array" aca="1" ref="AW495" ca="1">IFERROR(_xlfn.IFS(OR($M495="",$AM495=""),"",OR($C495="Offered",$C495="Joined"),($AM495-$M495)-$AT495),"")</f>
        <v/>
      </c>
      <c r="AX495" s="32" t="str" cm="1">
        <f t="array" aca="1" ref="AX495" ca="1">IFERROR(_xlfn.IFS(OR($M495="",$AS495=""),"",$C495="Joined",($AS495-$M495)-$AT495),"")</f>
        <v/>
      </c>
      <c r="AY495" s="30" t="str">
        <f>IFERROR(IF(COUNTIFS('Candidate Tracker'!$E:$E,'Positions Tracker'!$B495,'Candidate Tracker'!$C:$C,"Offer Drop")=0,"",COUNTIFS('Candidate Tracker'!$E:$E,'Positions Tracker'!$B495,'Candidate Tracker'!$C:$C,"Offer Drop")),"")</f>
        <v/>
      </c>
      <c r="AZ49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5" s="34" t="str">
        <f>IFERROR(IF(COUNTIFS('Candidate Tracker'!$E:$E,'Positions Tracker'!$B495,'Candidate Tracker'!$I:$I,"Female")=0,"",COUNTIFS('Candidate Tracker'!$E:$E,'Positions Tracker'!$B495,'Candidate Tracker'!$I:$I,"Female")),"")</f>
        <v/>
      </c>
      <c r="BB495" s="34" t="str">
        <f>IFERROR(IF(COUNTIFS('Candidate Tracker'!$E:$E,'Positions Tracker'!$B495,'Candidate Tracker'!$I:$I,"male")=0,"",COUNTIFS('Candidate Tracker'!$E:$E,'Positions Tracker'!$B495,'Candidate Tracker'!$I:$I,"male")),"")</f>
        <v/>
      </c>
      <c r="BC495" s="33" t="str">
        <f>IFERROR(IF(COUNTIFS('Candidate Tracker'!$E:$E,'Positions Tracker'!$B495,'Candidate Tracker'!$C:$C,"&lt;&gt;WIP",'Candidate Tracker'!$C:$C,"&lt;&gt;Hold",'Candidate Tracker'!$C:$C,"&lt;&gt;Cancelled",'Candidate Tracker'!$C:$C,"&lt;&gt;Closed")/COUNTIFS('Candidate Tracker'!$E:$E,'Positions Tracker'!$B495)=0,"",COUNTIFS('Candidate Tracker'!$E:$E,'Positions Tracker'!$B495,'Candidate Tracker'!$C:$C,"&lt;&gt;WIP",'Candidate Tracker'!$C:$C,"&lt;&gt;Hold",'Candidate Tracker'!$C:$C,"&lt;&gt;Cancelled",'Candidate Tracker'!$C:$C,"&lt;&gt;Closed")/COUNTIFS('Candidate Tracker'!$E:$E,'Positions Tracker'!$B495)),"")</f>
        <v/>
      </c>
      <c r="BD495" s="30" t="str">
        <f t="shared" si="57"/>
        <v/>
      </c>
      <c r="BE495" s="30" t="str">
        <f t="shared" si="58"/>
        <v/>
      </c>
      <c r="BF495" s="30" t="str">
        <f t="shared" si="59"/>
        <v/>
      </c>
      <c r="BG495" s="30" t="str">
        <f t="shared" si="60"/>
        <v/>
      </c>
    </row>
    <row r="496" spans="1:59">
      <c r="A496" s="39"/>
      <c r="B496" s="39"/>
      <c r="C496" s="39"/>
      <c r="D496" s="39"/>
      <c r="E496" s="39"/>
      <c r="F496" s="39"/>
      <c r="G496" s="39"/>
      <c r="H496" s="39"/>
      <c r="I496" s="40"/>
      <c r="J496" s="40"/>
      <c r="K496" s="35"/>
      <c r="L496" s="35"/>
      <c r="M496" s="35"/>
      <c r="N496" s="39"/>
      <c r="O496" s="39"/>
      <c r="P496" s="39"/>
      <c r="Q496" s="39"/>
      <c r="R496" s="39"/>
      <c r="S496" s="39"/>
      <c r="T496" s="39"/>
      <c r="U496" s="39"/>
      <c r="V496" s="39"/>
      <c r="W496" s="39"/>
      <c r="X496" s="39"/>
      <c r="Y496" s="39"/>
      <c r="Z496" s="39"/>
      <c r="AA496" s="39"/>
      <c r="AB496" s="39"/>
      <c r="AC496" s="39"/>
      <c r="AD496" s="39"/>
      <c r="AE496" s="39"/>
      <c r="AF496" s="39"/>
      <c r="AG496" s="39"/>
      <c r="AH496" s="39"/>
      <c r="AI496" s="35"/>
      <c r="AJ496" s="39"/>
      <c r="AK496" s="39"/>
      <c r="AL496" s="39"/>
      <c r="AM496" s="35"/>
      <c r="AN496" s="35"/>
      <c r="AO496" s="39"/>
      <c r="AP496" s="39"/>
      <c r="AQ496" s="35"/>
      <c r="AR496" s="35"/>
      <c r="AS496" s="35"/>
      <c r="AT496" s="30">
        <f t="shared" ca="1" si="56"/>
        <v>0</v>
      </c>
      <c r="AU496" s="32" t="str">
        <f t="shared" ca="1" si="55"/>
        <v/>
      </c>
      <c r="AV496" s="32" t="str" cm="1">
        <f t="array" aca="1" ref="AV496" ca="1">IFERROR(_xlfn.IFS($AU496="","",$AU496&lt;=15,"0-15",AND($AU496&gt;=16,$AU496&lt;=30),"16-30",AND($AU496&gt;=31,$AU496&lt;=45),"31-45",AND($AU496&gt;=46,$AU496&lt;=60),"46-60",AND($AU496&gt;=61,$AU496&lt;=90),"61-90",AND($AU496&gt;=91),"&gt; 90",AND($AU496&gt;=2000),""),"")</f>
        <v/>
      </c>
      <c r="AW496" s="32" t="str" cm="1">
        <f t="array" aca="1" ref="AW496" ca="1">IFERROR(_xlfn.IFS(OR($M496="",$AM496=""),"",OR($C496="Offered",$C496="Joined"),($AM496-$M496)-$AT496),"")</f>
        <v/>
      </c>
      <c r="AX496" s="32" t="str" cm="1">
        <f t="array" aca="1" ref="AX496" ca="1">IFERROR(_xlfn.IFS(OR($M496="",$AS496=""),"",$C496="Joined",($AS496-$M496)-$AT496),"")</f>
        <v/>
      </c>
      <c r="AY496" s="30" t="str">
        <f>IFERROR(IF(COUNTIFS('Candidate Tracker'!$E:$E,'Positions Tracker'!$B496,'Candidate Tracker'!$C:$C,"Offer Drop")=0,"",COUNTIFS('Candidate Tracker'!$E:$E,'Positions Tracker'!$B496,'Candidate Tracker'!$C:$C,"Offer Drop")),"")</f>
        <v/>
      </c>
      <c r="AZ49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6" s="34" t="str">
        <f>IFERROR(IF(COUNTIFS('Candidate Tracker'!$E:$E,'Positions Tracker'!$B496,'Candidate Tracker'!$I:$I,"Female")=0,"",COUNTIFS('Candidate Tracker'!$E:$E,'Positions Tracker'!$B496,'Candidate Tracker'!$I:$I,"Female")),"")</f>
        <v/>
      </c>
      <c r="BB496" s="34" t="str">
        <f>IFERROR(IF(COUNTIFS('Candidate Tracker'!$E:$E,'Positions Tracker'!$B496,'Candidate Tracker'!$I:$I,"male")=0,"",COUNTIFS('Candidate Tracker'!$E:$E,'Positions Tracker'!$B496,'Candidate Tracker'!$I:$I,"male")),"")</f>
        <v/>
      </c>
      <c r="BC496" s="33" t="str">
        <f>IFERROR(IF(COUNTIFS('Candidate Tracker'!$E:$E,'Positions Tracker'!$B496,'Candidate Tracker'!$C:$C,"&lt;&gt;WIP",'Candidate Tracker'!$C:$C,"&lt;&gt;Hold",'Candidate Tracker'!$C:$C,"&lt;&gt;Cancelled",'Candidate Tracker'!$C:$C,"&lt;&gt;Closed")/COUNTIFS('Candidate Tracker'!$E:$E,'Positions Tracker'!$B496)=0,"",COUNTIFS('Candidate Tracker'!$E:$E,'Positions Tracker'!$B496,'Candidate Tracker'!$C:$C,"&lt;&gt;WIP",'Candidate Tracker'!$C:$C,"&lt;&gt;Hold",'Candidate Tracker'!$C:$C,"&lt;&gt;Cancelled",'Candidate Tracker'!$C:$C,"&lt;&gt;Closed")/COUNTIFS('Candidate Tracker'!$E:$E,'Positions Tracker'!$B496)),"")</f>
        <v/>
      </c>
      <c r="BD496" s="30" t="str">
        <f t="shared" si="57"/>
        <v/>
      </c>
      <c r="BE496" s="30" t="str">
        <f t="shared" si="58"/>
        <v/>
      </c>
      <c r="BF496" s="30" t="str">
        <f t="shared" si="59"/>
        <v/>
      </c>
      <c r="BG496" s="30" t="str">
        <f t="shared" si="60"/>
        <v/>
      </c>
    </row>
    <row r="497" spans="1:59">
      <c r="A497" s="39"/>
      <c r="B497" s="39"/>
      <c r="C497" s="39"/>
      <c r="D497" s="39"/>
      <c r="E497" s="39"/>
      <c r="F497" s="39"/>
      <c r="G497" s="39"/>
      <c r="H497" s="39"/>
      <c r="I497" s="40"/>
      <c r="J497" s="40"/>
      <c r="K497" s="35"/>
      <c r="L497" s="35"/>
      <c r="M497" s="35"/>
      <c r="N497" s="39"/>
      <c r="O497" s="39"/>
      <c r="P497" s="39"/>
      <c r="Q497" s="39"/>
      <c r="R497" s="39"/>
      <c r="S497" s="39"/>
      <c r="T497" s="39"/>
      <c r="U497" s="39"/>
      <c r="V497" s="39"/>
      <c r="W497" s="39"/>
      <c r="X497" s="39"/>
      <c r="Y497" s="39"/>
      <c r="Z497" s="39"/>
      <c r="AA497" s="39"/>
      <c r="AB497" s="39"/>
      <c r="AC497" s="39"/>
      <c r="AD497" s="39"/>
      <c r="AE497" s="39"/>
      <c r="AF497" s="39"/>
      <c r="AG497" s="39"/>
      <c r="AH497" s="39"/>
      <c r="AI497" s="35"/>
      <c r="AJ497" s="39"/>
      <c r="AK497" s="39"/>
      <c r="AL497" s="39"/>
      <c r="AM497" s="35"/>
      <c r="AN497" s="35"/>
      <c r="AO497" s="39"/>
      <c r="AP497" s="39"/>
      <c r="AQ497" s="35"/>
      <c r="AR497" s="35"/>
      <c r="AS497" s="35"/>
      <c r="AT497" s="30">
        <f t="shared" ca="1" si="56"/>
        <v>0</v>
      </c>
      <c r="AU497" s="32" t="str">
        <f t="shared" ca="1" si="55"/>
        <v/>
      </c>
      <c r="AV497" s="32" t="str" cm="1">
        <f t="array" aca="1" ref="AV497" ca="1">IFERROR(_xlfn.IFS($AU497="","",$AU497&lt;=15,"0-15",AND($AU497&gt;=16,$AU497&lt;=30),"16-30",AND($AU497&gt;=31,$AU497&lt;=45),"31-45",AND($AU497&gt;=46,$AU497&lt;=60),"46-60",AND($AU497&gt;=61,$AU497&lt;=90),"61-90",AND($AU497&gt;=91),"&gt; 90",AND($AU497&gt;=2000),""),"")</f>
        <v/>
      </c>
      <c r="AW497" s="32" t="str" cm="1">
        <f t="array" aca="1" ref="AW497" ca="1">IFERROR(_xlfn.IFS(OR($M497="",$AM497=""),"",OR($C497="Offered",$C497="Joined"),($AM497-$M497)-$AT497),"")</f>
        <v/>
      </c>
      <c r="AX497" s="32" t="str" cm="1">
        <f t="array" aca="1" ref="AX497" ca="1">IFERROR(_xlfn.IFS(OR($M497="",$AS497=""),"",$C497="Joined",($AS497-$M497)-$AT497),"")</f>
        <v/>
      </c>
      <c r="AY497" s="30" t="str">
        <f>IFERROR(IF(COUNTIFS('Candidate Tracker'!$E:$E,'Positions Tracker'!$B497,'Candidate Tracker'!$C:$C,"Offer Drop")=0,"",COUNTIFS('Candidate Tracker'!$E:$E,'Positions Tracker'!$B497,'Candidate Tracker'!$C:$C,"Offer Drop")),"")</f>
        <v/>
      </c>
      <c r="AZ49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7" s="34" t="str">
        <f>IFERROR(IF(COUNTIFS('Candidate Tracker'!$E:$E,'Positions Tracker'!$B497,'Candidate Tracker'!$I:$I,"Female")=0,"",COUNTIFS('Candidate Tracker'!$E:$E,'Positions Tracker'!$B497,'Candidate Tracker'!$I:$I,"Female")),"")</f>
        <v/>
      </c>
      <c r="BB497" s="34" t="str">
        <f>IFERROR(IF(COUNTIFS('Candidate Tracker'!$E:$E,'Positions Tracker'!$B497,'Candidate Tracker'!$I:$I,"male")=0,"",COUNTIFS('Candidate Tracker'!$E:$E,'Positions Tracker'!$B497,'Candidate Tracker'!$I:$I,"male")),"")</f>
        <v/>
      </c>
      <c r="BC497" s="33" t="str">
        <f>IFERROR(IF(COUNTIFS('Candidate Tracker'!$E:$E,'Positions Tracker'!$B497,'Candidate Tracker'!$C:$C,"&lt;&gt;WIP",'Candidate Tracker'!$C:$C,"&lt;&gt;Hold",'Candidate Tracker'!$C:$C,"&lt;&gt;Cancelled",'Candidate Tracker'!$C:$C,"&lt;&gt;Closed")/COUNTIFS('Candidate Tracker'!$E:$E,'Positions Tracker'!$B497)=0,"",COUNTIFS('Candidate Tracker'!$E:$E,'Positions Tracker'!$B497,'Candidate Tracker'!$C:$C,"&lt;&gt;WIP",'Candidate Tracker'!$C:$C,"&lt;&gt;Hold",'Candidate Tracker'!$C:$C,"&lt;&gt;Cancelled",'Candidate Tracker'!$C:$C,"&lt;&gt;Closed")/COUNTIFS('Candidate Tracker'!$E:$E,'Positions Tracker'!$B497)),"")</f>
        <v/>
      </c>
      <c r="BD497" s="30" t="str">
        <f t="shared" si="57"/>
        <v/>
      </c>
      <c r="BE497" s="30" t="str">
        <f t="shared" si="58"/>
        <v/>
      </c>
      <c r="BF497" s="30" t="str">
        <f t="shared" si="59"/>
        <v/>
      </c>
      <c r="BG497" s="30" t="str">
        <f t="shared" si="60"/>
        <v/>
      </c>
    </row>
    <row r="498" spans="1:59">
      <c r="A498" s="39"/>
      <c r="B498" s="39"/>
      <c r="C498" s="39"/>
      <c r="D498" s="39"/>
      <c r="E498" s="39"/>
      <c r="F498" s="39"/>
      <c r="G498" s="39"/>
      <c r="H498" s="39"/>
      <c r="I498" s="40"/>
      <c r="J498" s="40"/>
      <c r="K498" s="35"/>
      <c r="L498" s="35"/>
      <c r="M498" s="35"/>
      <c r="N498" s="39"/>
      <c r="O498" s="39"/>
      <c r="P498" s="39"/>
      <c r="Q498" s="39"/>
      <c r="R498" s="39"/>
      <c r="S498" s="39"/>
      <c r="T498" s="39"/>
      <c r="U498" s="39"/>
      <c r="V498" s="39"/>
      <c r="W498" s="39"/>
      <c r="X498" s="39"/>
      <c r="Y498" s="39"/>
      <c r="Z498" s="39"/>
      <c r="AA498" s="39"/>
      <c r="AB498" s="39"/>
      <c r="AC498" s="39"/>
      <c r="AD498" s="39"/>
      <c r="AE498" s="39"/>
      <c r="AF498" s="39"/>
      <c r="AG498" s="39"/>
      <c r="AH498" s="39"/>
      <c r="AI498" s="35"/>
      <c r="AJ498" s="39"/>
      <c r="AK498" s="39"/>
      <c r="AL498" s="39"/>
      <c r="AM498" s="35"/>
      <c r="AN498" s="35"/>
      <c r="AO498" s="39"/>
      <c r="AP498" s="39"/>
      <c r="AQ498" s="35"/>
      <c r="AR498" s="35"/>
      <c r="AS498" s="35"/>
      <c r="AT498" s="30">
        <f t="shared" ca="1" si="56"/>
        <v>0</v>
      </c>
      <c r="AU498" s="32" t="str">
        <f t="shared" ca="1" si="55"/>
        <v/>
      </c>
      <c r="AV498" s="32" t="str" cm="1">
        <f t="array" aca="1" ref="AV498" ca="1">IFERROR(_xlfn.IFS($AU498="","",$AU498&lt;=15,"0-15",AND($AU498&gt;=16,$AU498&lt;=30),"16-30",AND($AU498&gt;=31,$AU498&lt;=45),"31-45",AND($AU498&gt;=46,$AU498&lt;=60),"46-60",AND($AU498&gt;=61,$AU498&lt;=90),"61-90",AND($AU498&gt;=91),"&gt; 90",AND($AU498&gt;=2000),""),"")</f>
        <v/>
      </c>
      <c r="AW498" s="32" t="str" cm="1">
        <f t="array" aca="1" ref="AW498" ca="1">IFERROR(_xlfn.IFS(OR($M498="",$AM498=""),"",OR($C498="Offered",$C498="Joined"),($AM498-$M498)-$AT498),"")</f>
        <v/>
      </c>
      <c r="AX498" s="32" t="str" cm="1">
        <f t="array" aca="1" ref="AX498" ca="1">IFERROR(_xlfn.IFS(OR($M498="",$AS498=""),"",$C498="Joined",($AS498-$M498)-$AT498),"")</f>
        <v/>
      </c>
      <c r="AY498" s="30" t="str">
        <f>IFERROR(IF(COUNTIFS('Candidate Tracker'!$E:$E,'Positions Tracker'!$B498,'Candidate Tracker'!$C:$C,"Offer Drop")=0,"",COUNTIFS('Candidate Tracker'!$E:$E,'Positions Tracker'!$B498,'Candidate Tracker'!$C:$C,"Offer Drop")),"")</f>
        <v/>
      </c>
      <c r="AZ49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8" s="34" t="str">
        <f>IFERROR(IF(COUNTIFS('Candidate Tracker'!$E:$E,'Positions Tracker'!$B498,'Candidate Tracker'!$I:$I,"Female")=0,"",COUNTIFS('Candidate Tracker'!$E:$E,'Positions Tracker'!$B498,'Candidate Tracker'!$I:$I,"Female")),"")</f>
        <v/>
      </c>
      <c r="BB498" s="34" t="str">
        <f>IFERROR(IF(COUNTIFS('Candidate Tracker'!$E:$E,'Positions Tracker'!$B498,'Candidate Tracker'!$I:$I,"male")=0,"",COUNTIFS('Candidate Tracker'!$E:$E,'Positions Tracker'!$B498,'Candidate Tracker'!$I:$I,"male")),"")</f>
        <v/>
      </c>
      <c r="BC498" s="33" t="str">
        <f>IFERROR(IF(COUNTIFS('Candidate Tracker'!$E:$E,'Positions Tracker'!$B498,'Candidate Tracker'!$C:$C,"&lt;&gt;WIP",'Candidate Tracker'!$C:$C,"&lt;&gt;Hold",'Candidate Tracker'!$C:$C,"&lt;&gt;Cancelled",'Candidate Tracker'!$C:$C,"&lt;&gt;Closed")/COUNTIFS('Candidate Tracker'!$E:$E,'Positions Tracker'!$B498)=0,"",COUNTIFS('Candidate Tracker'!$E:$E,'Positions Tracker'!$B498,'Candidate Tracker'!$C:$C,"&lt;&gt;WIP",'Candidate Tracker'!$C:$C,"&lt;&gt;Hold",'Candidate Tracker'!$C:$C,"&lt;&gt;Cancelled",'Candidate Tracker'!$C:$C,"&lt;&gt;Closed")/COUNTIFS('Candidate Tracker'!$E:$E,'Positions Tracker'!$B498)),"")</f>
        <v/>
      </c>
      <c r="BD498" s="30" t="str">
        <f t="shared" si="57"/>
        <v/>
      </c>
      <c r="BE498" s="30" t="str">
        <f t="shared" si="58"/>
        <v/>
      </c>
      <c r="BF498" s="30" t="str">
        <f t="shared" si="59"/>
        <v/>
      </c>
      <c r="BG498" s="30" t="str">
        <f t="shared" si="60"/>
        <v/>
      </c>
    </row>
    <row r="499" spans="1:59">
      <c r="A499" s="39"/>
      <c r="B499" s="39"/>
      <c r="C499" s="39"/>
      <c r="D499" s="39"/>
      <c r="E499" s="39"/>
      <c r="F499" s="39"/>
      <c r="G499" s="39"/>
      <c r="H499" s="39"/>
      <c r="I499" s="40"/>
      <c r="J499" s="40"/>
      <c r="K499" s="35"/>
      <c r="L499" s="35"/>
      <c r="M499" s="35"/>
      <c r="N499" s="39"/>
      <c r="O499" s="39"/>
      <c r="P499" s="39"/>
      <c r="Q499" s="39"/>
      <c r="R499" s="39"/>
      <c r="S499" s="39"/>
      <c r="T499" s="39"/>
      <c r="U499" s="39"/>
      <c r="V499" s="39"/>
      <c r="W499" s="39"/>
      <c r="X499" s="39"/>
      <c r="Y499" s="39"/>
      <c r="Z499" s="39"/>
      <c r="AA499" s="39"/>
      <c r="AB499" s="39"/>
      <c r="AC499" s="39"/>
      <c r="AD499" s="39"/>
      <c r="AE499" s="39"/>
      <c r="AF499" s="39"/>
      <c r="AG499" s="39"/>
      <c r="AH499" s="39"/>
      <c r="AI499" s="35"/>
      <c r="AJ499" s="39"/>
      <c r="AK499" s="39"/>
      <c r="AL499" s="39"/>
      <c r="AM499" s="35"/>
      <c r="AN499" s="35"/>
      <c r="AO499" s="39"/>
      <c r="AP499" s="39"/>
      <c r="AQ499" s="35"/>
      <c r="AR499" s="35"/>
      <c r="AS499" s="35"/>
      <c r="AT499" s="30">
        <f t="shared" ca="1" si="56"/>
        <v>0</v>
      </c>
      <c r="AU499" s="32" t="str">
        <f t="shared" ca="1" si="55"/>
        <v/>
      </c>
      <c r="AV499" s="32" t="str" cm="1">
        <f t="array" aca="1" ref="AV499" ca="1">IFERROR(_xlfn.IFS($AU499="","",$AU499&lt;=15,"0-15",AND($AU499&gt;=16,$AU499&lt;=30),"16-30",AND($AU499&gt;=31,$AU499&lt;=45),"31-45",AND($AU499&gt;=46,$AU499&lt;=60),"46-60",AND($AU499&gt;=61,$AU499&lt;=90),"61-90",AND($AU499&gt;=91),"&gt; 90",AND($AU499&gt;=2000),""),"")</f>
        <v/>
      </c>
      <c r="AW499" s="32" t="str" cm="1">
        <f t="array" aca="1" ref="AW499" ca="1">IFERROR(_xlfn.IFS(OR($M499="",$AM499=""),"",OR($C499="Offered",$C499="Joined"),($AM499-$M499)-$AT499),"")</f>
        <v/>
      </c>
      <c r="AX499" s="32" t="str" cm="1">
        <f t="array" aca="1" ref="AX499" ca="1">IFERROR(_xlfn.IFS(OR($M499="",$AS499=""),"",$C499="Joined",($AS499-$M499)-$AT499),"")</f>
        <v/>
      </c>
      <c r="AY499" s="30" t="str">
        <f>IFERROR(IF(COUNTIFS('Candidate Tracker'!$E:$E,'Positions Tracker'!$B499,'Candidate Tracker'!$C:$C,"Offer Drop")=0,"",COUNTIFS('Candidate Tracker'!$E:$E,'Positions Tracker'!$B499,'Candidate Tracker'!$C:$C,"Offer Drop")),"")</f>
        <v/>
      </c>
      <c r="AZ49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499" s="34" t="str">
        <f>IFERROR(IF(COUNTIFS('Candidate Tracker'!$E:$E,'Positions Tracker'!$B499,'Candidate Tracker'!$I:$I,"Female")=0,"",COUNTIFS('Candidate Tracker'!$E:$E,'Positions Tracker'!$B499,'Candidate Tracker'!$I:$I,"Female")),"")</f>
        <v/>
      </c>
      <c r="BB499" s="34" t="str">
        <f>IFERROR(IF(COUNTIFS('Candidate Tracker'!$E:$E,'Positions Tracker'!$B499,'Candidate Tracker'!$I:$I,"male")=0,"",COUNTIFS('Candidate Tracker'!$E:$E,'Positions Tracker'!$B499,'Candidate Tracker'!$I:$I,"male")),"")</f>
        <v/>
      </c>
      <c r="BC499" s="33" t="str">
        <f>IFERROR(IF(COUNTIFS('Candidate Tracker'!$E:$E,'Positions Tracker'!$B499,'Candidate Tracker'!$C:$C,"&lt;&gt;WIP",'Candidate Tracker'!$C:$C,"&lt;&gt;Hold",'Candidate Tracker'!$C:$C,"&lt;&gt;Cancelled",'Candidate Tracker'!$C:$C,"&lt;&gt;Closed")/COUNTIFS('Candidate Tracker'!$E:$E,'Positions Tracker'!$B499)=0,"",COUNTIFS('Candidate Tracker'!$E:$E,'Positions Tracker'!$B499,'Candidate Tracker'!$C:$C,"&lt;&gt;WIP",'Candidate Tracker'!$C:$C,"&lt;&gt;Hold",'Candidate Tracker'!$C:$C,"&lt;&gt;Cancelled",'Candidate Tracker'!$C:$C,"&lt;&gt;Closed")/COUNTIFS('Candidate Tracker'!$E:$E,'Positions Tracker'!$B499)),"")</f>
        <v/>
      </c>
      <c r="BD499" s="30" t="str">
        <f t="shared" si="57"/>
        <v/>
      </c>
      <c r="BE499" s="30" t="str">
        <f t="shared" si="58"/>
        <v/>
      </c>
      <c r="BF499" s="30" t="str">
        <f t="shared" si="59"/>
        <v/>
      </c>
      <c r="BG499" s="30" t="str">
        <f t="shared" si="60"/>
        <v/>
      </c>
    </row>
    <row r="500" spans="1:59">
      <c r="A500" s="39"/>
      <c r="B500" s="39"/>
      <c r="C500" s="39"/>
      <c r="D500" s="39"/>
      <c r="E500" s="39"/>
      <c r="F500" s="39"/>
      <c r="G500" s="39"/>
      <c r="H500" s="39"/>
      <c r="I500" s="40"/>
      <c r="J500" s="40"/>
      <c r="K500" s="35"/>
      <c r="L500" s="35"/>
      <c r="M500" s="35"/>
      <c r="N500" s="39"/>
      <c r="O500" s="39"/>
      <c r="P500" s="39"/>
      <c r="Q500" s="39"/>
      <c r="R500" s="39"/>
      <c r="S500" s="39"/>
      <c r="T500" s="39"/>
      <c r="U500" s="39"/>
      <c r="V500" s="39"/>
      <c r="W500" s="39"/>
      <c r="X500" s="39"/>
      <c r="Y500" s="39"/>
      <c r="Z500" s="39"/>
      <c r="AA500" s="39"/>
      <c r="AB500" s="39"/>
      <c r="AC500" s="39"/>
      <c r="AD500" s="39"/>
      <c r="AE500" s="39"/>
      <c r="AF500" s="39"/>
      <c r="AG500" s="39"/>
      <c r="AH500" s="39"/>
      <c r="AI500" s="35"/>
      <c r="AJ500" s="39"/>
      <c r="AK500" s="39"/>
      <c r="AL500" s="39"/>
      <c r="AM500" s="35"/>
      <c r="AN500" s="35"/>
      <c r="AO500" s="39"/>
      <c r="AP500" s="39"/>
      <c r="AQ500" s="35"/>
      <c r="AR500" s="35"/>
      <c r="AS500" s="35"/>
      <c r="AT500" s="30">
        <f t="shared" ca="1" si="56"/>
        <v>0</v>
      </c>
      <c r="AU500" s="32" t="str">
        <f t="shared" ca="1" si="55"/>
        <v/>
      </c>
      <c r="AV500" s="32" t="str" cm="1">
        <f t="array" aca="1" ref="AV500" ca="1">IFERROR(_xlfn.IFS($AU500="","",$AU500&lt;=15,"0-15",AND($AU500&gt;=16,$AU500&lt;=30),"16-30",AND($AU500&gt;=31,$AU500&lt;=45),"31-45",AND($AU500&gt;=46,$AU500&lt;=60),"46-60",AND($AU500&gt;=61,$AU500&lt;=90),"61-90",AND($AU500&gt;=91),"&gt; 90",AND($AU500&gt;=2000),""),"")</f>
        <v/>
      </c>
      <c r="AW500" s="32" t="str" cm="1">
        <f t="array" aca="1" ref="AW500" ca="1">IFERROR(_xlfn.IFS(OR($M500="",$AM500=""),"",OR($C500="Offered",$C500="Joined"),($AM500-$M500)-$AT500),"")</f>
        <v/>
      </c>
      <c r="AX500" s="32" t="str" cm="1">
        <f t="array" aca="1" ref="AX500" ca="1">IFERROR(_xlfn.IFS(OR($M500="",$AS500=""),"",$C500="Joined",($AS500-$M500)-$AT500),"")</f>
        <v/>
      </c>
      <c r="AY500" s="30" t="str">
        <f>IFERROR(IF(COUNTIFS('Candidate Tracker'!$E:$E,'Positions Tracker'!$B500,'Candidate Tracker'!$C:$C,"Offer Drop")=0,"",COUNTIFS('Candidate Tracker'!$E:$E,'Positions Tracker'!$B500,'Candidate Tracker'!$C:$C,"Offer Drop")),"")</f>
        <v/>
      </c>
      <c r="AZ50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0" s="34" t="str">
        <f>IFERROR(IF(COUNTIFS('Candidate Tracker'!$E:$E,'Positions Tracker'!$B500,'Candidate Tracker'!$I:$I,"Female")=0,"",COUNTIFS('Candidate Tracker'!$E:$E,'Positions Tracker'!$B500,'Candidate Tracker'!$I:$I,"Female")),"")</f>
        <v/>
      </c>
      <c r="BB500" s="34" t="str">
        <f>IFERROR(IF(COUNTIFS('Candidate Tracker'!$E:$E,'Positions Tracker'!$B500,'Candidate Tracker'!$I:$I,"male")=0,"",COUNTIFS('Candidate Tracker'!$E:$E,'Positions Tracker'!$B500,'Candidate Tracker'!$I:$I,"male")),"")</f>
        <v/>
      </c>
      <c r="BC500" s="33" t="str">
        <f>IFERROR(IF(COUNTIFS('Candidate Tracker'!$E:$E,'Positions Tracker'!$B500,'Candidate Tracker'!$C:$C,"&lt;&gt;WIP",'Candidate Tracker'!$C:$C,"&lt;&gt;Hold",'Candidate Tracker'!$C:$C,"&lt;&gt;Cancelled",'Candidate Tracker'!$C:$C,"&lt;&gt;Closed")/COUNTIFS('Candidate Tracker'!$E:$E,'Positions Tracker'!$B500)=0,"",COUNTIFS('Candidate Tracker'!$E:$E,'Positions Tracker'!$B500,'Candidate Tracker'!$C:$C,"&lt;&gt;WIP",'Candidate Tracker'!$C:$C,"&lt;&gt;Hold",'Candidate Tracker'!$C:$C,"&lt;&gt;Cancelled",'Candidate Tracker'!$C:$C,"&lt;&gt;Closed")/COUNTIFS('Candidate Tracker'!$E:$E,'Positions Tracker'!$B500)),"")</f>
        <v/>
      </c>
      <c r="BD500" s="30" t="str">
        <f t="shared" si="57"/>
        <v/>
      </c>
      <c r="BE500" s="30" t="str">
        <f t="shared" si="58"/>
        <v/>
      </c>
      <c r="BF500" s="30" t="str">
        <f t="shared" si="59"/>
        <v/>
      </c>
      <c r="BG500" s="30" t="str">
        <f t="shared" si="60"/>
        <v/>
      </c>
    </row>
    <row r="501" spans="1:59">
      <c r="A501" s="39"/>
      <c r="B501" s="39"/>
      <c r="C501" s="39"/>
      <c r="D501" s="39"/>
      <c r="E501" s="39"/>
      <c r="F501" s="39"/>
      <c r="G501" s="39"/>
      <c r="H501" s="39"/>
      <c r="I501" s="40"/>
      <c r="J501" s="40"/>
      <c r="K501" s="35"/>
      <c r="L501" s="35"/>
      <c r="M501" s="35"/>
      <c r="N501" s="39"/>
      <c r="O501" s="39"/>
      <c r="P501" s="39"/>
      <c r="Q501" s="39"/>
      <c r="R501" s="39"/>
      <c r="S501" s="39"/>
      <c r="T501" s="39"/>
      <c r="U501" s="39"/>
      <c r="V501" s="39"/>
      <c r="W501" s="39"/>
      <c r="X501" s="39"/>
      <c r="Y501" s="39"/>
      <c r="Z501" s="39"/>
      <c r="AA501" s="39"/>
      <c r="AB501" s="39"/>
      <c r="AC501" s="39"/>
      <c r="AD501" s="39"/>
      <c r="AE501" s="39"/>
      <c r="AF501" s="39"/>
      <c r="AG501" s="39"/>
      <c r="AH501" s="39"/>
      <c r="AI501" s="35"/>
      <c r="AJ501" s="39"/>
      <c r="AK501" s="39"/>
      <c r="AL501" s="39"/>
      <c r="AM501" s="35"/>
      <c r="AN501" s="35"/>
      <c r="AO501" s="39"/>
      <c r="AP501" s="39"/>
      <c r="AQ501" s="35"/>
      <c r="AR501" s="35"/>
      <c r="AS501" s="35"/>
      <c r="AT501" s="30">
        <f t="shared" ca="1" si="56"/>
        <v>0</v>
      </c>
      <c r="AU501" s="32" t="str">
        <f t="shared" ca="1" si="55"/>
        <v/>
      </c>
      <c r="AV501" s="32" t="str" cm="1">
        <f t="array" aca="1" ref="AV501" ca="1">IFERROR(_xlfn.IFS($AU501="","",$AU501&lt;=15,"0-15",AND($AU501&gt;=16,$AU501&lt;=30),"16-30",AND($AU501&gt;=31,$AU501&lt;=45),"31-45",AND($AU501&gt;=46,$AU501&lt;=60),"46-60",AND($AU501&gt;=61,$AU501&lt;=90),"61-90",AND($AU501&gt;=91),"&gt; 90",AND($AU501&gt;=2000),""),"")</f>
        <v/>
      </c>
      <c r="AW501" s="32" t="str" cm="1">
        <f t="array" aca="1" ref="AW501" ca="1">IFERROR(_xlfn.IFS(OR($M501="",$AM501=""),"",OR($C501="Offered",$C501="Joined"),($AM501-$M501)-$AT501),"")</f>
        <v/>
      </c>
      <c r="AX501" s="32" t="str" cm="1">
        <f t="array" aca="1" ref="AX501" ca="1">IFERROR(_xlfn.IFS(OR($M501="",$AS501=""),"",$C501="Joined",($AS501-$M501)-$AT501),"")</f>
        <v/>
      </c>
      <c r="AY501" s="30" t="str">
        <f>IFERROR(IF(COUNTIFS('Candidate Tracker'!$E:$E,'Positions Tracker'!$B501,'Candidate Tracker'!$C:$C,"Offer Drop")=0,"",COUNTIFS('Candidate Tracker'!$E:$E,'Positions Tracker'!$B501,'Candidate Tracker'!$C:$C,"Offer Drop")),"")</f>
        <v/>
      </c>
      <c r="AZ50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1" s="34" t="str">
        <f>IFERROR(IF(COUNTIFS('Candidate Tracker'!$E:$E,'Positions Tracker'!$B501,'Candidate Tracker'!$I:$I,"Female")=0,"",COUNTIFS('Candidate Tracker'!$E:$E,'Positions Tracker'!$B501,'Candidate Tracker'!$I:$I,"Female")),"")</f>
        <v/>
      </c>
      <c r="BB501" s="34" t="str">
        <f>IFERROR(IF(COUNTIFS('Candidate Tracker'!$E:$E,'Positions Tracker'!$B501,'Candidate Tracker'!$I:$I,"male")=0,"",COUNTIFS('Candidate Tracker'!$E:$E,'Positions Tracker'!$B501,'Candidate Tracker'!$I:$I,"male")),"")</f>
        <v/>
      </c>
      <c r="BC501" s="33" t="str">
        <f>IFERROR(IF(COUNTIFS('Candidate Tracker'!$E:$E,'Positions Tracker'!$B501,'Candidate Tracker'!$C:$C,"&lt;&gt;WIP",'Candidate Tracker'!$C:$C,"&lt;&gt;Hold",'Candidate Tracker'!$C:$C,"&lt;&gt;Cancelled",'Candidate Tracker'!$C:$C,"&lt;&gt;Closed")/COUNTIFS('Candidate Tracker'!$E:$E,'Positions Tracker'!$B501)=0,"",COUNTIFS('Candidate Tracker'!$E:$E,'Positions Tracker'!$B501,'Candidate Tracker'!$C:$C,"&lt;&gt;WIP",'Candidate Tracker'!$C:$C,"&lt;&gt;Hold",'Candidate Tracker'!$C:$C,"&lt;&gt;Cancelled",'Candidate Tracker'!$C:$C,"&lt;&gt;Closed")/COUNTIFS('Candidate Tracker'!$E:$E,'Positions Tracker'!$B501)),"")</f>
        <v/>
      </c>
      <c r="BD501" s="30" t="str">
        <f t="shared" si="57"/>
        <v/>
      </c>
      <c r="BE501" s="30" t="str">
        <f t="shared" si="58"/>
        <v/>
      </c>
      <c r="BF501" s="30" t="str">
        <f t="shared" si="59"/>
        <v/>
      </c>
      <c r="BG501" s="30" t="str">
        <f t="shared" si="60"/>
        <v/>
      </c>
    </row>
    <row r="502" spans="1:59">
      <c r="A502" s="39"/>
      <c r="B502" s="39"/>
      <c r="C502" s="39"/>
      <c r="D502" s="39"/>
      <c r="E502" s="39"/>
      <c r="F502" s="39"/>
      <c r="G502" s="39"/>
      <c r="H502" s="39"/>
      <c r="I502" s="40"/>
      <c r="J502" s="40"/>
      <c r="K502" s="35"/>
      <c r="L502" s="35"/>
      <c r="M502" s="35"/>
      <c r="N502" s="39"/>
      <c r="O502" s="39"/>
      <c r="P502" s="39"/>
      <c r="Q502" s="39"/>
      <c r="R502" s="39"/>
      <c r="S502" s="39"/>
      <c r="T502" s="39"/>
      <c r="U502" s="39"/>
      <c r="V502" s="39"/>
      <c r="W502" s="39"/>
      <c r="X502" s="39"/>
      <c r="Y502" s="39"/>
      <c r="Z502" s="39"/>
      <c r="AA502" s="39"/>
      <c r="AB502" s="39"/>
      <c r="AC502" s="39"/>
      <c r="AD502" s="39"/>
      <c r="AE502" s="39"/>
      <c r="AF502" s="39"/>
      <c r="AG502" s="39"/>
      <c r="AH502" s="39"/>
      <c r="AI502" s="35"/>
      <c r="AJ502" s="39"/>
      <c r="AK502" s="39"/>
      <c r="AL502" s="39"/>
      <c r="AM502" s="35"/>
      <c r="AN502" s="35"/>
      <c r="AO502" s="39"/>
      <c r="AP502" s="39"/>
      <c r="AQ502" s="35"/>
      <c r="AR502" s="35"/>
      <c r="AS502" s="35"/>
      <c r="AT502" s="30">
        <f t="shared" ca="1" si="56"/>
        <v>0</v>
      </c>
      <c r="AU502" s="32" t="str">
        <f t="shared" ca="1" si="55"/>
        <v/>
      </c>
      <c r="AV502" s="32" t="str" cm="1">
        <f t="array" aca="1" ref="AV502" ca="1">IFERROR(_xlfn.IFS($AU502="","",$AU502&lt;=15,"0-15",AND($AU502&gt;=16,$AU502&lt;=30),"16-30",AND($AU502&gt;=31,$AU502&lt;=45),"31-45",AND($AU502&gt;=46,$AU502&lt;=60),"46-60",AND($AU502&gt;=61,$AU502&lt;=90),"61-90",AND($AU502&gt;=91),"&gt; 90",AND($AU502&gt;=2000),""),"")</f>
        <v/>
      </c>
      <c r="AW502" s="32" t="str" cm="1">
        <f t="array" aca="1" ref="AW502" ca="1">IFERROR(_xlfn.IFS(OR($M502="",$AM502=""),"",OR($C502="Offered",$C502="Joined"),($AM502-$M502)-$AT502),"")</f>
        <v/>
      </c>
      <c r="AX502" s="32" t="str" cm="1">
        <f t="array" aca="1" ref="AX502" ca="1">IFERROR(_xlfn.IFS(OR($M502="",$AS502=""),"",$C502="Joined",($AS502-$M502)-$AT502),"")</f>
        <v/>
      </c>
      <c r="AY502" s="30" t="str">
        <f>IFERROR(IF(COUNTIFS('Candidate Tracker'!$E:$E,'Positions Tracker'!$B502,'Candidate Tracker'!$C:$C,"Offer Drop")=0,"",COUNTIFS('Candidate Tracker'!$E:$E,'Positions Tracker'!$B502,'Candidate Tracker'!$C:$C,"Offer Drop")),"")</f>
        <v/>
      </c>
      <c r="AZ50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2" s="34" t="str">
        <f>IFERROR(IF(COUNTIFS('Candidate Tracker'!$E:$E,'Positions Tracker'!$B502,'Candidate Tracker'!$I:$I,"Female")=0,"",COUNTIFS('Candidate Tracker'!$E:$E,'Positions Tracker'!$B502,'Candidate Tracker'!$I:$I,"Female")),"")</f>
        <v/>
      </c>
      <c r="BB502" s="34" t="str">
        <f>IFERROR(IF(COUNTIFS('Candidate Tracker'!$E:$E,'Positions Tracker'!$B502,'Candidate Tracker'!$I:$I,"male")=0,"",COUNTIFS('Candidate Tracker'!$E:$E,'Positions Tracker'!$B502,'Candidate Tracker'!$I:$I,"male")),"")</f>
        <v/>
      </c>
      <c r="BC502" s="33" t="str">
        <f>IFERROR(IF(COUNTIFS('Candidate Tracker'!$E:$E,'Positions Tracker'!$B502,'Candidate Tracker'!$C:$C,"&lt;&gt;WIP",'Candidate Tracker'!$C:$C,"&lt;&gt;Hold",'Candidate Tracker'!$C:$C,"&lt;&gt;Cancelled",'Candidate Tracker'!$C:$C,"&lt;&gt;Closed")/COUNTIFS('Candidate Tracker'!$E:$E,'Positions Tracker'!$B502)=0,"",COUNTIFS('Candidate Tracker'!$E:$E,'Positions Tracker'!$B502,'Candidate Tracker'!$C:$C,"&lt;&gt;WIP",'Candidate Tracker'!$C:$C,"&lt;&gt;Hold",'Candidate Tracker'!$C:$C,"&lt;&gt;Cancelled",'Candidate Tracker'!$C:$C,"&lt;&gt;Closed")/COUNTIFS('Candidate Tracker'!$E:$E,'Positions Tracker'!$B502)),"")</f>
        <v/>
      </c>
      <c r="BD502" s="30" t="str">
        <f t="shared" si="57"/>
        <v/>
      </c>
      <c r="BE502" s="30" t="str">
        <f t="shared" si="58"/>
        <v/>
      </c>
      <c r="BF502" s="30" t="str">
        <f t="shared" si="59"/>
        <v/>
      </c>
      <c r="BG502" s="30" t="str">
        <f t="shared" si="60"/>
        <v/>
      </c>
    </row>
    <row r="503" spans="1:59">
      <c r="A503" s="39"/>
      <c r="B503" s="39"/>
      <c r="C503" s="39"/>
      <c r="D503" s="39"/>
      <c r="E503" s="39"/>
      <c r="F503" s="39"/>
      <c r="G503" s="39"/>
      <c r="H503" s="39"/>
      <c r="I503" s="40"/>
      <c r="J503" s="40"/>
      <c r="K503" s="35"/>
      <c r="L503" s="35"/>
      <c r="M503" s="35"/>
      <c r="N503" s="39"/>
      <c r="O503" s="39"/>
      <c r="P503" s="39"/>
      <c r="Q503" s="39"/>
      <c r="R503" s="39"/>
      <c r="S503" s="39"/>
      <c r="T503" s="39"/>
      <c r="U503" s="39"/>
      <c r="V503" s="39"/>
      <c r="W503" s="39"/>
      <c r="X503" s="39"/>
      <c r="Y503" s="39"/>
      <c r="Z503" s="39"/>
      <c r="AA503" s="39"/>
      <c r="AB503" s="39"/>
      <c r="AC503" s="39"/>
      <c r="AD503" s="39"/>
      <c r="AE503" s="39"/>
      <c r="AF503" s="39"/>
      <c r="AG503" s="39"/>
      <c r="AH503" s="39"/>
      <c r="AI503" s="35"/>
      <c r="AJ503" s="39"/>
      <c r="AK503" s="39"/>
      <c r="AL503" s="39"/>
      <c r="AM503" s="35"/>
      <c r="AN503" s="35"/>
      <c r="AO503" s="39"/>
      <c r="AP503" s="39"/>
      <c r="AQ503" s="35"/>
      <c r="AR503" s="35"/>
      <c r="AS503" s="35"/>
      <c r="AT503" s="30">
        <f t="shared" ca="1" si="56"/>
        <v>0</v>
      </c>
      <c r="AU503" s="32" t="str">
        <f t="shared" ca="1" si="55"/>
        <v/>
      </c>
      <c r="AV503" s="32" t="str" cm="1">
        <f t="array" aca="1" ref="AV503" ca="1">IFERROR(_xlfn.IFS($AU503="","",$AU503&lt;=15,"0-15",AND($AU503&gt;=16,$AU503&lt;=30),"16-30",AND($AU503&gt;=31,$AU503&lt;=45),"31-45",AND($AU503&gt;=46,$AU503&lt;=60),"46-60",AND($AU503&gt;=61,$AU503&lt;=90),"61-90",AND($AU503&gt;=91),"&gt; 90",AND($AU503&gt;=2000),""),"")</f>
        <v/>
      </c>
      <c r="AW503" s="32" t="str" cm="1">
        <f t="array" aca="1" ref="AW503" ca="1">IFERROR(_xlfn.IFS(OR($M503="",$AM503=""),"",OR($C503="Offered",$C503="Joined"),($AM503-$M503)-$AT503),"")</f>
        <v/>
      </c>
      <c r="AX503" s="32" t="str" cm="1">
        <f t="array" aca="1" ref="AX503" ca="1">IFERROR(_xlfn.IFS(OR($M503="",$AS503=""),"",$C503="Joined",($AS503-$M503)-$AT503),"")</f>
        <v/>
      </c>
      <c r="AY503" s="30" t="str">
        <f>IFERROR(IF(COUNTIFS('Candidate Tracker'!$E:$E,'Positions Tracker'!$B503,'Candidate Tracker'!$C:$C,"Offer Drop")=0,"",COUNTIFS('Candidate Tracker'!$E:$E,'Positions Tracker'!$B503,'Candidate Tracker'!$C:$C,"Offer Drop")),"")</f>
        <v/>
      </c>
      <c r="AZ50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3" s="34" t="str">
        <f>IFERROR(IF(COUNTIFS('Candidate Tracker'!$E:$E,'Positions Tracker'!$B503,'Candidate Tracker'!$I:$I,"Female")=0,"",COUNTIFS('Candidate Tracker'!$E:$E,'Positions Tracker'!$B503,'Candidate Tracker'!$I:$I,"Female")),"")</f>
        <v/>
      </c>
      <c r="BB503" s="34" t="str">
        <f>IFERROR(IF(COUNTIFS('Candidate Tracker'!$E:$E,'Positions Tracker'!$B503,'Candidate Tracker'!$I:$I,"male")=0,"",COUNTIFS('Candidate Tracker'!$E:$E,'Positions Tracker'!$B503,'Candidate Tracker'!$I:$I,"male")),"")</f>
        <v/>
      </c>
      <c r="BC503" s="33" t="str">
        <f>IFERROR(IF(COUNTIFS('Candidate Tracker'!$E:$E,'Positions Tracker'!$B503,'Candidate Tracker'!$C:$C,"&lt;&gt;WIP",'Candidate Tracker'!$C:$C,"&lt;&gt;Hold",'Candidate Tracker'!$C:$C,"&lt;&gt;Cancelled",'Candidate Tracker'!$C:$C,"&lt;&gt;Closed")/COUNTIFS('Candidate Tracker'!$E:$E,'Positions Tracker'!$B503)=0,"",COUNTIFS('Candidate Tracker'!$E:$E,'Positions Tracker'!$B503,'Candidate Tracker'!$C:$C,"&lt;&gt;WIP",'Candidate Tracker'!$C:$C,"&lt;&gt;Hold",'Candidate Tracker'!$C:$C,"&lt;&gt;Cancelled",'Candidate Tracker'!$C:$C,"&lt;&gt;Closed")/COUNTIFS('Candidate Tracker'!$E:$E,'Positions Tracker'!$B503)),"")</f>
        <v/>
      </c>
      <c r="BD503" s="30" t="str">
        <f t="shared" si="57"/>
        <v/>
      </c>
      <c r="BE503" s="30" t="str">
        <f t="shared" si="58"/>
        <v/>
      </c>
      <c r="BF503" s="30" t="str">
        <f t="shared" si="59"/>
        <v/>
      </c>
      <c r="BG503" s="30" t="str">
        <f t="shared" si="60"/>
        <v/>
      </c>
    </row>
    <row r="504" spans="1:59">
      <c r="A504" s="39"/>
      <c r="B504" s="39"/>
      <c r="C504" s="39"/>
      <c r="D504" s="39"/>
      <c r="E504" s="39"/>
      <c r="F504" s="39"/>
      <c r="G504" s="39"/>
      <c r="H504" s="39"/>
      <c r="I504" s="40"/>
      <c r="J504" s="40"/>
      <c r="K504" s="35"/>
      <c r="L504" s="35"/>
      <c r="M504" s="35"/>
      <c r="N504" s="39"/>
      <c r="O504" s="39"/>
      <c r="P504" s="39"/>
      <c r="Q504" s="39"/>
      <c r="R504" s="39"/>
      <c r="S504" s="39"/>
      <c r="T504" s="39"/>
      <c r="U504" s="39"/>
      <c r="V504" s="39"/>
      <c r="W504" s="39"/>
      <c r="X504" s="39"/>
      <c r="Y504" s="39"/>
      <c r="Z504" s="39"/>
      <c r="AA504" s="39"/>
      <c r="AB504" s="39"/>
      <c r="AC504" s="39"/>
      <c r="AD504" s="39"/>
      <c r="AE504" s="39"/>
      <c r="AF504" s="39"/>
      <c r="AG504" s="39"/>
      <c r="AH504" s="39"/>
      <c r="AI504" s="35"/>
      <c r="AJ504" s="39"/>
      <c r="AK504" s="39"/>
      <c r="AL504" s="39"/>
      <c r="AM504" s="35"/>
      <c r="AN504" s="35"/>
      <c r="AO504" s="39"/>
      <c r="AP504" s="39"/>
      <c r="AQ504" s="35"/>
      <c r="AR504" s="35"/>
      <c r="AS504" s="35"/>
      <c r="AT504" s="30">
        <f t="shared" ca="1" si="56"/>
        <v>0</v>
      </c>
      <c r="AU504" s="32" t="str">
        <f t="shared" ca="1" si="55"/>
        <v/>
      </c>
      <c r="AV504" s="32" t="str" cm="1">
        <f t="array" aca="1" ref="AV504" ca="1">IFERROR(_xlfn.IFS($AU504="","",$AU504&lt;=15,"0-15",AND($AU504&gt;=16,$AU504&lt;=30),"16-30",AND($AU504&gt;=31,$AU504&lt;=45),"31-45",AND($AU504&gt;=46,$AU504&lt;=60),"46-60",AND($AU504&gt;=61,$AU504&lt;=90),"61-90",AND($AU504&gt;=91),"&gt; 90",AND($AU504&gt;=2000),""),"")</f>
        <v/>
      </c>
      <c r="AW504" s="32" t="str" cm="1">
        <f t="array" aca="1" ref="AW504" ca="1">IFERROR(_xlfn.IFS(OR($M504="",$AM504=""),"",OR($C504="Offered",$C504="Joined"),($AM504-$M504)-$AT504),"")</f>
        <v/>
      </c>
      <c r="AX504" s="32" t="str" cm="1">
        <f t="array" aca="1" ref="AX504" ca="1">IFERROR(_xlfn.IFS(OR($M504="",$AS504=""),"",$C504="Joined",($AS504-$M504)-$AT504),"")</f>
        <v/>
      </c>
      <c r="AY504" s="30" t="str">
        <f>IFERROR(IF(COUNTIFS('Candidate Tracker'!$E:$E,'Positions Tracker'!$B504,'Candidate Tracker'!$C:$C,"Offer Drop")=0,"",COUNTIFS('Candidate Tracker'!$E:$E,'Positions Tracker'!$B504,'Candidate Tracker'!$C:$C,"Offer Drop")),"")</f>
        <v/>
      </c>
      <c r="AZ50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4" s="34" t="str">
        <f>IFERROR(IF(COUNTIFS('Candidate Tracker'!$E:$E,'Positions Tracker'!$B504,'Candidate Tracker'!$I:$I,"Female")=0,"",COUNTIFS('Candidate Tracker'!$E:$E,'Positions Tracker'!$B504,'Candidate Tracker'!$I:$I,"Female")),"")</f>
        <v/>
      </c>
      <c r="BB504" s="34" t="str">
        <f>IFERROR(IF(COUNTIFS('Candidate Tracker'!$E:$E,'Positions Tracker'!$B504,'Candidate Tracker'!$I:$I,"male")=0,"",COUNTIFS('Candidate Tracker'!$E:$E,'Positions Tracker'!$B504,'Candidate Tracker'!$I:$I,"male")),"")</f>
        <v/>
      </c>
      <c r="BC504" s="33" t="str">
        <f>IFERROR(IF(COUNTIFS('Candidate Tracker'!$E:$E,'Positions Tracker'!$B504,'Candidate Tracker'!$C:$C,"&lt;&gt;WIP",'Candidate Tracker'!$C:$C,"&lt;&gt;Hold",'Candidate Tracker'!$C:$C,"&lt;&gt;Cancelled",'Candidate Tracker'!$C:$C,"&lt;&gt;Closed")/COUNTIFS('Candidate Tracker'!$E:$E,'Positions Tracker'!$B504)=0,"",COUNTIFS('Candidate Tracker'!$E:$E,'Positions Tracker'!$B504,'Candidate Tracker'!$C:$C,"&lt;&gt;WIP",'Candidate Tracker'!$C:$C,"&lt;&gt;Hold",'Candidate Tracker'!$C:$C,"&lt;&gt;Cancelled",'Candidate Tracker'!$C:$C,"&lt;&gt;Closed")/COUNTIFS('Candidate Tracker'!$E:$E,'Positions Tracker'!$B504)),"")</f>
        <v/>
      </c>
      <c r="BD504" s="30" t="str">
        <f t="shared" si="57"/>
        <v/>
      </c>
      <c r="BE504" s="30" t="str">
        <f t="shared" si="58"/>
        <v/>
      </c>
      <c r="BF504" s="30" t="str">
        <f t="shared" si="59"/>
        <v/>
      </c>
      <c r="BG504" s="30" t="str">
        <f t="shared" si="60"/>
        <v/>
      </c>
    </row>
    <row r="505" spans="1:59">
      <c r="A505" s="39"/>
      <c r="B505" s="39"/>
      <c r="C505" s="39"/>
      <c r="D505" s="39"/>
      <c r="E505" s="39"/>
      <c r="F505" s="39"/>
      <c r="G505" s="39"/>
      <c r="H505" s="39"/>
      <c r="I505" s="40"/>
      <c r="J505" s="40"/>
      <c r="K505" s="35"/>
      <c r="L505" s="35"/>
      <c r="M505" s="35"/>
      <c r="N505" s="39"/>
      <c r="O505" s="39"/>
      <c r="P505" s="39"/>
      <c r="Q505" s="39"/>
      <c r="R505" s="39"/>
      <c r="S505" s="39"/>
      <c r="T505" s="39"/>
      <c r="U505" s="39"/>
      <c r="V505" s="39"/>
      <c r="W505" s="39"/>
      <c r="X505" s="39"/>
      <c r="Y505" s="39"/>
      <c r="Z505" s="39"/>
      <c r="AA505" s="39"/>
      <c r="AB505" s="39"/>
      <c r="AC505" s="39"/>
      <c r="AD505" s="39"/>
      <c r="AE505" s="39"/>
      <c r="AF505" s="39"/>
      <c r="AG505" s="39"/>
      <c r="AH505" s="39"/>
      <c r="AI505" s="35"/>
      <c r="AJ505" s="39"/>
      <c r="AK505" s="39"/>
      <c r="AL505" s="39"/>
      <c r="AM505" s="35"/>
      <c r="AN505" s="35"/>
      <c r="AO505" s="39"/>
      <c r="AP505" s="39"/>
      <c r="AQ505" s="35"/>
      <c r="AR505" s="35"/>
      <c r="AS505" s="35"/>
      <c r="AT505" s="30">
        <f t="shared" ca="1" si="56"/>
        <v>0</v>
      </c>
      <c r="AU505" s="32" t="str">
        <f t="shared" ca="1" si="55"/>
        <v/>
      </c>
      <c r="AV505" s="32" t="str" cm="1">
        <f t="array" aca="1" ref="AV505" ca="1">IFERROR(_xlfn.IFS($AU505="","",$AU505&lt;=15,"0-15",AND($AU505&gt;=16,$AU505&lt;=30),"16-30",AND($AU505&gt;=31,$AU505&lt;=45),"31-45",AND($AU505&gt;=46,$AU505&lt;=60),"46-60",AND($AU505&gt;=61,$AU505&lt;=90),"61-90",AND($AU505&gt;=91),"&gt; 90",AND($AU505&gt;=2000),""),"")</f>
        <v/>
      </c>
      <c r="AW505" s="32" t="str" cm="1">
        <f t="array" aca="1" ref="AW505" ca="1">IFERROR(_xlfn.IFS(OR($M505="",$AM505=""),"",OR($C505="Offered",$C505="Joined"),($AM505-$M505)-$AT505),"")</f>
        <v/>
      </c>
      <c r="AX505" s="32" t="str" cm="1">
        <f t="array" aca="1" ref="AX505" ca="1">IFERROR(_xlfn.IFS(OR($M505="",$AS505=""),"",$C505="Joined",($AS505-$M505)-$AT505),"")</f>
        <v/>
      </c>
      <c r="AY505" s="30" t="str">
        <f>IFERROR(IF(COUNTIFS('Candidate Tracker'!$E:$E,'Positions Tracker'!$B505,'Candidate Tracker'!$C:$C,"Offer Drop")=0,"",COUNTIFS('Candidate Tracker'!$E:$E,'Positions Tracker'!$B505,'Candidate Tracker'!$C:$C,"Offer Drop")),"")</f>
        <v/>
      </c>
      <c r="AZ50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5" s="34" t="str">
        <f>IFERROR(IF(COUNTIFS('Candidate Tracker'!$E:$E,'Positions Tracker'!$B505,'Candidate Tracker'!$I:$I,"Female")=0,"",COUNTIFS('Candidate Tracker'!$E:$E,'Positions Tracker'!$B505,'Candidate Tracker'!$I:$I,"Female")),"")</f>
        <v/>
      </c>
      <c r="BB505" s="34" t="str">
        <f>IFERROR(IF(COUNTIFS('Candidate Tracker'!$E:$E,'Positions Tracker'!$B505,'Candidate Tracker'!$I:$I,"male")=0,"",COUNTIFS('Candidate Tracker'!$E:$E,'Positions Tracker'!$B505,'Candidate Tracker'!$I:$I,"male")),"")</f>
        <v/>
      </c>
      <c r="BC505" s="33" t="str">
        <f>IFERROR(IF(COUNTIFS('Candidate Tracker'!$E:$E,'Positions Tracker'!$B505,'Candidate Tracker'!$C:$C,"&lt;&gt;WIP",'Candidate Tracker'!$C:$C,"&lt;&gt;Hold",'Candidate Tracker'!$C:$C,"&lt;&gt;Cancelled",'Candidate Tracker'!$C:$C,"&lt;&gt;Closed")/COUNTIFS('Candidate Tracker'!$E:$E,'Positions Tracker'!$B505)=0,"",COUNTIFS('Candidate Tracker'!$E:$E,'Positions Tracker'!$B505,'Candidate Tracker'!$C:$C,"&lt;&gt;WIP",'Candidate Tracker'!$C:$C,"&lt;&gt;Hold",'Candidate Tracker'!$C:$C,"&lt;&gt;Cancelled",'Candidate Tracker'!$C:$C,"&lt;&gt;Closed")/COUNTIFS('Candidate Tracker'!$E:$E,'Positions Tracker'!$B505)),"")</f>
        <v/>
      </c>
      <c r="BD505" s="30" t="str">
        <f t="shared" si="57"/>
        <v/>
      </c>
      <c r="BE505" s="30" t="str">
        <f t="shared" si="58"/>
        <v/>
      </c>
      <c r="BF505" s="30" t="str">
        <f t="shared" si="59"/>
        <v/>
      </c>
      <c r="BG505" s="30" t="str">
        <f t="shared" si="60"/>
        <v/>
      </c>
    </row>
    <row r="506" spans="1:59">
      <c r="A506" s="39"/>
      <c r="B506" s="39"/>
      <c r="C506" s="39"/>
      <c r="D506" s="39"/>
      <c r="E506" s="39"/>
      <c r="F506" s="39"/>
      <c r="G506" s="39"/>
      <c r="H506" s="39"/>
      <c r="I506" s="40"/>
      <c r="J506" s="40"/>
      <c r="K506" s="35"/>
      <c r="L506" s="35"/>
      <c r="M506" s="35"/>
      <c r="N506" s="39"/>
      <c r="O506" s="39"/>
      <c r="P506" s="39"/>
      <c r="Q506" s="39"/>
      <c r="R506" s="39"/>
      <c r="S506" s="39"/>
      <c r="T506" s="39"/>
      <c r="U506" s="39"/>
      <c r="V506" s="39"/>
      <c r="W506" s="39"/>
      <c r="X506" s="39"/>
      <c r="Y506" s="39"/>
      <c r="Z506" s="39"/>
      <c r="AA506" s="39"/>
      <c r="AB506" s="39"/>
      <c r="AC506" s="39"/>
      <c r="AD506" s="39"/>
      <c r="AE506" s="39"/>
      <c r="AF506" s="39"/>
      <c r="AG506" s="39"/>
      <c r="AH506" s="39"/>
      <c r="AI506" s="35"/>
      <c r="AJ506" s="39"/>
      <c r="AK506" s="39"/>
      <c r="AL506" s="39"/>
      <c r="AM506" s="35"/>
      <c r="AN506" s="35"/>
      <c r="AO506" s="39"/>
      <c r="AP506" s="39"/>
      <c r="AQ506" s="35"/>
      <c r="AR506" s="35"/>
      <c r="AS506" s="35"/>
      <c r="AT506" s="30">
        <f t="shared" ca="1" si="56"/>
        <v>0</v>
      </c>
      <c r="AU506" s="32" t="str">
        <f t="shared" ca="1" si="55"/>
        <v/>
      </c>
      <c r="AV506" s="32" t="str" cm="1">
        <f t="array" aca="1" ref="AV506" ca="1">IFERROR(_xlfn.IFS($AU506="","",$AU506&lt;=15,"0-15",AND($AU506&gt;=16,$AU506&lt;=30),"16-30",AND($AU506&gt;=31,$AU506&lt;=45),"31-45",AND($AU506&gt;=46,$AU506&lt;=60),"46-60",AND($AU506&gt;=61,$AU506&lt;=90),"61-90",AND($AU506&gt;=91),"&gt; 90",AND($AU506&gt;=2000),""),"")</f>
        <v/>
      </c>
      <c r="AW506" s="32" t="str" cm="1">
        <f t="array" aca="1" ref="AW506" ca="1">IFERROR(_xlfn.IFS(OR($M506="",$AM506=""),"",OR($C506="Offered",$C506="Joined"),($AM506-$M506)-$AT506),"")</f>
        <v/>
      </c>
      <c r="AX506" s="32" t="str" cm="1">
        <f t="array" aca="1" ref="AX506" ca="1">IFERROR(_xlfn.IFS(OR($M506="",$AS506=""),"",$C506="Joined",($AS506-$M506)-$AT506),"")</f>
        <v/>
      </c>
      <c r="AY506" s="30" t="str">
        <f>IFERROR(IF(COUNTIFS('Candidate Tracker'!$E:$E,'Positions Tracker'!$B506,'Candidate Tracker'!$C:$C,"Offer Drop")=0,"",COUNTIFS('Candidate Tracker'!$E:$E,'Positions Tracker'!$B506,'Candidate Tracker'!$C:$C,"Offer Drop")),"")</f>
        <v/>
      </c>
      <c r="AZ50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6" s="34" t="str">
        <f>IFERROR(IF(COUNTIFS('Candidate Tracker'!$E:$E,'Positions Tracker'!$B506,'Candidate Tracker'!$I:$I,"Female")=0,"",COUNTIFS('Candidate Tracker'!$E:$E,'Positions Tracker'!$B506,'Candidate Tracker'!$I:$I,"Female")),"")</f>
        <v/>
      </c>
      <c r="BB506" s="34" t="str">
        <f>IFERROR(IF(COUNTIFS('Candidate Tracker'!$E:$E,'Positions Tracker'!$B506,'Candidate Tracker'!$I:$I,"male")=0,"",COUNTIFS('Candidate Tracker'!$E:$E,'Positions Tracker'!$B506,'Candidate Tracker'!$I:$I,"male")),"")</f>
        <v/>
      </c>
      <c r="BC506" s="33" t="str">
        <f>IFERROR(IF(COUNTIFS('Candidate Tracker'!$E:$E,'Positions Tracker'!$B506,'Candidate Tracker'!$C:$C,"&lt;&gt;WIP",'Candidate Tracker'!$C:$C,"&lt;&gt;Hold",'Candidate Tracker'!$C:$C,"&lt;&gt;Cancelled",'Candidate Tracker'!$C:$C,"&lt;&gt;Closed")/COUNTIFS('Candidate Tracker'!$E:$E,'Positions Tracker'!$B506)=0,"",COUNTIFS('Candidate Tracker'!$E:$E,'Positions Tracker'!$B506,'Candidate Tracker'!$C:$C,"&lt;&gt;WIP",'Candidate Tracker'!$C:$C,"&lt;&gt;Hold",'Candidate Tracker'!$C:$C,"&lt;&gt;Cancelled",'Candidate Tracker'!$C:$C,"&lt;&gt;Closed")/COUNTIFS('Candidate Tracker'!$E:$E,'Positions Tracker'!$B506)),"")</f>
        <v/>
      </c>
      <c r="BD506" s="30" t="str">
        <f t="shared" si="57"/>
        <v/>
      </c>
      <c r="BE506" s="30" t="str">
        <f t="shared" si="58"/>
        <v/>
      </c>
      <c r="BF506" s="30" t="str">
        <f t="shared" si="59"/>
        <v/>
      </c>
      <c r="BG506" s="30" t="str">
        <f t="shared" si="60"/>
        <v/>
      </c>
    </row>
    <row r="507" spans="1:59">
      <c r="A507" s="39"/>
      <c r="B507" s="39"/>
      <c r="C507" s="39"/>
      <c r="D507" s="39"/>
      <c r="E507" s="39"/>
      <c r="F507" s="39"/>
      <c r="G507" s="39"/>
      <c r="H507" s="39"/>
      <c r="I507" s="40"/>
      <c r="J507" s="40"/>
      <c r="K507" s="35"/>
      <c r="L507" s="35"/>
      <c r="M507" s="35"/>
      <c r="N507" s="39"/>
      <c r="O507" s="39"/>
      <c r="P507" s="39"/>
      <c r="Q507" s="39"/>
      <c r="R507" s="39"/>
      <c r="S507" s="39"/>
      <c r="T507" s="39"/>
      <c r="U507" s="39"/>
      <c r="V507" s="39"/>
      <c r="W507" s="39"/>
      <c r="X507" s="39"/>
      <c r="Y507" s="39"/>
      <c r="Z507" s="39"/>
      <c r="AA507" s="39"/>
      <c r="AB507" s="39"/>
      <c r="AC507" s="39"/>
      <c r="AD507" s="39"/>
      <c r="AE507" s="39"/>
      <c r="AF507" s="39"/>
      <c r="AG507" s="39"/>
      <c r="AH507" s="39"/>
      <c r="AI507" s="35"/>
      <c r="AJ507" s="39"/>
      <c r="AK507" s="39"/>
      <c r="AL507" s="39"/>
      <c r="AM507" s="35"/>
      <c r="AN507" s="35"/>
      <c r="AO507" s="39"/>
      <c r="AP507" s="39"/>
      <c r="AQ507" s="35"/>
      <c r="AR507" s="35"/>
      <c r="AS507" s="35"/>
      <c r="AT507" s="30">
        <f t="shared" ca="1" si="56"/>
        <v>0</v>
      </c>
      <c r="AU507" s="32" t="str">
        <f t="shared" ca="1" si="55"/>
        <v/>
      </c>
      <c r="AV507" s="32" t="str" cm="1">
        <f t="array" aca="1" ref="AV507" ca="1">IFERROR(_xlfn.IFS($AU507="","",$AU507&lt;=15,"0-15",AND($AU507&gt;=16,$AU507&lt;=30),"16-30",AND($AU507&gt;=31,$AU507&lt;=45),"31-45",AND($AU507&gt;=46,$AU507&lt;=60),"46-60",AND($AU507&gt;=61,$AU507&lt;=90),"61-90",AND($AU507&gt;=91),"&gt; 90",AND($AU507&gt;=2000),""),"")</f>
        <v/>
      </c>
      <c r="AW507" s="32" t="str" cm="1">
        <f t="array" aca="1" ref="AW507" ca="1">IFERROR(_xlfn.IFS(OR($M507="",$AM507=""),"",OR($C507="Offered",$C507="Joined"),($AM507-$M507)-$AT507),"")</f>
        <v/>
      </c>
      <c r="AX507" s="32" t="str" cm="1">
        <f t="array" aca="1" ref="AX507" ca="1">IFERROR(_xlfn.IFS(OR($M507="",$AS507=""),"",$C507="Joined",($AS507-$M507)-$AT507),"")</f>
        <v/>
      </c>
      <c r="AY507" s="30" t="str">
        <f>IFERROR(IF(COUNTIFS('Candidate Tracker'!$E:$E,'Positions Tracker'!$B507,'Candidate Tracker'!$C:$C,"Offer Drop")=0,"",COUNTIFS('Candidate Tracker'!$E:$E,'Positions Tracker'!$B507,'Candidate Tracker'!$C:$C,"Offer Drop")),"")</f>
        <v/>
      </c>
      <c r="AZ50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7" s="34" t="str">
        <f>IFERROR(IF(COUNTIFS('Candidate Tracker'!$E:$E,'Positions Tracker'!$B507,'Candidate Tracker'!$I:$I,"Female")=0,"",COUNTIFS('Candidate Tracker'!$E:$E,'Positions Tracker'!$B507,'Candidate Tracker'!$I:$I,"Female")),"")</f>
        <v/>
      </c>
      <c r="BB507" s="34" t="str">
        <f>IFERROR(IF(COUNTIFS('Candidate Tracker'!$E:$E,'Positions Tracker'!$B507,'Candidate Tracker'!$I:$I,"male")=0,"",COUNTIFS('Candidate Tracker'!$E:$E,'Positions Tracker'!$B507,'Candidate Tracker'!$I:$I,"male")),"")</f>
        <v/>
      </c>
      <c r="BC507" s="33" t="str">
        <f>IFERROR(IF(COUNTIFS('Candidate Tracker'!$E:$E,'Positions Tracker'!$B507,'Candidate Tracker'!$C:$C,"&lt;&gt;WIP",'Candidate Tracker'!$C:$C,"&lt;&gt;Hold",'Candidate Tracker'!$C:$C,"&lt;&gt;Cancelled",'Candidate Tracker'!$C:$C,"&lt;&gt;Closed")/COUNTIFS('Candidate Tracker'!$E:$E,'Positions Tracker'!$B507)=0,"",COUNTIFS('Candidate Tracker'!$E:$E,'Positions Tracker'!$B507,'Candidate Tracker'!$C:$C,"&lt;&gt;WIP",'Candidate Tracker'!$C:$C,"&lt;&gt;Hold",'Candidate Tracker'!$C:$C,"&lt;&gt;Cancelled",'Candidate Tracker'!$C:$C,"&lt;&gt;Closed")/COUNTIFS('Candidate Tracker'!$E:$E,'Positions Tracker'!$B507)),"")</f>
        <v/>
      </c>
      <c r="BD507" s="30" t="str">
        <f t="shared" si="57"/>
        <v/>
      </c>
      <c r="BE507" s="30" t="str">
        <f t="shared" si="58"/>
        <v/>
      </c>
      <c r="BF507" s="30" t="str">
        <f t="shared" si="59"/>
        <v/>
      </c>
      <c r="BG507" s="30" t="str">
        <f t="shared" si="60"/>
        <v/>
      </c>
    </row>
    <row r="508" spans="1:59">
      <c r="A508" s="39"/>
      <c r="B508" s="39"/>
      <c r="C508" s="39"/>
      <c r="D508" s="39"/>
      <c r="E508" s="39"/>
      <c r="F508" s="39"/>
      <c r="G508" s="39"/>
      <c r="H508" s="39"/>
      <c r="I508" s="40"/>
      <c r="J508" s="40"/>
      <c r="K508" s="35"/>
      <c r="L508" s="35"/>
      <c r="M508" s="35"/>
      <c r="N508" s="39"/>
      <c r="O508" s="39"/>
      <c r="P508" s="39"/>
      <c r="Q508" s="39"/>
      <c r="R508" s="39"/>
      <c r="S508" s="39"/>
      <c r="T508" s="39"/>
      <c r="U508" s="39"/>
      <c r="V508" s="39"/>
      <c r="W508" s="39"/>
      <c r="X508" s="39"/>
      <c r="Y508" s="39"/>
      <c r="Z508" s="39"/>
      <c r="AA508" s="39"/>
      <c r="AB508" s="39"/>
      <c r="AC508" s="39"/>
      <c r="AD508" s="39"/>
      <c r="AE508" s="39"/>
      <c r="AF508" s="39"/>
      <c r="AG508" s="39"/>
      <c r="AH508" s="39"/>
      <c r="AI508" s="35"/>
      <c r="AJ508" s="39"/>
      <c r="AK508" s="39"/>
      <c r="AL508" s="39"/>
      <c r="AM508" s="35"/>
      <c r="AN508" s="35"/>
      <c r="AO508" s="39"/>
      <c r="AP508" s="39"/>
      <c r="AQ508" s="35"/>
      <c r="AR508" s="35"/>
      <c r="AS508" s="35"/>
      <c r="AT508" s="30">
        <f t="shared" ca="1" si="56"/>
        <v>0</v>
      </c>
      <c r="AU508" s="32" t="str">
        <f t="shared" ca="1" si="55"/>
        <v/>
      </c>
      <c r="AV508" s="32" t="str" cm="1">
        <f t="array" aca="1" ref="AV508" ca="1">IFERROR(_xlfn.IFS($AU508="","",$AU508&lt;=15,"0-15",AND($AU508&gt;=16,$AU508&lt;=30),"16-30",AND($AU508&gt;=31,$AU508&lt;=45),"31-45",AND($AU508&gt;=46,$AU508&lt;=60),"46-60",AND($AU508&gt;=61,$AU508&lt;=90),"61-90",AND($AU508&gt;=91),"&gt; 90",AND($AU508&gt;=2000),""),"")</f>
        <v/>
      </c>
      <c r="AW508" s="32" t="str" cm="1">
        <f t="array" aca="1" ref="AW508" ca="1">IFERROR(_xlfn.IFS(OR($M508="",$AM508=""),"",OR($C508="Offered",$C508="Joined"),($AM508-$M508)-$AT508),"")</f>
        <v/>
      </c>
      <c r="AX508" s="32" t="str" cm="1">
        <f t="array" aca="1" ref="AX508" ca="1">IFERROR(_xlfn.IFS(OR($M508="",$AS508=""),"",$C508="Joined",($AS508-$M508)-$AT508),"")</f>
        <v/>
      </c>
      <c r="AY508" s="30" t="str">
        <f>IFERROR(IF(COUNTIFS('Candidate Tracker'!$E:$E,'Positions Tracker'!$B508,'Candidate Tracker'!$C:$C,"Offer Drop")=0,"",COUNTIFS('Candidate Tracker'!$E:$E,'Positions Tracker'!$B508,'Candidate Tracker'!$C:$C,"Offer Drop")),"")</f>
        <v/>
      </c>
      <c r="AZ50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8" s="34" t="str">
        <f>IFERROR(IF(COUNTIFS('Candidate Tracker'!$E:$E,'Positions Tracker'!$B508,'Candidate Tracker'!$I:$I,"Female")=0,"",COUNTIFS('Candidate Tracker'!$E:$E,'Positions Tracker'!$B508,'Candidate Tracker'!$I:$I,"Female")),"")</f>
        <v/>
      </c>
      <c r="BB508" s="34" t="str">
        <f>IFERROR(IF(COUNTIFS('Candidate Tracker'!$E:$E,'Positions Tracker'!$B508,'Candidate Tracker'!$I:$I,"male")=0,"",COUNTIFS('Candidate Tracker'!$E:$E,'Positions Tracker'!$B508,'Candidate Tracker'!$I:$I,"male")),"")</f>
        <v/>
      </c>
      <c r="BC508" s="33" t="str">
        <f>IFERROR(IF(COUNTIFS('Candidate Tracker'!$E:$E,'Positions Tracker'!$B508,'Candidate Tracker'!$C:$C,"&lt;&gt;WIP",'Candidate Tracker'!$C:$C,"&lt;&gt;Hold",'Candidate Tracker'!$C:$C,"&lt;&gt;Cancelled",'Candidate Tracker'!$C:$C,"&lt;&gt;Closed")/COUNTIFS('Candidate Tracker'!$E:$E,'Positions Tracker'!$B508)=0,"",COUNTIFS('Candidate Tracker'!$E:$E,'Positions Tracker'!$B508,'Candidate Tracker'!$C:$C,"&lt;&gt;WIP",'Candidate Tracker'!$C:$C,"&lt;&gt;Hold",'Candidate Tracker'!$C:$C,"&lt;&gt;Cancelled",'Candidate Tracker'!$C:$C,"&lt;&gt;Closed")/COUNTIFS('Candidate Tracker'!$E:$E,'Positions Tracker'!$B508)),"")</f>
        <v/>
      </c>
      <c r="BD508" s="30" t="str">
        <f t="shared" si="57"/>
        <v/>
      </c>
      <c r="BE508" s="30" t="str">
        <f t="shared" si="58"/>
        <v/>
      </c>
      <c r="BF508" s="30" t="str">
        <f t="shared" si="59"/>
        <v/>
      </c>
      <c r="BG508" s="30" t="str">
        <f t="shared" si="60"/>
        <v/>
      </c>
    </row>
    <row r="509" spans="1:59">
      <c r="A509" s="39"/>
      <c r="B509" s="39"/>
      <c r="C509" s="39"/>
      <c r="D509" s="39"/>
      <c r="E509" s="39"/>
      <c r="F509" s="39"/>
      <c r="G509" s="39"/>
      <c r="H509" s="39"/>
      <c r="I509" s="40"/>
      <c r="J509" s="40"/>
      <c r="K509" s="35"/>
      <c r="L509" s="35"/>
      <c r="M509" s="35"/>
      <c r="N509" s="39"/>
      <c r="O509" s="39"/>
      <c r="P509" s="39"/>
      <c r="Q509" s="39"/>
      <c r="R509" s="39"/>
      <c r="S509" s="39"/>
      <c r="T509" s="39"/>
      <c r="U509" s="39"/>
      <c r="V509" s="39"/>
      <c r="W509" s="39"/>
      <c r="X509" s="39"/>
      <c r="Y509" s="39"/>
      <c r="Z509" s="39"/>
      <c r="AA509" s="39"/>
      <c r="AB509" s="39"/>
      <c r="AC509" s="39"/>
      <c r="AD509" s="39"/>
      <c r="AE509" s="39"/>
      <c r="AF509" s="39"/>
      <c r="AG509" s="39"/>
      <c r="AH509" s="39"/>
      <c r="AI509" s="35"/>
      <c r="AJ509" s="39"/>
      <c r="AK509" s="39"/>
      <c r="AL509" s="39"/>
      <c r="AM509" s="35"/>
      <c r="AN509" s="35"/>
      <c r="AO509" s="39"/>
      <c r="AP509" s="39"/>
      <c r="AQ509" s="35"/>
      <c r="AR509" s="35"/>
      <c r="AS509" s="35"/>
      <c r="AT509" s="30">
        <f t="shared" ca="1" si="56"/>
        <v>0</v>
      </c>
      <c r="AU509" s="32" t="str">
        <f t="shared" ca="1" si="55"/>
        <v/>
      </c>
      <c r="AV509" s="32" t="str" cm="1">
        <f t="array" aca="1" ref="AV509" ca="1">IFERROR(_xlfn.IFS($AU509="","",$AU509&lt;=15,"0-15",AND($AU509&gt;=16,$AU509&lt;=30),"16-30",AND($AU509&gt;=31,$AU509&lt;=45),"31-45",AND($AU509&gt;=46,$AU509&lt;=60),"46-60",AND($AU509&gt;=61,$AU509&lt;=90),"61-90",AND($AU509&gt;=91),"&gt; 90",AND($AU509&gt;=2000),""),"")</f>
        <v/>
      </c>
      <c r="AW509" s="32" t="str" cm="1">
        <f t="array" aca="1" ref="AW509" ca="1">IFERROR(_xlfn.IFS(OR($M509="",$AM509=""),"",OR($C509="Offered",$C509="Joined"),($AM509-$M509)-$AT509),"")</f>
        <v/>
      </c>
      <c r="AX509" s="32" t="str" cm="1">
        <f t="array" aca="1" ref="AX509" ca="1">IFERROR(_xlfn.IFS(OR($M509="",$AS509=""),"",$C509="Joined",($AS509-$M509)-$AT509),"")</f>
        <v/>
      </c>
      <c r="AY509" s="30" t="str">
        <f>IFERROR(IF(COUNTIFS('Candidate Tracker'!$E:$E,'Positions Tracker'!$B509,'Candidate Tracker'!$C:$C,"Offer Drop")=0,"",COUNTIFS('Candidate Tracker'!$E:$E,'Positions Tracker'!$B509,'Candidate Tracker'!$C:$C,"Offer Drop")),"")</f>
        <v/>
      </c>
      <c r="AZ50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09" s="34" t="str">
        <f>IFERROR(IF(COUNTIFS('Candidate Tracker'!$E:$E,'Positions Tracker'!$B509,'Candidate Tracker'!$I:$I,"Female")=0,"",COUNTIFS('Candidate Tracker'!$E:$E,'Positions Tracker'!$B509,'Candidate Tracker'!$I:$I,"Female")),"")</f>
        <v/>
      </c>
      <c r="BB509" s="34" t="str">
        <f>IFERROR(IF(COUNTIFS('Candidate Tracker'!$E:$E,'Positions Tracker'!$B509,'Candidate Tracker'!$I:$I,"male")=0,"",COUNTIFS('Candidate Tracker'!$E:$E,'Positions Tracker'!$B509,'Candidate Tracker'!$I:$I,"male")),"")</f>
        <v/>
      </c>
      <c r="BC509" s="33" t="str">
        <f>IFERROR(IF(COUNTIFS('Candidate Tracker'!$E:$E,'Positions Tracker'!$B509,'Candidate Tracker'!$C:$C,"&lt;&gt;WIP",'Candidate Tracker'!$C:$C,"&lt;&gt;Hold",'Candidate Tracker'!$C:$C,"&lt;&gt;Cancelled",'Candidate Tracker'!$C:$C,"&lt;&gt;Closed")/COUNTIFS('Candidate Tracker'!$E:$E,'Positions Tracker'!$B509)=0,"",COUNTIFS('Candidate Tracker'!$E:$E,'Positions Tracker'!$B509,'Candidate Tracker'!$C:$C,"&lt;&gt;WIP",'Candidate Tracker'!$C:$C,"&lt;&gt;Hold",'Candidate Tracker'!$C:$C,"&lt;&gt;Cancelled",'Candidate Tracker'!$C:$C,"&lt;&gt;Closed")/COUNTIFS('Candidate Tracker'!$E:$E,'Positions Tracker'!$B509)),"")</f>
        <v/>
      </c>
      <c r="BD509" s="30" t="str">
        <f t="shared" si="57"/>
        <v/>
      </c>
      <c r="BE509" s="30" t="str">
        <f t="shared" si="58"/>
        <v/>
      </c>
      <c r="BF509" s="30" t="str">
        <f t="shared" si="59"/>
        <v/>
      </c>
      <c r="BG509" s="30" t="str">
        <f t="shared" si="60"/>
        <v/>
      </c>
    </row>
    <row r="510" spans="1:59">
      <c r="A510" s="39"/>
      <c r="B510" s="39"/>
      <c r="C510" s="39"/>
      <c r="D510" s="39"/>
      <c r="E510" s="39"/>
      <c r="F510" s="39"/>
      <c r="G510" s="39"/>
      <c r="H510" s="39"/>
      <c r="I510" s="40"/>
      <c r="J510" s="40"/>
      <c r="K510" s="35"/>
      <c r="L510" s="35"/>
      <c r="M510" s="35"/>
      <c r="N510" s="39"/>
      <c r="O510" s="39"/>
      <c r="P510" s="39"/>
      <c r="Q510" s="39"/>
      <c r="R510" s="39"/>
      <c r="S510" s="39"/>
      <c r="T510" s="39"/>
      <c r="U510" s="39"/>
      <c r="V510" s="39"/>
      <c r="W510" s="39"/>
      <c r="X510" s="39"/>
      <c r="Y510" s="39"/>
      <c r="Z510" s="39"/>
      <c r="AA510" s="39"/>
      <c r="AB510" s="39"/>
      <c r="AC510" s="39"/>
      <c r="AD510" s="39"/>
      <c r="AE510" s="39"/>
      <c r="AF510" s="39"/>
      <c r="AG510" s="39"/>
      <c r="AH510" s="39"/>
      <c r="AI510" s="35"/>
      <c r="AJ510" s="39"/>
      <c r="AK510" s="39"/>
      <c r="AL510" s="39"/>
      <c r="AM510" s="35"/>
      <c r="AN510" s="35"/>
      <c r="AO510" s="39"/>
      <c r="AP510" s="39"/>
      <c r="AQ510" s="35"/>
      <c r="AR510" s="35"/>
      <c r="AS510" s="35"/>
      <c r="AT510" s="30">
        <f t="shared" ca="1" si="56"/>
        <v>0</v>
      </c>
      <c r="AU510" s="32" t="str">
        <f t="shared" ca="1" si="55"/>
        <v/>
      </c>
      <c r="AV510" s="32" t="str" cm="1">
        <f t="array" aca="1" ref="AV510" ca="1">IFERROR(_xlfn.IFS($AU510="","",$AU510&lt;=15,"0-15",AND($AU510&gt;=16,$AU510&lt;=30),"16-30",AND($AU510&gt;=31,$AU510&lt;=45),"31-45",AND($AU510&gt;=46,$AU510&lt;=60),"46-60",AND($AU510&gt;=61,$AU510&lt;=90),"61-90",AND($AU510&gt;=91),"&gt; 90",AND($AU510&gt;=2000),""),"")</f>
        <v/>
      </c>
      <c r="AW510" s="32" t="str" cm="1">
        <f t="array" aca="1" ref="AW510" ca="1">IFERROR(_xlfn.IFS(OR($M510="",$AM510=""),"",OR($C510="Offered",$C510="Joined"),($AM510-$M510)-$AT510),"")</f>
        <v/>
      </c>
      <c r="AX510" s="32" t="str" cm="1">
        <f t="array" aca="1" ref="AX510" ca="1">IFERROR(_xlfn.IFS(OR($M510="",$AS510=""),"",$C510="Joined",($AS510-$M510)-$AT510),"")</f>
        <v/>
      </c>
      <c r="AY510" s="30" t="str">
        <f>IFERROR(IF(COUNTIFS('Candidate Tracker'!$E:$E,'Positions Tracker'!$B510,'Candidate Tracker'!$C:$C,"Offer Drop")=0,"",COUNTIFS('Candidate Tracker'!$E:$E,'Positions Tracker'!$B510,'Candidate Tracker'!$C:$C,"Offer Drop")),"")</f>
        <v/>
      </c>
      <c r="AZ5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0" s="34" t="str">
        <f>IFERROR(IF(COUNTIFS('Candidate Tracker'!$E:$E,'Positions Tracker'!$B510,'Candidate Tracker'!$I:$I,"Female")=0,"",COUNTIFS('Candidate Tracker'!$E:$E,'Positions Tracker'!$B510,'Candidate Tracker'!$I:$I,"Female")),"")</f>
        <v/>
      </c>
      <c r="BB510" s="34" t="str">
        <f>IFERROR(IF(COUNTIFS('Candidate Tracker'!$E:$E,'Positions Tracker'!$B510,'Candidate Tracker'!$I:$I,"male")=0,"",COUNTIFS('Candidate Tracker'!$E:$E,'Positions Tracker'!$B510,'Candidate Tracker'!$I:$I,"male")),"")</f>
        <v/>
      </c>
      <c r="BC510" s="33" t="str">
        <f>IFERROR(IF(COUNTIFS('Candidate Tracker'!$E:$E,'Positions Tracker'!$B510,'Candidate Tracker'!$C:$C,"&lt;&gt;WIP",'Candidate Tracker'!$C:$C,"&lt;&gt;Hold",'Candidate Tracker'!$C:$C,"&lt;&gt;Cancelled",'Candidate Tracker'!$C:$C,"&lt;&gt;Closed")/COUNTIFS('Candidate Tracker'!$E:$E,'Positions Tracker'!$B510)=0,"",COUNTIFS('Candidate Tracker'!$E:$E,'Positions Tracker'!$B510,'Candidate Tracker'!$C:$C,"&lt;&gt;WIP",'Candidate Tracker'!$C:$C,"&lt;&gt;Hold",'Candidate Tracker'!$C:$C,"&lt;&gt;Cancelled",'Candidate Tracker'!$C:$C,"&lt;&gt;Closed")/COUNTIFS('Candidate Tracker'!$E:$E,'Positions Tracker'!$B510)),"")</f>
        <v/>
      </c>
      <c r="BD510" s="30" t="str">
        <f t="shared" si="57"/>
        <v/>
      </c>
      <c r="BE510" s="30" t="str">
        <f t="shared" si="58"/>
        <v/>
      </c>
      <c r="BF510" s="30" t="str">
        <f t="shared" si="59"/>
        <v/>
      </c>
      <c r="BG510" s="30" t="str">
        <f t="shared" si="60"/>
        <v/>
      </c>
    </row>
    <row r="511" spans="1:59">
      <c r="A511" s="39"/>
      <c r="B511" s="39"/>
      <c r="C511" s="39"/>
      <c r="D511" s="39"/>
      <c r="E511" s="39"/>
      <c r="F511" s="39"/>
      <c r="G511" s="39"/>
      <c r="H511" s="39"/>
      <c r="I511" s="40"/>
      <c r="J511" s="40"/>
      <c r="K511" s="35"/>
      <c r="L511" s="35"/>
      <c r="M511" s="35"/>
      <c r="N511" s="39"/>
      <c r="O511" s="39"/>
      <c r="P511" s="39"/>
      <c r="Q511" s="39"/>
      <c r="R511" s="39"/>
      <c r="S511" s="39"/>
      <c r="T511" s="39"/>
      <c r="U511" s="39"/>
      <c r="V511" s="39"/>
      <c r="W511" s="39"/>
      <c r="X511" s="39"/>
      <c r="Y511" s="39"/>
      <c r="Z511" s="39"/>
      <c r="AA511" s="39"/>
      <c r="AB511" s="39"/>
      <c r="AC511" s="39"/>
      <c r="AD511" s="39"/>
      <c r="AE511" s="39"/>
      <c r="AF511" s="39"/>
      <c r="AG511" s="39"/>
      <c r="AH511" s="39"/>
      <c r="AI511" s="35"/>
      <c r="AJ511" s="39"/>
      <c r="AK511" s="39"/>
      <c r="AL511" s="39"/>
      <c r="AM511" s="35"/>
      <c r="AN511" s="35"/>
      <c r="AO511" s="39"/>
      <c r="AP511" s="39"/>
      <c r="AQ511" s="35"/>
      <c r="AR511" s="35"/>
      <c r="AS511" s="35"/>
      <c r="AT511" s="30">
        <f t="shared" ca="1" si="56"/>
        <v>0</v>
      </c>
      <c r="AU511" s="32" t="str">
        <f t="shared" ca="1" si="55"/>
        <v/>
      </c>
      <c r="AV511" s="32" t="str" cm="1">
        <f t="array" aca="1" ref="AV511" ca="1">IFERROR(_xlfn.IFS($AU511="","",$AU511&lt;=15,"0-15",AND($AU511&gt;=16,$AU511&lt;=30),"16-30",AND($AU511&gt;=31,$AU511&lt;=45),"31-45",AND($AU511&gt;=46,$AU511&lt;=60),"46-60",AND($AU511&gt;=61,$AU511&lt;=90),"61-90",AND($AU511&gt;=91),"&gt; 90",AND($AU511&gt;=2000),""),"")</f>
        <v/>
      </c>
      <c r="AW511" s="32" t="str" cm="1">
        <f t="array" aca="1" ref="AW511" ca="1">IFERROR(_xlfn.IFS(OR($M511="",$AM511=""),"",OR($C511="Offered",$C511="Joined"),($AM511-$M511)-$AT511),"")</f>
        <v/>
      </c>
      <c r="AX511" s="32" t="str" cm="1">
        <f t="array" aca="1" ref="AX511" ca="1">IFERROR(_xlfn.IFS(OR($M511="",$AS511=""),"",$C511="Joined",($AS511-$M511)-$AT511),"")</f>
        <v/>
      </c>
      <c r="AY511" s="30" t="str">
        <f>IFERROR(IF(COUNTIFS('Candidate Tracker'!$E:$E,'Positions Tracker'!$B511,'Candidate Tracker'!$C:$C,"Offer Drop")=0,"",COUNTIFS('Candidate Tracker'!$E:$E,'Positions Tracker'!$B511,'Candidate Tracker'!$C:$C,"Offer Drop")),"")</f>
        <v/>
      </c>
      <c r="AZ5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1" s="34" t="str">
        <f>IFERROR(IF(COUNTIFS('Candidate Tracker'!$E:$E,'Positions Tracker'!$B511,'Candidate Tracker'!$I:$I,"Female")=0,"",COUNTIFS('Candidate Tracker'!$E:$E,'Positions Tracker'!$B511,'Candidate Tracker'!$I:$I,"Female")),"")</f>
        <v/>
      </c>
      <c r="BB511" s="34" t="str">
        <f>IFERROR(IF(COUNTIFS('Candidate Tracker'!$E:$E,'Positions Tracker'!$B511,'Candidate Tracker'!$I:$I,"male")=0,"",COUNTIFS('Candidate Tracker'!$E:$E,'Positions Tracker'!$B511,'Candidate Tracker'!$I:$I,"male")),"")</f>
        <v/>
      </c>
      <c r="BC511" s="33" t="str">
        <f>IFERROR(IF(COUNTIFS('Candidate Tracker'!$E:$E,'Positions Tracker'!$B511,'Candidate Tracker'!$C:$C,"&lt;&gt;WIP",'Candidate Tracker'!$C:$C,"&lt;&gt;Hold",'Candidate Tracker'!$C:$C,"&lt;&gt;Cancelled",'Candidate Tracker'!$C:$C,"&lt;&gt;Closed")/COUNTIFS('Candidate Tracker'!$E:$E,'Positions Tracker'!$B511)=0,"",COUNTIFS('Candidate Tracker'!$E:$E,'Positions Tracker'!$B511,'Candidate Tracker'!$C:$C,"&lt;&gt;WIP",'Candidate Tracker'!$C:$C,"&lt;&gt;Hold",'Candidate Tracker'!$C:$C,"&lt;&gt;Cancelled",'Candidate Tracker'!$C:$C,"&lt;&gt;Closed")/COUNTIFS('Candidate Tracker'!$E:$E,'Positions Tracker'!$B511)),"")</f>
        <v/>
      </c>
      <c r="BD511" s="30" t="str">
        <f t="shared" si="57"/>
        <v/>
      </c>
      <c r="BE511" s="30" t="str">
        <f t="shared" si="58"/>
        <v/>
      </c>
      <c r="BF511" s="30" t="str">
        <f t="shared" si="59"/>
        <v/>
      </c>
      <c r="BG511" s="30" t="str">
        <f t="shared" si="60"/>
        <v/>
      </c>
    </row>
    <row r="512" spans="1:59">
      <c r="A512" s="39"/>
      <c r="B512" s="39"/>
      <c r="C512" s="39"/>
      <c r="D512" s="39"/>
      <c r="E512" s="39"/>
      <c r="F512" s="39"/>
      <c r="G512" s="39"/>
      <c r="H512" s="39"/>
      <c r="I512" s="40"/>
      <c r="J512" s="40"/>
      <c r="K512" s="35"/>
      <c r="L512" s="35"/>
      <c r="M512" s="35"/>
      <c r="N512" s="39"/>
      <c r="O512" s="39"/>
      <c r="P512" s="39"/>
      <c r="Q512" s="39"/>
      <c r="R512" s="39"/>
      <c r="S512" s="39"/>
      <c r="T512" s="39"/>
      <c r="U512" s="39"/>
      <c r="V512" s="39"/>
      <c r="W512" s="39"/>
      <c r="X512" s="39"/>
      <c r="Y512" s="39"/>
      <c r="Z512" s="39"/>
      <c r="AA512" s="39"/>
      <c r="AB512" s="39"/>
      <c r="AC512" s="39"/>
      <c r="AD512" s="39"/>
      <c r="AE512" s="39"/>
      <c r="AF512" s="39"/>
      <c r="AG512" s="39"/>
      <c r="AH512" s="39"/>
      <c r="AI512" s="35"/>
      <c r="AJ512" s="39"/>
      <c r="AK512" s="39"/>
      <c r="AL512" s="39"/>
      <c r="AM512" s="35"/>
      <c r="AN512" s="35"/>
      <c r="AO512" s="39"/>
      <c r="AP512" s="39"/>
      <c r="AQ512" s="35"/>
      <c r="AR512" s="35"/>
      <c r="AS512" s="35"/>
      <c r="AT512" s="30">
        <f t="shared" ca="1" si="56"/>
        <v>0</v>
      </c>
      <c r="AU512" s="32" t="str">
        <f t="shared" ref="AU512:AU575" ca="1" si="61">IFERROR(IF(($M512=""),"",IF(OR(,$C512="Offer in Progress",$C512="WIP",$C512="WIP/Drop",$C512="WIP/New",$C512="WIP/Hold"),(TODAY()-$M512)-$AT512,"")),"")</f>
        <v/>
      </c>
      <c r="AV512" s="32" t="str" cm="1">
        <f t="array" aca="1" ref="AV512" ca="1">IFERROR(_xlfn.IFS($AU512="","",$AU512&lt;=15,"0-15",AND($AU512&gt;=16,$AU512&lt;=30),"16-30",AND($AU512&gt;=31,$AU512&lt;=45),"31-45",AND($AU512&gt;=46,$AU512&lt;=60),"46-60",AND($AU512&gt;=61,$AU512&lt;=90),"61-90",AND($AU512&gt;=91),"&gt; 90",AND($AU512&gt;=2000),""),"")</f>
        <v/>
      </c>
      <c r="AW512" s="32" t="str" cm="1">
        <f t="array" aca="1" ref="AW512" ca="1">IFERROR(_xlfn.IFS(OR($M512="",$AM512=""),"",OR($C512="Offered",$C512="Joined"),($AM512-$M512)-$AT512),"")</f>
        <v/>
      </c>
      <c r="AX512" s="32" t="str" cm="1">
        <f t="array" aca="1" ref="AX512" ca="1">IFERROR(_xlfn.IFS(OR($M512="",$AS512=""),"",$C512="Joined",($AS512-$M512)-$AT512),"")</f>
        <v/>
      </c>
      <c r="AY512" s="30" t="str">
        <f>IFERROR(IF(COUNTIFS('Candidate Tracker'!$E:$E,'Positions Tracker'!$B512,'Candidate Tracker'!$C:$C,"Offer Drop")=0,"",COUNTIFS('Candidate Tracker'!$E:$E,'Positions Tracker'!$B512,'Candidate Tracker'!$C:$C,"Offer Drop")),"")</f>
        <v/>
      </c>
      <c r="AZ5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2" s="34" t="str">
        <f>IFERROR(IF(COUNTIFS('Candidate Tracker'!$E:$E,'Positions Tracker'!$B512,'Candidate Tracker'!$I:$I,"Female")=0,"",COUNTIFS('Candidate Tracker'!$E:$E,'Positions Tracker'!$B512,'Candidate Tracker'!$I:$I,"Female")),"")</f>
        <v/>
      </c>
      <c r="BB512" s="34" t="str">
        <f>IFERROR(IF(COUNTIFS('Candidate Tracker'!$E:$E,'Positions Tracker'!$B512,'Candidate Tracker'!$I:$I,"male")=0,"",COUNTIFS('Candidate Tracker'!$E:$E,'Positions Tracker'!$B512,'Candidate Tracker'!$I:$I,"male")),"")</f>
        <v/>
      </c>
      <c r="BC512" s="33" t="str">
        <f>IFERROR(IF(COUNTIFS('Candidate Tracker'!$E:$E,'Positions Tracker'!$B512,'Candidate Tracker'!$C:$C,"&lt;&gt;WIP",'Candidate Tracker'!$C:$C,"&lt;&gt;Hold",'Candidate Tracker'!$C:$C,"&lt;&gt;Cancelled",'Candidate Tracker'!$C:$C,"&lt;&gt;Closed")/COUNTIFS('Candidate Tracker'!$E:$E,'Positions Tracker'!$B512)=0,"",COUNTIFS('Candidate Tracker'!$E:$E,'Positions Tracker'!$B512,'Candidate Tracker'!$C:$C,"&lt;&gt;WIP",'Candidate Tracker'!$C:$C,"&lt;&gt;Hold",'Candidate Tracker'!$C:$C,"&lt;&gt;Cancelled",'Candidate Tracker'!$C:$C,"&lt;&gt;Closed")/COUNTIFS('Candidate Tracker'!$E:$E,'Positions Tracker'!$B512)),"")</f>
        <v/>
      </c>
      <c r="BD512" s="30" t="str">
        <f t="shared" si="57"/>
        <v/>
      </c>
      <c r="BE512" s="30" t="str">
        <f t="shared" si="58"/>
        <v/>
      </c>
      <c r="BF512" s="30" t="str">
        <f t="shared" si="59"/>
        <v/>
      </c>
      <c r="BG512" s="30" t="str">
        <f t="shared" si="60"/>
        <v/>
      </c>
    </row>
    <row r="513" spans="1:59">
      <c r="A513" s="39"/>
      <c r="B513" s="39"/>
      <c r="C513" s="39"/>
      <c r="D513" s="39"/>
      <c r="E513" s="39"/>
      <c r="F513" s="39"/>
      <c r="G513" s="39"/>
      <c r="H513" s="39"/>
      <c r="I513" s="40"/>
      <c r="J513" s="40"/>
      <c r="K513" s="35"/>
      <c r="L513" s="35"/>
      <c r="M513" s="35"/>
      <c r="N513" s="39"/>
      <c r="O513" s="39"/>
      <c r="P513" s="39"/>
      <c r="Q513" s="39"/>
      <c r="R513" s="39"/>
      <c r="S513" s="39"/>
      <c r="T513" s="39"/>
      <c r="U513" s="39"/>
      <c r="V513" s="39"/>
      <c r="W513" s="39"/>
      <c r="X513" s="39"/>
      <c r="Y513" s="39"/>
      <c r="Z513" s="39"/>
      <c r="AA513" s="39"/>
      <c r="AB513" s="39"/>
      <c r="AC513" s="39"/>
      <c r="AD513" s="39"/>
      <c r="AE513" s="39"/>
      <c r="AF513" s="39"/>
      <c r="AG513" s="39"/>
      <c r="AH513" s="39"/>
      <c r="AI513" s="35"/>
      <c r="AJ513" s="39"/>
      <c r="AK513" s="39"/>
      <c r="AL513" s="39"/>
      <c r="AM513" s="35"/>
      <c r="AN513" s="35"/>
      <c r="AO513" s="39"/>
      <c r="AP513" s="39"/>
      <c r="AQ513" s="35"/>
      <c r="AR513" s="35"/>
      <c r="AS513" s="35"/>
      <c r="AT513" s="30">
        <f t="shared" ref="AT513:AT576" ca="1" si="62">IFERROR(SUM(IF(AND(ISBLANK(T513),ISBLANK(Q513)),0,IF(T513="",TODAY()-Q513,T513-Q513))+IF(AND(ISBLANK(S513),ISBLANK(P513)),0,IF(S513="",TODAY()-P513,S513-P513))+IF(AND(ISBLANK(O513),ISBLANK(R513)),0,IF(R513="",TODAY()-O513,R513-O513))),"")</f>
        <v>0</v>
      </c>
      <c r="AU513" s="32" t="str">
        <f t="shared" ca="1" si="61"/>
        <v/>
      </c>
      <c r="AV513" s="32" t="str" cm="1">
        <f t="array" aca="1" ref="AV513" ca="1">IFERROR(_xlfn.IFS($AU513="","",$AU513&lt;=15,"0-15",AND($AU513&gt;=16,$AU513&lt;=30),"16-30",AND($AU513&gt;=31,$AU513&lt;=45),"31-45",AND($AU513&gt;=46,$AU513&lt;=60),"46-60",AND($AU513&gt;=61,$AU513&lt;=90),"61-90",AND($AU513&gt;=91),"&gt; 90",AND($AU513&gt;=2000),""),"")</f>
        <v/>
      </c>
      <c r="AW513" s="32" t="str" cm="1">
        <f t="array" aca="1" ref="AW513" ca="1">IFERROR(_xlfn.IFS(OR($M513="",$AM513=""),"",OR($C513="Offered",$C513="Joined"),($AM513-$M513)-$AT513),"")</f>
        <v/>
      </c>
      <c r="AX513" s="32" t="str" cm="1">
        <f t="array" aca="1" ref="AX513" ca="1">IFERROR(_xlfn.IFS(OR($M513="",$AS513=""),"",$C513="Joined",($AS513-$M513)-$AT513),"")</f>
        <v/>
      </c>
      <c r="AY513" s="30" t="str">
        <f>IFERROR(IF(COUNTIFS('Candidate Tracker'!$E:$E,'Positions Tracker'!$B513,'Candidate Tracker'!$C:$C,"Offer Drop")=0,"",COUNTIFS('Candidate Tracker'!$E:$E,'Positions Tracker'!$B513,'Candidate Tracker'!$C:$C,"Offer Drop")),"")</f>
        <v/>
      </c>
      <c r="AZ5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3" s="34" t="str">
        <f>IFERROR(IF(COUNTIFS('Candidate Tracker'!$E:$E,'Positions Tracker'!$B513,'Candidate Tracker'!$I:$I,"Female")=0,"",COUNTIFS('Candidate Tracker'!$E:$E,'Positions Tracker'!$B513,'Candidate Tracker'!$I:$I,"Female")),"")</f>
        <v/>
      </c>
      <c r="BB513" s="34" t="str">
        <f>IFERROR(IF(COUNTIFS('Candidate Tracker'!$E:$E,'Positions Tracker'!$B513,'Candidate Tracker'!$I:$I,"male")=0,"",COUNTIFS('Candidate Tracker'!$E:$E,'Positions Tracker'!$B513,'Candidate Tracker'!$I:$I,"male")),"")</f>
        <v/>
      </c>
      <c r="BC513" s="33" t="str">
        <f>IFERROR(IF(COUNTIFS('Candidate Tracker'!$E:$E,'Positions Tracker'!$B513,'Candidate Tracker'!$C:$C,"&lt;&gt;WIP",'Candidate Tracker'!$C:$C,"&lt;&gt;Hold",'Candidate Tracker'!$C:$C,"&lt;&gt;Cancelled",'Candidate Tracker'!$C:$C,"&lt;&gt;Closed")/COUNTIFS('Candidate Tracker'!$E:$E,'Positions Tracker'!$B513)=0,"",COUNTIFS('Candidate Tracker'!$E:$E,'Positions Tracker'!$B513,'Candidate Tracker'!$C:$C,"&lt;&gt;WIP",'Candidate Tracker'!$C:$C,"&lt;&gt;Hold",'Candidate Tracker'!$C:$C,"&lt;&gt;Cancelled",'Candidate Tracker'!$C:$C,"&lt;&gt;Closed")/COUNTIFS('Candidate Tracker'!$E:$E,'Positions Tracker'!$B513)),"")</f>
        <v/>
      </c>
      <c r="BD513" s="30" t="str">
        <f t="shared" ref="BD513:BD576" si="63">IFERROR(IF($M513="","",TEXT($M513,"MMM-YY")),"")</f>
        <v/>
      </c>
      <c r="BE513" s="30" t="str">
        <f t="shared" ref="BE513:BE576" si="64">IFERROR(IF($AI513="","",TEXT($AI513,"MMM-YY")),"")</f>
        <v/>
      </c>
      <c r="BF513" s="30" t="str">
        <f t="shared" ref="BF513:BF576" si="65">IFERROR(IF($AM513="","",TEXT($AM513,"MMM-YY")),"")</f>
        <v/>
      </c>
      <c r="BG513" s="30" t="str">
        <f t="shared" ref="BG513:BG576" si="66">IFERROR(IF($AS513="","",TEXT($AS513,"MMM-YY")),"")</f>
        <v/>
      </c>
    </row>
    <row r="514" spans="1:59">
      <c r="A514" s="39"/>
      <c r="B514" s="39"/>
      <c r="C514" s="39"/>
      <c r="D514" s="39"/>
      <c r="E514" s="39"/>
      <c r="F514" s="39"/>
      <c r="G514" s="39"/>
      <c r="H514" s="39"/>
      <c r="I514" s="40"/>
      <c r="J514" s="40"/>
      <c r="K514" s="35"/>
      <c r="L514" s="35"/>
      <c r="M514" s="35"/>
      <c r="N514" s="39"/>
      <c r="O514" s="39"/>
      <c r="P514" s="39"/>
      <c r="Q514" s="39"/>
      <c r="R514" s="39"/>
      <c r="S514" s="39"/>
      <c r="T514" s="39"/>
      <c r="U514" s="39"/>
      <c r="V514" s="39"/>
      <c r="W514" s="39"/>
      <c r="X514" s="39"/>
      <c r="Y514" s="39"/>
      <c r="Z514" s="39"/>
      <c r="AA514" s="39"/>
      <c r="AB514" s="39"/>
      <c r="AC514" s="39"/>
      <c r="AD514" s="39"/>
      <c r="AE514" s="39"/>
      <c r="AF514" s="39"/>
      <c r="AG514" s="39"/>
      <c r="AH514" s="39"/>
      <c r="AI514" s="35"/>
      <c r="AJ514" s="39"/>
      <c r="AK514" s="39"/>
      <c r="AL514" s="39"/>
      <c r="AM514" s="35"/>
      <c r="AN514" s="35"/>
      <c r="AO514" s="39"/>
      <c r="AP514" s="39"/>
      <c r="AQ514" s="35"/>
      <c r="AR514" s="35"/>
      <c r="AS514" s="35"/>
      <c r="AT514" s="30">
        <f t="shared" ca="1" si="62"/>
        <v>0</v>
      </c>
      <c r="AU514" s="32" t="str">
        <f t="shared" ca="1" si="61"/>
        <v/>
      </c>
      <c r="AV514" s="32" t="str" cm="1">
        <f t="array" aca="1" ref="AV514" ca="1">IFERROR(_xlfn.IFS($AU514="","",$AU514&lt;=15,"0-15",AND($AU514&gt;=16,$AU514&lt;=30),"16-30",AND($AU514&gt;=31,$AU514&lt;=45),"31-45",AND($AU514&gt;=46,$AU514&lt;=60),"46-60",AND($AU514&gt;=61,$AU514&lt;=90),"61-90",AND($AU514&gt;=91),"&gt; 90",AND($AU514&gt;=2000),""),"")</f>
        <v/>
      </c>
      <c r="AW514" s="32" t="str" cm="1">
        <f t="array" aca="1" ref="AW514" ca="1">IFERROR(_xlfn.IFS(OR($M514="",$AM514=""),"",OR($C514="Offered",$C514="Joined"),($AM514-$M514)-$AT514),"")</f>
        <v/>
      </c>
      <c r="AX514" s="32" t="str" cm="1">
        <f t="array" aca="1" ref="AX514" ca="1">IFERROR(_xlfn.IFS(OR($M514="",$AS514=""),"",$C514="Joined",($AS514-$M514)-$AT514),"")</f>
        <v/>
      </c>
      <c r="AY514" s="30" t="str">
        <f>IFERROR(IF(COUNTIFS('Candidate Tracker'!$E:$E,'Positions Tracker'!$B514,'Candidate Tracker'!$C:$C,"Offer Drop")=0,"",COUNTIFS('Candidate Tracker'!$E:$E,'Positions Tracker'!$B514,'Candidate Tracker'!$C:$C,"Offer Drop")),"")</f>
        <v/>
      </c>
      <c r="AZ5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4" s="34" t="str">
        <f>IFERROR(IF(COUNTIFS('Candidate Tracker'!$E:$E,'Positions Tracker'!$B514,'Candidate Tracker'!$I:$I,"Female")=0,"",COUNTIFS('Candidate Tracker'!$E:$E,'Positions Tracker'!$B514,'Candidate Tracker'!$I:$I,"Female")),"")</f>
        <v/>
      </c>
      <c r="BB514" s="34" t="str">
        <f>IFERROR(IF(COUNTIFS('Candidate Tracker'!$E:$E,'Positions Tracker'!$B514,'Candidate Tracker'!$I:$I,"male")=0,"",COUNTIFS('Candidate Tracker'!$E:$E,'Positions Tracker'!$B514,'Candidate Tracker'!$I:$I,"male")),"")</f>
        <v/>
      </c>
      <c r="BC514" s="33" t="str">
        <f>IFERROR(IF(COUNTIFS('Candidate Tracker'!$E:$E,'Positions Tracker'!$B514,'Candidate Tracker'!$C:$C,"&lt;&gt;WIP",'Candidate Tracker'!$C:$C,"&lt;&gt;Hold",'Candidate Tracker'!$C:$C,"&lt;&gt;Cancelled",'Candidate Tracker'!$C:$C,"&lt;&gt;Closed")/COUNTIFS('Candidate Tracker'!$E:$E,'Positions Tracker'!$B514)=0,"",COUNTIFS('Candidate Tracker'!$E:$E,'Positions Tracker'!$B514,'Candidate Tracker'!$C:$C,"&lt;&gt;WIP",'Candidate Tracker'!$C:$C,"&lt;&gt;Hold",'Candidate Tracker'!$C:$C,"&lt;&gt;Cancelled",'Candidate Tracker'!$C:$C,"&lt;&gt;Closed")/COUNTIFS('Candidate Tracker'!$E:$E,'Positions Tracker'!$B514)),"")</f>
        <v/>
      </c>
      <c r="BD514" s="30" t="str">
        <f t="shared" si="63"/>
        <v/>
      </c>
      <c r="BE514" s="30" t="str">
        <f t="shared" si="64"/>
        <v/>
      </c>
      <c r="BF514" s="30" t="str">
        <f t="shared" si="65"/>
        <v/>
      </c>
      <c r="BG514" s="30" t="str">
        <f t="shared" si="66"/>
        <v/>
      </c>
    </row>
    <row r="515" spans="1:59">
      <c r="A515" s="39"/>
      <c r="B515" s="39"/>
      <c r="C515" s="39"/>
      <c r="D515" s="39"/>
      <c r="E515" s="39"/>
      <c r="F515" s="39"/>
      <c r="G515" s="39"/>
      <c r="H515" s="39"/>
      <c r="I515" s="40"/>
      <c r="J515" s="40"/>
      <c r="K515" s="35"/>
      <c r="L515" s="35"/>
      <c r="M515" s="35"/>
      <c r="N515" s="39"/>
      <c r="O515" s="39"/>
      <c r="P515" s="39"/>
      <c r="Q515" s="39"/>
      <c r="R515" s="39"/>
      <c r="S515" s="39"/>
      <c r="T515" s="39"/>
      <c r="U515" s="39"/>
      <c r="V515" s="39"/>
      <c r="W515" s="39"/>
      <c r="X515" s="39"/>
      <c r="Y515" s="39"/>
      <c r="Z515" s="39"/>
      <c r="AA515" s="39"/>
      <c r="AB515" s="39"/>
      <c r="AC515" s="39"/>
      <c r="AD515" s="39"/>
      <c r="AE515" s="39"/>
      <c r="AF515" s="39"/>
      <c r="AG515" s="39"/>
      <c r="AH515" s="39"/>
      <c r="AI515" s="35"/>
      <c r="AJ515" s="39"/>
      <c r="AK515" s="39"/>
      <c r="AL515" s="39"/>
      <c r="AM515" s="35"/>
      <c r="AN515" s="35"/>
      <c r="AO515" s="39"/>
      <c r="AP515" s="39"/>
      <c r="AQ515" s="35"/>
      <c r="AR515" s="35"/>
      <c r="AS515" s="35"/>
      <c r="AT515" s="30">
        <f t="shared" ca="1" si="62"/>
        <v>0</v>
      </c>
      <c r="AU515" s="32" t="str">
        <f t="shared" ca="1" si="61"/>
        <v/>
      </c>
      <c r="AV515" s="32" t="str" cm="1">
        <f t="array" aca="1" ref="AV515" ca="1">IFERROR(_xlfn.IFS($AU515="","",$AU515&lt;=15,"0-15",AND($AU515&gt;=16,$AU515&lt;=30),"16-30",AND($AU515&gt;=31,$AU515&lt;=45),"31-45",AND($AU515&gt;=46,$AU515&lt;=60),"46-60",AND($AU515&gt;=61,$AU515&lt;=90),"61-90",AND($AU515&gt;=91),"&gt; 90",AND($AU515&gt;=2000),""),"")</f>
        <v/>
      </c>
      <c r="AW515" s="32" t="str" cm="1">
        <f t="array" aca="1" ref="AW515" ca="1">IFERROR(_xlfn.IFS(OR($M515="",$AM515=""),"",OR($C515="Offered",$C515="Joined"),($AM515-$M515)-$AT515),"")</f>
        <v/>
      </c>
      <c r="AX515" s="32" t="str" cm="1">
        <f t="array" aca="1" ref="AX515" ca="1">IFERROR(_xlfn.IFS(OR($M515="",$AS515=""),"",$C515="Joined",($AS515-$M515)-$AT515),"")</f>
        <v/>
      </c>
      <c r="AY515" s="30" t="str">
        <f>IFERROR(IF(COUNTIFS('Candidate Tracker'!$E:$E,'Positions Tracker'!$B515,'Candidate Tracker'!$C:$C,"Offer Drop")=0,"",COUNTIFS('Candidate Tracker'!$E:$E,'Positions Tracker'!$B515,'Candidate Tracker'!$C:$C,"Offer Drop")),"")</f>
        <v/>
      </c>
      <c r="AZ5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5" s="34" t="str">
        <f>IFERROR(IF(COUNTIFS('Candidate Tracker'!$E:$E,'Positions Tracker'!$B515,'Candidate Tracker'!$I:$I,"Female")=0,"",COUNTIFS('Candidate Tracker'!$E:$E,'Positions Tracker'!$B515,'Candidate Tracker'!$I:$I,"Female")),"")</f>
        <v/>
      </c>
      <c r="BB515" s="34" t="str">
        <f>IFERROR(IF(COUNTIFS('Candidate Tracker'!$E:$E,'Positions Tracker'!$B515,'Candidate Tracker'!$I:$I,"male")=0,"",COUNTIFS('Candidate Tracker'!$E:$E,'Positions Tracker'!$B515,'Candidate Tracker'!$I:$I,"male")),"")</f>
        <v/>
      </c>
      <c r="BC515" s="33" t="str">
        <f>IFERROR(IF(COUNTIFS('Candidate Tracker'!$E:$E,'Positions Tracker'!$B515,'Candidate Tracker'!$C:$C,"&lt;&gt;WIP",'Candidate Tracker'!$C:$C,"&lt;&gt;Hold",'Candidate Tracker'!$C:$C,"&lt;&gt;Cancelled",'Candidate Tracker'!$C:$C,"&lt;&gt;Closed")/COUNTIFS('Candidate Tracker'!$E:$E,'Positions Tracker'!$B515)=0,"",COUNTIFS('Candidate Tracker'!$E:$E,'Positions Tracker'!$B515,'Candidate Tracker'!$C:$C,"&lt;&gt;WIP",'Candidate Tracker'!$C:$C,"&lt;&gt;Hold",'Candidate Tracker'!$C:$C,"&lt;&gt;Cancelled",'Candidate Tracker'!$C:$C,"&lt;&gt;Closed")/COUNTIFS('Candidate Tracker'!$E:$E,'Positions Tracker'!$B515)),"")</f>
        <v/>
      </c>
      <c r="BD515" s="30" t="str">
        <f t="shared" si="63"/>
        <v/>
      </c>
      <c r="BE515" s="30" t="str">
        <f t="shared" si="64"/>
        <v/>
      </c>
      <c r="BF515" s="30" t="str">
        <f t="shared" si="65"/>
        <v/>
      </c>
      <c r="BG515" s="30" t="str">
        <f t="shared" si="66"/>
        <v/>
      </c>
    </row>
    <row r="516" spans="1:59">
      <c r="A516" s="39"/>
      <c r="B516" s="39"/>
      <c r="C516" s="39"/>
      <c r="D516" s="39"/>
      <c r="E516" s="39"/>
      <c r="F516" s="39"/>
      <c r="G516" s="39"/>
      <c r="H516" s="39"/>
      <c r="I516" s="40"/>
      <c r="J516" s="40"/>
      <c r="K516" s="35"/>
      <c r="L516" s="35"/>
      <c r="M516" s="35"/>
      <c r="N516" s="39"/>
      <c r="O516" s="39"/>
      <c r="P516" s="39"/>
      <c r="Q516" s="39"/>
      <c r="R516" s="39"/>
      <c r="S516" s="39"/>
      <c r="T516" s="39"/>
      <c r="U516" s="39"/>
      <c r="V516" s="39"/>
      <c r="W516" s="39"/>
      <c r="X516" s="39"/>
      <c r="Y516" s="39"/>
      <c r="Z516" s="39"/>
      <c r="AA516" s="39"/>
      <c r="AB516" s="39"/>
      <c r="AC516" s="39"/>
      <c r="AD516" s="39"/>
      <c r="AE516" s="39"/>
      <c r="AF516" s="39"/>
      <c r="AG516" s="39"/>
      <c r="AH516" s="39"/>
      <c r="AI516" s="35"/>
      <c r="AJ516" s="39"/>
      <c r="AK516" s="39"/>
      <c r="AL516" s="39"/>
      <c r="AM516" s="35"/>
      <c r="AN516" s="35"/>
      <c r="AO516" s="39"/>
      <c r="AP516" s="39"/>
      <c r="AQ516" s="35"/>
      <c r="AR516" s="35"/>
      <c r="AS516" s="35"/>
      <c r="AT516" s="30">
        <f t="shared" ca="1" si="62"/>
        <v>0</v>
      </c>
      <c r="AU516" s="32" t="str">
        <f t="shared" ca="1" si="61"/>
        <v/>
      </c>
      <c r="AV516" s="32" t="str" cm="1">
        <f t="array" aca="1" ref="AV516" ca="1">IFERROR(_xlfn.IFS($AU516="","",$AU516&lt;=15,"0-15",AND($AU516&gt;=16,$AU516&lt;=30),"16-30",AND($AU516&gt;=31,$AU516&lt;=45),"31-45",AND($AU516&gt;=46,$AU516&lt;=60),"46-60",AND($AU516&gt;=61,$AU516&lt;=90),"61-90",AND($AU516&gt;=91),"&gt; 90",AND($AU516&gt;=2000),""),"")</f>
        <v/>
      </c>
      <c r="AW516" s="32" t="str" cm="1">
        <f t="array" aca="1" ref="AW516" ca="1">IFERROR(_xlfn.IFS(OR($M516="",$AM516=""),"",OR($C516="Offered",$C516="Joined"),($AM516-$M516)-$AT516),"")</f>
        <v/>
      </c>
      <c r="AX516" s="32" t="str" cm="1">
        <f t="array" aca="1" ref="AX516" ca="1">IFERROR(_xlfn.IFS(OR($M516="",$AS516=""),"",$C516="Joined",($AS516-$M516)-$AT516),"")</f>
        <v/>
      </c>
      <c r="AY516" s="30" t="str">
        <f>IFERROR(IF(COUNTIFS('Candidate Tracker'!$E:$E,'Positions Tracker'!$B516,'Candidate Tracker'!$C:$C,"Offer Drop")=0,"",COUNTIFS('Candidate Tracker'!$E:$E,'Positions Tracker'!$B516,'Candidate Tracker'!$C:$C,"Offer Drop")),"")</f>
        <v/>
      </c>
      <c r="AZ5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6" s="34" t="str">
        <f>IFERROR(IF(COUNTIFS('Candidate Tracker'!$E:$E,'Positions Tracker'!$B516,'Candidate Tracker'!$I:$I,"Female")=0,"",COUNTIFS('Candidate Tracker'!$E:$E,'Positions Tracker'!$B516,'Candidate Tracker'!$I:$I,"Female")),"")</f>
        <v/>
      </c>
      <c r="BB516" s="34" t="str">
        <f>IFERROR(IF(COUNTIFS('Candidate Tracker'!$E:$E,'Positions Tracker'!$B516,'Candidate Tracker'!$I:$I,"male")=0,"",COUNTIFS('Candidate Tracker'!$E:$E,'Positions Tracker'!$B516,'Candidate Tracker'!$I:$I,"male")),"")</f>
        <v/>
      </c>
      <c r="BC516" s="33" t="str">
        <f>IFERROR(IF(COUNTIFS('Candidate Tracker'!$E:$E,'Positions Tracker'!$B516,'Candidate Tracker'!$C:$C,"&lt;&gt;WIP",'Candidate Tracker'!$C:$C,"&lt;&gt;Hold",'Candidate Tracker'!$C:$C,"&lt;&gt;Cancelled",'Candidate Tracker'!$C:$C,"&lt;&gt;Closed")/COUNTIFS('Candidate Tracker'!$E:$E,'Positions Tracker'!$B516)=0,"",COUNTIFS('Candidate Tracker'!$E:$E,'Positions Tracker'!$B516,'Candidate Tracker'!$C:$C,"&lt;&gt;WIP",'Candidate Tracker'!$C:$C,"&lt;&gt;Hold",'Candidate Tracker'!$C:$C,"&lt;&gt;Cancelled",'Candidate Tracker'!$C:$C,"&lt;&gt;Closed")/COUNTIFS('Candidate Tracker'!$E:$E,'Positions Tracker'!$B516)),"")</f>
        <v/>
      </c>
      <c r="BD516" s="30" t="str">
        <f t="shared" si="63"/>
        <v/>
      </c>
      <c r="BE516" s="30" t="str">
        <f t="shared" si="64"/>
        <v/>
      </c>
      <c r="BF516" s="30" t="str">
        <f t="shared" si="65"/>
        <v/>
      </c>
      <c r="BG516" s="30" t="str">
        <f t="shared" si="66"/>
        <v/>
      </c>
    </row>
    <row r="517" spans="1:59">
      <c r="A517" s="39"/>
      <c r="B517" s="39"/>
      <c r="C517" s="39"/>
      <c r="D517" s="39"/>
      <c r="E517" s="39"/>
      <c r="F517" s="39"/>
      <c r="G517" s="39"/>
      <c r="H517" s="39"/>
      <c r="I517" s="40"/>
      <c r="J517" s="40"/>
      <c r="K517" s="35"/>
      <c r="L517" s="35"/>
      <c r="M517" s="35"/>
      <c r="N517" s="39"/>
      <c r="O517" s="39"/>
      <c r="P517" s="39"/>
      <c r="Q517" s="39"/>
      <c r="R517" s="39"/>
      <c r="S517" s="39"/>
      <c r="T517" s="39"/>
      <c r="U517" s="39"/>
      <c r="V517" s="39"/>
      <c r="W517" s="39"/>
      <c r="X517" s="39"/>
      <c r="Y517" s="39"/>
      <c r="Z517" s="39"/>
      <c r="AA517" s="39"/>
      <c r="AB517" s="39"/>
      <c r="AC517" s="39"/>
      <c r="AD517" s="39"/>
      <c r="AE517" s="39"/>
      <c r="AF517" s="39"/>
      <c r="AG517" s="39"/>
      <c r="AH517" s="39"/>
      <c r="AI517" s="35"/>
      <c r="AJ517" s="39"/>
      <c r="AK517" s="39"/>
      <c r="AL517" s="39"/>
      <c r="AM517" s="35"/>
      <c r="AN517" s="35"/>
      <c r="AO517" s="39"/>
      <c r="AP517" s="39"/>
      <c r="AQ517" s="35"/>
      <c r="AR517" s="35"/>
      <c r="AS517" s="35"/>
      <c r="AT517" s="30">
        <f t="shared" ca="1" si="62"/>
        <v>0</v>
      </c>
      <c r="AU517" s="32" t="str">
        <f t="shared" ca="1" si="61"/>
        <v/>
      </c>
      <c r="AV517" s="32" t="str" cm="1">
        <f t="array" aca="1" ref="AV517" ca="1">IFERROR(_xlfn.IFS($AU517="","",$AU517&lt;=15,"0-15",AND($AU517&gt;=16,$AU517&lt;=30),"16-30",AND($AU517&gt;=31,$AU517&lt;=45),"31-45",AND($AU517&gt;=46,$AU517&lt;=60),"46-60",AND($AU517&gt;=61,$AU517&lt;=90),"61-90",AND($AU517&gt;=91),"&gt; 90",AND($AU517&gt;=2000),""),"")</f>
        <v/>
      </c>
      <c r="AW517" s="32" t="str" cm="1">
        <f t="array" aca="1" ref="AW517" ca="1">IFERROR(_xlfn.IFS(OR($M517="",$AM517=""),"",OR($C517="Offered",$C517="Joined"),($AM517-$M517)-$AT517),"")</f>
        <v/>
      </c>
      <c r="AX517" s="32" t="str" cm="1">
        <f t="array" aca="1" ref="AX517" ca="1">IFERROR(_xlfn.IFS(OR($M517="",$AS517=""),"",$C517="Joined",($AS517-$M517)-$AT517),"")</f>
        <v/>
      </c>
      <c r="AY517" s="30" t="str">
        <f>IFERROR(IF(COUNTIFS('Candidate Tracker'!$E:$E,'Positions Tracker'!$B517,'Candidate Tracker'!$C:$C,"Offer Drop")=0,"",COUNTIFS('Candidate Tracker'!$E:$E,'Positions Tracker'!$B517,'Candidate Tracker'!$C:$C,"Offer Drop")),"")</f>
        <v/>
      </c>
      <c r="AZ5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7" s="34" t="str">
        <f>IFERROR(IF(COUNTIFS('Candidate Tracker'!$E:$E,'Positions Tracker'!$B517,'Candidate Tracker'!$I:$I,"Female")=0,"",COUNTIFS('Candidate Tracker'!$E:$E,'Positions Tracker'!$B517,'Candidate Tracker'!$I:$I,"Female")),"")</f>
        <v/>
      </c>
      <c r="BB517" s="34" t="str">
        <f>IFERROR(IF(COUNTIFS('Candidate Tracker'!$E:$E,'Positions Tracker'!$B517,'Candidate Tracker'!$I:$I,"male")=0,"",COUNTIFS('Candidate Tracker'!$E:$E,'Positions Tracker'!$B517,'Candidate Tracker'!$I:$I,"male")),"")</f>
        <v/>
      </c>
      <c r="BC517" s="33" t="str">
        <f>IFERROR(IF(COUNTIFS('Candidate Tracker'!$E:$E,'Positions Tracker'!$B517,'Candidate Tracker'!$C:$C,"&lt;&gt;WIP",'Candidate Tracker'!$C:$C,"&lt;&gt;Hold",'Candidate Tracker'!$C:$C,"&lt;&gt;Cancelled",'Candidate Tracker'!$C:$C,"&lt;&gt;Closed")/COUNTIFS('Candidate Tracker'!$E:$E,'Positions Tracker'!$B517)=0,"",COUNTIFS('Candidate Tracker'!$E:$E,'Positions Tracker'!$B517,'Candidate Tracker'!$C:$C,"&lt;&gt;WIP",'Candidate Tracker'!$C:$C,"&lt;&gt;Hold",'Candidate Tracker'!$C:$C,"&lt;&gt;Cancelled",'Candidate Tracker'!$C:$C,"&lt;&gt;Closed")/COUNTIFS('Candidate Tracker'!$E:$E,'Positions Tracker'!$B517)),"")</f>
        <v/>
      </c>
      <c r="BD517" s="30" t="str">
        <f t="shared" si="63"/>
        <v/>
      </c>
      <c r="BE517" s="30" t="str">
        <f t="shared" si="64"/>
        <v/>
      </c>
      <c r="BF517" s="30" t="str">
        <f t="shared" si="65"/>
        <v/>
      </c>
      <c r="BG517" s="30" t="str">
        <f t="shared" si="66"/>
        <v/>
      </c>
    </row>
    <row r="518" spans="1:59">
      <c r="A518" s="39"/>
      <c r="B518" s="39"/>
      <c r="C518" s="39"/>
      <c r="D518" s="39"/>
      <c r="E518" s="39"/>
      <c r="F518" s="39"/>
      <c r="G518" s="39"/>
      <c r="H518" s="39"/>
      <c r="I518" s="40"/>
      <c r="J518" s="40"/>
      <c r="K518" s="35"/>
      <c r="L518" s="35"/>
      <c r="M518" s="35"/>
      <c r="N518" s="39"/>
      <c r="O518" s="39"/>
      <c r="P518" s="39"/>
      <c r="Q518" s="39"/>
      <c r="R518" s="39"/>
      <c r="S518" s="39"/>
      <c r="T518" s="39"/>
      <c r="U518" s="39"/>
      <c r="V518" s="39"/>
      <c r="W518" s="39"/>
      <c r="X518" s="39"/>
      <c r="Y518" s="39"/>
      <c r="Z518" s="39"/>
      <c r="AA518" s="39"/>
      <c r="AB518" s="39"/>
      <c r="AC518" s="39"/>
      <c r="AD518" s="39"/>
      <c r="AE518" s="39"/>
      <c r="AF518" s="39"/>
      <c r="AG518" s="39"/>
      <c r="AH518" s="39"/>
      <c r="AI518" s="35"/>
      <c r="AJ518" s="39"/>
      <c r="AK518" s="39"/>
      <c r="AL518" s="39"/>
      <c r="AM518" s="35"/>
      <c r="AN518" s="35"/>
      <c r="AO518" s="39"/>
      <c r="AP518" s="39"/>
      <c r="AQ518" s="35"/>
      <c r="AR518" s="35"/>
      <c r="AS518" s="35"/>
      <c r="AT518" s="30">
        <f t="shared" ca="1" si="62"/>
        <v>0</v>
      </c>
      <c r="AU518" s="32" t="str">
        <f t="shared" ca="1" si="61"/>
        <v/>
      </c>
      <c r="AV518" s="32" t="str" cm="1">
        <f t="array" aca="1" ref="AV518" ca="1">IFERROR(_xlfn.IFS($AU518="","",$AU518&lt;=15,"0-15",AND($AU518&gt;=16,$AU518&lt;=30),"16-30",AND($AU518&gt;=31,$AU518&lt;=45),"31-45",AND($AU518&gt;=46,$AU518&lt;=60),"46-60",AND($AU518&gt;=61,$AU518&lt;=90),"61-90",AND($AU518&gt;=91),"&gt; 90",AND($AU518&gt;=2000),""),"")</f>
        <v/>
      </c>
      <c r="AW518" s="32" t="str" cm="1">
        <f t="array" aca="1" ref="AW518" ca="1">IFERROR(_xlfn.IFS(OR($M518="",$AM518=""),"",OR($C518="Offered",$C518="Joined"),($AM518-$M518)-$AT518),"")</f>
        <v/>
      </c>
      <c r="AX518" s="32" t="str" cm="1">
        <f t="array" aca="1" ref="AX518" ca="1">IFERROR(_xlfn.IFS(OR($M518="",$AS518=""),"",$C518="Joined",($AS518-$M518)-$AT518),"")</f>
        <v/>
      </c>
      <c r="AY518" s="30" t="str">
        <f>IFERROR(IF(COUNTIFS('Candidate Tracker'!$E:$E,'Positions Tracker'!$B518,'Candidate Tracker'!$C:$C,"Offer Drop")=0,"",COUNTIFS('Candidate Tracker'!$E:$E,'Positions Tracker'!$B518,'Candidate Tracker'!$C:$C,"Offer Drop")),"")</f>
        <v/>
      </c>
      <c r="AZ5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8" s="34" t="str">
        <f>IFERROR(IF(COUNTIFS('Candidate Tracker'!$E:$E,'Positions Tracker'!$B518,'Candidate Tracker'!$I:$I,"Female")=0,"",COUNTIFS('Candidate Tracker'!$E:$E,'Positions Tracker'!$B518,'Candidate Tracker'!$I:$I,"Female")),"")</f>
        <v/>
      </c>
      <c r="BB518" s="34" t="str">
        <f>IFERROR(IF(COUNTIFS('Candidate Tracker'!$E:$E,'Positions Tracker'!$B518,'Candidate Tracker'!$I:$I,"male")=0,"",COUNTIFS('Candidate Tracker'!$E:$E,'Positions Tracker'!$B518,'Candidate Tracker'!$I:$I,"male")),"")</f>
        <v/>
      </c>
      <c r="BC518" s="33" t="str">
        <f>IFERROR(IF(COUNTIFS('Candidate Tracker'!$E:$E,'Positions Tracker'!$B518,'Candidate Tracker'!$C:$C,"&lt;&gt;WIP",'Candidate Tracker'!$C:$C,"&lt;&gt;Hold",'Candidate Tracker'!$C:$C,"&lt;&gt;Cancelled",'Candidate Tracker'!$C:$C,"&lt;&gt;Closed")/COUNTIFS('Candidate Tracker'!$E:$E,'Positions Tracker'!$B518)=0,"",COUNTIFS('Candidate Tracker'!$E:$E,'Positions Tracker'!$B518,'Candidate Tracker'!$C:$C,"&lt;&gt;WIP",'Candidate Tracker'!$C:$C,"&lt;&gt;Hold",'Candidate Tracker'!$C:$C,"&lt;&gt;Cancelled",'Candidate Tracker'!$C:$C,"&lt;&gt;Closed")/COUNTIFS('Candidate Tracker'!$E:$E,'Positions Tracker'!$B518)),"")</f>
        <v/>
      </c>
      <c r="BD518" s="30" t="str">
        <f t="shared" si="63"/>
        <v/>
      </c>
      <c r="BE518" s="30" t="str">
        <f t="shared" si="64"/>
        <v/>
      </c>
      <c r="BF518" s="30" t="str">
        <f t="shared" si="65"/>
        <v/>
      </c>
      <c r="BG518" s="30" t="str">
        <f t="shared" si="66"/>
        <v/>
      </c>
    </row>
    <row r="519" spans="1:59">
      <c r="A519" s="39"/>
      <c r="B519" s="39"/>
      <c r="C519" s="39"/>
      <c r="D519" s="39"/>
      <c r="E519" s="39"/>
      <c r="F519" s="39"/>
      <c r="G519" s="39"/>
      <c r="H519" s="39"/>
      <c r="I519" s="40"/>
      <c r="J519" s="40"/>
      <c r="K519" s="35"/>
      <c r="L519" s="35"/>
      <c r="M519" s="35"/>
      <c r="N519" s="39"/>
      <c r="O519" s="39"/>
      <c r="P519" s="39"/>
      <c r="Q519" s="39"/>
      <c r="R519" s="39"/>
      <c r="S519" s="39"/>
      <c r="T519" s="39"/>
      <c r="U519" s="39"/>
      <c r="V519" s="39"/>
      <c r="W519" s="39"/>
      <c r="X519" s="39"/>
      <c r="Y519" s="39"/>
      <c r="Z519" s="39"/>
      <c r="AA519" s="39"/>
      <c r="AB519" s="39"/>
      <c r="AC519" s="39"/>
      <c r="AD519" s="39"/>
      <c r="AE519" s="39"/>
      <c r="AF519" s="39"/>
      <c r="AG519" s="39"/>
      <c r="AH519" s="39"/>
      <c r="AI519" s="35"/>
      <c r="AJ519" s="39"/>
      <c r="AK519" s="39"/>
      <c r="AL519" s="39"/>
      <c r="AM519" s="35"/>
      <c r="AN519" s="35"/>
      <c r="AO519" s="39"/>
      <c r="AP519" s="39"/>
      <c r="AQ519" s="35"/>
      <c r="AR519" s="35"/>
      <c r="AS519" s="35"/>
      <c r="AT519" s="30">
        <f t="shared" ca="1" si="62"/>
        <v>0</v>
      </c>
      <c r="AU519" s="32" t="str">
        <f t="shared" ca="1" si="61"/>
        <v/>
      </c>
      <c r="AV519" s="32" t="str" cm="1">
        <f t="array" aca="1" ref="AV519" ca="1">IFERROR(_xlfn.IFS($AU519="","",$AU519&lt;=15,"0-15",AND($AU519&gt;=16,$AU519&lt;=30),"16-30",AND($AU519&gt;=31,$AU519&lt;=45),"31-45",AND($AU519&gt;=46,$AU519&lt;=60),"46-60",AND($AU519&gt;=61,$AU519&lt;=90),"61-90",AND($AU519&gt;=91),"&gt; 90",AND($AU519&gt;=2000),""),"")</f>
        <v/>
      </c>
      <c r="AW519" s="32" t="str" cm="1">
        <f t="array" aca="1" ref="AW519" ca="1">IFERROR(_xlfn.IFS(OR($M519="",$AM519=""),"",OR($C519="Offered",$C519="Joined"),($AM519-$M519)-$AT519),"")</f>
        <v/>
      </c>
      <c r="AX519" s="32" t="str" cm="1">
        <f t="array" aca="1" ref="AX519" ca="1">IFERROR(_xlfn.IFS(OR($M519="",$AS519=""),"",$C519="Joined",($AS519-$M519)-$AT519),"")</f>
        <v/>
      </c>
      <c r="AY519" s="30" t="str">
        <f>IFERROR(IF(COUNTIFS('Candidate Tracker'!$E:$E,'Positions Tracker'!$B519,'Candidate Tracker'!$C:$C,"Offer Drop")=0,"",COUNTIFS('Candidate Tracker'!$E:$E,'Positions Tracker'!$B519,'Candidate Tracker'!$C:$C,"Offer Drop")),"")</f>
        <v/>
      </c>
      <c r="AZ5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19" s="34" t="str">
        <f>IFERROR(IF(COUNTIFS('Candidate Tracker'!$E:$E,'Positions Tracker'!$B519,'Candidate Tracker'!$I:$I,"Female")=0,"",COUNTIFS('Candidate Tracker'!$E:$E,'Positions Tracker'!$B519,'Candidate Tracker'!$I:$I,"Female")),"")</f>
        <v/>
      </c>
      <c r="BB519" s="34" t="str">
        <f>IFERROR(IF(COUNTIFS('Candidate Tracker'!$E:$E,'Positions Tracker'!$B519,'Candidate Tracker'!$I:$I,"male")=0,"",COUNTIFS('Candidate Tracker'!$E:$E,'Positions Tracker'!$B519,'Candidate Tracker'!$I:$I,"male")),"")</f>
        <v/>
      </c>
      <c r="BC519" s="33" t="str">
        <f>IFERROR(IF(COUNTIFS('Candidate Tracker'!$E:$E,'Positions Tracker'!$B519,'Candidate Tracker'!$C:$C,"&lt;&gt;WIP",'Candidate Tracker'!$C:$C,"&lt;&gt;Hold",'Candidate Tracker'!$C:$C,"&lt;&gt;Cancelled",'Candidate Tracker'!$C:$C,"&lt;&gt;Closed")/COUNTIFS('Candidate Tracker'!$E:$E,'Positions Tracker'!$B519)=0,"",COUNTIFS('Candidate Tracker'!$E:$E,'Positions Tracker'!$B519,'Candidate Tracker'!$C:$C,"&lt;&gt;WIP",'Candidate Tracker'!$C:$C,"&lt;&gt;Hold",'Candidate Tracker'!$C:$C,"&lt;&gt;Cancelled",'Candidate Tracker'!$C:$C,"&lt;&gt;Closed")/COUNTIFS('Candidate Tracker'!$E:$E,'Positions Tracker'!$B519)),"")</f>
        <v/>
      </c>
      <c r="BD519" s="30" t="str">
        <f t="shared" si="63"/>
        <v/>
      </c>
      <c r="BE519" s="30" t="str">
        <f t="shared" si="64"/>
        <v/>
      </c>
      <c r="BF519" s="30" t="str">
        <f t="shared" si="65"/>
        <v/>
      </c>
      <c r="BG519" s="30" t="str">
        <f t="shared" si="66"/>
        <v/>
      </c>
    </row>
    <row r="520" spans="1:59">
      <c r="A520" s="39"/>
      <c r="B520" s="39"/>
      <c r="C520" s="39"/>
      <c r="D520" s="39"/>
      <c r="E520" s="39"/>
      <c r="F520" s="39"/>
      <c r="G520" s="39"/>
      <c r="H520" s="39"/>
      <c r="I520" s="40"/>
      <c r="J520" s="40"/>
      <c r="K520" s="35"/>
      <c r="L520" s="35"/>
      <c r="M520" s="35"/>
      <c r="N520" s="39"/>
      <c r="O520" s="39"/>
      <c r="P520" s="39"/>
      <c r="Q520" s="39"/>
      <c r="R520" s="39"/>
      <c r="S520" s="39"/>
      <c r="T520" s="39"/>
      <c r="U520" s="39"/>
      <c r="V520" s="39"/>
      <c r="W520" s="39"/>
      <c r="X520" s="39"/>
      <c r="Y520" s="39"/>
      <c r="Z520" s="39"/>
      <c r="AA520" s="39"/>
      <c r="AB520" s="39"/>
      <c r="AC520" s="39"/>
      <c r="AD520" s="39"/>
      <c r="AE520" s="39"/>
      <c r="AF520" s="39"/>
      <c r="AG520" s="39"/>
      <c r="AH520" s="39"/>
      <c r="AI520" s="35"/>
      <c r="AJ520" s="39"/>
      <c r="AK520" s="39"/>
      <c r="AL520" s="39"/>
      <c r="AM520" s="35"/>
      <c r="AN520" s="35"/>
      <c r="AO520" s="39"/>
      <c r="AP520" s="39"/>
      <c r="AQ520" s="35"/>
      <c r="AR520" s="35"/>
      <c r="AS520" s="35"/>
      <c r="AT520" s="30">
        <f t="shared" ca="1" si="62"/>
        <v>0</v>
      </c>
      <c r="AU520" s="32" t="str">
        <f t="shared" ca="1" si="61"/>
        <v/>
      </c>
      <c r="AV520" s="32" t="str" cm="1">
        <f t="array" aca="1" ref="AV520" ca="1">IFERROR(_xlfn.IFS($AU520="","",$AU520&lt;=15,"0-15",AND($AU520&gt;=16,$AU520&lt;=30),"16-30",AND($AU520&gt;=31,$AU520&lt;=45),"31-45",AND($AU520&gt;=46,$AU520&lt;=60),"46-60",AND($AU520&gt;=61,$AU520&lt;=90),"61-90",AND($AU520&gt;=91),"&gt; 90",AND($AU520&gt;=2000),""),"")</f>
        <v/>
      </c>
      <c r="AW520" s="32" t="str" cm="1">
        <f t="array" aca="1" ref="AW520" ca="1">IFERROR(_xlfn.IFS(OR($M520="",$AM520=""),"",OR($C520="Offered",$C520="Joined"),($AM520-$M520)-$AT520),"")</f>
        <v/>
      </c>
      <c r="AX520" s="32" t="str" cm="1">
        <f t="array" aca="1" ref="AX520" ca="1">IFERROR(_xlfn.IFS(OR($M520="",$AS520=""),"",$C520="Joined",($AS520-$M520)-$AT520),"")</f>
        <v/>
      </c>
      <c r="AY520" s="30" t="str">
        <f>IFERROR(IF(COUNTIFS('Candidate Tracker'!$E:$E,'Positions Tracker'!$B520,'Candidate Tracker'!$C:$C,"Offer Drop")=0,"",COUNTIFS('Candidate Tracker'!$E:$E,'Positions Tracker'!$B520,'Candidate Tracker'!$C:$C,"Offer Drop")),"")</f>
        <v/>
      </c>
      <c r="AZ5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0" s="34" t="str">
        <f>IFERROR(IF(COUNTIFS('Candidate Tracker'!$E:$E,'Positions Tracker'!$B520,'Candidate Tracker'!$I:$I,"Female")=0,"",COUNTIFS('Candidate Tracker'!$E:$E,'Positions Tracker'!$B520,'Candidate Tracker'!$I:$I,"Female")),"")</f>
        <v/>
      </c>
      <c r="BB520" s="34" t="str">
        <f>IFERROR(IF(COUNTIFS('Candidate Tracker'!$E:$E,'Positions Tracker'!$B520,'Candidate Tracker'!$I:$I,"male")=0,"",COUNTIFS('Candidate Tracker'!$E:$E,'Positions Tracker'!$B520,'Candidate Tracker'!$I:$I,"male")),"")</f>
        <v/>
      </c>
      <c r="BC520" s="33" t="str">
        <f>IFERROR(IF(COUNTIFS('Candidate Tracker'!$E:$E,'Positions Tracker'!$B520,'Candidate Tracker'!$C:$C,"&lt;&gt;WIP",'Candidate Tracker'!$C:$C,"&lt;&gt;Hold",'Candidate Tracker'!$C:$C,"&lt;&gt;Cancelled",'Candidate Tracker'!$C:$C,"&lt;&gt;Closed")/COUNTIFS('Candidate Tracker'!$E:$E,'Positions Tracker'!$B520)=0,"",COUNTIFS('Candidate Tracker'!$E:$E,'Positions Tracker'!$B520,'Candidate Tracker'!$C:$C,"&lt;&gt;WIP",'Candidate Tracker'!$C:$C,"&lt;&gt;Hold",'Candidate Tracker'!$C:$C,"&lt;&gt;Cancelled",'Candidate Tracker'!$C:$C,"&lt;&gt;Closed")/COUNTIFS('Candidate Tracker'!$E:$E,'Positions Tracker'!$B520)),"")</f>
        <v/>
      </c>
      <c r="BD520" s="30" t="str">
        <f t="shared" si="63"/>
        <v/>
      </c>
      <c r="BE520" s="30" t="str">
        <f t="shared" si="64"/>
        <v/>
      </c>
      <c r="BF520" s="30" t="str">
        <f t="shared" si="65"/>
        <v/>
      </c>
      <c r="BG520" s="30" t="str">
        <f t="shared" si="66"/>
        <v/>
      </c>
    </row>
    <row r="521" spans="1:59">
      <c r="A521" s="39"/>
      <c r="B521" s="39"/>
      <c r="C521" s="39"/>
      <c r="D521" s="39"/>
      <c r="E521" s="39"/>
      <c r="F521" s="39"/>
      <c r="G521" s="39"/>
      <c r="H521" s="39"/>
      <c r="I521" s="40"/>
      <c r="J521" s="40"/>
      <c r="K521" s="35"/>
      <c r="L521" s="35"/>
      <c r="M521" s="35"/>
      <c r="N521" s="39"/>
      <c r="O521" s="39"/>
      <c r="P521" s="39"/>
      <c r="Q521" s="39"/>
      <c r="R521" s="39"/>
      <c r="S521" s="39"/>
      <c r="T521" s="39"/>
      <c r="U521" s="39"/>
      <c r="V521" s="39"/>
      <c r="W521" s="39"/>
      <c r="X521" s="39"/>
      <c r="Y521" s="39"/>
      <c r="Z521" s="39"/>
      <c r="AA521" s="39"/>
      <c r="AB521" s="39"/>
      <c r="AC521" s="39"/>
      <c r="AD521" s="39"/>
      <c r="AE521" s="39"/>
      <c r="AF521" s="39"/>
      <c r="AG521" s="39"/>
      <c r="AH521" s="39"/>
      <c r="AI521" s="35"/>
      <c r="AJ521" s="39"/>
      <c r="AK521" s="39"/>
      <c r="AL521" s="39"/>
      <c r="AM521" s="35"/>
      <c r="AN521" s="35"/>
      <c r="AO521" s="39"/>
      <c r="AP521" s="39"/>
      <c r="AQ521" s="35"/>
      <c r="AR521" s="35"/>
      <c r="AS521" s="35"/>
      <c r="AT521" s="30">
        <f t="shared" ca="1" si="62"/>
        <v>0</v>
      </c>
      <c r="AU521" s="32" t="str">
        <f t="shared" ca="1" si="61"/>
        <v/>
      </c>
      <c r="AV521" s="32" t="str" cm="1">
        <f t="array" aca="1" ref="AV521" ca="1">IFERROR(_xlfn.IFS($AU521="","",$AU521&lt;=15,"0-15",AND($AU521&gt;=16,$AU521&lt;=30),"16-30",AND($AU521&gt;=31,$AU521&lt;=45),"31-45",AND($AU521&gt;=46,$AU521&lt;=60),"46-60",AND($AU521&gt;=61,$AU521&lt;=90),"61-90",AND($AU521&gt;=91),"&gt; 90",AND($AU521&gt;=2000),""),"")</f>
        <v/>
      </c>
      <c r="AW521" s="32" t="str" cm="1">
        <f t="array" aca="1" ref="AW521" ca="1">IFERROR(_xlfn.IFS(OR($M521="",$AM521=""),"",OR($C521="Offered",$C521="Joined"),($AM521-$M521)-$AT521),"")</f>
        <v/>
      </c>
      <c r="AX521" s="32" t="str" cm="1">
        <f t="array" aca="1" ref="AX521" ca="1">IFERROR(_xlfn.IFS(OR($M521="",$AS521=""),"",$C521="Joined",($AS521-$M521)-$AT521),"")</f>
        <v/>
      </c>
      <c r="AY521" s="30" t="str">
        <f>IFERROR(IF(COUNTIFS('Candidate Tracker'!$E:$E,'Positions Tracker'!$B521,'Candidate Tracker'!$C:$C,"Offer Drop")=0,"",COUNTIFS('Candidate Tracker'!$E:$E,'Positions Tracker'!$B521,'Candidate Tracker'!$C:$C,"Offer Drop")),"")</f>
        <v/>
      </c>
      <c r="AZ5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1" s="34" t="str">
        <f>IFERROR(IF(COUNTIFS('Candidate Tracker'!$E:$E,'Positions Tracker'!$B521,'Candidate Tracker'!$I:$I,"Female")=0,"",COUNTIFS('Candidate Tracker'!$E:$E,'Positions Tracker'!$B521,'Candidate Tracker'!$I:$I,"Female")),"")</f>
        <v/>
      </c>
      <c r="BB521" s="34" t="str">
        <f>IFERROR(IF(COUNTIFS('Candidate Tracker'!$E:$E,'Positions Tracker'!$B521,'Candidate Tracker'!$I:$I,"male")=0,"",COUNTIFS('Candidate Tracker'!$E:$E,'Positions Tracker'!$B521,'Candidate Tracker'!$I:$I,"male")),"")</f>
        <v/>
      </c>
      <c r="BC521" s="33" t="str">
        <f>IFERROR(IF(COUNTIFS('Candidate Tracker'!$E:$E,'Positions Tracker'!$B521,'Candidate Tracker'!$C:$C,"&lt;&gt;WIP",'Candidate Tracker'!$C:$C,"&lt;&gt;Hold",'Candidate Tracker'!$C:$C,"&lt;&gt;Cancelled",'Candidate Tracker'!$C:$C,"&lt;&gt;Closed")/COUNTIFS('Candidate Tracker'!$E:$E,'Positions Tracker'!$B521)=0,"",COUNTIFS('Candidate Tracker'!$E:$E,'Positions Tracker'!$B521,'Candidate Tracker'!$C:$C,"&lt;&gt;WIP",'Candidate Tracker'!$C:$C,"&lt;&gt;Hold",'Candidate Tracker'!$C:$C,"&lt;&gt;Cancelled",'Candidate Tracker'!$C:$C,"&lt;&gt;Closed")/COUNTIFS('Candidate Tracker'!$E:$E,'Positions Tracker'!$B521)),"")</f>
        <v/>
      </c>
      <c r="BD521" s="30" t="str">
        <f t="shared" si="63"/>
        <v/>
      </c>
      <c r="BE521" s="30" t="str">
        <f t="shared" si="64"/>
        <v/>
      </c>
      <c r="BF521" s="30" t="str">
        <f t="shared" si="65"/>
        <v/>
      </c>
      <c r="BG521" s="30" t="str">
        <f t="shared" si="66"/>
        <v/>
      </c>
    </row>
    <row r="522" spans="1:59">
      <c r="A522" s="39"/>
      <c r="B522" s="39"/>
      <c r="C522" s="39"/>
      <c r="D522" s="39"/>
      <c r="E522" s="39"/>
      <c r="F522" s="39"/>
      <c r="G522" s="39"/>
      <c r="H522" s="39"/>
      <c r="I522" s="40"/>
      <c r="J522" s="40"/>
      <c r="K522" s="35"/>
      <c r="L522" s="35"/>
      <c r="M522" s="35"/>
      <c r="N522" s="39"/>
      <c r="O522" s="39"/>
      <c r="P522" s="39"/>
      <c r="Q522" s="39"/>
      <c r="R522" s="39"/>
      <c r="S522" s="39"/>
      <c r="T522" s="39"/>
      <c r="U522" s="39"/>
      <c r="V522" s="39"/>
      <c r="W522" s="39"/>
      <c r="X522" s="39"/>
      <c r="Y522" s="39"/>
      <c r="Z522" s="39"/>
      <c r="AA522" s="39"/>
      <c r="AB522" s="39"/>
      <c r="AC522" s="39"/>
      <c r="AD522" s="39"/>
      <c r="AE522" s="39"/>
      <c r="AF522" s="39"/>
      <c r="AG522" s="39"/>
      <c r="AH522" s="39"/>
      <c r="AI522" s="35"/>
      <c r="AJ522" s="39"/>
      <c r="AK522" s="39"/>
      <c r="AL522" s="39"/>
      <c r="AM522" s="35"/>
      <c r="AN522" s="35"/>
      <c r="AO522" s="39"/>
      <c r="AP522" s="39"/>
      <c r="AQ522" s="35"/>
      <c r="AR522" s="35"/>
      <c r="AS522" s="35"/>
      <c r="AT522" s="30">
        <f t="shared" ca="1" si="62"/>
        <v>0</v>
      </c>
      <c r="AU522" s="32" t="str">
        <f t="shared" ca="1" si="61"/>
        <v/>
      </c>
      <c r="AV522" s="32" t="str" cm="1">
        <f t="array" aca="1" ref="AV522" ca="1">IFERROR(_xlfn.IFS($AU522="","",$AU522&lt;=15,"0-15",AND($AU522&gt;=16,$AU522&lt;=30),"16-30",AND($AU522&gt;=31,$AU522&lt;=45),"31-45",AND($AU522&gt;=46,$AU522&lt;=60),"46-60",AND($AU522&gt;=61,$AU522&lt;=90),"61-90",AND($AU522&gt;=91),"&gt; 90",AND($AU522&gt;=2000),""),"")</f>
        <v/>
      </c>
      <c r="AW522" s="32" t="str" cm="1">
        <f t="array" aca="1" ref="AW522" ca="1">IFERROR(_xlfn.IFS(OR($M522="",$AM522=""),"",OR($C522="Offered",$C522="Joined"),($AM522-$M522)-$AT522),"")</f>
        <v/>
      </c>
      <c r="AX522" s="32" t="str" cm="1">
        <f t="array" aca="1" ref="AX522" ca="1">IFERROR(_xlfn.IFS(OR($M522="",$AS522=""),"",$C522="Joined",($AS522-$M522)-$AT522),"")</f>
        <v/>
      </c>
      <c r="AY522" s="30" t="str">
        <f>IFERROR(IF(COUNTIFS('Candidate Tracker'!$E:$E,'Positions Tracker'!$B522,'Candidate Tracker'!$C:$C,"Offer Drop")=0,"",COUNTIFS('Candidate Tracker'!$E:$E,'Positions Tracker'!$B522,'Candidate Tracker'!$C:$C,"Offer Drop")),"")</f>
        <v/>
      </c>
      <c r="AZ5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2" s="34" t="str">
        <f>IFERROR(IF(COUNTIFS('Candidate Tracker'!$E:$E,'Positions Tracker'!$B522,'Candidate Tracker'!$I:$I,"Female")=0,"",COUNTIFS('Candidate Tracker'!$E:$E,'Positions Tracker'!$B522,'Candidate Tracker'!$I:$I,"Female")),"")</f>
        <v/>
      </c>
      <c r="BB522" s="34" t="str">
        <f>IFERROR(IF(COUNTIFS('Candidate Tracker'!$E:$E,'Positions Tracker'!$B522,'Candidate Tracker'!$I:$I,"male")=0,"",COUNTIFS('Candidate Tracker'!$E:$E,'Positions Tracker'!$B522,'Candidate Tracker'!$I:$I,"male")),"")</f>
        <v/>
      </c>
      <c r="BC522" s="33" t="str">
        <f>IFERROR(IF(COUNTIFS('Candidate Tracker'!$E:$E,'Positions Tracker'!$B522,'Candidate Tracker'!$C:$C,"&lt;&gt;WIP",'Candidate Tracker'!$C:$C,"&lt;&gt;Hold",'Candidate Tracker'!$C:$C,"&lt;&gt;Cancelled",'Candidate Tracker'!$C:$C,"&lt;&gt;Closed")/COUNTIFS('Candidate Tracker'!$E:$E,'Positions Tracker'!$B522)=0,"",COUNTIFS('Candidate Tracker'!$E:$E,'Positions Tracker'!$B522,'Candidate Tracker'!$C:$C,"&lt;&gt;WIP",'Candidate Tracker'!$C:$C,"&lt;&gt;Hold",'Candidate Tracker'!$C:$C,"&lt;&gt;Cancelled",'Candidate Tracker'!$C:$C,"&lt;&gt;Closed")/COUNTIFS('Candidate Tracker'!$E:$E,'Positions Tracker'!$B522)),"")</f>
        <v/>
      </c>
      <c r="BD522" s="30" t="str">
        <f t="shared" si="63"/>
        <v/>
      </c>
      <c r="BE522" s="30" t="str">
        <f t="shared" si="64"/>
        <v/>
      </c>
      <c r="BF522" s="30" t="str">
        <f t="shared" si="65"/>
        <v/>
      </c>
      <c r="BG522" s="30" t="str">
        <f t="shared" si="66"/>
        <v/>
      </c>
    </row>
    <row r="523" spans="1:59">
      <c r="A523" s="39"/>
      <c r="B523" s="39"/>
      <c r="C523" s="39"/>
      <c r="D523" s="39"/>
      <c r="E523" s="39"/>
      <c r="F523" s="39"/>
      <c r="G523" s="39"/>
      <c r="H523" s="39"/>
      <c r="I523" s="40"/>
      <c r="J523" s="40"/>
      <c r="K523" s="35"/>
      <c r="L523" s="35"/>
      <c r="M523" s="35"/>
      <c r="N523" s="39"/>
      <c r="O523" s="39"/>
      <c r="P523" s="39"/>
      <c r="Q523" s="39"/>
      <c r="R523" s="39"/>
      <c r="S523" s="39"/>
      <c r="T523" s="39"/>
      <c r="U523" s="39"/>
      <c r="V523" s="39"/>
      <c r="W523" s="39"/>
      <c r="X523" s="39"/>
      <c r="Y523" s="39"/>
      <c r="Z523" s="39"/>
      <c r="AA523" s="39"/>
      <c r="AB523" s="39"/>
      <c r="AC523" s="39"/>
      <c r="AD523" s="39"/>
      <c r="AE523" s="39"/>
      <c r="AF523" s="39"/>
      <c r="AG523" s="39"/>
      <c r="AH523" s="39"/>
      <c r="AI523" s="35"/>
      <c r="AJ523" s="39"/>
      <c r="AK523" s="39"/>
      <c r="AL523" s="39"/>
      <c r="AM523" s="35"/>
      <c r="AN523" s="35"/>
      <c r="AO523" s="39"/>
      <c r="AP523" s="39"/>
      <c r="AQ523" s="35"/>
      <c r="AR523" s="35"/>
      <c r="AS523" s="35"/>
      <c r="AT523" s="30">
        <f t="shared" ca="1" si="62"/>
        <v>0</v>
      </c>
      <c r="AU523" s="32" t="str">
        <f t="shared" ca="1" si="61"/>
        <v/>
      </c>
      <c r="AV523" s="32" t="str" cm="1">
        <f t="array" aca="1" ref="AV523" ca="1">IFERROR(_xlfn.IFS($AU523="","",$AU523&lt;=15,"0-15",AND($AU523&gt;=16,$AU523&lt;=30),"16-30",AND($AU523&gt;=31,$AU523&lt;=45),"31-45",AND($AU523&gt;=46,$AU523&lt;=60),"46-60",AND($AU523&gt;=61,$AU523&lt;=90),"61-90",AND($AU523&gt;=91),"&gt; 90",AND($AU523&gt;=2000),""),"")</f>
        <v/>
      </c>
      <c r="AW523" s="32" t="str" cm="1">
        <f t="array" aca="1" ref="AW523" ca="1">IFERROR(_xlfn.IFS(OR($M523="",$AM523=""),"",OR($C523="Offered",$C523="Joined"),($AM523-$M523)-$AT523),"")</f>
        <v/>
      </c>
      <c r="AX523" s="32" t="str" cm="1">
        <f t="array" aca="1" ref="AX523" ca="1">IFERROR(_xlfn.IFS(OR($M523="",$AS523=""),"",$C523="Joined",($AS523-$M523)-$AT523),"")</f>
        <v/>
      </c>
      <c r="AY523" s="30" t="str">
        <f>IFERROR(IF(COUNTIFS('Candidate Tracker'!$E:$E,'Positions Tracker'!$B523,'Candidate Tracker'!$C:$C,"Offer Drop")=0,"",COUNTIFS('Candidate Tracker'!$E:$E,'Positions Tracker'!$B523,'Candidate Tracker'!$C:$C,"Offer Drop")),"")</f>
        <v/>
      </c>
      <c r="AZ5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3" s="34" t="str">
        <f>IFERROR(IF(COUNTIFS('Candidate Tracker'!$E:$E,'Positions Tracker'!$B523,'Candidate Tracker'!$I:$I,"Female")=0,"",COUNTIFS('Candidate Tracker'!$E:$E,'Positions Tracker'!$B523,'Candidate Tracker'!$I:$I,"Female")),"")</f>
        <v/>
      </c>
      <c r="BB523" s="34" t="str">
        <f>IFERROR(IF(COUNTIFS('Candidate Tracker'!$E:$E,'Positions Tracker'!$B523,'Candidate Tracker'!$I:$I,"male")=0,"",COUNTIFS('Candidate Tracker'!$E:$E,'Positions Tracker'!$B523,'Candidate Tracker'!$I:$I,"male")),"")</f>
        <v/>
      </c>
      <c r="BC523" s="33" t="str">
        <f>IFERROR(IF(COUNTIFS('Candidate Tracker'!$E:$E,'Positions Tracker'!$B523,'Candidate Tracker'!$C:$C,"&lt;&gt;WIP",'Candidate Tracker'!$C:$C,"&lt;&gt;Hold",'Candidate Tracker'!$C:$C,"&lt;&gt;Cancelled",'Candidate Tracker'!$C:$C,"&lt;&gt;Closed")/COUNTIFS('Candidate Tracker'!$E:$E,'Positions Tracker'!$B523)=0,"",COUNTIFS('Candidate Tracker'!$E:$E,'Positions Tracker'!$B523,'Candidate Tracker'!$C:$C,"&lt;&gt;WIP",'Candidate Tracker'!$C:$C,"&lt;&gt;Hold",'Candidate Tracker'!$C:$C,"&lt;&gt;Cancelled",'Candidate Tracker'!$C:$C,"&lt;&gt;Closed")/COUNTIFS('Candidate Tracker'!$E:$E,'Positions Tracker'!$B523)),"")</f>
        <v/>
      </c>
      <c r="BD523" s="30" t="str">
        <f t="shared" si="63"/>
        <v/>
      </c>
      <c r="BE523" s="30" t="str">
        <f t="shared" si="64"/>
        <v/>
      </c>
      <c r="BF523" s="30" t="str">
        <f t="shared" si="65"/>
        <v/>
      </c>
      <c r="BG523" s="30" t="str">
        <f t="shared" si="66"/>
        <v/>
      </c>
    </row>
    <row r="524" spans="1:59">
      <c r="A524" s="39"/>
      <c r="B524" s="39"/>
      <c r="C524" s="39"/>
      <c r="D524" s="39"/>
      <c r="E524" s="39"/>
      <c r="F524" s="39"/>
      <c r="G524" s="39"/>
      <c r="H524" s="39"/>
      <c r="I524" s="40"/>
      <c r="J524" s="40"/>
      <c r="K524" s="35"/>
      <c r="L524" s="35"/>
      <c r="M524" s="35"/>
      <c r="N524" s="39"/>
      <c r="O524" s="39"/>
      <c r="P524" s="39"/>
      <c r="Q524" s="39"/>
      <c r="R524" s="39"/>
      <c r="S524" s="39"/>
      <c r="T524" s="39"/>
      <c r="U524" s="39"/>
      <c r="V524" s="39"/>
      <c r="W524" s="39"/>
      <c r="X524" s="39"/>
      <c r="Y524" s="39"/>
      <c r="Z524" s="39"/>
      <c r="AA524" s="39"/>
      <c r="AB524" s="39"/>
      <c r="AC524" s="39"/>
      <c r="AD524" s="39"/>
      <c r="AE524" s="39"/>
      <c r="AF524" s="39"/>
      <c r="AG524" s="39"/>
      <c r="AH524" s="39"/>
      <c r="AI524" s="35"/>
      <c r="AJ524" s="39"/>
      <c r="AK524" s="39"/>
      <c r="AL524" s="39"/>
      <c r="AM524" s="35"/>
      <c r="AN524" s="35"/>
      <c r="AO524" s="39"/>
      <c r="AP524" s="39"/>
      <c r="AQ524" s="35"/>
      <c r="AR524" s="35"/>
      <c r="AS524" s="35"/>
      <c r="AT524" s="30">
        <f t="shared" ca="1" si="62"/>
        <v>0</v>
      </c>
      <c r="AU524" s="32" t="str">
        <f t="shared" ca="1" si="61"/>
        <v/>
      </c>
      <c r="AV524" s="32" t="str" cm="1">
        <f t="array" aca="1" ref="AV524" ca="1">IFERROR(_xlfn.IFS($AU524="","",$AU524&lt;=15,"0-15",AND($AU524&gt;=16,$AU524&lt;=30),"16-30",AND($AU524&gt;=31,$AU524&lt;=45),"31-45",AND($AU524&gt;=46,$AU524&lt;=60),"46-60",AND($AU524&gt;=61,$AU524&lt;=90),"61-90",AND($AU524&gt;=91),"&gt; 90",AND($AU524&gt;=2000),""),"")</f>
        <v/>
      </c>
      <c r="AW524" s="32" t="str" cm="1">
        <f t="array" aca="1" ref="AW524" ca="1">IFERROR(_xlfn.IFS(OR($M524="",$AM524=""),"",OR($C524="Offered",$C524="Joined"),($AM524-$M524)-$AT524),"")</f>
        <v/>
      </c>
      <c r="AX524" s="32" t="str" cm="1">
        <f t="array" aca="1" ref="AX524" ca="1">IFERROR(_xlfn.IFS(OR($M524="",$AS524=""),"",$C524="Joined",($AS524-$M524)-$AT524),"")</f>
        <v/>
      </c>
      <c r="AY524" s="30" t="str">
        <f>IFERROR(IF(COUNTIFS('Candidate Tracker'!$E:$E,'Positions Tracker'!$B524,'Candidate Tracker'!$C:$C,"Offer Drop")=0,"",COUNTIFS('Candidate Tracker'!$E:$E,'Positions Tracker'!$B524,'Candidate Tracker'!$C:$C,"Offer Drop")),"")</f>
        <v/>
      </c>
      <c r="AZ5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4" s="34" t="str">
        <f>IFERROR(IF(COUNTIFS('Candidate Tracker'!$E:$E,'Positions Tracker'!$B524,'Candidate Tracker'!$I:$I,"Female")=0,"",COUNTIFS('Candidate Tracker'!$E:$E,'Positions Tracker'!$B524,'Candidate Tracker'!$I:$I,"Female")),"")</f>
        <v/>
      </c>
      <c r="BB524" s="34" t="str">
        <f>IFERROR(IF(COUNTIFS('Candidate Tracker'!$E:$E,'Positions Tracker'!$B524,'Candidate Tracker'!$I:$I,"male")=0,"",COUNTIFS('Candidate Tracker'!$E:$E,'Positions Tracker'!$B524,'Candidate Tracker'!$I:$I,"male")),"")</f>
        <v/>
      </c>
      <c r="BC524" s="33" t="str">
        <f>IFERROR(IF(COUNTIFS('Candidate Tracker'!$E:$E,'Positions Tracker'!$B524,'Candidate Tracker'!$C:$C,"&lt;&gt;WIP",'Candidate Tracker'!$C:$C,"&lt;&gt;Hold",'Candidate Tracker'!$C:$C,"&lt;&gt;Cancelled",'Candidate Tracker'!$C:$C,"&lt;&gt;Closed")/COUNTIFS('Candidate Tracker'!$E:$E,'Positions Tracker'!$B524)=0,"",COUNTIFS('Candidate Tracker'!$E:$E,'Positions Tracker'!$B524,'Candidate Tracker'!$C:$C,"&lt;&gt;WIP",'Candidate Tracker'!$C:$C,"&lt;&gt;Hold",'Candidate Tracker'!$C:$C,"&lt;&gt;Cancelled",'Candidate Tracker'!$C:$C,"&lt;&gt;Closed")/COUNTIFS('Candidate Tracker'!$E:$E,'Positions Tracker'!$B524)),"")</f>
        <v/>
      </c>
      <c r="BD524" s="30" t="str">
        <f t="shared" si="63"/>
        <v/>
      </c>
      <c r="BE524" s="30" t="str">
        <f t="shared" si="64"/>
        <v/>
      </c>
      <c r="BF524" s="30" t="str">
        <f t="shared" si="65"/>
        <v/>
      </c>
      <c r="BG524" s="30" t="str">
        <f t="shared" si="66"/>
        <v/>
      </c>
    </row>
    <row r="525" spans="1:59">
      <c r="A525" s="39"/>
      <c r="B525" s="39"/>
      <c r="C525" s="39"/>
      <c r="D525" s="39"/>
      <c r="E525" s="39"/>
      <c r="F525" s="39"/>
      <c r="G525" s="39"/>
      <c r="H525" s="39"/>
      <c r="I525" s="40"/>
      <c r="J525" s="40"/>
      <c r="K525" s="35"/>
      <c r="L525" s="35"/>
      <c r="M525" s="35"/>
      <c r="N525" s="39"/>
      <c r="O525" s="39"/>
      <c r="P525" s="39"/>
      <c r="Q525" s="39"/>
      <c r="R525" s="39"/>
      <c r="S525" s="39"/>
      <c r="T525" s="39"/>
      <c r="U525" s="39"/>
      <c r="V525" s="39"/>
      <c r="W525" s="39"/>
      <c r="X525" s="39"/>
      <c r="Y525" s="39"/>
      <c r="Z525" s="39"/>
      <c r="AA525" s="39"/>
      <c r="AB525" s="39"/>
      <c r="AC525" s="39"/>
      <c r="AD525" s="39"/>
      <c r="AE525" s="39"/>
      <c r="AF525" s="39"/>
      <c r="AG525" s="39"/>
      <c r="AH525" s="39"/>
      <c r="AI525" s="35"/>
      <c r="AJ525" s="39"/>
      <c r="AK525" s="39"/>
      <c r="AL525" s="39"/>
      <c r="AM525" s="35"/>
      <c r="AN525" s="35"/>
      <c r="AO525" s="39"/>
      <c r="AP525" s="39"/>
      <c r="AQ525" s="35"/>
      <c r="AR525" s="35"/>
      <c r="AS525" s="35"/>
      <c r="AT525" s="30">
        <f t="shared" ca="1" si="62"/>
        <v>0</v>
      </c>
      <c r="AU525" s="32" t="str">
        <f t="shared" ca="1" si="61"/>
        <v/>
      </c>
      <c r="AV525" s="32" t="str" cm="1">
        <f t="array" aca="1" ref="AV525" ca="1">IFERROR(_xlfn.IFS($AU525="","",$AU525&lt;=15,"0-15",AND($AU525&gt;=16,$AU525&lt;=30),"16-30",AND($AU525&gt;=31,$AU525&lt;=45),"31-45",AND($AU525&gt;=46,$AU525&lt;=60),"46-60",AND($AU525&gt;=61,$AU525&lt;=90),"61-90",AND($AU525&gt;=91),"&gt; 90",AND($AU525&gt;=2000),""),"")</f>
        <v/>
      </c>
      <c r="AW525" s="32" t="str" cm="1">
        <f t="array" aca="1" ref="AW525" ca="1">IFERROR(_xlfn.IFS(OR($M525="",$AM525=""),"",OR($C525="Offered",$C525="Joined"),($AM525-$M525)-$AT525),"")</f>
        <v/>
      </c>
      <c r="AX525" s="32" t="str" cm="1">
        <f t="array" aca="1" ref="AX525" ca="1">IFERROR(_xlfn.IFS(OR($M525="",$AS525=""),"",$C525="Joined",($AS525-$M525)-$AT525),"")</f>
        <v/>
      </c>
      <c r="AY525" s="30" t="str">
        <f>IFERROR(IF(COUNTIFS('Candidate Tracker'!$E:$E,'Positions Tracker'!$B525,'Candidate Tracker'!$C:$C,"Offer Drop")=0,"",COUNTIFS('Candidate Tracker'!$E:$E,'Positions Tracker'!$B525,'Candidate Tracker'!$C:$C,"Offer Drop")),"")</f>
        <v/>
      </c>
      <c r="AZ5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5" s="34" t="str">
        <f>IFERROR(IF(COUNTIFS('Candidate Tracker'!$E:$E,'Positions Tracker'!$B525,'Candidate Tracker'!$I:$I,"Female")=0,"",COUNTIFS('Candidate Tracker'!$E:$E,'Positions Tracker'!$B525,'Candidate Tracker'!$I:$I,"Female")),"")</f>
        <v/>
      </c>
      <c r="BB525" s="34" t="str">
        <f>IFERROR(IF(COUNTIFS('Candidate Tracker'!$E:$E,'Positions Tracker'!$B525,'Candidate Tracker'!$I:$I,"male")=0,"",COUNTIFS('Candidate Tracker'!$E:$E,'Positions Tracker'!$B525,'Candidate Tracker'!$I:$I,"male")),"")</f>
        <v/>
      </c>
      <c r="BC525" s="33" t="str">
        <f>IFERROR(IF(COUNTIFS('Candidate Tracker'!$E:$E,'Positions Tracker'!$B525,'Candidate Tracker'!$C:$C,"&lt;&gt;WIP",'Candidate Tracker'!$C:$C,"&lt;&gt;Hold",'Candidate Tracker'!$C:$C,"&lt;&gt;Cancelled",'Candidate Tracker'!$C:$C,"&lt;&gt;Closed")/COUNTIFS('Candidate Tracker'!$E:$E,'Positions Tracker'!$B525)=0,"",COUNTIFS('Candidate Tracker'!$E:$E,'Positions Tracker'!$B525,'Candidate Tracker'!$C:$C,"&lt;&gt;WIP",'Candidate Tracker'!$C:$C,"&lt;&gt;Hold",'Candidate Tracker'!$C:$C,"&lt;&gt;Cancelled",'Candidate Tracker'!$C:$C,"&lt;&gt;Closed")/COUNTIFS('Candidate Tracker'!$E:$E,'Positions Tracker'!$B525)),"")</f>
        <v/>
      </c>
      <c r="BD525" s="30" t="str">
        <f t="shared" si="63"/>
        <v/>
      </c>
      <c r="BE525" s="30" t="str">
        <f t="shared" si="64"/>
        <v/>
      </c>
      <c r="BF525" s="30" t="str">
        <f t="shared" si="65"/>
        <v/>
      </c>
      <c r="BG525" s="30" t="str">
        <f t="shared" si="66"/>
        <v/>
      </c>
    </row>
    <row r="526" spans="1:59">
      <c r="A526" s="39"/>
      <c r="B526" s="39"/>
      <c r="C526" s="39"/>
      <c r="D526" s="39"/>
      <c r="E526" s="39"/>
      <c r="F526" s="39"/>
      <c r="G526" s="39"/>
      <c r="H526" s="39"/>
      <c r="I526" s="40"/>
      <c r="J526" s="40"/>
      <c r="K526" s="35"/>
      <c r="L526" s="35"/>
      <c r="M526" s="35"/>
      <c r="N526" s="39"/>
      <c r="O526" s="39"/>
      <c r="P526" s="39"/>
      <c r="Q526" s="39"/>
      <c r="R526" s="39"/>
      <c r="S526" s="39"/>
      <c r="T526" s="39"/>
      <c r="U526" s="39"/>
      <c r="V526" s="39"/>
      <c r="W526" s="39"/>
      <c r="X526" s="39"/>
      <c r="Y526" s="39"/>
      <c r="Z526" s="39"/>
      <c r="AA526" s="39"/>
      <c r="AB526" s="39"/>
      <c r="AC526" s="39"/>
      <c r="AD526" s="39"/>
      <c r="AE526" s="39"/>
      <c r="AF526" s="39"/>
      <c r="AG526" s="39"/>
      <c r="AH526" s="39"/>
      <c r="AI526" s="35"/>
      <c r="AJ526" s="39"/>
      <c r="AK526" s="39"/>
      <c r="AL526" s="39"/>
      <c r="AM526" s="35"/>
      <c r="AN526" s="35"/>
      <c r="AO526" s="39"/>
      <c r="AP526" s="39"/>
      <c r="AQ526" s="35"/>
      <c r="AR526" s="35"/>
      <c r="AS526" s="35"/>
      <c r="AT526" s="30">
        <f t="shared" ca="1" si="62"/>
        <v>0</v>
      </c>
      <c r="AU526" s="32" t="str">
        <f t="shared" ca="1" si="61"/>
        <v/>
      </c>
      <c r="AV526" s="32" t="str" cm="1">
        <f t="array" aca="1" ref="AV526" ca="1">IFERROR(_xlfn.IFS($AU526="","",$AU526&lt;=15,"0-15",AND($AU526&gt;=16,$AU526&lt;=30),"16-30",AND($AU526&gt;=31,$AU526&lt;=45),"31-45",AND($AU526&gt;=46,$AU526&lt;=60),"46-60",AND($AU526&gt;=61,$AU526&lt;=90),"61-90",AND($AU526&gt;=91),"&gt; 90",AND($AU526&gt;=2000),""),"")</f>
        <v/>
      </c>
      <c r="AW526" s="32" t="str" cm="1">
        <f t="array" aca="1" ref="AW526" ca="1">IFERROR(_xlfn.IFS(OR($M526="",$AM526=""),"",OR($C526="Offered",$C526="Joined"),($AM526-$M526)-$AT526),"")</f>
        <v/>
      </c>
      <c r="AX526" s="32" t="str" cm="1">
        <f t="array" aca="1" ref="AX526" ca="1">IFERROR(_xlfn.IFS(OR($M526="",$AS526=""),"",$C526="Joined",($AS526-$M526)-$AT526),"")</f>
        <v/>
      </c>
      <c r="AY526" s="30" t="str">
        <f>IFERROR(IF(COUNTIFS('Candidate Tracker'!$E:$E,'Positions Tracker'!$B526,'Candidate Tracker'!$C:$C,"Offer Drop")=0,"",COUNTIFS('Candidate Tracker'!$E:$E,'Positions Tracker'!$B526,'Candidate Tracker'!$C:$C,"Offer Drop")),"")</f>
        <v/>
      </c>
      <c r="AZ5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6" s="34" t="str">
        <f>IFERROR(IF(COUNTIFS('Candidate Tracker'!$E:$E,'Positions Tracker'!$B526,'Candidate Tracker'!$I:$I,"Female")=0,"",COUNTIFS('Candidate Tracker'!$E:$E,'Positions Tracker'!$B526,'Candidate Tracker'!$I:$I,"Female")),"")</f>
        <v/>
      </c>
      <c r="BB526" s="34" t="str">
        <f>IFERROR(IF(COUNTIFS('Candidate Tracker'!$E:$E,'Positions Tracker'!$B526,'Candidate Tracker'!$I:$I,"male")=0,"",COUNTIFS('Candidate Tracker'!$E:$E,'Positions Tracker'!$B526,'Candidate Tracker'!$I:$I,"male")),"")</f>
        <v/>
      </c>
      <c r="BC526" s="33" t="str">
        <f>IFERROR(IF(COUNTIFS('Candidate Tracker'!$E:$E,'Positions Tracker'!$B526,'Candidate Tracker'!$C:$C,"&lt;&gt;WIP",'Candidate Tracker'!$C:$C,"&lt;&gt;Hold",'Candidate Tracker'!$C:$C,"&lt;&gt;Cancelled",'Candidate Tracker'!$C:$C,"&lt;&gt;Closed")/COUNTIFS('Candidate Tracker'!$E:$E,'Positions Tracker'!$B526)=0,"",COUNTIFS('Candidate Tracker'!$E:$E,'Positions Tracker'!$B526,'Candidate Tracker'!$C:$C,"&lt;&gt;WIP",'Candidate Tracker'!$C:$C,"&lt;&gt;Hold",'Candidate Tracker'!$C:$C,"&lt;&gt;Cancelled",'Candidate Tracker'!$C:$C,"&lt;&gt;Closed")/COUNTIFS('Candidate Tracker'!$E:$E,'Positions Tracker'!$B526)),"")</f>
        <v/>
      </c>
      <c r="BD526" s="30" t="str">
        <f t="shared" si="63"/>
        <v/>
      </c>
      <c r="BE526" s="30" t="str">
        <f t="shared" si="64"/>
        <v/>
      </c>
      <c r="BF526" s="30" t="str">
        <f t="shared" si="65"/>
        <v/>
      </c>
      <c r="BG526" s="30" t="str">
        <f t="shared" si="66"/>
        <v/>
      </c>
    </row>
    <row r="527" spans="1:59">
      <c r="A527" s="39"/>
      <c r="B527" s="39"/>
      <c r="C527" s="39"/>
      <c r="D527" s="39"/>
      <c r="E527" s="39"/>
      <c r="F527" s="39"/>
      <c r="G527" s="39"/>
      <c r="H527" s="39"/>
      <c r="I527" s="40"/>
      <c r="J527" s="40"/>
      <c r="K527" s="35"/>
      <c r="L527" s="35"/>
      <c r="M527" s="35"/>
      <c r="N527" s="39"/>
      <c r="O527" s="39"/>
      <c r="P527" s="39"/>
      <c r="Q527" s="39"/>
      <c r="R527" s="39"/>
      <c r="S527" s="39"/>
      <c r="T527" s="39"/>
      <c r="U527" s="39"/>
      <c r="V527" s="39"/>
      <c r="W527" s="39"/>
      <c r="X527" s="39"/>
      <c r="Y527" s="39"/>
      <c r="Z527" s="39"/>
      <c r="AA527" s="39"/>
      <c r="AB527" s="39"/>
      <c r="AC527" s="39"/>
      <c r="AD527" s="39"/>
      <c r="AE527" s="39"/>
      <c r="AF527" s="39"/>
      <c r="AG527" s="39"/>
      <c r="AH527" s="39"/>
      <c r="AI527" s="35"/>
      <c r="AJ527" s="39"/>
      <c r="AK527" s="39"/>
      <c r="AL527" s="39"/>
      <c r="AM527" s="35"/>
      <c r="AN527" s="35"/>
      <c r="AO527" s="39"/>
      <c r="AP527" s="39"/>
      <c r="AQ527" s="35"/>
      <c r="AR527" s="35"/>
      <c r="AS527" s="35"/>
      <c r="AT527" s="30">
        <f t="shared" ca="1" si="62"/>
        <v>0</v>
      </c>
      <c r="AU527" s="32" t="str">
        <f t="shared" ca="1" si="61"/>
        <v/>
      </c>
      <c r="AV527" s="32" t="str" cm="1">
        <f t="array" aca="1" ref="AV527" ca="1">IFERROR(_xlfn.IFS($AU527="","",$AU527&lt;=15,"0-15",AND($AU527&gt;=16,$AU527&lt;=30),"16-30",AND($AU527&gt;=31,$AU527&lt;=45),"31-45",AND($AU527&gt;=46,$AU527&lt;=60),"46-60",AND($AU527&gt;=61,$AU527&lt;=90),"61-90",AND($AU527&gt;=91),"&gt; 90",AND($AU527&gt;=2000),""),"")</f>
        <v/>
      </c>
      <c r="AW527" s="32" t="str" cm="1">
        <f t="array" aca="1" ref="AW527" ca="1">IFERROR(_xlfn.IFS(OR($M527="",$AM527=""),"",OR($C527="Offered",$C527="Joined"),($AM527-$M527)-$AT527),"")</f>
        <v/>
      </c>
      <c r="AX527" s="32" t="str" cm="1">
        <f t="array" aca="1" ref="AX527" ca="1">IFERROR(_xlfn.IFS(OR($M527="",$AS527=""),"",$C527="Joined",($AS527-$M527)-$AT527),"")</f>
        <v/>
      </c>
      <c r="AY527" s="30" t="str">
        <f>IFERROR(IF(COUNTIFS('Candidate Tracker'!$E:$E,'Positions Tracker'!$B527,'Candidate Tracker'!$C:$C,"Offer Drop")=0,"",COUNTIFS('Candidate Tracker'!$E:$E,'Positions Tracker'!$B527,'Candidate Tracker'!$C:$C,"Offer Drop")),"")</f>
        <v/>
      </c>
      <c r="AZ5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7" s="34" t="str">
        <f>IFERROR(IF(COUNTIFS('Candidate Tracker'!$E:$E,'Positions Tracker'!$B527,'Candidate Tracker'!$I:$I,"Female")=0,"",COUNTIFS('Candidate Tracker'!$E:$E,'Positions Tracker'!$B527,'Candidate Tracker'!$I:$I,"Female")),"")</f>
        <v/>
      </c>
      <c r="BB527" s="34" t="str">
        <f>IFERROR(IF(COUNTIFS('Candidate Tracker'!$E:$E,'Positions Tracker'!$B527,'Candidate Tracker'!$I:$I,"male")=0,"",COUNTIFS('Candidate Tracker'!$E:$E,'Positions Tracker'!$B527,'Candidate Tracker'!$I:$I,"male")),"")</f>
        <v/>
      </c>
      <c r="BC527" s="33" t="str">
        <f>IFERROR(IF(COUNTIFS('Candidate Tracker'!$E:$E,'Positions Tracker'!$B527,'Candidate Tracker'!$C:$C,"&lt;&gt;WIP",'Candidate Tracker'!$C:$C,"&lt;&gt;Hold",'Candidate Tracker'!$C:$C,"&lt;&gt;Cancelled",'Candidate Tracker'!$C:$C,"&lt;&gt;Closed")/COUNTIFS('Candidate Tracker'!$E:$E,'Positions Tracker'!$B527)=0,"",COUNTIFS('Candidate Tracker'!$E:$E,'Positions Tracker'!$B527,'Candidate Tracker'!$C:$C,"&lt;&gt;WIP",'Candidate Tracker'!$C:$C,"&lt;&gt;Hold",'Candidate Tracker'!$C:$C,"&lt;&gt;Cancelled",'Candidate Tracker'!$C:$C,"&lt;&gt;Closed")/COUNTIFS('Candidate Tracker'!$E:$E,'Positions Tracker'!$B527)),"")</f>
        <v/>
      </c>
      <c r="BD527" s="30" t="str">
        <f t="shared" si="63"/>
        <v/>
      </c>
      <c r="BE527" s="30" t="str">
        <f t="shared" si="64"/>
        <v/>
      </c>
      <c r="BF527" s="30" t="str">
        <f t="shared" si="65"/>
        <v/>
      </c>
      <c r="BG527" s="30" t="str">
        <f t="shared" si="66"/>
        <v/>
      </c>
    </row>
    <row r="528" spans="1:59">
      <c r="A528" s="39"/>
      <c r="B528" s="39"/>
      <c r="C528" s="39"/>
      <c r="D528" s="39"/>
      <c r="E528" s="39"/>
      <c r="F528" s="39"/>
      <c r="G528" s="39"/>
      <c r="H528" s="39"/>
      <c r="I528" s="40"/>
      <c r="J528" s="40"/>
      <c r="K528" s="35"/>
      <c r="L528" s="35"/>
      <c r="M528" s="35"/>
      <c r="N528" s="39"/>
      <c r="O528" s="39"/>
      <c r="P528" s="39"/>
      <c r="Q528" s="39"/>
      <c r="R528" s="39"/>
      <c r="S528" s="39"/>
      <c r="T528" s="39"/>
      <c r="U528" s="39"/>
      <c r="V528" s="39"/>
      <c r="W528" s="39"/>
      <c r="X528" s="39"/>
      <c r="Y528" s="39"/>
      <c r="Z528" s="39"/>
      <c r="AA528" s="39"/>
      <c r="AB528" s="39"/>
      <c r="AC528" s="39"/>
      <c r="AD528" s="39"/>
      <c r="AE528" s="39"/>
      <c r="AF528" s="39"/>
      <c r="AG528" s="39"/>
      <c r="AH528" s="39"/>
      <c r="AI528" s="35"/>
      <c r="AJ528" s="39"/>
      <c r="AK528" s="39"/>
      <c r="AL528" s="39"/>
      <c r="AM528" s="35"/>
      <c r="AN528" s="35"/>
      <c r="AO528" s="39"/>
      <c r="AP528" s="39"/>
      <c r="AQ528" s="35"/>
      <c r="AR528" s="35"/>
      <c r="AS528" s="35"/>
      <c r="AT528" s="30">
        <f t="shared" ca="1" si="62"/>
        <v>0</v>
      </c>
      <c r="AU528" s="32" t="str">
        <f t="shared" ca="1" si="61"/>
        <v/>
      </c>
      <c r="AV528" s="32" t="str" cm="1">
        <f t="array" aca="1" ref="AV528" ca="1">IFERROR(_xlfn.IFS($AU528="","",$AU528&lt;=15,"0-15",AND($AU528&gt;=16,$AU528&lt;=30),"16-30",AND($AU528&gt;=31,$AU528&lt;=45),"31-45",AND($AU528&gt;=46,$AU528&lt;=60),"46-60",AND($AU528&gt;=61,$AU528&lt;=90),"61-90",AND($AU528&gt;=91),"&gt; 90",AND($AU528&gt;=2000),""),"")</f>
        <v/>
      </c>
      <c r="AW528" s="32" t="str" cm="1">
        <f t="array" aca="1" ref="AW528" ca="1">IFERROR(_xlfn.IFS(OR($M528="",$AM528=""),"",OR($C528="Offered",$C528="Joined"),($AM528-$M528)-$AT528),"")</f>
        <v/>
      </c>
      <c r="AX528" s="32" t="str" cm="1">
        <f t="array" aca="1" ref="AX528" ca="1">IFERROR(_xlfn.IFS(OR($M528="",$AS528=""),"",$C528="Joined",($AS528-$M528)-$AT528),"")</f>
        <v/>
      </c>
      <c r="AY528" s="30" t="str">
        <f>IFERROR(IF(COUNTIFS('Candidate Tracker'!$E:$E,'Positions Tracker'!$B528,'Candidate Tracker'!$C:$C,"Offer Drop")=0,"",COUNTIFS('Candidate Tracker'!$E:$E,'Positions Tracker'!$B528,'Candidate Tracker'!$C:$C,"Offer Drop")),"")</f>
        <v/>
      </c>
      <c r="AZ52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8" s="34" t="str">
        <f>IFERROR(IF(COUNTIFS('Candidate Tracker'!$E:$E,'Positions Tracker'!$B528,'Candidate Tracker'!$I:$I,"Female")=0,"",COUNTIFS('Candidate Tracker'!$E:$E,'Positions Tracker'!$B528,'Candidate Tracker'!$I:$I,"Female")),"")</f>
        <v/>
      </c>
      <c r="BB528" s="34" t="str">
        <f>IFERROR(IF(COUNTIFS('Candidate Tracker'!$E:$E,'Positions Tracker'!$B528,'Candidate Tracker'!$I:$I,"male")=0,"",COUNTIFS('Candidate Tracker'!$E:$E,'Positions Tracker'!$B528,'Candidate Tracker'!$I:$I,"male")),"")</f>
        <v/>
      </c>
      <c r="BC528" s="33" t="str">
        <f>IFERROR(IF(COUNTIFS('Candidate Tracker'!$E:$E,'Positions Tracker'!$B528,'Candidate Tracker'!$C:$C,"&lt;&gt;WIP",'Candidate Tracker'!$C:$C,"&lt;&gt;Hold",'Candidate Tracker'!$C:$C,"&lt;&gt;Cancelled",'Candidate Tracker'!$C:$C,"&lt;&gt;Closed")/COUNTIFS('Candidate Tracker'!$E:$E,'Positions Tracker'!$B528)=0,"",COUNTIFS('Candidate Tracker'!$E:$E,'Positions Tracker'!$B528,'Candidate Tracker'!$C:$C,"&lt;&gt;WIP",'Candidate Tracker'!$C:$C,"&lt;&gt;Hold",'Candidate Tracker'!$C:$C,"&lt;&gt;Cancelled",'Candidate Tracker'!$C:$C,"&lt;&gt;Closed")/COUNTIFS('Candidate Tracker'!$E:$E,'Positions Tracker'!$B528)),"")</f>
        <v/>
      </c>
      <c r="BD528" s="30" t="str">
        <f t="shared" si="63"/>
        <v/>
      </c>
      <c r="BE528" s="30" t="str">
        <f t="shared" si="64"/>
        <v/>
      </c>
      <c r="BF528" s="30" t="str">
        <f t="shared" si="65"/>
        <v/>
      </c>
      <c r="BG528" s="30" t="str">
        <f t="shared" si="66"/>
        <v/>
      </c>
    </row>
    <row r="529" spans="1:59">
      <c r="A529" s="39"/>
      <c r="B529" s="39"/>
      <c r="C529" s="39"/>
      <c r="D529" s="39"/>
      <c r="E529" s="39"/>
      <c r="F529" s="39"/>
      <c r="G529" s="39"/>
      <c r="H529" s="39"/>
      <c r="I529" s="40"/>
      <c r="J529" s="40"/>
      <c r="K529" s="35"/>
      <c r="L529" s="35"/>
      <c r="M529" s="35"/>
      <c r="N529" s="39"/>
      <c r="O529" s="39"/>
      <c r="P529" s="39"/>
      <c r="Q529" s="39"/>
      <c r="R529" s="39"/>
      <c r="S529" s="39"/>
      <c r="T529" s="39"/>
      <c r="U529" s="39"/>
      <c r="V529" s="39"/>
      <c r="W529" s="39"/>
      <c r="X529" s="39"/>
      <c r="Y529" s="39"/>
      <c r="Z529" s="39"/>
      <c r="AA529" s="39"/>
      <c r="AB529" s="39"/>
      <c r="AC529" s="39"/>
      <c r="AD529" s="39"/>
      <c r="AE529" s="39"/>
      <c r="AF529" s="39"/>
      <c r="AG529" s="39"/>
      <c r="AH529" s="39"/>
      <c r="AI529" s="35"/>
      <c r="AJ529" s="39"/>
      <c r="AK529" s="39"/>
      <c r="AL529" s="39"/>
      <c r="AM529" s="35"/>
      <c r="AN529" s="35"/>
      <c r="AO529" s="39"/>
      <c r="AP529" s="39"/>
      <c r="AQ529" s="35"/>
      <c r="AR529" s="35"/>
      <c r="AS529" s="35"/>
      <c r="AT529" s="30">
        <f t="shared" ca="1" si="62"/>
        <v>0</v>
      </c>
      <c r="AU529" s="32" t="str">
        <f t="shared" ca="1" si="61"/>
        <v/>
      </c>
      <c r="AV529" s="32" t="str" cm="1">
        <f t="array" aca="1" ref="AV529" ca="1">IFERROR(_xlfn.IFS($AU529="","",$AU529&lt;=15,"0-15",AND($AU529&gt;=16,$AU529&lt;=30),"16-30",AND($AU529&gt;=31,$AU529&lt;=45),"31-45",AND($AU529&gt;=46,$AU529&lt;=60),"46-60",AND($AU529&gt;=61,$AU529&lt;=90),"61-90",AND($AU529&gt;=91),"&gt; 90",AND($AU529&gt;=2000),""),"")</f>
        <v/>
      </c>
      <c r="AW529" s="32" t="str" cm="1">
        <f t="array" aca="1" ref="AW529" ca="1">IFERROR(_xlfn.IFS(OR($M529="",$AM529=""),"",OR($C529="Offered",$C529="Joined"),($AM529-$M529)-$AT529),"")</f>
        <v/>
      </c>
      <c r="AX529" s="32" t="str" cm="1">
        <f t="array" aca="1" ref="AX529" ca="1">IFERROR(_xlfn.IFS(OR($M529="",$AS529=""),"",$C529="Joined",($AS529-$M529)-$AT529),"")</f>
        <v/>
      </c>
      <c r="AY529" s="30" t="str">
        <f>IFERROR(IF(COUNTIFS('Candidate Tracker'!$E:$E,'Positions Tracker'!$B529,'Candidate Tracker'!$C:$C,"Offer Drop")=0,"",COUNTIFS('Candidate Tracker'!$E:$E,'Positions Tracker'!$B529,'Candidate Tracker'!$C:$C,"Offer Drop")),"")</f>
        <v/>
      </c>
      <c r="AZ5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29" s="34" t="str">
        <f>IFERROR(IF(COUNTIFS('Candidate Tracker'!$E:$E,'Positions Tracker'!$B529,'Candidate Tracker'!$I:$I,"Female")=0,"",COUNTIFS('Candidate Tracker'!$E:$E,'Positions Tracker'!$B529,'Candidate Tracker'!$I:$I,"Female")),"")</f>
        <v/>
      </c>
      <c r="BB529" s="34" t="str">
        <f>IFERROR(IF(COUNTIFS('Candidate Tracker'!$E:$E,'Positions Tracker'!$B529,'Candidate Tracker'!$I:$I,"male")=0,"",COUNTIFS('Candidate Tracker'!$E:$E,'Positions Tracker'!$B529,'Candidate Tracker'!$I:$I,"male")),"")</f>
        <v/>
      </c>
      <c r="BC529" s="33" t="str">
        <f>IFERROR(IF(COUNTIFS('Candidate Tracker'!$E:$E,'Positions Tracker'!$B529,'Candidate Tracker'!$C:$C,"&lt;&gt;WIP",'Candidate Tracker'!$C:$C,"&lt;&gt;Hold",'Candidate Tracker'!$C:$C,"&lt;&gt;Cancelled",'Candidate Tracker'!$C:$C,"&lt;&gt;Closed")/COUNTIFS('Candidate Tracker'!$E:$E,'Positions Tracker'!$B529)=0,"",COUNTIFS('Candidate Tracker'!$E:$E,'Positions Tracker'!$B529,'Candidate Tracker'!$C:$C,"&lt;&gt;WIP",'Candidate Tracker'!$C:$C,"&lt;&gt;Hold",'Candidate Tracker'!$C:$C,"&lt;&gt;Cancelled",'Candidate Tracker'!$C:$C,"&lt;&gt;Closed")/COUNTIFS('Candidate Tracker'!$E:$E,'Positions Tracker'!$B529)),"")</f>
        <v/>
      </c>
      <c r="BD529" s="30" t="str">
        <f t="shared" si="63"/>
        <v/>
      </c>
      <c r="BE529" s="30" t="str">
        <f t="shared" si="64"/>
        <v/>
      </c>
      <c r="BF529" s="30" t="str">
        <f t="shared" si="65"/>
        <v/>
      </c>
      <c r="BG529" s="30" t="str">
        <f t="shared" si="66"/>
        <v/>
      </c>
    </row>
    <row r="530" spans="1:59">
      <c r="A530" s="39"/>
      <c r="B530" s="39"/>
      <c r="C530" s="39"/>
      <c r="D530" s="39"/>
      <c r="E530" s="39"/>
      <c r="F530" s="39"/>
      <c r="G530" s="39"/>
      <c r="H530" s="39"/>
      <c r="I530" s="40"/>
      <c r="J530" s="40"/>
      <c r="K530" s="35"/>
      <c r="L530" s="35"/>
      <c r="M530" s="35"/>
      <c r="N530" s="39"/>
      <c r="O530" s="39"/>
      <c r="P530" s="39"/>
      <c r="Q530" s="39"/>
      <c r="R530" s="39"/>
      <c r="S530" s="39"/>
      <c r="T530" s="39"/>
      <c r="U530" s="39"/>
      <c r="V530" s="39"/>
      <c r="W530" s="39"/>
      <c r="X530" s="39"/>
      <c r="Y530" s="39"/>
      <c r="Z530" s="39"/>
      <c r="AA530" s="39"/>
      <c r="AB530" s="39"/>
      <c r="AC530" s="39"/>
      <c r="AD530" s="39"/>
      <c r="AE530" s="39"/>
      <c r="AF530" s="39"/>
      <c r="AG530" s="39"/>
      <c r="AH530" s="39"/>
      <c r="AI530" s="35"/>
      <c r="AJ530" s="39"/>
      <c r="AK530" s="39"/>
      <c r="AL530" s="39"/>
      <c r="AM530" s="35"/>
      <c r="AN530" s="35"/>
      <c r="AO530" s="39"/>
      <c r="AP530" s="39"/>
      <c r="AQ530" s="35"/>
      <c r="AR530" s="35"/>
      <c r="AS530" s="35"/>
      <c r="AT530" s="30">
        <f t="shared" ca="1" si="62"/>
        <v>0</v>
      </c>
      <c r="AU530" s="32" t="str">
        <f t="shared" ca="1" si="61"/>
        <v/>
      </c>
      <c r="AV530" s="32" t="str" cm="1">
        <f t="array" aca="1" ref="AV530" ca="1">IFERROR(_xlfn.IFS($AU530="","",$AU530&lt;=15,"0-15",AND($AU530&gt;=16,$AU530&lt;=30),"16-30",AND($AU530&gt;=31,$AU530&lt;=45),"31-45",AND($AU530&gt;=46,$AU530&lt;=60),"46-60",AND($AU530&gt;=61,$AU530&lt;=90),"61-90",AND($AU530&gt;=91),"&gt; 90",AND($AU530&gt;=2000),""),"")</f>
        <v/>
      </c>
      <c r="AW530" s="32" t="str" cm="1">
        <f t="array" aca="1" ref="AW530" ca="1">IFERROR(_xlfn.IFS(OR($M530="",$AM530=""),"",OR($C530="Offered",$C530="Joined"),($AM530-$M530)-$AT530),"")</f>
        <v/>
      </c>
      <c r="AX530" s="32" t="str" cm="1">
        <f t="array" aca="1" ref="AX530" ca="1">IFERROR(_xlfn.IFS(OR($M530="",$AS530=""),"",$C530="Joined",($AS530-$M530)-$AT530),"")</f>
        <v/>
      </c>
      <c r="AY530" s="30" t="str">
        <f>IFERROR(IF(COUNTIFS('Candidate Tracker'!$E:$E,'Positions Tracker'!$B530,'Candidate Tracker'!$C:$C,"Offer Drop")=0,"",COUNTIFS('Candidate Tracker'!$E:$E,'Positions Tracker'!$B530,'Candidate Tracker'!$C:$C,"Offer Drop")),"")</f>
        <v/>
      </c>
      <c r="AZ5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0" s="34" t="str">
        <f>IFERROR(IF(COUNTIFS('Candidate Tracker'!$E:$E,'Positions Tracker'!$B530,'Candidate Tracker'!$I:$I,"Female")=0,"",COUNTIFS('Candidate Tracker'!$E:$E,'Positions Tracker'!$B530,'Candidate Tracker'!$I:$I,"Female")),"")</f>
        <v/>
      </c>
      <c r="BB530" s="34" t="str">
        <f>IFERROR(IF(COUNTIFS('Candidate Tracker'!$E:$E,'Positions Tracker'!$B530,'Candidate Tracker'!$I:$I,"male")=0,"",COUNTIFS('Candidate Tracker'!$E:$E,'Positions Tracker'!$B530,'Candidate Tracker'!$I:$I,"male")),"")</f>
        <v/>
      </c>
      <c r="BC530" s="33" t="str">
        <f>IFERROR(IF(COUNTIFS('Candidate Tracker'!$E:$E,'Positions Tracker'!$B530,'Candidate Tracker'!$C:$C,"&lt;&gt;WIP",'Candidate Tracker'!$C:$C,"&lt;&gt;Hold",'Candidate Tracker'!$C:$C,"&lt;&gt;Cancelled",'Candidate Tracker'!$C:$C,"&lt;&gt;Closed")/COUNTIFS('Candidate Tracker'!$E:$E,'Positions Tracker'!$B530)=0,"",COUNTIFS('Candidate Tracker'!$E:$E,'Positions Tracker'!$B530,'Candidate Tracker'!$C:$C,"&lt;&gt;WIP",'Candidate Tracker'!$C:$C,"&lt;&gt;Hold",'Candidate Tracker'!$C:$C,"&lt;&gt;Cancelled",'Candidate Tracker'!$C:$C,"&lt;&gt;Closed")/COUNTIFS('Candidate Tracker'!$E:$E,'Positions Tracker'!$B530)),"")</f>
        <v/>
      </c>
      <c r="BD530" s="30" t="str">
        <f t="shared" si="63"/>
        <v/>
      </c>
      <c r="BE530" s="30" t="str">
        <f t="shared" si="64"/>
        <v/>
      </c>
      <c r="BF530" s="30" t="str">
        <f t="shared" si="65"/>
        <v/>
      </c>
      <c r="BG530" s="30" t="str">
        <f t="shared" si="66"/>
        <v/>
      </c>
    </row>
    <row r="531" spans="1:59">
      <c r="A531" s="39"/>
      <c r="B531" s="39"/>
      <c r="C531" s="39"/>
      <c r="D531" s="39"/>
      <c r="E531" s="39"/>
      <c r="F531" s="39"/>
      <c r="G531" s="39"/>
      <c r="H531" s="39"/>
      <c r="I531" s="40"/>
      <c r="J531" s="40"/>
      <c r="K531" s="35"/>
      <c r="L531" s="35"/>
      <c r="M531" s="35"/>
      <c r="N531" s="39"/>
      <c r="O531" s="39"/>
      <c r="P531" s="39"/>
      <c r="Q531" s="39"/>
      <c r="R531" s="39"/>
      <c r="S531" s="39"/>
      <c r="T531" s="39"/>
      <c r="U531" s="39"/>
      <c r="V531" s="39"/>
      <c r="W531" s="39"/>
      <c r="X531" s="39"/>
      <c r="Y531" s="39"/>
      <c r="Z531" s="39"/>
      <c r="AA531" s="39"/>
      <c r="AB531" s="39"/>
      <c r="AC531" s="39"/>
      <c r="AD531" s="39"/>
      <c r="AE531" s="39"/>
      <c r="AF531" s="39"/>
      <c r="AG531" s="39"/>
      <c r="AH531" s="39"/>
      <c r="AI531" s="35"/>
      <c r="AJ531" s="39"/>
      <c r="AK531" s="39"/>
      <c r="AL531" s="39"/>
      <c r="AM531" s="35"/>
      <c r="AN531" s="35"/>
      <c r="AO531" s="39"/>
      <c r="AP531" s="39"/>
      <c r="AQ531" s="35"/>
      <c r="AR531" s="35"/>
      <c r="AS531" s="35"/>
      <c r="AT531" s="30">
        <f t="shared" ca="1" si="62"/>
        <v>0</v>
      </c>
      <c r="AU531" s="32" t="str">
        <f t="shared" ca="1" si="61"/>
        <v/>
      </c>
      <c r="AV531" s="32" t="str" cm="1">
        <f t="array" aca="1" ref="AV531" ca="1">IFERROR(_xlfn.IFS($AU531="","",$AU531&lt;=15,"0-15",AND($AU531&gt;=16,$AU531&lt;=30),"16-30",AND($AU531&gt;=31,$AU531&lt;=45),"31-45",AND($AU531&gt;=46,$AU531&lt;=60),"46-60",AND($AU531&gt;=61,$AU531&lt;=90),"61-90",AND($AU531&gt;=91),"&gt; 90",AND($AU531&gt;=2000),""),"")</f>
        <v/>
      </c>
      <c r="AW531" s="32" t="str" cm="1">
        <f t="array" aca="1" ref="AW531" ca="1">IFERROR(_xlfn.IFS(OR($M531="",$AM531=""),"",OR($C531="Offered",$C531="Joined"),($AM531-$M531)-$AT531),"")</f>
        <v/>
      </c>
      <c r="AX531" s="32" t="str" cm="1">
        <f t="array" aca="1" ref="AX531" ca="1">IFERROR(_xlfn.IFS(OR($M531="",$AS531=""),"",$C531="Joined",($AS531-$M531)-$AT531),"")</f>
        <v/>
      </c>
      <c r="AY531" s="30" t="str">
        <f>IFERROR(IF(COUNTIFS('Candidate Tracker'!$E:$E,'Positions Tracker'!$B531,'Candidate Tracker'!$C:$C,"Offer Drop")=0,"",COUNTIFS('Candidate Tracker'!$E:$E,'Positions Tracker'!$B531,'Candidate Tracker'!$C:$C,"Offer Drop")),"")</f>
        <v/>
      </c>
      <c r="AZ5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1" s="34" t="str">
        <f>IFERROR(IF(COUNTIFS('Candidate Tracker'!$E:$E,'Positions Tracker'!$B531,'Candidate Tracker'!$I:$I,"Female")=0,"",COUNTIFS('Candidate Tracker'!$E:$E,'Positions Tracker'!$B531,'Candidate Tracker'!$I:$I,"Female")),"")</f>
        <v/>
      </c>
      <c r="BB531" s="34" t="str">
        <f>IFERROR(IF(COUNTIFS('Candidate Tracker'!$E:$E,'Positions Tracker'!$B531,'Candidate Tracker'!$I:$I,"male")=0,"",COUNTIFS('Candidate Tracker'!$E:$E,'Positions Tracker'!$B531,'Candidate Tracker'!$I:$I,"male")),"")</f>
        <v/>
      </c>
      <c r="BC531" s="33" t="str">
        <f>IFERROR(IF(COUNTIFS('Candidate Tracker'!$E:$E,'Positions Tracker'!$B531,'Candidate Tracker'!$C:$C,"&lt;&gt;WIP",'Candidate Tracker'!$C:$C,"&lt;&gt;Hold",'Candidate Tracker'!$C:$C,"&lt;&gt;Cancelled",'Candidate Tracker'!$C:$C,"&lt;&gt;Closed")/COUNTIFS('Candidate Tracker'!$E:$E,'Positions Tracker'!$B531)=0,"",COUNTIFS('Candidate Tracker'!$E:$E,'Positions Tracker'!$B531,'Candidate Tracker'!$C:$C,"&lt;&gt;WIP",'Candidate Tracker'!$C:$C,"&lt;&gt;Hold",'Candidate Tracker'!$C:$C,"&lt;&gt;Cancelled",'Candidate Tracker'!$C:$C,"&lt;&gt;Closed")/COUNTIFS('Candidate Tracker'!$E:$E,'Positions Tracker'!$B531)),"")</f>
        <v/>
      </c>
      <c r="BD531" s="30" t="str">
        <f t="shared" si="63"/>
        <v/>
      </c>
      <c r="BE531" s="30" t="str">
        <f t="shared" si="64"/>
        <v/>
      </c>
      <c r="BF531" s="30" t="str">
        <f t="shared" si="65"/>
        <v/>
      </c>
      <c r="BG531" s="30" t="str">
        <f t="shared" si="66"/>
        <v/>
      </c>
    </row>
    <row r="532" spans="1:59">
      <c r="A532" s="39"/>
      <c r="B532" s="39"/>
      <c r="C532" s="39"/>
      <c r="D532" s="39"/>
      <c r="E532" s="39"/>
      <c r="F532" s="39"/>
      <c r="G532" s="39"/>
      <c r="H532" s="39"/>
      <c r="I532" s="40"/>
      <c r="J532" s="40"/>
      <c r="K532" s="35"/>
      <c r="L532" s="35"/>
      <c r="M532" s="35"/>
      <c r="N532" s="39"/>
      <c r="O532" s="39"/>
      <c r="P532" s="39"/>
      <c r="Q532" s="39"/>
      <c r="R532" s="39"/>
      <c r="S532" s="39"/>
      <c r="T532" s="39"/>
      <c r="U532" s="39"/>
      <c r="V532" s="39"/>
      <c r="W532" s="39"/>
      <c r="X532" s="39"/>
      <c r="Y532" s="39"/>
      <c r="Z532" s="39"/>
      <c r="AA532" s="39"/>
      <c r="AB532" s="39"/>
      <c r="AC532" s="39"/>
      <c r="AD532" s="39"/>
      <c r="AE532" s="39"/>
      <c r="AF532" s="39"/>
      <c r="AG532" s="39"/>
      <c r="AH532" s="39"/>
      <c r="AI532" s="35"/>
      <c r="AJ532" s="39"/>
      <c r="AK532" s="39"/>
      <c r="AL532" s="39"/>
      <c r="AM532" s="35"/>
      <c r="AN532" s="35"/>
      <c r="AO532" s="39"/>
      <c r="AP532" s="39"/>
      <c r="AQ532" s="35"/>
      <c r="AR532" s="35"/>
      <c r="AS532" s="35"/>
      <c r="AT532" s="30">
        <f t="shared" ca="1" si="62"/>
        <v>0</v>
      </c>
      <c r="AU532" s="32" t="str">
        <f t="shared" ca="1" si="61"/>
        <v/>
      </c>
      <c r="AV532" s="32" t="str" cm="1">
        <f t="array" aca="1" ref="AV532" ca="1">IFERROR(_xlfn.IFS($AU532="","",$AU532&lt;=15,"0-15",AND($AU532&gt;=16,$AU532&lt;=30),"16-30",AND($AU532&gt;=31,$AU532&lt;=45),"31-45",AND($AU532&gt;=46,$AU532&lt;=60),"46-60",AND($AU532&gt;=61,$AU532&lt;=90),"61-90",AND($AU532&gt;=91),"&gt; 90",AND($AU532&gt;=2000),""),"")</f>
        <v/>
      </c>
      <c r="AW532" s="32" t="str" cm="1">
        <f t="array" aca="1" ref="AW532" ca="1">IFERROR(_xlfn.IFS(OR($M532="",$AM532=""),"",OR($C532="Offered",$C532="Joined"),($AM532-$M532)-$AT532),"")</f>
        <v/>
      </c>
      <c r="AX532" s="32" t="str" cm="1">
        <f t="array" aca="1" ref="AX532" ca="1">IFERROR(_xlfn.IFS(OR($M532="",$AS532=""),"",$C532="Joined",($AS532-$M532)-$AT532),"")</f>
        <v/>
      </c>
      <c r="AY532" s="30" t="str">
        <f>IFERROR(IF(COUNTIFS('Candidate Tracker'!$E:$E,'Positions Tracker'!$B532,'Candidate Tracker'!$C:$C,"Offer Drop")=0,"",COUNTIFS('Candidate Tracker'!$E:$E,'Positions Tracker'!$B532,'Candidate Tracker'!$C:$C,"Offer Drop")),"")</f>
        <v/>
      </c>
      <c r="AZ5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2" s="34" t="str">
        <f>IFERROR(IF(COUNTIFS('Candidate Tracker'!$E:$E,'Positions Tracker'!$B532,'Candidate Tracker'!$I:$I,"Female")=0,"",COUNTIFS('Candidate Tracker'!$E:$E,'Positions Tracker'!$B532,'Candidate Tracker'!$I:$I,"Female")),"")</f>
        <v/>
      </c>
      <c r="BB532" s="34" t="str">
        <f>IFERROR(IF(COUNTIFS('Candidate Tracker'!$E:$E,'Positions Tracker'!$B532,'Candidate Tracker'!$I:$I,"male")=0,"",COUNTIFS('Candidate Tracker'!$E:$E,'Positions Tracker'!$B532,'Candidate Tracker'!$I:$I,"male")),"")</f>
        <v/>
      </c>
      <c r="BC532" s="33" t="str">
        <f>IFERROR(IF(COUNTIFS('Candidate Tracker'!$E:$E,'Positions Tracker'!$B532,'Candidate Tracker'!$C:$C,"&lt;&gt;WIP",'Candidate Tracker'!$C:$C,"&lt;&gt;Hold",'Candidate Tracker'!$C:$C,"&lt;&gt;Cancelled",'Candidate Tracker'!$C:$C,"&lt;&gt;Closed")/COUNTIFS('Candidate Tracker'!$E:$E,'Positions Tracker'!$B532)=0,"",COUNTIFS('Candidate Tracker'!$E:$E,'Positions Tracker'!$B532,'Candidate Tracker'!$C:$C,"&lt;&gt;WIP",'Candidate Tracker'!$C:$C,"&lt;&gt;Hold",'Candidate Tracker'!$C:$C,"&lt;&gt;Cancelled",'Candidate Tracker'!$C:$C,"&lt;&gt;Closed")/COUNTIFS('Candidate Tracker'!$E:$E,'Positions Tracker'!$B532)),"")</f>
        <v/>
      </c>
      <c r="BD532" s="30" t="str">
        <f t="shared" si="63"/>
        <v/>
      </c>
      <c r="BE532" s="30" t="str">
        <f t="shared" si="64"/>
        <v/>
      </c>
      <c r="BF532" s="30" t="str">
        <f t="shared" si="65"/>
        <v/>
      </c>
      <c r="BG532" s="30" t="str">
        <f t="shared" si="66"/>
        <v/>
      </c>
    </row>
    <row r="533" spans="1:59">
      <c r="A533" s="39"/>
      <c r="B533" s="39"/>
      <c r="C533" s="39"/>
      <c r="D533" s="39"/>
      <c r="E533" s="39"/>
      <c r="F533" s="39"/>
      <c r="G533" s="39"/>
      <c r="H533" s="39"/>
      <c r="I533" s="40"/>
      <c r="J533" s="40"/>
      <c r="K533" s="35"/>
      <c r="L533" s="35"/>
      <c r="M533" s="35"/>
      <c r="N533" s="39"/>
      <c r="O533" s="39"/>
      <c r="P533" s="39"/>
      <c r="Q533" s="39"/>
      <c r="R533" s="39"/>
      <c r="S533" s="39"/>
      <c r="T533" s="39"/>
      <c r="U533" s="39"/>
      <c r="V533" s="39"/>
      <c r="W533" s="39"/>
      <c r="X533" s="39"/>
      <c r="Y533" s="39"/>
      <c r="Z533" s="39"/>
      <c r="AA533" s="39"/>
      <c r="AB533" s="39"/>
      <c r="AC533" s="39"/>
      <c r="AD533" s="39"/>
      <c r="AE533" s="39"/>
      <c r="AF533" s="39"/>
      <c r="AG533" s="39"/>
      <c r="AH533" s="39"/>
      <c r="AI533" s="35"/>
      <c r="AJ533" s="39"/>
      <c r="AK533" s="39"/>
      <c r="AL533" s="39"/>
      <c r="AM533" s="35"/>
      <c r="AN533" s="35"/>
      <c r="AO533" s="39"/>
      <c r="AP533" s="39"/>
      <c r="AQ533" s="35"/>
      <c r="AR533" s="35"/>
      <c r="AS533" s="35"/>
      <c r="AT533" s="30">
        <f t="shared" ca="1" si="62"/>
        <v>0</v>
      </c>
      <c r="AU533" s="32" t="str">
        <f t="shared" ca="1" si="61"/>
        <v/>
      </c>
      <c r="AV533" s="32" t="str" cm="1">
        <f t="array" aca="1" ref="AV533" ca="1">IFERROR(_xlfn.IFS($AU533="","",$AU533&lt;=15,"0-15",AND($AU533&gt;=16,$AU533&lt;=30),"16-30",AND($AU533&gt;=31,$AU533&lt;=45),"31-45",AND($AU533&gt;=46,$AU533&lt;=60),"46-60",AND($AU533&gt;=61,$AU533&lt;=90),"61-90",AND($AU533&gt;=91),"&gt; 90",AND($AU533&gt;=2000),""),"")</f>
        <v/>
      </c>
      <c r="AW533" s="32" t="str" cm="1">
        <f t="array" aca="1" ref="AW533" ca="1">IFERROR(_xlfn.IFS(OR($M533="",$AM533=""),"",OR($C533="Offered",$C533="Joined"),($AM533-$M533)-$AT533),"")</f>
        <v/>
      </c>
      <c r="AX533" s="32" t="str" cm="1">
        <f t="array" aca="1" ref="AX533" ca="1">IFERROR(_xlfn.IFS(OR($M533="",$AS533=""),"",$C533="Joined",($AS533-$M533)-$AT533),"")</f>
        <v/>
      </c>
      <c r="AY533" s="30" t="str">
        <f>IFERROR(IF(COUNTIFS('Candidate Tracker'!$E:$E,'Positions Tracker'!$B533,'Candidate Tracker'!$C:$C,"Offer Drop")=0,"",COUNTIFS('Candidate Tracker'!$E:$E,'Positions Tracker'!$B533,'Candidate Tracker'!$C:$C,"Offer Drop")),"")</f>
        <v/>
      </c>
      <c r="AZ5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3" s="34" t="str">
        <f>IFERROR(IF(COUNTIFS('Candidate Tracker'!$E:$E,'Positions Tracker'!$B533,'Candidate Tracker'!$I:$I,"Female")=0,"",COUNTIFS('Candidate Tracker'!$E:$E,'Positions Tracker'!$B533,'Candidate Tracker'!$I:$I,"Female")),"")</f>
        <v/>
      </c>
      <c r="BB533" s="34" t="str">
        <f>IFERROR(IF(COUNTIFS('Candidate Tracker'!$E:$E,'Positions Tracker'!$B533,'Candidate Tracker'!$I:$I,"male")=0,"",COUNTIFS('Candidate Tracker'!$E:$E,'Positions Tracker'!$B533,'Candidate Tracker'!$I:$I,"male")),"")</f>
        <v/>
      </c>
      <c r="BC533" s="33" t="str">
        <f>IFERROR(IF(COUNTIFS('Candidate Tracker'!$E:$E,'Positions Tracker'!$B533,'Candidate Tracker'!$C:$C,"&lt;&gt;WIP",'Candidate Tracker'!$C:$C,"&lt;&gt;Hold",'Candidate Tracker'!$C:$C,"&lt;&gt;Cancelled",'Candidate Tracker'!$C:$C,"&lt;&gt;Closed")/COUNTIFS('Candidate Tracker'!$E:$E,'Positions Tracker'!$B533)=0,"",COUNTIFS('Candidate Tracker'!$E:$E,'Positions Tracker'!$B533,'Candidate Tracker'!$C:$C,"&lt;&gt;WIP",'Candidate Tracker'!$C:$C,"&lt;&gt;Hold",'Candidate Tracker'!$C:$C,"&lt;&gt;Cancelled",'Candidate Tracker'!$C:$C,"&lt;&gt;Closed")/COUNTIFS('Candidate Tracker'!$E:$E,'Positions Tracker'!$B533)),"")</f>
        <v/>
      </c>
      <c r="BD533" s="30" t="str">
        <f t="shared" si="63"/>
        <v/>
      </c>
      <c r="BE533" s="30" t="str">
        <f t="shared" si="64"/>
        <v/>
      </c>
      <c r="BF533" s="30" t="str">
        <f t="shared" si="65"/>
        <v/>
      </c>
      <c r="BG533" s="30" t="str">
        <f t="shared" si="66"/>
        <v/>
      </c>
    </row>
    <row r="534" spans="1:59">
      <c r="A534" s="39"/>
      <c r="B534" s="39"/>
      <c r="C534" s="39"/>
      <c r="D534" s="39"/>
      <c r="E534" s="39"/>
      <c r="F534" s="39"/>
      <c r="G534" s="39"/>
      <c r="H534" s="39"/>
      <c r="I534" s="40"/>
      <c r="J534" s="40"/>
      <c r="K534" s="35"/>
      <c r="L534" s="35"/>
      <c r="M534" s="35"/>
      <c r="N534" s="39"/>
      <c r="O534" s="39"/>
      <c r="P534" s="39"/>
      <c r="Q534" s="39"/>
      <c r="R534" s="39"/>
      <c r="S534" s="39"/>
      <c r="T534" s="39"/>
      <c r="U534" s="39"/>
      <c r="V534" s="39"/>
      <c r="W534" s="39"/>
      <c r="X534" s="39"/>
      <c r="Y534" s="39"/>
      <c r="Z534" s="39"/>
      <c r="AA534" s="39"/>
      <c r="AB534" s="39"/>
      <c r="AC534" s="39"/>
      <c r="AD534" s="39"/>
      <c r="AE534" s="39"/>
      <c r="AF534" s="39"/>
      <c r="AG534" s="39"/>
      <c r="AH534" s="39"/>
      <c r="AI534" s="35"/>
      <c r="AJ534" s="39"/>
      <c r="AK534" s="39"/>
      <c r="AL534" s="39"/>
      <c r="AM534" s="35"/>
      <c r="AN534" s="35"/>
      <c r="AO534" s="39"/>
      <c r="AP534" s="39"/>
      <c r="AQ534" s="35"/>
      <c r="AR534" s="35"/>
      <c r="AS534" s="35"/>
      <c r="AT534" s="30">
        <f t="shared" ca="1" si="62"/>
        <v>0</v>
      </c>
      <c r="AU534" s="32" t="str">
        <f t="shared" ca="1" si="61"/>
        <v/>
      </c>
      <c r="AV534" s="32" t="str" cm="1">
        <f t="array" aca="1" ref="AV534" ca="1">IFERROR(_xlfn.IFS($AU534="","",$AU534&lt;=15,"0-15",AND($AU534&gt;=16,$AU534&lt;=30),"16-30",AND($AU534&gt;=31,$AU534&lt;=45),"31-45",AND($AU534&gt;=46,$AU534&lt;=60),"46-60",AND($AU534&gt;=61,$AU534&lt;=90),"61-90",AND($AU534&gt;=91),"&gt; 90",AND($AU534&gt;=2000),""),"")</f>
        <v/>
      </c>
      <c r="AW534" s="32" t="str" cm="1">
        <f t="array" aca="1" ref="AW534" ca="1">IFERROR(_xlfn.IFS(OR($M534="",$AM534=""),"",OR($C534="Offered",$C534="Joined"),($AM534-$M534)-$AT534),"")</f>
        <v/>
      </c>
      <c r="AX534" s="32" t="str" cm="1">
        <f t="array" aca="1" ref="AX534" ca="1">IFERROR(_xlfn.IFS(OR($M534="",$AS534=""),"",$C534="Joined",($AS534-$M534)-$AT534),"")</f>
        <v/>
      </c>
      <c r="AY534" s="30" t="str">
        <f>IFERROR(IF(COUNTIFS('Candidate Tracker'!$E:$E,'Positions Tracker'!$B534,'Candidate Tracker'!$C:$C,"Offer Drop")=0,"",COUNTIFS('Candidate Tracker'!$E:$E,'Positions Tracker'!$B534,'Candidate Tracker'!$C:$C,"Offer Drop")),"")</f>
        <v/>
      </c>
      <c r="AZ5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4" s="34" t="str">
        <f>IFERROR(IF(COUNTIFS('Candidate Tracker'!$E:$E,'Positions Tracker'!$B534,'Candidate Tracker'!$I:$I,"Female")=0,"",COUNTIFS('Candidate Tracker'!$E:$E,'Positions Tracker'!$B534,'Candidate Tracker'!$I:$I,"Female")),"")</f>
        <v/>
      </c>
      <c r="BB534" s="34" t="str">
        <f>IFERROR(IF(COUNTIFS('Candidate Tracker'!$E:$E,'Positions Tracker'!$B534,'Candidate Tracker'!$I:$I,"male")=0,"",COUNTIFS('Candidate Tracker'!$E:$E,'Positions Tracker'!$B534,'Candidate Tracker'!$I:$I,"male")),"")</f>
        <v/>
      </c>
      <c r="BC534" s="33" t="str">
        <f>IFERROR(IF(COUNTIFS('Candidate Tracker'!$E:$E,'Positions Tracker'!$B534,'Candidate Tracker'!$C:$C,"&lt;&gt;WIP",'Candidate Tracker'!$C:$C,"&lt;&gt;Hold",'Candidate Tracker'!$C:$C,"&lt;&gt;Cancelled",'Candidate Tracker'!$C:$C,"&lt;&gt;Closed")/COUNTIFS('Candidate Tracker'!$E:$E,'Positions Tracker'!$B534)=0,"",COUNTIFS('Candidate Tracker'!$E:$E,'Positions Tracker'!$B534,'Candidate Tracker'!$C:$C,"&lt;&gt;WIP",'Candidate Tracker'!$C:$C,"&lt;&gt;Hold",'Candidate Tracker'!$C:$C,"&lt;&gt;Cancelled",'Candidate Tracker'!$C:$C,"&lt;&gt;Closed")/COUNTIFS('Candidate Tracker'!$E:$E,'Positions Tracker'!$B534)),"")</f>
        <v/>
      </c>
      <c r="BD534" s="30" t="str">
        <f t="shared" si="63"/>
        <v/>
      </c>
      <c r="BE534" s="30" t="str">
        <f t="shared" si="64"/>
        <v/>
      </c>
      <c r="BF534" s="30" t="str">
        <f t="shared" si="65"/>
        <v/>
      </c>
      <c r="BG534" s="30" t="str">
        <f t="shared" si="66"/>
        <v/>
      </c>
    </row>
    <row r="535" spans="1:59">
      <c r="A535" s="39"/>
      <c r="B535" s="39"/>
      <c r="C535" s="39"/>
      <c r="D535" s="39"/>
      <c r="E535" s="39"/>
      <c r="F535" s="39"/>
      <c r="G535" s="39"/>
      <c r="H535" s="39"/>
      <c r="I535" s="40"/>
      <c r="J535" s="40"/>
      <c r="K535" s="35"/>
      <c r="L535" s="35"/>
      <c r="M535" s="35"/>
      <c r="N535" s="39"/>
      <c r="O535" s="39"/>
      <c r="P535" s="39"/>
      <c r="Q535" s="39"/>
      <c r="R535" s="39"/>
      <c r="S535" s="39"/>
      <c r="T535" s="39"/>
      <c r="U535" s="39"/>
      <c r="V535" s="39"/>
      <c r="W535" s="39"/>
      <c r="X535" s="39"/>
      <c r="Y535" s="39"/>
      <c r="Z535" s="39"/>
      <c r="AA535" s="39"/>
      <c r="AB535" s="39"/>
      <c r="AC535" s="39"/>
      <c r="AD535" s="39"/>
      <c r="AE535" s="39"/>
      <c r="AF535" s="39"/>
      <c r="AG535" s="39"/>
      <c r="AH535" s="39"/>
      <c r="AI535" s="35"/>
      <c r="AJ535" s="39"/>
      <c r="AK535" s="39"/>
      <c r="AL535" s="39"/>
      <c r="AM535" s="35"/>
      <c r="AN535" s="35"/>
      <c r="AO535" s="39"/>
      <c r="AP535" s="39"/>
      <c r="AQ535" s="35"/>
      <c r="AR535" s="35"/>
      <c r="AS535" s="35"/>
      <c r="AT535" s="30">
        <f t="shared" ca="1" si="62"/>
        <v>0</v>
      </c>
      <c r="AU535" s="32" t="str">
        <f t="shared" ca="1" si="61"/>
        <v/>
      </c>
      <c r="AV535" s="32" t="str" cm="1">
        <f t="array" aca="1" ref="AV535" ca="1">IFERROR(_xlfn.IFS($AU535="","",$AU535&lt;=15,"0-15",AND($AU535&gt;=16,$AU535&lt;=30),"16-30",AND($AU535&gt;=31,$AU535&lt;=45),"31-45",AND($AU535&gt;=46,$AU535&lt;=60),"46-60",AND($AU535&gt;=61,$AU535&lt;=90),"61-90",AND($AU535&gt;=91),"&gt; 90",AND($AU535&gt;=2000),""),"")</f>
        <v/>
      </c>
      <c r="AW535" s="32" t="str" cm="1">
        <f t="array" aca="1" ref="AW535" ca="1">IFERROR(_xlfn.IFS(OR($M535="",$AM535=""),"",OR($C535="Offered",$C535="Joined"),($AM535-$M535)-$AT535),"")</f>
        <v/>
      </c>
      <c r="AX535" s="32" t="str" cm="1">
        <f t="array" aca="1" ref="AX535" ca="1">IFERROR(_xlfn.IFS(OR($M535="",$AS535=""),"",$C535="Joined",($AS535-$M535)-$AT535),"")</f>
        <v/>
      </c>
      <c r="AY535" s="30" t="str">
        <f>IFERROR(IF(COUNTIFS('Candidate Tracker'!$E:$E,'Positions Tracker'!$B535,'Candidate Tracker'!$C:$C,"Offer Drop")=0,"",COUNTIFS('Candidate Tracker'!$E:$E,'Positions Tracker'!$B535,'Candidate Tracker'!$C:$C,"Offer Drop")),"")</f>
        <v/>
      </c>
      <c r="AZ5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5" s="34" t="str">
        <f>IFERROR(IF(COUNTIFS('Candidate Tracker'!$E:$E,'Positions Tracker'!$B535,'Candidate Tracker'!$I:$I,"Female")=0,"",COUNTIFS('Candidate Tracker'!$E:$E,'Positions Tracker'!$B535,'Candidate Tracker'!$I:$I,"Female")),"")</f>
        <v/>
      </c>
      <c r="BB535" s="34" t="str">
        <f>IFERROR(IF(COUNTIFS('Candidate Tracker'!$E:$E,'Positions Tracker'!$B535,'Candidate Tracker'!$I:$I,"male")=0,"",COUNTIFS('Candidate Tracker'!$E:$E,'Positions Tracker'!$B535,'Candidate Tracker'!$I:$I,"male")),"")</f>
        <v/>
      </c>
      <c r="BC535" s="33" t="str">
        <f>IFERROR(IF(COUNTIFS('Candidate Tracker'!$E:$E,'Positions Tracker'!$B535,'Candidate Tracker'!$C:$C,"&lt;&gt;WIP",'Candidate Tracker'!$C:$C,"&lt;&gt;Hold",'Candidate Tracker'!$C:$C,"&lt;&gt;Cancelled",'Candidate Tracker'!$C:$C,"&lt;&gt;Closed")/COUNTIFS('Candidate Tracker'!$E:$E,'Positions Tracker'!$B535)=0,"",COUNTIFS('Candidate Tracker'!$E:$E,'Positions Tracker'!$B535,'Candidate Tracker'!$C:$C,"&lt;&gt;WIP",'Candidate Tracker'!$C:$C,"&lt;&gt;Hold",'Candidate Tracker'!$C:$C,"&lt;&gt;Cancelled",'Candidate Tracker'!$C:$C,"&lt;&gt;Closed")/COUNTIFS('Candidate Tracker'!$E:$E,'Positions Tracker'!$B535)),"")</f>
        <v/>
      </c>
      <c r="BD535" s="30" t="str">
        <f t="shared" si="63"/>
        <v/>
      </c>
      <c r="BE535" s="30" t="str">
        <f t="shared" si="64"/>
        <v/>
      </c>
      <c r="BF535" s="30" t="str">
        <f t="shared" si="65"/>
        <v/>
      </c>
      <c r="BG535" s="30" t="str">
        <f t="shared" si="66"/>
        <v/>
      </c>
    </row>
    <row r="536" spans="1:59">
      <c r="A536" s="39"/>
      <c r="B536" s="39"/>
      <c r="C536" s="39"/>
      <c r="D536" s="39"/>
      <c r="E536" s="39"/>
      <c r="F536" s="39"/>
      <c r="G536" s="39"/>
      <c r="H536" s="39"/>
      <c r="I536" s="40"/>
      <c r="J536" s="40"/>
      <c r="K536" s="35"/>
      <c r="L536" s="35"/>
      <c r="M536" s="35"/>
      <c r="N536" s="39"/>
      <c r="O536" s="39"/>
      <c r="P536" s="39"/>
      <c r="Q536" s="39"/>
      <c r="R536" s="39"/>
      <c r="S536" s="39"/>
      <c r="T536" s="39"/>
      <c r="U536" s="39"/>
      <c r="V536" s="39"/>
      <c r="W536" s="39"/>
      <c r="X536" s="39"/>
      <c r="Y536" s="39"/>
      <c r="Z536" s="39"/>
      <c r="AA536" s="39"/>
      <c r="AB536" s="39"/>
      <c r="AC536" s="39"/>
      <c r="AD536" s="39"/>
      <c r="AE536" s="39"/>
      <c r="AF536" s="39"/>
      <c r="AG536" s="39"/>
      <c r="AH536" s="39"/>
      <c r="AI536" s="35"/>
      <c r="AJ536" s="39"/>
      <c r="AK536" s="39"/>
      <c r="AL536" s="39"/>
      <c r="AM536" s="35"/>
      <c r="AN536" s="35"/>
      <c r="AO536" s="39"/>
      <c r="AP536" s="39"/>
      <c r="AQ536" s="35"/>
      <c r="AR536" s="35"/>
      <c r="AS536" s="35"/>
      <c r="AT536" s="30">
        <f t="shared" ca="1" si="62"/>
        <v>0</v>
      </c>
      <c r="AU536" s="32" t="str">
        <f t="shared" ca="1" si="61"/>
        <v/>
      </c>
      <c r="AV536" s="32" t="str" cm="1">
        <f t="array" aca="1" ref="AV536" ca="1">IFERROR(_xlfn.IFS($AU536="","",$AU536&lt;=15,"0-15",AND($AU536&gt;=16,$AU536&lt;=30),"16-30",AND($AU536&gt;=31,$AU536&lt;=45),"31-45",AND($AU536&gt;=46,$AU536&lt;=60),"46-60",AND($AU536&gt;=61,$AU536&lt;=90),"61-90",AND($AU536&gt;=91),"&gt; 90",AND($AU536&gt;=2000),""),"")</f>
        <v/>
      </c>
      <c r="AW536" s="32" t="str" cm="1">
        <f t="array" aca="1" ref="AW536" ca="1">IFERROR(_xlfn.IFS(OR($M536="",$AM536=""),"",OR($C536="Offered",$C536="Joined"),($AM536-$M536)-$AT536),"")</f>
        <v/>
      </c>
      <c r="AX536" s="32" t="str" cm="1">
        <f t="array" aca="1" ref="AX536" ca="1">IFERROR(_xlfn.IFS(OR($M536="",$AS536=""),"",$C536="Joined",($AS536-$M536)-$AT536),"")</f>
        <v/>
      </c>
      <c r="AY536" s="30" t="str">
        <f>IFERROR(IF(COUNTIFS('Candidate Tracker'!$E:$E,'Positions Tracker'!$B536,'Candidate Tracker'!$C:$C,"Offer Drop")=0,"",COUNTIFS('Candidate Tracker'!$E:$E,'Positions Tracker'!$B536,'Candidate Tracker'!$C:$C,"Offer Drop")),"")</f>
        <v/>
      </c>
      <c r="AZ5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6" s="34" t="str">
        <f>IFERROR(IF(COUNTIFS('Candidate Tracker'!$E:$E,'Positions Tracker'!$B536,'Candidate Tracker'!$I:$I,"Female")=0,"",COUNTIFS('Candidate Tracker'!$E:$E,'Positions Tracker'!$B536,'Candidate Tracker'!$I:$I,"Female")),"")</f>
        <v/>
      </c>
      <c r="BB536" s="34" t="str">
        <f>IFERROR(IF(COUNTIFS('Candidate Tracker'!$E:$E,'Positions Tracker'!$B536,'Candidate Tracker'!$I:$I,"male")=0,"",COUNTIFS('Candidate Tracker'!$E:$E,'Positions Tracker'!$B536,'Candidate Tracker'!$I:$I,"male")),"")</f>
        <v/>
      </c>
      <c r="BC536" s="33" t="str">
        <f>IFERROR(IF(COUNTIFS('Candidate Tracker'!$E:$E,'Positions Tracker'!$B536,'Candidate Tracker'!$C:$C,"&lt;&gt;WIP",'Candidate Tracker'!$C:$C,"&lt;&gt;Hold",'Candidate Tracker'!$C:$C,"&lt;&gt;Cancelled",'Candidate Tracker'!$C:$C,"&lt;&gt;Closed")/COUNTIFS('Candidate Tracker'!$E:$E,'Positions Tracker'!$B536)=0,"",COUNTIFS('Candidate Tracker'!$E:$E,'Positions Tracker'!$B536,'Candidate Tracker'!$C:$C,"&lt;&gt;WIP",'Candidate Tracker'!$C:$C,"&lt;&gt;Hold",'Candidate Tracker'!$C:$C,"&lt;&gt;Cancelled",'Candidate Tracker'!$C:$C,"&lt;&gt;Closed")/COUNTIFS('Candidate Tracker'!$E:$E,'Positions Tracker'!$B536)),"")</f>
        <v/>
      </c>
      <c r="BD536" s="30" t="str">
        <f t="shared" si="63"/>
        <v/>
      </c>
      <c r="BE536" s="30" t="str">
        <f t="shared" si="64"/>
        <v/>
      </c>
      <c r="BF536" s="30" t="str">
        <f t="shared" si="65"/>
        <v/>
      </c>
      <c r="BG536" s="30" t="str">
        <f t="shared" si="66"/>
        <v/>
      </c>
    </row>
    <row r="537" spans="1:59">
      <c r="A537" s="39"/>
      <c r="B537" s="39"/>
      <c r="C537" s="39"/>
      <c r="D537" s="39"/>
      <c r="E537" s="39"/>
      <c r="F537" s="39"/>
      <c r="G537" s="39"/>
      <c r="H537" s="39"/>
      <c r="I537" s="40"/>
      <c r="J537" s="40"/>
      <c r="K537" s="35"/>
      <c r="L537" s="35"/>
      <c r="M537" s="35"/>
      <c r="N537" s="39"/>
      <c r="O537" s="39"/>
      <c r="P537" s="39"/>
      <c r="Q537" s="39"/>
      <c r="R537" s="39"/>
      <c r="S537" s="39"/>
      <c r="T537" s="39"/>
      <c r="U537" s="39"/>
      <c r="V537" s="39"/>
      <c r="W537" s="39"/>
      <c r="X537" s="39"/>
      <c r="Y537" s="39"/>
      <c r="Z537" s="39"/>
      <c r="AA537" s="39"/>
      <c r="AB537" s="39"/>
      <c r="AC537" s="39"/>
      <c r="AD537" s="39"/>
      <c r="AE537" s="39"/>
      <c r="AF537" s="39"/>
      <c r="AG537" s="39"/>
      <c r="AH537" s="39"/>
      <c r="AI537" s="35"/>
      <c r="AJ537" s="39"/>
      <c r="AK537" s="39"/>
      <c r="AL537" s="39"/>
      <c r="AM537" s="35"/>
      <c r="AN537" s="35"/>
      <c r="AO537" s="39"/>
      <c r="AP537" s="39"/>
      <c r="AQ537" s="35"/>
      <c r="AR537" s="35"/>
      <c r="AS537" s="35"/>
      <c r="AT537" s="30">
        <f t="shared" ca="1" si="62"/>
        <v>0</v>
      </c>
      <c r="AU537" s="32" t="str">
        <f t="shared" ca="1" si="61"/>
        <v/>
      </c>
      <c r="AV537" s="32" t="str" cm="1">
        <f t="array" aca="1" ref="AV537" ca="1">IFERROR(_xlfn.IFS($AU537="","",$AU537&lt;=15,"0-15",AND($AU537&gt;=16,$AU537&lt;=30),"16-30",AND($AU537&gt;=31,$AU537&lt;=45),"31-45",AND($AU537&gt;=46,$AU537&lt;=60),"46-60",AND($AU537&gt;=61,$AU537&lt;=90),"61-90",AND($AU537&gt;=91),"&gt; 90",AND($AU537&gt;=2000),""),"")</f>
        <v/>
      </c>
      <c r="AW537" s="32" t="str" cm="1">
        <f t="array" aca="1" ref="AW537" ca="1">IFERROR(_xlfn.IFS(OR($M537="",$AM537=""),"",OR($C537="Offered",$C537="Joined"),($AM537-$M537)-$AT537),"")</f>
        <v/>
      </c>
      <c r="AX537" s="32" t="str" cm="1">
        <f t="array" aca="1" ref="AX537" ca="1">IFERROR(_xlfn.IFS(OR($M537="",$AS537=""),"",$C537="Joined",($AS537-$M537)-$AT537),"")</f>
        <v/>
      </c>
      <c r="AY537" s="30" t="str">
        <f>IFERROR(IF(COUNTIFS('Candidate Tracker'!$E:$E,'Positions Tracker'!$B537,'Candidate Tracker'!$C:$C,"Offer Drop")=0,"",COUNTIFS('Candidate Tracker'!$E:$E,'Positions Tracker'!$B537,'Candidate Tracker'!$C:$C,"Offer Drop")),"")</f>
        <v/>
      </c>
      <c r="AZ5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7" s="34" t="str">
        <f>IFERROR(IF(COUNTIFS('Candidate Tracker'!$E:$E,'Positions Tracker'!$B537,'Candidate Tracker'!$I:$I,"Female")=0,"",COUNTIFS('Candidate Tracker'!$E:$E,'Positions Tracker'!$B537,'Candidate Tracker'!$I:$I,"Female")),"")</f>
        <v/>
      </c>
      <c r="BB537" s="34" t="str">
        <f>IFERROR(IF(COUNTIFS('Candidate Tracker'!$E:$E,'Positions Tracker'!$B537,'Candidate Tracker'!$I:$I,"male")=0,"",COUNTIFS('Candidate Tracker'!$E:$E,'Positions Tracker'!$B537,'Candidate Tracker'!$I:$I,"male")),"")</f>
        <v/>
      </c>
      <c r="BC537" s="33" t="str">
        <f>IFERROR(IF(COUNTIFS('Candidate Tracker'!$E:$E,'Positions Tracker'!$B537,'Candidate Tracker'!$C:$C,"&lt;&gt;WIP",'Candidate Tracker'!$C:$C,"&lt;&gt;Hold",'Candidate Tracker'!$C:$C,"&lt;&gt;Cancelled",'Candidate Tracker'!$C:$C,"&lt;&gt;Closed")/COUNTIFS('Candidate Tracker'!$E:$E,'Positions Tracker'!$B537)=0,"",COUNTIFS('Candidate Tracker'!$E:$E,'Positions Tracker'!$B537,'Candidate Tracker'!$C:$C,"&lt;&gt;WIP",'Candidate Tracker'!$C:$C,"&lt;&gt;Hold",'Candidate Tracker'!$C:$C,"&lt;&gt;Cancelled",'Candidate Tracker'!$C:$C,"&lt;&gt;Closed")/COUNTIFS('Candidate Tracker'!$E:$E,'Positions Tracker'!$B537)),"")</f>
        <v/>
      </c>
      <c r="BD537" s="30" t="str">
        <f t="shared" si="63"/>
        <v/>
      </c>
      <c r="BE537" s="30" t="str">
        <f t="shared" si="64"/>
        <v/>
      </c>
      <c r="BF537" s="30" t="str">
        <f t="shared" si="65"/>
        <v/>
      </c>
      <c r="BG537" s="30" t="str">
        <f t="shared" si="66"/>
        <v/>
      </c>
    </row>
    <row r="538" spans="1:59">
      <c r="A538" s="39"/>
      <c r="B538" s="39"/>
      <c r="C538" s="39"/>
      <c r="D538" s="39"/>
      <c r="E538" s="39"/>
      <c r="F538" s="39"/>
      <c r="G538" s="39"/>
      <c r="H538" s="39"/>
      <c r="I538" s="40"/>
      <c r="J538" s="40"/>
      <c r="K538" s="35"/>
      <c r="L538" s="35"/>
      <c r="M538" s="35"/>
      <c r="N538" s="39"/>
      <c r="O538" s="39"/>
      <c r="P538" s="39"/>
      <c r="Q538" s="39"/>
      <c r="R538" s="39"/>
      <c r="S538" s="39"/>
      <c r="T538" s="39"/>
      <c r="U538" s="39"/>
      <c r="V538" s="39"/>
      <c r="W538" s="39"/>
      <c r="X538" s="39"/>
      <c r="Y538" s="39"/>
      <c r="Z538" s="39"/>
      <c r="AA538" s="39"/>
      <c r="AB538" s="39"/>
      <c r="AC538" s="39"/>
      <c r="AD538" s="39"/>
      <c r="AE538" s="39"/>
      <c r="AF538" s="39"/>
      <c r="AG538" s="39"/>
      <c r="AH538" s="39"/>
      <c r="AI538" s="35"/>
      <c r="AJ538" s="39"/>
      <c r="AK538" s="39"/>
      <c r="AL538" s="39"/>
      <c r="AM538" s="35"/>
      <c r="AN538" s="35"/>
      <c r="AO538" s="39"/>
      <c r="AP538" s="39"/>
      <c r="AQ538" s="35"/>
      <c r="AR538" s="35"/>
      <c r="AS538" s="35"/>
      <c r="AT538" s="30">
        <f t="shared" ca="1" si="62"/>
        <v>0</v>
      </c>
      <c r="AU538" s="32" t="str">
        <f t="shared" ca="1" si="61"/>
        <v/>
      </c>
      <c r="AV538" s="32" t="str" cm="1">
        <f t="array" aca="1" ref="AV538" ca="1">IFERROR(_xlfn.IFS($AU538="","",$AU538&lt;=15,"0-15",AND($AU538&gt;=16,$AU538&lt;=30),"16-30",AND($AU538&gt;=31,$AU538&lt;=45),"31-45",AND($AU538&gt;=46,$AU538&lt;=60),"46-60",AND($AU538&gt;=61,$AU538&lt;=90),"61-90",AND($AU538&gt;=91),"&gt; 90",AND($AU538&gt;=2000),""),"")</f>
        <v/>
      </c>
      <c r="AW538" s="32" t="str" cm="1">
        <f t="array" aca="1" ref="AW538" ca="1">IFERROR(_xlfn.IFS(OR($M538="",$AM538=""),"",OR($C538="Offered",$C538="Joined"),($AM538-$M538)-$AT538),"")</f>
        <v/>
      </c>
      <c r="AX538" s="32" t="str" cm="1">
        <f t="array" aca="1" ref="AX538" ca="1">IFERROR(_xlfn.IFS(OR($M538="",$AS538=""),"",$C538="Joined",($AS538-$M538)-$AT538),"")</f>
        <v/>
      </c>
      <c r="AY538" s="30" t="str">
        <f>IFERROR(IF(COUNTIFS('Candidate Tracker'!$E:$E,'Positions Tracker'!$B538,'Candidate Tracker'!$C:$C,"Offer Drop")=0,"",COUNTIFS('Candidate Tracker'!$E:$E,'Positions Tracker'!$B538,'Candidate Tracker'!$C:$C,"Offer Drop")),"")</f>
        <v/>
      </c>
      <c r="AZ5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8" s="34" t="str">
        <f>IFERROR(IF(COUNTIFS('Candidate Tracker'!$E:$E,'Positions Tracker'!$B538,'Candidate Tracker'!$I:$I,"Female")=0,"",COUNTIFS('Candidate Tracker'!$E:$E,'Positions Tracker'!$B538,'Candidate Tracker'!$I:$I,"Female")),"")</f>
        <v/>
      </c>
      <c r="BB538" s="34" t="str">
        <f>IFERROR(IF(COUNTIFS('Candidate Tracker'!$E:$E,'Positions Tracker'!$B538,'Candidate Tracker'!$I:$I,"male")=0,"",COUNTIFS('Candidate Tracker'!$E:$E,'Positions Tracker'!$B538,'Candidate Tracker'!$I:$I,"male")),"")</f>
        <v/>
      </c>
      <c r="BC538" s="33" t="str">
        <f>IFERROR(IF(COUNTIFS('Candidate Tracker'!$E:$E,'Positions Tracker'!$B538,'Candidate Tracker'!$C:$C,"&lt;&gt;WIP",'Candidate Tracker'!$C:$C,"&lt;&gt;Hold",'Candidate Tracker'!$C:$C,"&lt;&gt;Cancelled",'Candidate Tracker'!$C:$C,"&lt;&gt;Closed")/COUNTIFS('Candidate Tracker'!$E:$E,'Positions Tracker'!$B538)=0,"",COUNTIFS('Candidate Tracker'!$E:$E,'Positions Tracker'!$B538,'Candidate Tracker'!$C:$C,"&lt;&gt;WIP",'Candidate Tracker'!$C:$C,"&lt;&gt;Hold",'Candidate Tracker'!$C:$C,"&lt;&gt;Cancelled",'Candidate Tracker'!$C:$C,"&lt;&gt;Closed")/COUNTIFS('Candidate Tracker'!$E:$E,'Positions Tracker'!$B538)),"")</f>
        <v/>
      </c>
      <c r="BD538" s="30" t="str">
        <f t="shared" si="63"/>
        <v/>
      </c>
      <c r="BE538" s="30" t="str">
        <f t="shared" si="64"/>
        <v/>
      </c>
      <c r="BF538" s="30" t="str">
        <f t="shared" si="65"/>
        <v/>
      </c>
      <c r="BG538" s="30" t="str">
        <f t="shared" si="66"/>
        <v/>
      </c>
    </row>
    <row r="539" spans="1:59">
      <c r="A539" s="39"/>
      <c r="B539" s="39"/>
      <c r="C539" s="39"/>
      <c r="D539" s="39"/>
      <c r="E539" s="39"/>
      <c r="F539" s="39"/>
      <c r="G539" s="39"/>
      <c r="H539" s="39"/>
      <c r="I539" s="40"/>
      <c r="J539" s="40"/>
      <c r="K539" s="35"/>
      <c r="L539" s="35"/>
      <c r="M539" s="35"/>
      <c r="N539" s="39"/>
      <c r="O539" s="39"/>
      <c r="P539" s="39"/>
      <c r="Q539" s="39"/>
      <c r="R539" s="39"/>
      <c r="S539" s="39"/>
      <c r="T539" s="39"/>
      <c r="U539" s="39"/>
      <c r="V539" s="39"/>
      <c r="W539" s="39"/>
      <c r="X539" s="39"/>
      <c r="Y539" s="39"/>
      <c r="Z539" s="39"/>
      <c r="AA539" s="39"/>
      <c r="AB539" s="39"/>
      <c r="AC539" s="39"/>
      <c r="AD539" s="39"/>
      <c r="AE539" s="39"/>
      <c r="AF539" s="39"/>
      <c r="AG539" s="39"/>
      <c r="AH539" s="39"/>
      <c r="AI539" s="35"/>
      <c r="AJ539" s="39"/>
      <c r="AK539" s="39"/>
      <c r="AL539" s="39"/>
      <c r="AM539" s="35"/>
      <c r="AN539" s="35"/>
      <c r="AO539" s="39"/>
      <c r="AP539" s="39"/>
      <c r="AQ539" s="35"/>
      <c r="AR539" s="35"/>
      <c r="AS539" s="35"/>
      <c r="AT539" s="30">
        <f t="shared" ca="1" si="62"/>
        <v>0</v>
      </c>
      <c r="AU539" s="32" t="str">
        <f t="shared" ca="1" si="61"/>
        <v/>
      </c>
      <c r="AV539" s="32" t="str" cm="1">
        <f t="array" aca="1" ref="AV539" ca="1">IFERROR(_xlfn.IFS($AU539="","",$AU539&lt;=15,"0-15",AND($AU539&gt;=16,$AU539&lt;=30),"16-30",AND($AU539&gt;=31,$AU539&lt;=45),"31-45",AND($AU539&gt;=46,$AU539&lt;=60),"46-60",AND($AU539&gt;=61,$AU539&lt;=90),"61-90",AND($AU539&gt;=91),"&gt; 90",AND($AU539&gt;=2000),""),"")</f>
        <v/>
      </c>
      <c r="AW539" s="32" t="str" cm="1">
        <f t="array" aca="1" ref="AW539" ca="1">IFERROR(_xlfn.IFS(OR($M539="",$AM539=""),"",OR($C539="Offered",$C539="Joined"),($AM539-$M539)-$AT539),"")</f>
        <v/>
      </c>
      <c r="AX539" s="32" t="str" cm="1">
        <f t="array" aca="1" ref="AX539" ca="1">IFERROR(_xlfn.IFS(OR($M539="",$AS539=""),"",$C539="Joined",($AS539-$M539)-$AT539),"")</f>
        <v/>
      </c>
      <c r="AY539" s="30" t="str">
        <f>IFERROR(IF(COUNTIFS('Candidate Tracker'!$E:$E,'Positions Tracker'!$B539,'Candidate Tracker'!$C:$C,"Offer Drop")=0,"",COUNTIFS('Candidate Tracker'!$E:$E,'Positions Tracker'!$B539,'Candidate Tracker'!$C:$C,"Offer Drop")),"")</f>
        <v/>
      </c>
      <c r="AZ5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39" s="34" t="str">
        <f>IFERROR(IF(COUNTIFS('Candidate Tracker'!$E:$E,'Positions Tracker'!$B539,'Candidate Tracker'!$I:$I,"Female")=0,"",COUNTIFS('Candidate Tracker'!$E:$E,'Positions Tracker'!$B539,'Candidate Tracker'!$I:$I,"Female")),"")</f>
        <v/>
      </c>
      <c r="BB539" s="34" t="str">
        <f>IFERROR(IF(COUNTIFS('Candidate Tracker'!$E:$E,'Positions Tracker'!$B539,'Candidate Tracker'!$I:$I,"male")=0,"",COUNTIFS('Candidate Tracker'!$E:$E,'Positions Tracker'!$B539,'Candidate Tracker'!$I:$I,"male")),"")</f>
        <v/>
      </c>
      <c r="BC539" s="33" t="str">
        <f>IFERROR(IF(COUNTIFS('Candidate Tracker'!$E:$E,'Positions Tracker'!$B539,'Candidate Tracker'!$C:$C,"&lt;&gt;WIP",'Candidate Tracker'!$C:$C,"&lt;&gt;Hold",'Candidate Tracker'!$C:$C,"&lt;&gt;Cancelled",'Candidate Tracker'!$C:$C,"&lt;&gt;Closed")/COUNTIFS('Candidate Tracker'!$E:$E,'Positions Tracker'!$B539)=0,"",COUNTIFS('Candidate Tracker'!$E:$E,'Positions Tracker'!$B539,'Candidate Tracker'!$C:$C,"&lt;&gt;WIP",'Candidate Tracker'!$C:$C,"&lt;&gt;Hold",'Candidate Tracker'!$C:$C,"&lt;&gt;Cancelled",'Candidate Tracker'!$C:$C,"&lt;&gt;Closed")/COUNTIFS('Candidate Tracker'!$E:$E,'Positions Tracker'!$B539)),"")</f>
        <v/>
      </c>
      <c r="BD539" s="30" t="str">
        <f t="shared" si="63"/>
        <v/>
      </c>
      <c r="BE539" s="30" t="str">
        <f t="shared" si="64"/>
        <v/>
      </c>
      <c r="BF539" s="30" t="str">
        <f t="shared" si="65"/>
        <v/>
      </c>
      <c r="BG539" s="30" t="str">
        <f t="shared" si="66"/>
        <v/>
      </c>
    </row>
    <row r="540" spans="1:59">
      <c r="A540" s="39"/>
      <c r="B540" s="39"/>
      <c r="C540" s="39"/>
      <c r="D540" s="39"/>
      <c r="E540" s="39"/>
      <c r="F540" s="39"/>
      <c r="G540" s="39"/>
      <c r="H540" s="39"/>
      <c r="I540" s="40"/>
      <c r="J540" s="40"/>
      <c r="K540" s="35"/>
      <c r="L540" s="35"/>
      <c r="M540" s="35"/>
      <c r="N540" s="39"/>
      <c r="O540" s="39"/>
      <c r="P540" s="39"/>
      <c r="Q540" s="39"/>
      <c r="R540" s="39"/>
      <c r="S540" s="39"/>
      <c r="T540" s="39"/>
      <c r="U540" s="39"/>
      <c r="V540" s="39"/>
      <c r="W540" s="39"/>
      <c r="X540" s="39"/>
      <c r="Y540" s="39"/>
      <c r="Z540" s="39"/>
      <c r="AA540" s="39"/>
      <c r="AB540" s="39"/>
      <c r="AC540" s="39"/>
      <c r="AD540" s="39"/>
      <c r="AE540" s="39"/>
      <c r="AF540" s="39"/>
      <c r="AG540" s="39"/>
      <c r="AH540" s="39"/>
      <c r="AI540" s="35"/>
      <c r="AJ540" s="39"/>
      <c r="AK540" s="39"/>
      <c r="AL540" s="39"/>
      <c r="AM540" s="35"/>
      <c r="AN540" s="35"/>
      <c r="AO540" s="39"/>
      <c r="AP540" s="39"/>
      <c r="AQ540" s="35"/>
      <c r="AR540" s="35"/>
      <c r="AS540" s="35"/>
      <c r="AT540" s="30">
        <f t="shared" ca="1" si="62"/>
        <v>0</v>
      </c>
      <c r="AU540" s="32" t="str">
        <f t="shared" ca="1" si="61"/>
        <v/>
      </c>
      <c r="AV540" s="32" t="str" cm="1">
        <f t="array" aca="1" ref="AV540" ca="1">IFERROR(_xlfn.IFS($AU540="","",$AU540&lt;=15,"0-15",AND($AU540&gt;=16,$AU540&lt;=30),"16-30",AND($AU540&gt;=31,$AU540&lt;=45),"31-45",AND($AU540&gt;=46,$AU540&lt;=60),"46-60",AND($AU540&gt;=61,$AU540&lt;=90),"61-90",AND($AU540&gt;=91),"&gt; 90",AND($AU540&gt;=2000),""),"")</f>
        <v/>
      </c>
      <c r="AW540" s="32" t="str" cm="1">
        <f t="array" aca="1" ref="AW540" ca="1">IFERROR(_xlfn.IFS(OR($M540="",$AM540=""),"",OR($C540="Offered",$C540="Joined"),($AM540-$M540)-$AT540),"")</f>
        <v/>
      </c>
      <c r="AX540" s="32" t="str" cm="1">
        <f t="array" aca="1" ref="AX540" ca="1">IFERROR(_xlfn.IFS(OR($M540="",$AS540=""),"",$C540="Joined",($AS540-$M540)-$AT540),"")</f>
        <v/>
      </c>
      <c r="AY540" s="30" t="str">
        <f>IFERROR(IF(COUNTIFS('Candidate Tracker'!$E:$E,'Positions Tracker'!$B540,'Candidate Tracker'!$C:$C,"Offer Drop")=0,"",COUNTIFS('Candidate Tracker'!$E:$E,'Positions Tracker'!$B540,'Candidate Tracker'!$C:$C,"Offer Drop")),"")</f>
        <v/>
      </c>
      <c r="AZ5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0" s="34" t="str">
        <f>IFERROR(IF(COUNTIFS('Candidate Tracker'!$E:$E,'Positions Tracker'!$B540,'Candidate Tracker'!$I:$I,"Female")=0,"",COUNTIFS('Candidate Tracker'!$E:$E,'Positions Tracker'!$B540,'Candidate Tracker'!$I:$I,"Female")),"")</f>
        <v/>
      </c>
      <c r="BB540" s="34" t="str">
        <f>IFERROR(IF(COUNTIFS('Candidate Tracker'!$E:$E,'Positions Tracker'!$B540,'Candidate Tracker'!$I:$I,"male")=0,"",COUNTIFS('Candidate Tracker'!$E:$E,'Positions Tracker'!$B540,'Candidate Tracker'!$I:$I,"male")),"")</f>
        <v/>
      </c>
      <c r="BC540" s="33" t="str">
        <f>IFERROR(IF(COUNTIFS('Candidate Tracker'!$E:$E,'Positions Tracker'!$B540,'Candidate Tracker'!$C:$C,"&lt;&gt;WIP",'Candidate Tracker'!$C:$C,"&lt;&gt;Hold",'Candidate Tracker'!$C:$C,"&lt;&gt;Cancelled",'Candidate Tracker'!$C:$C,"&lt;&gt;Closed")/COUNTIFS('Candidate Tracker'!$E:$E,'Positions Tracker'!$B540)=0,"",COUNTIFS('Candidate Tracker'!$E:$E,'Positions Tracker'!$B540,'Candidate Tracker'!$C:$C,"&lt;&gt;WIP",'Candidate Tracker'!$C:$C,"&lt;&gt;Hold",'Candidate Tracker'!$C:$C,"&lt;&gt;Cancelled",'Candidate Tracker'!$C:$C,"&lt;&gt;Closed")/COUNTIFS('Candidate Tracker'!$E:$E,'Positions Tracker'!$B540)),"")</f>
        <v/>
      </c>
      <c r="BD540" s="30" t="str">
        <f t="shared" si="63"/>
        <v/>
      </c>
      <c r="BE540" s="30" t="str">
        <f t="shared" si="64"/>
        <v/>
      </c>
      <c r="BF540" s="30" t="str">
        <f t="shared" si="65"/>
        <v/>
      </c>
      <c r="BG540" s="30" t="str">
        <f t="shared" si="66"/>
        <v/>
      </c>
    </row>
    <row r="541" spans="1:59">
      <c r="A541" s="39"/>
      <c r="B541" s="39"/>
      <c r="C541" s="39"/>
      <c r="D541" s="39"/>
      <c r="E541" s="39"/>
      <c r="F541" s="39"/>
      <c r="G541" s="39"/>
      <c r="H541" s="39"/>
      <c r="I541" s="40"/>
      <c r="J541" s="40"/>
      <c r="K541" s="35"/>
      <c r="L541" s="35"/>
      <c r="M541" s="35"/>
      <c r="N541" s="39"/>
      <c r="O541" s="39"/>
      <c r="P541" s="39"/>
      <c r="Q541" s="39"/>
      <c r="R541" s="39"/>
      <c r="S541" s="39"/>
      <c r="T541" s="39"/>
      <c r="U541" s="39"/>
      <c r="V541" s="39"/>
      <c r="W541" s="39"/>
      <c r="X541" s="39"/>
      <c r="Y541" s="39"/>
      <c r="Z541" s="39"/>
      <c r="AA541" s="39"/>
      <c r="AB541" s="39"/>
      <c r="AC541" s="39"/>
      <c r="AD541" s="39"/>
      <c r="AE541" s="39"/>
      <c r="AF541" s="39"/>
      <c r="AG541" s="39"/>
      <c r="AH541" s="39"/>
      <c r="AI541" s="35"/>
      <c r="AJ541" s="39"/>
      <c r="AK541" s="39"/>
      <c r="AL541" s="39"/>
      <c r="AM541" s="35"/>
      <c r="AN541" s="35"/>
      <c r="AO541" s="39"/>
      <c r="AP541" s="39"/>
      <c r="AQ541" s="35"/>
      <c r="AR541" s="35"/>
      <c r="AS541" s="35"/>
      <c r="AT541" s="30">
        <f t="shared" ca="1" si="62"/>
        <v>0</v>
      </c>
      <c r="AU541" s="32" t="str">
        <f t="shared" ca="1" si="61"/>
        <v/>
      </c>
      <c r="AV541" s="32" t="str" cm="1">
        <f t="array" aca="1" ref="AV541" ca="1">IFERROR(_xlfn.IFS($AU541="","",$AU541&lt;=15,"0-15",AND($AU541&gt;=16,$AU541&lt;=30),"16-30",AND($AU541&gt;=31,$AU541&lt;=45),"31-45",AND($AU541&gt;=46,$AU541&lt;=60),"46-60",AND($AU541&gt;=61,$AU541&lt;=90),"61-90",AND($AU541&gt;=91),"&gt; 90",AND($AU541&gt;=2000),""),"")</f>
        <v/>
      </c>
      <c r="AW541" s="32" t="str" cm="1">
        <f t="array" aca="1" ref="AW541" ca="1">IFERROR(_xlfn.IFS(OR($M541="",$AM541=""),"",OR($C541="Offered",$C541="Joined"),($AM541-$M541)-$AT541),"")</f>
        <v/>
      </c>
      <c r="AX541" s="32" t="str" cm="1">
        <f t="array" aca="1" ref="AX541" ca="1">IFERROR(_xlfn.IFS(OR($M541="",$AS541=""),"",$C541="Joined",($AS541-$M541)-$AT541),"")</f>
        <v/>
      </c>
      <c r="AY541" s="30" t="str">
        <f>IFERROR(IF(COUNTIFS('Candidate Tracker'!$E:$E,'Positions Tracker'!$B541,'Candidate Tracker'!$C:$C,"Offer Drop")=0,"",COUNTIFS('Candidate Tracker'!$E:$E,'Positions Tracker'!$B541,'Candidate Tracker'!$C:$C,"Offer Drop")),"")</f>
        <v/>
      </c>
      <c r="AZ5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1" s="34" t="str">
        <f>IFERROR(IF(COUNTIFS('Candidate Tracker'!$E:$E,'Positions Tracker'!$B541,'Candidate Tracker'!$I:$I,"Female")=0,"",COUNTIFS('Candidate Tracker'!$E:$E,'Positions Tracker'!$B541,'Candidate Tracker'!$I:$I,"Female")),"")</f>
        <v/>
      </c>
      <c r="BB541" s="34" t="str">
        <f>IFERROR(IF(COUNTIFS('Candidate Tracker'!$E:$E,'Positions Tracker'!$B541,'Candidate Tracker'!$I:$I,"male")=0,"",COUNTIFS('Candidate Tracker'!$E:$E,'Positions Tracker'!$B541,'Candidate Tracker'!$I:$I,"male")),"")</f>
        <v/>
      </c>
      <c r="BC541" s="33" t="str">
        <f>IFERROR(IF(COUNTIFS('Candidate Tracker'!$E:$E,'Positions Tracker'!$B541,'Candidate Tracker'!$C:$C,"&lt;&gt;WIP",'Candidate Tracker'!$C:$C,"&lt;&gt;Hold",'Candidate Tracker'!$C:$C,"&lt;&gt;Cancelled",'Candidate Tracker'!$C:$C,"&lt;&gt;Closed")/COUNTIFS('Candidate Tracker'!$E:$E,'Positions Tracker'!$B541)=0,"",COUNTIFS('Candidate Tracker'!$E:$E,'Positions Tracker'!$B541,'Candidate Tracker'!$C:$C,"&lt;&gt;WIP",'Candidate Tracker'!$C:$C,"&lt;&gt;Hold",'Candidate Tracker'!$C:$C,"&lt;&gt;Cancelled",'Candidate Tracker'!$C:$C,"&lt;&gt;Closed")/COUNTIFS('Candidate Tracker'!$E:$E,'Positions Tracker'!$B541)),"")</f>
        <v/>
      </c>
      <c r="BD541" s="30" t="str">
        <f t="shared" si="63"/>
        <v/>
      </c>
      <c r="BE541" s="30" t="str">
        <f t="shared" si="64"/>
        <v/>
      </c>
      <c r="BF541" s="30" t="str">
        <f t="shared" si="65"/>
        <v/>
      </c>
      <c r="BG541" s="30" t="str">
        <f t="shared" si="66"/>
        <v/>
      </c>
    </row>
    <row r="542" spans="1:59">
      <c r="A542" s="39"/>
      <c r="B542" s="39"/>
      <c r="C542" s="39"/>
      <c r="D542" s="39"/>
      <c r="E542" s="39"/>
      <c r="F542" s="39"/>
      <c r="G542" s="39"/>
      <c r="H542" s="39"/>
      <c r="I542" s="40"/>
      <c r="J542" s="40"/>
      <c r="K542" s="35"/>
      <c r="L542" s="35"/>
      <c r="M542" s="35"/>
      <c r="N542" s="39"/>
      <c r="O542" s="39"/>
      <c r="P542" s="39"/>
      <c r="Q542" s="39"/>
      <c r="R542" s="39"/>
      <c r="S542" s="39"/>
      <c r="T542" s="39"/>
      <c r="U542" s="39"/>
      <c r="V542" s="39"/>
      <c r="W542" s="39"/>
      <c r="X542" s="39"/>
      <c r="Y542" s="39"/>
      <c r="Z542" s="39"/>
      <c r="AA542" s="39"/>
      <c r="AB542" s="39"/>
      <c r="AC542" s="39"/>
      <c r="AD542" s="39"/>
      <c r="AE542" s="39"/>
      <c r="AF542" s="39"/>
      <c r="AG542" s="39"/>
      <c r="AH542" s="39"/>
      <c r="AI542" s="35"/>
      <c r="AJ542" s="39"/>
      <c r="AK542" s="39"/>
      <c r="AL542" s="39"/>
      <c r="AM542" s="35"/>
      <c r="AN542" s="35"/>
      <c r="AO542" s="39"/>
      <c r="AP542" s="39"/>
      <c r="AQ542" s="35"/>
      <c r="AR542" s="35"/>
      <c r="AS542" s="35"/>
      <c r="AT542" s="30">
        <f t="shared" ca="1" si="62"/>
        <v>0</v>
      </c>
      <c r="AU542" s="32" t="str">
        <f t="shared" ca="1" si="61"/>
        <v/>
      </c>
      <c r="AV542" s="32" t="str" cm="1">
        <f t="array" aca="1" ref="AV542" ca="1">IFERROR(_xlfn.IFS($AU542="","",$AU542&lt;=15,"0-15",AND($AU542&gt;=16,$AU542&lt;=30),"16-30",AND($AU542&gt;=31,$AU542&lt;=45),"31-45",AND($AU542&gt;=46,$AU542&lt;=60),"46-60",AND($AU542&gt;=61,$AU542&lt;=90),"61-90",AND($AU542&gt;=91),"&gt; 90",AND($AU542&gt;=2000),""),"")</f>
        <v/>
      </c>
      <c r="AW542" s="32" t="str" cm="1">
        <f t="array" aca="1" ref="AW542" ca="1">IFERROR(_xlfn.IFS(OR($M542="",$AM542=""),"",OR($C542="Offered",$C542="Joined"),($AM542-$M542)-$AT542),"")</f>
        <v/>
      </c>
      <c r="AX542" s="32" t="str" cm="1">
        <f t="array" aca="1" ref="AX542" ca="1">IFERROR(_xlfn.IFS(OR($M542="",$AS542=""),"",$C542="Joined",($AS542-$M542)-$AT542),"")</f>
        <v/>
      </c>
      <c r="AY542" s="30" t="str">
        <f>IFERROR(IF(COUNTIFS('Candidate Tracker'!$E:$E,'Positions Tracker'!$B542,'Candidate Tracker'!$C:$C,"Offer Drop")=0,"",COUNTIFS('Candidate Tracker'!$E:$E,'Positions Tracker'!$B542,'Candidate Tracker'!$C:$C,"Offer Drop")),"")</f>
        <v/>
      </c>
      <c r="AZ5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2" s="34" t="str">
        <f>IFERROR(IF(COUNTIFS('Candidate Tracker'!$E:$E,'Positions Tracker'!$B542,'Candidate Tracker'!$I:$I,"Female")=0,"",COUNTIFS('Candidate Tracker'!$E:$E,'Positions Tracker'!$B542,'Candidate Tracker'!$I:$I,"Female")),"")</f>
        <v/>
      </c>
      <c r="BB542" s="34" t="str">
        <f>IFERROR(IF(COUNTIFS('Candidate Tracker'!$E:$E,'Positions Tracker'!$B542,'Candidate Tracker'!$I:$I,"male")=0,"",COUNTIFS('Candidate Tracker'!$E:$E,'Positions Tracker'!$B542,'Candidate Tracker'!$I:$I,"male")),"")</f>
        <v/>
      </c>
      <c r="BC542" s="33" t="str">
        <f>IFERROR(IF(COUNTIFS('Candidate Tracker'!$E:$E,'Positions Tracker'!$B542,'Candidate Tracker'!$C:$C,"&lt;&gt;WIP",'Candidate Tracker'!$C:$C,"&lt;&gt;Hold",'Candidate Tracker'!$C:$C,"&lt;&gt;Cancelled",'Candidate Tracker'!$C:$C,"&lt;&gt;Closed")/COUNTIFS('Candidate Tracker'!$E:$E,'Positions Tracker'!$B542)=0,"",COUNTIFS('Candidate Tracker'!$E:$E,'Positions Tracker'!$B542,'Candidate Tracker'!$C:$C,"&lt;&gt;WIP",'Candidate Tracker'!$C:$C,"&lt;&gt;Hold",'Candidate Tracker'!$C:$C,"&lt;&gt;Cancelled",'Candidate Tracker'!$C:$C,"&lt;&gt;Closed")/COUNTIFS('Candidate Tracker'!$E:$E,'Positions Tracker'!$B542)),"")</f>
        <v/>
      </c>
      <c r="BD542" s="30" t="str">
        <f t="shared" si="63"/>
        <v/>
      </c>
      <c r="BE542" s="30" t="str">
        <f t="shared" si="64"/>
        <v/>
      </c>
      <c r="BF542" s="30" t="str">
        <f t="shared" si="65"/>
        <v/>
      </c>
      <c r="BG542" s="30" t="str">
        <f t="shared" si="66"/>
        <v/>
      </c>
    </row>
    <row r="543" spans="1:59">
      <c r="A543" s="39"/>
      <c r="B543" s="39"/>
      <c r="C543" s="39"/>
      <c r="D543" s="39"/>
      <c r="E543" s="39"/>
      <c r="F543" s="39"/>
      <c r="G543" s="39"/>
      <c r="H543" s="39"/>
      <c r="I543" s="40"/>
      <c r="J543" s="40"/>
      <c r="K543" s="35"/>
      <c r="L543" s="35"/>
      <c r="M543" s="35"/>
      <c r="N543" s="39"/>
      <c r="O543" s="39"/>
      <c r="P543" s="39"/>
      <c r="Q543" s="39"/>
      <c r="R543" s="39"/>
      <c r="S543" s="39"/>
      <c r="T543" s="39"/>
      <c r="U543" s="39"/>
      <c r="V543" s="39"/>
      <c r="W543" s="39"/>
      <c r="X543" s="39"/>
      <c r="Y543" s="39"/>
      <c r="Z543" s="39"/>
      <c r="AA543" s="39"/>
      <c r="AB543" s="39"/>
      <c r="AC543" s="39"/>
      <c r="AD543" s="39"/>
      <c r="AE543" s="39"/>
      <c r="AF543" s="39"/>
      <c r="AG543" s="39"/>
      <c r="AH543" s="39"/>
      <c r="AI543" s="35"/>
      <c r="AJ543" s="39"/>
      <c r="AK543" s="39"/>
      <c r="AL543" s="39"/>
      <c r="AM543" s="35"/>
      <c r="AN543" s="35"/>
      <c r="AO543" s="39"/>
      <c r="AP543" s="39"/>
      <c r="AQ543" s="35"/>
      <c r="AR543" s="35"/>
      <c r="AS543" s="35"/>
      <c r="AT543" s="30">
        <f t="shared" ca="1" si="62"/>
        <v>0</v>
      </c>
      <c r="AU543" s="32" t="str">
        <f t="shared" ca="1" si="61"/>
        <v/>
      </c>
      <c r="AV543" s="32" t="str" cm="1">
        <f t="array" aca="1" ref="AV543" ca="1">IFERROR(_xlfn.IFS($AU543="","",$AU543&lt;=15,"0-15",AND($AU543&gt;=16,$AU543&lt;=30),"16-30",AND($AU543&gt;=31,$AU543&lt;=45),"31-45",AND($AU543&gt;=46,$AU543&lt;=60),"46-60",AND($AU543&gt;=61,$AU543&lt;=90),"61-90",AND($AU543&gt;=91),"&gt; 90",AND($AU543&gt;=2000),""),"")</f>
        <v/>
      </c>
      <c r="AW543" s="32" t="str" cm="1">
        <f t="array" aca="1" ref="AW543" ca="1">IFERROR(_xlfn.IFS(OR($M543="",$AM543=""),"",OR($C543="Offered",$C543="Joined"),($AM543-$M543)-$AT543),"")</f>
        <v/>
      </c>
      <c r="AX543" s="32" t="str" cm="1">
        <f t="array" aca="1" ref="AX543" ca="1">IFERROR(_xlfn.IFS(OR($M543="",$AS543=""),"",$C543="Joined",($AS543-$M543)-$AT543),"")</f>
        <v/>
      </c>
      <c r="AY543" s="30" t="str">
        <f>IFERROR(IF(COUNTIFS('Candidate Tracker'!$E:$E,'Positions Tracker'!$B543,'Candidate Tracker'!$C:$C,"Offer Drop")=0,"",COUNTIFS('Candidate Tracker'!$E:$E,'Positions Tracker'!$B543,'Candidate Tracker'!$C:$C,"Offer Drop")),"")</f>
        <v/>
      </c>
      <c r="AZ5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3" s="34" t="str">
        <f>IFERROR(IF(COUNTIFS('Candidate Tracker'!$E:$E,'Positions Tracker'!$B543,'Candidate Tracker'!$I:$I,"Female")=0,"",COUNTIFS('Candidate Tracker'!$E:$E,'Positions Tracker'!$B543,'Candidate Tracker'!$I:$I,"Female")),"")</f>
        <v/>
      </c>
      <c r="BB543" s="34" t="str">
        <f>IFERROR(IF(COUNTIFS('Candidate Tracker'!$E:$E,'Positions Tracker'!$B543,'Candidate Tracker'!$I:$I,"male")=0,"",COUNTIFS('Candidate Tracker'!$E:$E,'Positions Tracker'!$B543,'Candidate Tracker'!$I:$I,"male")),"")</f>
        <v/>
      </c>
      <c r="BC543" s="33" t="str">
        <f>IFERROR(IF(COUNTIFS('Candidate Tracker'!$E:$E,'Positions Tracker'!$B543,'Candidate Tracker'!$C:$C,"&lt;&gt;WIP",'Candidate Tracker'!$C:$C,"&lt;&gt;Hold",'Candidate Tracker'!$C:$C,"&lt;&gt;Cancelled",'Candidate Tracker'!$C:$C,"&lt;&gt;Closed")/COUNTIFS('Candidate Tracker'!$E:$E,'Positions Tracker'!$B543)=0,"",COUNTIFS('Candidate Tracker'!$E:$E,'Positions Tracker'!$B543,'Candidate Tracker'!$C:$C,"&lt;&gt;WIP",'Candidate Tracker'!$C:$C,"&lt;&gt;Hold",'Candidate Tracker'!$C:$C,"&lt;&gt;Cancelled",'Candidate Tracker'!$C:$C,"&lt;&gt;Closed")/COUNTIFS('Candidate Tracker'!$E:$E,'Positions Tracker'!$B543)),"")</f>
        <v/>
      </c>
      <c r="BD543" s="30" t="str">
        <f t="shared" si="63"/>
        <v/>
      </c>
      <c r="BE543" s="30" t="str">
        <f t="shared" si="64"/>
        <v/>
      </c>
      <c r="BF543" s="30" t="str">
        <f t="shared" si="65"/>
        <v/>
      </c>
      <c r="BG543" s="30" t="str">
        <f t="shared" si="66"/>
        <v/>
      </c>
    </row>
    <row r="544" spans="1:59">
      <c r="A544" s="39"/>
      <c r="B544" s="39"/>
      <c r="C544" s="39"/>
      <c r="D544" s="39"/>
      <c r="E544" s="39"/>
      <c r="F544" s="39"/>
      <c r="G544" s="39"/>
      <c r="H544" s="39"/>
      <c r="I544" s="40"/>
      <c r="J544" s="40"/>
      <c r="K544" s="35"/>
      <c r="L544" s="35"/>
      <c r="M544" s="35"/>
      <c r="N544" s="39"/>
      <c r="O544" s="39"/>
      <c r="P544" s="39"/>
      <c r="Q544" s="39"/>
      <c r="R544" s="39"/>
      <c r="S544" s="39"/>
      <c r="T544" s="39"/>
      <c r="U544" s="39"/>
      <c r="V544" s="39"/>
      <c r="W544" s="39"/>
      <c r="X544" s="39"/>
      <c r="Y544" s="39"/>
      <c r="Z544" s="39"/>
      <c r="AA544" s="39"/>
      <c r="AB544" s="39"/>
      <c r="AC544" s="39"/>
      <c r="AD544" s="39"/>
      <c r="AE544" s="39"/>
      <c r="AF544" s="39"/>
      <c r="AG544" s="39"/>
      <c r="AH544" s="39"/>
      <c r="AI544" s="35"/>
      <c r="AJ544" s="39"/>
      <c r="AK544" s="39"/>
      <c r="AL544" s="39"/>
      <c r="AM544" s="35"/>
      <c r="AN544" s="35"/>
      <c r="AO544" s="39"/>
      <c r="AP544" s="39"/>
      <c r="AQ544" s="35"/>
      <c r="AR544" s="35"/>
      <c r="AS544" s="35"/>
      <c r="AT544" s="30">
        <f t="shared" ca="1" si="62"/>
        <v>0</v>
      </c>
      <c r="AU544" s="32" t="str">
        <f t="shared" ca="1" si="61"/>
        <v/>
      </c>
      <c r="AV544" s="32" t="str" cm="1">
        <f t="array" aca="1" ref="AV544" ca="1">IFERROR(_xlfn.IFS($AU544="","",$AU544&lt;=15,"0-15",AND($AU544&gt;=16,$AU544&lt;=30),"16-30",AND($AU544&gt;=31,$AU544&lt;=45),"31-45",AND($AU544&gt;=46,$AU544&lt;=60),"46-60",AND($AU544&gt;=61,$AU544&lt;=90),"61-90",AND($AU544&gt;=91),"&gt; 90",AND($AU544&gt;=2000),""),"")</f>
        <v/>
      </c>
      <c r="AW544" s="32" t="str" cm="1">
        <f t="array" aca="1" ref="AW544" ca="1">IFERROR(_xlfn.IFS(OR($M544="",$AM544=""),"",OR($C544="Offered",$C544="Joined"),($AM544-$M544)-$AT544),"")</f>
        <v/>
      </c>
      <c r="AX544" s="32" t="str" cm="1">
        <f t="array" aca="1" ref="AX544" ca="1">IFERROR(_xlfn.IFS(OR($M544="",$AS544=""),"",$C544="Joined",($AS544-$M544)-$AT544),"")</f>
        <v/>
      </c>
      <c r="AY544" s="30" t="str">
        <f>IFERROR(IF(COUNTIFS('Candidate Tracker'!$E:$E,'Positions Tracker'!$B544,'Candidate Tracker'!$C:$C,"Offer Drop")=0,"",COUNTIFS('Candidate Tracker'!$E:$E,'Positions Tracker'!$B544,'Candidate Tracker'!$C:$C,"Offer Drop")),"")</f>
        <v/>
      </c>
      <c r="AZ5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4" s="34" t="str">
        <f>IFERROR(IF(COUNTIFS('Candidate Tracker'!$E:$E,'Positions Tracker'!$B544,'Candidate Tracker'!$I:$I,"Female")=0,"",COUNTIFS('Candidate Tracker'!$E:$E,'Positions Tracker'!$B544,'Candidate Tracker'!$I:$I,"Female")),"")</f>
        <v/>
      </c>
      <c r="BB544" s="34" t="str">
        <f>IFERROR(IF(COUNTIFS('Candidate Tracker'!$E:$E,'Positions Tracker'!$B544,'Candidate Tracker'!$I:$I,"male")=0,"",COUNTIFS('Candidate Tracker'!$E:$E,'Positions Tracker'!$B544,'Candidate Tracker'!$I:$I,"male")),"")</f>
        <v/>
      </c>
      <c r="BC544" s="33" t="str">
        <f>IFERROR(IF(COUNTIFS('Candidate Tracker'!$E:$E,'Positions Tracker'!$B544,'Candidate Tracker'!$C:$C,"&lt;&gt;WIP",'Candidate Tracker'!$C:$C,"&lt;&gt;Hold",'Candidate Tracker'!$C:$C,"&lt;&gt;Cancelled",'Candidate Tracker'!$C:$C,"&lt;&gt;Closed")/COUNTIFS('Candidate Tracker'!$E:$E,'Positions Tracker'!$B544)=0,"",COUNTIFS('Candidate Tracker'!$E:$E,'Positions Tracker'!$B544,'Candidate Tracker'!$C:$C,"&lt;&gt;WIP",'Candidate Tracker'!$C:$C,"&lt;&gt;Hold",'Candidate Tracker'!$C:$C,"&lt;&gt;Cancelled",'Candidate Tracker'!$C:$C,"&lt;&gt;Closed")/COUNTIFS('Candidate Tracker'!$E:$E,'Positions Tracker'!$B544)),"")</f>
        <v/>
      </c>
      <c r="BD544" s="30" t="str">
        <f t="shared" si="63"/>
        <v/>
      </c>
      <c r="BE544" s="30" t="str">
        <f t="shared" si="64"/>
        <v/>
      </c>
      <c r="BF544" s="30" t="str">
        <f t="shared" si="65"/>
        <v/>
      </c>
      <c r="BG544" s="30" t="str">
        <f t="shared" si="66"/>
        <v/>
      </c>
    </row>
    <row r="545" spans="1:59">
      <c r="A545" s="39"/>
      <c r="B545" s="39"/>
      <c r="C545" s="39"/>
      <c r="D545" s="39"/>
      <c r="E545" s="39"/>
      <c r="F545" s="39"/>
      <c r="G545" s="39"/>
      <c r="H545" s="39"/>
      <c r="I545" s="40"/>
      <c r="J545" s="40"/>
      <c r="K545" s="35"/>
      <c r="L545" s="35"/>
      <c r="M545" s="35"/>
      <c r="N545" s="39"/>
      <c r="O545" s="39"/>
      <c r="P545" s="39"/>
      <c r="Q545" s="39"/>
      <c r="R545" s="39"/>
      <c r="S545" s="39"/>
      <c r="T545" s="39"/>
      <c r="U545" s="39"/>
      <c r="V545" s="39"/>
      <c r="W545" s="39"/>
      <c r="X545" s="39"/>
      <c r="Y545" s="39"/>
      <c r="Z545" s="39"/>
      <c r="AA545" s="39"/>
      <c r="AB545" s="39"/>
      <c r="AC545" s="39"/>
      <c r="AD545" s="39"/>
      <c r="AE545" s="39"/>
      <c r="AF545" s="39"/>
      <c r="AG545" s="39"/>
      <c r="AH545" s="39"/>
      <c r="AI545" s="35"/>
      <c r="AJ545" s="39"/>
      <c r="AK545" s="39"/>
      <c r="AL545" s="39"/>
      <c r="AM545" s="35"/>
      <c r="AN545" s="35"/>
      <c r="AO545" s="39"/>
      <c r="AP545" s="39"/>
      <c r="AQ545" s="35"/>
      <c r="AR545" s="35"/>
      <c r="AS545" s="35"/>
      <c r="AT545" s="30">
        <f t="shared" ca="1" si="62"/>
        <v>0</v>
      </c>
      <c r="AU545" s="32" t="str">
        <f t="shared" ca="1" si="61"/>
        <v/>
      </c>
      <c r="AV545" s="32" t="str" cm="1">
        <f t="array" aca="1" ref="AV545" ca="1">IFERROR(_xlfn.IFS($AU545="","",$AU545&lt;=15,"0-15",AND($AU545&gt;=16,$AU545&lt;=30),"16-30",AND($AU545&gt;=31,$AU545&lt;=45),"31-45",AND($AU545&gt;=46,$AU545&lt;=60),"46-60",AND($AU545&gt;=61,$AU545&lt;=90),"61-90",AND($AU545&gt;=91),"&gt; 90",AND($AU545&gt;=2000),""),"")</f>
        <v/>
      </c>
      <c r="AW545" s="32" t="str" cm="1">
        <f t="array" aca="1" ref="AW545" ca="1">IFERROR(_xlfn.IFS(OR($M545="",$AM545=""),"",OR($C545="Offered",$C545="Joined"),($AM545-$M545)-$AT545),"")</f>
        <v/>
      </c>
      <c r="AX545" s="32" t="str" cm="1">
        <f t="array" aca="1" ref="AX545" ca="1">IFERROR(_xlfn.IFS(OR($M545="",$AS545=""),"",$C545="Joined",($AS545-$M545)-$AT545),"")</f>
        <v/>
      </c>
      <c r="AY545" s="30" t="str">
        <f>IFERROR(IF(COUNTIFS('Candidate Tracker'!$E:$E,'Positions Tracker'!$B545,'Candidate Tracker'!$C:$C,"Offer Drop")=0,"",COUNTIFS('Candidate Tracker'!$E:$E,'Positions Tracker'!$B545,'Candidate Tracker'!$C:$C,"Offer Drop")),"")</f>
        <v/>
      </c>
      <c r="AZ54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5" s="34" t="str">
        <f>IFERROR(IF(COUNTIFS('Candidate Tracker'!$E:$E,'Positions Tracker'!$B545,'Candidate Tracker'!$I:$I,"Female")=0,"",COUNTIFS('Candidate Tracker'!$E:$E,'Positions Tracker'!$B545,'Candidate Tracker'!$I:$I,"Female")),"")</f>
        <v/>
      </c>
      <c r="BB545" s="34" t="str">
        <f>IFERROR(IF(COUNTIFS('Candidate Tracker'!$E:$E,'Positions Tracker'!$B545,'Candidate Tracker'!$I:$I,"male")=0,"",COUNTIFS('Candidate Tracker'!$E:$E,'Positions Tracker'!$B545,'Candidate Tracker'!$I:$I,"male")),"")</f>
        <v/>
      </c>
      <c r="BC545" s="33" t="str">
        <f>IFERROR(IF(COUNTIFS('Candidate Tracker'!$E:$E,'Positions Tracker'!$B545,'Candidate Tracker'!$C:$C,"&lt;&gt;WIP",'Candidate Tracker'!$C:$C,"&lt;&gt;Hold",'Candidate Tracker'!$C:$C,"&lt;&gt;Cancelled",'Candidate Tracker'!$C:$C,"&lt;&gt;Closed")/COUNTIFS('Candidate Tracker'!$E:$E,'Positions Tracker'!$B545)=0,"",COUNTIFS('Candidate Tracker'!$E:$E,'Positions Tracker'!$B545,'Candidate Tracker'!$C:$C,"&lt;&gt;WIP",'Candidate Tracker'!$C:$C,"&lt;&gt;Hold",'Candidate Tracker'!$C:$C,"&lt;&gt;Cancelled",'Candidate Tracker'!$C:$C,"&lt;&gt;Closed")/COUNTIFS('Candidate Tracker'!$E:$E,'Positions Tracker'!$B545)),"")</f>
        <v/>
      </c>
      <c r="BD545" s="30" t="str">
        <f t="shared" si="63"/>
        <v/>
      </c>
      <c r="BE545" s="30" t="str">
        <f t="shared" si="64"/>
        <v/>
      </c>
      <c r="BF545" s="30" t="str">
        <f t="shared" si="65"/>
        <v/>
      </c>
      <c r="BG545" s="30" t="str">
        <f t="shared" si="66"/>
        <v/>
      </c>
    </row>
    <row r="546" spans="1:59">
      <c r="A546" s="39"/>
      <c r="B546" s="39"/>
      <c r="C546" s="39"/>
      <c r="D546" s="39"/>
      <c r="E546" s="39"/>
      <c r="F546" s="39"/>
      <c r="G546" s="39"/>
      <c r="H546" s="39"/>
      <c r="I546" s="40"/>
      <c r="J546" s="40"/>
      <c r="K546" s="35"/>
      <c r="L546" s="35"/>
      <c r="M546" s="35"/>
      <c r="N546" s="39"/>
      <c r="O546" s="39"/>
      <c r="P546" s="39"/>
      <c r="Q546" s="39"/>
      <c r="R546" s="39"/>
      <c r="S546" s="39"/>
      <c r="T546" s="39"/>
      <c r="U546" s="39"/>
      <c r="V546" s="39"/>
      <c r="W546" s="39"/>
      <c r="X546" s="39"/>
      <c r="Y546" s="39"/>
      <c r="Z546" s="39"/>
      <c r="AA546" s="39"/>
      <c r="AB546" s="39"/>
      <c r="AC546" s="39"/>
      <c r="AD546" s="39"/>
      <c r="AE546" s="39"/>
      <c r="AF546" s="39"/>
      <c r="AG546" s="39"/>
      <c r="AH546" s="39"/>
      <c r="AI546" s="35"/>
      <c r="AJ546" s="39"/>
      <c r="AK546" s="39"/>
      <c r="AL546" s="39"/>
      <c r="AM546" s="35"/>
      <c r="AN546" s="35"/>
      <c r="AO546" s="39"/>
      <c r="AP546" s="39"/>
      <c r="AQ546" s="35"/>
      <c r="AR546" s="35"/>
      <c r="AS546" s="35"/>
      <c r="AT546" s="30">
        <f t="shared" ca="1" si="62"/>
        <v>0</v>
      </c>
      <c r="AU546" s="32" t="str">
        <f t="shared" ca="1" si="61"/>
        <v/>
      </c>
      <c r="AV546" s="32" t="str" cm="1">
        <f t="array" aca="1" ref="AV546" ca="1">IFERROR(_xlfn.IFS($AU546="","",$AU546&lt;=15,"0-15",AND($AU546&gt;=16,$AU546&lt;=30),"16-30",AND($AU546&gt;=31,$AU546&lt;=45),"31-45",AND($AU546&gt;=46,$AU546&lt;=60),"46-60",AND($AU546&gt;=61,$AU546&lt;=90),"61-90",AND($AU546&gt;=91),"&gt; 90",AND($AU546&gt;=2000),""),"")</f>
        <v/>
      </c>
      <c r="AW546" s="32" t="str" cm="1">
        <f t="array" aca="1" ref="AW546" ca="1">IFERROR(_xlfn.IFS(OR($M546="",$AM546=""),"",OR($C546="Offered",$C546="Joined"),($AM546-$M546)-$AT546),"")</f>
        <v/>
      </c>
      <c r="AX546" s="32" t="str" cm="1">
        <f t="array" aca="1" ref="AX546" ca="1">IFERROR(_xlfn.IFS(OR($M546="",$AS546=""),"",$C546="Joined",($AS546-$M546)-$AT546),"")</f>
        <v/>
      </c>
      <c r="AY546" s="30" t="str">
        <f>IFERROR(IF(COUNTIFS('Candidate Tracker'!$E:$E,'Positions Tracker'!$B546,'Candidate Tracker'!$C:$C,"Offer Drop")=0,"",COUNTIFS('Candidate Tracker'!$E:$E,'Positions Tracker'!$B546,'Candidate Tracker'!$C:$C,"Offer Drop")),"")</f>
        <v/>
      </c>
      <c r="AZ54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6" s="34" t="str">
        <f>IFERROR(IF(COUNTIFS('Candidate Tracker'!$E:$E,'Positions Tracker'!$B546,'Candidate Tracker'!$I:$I,"Female")=0,"",COUNTIFS('Candidate Tracker'!$E:$E,'Positions Tracker'!$B546,'Candidate Tracker'!$I:$I,"Female")),"")</f>
        <v/>
      </c>
      <c r="BB546" s="34" t="str">
        <f>IFERROR(IF(COUNTIFS('Candidate Tracker'!$E:$E,'Positions Tracker'!$B546,'Candidate Tracker'!$I:$I,"male")=0,"",COUNTIFS('Candidate Tracker'!$E:$E,'Positions Tracker'!$B546,'Candidate Tracker'!$I:$I,"male")),"")</f>
        <v/>
      </c>
      <c r="BC546" s="33" t="str">
        <f>IFERROR(IF(COUNTIFS('Candidate Tracker'!$E:$E,'Positions Tracker'!$B546,'Candidate Tracker'!$C:$C,"&lt;&gt;WIP",'Candidate Tracker'!$C:$C,"&lt;&gt;Hold",'Candidate Tracker'!$C:$C,"&lt;&gt;Cancelled",'Candidate Tracker'!$C:$C,"&lt;&gt;Closed")/COUNTIFS('Candidate Tracker'!$E:$E,'Positions Tracker'!$B546)=0,"",COUNTIFS('Candidate Tracker'!$E:$E,'Positions Tracker'!$B546,'Candidate Tracker'!$C:$C,"&lt;&gt;WIP",'Candidate Tracker'!$C:$C,"&lt;&gt;Hold",'Candidate Tracker'!$C:$C,"&lt;&gt;Cancelled",'Candidate Tracker'!$C:$C,"&lt;&gt;Closed")/COUNTIFS('Candidate Tracker'!$E:$E,'Positions Tracker'!$B546)),"")</f>
        <v/>
      </c>
      <c r="BD546" s="30" t="str">
        <f t="shared" si="63"/>
        <v/>
      </c>
      <c r="BE546" s="30" t="str">
        <f t="shared" si="64"/>
        <v/>
      </c>
      <c r="BF546" s="30" t="str">
        <f t="shared" si="65"/>
        <v/>
      </c>
      <c r="BG546" s="30" t="str">
        <f t="shared" si="66"/>
        <v/>
      </c>
    </row>
    <row r="547" spans="1:59">
      <c r="A547" s="39"/>
      <c r="B547" s="39"/>
      <c r="C547" s="39"/>
      <c r="D547" s="39"/>
      <c r="E547" s="39"/>
      <c r="F547" s="39"/>
      <c r="G547" s="39"/>
      <c r="H547" s="39"/>
      <c r="I547" s="40"/>
      <c r="J547" s="40"/>
      <c r="K547" s="35"/>
      <c r="L547" s="35"/>
      <c r="M547" s="35"/>
      <c r="N547" s="39"/>
      <c r="O547" s="39"/>
      <c r="P547" s="39"/>
      <c r="Q547" s="39"/>
      <c r="R547" s="39"/>
      <c r="S547" s="39"/>
      <c r="T547" s="39"/>
      <c r="U547" s="39"/>
      <c r="V547" s="39"/>
      <c r="W547" s="39"/>
      <c r="X547" s="39"/>
      <c r="Y547" s="39"/>
      <c r="Z547" s="39"/>
      <c r="AA547" s="39"/>
      <c r="AB547" s="39"/>
      <c r="AC547" s="39"/>
      <c r="AD547" s="39"/>
      <c r="AE547" s="39"/>
      <c r="AF547" s="39"/>
      <c r="AG547" s="39"/>
      <c r="AH547" s="39"/>
      <c r="AI547" s="35"/>
      <c r="AJ547" s="39"/>
      <c r="AK547" s="39"/>
      <c r="AL547" s="39"/>
      <c r="AM547" s="35"/>
      <c r="AN547" s="35"/>
      <c r="AO547" s="39"/>
      <c r="AP547" s="39"/>
      <c r="AQ547" s="35"/>
      <c r="AR547" s="35"/>
      <c r="AS547" s="35"/>
      <c r="AT547" s="30">
        <f t="shared" ca="1" si="62"/>
        <v>0</v>
      </c>
      <c r="AU547" s="32" t="str">
        <f t="shared" ca="1" si="61"/>
        <v/>
      </c>
      <c r="AV547" s="32" t="str" cm="1">
        <f t="array" aca="1" ref="AV547" ca="1">IFERROR(_xlfn.IFS($AU547="","",$AU547&lt;=15,"0-15",AND($AU547&gt;=16,$AU547&lt;=30),"16-30",AND($AU547&gt;=31,$AU547&lt;=45),"31-45",AND($AU547&gt;=46,$AU547&lt;=60),"46-60",AND($AU547&gt;=61,$AU547&lt;=90),"61-90",AND($AU547&gt;=91),"&gt; 90",AND($AU547&gt;=2000),""),"")</f>
        <v/>
      </c>
      <c r="AW547" s="32" t="str" cm="1">
        <f t="array" aca="1" ref="AW547" ca="1">IFERROR(_xlfn.IFS(OR($M547="",$AM547=""),"",OR($C547="Offered",$C547="Joined"),($AM547-$M547)-$AT547),"")</f>
        <v/>
      </c>
      <c r="AX547" s="32" t="str" cm="1">
        <f t="array" aca="1" ref="AX547" ca="1">IFERROR(_xlfn.IFS(OR($M547="",$AS547=""),"",$C547="Joined",($AS547-$M547)-$AT547),"")</f>
        <v/>
      </c>
      <c r="AY547" s="30" t="str">
        <f>IFERROR(IF(COUNTIFS('Candidate Tracker'!$E:$E,'Positions Tracker'!$B547,'Candidate Tracker'!$C:$C,"Offer Drop")=0,"",COUNTIFS('Candidate Tracker'!$E:$E,'Positions Tracker'!$B547,'Candidate Tracker'!$C:$C,"Offer Drop")),"")</f>
        <v/>
      </c>
      <c r="AZ54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7" s="34" t="str">
        <f>IFERROR(IF(COUNTIFS('Candidate Tracker'!$E:$E,'Positions Tracker'!$B547,'Candidate Tracker'!$I:$I,"Female")=0,"",COUNTIFS('Candidate Tracker'!$E:$E,'Positions Tracker'!$B547,'Candidate Tracker'!$I:$I,"Female")),"")</f>
        <v/>
      </c>
      <c r="BB547" s="34" t="str">
        <f>IFERROR(IF(COUNTIFS('Candidate Tracker'!$E:$E,'Positions Tracker'!$B547,'Candidate Tracker'!$I:$I,"male")=0,"",COUNTIFS('Candidate Tracker'!$E:$E,'Positions Tracker'!$B547,'Candidate Tracker'!$I:$I,"male")),"")</f>
        <v/>
      </c>
      <c r="BC547" s="33" t="str">
        <f>IFERROR(IF(COUNTIFS('Candidate Tracker'!$E:$E,'Positions Tracker'!$B547,'Candidate Tracker'!$C:$C,"&lt;&gt;WIP",'Candidate Tracker'!$C:$C,"&lt;&gt;Hold",'Candidate Tracker'!$C:$C,"&lt;&gt;Cancelled",'Candidate Tracker'!$C:$C,"&lt;&gt;Closed")/COUNTIFS('Candidate Tracker'!$E:$E,'Positions Tracker'!$B547)=0,"",COUNTIFS('Candidate Tracker'!$E:$E,'Positions Tracker'!$B547,'Candidate Tracker'!$C:$C,"&lt;&gt;WIP",'Candidate Tracker'!$C:$C,"&lt;&gt;Hold",'Candidate Tracker'!$C:$C,"&lt;&gt;Cancelled",'Candidate Tracker'!$C:$C,"&lt;&gt;Closed")/COUNTIFS('Candidate Tracker'!$E:$E,'Positions Tracker'!$B547)),"")</f>
        <v/>
      </c>
      <c r="BD547" s="30" t="str">
        <f t="shared" si="63"/>
        <v/>
      </c>
      <c r="BE547" s="30" t="str">
        <f t="shared" si="64"/>
        <v/>
      </c>
      <c r="BF547" s="30" t="str">
        <f t="shared" si="65"/>
        <v/>
      </c>
      <c r="BG547" s="30" t="str">
        <f t="shared" si="66"/>
        <v/>
      </c>
    </row>
    <row r="548" spans="1:59">
      <c r="A548" s="39"/>
      <c r="B548" s="39"/>
      <c r="C548" s="39"/>
      <c r="D548" s="39"/>
      <c r="E548" s="39"/>
      <c r="F548" s="39"/>
      <c r="G548" s="39"/>
      <c r="H548" s="39"/>
      <c r="I548" s="40"/>
      <c r="J548" s="40"/>
      <c r="K548" s="35"/>
      <c r="L548" s="35"/>
      <c r="M548" s="35"/>
      <c r="N548" s="39"/>
      <c r="O548" s="39"/>
      <c r="P548" s="39"/>
      <c r="Q548" s="39"/>
      <c r="R548" s="39"/>
      <c r="S548" s="39"/>
      <c r="T548" s="39"/>
      <c r="U548" s="39"/>
      <c r="V548" s="39"/>
      <c r="W548" s="39"/>
      <c r="X548" s="39"/>
      <c r="Y548" s="39"/>
      <c r="Z548" s="39"/>
      <c r="AA548" s="39"/>
      <c r="AB548" s="39"/>
      <c r="AC548" s="39"/>
      <c r="AD548" s="39"/>
      <c r="AE548" s="39"/>
      <c r="AF548" s="39"/>
      <c r="AG548" s="39"/>
      <c r="AH548" s="39"/>
      <c r="AI548" s="35"/>
      <c r="AJ548" s="39"/>
      <c r="AK548" s="39"/>
      <c r="AL548" s="39"/>
      <c r="AM548" s="35"/>
      <c r="AN548" s="35"/>
      <c r="AO548" s="39"/>
      <c r="AP548" s="39"/>
      <c r="AQ548" s="35"/>
      <c r="AR548" s="35"/>
      <c r="AS548" s="35"/>
      <c r="AT548" s="30">
        <f t="shared" ca="1" si="62"/>
        <v>0</v>
      </c>
      <c r="AU548" s="32" t="str">
        <f t="shared" ca="1" si="61"/>
        <v/>
      </c>
      <c r="AV548" s="32" t="str" cm="1">
        <f t="array" aca="1" ref="AV548" ca="1">IFERROR(_xlfn.IFS($AU548="","",$AU548&lt;=15,"0-15",AND($AU548&gt;=16,$AU548&lt;=30),"16-30",AND($AU548&gt;=31,$AU548&lt;=45),"31-45",AND($AU548&gt;=46,$AU548&lt;=60),"46-60",AND($AU548&gt;=61,$AU548&lt;=90),"61-90",AND($AU548&gt;=91),"&gt; 90",AND($AU548&gt;=2000),""),"")</f>
        <v/>
      </c>
      <c r="AW548" s="32" t="str" cm="1">
        <f t="array" aca="1" ref="AW548" ca="1">IFERROR(_xlfn.IFS(OR($M548="",$AM548=""),"",OR($C548="Offered",$C548="Joined"),($AM548-$M548)-$AT548),"")</f>
        <v/>
      </c>
      <c r="AX548" s="32" t="str" cm="1">
        <f t="array" aca="1" ref="AX548" ca="1">IFERROR(_xlfn.IFS(OR($M548="",$AS548=""),"",$C548="Joined",($AS548-$M548)-$AT548),"")</f>
        <v/>
      </c>
      <c r="AY548" s="30" t="str">
        <f>IFERROR(IF(COUNTIFS('Candidate Tracker'!$E:$E,'Positions Tracker'!$B548,'Candidate Tracker'!$C:$C,"Offer Drop")=0,"",COUNTIFS('Candidate Tracker'!$E:$E,'Positions Tracker'!$B548,'Candidate Tracker'!$C:$C,"Offer Drop")),"")</f>
        <v/>
      </c>
      <c r="AZ5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8" s="34" t="str">
        <f>IFERROR(IF(COUNTIFS('Candidate Tracker'!$E:$E,'Positions Tracker'!$B548,'Candidate Tracker'!$I:$I,"Female")=0,"",COUNTIFS('Candidate Tracker'!$E:$E,'Positions Tracker'!$B548,'Candidate Tracker'!$I:$I,"Female")),"")</f>
        <v/>
      </c>
      <c r="BB548" s="34" t="str">
        <f>IFERROR(IF(COUNTIFS('Candidate Tracker'!$E:$E,'Positions Tracker'!$B548,'Candidate Tracker'!$I:$I,"male")=0,"",COUNTIFS('Candidate Tracker'!$E:$E,'Positions Tracker'!$B548,'Candidate Tracker'!$I:$I,"male")),"")</f>
        <v/>
      </c>
      <c r="BC548" s="33" t="str">
        <f>IFERROR(IF(COUNTIFS('Candidate Tracker'!$E:$E,'Positions Tracker'!$B548,'Candidate Tracker'!$C:$C,"&lt;&gt;WIP",'Candidate Tracker'!$C:$C,"&lt;&gt;Hold",'Candidate Tracker'!$C:$C,"&lt;&gt;Cancelled",'Candidate Tracker'!$C:$C,"&lt;&gt;Closed")/COUNTIFS('Candidate Tracker'!$E:$E,'Positions Tracker'!$B548)=0,"",COUNTIFS('Candidate Tracker'!$E:$E,'Positions Tracker'!$B548,'Candidate Tracker'!$C:$C,"&lt;&gt;WIP",'Candidate Tracker'!$C:$C,"&lt;&gt;Hold",'Candidate Tracker'!$C:$C,"&lt;&gt;Cancelled",'Candidate Tracker'!$C:$C,"&lt;&gt;Closed")/COUNTIFS('Candidate Tracker'!$E:$E,'Positions Tracker'!$B548)),"")</f>
        <v/>
      </c>
      <c r="BD548" s="30" t="str">
        <f t="shared" si="63"/>
        <v/>
      </c>
      <c r="BE548" s="30" t="str">
        <f t="shared" si="64"/>
        <v/>
      </c>
      <c r="BF548" s="30" t="str">
        <f t="shared" si="65"/>
        <v/>
      </c>
      <c r="BG548" s="30" t="str">
        <f t="shared" si="66"/>
        <v/>
      </c>
    </row>
    <row r="549" spans="1:59">
      <c r="A549" s="39"/>
      <c r="B549" s="39"/>
      <c r="C549" s="39"/>
      <c r="D549" s="39"/>
      <c r="E549" s="39"/>
      <c r="F549" s="39"/>
      <c r="G549" s="39"/>
      <c r="H549" s="39"/>
      <c r="I549" s="40"/>
      <c r="J549" s="40"/>
      <c r="K549" s="35"/>
      <c r="L549" s="35"/>
      <c r="M549" s="35"/>
      <c r="N549" s="39"/>
      <c r="O549" s="39"/>
      <c r="P549" s="39"/>
      <c r="Q549" s="39"/>
      <c r="R549" s="39"/>
      <c r="S549" s="39"/>
      <c r="T549" s="39"/>
      <c r="U549" s="39"/>
      <c r="V549" s="39"/>
      <c r="W549" s="39"/>
      <c r="X549" s="39"/>
      <c r="Y549" s="39"/>
      <c r="Z549" s="39"/>
      <c r="AA549" s="39"/>
      <c r="AB549" s="39"/>
      <c r="AC549" s="39"/>
      <c r="AD549" s="39"/>
      <c r="AE549" s="39"/>
      <c r="AF549" s="39"/>
      <c r="AG549" s="39"/>
      <c r="AH549" s="39"/>
      <c r="AI549" s="35"/>
      <c r="AJ549" s="39"/>
      <c r="AK549" s="39"/>
      <c r="AL549" s="39"/>
      <c r="AM549" s="35"/>
      <c r="AN549" s="35"/>
      <c r="AO549" s="39"/>
      <c r="AP549" s="39"/>
      <c r="AQ549" s="35"/>
      <c r="AR549" s="35"/>
      <c r="AS549" s="35"/>
      <c r="AT549" s="30">
        <f t="shared" ca="1" si="62"/>
        <v>0</v>
      </c>
      <c r="AU549" s="32" t="str">
        <f t="shared" ca="1" si="61"/>
        <v/>
      </c>
      <c r="AV549" s="32" t="str" cm="1">
        <f t="array" aca="1" ref="AV549" ca="1">IFERROR(_xlfn.IFS($AU549="","",$AU549&lt;=15,"0-15",AND($AU549&gt;=16,$AU549&lt;=30),"16-30",AND($AU549&gt;=31,$AU549&lt;=45),"31-45",AND($AU549&gt;=46,$AU549&lt;=60),"46-60",AND($AU549&gt;=61,$AU549&lt;=90),"61-90",AND($AU549&gt;=91),"&gt; 90",AND($AU549&gt;=2000),""),"")</f>
        <v/>
      </c>
      <c r="AW549" s="32" t="str" cm="1">
        <f t="array" aca="1" ref="AW549" ca="1">IFERROR(_xlfn.IFS(OR($M549="",$AM549=""),"",OR($C549="Offered",$C549="Joined"),($AM549-$M549)-$AT549),"")</f>
        <v/>
      </c>
      <c r="AX549" s="32" t="str" cm="1">
        <f t="array" aca="1" ref="AX549" ca="1">IFERROR(_xlfn.IFS(OR($M549="",$AS549=""),"",$C549="Joined",($AS549-$M549)-$AT549),"")</f>
        <v/>
      </c>
      <c r="AY549" s="30" t="str">
        <f>IFERROR(IF(COUNTIFS('Candidate Tracker'!$E:$E,'Positions Tracker'!$B549,'Candidate Tracker'!$C:$C,"Offer Drop")=0,"",COUNTIFS('Candidate Tracker'!$E:$E,'Positions Tracker'!$B549,'Candidate Tracker'!$C:$C,"Offer Drop")),"")</f>
        <v/>
      </c>
      <c r="AZ54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49" s="34" t="str">
        <f>IFERROR(IF(COUNTIFS('Candidate Tracker'!$E:$E,'Positions Tracker'!$B549,'Candidate Tracker'!$I:$I,"Female")=0,"",COUNTIFS('Candidate Tracker'!$E:$E,'Positions Tracker'!$B549,'Candidate Tracker'!$I:$I,"Female")),"")</f>
        <v/>
      </c>
      <c r="BB549" s="34" t="str">
        <f>IFERROR(IF(COUNTIFS('Candidate Tracker'!$E:$E,'Positions Tracker'!$B549,'Candidate Tracker'!$I:$I,"male")=0,"",COUNTIFS('Candidate Tracker'!$E:$E,'Positions Tracker'!$B549,'Candidate Tracker'!$I:$I,"male")),"")</f>
        <v/>
      </c>
      <c r="BC549" s="33" t="str">
        <f>IFERROR(IF(COUNTIFS('Candidate Tracker'!$E:$E,'Positions Tracker'!$B549,'Candidate Tracker'!$C:$C,"&lt;&gt;WIP",'Candidate Tracker'!$C:$C,"&lt;&gt;Hold",'Candidate Tracker'!$C:$C,"&lt;&gt;Cancelled",'Candidate Tracker'!$C:$C,"&lt;&gt;Closed")/COUNTIFS('Candidate Tracker'!$E:$E,'Positions Tracker'!$B549)=0,"",COUNTIFS('Candidate Tracker'!$E:$E,'Positions Tracker'!$B549,'Candidate Tracker'!$C:$C,"&lt;&gt;WIP",'Candidate Tracker'!$C:$C,"&lt;&gt;Hold",'Candidate Tracker'!$C:$C,"&lt;&gt;Cancelled",'Candidate Tracker'!$C:$C,"&lt;&gt;Closed")/COUNTIFS('Candidate Tracker'!$E:$E,'Positions Tracker'!$B549)),"")</f>
        <v/>
      </c>
      <c r="BD549" s="30" t="str">
        <f t="shared" si="63"/>
        <v/>
      </c>
      <c r="BE549" s="30" t="str">
        <f t="shared" si="64"/>
        <v/>
      </c>
      <c r="BF549" s="30" t="str">
        <f t="shared" si="65"/>
        <v/>
      </c>
      <c r="BG549" s="30" t="str">
        <f t="shared" si="66"/>
        <v/>
      </c>
    </row>
    <row r="550" spans="1:59">
      <c r="A550" s="39"/>
      <c r="B550" s="39"/>
      <c r="C550" s="39"/>
      <c r="D550" s="39"/>
      <c r="E550" s="39"/>
      <c r="F550" s="39"/>
      <c r="G550" s="39"/>
      <c r="H550" s="39"/>
      <c r="I550" s="40"/>
      <c r="J550" s="40"/>
      <c r="K550" s="35"/>
      <c r="L550" s="35"/>
      <c r="M550" s="35"/>
      <c r="N550" s="39"/>
      <c r="O550" s="39"/>
      <c r="P550" s="39"/>
      <c r="Q550" s="39"/>
      <c r="R550" s="39"/>
      <c r="S550" s="39"/>
      <c r="T550" s="39"/>
      <c r="U550" s="39"/>
      <c r="V550" s="39"/>
      <c r="W550" s="39"/>
      <c r="X550" s="39"/>
      <c r="Y550" s="39"/>
      <c r="Z550" s="39"/>
      <c r="AA550" s="39"/>
      <c r="AB550" s="39"/>
      <c r="AC550" s="39"/>
      <c r="AD550" s="39"/>
      <c r="AE550" s="39"/>
      <c r="AF550" s="39"/>
      <c r="AG550" s="39"/>
      <c r="AH550" s="39"/>
      <c r="AI550" s="35"/>
      <c r="AJ550" s="39"/>
      <c r="AK550" s="39"/>
      <c r="AL550" s="39"/>
      <c r="AM550" s="35"/>
      <c r="AN550" s="35"/>
      <c r="AO550" s="39"/>
      <c r="AP550" s="39"/>
      <c r="AQ550" s="35"/>
      <c r="AR550" s="35"/>
      <c r="AS550" s="35"/>
      <c r="AT550" s="30">
        <f t="shared" ca="1" si="62"/>
        <v>0</v>
      </c>
      <c r="AU550" s="32" t="str">
        <f t="shared" ca="1" si="61"/>
        <v/>
      </c>
      <c r="AV550" s="32" t="str" cm="1">
        <f t="array" aca="1" ref="AV550" ca="1">IFERROR(_xlfn.IFS($AU550="","",$AU550&lt;=15,"0-15",AND($AU550&gt;=16,$AU550&lt;=30),"16-30",AND($AU550&gt;=31,$AU550&lt;=45),"31-45",AND($AU550&gt;=46,$AU550&lt;=60),"46-60",AND($AU550&gt;=61,$AU550&lt;=90),"61-90",AND($AU550&gt;=91),"&gt; 90",AND($AU550&gt;=2000),""),"")</f>
        <v/>
      </c>
      <c r="AW550" s="32" t="str" cm="1">
        <f t="array" aca="1" ref="AW550" ca="1">IFERROR(_xlfn.IFS(OR($M550="",$AM550=""),"",OR($C550="Offered",$C550="Joined"),($AM550-$M550)-$AT550),"")</f>
        <v/>
      </c>
      <c r="AX550" s="32" t="str" cm="1">
        <f t="array" aca="1" ref="AX550" ca="1">IFERROR(_xlfn.IFS(OR($M550="",$AS550=""),"",$C550="Joined",($AS550-$M550)-$AT550),"")</f>
        <v/>
      </c>
      <c r="AY550" s="30" t="str">
        <f>IFERROR(IF(COUNTIFS('Candidate Tracker'!$E:$E,'Positions Tracker'!$B550,'Candidate Tracker'!$C:$C,"Offer Drop")=0,"",COUNTIFS('Candidate Tracker'!$E:$E,'Positions Tracker'!$B550,'Candidate Tracker'!$C:$C,"Offer Drop")),"")</f>
        <v/>
      </c>
      <c r="AZ55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0" s="34" t="str">
        <f>IFERROR(IF(COUNTIFS('Candidate Tracker'!$E:$E,'Positions Tracker'!$B550,'Candidate Tracker'!$I:$I,"Female")=0,"",COUNTIFS('Candidate Tracker'!$E:$E,'Positions Tracker'!$B550,'Candidate Tracker'!$I:$I,"Female")),"")</f>
        <v/>
      </c>
      <c r="BB550" s="34" t="str">
        <f>IFERROR(IF(COUNTIFS('Candidate Tracker'!$E:$E,'Positions Tracker'!$B550,'Candidate Tracker'!$I:$I,"male")=0,"",COUNTIFS('Candidate Tracker'!$E:$E,'Positions Tracker'!$B550,'Candidate Tracker'!$I:$I,"male")),"")</f>
        <v/>
      </c>
      <c r="BC550" s="33" t="str">
        <f>IFERROR(IF(COUNTIFS('Candidate Tracker'!$E:$E,'Positions Tracker'!$B550,'Candidate Tracker'!$C:$C,"&lt;&gt;WIP",'Candidate Tracker'!$C:$C,"&lt;&gt;Hold",'Candidate Tracker'!$C:$C,"&lt;&gt;Cancelled",'Candidate Tracker'!$C:$C,"&lt;&gt;Closed")/COUNTIFS('Candidate Tracker'!$E:$E,'Positions Tracker'!$B550)=0,"",COUNTIFS('Candidate Tracker'!$E:$E,'Positions Tracker'!$B550,'Candidate Tracker'!$C:$C,"&lt;&gt;WIP",'Candidate Tracker'!$C:$C,"&lt;&gt;Hold",'Candidate Tracker'!$C:$C,"&lt;&gt;Cancelled",'Candidate Tracker'!$C:$C,"&lt;&gt;Closed")/COUNTIFS('Candidate Tracker'!$E:$E,'Positions Tracker'!$B550)),"")</f>
        <v/>
      </c>
      <c r="BD550" s="30" t="str">
        <f t="shared" si="63"/>
        <v/>
      </c>
      <c r="BE550" s="30" t="str">
        <f t="shared" si="64"/>
        <v/>
      </c>
      <c r="BF550" s="30" t="str">
        <f t="shared" si="65"/>
        <v/>
      </c>
      <c r="BG550" s="30" t="str">
        <f t="shared" si="66"/>
        <v/>
      </c>
    </row>
    <row r="551" spans="1:59">
      <c r="A551" s="39"/>
      <c r="B551" s="39"/>
      <c r="C551" s="39"/>
      <c r="D551" s="39"/>
      <c r="E551" s="39"/>
      <c r="F551" s="39"/>
      <c r="G551" s="39"/>
      <c r="H551" s="39"/>
      <c r="I551" s="40"/>
      <c r="J551" s="40"/>
      <c r="K551" s="35"/>
      <c r="L551" s="35"/>
      <c r="M551" s="35"/>
      <c r="N551" s="39"/>
      <c r="O551" s="39"/>
      <c r="P551" s="39"/>
      <c r="Q551" s="39"/>
      <c r="R551" s="39"/>
      <c r="S551" s="39"/>
      <c r="T551" s="39"/>
      <c r="U551" s="39"/>
      <c r="V551" s="39"/>
      <c r="W551" s="39"/>
      <c r="X551" s="39"/>
      <c r="Y551" s="39"/>
      <c r="Z551" s="39"/>
      <c r="AA551" s="39"/>
      <c r="AB551" s="39"/>
      <c r="AC551" s="39"/>
      <c r="AD551" s="39"/>
      <c r="AE551" s="39"/>
      <c r="AF551" s="39"/>
      <c r="AG551" s="39"/>
      <c r="AH551" s="39"/>
      <c r="AI551" s="35"/>
      <c r="AJ551" s="39"/>
      <c r="AK551" s="39"/>
      <c r="AL551" s="39"/>
      <c r="AM551" s="35"/>
      <c r="AN551" s="35"/>
      <c r="AO551" s="39"/>
      <c r="AP551" s="39"/>
      <c r="AQ551" s="35"/>
      <c r="AR551" s="35"/>
      <c r="AS551" s="35"/>
      <c r="AT551" s="30">
        <f t="shared" ca="1" si="62"/>
        <v>0</v>
      </c>
      <c r="AU551" s="32" t="str">
        <f t="shared" ca="1" si="61"/>
        <v/>
      </c>
      <c r="AV551" s="32" t="str" cm="1">
        <f t="array" aca="1" ref="AV551" ca="1">IFERROR(_xlfn.IFS($AU551="","",$AU551&lt;=15,"0-15",AND($AU551&gt;=16,$AU551&lt;=30),"16-30",AND($AU551&gt;=31,$AU551&lt;=45),"31-45",AND($AU551&gt;=46,$AU551&lt;=60),"46-60",AND($AU551&gt;=61,$AU551&lt;=90),"61-90",AND($AU551&gt;=91),"&gt; 90",AND($AU551&gt;=2000),""),"")</f>
        <v/>
      </c>
      <c r="AW551" s="32" t="str" cm="1">
        <f t="array" aca="1" ref="AW551" ca="1">IFERROR(_xlfn.IFS(OR($M551="",$AM551=""),"",OR($C551="Offered",$C551="Joined"),($AM551-$M551)-$AT551),"")</f>
        <v/>
      </c>
      <c r="AX551" s="32" t="str" cm="1">
        <f t="array" aca="1" ref="AX551" ca="1">IFERROR(_xlfn.IFS(OR($M551="",$AS551=""),"",$C551="Joined",($AS551-$M551)-$AT551),"")</f>
        <v/>
      </c>
      <c r="AY551" s="30" t="str">
        <f>IFERROR(IF(COUNTIFS('Candidate Tracker'!$E:$E,'Positions Tracker'!$B551,'Candidate Tracker'!$C:$C,"Offer Drop")=0,"",COUNTIFS('Candidate Tracker'!$E:$E,'Positions Tracker'!$B551,'Candidate Tracker'!$C:$C,"Offer Drop")),"")</f>
        <v/>
      </c>
      <c r="AZ5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1" s="34" t="str">
        <f>IFERROR(IF(COUNTIFS('Candidate Tracker'!$E:$E,'Positions Tracker'!$B551,'Candidate Tracker'!$I:$I,"Female")=0,"",COUNTIFS('Candidate Tracker'!$E:$E,'Positions Tracker'!$B551,'Candidate Tracker'!$I:$I,"Female")),"")</f>
        <v/>
      </c>
      <c r="BB551" s="34" t="str">
        <f>IFERROR(IF(COUNTIFS('Candidate Tracker'!$E:$E,'Positions Tracker'!$B551,'Candidate Tracker'!$I:$I,"male")=0,"",COUNTIFS('Candidate Tracker'!$E:$E,'Positions Tracker'!$B551,'Candidate Tracker'!$I:$I,"male")),"")</f>
        <v/>
      </c>
      <c r="BC551" s="33" t="str">
        <f>IFERROR(IF(COUNTIFS('Candidate Tracker'!$E:$E,'Positions Tracker'!$B551,'Candidate Tracker'!$C:$C,"&lt;&gt;WIP",'Candidate Tracker'!$C:$C,"&lt;&gt;Hold",'Candidate Tracker'!$C:$C,"&lt;&gt;Cancelled",'Candidate Tracker'!$C:$C,"&lt;&gt;Closed")/COUNTIFS('Candidate Tracker'!$E:$E,'Positions Tracker'!$B551)=0,"",COUNTIFS('Candidate Tracker'!$E:$E,'Positions Tracker'!$B551,'Candidate Tracker'!$C:$C,"&lt;&gt;WIP",'Candidate Tracker'!$C:$C,"&lt;&gt;Hold",'Candidate Tracker'!$C:$C,"&lt;&gt;Cancelled",'Candidate Tracker'!$C:$C,"&lt;&gt;Closed")/COUNTIFS('Candidate Tracker'!$E:$E,'Positions Tracker'!$B551)),"")</f>
        <v/>
      </c>
      <c r="BD551" s="30" t="str">
        <f t="shared" si="63"/>
        <v/>
      </c>
      <c r="BE551" s="30" t="str">
        <f t="shared" si="64"/>
        <v/>
      </c>
      <c r="BF551" s="30" t="str">
        <f t="shared" si="65"/>
        <v/>
      </c>
      <c r="BG551" s="30" t="str">
        <f t="shared" si="66"/>
        <v/>
      </c>
    </row>
    <row r="552" spans="1:59">
      <c r="A552" s="39"/>
      <c r="B552" s="39"/>
      <c r="C552" s="39"/>
      <c r="D552" s="39"/>
      <c r="E552" s="39"/>
      <c r="F552" s="39"/>
      <c r="G552" s="39"/>
      <c r="H552" s="39"/>
      <c r="I552" s="40"/>
      <c r="J552" s="40"/>
      <c r="K552" s="35"/>
      <c r="L552" s="35"/>
      <c r="M552" s="35"/>
      <c r="N552" s="39"/>
      <c r="O552" s="39"/>
      <c r="P552" s="39"/>
      <c r="Q552" s="39"/>
      <c r="R552" s="39"/>
      <c r="S552" s="39"/>
      <c r="T552" s="39"/>
      <c r="U552" s="39"/>
      <c r="V552" s="39"/>
      <c r="W552" s="39"/>
      <c r="X552" s="39"/>
      <c r="Y552" s="39"/>
      <c r="Z552" s="39"/>
      <c r="AA552" s="39"/>
      <c r="AB552" s="39"/>
      <c r="AC552" s="39"/>
      <c r="AD552" s="39"/>
      <c r="AE552" s="39"/>
      <c r="AF552" s="39"/>
      <c r="AG552" s="39"/>
      <c r="AH552" s="39"/>
      <c r="AI552" s="35"/>
      <c r="AJ552" s="39"/>
      <c r="AK552" s="39"/>
      <c r="AL552" s="39"/>
      <c r="AM552" s="35"/>
      <c r="AN552" s="35"/>
      <c r="AO552" s="39"/>
      <c r="AP552" s="39"/>
      <c r="AQ552" s="35"/>
      <c r="AR552" s="35"/>
      <c r="AS552" s="35"/>
      <c r="AT552" s="30">
        <f t="shared" ca="1" si="62"/>
        <v>0</v>
      </c>
      <c r="AU552" s="32" t="str">
        <f t="shared" ca="1" si="61"/>
        <v/>
      </c>
      <c r="AV552" s="32" t="str" cm="1">
        <f t="array" aca="1" ref="AV552" ca="1">IFERROR(_xlfn.IFS($AU552="","",$AU552&lt;=15,"0-15",AND($AU552&gt;=16,$AU552&lt;=30),"16-30",AND($AU552&gt;=31,$AU552&lt;=45),"31-45",AND($AU552&gt;=46,$AU552&lt;=60),"46-60",AND($AU552&gt;=61,$AU552&lt;=90),"61-90",AND($AU552&gt;=91),"&gt; 90",AND($AU552&gt;=2000),""),"")</f>
        <v/>
      </c>
      <c r="AW552" s="32" t="str" cm="1">
        <f t="array" aca="1" ref="AW552" ca="1">IFERROR(_xlfn.IFS(OR($M552="",$AM552=""),"",OR($C552="Offered",$C552="Joined"),($AM552-$M552)-$AT552),"")</f>
        <v/>
      </c>
      <c r="AX552" s="32" t="str" cm="1">
        <f t="array" aca="1" ref="AX552" ca="1">IFERROR(_xlfn.IFS(OR($M552="",$AS552=""),"",$C552="Joined",($AS552-$M552)-$AT552),"")</f>
        <v/>
      </c>
      <c r="AY552" s="30" t="str">
        <f>IFERROR(IF(COUNTIFS('Candidate Tracker'!$E:$E,'Positions Tracker'!$B552,'Candidate Tracker'!$C:$C,"Offer Drop")=0,"",COUNTIFS('Candidate Tracker'!$E:$E,'Positions Tracker'!$B552,'Candidate Tracker'!$C:$C,"Offer Drop")),"")</f>
        <v/>
      </c>
      <c r="AZ55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2" s="34" t="str">
        <f>IFERROR(IF(COUNTIFS('Candidate Tracker'!$E:$E,'Positions Tracker'!$B552,'Candidate Tracker'!$I:$I,"Female")=0,"",COUNTIFS('Candidate Tracker'!$E:$E,'Positions Tracker'!$B552,'Candidate Tracker'!$I:$I,"Female")),"")</f>
        <v/>
      </c>
      <c r="BB552" s="34" t="str">
        <f>IFERROR(IF(COUNTIFS('Candidate Tracker'!$E:$E,'Positions Tracker'!$B552,'Candidate Tracker'!$I:$I,"male")=0,"",COUNTIFS('Candidate Tracker'!$E:$E,'Positions Tracker'!$B552,'Candidate Tracker'!$I:$I,"male")),"")</f>
        <v/>
      </c>
      <c r="BC552" s="33" t="str">
        <f>IFERROR(IF(COUNTIFS('Candidate Tracker'!$E:$E,'Positions Tracker'!$B552,'Candidate Tracker'!$C:$C,"&lt;&gt;WIP",'Candidate Tracker'!$C:$C,"&lt;&gt;Hold",'Candidate Tracker'!$C:$C,"&lt;&gt;Cancelled",'Candidate Tracker'!$C:$C,"&lt;&gt;Closed")/COUNTIFS('Candidate Tracker'!$E:$E,'Positions Tracker'!$B552)=0,"",COUNTIFS('Candidate Tracker'!$E:$E,'Positions Tracker'!$B552,'Candidate Tracker'!$C:$C,"&lt;&gt;WIP",'Candidate Tracker'!$C:$C,"&lt;&gt;Hold",'Candidate Tracker'!$C:$C,"&lt;&gt;Cancelled",'Candidate Tracker'!$C:$C,"&lt;&gt;Closed")/COUNTIFS('Candidate Tracker'!$E:$E,'Positions Tracker'!$B552)),"")</f>
        <v/>
      </c>
      <c r="BD552" s="30" t="str">
        <f t="shared" si="63"/>
        <v/>
      </c>
      <c r="BE552" s="30" t="str">
        <f t="shared" si="64"/>
        <v/>
      </c>
      <c r="BF552" s="30" t="str">
        <f t="shared" si="65"/>
        <v/>
      </c>
      <c r="BG552" s="30" t="str">
        <f t="shared" si="66"/>
        <v/>
      </c>
    </row>
    <row r="553" spans="1:59">
      <c r="A553" s="39"/>
      <c r="B553" s="39"/>
      <c r="C553" s="39"/>
      <c r="D553" s="39"/>
      <c r="E553" s="39"/>
      <c r="F553" s="39"/>
      <c r="G553" s="39"/>
      <c r="H553" s="39"/>
      <c r="I553" s="40"/>
      <c r="J553" s="40"/>
      <c r="K553" s="35"/>
      <c r="L553" s="35"/>
      <c r="M553" s="35"/>
      <c r="N553" s="39"/>
      <c r="O553" s="39"/>
      <c r="P553" s="39"/>
      <c r="Q553" s="39"/>
      <c r="R553" s="39"/>
      <c r="S553" s="39"/>
      <c r="T553" s="39"/>
      <c r="U553" s="39"/>
      <c r="V553" s="39"/>
      <c r="W553" s="39"/>
      <c r="X553" s="39"/>
      <c r="Y553" s="39"/>
      <c r="Z553" s="39"/>
      <c r="AA553" s="39"/>
      <c r="AB553" s="39"/>
      <c r="AC553" s="39"/>
      <c r="AD553" s="39"/>
      <c r="AE553" s="39"/>
      <c r="AF553" s="39"/>
      <c r="AG553" s="39"/>
      <c r="AH553" s="39"/>
      <c r="AI553" s="35"/>
      <c r="AJ553" s="39"/>
      <c r="AK553" s="39"/>
      <c r="AL553" s="39"/>
      <c r="AM553" s="35"/>
      <c r="AN553" s="35"/>
      <c r="AO553" s="39"/>
      <c r="AP553" s="39"/>
      <c r="AQ553" s="35"/>
      <c r="AR553" s="35"/>
      <c r="AS553" s="35"/>
      <c r="AT553" s="30">
        <f t="shared" ca="1" si="62"/>
        <v>0</v>
      </c>
      <c r="AU553" s="32" t="str">
        <f t="shared" ca="1" si="61"/>
        <v/>
      </c>
      <c r="AV553" s="32" t="str" cm="1">
        <f t="array" aca="1" ref="AV553" ca="1">IFERROR(_xlfn.IFS($AU553="","",$AU553&lt;=15,"0-15",AND($AU553&gt;=16,$AU553&lt;=30),"16-30",AND($AU553&gt;=31,$AU553&lt;=45),"31-45",AND($AU553&gt;=46,$AU553&lt;=60),"46-60",AND($AU553&gt;=61,$AU553&lt;=90),"61-90",AND($AU553&gt;=91),"&gt; 90",AND($AU553&gt;=2000),""),"")</f>
        <v/>
      </c>
      <c r="AW553" s="32" t="str" cm="1">
        <f t="array" aca="1" ref="AW553" ca="1">IFERROR(_xlfn.IFS(OR($M553="",$AM553=""),"",OR($C553="Offered",$C553="Joined"),($AM553-$M553)-$AT553),"")</f>
        <v/>
      </c>
      <c r="AX553" s="32" t="str" cm="1">
        <f t="array" aca="1" ref="AX553" ca="1">IFERROR(_xlfn.IFS(OR($M553="",$AS553=""),"",$C553="Joined",($AS553-$M553)-$AT553),"")</f>
        <v/>
      </c>
      <c r="AY553" s="30" t="str">
        <f>IFERROR(IF(COUNTIFS('Candidate Tracker'!$E:$E,'Positions Tracker'!$B553,'Candidate Tracker'!$C:$C,"Offer Drop")=0,"",COUNTIFS('Candidate Tracker'!$E:$E,'Positions Tracker'!$B553,'Candidate Tracker'!$C:$C,"Offer Drop")),"")</f>
        <v/>
      </c>
      <c r="AZ55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3" s="34" t="str">
        <f>IFERROR(IF(COUNTIFS('Candidate Tracker'!$E:$E,'Positions Tracker'!$B553,'Candidate Tracker'!$I:$I,"Female")=0,"",COUNTIFS('Candidate Tracker'!$E:$E,'Positions Tracker'!$B553,'Candidate Tracker'!$I:$I,"Female")),"")</f>
        <v/>
      </c>
      <c r="BB553" s="34" t="str">
        <f>IFERROR(IF(COUNTIFS('Candidate Tracker'!$E:$E,'Positions Tracker'!$B553,'Candidate Tracker'!$I:$I,"male")=0,"",COUNTIFS('Candidate Tracker'!$E:$E,'Positions Tracker'!$B553,'Candidate Tracker'!$I:$I,"male")),"")</f>
        <v/>
      </c>
      <c r="BC553" s="33" t="str">
        <f>IFERROR(IF(COUNTIFS('Candidate Tracker'!$E:$E,'Positions Tracker'!$B553,'Candidate Tracker'!$C:$C,"&lt;&gt;WIP",'Candidate Tracker'!$C:$C,"&lt;&gt;Hold",'Candidate Tracker'!$C:$C,"&lt;&gt;Cancelled",'Candidate Tracker'!$C:$C,"&lt;&gt;Closed")/COUNTIFS('Candidate Tracker'!$E:$E,'Positions Tracker'!$B553)=0,"",COUNTIFS('Candidate Tracker'!$E:$E,'Positions Tracker'!$B553,'Candidate Tracker'!$C:$C,"&lt;&gt;WIP",'Candidate Tracker'!$C:$C,"&lt;&gt;Hold",'Candidate Tracker'!$C:$C,"&lt;&gt;Cancelled",'Candidate Tracker'!$C:$C,"&lt;&gt;Closed")/COUNTIFS('Candidate Tracker'!$E:$E,'Positions Tracker'!$B553)),"")</f>
        <v/>
      </c>
      <c r="BD553" s="30" t="str">
        <f t="shared" si="63"/>
        <v/>
      </c>
      <c r="BE553" s="30" t="str">
        <f t="shared" si="64"/>
        <v/>
      </c>
      <c r="BF553" s="30" t="str">
        <f t="shared" si="65"/>
        <v/>
      </c>
      <c r="BG553" s="30" t="str">
        <f t="shared" si="66"/>
        <v/>
      </c>
    </row>
    <row r="554" spans="1:59">
      <c r="A554" s="39"/>
      <c r="B554" s="39"/>
      <c r="C554" s="39"/>
      <c r="D554" s="39"/>
      <c r="E554" s="39"/>
      <c r="F554" s="39"/>
      <c r="G554" s="39"/>
      <c r="H554" s="39"/>
      <c r="I554" s="40"/>
      <c r="J554" s="40"/>
      <c r="K554" s="35"/>
      <c r="L554" s="35"/>
      <c r="M554" s="35"/>
      <c r="N554" s="39"/>
      <c r="O554" s="39"/>
      <c r="P554" s="39"/>
      <c r="Q554" s="39"/>
      <c r="R554" s="39"/>
      <c r="S554" s="39"/>
      <c r="T554" s="39"/>
      <c r="U554" s="39"/>
      <c r="V554" s="39"/>
      <c r="W554" s="39"/>
      <c r="X554" s="39"/>
      <c r="Y554" s="39"/>
      <c r="Z554" s="39"/>
      <c r="AA554" s="39"/>
      <c r="AB554" s="39"/>
      <c r="AC554" s="39"/>
      <c r="AD554" s="39"/>
      <c r="AE554" s="39"/>
      <c r="AF554" s="39"/>
      <c r="AG554" s="39"/>
      <c r="AH554" s="39"/>
      <c r="AI554" s="35"/>
      <c r="AJ554" s="39"/>
      <c r="AK554" s="39"/>
      <c r="AL554" s="39"/>
      <c r="AM554" s="35"/>
      <c r="AN554" s="35"/>
      <c r="AO554" s="39"/>
      <c r="AP554" s="39"/>
      <c r="AQ554" s="35"/>
      <c r="AR554" s="35"/>
      <c r="AS554" s="35"/>
      <c r="AT554" s="30">
        <f t="shared" ca="1" si="62"/>
        <v>0</v>
      </c>
      <c r="AU554" s="32" t="str">
        <f t="shared" ca="1" si="61"/>
        <v/>
      </c>
      <c r="AV554" s="32" t="str" cm="1">
        <f t="array" aca="1" ref="AV554" ca="1">IFERROR(_xlfn.IFS($AU554="","",$AU554&lt;=15,"0-15",AND($AU554&gt;=16,$AU554&lt;=30),"16-30",AND($AU554&gt;=31,$AU554&lt;=45),"31-45",AND($AU554&gt;=46,$AU554&lt;=60),"46-60",AND($AU554&gt;=61,$AU554&lt;=90),"61-90",AND($AU554&gt;=91),"&gt; 90",AND($AU554&gt;=2000),""),"")</f>
        <v/>
      </c>
      <c r="AW554" s="32" t="str" cm="1">
        <f t="array" aca="1" ref="AW554" ca="1">IFERROR(_xlfn.IFS(OR($M554="",$AM554=""),"",OR($C554="Offered",$C554="Joined"),($AM554-$M554)-$AT554),"")</f>
        <v/>
      </c>
      <c r="AX554" s="32" t="str" cm="1">
        <f t="array" aca="1" ref="AX554" ca="1">IFERROR(_xlfn.IFS(OR($M554="",$AS554=""),"",$C554="Joined",($AS554-$M554)-$AT554),"")</f>
        <v/>
      </c>
      <c r="AY554" s="30" t="str">
        <f>IFERROR(IF(COUNTIFS('Candidate Tracker'!$E:$E,'Positions Tracker'!$B554,'Candidate Tracker'!$C:$C,"Offer Drop")=0,"",COUNTIFS('Candidate Tracker'!$E:$E,'Positions Tracker'!$B554,'Candidate Tracker'!$C:$C,"Offer Drop")),"")</f>
        <v/>
      </c>
      <c r="AZ55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4" s="34" t="str">
        <f>IFERROR(IF(COUNTIFS('Candidate Tracker'!$E:$E,'Positions Tracker'!$B554,'Candidate Tracker'!$I:$I,"Female")=0,"",COUNTIFS('Candidate Tracker'!$E:$E,'Positions Tracker'!$B554,'Candidate Tracker'!$I:$I,"Female")),"")</f>
        <v/>
      </c>
      <c r="BB554" s="34" t="str">
        <f>IFERROR(IF(COUNTIFS('Candidate Tracker'!$E:$E,'Positions Tracker'!$B554,'Candidate Tracker'!$I:$I,"male")=0,"",COUNTIFS('Candidate Tracker'!$E:$E,'Positions Tracker'!$B554,'Candidate Tracker'!$I:$I,"male")),"")</f>
        <v/>
      </c>
      <c r="BC554" s="33" t="str">
        <f>IFERROR(IF(COUNTIFS('Candidate Tracker'!$E:$E,'Positions Tracker'!$B554,'Candidate Tracker'!$C:$C,"&lt;&gt;WIP",'Candidate Tracker'!$C:$C,"&lt;&gt;Hold",'Candidate Tracker'!$C:$C,"&lt;&gt;Cancelled",'Candidate Tracker'!$C:$C,"&lt;&gt;Closed")/COUNTIFS('Candidate Tracker'!$E:$E,'Positions Tracker'!$B554)=0,"",COUNTIFS('Candidate Tracker'!$E:$E,'Positions Tracker'!$B554,'Candidate Tracker'!$C:$C,"&lt;&gt;WIP",'Candidate Tracker'!$C:$C,"&lt;&gt;Hold",'Candidate Tracker'!$C:$C,"&lt;&gt;Cancelled",'Candidate Tracker'!$C:$C,"&lt;&gt;Closed")/COUNTIFS('Candidate Tracker'!$E:$E,'Positions Tracker'!$B554)),"")</f>
        <v/>
      </c>
      <c r="BD554" s="30" t="str">
        <f t="shared" si="63"/>
        <v/>
      </c>
      <c r="BE554" s="30" t="str">
        <f t="shared" si="64"/>
        <v/>
      </c>
      <c r="BF554" s="30" t="str">
        <f t="shared" si="65"/>
        <v/>
      </c>
      <c r="BG554" s="30" t="str">
        <f t="shared" si="66"/>
        <v/>
      </c>
    </row>
    <row r="555" spans="1:59">
      <c r="A555" s="39"/>
      <c r="B555" s="39"/>
      <c r="C555" s="39"/>
      <c r="D555" s="39"/>
      <c r="E555" s="39"/>
      <c r="F555" s="39"/>
      <c r="G555" s="39"/>
      <c r="H555" s="39"/>
      <c r="I555" s="40"/>
      <c r="J555" s="40"/>
      <c r="K555" s="35"/>
      <c r="L555" s="35"/>
      <c r="M555" s="35"/>
      <c r="N555" s="39"/>
      <c r="O555" s="39"/>
      <c r="P555" s="39"/>
      <c r="Q555" s="39"/>
      <c r="R555" s="39"/>
      <c r="S555" s="39"/>
      <c r="T555" s="39"/>
      <c r="U555" s="39"/>
      <c r="V555" s="39"/>
      <c r="W555" s="39"/>
      <c r="X555" s="39"/>
      <c r="Y555" s="39"/>
      <c r="Z555" s="39"/>
      <c r="AA555" s="39"/>
      <c r="AB555" s="39"/>
      <c r="AC555" s="39"/>
      <c r="AD555" s="39"/>
      <c r="AE555" s="39"/>
      <c r="AF555" s="39"/>
      <c r="AG555" s="39"/>
      <c r="AH555" s="39"/>
      <c r="AI555" s="35"/>
      <c r="AJ555" s="39"/>
      <c r="AK555" s="39"/>
      <c r="AL555" s="39"/>
      <c r="AM555" s="35"/>
      <c r="AN555" s="35"/>
      <c r="AO555" s="39"/>
      <c r="AP555" s="39"/>
      <c r="AQ555" s="35"/>
      <c r="AR555" s="35"/>
      <c r="AS555" s="35"/>
      <c r="AT555" s="30">
        <f t="shared" ca="1" si="62"/>
        <v>0</v>
      </c>
      <c r="AU555" s="32" t="str">
        <f t="shared" ca="1" si="61"/>
        <v/>
      </c>
      <c r="AV555" s="32" t="str" cm="1">
        <f t="array" aca="1" ref="AV555" ca="1">IFERROR(_xlfn.IFS($AU555="","",$AU555&lt;=15,"0-15",AND($AU555&gt;=16,$AU555&lt;=30),"16-30",AND($AU555&gt;=31,$AU555&lt;=45),"31-45",AND($AU555&gt;=46,$AU555&lt;=60),"46-60",AND($AU555&gt;=61,$AU555&lt;=90),"61-90",AND($AU555&gt;=91),"&gt; 90",AND($AU555&gt;=2000),""),"")</f>
        <v/>
      </c>
      <c r="AW555" s="32" t="str" cm="1">
        <f t="array" aca="1" ref="AW555" ca="1">IFERROR(_xlfn.IFS(OR($M555="",$AM555=""),"",OR($C555="Offered",$C555="Joined"),($AM555-$M555)-$AT555),"")</f>
        <v/>
      </c>
      <c r="AX555" s="32" t="str" cm="1">
        <f t="array" aca="1" ref="AX555" ca="1">IFERROR(_xlfn.IFS(OR($M555="",$AS555=""),"",$C555="Joined",($AS555-$M555)-$AT555),"")</f>
        <v/>
      </c>
      <c r="AY555" s="30" t="str">
        <f>IFERROR(IF(COUNTIFS('Candidate Tracker'!$E:$E,'Positions Tracker'!$B555,'Candidate Tracker'!$C:$C,"Offer Drop")=0,"",COUNTIFS('Candidate Tracker'!$E:$E,'Positions Tracker'!$B555,'Candidate Tracker'!$C:$C,"Offer Drop")),"")</f>
        <v/>
      </c>
      <c r="AZ55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5" s="34" t="str">
        <f>IFERROR(IF(COUNTIFS('Candidate Tracker'!$E:$E,'Positions Tracker'!$B555,'Candidate Tracker'!$I:$I,"Female")=0,"",COUNTIFS('Candidate Tracker'!$E:$E,'Positions Tracker'!$B555,'Candidate Tracker'!$I:$I,"Female")),"")</f>
        <v/>
      </c>
      <c r="BB555" s="34" t="str">
        <f>IFERROR(IF(COUNTIFS('Candidate Tracker'!$E:$E,'Positions Tracker'!$B555,'Candidate Tracker'!$I:$I,"male")=0,"",COUNTIFS('Candidate Tracker'!$E:$E,'Positions Tracker'!$B555,'Candidate Tracker'!$I:$I,"male")),"")</f>
        <v/>
      </c>
      <c r="BC555" s="33" t="str">
        <f>IFERROR(IF(COUNTIFS('Candidate Tracker'!$E:$E,'Positions Tracker'!$B555,'Candidate Tracker'!$C:$C,"&lt;&gt;WIP",'Candidate Tracker'!$C:$C,"&lt;&gt;Hold",'Candidate Tracker'!$C:$C,"&lt;&gt;Cancelled",'Candidate Tracker'!$C:$C,"&lt;&gt;Closed")/COUNTIFS('Candidate Tracker'!$E:$E,'Positions Tracker'!$B555)=0,"",COUNTIFS('Candidate Tracker'!$E:$E,'Positions Tracker'!$B555,'Candidate Tracker'!$C:$C,"&lt;&gt;WIP",'Candidate Tracker'!$C:$C,"&lt;&gt;Hold",'Candidate Tracker'!$C:$C,"&lt;&gt;Cancelled",'Candidate Tracker'!$C:$C,"&lt;&gt;Closed")/COUNTIFS('Candidate Tracker'!$E:$E,'Positions Tracker'!$B555)),"")</f>
        <v/>
      </c>
      <c r="BD555" s="30" t="str">
        <f t="shared" si="63"/>
        <v/>
      </c>
      <c r="BE555" s="30" t="str">
        <f t="shared" si="64"/>
        <v/>
      </c>
      <c r="BF555" s="30" t="str">
        <f t="shared" si="65"/>
        <v/>
      </c>
      <c r="BG555" s="30" t="str">
        <f t="shared" si="66"/>
        <v/>
      </c>
    </row>
    <row r="556" spans="1:59">
      <c r="A556" s="39"/>
      <c r="B556" s="39"/>
      <c r="C556" s="39"/>
      <c r="D556" s="39"/>
      <c r="E556" s="39"/>
      <c r="F556" s="39"/>
      <c r="G556" s="39"/>
      <c r="H556" s="39"/>
      <c r="I556" s="40"/>
      <c r="J556" s="40"/>
      <c r="K556" s="35"/>
      <c r="L556" s="35"/>
      <c r="M556" s="35"/>
      <c r="N556" s="39"/>
      <c r="O556" s="39"/>
      <c r="P556" s="39"/>
      <c r="Q556" s="39"/>
      <c r="R556" s="39"/>
      <c r="S556" s="39"/>
      <c r="T556" s="39"/>
      <c r="U556" s="39"/>
      <c r="V556" s="39"/>
      <c r="W556" s="39"/>
      <c r="X556" s="39"/>
      <c r="Y556" s="39"/>
      <c r="Z556" s="39"/>
      <c r="AA556" s="39"/>
      <c r="AB556" s="39"/>
      <c r="AC556" s="39"/>
      <c r="AD556" s="39"/>
      <c r="AE556" s="39"/>
      <c r="AF556" s="39"/>
      <c r="AG556" s="39"/>
      <c r="AH556" s="39"/>
      <c r="AI556" s="35"/>
      <c r="AJ556" s="39"/>
      <c r="AK556" s="39"/>
      <c r="AL556" s="39"/>
      <c r="AM556" s="35"/>
      <c r="AN556" s="35"/>
      <c r="AO556" s="39"/>
      <c r="AP556" s="39"/>
      <c r="AQ556" s="35"/>
      <c r="AR556" s="35"/>
      <c r="AS556" s="35"/>
      <c r="AT556" s="30">
        <f t="shared" ca="1" si="62"/>
        <v>0</v>
      </c>
      <c r="AU556" s="32" t="str">
        <f t="shared" ca="1" si="61"/>
        <v/>
      </c>
      <c r="AV556" s="32" t="str" cm="1">
        <f t="array" aca="1" ref="AV556" ca="1">IFERROR(_xlfn.IFS($AU556="","",$AU556&lt;=15,"0-15",AND($AU556&gt;=16,$AU556&lt;=30),"16-30",AND($AU556&gt;=31,$AU556&lt;=45),"31-45",AND($AU556&gt;=46,$AU556&lt;=60),"46-60",AND($AU556&gt;=61,$AU556&lt;=90),"61-90",AND($AU556&gt;=91),"&gt; 90",AND($AU556&gt;=2000),""),"")</f>
        <v/>
      </c>
      <c r="AW556" s="32" t="str" cm="1">
        <f t="array" aca="1" ref="AW556" ca="1">IFERROR(_xlfn.IFS(OR($M556="",$AM556=""),"",OR($C556="Offered",$C556="Joined"),($AM556-$M556)-$AT556),"")</f>
        <v/>
      </c>
      <c r="AX556" s="32" t="str" cm="1">
        <f t="array" aca="1" ref="AX556" ca="1">IFERROR(_xlfn.IFS(OR($M556="",$AS556=""),"",$C556="Joined",($AS556-$M556)-$AT556),"")</f>
        <v/>
      </c>
      <c r="AY556" s="30" t="str">
        <f>IFERROR(IF(COUNTIFS('Candidate Tracker'!$E:$E,'Positions Tracker'!$B556,'Candidate Tracker'!$C:$C,"Offer Drop")=0,"",COUNTIFS('Candidate Tracker'!$E:$E,'Positions Tracker'!$B556,'Candidate Tracker'!$C:$C,"Offer Drop")),"")</f>
        <v/>
      </c>
      <c r="AZ55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6" s="34" t="str">
        <f>IFERROR(IF(COUNTIFS('Candidate Tracker'!$E:$E,'Positions Tracker'!$B556,'Candidate Tracker'!$I:$I,"Female")=0,"",COUNTIFS('Candidate Tracker'!$E:$E,'Positions Tracker'!$B556,'Candidate Tracker'!$I:$I,"Female")),"")</f>
        <v/>
      </c>
      <c r="BB556" s="34" t="str">
        <f>IFERROR(IF(COUNTIFS('Candidate Tracker'!$E:$E,'Positions Tracker'!$B556,'Candidate Tracker'!$I:$I,"male")=0,"",COUNTIFS('Candidate Tracker'!$E:$E,'Positions Tracker'!$B556,'Candidate Tracker'!$I:$I,"male")),"")</f>
        <v/>
      </c>
      <c r="BC556" s="33" t="str">
        <f>IFERROR(IF(COUNTIFS('Candidate Tracker'!$E:$E,'Positions Tracker'!$B556,'Candidate Tracker'!$C:$C,"&lt;&gt;WIP",'Candidate Tracker'!$C:$C,"&lt;&gt;Hold",'Candidate Tracker'!$C:$C,"&lt;&gt;Cancelled",'Candidate Tracker'!$C:$C,"&lt;&gt;Closed")/COUNTIFS('Candidate Tracker'!$E:$E,'Positions Tracker'!$B556)=0,"",COUNTIFS('Candidate Tracker'!$E:$E,'Positions Tracker'!$B556,'Candidate Tracker'!$C:$C,"&lt;&gt;WIP",'Candidate Tracker'!$C:$C,"&lt;&gt;Hold",'Candidate Tracker'!$C:$C,"&lt;&gt;Cancelled",'Candidate Tracker'!$C:$C,"&lt;&gt;Closed")/COUNTIFS('Candidate Tracker'!$E:$E,'Positions Tracker'!$B556)),"")</f>
        <v/>
      </c>
      <c r="BD556" s="30" t="str">
        <f t="shared" si="63"/>
        <v/>
      </c>
      <c r="BE556" s="30" t="str">
        <f t="shared" si="64"/>
        <v/>
      </c>
      <c r="BF556" s="30" t="str">
        <f t="shared" si="65"/>
        <v/>
      </c>
      <c r="BG556" s="30" t="str">
        <f t="shared" si="66"/>
        <v/>
      </c>
    </row>
    <row r="557" spans="1:59">
      <c r="A557" s="39"/>
      <c r="B557" s="39"/>
      <c r="C557" s="39"/>
      <c r="D557" s="39"/>
      <c r="E557" s="39"/>
      <c r="F557" s="39"/>
      <c r="G557" s="39"/>
      <c r="H557" s="39"/>
      <c r="I557" s="40"/>
      <c r="J557" s="40"/>
      <c r="K557" s="35"/>
      <c r="L557" s="35"/>
      <c r="M557" s="35"/>
      <c r="N557" s="39"/>
      <c r="O557" s="39"/>
      <c r="P557" s="39"/>
      <c r="Q557" s="39"/>
      <c r="R557" s="39"/>
      <c r="S557" s="39"/>
      <c r="T557" s="39"/>
      <c r="U557" s="39"/>
      <c r="V557" s="39"/>
      <c r="W557" s="39"/>
      <c r="X557" s="39"/>
      <c r="Y557" s="39"/>
      <c r="Z557" s="39"/>
      <c r="AA557" s="39"/>
      <c r="AB557" s="39"/>
      <c r="AC557" s="39"/>
      <c r="AD557" s="39"/>
      <c r="AE557" s="39"/>
      <c r="AF557" s="39"/>
      <c r="AG557" s="39"/>
      <c r="AH557" s="39"/>
      <c r="AI557" s="35"/>
      <c r="AJ557" s="39"/>
      <c r="AK557" s="39"/>
      <c r="AL557" s="39"/>
      <c r="AM557" s="35"/>
      <c r="AN557" s="35"/>
      <c r="AO557" s="39"/>
      <c r="AP557" s="39"/>
      <c r="AQ557" s="35"/>
      <c r="AR557" s="35"/>
      <c r="AS557" s="35"/>
      <c r="AT557" s="30">
        <f t="shared" ca="1" si="62"/>
        <v>0</v>
      </c>
      <c r="AU557" s="32" t="str">
        <f t="shared" ca="1" si="61"/>
        <v/>
      </c>
      <c r="AV557" s="32" t="str" cm="1">
        <f t="array" aca="1" ref="AV557" ca="1">IFERROR(_xlfn.IFS($AU557="","",$AU557&lt;=15,"0-15",AND($AU557&gt;=16,$AU557&lt;=30),"16-30",AND($AU557&gt;=31,$AU557&lt;=45),"31-45",AND($AU557&gt;=46,$AU557&lt;=60),"46-60",AND($AU557&gt;=61,$AU557&lt;=90),"61-90",AND($AU557&gt;=91),"&gt; 90",AND($AU557&gt;=2000),""),"")</f>
        <v/>
      </c>
      <c r="AW557" s="32" t="str" cm="1">
        <f t="array" aca="1" ref="AW557" ca="1">IFERROR(_xlfn.IFS(OR($M557="",$AM557=""),"",OR($C557="Offered",$C557="Joined"),($AM557-$M557)-$AT557),"")</f>
        <v/>
      </c>
      <c r="AX557" s="32" t="str" cm="1">
        <f t="array" aca="1" ref="AX557" ca="1">IFERROR(_xlfn.IFS(OR($M557="",$AS557=""),"",$C557="Joined",($AS557-$M557)-$AT557),"")</f>
        <v/>
      </c>
      <c r="AY557" s="30" t="str">
        <f>IFERROR(IF(COUNTIFS('Candidate Tracker'!$E:$E,'Positions Tracker'!$B557,'Candidate Tracker'!$C:$C,"Offer Drop")=0,"",COUNTIFS('Candidate Tracker'!$E:$E,'Positions Tracker'!$B557,'Candidate Tracker'!$C:$C,"Offer Drop")),"")</f>
        <v/>
      </c>
      <c r="AZ55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7" s="34" t="str">
        <f>IFERROR(IF(COUNTIFS('Candidate Tracker'!$E:$E,'Positions Tracker'!$B557,'Candidate Tracker'!$I:$I,"Female")=0,"",COUNTIFS('Candidate Tracker'!$E:$E,'Positions Tracker'!$B557,'Candidate Tracker'!$I:$I,"Female")),"")</f>
        <v/>
      </c>
      <c r="BB557" s="34" t="str">
        <f>IFERROR(IF(COUNTIFS('Candidate Tracker'!$E:$E,'Positions Tracker'!$B557,'Candidate Tracker'!$I:$I,"male")=0,"",COUNTIFS('Candidate Tracker'!$E:$E,'Positions Tracker'!$B557,'Candidate Tracker'!$I:$I,"male")),"")</f>
        <v/>
      </c>
      <c r="BC557" s="33" t="str">
        <f>IFERROR(IF(COUNTIFS('Candidate Tracker'!$E:$E,'Positions Tracker'!$B557,'Candidate Tracker'!$C:$C,"&lt;&gt;WIP",'Candidate Tracker'!$C:$C,"&lt;&gt;Hold",'Candidate Tracker'!$C:$C,"&lt;&gt;Cancelled",'Candidate Tracker'!$C:$C,"&lt;&gt;Closed")/COUNTIFS('Candidate Tracker'!$E:$E,'Positions Tracker'!$B557)=0,"",COUNTIFS('Candidate Tracker'!$E:$E,'Positions Tracker'!$B557,'Candidate Tracker'!$C:$C,"&lt;&gt;WIP",'Candidate Tracker'!$C:$C,"&lt;&gt;Hold",'Candidate Tracker'!$C:$C,"&lt;&gt;Cancelled",'Candidate Tracker'!$C:$C,"&lt;&gt;Closed")/COUNTIFS('Candidate Tracker'!$E:$E,'Positions Tracker'!$B557)),"")</f>
        <v/>
      </c>
      <c r="BD557" s="30" t="str">
        <f t="shared" si="63"/>
        <v/>
      </c>
      <c r="BE557" s="30" t="str">
        <f t="shared" si="64"/>
        <v/>
      </c>
      <c r="BF557" s="30" t="str">
        <f t="shared" si="65"/>
        <v/>
      </c>
      <c r="BG557" s="30" t="str">
        <f t="shared" si="66"/>
        <v/>
      </c>
    </row>
    <row r="558" spans="1:59">
      <c r="A558" s="39"/>
      <c r="B558" s="39"/>
      <c r="C558" s="39"/>
      <c r="D558" s="39"/>
      <c r="E558" s="39"/>
      <c r="F558" s="39"/>
      <c r="G558" s="39"/>
      <c r="H558" s="39"/>
      <c r="I558" s="40"/>
      <c r="J558" s="40"/>
      <c r="K558" s="35"/>
      <c r="L558" s="35"/>
      <c r="M558" s="35"/>
      <c r="N558" s="39"/>
      <c r="O558" s="39"/>
      <c r="P558" s="39"/>
      <c r="Q558" s="39"/>
      <c r="R558" s="39"/>
      <c r="S558" s="39"/>
      <c r="T558" s="39"/>
      <c r="U558" s="39"/>
      <c r="V558" s="39"/>
      <c r="W558" s="39"/>
      <c r="X558" s="39"/>
      <c r="Y558" s="39"/>
      <c r="Z558" s="39"/>
      <c r="AA558" s="39"/>
      <c r="AB558" s="39"/>
      <c r="AC558" s="39"/>
      <c r="AD558" s="39"/>
      <c r="AE558" s="39"/>
      <c r="AF558" s="39"/>
      <c r="AG558" s="39"/>
      <c r="AH558" s="39"/>
      <c r="AI558" s="35"/>
      <c r="AJ558" s="39"/>
      <c r="AK558" s="39"/>
      <c r="AL558" s="39"/>
      <c r="AM558" s="35"/>
      <c r="AN558" s="35"/>
      <c r="AO558" s="39"/>
      <c r="AP558" s="39"/>
      <c r="AQ558" s="35"/>
      <c r="AR558" s="35"/>
      <c r="AS558" s="35"/>
      <c r="AT558" s="30">
        <f t="shared" ca="1" si="62"/>
        <v>0</v>
      </c>
      <c r="AU558" s="32" t="str">
        <f t="shared" ca="1" si="61"/>
        <v/>
      </c>
      <c r="AV558" s="32" t="str" cm="1">
        <f t="array" aca="1" ref="AV558" ca="1">IFERROR(_xlfn.IFS($AU558="","",$AU558&lt;=15,"0-15",AND($AU558&gt;=16,$AU558&lt;=30),"16-30",AND($AU558&gt;=31,$AU558&lt;=45),"31-45",AND($AU558&gt;=46,$AU558&lt;=60),"46-60",AND($AU558&gt;=61,$AU558&lt;=90),"61-90",AND($AU558&gt;=91),"&gt; 90",AND($AU558&gt;=2000),""),"")</f>
        <v/>
      </c>
      <c r="AW558" s="32" t="str" cm="1">
        <f t="array" aca="1" ref="AW558" ca="1">IFERROR(_xlfn.IFS(OR($M558="",$AM558=""),"",OR($C558="Offered",$C558="Joined"),($AM558-$M558)-$AT558),"")</f>
        <v/>
      </c>
      <c r="AX558" s="32" t="str" cm="1">
        <f t="array" aca="1" ref="AX558" ca="1">IFERROR(_xlfn.IFS(OR($M558="",$AS558=""),"",$C558="Joined",($AS558-$M558)-$AT558),"")</f>
        <v/>
      </c>
      <c r="AY558" s="30" t="str">
        <f>IFERROR(IF(COUNTIFS('Candidate Tracker'!$E:$E,'Positions Tracker'!$B558,'Candidate Tracker'!$C:$C,"Offer Drop")=0,"",COUNTIFS('Candidate Tracker'!$E:$E,'Positions Tracker'!$B558,'Candidate Tracker'!$C:$C,"Offer Drop")),"")</f>
        <v/>
      </c>
      <c r="AZ5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8" s="34" t="str">
        <f>IFERROR(IF(COUNTIFS('Candidate Tracker'!$E:$E,'Positions Tracker'!$B558,'Candidate Tracker'!$I:$I,"Female")=0,"",COUNTIFS('Candidate Tracker'!$E:$E,'Positions Tracker'!$B558,'Candidate Tracker'!$I:$I,"Female")),"")</f>
        <v/>
      </c>
      <c r="BB558" s="34" t="str">
        <f>IFERROR(IF(COUNTIFS('Candidate Tracker'!$E:$E,'Positions Tracker'!$B558,'Candidate Tracker'!$I:$I,"male")=0,"",COUNTIFS('Candidate Tracker'!$E:$E,'Positions Tracker'!$B558,'Candidate Tracker'!$I:$I,"male")),"")</f>
        <v/>
      </c>
      <c r="BC558" s="33" t="str">
        <f>IFERROR(IF(COUNTIFS('Candidate Tracker'!$E:$E,'Positions Tracker'!$B558,'Candidate Tracker'!$C:$C,"&lt;&gt;WIP",'Candidate Tracker'!$C:$C,"&lt;&gt;Hold",'Candidate Tracker'!$C:$C,"&lt;&gt;Cancelled",'Candidate Tracker'!$C:$C,"&lt;&gt;Closed")/COUNTIFS('Candidate Tracker'!$E:$E,'Positions Tracker'!$B558)=0,"",COUNTIFS('Candidate Tracker'!$E:$E,'Positions Tracker'!$B558,'Candidate Tracker'!$C:$C,"&lt;&gt;WIP",'Candidate Tracker'!$C:$C,"&lt;&gt;Hold",'Candidate Tracker'!$C:$C,"&lt;&gt;Cancelled",'Candidate Tracker'!$C:$C,"&lt;&gt;Closed")/COUNTIFS('Candidate Tracker'!$E:$E,'Positions Tracker'!$B558)),"")</f>
        <v/>
      </c>
      <c r="BD558" s="30" t="str">
        <f t="shared" si="63"/>
        <v/>
      </c>
      <c r="BE558" s="30" t="str">
        <f t="shared" si="64"/>
        <v/>
      </c>
      <c r="BF558" s="30" t="str">
        <f t="shared" si="65"/>
        <v/>
      </c>
      <c r="BG558" s="30" t="str">
        <f t="shared" si="66"/>
        <v/>
      </c>
    </row>
    <row r="559" spans="1:59">
      <c r="A559" s="39"/>
      <c r="B559" s="39"/>
      <c r="C559" s="39"/>
      <c r="D559" s="39"/>
      <c r="E559" s="39"/>
      <c r="F559" s="39"/>
      <c r="G559" s="39"/>
      <c r="H559" s="39"/>
      <c r="I559" s="40"/>
      <c r="J559" s="40"/>
      <c r="K559" s="35"/>
      <c r="L559" s="35"/>
      <c r="M559" s="35"/>
      <c r="N559" s="39"/>
      <c r="O559" s="39"/>
      <c r="P559" s="39"/>
      <c r="Q559" s="39"/>
      <c r="R559" s="39"/>
      <c r="S559" s="39"/>
      <c r="T559" s="39"/>
      <c r="U559" s="39"/>
      <c r="V559" s="39"/>
      <c r="W559" s="39"/>
      <c r="X559" s="39"/>
      <c r="Y559" s="39"/>
      <c r="Z559" s="39"/>
      <c r="AA559" s="39"/>
      <c r="AB559" s="39"/>
      <c r="AC559" s="39"/>
      <c r="AD559" s="39"/>
      <c r="AE559" s="39"/>
      <c r="AF559" s="39"/>
      <c r="AG559" s="39"/>
      <c r="AH559" s="39"/>
      <c r="AI559" s="35"/>
      <c r="AJ559" s="39"/>
      <c r="AK559" s="39"/>
      <c r="AL559" s="39"/>
      <c r="AM559" s="35"/>
      <c r="AN559" s="35"/>
      <c r="AO559" s="39"/>
      <c r="AP559" s="39"/>
      <c r="AQ559" s="35"/>
      <c r="AR559" s="35"/>
      <c r="AS559" s="35"/>
      <c r="AT559" s="30">
        <f t="shared" ca="1" si="62"/>
        <v>0</v>
      </c>
      <c r="AU559" s="32" t="str">
        <f t="shared" ca="1" si="61"/>
        <v/>
      </c>
      <c r="AV559" s="32" t="str" cm="1">
        <f t="array" aca="1" ref="AV559" ca="1">IFERROR(_xlfn.IFS($AU559="","",$AU559&lt;=15,"0-15",AND($AU559&gt;=16,$AU559&lt;=30),"16-30",AND($AU559&gt;=31,$AU559&lt;=45),"31-45",AND($AU559&gt;=46,$AU559&lt;=60),"46-60",AND($AU559&gt;=61,$AU559&lt;=90),"61-90",AND($AU559&gt;=91),"&gt; 90",AND($AU559&gt;=2000),""),"")</f>
        <v/>
      </c>
      <c r="AW559" s="32" t="str" cm="1">
        <f t="array" aca="1" ref="AW559" ca="1">IFERROR(_xlfn.IFS(OR($M559="",$AM559=""),"",OR($C559="Offered",$C559="Joined"),($AM559-$M559)-$AT559),"")</f>
        <v/>
      </c>
      <c r="AX559" s="32" t="str" cm="1">
        <f t="array" aca="1" ref="AX559" ca="1">IFERROR(_xlfn.IFS(OR($M559="",$AS559=""),"",$C559="Joined",($AS559-$M559)-$AT559),"")</f>
        <v/>
      </c>
      <c r="AY559" s="30" t="str">
        <f>IFERROR(IF(COUNTIFS('Candidate Tracker'!$E:$E,'Positions Tracker'!$B559,'Candidate Tracker'!$C:$C,"Offer Drop")=0,"",COUNTIFS('Candidate Tracker'!$E:$E,'Positions Tracker'!$B559,'Candidate Tracker'!$C:$C,"Offer Drop")),"")</f>
        <v/>
      </c>
      <c r="AZ5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59" s="34" t="str">
        <f>IFERROR(IF(COUNTIFS('Candidate Tracker'!$E:$E,'Positions Tracker'!$B559,'Candidate Tracker'!$I:$I,"Female")=0,"",COUNTIFS('Candidate Tracker'!$E:$E,'Positions Tracker'!$B559,'Candidate Tracker'!$I:$I,"Female")),"")</f>
        <v/>
      </c>
      <c r="BB559" s="34" t="str">
        <f>IFERROR(IF(COUNTIFS('Candidate Tracker'!$E:$E,'Positions Tracker'!$B559,'Candidate Tracker'!$I:$I,"male")=0,"",COUNTIFS('Candidate Tracker'!$E:$E,'Positions Tracker'!$B559,'Candidate Tracker'!$I:$I,"male")),"")</f>
        <v/>
      </c>
      <c r="BC559" s="33" t="str">
        <f>IFERROR(IF(COUNTIFS('Candidate Tracker'!$E:$E,'Positions Tracker'!$B559,'Candidate Tracker'!$C:$C,"&lt;&gt;WIP",'Candidate Tracker'!$C:$C,"&lt;&gt;Hold",'Candidate Tracker'!$C:$C,"&lt;&gt;Cancelled",'Candidate Tracker'!$C:$C,"&lt;&gt;Closed")/COUNTIFS('Candidate Tracker'!$E:$E,'Positions Tracker'!$B559)=0,"",COUNTIFS('Candidate Tracker'!$E:$E,'Positions Tracker'!$B559,'Candidate Tracker'!$C:$C,"&lt;&gt;WIP",'Candidate Tracker'!$C:$C,"&lt;&gt;Hold",'Candidate Tracker'!$C:$C,"&lt;&gt;Cancelled",'Candidate Tracker'!$C:$C,"&lt;&gt;Closed")/COUNTIFS('Candidate Tracker'!$E:$E,'Positions Tracker'!$B559)),"")</f>
        <v/>
      </c>
      <c r="BD559" s="30" t="str">
        <f t="shared" si="63"/>
        <v/>
      </c>
      <c r="BE559" s="30" t="str">
        <f t="shared" si="64"/>
        <v/>
      </c>
      <c r="BF559" s="30" t="str">
        <f t="shared" si="65"/>
        <v/>
      </c>
      <c r="BG559" s="30" t="str">
        <f t="shared" si="66"/>
        <v/>
      </c>
    </row>
    <row r="560" spans="1:59">
      <c r="A560" s="39"/>
      <c r="B560" s="39"/>
      <c r="C560" s="39"/>
      <c r="D560" s="39"/>
      <c r="E560" s="39"/>
      <c r="F560" s="39"/>
      <c r="G560" s="39"/>
      <c r="H560" s="39"/>
      <c r="I560" s="40"/>
      <c r="J560" s="40"/>
      <c r="K560" s="35"/>
      <c r="L560" s="35"/>
      <c r="M560" s="35"/>
      <c r="N560" s="39"/>
      <c r="O560" s="39"/>
      <c r="P560" s="39"/>
      <c r="Q560" s="39"/>
      <c r="R560" s="39"/>
      <c r="S560" s="39"/>
      <c r="T560" s="39"/>
      <c r="U560" s="39"/>
      <c r="V560" s="39"/>
      <c r="W560" s="39"/>
      <c r="X560" s="39"/>
      <c r="Y560" s="39"/>
      <c r="Z560" s="39"/>
      <c r="AA560" s="39"/>
      <c r="AB560" s="39"/>
      <c r="AC560" s="39"/>
      <c r="AD560" s="39"/>
      <c r="AE560" s="39"/>
      <c r="AF560" s="39"/>
      <c r="AG560" s="39"/>
      <c r="AH560" s="39"/>
      <c r="AI560" s="35"/>
      <c r="AJ560" s="39"/>
      <c r="AK560" s="39"/>
      <c r="AL560" s="39"/>
      <c r="AM560" s="35"/>
      <c r="AN560" s="35"/>
      <c r="AO560" s="39"/>
      <c r="AP560" s="39"/>
      <c r="AQ560" s="35"/>
      <c r="AR560" s="35"/>
      <c r="AS560" s="35"/>
      <c r="AT560" s="30">
        <f t="shared" ca="1" si="62"/>
        <v>0</v>
      </c>
      <c r="AU560" s="32" t="str">
        <f t="shared" ca="1" si="61"/>
        <v/>
      </c>
      <c r="AV560" s="32" t="str" cm="1">
        <f t="array" aca="1" ref="AV560" ca="1">IFERROR(_xlfn.IFS($AU560="","",$AU560&lt;=15,"0-15",AND($AU560&gt;=16,$AU560&lt;=30),"16-30",AND($AU560&gt;=31,$AU560&lt;=45),"31-45",AND($AU560&gt;=46,$AU560&lt;=60),"46-60",AND($AU560&gt;=61,$AU560&lt;=90),"61-90",AND($AU560&gt;=91),"&gt; 90",AND($AU560&gt;=2000),""),"")</f>
        <v/>
      </c>
      <c r="AW560" s="32" t="str" cm="1">
        <f t="array" aca="1" ref="AW560" ca="1">IFERROR(_xlfn.IFS(OR($M560="",$AM560=""),"",OR($C560="Offered",$C560="Joined"),($AM560-$M560)-$AT560),"")</f>
        <v/>
      </c>
      <c r="AX560" s="32" t="str" cm="1">
        <f t="array" aca="1" ref="AX560" ca="1">IFERROR(_xlfn.IFS(OR($M560="",$AS560=""),"",$C560="Joined",($AS560-$M560)-$AT560),"")</f>
        <v/>
      </c>
      <c r="AY560" s="30" t="str">
        <f>IFERROR(IF(COUNTIFS('Candidate Tracker'!$E:$E,'Positions Tracker'!$B560,'Candidate Tracker'!$C:$C,"Offer Drop")=0,"",COUNTIFS('Candidate Tracker'!$E:$E,'Positions Tracker'!$B560,'Candidate Tracker'!$C:$C,"Offer Drop")),"")</f>
        <v/>
      </c>
      <c r="AZ5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0" s="34" t="str">
        <f>IFERROR(IF(COUNTIFS('Candidate Tracker'!$E:$E,'Positions Tracker'!$B560,'Candidate Tracker'!$I:$I,"Female")=0,"",COUNTIFS('Candidate Tracker'!$E:$E,'Positions Tracker'!$B560,'Candidate Tracker'!$I:$I,"Female")),"")</f>
        <v/>
      </c>
      <c r="BB560" s="34" t="str">
        <f>IFERROR(IF(COUNTIFS('Candidate Tracker'!$E:$E,'Positions Tracker'!$B560,'Candidate Tracker'!$I:$I,"male")=0,"",COUNTIFS('Candidate Tracker'!$E:$E,'Positions Tracker'!$B560,'Candidate Tracker'!$I:$I,"male")),"")</f>
        <v/>
      </c>
      <c r="BC560" s="33" t="str">
        <f>IFERROR(IF(COUNTIFS('Candidate Tracker'!$E:$E,'Positions Tracker'!$B560,'Candidate Tracker'!$C:$C,"&lt;&gt;WIP",'Candidate Tracker'!$C:$C,"&lt;&gt;Hold",'Candidate Tracker'!$C:$C,"&lt;&gt;Cancelled",'Candidate Tracker'!$C:$C,"&lt;&gt;Closed")/COUNTIFS('Candidate Tracker'!$E:$E,'Positions Tracker'!$B560)=0,"",COUNTIFS('Candidate Tracker'!$E:$E,'Positions Tracker'!$B560,'Candidate Tracker'!$C:$C,"&lt;&gt;WIP",'Candidate Tracker'!$C:$C,"&lt;&gt;Hold",'Candidate Tracker'!$C:$C,"&lt;&gt;Cancelled",'Candidate Tracker'!$C:$C,"&lt;&gt;Closed")/COUNTIFS('Candidate Tracker'!$E:$E,'Positions Tracker'!$B560)),"")</f>
        <v/>
      </c>
      <c r="BD560" s="30" t="str">
        <f t="shared" si="63"/>
        <v/>
      </c>
      <c r="BE560" s="30" t="str">
        <f t="shared" si="64"/>
        <v/>
      </c>
      <c r="BF560" s="30" t="str">
        <f t="shared" si="65"/>
        <v/>
      </c>
      <c r="BG560" s="30" t="str">
        <f t="shared" si="66"/>
        <v/>
      </c>
    </row>
    <row r="561" spans="1:59">
      <c r="A561" s="39"/>
      <c r="B561" s="39"/>
      <c r="C561" s="39"/>
      <c r="D561" s="39"/>
      <c r="E561" s="39"/>
      <c r="F561" s="39"/>
      <c r="G561" s="39"/>
      <c r="H561" s="39"/>
      <c r="I561" s="40"/>
      <c r="J561" s="40"/>
      <c r="K561" s="35"/>
      <c r="L561" s="35"/>
      <c r="M561" s="35"/>
      <c r="N561" s="39"/>
      <c r="O561" s="39"/>
      <c r="P561" s="39"/>
      <c r="Q561" s="39"/>
      <c r="R561" s="39"/>
      <c r="S561" s="39"/>
      <c r="T561" s="39"/>
      <c r="U561" s="39"/>
      <c r="V561" s="39"/>
      <c r="W561" s="39"/>
      <c r="X561" s="39"/>
      <c r="Y561" s="39"/>
      <c r="Z561" s="39"/>
      <c r="AA561" s="39"/>
      <c r="AB561" s="39"/>
      <c r="AC561" s="39"/>
      <c r="AD561" s="39"/>
      <c r="AE561" s="39"/>
      <c r="AF561" s="39"/>
      <c r="AG561" s="39"/>
      <c r="AH561" s="39"/>
      <c r="AI561" s="35"/>
      <c r="AJ561" s="39"/>
      <c r="AK561" s="39"/>
      <c r="AL561" s="39"/>
      <c r="AM561" s="35"/>
      <c r="AN561" s="35"/>
      <c r="AO561" s="39"/>
      <c r="AP561" s="39"/>
      <c r="AQ561" s="35"/>
      <c r="AR561" s="35"/>
      <c r="AS561" s="35"/>
      <c r="AT561" s="30">
        <f t="shared" ca="1" si="62"/>
        <v>0</v>
      </c>
      <c r="AU561" s="32" t="str">
        <f t="shared" ca="1" si="61"/>
        <v/>
      </c>
      <c r="AV561" s="32" t="str" cm="1">
        <f t="array" aca="1" ref="AV561" ca="1">IFERROR(_xlfn.IFS($AU561="","",$AU561&lt;=15,"0-15",AND($AU561&gt;=16,$AU561&lt;=30),"16-30",AND($AU561&gt;=31,$AU561&lt;=45),"31-45",AND($AU561&gt;=46,$AU561&lt;=60),"46-60",AND($AU561&gt;=61,$AU561&lt;=90),"61-90",AND($AU561&gt;=91),"&gt; 90",AND($AU561&gt;=2000),""),"")</f>
        <v/>
      </c>
      <c r="AW561" s="32" t="str" cm="1">
        <f t="array" aca="1" ref="AW561" ca="1">IFERROR(_xlfn.IFS(OR($M561="",$AM561=""),"",OR($C561="Offered",$C561="Joined"),($AM561-$M561)-$AT561),"")</f>
        <v/>
      </c>
      <c r="AX561" s="32" t="str" cm="1">
        <f t="array" aca="1" ref="AX561" ca="1">IFERROR(_xlfn.IFS(OR($M561="",$AS561=""),"",$C561="Joined",($AS561-$M561)-$AT561),"")</f>
        <v/>
      </c>
      <c r="AY561" s="30" t="str">
        <f>IFERROR(IF(COUNTIFS('Candidate Tracker'!$E:$E,'Positions Tracker'!$B561,'Candidate Tracker'!$C:$C,"Offer Drop")=0,"",COUNTIFS('Candidate Tracker'!$E:$E,'Positions Tracker'!$B561,'Candidate Tracker'!$C:$C,"Offer Drop")),"")</f>
        <v/>
      </c>
      <c r="AZ5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1" s="34" t="str">
        <f>IFERROR(IF(COUNTIFS('Candidate Tracker'!$E:$E,'Positions Tracker'!$B561,'Candidate Tracker'!$I:$I,"Female")=0,"",COUNTIFS('Candidate Tracker'!$E:$E,'Positions Tracker'!$B561,'Candidate Tracker'!$I:$I,"Female")),"")</f>
        <v/>
      </c>
      <c r="BB561" s="34" t="str">
        <f>IFERROR(IF(COUNTIFS('Candidate Tracker'!$E:$E,'Positions Tracker'!$B561,'Candidate Tracker'!$I:$I,"male")=0,"",COUNTIFS('Candidate Tracker'!$E:$E,'Positions Tracker'!$B561,'Candidate Tracker'!$I:$I,"male")),"")</f>
        <v/>
      </c>
      <c r="BC561" s="33" t="str">
        <f>IFERROR(IF(COUNTIFS('Candidate Tracker'!$E:$E,'Positions Tracker'!$B561,'Candidate Tracker'!$C:$C,"&lt;&gt;WIP",'Candidate Tracker'!$C:$C,"&lt;&gt;Hold",'Candidate Tracker'!$C:$C,"&lt;&gt;Cancelled",'Candidate Tracker'!$C:$C,"&lt;&gt;Closed")/COUNTIFS('Candidate Tracker'!$E:$E,'Positions Tracker'!$B561)=0,"",COUNTIFS('Candidate Tracker'!$E:$E,'Positions Tracker'!$B561,'Candidate Tracker'!$C:$C,"&lt;&gt;WIP",'Candidate Tracker'!$C:$C,"&lt;&gt;Hold",'Candidate Tracker'!$C:$C,"&lt;&gt;Cancelled",'Candidate Tracker'!$C:$C,"&lt;&gt;Closed")/COUNTIFS('Candidate Tracker'!$E:$E,'Positions Tracker'!$B561)),"")</f>
        <v/>
      </c>
      <c r="BD561" s="30" t="str">
        <f t="shared" si="63"/>
        <v/>
      </c>
      <c r="BE561" s="30" t="str">
        <f t="shared" si="64"/>
        <v/>
      </c>
      <c r="BF561" s="30" t="str">
        <f t="shared" si="65"/>
        <v/>
      </c>
      <c r="BG561" s="30" t="str">
        <f t="shared" si="66"/>
        <v/>
      </c>
    </row>
    <row r="562" spans="1:59">
      <c r="A562" s="39"/>
      <c r="B562" s="39"/>
      <c r="C562" s="39"/>
      <c r="D562" s="39"/>
      <c r="E562" s="39"/>
      <c r="F562" s="39"/>
      <c r="G562" s="39"/>
      <c r="H562" s="39"/>
      <c r="I562" s="40"/>
      <c r="J562" s="40"/>
      <c r="K562" s="35"/>
      <c r="L562" s="35"/>
      <c r="M562" s="35"/>
      <c r="N562" s="39"/>
      <c r="O562" s="39"/>
      <c r="P562" s="39"/>
      <c r="Q562" s="39"/>
      <c r="R562" s="39"/>
      <c r="S562" s="39"/>
      <c r="T562" s="39"/>
      <c r="U562" s="39"/>
      <c r="V562" s="39"/>
      <c r="W562" s="39"/>
      <c r="X562" s="39"/>
      <c r="Y562" s="39"/>
      <c r="Z562" s="39"/>
      <c r="AA562" s="39"/>
      <c r="AB562" s="39"/>
      <c r="AC562" s="39"/>
      <c r="AD562" s="39"/>
      <c r="AE562" s="39"/>
      <c r="AF562" s="39"/>
      <c r="AG562" s="39"/>
      <c r="AH562" s="39"/>
      <c r="AI562" s="35"/>
      <c r="AJ562" s="39"/>
      <c r="AK562" s="39"/>
      <c r="AL562" s="39"/>
      <c r="AM562" s="35"/>
      <c r="AN562" s="35"/>
      <c r="AO562" s="39"/>
      <c r="AP562" s="39"/>
      <c r="AQ562" s="35"/>
      <c r="AR562" s="35"/>
      <c r="AS562" s="35"/>
      <c r="AT562" s="30">
        <f t="shared" ca="1" si="62"/>
        <v>0</v>
      </c>
      <c r="AU562" s="32" t="str">
        <f t="shared" ca="1" si="61"/>
        <v/>
      </c>
      <c r="AV562" s="32" t="str" cm="1">
        <f t="array" aca="1" ref="AV562" ca="1">IFERROR(_xlfn.IFS($AU562="","",$AU562&lt;=15,"0-15",AND($AU562&gt;=16,$AU562&lt;=30),"16-30",AND($AU562&gt;=31,$AU562&lt;=45),"31-45",AND($AU562&gt;=46,$AU562&lt;=60),"46-60",AND($AU562&gt;=61,$AU562&lt;=90),"61-90",AND($AU562&gt;=91),"&gt; 90",AND($AU562&gt;=2000),""),"")</f>
        <v/>
      </c>
      <c r="AW562" s="32" t="str" cm="1">
        <f t="array" aca="1" ref="AW562" ca="1">IFERROR(_xlfn.IFS(OR($M562="",$AM562=""),"",OR($C562="Offered",$C562="Joined"),($AM562-$M562)-$AT562),"")</f>
        <v/>
      </c>
      <c r="AX562" s="32" t="str" cm="1">
        <f t="array" aca="1" ref="AX562" ca="1">IFERROR(_xlfn.IFS(OR($M562="",$AS562=""),"",$C562="Joined",($AS562-$M562)-$AT562),"")</f>
        <v/>
      </c>
      <c r="AY562" s="30" t="str">
        <f>IFERROR(IF(COUNTIFS('Candidate Tracker'!$E:$E,'Positions Tracker'!$B562,'Candidate Tracker'!$C:$C,"Offer Drop")=0,"",COUNTIFS('Candidate Tracker'!$E:$E,'Positions Tracker'!$B562,'Candidate Tracker'!$C:$C,"Offer Drop")),"")</f>
        <v/>
      </c>
      <c r="AZ5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2" s="34" t="str">
        <f>IFERROR(IF(COUNTIFS('Candidate Tracker'!$E:$E,'Positions Tracker'!$B562,'Candidate Tracker'!$I:$I,"Female")=0,"",COUNTIFS('Candidate Tracker'!$E:$E,'Positions Tracker'!$B562,'Candidate Tracker'!$I:$I,"Female")),"")</f>
        <v/>
      </c>
      <c r="BB562" s="34" t="str">
        <f>IFERROR(IF(COUNTIFS('Candidate Tracker'!$E:$E,'Positions Tracker'!$B562,'Candidate Tracker'!$I:$I,"male")=0,"",COUNTIFS('Candidate Tracker'!$E:$E,'Positions Tracker'!$B562,'Candidate Tracker'!$I:$I,"male")),"")</f>
        <v/>
      </c>
      <c r="BC562" s="33" t="str">
        <f>IFERROR(IF(COUNTIFS('Candidate Tracker'!$E:$E,'Positions Tracker'!$B562,'Candidate Tracker'!$C:$C,"&lt;&gt;WIP",'Candidate Tracker'!$C:$C,"&lt;&gt;Hold",'Candidate Tracker'!$C:$C,"&lt;&gt;Cancelled",'Candidate Tracker'!$C:$C,"&lt;&gt;Closed")/COUNTIFS('Candidate Tracker'!$E:$E,'Positions Tracker'!$B562)=0,"",COUNTIFS('Candidate Tracker'!$E:$E,'Positions Tracker'!$B562,'Candidate Tracker'!$C:$C,"&lt;&gt;WIP",'Candidate Tracker'!$C:$C,"&lt;&gt;Hold",'Candidate Tracker'!$C:$C,"&lt;&gt;Cancelled",'Candidate Tracker'!$C:$C,"&lt;&gt;Closed")/COUNTIFS('Candidate Tracker'!$E:$E,'Positions Tracker'!$B562)),"")</f>
        <v/>
      </c>
      <c r="BD562" s="30" t="str">
        <f t="shared" si="63"/>
        <v/>
      </c>
      <c r="BE562" s="30" t="str">
        <f t="shared" si="64"/>
        <v/>
      </c>
      <c r="BF562" s="30" t="str">
        <f t="shared" si="65"/>
        <v/>
      </c>
      <c r="BG562" s="30" t="str">
        <f t="shared" si="66"/>
        <v/>
      </c>
    </row>
    <row r="563" spans="1:59">
      <c r="A563" s="39"/>
      <c r="B563" s="39"/>
      <c r="C563" s="39"/>
      <c r="D563" s="39"/>
      <c r="E563" s="39"/>
      <c r="F563" s="39"/>
      <c r="G563" s="39"/>
      <c r="H563" s="39"/>
      <c r="I563" s="40"/>
      <c r="J563" s="40"/>
      <c r="K563" s="35"/>
      <c r="L563" s="35"/>
      <c r="M563" s="35"/>
      <c r="N563" s="39"/>
      <c r="O563" s="39"/>
      <c r="P563" s="39"/>
      <c r="Q563" s="39"/>
      <c r="R563" s="39"/>
      <c r="S563" s="39"/>
      <c r="T563" s="39"/>
      <c r="U563" s="39"/>
      <c r="V563" s="39"/>
      <c r="W563" s="39"/>
      <c r="X563" s="39"/>
      <c r="Y563" s="39"/>
      <c r="Z563" s="39"/>
      <c r="AA563" s="39"/>
      <c r="AB563" s="39"/>
      <c r="AC563" s="39"/>
      <c r="AD563" s="39"/>
      <c r="AE563" s="39"/>
      <c r="AF563" s="39"/>
      <c r="AG563" s="39"/>
      <c r="AH563" s="39"/>
      <c r="AI563" s="35"/>
      <c r="AJ563" s="39"/>
      <c r="AK563" s="39"/>
      <c r="AL563" s="39"/>
      <c r="AM563" s="35"/>
      <c r="AN563" s="35"/>
      <c r="AO563" s="39"/>
      <c r="AP563" s="39"/>
      <c r="AQ563" s="35"/>
      <c r="AR563" s="35"/>
      <c r="AS563" s="35"/>
      <c r="AT563" s="30">
        <f t="shared" ca="1" si="62"/>
        <v>0</v>
      </c>
      <c r="AU563" s="32" t="str">
        <f t="shared" ca="1" si="61"/>
        <v/>
      </c>
      <c r="AV563" s="32" t="str" cm="1">
        <f t="array" aca="1" ref="AV563" ca="1">IFERROR(_xlfn.IFS($AU563="","",$AU563&lt;=15,"0-15",AND($AU563&gt;=16,$AU563&lt;=30),"16-30",AND($AU563&gt;=31,$AU563&lt;=45),"31-45",AND($AU563&gt;=46,$AU563&lt;=60),"46-60",AND($AU563&gt;=61,$AU563&lt;=90),"61-90",AND($AU563&gt;=91),"&gt; 90",AND($AU563&gt;=2000),""),"")</f>
        <v/>
      </c>
      <c r="AW563" s="32" t="str" cm="1">
        <f t="array" aca="1" ref="AW563" ca="1">IFERROR(_xlfn.IFS(OR($M563="",$AM563=""),"",OR($C563="Offered",$C563="Joined"),($AM563-$M563)-$AT563),"")</f>
        <v/>
      </c>
      <c r="AX563" s="32" t="str" cm="1">
        <f t="array" aca="1" ref="AX563" ca="1">IFERROR(_xlfn.IFS(OR($M563="",$AS563=""),"",$C563="Joined",($AS563-$M563)-$AT563),"")</f>
        <v/>
      </c>
      <c r="AY563" s="30" t="str">
        <f>IFERROR(IF(COUNTIFS('Candidate Tracker'!$E:$E,'Positions Tracker'!$B563,'Candidate Tracker'!$C:$C,"Offer Drop")=0,"",COUNTIFS('Candidate Tracker'!$E:$E,'Positions Tracker'!$B563,'Candidate Tracker'!$C:$C,"Offer Drop")),"")</f>
        <v/>
      </c>
      <c r="AZ56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3" s="34" t="str">
        <f>IFERROR(IF(COUNTIFS('Candidate Tracker'!$E:$E,'Positions Tracker'!$B563,'Candidate Tracker'!$I:$I,"Female")=0,"",COUNTIFS('Candidate Tracker'!$E:$E,'Positions Tracker'!$B563,'Candidate Tracker'!$I:$I,"Female")),"")</f>
        <v/>
      </c>
      <c r="BB563" s="34" t="str">
        <f>IFERROR(IF(COUNTIFS('Candidate Tracker'!$E:$E,'Positions Tracker'!$B563,'Candidate Tracker'!$I:$I,"male")=0,"",COUNTIFS('Candidate Tracker'!$E:$E,'Positions Tracker'!$B563,'Candidate Tracker'!$I:$I,"male")),"")</f>
        <v/>
      </c>
      <c r="BC563" s="33" t="str">
        <f>IFERROR(IF(COUNTIFS('Candidate Tracker'!$E:$E,'Positions Tracker'!$B563,'Candidate Tracker'!$C:$C,"&lt;&gt;WIP",'Candidate Tracker'!$C:$C,"&lt;&gt;Hold",'Candidate Tracker'!$C:$C,"&lt;&gt;Cancelled",'Candidate Tracker'!$C:$C,"&lt;&gt;Closed")/COUNTIFS('Candidate Tracker'!$E:$E,'Positions Tracker'!$B563)=0,"",COUNTIFS('Candidate Tracker'!$E:$E,'Positions Tracker'!$B563,'Candidate Tracker'!$C:$C,"&lt;&gt;WIP",'Candidate Tracker'!$C:$C,"&lt;&gt;Hold",'Candidate Tracker'!$C:$C,"&lt;&gt;Cancelled",'Candidate Tracker'!$C:$C,"&lt;&gt;Closed")/COUNTIFS('Candidate Tracker'!$E:$E,'Positions Tracker'!$B563)),"")</f>
        <v/>
      </c>
      <c r="BD563" s="30" t="str">
        <f t="shared" si="63"/>
        <v/>
      </c>
      <c r="BE563" s="30" t="str">
        <f t="shared" si="64"/>
        <v/>
      </c>
      <c r="BF563" s="30" t="str">
        <f t="shared" si="65"/>
        <v/>
      </c>
      <c r="BG563" s="30" t="str">
        <f t="shared" si="66"/>
        <v/>
      </c>
    </row>
    <row r="564" spans="1:59">
      <c r="A564" s="39"/>
      <c r="B564" s="39"/>
      <c r="C564" s="39"/>
      <c r="D564" s="39"/>
      <c r="E564" s="39"/>
      <c r="F564" s="39"/>
      <c r="G564" s="39"/>
      <c r="H564" s="39"/>
      <c r="I564" s="40"/>
      <c r="J564" s="40"/>
      <c r="K564" s="35"/>
      <c r="L564" s="35"/>
      <c r="M564" s="35"/>
      <c r="N564" s="39"/>
      <c r="O564" s="39"/>
      <c r="P564" s="39"/>
      <c r="Q564" s="39"/>
      <c r="R564" s="39"/>
      <c r="S564" s="39"/>
      <c r="T564" s="39"/>
      <c r="U564" s="39"/>
      <c r="V564" s="39"/>
      <c r="W564" s="39"/>
      <c r="X564" s="39"/>
      <c r="Y564" s="39"/>
      <c r="Z564" s="39"/>
      <c r="AA564" s="39"/>
      <c r="AB564" s="39"/>
      <c r="AC564" s="39"/>
      <c r="AD564" s="39"/>
      <c r="AE564" s="39"/>
      <c r="AF564" s="39"/>
      <c r="AG564" s="39"/>
      <c r="AH564" s="39"/>
      <c r="AI564" s="35"/>
      <c r="AJ564" s="39"/>
      <c r="AK564" s="39"/>
      <c r="AL564" s="39"/>
      <c r="AM564" s="35"/>
      <c r="AN564" s="35"/>
      <c r="AO564" s="39"/>
      <c r="AP564" s="39"/>
      <c r="AQ564" s="35"/>
      <c r="AR564" s="35"/>
      <c r="AS564" s="35"/>
      <c r="AT564" s="30">
        <f t="shared" ca="1" si="62"/>
        <v>0</v>
      </c>
      <c r="AU564" s="32" t="str">
        <f t="shared" ca="1" si="61"/>
        <v/>
      </c>
      <c r="AV564" s="32" t="str" cm="1">
        <f t="array" aca="1" ref="AV564" ca="1">IFERROR(_xlfn.IFS($AU564="","",$AU564&lt;=15,"0-15",AND($AU564&gt;=16,$AU564&lt;=30),"16-30",AND($AU564&gt;=31,$AU564&lt;=45),"31-45",AND($AU564&gt;=46,$AU564&lt;=60),"46-60",AND($AU564&gt;=61,$AU564&lt;=90),"61-90",AND($AU564&gt;=91),"&gt; 90",AND($AU564&gt;=2000),""),"")</f>
        <v/>
      </c>
      <c r="AW564" s="32" t="str" cm="1">
        <f t="array" aca="1" ref="AW564" ca="1">IFERROR(_xlfn.IFS(OR($M564="",$AM564=""),"",OR($C564="Offered",$C564="Joined"),($AM564-$M564)-$AT564),"")</f>
        <v/>
      </c>
      <c r="AX564" s="32" t="str" cm="1">
        <f t="array" aca="1" ref="AX564" ca="1">IFERROR(_xlfn.IFS(OR($M564="",$AS564=""),"",$C564="Joined",($AS564-$M564)-$AT564),"")</f>
        <v/>
      </c>
      <c r="AY564" s="30" t="str">
        <f>IFERROR(IF(COUNTIFS('Candidate Tracker'!$E:$E,'Positions Tracker'!$B564,'Candidate Tracker'!$C:$C,"Offer Drop")=0,"",COUNTIFS('Candidate Tracker'!$E:$E,'Positions Tracker'!$B564,'Candidate Tracker'!$C:$C,"Offer Drop")),"")</f>
        <v/>
      </c>
      <c r="AZ5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4" s="34" t="str">
        <f>IFERROR(IF(COUNTIFS('Candidate Tracker'!$E:$E,'Positions Tracker'!$B564,'Candidate Tracker'!$I:$I,"Female")=0,"",COUNTIFS('Candidate Tracker'!$E:$E,'Positions Tracker'!$B564,'Candidate Tracker'!$I:$I,"Female")),"")</f>
        <v/>
      </c>
      <c r="BB564" s="34" t="str">
        <f>IFERROR(IF(COUNTIFS('Candidate Tracker'!$E:$E,'Positions Tracker'!$B564,'Candidate Tracker'!$I:$I,"male")=0,"",COUNTIFS('Candidate Tracker'!$E:$E,'Positions Tracker'!$B564,'Candidate Tracker'!$I:$I,"male")),"")</f>
        <v/>
      </c>
      <c r="BC564" s="33" t="str">
        <f>IFERROR(IF(COUNTIFS('Candidate Tracker'!$E:$E,'Positions Tracker'!$B564,'Candidate Tracker'!$C:$C,"&lt;&gt;WIP",'Candidate Tracker'!$C:$C,"&lt;&gt;Hold",'Candidate Tracker'!$C:$C,"&lt;&gt;Cancelled",'Candidate Tracker'!$C:$C,"&lt;&gt;Closed")/COUNTIFS('Candidate Tracker'!$E:$E,'Positions Tracker'!$B564)=0,"",COUNTIFS('Candidate Tracker'!$E:$E,'Positions Tracker'!$B564,'Candidate Tracker'!$C:$C,"&lt;&gt;WIP",'Candidate Tracker'!$C:$C,"&lt;&gt;Hold",'Candidate Tracker'!$C:$C,"&lt;&gt;Cancelled",'Candidate Tracker'!$C:$C,"&lt;&gt;Closed")/COUNTIFS('Candidate Tracker'!$E:$E,'Positions Tracker'!$B564)),"")</f>
        <v/>
      </c>
      <c r="BD564" s="30" t="str">
        <f t="shared" si="63"/>
        <v/>
      </c>
      <c r="BE564" s="30" t="str">
        <f t="shared" si="64"/>
        <v/>
      </c>
      <c r="BF564" s="30" t="str">
        <f t="shared" si="65"/>
        <v/>
      </c>
      <c r="BG564" s="30" t="str">
        <f t="shared" si="66"/>
        <v/>
      </c>
    </row>
    <row r="565" spans="1:59">
      <c r="A565" s="39"/>
      <c r="B565" s="39"/>
      <c r="C565" s="39"/>
      <c r="D565" s="39"/>
      <c r="E565" s="39"/>
      <c r="F565" s="39"/>
      <c r="G565" s="39"/>
      <c r="H565" s="39"/>
      <c r="I565" s="40"/>
      <c r="J565" s="40"/>
      <c r="K565" s="35"/>
      <c r="L565" s="35"/>
      <c r="M565" s="35"/>
      <c r="N565" s="39"/>
      <c r="O565" s="39"/>
      <c r="P565" s="39"/>
      <c r="Q565" s="39"/>
      <c r="R565" s="39"/>
      <c r="S565" s="39"/>
      <c r="T565" s="39"/>
      <c r="U565" s="39"/>
      <c r="V565" s="39"/>
      <c r="W565" s="39"/>
      <c r="X565" s="39"/>
      <c r="Y565" s="39"/>
      <c r="Z565" s="39"/>
      <c r="AA565" s="39"/>
      <c r="AB565" s="39"/>
      <c r="AC565" s="39"/>
      <c r="AD565" s="39"/>
      <c r="AE565" s="39"/>
      <c r="AF565" s="39"/>
      <c r="AG565" s="39"/>
      <c r="AH565" s="39"/>
      <c r="AI565" s="35"/>
      <c r="AJ565" s="39"/>
      <c r="AK565" s="39"/>
      <c r="AL565" s="39"/>
      <c r="AM565" s="35"/>
      <c r="AN565" s="35"/>
      <c r="AO565" s="39"/>
      <c r="AP565" s="39"/>
      <c r="AQ565" s="35"/>
      <c r="AR565" s="35"/>
      <c r="AS565" s="35"/>
      <c r="AT565" s="30">
        <f t="shared" ca="1" si="62"/>
        <v>0</v>
      </c>
      <c r="AU565" s="32" t="str">
        <f t="shared" ca="1" si="61"/>
        <v/>
      </c>
      <c r="AV565" s="32" t="str" cm="1">
        <f t="array" aca="1" ref="AV565" ca="1">IFERROR(_xlfn.IFS($AU565="","",$AU565&lt;=15,"0-15",AND($AU565&gt;=16,$AU565&lt;=30),"16-30",AND($AU565&gt;=31,$AU565&lt;=45),"31-45",AND($AU565&gt;=46,$AU565&lt;=60),"46-60",AND($AU565&gt;=61,$AU565&lt;=90),"61-90",AND($AU565&gt;=91),"&gt; 90",AND($AU565&gt;=2000),""),"")</f>
        <v/>
      </c>
      <c r="AW565" s="32" t="str" cm="1">
        <f t="array" aca="1" ref="AW565" ca="1">IFERROR(_xlfn.IFS(OR($M565="",$AM565=""),"",OR($C565="Offered",$C565="Joined"),($AM565-$M565)-$AT565),"")</f>
        <v/>
      </c>
      <c r="AX565" s="32" t="str" cm="1">
        <f t="array" aca="1" ref="AX565" ca="1">IFERROR(_xlfn.IFS(OR($M565="",$AS565=""),"",$C565="Joined",($AS565-$M565)-$AT565),"")</f>
        <v/>
      </c>
      <c r="AY565" s="30" t="str">
        <f>IFERROR(IF(COUNTIFS('Candidate Tracker'!$E:$E,'Positions Tracker'!$B565,'Candidate Tracker'!$C:$C,"Offer Drop")=0,"",COUNTIFS('Candidate Tracker'!$E:$E,'Positions Tracker'!$B565,'Candidate Tracker'!$C:$C,"Offer Drop")),"")</f>
        <v/>
      </c>
      <c r="AZ56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5" s="34" t="str">
        <f>IFERROR(IF(COUNTIFS('Candidate Tracker'!$E:$E,'Positions Tracker'!$B565,'Candidate Tracker'!$I:$I,"Female")=0,"",COUNTIFS('Candidate Tracker'!$E:$E,'Positions Tracker'!$B565,'Candidate Tracker'!$I:$I,"Female")),"")</f>
        <v/>
      </c>
      <c r="BB565" s="34" t="str">
        <f>IFERROR(IF(COUNTIFS('Candidate Tracker'!$E:$E,'Positions Tracker'!$B565,'Candidate Tracker'!$I:$I,"male")=0,"",COUNTIFS('Candidate Tracker'!$E:$E,'Positions Tracker'!$B565,'Candidate Tracker'!$I:$I,"male")),"")</f>
        <v/>
      </c>
      <c r="BC565" s="33" t="str">
        <f>IFERROR(IF(COUNTIFS('Candidate Tracker'!$E:$E,'Positions Tracker'!$B565,'Candidate Tracker'!$C:$C,"&lt;&gt;WIP",'Candidate Tracker'!$C:$C,"&lt;&gt;Hold",'Candidate Tracker'!$C:$C,"&lt;&gt;Cancelled",'Candidate Tracker'!$C:$C,"&lt;&gt;Closed")/COUNTIFS('Candidate Tracker'!$E:$E,'Positions Tracker'!$B565)=0,"",COUNTIFS('Candidate Tracker'!$E:$E,'Positions Tracker'!$B565,'Candidate Tracker'!$C:$C,"&lt;&gt;WIP",'Candidate Tracker'!$C:$C,"&lt;&gt;Hold",'Candidate Tracker'!$C:$C,"&lt;&gt;Cancelled",'Candidate Tracker'!$C:$C,"&lt;&gt;Closed")/COUNTIFS('Candidate Tracker'!$E:$E,'Positions Tracker'!$B565)),"")</f>
        <v/>
      </c>
      <c r="BD565" s="30" t="str">
        <f t="shared" si="63"/>
        <v/>
      </c>
      <c r="BE565" s="30" t="str">
        <f t="shared" si="64"/>
        <v/>
      </c>
      <c r="BF565" s="30" t="str">
        <f t="shared" si="65"/>
        <v/>
      </c>
      <c r="BG565" s="30" t="str">
        <f t="shared" si="66"/>
        <v/>
      </c>
    </row>
    <row r="566" spans="1:59">
      <c r="A566" s="39"/>
      <c r="B566" s="39"/>
      <c r="C566" s="39"/>
      <c r="D566" s="39"/>
      <c r="E566" s="39"/>
      <c r="F566" s="39"/>
      <c r="G566" s="39"/>
      <c r="H566" s="39"/>
      <c r="I566" s="40"/>
      <c r="J566" s="40"/>
      <c r="K566" s="35"/>
      <c r="L566" s="35"/>
      <c r="M566" s="35"/>
      <c r="N566" s="39"/>
      <c r="O566" s="39"/>
      <c r="P566" s="39"/>
      <c r="Q566" s="39"/>
      <c r="R566" s="39"/>
      <c r="S566" s="39"/>
      <c r="T566" s="39"/>
      <c r="U566" s="39"/>
      <c r="V566" s="39"/>
      <c r="W566" s="39"/>
      <c r="X566" s="39"/>
      <c r="Y566" s="39"/>
      <c r="Z566" s="39"/>
      <c r="AA566" s="39"/>
      <c r="AB566" s="39"/>
      <c r="AC566" s="39"/>
      <c r="AD566" s="39"/>
      <c r="AE566" s="39"/>
      <c r="AF566" s="39"/>
      <c r="AG566" s="39"/>
      <c r="AH566" s="39"/>
      <c r="AI566" s="35"/>
      <c r="AJ566" s="39"/>
      <c r="AK566" s="39"/>
      <c r="AL566" s="39"/>
      <c r="AM566" s="35"/>
      <c r="AN566" s="35"/>
      <c r="AO566" s="39"/>
      <c r="AP566" s="39"/>
      <c r="AQ566" s="35"/>
      <c r="AR566" s="35"/>
      <c r="AS566" s="35"/>
      <c r="AT566" s="30">
        <f t="shared" ca="1" si="62"/>
        <v>0</v>
      </c>
      <c r="AU566" s="32" t="str">
        <f t="shared" ca="1" si="61"/>
        <v/>
      </c>
      <c r="AV566" s="32" t="str" cm="1">
        <f t="array" aca="1" ref="AV566" ca="1">IFERROR(_xlfn.IFS($AU566="","",$AU566&lt;=15,"0-15",AND($AU566&gt;=16,$AU566&lt;=30),"16-30",AND($AU566&gt;=31,$AU566&lt;=45),"31-45",AND($AU566&gt;=46,$AU566&lt;=60),"46-60",AND($AU566&gt;=61,$AU566&lt;=90),"61-90",AND($AU566&gt;=91),"&gt; 90",AND($AU566&gt;=2000),""),"")</f>
        <v/>
      </c>
      <c r="AW566" s="32" t="str" cm="1">
        <f t="array" aca="1" ref="AW566" ca="1">IFERROR(_xlfn.IFS(OR($M566="",$AM566=""),"",OR($C566="Offered",$C566="Joined"),($AM566-$M566)-$AT566),"")</f>
        <v/>
      </c>
      <c r="AX566" s="32" t="str" cm="1">
        <f t="array" aca="1" ref="AX566" ca="1">IFERROR(_xlfn.IFS(OR($M566="",$AS566=""),"",$C566="Joined",($AS566-$M566)-$AT566),"")</f>
        <v/>
      </c>
      <c r="AY566" s="30" t="str">
        <f>IFERROR(IF(COUNTIFS('Candidate Tracker'!$E:$E,'Positions Tracker'!$B566,'Candidate Tracker'!$C:$C,"Offer Drop")=0,"",COUNTIFS('Candidate Tracker'!$E:$E,'Positions Tracker'!$B566,'Candidate Tracker'!$C:$C,"Offer Drop")),"")</f>
        <v/>
      </c>
      <c r="AZ5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6" s="34" t="str">
        <f>IFERROR(IF(COUNTIFS('Candidate Tracker'!$E:$E,'Positions Tracker'!$B566,'Candidate Tracker'!$I:$I,"Female")=0,"",COUNTIFS('Candidate Tracker'!$E:$E,'Positions Tracker'!$B566,'Candidate Tracker'!$I:$I,"Female")),"")</f>
        <v/>
      </c>
      <c r="BB566" s="34" t="str">
        <f>IFERROR(IF(COUNTIFS('Candidate Tracker'!$E:$E,'Positions Tracker'!$B566,'Candidate Tracker'!$I:$I,"male")=0,"",COUNTIFS('Candidate Tracker'!$E:$E,'Positions Tracker'!$B566,'Candidate Tracker'!$I:$I,"male")),"")</f>
        <v/>
      </c>
      <c r="BC566" s="33" t="str">
        <f>IFERROR(IF(COUNTIFS('Candidate Tracker'!$E:$E,'Positions Tracker'!$B566,'Candidate Tracker'!$C:$C,"&lt;&gt;WIP",'Candidate Tracker'!$C:$C,"&lt;&gt;Hold",'Candidate Tracker'!$C:$C,"&lt;&gt;Cancelled",'Candidate Tracker'!$C:$C,"&lt;&gt;Closed")/COUNTIFS('Candidate Tracker'!$E:$E,'Positions Tracker'!$B566)=0,"",COUNTIFS('Candidate Tracker'!$E:$E,'Positions Tracker'!$B566,'Candidate Tracker'!$C:$C,"&lt;&gt;WIP",'Candidate Tracker'!$C:$C,"&lt;&gt;Hold",'Candidate Tracker'!$C:$C,"&lt;&gt;Cancelled",'Candidate Tracker'!$C:$C,"&lt;&gt;Closed")/COUNTIFS('Candidate Tracker'!$E:$E,'Positions Tracker'!$B566)),"")</f>
        <v/>
      </c>
      <c r="BD566" s="30" t="str">
        <f t="shared" si="63"/>
        <v/>
      </c>
      <c r="BE566" s="30" t="str">
        <f t="shared" si="64"/>
        <v/>
      </c>
      <c r="BF566" s="30" t="str">
        <f t="shared" si="65"/>
        <v/>
      </c>
      <c r="BG566" s="30" t="str">
        <f t="shared" si="66"/>
        <v/>
      </c>
    </row>
    <row r="567" spans="1:59">
      <c r="A567" s="39"/>
      <c r="B567" s="39"/>
      <c r="C567" s="39"/>
      <c r="D567" s="39"/>
      <c r="E567" s="39"/>
      <c r="F567" s="39"/>
      <c r="G567" s="39"/>
      <c r="H567" s="39"/>
      <c r="I567" s="40"/>
      <c r="J567" s="40"/>
      <c r="K567" s="35"/>
      <c r="L567" s="35"/>
      <c r="M567" s="35"/>
      <c r="N567" s="39"/>
      <c r="O567" s="39"/>
      <c r="P567" s="39"/>
      <c r="Q567" s="39"/>
      <c r="R567" s="39"/>
      <c r="S567" s="39"/>
      <c r="T567" s="39"/>
      <c r="U567" s="39"/>
      <c r="V567" s="39"/>
      <c r="W567" s="39"/>
      <c r="X567" s="39"/>
      <c r="Y567" s="39"/>
      <c r="Z567" s="39"/>
      <c r="AA567" s="39"/>
      <c r="AB567" s="39"/>
      <c r="AC567" s="39"/>
      <c r="AD567" s="39"/>
      <c r="AE567" s="39"/>
      <c r="AF567" s="39"/>
      <c r="AG567" s="39"/>
      <c r="AH567" s="39"/>
      <c r="AI567" s="35"/>
      <c r="AJ567" s="39"/>
      <c r="AK567" s="39"/>
      <c r="AL567" s="39"/>
      <c r="AM567" s="35"/>
      <c r="AN567" s="35"/>
      <c r="AO567" s="39"/>
      <c r="AP567" s="39"/>
      <c r="AQ567" s="35"/>
      <c r="AR567" s="35"/>
      <c r="AS567" s="35"/>
      <c r="AT567" s="30">
        <f t="shared" ca="1" si="62"/>
        <v>0</v>
      </c>
      <c r="AU567" s="32" t="str">
        <f t="shared" ca="1" si="61"/>
        <v/>
      </c>
      <c r="AV567" s="32" t="str" cm="1">
        <f t="array" aca="1" ref="AV567" ca="1">IFERROR(_xlfn.IFS($AU567="","",$AU567&lt;=15,"0-15",AND($AU567&gt;=16,$AU567&lt;=30),"16-30",AND($AU567&gt;=31,$AU567&lt;=45),"31-45",AND($AU567&gt;=46,$AU567&lt;=60),"46-60",AND($AU567&gt;=61,$AU567&lt;=90),"61-90",AND($AU567&gt;=91),"&gt; 90",AND($AU567&gt;=2000),""),"")</f>
        <v/>
      </c>
      <c r="AW567" s="32" t="str" cm="1">
        <f t="array" aca="1" ref="AW567" ca="1">IFERROR(_xlfn.IFS(OR($M567="",$AM567=""),"",OR($C567="Offered",$C567="Joined"),($AM567-$M567)-$AT567),"")</f>
        <v/>
      </c>
      <c r="AX567" s="32" t="str" cm="1">
        <f t="array" aca="1" ref="AX567" ca="1">IFERROR(_xlfn.IFS(OR($M567="",$AS567=""),"",$C567="Joined",($AS567-$M567)-$AT567),"")</f>
        <v/>
      </c>
      <c r="AY567" s="30" t="str">
        <f>IFERROR(IF(COUNTIFS('Candidate Tracker'!$E:$E,'Positions Tracker'!$B567,'Candidate Tracker'!$C:$C,"Offer Drop")=0,"",COUNTIFS('Candidate Tracker'!$E:$E,'Positions Tracker'!$B567,'Candidate Tracker'!$C:$C,"Offer Drop")),"")</f>
        <v/>
      </c>
      <c r="AZ5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7" s="34" t="str">
        <f>IFERROR(IF(COUNTIFS('Candidate Tracker'!$E:$E,'Positions Tracker'!$B567,'Candidate Tracker'!$I:$I,"Female")=0,"",COUNTIFS('Candidate Tracker'!$E:$E,'Positions Tracker'!$B567,'Candidate Tracker'!$I:$I,"Female")),"")</f>
        <v/>
      </c>
      <c r="BB567" s="34" t="str">
        <f>IFERROR(IF(COUNTIFS('Candidate Tracker'!$E:$E,'Positions Tracker'!$B567,'Candidate Tracker'!$I:$I,"male")=0,"",COUNTIFS('Candidate Tracker'!$E:$E,'Positions Tracker'!$B567,'Candidate Tracker'!$I:$I,"male")),"")</f>
        <v/>
      </c>
      <c r="BC567" s="33" t="str">
        <f>IFERROR(IF(COUNTIFS('Candidate Tracker'!$E:$E,'Positions Tracker'!$B567,'Candidate Tracker'!$C:$C,"&lt;&gt;WIP",'Candidate Tracker'!$C:$C,"&lt;&gt;Hold",'Candidate Tracker'!$C:$C,"&lt;&gt;Cancelled",'Candidate Tracker'!$C:$C,"&lt;&gt;Closed")/COUNTIFS('Candidate Tracker'!$E:$E,'Positions Tracker'!$B567)=0,"",COUNTIFS('Candidate Tracker'!$E:$E,'Positions Tracker'!$B567,'Candidate Tracker'!$C:$C,"&lt;&gt;WIP",'Candidate Tracker'!$C:$C,"&lt;&gt;Hold",'Candidate Tracker'!$C:$C,"&lt;&gt;Cancelled",'Candidate Tracker'!$C:$C,"&lt;&gt;Closed")/COUNTIFS('Candidate Tracker'!$E:$E,'Positions Tracker'!$B567)),"")</f>
        <v/>
      </c>
      <c r="BD567" s="30" t="str">
        <f t="shared" si="63"/>
        <v/>
      </c>
      <c r="BE567" s="30" t="str">
        <f t="shared" si="64"/>
        <v/>
      </c>
      <c r="BF567" s="30" t="str">
        <f t="shared" si="65"/>
        <v/>
      </c>
      <c r="BG567" s="30" t="str">
        <f t="shared" si="66"/>
        <v/>
      </c>
    </row>
    <row r="568" spans="1:59">
      <c r="A568" s="39"/>
      <c r="B568" s="39"/>
      <c r="C568" s="39"/>
      <c r="D568" s="39"/>
      <c r="E568" s="39"/>
      <c r="F568" s="39"/>
      <c r="G568" s="39"/>
      <c r="H568" s="39"/>
      <c r="I568" s="40"/>
      <c r="J568" s="40"/>
      <c r="K568" s="35"/>
      <c r="L568" s="35"/>
      <c r="M568" s="35"/>
      <c r="N568" s="39"/>
      <c r="O568" s="39"/>
      <c r="P568" s="39"/>
      <c r="Q568" s="39"/>
      <c r="R568" s="39"/>
      <c r="S568" s="39"/>
      <c r="T568" s="39"/>
      <c r="U568" s="39"/>
      <c r="V568" s="39"/>
      <c r="W568" s="39"/>
      <c r="X568" s="39"/>
      <c r="Y568" s="39"/>
      <c r="Z568" s="39"/>
      <c r="AA568" s="39"/>
      <c r="AB568" s="39"/>
      <c r="AC568" s="39"/>
      <c r="AD568" s="39"/>
      <c r="AE568" s="39"/>
      <c r="AF568" s="39"/>
      <c r="AG568" s="39"/>
      <c r="AH568" s="39"/>
      <c r="AI568" s="35"/>
      <c r="AJ568" s="39"/>
      <c r="AK568" s="39"/>
      <c r="AL568" s="39"/>
      <c r="AM568" s="35"/>
      <c r="AN568" s="35"/>
      <c r="AO568" s="39"/>
      <c r="AP568" s="39"/>
      <c r="AQ568" s="35"/>
      <c r="AR568" s="35"/>
      <c r="AS568" s="35"/>
      <c r="AT568" s="30">
        <f t="shared" ca="1" si="62"/>
        <v>0</v>
      </c>
      <c r="AU568" s="32" t="str">
        <f t="shared" ca="1" si="61"/>
        <v/>
      </c>
      <c r="AV568" s="32" t="str" cm="1">
        <f t="array" aca="1" ref="AV568" ca="1">IFERROR(_xlfn.IFS($AU568="","",$AU568&lt;=15,"0-15",AND($AU568&gt;=16,$AU568&lt;=30),"16-30",AND($AU568&gt;=31,$AU568&lt;=45),"31-45",AND($AU568&gt;=46,$AU568&lt;=60),"46-60",AND($AU568&gt;=61,$AU568&lt;=90),"61-90",AND($AU568&gt;=91),"&gt; 90",AND($AU568&gt;=2000),""),"")</f>
        <v/>
      </c>
      <c r="AW568" s="32" t="str" cm="1">
        <f t="array" aca="1" ref="AW568" ca="1">IFERROR(_xlfn.IFS(OR($M568="",$AM568=""),"",OR($C568="Offered",$C568="Joined"),($AM568-$M568)-$AT568),"")</f>
        <v/>
      </c>
      <c r="AX568" s="32" t="str" cm="1">
        <f t="array" aca="1" ref="AX568" ca="1">IFERROR(_xlfn.IFS(OR($M568="",$AS568=""),"",$C568="Joined",($AS568-$M568)-$AT568),"")</f>
        <v/>
      </c>
      <c r="AY568" s="30" t="str">
        <f>IFERROR(IF(COUNTIFS('Candidate Tracker'!$E:$E,'Positions Tracker'!$B568,'Candidate Tracker'!$C:$C,"Offer Drop")=0,"",COUNTIFS('Candidate Tracker'!$E:$E,'Positions Tracker'!$B568,'Candidate Tracker'!$C:$C,"Offer Drop")),"")</f>
        <v/>
      </c>
      <c r="AZ5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8" s="34" t="str">
        <f>IFERROR(IF(COUNTIFS('Candidate Tracker'!$E:$E,'Positions Tracker'!$B568,'Candidate Tracker'!$I:$I,"Female")=0,"",COUNTIFS('Candidate Tracker'!$E:$E,'Positions Tracker'!$B568,'Candidate Tracker'!$I:$I,"Female")),"")</f>
        <v/>
      </c>
      <c r="BB568" s="34" t="str">
        <f>IFERROR(IF(COUNTIFS('Candidate Tracker'!$E:$E,'Positions Tracker'!$B568,'Candidate Tracker'!$I:$I,"male")=0,"",COUNTIFS('Candidate Tracker'!$E:$E,'Positions Tracker'!$B568,'Candidate Tracker'!$I:$I,"male")),"")</f>
        <v/>
      </c>
      <c r="BC568" s="33" t="str">
        <f>IFERROR(IF(COUNTIFS('Candidate Tracker'!$E:$E,'Positions Tracker'!$B568,'Candidate Tracker'!$C:$C,"&lt;&gt;WIP",'Candidate Tracker'!$C:$C,"&lt;&gt;Hold",'Candidate Tracker'!$C:$C,"&lt;&gt;Cancelled",'Candidate Tracker'!$C:$C,"&lt;&gt;Closed")/COUNTIFS('Candidate Tracker'!$E:$E,'Positions Tracker'!$B568)=0,"",COUNTIFS('Candidate Tracker'!$E:$E,'Positions Tracker'!$B568,'Candidate Tracker'!$C:$C,"&lt;&gt;WIP",'Candidate Tracker'!$C:$C,"&lt;&gt;Hold",'Candidate Tracker'!$C:$C,"&lt;&gt;Cancelled",'Candidate Tracker'!$C:$C,"&lt;&gt;Closed")/COUNTIFS('Candidate Tracker'!$E:$E,'Positions Tracker'!$B568)),"")</f>
        <v/>
      </c>
      <c r="BD568" s="30" t="str">
        <f t="shared" si="63"/>
        <v/>
      </c>
      <c r="BE568" s="30" t="str">
        <f t="shared" si="64"/>
        <v/>
      </c>
      <c r="BF568" s="30" t="str">
        <f t="shared" si="65"/>
        <v/>
      </c>
      <c r="BG568" s="30" t="str">
        <f t="shared" si="66"/>
        <v/>
      </c>
    </row>
    <row r="569" spans="1:59">
      <c r="A569" s="39"/>
      <c r="B569" s="39"/>
      <c r="C569" s="39"/>
      <c r="D569" s="39"/>
      <c r="E569" s="39"/>
      <c r="F569" s="39"/>
      <c r="G569" s="39"/>
      <c r="H569" s="39"/>
      <c r="I569" s="40"/>
      <c r="J569" s="40"/>
      <c r="K569" s="35"/>
      <c r="L569" s="35"/>
      <c r="M569" s="35"/>
      <c r="N569" s="39"/>
      <c r="O569" s="39"/>
      <c r="P569" s="39"/>
      <c r="Q569" s="39"/>
      <c r="R569" s="39"/>
      <c r="S569" s="39"/>
      <c r="T569" s="39"/>
      <c r="U569" s="39"/>
      <c r="V569" s="39"/>
      <c r="W569" s="39"/>
      <c r="X569" s="39"/>
      <c r="Y569" s="39"/>
      <c r="Z569" s="39"/>
      <c r="AA569" s="39"/>
      <c r="AB569" s="39"/>
      <c r="AC569" s="39"/>
      <c r="AD569" s="39"/>
      <c r="AE569" s="39"/>
      <c r="AF569" s="39"/>
      <c r="AG569" s="39"/>
      <c r="AH569" s="39"/>
      <c r="AI569" s="35"/>
      <c r="AJ569" s="39"/>
      <c r="AK569" s="39"/>
      <c r="AL569" s="39"/>
      <c r="AM569" s="35"/>
      <c r="AN569" s="35"/>
      <c r="AO569" s="39"/>
      <c r="AP569" s="39"/>
      <c r="AQ569" s="35"/>
      <c r="AR569" s="35"/>
      <c r="AS569" s="35"/>
      <c r="AT569" s="30">
        <f t="shared" ca="1" si="62"/>
        <v>0</v>
      </c>
      <c r="AU569" s="32" t="str">
        <f t="shared" ca="1" si="61"/>
        <v/>
      </c>
      <c r="AV569" s="32" t="str" cm="1">
        <f t="array" aca="1" ref="AV569" ca="1">IFERROR(_xlfn.IFS($AU569="","",$AU569&lt;=15,"0-15",AND($AU569&gt;=16,$AU569&lt;=30),"16-30",AND($AU569&gt;=31,$AU569&lt;=45),"31-45",AND($AU569&gt;=46,$AU569&lt;=60),"46-60",AND($AU569&gt;=61,$AU569&lt;=90),"61-90",AND($AU569&gt;=91),"&gt; 90",AND($AU569&gt;=2000),""),"")</f>
        <v/>
      </c>
      <c r="AW569" s="32" t="str" cm="1">
        <f t="array" aca="1" ref="AW569" ca="1">IFERROR(_xlfn.IFS(OR($M569="",$AM569=""),"",OR($C569="Offered",$C569="Joined"),($AM569-$M569)-$AT569),"")</f>
        <v/>
      </c>
      <c r="AX569" s="32" t="str" cm="1">
        <f t="array" aca="1" ref="AX569" ca="1">IFERROR(_xlfn.IFS(OR($M569="",$AS569=""),"",$C569="Joined",($AS569-$M569)-$AT569),"")</f>
        <v/>
      </c>
      <c r="AY569" s="30" t="str">
        <f>IFERROR(IF(COUNTIFS('Candidate Tracker'!$E:$E,'Positions Tracker'!$B569,'Candidate Tracker'!$C:$C,"Offer Drop")=0,"",COUNTIFS('Candidate Tracker'!$E:$E,'Positions Tracker'!$B569,'Candidate Tracker'!$C:$C,"Offer Drop")),"")</f>
        <v/>
      </c>
      <c r="AZ5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69" s="34" t="str">
        <f>IFERROR(IF(COUNTIFS('Candidate Tracker'!$E:$E,'Positions Tracker'!$B569,'Candidate Tracker'!$I:$I,"Female")=0,"",COUNTIFS('Candidate Tracker'!$E:$E,'Positions Tracker'!$B569,'Candidate Tracker'!$I:$I,"Female")),"")</f>
        <v/>
      </c>
      <c r="BB569" s="34" t="str">
        <f>IFERROR(IF(COUNTIFS('Candidate Tracker'!$E:$E,'Positions Tracker'!$B569,'Candidate Tracker'!$I:$I,"male")=0,"",COUNTIFS('Candidate Tracker'!$E:$E,'Positions Tracker'!$B569,'Candidate Tracker'!$I:$I,"male")),"")</f>
        <v/>
      </c>
      <c r="BC569" s="33" t="str">
        <f>IFERROR(IF(COUNTIFS('Candidate Tracker'!$E:$E,'Positions Tracker'!$B569,'Candidate Tracker'!$C:$C,"&lt;&gt;WIP",'Candidate Tracker'!$C:$C,"&lt;&gt;Hold",'Candidate Tracker'!$C:$C,"&lt;&gt;Cancelled",'Candidate Tracker'!$C:$C,"&lt;&gt;Closed")/COUNTIFS('Candidate Tracker'!$E:$E,'Positions Tracker'!$B569)=0,"",COUNTIFS('Candidate Tracker'!$E:$E,'Positions Tracker'!$B569,'Candidate Tracker'!$C:$C,"&lt;&gt;WIP",'Candidate Tracker'!$C:$C,"&lt;&gt;Hold",'Candidate Tracker'!$C:$C,"&lt;&gt;Cancelled",'Candidate Tracker'!$C:$C,"&lt;&gt;Closed")/COUNTIFS('Candidate Tracker'!$E:$E,'Positions Tracker'!$B569)),"")</f>
        <v/>
      </c>
      <c r="BD569" s="30" t="str">
        <f t="shared" si="63"/>
        <v/>
      </c>
      <c r="BE569" s="30" t="str">
        <f t="shared" si="64"/>
        <v/>
      </c>
      <c r="BF569" s="30" t="str">
        <f t="shared" si="65"/>
        <v/>
      </c>
      <c r="BG569" s="30" t="str">
        <f t="shared" si="66"/>
        <v/>
      </c>
    </row>
    <row r="570" spans="1:59">
      <c r="A570" s="39"/>
      <c r="B570" s="39"/>
      <c r="C570" s="39"/>
      <c r="D570" s="39"/>
      <c r="E570" s="39"/>
      <c r="F570" s="39"/>
      <c r="G570" s="39"/>
      <c r="H570" s="39"/>
      <c r="I570" s="40"/>
      <c r="J570" s="40"/>
      <c r="K570" s="35"/>
      <c r="L570" s="35"/>
      <c r="M570" s="35"/>
      <c r="N570" s="39"/>
      <c r="O570" s="39"/>
      <c r="P570" s="39"/>
      <c r="Q570" s="39"/>
      <c r="R570" s="39"/>
      <c r="S570" s="39"/>
      <c r="T570" s="39"/>
      <c r="U570" s="39"/>
      <c r="V570" s="39"/>
      <c r="W570" s="39"/>
      <c r="X570" s="39"/>
      <c r="Y570" s="39"/>
      <c r="Z570" s="39"/>
      <c r="AA570" s="39"/>
      <c r="AB570" s="39"/>
      <c r="AC570" s="39"/>
      <c r="AD570" s="39"/>
      <c r="AE570" s="39"/>
      <c r="AF570" s="39"/>
      <c r="AG570" s="39"/>
      <c r="AH570" s="39"/>
      <c r="AI570" s="35"/>
      <c r="AJ570" s="39"/>
      <c r="AK570" s="39"/>
      <c r="AL570" s="39"/>
      <c r="AM570" s="35"/>
      <c r="AN570" s="35"/>
      <c r="AO570" s="39"/>
      <c r="AP570" s="39"/>
      <c r="AQ570" s="35"/>
      <c r="AR570" s="35"/>
      <c r="AS570" s="35"/>
      <c r="AT570" s="30">
        <f t="shared" ca="1" si="62"/>
        <v>0</v>
      </c>
      <c r="AU570" s="32" t="str">
        <f t="shared" ca="1" si="61"/>
        <v/>
      </c>
      <c r="AV570" s="32" t="str" cm="1">
        <f t="array" aca="1" ref="AV570" ca="1">IFERROR(_xlfn.IFS($AU570="","",$AU570&lt;=15,"0-15",AND($AU570&gt;=16,$AU570&lt;=30),"16-30",AND($AU570&gt;=31,$AU570&lt;=45),"31-45",AND($AU570&gt;=46,$AU570&lt;=60),"46-60",AND($AU570&gt;=61,$AU570&lt;=90),"61-90",AND($AU570&gt;=91),"&gt; 90",AND($AU570&gt;=2000),""),"")</f>
        <v/>
      </c>
      <c r="AW570" s="32" t="str" cm="1">
        <f t="array" aca="1" ref="AW570" ca="1">IFERROR(_xlfn.IFS(OR($M570="",$AM570=""),"",OR($C570="Offered",$C570="Joined"),($AM570-$M570)-$AT570),"")</f>
        <v/>
      </c>
      <c r="AX570" s="32" t="str" cm="1">
        <f t="array" aca="1" ref="AX570" ca="1">IFERROR(_xlfn.IFS(OR($M570="",$AS570=""),"",$C570="Joined",($AS570-$M570)-$AT570),"")</f>
        <v/>
      </c>
      <c r="AY570" s="30" t="str">
        <f>IFERROR(IF(COUNTIFS('Candidate Tracker'!$E:$E,'Positions Tracker'!$B570,'Candidate Tracker'!$C:$C,"Offer Drop")=0,"",COUNTIFS('Candidate Tracker'!$E:$E,'Positions Tracker'!$B570,'Candidate Tracker'!$C:$C,"Offer Drop")),"")</f>
        <v/>
      </c>
      <c r="AZ5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0" s="34" t="str">
        <f>IFERROR(IF(COUNTIFS('Candidate Tracker'!$E:$E,'Positions Tracker'!$B570,'Candidate Tracker'!$I:$I,"Female")=0,"",COUNTIFS('Candidate Tracker'!$E:$E,'Positions Tracker'!$B570,'Candidate Tracker'!$I:$I,"Female")),"")</f>
        <v/>
      </c>
      <c r="BB570" s="34" t="str">
        <f>IFERROR(IF(COUNTIFS('Candidate Tracker'!$E:$E,'Positions Tracker'!$B570,'Candidate Tracker'!$I:$I,"male")=0,"",COUNTIFS('Candidate Tracker'!$E:$E,'Positions Tracker'!$B570,'Candidate Tracker'!$I:$I,"male")),"")</f>
        <v/>
      </c>
      <c r="BC570" s="33" t="str">
        <f>IFERROR(IF(COUNTIFS('Candidate Tracker'!$E:$E,'Positions Tracker'!$B570,'Candidate Tracker'!$C:$C,"&lt;&gt;WIP",'Candidate Tracker'!$C:$C,"&lt;&gt;Hold",'Candidate Tracker'!$C:$C,"&lt;&gt;Cancelled",'Candidate Tracker'!$C:$C,"&lt;&gt;Closed")/COUNTIFS('Candidate Tracker'!$E:$E,'Positions Tracker'!$B570)=0,"",COUNTIFS('Candidate Tracker'!$E:$E,'Positions Tracker'!$B570,'Candidate Tracker'!$C:$C,"&lt;&gt;WIP",'Candidate Tracker'!$C:$C,"&lt;&gt;Hold",'Candidate Tracker'!$C:$C,"&lt;&gt;Cancelled",'Candidate Tracker'!$C:$C,"&lt;&gt;Closed")/COUNTIFS('Candidate Tracker'!$E:$E,'Positions Tracker'!$B570)),"")</f>
        <v/>
      </c>
      <c r="BD570" s="30" t="str">
        <f t="shared" si="63"/>
        <v/>
      </c>
      <c r="BE570" s="30" t="str">
        <f t="shared" si="64"/>
        <v/>
      </c>
      <c r="BF570" s="30" t="str">
        <f t="shared" si="65"/>
        <v/>
      </c>
      <c r="BG570" s="30" t="str">
        <f t="shared" si="66"/>
        <v/>
      </c>
    </row>
    <row r="571" spans="1:59">
      <c r="A571" s="39"/>
      <c r="B571" s="39"/>
      <c r="C571" s="39"/>
      <c r="D571" s="39"/>
      <c r="E571" s="39"/>
      <c r="F571" s="39"/>
      <c r="G571" s="39"/>
      <c r="H571" s="39"/>
      <c r="I571" s="40"/>
      <c r="J571" s="40"/>
      <c r="K571" s="35"/>
      <c r="L571" s="35"/>
      <c r="M571" s="35"/>
      <c r="N571" s="39"/>
      <c r="O571" s="39"/>
      <c r="P571" s="39"/>
      <c r="Q571" s="39"/>
      <c r="R571" s="39"/>
      <c r="S571" s="39"/>
      <c r="T571" s="39"/>
      <c r="U571" s="39"/>
      <c r="V571" s="39"/>
      <c r="W571" s="39"/>
      <c r="X571" s="39"/>
      <c r="Y571" s="39"/>
      <c r="Z571" s="39"/>
      <c r="AA571" s="39"/>
      <c r="AB571" s="39"/>
      <c r="AC571" s="39"/>
      <c r="AD571" s="39"/>
      <c r="AE571" s="39"/>
      <c r="AF571" s="39"/>
      <c r="AG571" s="39"/>
      <c r="AH571" s="39"/>
      <c r="AI571" s="35"/>
      <c r="AJ571" s="39"/>
      <c r="AK571" s="39"/>
      <c r="AL571" s="39"/>
      <c r="AM571" s="35"/>
      <c r="AN571" s="35"/>
      <c r="AO571" s="39"/>
      <c r="AP571" s="39"/>
      <c r="AQ571" s="35"/>
      <c r="AR571" s="35"/>
      <c r="AS571" s="35"/>
      <c r="AT571" s="30">
        <f t="shared" ca="1" si="62"/>
        <v>0</v>
      </c>
      <c r="AU571" s="32" t="str">
        <f t="shared" ca="1" si="61"/>
        <v/>
      </c>
      <c r="AV571" s="32" t="str" cm="1">
        <f t="array" aca="1" ref="AV571" ca="1">IFERROR(_xlfn.IFS($AU571="","",$AU571&lt;=15,"0-15",AND($AU571&gt;=16,$AU571&lt;=30),"16-30",AND($AU571&gt;=31,$AU571&lt;=45),"31-45",AND($AU571&gt;=46,$AU571&lt;=60),"46-60",AND($AU571&gt;=61,$AU571&lt;=90),"61-90",AND($AU571&gt;=91),"&gt; 90",AND($AU571&gt;=2000),""),"")</f>
        <v/>
      </c>
      <c r="AW571" s="32" t="str" cm="1">
        <f t="array" aca="1" ref="AW571" ca="1">IFERROR(_xlfn.IFS(OR($M571="",$AM571=""),"",OR($C571="Offered",$C571="Joined"),($AM571-$M571)-$AT571),"")</f>
        <v/>
      </c>
      <c r="AX571" s="32" t="str" cm="1">
        <f t="array" aca="1" ref="AX571" ca="1">IFERROR(_xlfn.IFS(OR($M571="",$AS571=""),"",$C571="Joined",($AS571-$M571)-$AT571),"")</f>
        <v/>
      </c>
      <c r="AY571" s="30" t="str">
        <f>IFERROR(IF(COUNTIFS('Candidate Tracker'!$E:$E,'Positions Tracker'!$B571,'Candidate Tracker'!$C:$C,"Offer Drop")=0,"",COUNTIFS('Candidate Tracker'!$E:$E,'Positions Tracker'!$B571,'Candidate Tracker'!$C:$C,"Offer Drop")),"")</f>
        <v/>
      </c>
      <c r="AZ5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1" s="34" t="str">
        <f>IFERROR(IF(COUNTIFS('Candidate Tracker'!$E:$E,'Positions Tracker'!$B571,'Candidate Tracker'!$I:$I,"Female")=0,"",COUNTIFS('Candidate Tracker'!$E:$E,'Positions Tracker'!$B571,'Candidate Tracker'!$I:$I,"Female")),"")</f>
        <v/>
      </c>
      <c r="BB571" s="34" t="str">
        <f>IFERROR(IF(COUNTIFS('Candidate Tracker'!$E:$E,'Positions Tracker'!$B571,'Candidate Tracker'!$I:$I,"male")=0,"",COUNTIFS('Candidate Tracker'!$E:$E,'Positions Tracker'!$B571,'Candidate Tracker'!$I:$I,"male")),"")</f>
        <v/>
      </c>
      <c r="BC571" s="33" t="str">
        <f>IFERROR(IF(COUNTIFS('Candidate Tracker'!$E:$E,'Positions Tracker'!$B571,'Candidate Tracker'!$C:$C,"&lt;&gt;WIP",'Candidate Tracker'!$C:$C,"&lt;&gt;Hold",'Candidate Tracker'!$C:$C,"&lt;&gt;Cancelled",'Candidate Tracker'!$C:$C,"&lt;&gt;Closed")/COUNTIFS('Candidate Tracker'!$E:$E,'Positions Tracker'!$B571)=0,"",COUNTIFS('Candidate Tracker'!$E:$E,'Positions Tracker'!$B571,'Candidate Tracker'!$C:$C,"&lt;&gt;WIP",'Candidate Tracker'!$C:$C,"&lt;&gt;Hold",'Candidate Tracker'!$C:$C,"&lt;&gt;Cancelled",'Candidate Tracker'!$C:$C,"&lt;&gt;Closed")/COUNTIFS('Candidate Tracker'!$E:$E,'Positions Tracker'!$B571)),"")</f>
        <v/>
      </c>
      <c r="BD571" s="30" t="str">
        <f t="shared" si="63"/>
        <v/>
      </c>
      <c r="BE571" s="30" t="str">
        <f t="shared" si="64"/>
        <v/>
      </c>
      <c r="BF571" s="30" t="str">
        <f t="shared" si="65"/>
        <v/>
      </c>
      <c r="BG571" s="30" t="str">
        <f t="shared" si="66"/>
        <v/>
      </c>
    </row>
    <row r="572" spans="1:59">
      <c r="A572" s="39"/>
      <c r="B572" s="39"/>
      <c r="C572" s="39"/>
      <c r="D572" s="39"/>
      <c r="E572" s="39"/>
      <c r="F572" s="39"/>
      <c r="G572" s="39"/>
      <c r="H572" s="39"/>
      <c r="I572" s="40"/>
      <c r="J572" s="40"/>
      <c r="K572" s="35"/>
      <c r="L572" s="35"/>
      <c r="M572" s="35"/>
      <c r="N572" s="39"/>
      <c r="O572" s="39"/>
      <c r="P572" s="39"/>
      <c r="Q572" s="39"/>
      <c r="R572" s="39"/>
      <c r="S572" s="39"/>
      <c r="T572" s="39"/>
      <c r="U572" s="39"/>
      <c r="V572" s="39"/>
      <c r="W572" s="39"/>
      <c r="X572" s="39"/>
      <c r="Y572" s="39"/>
      <c r="Z572" s="39"/>
      <c r="AA572" s="39"/>
      <c r="AB572" s="39"/>
      <c r="AC572" s="39"/>
      <c r="AD572" s="39"/>
      <c r="AE572" s="39"/>
      <c r="AF572" s="39"/>
      <c r="AG572" s="39"/>
      <c r="AH572" s="39"/>
      <c r="AI572" s="35"/>
      <c r="AJ572" s="39"/>
      <c r="AK572" s="39"/>
      <c r="AL572" s="39"/>
      <c r="AM572" s="35"/>
      <c r="AN572" s="35"/>
      <c r="AO572" s="39"/>
      <c r="AP572" s="39"/>
      <c r="AQ572" s="35"/>
      <c r="AR572" s="35"/>
      <c r="AS572" s="35"/>
      <c r="AT572" s="30">
        <f t="shared" ca="1" si="62"/>
        <v>0</v>
      </c>
      <c r="AU572" s="32" t="str">
        <f t="shared" ca="1" si="61"/>
        <v/>
      </c>
      <c r="AV572" s="32" t="str" cm="1">
        <f t="array" aca="1" ref="AV572" ca="1">IFERROR(_xlfn.IFS($AU572="","",$AU572&lt;=15,"0-15",AND($AU572&gt;=16,$AU572&lt;=30),"16-30",AND($AU572&gt;=31,$AU572&lt;=45),"31-45",AND($AU572&gt;=46,$AU572&lt;=60),"46-60",AND($AU572&gt;=61,$AU572&lt;=90),"61-90",AND($AU572&gt;=91),"&gt; 90",AND($AU572&gt;=2000),""),"")</f>
        <v/>
      </c>
      <c r="AW572" s="32" t="str" cm="1">
        <f t="array" aca="1" ref="AW572" ca="1">IFERROR(_xlfn.IFS(OR($M572="",$AM572=""),"",OR($C572="Offered",$C572="Joined"),($AM572-$M572)-$AT572),"")</f>
        <v/>
      </c>
      <c r="AX572" s="32" t="str" cm="1">
        <f t="array" aca="1" ref="AX572" ca="1">IFERROR(_xlfn.IFS(OR($M572="",$AS572=""),"",$C572="Joined",($AS572-$M572)-$AT572),"")</f>
        <v/>
      </c>
      <c r="AY572" s="30" t="str">
        <f>IFERROR(IF(COUNTIFS('Candidate Tracker'!$E:$E,'Positions Tracker'!$B572,'Candidate Tracker'!$C:$C,"Offer Drop")=0,"",COUNTIFS('Candidate Tracker'!$E:$E,'Positions Tracker'!$B572,'Candidate Tracker'!$C:$C,"Offer Drop")),"")</f>
        <v/>
      </c>
      <c r="AZ5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2" s="34" t="str">
        <f>IFERROR(IF(COUNTIFS('Candidate Tracker'!$E:$E,'Positions Tracker'!$B572,'Candidate Tracker'!$I:$I,"Female")=0,"",COUNTIFS('Candidate Tracker'!$E:$E,'Positions Tracker'!$B572,'Candidate Tracker'!$I:$I,"Female")),"")</f>
        <v/>
      </c>
      <c r="BB572" s="34" t="str">
        <f>IFERROR(IF(COUNTIFS('Candidate Tracker'!$E:$E,'Positions Tracker'!$B572,'Candidate Tracker'!$I:$I,"male")=0,"",COUNTIFS('Candidate Tracker'!$E:$E,'Positions Tracker'!$B572,'Candidate Tracker'!$I:$I,"male")),"")</f>
        <v/>
      </c>
      <c r="BC572" s="33" t="str">
        <f>IFERROR(IF(COUNTIFS('Candidate Tracker'!$E:$E,'Positions Tracker'!$B572,'Candidate Tracker'!$C:$C,"&lt;&gt;WIP",'Candidate Tracker'!$C:$C,"&lt;&gt;Hold",'Candidate Tracker'!$C:$C,"&lt;&gt;Cancelled",'Candidate Tracker'!$C:$C,"&lt;&gt;Closed")/COUNTIFS('Candidate Tracker'!$E:$E,'Positions Tracker'!$B572)=0,"",COUNTIFS('Candidate Tracker'!$E:$E,'Positions Tracker'!$B572,'Candidate Tracker'!$C:$C,"&lt;&gt;WIP",'Candidate Tracker'!$C:$C,"&lt;&gt;Hold",'Candidate Tracker'!$C:$C,"&lt;&gt;Cancelled",'Candidate Tracker'!$C:$C,"&lt;&gt;Closed")/COUNTIFS('Candidate Tracker'!$E:$E,'Positions Tracker'!$B572)),"")</f>
        <v/>
      </c>
      <c r="BD572" s="30" t="str">
        <f t="shared" si="63"/>
        <v/>
      </c>
      <c r="BE572" s="30" t="str">
        <f t="shared" si="64"/>
        <v/>
      </c>
      <c r="BF572" s="30" t="str">
        <f t="shared" si="65"/>
        <v/>
      </c>
      <c r="BG572" s="30" t="str">
        <f t="shared" si="66"/>
        <v/>
      </c>
    </row>
    <row r="573" spans="1:59">
      <c r="A573" s="39"/>
      <c r="B573" s="39"/>
      <c r="C573" s="39"/>
      <c r="D573" s="39"/>
      <c r="E573" s="39"/>
      <c r="F573" s="39"/>
      <c r="G573" s="39"/>
      <c r="H573" s="39"/>
      <c r="I573" s="40"/>
      <c r="J573" s="40"/>
      <c r="K573" s="35"/>
      <c r="L573" s="35"/>
      <c r="M573" s="35"/>
      <c r="N573" s="39"/>
      <c r="O573" s="39"/>
      <c r="P573" s="39"/>
      <c r="Q573" s="39"/>
      <c r="R573" s="39"/>
      <c r="S573" s="39"/>
      <c r="T573" s="39"/>
      <c r="U573" s="39"/>
      <c r="V573" s="39"/>
      <c r="W573" s="39"/>
      <c r="X573" s="39"/>
      <c r="Y573" s="39"/>
      <c r="Z573" s="39"/>
      <c r="AA573" s="39"/>
      <c r="AB573" s="39"/>
      <c r="AC573" s="39"/>
      <c r="AD573" s="39"/>
      <c r="AE573" s="39"/>
      <c r="AF573" s="39"/>
      <c r="AG573" s="39"/>
      <c r="AH573" s="39"/>
      <c r="AI573" s="35"/>
      <c r="AJ573" s="39"/>
      <c r="AK573" s="39"/>
      <c r="AL573" s="39"/>
      <c r="AM573" s="35"/>
      <c r="AN573" s="35"/>
      <c r="AO573" s="39"/>
      <c r="AP573" s="39"/>
      <c r="AQ573" s="35"/>
      <c r="AR573" s="35"/>
      <c r="AS573" s="35"/>
      <c r="AT573" s="30">
        <f t="shared" ca="1" si="62"/>
        <v>0</v>
      </c>
      <c r="AU573" s="32" t="str">
        <f t="shared" ca="1" si="61"/>
        <v/>
      </c>
      <c r="AV573" s="32" t="str" cm="1">
        <f t="array" aca="1" ref="AV573" ca="1">IFERROR(_xlfn.IFS($AU573="","",$AU573&lt;=15,"0-15",AND($AU573&gt;=16,$AU573&lt;=30),"16-30",AND($AU573&gt;=31,$AU573&lt;=45),"31-45",AND($AU573&gt;=46,$AU573&lt;=60),"46-60",AND($AU573&gt;=61,$AU573&lt;=90),"61-90",AND($AU573&gt;=91),"&gt; 90",AND($AU573&gt;=2000),""),"")</f>
        <v/>
      </c>
      <c r="AW573" s="32" t="str" cm="1">
        <f t="array" aca="1" ref="AW573" ca="1">IFERROR(_xlfn.IFS(OR($M573="",$AM573=""),"",OR($C573="Offered",$C573="Joined"),($AM573-$M573)-$AT573),"")</f>
        <v/>
      </c>
      <c r="AX573" s="32" t="str" cm="1">
        <f t="array" aca="1" ref="AX573" ca="1">IFERROR(_xlfn.IFS(OR($M573="",$AS573=""),"",$C573="Joined",($AS573-$M573)-$AT573),"")</f>
        <v/>
      </c>
      <c r="AY573" s="30" t="str">
        <f>IFERROR(IF(COUNTIFS('Candidate Tracker'!$E:$E,'Positions Tracker'!$B573,'Candidate Tracker'!$C:$C,"Offer Drop")=0,"",COUNTIFS('Candidate Tracker'!$E:$E,'Positions Tracker'!$B573,'Candidate Tracker'!$C:$C,"Offer Drop")),"")</f>
        <v/>
      </c>
      <c r="AZ5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3" s="34" t="str">
        <f>IFERROR(IF(COUNTIFS('Candidate Tracker'!$E:$E,'Positions Tracker'!$B573,'Candidate Tracker'!$I:$I,"Female")=0,"",COUNTIFS('Candidate Tracker'!$E:$E,'Positions Tracker'!$B573,'Candidate Tracker'!$I:$I,"Female")),"")</f>
        <v/>
      </c>
      <c r="BB573" s="34" t="str">
        <f>IFERROR(IF(COUNTIFS('Candidate Tracker'!$E:$E,'Positions Tracker'!$B573,'Candidate Tracker'!$I:$I,"male")=0,"",COUNTIFS('Candidate Tracker'!$E:$E,'Positions Tracker'!$B573,'Candidate Tracker'!$I:$I,"male")),"")</f>
        <v/>
      </c>
      <c r="BC573" s="33" t="str">
        <f>IFERROR(IF(COUNTIFS('Candidate Tracker'!$E:$E,'Positions Tracker'!$B573,'Candidate Tracker'!$C:$C,"&lt;&gt;WIP",'Candidate Tracker'!$C:$C,"&lt;&gt;Hold",'Candidate Tracker'!$C:$C,"&lt;&gt;Cancelled",'Candidate Tracker'!$C:$C,"&lt;&gt;Closed")/COUNTIFS('Candidate Tracker'!$E:$E,'Positions Tracker'!$B573)=0,"",COUNTIFS('Candidate Tracker'!$E:$E,'Positions Tracker'!$B573,'Candidate Tracker'!$C:$C,"&lt;&gt;WIP",'Candidate Tracker'!$C:$C,"&lt;&gt;Hold",'Candidate Tracker'!$C:$C,"&lt;&gt;Cancelled",'Candidate Tracker'!$C:$C,"&lt;&gt;Closed")/COUNTIFS('Candidate Tracker'!$E:$E,'Positions Tracker'!$B573)),"")</f>
        <v/>
      </c>
      <c r="BD573" s="30" t="str">
        <f t="shared" si="63"/>
        <v/>
      </c>
      <c r="BE573" s="30" t="str">
        <f t="shared" si="64"/>
        <v/>
      </c>
      <c r="BF573" s="30" t="str">
        <f t="shared" si="65"/>
        <v/>
      </c>
      <c r="BG573" s="30" t="str">
        <f t="shared" si="66"/>
        <v/>
      </c>
    </row>
    <row r="574" spans="1:59">
      <c r="A574" s="39"/>
      <c r="B574" s="39"/>
      <c r="C574" s="39"/>
      <c r="D574" s="39"/>
      <c r="E574" s="39"/>
      <c r="F574" s="39"/>
      <c r="G574" s="39"/>
      <c r="H574" s="39"/>
      <c r="I574" s="40"/>
      <c r="J574" s="40"/>
      <c r="K574" s="35"/>
      <c r="L574" s="35"/>
      <c r="M574" s="35"/>
      <c r="N574" s="39"/>
      <c r="O574" s="39"/>
      <c r="P574" s="39"/>
      <c r="Q574" s="39"/>
      <c r="R574" s="39"/>
      <c r="S574" s="39"/>
      <c r="T574" s="39"/>
      <c r="U574" s="39"/>
      <c r="V574" s="39"/>
      <c r="W574" s="39"/>
      <c r="X574" s="39"/>
      <c r="Y574" s="39"/>
      <c r="Z574" s="39"/>
      <c r="AA574" s="39"/>
      <c r="AB574" s="39"/>
      <c r="AC574" s="39"/>
      <c r="AD574" s="39"/>
      <c r="AE574" s="39"/>
      <c r="AF574" s="39"/>
      <c r="AG574" s="39"/>
      <c r="AH574" s="39"/>
      <c r="AI574" s="35"/>
      <c r="AJ574" s="39"/>
      <c r="AK574" s="39"/>
      <c r="AL574" s="39"/>
      <c r="AM574" s="35"/>
      <c r="AN574" s="35"/>
      <c r="AO574" s="39"/>
      <c r="AP574" s="39"/>
      <c r="AQ574" s="35"/>
      <c r="AR574" s="35"/>
      <c r="AS574" s="35"/>
      <c r="AT574" s="30">
        <f t="shared" ca="1" si="62"/>
        <v>0</v>
      </c>
      <c r="AU574" s="32" t="str">
        <f t="shared" ca="1" si="61"/>
        <v/>
      </c>
      <c r="AV574" s="32" t="str" cm="1">
        <f t="array" aca="1" ref="AV574" ca="1">IFERROR(_xlfn.IFS($AU574="","",$AU574&lt;=15,"0-15",AND($AU574&gt;=16,$AU574&lt;=30),"16-30",AND($AU574&gt;=31,$AU574&lt;=45),"31-45",AND($AU574&gt;=46,$AU574&lt;=60),"46-60",AND($AU574&gt;=61,$AU574&lt;=90),"61-90",AND($AU574&gt;=91),"&gt; 90",AND($AU574&gt;=2000),""),"")</f>
        <v/>
      </c>
      <c r="AW574" s="32" t="str" cm="1">
        <f t="array" aca="1" ref="AW574" ca="1">IFERROR(_xlfn.IFS(OR($M574="",$AM574=""),"",OR($C574="Offered",$C574="Joined"),($AM574-$M574)-$AT574),"")</f>
        <v/>
      </c>
      <c r="AX574" s="32" t="str" cm="1">
        <f t="array" aca="1" ref="AX574" ca="1">IFERROR(_xlfn.IFS(OR($M574="",$AS574=""),"",$C574="Joined",($AS574-$M574)-$AT574),"")</f>
        <v/>
      </c>
      <c r="AY574" s="30" t="str">
        <f>IFERROR(IF(COUNTIFS('Candidate Tracker'!$E:$E,'Positions Tracker'!$B574,'Candidate Tracker'!$C:$C,"Offer Drop")=0,"",COUNTIFS('Candidate Tracker'!$E:$E,'Positions Tracker'!$B574,'Candidate Tracker'!$C:$C,"Offer Drop")),"")</f>
        <v/>
      </c>
      <c r="AZ5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4" s="34" t="str">
        <f>IFERROR(IF(COUNTIFS('Candidate Tracker'!$E:$E,'Positions Tracker'!$B574,'Candidate Tracker'!$I:$I,"Female")=0,"",COUNTIFS('Candidate Tracker'!$E:$E,'Positions Tracker'!$B574,'Candidate Tracker'!$I:$I,"Female")),"")</f>
        <v/>
      </c>
      <c r="BB574" s="34" t="str">
        <f>IFERROR(IF(COUNTIFS('Candidate Tracker'!$E:$E,'Positions Tracker'!$B574,'Candidate Tracker'!$I:$I,"male")=0,"",COUNTIFS('Candidate Tracker'!$E:$E,'Positions Tracker'!$B574,'Candidate Tracker'!$I:$I,"male")),"")</f>
        <v/>
      </c>
      <c r="BC574" s="33" t="str">
        <f>IFERROR(IF(COUNTIFS('Candidate Tracker'!$E:$E,'Positions Tracker'!$B574,'Candidate Tracker'!$C:$C,"&lt;&gt;WIP",'Candidate Tracker'!$C:$C,"&lt;&gt;Hold",'Candidate Tracker'!$C:$C,"&lt;&gt;Cancelled",'Candidate Tracker'!$C:$C,"&lt;&gt;Closed")/COUNTIFS('Candidate Tracker'!$E:$E,'Positions Tracker'!$B574)=0,"",COUNTIFS('Candidate Tracker'!$E:$E,'Positions Tracker'!$B574,'Candidate Tracker'!$C:$C,"&lt;&gt;WIP",'Candidate Tracker'!$C:$C,"&lt;&gt;Hold",'Candidate Tracker'!$C:$C,"&lt;&gt;Cancelled",'Candidate Tracker'!$C:$C,"&lt;&gt;Closed")/COUNTIFS('Candidate Tracker'!$E:$E,'Positions Tracker'!$B574)),"")</f>
        <v/>
      </c>
      <c r="BD574" s="30" t="str">
        <f t="shared" si="63"/>
        <v/>
      </c>
      <c r="BE574" s="30" t="str">
        <f t="shared" si="64"/>
        <v/>
      </c>
      <c r="BF574" s="30" t="str">
        <f t="shared" si="65"/>
        <v/>
      </c>
      <c r="BG574" s="30" t="str">
        <f t="shared" si="66"/>
        <v/>
      </c>
    </row>
    <row r="575" spans="1:59">
      <c r="A575" s="39"/>
      <c r="B575" s="39"/>
      <c r="C575" s="39"/>
      <c r="D575" s="39"/>
      <c r="E575" s="39"/>
      <c r="F575" s="39"/>
      <c r="G575" s="39"/>
      <c r="H575" s="39"/>
      <c r="I575" s="40"/>
      <c r="J575" s="40"/>
      <c r="K575" s="35"/>
      <c r="L575" s="35"/>
      <c r="M575" s="35"/>
      <c r="N575" s="39"/>
      <c r="O575" s="39"/>
      <c r="P575" s="39"/>
      <c r="Q575" s="39"/>
      <c r="R575" s="39"/>
      <c r="S575" s="39"/>
      <c r="T575" s="39"/>
      <c r="U575" s="39"/>
      <c r="V575" s="39"/>
      <c r="W575" s="39"/>
      <c r="X575" s="39"/>
      <c r="Y575" s="39"/>
      <c r="Z575" s="39"/>
      <c r="AA575" s="39"/>
      <c r="AB575" s="39"/>
      <c r="AC575" s="39"/>
      <c r="AD575" s="39"/>
      <c r="AE575" s="39"/>
      <c r="AF575" s="39"/>
      <c r="AG575" s="39"/>
      <c r="AH575" s="39"/>
      <c r="AI575" s="35"/>
      <c r="AJ575" s="39"/>
      <c r="AK575" s="39"/>
      <c r="AL575" s="39"/>
      <c r="AM575" s="35"/>
      <c r="AN575" s="35"/>
      <c r="AO575" s="39"/>
      <c r="AP575" s="39"/>
      <c r="AQ575" s="35"/>
      <c r="AR575" s="35"/>
      <c r="AS575" s="35"/>
      <c r="AT575" s="30">
        <f t="shared" ca="1" si="62"/>
        <v>0</v>
      </c>
      <c r="AU575" s="32" t="str">
        <f t="shared" ca="1" si="61"/>
        <v/>
      </c>
      <c r="AV575" s="32" t="str" cm="1">
        <f t="array" aca="1" ref="AV575" ca="1">IFERROR(_xlfn.IFS($AU575="","",$AU575&lt;=15,"0-15",AND($AU575&gt;=16,$AU575&lt;=30),"16-30",AND($AU575&gt;=31,$AU575&lt;=45),"31-45",AND($AU575&gt;=46,$AU575&lt;=60),"46-60",AND($AU575&gt;=61,$AU575&lt;=90),"61-90",AND($AU575&gt;=91),"&gt; 90",AND($AU575&gt;=2000),""),"")</f>
        <v/>
      </c>
      <c r="AW575" s="32" t="str" cm="1">
        <f t="array" aca="1" ref="AW575" ca="1">IFERROR(_xlfn.IFS(OR($M575="",$AM575=""),"",OR($C575="Offered",$C575="Joined"),($AM575-$M575)-$AT575),"")</f>
        <v/>
      </c>
      <c r="AX575" s="32" t="str" cm="1">
        <f t="array" aca="1" ref="AX575" ca="1">IFERROR(_xlfn.IFS(OR($M575="",$AS575=""),"",$C575="Joined",($AS575-$M575)-$AT575),"")</f>
        <v/>
      </c>
      <c r="AY575" s="30" t="str">
        <f>IFERROR(IF(COUNTIFS('Candidate Tracker'!$E:$E,'Positions Tracker'!$B575,'Candidate Tracker'!$C:$C,"Offer Drop")=0,"",COUNTIFS('Candidate Tracker'!$E:$E,'Positions Tracker'!$B575,'Candidate Tracker'!$C:$C,"Offer Drop")),"")</f>
        <v/>
      </c>
      <c r="AZ5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5" s="34" t="str">
        <f>IFERROR(IF(COUNTIFS('Candidate Tracker'!$E:$E,'Positions Tracker'!$B575,'Candidate Tracker'!$I:$I,"Female")=0,"",COUNTIFS('Candidate Tracker'!$E:$E,'Positions Tracker'!$B575,'Candidate Tracker'!$I:$I,"Female")),"")</f>
        <v/>
      </c>
      <c r="BB575" s="34" t="str">
        <f>IFERROR(IF(COUNTIFS('Candidate Tracker'!$E:$E,'Positions Tracker'!$B575,'Candidate Tracker'!$I:$I,"male")=0,"",COUNTIFS('Candidate Tracker'!$E:$E,'Positions Tracker'!$B575,'Candidate Tracker'!$I:$I,"male")),"")</f>
        <v/>
      </c>
      <c r="BC575" s="33" t="str">
        <f>IFERROR(IF(COUNTIFS('Candidate Tracker'!$E:$E,'Positions Tracker'!$B575,'Candidate Tracker'!$C:$C,"&lt;&gt;WIP",'Candidate Tracker'!$C:$C,"&lt;&gt;Hold",'Candidate Tracker'!$C:$C,"&lt;&gt;Cancelled",'Candidate Tracker'!$C:$C,"&lt;&gt;Closed")/COUNTIFS('Candidate Tracker'!$E:$E,'Positions Tracker'!$B575)=0,"",COUNTIFS('Candidate Tracker'!$E:$E,'Positions Tracker'!$B575,'Candidate Tracker'!$C:$C,"&lt;&gt;WIP",'Candidate Tracker'!$C:$C,"&lt;&gt;Hold",'Candidate Tracker'!$C:$C,"&lt;&gt;Cancelled",'Candidate Tracker'!$C:$C,"&lt;&gt;Closed")/COUNTIFS('Candidate Tracker'!$E:$E,'Positions Tracker'!$B575)),"")</f>
        <v/>
      </c>
      <c r="BD575" s="30" t="str">
        <f t="shared" si="63"/>
        <v/>
      </c>
      <c r="BE575" s="30" t="str">
        <f t="shared" si="64"/>
        <v/>
      </c>
      <c r="BF575" s="30" t="str">
        <f t="shared" si="65"/>
        <v/>
      </c>
      <c r="BG575" s="30" t="str">
        <f t="shared" si="66"/>
        <v/>
      </c>
    </row>
    <row r="576" spans="1:59">
      <c r="A576" s="39"/>
      <c r="B576" s="39"/>
      <c r="C576" s="39"/>
      <c r="D576" s="39"/>
      <c r="E576" s="39"/>
      <c r="F576" s="39"/>
      <c r="G576" s="39"/>
      <c r="H576" s="39"/>
      <c r="I576" s="40"/>
      <c r="J576" s="40"/>
      <c r="K576" s="35"/>
      <c r="L576" s="35"/>
      <c r="M576" s="35"/>
      <c r="N576" s="39"/>
      <c r="O576" s="39"/>
      <c r="P576" s="39"/>
      <c r="Q576" s="39"/>
      <c r="R576" s="39"/>
      <c r="S576" s="39"/>
      <c r="T576" s="39"/>
      <c r="U576" s="39"/>
      <c r="V576" s="39"/>
      <c r="W576" s="39"/>
      <c r="X576" s="39"/>
      <c r="Y576" s="39"/>
      <c r="Z576" s="39"/>
      <c r="AA576" s="39"/>
      <c r="AB576" s="39"/>
      <c r="AC576" s="39"/>
      <c r="AD576" s="39"/>
      <c r="AE576" s="39"/>
      <c r="AF576" s="39"/>
      <c r="AG576" s="39"/>
      <c r="AH576" s="39"/>
      <c r="AI576" s="35"/>
      <c r="AJ576" s="39"/>
      <c r="AK576" s="39"/>
      <c r="AL576" s="39"/>
      <c r="AM576" s="35"/>
      <c r="AN576" s="35"/>
      <c r="AO576" s="39"/>
      <c r="AP576" s="39"/>
      <c r="AQ576" s="35"/>
      <c r="AR576" s="35"/>
      <c r="AS576" s="35"/>
      <c r="AT576" s="30">
        <f t="shared" ca="1" si="62"/>
        <v>0</v>
      </c>
      <c r="AU576" s="32" t="str">
        <f t="shared" ref="AU576:AU639" ca="1" si="67">IFERROR(IF(($M576=""),"",IF(OR(,$C576="Offer in Progress",$C576="WIP",$C576="WIP/Drop",$C576="WIP/New",$C576="WIP/Hold"),(TODAY()-$M576)-$AT576,"")),"")</f>
        <v/>
      </c>
      <c r="AV576" s="32" t="str" cm="1">
        <f t="array" aca="1" ref="AV576" ca="1">IFERROR(_xlfn.IFS($AU576="","",$AU576&lt;=15,"0-15",AND($AU576&gt;=16,$AU576&lt;=30),"16-30",AND($AU576&gt;=31,$AU576&lt;=45),"31-45",AND($AU576&gt;=46,$AU576&lt;=60),"46-60",AND($AU576&gt;=61,$AU576&lt;=90),"61-90",AND($AU576&gt;=91),"&gt; 90",AND($AU576&gt;=2000),""),"")</f>
        <v/>
      </c>
      <c r="AW576" s="32" t="str" cm="1">
        <f t="array" aca="1" ref="AW576" ca="1">IFERROR(_xlfn.IFS(OR($M576="",$AM576=""),"",OR($C576="Offered",$C576="Joined"),($AM576-$M576)-$AT576),"")</f>
        <v/>
      </c>
      <c r="AX576" s="32" t="str" cm="1">
        <f t="array" aca="1" ref="AX576" ca="1">IFERROR(_xlfn.IFS(OR($M576="",$AS576=""),"",$C576="Joined",($AS576-$M576)-$AT576),"")</f>
        <v/>
      </c>
      <c r="AY576" s="30" t="str">
        <f>IFERROR(IF(COUNTIFS('Candidate Tracker'!$E:$E,'Positions Tracker'!$B576,'Candidate Tracker'!$C:$C,"Offer Drop")=0,"",COUNTIFS('Candidate Tracker'!$E:$E,'Positions Tracker'!$B576,'Candidate Tracker'!$C:$C,"Offer Drop")),"")</f>
        <v/>
      </c>
      <c r="AZ5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6" s="34" t="str">
        <f>IFERROR(IF(COUNTIFS('Candidate Tracker'!$E:$E,'Positions Tracker'!$B576,'Candidate Tracker'!$I:$I,"Female")=0,"",COUNTIFS('Candidate Tracker'!$E:$E,'Positions Tracker'!$B576,'Candidate Tracker'!$I:$I,"Female")),"")</f>
        <v/>
      </c>
      <c r="BB576" s="34" t="str">
        <f>IFERROR(IF(COUNTIFS('Candidate Tracker'!$E:$E,'Positions Tracker'!$B576,'Candidate Tracker'!$I:$I,"male")=0,"",COUNTIFS('Candidate Tracker'!$E:$E,'Positions Tracker'!$B576,'Candidate Tracker'!$I:$I,"male")),"")</f>
        <v/>
      </c>
      <c r="BC576" s="33" t="str">
        <f>IFERROR(IF(COUNTIFS('Candidate Tracker'!$E:$E,'Positions Tracker'!$B576,'Candidate Tracker'!$C:$C,"&lt;&gt;WIP",'Candidate Tracker'!$C:$C,"&lt;&gt;Hold",'Candidate Tracker'!$C:$C,"&lt;&gt;Cancelled",'Candidate Tracker'!$C:$C,"&lt;&gt;Closed")/COUNTIFS('Candidate Tracker'!$E:$E,'Positions Tracker'!$B576)=0,"",COUNTIFS('Candidate Tracker'!$E:$E,'Positions Tracker'!$B576,'Candidate Tracker'!$C:$C,"&lt;&gt;WIP",'Candidate Tracker'!$C:$C,"&lt;&gt;Hold",'Candidate Tracker'!$C:$C,"&lt;&gt;Cancelled",'Candidate Tracker'!$C:$C,"&lt;&gt;Closed")/COUNTIFS('Candidate Tracker'!$E:$E,'Positions Tracker'!$B576)),"")</f>
        <v/>
      </c>
      <c r="BD576" s="30" t="str">
        <f t="shared" si="63"/>
        <v/>
      </c>
      <c r="BE576" s="30" t="str">
        <f t="shared" si="64"/>
        <v/>
      </c>
      <c r="BF576" s="30" t="str">
        <f t="shared" si="65"/>
        <v/>
      </c>
      <c r="BG576" s="30" t="str">
        <f t="shared" si="66"/>
        <v/>
      </c>
    </row>
    <row r="577" spans="1:59">
      <c r="A577" s="39"/>
      <c r="B577" s="39"/>
      <c r="C577" s="39"/>
      <c r="D577" s="39"/>
      <c r="E577" s="39"/>
      <c r="F577" s="39"/>
      <c r="G577" s="39"/>
      <c r="H577" s="39"/>
      <c r="I577" s="40"/>
      <c r="J577" s="40"/>
      <c r="K577" s="35"/>
      <c r="L577" s="35"/>
      <c r="M577" s="35"/>
      <c r="N577" s="39"/>
      <c r="O577" s="39"/>
      <c r="P577" s="39"/>
      <c r="Q577" s="39"/>
      <c r="R577" s="39"/>
      <c r="S577" s="39"/>
      <c r="T577" s="39"/>
      <c r="U577" s="39"/>
      <c r="V577" s="39"/>
      <c r="W577" s="39"/>
      <c r="X577" s="39"/>
      <c r="Y577" s="39"/>
      <c r="Z577" s="39"/>
      <c r="AA577" s="39"/>
      <c r="AB577" s="39"/>
      <c r="AC577" s="39"/>
      <c r="AD577" s="39"/>
      <c r="AE577" s="39"/>
      <c r="AF577" s="39"/>
      <c r="AG577" s="39"/>
      <c r="AH577" s="39"/>
      <c r="AI577" s="35"/>
      <c r="AJ577" s="39"/>
      <c r="AK577" s="39"/>
      <c r="AL577" s="39"/>
      <c r="AM577" s="35"/>
      <c r="AN577" s="35"/>
      <c r="AO577" s="39"/>
      <c r="AP577" s="39"/>
      <c r="AQ577" s="35"/>
      <c r="AR577" s="35"/>
      <c r="AS577" s="35"/>
      <c r="AT577" s="30">
        <f t="shared" ref="AT577:AT640" ca="1" si="68">IFERROR(SUM(IF(AND(ISBLANK(T577),ISBLANK(Q577)),0,IF(T577="",TODAY()-Q577,T577-Q577))+IF(AND(ISBLANK(S577),ISBLANK(P577)),0,IF(S577="",TODAY()-P577,S577-P577))+IF(AND(ISBLANK(O577),ISBLANK(R577)),0,IF(R577="",TODAY()-O577,R577-O577))),"")</f>
        <v>0</v>
      </c>
      <c r="AU577" s="32" t="str">
        <f t="shared" ca="1" si="67"/>
        <v/>
      </c>
      <c r="AV577" s="32" t="str" cm="1">
        <f t="array" aca="1" ref="AV577" ca="1">IFERROR(_xlfn.IFS($AU577="","",$AU577&lt;=15,"0-15",AND($AU577&gt;=16,$AU577&lt;=30),"16-30",AND($AU577&gt;=31,$AU577&lt;=45),"31-45",AND($AU577&gt;=46,$AU577&lt;=60),"46-60",AND($AU577&gt;=61,$AU577&lt;=90),"61-90",AND($AU577&gt;=91),"&gt; 90",AND($AU577&gt;=2000),""),"")</f>
        <v/>
      </c>
      <c r="AW577" s="32" t="str" cm="1">
        <f t="array" aca="1" ref="AW577" ca="1">IFERROR(_xlfn.IFS(OR($M577="",$AM577=""),"",OR($C577="Offered",$C577="Joined"),($AM577-$M577)-$AT577),"")</f>
        <v/>
      </c>
      <c r="AX577" s="32" t="str" cm="1">
        <f t="array" aca="1" ref="AX577" ca="1">IFERROR(_xlfn.IFS(OR($M577="",$AS577=""),"",$C577="Joined",($AS577-$M577)-$AT577),"")</f>
        <v/>
      </c>
      <c r="AY577" s="30" t="str">
        <f>IFERROR(IF(COUNTIFS('Candidate Tracker'!$E:$E,'Positions Tracker'!$B577,'Candidate Tracker'!$C:$C,"Offer Drop")=0,"",COUNTIFS('Candidate Tracker'!$E:$E,'Positions Tracker'!$B577,'Candidate Tracker'!$C:$C,"Offer Drop")),"")</f>
        <v/>
      </c>
      <c r="AZ5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7" s="34" t="str">
        <f>IFERROR(IF(COUNTIFS('Candidate Tracker'!$E:$E,'Positions Tracker'!$B577,'Candidate Tracker'!$I:$I,"Female")=0,"",COUNTIFS('Candidate Tracker'!$E:$E,'Positions Tracker'!$B577,'Candidate Tracker'!$I:$I,"Female")),"")</f>
        <v/>
      </c>
      <c r="BB577" s="34" t="str">
        <f>IFERROR(IF(COUNTIFS('Candidate Tracker'!$E:$E,'Positions Tracker'!$B577,'Candidate Tracker'!$I:$I,"male")=0,"",COUNTIFS('Candidate Tracker'!$E:$E,'Positions Tracker'!$B577,'Candidate Tracker'!$I:$I,"male")),"")</f>
        <v/>
      </c>
      <c r="BC577" s="33" t="str">
        <f>IFERROR(IF(COUNTIFS('Candidate Tracker'!$E:$E,'Positions Tracker'!$B577,'Candidate Tracker'!$C:$C,"&lt;&gt;WIP",'Candidate Tracker'!$C:$C,"&lt;&gt;Hold",'Candidate Tracker'!$C:$C,"&lt;&gt;Cancelled",'Candidate Tracker'!$C:$C,"&lt;&gt;Closed")/COUNTIFS('Candidate Tracker'!$E:$E,'Positions Tracker'!$B577)=0,"",COUNTIFS('Candidate Tracker'!$E:$E,'Positions Tracker'!$B577,'Candidate Tracker'!$C:$C,"&lt;&gt;WIP",'Candidate Tracker'!$C:$C,"&lt;&gt;Hold",'Candidate Tracker'!$C:$C,"&lt;&gt;Cancelled",'Candidate Tracker'!$C:$C,"&lt;&gt;Closed")/COUNTIFS('Candidate Tracker'!$E:$E,'Positions Tracker'!$B577)),"")</f>
        <v/>
      </c>
      <c r="BD577" s="30" t="str">
        <f t="shared" ref="BD577:BD640" si="69">IFERROR(IF($M577="","",TEXT($M577,"MMM-YY")),"")</f>
        <v/>
      </c>
      <c r="BE577" s="30" t="str">
        <f t="shared" ref="BE577:BE640" si="70">IFERROR(IF($AI577="","",TEXT($AI577,"MMM-YY")),"")</f>
        <v/>
      </c>
      <c r="BF577" s="30" t="str">
        <f t="shared" ref="BF577:BF640" si="71">IFERROR(IF($AM577="","",TEXT($AM577,"MMM-YY")),"")</f>
        <v/>
      </c>
      <c r="BG577" s="30" t="str">
        <f t="shared" ref="BG577:BG640" si="72">IFERROR(IF($AS577="","",TEXT($AS577,"MMM-YY")),"")</f>
        <v/>
      </c>
    </row>
    <row r="578" spans="1:59">
      <c r="A578" s="39"/>
      <c r="B578" s="39"/>
      <c r="C578" s="39"/>
      <c r="D578" s="39"/>
      <c r="E578" s="39"/>
      <c r="F578" s="39"/>
      <c r="G578" s="39"/>
      <c r="H578" s="39"/>
      <c r="I578" s="40"/>
      <c r="J578" s="40"/>
      <c r="K578" s="35"/>
      <c r="L578" s="35"/>
      <c r="M578" s="35"/>
      <c r="N578" s="39"/>
      <c r="O578" s="39"/>
      <c r="P578" s="39"/>
      <c r="Q578" s="39"/>
      <c r="R578" s="39"/>
      <c r="S578" s="39"/>
      <c r="T578" s="39"/>
      <c r="U578" s="39"/>
      <c r="V578" s="39"/>
      <c r="W578" s="39"/>
      <c r="X578" s="39"/>
      <c r="Y578" s="39"/>
      <c r="Z578" s="39"/>
      <c r="AA578" s="39"/>
      <c r="AB578" s="39"/>
      <c r="AC578" s="39"/>
      <c r="AD578" s="39"/>
      <c r="AE578" s="39"/>
      <c r="AF578" s="39"/>
      <c r="AG578" s="39"/>
      <c r="AH578" s="39"/>
      <c r="AI578" s="35"/>
      <c r="AJ578" s="39"/>
      <c r="AK578" s="39"/>
      <c r="AL578" s="39"/>
      <c r="AM578" s="35"/>
      <c r="AN578" s="35"/>
      <c r="AO578" s="39"/>
      <c r="AP578" s="39"/>
      <c r="AQ578" s="35"/>
      <c r="AR578" s="35"/>
      <c r="AS578" s="35"/>
      <c r="AT578" s="30">
        <f t="shared" ca="1" si="68"/>
        <v>0</v>
      </c>
      <c r="AU578" s="32" t="str">
        <f t="shared" ca="1" si="67"/>
        <v/>
      </c>
      <c r="AV578" s="32" t="str" cm="1">
        <f t="array" aca="1" ref="AV578" ca="1">IFERROR(_xlfn.IFS($AU578="","",$AU578&lt;=15,"0-15",AND($AU578&gt;=16,$AU578&lt;=30),"16-30",AND($AU578&gt;=31,$AU578&lt;=45),"31-45",AND($AU578&gt;=46,$AU578&lt;=60),"46-60",AND($AU578&gt;=61,$AU578&lt;=90),"61-90",AND($AU578&gt;=91),"&gt; 90",AND($AU578&gt;=2000),""),"")</f>
        <v/>
      </c>
      <c r="AW578" s="32" t="str" cm="1">
        <f t="array" aca="1" ref="AW578" ca="1">IFERROR(_xlfn.IFS(OR($M578="",$AM578=""),"",OR($C578="Offered",$C578="Joined"),($AM578-$M578)-$AT578),"")</f>
        <v/>
      </c>
      <c r="AX578" s="32" t="str" cm="1">
        <f t="array" aca="1" ref="AX578" ca="1">IFERROR(_xlfn.IFS(OR($M578="",$AS578=""),"",$C578="Joined",($AS578-$M578)-$AT578),"")</f>
        <v/>
      </c>
      <c r="AY578" s="30" t="str">
        <f>IFERROR(IF(COUNTIFS('Candidate Tracker'!$E:$E,'Positions Tracker'!$B578,'Candidate Tracker'!$C:$C,"Offer Drop")=0,"",COUNTIFS('Candidate Tracker'!$E:$E,'Positions Tracker'!$B578,'Candidate Tracker'!$C:$C,"Offer Drop")),"")</f>
        <v/>
      </c>
      <c r="AZ5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8" s="34" t="str">
        <f>IFERROR(IF(COUNTIFS('Candidate Tracker'!$E:$E,'Positions Tracker'!$B578,'Candidate Tracker'!$I:$I,"Female")=0,"",COUNTIFS('Candidate Tracker'!$E:$E,'Positions Tracker'!$B578,'Candidate Tracker'!$I:$I,"Female")),"")</f>
        <v/>
      </c>
      <c r="BB578" s="34" t="str">
        <f>IFERROR(IF(COUNTIFS('Candidate Tracker'!$E:$E,'Positions Tracker'!$B578,'Candidate Tracker'!$I:$I,"male")=0,"",COUNTIFS('Candidate Tracker'!$E:$E,'Positions Tracker'!$B578,'Candidate Tracker'!$I:$I,"male")),"")</f>
        <v/>
      </c>
      <c r="BC578" s="33" t="str">
        <f>IFERROR(IF(COUNTIFS('Candidate Tracker'!$E:$E,'Positions Tracker'!$B578,'Candidate Tracker'!$C:$C,"&lt;&gt;WIP",'Candidate Tracker'!$C:$C,"&lt;&gt;Hold",'Candidate Tracker'!$C:$C,"&lt;&gt;Cancelled",'Candidate Tracker'!$C:$C,"&lt;&gt;Closed")/COUNTIFS('Candidate Tracker'!$E:$E,'Positions Tracker'!$B578)=0,"",COUNTIFS('Candidate Tracker'!$E:$E,'Positions Tracker'!$B578,'Candidate Tracker'!$C:$C,"&lt;&gt;WIP",'Candidate Tracker'!$C:$C,"&lt;&gt;Hold",'Candidate Tracker'!$C:$C,"&lt;&gt;Cancelled",'Candidate Tracker'!$C:$C,"&lt;&gt;Closed")/COUNTIFS('Candidate Tracker'!$E:$E,'Positions Tracker'!$B578)),"")</f>
        <v/>
      </c>
      <c r="BD578" s="30" t="str">
        <f t="shared" si="69"/>
        <v/>
      </c>
      <c r="BE578" s="30" t="str">
        <f t="shared" si="70"/>
        <v/>
      </c>
      <c r="BF578" s="30" t="str">
        <f t="shared" si="71"/>
        <v/>
      </c>
      <c r="BG578" s="30" t="str">
        <f t="shared" si="72"/>
        <v/>
      </c>
    </row>
    <row r="579" spans="1:59">
      <c r="A579" s="39"/>
      <c r="B579" s="39"/>
      <c r="C579" s="39"/>
      <c r="D579" s="39"/>
      <c r="E579" s="39"/>
      <c r="F579" s="39"/>
      <c r="G579" s="39"/>
      <c r="H579" s="39"/>
      <c r="I579" s="40"/>
      <c r="J579" s="40"/>
      <c r="K579" s="35"/>
      <c r="L579" s="35"/>
      <c r="M579" s="35"/>
      <c r="N579" s="39"/>
      <c r="O579" s="39"/>
      <c r="P579" s="39"/>
      <c r="Q579" s="39"/>
      <c r="R579" s="39"/>
      <c r="S579" s="39"/>
      <c r="T579" s="39"/>
      <c r="U579" s="39"/>
      <c r="V579" s="39"/>
      <c r="W579" s="39"/>
      <c r="X579" s="39"/>
      <c r="Y579" s="39"/>
      <c r="Z579" s="39"/>
      <c r="AA579" s="39"/>
      <c r="AB579" s="39"/>
      <c r="AC579" s="39"/>
      <c r="AD579" s="39"/>
      <c r="AE579" s="39"/>
      <c r="AF579" s="39"/>
      <c r="AG579" s="39"/>
      <c r="AH579" s="39"/>
      <c r="AI579" s="35"/>
      <c r="AJ579" s="39"/>
      <c r="AK579" s="39"/>
      <c r="AL579" s="39"/>
      <c r="AM579" s="35"/>
      <c r="AN579" s="35"/>
      <c r="AO579" s="39"/>
      <c r="AP579" s="39"/>
      <c r="AQ579" s="35"/>
      <c r="AR579" s="35"/>
      <c r="AS579" s="35"/>
      <c r="AT579" s="30">
        <f t="shared" ca="1" si="68"/>
        <v>0</v>
      </c>
      <c r="AU579" s="32" t="str">
        <f t="shared" ca="1" si="67"/>
        <v/>
      </c>
      <c r="AV579" s="32" t="str" cm="1">
        <f t="array" aca="1" ref="AV579" ca="1">IFERROR(_xlfn.IFS($AU579="","",$AU579&lt;=15,"0-15",AND($AU579&gt;=16,$AU579&lt;=30),"16-30",AND($AU579&gt;=31,$AU579&lt;=45),"31-45",AND($AU579&gt;=46,$AU579&lt;=60),"46-60",AND($AU579&gt;=61,$AU579&lt;=90),"61-90",AND($AU579&gt;=91),"&gt; 90",AND($AU579&gt;=2000),""),"")</f>
        <v/>
      </c>
      <c r="AW579" s="32" t="str" cm="1">
        <f t="array" aca="1" ref="AW579" ca="1">IFERROR(_xlfn.IFS(OR($M579="",$AM579=""),"",OR($C579="Offered",$C579="Joined"),($AM579-$M579)-$AT579),"")</f>
        <v/>
      </c>
      <c r="AX579" s="32" t="str" cm="1">
        <f t="array" aca="1" ref="AX579" ca="1">IFERROR(_xlfn.IFS(OR($M579="",$AS579=""),"",$C579="Joined",($AS579-$M579)-$AT579),"")</f>
        <v/>
      </c>
      <c r="AY579" s="30" t="str">
        <f>IFERROR(IF(COUNTIFS('Candidate Tracker'!$E:$E,'Positions Tracker'!$B579,'Candidate Tracker'!$C:$C,"Offer Drop")=0,"",COUNTIFS('Candidate Tracker'!$E:$E,'Positions Tracker'!$B579,'Candidate Tracker'!$C:$C,"Offer Drop")),"")</f>
        <v/>
      </c>
      <c r="AZ5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79" s="34" t="str">
        <f>IFERROR(IF(COUNTIFS('Candidate Tracker'!$E:$E,'Positions Tracker'!$B579,'Candidate Tracker'!$I:$I,"Female")=0,"",COUNTIFS('Candidate Tracker'!$E:$E,'Positions Tracker'!$B579,'Candidate Tracker'!$I:$I,"Female")),"")</f>
        <v/>
      </c>
      <c r="BB579" s="34" t="str">
        <f>IFERROR(IF(COUNTIFS('Candidate Tracker'!$E:$E,'Positions Tracker'!$B579,'Candidate Tracker'!$I:$I,"male")=0,"",COUNTIFS('Candidate Tracker'!$E:$E,'Positions Tracker'!$B579,'Candidate Tracker'!$I:$I,"male")),"")</f>
        <v/>
      </c>
      <c r="BC579" s="33" t="str">
        <f>IFERROR(IF(COUNTIFS('Candidate Tracker'!$E:$E,'Positions Tracker'!$B579,'Candidate Tracker'!$C:$C,"&lt;&gt;WIP",'Candidate Tracker'!$C:$C,"&lt;&gt;Hold",'Candidate Tracker'!$C:$C,"&lt;&gt;Cancelled",'Candidate Tracker'!$C:$C,"&lt;&gt;Closed")/COUNTIFS('Candidate Tracker'!$E:$E,'Positions Tracker'!$B579)=0,"",COUNTIFS('Candidate Tracker'!$E:$E,'Positions Tracker'!$B579,'Candidate Tracker'!$C:$C,"&lt;&gt;WIP",'Candidate Tracker'!$C:$C,"&lt;&gt;Hold",'Candidate Tracker'!$C:$C,"&lt;&gt;Cancelled",'Candidate Tracker'!$C:$C,"&lt;&gt;Closed")/COUNTIFS('Candidate Tracker'!$E:$E,'Positions Tracker'!$B579)),"")</f>
        <v/>
      </c>
      <c r="BD579" s="30" t="str">
        <f t="shared" si="69"/>
        <v/>
      </c>
      <c r="BE579" s="30" t="str">
        <f t="shared" si="70"/>
        <v/>
      </c>
      <c r="BF579" s="30" t="str">
        <f t="shared" si="71"/>
        <v/>
      </c>
      <c r="BG579" s="30" t="str">
        <f t="shared" si="72"/>
        <v/>
      </c>
    </row>
    <row r="580" spans="1:59">
      <c r="A580" s="39"/>
      <c r="B580" s="39"/>
      <c r="C580" s="39"/>
      <c r="D580" s="39"/>
      <c r="E580" s="39"/>
      <c r="F580" s="39"/>
      <c r="G580" s="39"/>
      <c r="H580" s="39"/>
      <c r="I580" s="40"/>
      <c r="J580" s="40"/>
      <c r="K580" s="35"/>
      <c r="L580" s="35"/>
      <c r="M580" s="35"/>
      <c r="N580" s="39"/>
      <c r="O580" s="39"/>
      <c r="P580" s="39"/>
      <c r="Q580" s="39"/>
      <c r="R580" s="39"/>
      <c r="S580" s="39"/>
      <c r="T580" s="39"/>
      <c r="U580" s="39"/>
      <c r="V580" s="39"/>
      <c r="W580" s="39"/>
      <c r="X580" s="39"/>
      <c r="Y580" s="39"/>
      <c r="Z580" s="39"/>
      <c r="AA580" s="39"/>
      <c r="AB580" s="39"/>
      <c r="AC580" s="39"/>
      <c r="AD580" s="39"/>
      <c r="AE580" s="39"/>
      <c r="AF580" s="39"/>
      <c r="AG580" s="39"/>
      <c r="AH580" s="39"/>
      <c r="AI580" s="35"/>
      <c r="AJ580" s="39"/>
      <c r="AK580" s="39"/>
      <c r="AL580" s="39"/>
      <c r="AM580" s="35"/>
      <c r="AN580" s="35"/>
      <c r="AO580" s="39"/>
      <c r="AP580" s="39"/>
      <c r="AQ580" s="35"/>
      <c r="AR580" s="35"/>
      <c r="AS580" s="35"/>
      <c r="AT580" s="30">
        <f t="shared" ca="1" si="68"/>
        <v>0</v>
      </c>
      <c r="AU580" s="32" t="str">
        <f t="shared" ca="1" si="67"/>
        <v/>
      </c>
      <c r="AV580" s="32" t="str" cm="1">
        <f t="array" aca="1" ref="AV580" ca="1">IFERROR(_xlfn.IFS($AU580="","",$AU580&lt;=15,"0-15",AND($AU580&gt;=16,$AU580&lt;=30),"16-30",AND($AU580&gt;=31,$AU580&lt;=45),"31-45",AND($AU580&gt;=46,$AU580&lt;=60),"46-60",AND($AU580&gt;=61,$AU580&lt;=90),"61-90",AND($AU580&gt;=91),"&gt; 90",AND($AU580&gt;=2000),""),"")</f>
        <v/>
      </c>
      <c r="AW580" s="32" t="str" cm="1">
        <f t="array" aca="1" ref="AW580" ca="1">IFERROR(_xlfn.IFS(OR($M580="",$AM580=""),"",OR($C580="Offered",$C580="Joined"),($AM580-$M580)-$AT580),"")</f>
        <v/>
      </c>
      <c r="AX580" s="32" t="str" cm="1">
        <f t="array" aca="1" ref="AX580" ca="1">IFERROR(_xlfn.IFS(OR($M580="",$AS580=""),"",$C580="Joined",($AS580-$M580)-$AT580),"")</f>
        <v/>
      </c>
      <c r="AY580" s="30" t="str">
        <f>IFERROR(IF(COUNTIFS('Candidate Tracker'!$E:$E,'Positions Tracker'!$B580,'Candidate Tracker'!$C:$C,"Offer Drop")=0,"",COUNTIFS('Candidate Tracker'!$E:$E,'Positions Tracker'!$B580,'Candidate Tracker'!$C:$C,"Offer Drop")),"")</f>
        <v/>
      </c>
      <c r="AZ5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0" s="34" t="str">
        <f>IFERROR(IF(COUNTIFS('Candidate Tracker'!$E:$E,'Positions Tracker'!$B580,'Candidate Tracker'!$I:$I,"Female")=0,"",COUNTIFS('Candidate Tracker'!$E:$E,'Positions Tracker'!$B580,'Candidate Tracker'!$I:$I,"Female")),"")</f>
        <v/>
      </c>
      <c r="BB580" s="34" t="str">
        <f>IFERROR(IF(COUNTIFS('Candidate Tracker'!$E:$E,'Positions Tracker'!$B580,'Candidate Tracker'!$I:$I,"male")=0,"",COUNTIFS('Candidate Tracker'!$E:$E,'Positions Tracker'!$B580,'Candidate Tracker'!$I:$I,"male")),"")</f>
        <v/>
      </c>
      <c r="BC580" s="33" t="str">
        <f>IFERROR(IF(COUNTIFS('Candidate Tracker'!$E:$E,'Positions Tracker'!$B580,'Candidate Tracker'!$C:$C,"&lt;&gt;WIP",'Candidate Tracker'!$C:$C,"&lt;&gt;Hold",'Candidate Tracker'!$C:$C,"&lt;&gt;Cancelled",'Candidate Tracker'!$C:$C,"&lt;&gt;Closed")/COUNTIFS('Candidate Tracker'!$E:$E,'Positions Tracker'!$B580)=0,"",COUNTIFS('Candidate Tracker'!$E:$E,'Positions Tracker'!$B580,'Candidate Tracker'!$C:$C,"&lt;&gt;WIP",'Candidate Tracker'!$C:$C,"&lt;&gt;Hold",'Candidate Tracker'!$C:$C,"&lt;&gt;Cancelled",'Candidate Tracker'!$C:$C,"&lt;&gt;Closed")/COUNTIFS('Candidate Tracker'!$E:$E,'Positions Tracker'!$B580)),"")</f>
        <v/>
      </c>
      <c r="BD580" s="30" t="str">
        <f t="shared" si="69"/>
        <v/>
      </c>
      <c r="BE580" s="30" t="str">
        <f t="shared" si="70"/>
        <v/>
      </c>
      <c r="BF580" s="30" t="str">
        <f t="shared" si="71"/>
        <v/>
      </c>
      <c r="BG580" s="30" t="str">
        <f t="shared" si="72"/>
        <v/>
      </c>
    </row>
    <row r="581" spans="1:59">
      <c r="A581" s="39"/>
      <c r="B581" s="39"/>
      <c r="C581" s="39"/>
      <c r="D581" s="39"/>
      <c r="E581" s="39"/>
      <c r="F581" s="39"/>
      <c r="G581" s="39"/>
      <c r="H581" s="39"/>
      <c r="I581" s="40"/>
      <c r="J581" s="40"/>
      <c r="K581" s="35"/>
      <c r="L581" s="35"/>
      <c r="M581" s="35"/>
      <c r="N581" s="39"/>
      <c r="O581" s="39"/>
      <c r="P581" s="39"/>
      <c r="Q581" s="39"/>
      <c r="R581" s="39"/>
      <c r="S581" s="39"/>
      <c r="T581" s="39"/>
      <c r="U581" s="39"/>
      <c r="V581" s="39"/>
      <c r="W581" s="39"/>
      <c r="X581" s="39"/>
      <c r="Y581" s="39"/>
      <c r="Z581" s="39"/>
      <c r="AA581" s="39"/>
      <c r="AB581" s="39"/>
      <c r="AC581" s="39"/>
      <c r="AD581" s="39"/>
      <c r="AE581" s="39"/>
      <c r="AF581" s="39"/>
      <c r="AG581" s="39"/>
      <c r="AH581" s="39"/>
      <c r="AI581" s="35"/>
      <c r="AJ581" s="39"/>
      <c r="AK581" s="39"/>
      <c r="AL581" s="39"/>
      <c r="AM581" s="35"/>
      <c r="AN581" s="35"/>
      <c r="AO581" s="39"/>
      <c r="AP581" s="39"/>
      <c r="AQ581" s="35"/>
      <c r="AR581" s="35"/>
      <c r="AS581" s="35"/>
      <c r="AT581" s="30">
        <f t="shared" ca="1" si="68"/>
        <v>0</v>
      </c>
      <c r="AU581" s="32" t="str">
        <f t="shared" ca="1" si="67"/>
        <v/>
      </c>
      <c r="AV581" s="32" t="str" cm="1">
        <f t="array" aca="1" ref="AV581" ca="1">IFERROR(_xlfn.IFS($AU581="","",$AU581&lt;=15,"0-15",AND($AU581&gt;=16,$AU581&lt;=30),"16-30",AND($AU581&gt;=31,$AU581&lt;=45),"31-45",AND($AU581&gt;=46,$AU581&lt;=60),"46-60",AND($AU581&gt;=61,$AU581&lt;=90),"61-90",AND($AU581&gt;=91),"&gt; 90",AND($AU581&gt;=2000),""),"")</f>
        <v/>
      </c>
      <c r="AW581" s="32" t="str" cm="1">
        <f t="array" aca="1" ref="AW581" ca="1">IFERROR(_xlfn.IFS(OR($M581="",$AM581=""),"",OR($C581="Offered",$C581="Joined"),($AM581-$M581)-$AT581),"")</f>
        <v/>
      </c>
      <c r="AX581" s="32" t="str" cm="1">
        <f t="array" aca="1" ref="AX581" ca="1">IFERROR(_xlfn.IFS(OR($M581="",$AS581=""),"",$C581="Joined",($AS581-$M581)-$AT581),"")</f>
        <v/>
      </c>
      <c r="AY581" s="30" t="str">
        <f>IFERROR(IF(COUNTIFS('Candidate Tracker'!$E:$E,'Positions Tracker'!$B581,'Candidate Tracker'!$C:$C,"Offer Drop")=0,"",COUNTIFS('Candidate Tracker'!$E:$E,'Positions Tracker'!$B581,'Candidate Tracker'!$C:$C,"Offer Drop")),"")</f>
        <v/>
      </c>
      <c r="AZ5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1" s="34" t="str">
        <f>IFERROR(IF(COUNTIFS('Candidate Tracker'!$E:$E,'Positions Tracker'!$B581,'Candidate Tracker'!$I:$I,"Female")=0,"",COUNTIFS('Candidate Tracker'!$E:$E,'Positions Tracker'!$B581,'Candidate Tracker'!$I:$I,"Female")),"")</f>
        <v/>
      </c>
      <c r="BB581" s="34" t="str">
        <f>IFERROR(IF(COUNTIFS('Candidate Tracker'!$E:$E,'Positions Tracker'!$B581,'Candidate Tracker'!$I:$I,"male")=0,"",COUNTIFS('Candidate Tracker'!$E:$E,'Positions Tracker'!$B581,'Candidate Tracker'!$I:$I,"male")),"")</f>
        <v/>
      </c>
      <c r="BC581" s="33" t="str">
        <f>IFERROR(IF(COUNTIFS('Candidate Tracker'!$E:$E,'Positions Tracker'!$B581,'Candidate Tracker'!$C:$C,"&lt;&gt;WIP",'Candidate Tracker'!$C:$C,"&lt;&gt;Hold",'Candidate Tracker'!$C:$C,"&lt;&gt;Cancelled",'Candidate Tracker'!$C:$C,"&lt;&gt;Closed")/COUNTIFS('Candidate Tracker'!$E:$E,'Positions Tracker'!$B581)=0,"",COUNTIFS('Candidate Tracker'!$E:$E,'Positions Tracker'!$B581,'Candidate Tracker'!$C:$C,"&lt;&gt;WIP",'Candidate Tracker'!$C:$C,"&lt;&gt;Hold",'Candidate Tracker'!$C:$C,"&lt;&gt;Cancelled",'Candidate Tracker'!$C:$C,"&lt;&gt;Closed")/COUNTIFS('Candidate Tracker'!$E:$E,'Positions Tracker'!$B581)),"")</f>
        <v/>
      </c>
      <c r="BD581" s="30" t="str">
        <f t="shared" si="69"/>
        <v/>
      </c>
      <c r="BE581" s="30" t="str">
        <f t="shared" si="70"/>
        <v/>
      </c>
      <c r="BF581" s="30" t="str">
        <f t="shared" si="71"/>
        <v/>
      </c>
      <c r="BG581" s="30" t="str">
        <f t="shared" si="72"/>
        <v/>
      </c>
    </row>
    <row r="582" spans="1:59">
      <c r="A582" s="39"/>
      <c r="B582" s="39"/>
      <c r="C582" s="39"/>
      <c r="D582" s="39"/>
      <c r="E582" s="39"/>
      <c r="F582" s="39"/>
      <c r="G582" s="39"/>
      <c r="H582" s="39"/>
      <c r="I582" s="40"/>
      <c r="J582" s="40"/>
      <c r="K582" s="35"/>
      <c r="L582" s="35"/>
      <c r="M582" s="35"/>
      <c r="N582" s="39"/>
      <c r="O582" s="39"/>
      <c r="P582" s="39"/>
      <c r="Q582" s="39"/>
      <c r="R582" s="39"/>
      <c r="S582" s="39"/>
      <c r="T582" s="39"/>
      <c r="U582" s="39"/>
      <c r="V582" s="39"/>
      <c r="W582" s="39"/>
      <c r="X582" s="39"/>
      <c r="Y582" s="39"/>
      <c r="Z582" s="39"/>
      <c r="AA582" s="39"/>
      <c r="AB582" s="39"/>
      <c r="AC582" s="39"/>
      <c r="AD582" s="39"/>
      <c r="AE582" s="39"/>
      <c r="AF582" s="39"/>
      <c r="AG582" s="39"/>
      <c r="AH582" s="39"/>
      <c r="AI582" s="35"/>
      <c r="AJ582" s="39"/>
      <c r="AK582" s="39"/>
      <c r="AL582" s="39"/>
      <c r="AM582" s="35"/>
      <c r="AN582" s="35"/>
      <c r="AO582" s="39"/>
      <c r="AP582" s="39"/>
      <c r="AQ582" s="35"/>
      <c r="AR582" s="35"/>
      <c r="AS582" s="35"/>
      <c r="AT582" s="30">
        <f t="shared" ca="1" si="68"/>
        <v>0</v>
      </c>
      <c r="AU582" s="32" t="str">
        <f t="shared" ca="1" si="67"/>
        <v/>
      </c>
      <c r="AV582" s="32" t="str" cm="1">
        <f t="array" aca="1" ref="AV582" ca="1">IFERROR(_xlfn.IFS($AU582="","",$AU582&lt;=15,"0-15",AND($AU582&gt;=16,$AU582&lt;=30),"16-30",AND($AU582&gt;=31,$AU582&lt;=45),"31-45",AND($AU582&gt;=46,$AU582&lt;=60),"46-60",AND($AU582&gt;=61,$AU582&lt;=90),"61-90",AND($AU582&gt;=91),"&gt; 90",AND($AU582&gt;=2000),""),"")</f>
        <v/>
      </c>
      <c r="AW582" s="32" t="str" cm="1">
        <f t="array" aca="1" ref="AW582" ca="1">IFERROR(_xlfn.IFS(OR($M582="",$AM582=""),"",OR($C582="Offered",$C582="Joined"),($AM582-$M582)-$AT582),"")</f>
        <v/>
      </c>
      <c r="AX582" s="32" t="str" cm="1">
        <f t="array" aca="1" ref="AX582" ca="1">IFERROR(_xlfn.IFS(OR($M582="",$AS582=""),"",$C582="Joined",($AS582-$M582)-$AT582),"")</f>
        <v/>
      </c>
      <c r="AY582" s="30" t="str">
        <f>IFERROR(IF(COUNTIFS('Candidate Tracker'!$E:$E,'Positions Tracker'!$B582,'Candidate Tracker'!$C:$C,"Offer Drop")=0,"",COUNTIFS('Candidate Tracker'!$E:$E,'Positions Tracker'!$B582,'Candidate Tracker'!$C:$C,"Offer Drop")),"")</f>
        <v/>
      </c>
      <c r="AZ5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2" s="34" t="str">
        <f>IFERROR(IF(COUNTIFS('Candidate Tracker'!$E:$E,'Positions Tracker'!$B582,'Candidate Tracker'!$I:$I,"Female")=0,"",COUNTIFS('Candidate Tracker'!$E:$E,'Positions Tracker'!$B582,'Candidate Tracker'!$I:$I,"Female")),"")</f>
        <v/>
      </c>
      <c r="BB582" s="34" t="str">
        <f>IFERROR(IF(COUNTIFS('Candidate Tracker'!$E:$E,'Positions Tracker'!$B582,'Candidate Tracker'!$I:$I,"male")=0,"",COUNTIFS('Candidate Tracker'!$E:$E,'Positions Tracker'!$B582,'Candidate Tracker'!$I:$I,"male")),"")</f>
        <v/>
      </c>
      <c r="BC582" s="33" t="str">
        <f>IFERROR(IF(COUNTIFS('Candidate Tracker'!$E:$E,'Positions Tracker'!$B582,'Candidate Tracker'!$C:$C,"&lt;&gt;WIP",'Candidate Tracker'!$C:$C,"&lt;&gt;Hold",'Candidate Tracker'!$C:$C,"&lt;&gt;Cancelled",'Candidate Tracker'!$C:$C,"&lt;&gt;Closed")/COUNTIFS('Candidate Tracker'!$E:$E,'Positions Tracker'!$B582)=0,"",COUNTIFS('Candidate Tracker'!$E:$E,'Positions Tracker'!$B582,'Candidate Tracker'!$C:$C,"&lt;&gt;WIP",'Candidate Tracker'!$C:$C,"&lt;&gt;Hold",'Candidate Tracker'!$C:$C,"&lt;&gt;Cancelled",'Candidate Tracker'!$C:$C,"&lt;&gt;Closed")/COUNTIFS('Candidate Tracker'!$E:$E,'Positions Tracker'!$B582)),"")</f>
        <v/>
      </c>
      <c r="BD582" s="30" t="str">
        <f t="shared" si="69"/>
        <v/>
      </c>
      <c r="BE582" s="30" t="str">
        <f t="shared" si="70"/>
        <v/>
      </c>
      <c r="BF582" s="30" t="str">
        <f t="shared" si="71"/>
        <v/>
      </c>
      <c r="BG582" s="30" t="str">
        <f t="shared" si="72"/>
        <v/>
      </c>
    </row>
    <row r="583" spans="1:59">
      <c r="A583" s="39"/>
      <c r="B583" s="39"/>
      <c r="C583" s="39"/>
      <c r="D583" s="39"/>
      <c r="E583" s="39"/>
      <c r="F583" s="39"/>
      <c r="G583" s="39"/>
      <c r="H583" s="39"/>
      <c r="I583" s="40"/>
      <c r="J583" s="40"/>
      <c r="K583" s="35"/>
      <c r="L583" s="35"/>
      <c r="M583" s="35"/>
      <c r="N583" s="39"/>
      <c r="O583" s="39"/>
      <c r="P583" s="39"/>
      <c r="Q583" s="39"/>
      <c r="R583" s="39"/>
      <c r="S583" s="39"/>
      <c r="T583" s="39"/>
      <c r="U583" s="39"/>
      <c r="V583" s="39"/>
      <c r="W583" s="39"/>
      <c r="X583" s="39"/>
      <c r="Y583" s="39"/>
      <c r="Z583" s="39"/>
      <c r="AA583" s="39"/>
      <c r="AB583" s="39"/>
      <c r="AC583" s="39"/>
      <c r="AD583" s="39"/>
      <c r="AE583" s="39"/>
      <c r="AF583" s="39"/>
      <c r="AG583" s="39"/>
      <c r="AH583" s="39"/>
      <c r="AI583" s="35"/>
      <c r="AJ583" s="39"/>
      <c r="AK583" s="39"/>
      <c r="AL583" s="39"/>
      <c r="AM583" s="35"/>
      <c r="AN583" s="35"/>
      <c r="AO583" s="39"/>
      <c r="AP583" s="39"/>
      <c r="AQ583" s="35"/>
      <c r="AR583" s="35"/>
      <c r="AS583" s="35"/>
      <c r="AT583" s="30">
        <f t="shared" ca="1" si="68"/>
        <v>0</v>
      </c>
      <c r="AU583" s="32" t="str">
        <f t="shared" ca="1" si="67"/>
        <v/>
      </c>
      <c r="AV583" s="32" t="str" cm="1">
        <f t="array" aca="1" ref="AV583" ca="1">IFERROR(_xlfn.IFS($AU583="","",$AU583&lt;=15,"0-15",AND($AU583&gt;=16,$AU583&lt;=30),"16-30",AND($AU583&gt;=31,$AU583&lt;=45),"31-45",AND($AU583&gt;=46,$AU583&lt;=60),"46-60",AND($AU583&gt;=61,$AU583&lt;=90),"61-90",AND($AU583&gt;=91),"&gt; 90",AND($AU583&gt;=2000),""),"")</f>
        <v/>
      </c>
      <c r="AW583" s="32" t="str" cm="1">
        <f t="array" aca="1" ref="AW583" ca="1">IFERROR(_xlfn.IFS(OR($M583="",$AM583=""),"",OR($C583="Offered",$C583="Joined"),($AM583-$M583)-$AT583),"")</f>
        <v/>
      </c>
      <c r="AX583" s="32" t="str" cm="1">
        <f t="array" aca="1" ref="AX583" ca="1">IFERROR(_xlfn.IFS(OR($M583="",$AS583=""),"",$C583="Joined",($AS583-$M583)-$AT583),"")</f>
        <v/>
      </c>
      <c r="AY583" s="30" t="str">
        <f>IFERROR(IF(COUNTIFS('Candidate Tracker'!$E:$E,'Positions Tracker'!$B583,'Candidate Tracker'!$C:$C,"Offer Drop")=0,"",COUNTIFS('Candidate Tracker'!$E:$E,'Positions Tracker'!$B583,'Candidate Tracker'!$C:$C,"Offer Drop")),"")</f>
        <v/>
      </c>
      <c r="AZ5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3" s="34" t="str">
        <f>IFERROR(IF(COUNTIFS('Candidate Tracker'!$E:$E,'Positions Tracker'!$B583,'Candidate Tracker'!$I:$I,"Female")=0,"",COUNTIFS('Candidate Tracker'!$E:$E,'Positions Tracker'!$B583,'Candidate Tracker'!$I:$I,"Female")),"")</f>
        <v/>
      </c>
      <c r="BB583" s="34" t="str">
        <f>IFERROR(IF(COUNTIFS('Candidate Tracker'!$E:$E,'Positions Tracker'!$B583,'Candidate Tracker'!$I:$I,"male")=0,"",COUNTIFS('Candidate Tracker'!$E:$E,'Positions Tracker'!$B583,'Candidate Tracker'!$I:$I,"male")),"")</f>
        <v/>
      </c>
      <c r="BC583" s="33" t="str">
        <f>IFERROR(IF(COUNTIFS('Candidate Tracker'!$E:$E,'Positions Tracker'!$B583,'Candidate Tracker'!$C:$C,"&lt;&gt;WIP",'Candidate Tracker'!$C:$C,"&lt;&gt;Hold",'Candidate Tracker'!$C:$C,"&lt;&gt;Cancelled",'Candidate Tracker'!$C:$C,"&lt;&gt;Closed")/COUNTIFS('Candidate Tracker'!$E:$E,'Positions Tracker'!$B583)=0,"",COUNTIFS('Candidate Tracker'!$E:$E,'Positions Tracker'!$B583,'Candidate Tracker'!$C:$C,"&lt;&gt;WIP",'Candidate Tracker'!$C:$C,"&lt;&gt;Hold",'Candidate Tracker'!$C:$C,"&lt;&gt;Cancelled",'Candidate Tracker'!$C:$C,"&lt;&gt;Closed")/COUNTIFS('Candidate Tracker'!$E:$E,'Positions Tracker'!$B583)),"")</f>
        <v/>
      </c>
      <c r="BD583" s="30" t="str">
        <f t="shared" si="69"/>
        <v/>
      </c>
      <c r="BE583" s="30" t="str">
        <f t="shared" si="70"/>
        <v/>
      </c>
      <c r="BF583" s="30" t="str">
        <f t="shared" si="71"/>
        <v/>
      </c>
      <c r="BG583" s="30" t="str">
        <f t="shared" si="72"/>
        <v/>
      </c>
    </row>
    <row r="584" spans="1:59">
      <c r="A584" s="39"/>
      <c r="B584" s="39"/>
      <c r="C584" s="39"/>
      <c r="D584" s="39"/>
      <c r="E584" s="39"/>
      <c r="F584" s="39"/>
      <c r="G584" s="39"/>
      <c r="H584" s="39"/>
      <c r="I584" s="40"/>
      <c r="J584" s="40"/>
      <c r="K584" s="35"/>
      <c r="L584" s="35"/>
      <c r="M584" s="35"/>
      <c r="N584" s="39"/>
      <c r="O584" s="39"/>
      <c r="P584" s="39"/>
      <c r="Q584" s="39"/>
      <c r="R584" s="39"/>
      <c r="S584" s="39"/>
      <c r="T584" s="39"/>
      <c r="U584" s="39"/>
      <c r="V584" s="39"/>
      <c r="W584" s="39"/>
      <c r="X584" s="39"/>
      <c r="Y584" s="39"/>
      <c r="Z584" s="39"/>
      <c r="AA584" s="39"/>
      <c r="AB584" s="39"/>
      <c r="AC584" s="39"/>
      <c r="AD584" s="39"/>
      <c r="AE584" s="39"/>
      <c r="AF584" s="39"/>
      <c r="AG584" s="39"/>
      <c r="AH584" s="39"/>
      <c r="AI584" s="35"/>
      <c r="AJ584" s="39"/>
      <c r="AK584" s="39"/>
      <c r="AL584" s="39"/>
      <c r="AM584" s="35"/>
      <c r="AN584" s="35"/>
      <c r="AO584" s="39"/>
      <c r="AP584" s="39"/>
      <c r="AQ584" s="35"/>
      <c r="AR584" s="35"/>
      <c r="AS584" s="35"/>
      <c r="AT584" s="30">
        <f t="shared" ca="1" si="68"/>
        <v>0</v>
      </c>
      <c r="AU584" s="32" t="str">
        <f t="shared" ca="1" si="67"/>
        <v/>
      </c>
      <c r="AV584" s="32" t="str" cm="1">
        <f t="array" aca="1" ref="AV584" ca="1">IFERROR(_xlfn.IFS($AU584="","",$AU584&lt;=15,"0-15",AND($AU584&gt;=16,$AU584&lt;=30),"16-30",AND($AU584&gt;=31,$AU584&lt;=45),"31-45",AND($AU584&gt;=46,$AU584&lt;=60),"46-60",AND($AU584&gt;=61,$AU584&lt;=90),"61-90",AND($AU584&gt;=91),"&gt; 90",AND($AU584&gt;=2000),""),"")</f>
        <v/>
      </c>
      <c r="AW584" s="32" t="str" cm="1">
        <f t="array" aca="1" ref="AW584" ca="1">IFERROR(_xlfn.IFS(OR($M584="",$AM584=""),"",OR($C584="Offered",$C584="Joined"),($AM584-$M584)-$AT584),"")</f>
        <v/>
      </c>
      <c r="AX584" s="32" t="str" cm="1">
        <f t="array" aca="1" ref="AX584" ca="1">IFERROR(_xlfn.IFS(OR($M584="",$AS584=""),"",$C584="Joined",($AS584-$M584)-$AT584),"")</f>
        <v/>
      </c>
      <c r="AY584" s="30" t="str">
        <f>IFERROR(IF(COUNTIFS('Candidate Tracker'!$E:$E,'Positions Tracker'!$B584,'Candidate Tracker'!$C:$C,"Offer Drop")=0,"",COUNTIFS('Candidate Tracker'!$E:$E,'Positions Tracker'!$B584,'Candidate Tracker'!$C:$C,"Offer Drop")),"")</f>
        <v/>
      </c>
      <c r="AZ5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4" s="34" t="str">
        <f>IFERROR(IF(COUNTIFS('Candidate Tracker'!$E:$E,'Positions Tracker'!$B584,'Candidate Tracker'!$I:$I,"Female")=0,"",COUNTIFS('Candidate Tracker'!$E:$E,'Positions Tracker'!$B584,'Candidate Tracker'!$I:$I,"Female")),"")</f>
        <v/>
      </c>
      <c r="BB584" s="34" t="str">
        <f>IFERROR(IF(COUNTIFS('Candidate Tracker'!$E:$E,'Positions Tracker'!$B584,'Candidate Tracker'!$I:$I,"male")=0,"",COUNTIFS('Candidate Tracker'!$E:$E,'Positions Tracker'!$B584,'Candidate Tracker'!$I:$I,"male")),"")</f>
        <v/>
      </c>
      <c r="BC584" s="33" t="str">
        <f>IFERROR(IF(COUNTIFS('Candidate Tracker'!$E:$E,'Positions Tracker'!$B584,'Candidate Tracker'!$C:$C,"&lt;&gt;WIP",'Candidate Tracker'!$C:$C,"&lt;&gt;Hold",'Candidate Tracker'!$C:$C,"&lt;&gt;Cancelled",'Candidate Tracker'!$C:$C,"&lt;&gt;Closed")/COUNTIFS('Candidate Tracker'!$E:$E,'Positions Tracker'!$B584)=0,"",COUNTIFS('Candidate Tracker'!$E:$E,'Positions Tracker'!$B584,'Candidate Tracker'!$C:$C,"&lt;&gt;WIP",'Candidate Tracker'!$C:$C,"&lt;&gt;Hold",'Candidate Tracker'!$C:$C,"&lt;&gt;Cancelled",'Candidate Tracker'!$C:$C,"&lt;&gt;Closed")/COUNTIFS('Candidate Tracker'!$E:$E,'Positions Tracker'!$B584)),"")</f>
        <v/>
      </c>
      <c r="BD584" s="30" t="str">
        <f t="shared" si="69"/>
        <v/>
      </c>
      <c r="BE584" s="30" t="str">
        <f t="shared" si="70"/>
        <v/>
      </c>
      <c r="BF584" s="30" t="str">
        <f t="shared" si="71"/>
        <v/>
      </c>
      <c r="BG584" s="30" t="str">
        <f t="shared" si="72"/>
        <v/>
      </c>
    </row>
    <row r="585" spans="1:59">
      <c r="A585" s="39"/>
      <c r="B585" s="39"/>
      <c r="C585" s="39"/>
      <c r="D585" s="39"/>
      <c r="E585" s="39"/>
      <c r="F585" s="39"/>
      <c r="G585" s="39"/>
      <c r="H585" s="39"/>
      <c r="I585" s="40"/>
      <c r="J585" s="40"/>
      <c r="K585" s="35"/>
      <c r="L585" s="35"/>
      <c r="M585" s="35"/>
      <c r="N585" s="39"/>
      <c r="O585" s="39"/>
      <c r="P585" s="39"/>
      <c r="Q585" s="39"/>
      <c r="R585" s="39"/>
      <c r="S585" s="39"/>
      <c r="T585" s="39"/>
      <c r="U585" s="39"/>
      <c r="V585" s="39"/>
      <c r="W585" s="39"/>
      <c r="X585" s="39"/>
      <c r="Y585" s="39"/>
      <c r="Z585" s="39"/>
      <c r="AA585" s="39"/>
      <c r="AB585" s="39"/>
      <c r="AC585" s="39"/>
      <c r="AD585" s="39"/>
      <c r="AE585" s="39"/>
      <c r="AF585" s="39"/>
      <c r="AG585" s="39"/>
      <c r="AH585" s="39"/>
      <c r="AI585" s="35"/>
      <c r="AJ585" s="39"/>
      <c r="AK585" s="39"/>
      <c r="AL585" s="39"/>
      <c r="AM585" s="35"/>
      <c r="AN585" s="35"/>
      <c r="AO585" s="39"/>
      <c r="AP585" s="39"/>
      <c r="AQ585" s="35"/>
      <c r="AR585" s="35"/>
      <c r="AS585" s="35"/>
      <c r="AT585" s="30">
        <f t="shared" ca="1" si="68"/>
        <v>0</v>
      </c>
      <c r="AU585" s="32" t="str">
        <f t="shared" ca="1" si="67"/>
        <v/>
      </c>
      <c r="AV585" s="32" t="str" cm="1">
        <f t="array" aca="1" ref="AV585" ca="1">IFERROR(_xlfn.IFS($AU585="","",$AU585&lt;=15,"0-15",AND($AU585&gt;=16,$AU585&lt;=30),"16-30",AND($AU585&gt;=31,$AU585&lt;=45),"31-45",AND($AU585&gt;=46,$AU585&lt;=60),"46-60",AND($AU585&gt;=61,$AU585&lt;=90),"61-90",AND($AU585&gt;=91),"&gt; 90",AND($AU585&gt;=2000),""),"")</f>
        <v/>
      </c>
      <c r="AW585" s="32" t="str" cm="1">
        <f t="array" aca="1" ref="AW585" ca="1">IFERROR(_xlfn.IFS(OR($M585="",$AM585=""),"",OR($C585="Offered",$C585="Joined"),($AM585-$M585)-$AT585),"")</f>
        <v/>
      </c>
      <c r="AX585" s="32" t="str" cm="1">
        <f t="array" aca="1" ref="AX585" ca="1">IFERROR(_xlfn.IFS(OR($M585="",$AS585=""),"",$C585="Joined",($AS585-$M585)-$AT585),"")</f>
        <v/>
      </c>
      <c r="AY585" s="30" t="str">
        <f>IFERROR(IF(COUNTIFS('Candidate Tracker'!$E:$E,'Positions Tracker'!$B585,'Candidate Tracker'!$C:$C,"Offer Drop")=0,"",COUNTIFS('Candidate Tracker'!$E:$E,'Positions Tracker'!$B585,'Candidate Tracker'!$C:$C,"Offer Drop")),"")</f>
        <v/>
      </c>
      <c r="AZ5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5" s="34" t="str">
        <f>IFERROR(IF(COUNTIFS('Candidate Tracker'!$E:$E,'Positions Tracker'!$B585,'Candidate Tracker'!$I:$I,"Female")=0,"",COUNTIFS('Candidate Tracker'!$E:$E,'Positions Tracker'!$B585,'Candidate Tracker'!$I:$I,"Female")),"")</f>
        <v/>
      </c>
      <c r="BB585" s="34" t="str">
        <f>IFERROR(IF(COUNTIFS('Candidate Tracker'!$E:$E,'Positions Tracker'!$B585,'Candidate Tracker'!$I:$I,"male")=0,"",COUNTIFS('Candidate Tracker'!$E:$E,'Positions Tracker'!$B585,'Candidate Tracker'!$I:$I,"male")),"")</f>
        <v/>
      </c>
      <c r="BC585" s="33" t="str">
        <f>IFERROR(IF(COUNTIFS('Candidate Tracker'!$E:$E,'Positions Tracker'!$B585,'Candidate Tracker'!$C:$C,"&lt;&gt;WIP",'Candidate Tracker'!$C:$C,"&lt;&gt;Hold",'Candidate Tracker'!$C:$C,"&lt;&gt;Cancelled",'Candidate Tracker'!$C:$C,"&lt;&gt;Closed")/COUNTIFS('Candidate Tracker'!$E:$E,'Positions Tracker'!$B585)=0,"",COUNTIFS('Candidate Tracker'!$E:$E,'Positions Tracker'!$B585,'Candidate Tracker'!$C:$C,"&lt;&gt;WIP",'Candidate Tracker'!$C:$C,"&lt;&gt;Hold",'Candidate Tracker'!$C:$C,"&lt;&gt;Cancelled",'Candidate Tracker'!$C:$C,"&lt;&gt;Closed")/COUNTIFS('Candidate Tracker'!$E:$E,'Positions Tracker'!$B585)),"")</f>
        <v/>
      </c>
      <c r="BD585" s="30" t="str">
        <f t="shared" si="69"/>
        <v/>
      </c>
      <c r="BE585" s="30" t="str">
        <f t="shared" si="70"/>
        <v/>
      </c>
      <c r="BF585" s="30" t="str">
        <f t="shared" si="71"/>
        <v/>
      </c>
      <c r="BG585" s="30" t="str">
        <f t="shared" si="72"/>
        <v/>
      </c>
    </row>
    <row r="586" spans="1:59">
      <c r="A586" s="39"/>
      <c r="B586" s="39"/>
      <c r="C586" s="39"/>
      <c r="D586" s="39"/>
      <c r="E586" s="39"/>
      <c r="F586" s="39"/>
      <c r="G586" s="39"/>
      <c r="H586" s="39"/>
      <c r="I586" s="40"/>
      <c r="J586" s="40"/>
      <c r="K586" s="35"/>
      <c r="L586" s="35"/>
      <c r="M586" s="35"/>
      <c r="N586" s="39"/>
      <c r="O586" s="39"/>
      <c r="P586" s="39"/>
      <c r="Q586" s="39"/>
      <c r="R586" s="39"/>
      <c r="S586" s="39"/>
      <c r="T586" s="39"/>
      <c r="U586" s="39"/>
      <c r="V586" s="39"/>
      <c r="W586" s="39"/>
      <c r="X586" s="39"/>
      <c r="Y586" s="39"/>
      <c r="Z586" s="39"/>
      <c r="AA586" s="39"/>
      <c r="AB586" s="39"/>
      <c r="AC586" s="39"/>
      <c r="AD586" s="39"/>
      <c r="AE586" s="39"/>
      <c r="AF586" s="39"/>
      <c r="AG586" s="39"/>
      <c r="AH586" s="39"/>
      <c r="AI586" s="35"/>
      <c r="AJ586" s="39"/>
      <c r="AK586" s="39"/>
      <c r="AL586" s="39"/>
      <c r="AM586" s="35"/>
      <c r="AN586" s="35"/>
      <c r="AO586" s="39"/>
      <c r="AP586" s="39"/>
      <c r="AQ586" s="35"/>
      <c r="AR586" s="35"/>
      <c r="AS586" s="35"/>
      <c r="AT586" s="30">
        <f t="shared" ca="1" si="68"/>
        <v>0</v>
      </c>
      <c r="AU586" s="32" t="str">
        <f t="shared" ca="1" si="67"/>
        <v/>
      </c>
      <c r="AV586" s="32" t="str" cm="1">
        <f t="array" aca="1" ref="AV586" ca="1">IFERROR(_xlfn.IFS($AU586="","",$AU586&lt;=15,"0-15",AND($AU586&gt;=16,$AU586&lt;=30),"16-30",AND($AU586&gt;=31,$AU586&lt;=45),"31-45",AND($AU586&gt;=46,$AU586&lt;=60),"46-60",AND($AU586&gt;=61,$AU586&lt;=90),"61-90",AND($AU586&gt;=91),"&gt; 90",AND($AU586&gt;=2000),""),"")</f>
        <v/>
      </c>
      <c r="AW586" s="32" t="str" cm="1">
        <f t="array" aca="1" ref="AW586" ca="1">IFERROR(_xlfn.IFS(OR($M586="",$AM586=""),"",OR($C586="Offered",$C586="Joined"),($AM586-$M586)-$AT586),"")</f>
        <v/>
      </c>
      <c r="AX586" s="32" t="str" cm="1">
        <f t="array" aca="1" ref="AX586" ca="1">IFERROR(_xlfn.IFS(OR($M586="",$AS586=""),"",$C586="Joined",($AS586-$M586)-$AT586),"")</f>
        <v/>
      </c>
      <c r="AY586" s="30" t="str">
        <f>IFERROR(IF(COUNTIFS('Candidate Tracker'!$E:$E,'Positions Tracker'!$B586,'Candidate Tracker'!$C:$C,"Offer Drop")=0,"",COUNTIFS('Candidate Tracker'!$E:$E,'Positions Tracker'!$B586,'Candidate Tracker'!$C:$C,"Offer Drop")),"")</f>
        <v/>
      </c>
      <c r="AZ58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6" s="34" t="str">
        <f>IFERROR(IF(COUNTIFS('Candidate Tracker'!$E:$E,'Positions Tracker'!$B586,'Candidate Tracker'!$I:$I,"Female")=0,"",COUNTIFS('Candidate Tracker'!$E:$E,'Positions Tracker'!$B586,'Candidate Tracker'!$I:$I,"Female")),"")</f>
        <v/>
      </c>
      <c r="BB586" s="34" t="str">
        <f>IFERROR(IF(COUNTIFS('Candidate Tracker'!$E:$E,'Positions Tracker'!$B586,'Candidate Tracker'!$I:$I,"male")=0,"",COUNTIFS('Candidate Tracker'!$E:$E,'Positions Tracker'!$B586,'Candidate Tracker'!$I:$I,"male")),"")</f>
        <v/>
      </c>
      <c r="BC586" s="33" t="str">
        <f>IFERROR(IF(COUNTIFS('Candidate Tracker'!$E:$E,'Positions Tracker'!$B586,'Candidate Tracker'!$C:$C,"&lt;&gt;WIP",'Candidate Tracker'!$C:$C,"&lt;&gt;Hold",'Candidate Tracker'!$C:$C,"&lt;&gt;Cancelled",'Candidate Tracker'!$C:$C,"&lt;&gt;Closed")/COUNTIFS('Candidate Tracker'!$E:$E,'Positions Tracker'!$B586)=0,"",COUNTIFS('Candidate Tracker'!$E:$E,'Positions Tracker'!$B586,'Candidate Tracker'!$C:$C,"&lt;&gt;WIP",'Candidate Tracker'!$C:$C,"&lt;&gt;Hold",'Candidate Tracker'!$C:$C,"&lt;&gt;Cancelled",'Candidate Tracker'!$C:$C,"&lt;&gt;Closed")/COUNTIFS('Candidate Tracker'!$E:$E,'Positions Tracker'!$B586)),"")</f>
        <v/>
      </c>
      <c r="BD586" s="30" t="str">
        <f t="shared" si="69"/>
        <v/>
      </c>
      <c r="BE586" s="30" t="str">
        <f t="shared" si="70"/>
        <v/>
      </c>
      <c r="BF586" s="30" t="str">
        <f t="shared" si="71"/>
        <v/>
      </c>
      <c r="BG586" s="30" t="str">
        <f t="shared" si="72"/>
        <v/>
      </c>
    </row>
    <row r="587" spans="1:59">
      <c r="A587" s="39"/>
      <c r="B587" s="39"/>
      <c r="C587" s="39"/>
      <c r="D587" s="39"/>
      <c r="E587" s="39"/>
      <c r="F587" s="39"/>
      <c r="G587" s="39"/>
      <c r="H587" s="39"/>
      <c r="I587" s="40"/>
      <c r="J587" s="40"/>
      <c r="K587" s="35"/>
      <c r="L587" s="35"/>
      <c r="M587" s="35"/>
      <c r="N587" s="39"/>
      <c r="O587" s="39"/>
      <c r="P587" s="39"/>
      <c r="Q587" s="39"/>
      <c r="R587" s="39"/>
      <c r="S587" s="39"/>
      <c r="T587" s="39"/>
      <c r="U587" s="39"/>
      <c r="V587" s="39"/>
      <c r="W587" s="39"/>
      <c r="X587" s="39"/>
      <c r="Y587" s="39"/>
      <c r="Z587" s="39"/>
      <c r="AA587" s="39"/>
      <c r="AB587" s="39"/>
      <c r="AC587" s="39"/>
      <c r="AD587" s="39"/>
      <c r="AE587" s="39"/>
      <c r="AF587" s="39"/>
      <c r="AG587" s="39"/>
      <c r="AH587" s="39"/>
      <c r="AI587" s="35"/>
      <c r="AJ587" s="39"/>
      <c r="AK587" s="39"/>
      <c r="AL587" s="39"/>
      <c r="AM587" s="35"/>
      <c r="AN587" s="35"/>
      <c r="AO587" s="39"/>
      <c r="AP587" s="39"/>
      <c r="AQ587" s="35"/>
      <c r="AR587" s="35"/>
      <c r="AS587" s="35"/>
      <c r="AT587" s="30">
        <f t="shared" ca="1" si="68"/>
        <v>0</v>
      </c>
      <c r="AU587" s="32" t="str">
        <f t="shared" ca="1" si="67"/>
        <v/>
      </c>
      <c r="AV587" s="32" t="str" cm="1">
        <f t="array" aca="1" ref="AV587" ca="1">IFERROR(_xlfn.IFS($AU587="","",$AU587&lt;=15,"0-15",AND($AU587&gt;=16,$AU587&lt;=30),"16-30",AND($AU587&gt;=31,$AU587&lt;=45),"31-45",AND($AU587&gt;=46,$AU587&lt;=60),"46-60",AND($AU587&gt;=61,$AU587&lt;=90),"61-90",AND($AU587&gt;=91),"&gt; 90",AND($AU587&gt;=2000),""),"")</f>
        <v/>
      </c>
      <c r="AW587" s="32" t="str" cm="1">
        <f t="array" aca="1" ref="AW587" ca="1">IFERROR(_xlfn.IFS(OR($M587="",$AM587=""),"",OR($C587="Offered",$C587="Joined"),($AM587-$M587)-$AT587),"")</f>
        <v/>
      </c>
      <c r="AX587" s="32" t="str" cm="1">
        <f t="array" aca="1" ref="AX587" ca="1">IFERROR(_xlfn.IFS(OR($M587="",$AS587=""),"",$C587="Joined",($AS587-$M587)-$AT587),"")</f>
        <v/>
      </c>
      <c r="AY587" s="30" t="str">
        <f>IFERROR(IF(COUNTIFS('Candidate Tracker'!$E:$E,'Positions Tracker'!$B587,'Candidate Tracker'!$C:$C,"Offer Drop")=0,"",COUNTIFS('Candidate Tracker'!$E:$E,'Positions Tracker'!$B587,'Candidate Tracker'!$C:$C,"Offer Drop")),"")</f>
        <v/>
      </c>
      <c r="AZ58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7" s="34" t="str">
        <f>IFERROR(IF(COUNTIFS('Candidate Tracker'!$E:$E,'Positions Tracker'!$B587,'Candidate Tracker'!$I:$I,"Female")=0,"",COUNTIFS('Candidate Tracker'!$E:$E,'Positions Tracker'!$B587,'Candidate Tracker'!$I:$I,"Female")),"")</f>
        <v/>
      </c>
      <c r="BB587" s="34" t="str">
        <f>IFERROR(IF(COUNTIFS('Candidate Tracker'!$E:$E,'Positions Tracker'!$B587,'Candidate Tracker'!$I:$I,"male")=0,"",COUNTIFS('Candidate Tracker'!$E:$E,'Positions Tracker'!$B587,'Candidate Tracker'!$I:$I,"male")),"")</f>
        <v/>
      </c>
      <c r="BC587" s="33" t="str">
        <f>IFERROR(IF(COUNTIFS('Candidate Tracker'!$E:$E,'Positions Tracker'!$B587,'Candidate Tracker'!$C:$C,"&lt;&gt;WIP",'Candidate Tracker'!$C:$C,"&lt;&gt;Hold",'Candidate Tracker'!$C:$C,"&lt;&gt;Cancelled",'Candidate Tracker'!$C:$C,"&lt;&gt;Closed")/COUNTIFS('Candidate Tracker'!$E:$E,'Positions Tracker'!$B587)=0,"",COUNTIFS('Candidate Tracker'!$E:$E,'Positions Tracker'!$B587,'Candidate Tracker'!$C:$C,"&lt;&gt;WIP",'Candidate Tracker'!$C:$C,"&lt;&gt;Hold",'Candidate Tracker'!$C:$C,"&lt;&gt;Cancelled",'Candidate Tracker'!$C:$C,"&lt;&gt;Closed")/COUNTIFS('Candidate Tracker'!$E:$E,'Positions Tracker'!$B587)),"")</f>
        <v/>
      </c>
      <c r="BD587" s="30" t="str">
        <f t="shared" si="69"/>
        <v/>
      </c>
      <c r="BE587" s="30" t="str">
        <f t="shared" si="70"/>
        <v/>
      </c>
      <c r="BF587" s="30" t="str">
        <f t="shared" si="71"/>
        <v/>
      </c>
      <c r="BG587" s="30" t="str">
        <f t="shared" si="72"/>
        <v/>
      </c>
    </row>
    <row r="588" spans="1:59">
      <c r="A588" s="39"/>
      <c r="B588" s="39"/>
      <c r="C588" s="39"/>
      <c r="D588" s="39"/>
      <c r="E588" s="39"/>
      <c r="F588" s="39"/>
      <c r="G588" s="39"/>
      <c r="H588" s="39"/>
      <c r="I588" s="40"/>
      <c r="J588" s="40"/>
      <c r="K588" s="35"/>
      <c r="L588" s="35"/>
      <c r="M588" s="35"/>
      <c r="N588" s="39"/>
      <c r="O588" s="39"/>
      <c r="P588" s="39"/>
      <c r="Q588" s="39"/>
      <c r="R588" s="39"/>
      <c r="S588" s="39"/>
      <c r="T588" s="39"/>
      <c r="U588" s="39"/>
      <c r="V588" s="39"/>
      <c r="W588" s="39"/>
      <c r="X588" s="39"/>
      <c r="Y588" s="39"/>
      <c r="Z588" s="39"/>
      <c r="AA588" s="39"/>
      <c r="AB588" s="39"/>
      <c r="AC588" s="39"/>
      <c r="AD588" s="39"/>
      <c r="AE588" s="39"/>
      <c r="AF588" s="39"/>
      <c r="AG588" s="39"/>
      <c r="AH588" s="39"/>
      <c r="AI588" s="35"/>
      <c r="AJ588" s="39"/>
      <c r="AK588" s="39"/>
      <c r="AL588" s="39"/>
      <c r="AM588" s="35"/>
      <c r="AN588" s="35"/>
      <c r="AO588" s="39"/>
      <c r="AP588" s="39"/>
      <c r="AQ588" s="35"/>
      <c r="AR588" s="35"/>
      <c r="AS588" s="35"/>
      <c r="AT588" s="30">
        <f t="shared" ca="1" si="68"/>
        <v>0</v>
      </c>
      <c r="AU588" s="32" t="str">
        <f t="shared" ca="1" si="67"/>
        <v/>
      </c>
      <c r="AV588" s="32" t="str" cm="1">
        <f t="array" aca="1" ref="AV588" ca="1">IFERROR(_xlfn.IFS($AU588="","",$AU588&lt;=15,"0-15",AND($AU588&gt;=16,$AU588&lt;=30),"16-30",AND($AU588&gt;=31,$AU588&lt;=45),"31-45",AND($AU588&gt;=46,$AU588&lt;=60),"46-60",AND($AU588&gt;=61,$AU588&lt;=90),"61-90",AND($AU588&gt;=91),"&gt; 90",AND($AU588&gt;=2000),""),"")</f>
        <v/>
      </c>
      <c r="AW588" s="32" t="str" cm="1">
        <f t="array" aca="1" ref="AW588" ca="1">IFERROR(_xlfn.IFS(OR($M588="",$AM588=""),"",OR($C588="Offered",$C588="Joined"),($AM588-$M588)-$AT588),"")</f>
        <v/>
      </c>
      <c r="AX588" s="32" t="str" cm="1">
        <f t="array" aca="1" ref="AX588" ca="1">IFERROR(_xlfn.IFS(OR($M588="",$AS588=""),"",$C588="Joined",($AS588-$M588)-$AT588),"")</f>
        <v/>
      </c>
      <c r="AY588" s="30" t="str">
        <f>IFERROR(IF(COUNTIFS('Candidate Tracker'!$E:$E,'Positions Tracker'!$B588,'Candidate Tracker'!$C:$C,"Offer Drop")=0,"",COUNTIFS('Candidate Tracker'!$E:$E,'Positions Tracker'!$B588,'Candidate Tracker'!$C:$C,"Offer Drop")),"")</f>
        <v/>
      </c>
      <c r="AZ58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8" s="34" t="str">
        <f>IFERROR(IF(COUNTIFS('Candidate Tracker'!$E:$E,'Positions Tracker'!$B588,'Candidate Tracker'!$I:$I,"Female")=0,"",COUNTIFS('Candidate Tracker'!$E:$E,'Positions Tracker'!$B588,'Candidate Tracker'!$I:$I,"Female")),"")</f>
        <v/>
      </c>
      <c r="BB588" s="34" t="str">
        <f>IFERROR(IF(COUNTIFS('Candidate Tracker'!$E:$E,'Positions Tracker'!$B588,'Candidate Tracker'!$I:$I,"male")=0,"",COUNTIFS('Candidate Tracker'!$E:$E,'Positions Tracker'!$B588,'Candidate Tracker'!$I:$I,"male")),"")</f>
        <v/>
      </c>
      <c r="BC588" s="33" t="str">
        <f>IFERROR(IF(COUNTIFS('Candidate Tracker'!$E:$E,'Positions Tracker'!$B588,'Candidate Tracker'!$C:$C,"&lt;&gt;WIP",'Candidate Tracker'!$C:$C,"&lt;&gt;Hold",'Candidate Tracker'!$C:$C,"&lt;&gt;Cancelled",'Candidate Tracker'!$C:$C,"&lt;&gt;Closed")/COUNTIFS('Candidate Tracker'!$E:$E,'Positions Tracker'!$B588)=0,"",COUNTIFS('Candidate Tracker'!$E:$E,'Positions Tracker'!$B588,'Candidate Tracker'!$C:$C,"&lt;&gt;WIP",'Candidate Tracker'!$C:$C,"&lt;&gt;Hold",'Candidate Tracker'!$C:$C,"&lt;&gt;Cancelled",'Candidate Tracker'!$C:$C,"&lt;&gt;Closed")/COUNTIFS('Candidate Tracker'!$E:$E,'Positions Tracker'!$B588)),"")</f>
        <v/>
      </c>
      <c r="BD588" s="30" t="str">
        <f t="shared" si="69"/>
        <v/>
      </c>
      <c r="BE588" s="30" t="str">
        <f t="shared" si="70"/>
        <v/>
      </c>
      <c r="BF588" s="30" t="str">
        <f t="shared" si="71"/>
        <v/>
      </c>
      <c r="BG588" s="30" t="str">
        <f t="shared" si="72"/>
        <v/>
      </c>
    </row>
    <row r="589" spans="1:59">
      <c r="A589" s="39"/>
      <c r="B589" s="39"/>
      <c r="C589" s="39"/>
      <c r="D589" s="39"/>
      <c r="E589" s="39"/>
      <c r="F589" s="39"/>
      <c r="G589" s="39"/>
      <c r="H589" s="39"/>
      <c r="I589" s="40"/>
      <c r="J589" s="40"/>
      <c r="K589" s="35"/>
      <c r="L589" s="35"/>
      <c r="M589" s="35"/>
      <c r="N589" s="39"/>
      <c r="O589" s="39"/>
      <c r="P589" s="39"/>
      <c r="Q589" s="39"/>
      <c r="R589" s="39"/>
      <c r="S589" s="39"/>
      <c r="T589" s="39"/>
      <c r="U589" s="39"/>
      <c r="V589" s="39"/>
      <c r="W589" s="39"/>
      <c r="X589" s="39"/>
      <c r="Y589" s="39"/>
      <c r="Z589" s="39"/>
      <c r="AA589" s="39"/>
      <c r="AB589" s="39"/>
      <c r="AC589" s="39"/>
      <c r="AD589" s="39"/>
      <c r="AE589" s="39"/>
      <c r="AF589" s="39"/>
      <c r="AG589" s="39"/>
      <c r="AH589" s="39"/>
      <c r="AI589" s="35"/>
      <c r="AJ589" s="39"/>
      <c r="AK589" s="39"/>
      <c r="AL589" s="39"/>
      <c r="AM589" s="35"/>
      <c r="AN589" s="35"/>
      <c r="AO589" s="39"/>
      <c r="AP589" s="39"/>
      <c r="AQ589" s="35"/>
      <c r="AR589" s="35"/>
      <c r="AS589" s="35"/>
      <c r="AT589" s="30">
        <f t="shared" ca="1" si="68"/>
        <v>0</v>
      </c>
      <c r="AU589" s="32" t="str">
        <f t="shared" ca="1" si="67"/>
        <v/>
      </c>
      <c r="AV589" s="32" t="str" cm="1">
        <f t="array" aca="1" ref="AV589" ca="1">IFERROR(_xlfn.IFS($AU589="","",$AU589&lt;=15,"0-15",AND($AU589&gt;=16,$AU589&lt;=30),"16-30",AND($AU589&gt;=31,$AU589&lt;=45),"31-45",AND($AU589&gt;=46,$AU589&lt;=60),"46-60",AND($AU589&gt;=61,$AU589&lt;=90),"61-90",AND($AU589&gt;=91),"&gt; 90",AND($AU589&gt;=2000),""),"")</f>
        <v/>
      </c>
      <c r="AW589" s="32" t="str" cm="1">
        <f t="array" aca="1" ref="AW589" ca="1">IFERROR(_xlfn.IFS(OR($M589="",$AM589=""),"",OR($C589="Offered",$C589="Joined"),($AM589-$M589)-$AT589),"")</f>
        <v/>
      </c>
      <c r="AX589" s="32" t="str" cm="1">
        <f t="array" aca="1" ref="AX589" ca="1">IFERROR(_xlfn.IFS(OR($M589="",$AS589=""),"",$C589="Joined",($AS589-$M589)-$AT589),"")</f>
        <v/>
      </c>
      <c r="AY589" s="30" t="str">
        <f>IFERROR(IF(COUNTIFS('Candidate Tracker'!$E:$E,'Positions Tracker'!$B589,'Candidate Tracker'!$C:$C,"Offer Drop")=0,"",COUNTIFS('Candidate Tracker'!$E:$E,'Positions Tracker'!$B589,'Candidate Tracker'!$C:$C,"Offer Drop")),"")</f>
        <v/>
      </c>
      <c r="AZ58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89" s="34" t="str">
        <f>IFERROR(IF(COUNTIFS('Candidate Tracker'!$E:$E,'Positions Tracker'!$B589,'Candidate Tracker'!$I:$I,"Female")=0,"",COUNTIFS('Candidate Tracker'!$E:$E,'Positions Tracker'!$B589,'Candidate Tracker'!$I:$I,"Female")),"")</f>
        <v/>
      </c>
      <c r="BB589" s="34" t="str">
        <f>IFERROR(IF(COUNTIFS('Candidate Tracker'!$E:$E,'Positions Tracker'!$B589,'Candidate Tracker'!$I:$I,"male")=0,"",COUNTIFS('Candidate Tracker'!$E:$E,'Positions Tracker'!$B589,'Candidate Tracker'!$I:$I,"male")),"")</f>
        <v/>
      </c>
      <c r="BC589" s="33" t="str">
        <f>IFERROR(IF(COUNTIFS('Candidate Tracker'!$E:$E,'Positions Tracker'!$B589,'Candidate Tracker'!$C:$C,"&lt;&gt;WIP",'Candidate Tracker'!$C:$C,"&lt;&gt;Hold",'Candidate Tracker'!$C:$C,"&lt;&gt;Cancelled",'Candidate Tracker'!$C:$C,"&lt;&gt;Closed")/COUNTIFS('Candidate Tracker'!$E:$E,'Positions Tracker'!$B589)=0,"",COUNTIFS('Candidate Tracker'!$E:$E,'Positions Tracker'!$B589,'Candidate Tracker'!$C:$C,"&lt;&gt;WIP",'Candidate Tracker'!$C:$C,"&lt;&gt;Hold",'Candidate Tracker'!$C:$C,"&lt;&gt;Cancelled",'Candidate Tracker'!$C:$C,"&lt;&gt;Closed")/COUNTIFS('Candidate Tracker'!$E:$E,'Positions Tracker'!$B589)),"")</f>
        <v/>
      </c>
      <c r="BD589" s="30" t="str">
        <f t="shared" si="69"/>
        <v/>
      </c>
      <c r="BE589" s="30" t="str">
        <f t="shared" si="70"/>
        <v/>
      </c>
      <c r="BF589" s="30" t="str">
        <f t="shared" si="71"/>
        <v/>
      </c>
      <c r="BG589" s="30" t="str">
        <f t="shared" si="72"/>
        <v/>
      </c>
    </row>
    <row r="590" spans="1:59">
      <c r="A590" s="39"/>
      <c r="B590" s="39"/>
      <c r="C590" s="39"/>
      <c r="D590" s="39"/>
      <c r="E590" s="39"/>
      <c r="F590" s="39"/>
      <c r="G590" s="39"/>
      <c r="H590" s="39"/>
      <c r="I590" s="40"/>
      <c r="J590" s="40"/>
      <c r="K590" s="35"/>
      <c r="L590" s="35"/>
      <c r="M590" s="35"/>
      <c r="N590" s="39"/>
      <c r="O590" s="39"/>
      <c r="P590" s="39"/>
      <c r="Q590" s="39"/>
      <c r="R590" s="39"/>
      <c r="S590" s="39"/>
      <c r="T590" s="39"/>
      <c r="U590" s="39"/>
      <c r="V590" s="39"/>
      <c r="W590" s="39"/>
      <c r="X590" s="39"/>
      <c r="Y590" s="39"/>
      <c r="Z590" s="39"/>
      <c r="AA590" s="39"/>
      <c r="AB590" s="39"/>
      <c r="AC590" s="39"/>
      <c r="AD590" s="39"/>
      <c r="AE590" s="39"/>
      <c r="AF590" s="39"/>
      <c r="AG590" s="39"/>
      <c r="AH590" s="39"/>
      <c r="AI590" s="35"/>
      <c r="AJ590" s="39"/>
      <c r="AK590" s="39"/>
      <c r="AL590" s="39"/>
      <c r="AM590" s="35"/>
      <c r="AN590" s="35"/>
      <c r="AO590" s="39"/>
      <c r="AP590" s="39"/>
      <c r="AQ590" s="35"/>
      <c r="AR590" s="35"/>
      <c r="AS590" s="35"/>
      <c r="AT590" s="30">
        <f t="shared" ca="1" si="68"/>
        <v>0</v>
      </c>
      <c r="AU590" s="32" t="str">
        <f t="shared" ca="1" si="67"/>
        <v/>
      </c>
      <c r="AV590" s="32" t="str" cm="1">
        <f t="array" aca="1" ref="AV590" ca="1">IFERROR(_xlfn.IFS($AU590="","",$AU590&lt;=15,"0-15",AND($AU590&gt;=16,$AU590&lt;=30),"16-30",AND($AU590&gt;=31,$AU590&lt;=45),"31-45",AND($AU590&gt;=46,$AU590&lt;=60),"46-60",AND($AU590&gt;=61,$AU590&lt;=90),"61-90",AND($AU590&gt;=91),"&gt; 90",AND($AU590&gt;=2000),""),"")</f>
        <v/>
      </c>
      <c r="AW590" s="32" t="str" cm="1">
        <f t="array" aca="1" ref="AW590" ca="1">IFERROR(_xlfn.IFS(OR($M590="",$AM590=""),"",OR($C590="Offered",$C590="Joined"),($AM590-$M590)-$AT590),"")</f>
        <v/>
      </c>
      <c r="AX590" s="32" t="str" cm="1">
        <f t="array" aca="1" ref="AX590" ca="1">IFERROR(_xlfn.IFS(OR($M590="",$AS590=""),"",$C590="Joined",($AS590-$M590)-$AT590),"")</f>
        <v/>
      </c>
      <c r="AY590" s="30" t="str">
        <f>IFERROR(IF(COUNTIFS('Candidate Tracker'!$E:$E,'Positions Tracker'!$B590,'Candidate Tracker'!$C:$C,"Offer Drop")=0,"",COUNTIFS('Candidate Tracker'!$E:$E,'Positions Tracker'!$B590,'Candidate Tracker'!$C:$C,"Offer Drop")),"")</f>
        <v/>
      </c>
      <c r="AZ59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0" s="34" t="str">
        <f>IFERROR(IF(COUNTIFS('Candidate Tracker'!$E:$E,'Positions Tracker'!$B590,'Candidate Tracker'!$I:$I,"Female")=0,"",COUNTIFS('Candidate Tracker'!$E:$E,'Positions Tracker'!$B590,'Candidate Tracker'!$I:$I,"Female")),"")</f>
        <v/>
      </c>
      <c r="BB590" s="34" t="str">
        <f>IFERROR(IF(COUNTIFS('Candidate Tracker'!$E:$E,'Positions Tracker'!$B590,'Candidate Tracker'!$I:$I,"male")=0,"",COUNTIFS('Candidate Tracker'!$E:$E,'Positions Tracker'!$B590,'Candidate Tracker'!$I:$I,"male")),"")</f>
        <v/>
      </c>
      <c r="BC590" s="33" t="str">
        <f>IFERROR(IF(COUNTIFS('Candidate Tracker'!$E:$E,'Positions Tracker'!$B590,'Candidate Tracker'!$C:$C,"&lt;&gt;WIP",'Candidate Tracker'!$C:$C,"&lt;&gt;Hold",'Candidate Tracker'!$C:$C,"&lt;&gt;Cancelled",'Candidate Tracker'!$C:$C,"&lt;&gt;Closed")/COUNTIFS('Candidate Tracker'!$E:$E,'Positions Tracker'!$B590)=0,"",COUNTIFS('Candidate Tracker'!$E:$E,'Positions Tracker'!$B590,'Candidate Tracker'!$C:$C,"&lt;&gt;WIP",'Candidate Tracker'!$C:$C,"&lt;&gt;Hold",'Candidate Tracker'!$C:$C,"&lt;&gt;Cancelled",'Candidate Tracker'!$C:$C,"&lt;&gt;Closed")/COUNTIFS('Candidate Tracker'!$E:$E,'Positions Tracker'!$B590)),"")</f>
        <v/>
      </c>
      <c r="BD590" s="30" t="str">
        <f t="shared" si="69"/>
        <v/>
      </c>
      <c r="BE590" s="30" t="str">
        <f t="shared" si="70"/>
        <v/>
      </c>
      <c r="BF590" s="30" t="str">
        <f t="shared" si="71"/>
        <v/>
      </c>
      <c r="BG590" s="30" t="str">
        <f t="shared" si="72"/>
        <v/>
      </c>
    </row>
    <row r="591" spans="1:59">
      <c r="A591" s="39"/>
      <c r="B591" s="39"/>
      <c r="C591" s="39"/>
      <c r="D591" s="39"/>
      <c r="E591" s="39"/>
      <c r="F591" s="39"/>
      <c r="G591" s="39"/>
      <c r="H591" s="39"/>
      <c r="I591" s="40"/>
      <c r="J591" s="40"/>
      <c r="K591" s="35"/>
      <c r="L591" s="35"/>
      <c r="M591" s="35"/>
      <c r="N591" s="39"/>
      <c r="O591" s="39"/>
      <c r="P591" s="39"/>
      <c r="Q591" s="39"/>
      <c r="R591" s="39"/>
      <c r="S591" s="39"/>
      <c r="T591" s="39"/>
      <c r="U591" s="39"/>
      <c r="V591" s="39"/>
      <c r="W591" s="39"/>
      <c r="X591" s="39"/>
      <c r="Y591" s="39"/>
      <c r="Z591" s="39"/>
      <c r="AA591" s="39"/>
      <c r="AB591" s="39"/>
      <c r="AC591" s="39"/>
      <c r="AD591" s="39"/>
      <c r="AE591" s="39"/>
      <c r="AF591" s="39"/>
      <c r="AG591" s="39"/>
      <c r="AH591" s="39"/>
      <c r="AI591" s="35"/>
      <c r="AJ591" s="39"/>
      <c r="AK591" s="39"/>
      <c r="AL591" s="39"/>
      <c r="AM591" s="35"/>
      <c r="AN591" s="35"/>
      <c r="AO591" s="39"/>
      <c r="AP591" s="39"/>
      <c r="AQ591" s="35"/>
      <c r="AR591" s="35"/>
      <c r="AS591" s="35"/>
      <c r="AT591" s="30">
        <f t="shared" ca="1" si="68"/>
        <v>0</v>
      </c>
      <c r="AU591" s="32" t="str">
        <f t="shared" ca="1" si="67"/>
        <v/>
      </c>
      <c r="AV591" s="32" t="str" cm="1">
        <f t="array" aca="1" ref="AV591" ca="1">IFERROR(_xlfn.IFS($AU591="","",$AU591&lt;=15,"0-15",AND($AU591&gt;=16,$AU591&lt;=30),"16-30",AND($AU591&gt;=31,$AU591&lt;=45),"31-45",AND($AU591&gt;=46,$AU591&lt;=60),"46-60",AND($AU591&gt;=61,$AU591&lt;=90),"61-90",AND($AU591&gt;=91),"&gt; 90",AND($AU591&gt;=2000),""),"")</f>
        <v/>
      </c>
      <c r="AW591" s="32" t="str" cm="1">
        <f t="array" aca="1" ref="AW591" ca="1">IFERROR(_xlfn.IFS(OR($M591="",$AM591=""),"",OR($C591="Offered",$C591="Joined"),($AM591-$M591)-$AT591),"")</f>
        <v/>
      </c>
      <c r="AX591" s="32" t="str" cm="1">
        <f t="array" aca="1" ref="AX591" ca="1">IFERROR(_xlfn.IFS(OR($M591="",$AS591=""),"",$C591="Joined",($AS591-$M591)-$AT591),"")</f>
        <v/>
      </c>
      <c r="AY591" s="30" t="str">
        <f>IFERROR(IF(COUNTIFS('Candidate Tracker'!$E:$E,'Positions Tracker'!$B591,'Candidate Tracker'!$C:$C,"Offer Drop")=0,"",COUNTIFS('Candidate Tracker'!$E:$E,'Positions Tracker'!$B591,'Candidate Tracker'!$C:$C,"Offer Drop")),"")</f>
        <v/>
      </c>
      <c r="AZ59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1" s="34" t="str">
        <f>IFERROR(IF(COUNTIFS('Candidate Tracker'!$E:$E,'Positions Tracker'!$B591,'Candidate Tracker'!$I:$I,"Female")=0,"",COUNTIFS('Candidate Tracker'!$E:$E,'Positions Tracker'!$B591,'Candidate Tracker'!$I:$I,"Female")),"")</f>
        <v/>
      </c>
      <c r="BB591" s="34" t="str">
        <f>IFERROR(IF(COUNTIFS('Candidate Tracker'!$E:$E,'Positions Tracker'!$B591,'Candidate Tracker'!$I:$I,"male")=0,"",COUNTIFS('Candidate Tracker'!$E:$E,'Positions Tracker'!$B591,'Candidate Tracker'!$I:$I,"male")),"")</f>
        <v/>
      </c>
      <c r="BC591" s="33" t="str">
        <f>IFERROR(IF(COUNTIFS('Candidate Tracker'!$E:$E,'Positions Tracker'!$B591,'Candidate Tracker'!$C:$C,"&lt;&gt;WIP",'Candidate Tracker'!$C:$C,"&lt;&gt;Hold",'Candidate Tracker'!$C:$C,"&lt;&gt;Cancelled",'Candidate Tracker'!$C:$C,"&lt;&gt;Closed")/COUNTIFS('Candidate Tracker'!$E:$E,'Positions Tracker'!$B591)=0,"",COUNTIFS('Candidate Tracker'!$E:$E,'Positions Tracker'!$B591,'Candidate Tracker'!$C:$C,"&lt;&gt;WIP",'Candidate Tracker'!$C:$C,"&lt;&gt;Hold",'Candidate Tracker'!$C:$C,"&lt;&gt;Cancelled",'Candidate Tracker'!$C:$C,"&lt;&gt;Closed")/COUNTIFS('Candidate Tracker'!$E:$E,'Positions Tracker'!$B591)),"")</f>
        <v/>
      </c>
      <c r="BD591" s="30" t="str">
        <f t="shared" si="69"/>
        <v/>
      </c>
      <c r="BE591" s="30" t="str">
        <f t="shared" si="70"/>
        <v/>
      </c>
      <c r="BF591" s="30" t="str">
        <f t="shared" si="71"/>
        <v/>
      </c>
      <c r="BG591" s="30" t="str">
        <f t="shared" si="72"/>
        <v/>
      </c>
    </row>
    <row r="592" spans="1:59">
      <c r="A592" s="39"/>
      <c r="B592" s="39"/>
      <c r="C592" s="39"/>
      <c r="D592" s="39"/>
      <c r="E592" s="39"/>
      <c r="F592" s="39"/>
      <c r="G592" s="39"/>
      <c r="H592" s="39"/>
      <c r="I592" s="40"/>
      <c r="J592" s="40"/>
      <c r="K592" s="35"/>
      <c r="L592" s="35"/>
      <c r="M592" s="35"/>
      <c r="N592" s="39"/>
      <c r="O592" s="39"/>
      <c r="P592" s="39"/>
      <c r="Q592" s="39"/>
      <c r="R592" s="39"/>
      <c r="S592" s="39"/>
      <c r="T592" s="39"/>
      <c r="U592" s="39"/>
      <c r="V592" s="39"/>
      <c r="W592" s="39"/>
      <c r="X592" s="39"/>
      <c r="Y592" s="39"/>
      <c r="Z592" s="39"/>
      <c r="AA592" s="39"/>
      <c r="AB592" s="39"/>
      <c r="AC592" s="39"/>
      <c r="AD592" s="39"/>
      <c r="AE592" s="39"/>
      <c r="AF592" s="39"/>
      <c r="AG592" s="39"/>
      <c r="AH592" s="39"/>
      <c r="AI592" s="35"/>
      <c r="AJ592" s="39"/>
      <c r="AK592" s="39"/>
      <c r="AL592" s="39"/>
      <c r="AM592" s="35"/>
      <c r="AN592" s="35"/>
      <c r="AO592" s="39"/>
      <c r="AP592" s="39"/>
      <c r="AQ592" s="35"/>
      <c r="AR592" s="35"/>
      <c r="AS592" s="35"/>
      <c r="AT592" s="30">
        <f t="shared" ca="1" si="68"/>
        <v>0</v>
      </c>
      <c r="AU592" s="32" t="str">
        <f t="shared" ca="1" si="67"/>
        <v/>
      </c>
      <c r="AV592" s="32" t="str" cm="1">
        <f t="array" aca="1" ref="AV592" ca="1">IFERROR(_xlfn.IFS($AU592="","",$AU592&lt;=15,"0-15",AND($AU592&gt;=16,$AU592&lt;=30),"16-30",AND($AU592&gt;=31,$AU592&lt;=45),"31-45",AND($AU592&gt;=46,$AU592&lt;=60),"46-60",AND($AU592&gt;=61,$AU592&lt;=90),"61-90",AND($AU592&gt;=91),"&gt; 90",AND($AU592&gt;=2000),""),"")</f>
        <v/>
      </c>
      <c r="AW592" s="32" t="str" cm="1">
        <f t="array" aca="1" ref="AW592" ca="1">IFERROR(_xlfn.IFS(OR($M592="",$AM592=""),"",OR($C592="Offered",$C592="Joined"),($AM592-$M592)-$AT592),"")</f>
        <v/>
      </c>
      <c r="AX592" s="32" t="str" cm="1">
        <f t="array" aca="1" ref="AX592" ca="1">IFERROR(_xlfn.IFS(OR($M592="",$AS592=""),"",$C592="Joined",($AS592-$M592)-$AT592),"")</f>
        <v/>
      </c>
      <c r="AY592" s="30" t="str">
        <f>IFERROR(IF(COUNTIFS('Candidate Tracker'!$E:$E,'Positions Tracker'!$B592,'Candidate Tracker'!$C:$C,"Offer Drop")=0,"",COUNTIFS('Candidate Tracker'!$E:$E,'Positions Tracker'!$B592,'Candidate Tracker'!$C:$C,"Offer Drop")),"")</f>
        <v/>
      </c>
      <c r="AZ59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2" s="34" t="str">
        <f>IFERROR(IF(COUNTIFS('Candidate Tracker'!$E:$E,'Positions Tracker'!$B592,'Candidate Tracker'!$I:$I,"Female")=0,"",COUNTIFS('Candidate Tracker'!$E:$E,'Positions Tracker'!$B592,'Candidate Tracker'!$I:$I,"Female")),"")</f>
        <v/>
      </c>
      <c r="BB592" s="34" t="str">
        <f>IFERROR(IF(COUNTIFS('Candidate Tracker'!$E:$E,'Positions Tracker'!$B592,'Candidate Tracker'!$I:$I,"male")=0,"",COUNTIFS('Candidate Tracker'!$E:$E,'Positions Tracker'!$B592,'Candidate Tracker'!$I:$I,"male")),"")</f>
        <v/>
      </c>
      <c r="BC592" s="33" t="str">
        <f>IFERROR(IF(COUNTIFS('Candidate Tracker'!$E:$E,'Positions Tracker'!$B592,'Candidate Tracker'!$C:$C,"&lt;&gt;WIP",'Candidate Tracker'!$C:$C,"&lt;&gt;Hold",'Candidate Tracker'!$C:$C,"&lt;&gt;Cancelled",'Candidate Tracker'!$C:$C,"&lt;&gt;Closed")/COUNTIFS('Candidate Tracker'!$E:$E,'Positions Tracker'!$B592)=0,"",COUNTIFS('Candidate Tracker'!$E:$E,'Positions Tracker'!$B592,'Candidate Tracker'!$C:$C,"&lt;&gt;WIP",'Candidate Tracker'!$C:$C,"&lt;&gt;Hold",'Candidate Tracker'!$C:$C,"&lt;&gt;Cancelled",'Candidate Tracker'!$C:$C,"&lt;&gt;Closed")/COUNTIFS('Candidate Tracker'!$E:$E,'Positions Tracker'!$B592)),"")</f>
        <v/>
      </c>
      <c r="BD592" s="30" t="str">
        <f t="shared" si="69"/>
        <v/>
      </c>
      <c r="BE592" s="30" t="str">
        <f t="shared" si="70"/>
        <v/>
      </c>
      <c r="BF592" s="30" t="str">
        <f t="shared" si="71"/>
        <v/>
      </c>
      <c r="BG592" s="30" t="str">
        <f t="shared" si="72"/>
        <v/>
      </c>
    </row>
    <row r="593" spans="1:59">
      <c r="A593" s="39"/>
      <c r="B593" s="39"/>
      <c r="C593" s="39"/>
      <c r="D593" s="39"/>
      <c r="E593" s="39"/>
      <c r="F593" s="39"/>
      <c r="G593" s="39"/>
      <c r="H593" s="39"/>
      <c r="I593" s="40"/>
      <c r="J593" s="40"/>
      <c r="K593" s="35"/>
      <c r="L593" s="35"/>
      <c r="M593" s="35"/>
      <c r="N593" s="39"/>
      <c r="O593" s="39"/>
      <c r="P593" s="39"/>
      <c r="Q593" s="39"/>
      <c r="R593" s="39"/>
      <c r="S593" s="39"/>
      <c r="T593" s="39"/>
      <c r="U593" s="39"/>
      <c r="V593" s="39"/>
      <c r="W593" s="39"/>
      <c r="X593" s="39"/>
      <c r="Y593" s="39"/>
      <c r="Z593" s="39"/>
      <c r="AA593" s="39"/>
      <c r="AB593" s="39"/>
      <c r="AC593" s="39"/>
      <c r="AD593" s="39"/>
      <c r="AE593" s="39"/>
      <c r="AF593" s="39"/>
      <c r="AG593" s="39"/>
      <c r="AH593" s="39"/>
      <c r="AI593" s="35"/>
      <c r="AJ593" s="39"/>
      <c r="AK593" s="39"/>
      <c r="AL593" s="39"/>
      <c r="AM593" s="35"/>
      <c r="AN593" s="35"/>
      <c r="AO593" s="39"/>
      <c r="AP593" s="39"/>
      <c r="AQ593" s="35"/>
      <c r="AR593" s="35"/>
      <c r="AS593" s="35"/>
      <c r="AT593" s="30">
        <f t="shared" ca="1" si="68"/>
        <v>0</v>
      </c>
      <c r="AU593" s="32" t="str">
        <f t="shared" ca="1" si="67"/>
        <v/>
      </c>
      <c r="AV593" s="32" t="str" cm="1">
        <f t="array" aca="1" ref="AV593" ca="1">IFERROR(_xlfn.IFS($AU593="","",$AU593&lt;=15,"0-15",AND($AU593&gt;=16,$AU593&lt;=30),"16-30",AND($AU593&gt;=31,$AU593&lt;=45),"31-45",AND($AU593&gt;=46,$AU593&lt;=60),"46-60",AND($AU593&gt;=61,$AU593&lt;=90),"61-90",AND($AU593&gt;=91),"&gt; 90",AND($AU593&gt;=2000),""),"")</f>
        <v/>
      </c>
      <c r="AW593" s="32" t="str" cm="1">
        <f t="array" aca="1" ref="AW593" ca="1">IFERROR(_xlfn.IFS(OR($M593="",$AM593=""),"",OR($C593="Offered",$C593="Joined"),($AM593-$M593)-$AT593),"")</f>
        <v/>
      </c>
      <c r="AX593" s="32" t="str" cm="1">
        <f t="array" aca="1" ref="AX593" ca="1">IFERROR(_xlfn.IFS(OR($M593="",$AS593=""),"",$C593="Joined",($AS593-$M593)-$AT593),"")</f>
        <v/>
      </c>
      <c r="AY593" s="30" t="str">
        <f>IFERROR(IF(COUNTIFS('Candidate Tracker'!$E:$E,'Positions Tracker'!$B593,'Candidate Tracker'!$C:$C,"Offer Drop")=0,"",COUNTIFS('Candidate Tracker'!$E:$E,'Positions Tracker'!$B593,'Candidate Tracker'!$C:$C,"Offer Drop")),"")</f>
        <v/>
      </c>
      <c r="AZ59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3" s="34" t="str">
        <f>IFERROR(IF(COUNTIFS('Candidate Tracker'!$E:$E,'Positions Tracker'!$B593,'Candidate Tracker'!$I:$I,"Female")=0,"",COUNTIFS('Candidate Tracker'!$E:$E,'Positions Tracker'!$B593,'Candidate Tracker'!$I:$I,"Female")),"")</f>
        <v/>
      </c>
      <c r="BB593" s="34" t="str">
        <f>IFERROR(IF(COUNTIFS('Candidate Tracker'!$E:$E,'Positions Tracker'!$B593,'Candidate Tracker'!$I:$I,"male")=0,"",COUNTIFS('Candidate Tracker'!$E:$E,'Positions Tracker'!$B593,'Candidate Tracker'!$I:$I,"male")),"")</f>
        <v/>
      </c>
      <c r="BC593" s="33" t="str">
        <f>IFERROR(IF(COUNTIFS('Candidate Tracker'!$E:$E,'Positions Tracker'!$B593,'Candidate Tracker'!$C:$C,"&lt;&gt;WIP",'Candidate Tracker'!$C:$C,"&lt;&gt;Hold",'Candidate Tracker'!$C:$C,"&lt;&gt;Cancelled",'Candidate Tracker'!$C:$C,"&lt;&gt;Closed")/COUNTIFS('Candidate Tracker'!$E:$E,'Positions Tracker'!$B593)=0,"",COUNTIFS('Candidate Tracker'!$E:$E,'Positions Tracker'!$B593,'Candidate Tracker'!$C:$C,"&lt;&gt;WIP",'Candidate Tracker'!$C:$C,"&lt;&gt;Hold",'Candidate Tracker'!$C:$C,"&lt;&gt;Cancelled",'Candidate Tracker'!$C:$C,"&lt;&gt;Closed")/COUNTIFS('Candidate Tracker'!$E:$E,'Positions Tracker'!$B593)),"")</f>
        <v/>
      </c>
      <c r="BD593" s="30" t="str">
        <f t="shared" si="69"/>
        <v/>
      </c>
      <c r="BE593" s="30" t="str">
        <f t="shared" si="70"/>
        <v/>
      </c>
      <c r="BF593" s="30" t="str">
        <f t="shared" si="71"/>
        <v/>
      </c>
      <c r="BG593" s="30" t="str">
        <f t="shared" si="72"/>
        <v/>
      </c>
    </row>
    <row r="594" spans="1:59">
      <c r="A594" s="39"/>
      <c r="B594" s="39"/>
      <c r="C594" s="39"/>
      <c r="D594" s="39"/>
      <c r="E594" s="39"/>
      <c r="F594" s="39"/>
      <c r="G594" s="39"/>
      <c r="H594" s="39"/>
      <c r="I594" s="40"/>
      <c r="J594" s="40"/>
      <c r="K594" s="35"/>
      <c r="L594" s="35"/>
      <c r="M594" s="35"/>
      <c r="N594" s="39"/>
      <c r="O594" s="39"/>
      <c r="P594" s="39"/>
      <c r="Q594" s="39"/>
      <c r="R594" s="39"/>
      <c r="S594" s="39"/>
      <c r="T594" s="39"/>
      <c r="U594" s="39"/>
      <c r="V594" s="39"/>
      <c r="W594" s="39"/>
      <c r="X594" s="39"/>
      <c r="Y594" s="39"/>
      <c r="Z594" s="39"/>
      <c r="AA594" s="39"/>
      <c r="AB594" s="39"/>
      <c r="AC594" s="39"/>
      <c r="AD594" s="39"/>
      <c r="AE594" s="39"/>
      <c r="AF594" s="39"/>
      <c r="AG594" s="39"/>
      <c r="AH594" s="39"/>
      <c r="AI594" s="35"/>
      <c r="AJ594" s="39"/>
      <c r="AK594" s="39"/>
      <c r="AL594" s="39"/>
      <c r="AM594" s="35"/>
      <c r="AN594" s="35"/>
      <c r="AO594" s="39"/>
      <c r="AP594" s="39"/>
      <c r="AQ594" s="35"/>
      <c r="AR594" s="35"/>
      <c r="AS594" s="35"/>
      <c r="AT594" s="30">
        <f t="shared" ca="1" si="68"/>
        <v>0</v>
      </c>
      <c r="AU594" s="32" t="str">
        <f t="shared" ca="1" si="67"/>
        <v/>
      </c>
      <c r="AV594" s="32" t="str" cm="1">
        <f t="array" aca="1" ref="AV594" ca="1">IFERROR(_xlfn.IFS($AU594="","",$AU594&lt;=15,"0-15",AND($AU594&gt;=16,$AU594&lt;=30),"16-30",AND($AU594&gt;=31,$AU594&lt;=45),"31-45",AND($AU594&gt;=46,$AU594&lt;=60),"46-60",AND($AU594&gt;=61,$AU594&lt;=90),"61-90",AND($AU594&gt;=91),"&gt; 90",AND($AU594&gt;=2000),""),"")</f>
        <v/>
      </c>
      <c r="AW594" s="32" t="str" cm="1">
        <f t="array" aca="1" ref="AW594" ca="1">IFERROR(_xlfn.IFS(OR($M594="",$AM594=""),"",OR($C594="Offered",$C594="Joined"),($AM594-$M594)-$AT594),"")</f>
        <v/>
      </c>
      <c r="AX594" s="32" t="str" cm="1">
        <f t="array" aca="1" ref="AX594" ca="1">IFERROR(_xlfn.IFS(OR($M594="",$AS594=""),"",$C594="Joined",($AS594-$M594)-$AT594),"")</f>
        <v/>
      </c>
      <c r="AY594" s="30" t="str">
        <f>IFERROR(IF(COUNTIFS('Candidate Tracker'!$E:$E,'Positions Tracker'!$B594,'Candidate Tracker'!$C:$C,"Offer Drop")=0,"",COUNTIFS('Candidate Tracker'!$E:$E,'Positions Tracker'!$B594,'Candidate Tracker'!$C:$C,"Offer Drop")),"")</f>
        <v/>
      </c>
      <c r="AZ59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4" s="34" t="str">
        <f>IFERROR(IF(COUNTIFS('Candidate Tracker'!$E:$E,'Positions Tracker'!$B594,'Candidate Tracker'!$I:$I,"Female")=0,"",COUNTIFS('Candidate Tracker'!$E:$E,'Positions Tracker'!$B594,'Candidate Tracker'!$I:$I,"Female")),"")</f>
        <v/>
      </c>
      <c r="BB594" s="34" t="str">
        <f>IFERROR(IF(COUNTIFS('Candidate Tracker'!$E:$E,'Positions Tracker'!$B594,'Candidate Tracker'!$I:$I,"male")=0,"",COUNTIFS('Candidate Tracker'!$E:$E,'Positions Tracker'!$B594,'Candidate Tracker'!$I:$I,"male")),"")</f>
        <v/>
      </c>
      <c r="BC594" s="33" t="str">
        <f>IFERROR(IF(COUNTIFS('Candidate Tracker'!$E:$E,'Positions Tracker'!$B594,'Candidate Tracker'!$C:$C,"&lt;&gt;WIP",'Candidate Tracker'!$C:$C,"&lt;&gt;Hold",'Candidate Tracker'!$C:$C,"&lt;&gt;Cancelled",'Candidate Tracker'!$C:$C,"&lt;&gt;Closed")/COUNTIFS('Candidate Tracker'!$E:$E,'Positions Tracker'!$B594)=0,"",COUNTIFS('Candidate Tracker'!$E:$E,'Positions Tracker'!$B594,'Candidate Tracker'!$C:$C,"&lt;&gt;WIP",'Candidate Tracker'!$C:$C,"&lt;&gt;Hold",'Candidate Tracker'!$C:$C,"&lt;&gt;Cancelled",'Candidate Tracker'!$C:$C,"&lt;&gt;Closed")/COUNTIFS('Candidate Tracker'!$E:$E,'Positions Tracker'!$B594)),"")</f>
        <v/>
      </c>
      <c r="BD594" s="30" t="str">
        <f t="shared" si="69"/>
        <v/>
      </c>
      <c r="BE594" s="30" t="str">
        <f t="shared" si="70"/>
        <v/>
      </c>
      <c r="BF594" s="30" t="str">
        <f t="shared" si="71"/>
        <v/>
      </c>
      <c r="BG594" s="30" t="str">
        <f t="shared" si="72"/>
        <v/>
      </c>
    </row>
    <row r="595" spans="1:59">
      <c r="A595" s="39"/>
      <c r="B595" s="39"/>
      <c r="C595" s="39"/>
      <c r="D595" s="39"/>
      <c r="E595" s="39"/>
      <c r="F595" s="39"/>
      <c r="G595" s="39"/>
      <c r="H595" s="39"/>
      <c r="I595" s="40"/>
      <c r="J595" s="40"/>
      <c r="K595" s="35"/>
      <c r="L595" s="35"/>
      <c r="M595" s="35"/>
      <c r="N595" s="39"/>
      <c r="O595" s="39"/>
      <c r="P595" s="39"/>
      <c r="Q595" s="39"/>
      <c r="R595" s="39"/>
      <c r="S595" s="39"/>
      <c r="T595" s="39"/>
      <c r="U595" s="39"/>
      <c r="V595" s="39"/>
      <c r="W595" s="39"/>
      <c r="X595" s="39"/>
      <c r="Y595" s="39"/>
      <c r="Z595" s="39"/>
      <c r="AA595" s="39"/>
      <c r="AB595" s="39"/>
      <c r="AC595" s="39"/>
      <c r="AD595" s="39"/>
      <c r="AE595" s="39"/>
      <c r="AF595" s="39"/>
      <c r="AG595" s="39"/>
      <c r="AH595" s="39"/>
      <c r="AI595" s="35"/>
      <c r="AJ595" s="39"/>
      <c r="AK595" s="39"/>
      <c r="AL595" s="39"/>
      <c r="AM595" s="35"/>
      <c r="AN595" s="35"/>
      <c r="AO595" s="39"/>
      <c r="AP595" s="39"/>
      <c r="AQ595" s="35"/>
      <c r="AR595" s="35"/>
      <c r="AS595" s="35"/>
      <c r="AT595" s="30">
        <f t="shared" ca="1" si="68"/>
        <v>0</v>
      </c>
      <c r="AU595" s="32" t="str">
        <f t="shared" ca="1" si="67"/>
        <v/>
      </c>
      <c r="AV595" s="32" t="str" cm="1">
        <f t="array" aca="1" ref="AV595" ca="1">IFERROR(_xlfn.IFS($AU595="","",$AU595&lt;=15,"0-15",AND($AU595&gt;=16,$AU595&lt;=30),"16-30",AND($AU595&gt;=31,$AU595&lt;=45),"31-45",AND($AU595&gt;=46,$AU595&lt;=60),"46-60",AND($AU595&gt;=61,$AU595&lt;=90),"61-90",AND($AU595&gt;=91),"&gt; 90",AND($AU595&gt;=2000),""),"")</f>
        <v/>
      </c>
      <c r="AW595" s="32" t="str" cm="1">
        <f t="array" aca="1" ref="AW595" ca="1">IFERROR(_xlfn.IFS(OR($M595="",$AM595=""),"",OR($C595="Offered",$C595="Joined"),($AM595-$M595)-$AT595),"")</f>
        <v/>
      </c>
      <c r="AX595" s="32" t="str" cm="1">
        <f t="array" aca="1" ref="AX595" ca="1">IFERROR(_xlfn.IFS(OR($M595="",$AS595=""),"",$C595="Joined",($AS595-$M595)-$AT595),"")</f>
        <v/>
      </c>
      <c r="AY595" s="30" t="str">
        <f>IFERROR(IF(COUNTIFS('Candidate Tracker'!$E:$E,'Positions Tracker'!$B595,'Candidate Tracker'!$C:$C,"Offer Drop")=0,"",COUNTIFS('Candidate Tracker'!$E:$E,'Positions Tracker'!$B595,'Candidate Tracker'!$C:$C,"Offer Drop")),"")</f>
        <v/>
      </c>
      <c r="AZ59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5" s="34" t="str">
        <f>IFERROR(IF(COUNTIFS('Candidate Tracker'!$E:$E,'Positions Tracker'!$B595,'Candidate Tracker'!$I:$I,"Female")=0,"",COUNTIFS('Candidate Tracker'!$E:$E,'Positions Tracker'!$B595,'Candidate Tracker'!$I:$I,"Female")),"")</f>
        <v/>
      </c>
      <c r="BB595" s="34" t="str">
        <f>IFERROR(IF(COUNTIFS('Candidate Tracker'!$E:$E,'Positions Tracker'!$B595,'Candidate Tracker'!$I:$I,"male")=0,"",COUNTIFS('Candidate Tracker'!$E:$E,'Positions Tracker'!$B595,'Candidate Tracker'!$I:$I,"male")),"")</f>
        <v/>
      </c>
      <c r="BC595" s="33" t="str">
        <f>IFERROR(IF(COUNTIFS('Candidate Tracker'!$E:$E,'Positions Tracker'!$B595,'Candidate Tracker'!$C:$C,"&lt;&gt;WIP",'Candidate Tracker'!$C:$C,"&lt;&gt;Hold",'Candidate Tracker'!$C:$C,"&lt;&gt;Cancelled",'Candidate Tracker'!$C:$C,"&lt;&gt;Closed")/COUNTIFS('Candidate Tracker'!$E:$E,'Positions Tracker'!$B595)=0,"",COUNTIFS('Candidate Tracker'!$E:$E,'Positions Tracker'!$B595,'Candidate Tracker'!$C:$C,"&lt;&gt;WIP",'Candidate Tracker'!$C:$C,"&lt;&gt;Hold",'Candidate Tracker'!$C:$C,"&lt;&gt;Cancelled",'Candidate Tracker'!$C:$C,"&lt;&gt;Closed")/COUNTIFS('Candidate Tracker'!$E:$E,'Positions Tracker'!$B595)),"")</f>
        <v/>
      </c>
      <c r="BD595" s="30" t="str">
        <f t="shared" si="69"/>
        <v/>
      </c>
      <c r="BE595" s="30" t="str">
        <f t="shared" si="70"/>
        <v/>
      </c>
      <c r="BF595" s="30" t="str">
        <f t="shared" si="71"/>
        <v/>
      </c>
      <c r="BG595" s="30" t="str">
        <f t="shared" si="72"/>
        <v/>
      </c>
    </row>
    <row r="596" spans="1:59">
      <c r="A596" s="39"/>
      <c r="B596" s="39"/>
      <c r="C596" s="39"/>
      <c r="D596" s="39"/>
      <c r="E596" s="39"/>
      <c r="F596" s="39"/>
      <c r="G596" s="39"/>
      <c r="H596" s="39"/>
      <c r="I596" s="40"/>
      <c r="J596" s="40"/>
      <c r="K596" s="35"/>
      <c r="L596" s="35"/>
      <c r="M596" s="35"/>
      <c r="N596" s="39"/>
      <c r="O596" s="39"/>
      <c r="P596" s="39"/>
      <c r="Q596" s="39"/>
      <c r="R596" s="39"/>
      <c r="S596" s="39"/>
      <c r="T596" s="39"/>
      <c r="U596" s="39"/>
      <c r="V596" s="39"/>
      <c r="W596" s="39"/>
      <c r="X596" s="39"/>
      <c r="Y596" s="39"/>
      <c r="Z596" s="39"/>
      <c r="AA596" s="39"/>
      <c r="AB596" s="39"/>
      <c r="AC596" s="39"/>
      <c r="AD596" s="39"/>
      <c r="AE596" s="39"/>
      <c r="AF596" s="39"/>
      <c r="AG596" s="39"/>
      <c r="AH596" s="39"/>
      <c r="AI596" s="35"/>
      <c r="AJ596" s="39"/>
      <c r="AK596" s="39"/>
      <c r="AL596" s="39"/>
      <c r="AM596" s="35"/>
      <c r="AN596" s="35"/>
      <c r="AO596" s="39"/>
      <c r="AP596" s="39"/>
      <c r="AQ596" s="35"/>
      <c r="AR596" s="35"/>
      <c r="AS596" s="35"/>
      <c r="AT596" s="30">
        <f t="shared" ca="1" si="68"/>
        <v>0</v>
      </c>
      <c r="AU596" s="32" t="str">
        <f t="shared" ca="1" si="67"/>
        <v/>
      </c>
      <c r="AV596" s="32" t="str" cm="1">
        <f t="array" aca="1" ref="AV596" ca="1">IFERROR(_xlfn.IFS($AU596="","",$AU596&lt;=15,"0-15",AND($AU596&gt;=16,$AU596&lt;=30),"16-30",AND($AU596&gt;=31,$AU596&lt;=45),"31-45",AND($AU596&gt;=46,$AU596&lt;=60),"46-60",AND($AU596&gt;=61,$AU596&lt;=90),"61-90",AND($AU596&gt;=91),"&gt; 90",AND($AU596&gt;=2000),""),"")</f>
        <v/>
      </c>
      <c r="AW596" s="32" t="str" cm="1">
        <f t="array" aca="1" ref="AW596" ca="1">IFERROR(_xlfn.IFS(OR($M596="",$AM596=""),"",OR($C596="Offered",$C596="Joined"),($AM596-$M596)-$AT596),"")</f>
        <v/>
      </c>
      <c r="AX596" s="32" t="str" cm="1">
        <f t="array" aca="1" ref="AX596" ca="1">IFERROR(_xlfn.IFS(OR($M596="",$AS596=""),"",$C596="Joined",($AS596-$M596)-$AT596),"")</f>
        <v/>
      </c>
      <c r="AY596" s="30" t="str">
        <f>IFERROR(IF(COUNTIFS('Candidate Tracker'!$E:$E,'Positions Tracker'!$B596,'Candidate Tracker'!$C:$C,"Offer Drop")=0,"",COUNTIFS('Candidate Tracker'!$E:$E,'Positions Tracker'!$B596,'Candidate Tracker'!$C:$C,"Offer Drop")),"")</f>
        <v/>
      </c>
      <c r="AZ59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6" s="34" t="str">
        <f>IFERROR(IF(COUNTIFS('Candidate Tracker'!$E:$E,'Positions Tracker'!$B596,'Candidate Tracker'!$I:$I,"Female")=0,"",COUNTIFS('Candidate Tracker'!$E:$E,'Positions Tracker'!$B596,'Candidate Tracker'!$I:$I,"Female")),"")</f>
        <v/>
      </c>
      <c r="BB596" s="34" t="str">
        <f>IFERROR(IF(COUNTIFS('Candidate Tracker'!$E:$E,'Positions Tracker'!$B596,'Candidate Tracker'!$I:$I,"male")=0,"",COUNTIFS('Candidate Tracker'!$E:$E,'Positions Tracker'!$B596,'Candidate Tracker'!$I:$I,"male")),"")</f>
        <v/>
      </c>
      <c r="BC596" s="33" t="str">
        <f>IFERROR(IF(COUNTIFS('Candidate Tracker'!$E:$E,'Positions Tracker'!$B596,'Candidate Tracker'!$C:$C,"&lt;&gt;WIP",'Candidate Tracker'!$C:$C,"&lt;&gt;Hold",'Candidate Tracker'!$C:$C,"&lt;&gt;Cancelled",'Candidate Tracker'!$C:$C,"&lt;&gt;Closed")/COUNTIFS('Candidate Tracker'!$E:$E,'Positions Tracker'!$B596)=0,"",COUNTIFS('Candidate Tracker'!$E:$E,'Positions Tracker'!$B596,'Candidate Tracker'!$C:$C,"&lt;&gt;WIP",'Candidate Tracker'!$C:$C,"&lt;&gt;Hold",'Candidate Tracker'!$C:$C,"&lt;&gt;Cancelled",'Candidate Tracker'!$C:$C,"&lt;&gt;Closed")/COUNTIFS('Candidate Tracker'!$E:$E,'Positions Tracker'!$B596)),"")</f>
        <v/>
      </c>
      <c r="BD596" s="30" t="str">
        <f t="shared" si="69"/>
        <v/>
      </c>
      <c r="BE596" s="30" t="str">
        <f t="shared" si="70"/>
        <v/>
      </c>
      <c r="BF596" s="30" t="str">
        <f t="shared" si="71"/>
        <v/>
      </c>
      <c r="BG596" s="30" t="str">
        <f t="shared" si="72"/>
        <v/>
      </c>
    </row>
    <row r="597" spans="1:59">
      <c r="A597" s="39"/>
      <c r="B597" s="39"/>
      <c r="C597" s="39"/>
      <c r="D597" s="39"/>
      <c r="E597" s="39"/>
      <c r="F597" s="39"/>
      <c r="G597" s="39"/>
      <c r="H597" s="39"/>
      <c r="I597" s="40"/>
      <c r="J597" s="40"/>
      <c r="K597" s="35"/>
      <c r="L597" s="35"/>
      <c r="M597" s="35"/>
      <c r="N597" s="39"/>
      <c r="O597" s="39"/>
      <c r="P597" s="39"/>
      <c r="Q597" s="39"/>
      <c r="R597" s="39"/>
      <c r="S597" s="39"/>
      <c r="T597" s="39"/>
      <c r="U597" s="39"/>
      <c r="V597" s="39"/>
      <c r="W597" s="39"/>
      <c r="X597" s="39"/>
      <c r="Y597" s="39"/>
      <c r="Z597" s="39"/>
      <c r="AA597" s="39"/>
      <c r="AB597" s="39"/>
      <c r="AC597" s="39"/>
      <c r="AD597" s="39"/>
      <c r="AE597" s="39"/>
      <c r="AF597" s="39"/>
      <c r="AG597" s="39"/>
      <c r="AH597" s="39"/>
      <c r="AI597" s="35"/>
      <c r="AJ597" s="39"/>
      <c r="AK597" s="39"/>
      <c r="AL597" s="39"/>
      <c r="AM597" s="35"/>
      <c r="AN597" s="35"/>
      <c r="AO597" s="39"/>
      <c r="AP597" s="39"/>
      <c r="AQ597" s="35"/>
      <c r="AR597" s="35"/>
      <c r="AS597" s="35"/>
      <c r="AT597" s="30">
        <f t="shared" ca="1" si="68"/>
        <v>0</v>
      </c>
      <c r="AU597" s="32" t="str">
        <f t="shared" ca="1" si="67"/>
        <v/>
      </c>
      <c r="AV597" s="32" t="str" cm="1">
        <f t="array" aca="1" ref="AV597" ca="1">IFERROR(_xlfn.IFS($AU597="","",$AU597&lt;=15,"0-15",AND($AU597&gt;=16,$AU597&lt;=30),"16-30",AND($AU597&gt;=31,$AU597&lt;=45),"31-45",AND($AU597&gt;=46,$AU597&lt;=60),"46-60",AND($AU597&gt;=61,$AU597&lt;=90),"61-90",AND($AU597&gt;=91),"&gt; 90",AND($AU597&gt;=2000),""),"")</f>
        <v/>
      </c>
      <c r="AW597" s="32" t="str" cm="1">
        <f t="array" aca="1" ref="AW597" ca="1">IFERROR(_xlfn.IFS(OR($M597="",$AM597=""),"",OR($C597="Offered",$C597="Joined"),($AM597-$M597)-$AT597),"")</f>
        <v/>
      </c>
      <c r="AX597" s="32" t="str" cm="1">
        <f t="array" aca="1" ref="AX597" ca="1">IFERROR(_xlfn.IFS(OR($M597="",$AS597=""),"",$C597="Joined",($AS597-$M597)-$AT597),"")</f>
        <v/>
      </c>
      <c r="AY597" s="30" t="str">
        <f>IFERROR(IF(COUNTIFS('Candidate Tracker'!$E:$E,'Positions Tracker'!$B597,'Candidate Tracker'!$C:$C,"Offer Drop")=0,"",COUNTIFS('Candidate Tracker'!$E:$E,'Positions Tracker'!$B597,'Candidate Tracker'!$C:$C,"Offer Drop")),"")</f>
        <v/>
      </c>
      <c r="AZ59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7" s="34" t="str">
        <f>IFERROR(IF(COUNTIFS('Candidate Tracker'!$E:$E,'Positions Tracker'!$B597,'Candidate Tracker'!$I:$I,"Female")=0,"",COUNTIFS('Candidate Tracker'!$E:$E,'Positions Tracker'!$B597,'Candidate Tracker'!$I:$I,"Female")),"")</f>
        <v/>
      </c>
      <c r="BB597" s="34" t="str">
        <f>IFERROR(IF(COUNTIFS('Candidate Tracker'!$E:$E,'Positions Tracker'!$B597,'Candidate Tracker'!$I:$I,"male")=0,"",COUNTIFS('Candidate Tracker'!$E:$E,'Positions Tracker'!$B597,'Candidate Tracker'!$I:$I,"male")),"")</f>
        <v/>
      </c>
      <c r="BC597" s="33" t="str">
        <f>IFERROR(IF(COUNTIFS('Candidate Tracker'!$E:$E,'Positions Tracker'!$B597,'Candidate Tracker'!$C:$C,"&lt;&gt;WIP",'Candidate Tracker'!$C:$C,"&lt;&gt;Hold",'Candidate Tracker'!$C:$C,"&lt;&gt;Cancelled",'Candidate Tracker'!$C:$C,"&lt;&gt;Closed")/COUNTIFS('Candidate Tracker'!$E:$E,'Positions Tracker'!$B597)=0,"",COUNTIFS('Candidate Tracker'!$E:$E,'Positions Tracker'!$B597,'Candidate Tracker'!$C:$C,"&lt;&gt;WIP",'Candidate Tracker'!$C:$C,"&lt;&gt;Hold",'Candidate Tracker'!$C:$C,"&lt;&gt;Cancelled",'Candidate Tracker'!$C:$C,"&lt;&gt;Closed")/COUNTIFS('Candidate Tracker'!$E:$E,'Positions Tracker'!$B597)),"")</f>
        <v/>
      </c>
      <c r="BD597" s="30" t="str">
        <f t="shared" si="69"/>
        <v/>
      </c>
      <c r="BE597" s="30" t="str">
        <f t="shared" si="70"/>
        <v/>
      </c>
      <c r="BF597" s="30" t="str">
        <f t="shared" si="71"/>
        <v/>
      </c>
      <c r="BG597" s="30" t="str">
        <f t="shared" si="72"/>
        <v/>
      </c>
    </row>
    <row r="598" spans="1:59">
      <c r="A598" s="39"/>
      <c r="B598" s="39"/>
      <c r="C598" s="39"/>
      <c r="D598" s="39"/>
      <c r="E598" s="39"/>
      <c r="F598" s="39"/>
      <c r="G598" s="39"/>
      <c r="H598" s="39"/>
      <c r="I598" s="40"/>
      <c r="J598" s="40"/>
      <c r="K598" s="35"/>
      <c r="L598" s="35"/>
      <c r="M598" s="35"/>
      <c r="N598" s="39"/>
      <c r="O598" s="39"/>
      <c r="P598" s="39"/>
      <c r="Q598" s="39"/>
      <c r="R598" s="39"/>
      <c r="S598" s="39"/>
      <c r="T598" s="39"/>
      <c r="U598" s="39"/>
      <c r="V598" s="39"/>
      <c r="W598" s="39"/>
      <c r="X598" s="39"/>
      <c r="Y598" s="39"/>
      <c r="Z598" s="39"/>
      <c r="AA598" s="39"/>
      <c r="AB598" s="39"/>
      <c r="AC598" s="39"/>
      <c r="AD598" s="39"/>
      <c r="AE598" s="39"/>
      <c r="AF598" s="39"/>
      <c r="AG598" s="39"/>
      <c r="AH598" s="39"/>
      <c r="AI598" s="35"/>
      <c r="AJ598" s="39"/>
      <c r="AK598" s="39"/>
      <c r="AL598" s="39"/>
      <c r="AM598" s="35"/>
      <c r="AN598" s="35"/>
      <c r="AO598" s="39"/>
      <c r="AP598" s="39"/>
      <c r="AQ598" s="35"/>
      <c r="AR598" s="35"/>
      <c r="AS598" s="35"/>
      <c r="AT598" s="30">
        <f t="shared" ca="1" si="68"/>
        <v>0</v>
      </c>
      <c r="AU598" s="32" t="str">
        <f t="shared" ca="1" si="67"/>
        <v/>
      </c>
      <c r="AV598" s="32" t="str" cm="1">
        <f t="array" aca="1" ref="AV598" ca="1">IFERROR(_xlfn.IFS($AU598="","",$AU598&lt;=15,"0-15",AND($AU598&gt;=16,$AU598&lt;=30),"16-30",AND($AU598&gt;=31,$AU598&lt;=45),"31-45",AND($AU598&gt;=46,$AU598&lt;=60),"46-60",AND($AU598&gt;=61,$AU598&lt;=90),"61-90",AND($AU598&gt;=91),"&gt; 90",AND($AU598&gt;=2000),""),"")</f>
        <v/>
      </c>
      <c r="AW598" s="32" t="str" cm="1">
        <f t="array" aca="1" ref="AW598" ca="1">IFERROR(_xlfn.IFS(OR($M598="",$AM598=""),"",OR($C598="Offered",$C598="Joined"),($AM598-$M598)-$AT598),"")</f>
        <v/>
      </c>
      <c r="AX598" s="32" t="str" cm="1">
        <f t="array" aca="1" ref="AX598" ca="1">IFERROR(_xlfn.IFS(OR($M598="",$AS598=""),"",$C598="Joined",($AS598-$M598)-$AT598),"")</f>
        <v/>
      </c>
      <c r="AY598" s="30" t="str">
        <f>IFERROR(IF(COUNTIFS('Candidate Tracker'!$E:$E,'Positions Tracker'!$B598,'Candidate Tracker'!$C:$C,"Offer Drop")=0,"",COUNTIFS('Candidate Tracker'!$E:$E,'Positions Tracker'!$B598,'Candidate Tracker'!$C:$C,"Offer Drop")),"")</f>
        <v/>
      </c>
      <c r="AZ59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8" s="34" t="str">
        <f>IFERROR(IF(COUNTIFS('Candidate Tracker'!$E:$E,'Positions Tracker'!$B598,'Candidate Tracker'!$I:$I,"Female")=0,"",COUNTIFS('Candidate Tracker'!$E:$E,'Positions Tracker'!$B598,'Candidate Tracker'!$I:$I,"Female")),"")</f>
        <v/>
      </c>
      <c r="BB598" s="34" t="str">
        <f>IFERROR(IF(COUNTIFS('Candidate Tracker'!$E:$E,'Positions Tracker'!$B598,'Candidate Tracker'!$I:$I,"male")=0,"",COUNTIFS('Candidate Tracker'!$E:$E,'Positions Tracker'!$B598,'Candidate Tracker'!$I:$I,"male")),"")</f>
        <v/>
      </c>
      <c r="BC598" s="33" t="str">
        <f>IFERROR(IF(COUNTIFS('Candidate Tracker'!$E:$E,'Positions Tracker'!$B598,'Candidate Tracker'!$C:$C,"&lt;&gt;WIP",'Candidate Tracker'!$C:$C,"&lt;&gt;Hold",'Candidate Tracker'!$C:$C,"&lt;&gt;Cancelled",'Candidate Tracker'!$C:$C,"&lt;&gt;Closed")/COUNTIFS('Candidate Tracker'!$E:$E,'Positions Tracker'!$B598)=0,"",COUNTIFS('Candidate Tracker'!$E:$E,'Positions Tracker'!$B598,'Candidate Tracker'!$C:$C,"&lt;&gt;WIP",'Candidate Tracker'!$C:$C,"&lt;&gt;Hold",'Candidate Tracker'!$C:$C,"&lt;&gt;Cancelled",'Candidate Tracker'!$C:$C,"&lt;&gt;Closed")/COUNTIFS('Candidate Tracker'!$E:$E,'Positions Tracker'!$B598)),"")</f>
        <v/>
      </c>
      <c r="BD598" s="30" t="str">
        <f t="shared" si="69"/>
        <v/>
      </c>
      <c r="BE598" s="30" t="str">
        <f t="shared" si="70"/>
        <v/>
      </c>
      <c r="BF598" s="30" t="str">
        <f t="shared" si="71"/>
        <v/>
      </c>
      <c r="BG598" s="30" t="str">
        <f t="shared" si="72"/>
        <v/>
      </c>
    </row>
    <row r="599" spans="1:59">
      <c r="A599" s="39"/>
      <c r="B599" s="39"/>
      <c r="C599" s="39"/>
      <c r="D599" s="39"/>
      <c r="E599" s="39"/>
      <c r="F599" s="39"/>
      <c r="G599" s="39"/>
      <c r="H599" s="39"/>
      <c r="I599" s="40"/>
      <c r="J599" s="40"/>
      <c r="K599" s="35"/>
      <c r="L599" s="35"/>
      <c r="M599" s="35"/>
      <c r="N599" s="39"/>
      <c r="O599" s="39"/>
      <c r="P599" s="39"/>
      <c r="Q599" s="39"/>
      <c r="R599" s="39"/>
      <c r="S599" s="39"/>
      <c r="T599" s="39"/>
      <c r="U599" s="39"/>
      <c r="V599" s="39"/>
      <c r="W599" s="39"/>
      <c r="X599" s="39"/>
      <c r="Y599" s="39"/>
      <c r="Z599" s="39"/>
      <c r="AA599" s="39"/>
      <c r="AB599" s="39"/>
      <c r="AC599" s="39"/>
      <c r="AD599" s="39"/>
      <c r="AE599" s="39"/>
      <c r="AF599" s="39"/>
      <c r="AG599" s="39"/>
      <c r="AH599" s="39"/>
      <c r="AI599" s="35"/>
      <c r="AJ599" s="39"/>
      <c r="AK599" s="39"/>
      <c r="AL599" s="39"/>
      <c r="AM599" s="35"/>
      <c r="AN599" s="35"/>
      <c r="AO599" s="39"/>
      <c r="AP599" s="39"/>
      <c r="AQ599" s="35"/>
      <c r="AR599" s="35"/>
      <c r="AS599" s="35"/>
      <c r="AT599" s="30">
        <f t="shared" ca="1" si="68"/>
        <v>0</v>
      </c>
      <c r="AU599" s="32" t="str">
        <f t="shared" ca="1" si="67"/>
        <v/>
      </c>
      <c r="AV599" s="32" t="str" cm="1">
        <f t="array" aca="1" ref="AV599" ca="1">IFERROR(_xlfn.IFS($AU599="","",$AU599&lt;=15,"0-15",AND($AU599&gt;=16,$AU599&lt;=30),"16-30",AND($AU599&gt;=31,$AU599&lt;=45),"31-45",AND($AU599&gt;=46,$AU599&lt;=60),"46-60",AND($AU599&gt;=61,$AU599&lt;=90),"61-90",AND($AU599&gt;=91),"&gt; 90",AND($AU599&gt;=2000),""),"")</f>
        <v/>
      </c>
      <c r="AW599" s="32" t="str" cm="1">
        <f t="array" aca="1" ref="AW599" ca="1">IFERROR(_xlfn.IFS(OR($M599="",$AM599=""),"",OR($C599="Offered",$C599="Joined"),($AM599-$M599)-$AT599),"")</f>
        <v/>
      </c>
      <c r="AX599" s="32" t="str" cm="1">
        <f t="array" aca="1" ref="AX599" ca="1">IFERROR(_xlfn.IFS(OR($M599="",$AS599=""),"",$C599="Joined",($AS599-$M599)-$AT599),"")</f>
        <v/>
      </c>
      <c r="AY599" s="30" t="str">
        <f>IFERROR(IF(COUNTIFS('Candidate Tracker'!$E:$E,'Positions Tracker'!$B599,'Candidate Tracker'!$C:$C,"Offer Drop")=0,"",COUNTIFS('Candidate Tracker'!$E:$E,'Positions Tracker'!$B599,'Candidate Tracker'!$C:$C,"Offer Drop")),"")</f>
        <v/>
      </c>
      <c r="AZ59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599" s="34" t="str">
        <f>IFERROR(IF(COUNTIFS('Candidate Tracker'!$E:$E,'Positions Tracker'!$B599,'Candidate Tracker'!$I:$I,"Female")=0,"",COUNTIFS('Candidate Tracker'!$E:$E,'Positions Tracker'!$B599,'Candidate Tracker'!$I:$I,"Female")),"")</f>
        <v/>
      </c>
      <c r="BB599" s="34" t="str">
        <f>IFERROR(IF(COUNTIFS('Candidate Tracker'!$E:$E,'Positions Tracker'!$B599,'Candidate Tracker'!$I:$I,"male")=0,"",COUNTIFS('Candidate Tracker'!$E:$E,'Positions Tracker'!$B599,'Candidate Tracker'!$I:$I,"male")),"")</f>
        <v/>
      </c>
      <c r="BC599" s="33" t="str">
        <f>IFERROR(IF(COUNTIFS('Candidate Tracker'!$E:$E,'Positions Tracker'!$B599,'Candidate Tracker'!$C:$C,"&lt;&gt;WIP",'Candidate Tracker'!$C:$C,"&lt;&gt;Hold",'Candidate Tracker'!$C:$C,"&lt;&gt;Cancelled",'Candidate Tracker'!$C:$C,"&lt;&gt;Closed")/COUNTIFS('Candidate Tracker'!$E:$E,'Positions Tracker'!$B599)=0,"",COUNTIFS('Candidate Tracker'!$E:$E,'Positions Tracker'!$B599,'Candidate Tracker'!$C:$C,"&lt;&gt;WIP",'Candidate Tracker'!$C:$C,"&lt;&gt;Hold",'Candidate Tracker'!$C:$C,"&lt;&gt;Cancelled",'Candidate Tracker'!$C:$C,"&lt;&gt;Closed")/COUNTIFS('Candidate Tracker'!$E:$E,'Positions Tracker'!$B599)),"")</f>
        <v/>
      </c>
      <c r="BD599" s="30" t="str">
        <f t="shared" si="69"/>
        <v/>
      </c>
      <c r="BE599" s="30" t="str">
        <f t="shared" si="70"/>
        <v/>
      </c>
      <c r="BF599" s="30" t="str">
        <f t="shared" si="71"/>
        <v/>
      </c>
      <c r="BG599" s="30" t="str">
        <f t="shared" si="72"/>
        <v/>
      </c>
    </row>
    <row r="600" spans="1:59">
      <c r="A600" s="39"/>
      <c r="B600" s="39"/>
      <c r="C600" s="39"/>
      <c r="D600" s="39"/>
      <c r="E600" s="39"/>
      <c r="F600" s="39"/>
      <c r="G600" s="39"/>
      <c r="H600" s="39"/>
      <c r="I600" s="40"/>
      <c r="J600" s="40"/>
      <c r="K600" s="35"/>
      <c r="L600" s="35"/>
      <c r="M600" s="35"/>
      <c r="N600" s="39"/>
      <c r="O600" s="39"/>
      <c r="P600" s="39"/>
      <c r="Q600" s="39"/>
      <c r="R600" s="39"/>
      <c r="S600" s="39"/>
      <c r="T600" s="39"/>
      <c r="U600" s="39"/>
      <c r="V600" s="39"/>
      <c r="W600" s="39"/>
      <c r="X600" s="39"/>
      <c r="Y600" s="39"/>
      <c r="Z600" s="39"/>
      <c r="AA600" s="39"/>
      <c r="AB600" s="39"/>
      <c r="AC600" s="39"/>
      <c r="AD600" s="39"/>
      <c r="AE600" s="39"/>
      <c r="AF600" s="39"/>
      <c r="AG600" s="39"/>
      <c r="AH600" s="39"/>
      <c r="AI600" s="35"/>
      <c r="AJ600" s="39"/>
      <c r="AK600" s="39"/>
      <c r="AL600" s="39"/>
      <c r="AM600" s="35"/>
      <c r="AN600" s="35"/>
      <c r="AO600" s="39"/>
      <c r="AP600" s="39"/>
      <c r="AQ600" s="35"/>
      <c r="AR600" s="35"/>
      <c r="AS600" s="35"/>
      <c r="AT600" s="30">
        <f t="shared" ca="1" si="68"/>
        <v>0</v>
      </c>
      <c r="AU600" s="32" t="str">
        <f t="shared" ca="1" si="67"/>
        <v/>
      </c>
      <c r="AV600" s="32" t="str" cm="1">
        <f t="array" aca="1" ref="AV600" ca="1">IFERROR(_xlfn.IFS($AU600="","",$AU600&lt;=15,"0-15",AND($AU600&gt;=16,$AU600&lt;=30),"16-30",AND($AU600&gt;=31,$AU600&lt;=45),"31-45",AND($AU600&gt;=46,$AU600&lt;=60),"46-60",AND($AU600&gt;=61,$AU600&lt;=90),"61-90",AND($AU600&gt;=91),"&gt; 90",AND($AU600&gt;=2000),""),"")</f>
        <v/>
      </c>
      <c r="AW600" s="32" t="str" cm="1">
        <f t="array" aca="1" ref="AW600" ca="1">IFERROR(_xlfn.IFS(OR($M600="",$AM600=""),"",OR($C600="Offered",$C600="Joined"),($AM600-$M600)-$AT600),"")</f>
        <v/>
      </c>
      <c r="AX600" s="32" t="str" cm="1">
        <f t="array" aca="1" ref="AX600" ca="1">IFERROR(_xlfn.IFS(OR($M600="",$AS600=""),"",$C600="Joined",($AS600-$M600)-$AT600),"")</f>
        <v/>
      </c>
      <c r="AY600" s="30" t="str">
        <f>IFERROR(IF(COUNTIFS('Candidate Tracker'!$E:$E,'Positions Tracker'!$B600,'Candidate Tracker'!$C:$C,"Offer Drop")=0,"",COUNTIFS('Candidate Tracker'!$E:$E,'Positions Tracker'!$B600,'Candidate Tracker'!$C:$C,"Offer Drop")),"")</f>
        <v/>
      </c>
      <c r="AZ60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0" s="34" t="str">
        <f>IFERROR(IF(COUNTIFS('Candidate Tracker'!$E:$E,'Positions Tracker'!$B600,'Candidate Tracker'!$I:$I,"Female")=0,"",COUNTIFS('Candidate Tracker'!$E:$E,'Positions Tracker'!$B600,'Candidate Tracker'!$I:$I,"Female")),"")</f>
        <v/>
      </c>
      <c r="BB600" s="34" t="str">
        <f>IFERROR(IF(COUNTIFS('Candidate Tracker'!$E:$E,'Positions Tracker'!$B600,'Candidate Tracker'!$I:$I,"male")=0,"",COUNTIFS('Candidate Tracker'!$E:$E,'Positions Tracker'!$B600,'Candidate Tracker'!$I:$I,"male")),"")</f>
        <v/>
      </c>
      <c r="BC600" s="33" t="str">
        <f>IFERROR(IF(COUNTIFS('Candidate Tracker'!$E:$E,'Positions Tracker'!$B600,'Candidate Tracker'!$C:$C,"&lt;&gt;WIP",'Candidate Tracker'!$C:$C,"&lt;&gt;Hold",'Candidate Tracker'!$C:$C,"&lt;&gt;Cancelled",'Candidate Tracker'!$C:$C,"&lt;&gt;Closed")/COUNTIFS('Candidate Tracker'!$E:$E,'Positions Tracker'!$B600)=0,"",COUNTIFS('Candidate Tracker'!$E:$E,'Positions Tracker'!$B600,'Candidate Tracker'!$C:$C,"&lt;&gt;WIP",'Candidate Tracker'!$C:$C,"&lt;&gt;Hold",'Candidate Tracker'!$C:$C,"&lt;&gt;Cancelled",'Candidate Tracker'!$C:$C,"&lt;&gt;Closed")/COUNTIFS('Candidate Tracker'!$E:$E,'Positions Tracker'!$B600)),"")</f>
        <v/>
      </c>
      <c r="BD600" s="30" t="str">
        <f t="shared" si="69"/>
        <v/>
      </c>
      <c r="BE600" s="30" t="str">
        <f t="shared" si="70"/>
        <v/>
      </c>
      <c r="BF600" s="30" t="str">
        <f t="shared" si="71"/>
        <v/>
      </c>
      <c r="BG600" s="30" t="str">
        <f t="shared" si="72"/>
        <v/>
      </c>
    </row>
    <row r="601" spans="1:59">
      <c r="A601" s="39"/>
      <c r="B601" s="39"/>
      <c r="C601" s="39"/>
      <c r="D601" s="39"/>
      <c r="E601" s="39"/>
      <c r="F601" s="39"/>
      <c r="G601" s="39"/>
      <c r="H601" s="39"/>
      <c r="I601" s="40"/>
      <c r="J601" s="40"/>
      <c r="K601" s="35"/>
      <c r="L601" s="35"/>
      <c r="M601" s="35"/>
      <c r="N601" s="39"/>
      <c r="O601" s="39"/>
      <c r="P601" s="39"/>
      <c r="Q601" s="39"/>
      <c r="R601" s="39"/>
      <c r="S601" s="39"/>
      <c r="T601" s="39"/>
      <c r="U601" s="39"/>
      <c r="V601" s="39"/>
      <c r="W601" s="39"/>
      <c r="X601" s="39"/>
      <c r="Y601" s="39"/>
      <c r="Z601" s="39"/>
      <c r="AA601" s="39"/>
      <c r="AB601" s="39"/>
      <c r="AC601" s="39"/>
      <c r="AD601" s="39"/>
      <c r="AE601" s="39"/>
      <c r="AF601" s="39"/>
      <c r="AG601" s="39"/>
      <c r="AH601" s="39"/>
      <c r="AI601" s="35"/>
      <c r="AJ601" s="39"/>
      <c r="AK601" s="39"/>
      <c r="AL601" s="39"/>
      <c r="AM601" s="35"/>
      <c r="AN601" s="35"/>
      <c r="AO601" s="39"/>
      <c r="AP601" s="39"/>
      <c r="AQ601" s="35"/>
      <c r="AR601" s="35"/>
      <c r="AS601" s="35"/>
      <c r="AT601" s="30">
        <f t="shared" ca="1" si="68"/>
        <v>0</v>
      </c>
      <c r="AU601" s="32" t="str">
        <f t="shared" ca="1" si="67"/>
        <v/>
      </c>
      <c r="AV601" s="32" t="str" cm="1">
        <f t="array" aca="1" ref="AV601" ca="1">IFERROR(_xlfn.IFS($AU601="","",$AU601&lt;=15,"0-15",AND($AU601&gt;=16,$AU601&lt;=30),"16-30",AND($AU601&gt;=31,$AU601&lt;=45),"31-45",AND($AU601&gt;=46,$AU601&lt;=60),"46-60",AND($AU601&gt;=61,$AU601&lt;=90),"61-90",AND($AU601&gt;=91),"&gt; 90",AND($AU601&gt;=2000),""),"")</f>
        <v/>
      </c>
      <c r="AW601" s="32" t="str" cm="1">
        <f t="array" aca="1" ref="AW601" ca="1">IFERROR(_xlfn.IFS(OR($M601="",$AM601=""),"",OR($C601="Offered",$C601="Joined"),($AM601-$M601)-$AT601),"")</f>
        <v/>
      </c>
      <c r="AX601" s="32" t="str" cm="1">
        <f t="array" aca="1" ref="AX601" ca="1">IFERROR(_xlfn.IFS(OR($M601="",$AS601=""),"",$C601="Joined",($AS601-$M601)-$AT601),"")</f>
        <v/>
      </c>
      <c r="AY601" s="30" t="str">
        <f>IFERROR(IF(COUNTIFS('Candidate Tracker'!$E:$E,'Positions Tracker'!$B601,'Candidate Tracker'!$C:$C,"Offer Drop")=0,"",COUNTIFS('Candidate Tracker'!$E:$E,'Positions Tracker'!$B601,'Candidate Tracker'!$C:$C,"Offer Drop")),"")</f>
        <v/>
      </c>
      <c r="AZ60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1" s="34" t="str">
        <f>IFERROR(IF(COUNTIFS('Candidate Tracker'!$E:$E,'Positions Tracker'!$B601,'Candidate Tracker'!$I:$I,"Female")=0,"",COUNTIFS('Candidate Tracker'!$E:$E,'Positions Tracker'!$B601,'Candidate Tracker'!$I:$I,"Female")),"")</f>
        <v/>
      </c>
      <c r="BB601" s="34" t="str">
        <f>IFERROR(IF(COUNTIFS('Candidate Tracker'!$E:$E,'Positions Tracker'!$B601,'Candidate Tracker'!$I:$I,"male")=0,"",COUNTIFS('Candidate Tracker'!$E:$E,'Positions Tracker'!$B601,'Candidate Tracker'!$I:$I,"male")),"")</f>
        <v/>
      </c>
      <c r="BC601" s="33" t="str">
        <f>IFERROR(IF(COUNTIFS('Candidate Tracker'!$E:$E,'Positions Tracker'!$B601,'Candidate Tracker'!$C:$C,"&lt;&gt;WIP",'Candidate Tracker'!$C:$C,"&lt;&gt;Hold",'Candidate Tracker'!$C:$C,"&lt;&gt;Cancelled",'Candidate Tracker'!$C:$C,"&lt;&gt;Closed")/COUNTIFS('Candidate Tracker'!$E:$E,'Positions Tracker'!$B601)=0,"",COUNTIFS('Candidate Tracker'!$E:$E,'Positions Tracker'!$B601,'Candidate Tracker'!$C:$C,"&lt;&gt;WIP",'Candidate Tracker'!$C:$C,"&lt;&gt;Hold",'Candidate Tracker'!$C:$C,"&lt;&gt;Cancelled",'Candidate Tracker'!$C:$C,"&lt;&gt;Closed")/COUNTIFS('Candidate Tracker'!$E:$E,'Positions Tracker'!$B601)),"")</f>
        <v/>
      </c>
      <c r="BD601" s="30" t="str">
        <f t="shared" si="69"/>
        <v/>
      </c>
      <c r="BE601" s="30" t="str">
        <f t="shared" si="70"/>
        <v/>
      </c>
      <c r="BF601" s="30" t="str">
        <f t="shared" si="71"/>
        <v/>
      </c>
      <c r="BG601" s="30" t="str">
        <f t="shared" si="72"/>
        <v/>
      </c>
    </row>
    <row r="602" spans="1:59">
      <c r="A602" s="39"/>
      <c r="B602" s="39"/>
      <c r="C602" s="39"/>
      <c r="D602" s="39"/>
      <c r="E602" s="39"/>
      <c r="F602" s="39"/>
      <c r="G602" s="39"/>
      <c r="H602" s="39"/>
      <c r="I602" s="40"/>
      <c r="J602" s="40"/>
      <c r="K602" s="35"/>
      <c r="L602" s="35"/>
      <c r="M602" s="35"/>
      <c r="N602" s="39"/>
      <c r="O602" s="39"/>
      <c r="P602" s="39"/>
      <c r="Q602" s="39"/>
      <c r="R602" s="39"/>
      <c r="S602" s="39"/>
      <c r="T602" s="39"/>
      <c r="U602" s="39"/>
      <c r="V602" s="39"/>
      <c r="W602" s="39"/>
      <c r="X602" s="39"/>
      <c r="Y602" s="39"/>
      <c r="Z602" s="39"/>
      <c r="AA602" s="39"/>
      <c r="AB602" s="39"/>
      <c r="AC602" s="39"/>
      <c r="AD602" s="39"/>
      <c r="AE602" s="39"/>
      <c r="AF602" s="39"/>
      <c r="AG602" s="39"/>
      <c r="AH602" s="39"/>
      <c r="AI602" s="35"/>
      <c r="AJ602" s="39"/>
      <c r="AK602" s="39"/>
      <c r="AL602" s="39"/>
      <c r="AM602" s="35"/>
      <c r="AN602" s="35"/>
      <c r="AO602" s="39"/>
      <c r="AP602" s="39"/>
      <c r="AQ602" s="35"/>
      <c r="AR602" s="35"/>
      <c r="AS602" s="35"/>
      <c r="AT602" s="30">
        <f t="shared" ca="1" si="68"/>
        <v>0</v>
      </c>
      <c r="AU602" s="32" t="str">
        <f t="shared" ca="1" si="67"/>
        <v/>
      </c>
      <c r="AV602" s="32" t="str" cm="1">
        <f t="array" aca="1" ref="AV602" ca="1">IFERROR(_xlfn.IFS($AU602="","",$AU602&lt;=15,"0-15",AND($AU602&gt;=16,$AU602&lt;=30),"16-30",AND($AU602&gt;=31,$AU602&lt;=45),"31-45",AND($AU602&gt;=46,$AU602&lt;=60),"46-60",AND($AU602&gt;=61,$AU602&lt;=90),"61-90",AND($AU602&gt;=91),"&gt; 90",AND($AU602&gt;=2000),""),"")</f>
        <v/>
      </c>
      <c r="AW602" s="32" t="str" cm="1">
        <f t="array" aca="1" ref="AW602" ca="1">IFERROR(_xlfn.IFS(OR($M602="",$AM602=""),"",OR($C602="Offered",$C602="Joined"),($AM602-$M602)-$AT602),"")</f>
        <v/>
      </c>
      <c r="AX602" s="32" t="str" cm="1">
        <f t="array" aca="1" ref="AX602" ca="1">IFERROR(_xlfn.IFS(OR($M602="",$AS602=""),"",$C602="Joined",($AS602-$M602)-$AT602),"")</f>
        <v/>
      </c>
      <c r="AY602" s="30" t="str">
        <f>IFERROR(IF(COUNTIFS('Candidate Tracker'!$E:$E,'Positions Tracker'!$B602,'Candidate Tracker'!$C:$C,"Offer Drop")=0,"",COUNTIFS('Candidate Tracker'!$E:$E,'Positions Tracker'!$B602,'Candidate Tracker'!$C:$C,"Offer Drop")),"")</f>
        <v/>
      </c>
      <c r="AZ60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2" s="34" t="str">
        <f>IFERROR(IF(COUNTIFS('Candidate Tracker'!$E:$E,'Positions Tracker'!$B602,'Candidate Tracker'!$I:$I,"Female")=0,"",COUNTIFS('Candidate Tracker'!$E:$E,'Positions Tracker'!$B602,'Candidate Tracker'!$I:$I,"Female")),"")</f>
        <v/>
      </c>
      <c r="BB602" s="34" t="str">
        <f>IFERROR(IF(COUNTIFS('Candidate Tracker'!$E:$E,'Positions Tracker'!$B602,'Candidate Tracker'!$I:$I,"male")=0,"",COUNTIFS('Candidate Tracker'!$E:$E,'Positions Tracker'!$B602,'Candidate Tracker'!$I:$I,"male")),"")</f>
        <v/>
      </c>
      <c r="BC602" s="33" t="str">
        <f>IFERROR(IF(COUNTIFS('Candidate Tracker'!$E:$E,'Positions Tracker'!$B602,'Candidate Tracker'!$C:$C,"&lt;&gt;WIP",'Candidate Tracker'!$C:$C,"&lt;&gt;Hold",'Candidate Tracker'!$C:$C,"&lt;&gt;Cancelled",'Candidate Tracker'!$C:$C,"&lt;&gt;Closed")/COUNTIFS('Candidate Tracker'!$E:$E,'Positions Tracker'!$B602)=0,"",COUNTIFS('Candidate Tracker'!$E:$E,'Positions Tracker'!$B602,'Candidate Tracker'!$C:$C,"&lt;&gt;WIP",'Candidate Tracker'!$C:$C,"&lt;&gt;Hold",'Candidate Tracker'!$C:$C,"&lt;&gt;Cancelled",'Candidate Tracker'!$C:$C,"&lt;&gt;Closed")/COUNTIFS('Candidate Tracker'!$E:$E,'Positions Tracker'!$B602)),"")</f>
        <v/>
      </c>
      <c r="BD602" s="30" t="str">
        <f t="shared" si="69"/>
        <v/>
      </c>
      <c r="BE602" s="30" t="str">
        <f t="shared" si="70"/>
        <v/>
      </c>
      <c r="BF602" s="30" t="str">
        <f t="shared" si="71"/>
        <v/>
      </c>
      <c r="BG602" s="30" t="str">
        <f t="shared" si="72"/>
        <v/>
      </c>
    </row>
    <row r="603" spans="1:59">
      <c r="A603" s="39"/>
      <c r="B603" s="39"/>
      <c r="C603" s="39"/>
      <c r="D603" s="39"/>
      <c r="E603" s="39"/>
      <c r="F603" s="39"/>
      <c r="G603" s="39"/>
      <c r="H603" s="39"/>
      <c r="I603" s="40"/>
      <c r="J603" s="40"/>
      <c r="K603" s="35"/>
      <c r="L603" s="35"/>
      <c r="M603" s="35"/>
      <c r="N603" s="39"/>
      <c r="O603" s="39"/>
      <c r="P603" s="39"/>
      <c r="Q603" s="39"/>
      <c r="R603" s="39"/>
      <c r="S603" s="39"/>
      <c r="T603" s="39"/>
      <c r="U603" s="39"/>
      <c r="V603" s="39"/>
      <c r="W603" s="39"/>
      <c r="X603" s="39"/>
      <c r="Y603" s="39"/>
      <c r="Z603" s="39"/>
      <c r="AA603" s="39"/>
      <c r="AB603" s="39"/>
      <c r="AC603" s="39"/>
      <c r="AD603" s="39"/>
      <c r="AE603" s="39"/>
      <c r="AF603" s="39"/>
      <c r="AG603" s="39"/>
      <c r="AH603" s="39"/>
      <c r="AI603" s="35"/>
      <c r="AJ603" s="39"/>
      <c r="AK603" s="39"/>
      <c r="AL603" s="39"/>
      <c r="AM603" s="35"/>
      <c r="AN603" s="35"/>
      <c r="AO603" s="39"/>
      <c r="AP603" s="39"/>
      <c r="AQ603" s="35"/>
      <c r="AR603" s="35"/>
      <c r="AS603" s="35"/>
      <c r="AT603" s="30">
        <f t="shared" ca="1" si="68"/>
        <v>0</v>
      </c>
      <c r="AU603" s="32" t="str">
        <f t="shared" ca="1" si="67"/>
        <v/>
      </c>
      <c r="AV603" s="32" t="str" cm="1">
        <f t="array" aca="1" ref="AV603" ca="1">IFERROR(_xlfn.IFS($AU603="","",$AU603&lt;=15,"0-15",AND($AU603&gt;=16,$AU603&lt;=30),"16-30",AND($AU603&gt;=31,$AU603&lt;=45),"31-45",AND($AU603&gt;=46,$AU603&lt;=60),"46-60",AND($AU603&gt;=61,$AU603&lt;=90),"61-90",AND($AU603&gt;=91),"&gt; 90",AND($AU603&gt;=2000),""),"")</f>
        <v/>
      </c>
      <c r="AW603" s="32" t="str" cm="1">
        <f t="array" aca="1" ref="AW603" ca="1">IFERROR(_xlfn.IFS(OR($M603="",$AM603=""),"",OR($C603="Offered",$C603="Joined"),($AM603-$M603)-$AT603),"")</f>
        <v/>
      </c>
      <c r="AX603" s="32" t="str" cm="1">
        <f t="array" aca="1" ref="AX603" ca="1">IFERROR(_xlfn.IFS(OR($M603="",$AS603=""),"",$C603="Joined",($AS603-$M603)-$AT603),"")</f>
        <v/>
      </c>
      <c r="AY603" s="30" t="str">
        <f>IFERROR(IF(COUNTIFS('Candidate Tracker'!$E:$E,'Positions Tracker'!$B603,'Candidate Tracker'!$C:$C,"Offer Drop")=0,"",COUNTIFS('Candidate Tracker'!$E:$E,'Positions Tracker'!$B603,'Candidate Tracker'!$C:$C,"Offer Drop")),"")</f>
        <v/>
      </c>
      <c r="AZ60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3" s="34" t="str">
        <f>IFERROR(IF(COUNTIFS('Candidate Tracker'!$E:$E,'Positions Tracker'!$B603,'Candidate Tracker'!$I:$I,"Female")=0,"",COUNTIFS('Candidate Tracker'!$E:$E,'Positions Tracker'!$B603,'Candidate Tracker'!$I:$I,"Female")),"")</f>
        <v/>
      </c>
      <c r="BB603" s="34" t="str">
        <f>IFERROR(IF(COUNTIFS('Candidate Tracker'!$E:$E,'Positions Tracker'!$B603,'Candidate Tracker'!$I:$I,"male")=0,"",COUNTIFS('Candidate Tracker'!$E:$E,'Positions Tracker'!$B603,'Candidate Tracker'!$I:$I,"male")),"")</f>
        <v/>
      </c>
      <c r="BC603" s="33" t="str">
        <f>IFERROR(IF(COUNTIFS('Candidate Tracker'!$E:$E,'Positions Tracker'!$B603,'Candidate Tracker'!$C:$C,"&lt;&gt;WIP",'Candidate Tracker'!$C:$C,"&lt;&gt;Hold",'Candidate Tracker'!$C:$C,"&lt;&gt;Cancelled",'Candidate Tracker'!$C:$C,"&lt;&gt;Closed")/COUNTIFS('Candidate Tracker'!$E:$E,'Positions Tracker'!$B603)=0,"",COUNTIFS('Candidate Tracker'!$E:$E,'Positions Tracker'!$B603,'Candidate Tracker'!$C:$C,"&lt;&gt;WIP",'Candidate Tracker'!$C:$C,"&lt;&gt;Hold",'Candidate Tracker'!$C:$C,"&lt;&gt;Cancelled",'Candidate Tracker'!$C:$C,"&lt;&gt;Closed")/COUNTIFS('Candidate Tracker'!$E:$E,'Positions Tracker'!$B603)),"")</f>
        <v/>
      </c>
      <c r="BD603" s="30" t="str">
        <f t="shared" si="69"/>
        <v/>
      </c>
      <c r="BE603" s="30" t="str">
        <f t="shared" si="70"/>
        <v/>
      </c>
      <c r="BF603" s="30" t="str">
        <f t="shared" si="71"/>
        <v/>
      </c>
      <c r="BG603" s="30" t="str">
        <f t="shared" si="72"/>
        <v/>
      </c>
    </row>
    <row r="604" spans="1:59">
      <c r="A604" s="39"/>
      <c r="B604" s="39"/>
      <c r="C604" s="39"/>
      <c r="D604" s="39"/>
      <c r="E604" s="39"/>
      <c r="F604" s="39"/>
      <c r="G604" s="39"/>
      <c r="H604" s="39"/>
      <c r="I604" s="40"/>
      <c r="J604" s="40"/>
      <c r="K604" s="35"/>
      <c r="L604" s="35"/>
      <c r="M604" s="35"/>
      <c r="N604" s="39"/>
      <c r="O604" s="39"/>
      <c r="P604" s="39"/>
      <c r="Q604" s="39"/>
      <c r="R604" s="39"/>
      <c r="S604" s="39"/>
      <c r="T604" s="39"/>
      <c r="U604" s="39"/>
      <c r="V604" s="39"/>
      <c r="W604" s="39"/>
      <c r="X604" s="39"/>
      <c r="Y604" s="39"/>
      <c r="Z604" s="39"/>
      <c r="AA604" s="39"/>
      <c r="AB604" s="39"/>
      <c r="AC604" s="39"/>
      <c r="AD604" s="39"/>
      <c r="AE604" s="39"/>
      <c r="AF604" s="39"/>
      <c r="AG604" s="39"/>
      <c r="AH604" s="39"/>
      <c r="AI604" s="35"/>
      <c r="AJ604" s="39"/>
      <c r="AK604" s="39"/>
      <c r="AL604" s="39"/>
      <c r="AM604" s="35"/>
      <c r="AN604" s="35"/>
      <c r="AO604" s="39"/>
      <c r="AP604" s="39"/>
      <c r="AQ604" s="35"/>
      <c r="AR604" s="35"/>
      <c r="AS604" s="35"/>
      <c r="AT604" s="30">
        <f t="shared" ca="1" si="68"/>
        <v>0</v>
      </c>
      <c r="AU604" s="32" t="str">
        <f t="shared" ca="1" si="67"/>
        <v/>
      </c>
      <c r="AV604" s="32" t="str" cm="1">
        <f t="array" aca="1" ref="AV604" ca="1">IFERROR(_xlfn.IFS($AU604="","",$AU604&lt;=15,"0-15",AND($AU604&gt;=16,$AU604&lt;=30),"16-30",AND($AU604&gt;=31,$AU604&lt;=45),"31-45",AND($AU604&gt;=46,$AU604&lt;=60),"46-60",AND($AU604&gt;=61,$AU604&lt;=90),"61-90",AND($AU604&gt;=91),"&gt; 90",AND($AU604&gt;=2000),""),"")</f>
        <v/>
      </c>
      <c r="AW604" s="32" t="str" cm="1">
        <f t="array" aca="1" ref="AW604" ca="1">IFERROR(_xlfn.IFS(OR($M604="",$AM604=""),"",OR($C604="Offered",$C604="Joined"),($AM604-$M604)-$AT604),"")</f>
        <v/>
      </c>
      <c r="AX604" s="32" t="str" cm="1">
        <f t="array" aca="1" ref="AX604" ca="1">IFERROR(_xlfn.IFS(OR($M604="",$AS604=""),"",$C604="Joined",($AS604-$M604)-$AT604),"")</f>
        <v/>
      </c>
      <c r="AY604" s="30" t="str">
        <f>IFERROR(IF(COUNTIFS('Candidate Tracker'!$E:$E,'Positions Tracker'!$B604,'Candidate Tracker'!$C:$C,"Offer Drop")=0,"",COUNTIFS('Candidate Tracker'!$E:$E,'Positions Tracker'!$B604,'Candidate Tracker'!$C:$C,"Offer Drop")),"")</f>
        <v/>
      </c>
      <c r="AZ60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4" s="34" t="str">
        <f>IFERROR(IF(COUNTIFS('Candidate Tracker'!$E:$E,'Positions Tracker'!$B604,'Candidate Tracker'!$I:$I,"Female")=0,"",COUNTIFS('Candidate Tracker'!$E:$E,'Positions Tracker'!$B604,'Candidate Tracker'!$I:$I,"Female")),"")</f>
        <v/>
      </c>
      <c r="BB604" s="34" t="str">
        <f>IFERROR(IF(COUNTIFS('Candidate Tracker'!$E:$E,'Positions Tracker'!$B604,'Candidate Tracker'!$I:$I,"male")=0,"",COUNTIFS('Candidate Tracker'!$E:$E,'Positions Tracker'!$B604,'Candidate Tracker'!$I:$I,"male")),"")</f>
        <v/>
      </c>
      <c r="BC604" s="33" t="str">
        <f>IFERROR(IF(COUNTIFS('Candidate Tracker'!$E:$E,'Positions Tracker'!$B604,'Candidate Tracker'!$C:$C,"&lt;&gt;WIP",'Candidate Tracker'!$C:$C,"&lt;&gt;Hold",'Candidate Tracker'!$C:$C,"&lt;&gt;Cancelled",'Candidate Tracker'!$C:$C,"&lt;&gt;Closed")/COUNTIFS('Candidate Tracker'!$E:$E,'Positions Tracker'!$B604)=0,"",COUNTIFS('Candidate Tracker'!$E:$E,'Positions Tracker'!$B604,'Candidate Tracker'!$C:$C,"&lt;&gt;WIP",'Candidate Tracker'!$C:$C,"&lt;&gt;Hold",'Candidate Tracker'!$C:$C,"&lt;&gt;Cancelled",'Candidate Tracker'!$C:$C,"&lt;&gt;Closed")/COUNTIFS('Candidate Tracker'!$E:$E,'Positions Tracker'!$B604)),"")</f>
        <v/>
      </c>
      <c r="BD604" s="30" t="str">
        <f t="shared" si="69"/>
        <v/>
      </c>
      <c r="BE604" s="30" t="str">
        <f t="shared" si="70"/>
        <v/>
      </c>
      <c r="BF604" s="30" t="str">
        <f t="shared" si="71"/>
        <v/>
      </c>
      <c r="BG604" s="30" t="str">
        <f t="shared" si="72"/>
        <v/>
      </c>
    </row>
    <row r="605" spans="1:59">
      <c r="A605" s="39"/>
      <c r="B605" s="39"/>
      <c r="C605" s="39"/>
      <c r="D605" s="39"/>
      <c r="E605" s="39"/>
      <c r="F605" s="39"/>
      <c r="G605" s="39"/>
      <c r="H605" s="39"/>
      <c r="I605" s="40"/>
      <c r="J605" s="40"/>
      <c r="K605" s="35"/>
      <c r="L605" s="35"/>
      <c r="M605" s="35"/>
      <c r="N605" s="39"/>
      <c r="O605" s="39"/>
      <c r="P605" s="39"/>
      <c r="Q605" s="39"/>
      <c r="R605" s="39"/>
      <c r="S605" s="39"/>
      <c r="T605" s="39"/>
      <c r="U605" s="39"/>
      <c r="V605" s="39"/>
      <c r="W605" s="39"/>
      <c r="X605" s="39"/>
      <c r="Y605" s="39"/>
      <c r="Z605" s="39"/>
      <c r="AA605" s="39"/>
      <c r="AB605" s="39"/>
      <c r="AC605" s="39"/>
      <c r="AD605" s="39"/>
      <c r="AE605" s="39"/>
      <c r="AF605" s="39"/>
      <c r="AG605" s="39"/>
      <c r="AH605" s="39"/>
      <c r="AI605" s="35"/>
      <c r="AJ605" s="39"/>
      <c r="AK605" s="39"/>
      <c r="AL605" s="39"/>
      <c r="AM605" s="35"/>
      <c r="AN605" s="35"/>
      <c r="AO605" s="39"/>
      <c r="AP605" s="39"/>
      <c r="AQ605" s="35"/>
      <c r="AR605" s="35"/>
      <c r="AS605" s="35"/>
      <c r="AT605" s="30">
        <f t="shared" ca="1" si="68"/>
        <v>0</v>
      </c>
      <c r="AU605" s="32" t="str">
        <f t="shared" ca="1" si="67"/>
        <v/>
      </c>
      <c r="AV605" s="32" t="str" cm="1">
        <f t="array" aca="1" ref="AV605" ca="1">IFERROR(_xlfn.IFS($AU605="","",$AU605&lt;=15,"0-15",AND($AU605&gt;=16,$AU605&lt;=30),"16-30",AND($AU605&gt;=31,$AU605&lt;=45),"31-45",AND($AU605&gt;=46,$AU605&lt;=60),"46-60",AND($AU605&gt;=61,$AU605&lt;=90),"61-90",AND($AU605&gt;=91),"&gt; 90",AND($AU605&gt;=2000),""),"")</f>
        <v/>
      </c>
      <c r="AW605" s="32" t="str" cm="1">
        <f t="array" aca="1" ref="AW605" ca="1">IFERROR(_xlfn.IFS(OR($M605="",$AM605=""),"",OR($C605="Offered",$C605="Joined"),($AM605-$M605)-$AT605),"")</f>
        <v/>
      </c>
      <c r="AX605" s="32" t="str" cm="1">
        <f t="array" aca="1" ref="AX605" ca="1">IFERROR(_xlfn.IFS(OR($M605="",$AS605=""),"",$C605="Joined",($AS605-$M605)-$AT605),"")</f>
        <v/>
      </c>
      <c r="AY605" s="30" t="str">
        <f>IFERROR(IF(COUNTIFS('Candidate Tracker'!$E:$E,'Positions Tracker'!$B605,'Candidate Tracker'!$C:$C,"Offer Drop")=0,"",COUNTIFS('Candidate Tracker'!$E:$E,'Positions Tracker'!$B605,'Candidate Tracker'!$C:$C,"Offer Drop")),"")</f>
        <v/>
      </c>
      <c r="AZ60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5" s="34" t="str">
        <f>IFERROR(IF(COUNTIFS('Candidate Tracker'!$E:$E,'Positions Tracker'!$B605,'Candidate Tracker'!$I:$I,"Female")=0,"",COUNTIFS('Candidate Tracker'!$E:$E,'Positions Tracker'!$B605,'Candidate Tracker'!$I:$I,"Female")),"")</f>
        <v/>
      </c>
      <c r="BB605" s="34" t="str">
        <f>IFERROR(IF(COUNTIFS('Candidate Tracker'!$E:$E,'Positions Tracker'!$B605,'Candidate Tracker'!$I:$I,"male")=0,"",COUNTIFS('Candidate Tracker'!$E:$E,'Positions Tracker'!$B605,'Candidate Tracker'!$I:$I,"male")),"")</f>
        <v/>
      </c>
      <c r="BC605" s="33" t="str">
        <f>IFERROR(IF(COUNTIFS('Candidate Tracker'!$E:$E,'Positions Tracker'!$B605,'Candidate Tracker'!$C:$C,"&lt;&gt;WIP",'Candidate Tracker'!$C:$C,"&lt;&gt;Hold",'Candidate Tracker'!$C:$C,"&lt;&gt;Cancelled",'Candidate Tracker'!$C:$C,"&lt;&gt;Closed")/COUNTIFS('Candidate Tracker'!$E:$E,'Positions Tracker'!$B605)=0,"",COUNTIFS('Candidate Tracker'!$E:$E,'Positions Tracker'!$B605,'Candidate Tracker'!$C:$C,"&lt;&gt;WIP",'Candidate Tracker'!$C:$C,"&lt;&gt;Hold",'Candidate Tracker'!$C:$C,"&lt;&gt;Cancelled",'Candidate Tracker'!$C:$C,"&lt;&gt;Closed")/COUNTIFS('Candidate Tracker'!$E:$E,'Positions Tracker'!$B605)),"")</f>
        <v/>
      </c>
      <c r="BD605" s="30" t="str">
        <f t="shared" si="69"/>
        <v/>
      </c>
      <c r="BE605" s="30" t="str">
        <f t="shared" si="70"/>
        <v/>
      </c>
      <c r="BF605" s="30" t="str">
        <f t="shared" si="71"/>
        <v/>
      </c>
      <c r="BG605" s="30" t="str">
        <f t="shared" si="72"/>
        <v/>
      </c>
    </row>
    <row r="606" spans="1:59">
      <c r="A606" s="39"/>
      <c r="B606" s="39"/>
      <c r="C606" s="39"/>
      <c r="D606" s="39"/>
      <c r="E606" s="39"/>
      <c r="F606" s="39"/>
      <c r="G606" s="39"/>
      <c r="H606" s="39"/>
      <c r="I606" s="40"/>
      <c r="J606" s="40"/>
      <c r="K606" s="35"/>
      <c r="L606" s="35"/>
      <c r="M606" s="35"/>
      <c r="N606" s="39"/>
      <c r="O606" s="39"/>
      <c r="P606" s="39"/>
      <c r="Q606" s="39"/>
      <c r="R606" s="39"/>
      <c r="S606" s="39"/>
      <c r="T606" s="39"/>
      <c r="U606" s="39"/>
      <c r="V606" s="39"/>
      <c r="W606" s="39"/>
      <c r="X606" s="39"/>
      <c r="Y606" s="39"/>
      <c r="Z606" s="39"/>
      <c r="AA606" s="39"/>
      <c r="AB606" s="39"/>
      <c r="AC606" s="39"/>
      <c r="AD606" s="39"/>
      <c r="AE606" s="39"/>
      <c r="AF606" s="39"/>
      <c r="AG606" s="39"/>
      <c r="AH606" s="39"/>
      <c r="AI606" s="35"/>
      <c r="AJ606" s="39"/>
      <c r="AK606" s="39"/>
      <c r="AL606" s="39"/>
      <c r="AM606" s="35"/>
      <c r="AN606" s="35"/>
      <c r="AO606" s="39"/>
      <c r="AP606" s="39"/>
      <c r="AQ606" s="35"/>
      <c r="AR606" s="35"/>
      <c r="AS606" s="35"/>
      <c r="AT606" s="30">
        <f t="shared" ca="1" si="68"/>
        <v>0</v>
      </c>
      <c r="AU606" s="32" t="str">
        <f t="shared" ca="1" si="67"/>
        <v/>
      </c>
      <c r="AV606" s="32" t="str" cm="1">
        <f t="array" aca="1" ref="AV606" ca="1">IFERROR(_xlfn.IFS($AU606="","",$AU606&lt;=15,"0-15",AND($AU606&gt;=16,$AU606&lt;=30),"16-30",AND($AU606&gt;=31,$AU606&lt;=45),"31-45",AND($AU606&gt;=46,$AU606&lt;=60),"46-60",AND($AU606&gt;=61,$AU606&lt;=90),"61-90",AND($AU606&gt;=91),"&gt; 90",AND($AU606&gt;=2000),""),"")</f>
        <v/>
      </c>
      <c r="AW606" s="32" t="str" cm="1">
        <f t="array" aca="1" ref="AW606" ca="1">IFERROR(_xlfn.IFS(OR($M606="",$AM606=""),"",OR($C606="Offered",$C606="Joined"),($AM606-$M606)-$AT606),"")</f>
        <v/>
      </c>
      <c r="AX606" s="32" t="str" cm="1">
        <f t="array" aca="1" ref="AX606" ca="1">IFERROR(_xlfn.IFS(OR($M606="",$AS606=""),"",$C606="Joined",($AS606-$M606)-$AT606),"")</f>
        <v/>
      </c>
      <c r="AY606" s="30" t="str">
        <f>IFERROR(IF(COUNTIFS('Candidate Tracker'!$E:$E,'Positions Tracker'!$B606,'Candidate Tracker'!$C:$C,"Offer Drop")=0,"",COUNTIFS('Candidate Tracker'!$E:$E,'Positions Tracker'!$B606,'Candidate Tracker'!$C:$C,"Offer Drop")),"")</f>
        <v/>
      </c>
      <c r="AZ60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6" s="34" t="str">
        <f>IFERROR(IF(COUNTIFS('Candidate Tracker'!$E:$E,'Positions Tracker'!$B606,'Candidate Tracker'!$I:$I,"Female")=0,"",COUNTIFS('Candidate Tracker'!$E:$E,'Positions Tracker'!$B606,'Candidate Tracker'!$I:$I,"Female")),"")</f>
        <v/>
      </c>
      <c r="BB606" s="34" t="str">
        <f>IFERROR(IF(COUNTIFS('Candidate Tracker'!$E:$E,'Positions Tracker'!$B606,'Candidate Tracker'!$I:$I,"male")=0,"",COUNTIFS('Candidate Tracker'!$E:$E,'Positions Tracker'!$B606,'Candidate Tracker'!$I:$I,"male")),"")</f>
        <v/>
      </c>
      <c r="BC606" s="33" t="str">
        <f>IFERROR(IF(COUNTIFS('Candidate Tracker'!$E:$E,'Positions Tracker'!$B606,'Candidate Tracker'!$C:$C,"&lt;&gt;WIP",'Candidate Tracker'!$C:$C,"&lt;&gt;Hold",'Candidate Tracker'!$C:$C,"&lt;&gt;Cancelled",'Candidate Tracker'!$C:$C,"&lt;&gt;Closed")/COUNTIFS('Candidate Tracker'!$E:$E,'Positions Tracker'!$B606)=0,"",COUNTIFS('Candidate Tracker'!$E:$E,'Positions Tracker'!$B606,'Candidate Tracker'!$C:$C,"&lt;&gt;WIP",'Candidate Tracker'!$C:$C,"&lt;&gt;Hold",'Candidate Tracker'!$C:$C,"&lt;&gt;Cancelled",'Candidate Tracker'!$C:$C,"&lt;&gt;Closed")/COUNTIFS('Candidate Tracker'!$E:$E,'Positions Tracker'!$B606)),"")</f>
        <v/>
      </c>
      <c r="BD606" s="30" t="str">
        <f t="shared" si="69"/>
        <v/>
      </c>
      <c r="BE606" s="30" t="str">
        <f t="shared" si="70"/>
        <v/>
      </c>
      <c r="BF606" s="30" t="str">
        <f t="shared" si="71"/>
        <v/>
      </c>
      <c r="BG606" s="30" t="str">
        <f t="shared" si="72"/>
        <v/>
      </c>
    </row>
    <row r="607" spans="1:59">
      <c r="A607" s="39"/>
      <c r="B607" s="39"/>
      <c r="C607" s="39"/>
      <c r="D607" s="39"/>
      <c r="E607" s="39"/>
      <c r="F607" s="39"/>
      <c r="G607" s="39"/>
      <c r="H607" s="39"/>
      <c r="I607" s="40"/>
      <c r="J607" s="40"/>
      <c r="K607" s="35"/>
      <c r="L607" s="35"/>
      <c r="M607" s="35"/>
      <c r="N607" s="39"/>
      <c r="O607" s="39"/>
      <c r="P607" s="39"/>
      <c r="Q607" s="39"/>
      <c r="R607" s="39"/>
      <c r="S607" s="39"/>
      <c r="T607" s="39"/>
      <c r="U607" s="39"/>
      <c r="V607" s="39"/>
      <c r="W607" s="39"/>
      <c r="X607" s="39"/>
      <c r="Y607" s="39"/>
      <c r="Z607" s="39"/>
      <c r="AA607" s="39"/>
      <c r="AB607" s="39"/>
      <c r="AC607" s="39"/>
      <c r="AD607" s="39"/>
      <c r="AE607" s="39"/>
      <c r="AF607" s="39"/>
      <c r="AG607" s="39"/>
      <c r="AH607" s="39"/>
      <c r="AI607" s="35"/>
      <c r="AJ607" s="39"/>
      <c r="AK607" s="39"/>
      <c r="AL607" s="39"/>
      <c r="AM607" s="35"/>
      <c r="AN607" s="35"/>
      <c r="AO607" s="39"/>
      <c r="AP607" s="39"/>
      <c r="AQ607" s="35"/>
      <c r="AR607" s="35"/>
      <c r="AS607" s="35"/>
      <c r="AT607" s="30">
        <f t="shared" ca="1" si="68"/>
        <v>0</v>
      </c>
      <c r="AU607" s="32" t="str">
        <f t="shared" ca="1" si="67"/>
        <v/>
      </c>
      <c r="AV607" s="32" t="str" cm="1">
        <f t="array" aca="1" ref="AV607" ca="1">IFERROR(_xlfn.IFS($AU607="","",$AU607&lt;=15,"0-15",AND($AU607&gt;=16,$AU607&lt;=30),"16-30",AND($AU607&gt;=31,$AU607&lt;=45),"31-45",AND($AU607&gt;=46,$AU607&lt;=60),"46-60",AND($AU607&gt;=61,$AU607&lt;=90),"61-90",AND($AU607&gt;=91),"&gt; 90",AND($AU607&gt;=2000),""),"")</f>
        <v/>
      </c>
      <c r="AW607" s="32" t="str" cm="1">
        <f t="array" aca="1" ref="AW607" ca="1">IFERROR(_xlfn.IFS(OR($M607="",$AM607=""),"",OR($C607="Offered",$C607="Joined"),($AM607-$M607)-$AT607),"")</f>
        <v/>
      </c>
      <c r="AX607" s="32" t="str" cm="1">
        <f t="array" aca="1" ref="AX607" ca="1">IFERROR(_xlfn.IFS(OR($M607="",$AS607=""),"",$C607="Joined",($AS607-$M607)-$AT607),"")</f>
        <v/>
      </c>
      <c r="AY607" s="30" t="str">
        <f>IFERROR(IF(COUNTIFS('Candidate Tracker'!$E:$E,'Positions Tracker'!$B607,'Candidate Tracker'!$C:$C,"Offer Drop")=0,"",COUNTIFS('Candidate Tracker'!$E:$E,'Positions Tracker'!$B607,'Candidate Tracker'!$C:$C,"Offer Drop")),"")</f>
        <v/>
      </c>
      <c r="AZ60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7" s="34" t="str">
        <f>IFERROR(IF(COUNTIFS('Candidate Tracker'!$E:$E,'Positions Tracker'!$B607,'Candidate Tracker'!$I:$I,"Female")=0,"",COUNTIFS('Candidate Tracker'!$E:$E,'Positions Tracker'!$B607,'Candidate Tracker'!$I:$I,"Female")),"")</f>
        <v/>
      </c>
      <c r="BB607" s="34" t="str">
        <f>IFERROR(IF(COUNTIFS('Candidate Tracker'!$E:$E,'Positions Tracker'!$B607,'Candidate Tracker'!$I:$I,"male")=0,"",COUNTIFS('Candidate Tracker'!$E:$E,'Positions Tracker'!$B607,'Candidate Tracker'!$I:$I,"male")),"")</f>
        <v/>
      </c>
      <c r="BC607" s="33" t="str">
        <f>IFERROR(IF(COUNTIFS('Candidate Tracker'!$E:$E,'Positions Tracker'!$B607,'Candidate Tracker'!$C:$C,"&lt;&gt;WIP",'Candidate Tracker'!$C:$C,"&lt;&gt;Hold",'Candidate Tracker'!$C:$C,"&lt;&gt;Cancelled",'Candidate Tracker'!$C:$C,"&lt;&gt;Closed")/COUNTIFS('Candidate Tracker'!$E:$E,'Positions Tracker'!$B607)=0,"",COUNTIFS('Candidate Tracker'!$E:$E,'Positions Tracker'!$B607,'Candidate Tracker'!$C:$C,"&lt;&gt;WIP",'Candidate Tracker'!$C:$C,"&lt;&gt;Hold",'Candidate Tracker'!$C:$C,"&lt;&gt;Cancelled",'Candidate Tracker'!$C:$C,"&lt;&gt;Closed")/COUNTIFS('Candidate Tracker'!$E:$E,'Positions Tracker'!$B607)),"")</f>
        <v/>
      </c>
      <c r="BD607" s="30" t="str">
        <f t="shared" si="69"/>
        <v/>
      </c>
      <c r="BE607" s="30" t="str">
        <f t="shared" si="70"/>
        <v/>
      </c>
      <c r="BF607" s="30" t="str">
        <f t="shared" si="71"/>
        <v/>
      </c>
      <c r="BG607" s="30" t="str">
        <f t="shared" si="72"/>
        <v/>
      </c>
    </row>
    <row r="608" spans="1:59">
      <c r="A608" s="39"/>
      <c r="B608" s="39"/>
      <c r="C608" s="39"/>
      <c r="D608" s="39"/>
      <c r="E608" s="39"/>
      <c r="F608" s="39"/>
      <c r="G608" s="39"/>
      <c r="H608" s="39"/>
      <c r="I608" s="40"/>
      <c r="J608" s="40"/>
      <c r="K608" s="35"/>
      <c r="L608" s="35"/>
      <c r="M608" s="35"/>
      <c r="N608" s="39"/>
      <c r="O608" s="39"/>
      <c r="P608" s="39"/>
      <c r="Q608" s="39"/>
      <c r="R608" s="39"/>
      <c r="S608" s="39"/>
      <c r="T608" s="39"/>
      <c r="U608" s="39"/>
      <c r="V608" s="39"/>
      <c r="W608" s="39"/>
      <c r="X608" s="39"/>
      <c r="Y608" s="39"/>
      <c r="Z608" s="39"/>
      <c r="AA608" s="39"/>
      <c r="AB608" s="39"/>
      <c r="AC608" s="39"/>
      <c r="AD608" s="39"/>
      <c r="AE608" s="39"/>
      <c r="AF608" s="39"/>
      <c r="AG608" s="39"/>
      <c r="AH608" s="39"/>
      <c r="AI608" s="35"/>
      <c r="AJ608" s="39"/>
      <c r="AK608" s="39"/>
      <c r="AL608" s="39"/>
      <c r="AM608" s="35"/>
      <c r="AN608" s="35"/>
      <c r="AO608" s="39"/>
      <c r="AP608" s="39"/>
      <c r="AQ608" s="35"/>
      <c r="AR608" s="35"/>
      <c r="AS608" s="35"/>
      <c r="AT608" s="30">
        <f t="shared" ca="1" si="68"/>
        <v>0</v>
      </c>
      <c r="AU608" s="32" t="str">
        <f t="shared" ca="1" si="67"/>
        <v/>
      </c>
      <c r="AV608" s="32" t="str" cm="1">
        <f t="array" aca="1" ref="AV608" ca="1">IFERROR(_xlfn.IFS($AU608="","",$AU608&lt;=15,"0-15",AND($AU608&gt;=16,$AU608&lt;=30),"16-30",AND($AU608&gt;=31,$AU608&lt;=45),"31-45",AND($AU608&gt;=46,$AU608&lt;=60),"46-60",AND($AU608&gt;=61,$AU608&lt;=90),"61-90",AND($AU608&gt;=91),"&gt; 90",AND($AU608&gt;=2000),""),"")</f>
        <v/>
      </c>
      <c r="AW608" s="32" t="str" cm="1">
        <f t="array" aca="1" ref="AW608" ca="1">IFERROR(_xlfn.IFS(OR($M608="",$AM608=""),"",OR($C608="Offered",$C608="Joined"),($AM608-$M608)-$AT608),"")</f>
        <v/>
      </c>
      <c r="AX608" s="32" t="str" cm="1">
        <f t="array" aca="1" ref="AX608" ca="1">IFERROR(_xlfn.IFS(OR($M608="",$AS608=""),"",$C608="Joined",($AS608-$M608)-$AT608),"")</f>
        <v/>
      </c>
      <c r="AY608" s="30" t="str">
        <f>IFERROR(IF(COUNTIFS('Candidate Tracker'!$E:$E,'Positions Tracker'!$B608,'Candidate Tracker'!$C:$C,"Offer Drop")=0,"",COUNTIFS('Candidate Tracker'!$E:$E,'Positions Tracker'!$B608,'Candidate Tracker'!$C:$C,"Offer Drop")),"")</f>
        <v/>
      </c>
      <c r="AZ60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8" s="34" t="str">
        <f>IFERROR(IF(COUNTIFS('Candidate Tracker'!$E:$E,'Positions Tracker'!$B608,'Candidate Tracker'!$I:$I,"Female")=0,"",COUNTIFS('Candidate Tracker'!$E:$E,'Positions Tracker'!$B608,'Candidate Tracker'!$I:$I,"Female")),"")</f>
        <v/>
      </c>
      <c r="BB608" s="34" t="str">
        <f>IFERROR(IF(COUNTIFS('Candidate Tracker'!$E:$E,'Positions Tracker'!$B608,'Candidate Tracker'!$I:$I,"male")=0,"",COUNTIFS('Candidate Tracker'!$E:$E,'Positions Tracker'!$B608,'Candidate Tracker'!$I:$I,"male")),"")</f>
        <v/>
      </c>
      <c r="BC608" s="33" t="str">
        <f>IFERROR(IF(COUNTIFS('Candidate Tracker'!$E:$E,'Positions Tracker'!$B608,'Candidate Tracker'!$C:$C,"&lt;&gt;WIP",'Candidate Tracker'!$C:$C,"&lt;&gt;Hold",'Candidate Tracker'!$C:$C,"&lt;&gt;Cancelled",'Candidate Tracker'!$C:$C,"&lt;&gt;Closed")/COUNTIFS('Candidate Tracker'!$E:$E,'Positions Tracker'!$B608)=0,"",COUNTIFS('Candidate Tracker'!$E:$E,'Positions Tracker'!$B608,'Candidate Tracker'!$C:$C,"&lt;&gt;WIP",'Candidate Tracker'!$C:$C,"&lt;&gt;Hold",'Candidate Tracker'!$C:$C,"&lt;&gt;Cancelled",'Candidate Tracker'!$C:$C,"&lt;&gt;Closed")/COUNTIFS('Candidate Tracker'!$E:$E,'Positions Tracker'!$B608)),"")</f>
        <v/>
      </c>
      <c r="BD608" s="30" t="str">
        <f t="shared" si="69"/>
        <v/>
      </c>
      <c r="BE608" s="30" t="str">
        <f t="shared" si="70"/>
        <v/>
      </c>
      <c r="BF608" s="30" t="str">
        <f t="shared" si="71"/>
        <v/>
      </c>
      <c r="BG608" s="30" t="str">
        <f t="shared" si="72"/>
        <v/>
      </c>
    </row>
    <row r="609" spans="1:59">
      <c r="A609" s="39"/>
      <c r="B609" s="39"/>
      <c r="C609" s="39"/>
      <c r="D609" s="39"/>
      <c r="E609" s="39"/>
      <c r="F609" s="39"/>
      <c r="G609" s="39"/>
      <c r="H609" s="39"/>
      <c r="I609" s="40"/>
      <c r="J609" s="40"/>
      <c r="K609" s="35"/>
      <c r="L609" s="35"/>
      <c r="M609" s="35"/>
      <c r="N609" s="39"/>
      <c r="O609" s="39"/>
      <c r="P609" s="39"/>
      <c r="Q609" s="39"/>
      <c r="R609" s="39"/>
      <c r="S609" s="39"/>
      <c r="T609" s="39"/>
      <c r="U609" s="39"/>
      <c r="V609" s="39"/>
      <c r="W609" s="39"/>
      <c r="X609" s="39"/>
      <c r="Y609" s="39"/>
      <c r="Z609" s="39"/>
      <c r="AA609" s="39"/>
      <c r="AB609" s="39"/>
      <c r="AC609" s="39"/>
      <c r="AD609" s="39"/>
      <c r="AE609" s="39"/>
      <c r="AF609" s="39"/>
      <c r="AG609" s="39"/>
      <c r="AH609" s="39"/>
      <c r="AI609" s="35"/>
      <c r="AJ609" s="39"/>
      <c r="AK609" s="39"/>
      <c r="AL609" s="39"/>
      <c r="AM609" s="35"/>
      <c r="AN609" s="35"/>
      <c r="AO609" s="39"/>
      <c r="AP609" s="39"/>
      <c r="AQ609" s="35"/>
      <c r="AR609" s="35"/>
      <c r="AS609" s="35"/>
      <c r="AT609" s="30">
        <f t="shared" ca="1" si="68"/>
        <v>0</v>
      </c>
      <c r="AU609" s="32" t="str">
        <f t="shared" ca="1" si="67"/>
        <v/>
      </c>
      <c r="AV609" s="32" t="str" cm="1">
        <f t="array" aca="1" ref="AV609" ca="1">IFERROR(_xlfn.IFS($AU609="","",$AU609&lt;=15,"0-15",AND($AU609&gt;=16,$AU609&lt;=30),"16-30",AND($AU609&gt;=31,$AU609&lt;=45),"31-45",AND($AU609&gt;=46,$AU609&lt;=60),"46-60",AND($AU609&gt;=61,$AU609&lt;=90),"61-90",AND($AU609&gt;=91),"&gt; 90",AND($AU609&gt;=2000),""),"")</f>
        <v/>
      </c>
      <c r="AW609" s="32" t="str" cm="1">
        <f t="array" aca="1" ref="AW609" ca="1">IFERROR(_xlfn.IFS(OR($M609="",$AM609=""),"",OR($C609="Offered",$C609="Joined"),($AM609-$M609)-$AT609),"")</f>
        <v/>
      </c>
      <c r="AX609" s="32" t="str" cm="1">
        <f t="array" aca="1" ref="AX609" ca="1">IFERROR(_xlfn.IFS(OR($M609="",$AS609=""),"",$C609="Joined",($AS609-$M609)-$AT609),"")</f>
        <v/>
      </c>
      <c r="AY609" s="30" t="str">
        <f>IFERROR(IF(COUNTIFS('Candidate Tracker'!$E:$E,'Positions Tracker'!$B609,'Candidate Tracker'!$C:$C,"Offer Drop")=0,"",COUNTIFS('Candidate Tracker'!$E:$E,'Positions Tracker'!$B609,'Candidate Tracker'!$C:$C,"Offer Drop")),"")</f>
        <v/>
      </c>
      <c r="AZ60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09" s="34" t="str">
        <f>IFERROR(IF(COUNTIFS('Candidate Tracker'!$E:$E,'Positions Tracker'!$B609,'Candidate Tracker'!$I:$I,"Female")=0,"",COUNTIFS('Candidate Tracker'!$E:$E,'Positions Tracker'!$B609,'Candidate Tracker'!$I:$I,"Female")),"")</f>
        <v/>
      </c>
      <c r="BB609" s="34" t="str">
        <f>IFERROR(IF(COUNTIFS('Candidate Tracker'!$E:$E,'Positions Tracker'!$B609,'Candidate Tracker'!$I:$I,"male")=0,"",COUNTIFS('Candidate Tracker'!$E:$E,'Positions Tracker'!$B609,'Candidate Tracker'!$I:$I,"male")),"")</f>
        <v/>
      </c>
      <c r="BC609" s="33" t="str">
        <f>IFERROR(IF(COUNTIFS('Candidate Tracker'!$E:$E,'Positions Tracker'!$B609,'Candidate Tracker'!$C:$C,"&lt;&gt;WIP",'Candidate Tracker'!$C:$C,"&lt;&gt;Hold",'Candidate Tracker'!$C:$C,"&lt;&gt;Cancelled",'Candidate Tracker'!$C:$C,"&lt;&gt;Closed")/COUNTIFS('Candidate Tracker'!$E:$E,'Positions Tracker'!$B609)=0,"",COUNTIFS('Candidate Tracker'!$E:$E,'Positions Tracker'!$B609,'Candidate Tracker'!$C:$C,"&lt;&gt;WIP",'Candidate Tracker'!$C:$C,"&lt;&gt;Hold",'Candidate Tracker'!$C:$C,"&lt;&gt;Cancelled",'Candidate Tracker'!$C:$C,"&lt;&gt;Closed")/COUNTIFS('Candidate Tracker'!$E:$E,'Positions Tracker'!$B609)),"")</f>
        <v/>
      </c>
      <c r="BD609" s="30" t="str">
        <f t="shared" si="69"/>
        <v/>
      </c>
      <c r="BE609" s="30" t="str">
        <f t="shared" si="70"/>
        <v/>
      </c>
      <c r="BF609" s="30" t="str">
        <f t="shared" si="71"/>
        <v/>
      </c>
      <c r="BG609" s="30" t="str">
        <f t="shared" si="72"/>
        <v/>
      </c>
    </row>
    <row r="610" spans="1:59">
      <c r="A610" s="39"/>
      <c r="B610" s="39"/>
      <c r="C610" s="39"/>
      <c r="D610" s="39"/>
      <c r="E610" s="39"/>
      <c r="F610" s="39"/>
      <c r="G610" s="39"/>
      <c r="H610" s="39"/>
      <c r="I610" s="40"/>
      <c r="J610" s="40"/>
      <c r="K610" s="35"/>
      <c r="L610" s="35"/>
      <c r="M610" s="35"/>
      <c r="N610" s="39"/>
      <c r="O610" s="39"/>
      <c r="P610" s="39"/>
      <c r="Q610" s="39"/>
      <c r="R610" s="39"/>
      <c r="S610" s="39"/>
      <c r="T610" s="39"/>
      <c r="U610" s="39"/>
      <c r="V610" s="39"/>
      <c r="W610" s="39"/>
      <c r="X610" s="39"/>
      <c r="Y610" s="39"/>
      <c r="Z610" s="39"/>
      <c r="AA610" s="39"/>
      <c r="AB610" s="39"/>
      <c r="AC610" s="39"/>
      <c r="AD610" s="39"/>
      <c r="AE610" s="39"/>
      <c r="AF610" s="39"/>
      <c r="AG610" s="39"/>
      <c r="AH610" s="39"/>
      <c r="AI610" s="35"/>
      <c r="AJ610" s="39"/>
      <c r="AK610" s="39"/>
      <c r="AL610" s="39"/>
      <c r="AM610" s="35"/>
      <c r="AN610" s="35"/>
      <c r="AO610" s="39"/>
      <c r="AP610" s="39"/>
      <c r="AQ610" s="35"/>
      <c r="AR610" s="35"/>
      <c r="AS610" s="35"/>
      <c r="AT610" s="30">
        <f t="shared" ca="1" si="68"/>
        <v>0</v>
      </c>
      <c r="AU610" s="32" t="str">
        <f t="shared" ca="1" si="67"/>
        <v/>
      </c>
      <c r="AV610" s="32" t="str" cm="1">
        <f t="array" aca="1" ref="AV610" ca="1">IFERROR(_xlfn.IFS($AU610="","",$AU610&lt;=15,"0-15",AND($AU610&gt;=16,$AU610&lt;=30),"16-30",AND($AU610&gt;=31,$AU610&lt;=45),"31-45",AND($AU610&gt;=46,$AU610&lt;=60),"46-60",AND($AU610&gt;=61,$AU610&lt;=90),"61-90",AND($AU610&gt;=91),"&gt; 90",AND($AU610&gt;=2000),""),"")</f>
        <v/>
      </c>
      <c r="AW610" s="32" t="str" cm="1">
        <f t="array" aca="1" ref="AW610" ca="1">IFERROR(_xlfn.IFS(OR($M610="",$AM610=""),"",OR($C610="Offered",$C610="Joined"),($AM610-$M610)-$AT610),"")</f>
        <v/>
      </c>
      <c r="AX610" s="32" t="str" cm="1">
        <f t="array" aca="1" ref="AX610" ca="1">IFERROR(_xlfn.IFS(OR($M610="",$AS610=""),"",$C610="Joined",($AS610-$M610)-$AT610),"")</f>
        <v/>
      </c>
      <c r="AY610" s="30" t="str">
        <f>IFERROR(IF(COUNTIFS('Candidate Tracker'!$E:$E,'Positions Tracker'!$B610,'Candidate Tracker'!$C:$C,"Offer Drop")=0,"",COUNTIFS('Candidate Tracker'!$E:$E,'Positions Tracker'!$B610,'Candidate Tracker'!$C:$C,"Offer Drop")),"")</f>
        <v/>
      </c>
      <c r="AZ6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0" s="34" t="str">
        <f>IFERROR(IF(COUNTIFS('Candidate Tracker'!$E:$E,'Positions Tracker'!$B610,'Candidate Tracker'!$I:$I,"Female")=0,"",COUNTIFS('Candidate Tracker'!$E:$E,'Positions Tracker'!$B610,'Candidate Tracker'!$I:$I,"Female")),"")</f>
        <v/>
      </c>
      <c r="BB610" s="34" t="str">
        <f>IFERROR(IF(COUNTIFS('Candidate Tracker'!$E:$E,'Positions Tracker'!$B610,'Candidate Tracker'!$I:$I,"male")=0,"",COUNTIFS('Candidate Tracker'!$E:$E,'Positions Tracker'!$B610,'Candidate Tracker'!$I:$I,"male")),"")</f>
        <v/>
      </c>
      <c r="BC610" s="33" t="str">
        <f>IFERROR(IF(COUNTIFS('Candidate Tracker'!$E:$E,'Positions Tracker'!$B610,'Candidate Tracker'!$C:$C,"&lt;&gt;WIP",'Candidate Tracker'!$C:$C,"&lt;&gt;Hold",'Candidate Tracker'!$C:$C,"&lt;&gt;Cancelled",'Candidate Tracker'!$C:$C,"&lt;&gt;Closed")/COUNTIFS('Candidate Tracker'!$E:$E,'Positions Tracker'!$B610)=0,"",COUNTIFS('Candidate Tracker'!$E:$E,'Positions Tracker'!$B610,'Candidate Tracker'!$C:$C,"&lt;&gt;WIP",'Candidate Tracker'!$C:$C,"&lt;&gt;Hold",'Candidate Tracker'!$C:$C,"&lt;&gt;Cancelled",'Candidate Tracker'!$C:$C,"&lt;&gt;Closed")/COUNTIFS('Candidate Tracker'!$E:$E,'Positions Tracker'!$B610)),"")</f>
        <v/>
      </c>
      <c r="BD610" s="30" t="str">
        <f t="shared" si="69"/>
        <v/>
      </c>
      <c r="BE610" s="30" t="str">
        <f t="shared" si="70"/>
        <v/>
      </c>
      <c r="BF610" s="30" t="str">
        <f t="shared" si="71"/>
        <v/>
      </c>
      <c r="BG610" s="30" t="str">
        <f t="shared" si="72"/>
        <v/>
      </c>
    </row>
    <row r="611" spans="1:59">
      <c r="A611" s="39"/>
      <c r="B611" s="39"/>
      <c r="C611" s="39"/>
      <c r="D611" s="39"/>
      <c r="E611" s="39"/>
      <c r="F611" s="39"/>
      <c r="G611" s="39"/>
      <c r="H611" s="39"/>
      <c r="I611" s="40"/>
      <c r="J611" s="40"/>
      <c r="K611" s="35"/>
      <c r="L611" s="35"/>
      <c r="M611" s="35"/>
      <c r="N611" s="39"/>
      <c r="O611" s="39"/>
      <c r="P611" s="39"/>
      <c r="Q611" s="39"/>
      <c r="R611" s="39"/>
      <c r="S611" s="39"/>
      <c r="T611" s="39"/>
      <c r="U611" s="39"/>
      <c r="V611" s="39"/>
      <c r="W611" s="39"/>
      <c r="X611" s="39"/>
      <c r="Y611" s="39"/>
      <c r="Z611" s="39"/>
      <c r="AA611" s="39"/>
      <c r="AB611" s="39"/>
      <c r="AC611" s="39"/>
      <c r="AD611" s="39"/>
      <c r="AE611" s="39"/>
      <c r="AF611" s="39"/>
      <c r="AG611" s="39"/>
      <c r="AH611" s="39"/>
      <c r="AI611" s="35"/>
      <c r="AJ611" s="39"/>
      <c r="AK611" s="39"/>
      <c r="AL611" s="39"/>
      <c r="AM611" s="35"/>
      <c r="AN611" s="35"/>
      <c r="AO611" s="39"/>
      <c r="AP611" s="39"/>
      <c r="AQ611" s="35"/>
      <c r="AR611" s="35"/>
      <c r="AS611" s="35"/>
      <c r="AT611" s="30">
        <f t="shared" ca="1" si="68"/>
        <v>0</v>
      </c>
      <c r="AU611" s="32" t="str">
        <f t="shared" ca="1" si="67"/>
        <v/>
      </c>
      <c r="AV611" s="32" t="str" cm="1">
        <f t="array" aca="1" ref="AV611" ca="1">IFERROR(_xlfn.IFS($AU611="","",$AU611&lt;=15,"0-15",AND($AU611&gt;=16,$AU611&lt;=30),"16-30",AND($AU611&gt;=31,$AU611&lt;=45),"31-45",AND($AU611&gt;=46,$AU611&lt;=60),"46-60",AND($AU611&gt;=61,$AU611&lt;=90),"61-90",AND($AU611&gt;=91),"&gt; 90",AND($AU611&gt;=2000),""),"")</f>
        <v/>
      </c>
      <c r="AW611" s="32" t="str" cm="1">
        <f t="array" aca="1" ref="AW611" ca="1">IFERROR(_xlfn.IFS(OR($M611="",$AM611=""),"",OR($C611="Offered",$C611="Joined"),($AM611-$M611)-$AT611),"")</f>
        <v/>
      </c>
      <c r="AX611" s="32" t="str" cm="1">
        <f t="array" aca="1" ref="AX611" ca="1">IFERROR(_xlfn.IFS(OR($M611="",$AS611=""),"",$C611="Joined",($AS611-$M611)-$AT611),"")</f>
        <v/>
      </c>
      <c r="AY611" s="30" t="str">
        <f>IFERROR(IF(COUNTIFS('Candidate Tracker'!$E:$E,'Positions Tracker'!$B611,'Candidate Tracker'!$C:$C,"Offer Drop")=0,"",COUNTIFS('Candidate Tracker'!$E:$E,'Positions Tracker'!$B611,'Candidate Tracker'!$C:$C,"Offer Drop")),"")</f>
        <v/>
      </c>
      <c r="AZ6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1" s="34" t="str">
        <f>IFERROR(IF(COUNTIFS('Candidate Tracker'!$E:$E,'Positions Tracker'!$B611,'Candidate Tracker'!$I:$I,"Female")=0,"",COUNTIFS('Candidate Tracker'!$E:$E,'Positions Tracker'!$B611,'Candidate Tracker'!$I:$I,"Female")),"")</f>
        <v/>
      </c>
      <c r="BB611" s="34" t="str">
        <f>IFERROR(IF(COUNTIFS('Candidate Tracker'!$E:$E,'Positions Tracker'!$B611,'Candidate Tracker'!$I:$I,"male")=0,"",COUNTIFS('Candidate Tracker'!$E:$E,'Positions Tracker'!$B611,'Candidate Tracker'!$I:$I,"male")),"")</f>
        <v/>
      </c>
      <c r="BC611" s="33" t="str">
        <f>IFERROR(IF(COUNTIFS('Candidate Tracker'!$E:$E,'Positions Tracker'!$B611,'Candidate Tracker'!$C:$C,"&lt;&gt;WIP",'Candidate Tracker'!$C:$C,"&lt;&gt;Hold",'Candidate Tracker'!$C:$C,"&lt;&gt;Cancelled",'Candidate Tracker'!$C:$C,"&lt;&gt;Closed")/COUNTIFS('Candidate Tracker'!$E:$E,'Positions Tracker'!$B611)=0,"",COUNTIFS('Candidate Tracker'!$E:$E,'Positions Tracker'!$B611,'Candidate Tracker'!$C:$C,"&lt;&gt;WIP",'Candidate Tracker'!$C:$C,"&lt;&gt;Hold",'Candidate Tracker'!$C:$C,"&lt;&gt;Cancelled",'Candidate Tracker'!$C:$C,"&lt;&gt;Closed")/COUNTIFS('Candidate Tracker'!$E:$E,'Positions Tracker'!$B611)),"")</f>
        <v/>
      </c>
      <c r="BD611" s="30" t="str">
        <f t="shared" si="69"/>
        <v/>
      </c>
      <c r="BE611" s="30" t="str">
        <f t="shared" si="70"/>
        <v/>
      </c>
      <c r="BF611" s="30" t="str">
        <f t="shared" si="71"/>
        <v/>
      </c>
      <c r="BG611" s="30" t="str">
        <f t="shared" si="72"/>
        <v/>
      </c>
    </row>
    <row r="612" spans="1:59">
      <c r="A612" s="39"/>
      <c r="B612" s="39"/>
      <c r="C612" s="39"/>
      <c r="D612" s="39"/>
      <c r="E612" s="39"/>
      <c r="F612" s="39"/>
      <c r="G612" s="39"/>
      <c r="H612" s="39"/>
      <c r="I612" s="40"/>
      <c r="J612" s="40"/>
      <c r="K612" s="35"/>
      <c r="L612" s="35"/>
      <c r="M612" s="35"/>
      <c r="N612" s="39"/>
      <c r="O612" s="39"/>
      <c r="P612" s="39"/>
      <c r="Q612" s="39"/>
      <c r="R612" s="39"/>
      <c r="S612" s="39"/>
      <c r="T612" s="39"/>
      <c r="U612" s="39"/>
      <c r="V612" s="39"/>
      <c r="W612" s="39"/>
      <c r="X612" s="39"/>
      <c r="Y612" s="39"/>
      <c r="Z612" s="39"/>
      <c r="AA612" s="39"/>
      <c r="AB612" s="39"/>
      <c r="AC612" s="39"/>
      <c r="AD612" s="39"/>
      <c r="AE612" s="39"/>
      <c r="AF612" s="39"/>
      <c r="AG612" s="39"/>
      <c r="AH612" s="39"/>
      <c r="AI612" s="35"/>
      <c r="AJ612" s="39"/>
      <c r="AK612" s="39"/>
      <c r="AL612" s="39"/>
      <c r="AM612" s="35"/>
      <c r="AN612" s="35"/>
      <c r="AO612" s="39"/>
      <c r="AP612" s="39"/>
      <c r="AQ612" s="35"/>
      <c r="AR612" s="35"/>
      <c r="AS612" s="35"/>
      <c r="AT612" s="30">
        <f t="shared" ca="1" si="68"/>
        <v>0</v>
      </c>
      <c r="AU612" s="32" t="str">
        <f t="shared" ca="1" si="67"/>
        <v/>
      </c>
      <c r="AV612" s="32" t="str" cm="1">
        <f t="array" aca="1" ref="AV612" ca="1">IFERROR(_xlfn.IFS($AU612="","",$AU612&lt;=15,"0-15",AND($AU612&gt;=16,$AU612&lt;=30),"16-30",AND($AU612&gt;=31,$AU612&lt;=45),"31-45",AND($AU612&gt;=46,$AU612&lt;=60),"46-60",AND($AU612&gt;=61,$AU612&lt;=90),"61-90",AND($AU612&gt;=91),"&gt; 90",AND($AU612&gt;=2000),""),"")</f>
        <v/>
      </c>
      <c r="AW612" s="32" t="str" cm="1">
        <f t="array" aca="1" ref="AW612" ca="1">IFERROR(_xlfn.IFS(OR($M612="",$AM612=""),"",OR($C612="Offered",$C612="Joined"),($AM612-$M612)-$AT612),"")</f>
        <v/>
      </c>
      <c r="AX612" s="32" t="str" cm="1">
        <f t="array" aca="1" ref="AX612" ca="1">IFERROR(_xlfn.IFS(OR($M612="",$AS612=""),"",$C612="Joined",($AS612-$M612)-$AT612),"")</f>
        <v/>
      </c>
      <c r="AY612" s="30" t="str">
        <f>IFERROR(IF(COUNTIFS('Candidate Tracker'!$E:$E,'Positions Tracker'!$B612,'Candidate Tracker'!$C:$C,"Offer Drop")=0,"",COUNTIFS('Candidate Tracker'!$E:$E,'Positions Tracker'!$B612,'Candidate Tracker'!$C:$C,"Offer Drop")),"")</f>
        <v/>
      </c>
      <c r="AZ6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2" s="34" t="str">
        <f>IFERROR(IF(COUNTIFS('Candidate Tracker'!$E:$E,'Positions Tracker'!$B612,'Candidate Tracker'!$I:$I,"Female")=0,"",COUNTIFS('Candidate Tracker'!$E:$E,'Positions Tracker'!$B612,'Candidate Tracker'!$I:$I,"Female")),"")</f>
        <v/>
      </c>
      <c r="BB612" s="34" t="str">
        <f>IFERROR(IF(COUNTIFS('Candidate Tracker'!$E:$E,'Positions Tracker'!$B612,'Candidate Tracker'!$I:$I,"male")=0,"",COUNTIFS('Candidate Tracker'!$E:$E,'Positions Tracker'!$B612,'Candidate Tracker'!$I:$I,"male")),"")</f>
        <v/>
      </c>
      <c r="BC612" s="33" t="str">
        <f>IFERROR(IF(COUNTIFS('Candidate Tracker'!$E:$E,'Positions Tracker'!$B612,'Candidate Tracker'!$C:$C,"&lt;&gt;WIP",'Candidate Tracker'!$C:$C,"&lt;&gt;Hold",'Candidate Tracker'!$C:$C,"&lt;&gt;Cancelled",'Candidate Tracker'!$C:$C,"&lt;&gt;Closed")/COUNTIFS('Candidate Tracker'!$E:$E,'Positions Tracker'!$B612)=0,"",COUNTIFS('Candidate Tracker'!$E:$E,'Positions Tracker'!$B612,'Candidate Tracker'!$C:$C,"&lt;&gt;WIP",'Candidate Tracker'!$C:$C,"&lt;&gt;Hold",'Candidate Tracker'!$C:$C,"&lt;&gt;Cancelled",'Candidate Tracker'!$C:$C,"&lt;&gt;Closed")/COUNTIFS('Candidate Tracker'!$E:$E,'Positions Tracker'!$B612)),"")</f>
        <v/>
      </c>
      <c r="BD612" s="30" t="str">
        <f t="shared" si="69"/>
        <v/>
      </c>
      <c r="BE612" s="30" t="str">
        <f t="shared" si="70"/>
        <v/>
      </c>
      <c r="BF612" s="30" t="str">
        <f t="shared" si="71"/>
        <v/>
      </c>
      <c r="BG612" s="30" t="str">
        <f t="shared" si="72"/>
        <v/>
      </c>
    </row>
    <row r="613" spans="1:59">
      <c r="A613" s="39"/>
      <c r="B613" s="39"/>
      <c r="C613" s="39"/>
      <c r="D613" s="39"/>
      <c r="E613" s="39"/>
      <c r="F613" s="39"/>
      <c r="G613" s="39"/>
      <c r="H613" s="39"/>
      <c r="I613" s="40"/>
      <c r="J613" s="40"/>
      <c r="K613" s="35"/>
      <c r="L613" s="35"/>
      <c r="M613" s="35"/>
      <c r="N613" s="39"/>
      <c r="O613" s="39"/>
      <c r="P613" s="39"/>
      <c r="Q613" s="39"/>
      <c r="R613" s="39"/>
      <c r="S613" s="39"/>
      <c r="T613" s="39"/>
      <c r="U613" s="39"/>
      <c r="V613" s="39"/>
      <c r="W613" s="39"/>
      <c r="X613" s="39"/>
      <c r="Y613" s="39"/>
      <c r="Z613" s="39"/>
      <c r="AA613" s="39"/>
      <c r="AB613" s="39"/>
      <c r="AC613" s="39"/>
      <c r="AD613" s="39"/>
      <c r="AE613" s="39"/>
      <c r="AF613" s="39"/>
      <c r="AG613" s="39"/>
      <c r="AH613" s="39"/>
      <c r="AI613" s="35"/>
      <c r="AJ613" s="39"/>
      <c r="AK613" s="39"/>
      <c r="AL613" s="39"/>
      <c r="AM613" s="35"/>
      <c r="AN613" s="35"/>
      <c r="AO613" s="39"/>
      <c r="AP613" s="39"/>
      <c r="AQ613" s="35"/>
      <c r="AR613" s="35"/>
      <c r="AS613" s="35"/>
      <c r="AT613" s="30">
        <f t="shared" ca="1" si="68"/>
        <v>0</v>
      </c>
      <c r="AU613" s="32" t="str">
        <f t="shared" ca="1" si="67"/>
        <v/>
      </c>
      <c r="AV613" s="32" t="str" cm="1">
        <f t="array" aca="1" ref="AV613" ca="1">IFERROR(_xlfn.IFS($AU613="","",$AU613&lt;=15,"0-15",AND($AU613&gt;=16,$AU613&lt;=30),"16-30",AND($AU613&gt;=31,$AU613&lt;=45),"31-45",AND($AU613&gt;=46,$AU613&lt;=60),"46-60",AND($AU613&gt;=61,$AU613&lt;=90),"61-90",AND($AU613&gt;=91),"&gt; 90",AND($AU613&gt;=2000),""),"")</f>
        <v/>
      </c>
      <c r="AW613" s="32" t="str" cm="1">
        <f t="array" aca="1" ref="AW613" ca="1">IFERROR(_xlfn.IFS(OR($M613="",$AM613=""),"",OR($C613="Offered",$C613="Joined"),($AM613-$M613)-$AT613),"")</f>
        <v/>
      </c>
      <c r="AX613" s="32" t="str" cm="1">
        <f t="array" aca="1" ref="AX613" ca="1">IFERROR(_xlfn.IFS(OR($M613="",$AS613=""),"",$C613="Joined",($AS613-$M613)-$AT613),"")</f>
        <v/>
      </c>
      <c r="AY613" s="30" t="str">
        <f>IFERROR(IF(COUNTIFS('Candidate Tracker'!$E:$E,'Positions Tracker'!$B613,'Candidate Tracker'!$C:$C,"Offer Drop")=0,"",COUNTIFS('Candidate Tracker'!$E:$E,'Positions Tracker'!$B613,'Candidate Tracker'!$C:$C,"Offer Drop")),"")</f>
        <v/>
      </c>
      <c r="AZ6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3" s="34" t="str">
        <f>IFERROR(IF(COUNTIFS('Candidate Tracker'!$E:$E,'Positions Tracker'!$B613,'Candidate Tracker'!$I:$I,"Female")=0,"",COUNTIFS('Candidate Tracker'!$E:$E,'Positions Tracker'!$B613,'Candidate Tracker'!$I:$I,"Female")),"")</f>
        <v/>
      </c>
      <c r="BB613" s="34" t="str">
        <f>IFERROR(IF(COUNTIFS('Candidate Tracker'!$E:$E,'Positions Tracker'!$B613,'Candidate Tracker'!$I:$I,"male")=0,"",COUNTIFS('Candidate Tracker'!$E:$E,'Positions Tracker'!$B613,'Candidate Tracker'!$I:$I,"male")),"")</f>
        <v/>
      </c>
      <c r="BC613" s="33" t="str">
        <f>IFERROR(IF(COUNTIFS('Candidate Tracker'!$E:$E,'Positions Tracker'!$B613,'Candidate Tracker'!$C:$C,"&lt;&gt;WIP",'Candidate Tracker'!$C:$C,"&lt;&gt;Hold",'Candidate Tracker'!$C:$C,"&lt;&gt;Cancelled",'Candidate Tracker'!$C:$C,"&lt;&gt;Closed")/COUNTIFS('Candidate Tracker'!$E:$E,'Positions Tracker'!$B613)=0,"",COUNTIFS('Candidate Tracker'!$E:$E,'Positions Tracker'!$B613,'Candidate Tracker'!$C:$C,"&lt;&gt;WIP",'Candidate Tracker'!$C:$C,"&lt;&gt;Hold",'Candidate Tracker'!$C:$C,"&lt;&gt;Cancelled",'Candidate Tracker'!$C:$C,"&lt;&gt;Closed")/COUNTIFS('Candidate Tracker'!$E:$E,'Positions Tracker'!$B613)),"")</f>
        <v/>
      </c>
      <c r="BD613" s="30" t="str">
        <f t="shared" si="69"/>
        <v/>
      </c>
      <c r="BE613" s="30" t="str">
        <f t="shared" si="70"/>
        <v/>
      </c>
      <c r="BF613" s="30" t="str">
        <f t="shared" si="71"/>
        <v/>
      </c>
      <c r="BG613" s="30" t="str">
        <f t="shared" si="72"/>
        <v/>
      </c>
    </row>
    <row r="614" spans="1:59">
      <c r="A614" s="39"/>
      <c r="B614" s="39"/>
      <c r="C614" s="39"/>
      <c r="D614" s="39"/>
      <c r="E614" s="39"/>
      <c r="F614" s="39"/>
      <c r="G614" s="39"/>
      <c r="H614" s="39"/>
      <c r="I614" s="40"/>
      <c r="J614" s="40"/>
      <c r="K614" s="35"/>
      <c r="L614" s="35"/>
      <c r="M614" s="35"/>
      <c r="N614" s="39"/>
      <c r="O614" s="39"/>
      <c r="P614" s="39"/>
      <c r="Q614" s="39"/>
      <c r="R614" s="39"/>
      <c r="S614" s="39"/>
      <c r="T614" s="39"/>
      <c r="U614" s="39"/>
      <c r="V614" s="39"/>
      <c r="W614" s="39"/>
      <c r="X614" s="39"/>
      <c r="Y614" s="39"/>
      <c r="Z614" s="39"/>
      <c r="AA614" s="39"/>
      <c r="AB614" s="39"/>
      <c r="AC614" s="39"/>
      <c r="AD614" s="39"/>
      <c r="AE614" s="39"/>
      <c r="AF614" s="39"/>
      <c r="AG614" s="39"/>
      <c r="AH614" s="39"/>
      <c r="AI614" s="35"/>
      <c r="AJ614" s="39"/>
      <c r="AK614" s="39"/>
      <c r="AL614" s="39"/>
      <c r="AM614" s="35"/>
      <c r="AN614" s="35"/>
      <c r="AO614" s="39"/>
      <c r="AP614" s="39"/>
      <c r="AQ614" s="35"/>
      <c r="AR614" s="35"/>
      <c r="AS614" s="35"/>
      <c r="AT614" s="30">
        <f t="shared" ca="1" si="68"/>
        <v>0</v>
      </c>
      <c r="AU614" s="32" t="str">
        <f t="shared" ca="1" si="67"/>
        <v/>
      </c>
      <c r="AV614" s="32" t="str" cm="1">
        <f t="array" aca="1" ref="AV614" ca="1">IFERROR(_xlfn.IFS($AU614="","",$AU614&lt;=15,"0-15",AND($AU614&gt;=16,$AU614&lt;=30),"16-30",AND($AU614&gt;=31,$AU614&lt;=45),"31-45",AND($AU614&gt;=46,$AU614&lt;=60),"46-60",AND($AU614&gt;=61,$AU614&lt;=90),"61-90",AND($AU614&gt;=91),"&gt; 90",AND($AU614&gt;=2000),""),"")</f>
        <v/>
      </c>
      <c r="AW614" s="32" t="str" cm="1">
        <f t="array" aca="1" ref="AW614" ca="1">IFERROR(_xlfn.IFS(OR($M614="",$AM614=""),"",OR($C614="Offered",$C614="Joined"),($AM614-$M614)-$AT614),"")</f>
        <v/>
      </c>
      <c r="AX614" s="32" t="str" cm="1">
        <f t="array" aca="1" ref="AX614" ca="1">IFERROR(_xlfn.IFS(OR($M614="",$AS614=""),"",$C614="Joined",($AS614-$M614)-$AT614),"")</f>
        <v/>
      </c>
      <c r="AY614" s="30" t="str">
        <f>IFERROR(IF(COUNTIFS('Candidate Tracker'!$E:$E,'Positions Tracker'!$B614,'Candidate Tracker'!$C:$C,"Offer Drop")=0,"",COUNTIFS('Candidate Tracker'!$E:$E,'Positions Tracker'!$B614,'Candidate Tracker'!$C:$C,"Offer Drop")),"")</f>
        <v/>
      </c>
      <c r="AZ6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4" s="34" t="str">
        <f>IFERROR(IF(COUNTIFS('Candidate Tracker'!$E:$E,'Positions Tracker'!$B614,'Candidate Tracker'!$I:$I,"Female")=0,"",COUNTIFS('Candidate Tracker'!$E:$E,'Positions Tracker'!$B614,'Candidate Tracker'!$I:$I,"Female")),"")</f>
        <v/>
      </c>
      <c r="BB614" s="34" t="str">
        <f>IFERROR(IF(COUNTIFS('Candidate Tracker'!$E:$E,'Positions Tracker'!$B614,'Candidate Tracker'!$I:$I,"male")=0,"",COUNTIFS('Candidate Tracker'!$E:$E,'Positions Tracker'!$B614,'Candidate Tracker'!$I:$I,"male")),"")</f>
        <v/>
      </c>
      <c r="BC614" s="33" t="str">
        <f>IFERROR(IF(COUNTIFS('Candidate Tracker'!$E:$E,'Positions Tracker'!$B614,'Candidate Tracker'!$C:$C,"&lt;&gt;WIP",'Candidate Tracker'!$C:$C,"&lt;&gt;Hold",'Candidate Tracker'!$C:$C,"&lt;&gt;Cancelled",'Candidate Tracker'!$C:$C,"&lt;&gt;Closed")/COUNTIFS('Candidate Tracker'!$E:$E,'Positions Tracker'!$B614)=0,"",COUNTIFS('Candidate Tracker'!$E:$E,'Positions Tracker'!$B614,'Candidate Tracker'!$C:$C,"&lt;&gt;WIP",'Candidate Tracker'!$C:$C,"&lt;&gt;Hold",'Candidate Tracker'!$C:$C,"&lt;&gt;Cancelled",'Candidate Tracker'!$C:$C,"&lt;&gt;Closed")/COUNTIFS('Candidate Tracker'!$E:$E,'Positions Tracker'!$B614)),"")</f>
        <v/>
      </c>
      <c r="BD614" s="30" t="str">
        <f t="shared" si="69"/>
        <v/>
      </c>
      <c r="BE614" s="30" t="str">
        <f t="shared" si="70"/>
        <v/>
      </c>
      <c r="BF614" s="30" t="str">
        <f t="shared" si="71"/>
        <v/>
      </c>
      <c r="BG614" s="30" t="str">
        <f t="shared" si="72"/>
        <v/>
      </c>
    </row>
    <row r="615" spans="1:59">
      <c r="A615" s="39"/>
      <c r="B615" s="39"/>
      <c r="C615" s="39"/>
      <c r="D615" s="39"/>
      <c r="E615" s="39"/>
      <c r="F615" s="39"/>
      <c r="G615" s="39"/>
      <c r="H615" s="39"/>
      <c r="I615" s="40"/>
      <c r="J615" s="40"/>
      <c r="K615" s="35"/>
      <c r="L615" s="35"/>
      <c r="M615" s="35"/>
      <c r="N615" s="39"/>
      <c r="O615" s="39"/>
      <c r="P615" s="39"/>
      <c r="Q615" s="39"/>
      <c r="R615" s="39"/>
      <c r="S615" s="39"/>
      <c r="T615" s="39"/>
      <c r="U615" s="39"/>
      <c r="V615" s="39"/>
      <c r="W615" s="39"/>
      <c r="X615" s="39"/>
      <c r="Y615" s="39"/>
      <c r="Z615" s="39"/>
      <c r="AA615" s="39"/>
      <c r="AB615" s="39"/>
      <c r="AC615" s="39"/>
      <c r="AD615" s="39"/>
      <c r="AE615" s="39"/>
      <c r="AF615" s="39"/>
      <c r="AG615" s="39"/>
      <c r="AH615" s="39"/>
      <c r="AI615" s="35"/>
      <c r="AJ615" s="39"/>
      <c r="AK615" s="39"/>
      <c r="AL615" s="39"/>
      <c r="AM615" s="35"/>
      <c r="AN615" s="35"/>
      <c r="AO615" s="39"/>
      <c r="AP615" s="39"/>
      <c r="AQ615" s="35"/>
      <c r="AR615" s="35"/>
      <c r="AS615" s="35"/>
      <c r="AT615" s="30">
        <f t="shared" ca="1" si="68"/>
        <v>0</v>
      </c>
      <c r="AU615" s="32" t="str">
        <f t="shared" ca="1" si="67"/>
        <v/>
      </c>
      <c r="AV615" s="32" t="str" cm="1">
        <f t="array" aca="1" ref="AV615" ca="1">IFERROR(_xlfn.IFS($AU615="","",$AU615&lt;=15,"0-15",AND($AU615&gt;=16,$AU615&lt;=30),"16-30",AND($AU615&gt;=31,$AU615&lt;=45),"31-45",AND($AU615&gt;=46,$AU615&lt;=60),"46-60",AND($AU615&gt;=61,$AU615&lt;=90),"61-90",AND($AU615&gt;=91),"&gt; 90",AND($AU615&gt;=2000),""),"")</f>
        <v/>
      </c>
      <c r="AW615" s="32" t="str" cm="1">
        <f t="array" aca="1" ref="AW615" ca="1">IFERROR(_xlfn.IFS(OR($M615="",$AM615=""),"",OR($C615="Offered",$C615="Joined"),($AM615-$M615)-$AT615),"")</f>
        <v/>
      </c>
      <c r="AX615" s="32" t="str" cm="1">
        <f t="array" aca="1" ref="AX615" ca="1">IFERROR(_xlfn.IFS(OR($M615="",$AS615=""),"",$C615="Joined",($AS615-$M615)-$AT615),"")</f>
        <v/>
      </c>
      <c r="AY615" s="30" t="str">
        <f>IFERROR(IF(COUNTIFS('Candidate Tracker'!$E:$E,'Positions Tracker'!$B615,'Candidate Tracker'!$C:$C,"Offer Drop")=0,"",COUNTIFS('Candidate Tracker'!$E:$E,'Positions Tracker'!$B615,'Candidate Tracker'!$C:$C,"Offer Drop")),"")</f>
        <v/>
      </c>
      <c r="AZ6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5" s="34" t="str">
        <f>IFERROR(IF(COUNTIFS('Candidate Tracker'!$E:$E,'Positions Tracker'!$B615,'Candidate Tracker'!$I:$I,"Female")=0,"",COUNTIFS('Candidate Tracker'!$E:$E,'Positions Tracker'!$B615,'Candidate Tracker'!$I:$I,"Female")),"")</f>
        <v/>
      </c>
      <c r="BB615" s="34" t="str">
        <f>IFERROR(IF(COUNTIFS('Candidate Tracker'!$E:$E,'Positions Tracker'!$B615,'Candidate Tracker'!$I:$I,"male")=0,"",COUNTIFS('Candidate Tracker'!$E:$E,'Positions Tracker'!$B615,'Candidate Tracker'!$I:$I,"male")),"")</f>
        <v/>
      </c>
      <c r="BC615" s="33" t="str">
        <f>IFERROR(IF(COUNTIFS('Candidate Tracker'!$E:$E,'Positions Tracker'!$B615,'Candidate Tracker'!$C:$C,"&lt;&gt;WIP",'Candidate Tracker'!$C:$C,"&lt;&gt;Hold",'Candidate Tracker'!$C:$C,"&lt;&gt;Cancelled",'Candidate Tracker'!$C:$C,"&lt;&gt;Closed")/COUNTIFS('Candidate Tracker'!$E:$E,'Positions Tracker'!$B615)=0,"",COUNTIFS('Candidate Tracker'!$E:$E,'Positions Tracker'!$B615,'Candidate Tracker'!$C:$C,"&lt;&gt;WIP",'Candidate Tracker'!$C:$C,"&lt;&gt;Hold",'Candidate Tracker'!$C:$C,"&lt;&gt;Cancelled",'Candidate Tracker'!$C:$C,"&lt;&gt;Closed")/COUNTIFS('Candidate Tracker'!$E:$E,'Positions Tracker'!$B615)),"")</f>
        <v/>
      </c>
      <c r="BD615" s="30" t="str">
        <f t="shared" si="69"/>
        <v/>
      </c>
      <c r="BE615" s="30" t="str">
        <f t="shared" si="70"/>
        <v/>
      </c>
      <c r="BF615" s="30" t="str">
        <f t="shared" si="71"/>
        <v/>
      </c>
      <c r="BG615" s="30" t="str">
        <f t="shared" si="72"/>
        <v/>
      </c>
    </row>
    <row r="616" spans="1:59">
      <c r="A616" s="39"/>
      <c r="B616" s="39"/>
      <c r="C616" s="39"/>
      <c r="D616" s="39"/>
      <c r="E616" s="39"/>
      <c r="F616" s="39"/>
      <c r="G616" s="39"/>
      <c r="H616" s="39"/>
      <c r="I616" s="40"/>
      <c r="J616" s="40"/>
      <c r="K616" s="35"/>
      <c r="L616" s="35"/>
      <c r="M616" s="35"/>
      <c r="N616" s="39"/>
      <c r="O616" s="39"/>
      <c r="P616" s="39"/>
      <c r="Q616" s="39"/>
      <c r="R616" s="39"/>
      <c r="S616" s="39"/>
      <c r="T616" s="39"/>
      <c r="U616" s="39"/>
      <c r="V616" s="39"/>
      <c r="W616" s="39"/>
      <c r="X616" s="39"/>
      <c r="Y616" s="39"/>
      <c r="Z616" s="39"/>
      <c r="AA616" s="39"/>
      <c r="AB616" s="39"/>
      <c r="AC616" s="39"/>
      <c r="AD616" s="39"/>
      <c r="AE616" s="39"/>
      <c r="AF616" s="39"/>
      <c r="AG616" s="39"/>
      <c r="AH616" s="39"/>
      <c r="AI616" s="35"/>
      <c r="AJ616" s="39"/>
      <c r="AK616" s="39"/>
      <c r="AL616" s="39"/>
      <c r="AM616" s="35"/>
      <c r="AN616" s="35"/>
      <c r="AO616" s="39"/>
      <c r="AP616" s="39"/>
      <c r="AQ616" s="35"/>
      <c r="AR616" s="35"/>
      <c r="AS616" s="35"/>
      <c r="AT616" s="30">
        <f t="shared" ca="1" si="68"/>
        <v>0</v>
      </c>
      <c r="AU616" s="32" t="str">
        <f t="shared" ca="1" si="67"/>
        <v/>
      </c>
      <c r="AV616" s="32" t="str" cm="1">
        <f t="array" aca="1" ref="AV616" ca="1">IFERROR(_xlfn.IFS($AU616="","",$AU616&lt;=15,"0-15",AND($AU616&gt;=16,$AU616&lt;=30),"16-30",AND($AU616&gt;=31,$AU616&lt;=45),"31-45",AND($AU616&gt;=46,$AU616&lt;=60),"46-60",AND($AU616&gt;=61,$AU616&lt;=90),"61-90",AND($AU616&gt;=91),"&gt; 90",AND($AU616&gt;=2000),""),"")</f>
        <v/>
      </c>
      <c r="AW616" s="32" t="str" cm="1">
        <f t="array" aca="1" ref="AW616" ca="1">IFERROR(_xlfn.IFS(OR($M616="",$AM616=""),"",OR($C616="Offered",$C616="Joined"),($AM616-$M616)-$AT616),"")</f>
        <v/>
      </c>
      <c r="AX616" s="32" t="str" cm="1">
        <f t="array" aca="1" ref="AX616" ca="1">IFERROR(_xlfn.IFS(OR($M616="",$AS616=""),"",$C616="Joined",($AS616-$M616)-$AT616),"")</f>
        <v/>
      </c>
      <c r="AY616" s="30" t="str">
        <f>IFERROR(IF(COUNTIFS('Candidate Tracker'!$E:$E,'Positions Tracker'!$B616,'Candidate Tracker'!$C:$C,"Offer Drop")=0,"",COUNTIFS('Candidate Tracker'!$E:$E,'Positions Tracker'!$B616,'Candidate Tracker'!$C:$C,"Offer Drop")),"")</f>
        <v/>
      </c>
      <c r="AZ6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6" s="34" t="str">
        <f>IFERROR(IF(COUNTIFS('Candidate Tracker'!$E:$E,'Positions Tracker'!$B616,'Candidate Tracker'!$I:$I,"Female")=0,"",COUNTIFS('Candidate Tracker'!$E:$E,'Positions Tracker'!$B616,'Candidate Tracker'!$I:$I,"Female")),"")</f>
        <v/>
      </c>
      <c r="BB616" s="34" t="str">
        <f>IFERROR(IF(COUNTIFS('Candidate Tracker'!$E:$E,'Positions Tracker'!$B616,'Candidate Tracker'!$I:$I,"male")=0,"",COUNTIFS('Candidate Tracker'!$E:$E,'Positions Tracker'!$B616,'Candidate Tracker'!$I:$I,"male")),"")</f>
        <v/>
      </c>
      <c r="BC616" s="33" t="str">
        <f>IFERROR(IF(COUNTIFS('Candidate Tracker'!$E:$E,'Positions Tracker'!$B616,'Candidate Tracker'!$C:$C,"&lt;&gt;WIP",'Candidate Tracker'!$C:$C,"&lt;&gt;Hold",'Candidate Tracker'!$C:$C,"&lt;&gt;Cancelled",'Candidate Tracker'!$C:$C,"&lt;&gt;Closed")/COUNTIFS('Candidate Tracker'!$E:$E,'Positions Tracker'!$B616)=0,"",COUNTIFS('Candidate Tracker'!$E:$E,'Positions Tracker'!$B616,'Candidate Tracker'!$C:$C,"&lt;&gt;WIP",'Candidate Tracker'!$C:$C,"&lt;&gt;Hold",'Candidate Tracker'!$C:$C,"&lt;&gt;Cancelled",'Candidate Tracker'!$C:$C,"&lt;&gt;Closed")/COUNTIFS('Candidate Tracker'!$E:$E,'Positions Tracker'!$B616)),"")</f>
        <v/>
      </c>
      <c r="BD616" s="30" t="str">
        <f t="shared" si="69"/>
        <v/>
      </c>
      <c r="BE616" s="30" t="str">
        <f t="shared" si="70"/>
        <v/>
      </c>
      <c r="BF616" s="30" t="str">
        <f t="shared" si="71"/>
        <v/>
      </c>
      <c r="BG616" s="30" t="str">
        <f t="shared" si="72"/>
        <v/>
      </c>
    </row>
    <row r="617" spans="1:59">
      <c r="A617" s="39"/>
      <c r="B617" s="39"/>
      <c r="C617" s="39"/>
      <c r="D617" s="39"/>
      <c r="E617" s="39"/>
      <c r="F617" s="39"/>
      <c r="G617" s="39"/>
      <c r="H617" s="39"/>
      <c r="I617" s="40"/>
      <c r="J617" s="40"/>
      <c r="K617" s="35"/>
      <c r="L617" s="35"/>
      <c r="M617" s="35"/>
      <c r="N617" s="39"/>
      <c r="O617" s="39"/>
      <c r="P617" s="39"/>
      <c r="Q617" s="39"/>
      <c r="R617" s="39"/>
      <c r="S617" s="39"/>
      <c r="T617" s="39"/>
      <c r="U617" s="39"/>
      <c r="V617" s="39"/>
      <c r="W617" s="39"/>
      <c r="X617" s="39"/>
      <c r="Y617" s="39"/>
      <c r="Z617" s="39"/>
      <c r="AA617" s="39"/>
      <c r="AB617" s="39"/>
      <c r="AC617" s="39"/>
      <c r="AD617" s="39"/>
      <c r="AE617" s="39"/>
      <c r="AF617" s="39"/>
      <c r="AG617" s="39"/>
      <c r="AH617" s="39"/>
      <c r="AI617" s="35"/>
      <c r="AJ617" s="39"/>
      <c r="AK617" s="39"/>
      <c r="AL617" s="39"/>
      <c r="AM617" s="35"/>
      <c r="AN617" s="35"/>
      <c r="AO617" s="39"/>
      <c r="AP617" s="39"/>
      <c r="AQ617" s="35"/>
      <c r="AR617" s="35"/>
      <c r="AS617" s="35"/>
      <c r="AT617" s="30">
        <f t="shared" ca="1" si="68"/>
        <v>0</v>
      </c>
      <c r="AU617" s="32" t="str">
        <f t="shared" ca="1" si="67"/>
        <v/>
      </c>
      <c r="AV617" s="32" t="str" cm="1">
        <f t="array" aca="1" ref="AV617" ca="1">IFERROR(_xlfn.IFS($AU617="","",$AU617&lt;=15,"0-15",AND($AU617&gt;=16,$AU617&lt;=30),"16-30",AND($AU617&gt;=31,$AU617&lt;=45),"31-45",AND($AU617&gt;=46,$AU617&lt;=60),"46-60",AND($AU617&gt;=61,$AU617&lt;=90),"61-90",AND($AU617&gt;=91),"&gt; 90",AND($AU617&gt;=2000),""),"")</f>
        <v/>
      </c>
      <c r="AW617" s="32" t="str" cm="1">
        <f t="array" aca="1" ref="AW617" ca="1">IFERROR(_xlfn.IFS(OR($M617="",$AM617=""),"",OR($C617="Offered",$C617="Joined"),($AM617-$M617)-$AT617),"")</f>
        <v/>
      </c>
      <c r="AX617" s="32" t="str" cm="1">
        <f t="array" aca="1" ref="AX617" ca="1">IFERROR(_xlfn.IFS(OR($M617="",$AS617=""),"",$C617="Joined",($AS617-$M617)-$AT617),"")</f>
        <v/>
      </c>
      <c r="AY617" s="30" t="str">
        <f>IFERROR(IF(COUNTIFS('Candidate Tracker'!$E:$E,'Positions Tracker'!$B617,'Candidate Tracker'!$C:$C,"Offer Drop")=0,"",COUNTIFS('Candidate Tracker'!$E:$E,'Positions Tracker'!$B617,'Candidate Tracker'!$C:$C,"Offer Drop")),"")</f>
        <v/>
      </c>
      <c r="AZ6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7" s="34" t="str">
        <f>IFERROR(IF(COUNTIFS('Candidate Tracker'!$E:$E,'Positions Tracker'!$B617,'Candidate Tracker'!$I:$I,"Female")=0,"",COUNTIFS('Candidate Tracker'!$E:$E,'Positions Tracker'!$B617,'Candidate Tracker'!$I:$I,"Female")),"")</f>
        <v/>
      </c>
      <c r="BB617" s="34" t="str">
        <f>IFERROR(IF(COUNTIFS('Candidate Tracker'!$E:$E,'Positions Tracker'!$B617,'Candidate Tracker'!$I:$I,"male")=0,"",COUNTIFS('Candidate Tracker'!$E:$E,'Positions Tracker'!$B617,'Candidate Tracker'!$I:$I,"male")),"")</f>
        <v/>
      </c>
      <c r="BC617" s="33" t="str">
        <f>IFERROR(IF(COUNTIFS('Candidate Tracker'!$E:$E,'Positions Tracker'!$B617,'Candidate Tracker'!$C:$C,"&lt;&gt;WIP",'Candidate Tracker'!$C:$C,"&lt;&gt;Hold",'Candidate Tracker'!$C:$C,"&lt;&gt;Cancelled",'Candidate Tracker'!$C:$C,"&lt;&gt;Closed")/COUNTIFS('Candidate Tracker'!$E:$E,'Positions Tracker'!$B617)=0,"",COUNTIFS('Candidate Tracker'!$E:$E,'Positions Tracker'!$B617,'Candidate Tracker'!$C:$C,"&lt;&gt;WIP",'Candidate Tracker'!$C:$C,"&lt;&gt;Hold",'Candidate Tracker'!$C:$C,"&lt;&gt;Cancelled",'Candidate Tracker'!$C:$C,"&lt;&gt;Closed")/COUNTIFS('Candidate Tracker'!$E:$E,'Positions Tracker'!$B617)),"")</f>
        <v/>
      </c>
      <c r="BD617" s="30" t="str">
        <f t="shared" si="69"/>
        <v/>
      </c>
      <c r="BE617" s="30" t="str">
        <f t="shared" si="70"/>
        <v/>
      </c>
      <c r="BF617" s="30" t="str">
        <f t="shared" si="71"/>
        <v/>
      </c>
      <c r="BG617" s="30" t="str">
        <f t="shared" si="72"/>
        <v/>
      </c>
    </row>
    <row r="618" spans="1:59">
      <c r="A618" s="39"/>
      <c r="B618" s="39"/>
      <c r="C618" s="39"/>
      <c r="D618" s="39"/>
      <c r="E618" s="39"/>
      <c r="F618" s="39"/>
      <c r="G618" s="39"/>
      <c r="H618" s="39"/>
      <c r="I618" s="40"/>
      <c r="J618" s="40"/>
      <c r="K618" s="35"/>
      <c r="L618" s="35"/>
      <c r="M618" s="35"/>
      <c r="N618" s="39"/>
      <c r="O618" s="39"/>
      <c r="P618" s="39"/>
      <c r="Q618" s="39"/>
      <c r="R618" s="39"/>
      <c r="S618" s="39"/>
      <c r="T618" s="39"/>
      <c r="U618" s="39"/>
      <c r="V618" s="39"/>
      <c r="W618" s="39"/>
      <c r="X618" s="39"/>
      <c r="Y618" s="39"/>
      <c r="Z618" s="39"/>
      <c r="AA618" s="39"/>
      <c r="AB618" s="39"/>
      <c r="AC618" s="39"/>
      <c r="AD618" s="39"/>
      <c r="AE618" s="39"/>
      <c r="AF618" s="39"/>
      <c r="AG618" s="39"/>
      <c r="AH618" s="39"/>
      <c r="AI618" s="35"/>
      <c r="AJ618" s="39"/>
      <c r="AK618" s="39"/>
      <c r="AL618" s="39"/>
      <c r="AM618" s="35"/>
      <c r="AN618" s="35"/>
      <c r="AO618" s="39"/>
      <c r="AP618" s="39"/>
      <c r="AQ618" s="35"/>
      <c r="AR618" s="35"/>
      <c r="AS618" s="35"/>
      <c r="AT618" s="30">
        <f t="shared" ca="1" si="68"/>
        <v>0</v>
      </c>
      <c r="AU618" s="32" t="str">
        <f t="shared" ca="1" si="67"/>
        <v/>
      </c>
      <c r="AV618" s="32" t="str" cm="1">
        <f t="array" aca="1" ref="AV618" ca="1">IFERROR(_xlfn.IFS($AU618="","",$AU618&lt;=15,"0-15",AND($AU618&gt;=16,$AU618&lt;=30),"16-30",AND($AU618&gt;=31,$AU618&lt;=45),"31-45",AND($AU618&gt;=46,$AU618&lt;=60),"46-60",AND($AU618&gt;=61,$AU618&lt;=90),"61-90",AND($AU618&gt;=91),"&gt; 90",AND($AU618&gt;=2000),""),"")</f>
        <v/>
      </c>
      <c r="AW618" s="32" t="str" cm="1">
        <f t="array" aca="1" ref="AW618" ca="1">IFERROR(_xlfn.IFS(OR($M618="",$AM618=""),"",OR($C618="Offered",$C618="Joined"),($AM618-$M618)-$AT618),"")</f>
        <v/>
      </c>
      <c r="AX618" s="32" t="str" cm="1">
        <f t="array" aca="1" ref="AX618" ca="1">IFERROR(_xlfn.IFS(OR($M618="",$AS618=""),"",$C618="Joined",($AS618-$M618)-$AT618),"")</f>
        <v/>
      </c>
      <c r="AY618" s="30" t="str">
        <f>IFERROR(IF(COUNTIFS('Candidate Tracker'!$E:$E,'Positions Tracker'!$B618,'Candidate Tracker'!$C:$C,"Offer Drop")=0,"",COUNTIFS('Candidate Tracker'!$E:$E,'Positions Tracker'!$B618,'Candidate Tracker'!$C:$C,"Offer Drop")),"")</f>
        <v/>
      </c>
      <c r="AZ6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8" s="34" t="str">
        <f>IFERROR(IF(COUNTIFS('Candidate Tracker'!$E:$E,'Positions Tracker'!$B618,'Candidate Tracker'!$I:$I,"Female")=0,"",COUNTIFS('Candidate Tracker'!$E:$E,'Positions Tracker'!$B618,'Candidate Tracker'!$I:$I,"Female")),"")</f>
        <v/>
      </c>
      <c r="BB618" s="34" t="str">
        <f>IFERROR(IF(COUNTIFS('Candidate Tracker'!$E:$E,'Positions Tracker'!$B618,'Candidate Tracker'!$I:$I,"male")=0,"",COUNTIFS('Candidate Tracker'!$E:$E,'Positions Tracker'!$B618,'Candidate Tracker'!$I:$I,"male")),"")</f>
        <v/>
      </c>
      <c r="BC618" s="33" t="str">
        <f>IFERROR(IF(COUNTIFS('Candidate Tracker'!$E:$E,'Positions Tracker'!$B618,'Candidate Tracker'!$C:$C,"&lt;&gt;WIP",'Candidate Tracker'!$C:$C,"&lt;&gt;Hold",'Candidate Tracker'!$C:$C,"&lt;&gt;Cancelled",'Candidate Tracker'!$C:$C,"&lt;&gt;Closed")/COUNTIFS('Candidate Tracker'!$E:$E,'Positions Tracker'!$B618)=0,"",COUNTIFS('Candidate Tracker'!$E:$E,'Positions Tracker'!$B618,'Candidate Tracker'!$C:$C,"&lt;&gt;WIP",'Candidate Tracker'!$C:$C,"&lt;&gt;Hold",'Candidate Tracker'!$C:$C,"&lt;&gt;Cancelled",'Candidate Tracker'!$C:$C,"&lt;&gt;Closed")/COUNTIFS('Candidate Tracker'!$E:$E,'Positions Tracker'!$B618)),"")</f>
        <v/>
      </c>
      <c r="BD618" s="30" t="str">
        <f t="shared" si="69"/>
        <v/>
      </c>
      <c r="BE618" s="30" t="str">
        <f t="shared" si="70"/>
        <v/>
      </c>
      <c r="BF618" s="30" t="str">
        <f t="shared" si="71"/>
        <v/>
      </c>
      <c r="BG618" s="30" t="str">
        <f t="shared" si="72"/>
        <v/>
      </c>
    </row>
    <row r="619" spans="1:59">
      <c r="A619" s="39"/>
      <c r="B619" s="39"/>
      <c r="C619" s="39"/>
      <c r="D619" s="39"/>
      <c r="E619" s="39"/>
      <c r="F619" s="39"/>
      <c r="G619" s="39"/>
      <c r="H619" s="39"/>
      <c r="I619" s="40"/>
      <c r="J619" s="40"/>
      <c r="K619" s="35"/>
      <c r="L619" s="35"/>
      <c r="M619" s="35"/>
      <c r="N619" s="39"/>
      <c r="O619" s="39"/>
      <c r="P619" s="39"/>
      <c r="Q619" s="39"/>
      <c r="R619" s="39"/>
      <c r="S619" s="39"/>
      <c r="T619" s="39"/>
      <c r="U619" s="39"/>
      <c r="V619" s="39"/>
      <c r="W619" s="39"/>
      <c r="X619" s="39"/>
      <c r="Y619" s="39"/>
      <c r="Z619" s="39"/>
      <c r="AA619" s="39"/>
      <c r="AB619" s="39"/>
      <c r="AC619" s="39"/>
      <c r="AD619" s="39"/>
      <c r="AE619" s="39"/>
      <c r="AF619" s="39"/>
      <c r="AG619" s="39"/>
      <c r="AH619" s="39"/>
      <c r="AI619" s="35"/>
      <c r="AJ619" s="39"/>
      <c r="AK619" s="39"/>
      <c r="AL619" s="39"/>
      <c r="AM619" s="35"/>
      <c r="AN619" s="35"/>
      <c r="AO619" s="39"/>
      <c r="AP619" s="39"/>
      <c r="AQ619" s="35"/>
      <c r="AR619" s="35"/>
      <c r="AS619" s="35"/>
      <c r="AT619" s="30">
        <f t="shared" ca="1" si="68"/>
        <v>0</v>
      </c>
      <c r="AU619" s="32" t="str">
        <f t="shared" ca="1" si="67"/>
        <v/>
      </c>
      <c r="AV619" s="32" t="str" cm="1">
        <f t="array" aca="1" ref="AV619" ca="1">IFERROR(_xlfn.IFS($AU619="","",$AU619&lt;=15,"0-15",AND($AU619&gt;=16,$AU619&lt;=30),"16-30",AND($AU619&gt;=31,$AU619&lt;=45),"31-45",AND($AU619&gt;=46,$AU619&lt;=60),"46-60",AND($AU619&gt;=61,$AU619&lt;=90),"61-90",AND($AU619&gt;=91),"&gt; 90",AND($AU619&gt;=2000),""),"")</f>
        <v/>
      </c>
      <c r="AW619" s="32" t="str" cm="1">
        <f t="array" aca="1" ref="AW619" ca="1">IFERROR(_xlfn.IFS(OR($M619="",$AM619=""),"",OR($C619="Offered",$C619="Joined"),($AM619-$M619)-$AT619),"")</f>
        <v/>
      </c>
      <c r="AX619" s="32" t="str" cm="1">
        <f t="array" aca="1" ref="AX619" ca="1">IFERROR(_xlfn.IFS(OR($M619="",$AS619=""),"",$C619="Joined",($AS619-$M619)-$AT619),"")</f>
        <v/>
      </c>
      <c r="AY619" s="30" t="str">
        <f>IFERROR(IF(COUNTIFS('Candidate Tracker'!$E:$E,'Positions Tracker'!$B619,'Candidate Tracker'!$C:$C,"Offer Drop")=0,"",COUNTIFS('Candidate Tracker'!$E:$E,'Positions Tracker'!$B619,'Candidate Tracker'!$C:$C,"Offer Drop")),"")</f>
        <v/>
      </c>
      <c r="AZ6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19" s="34" t="str">
        <f>IFERROR(IF(COUNTIFS('Candidate Tracker'!$E:$E,'Positions Tracker'!$B619,'Candidate Tracker'!$I:$I,"Female")=0,"",COUNTIFS('Candidate Tracker'!$E:$E,'Positions Tracker'!$B619,'Candidate Tracker'!$I:$I,"Female")),"")</f>
        <v/>
      </c>
      <c r="BB619" s="34" t="str">
        <f>IFERROR(IF(COUNTIFS('Candidate Tracker'!$E:$E,'Positions Tracker'!$B619,'Candidate Tracker'!$I:$I,"male")=0,"",COUNTIFS('Candidate Tracker'!$E:$E,'Positions Tracker'!$B619,'Candidate Tracker'!$I:$I,"male")),"")</f>
        <v/>
      </c>
      <c r="BC619" s="33" t="str">
        <f>IFERROR(IF(COUNTIFS('Candidate Tracker'!$E:$E,'Positions Tracker'!$B619,'Candidate Tracker'!$C:$C,"&lt;&gt;WIP",'Candidate Tracker'!$C:$C,"&lt;&gt;Hold",'Candidate Tracker'!$C:$C,"&lt;&gt;Cancelled",'Candidate Tracker'!$C:$C,"&lt;&gt;Closed")/COUNTIFS('Candidate Tracker'!$E:$E,'Positions Tracker'!$B619)=0,"",COUNTIFS('Candidate Tracker'!$E:$E,'Positions Tracker'!$B619,'Candidate Tracker'!$C:$C,"&lt;&gt;WIP",'Candidate Tracker'!$C:$C,"&lt;&gt;Hold",'Candidate Tracker'!$C:$C,"&lt;&gt;Cancelled",'Candidate Tracker'!$C:$C,"&lt;&gt;Closed")/COUNTIFS('Candidate Tracker'!$E:$E,'Positions Tracker'!$B619)),"")</f>
        <v/>
      </c>
      <c r="BD619" s="30" t="str">
        <f t="shared" si="69"/>
        <v/>
      </c>
      <c r="BE619" s="30" t="str">
        <f t="shared" si="70"/>
        <v/>
      </c>
      <c r="BF619" s="30" t="str">
        <f t="shared" si="71"/>
        <v/>
      </c>
      <c r="BG619" s="30" t="str">
        <f t="shared" si="72"/>
        <v/>
      </c>
    </row>
    <row r="620" spans="1:59">
      <c r="A620" s="39"/>
      <c r="B620" s="39"/>
      <c r="C620" s="39"/>
      <c r="D620" s="39"/>
      <c r="E620" s="39"/>
      <c r="F620" s="39"/>
      <c r="G620" s="39"/>
      <c r="H620" s="39"/>
      <c r="I620" s="40"/>
      <c r="J620" s="40"/>
      <c r="K620" s="35"/>
      <c r="L620" s="35"/>
      <c r="M620" s="35"/>
      <c r="N620" s="39"/>
      <c r="O620" s="39"/>
      <c r="P620" s="39"/>
      <c r="Q620" s="39"/>
      <c r="R620" s="39"/>
      <c r="S620" s="39"/>
      <c r="T620" s="39"/>
      <c r="U620" s="39"/>
      <c r="V620" s="39"/>
      <c r="W620" s="39"/>
      <c r="X620" s="39"/>
      <c r="Y620" s="39"/>
      <c r="Z620" s="39"/>
      <c r="AA620" s="39"/>
      <c r="AB620" s="39"/>
      <c r="AC620" s="39"/>
      <c r="AD620" s="39"/>
      <c r="AE620" s="39"/>
      <c r="AF620" s="39"/>
      <c r="AG620" s="39"/>
      <c r="AH620" s="39"/>
      <c r="AI620" s="35"/>
      <c r="AJ620" s="39"/>
      <c r="AK620" s="39"/>
      <c r="AL620" s="39"/>
      <c r="AM620" s="35"/>
      <c r="AN620" s="35"/>
      <c r="AO620" s="39"/>
      <c r="AP620" s="39"/>
      <c r="AQ620" s="35"/>
      <c r="AR620" s="35"/>
      <c r="AS620" s="35"/>
      <c r="AT620" s="30">
        <f t="shared" ca="1" si="68"/>
        <v>0</v>
      </c>
      <c r="AU620" s="32" t="str">
        <f t="shared" ca="1" si="67"/>
        <v/>
      </c>
      <c r="AV620" s="32" t="str" cm="1">
        <f t="array" aca="1" ref="AV620" ca="1">IFERROR(_xlfn.IFS($AU620="","",$AU620&lt;=15,"0-15",AND($AU620&gt;=16,$AU620&lt;=30),"16-30",AND($AU620&gt;=31,$AU620&lt;=45),"31-45",AND($AU620&gt;=46,$AU620&lt;=60),"46-60",AND($AU620&gt;=61,$AU620&lt;=90),"61-90",AND($AU620&gt;=91),"&gt; 90",AND($AU620&gt;=2000),""),"")</f>
        <v/>
      </c>
      <c r="AW620" s="32" t="str" cm="1">
        <f t="array" aca="1" ref="AW620" ca="1">IFERROR(_xlfn.IFS(OR($M620="",$AM620=""),"",OR($C620="Offered",$C620="Joined"),($AM620-$M620)-$AT620),"")</f>
        <v/>
      </c>
      <c r="AX620" s="32" t="str" cm="1">
        <f t="array" aca="1" ref="AX620" ca="1">IFERROR(_xlfn.IFS(OR($M620="",$AS620=""),"",$C620="Joined",($AS620-$M620)-$AT620),"")</f>
        <v/>
      </c>
      <c r="AY620" s="30" t="str">
        <f>IFERROR(IF(COUNTIFS('Candidate Tracker'!$E:$E,'Positions Tracker'!$B620,'Candidate Tracker'!$C:$C,"Offer Drop")=0,"",COUNTIFS('Candidate Tracker'!$E:$E,'Positions Tracker'!$B620,'Candidate Tracker'!$C:$C,"Offer Drop")),"")</f>
        <v/>
      </c>
      <c r="AZ6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0" s="34" t="str">
        <f>IFERROR(IF(COUNTIFS('Candidate Tracker'!$E:$E,'Positions Tracker'!$B620,'Candidate Tracker'!$I:$I,"Female")=0,"",COUNTIFS('Candidate Tracker'!$E:$E,'Positions Tracker'!$B620,'Candidate Tracker'!$I:$I,"Female")),"")</f>
        <v/>
      </c>
      <c r="BB620" s="34" t="str">
        <f>IFERROR(IF(COUNTIFS('Candidate Tracker'!$E:$E,'Positions Tracker'!$B620,'Candidate Tracker'!$I:$I,"male")=0,"",COUNTIFS('Candidate Tracker'!$E:$E,'Positions Tracker'!$B620,'Candidate Tracker'!$I:$I,"male")),"")</f>
        <v/>
      </c>
      <c r="BC620" s="33" t="str">
        <f>IFERROR(IF(COUNTIFS('Candidate Tracker'!$E:$E,'Positions Tracker'!$B620,'Candidate Tracker'!$C:$C,"&lt;&gt;WIP",'Candidate Tracker'!$C:$C,"&lt;&gt;Hold",'Candidate Tracker'!$C:$C,"&lt;&gt;Cancelled",'Candidate Tracker'!$C:$C,"&lt;&gt;Closed")/COUNTIFS('Candidate Tracker'!$E:$E,'Positions Tracker'!$B620)=0,"",COUNTIFS('Candidate Tracker'!$E:$E,'Positions Tracker'!$B620,'Candidate Tracker'!$C:$C,"&lt;&gt;WIP",'Candidate Tracker'!$C:$C,"&lt;&gt;Hold",'Candidate Tracker'!$C:$C,"&lt;&gt;Cancelled",'Candidate Tracker'!$C:$C,"&lt;&gt;Closed")/COUNTIFS('Candidate Tracker'!$E:$E,'Positions Tracker'!$B620)),"")</f>
        <v/>
      </c>
      <c r="BD620" s="30" t="str">
        <f t="shared" si="69"/>
        <v/>
      </c>
      <c r="BE620" s="30" t="str">
        <f t="shared" si="70"/>
        <v/>
      </c>
      <c r="BF620" s="30" t="str">
        <f t="shared" si="71"/>
        <v/>
      </c>
      <c r="BG620" s="30" t="str">
        <f t="shared" si="72"/>
        <v/>
      </c>
    </row>
    <row r="621" spans="1:59">
      <c r="A621" s="39"/>
      <c r="B621" s="39"/>
      <c r="C621" s="39"/>
      <c r="D621" s="39"/>
      <c r="E621" s="39"/>
      <c r="F621" s="39"/>
      <c r="G621" s="39"/>
      <c r="H621" s="39"/>
      <c r="I621" s="40"/>
      <c r="J621" s="40"/>
      <c r="K621" s="35"/>
      <c r="L621" s="35"/>
      <c r="M621" s="35"/>
      <c r="N621" s="39"/>
      <c r="O621" s="39"/>
      <c r="P621" s="39"/>
      <c r="Q621" s="39"/>
      <c r="R621" s="39"/>
      <c r="S621" s="39"/>
      <c r="T621" s="39"/>
      <c r="U621" s="39"/>
      <c r="V621" s="39"/>
      <c r="W621" s="39"/>
      <c r="X621" s="39"/>
      <c r="Y621" s="39"/>
      <c r="Z621" s="39"/>
      <c r="AA621" s="39"/>
      <c r="AB621" s="39"/>
      <c r="AC621" s="39"/>
      <c r="AD621" s="39"/>
      <c r="AE621" s="39"/>
      <c r="AF621" s="39"/>
      <c r="AG621" s="39"/>
      <c r="AH621" s="39"/>
      <c r="AI621" s="35"/>
      <c r="AJ621" s="39"/>
      <c r="AK621" s="39"/>
      <c r="AL621" s="39"/>
      <c r="AM621" s="35"/>
      <c r="AN621" s="35"/>
      <c r="AO621" s="39"/>
      <c r="AP621" s="39"/>
      <c r="AQ621" s="35"/>
      <c r="AR621" s="35"/>
      <c r="AS621" s="35"/>
      <c r="AT621" s="30">
        <f t="shared" ca="1" si="68"/>
        <v>0</v>
      </c>
      <c r="AU621" s="32" t="str">
        <f t="shared" ca="1" si="67"/>
        <v/>
      </c>
      <c r="AV621" s="32" t="str" cm="1">
        <f t="array" aca="1" ref="AV621" ca="1">IFERROR(_xlfn.IFS($AU621="","",$AU621&lt;=15,"0-15",AND($AU621&gt;=16,$AU621&lt;=30),"16-30",AND($AU621&gt;=31,$AU621&lt;=45),"31-45",AND($AU621&gt;=46,$AU621&lt;=60),"46-60",AND($AU621&gt;=61,$AU621&lt;=90),"61-90",AND($AU621&gt;=91),"&gt; 90",AND($AU621&gt;=2000),""),"")</f>
        <v/>
      </c>
      <c r="AW621" s="32" t="str" cm="1">
        <f t="array" aca="1" ref="AW621" ca="1">IFERROR(_xlfn.IFS(OR($M621="",$AM621=""),"",OR($C621="Offered",$C621="Joined"),($AM621-$M621)-$AT621),"")</f>
        <v/>
      </c>
      <c r="AX621" s="32" t="str" cm="1">
        <f t="array" aca="1" ref="AX621" ca="1">IFERROR(_xlfn.IFS(OR($M621="",$AS621=""),"",$C621="Joined",($AS621-$M621)-$AT621),"")</f>
        <v/>
      </c>
      <c r="AY621" s="30" t="str">
        <f>IFERROR(IF(COUNTIFS('Candidate Tracker'!$E:$E,'Positions Tracker'!$B621,'Candidate Tracker'!$C:$C,"Offer Drop")=0,"",COUNTIFS('Candidate Tracker'!$E:$E,'Positions Tracker'!$B621,'Candidate Tracker'!$C:$C,"Offer Drop")),"")</f>
        <v/>
      </c>
      <c r="AZ6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1" s="34" t="str">
        <f>IFERROR(IF(COUNTIFS('Candidate Tracker'!$E:$E,'Positions Tracker'!$B621,'Candidate Tracker'!$I:$I,"Female")=0,"",COUNTIFS('Candidate Tracker'!$E:$E,'Positions Tracker'!$B621,'Candidate Tracker'!$I:$I,"Female")),"")</f>
        <v/>
      </c>
      <c r="BB621" s="34" t="str">
        <f>IFERROR(IF(COUNTIFS('Candidate Tracker'!$E:$E,'Positions Tracker'!$B621,'Candidate Tracker'!$I:$I,"male")=0,"",COUNTIFS('Candidate Tracker'!$E:$E,'Positions Tracker'!$B621,'Candidate Tracker'!$I:$I,"male")),"")</f>
        <v/>
      </c>
      <c r="BC621" s="33" t="str">
        <f>IFERROR(IF(COUNTIFS('Candidate Tracker'!$E:$E,'Positions Tracker'!$B621,'Candidate Tracker'!$C:$C,"&lt;&gt;WIP",'Candidate Tracker'!$C:$C,"&lt;&gt;Hold",'Candidate Tracker'!$C:$C,"&lt;&gt;Cancelled",'Candidate Tracker'!$C:$C,"&lt;&gt;Closed")/COUNTIFS('Candidate Tracker'!$E:$E,'Positions Tracker'!$B621)=0,"",COUNTIFS('Candidate Tracker'!$E:$E,'Positions Tracker'!$B621,'Candidate Tracker'!$C:$C,"&lt;&gt;WIP",'Candidate Tracker'!$C:$C,"&lt;&gt;Hold",'Candidate Tracker'!$C:$C,"&lt;&gt;Cancelled",'Candidate Tracker'!$C:$C,"&lt;&gt;Closed")/COUNTIFS('Candidate Tracker'!$E:$E,'Positions Tracker'!$B621)),"")</f>
        <v/>
      </c>
      <c r="BD621" s="30" t="str">
        <f t="shared" si="69"/>
        <v/>
      </c>
      <c r="BE621" s="30" t="str">
        <f t="shared" si="70"/>
        <v/>
      </c>
      <c r="BF621" s="30" t="str">
        <f t="shared" si="71"/>
        <v/>
      </c>
      <c r="BG621" s="30" t="str">
        <f t="shared" si="72"/>
        <v/>
      </c>
    </row>
    <row r="622" spans="1:59">
      <c r="A622" s="39"/>
      <c r="B622" s="39"/>
      <c r="C622" s="39"/>
      <c r="D622" s="39"/>
      <c r="E622" s="39"/>
      <c r="F622" s="39"/>
      <c r="G622" s="39"/>
      <c r="H622" s="39"/>
      <c r="I622" s="40"/>
      <c r="J622" s="40"/>
      <c r="K622" s="35"/>
      <c r="L622" s="35"/>
      <c r="M622" s="35"/>
      <c r="N622" s="39"/>
      <c r="O622" s="39"/>
      <c r="P622" s="39"/>
      <c r="Q622" s="39"/>
      <c r="R622" s="39"/>
      <c r="S622" s="39"/>
      <c r="T622" s="39"/>
      <c r="U622" s="39"/>
      <c r="V622" s="39"/>
      <c r="W622" s="39"/>
      <c r="X622" s="39"/>
      <c r="Y622" s="39"/>
      <c r="Z622" s="39"/>
      <c r="AA622" s="39"/>
      <c r="AB622" s="39"/>
      <c r="AC622" s="39"/>
      <c r="AD622" s="39"/>
      <c r="AE622" s="39"/>
      <c r="AF622" s="39"/>
      <c r="AG622" s="39"/>
      <c r="AH622" s="39"/>
      <c r="AI622" s="35"/>
      <c r="AJ622" s="39"/>
      <c r="AK622" s="39"/>
      <c r="AL622" s="39"/>
      <c r="AM622" s="35"/>
      <c r="AN622" s="35"/>
      <c r="AO622" s="39"/>
      <c r="AP622" s="39"/>
      <c r="AQ622" s="35"/>
      <c r="AR622" s="35"/>
      <c r="AS622" s="35"/>
      <c r="AT622" s="30">
        <f t="shared" ca="1" si="68"/>
        <v>0</v>
      </c>
      <c r="AU622" s="32" t="str">
        <f t="shared" ca="1" si="67"/>
        <v/>
      </c>
      <c r="AV622" s="32" t="str" cm="1">
        <f t="array" aca="1" ref="AV622" ca="1">IFERROR(_xlfn.IFS($AU622="","",$AU622&lt;=15,"0-15",AND($AU622&gt;=16,$AU622&lt;=30),"16-30",AND($AU622&gt;=31,$AU622&lt;=45),"31-45",AND($AU622&gt;=46,$AU622&lt;=60),"46-60",AND($AU622&gt;=61,$AU622&lt;=90),"61-90",AND($AU622&gt;=91),"&gt; 90",AND($AU622&gt;=2000),""),"")</f>
        <v/>
      </c>
      <c r="AW622" s="32" t="str" cm="1">
        <f t="array" aca="1" ref="AW622" ca="1">IFERROR(_xlfn.IFS(OR($M622="",$AM622=""),"",OR($C622="Offered",$C622="Joined"),($AM622-$M622)-$AT622),"")</f>
        <v/>
      </c>
      <c r="AX622" s="32" t="str" cm="1">
        <f t="array" aca="1" ref="AX622" ca="1">IFERROR(_xlfn.IFS(OR($M622="",$AS622=""),"",$C622="Joined",($AS622-$M622)-$AT622),"")</f>
        <v/>
      </c>
      <c r="AY622" s="30" t="str">
        <f>IFERROR(IF(COUNTIFS('Candidate Tracker'!$E:$E,'Positions Tracker'!$B622,'Candidate Tracker'!$C:$C,"Offer Drop")=0,"",COUNTIFS('Candidate Tracker'!$E:$E,'Positions Tracker'!$B622,'Candidate Tracker'!$C:$C,"Offer Drop")),"")</f>
        <v/>
      </c>
      <c r="AZ6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2" s="34" t="str">
        <f>IFERROR(IF(COUNTIFS('Candidate Tracker'!$E:$E,'Positions Tracker'!$B622,'Candidate Tracker'!$I:$I,"Female")=0,"",COUNTIFS('Candidate Tracker'!$E:$E,'Positions Tracker'!$B622,'Candidate Tracker'!$I:$I,"Female")),"")</f>
        <v/>
      </c>
      <c r="BB622" s="34" t="str">
        <f>IFERROR(IF(COUNTIFS('Candidate Tracker'!$E:$E,'Positions Tracker'!$B622,'Candidate Tracker'!$I:$I,"male")=0,"",COUNTIFS('Candidate Tracker'!$E:$E,'Positions Tracker'!$B622,'Candidate Tracker'!$I:$I,"male")),"")</f>
        <v/>
      </c>
      <c r="BC622" s="33" t="str">
        <f>IFERROR(IF(COUNTIFS('Candidate Tracker'!$E:$E,'Positions Tracker'!$B622,'Candidate Tracker'!$C:$C,"&lt;&gt;WIP",'Candidate Tracker'!$C:$C,"&lt;&gt;Hold",'Candidate Tracker'!$C:$C,"&lt;&gt;Cancelled",'Candidate Tracker'!$C:$C,"&lt;&gt;Closed")/COUNTIFS('Candidate Tracker'!$E:$E,'Positions Tracker'!$B622)=0,"",COUNTIFS('Candidate Tracker'!$E:$E,'Positions Tracker'!$B622,'Candidate Tracker'!$C:$C,"&lt;&gt;WIP",'Candidate Tracker'!$C:$C,"&lt;&gt;Hold",'Candidate Tracker'!$C:$C,"&lt;&gt;Cancelled",'Candidate Tracker'!$C:$C,"&lt;&gt;Closed")/COUNTIFS('Candidate Tracker'!$E:$E,'Positions Tracker'!$B622)),"")</f>
        <v/>
      </c>
      <c r="BD622" s="30" t="str">
        <f t="shared" si="69"/>
        <v/>
      </c>
      <c r="BE622" s="30" t="str">
        <f t="shared" si="70"/>
        <v/>
      </c>
      <c r="BF622" s="30" t="str">
        <f t="shared" si="71"/>
        <v/>
      </c>
      <c r="BG622" s="30" t="str">
        <f t="shared" si="72"/>
        <v/>
      </c>
    </row>
    <row r="623" spans="1:59">
      <c r="A623" s="39"/>
      <c r="B623" s="39"/>
      <c r="C623" s="39"/>
      <c r="D623" s="39"/>
      <c r="E623" s="39"/>
      <c r="F623" s="39"/>
      <c r="G623" s="39"/>
      <c r="H623" s="39"/>
      <c r="I623" s="40"/>
      <c r="J623" s="40"/>
      <c r="K623" s="35"/>
      <c r="L623" s="35"/>
      <c r="M623" s="35"/>
      <c r="N623" s="39"/>
      <c r="O623" s="39"/>
      <c r="P623" s="39"/>
      <c r="Q623" s="39"/>
      <c r="R623" s="39"/>
      <c r="S623" s="39"/>
      <c r="T623" s="39"/>
      <c r="U623" s="39"/>
      <c r="V623" s="39"/>
      <c r="W623" s="39"/>
      <c r="X623" s="39"/>
      <c r="Y623" s="39"/>
      <c r="Z623" s="39"/>
      <c r="AA623" s="39"/>
      <c r="AB623" s="39"/>
      <c r="AC623" s="39"/>
      <c r="AD623" s="39"/>
      <c r="AE623" s="39"/>
      <c r="AF623" s="39"/>
      <c r="AG623" s="39"/>
      <c r="AH623" s="39"/>
      <c r="AI623" s="35"/>
      <c r="AJ623" s="39"/>
      <c r="AK623" s="39"/>
      <c r="AL623" s="39"/>
      <c r="AM623" s="35"/>
      <c r="AN623" s="35"/>
      <c r="AO623" s="39"/>
      <c r="AP623" s="39"/>
      <c r="AQ623" s="35"/>
      <c r="AR623" s="35"/>
      <c r="AS623" s="35"/>
      <c r="AT623" s="30">
        <f t="shared" ca="1" si="68"/>
        <v>0</v>
      </c>
      <c r="AU623" s="32" t="str">
        <f t="shared" ca="1" si="67"/>
        <v/>
      </c>
      <c r="AV623" s="32" t="str" cm="1">
        <f t="array" aca="1" ref="AV623" ca="1">IFERROR(_xlfn.IFS($AU623="","",$AU623&lt;=15,"0-15",AND($AU623&gt;=16,$AU623&lt;=30),"16-30",AND($AU623&gt;=31,$AU623&lt;=45),"31-45",AND($AU623&gt;=46,$AU623&lt;=60),"46-60",AND($AU623&gt;=61,$AU623&lt;=90),"61-90",AND($AU623&gt;=91),"&gt; 90",AND($AU623&gt;=2000),""),"")</f>
        <v/>
      </c>
      <c r="AW623" s="32" t="str" cm="1">
        <f t="array" aca="1" ref="AW623" ca="1">IFERROR(_xlfn.IFS(OR($M623="",$AM623=""),"",OR($C623="Offered",$C623="Joined"),($AM623-$M623)-$AT623),"")</f>
        <v/>
      </c>
      <c r="AX623" s="32" t="str" cm="1">
        <f t="array" aca="1" ref="AX623" ca="1">IFERROR(_xlfn.IFS(OR($M623="",$AS623=""),"",$C623="Joined",($AS623-$M623)-$AT623),"")</f>
        <v/>
      </c>
      <c r="AY623" s="30" t="str">
        <f>IFERROR(IF(COUNTIFS('Candidate Tracker'!$E:$E,'Positions Tracker'!$B623,'Candidate Tracker'!$C:$C,"Offer Drop")=0,"",COUNTIFS('Candidate Tracker'!$E:$E,'Positions Tracker'!$B623,'Candidate Tracker'!$C:$C,"Offer Drop")),"")</f>
        <v/>
      </c>
      <c r="AZ6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3" s="34" t="str">
        <f>IFERROR(IF(COUNTIFS('Candidate Tracker'!$E:$E,'Positions Tracker'!$B623,'Candidate Tracker'!$I:$I,"Female")=0,"",COUNTIFS('Candidate Tracker'!$E:$E,'Positions Tracker'!$B623,'Candidate Tracker'!$I:$I,"Female")),"")</f>
        <v/>
      </c>
      <c r="BB623" s="34" t="str">
        <f>IFERROR(IF(COUNTIFS('Candidate Tracker'!$E:$E,'Positions Tracker'!$B623,'Candidate Tracker'!$I:$I,"male")=0,"",COUNTIFS('Candidate Tracker'!$E:$E,'Positions Tracker'!$B623,'Candidate Tracker'!$I:$I,"male")),"")</f>
        <v/>
      </c>
      <c r="BC623" s="33" t="str">
        <f>IFERROR(IF(COUNTIFS('Candidate Tracker'!$E:$E,'Positions Tracker'!$B623,'Candidate Tracker'!$C:$C,"&lt;&gt;WIP",'Candidate Tracker'!$C:$C,"&lt;&gt;Hold",'Candidate Tracker'!$C:$C,"&lt;&gt;Cancelled",'Candidate Tracker'!$C:$C,"&lt;&gt;Closed")/COUNTIFS('Candidate Tracker'!$E:$E,'Positions Tracker'!$B623)=0,"",COUNTIFS('Candidate Tracker'!$E:$E,'Positions Tracker'!$B623,'Candidate Tracker'!$C:$C,"&lt;&gt;WIP",'Candidate Tracker'!$C:$C,"&lt;&gt;Hold",'Candidate Tracker'!$C:$C,"&lt;&gt;Cancelled",'Candidate Tracker'!$C:$C,"&lt;&gt;Closed")/COUNTIFS('Candidate Tracker'!$E:$E,'Positions Tracker'!$B623)),"")</f>
        <v/>
      </c>
      <c r="BD623" s="30" t="str">
        <f t="shared" si="69"/>
        <v/>
      </c>
      <c r="BE623" s="30" t="str">
        <f t="shared" si="70"/>
        <v/>
      </c>
      <c r="BF623" s="30" t="str">
        <f t="shared" si="71"/>
        <v/>
      </c>
      <c r="BG623" s="30" t="str">
        <f t="shared" si="72"/>
        <v/>
      </c>
    </row>
    <row r="624" spans="1:59">
      <c r="A624" s="39"/>
      <c r="B624" s="39"/>
      <c r="C624" s="39"/>
      <c r="D624" s="39"/>
      <c r="E624" s="39"/>
      <c r="F624" s="39"/>
      <c r="G624" s="39"/>
      <c r="H624" s="39"/>
      <c r="I624" s="40"/>
      <c r="J624" s="40"/>
      <c r="K624" s="35"/>
      <c r="L624" s="35"/>
      <c r="M624" s="35"/>
      <c r="N624" s="39"/>
      <c r="O624" s="39"/>
      <c r="P624" s="39"/>
      <c r="Q624" s="39"/>
      <c r="R624" s="39"/>
      <c r="S624" s="39"/>
      <c r="T624" s="39"/>
      <c r="U624" s="39"/>
      <c r="V624" s="39"/>
      <c r="W624" s="39"/>
      <c r="X624" s="39"/>
      <c r="Y624" s="39"/>
      <c r="Z624" s="39"/>
      <c r="AA624" s="39"/>
      <c r="AB624" s="39"/>
      <c r="AC624" s="39"/>
      <c r="AD624" s="39"/>
      <c r="AE624" s="39"/>
      <c r="AF624" s="39"/>
      <c r="AG624" s="39"/>
      <c r="AH624" s="39"/>
      <c r="AI624" s="35"/>
      <c r="AJ624" s="39"/>
      <c r="AK624" s="39"/>
      <c r="AL624" s="39"/>
      <c r="AM624" s="35"/>
      <c r="AN624" s="35"/>
      <c r="AO624" s="39"/>
      <c r="AP624" s="39"/>
      <c r="AQ624" s="35"/>
      <c r="AR624" s="35"/>
      <c r="AS624" s="35"/>
      <c r="AT624" s="30">
        <f t="shared" ca="1" si="68"/>
        <v>0</v>
      </c>
      <c r="AU624" s="32" t="str">
        <f t="shared" ca="1" si="67"/>
        <v/>
      </c>
      <c r="AV624" s="32" t="str" cm="1">
        <f t="array" aca="1" ref="AV624" ca="1">IFERROR(_xlfn.IFS($AU624="","",$AU624&lt;=15,"0-15",AND($AU624&gt;=16,$AU624&lt;=30),"16-30",AND($AU624&gt;=31,$AU624&lt;=45),"31-45",AND($AU624&gt;=46,$AU624&lt;=60),"46-60",AND($AU624&gt;=61,$AU624&lt;=90),"61-90",AND($AU624&gt;=91),"&gt; 90",AND($AU624&gt;=2000),""),"")</f>
        <v/>
      </c>
      <c r="AW624" s="32" t="str" cm="1">
        <f t="array" aca="1" ref="AW624" ca="1">IFERROR(_xlfn.IFS(OR($M624="",$AM624=""),"",OR($C624="Offered",$C624="Joined"),($AM624-$M624)-$AT624),"")</f>
        <v/>
      </c>
      <c r="AX624" s="32" t="str" cm="1">
        <f t="array" aca="1" ref="AX624" ca="1">IFERROR(_xlfn.IFS(OR($M624="",$AS624=""),"",$C624="Joined",($AS624-$M624)-$AT624),"")</f>
        <v/>
      </c>
      <c r="AY624" s="30" t="str">
        <f>IFERROR(IF(COUNTIFS('Candidate Tracker'!$E:$E,'Positions Tracker'!$B624,'Candidate Tracker'!$C:$C,"Offer Drop")=0,"",COUNTIFS('Candidate Tracker'!$E:$E,'Positions Tracker'!$B624,'Candidate Tracker'!$C:$C,"Offer Drop")),"")</f>
        <v/>
      </c>
      <c r="AZ6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4" s="34" t="str">
        <f>IFERROR(IF(COUNTIFS('Candidate Tracker'!$E:$E,'Positions Tracker'!$B624,'Candidate Tracker'!$I:$I,"Female")=0,"",COUNTIFS('Candidate Tracker'!$E:$E,'Positions Tracker'!$B624,'Candidate Tracker'!$I:$I,"Female")),"")</f>
        <v/>
      </c>
      <c r="BB624" s="34" t="str">
        <f>IFERROR(IF(COUNTIFS('Candidate Tracker'!$E:$E,'Positions Tracker'!$B624,'Candidate Tracker'!$I:$I,"male")=0,"",COUNTIFS('Candidate Tracker'!$E:$E,'Positions Tracker'!$B624,'Candidate Tracker'!$I:$I,"male")),"")</f>
        <v/>
      </c>
      <c r="BC624" s="33" t="str">
        <f>IFERROR(IF(COUNTIFS('Candidate Tracker'!$E:$E,'Positions Tracker'!$B624,'Candidate Tracker'!$C:$C,"&lt;&gt;WIP",'Candidate Tracker'!$C:$C,"&lt;&gt;Hold",'Candidate Tracker'!$C:$C,"&lt;&gt;Cancelled",'Candidate Tracker'!$C:$C,"&lt;&gt;Closed")/COUNTIFS('Candidate Tracker'!$E:$E,'Positions Tracker'!$B624)=0,"",COUNTIFS('Candidate Tracker'!$E:$E,'Positions Tracker'!$B624,'Candidate Tracker'!$C:$C,"&lt;&gt;WIP",'Candidate Tracker'!$C:$C,"&lt;&gt;Hold",'Candidate Tracker'!$C:$C,"&lt;&gt;Cancelled",'Candidate Tracker'!$C:$C,"&lt;&gt;Closed")/COUNTIFS('Candidate Tracker'!$E:$E,'Positions Tracker'!$B624)),"")</f>
        <v/>
      </c>
      <c r="BD624" s="30" t="str">
        <f t="shared" si="69"/>
        <v/>
      </c>
      <c r="BE624" s="30" t="str">
        <f t="shared" si="70"/>
        <v/>
      </c>
      <c r="BF624" s="30" t="str">
        <f t="shared" si="71"/>
        <v/>
      </c>
      <c r="BG624" s="30" t="str">
        <f t="shared" si="72"/>
        <v/>
      </c>
    </row>
    <row r="625" spans="1:59">
      <c r="A625" s="39"/>
      <c r="B625" s="39"/>
      <c r="C625" s="39"/>
      <c r="D625" s="39"/>
      <c r="E625" s="39"/>
      <c r="F625" s="39"/>
      <c r="G625" s="39"/>
      <c r="H625" s="39"/>
      <c r="I625" s="40"/>
      <c r="J625" s="40"/>
      <c r="K625" s="35"/>
      <c r="L625" s="35"/>
      <c r="M625" s="35"/>
      <c r="N625" s="39"/>
      <c r="O625" s="39"/>
      <c r="P625" s="39"/>
      <c r="Q625" s="39"/>
      <c r="R625" s="39"/>
      <c r="S625" s="39"/>
      <c r="T625" s="39"/>
      <c r="U625" s="39"/>
      <c r="V625" s="39"/>
      <c r="W625" s="39"/>
      <c r="X625" s="39"/>
      <c r="Y625" s="39"/>
      <c r="Z625" s="39"/>
      <c r="AA625" s="39"/>
      <c r="AB625" s="39"/>
      <c r="AC625" s="39"/>
      <c r="AD625" s="39"/>
      <c r="AE625" s="39"/>
      <c r="AF625" s="39"/>
      <c r="AG625" s="39"/>
      <c r="AH625" s="39"/>
      <c r="AI625" s="35"/>
      <c r="AJ625" s="39"/>
      <c r="AK625" s="39"/>
      <c r="AL625" s="39"/>
      <c r="AM625" s="35"/>
      <c r="AN625" s="35"/>
      <c r="AO625" s="39"/>
      <c r="AP625" s="39"/>
      <c r="AQ625" s="35"/>
      <c r="AR625" s="35"/>
      <c r="AS625" s="35"/>
      <c r="AT625" s="30">
        <f t="shared" ca="1" si="68"/>
        <v>0</v>
      </c>
      <c r="AU625" s="32" t="str">
        <f t="shared" ca="1" si="67"/>
        <v/>
      </c>
      <c r="AV625" s="32" t="str" cm="1">
        <f t="array" aca="1" ref="AV625" ca="1">IFERROR(_xlfn.IFS($AU625="","",$AU625&lt;=15,"0-15",AND($AU625&gt;=16,$AU625&lt;=30),"16-30",AND($AU625&gt;=31,$AU625&lt;=45),"31-45",AND($AU625&gt;=46,$AU625&lt;=60),"46-60",AND($AU625&gt;=61,$AU625&lt;=90),"61-90",AND($AU625&gt;=91),"&gt; 90",AND($AU625&gt;=2000),""),"")</f>
        <v/>
      </c>
      <c r="AW625" s="32" t="str" cm="1">
        <f t="array" aca="1" ref="AW625" ca="1">IFERROR(_xlfn.IFS(OR($M625="",$AM625=""),"",OR($C625="Offered",$C625="Joined"),($AM625-$M625)-$AT625),"")</f>
        <v/>
      </c>
      <c r="AX625" s="32" t="str" cm="1">
        <f t="array" aca="1" ref="AX625" ca="1">IFERROR(_xlfn.IFS(OR($M625="",$AS625=""),"",$C625="Joined",($AS625-$M625)-$AT625),"")</f>
        <v/>
      </c>
      <c r="AY625" s="30" t="str">
        <f>IFERROR(IF(COUNTIFS('Candidate Tracker'!$E:$E,'Positions Tracker'!$B625,'Candidate Tracker'!$C:$C,"Offer Drop")=0,"",COUNTIFS('Candidate Tracker'!$E:$E,'Positions Tracker'!$B625,'Candidate Tracker'!$C:$C,"Offer Drop")),"")</f>
        <v/>
      </c>
      <c r="AZ6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5" s="34" t="str">
        <f>IFERROR(IF(COUNTIFS('Candidate Tracker'!$E:$E,'Positions Tracker'!$B625,'Candidate Tracker'!$I:$I,"Female")=0,"",COUNTIFS('Candidate Tracker'!$E:$E,'Positions Tracker'!$B625,'Candidate Tracker'!$I:$I,"Female")),"")</f>
        <v/>
      </c>
      <c r="BB625" s="34" t="str">
        <f>IFERROR(IF(COUNTIFS('Candidate Tracker'!$E:$E,'Positions Tracker'!$B625,'Candidate Tracker'!$I:$I,"male")=0,"",COUNTIFS('Candidate Tracker'!$E:$E,'Positions Tracker'!$B625,'Candidate Tracker'!$I:$I,"male")),"")</f>
        <v/>
      </c>
      <c r="BC625" s="33" t="str">
        <f>IFERROR(IF(COUNTIFS('Candidate Tracker'!$E:$E,'Positions Tracker'!$B625,'Candidate Tracker'!$C:$C,"&lt;&gt;WIP",'Candidate Tracker'!$C:$C,"&lt;&gt;Hold",'Candidate Tracker'!$C:$C,"&lt;&gt;Cancelled",'Candidate Tracker'!$C:$C,"&lt;&gt;Closed")/COUNTIFS('Candidate Tracker'!$E:$E,'Positions Tracker'!$B625)=0,"",COUNTIFS('Candidate Tracker'!$E:$E,'Positions Tracker'!$B625,'Candidate Tracker'!$C:$C,"&lt;&gt;WIP",'Candidate Tracker'!$C:$C,"&lt;&gt;Hold",'Candidate Tracker'!$C:$C,"&lt;&gt;Cancelled",'Candidate Tracker'!$C:$C,"&lt;&gt;Closed")/COUNTIFS('Candidate Tracker'!$E:$E,'Positions Tracker'!$B625)),"")</f>
        <v/>
      </c>
      <c r="BD625" s="30" t="str">
        <f t="shared" si="69"/>
        <v/>
      </c>
      <c r="BE625" s="30" t="str">
        <f t="shared" si="70"/>
        <v/>
      </c>
      <c r="BF625" s="30" t="str">
        <f t="shared" si="71"/>
        <v/>
      </c>
      <c r="BG625" s="30" t="str">
        <f t="shared" si="72"/>
        <v/>
      </c>
    </row>
    <row r="626" spans="1:59">
      <c r="A626" s="39"/>
      <c r="B626" s="39"/>
      <c r="C626" s="39"/>
      <c r="D626" s="39"/>
      <c r="E626" s="39"/>
      <c r="F626" s="39"/>
      <c r="G626" s="39"/>
      <c r="H626" s="39"/>
      <c r="I626" s="40"/>
      <c r="J626" s="40"/>
      <c r="K626" s="35"/>
      <c r="L626" s="35"/>
      <c r="M626" s="35"/>
      <c r="N626" s="39"/>
      <c r="O626" s="39"/>
      <c r="P626" s="39"/>
      <c r="Q626" s="39"/>
      <c r="R626" s="39"/>
      <c r="S626" s="39"/>
      <c r="T626" s="39"/>
      <c r="U626" s="39"/>
      <c r="V626" s="39"/>
      <c r="W626" s="39"/>
      <c r="X626" s="39"/>
      <c r="Y626" s="39"/>
      <c r="Z626" s="39"/>
      <c r="AA626" s="39"/>
      <c r="AB626" s="39"/>
      <c r="AC626" s="39"/>
      <c r="AD626" s="39"/>
      <c r="AE626" s="39"/>
      <c r="AF626" s="39"/>
      <c r="AG626" s="39"/>
      <c r="AH626" s="39"/>
      <c r="AI626" s="35"/>
      <c r="AJ626" s="39"/>
      <c r="AK626" s="39"/>
      <c r="AL626" s="39"/>
      <c r="AM626" s="35"/>
      <c r="AN626" s="35"/>
      <c r="AO626" s="39"/>
      <c r="AP626" s="39"/>
      <c r="AQ626" s="35"/>
      <c r="AR626" s="35"/>
      <c r="AS626" s="35"/>
      <c r="AT626" s="30">
        <f t="shared" ca="1" si="68"/>
        <v>0</v>
      </c>
      <c r="AU626" s="32" t="str">
        <f t="shared" ca="1" si="67"/>
        <v/>
      </c>
      <c r="AV626" s="32" t="str" cm="1">
        <f t="array" aca="1" ref="AV626" ca="1">IFERROR(_xlfn.IFS($AU626="","",$AU626&lt;=15,"0-15",AND($AU626&gt;=16,$AU626&lt;=30),"16-30",AND($AU626&gt;=31,$AU626&lt;=45),"31-45",AND($AU626&gt;=46,$AU626&lt;=60),"46-60",AND($AU626&gt;=61,$AU626&lt;=90),"61-90",AND($AU626&gt;=91),"&gt; 90",AND($AU626&gt;=2000),""),"")</f>
        <v/>
      </c>
      <c r="AW626" s="32" t="str" cm="1">
        <f t="array" aca="1" ref="AW626" ca="1">IFERROR(_xlfn.IFS(OR($M626="",$AM626=""),"",OR($C626="Offered",$C626="Joined"),($AM626-$M626)-$AT626),"")</f>
        <v/>
      </c>
      <c r="AX626" s="32" t="str" cm="1">
        <f t="array" aca="1" ref="AX626" ca="1">IFERROR(_xlfn.IFS(OR($M626="",$AS626=""),"",$C626="Joined",($AS626-$M626)-$AT626),"")</f>
        <v/>
      </c>
      <c r="AY626" s="30" t="str">
        <f>IFERROR(IF(COUNTIFS('Candidate Tracker'!$E:$E,'Positions Tracker'!$B626,'Candidate Tracker'!$C:$C,"Offer Drop")=0,"",COUNTIFS('Candidate Tracker'!$E:$E,'Positions Tracker'!$B626,'Candidate Tracker'!$C:$C,"Offer Drop")),"")</f>
        <v/>
      </c>
      <c r="AZ6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6" s="34" t="str">
        <f>IFERROR(IF(COUNTIFS('Candidate Tracker'!$E:$E,'Positions Tracker'!$B626,'Candidate Tracker'!$I:$I,"Female")=0,"",COUNTIFS('Candidate Tracker'!$E:$E,'Positions Tracker'!$B626,'Candidate Tracker'!$I:$I,"Female")),"")</f>
        <v/>
      </c>
      <c r="BB626" s="34" t="str">
        <f>IFERROR(IF(COUNTIFS('Candidate Tracker'!$E:$E,'Positions Tracker'!$B626,'Candidate Tracker'!$I:$I,"male")=0,"",COUNTIFS('Candidate Tracker'!$E:$E,'Positions Tracker'!$B626,'Candidate Tracker'!$I:$I,"male")),"")</f>
        <v/>
      </c>
      <c r="BC626" s="33" t="str">
        <f>IFERROR(IF(COUNTIFS('Candidate Tracker'!$E:$E,'Positions Tracker'!$B626,'Candidate Tracker'!$C:$C,"&lt;&gt;WIP",'Candidate Tracker'!$C:$C,"&lt;&gt;Hold",'Candidate Tracker'!$C:$C,"&lt;&gt;Cancelled",'Candidate Tracker'!$C:$C,"&lt;&gt;Closed")/COUNTIFS('Candidate Tracker'!$E:$E,'Positions Tracker'!$B626)=0,"",COUNTIFS('Candidate Tracker'!$E:$E,'Positions Tracker'!$B626,'Candidate Tracker'!$C:$C,"&lt;&gt;WIP",'Candidate Tracker'!$C:$C,"&lt;&gt;Hold",'Candidate Tracker'!$C:$C,"&lt;&gt;Cancelled",'Candidate Tracker'!$C:$C,"&lt;&gt;Closed")/COUNTIFS('Candidate Tracker'!$E:$E,'Positions Tracker'!$B626)),"")</f>
        <v/>
      </c>
      <c r="BD626" s="30" t="str">
        <f t="shared" si="69"/>
        <v/>
      </c>
      <c r="BE626" s="30" t="str">
        <f t="shared" si="70"/>
        <v/>
      </c>
      <c r="BF626" s="30" t="str">
        <f t="shared" si="71"/>
        <v/>
      </c>
      <c r="BG626" s="30" t="str">
        <f t="shared" si="72"/>
        <v/>
      </c>
    </row>
    <row r="627" spans="1:59">
      <c r="A627" s="39"/>
      <c r="B627" s="39"/>
      <c r="C627" s="39"/>
      <c r="D627" s="39"/>
      <c r="E627" s="39"/>
      <c r="F627" s="39"/>
      <c r="G627" s="39"/>
      <c r="H627" s="39"/>
      <c r="I627" s="40"/>
      <c r="J627" s="40"/>
      <c r="K627" s="35"/>
      <c r="L627" s="35"/>
      <c r="M627" s="35"/>
      <c r="N627" s="39"/>
      <c r="O627" s="39"/>
      <c r="P627" s="39"/>
      <c r="Q627" s="39"/>
      <c r="R627" s="39"/>
      <c r="S627" s="39"/>
      <c r="T627" s="39"/>
      <c r="U627" s="39"/>
      <c r="V627" s="39"/>
      <c r="W627" s="39"/>
      <c r="X627" s="39"/>
      <c r="Y627" s="39"/>
      <c r="Z627" s="39"/>
      <c r="AA627" s="39"/>
      <c r="AB627" s="39"/>
      <c r="AC627" s="39"/>
      <c r="AD627" s="39"/>
      <c r="AE627" s="39"/>
      <c r="AF627" s="39"/>
      <c r="AG627" s="39"/>
      <c r="AH627" s="39"/>
      <c r="AI627" s="35"/>
      <c r="AJ627" s="39"/>
      <c r="AK627" s="39"/>
      <c r="AL627" s="39"/>
      <c r="AM627" s="35"/>
      <c r="AN627" s="35"/>
      <c r="AO627" s="39"/>
      <c r="AP627" s="39"/>
      <c r="AQ627" s="35"/>
      <c r="AR627" s="35"/>
      <c r="AS627" s="35"/>
      <c r="AT627" s="30">
        <f t="shared" ca="1" si="68"/>
        <v>0</v>
      </c>
      <c r="AU627" s="32" t="str">
        <f t="shared" ca="1" si="67"/>
        <v/>
      </c>
      <c r="AV627" s="32" t="str" cm="1">
        <f t="array" aca="1" ref="AV627" ca="1">IFERROR(_xlfn.IFS($AU627="","",$AU627&lt;=15,"0-15",AND($AU627&gt;=16,$AU627&lt;=30),"16-30",AND($AU627&gt;=31,$AU627&lt;=45),"31-45",AND($AU627&gt;=46,$AU627&lt;=60),"46-60",AND($AU627&gt;=61,$AU627&lt;=90),"61-90",AND($AU627&gt;=91),"&gt; 90",AND($AU627&gt;=2000),""),"")</f>
        <v/>
      </c>
      <c r="AW627" s="32" t="str" cm="1">
        <f t="array" aca="1" ref="AW627" ca="1">IFERROR(_xlfn.IFS(OR($M627="",$AM627=""),"",OR($C627="Offered",$C627="Joined"),($AM627-$M627)-$AT627),"")</f>
        <v/>
      </c>
      <c r="AX627" s="32" t="str" cm="1">
        <f t="array" aca="1" ref="AX627" ca="1">IFERROR(_xlfn.IFS(OR($M627="",$AS627=""),"",$C627="Joined",($AS627-$M627)-$AT627),"")</f>
        <v/>
      </c>
      <c r="AY627" s="30" t="str">
        <f>IFERROR(IF(COUNTIFS('Candidate Tracker'!$E:$E,'Positions Tracker'!$B627,'Candidate Tracker'!$C:$C,"Offer Drop")=0,"",COUNTIFS('Candidate Tracker'!$E:$E,'Positions Tracker'!$B627,'Candidate Tracker'!$C:$C,"Offer Drop")),"")</f>
        <v/>
      </c>
      <c r="AZ6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7" s="34" t="str">
        <f>IFERROR(IF(COUNTIFS('Candidate Tracker'!$E:$E,'Positions Tracker'!$B627,'Candidate Tracker'!$I:$I,"Female")=0,"",COUNTIFS('Candidate Tracker'!$E:$E,'Positions Tracker'!$B627,'Candidate Tracker'!$I:$I,"Female")),"")</f>
        <v/>
      </c>
      <c r="BB627" s="34" t="str">
        <f>IFERROR(IF(COUNTIFS('Candidate Tracker'!$E:$E,'Positions Tracker'!$B627,'Candidate Tracker'!$I:$I,"male")=0,"",COUNTIFS('Candidate Tracker'!$E:$E,'Positions Tracker'!$B627,'Candidate Tracker'!$I:$I,"male")),"")</f>
        <v/>
      </c>
      <c r="BC627" s="33" t="str">
        <f>IFERROR(IF(COUNTIFS('Candidate Tracker'!$E:$E,'Positions Tracker'!$B627,'Candidate Tracker'!$C:$C,"&lt;&gt;WIP",'Candidate Tracker'!$C:$C,"&lt;&gt;Hold",'Candidate Tracker'!$C:$C,"&lt;&gt;Cancelled",'Candidate Tracker'!$C:$C,"&lt;&gt;Closed")/COUNTIFS('Candidate Tracker'!$E:$E,'Positions Tracker'!$B627)=0,"",COUNTIFS('Candidate Tracker'!$E:$E,'Positions Tracker'!$B627,'Candidate Tracker'!$C:$C,"&lt;&gt;WIP",'Candidate Tracker'!$C:$C,"&lt;&gt;Hold",'Candidate Tracker'!$C:$C,"&lt;&gt;Cancelled",'Candidate Tracker'!$C:$C,"&lt;&gt;Closed")/COUNTIFS('Candidate Tracker'!$E:$E,'Positions Tracker'!$B627)),"")</f>
        <v/>
      </c>
      <c r="BD627" s="30" t="str">
        <f t="shared" si="69"/>
        <v/>
      </c>
      <c r="BE627" s="30" t="str">
        <f t="shared" si="70"/>
        <v/>
      </c>
      <c r="BF627" s="30" t="str">
        <f t="shared" si="71"/>
        <v/>
      </c>
      <c r="BG627" s="30" t="str">
        <f t="shared" si="72"/>
        <v/>
      </c>
    </row>
    <row r="628" spans="1:59">
      <c r="A628" s="39"/>
      <c r="B628" s="39"/>
      <c r="C628" s="39"/>
      <c r="D628" s="39"/>
      <c r="E628" s="39"/>
      <c r="F628" s="39"/>
      <c r="G628" s="39"/>
      <c r="H628" s="39"/>
      <c r="I628" s="40"/>
      <c r="J628" s="40"/>
      <c r="K628" s="35"/>
      <c r="L628" s="35"/>
      <c r="M628" s="35"/>
      <c r="N628" s="39"/>
      <c r="O628" s="39"/>
      <c r="P628" s="39"/>
      <c r="Q628" s="39"/>
      <c r="R628" s="39"/>
      <c r="S628" s="39"/>
      <c r="T628" s="39"/>
      <c r="U628" s="39"/>
      <c r="V628" s="39"/>
      <c r="W628" s="39"/>
      <c r="X628" s="39"/>
      <c r="Y628" s="39"/>
      <c r="Z628" s="39"/>
      <c r="AA628" s="39"/>
      <c r="AB628" s="39"/>
      <c r="AC628" s="39"/>
      <c r="AD628" s="39"/>
      <c r="AE628" s="39"/>
      <c r="AF628" s="39"/>
      <c r="AG628" s="39"/>
      <c r="AH628" s="39"/>
      <c r="AI628" s="35"/>
      <c r="AJ628" s="39"/>
      <c r="AK628" s="39"/>
      <c r="AL628" s="39"/>
      <c r="AM628" s="35"/>
      <c r="AN628" s="35"/>
      <c r="AO628" s="39"/>
      <c r="AP628" s="39"/>
      <c r="AQ628" s="35"/>
      <c r="AR628" s="35"/>
      <c r="AS628" s="35"/>
      <c r="AT628" s="30">
        <f t="shared" ca="1" si="68"/>
        <v>0</v>
      </c>
      <c r="AU628" s="32" t="str">
        <f t="shared" ca="1" si="67"/>
        <v/>
      </c>
      <c r="AV628" s="32" t="str" cm="1">
        <f t="array" aca="1" ref="AV628" ca="1">IFERROR(_xlfn.IFS($AU628="","",$AU628&lt;=15,"0-15",AND($AU628&gt;=16,$AU628&lt;=30),"16-30",AND($AU628&gt;=31,$AU628&lt;=45),"31-45",AND($AU628&gt;=46,$AU628&lt;=60),"46-60",AND($AU628&gt;=61,$AU628&lt;=90),"61-90",AND($AU628&gt;=91),"&gt; 90",AND($AU628&gt;=2000),""),"")</f>
        <v/>
      </c>
      <c r="AW628" s="32" t="str" cm="1">
        <f t="array" aca="1" ref="AW628" ca="1">IFERROR(_xlfn.IFS(OR($M628="",$AM628=""),"",OR($C628="Offered",$C628="Joined"),($AM628-$M628)-$AT628),"")</f>
        <v/>
      </c>
      <c r="AX628" s="32" t="str" cm="1">
        <f t="array" aca="1" ref="AX628" ca="1">IFERROR(_xlfn.IFS(OR($M628="",$AS628=""),"",$C628="Joined",($AS628-$M628)-$AT628),"")</f>
        <v/>
      </c>
      <c r="AY628" s="30" t="str">
        <f>IFERROR(IF(COUNTIFS('Candidate Tracker'!$E:$E,'Positions Tracker'!$B628,'Candidate Tracker'!$C:$C,"Offer Drop")=0,"",COUNTIFS('Candidate Tracker'!$E:$E,'Positions Tracker'!$B628,'Candidate Tracker'!$C:$C,"Offer Drop")),"")</f>
        <v/>
      </c>
      <c r="AZ62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8" s="34" t="str">
        <f>IFERROR(IF(COUNTIFS('Candidate Tracker'!$E:$E,'Positions Tracker'!$B628,'Candidate Tracker'!$I:$I,"Female")=0,"",COUNTIFS('Candidate Tracker'!$E:$E,'Positions Tracker'!$B628,'Candidate Tracker'!$I:$I,"Female")),"")</f>
        <v/>
      </c>
      <c r="BB628" s="34" t="str">
        <f>IFERROR(IF(COUNTIFS('Candidate Tracker'!$E:$E,'Positions Tracker'!$B628,'Candidate Tracker'!$I:$I,"male")=0,"",COUNTIFS('Candidate Tracker'!$E:$E,'Positions Tracker'!$B628,'Candidate Tracker'!$I:$I,"male")),"")</f>
        <v/>
      </c>
      <c r="BC628" s="33" t="str">
        <f>IFERROR(IF(COUNTIFS('Candidate Tracker'!$E:$E,'Positions Tracker'!$B628,'Candidate Tracker'!$C:$C,"&lt;&gt;WIP",'Candidate Tracker'!$C:$C,"&lt;&gt;Hold",'Candidate Tracker'!$C:$C,"&lt;&gt;Cancelled",'Candidate Tracker'!$C:$C,"&lt;&gt;Closed")/COUNTIFS('Candidate Tracker'!$E:$E,'Positions Tracker'!$B628)=0,"",COUNTIFS('Candidate Tracker'!$E:$E,'Positions Tracker'!$B628,'Candidate Tracker'!$C:$C,"&lt;&gt;WIP",'Candidate Tracker'!$C:$C,"&lt;&gt;Hold",'Candidate Tracker'!$C:$C,"&lt;&gt;Cancelled",'Candidate Tracker'!$C:$C,"&lt;&gt;Closed")/COUNTIFS('Candidate Tracker'!$E:$E,'Positions Tracker'!$B628)),"")</f>
        <v/>
      </c>
      <c r="BD628" s="30" t="str">
        <f t="shared" si="69"/>
        <v/>
      </c>
      <c r="BE628" s="30" t="str">
        <f t="shared" si="70"/>
        <v/>
      </c>
      <c r="BF628" s="30" t="str">
        <f t="shared" si="71"/>
        <v/>
      </c>
      <c r="BG628" s="30" t="str">
        <f t="shared" si="72"/>
        <v/>
      </c>
    </row>
    <row r="629" spans="1:59">
      <c r="A629" s="39"/>
      <c r="B629" s="39"/>
      <c r="C629" s="39"/>
      <c r="D629" s="39"/>
      <c r="E629" s="39"/>
      <c r="F629" s="39"/>
      <c r="G629" s="39"/>
      <c r="H629" s="39"/>
      <c r="I629" s="40"/>
      <c r="J629" s="40"/>
      <c r="K629" s="35"/>
      <c r="L629" s="35"/>
      <c r="M629" s="35"/>
      <c r="N629" s="39"/>
      <c r="O629" s="39"/>
      <c r="P629" s="39"/>
      <c r="Q629" s="39"/>
      <c r="R629" s="39"/>
      <c r="S629" s="39"/>
      <c r="T629" s="39"/>
      <c r="U629" s="39"/>
      <c r="V629" s="39"/>
      <c r="W629" s="39"/>
      <c r="X629" s="39"/>
      <c r="Y629" s="39"/>
      <c r="Z629" s="39"/>
      <c r="AA629" s="39"/>
      <c r="AB629" s="39"/>
      <c r="AC629" s="39"/>
      <c r="AD629" s="39"/>
      <c r="AE629" s="39"/>
      <c r="AF629" s="39"/>
      <c r="AG629" s="39"/>
      <c r="AH629" s="39"/>
      <c r="AI629" s="35"/>
      <c r="AJ629" s="39"/>
      <c r="AK629" s="39"/>
      <c r="AL629" s="39"/>
      <c r="AM629" s="35"/>
      <c r="AN629" s="35"/>
      <c r="AO629" s="39"/>
      <c r="AP629" s="39"/>
      <c r="AQ629" s="35"/>
      <c r="AR629" s="35"/>
      <c r="AS629" s="35"/>
      <c r="AT629" s="30">
        <f t="shared" ca="1" si="68"/>
        <v>0</v>
      </c>
      <c r="AU629" s="32" t="str">
        <f t="shared" ca="1" si="67"/>
        <v/>
      </c>
      <c r="AV629" s="32" t="str" cm="1">
        <f t="array" aca="1" ref="AV629" ca="1">IFERROR(_xlfn.IFS($AU629="","",$AU629&lt;=15,"0-15",AND($AU629&gt;=16,$AU629&lt;=30),"16-30",AND($AU629&gt;=31,$AU629&lt;=45),"31-45",AND($AU629&gt;=46,$AU629&lt;=60),"46-60",AND($AU629&gt;=61,$AU629&lt;=90),"61-90",AND($AU629&gt;=91),"&gt; 90",AND($AU629&gt;=2000),""),"")</f>
        <v/>
      </c>
      <c r="AW629" s="32" t="str" cm="1">
        <f t="array" aca="1" ref="AW629" ca="1">IFERROR(_xlfn.IFS(OR($M629="",$AM629=""),"",OR($C629="Offered",$C629="Joined"),($AM629-$M629)-$AT629),"")</f>
        <v/>
      </c>
      <c r="AX629" s="32" t="str" cm="1">
        <f t="array" aca="1" ref="AX629" ca="1">IFERROR(_xlfn.IFS(OR($M629="",$AS629=""),"",$C629="Joined",($AS629-$M629)-$AT629),"")</f>
        <v/>
      </c>
      <c r="AY629" s="30" t="str">
        <f>IFERROR(IF(COUNTIFS('Candidate Tracker'!$E:$E,'Positions Tracker'!$B629,'Candidate Tracker'!$C:$C,"Offer Drop")=0,"",COUNTIFS('Candidate Tracker'!$E:$E,'Positions Tracker'!$B629,'Candidate Tracker'!$C:$C,"Offer Drop")),"")</f>
        <v/>
      </c>
      <c r="AZ6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29" s="34" t="str">
        <f>IFERROR(IF(COUNTIFS('Candidate Tracker'!$E:$E,'Positions Tracker'!$B629,'Candidate Tracker'!$I:$I,"Female")=0,"",COUNTIFS('Candidate Tracker'!$E:$E,'Positions Tracker'!$B629,'Candidate Tracker'!$I:$I,"Female")),"")</f>
        <v/>
      </c>
      <c r="BB629" s="34" t="str">
        <f>IFERROR(IF(COUNTIFS('Candidate Tracker'!$E:$E,'Positions Tracker'!$B629,'Candidate Tracker'!$I:$I,"male")=0,"",COUNTIFS('Candidate Tracker'!$E:$E,'Positions Tracker'!$B629,'Candidate Tracker'!$I:$I,"male")),"")</f>
        <v/>
      </c>
      <c r="BC629" s="33" t="str">
        <f>IFERROR(IF(COUNTIFS('Candidate Tracker'!$E:$E,'Positions Tracker'!$B629,'Candidate Tracker'!$C:$C,"&lt;&gt;WIP",'Candidate Tracker'!$C:$C,"&lt;&gt;Hold",'Candidate Tracker'!$C:$C,"&lt;&gt;Cancelled",'Candidate Tracker'!$C:$C,"&lt;&gt;Closed")/COUNTIFS('Candidate Tracker'!$E:$E,'Positions Tracker'!$B629)=0,"",COUNTIFS('Candidate Tracker'!$E:$E,'Positions Tracker'!$B629,'Candidate Tracker'!$C:$C,"&lt;&gt;WIP",'Candidate Tracker'!$C:$C,"&lt;&gt;Hold",'Candidate Tracker'!$C:$C,"&lt;&gt;Cancelled",'Candidate Tracker'!$C:$C,"&lt;&gt;Closed")/COUNTIFS('Candidate Tracker'!$E:$E,'Positions Tracker'!$B629)),"")</f>
        <v/>
      </c>
      <c r="BD629" s="30" t="str">
        <f t="shared" si="69"/>
        <v/>
      </c>
      <c r="BE629" s="30" t="str">
        <f t="shared" si="70"/>
        <v/>
      </c>
      <c r="BF629" s="30" t="str">
        <f t="shared" si="71"/>
        <v/>
      </c>
      <c r="BG629" s="30" t="str">
        <f t="shared" si="72"/>
        <v/>
      </c>
    </row>
    <row r="630" spans="1:59">
      <c r="A630" s="39"/>
      <c r="B630" s="39"/>
      <c r="C630" s="39"/>
      <c r="D630" s="39"/>
      <c r="E630" s="39"/>
      <c r="F630" s="39"/>
      <c r="G630" s="39"/>
      <c r="H630" s="39"/>
      <c r="I630" s="40"/>
      <c r="J630" s="40"/>
      <c r="K630" s="35"/>
      <c r="L630" s="35"/>
      <c r="M630" s="35"/>
      <c r="N630" s="39"/>
      <c r="O630" s="39"/>
      <c r="P630" s="39"/>
      <c r="Q630" s="39"/>
      <c r="R630" s="39"/>
      <c r="S630" s="39"/>
      <c r="T630" s="39"/>
      <c r="U630" s="39"/>
      <c r="V630" s="39"/>
      <c r="W630" s="39"/>
      <c r="X630" s="39"/>
      <c r="Y630" s="39"/>
      <c r="Z630" s="39"/>
      <c r="AA630" s="39"/>
      <c r="AB630" s="39"/>
      <c r="AC630" s="39"/>
      <c r="AD630" s="39"/>
      <c r="AE630" s="39"/>
      <c r="AF630" s="39"/>
      <c r="AG630" s="39"/>
      <c r="AH630" s="39"/>
      <c r="AI630" s="35"/>
      <c r="AJ630" s="39"/>
      <c r="AK630" s="39"/>
      <c r="AL630" s="39"/>
      <c r="AM630" s="35"/>
      <c r="AN630" s="35"/>
      <c r="AO630" s="39"/>
      <c r="AP630" s="39"/>
      <c r="AQ630" s="35"/>
      <c r="AR630" s="35"/>
      <c r="AS630" s="35"/>
      <c r="AT630" s="30">
        <f t="shared" ca="1" si="68"/>
        <v>0</v>
      </c>
      <c r="AU630" s="32" t="str">
        <f t="shared" ca="1" si="67"/>
        <v/>
      </c>
      <c r="AV630" s="32" t="str" cm="1">
        <f t="array" aca="1" ref="AV630" ca="1">IFERROR(_xlfn.IFS($AU630="","",$AU630&lt;=15,"0-15",AND($AU630&gt;=16,$AU630&lt;=30),"16-30",AND($AU630&gt;=31,$AU630&lt;=45),"31-45",AND($AU630&gt;=46,$AU630&lt;=60),"46-60",AND($AU630&gt;=61,$AU630&lt;=90),"61-90",AND($AU630&gt;=91),"&gt; 90",AND($AU630&gt;=2000),""),"")</f>
        <v/>
      </c>
      <c r="AW630" s="32" t="str" cm="1">
        <f t="array" aca="1" ref="AW630" ca="1">IFERROR(_xlfn.IFS(OR($M630="",$AM630=""),"",OR($C630="Offered",$C630="Joined"),($AM630-$M630)-$AT630),"")</f>
        <v/>
      </c>
      <c r="AX630" s="32" t="str" cm="1">
        <f t="array" aca="1" ref="AX630" ca="1">IFERROR(_xlfn.IFS(OR($M630="",$AS630=""),"",$C630="Joined",($AS630-$M630)-$AT630),"")</f>
        <v/>
      </c>
      <c r="AY630" s="30" t="str">
        <f>IFERROR(IF(COUNTIFS('Candidate Tracker'!$E:$E,'Positions Tracker'!$B630,'Candidate Tracker'!$C:$C,"Offer Drop")=0,"",COUNTIFS('Candidate Tracker'!$E:$E,'Positions Tracker'!$B630,'Candidate Tracker'!$C:$C,"Offer Drop")),"")</f>
        <v/>
      </c>
      <c r="AZ6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0" s="34" t="str">
        <f>IFERROR(IF(COUNTIFS('Candidate Tracker'!$E:$E,'Positions Tracker'!$B630,'Candidate Tracker'!$I:$I,"Female")=0,"",COUNTIFS('Candidate Tracker'!$E:$E,'Positions Tracker'!$B630,'Candidate Tracker'!$I:$I,"Female")),"")</f>
        <v/>
      </c>
      <c r="BB630" s="34" t="str">
        <f>IFERROR(IF(COUNTIFS('Candidate Tracker'!$E:$E,'Positions Tracker'!$B630,'Candidate Tracker'!$I:$I,"male")=0,"",COUNTIFS('Candidate Tracker'!$E:$E,'Positions Tracker'!$B630,'Candidate Tracker'!$I:$I,"male")),"")</f>
        <v/>
      </c>
      <c r="BC630" s="33" t="str">
        <f>IFERROR(IF(COUNTIFS('Candidate Tracker'!$E:$E,'Positions Tracker'!$B630,'Candidate Tracker'!$C:$C,"&lt;&gt;WIP",'Candidate Tracker'!$C:$C,"&lt;&gt;Hold",'Candidate Tracker'!$C:$C,"&lt;&gt;Cancelled",'Candidate Tracker'!$C:$C,"&lt;&gt;Closed")/COUNTIFS('Candidate Tracker'!$E:$E,'Positions Tracker'!$B630)=0,"",COUNTIFS('Candidate Tracker'!$E:$E,'Positions Tracker'!$B630,'Candidate Tracker'!$C:$C,"&lt;&gt;WIP",'Candidate Tracker'!$C:$C,"&lt;&gt;Hold",'Candidate Tracker'!$C:$C,"&lt;&gt;Cancelled",'Candidate Tracker'!$C:$C,"&lt;&gt;Closed")/COUNTIFS('Candidate Tracker'!$E:$E,'Positions Tracker'!$B630)),"")</f>
        <v/>
      </c>
      <c r="BD630" s="30" t="str">
        <f t="shared" si="69"/>
        <v/>
      </c>
      <c r="BE630" s="30" t="str">
        <f t="shared" si="70"/>
        <v/>
      </c>
      <c r="BF630" s="30" t="str">
        <f t="shared" si="71"/>
        <v/>
      </c>
      <c r="BG630" s="30" t="str">
        <f t="shared" si="72"/>
        <v/>
      </c>
    </row>
    <row r="631" spans="1:59">
      <c r="A631" s="39"/>
      <c r="B631" s="39"/>
      <c r="C631" s="39"/>
      <c r="D631" s="39"/>
      <c r="E631" s="39"/>
      <c r="F631" s="39"/>
      <c r="G631" s="39"/>
      <c r="H631" s="39"/>
      <c r="I631" s="40"/>
      <c r="J631" s="40"/>
      <c r="K631" s="35"/>
      <c r="L631" s="35"/>
      <c r="M631" s="35"/>
      <c r="N631" s="39"/>
      <c r="O631" s="39"/>
      <c r="P631" s="39"/>
      <c r="Q631" s="39"/>
      <c r="R631" s="39"/>
      <c r="S631" s="39"/>
      <c r="T631" s="39"/>
      <c r="U631" s="39"/>
      <c r="V631" s="39"/>
      <c r="W631" s="39"/>
      <c r="X631" s="39"/>
      <c r="Y631" s="39"/>
      <c r="Z631" s="39"/>
      <c r="AA631" s="39"/>
      <c r="AB631" s="39"/>
      <c r="AC631" s="39"/>
      <c r="AD631" s="39"/>
      <c r="AE631" s="39"/>
      <c r="AF631" s="39"/>
      <c r="AG631" s="39"/>
      <c r="AH631" s="39"/>
      <c r="AI631" s="35"/>
      <c r="AJ631" s="39"/>
      <c r="AK631" s="39"/>
      <c r="AL631" s="39"/>
      <c r="AM631" s="35"/>
      <c r="AN631" s="35"/>
      <c r="AO631" s="39"/>
      <c r="AP631" s="39"/>
      <c r="AQ631" s="35"/>
      <c r="AR631" s="35"/>
      <c r="AS631" s="35"/>
      <c r="AT631" s="30">
        <f t="shared" ca="1" si="68"/>
        <v>0</v>
      </c>
      <c r="AU631" s="32" t="str">
        <f t="shared" ca="1" si="67"/>
        <v/>
      </c>
      <c r="AV631" s="32" t="str" cm="1">
        <f t="array" aca="1" ref="AV631" ca="1">IFERROR(_xlfn.IFS($AU631="","",$AU631&lt;=15,"0-15",AND($AU631&gt;=16,$AU631&lt;=30),"16-30",AND($AU631&gt;=31,$AU631&lt;=45),"31-45",AND($AU631&gt;=46,$AU631&lt;=60),"46-60",AND($AU631&gt;=61,$AU631&lt;=90),"61-90",AND($AU631&gt;=91),"&gt; 90",AND($AU631&gt;=2000),""),"")</f>
        <v/>
      </c>
      <c r="AW631" s="32" t="str" cm="1">
        <f t="array" aca="1" ref="AW631" ca="1">IFERROR(_xlfn.IFS(OR($M631="",$AM631=""),"",OR($C631="Offered",$C631="Joined"),($AM631-$M631)-$AT631),"")</f>
        <v/>
      </c>
      <c r="AX631" s="32" t="str" cm="1">
        <f t="array" aca="1" ref="AX631" ca="1">IFERROR(_xlfn.IFS(OR($M631="",$AS631=""),"",$C631="Joined",($AS631-$M631)-$AT631),"")</f>
        <v/>
      </c>
      <c r="AY631" s="30" t="str">
        <f>IFERROR(IF(COUNTIFS('Candidate Tracker'!$E:$E,'Positions Tracker'!$B631,'Candidate Tracker'!$C:$C,"Offer Drop")=0,"",COUNTIFS('Candidate Tracker'!$E:$E,'Positions Tracker'!$B631,'Candidate Tracker'!$C:$C,"Offer Drop")),"")</f>
        <v/>
      </c>
      <c r="AZ6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1" s="34" t="str">
        <f>IFERROR(IF(COUNTIFS('Candidate Tracker'!$E:$E,'Positions Tracker'!$B631,'Candidate Tracker'!$I:$I,"Female")=0,"",COUNTIFS('Candidate Tracker'!$E:$E,'Positions Tracker'!$B631,'Candidate Tracker'!$I:$I,"Female")),"")</f>
        <v/>
      </c>
      <c r="BB631" s="34" t="str">
        <f>IFERROR(IF(COUNTIFS('Candidate Tracker'!$E:$E,'Positions Tracker'!$B631,'Candidate Tracker'!$I:$I,"male")=0,"",COUNTIFS('Candidate Tracker'!$E:$E,'Positions Tracker'!$B631,'Candidate Tracker'!$I:$I,"male")),"")</f>
        <v/>
      </c>
      <c r="BC631" s="33" t="str">
        <f>IFERROR(IF(COUNTIFS('Candidate Tracker'!$E:$E,'Positions Tracker'!$B631,'Candidate Tracker'!$C:$C,"&lt;&gt;WIP",'Candidate Tracker'!$C:$C,"&lt;&gt;Hold",'Candidate Tracker'!$C:$C,"&lt;&gt;Cancelled",'Candidate Tracker'!$C:$C,"&lt;&gt;Closed")/COUNTIFS('Candidate Tracker'!$E:$E,'Positions Tracker'!$B631)=0,"",COUNTIFS('Candidate Tracker'!$E:$E,'Positions Tracker'!$B631,'Candidate Tracker'!$C:$C,"&lt;&gt;WIP",'Candidate Tracker'!$C:$C,"&lt;&gt;Hold",'Candidate Tracker'!$C:$C,"&lt;&gt;Cancelled",'Candidate Tracker'!$C:$C,"&lt;&gt;Closed")/COUNTIFS('Candidate Tracker'!$E:$E,'Positions Tracker'!$B631)),"")</f>
        <v/>
      </c>
      <c r="BD631" s="30" t="str">
        <f t="shared" si="69"/>
        <v/>
      </c>
      <c r="BE631" s="30" t="str">
        <f t="shared" si="70"/>
        <v/>
      </c>
      <c r="BF631" s="30" t="str">
        <f t="shared" si="71"/>
        <v/>
      </c>
      <c r="BG631" s="30" t="str">
        <f t="shared" si="72"/>
        <v/>
      </c>
    </row>
    <row r="632" spans="1:59">
      <c r="A632" s="39"/>
      <c r="B632" s="39"/>
      <c r="C632" s="39"/>
      <c r="D632" s="39"/>
      <c r="E632" s="39"/>
      <c r="F632" s="39"/>
      <c r="G632" s="39"/>
      <c r="H632" s="39"/>
      <c r="I632" s="40"/>
      <c r="J632" s="40"/>
      <c r="K632" s="35"/>
      <c r="L632" s="35"/>
      <c r="M632" s="35"/>
      <c r="N632" s="39"/>
      <c r="O632" s="39"/>
      <c r="P632" s="39"/>
      <c r="Q632" s="39"/>
      <c r="R632" s="39"/>
      <c r="S632" s="39"/>
      <c r="T632" s="39"/>
      <c r="U632" s="39"/>
      <c r="V632" s="39"/>
      <c r="W632" s="39"/>
      <c r="X632" s="39"/>
      <c r="Y632" s="39"/>
      <c r="Z632" s="39"/>
      <c r="AA632" s="39"/>
      <c r="AB632" s="39"/>
      <c r="AC632" s="39"/>
      <c r="AD632" s="39"/>
      <c r="AE632" s="39"/>
      <c r="AF632" s="39"/>
      <c r="AG632" s="39"/>
      <c r="AH632" s="39"/>
      <c r="AI632" s="35"/>
      <c r="AJ632" s="39"/>
      <c r="AK632" s="39"/>
      <c r="AL632" s="39"/>
      <c r="AM632" s="35"/>
      <c r="AN632" s="35"/>
      <c r="AO632" s="39"/>
      <c r="AP632" s="39"/>
      <c r="AQ632" s="35"/>
      <c r="AR632" s="35"/>
      <c r="AS632" s="35"/>
      <c r="AT632" s="30">
        <f t="shared" ca="1" si="68"/>
        <v>0</v>
      </c>
      <c r="AU632" s="32" t="str">
        <f t="shared" ca="1" si="67"/>
        <v/>
      </c>
      <c r="AV632" s="32" t="str" cm="1">
        <f t="array" aca="1" ref="AV632" ca="1">IFERROR(_xlfn.IFS($AU632="","",$AU632&lt;=15,"0-15",AND($AU632&gt;=16,$AU632&lt;=30),"16-30",AND($AU632&gt;=31,$AU632&lt;=45),"31-45",AND($AU632&gt;=46,$AU632&lt;=60),"46-60",AND($AU632&gt;=61,$AU632&lt;=90),"61-90",AND($AU632&gt;=91),"&gt; 90",AND($AU632&gt;=2000),""),"")</f>
        <v/>
      </c>
      <c r="AW632" s="32" t="str" cm="1">
        <f t="array" aca="1" ref="AW632" ca="1">IFERROR(_xlfn.IFS(OR($M632="",$AM632=""),"",OR($C632="Offered",$C632="Joined"),($AM632-$M632)-$AT632),"")</f>
        <v/>
      </c>
      <c r="AX632" s="32" t="str" cm="1">
        <f t="array" aca="1" ref="AX632" ca="1">IFERROR(_xlfn.IFS(OR($M632="",$AS632=""),"",$C632="Joined",($AS632-$M632)-$AT632),"")</f>
        <v/>
      </c>
      <c r="AY632" s="30" t="str">
        <f>IFERROR(IF(COUNTIFS('Candidate Tracker'!$E:$E,'Positions Tracker'!$B632,'Candidate Tracker'!$C:$C,"Offer Drop")=0,"",COUNTIFS('Candidate Tracker'!$E:$E,'Positions Tracker'!$B632,'Candidate Tracker'!$C:$C,"Offer Drop")),"")</f>
        <v/>
      </c>
      <c r="AZ6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2" s="34" t="str">
        <f>IFERROR(IF(COUNTIFS('Candidate Tracker'!$E:$E,'Positions Tracker'!$B632,'Candidate Tracker'!$I:$I,"Female")=0,"",COUNTIFS('Candidate Tracker'!$E:$E,'Positions Tracker'!$B632,'Candidate Tracker'!$I:$I,"Female")),"")</f>
        <v/>
      </c>
      <c r="BB632" s="34" t="str">
        <f>IFERROR(IF(COUNTIFS('Candidate Tracker'!$E:$E,'Positions Tracker'!$B632,'Candidate Tracker'!$I:$I,"male")=0,"",COUNTIFS('Candidate Tracker'!$E:$E,'Positions Tracker'!$B632,'Candidate Tracker'!$I:$I,"male")),"")</f>
        <v/>
      </c>
      <c r="BC632" s="33" t="str">
        <f>IFERROR(IF(COUNTIFS('Candidate Tracker'!$E:$E,'Positions Tracker'!$B632,'Candidate Tracker'!$C:$C,"&lt;&gt;WIP",'Candidate Tracker'!$C:$C,"&lt;&gt;Hold",'Candidate Tracker'!$C:$C,"&lt;&gt;Cancelled",'Candidate Tracker'!$C:$C,"&lt;&gt;Closed")/COUNTIFS('Candidate Tracker'!$E:$E,'Positions Tracker'!$B632)=0,"",COUNTIFS('Candidate Tracker'!$E:$E,'Positions Tracker'!$B632,'Candidate Tracker'!$C:$C,"&lt;&gt;WIP",'Candidate Tracker'!$C:$C,"&lt;&gt;Hold",'Candidate Tracker'!$C:$C,"&lt;&gt;Cancelled",'Candidate Tracker'!$C:$C,"&lt;&gt;Closed")/COUNTIFS('Candidate Tracker'!$E:$E,'Positions Tracker'!$B632)),"")</f>
        <v/>
      </c>
      <c r="BD632" s="30" t="str">
        <f t="shared" si="69"/>
        <v/>
      </c>
      <c r="BE632" s="30" t="str">
        <f t="shared" si="70"/>
        <v/>
      </c>
      <c r="BF632" s="30" t="str">
        <f t="shared" si="71"/>
        <v/>
      </c>
      <c r="BG632" s="30" t="str">
        <f t="shared" si="72"/>
        <v/>
      </c>
    </row>
    <row r="633" spans="1:59">
      <c r="A633" s="39"/>
      <c r="B633" s="39"/>
      <c r="C633" s="39"/>
      <c r="D633" s="39"/>
      <c r="E633" s="39"/>
      <c r="F633" s="39"/>
      <c r="G633" s="39"/>
      <c r="H633" s="39"/>
      <c r="I633" s="40"/>
      <c r="J633" s="40"/>
      <c r="K633" s="35"/>
      <c r="L633" s="35"/>
      <c r="M633" s="35"/>
      <c r="N633" s="39"/>
      <c r="O633" s="39"/>
      <c r="P633" s="39"/>
      <c r="Q633" s="39"/>
      <c r="R633" s="39"/>
      <c r="S633" s="39"/>
      <c r="T633" s="39"/>
      <c r="U633" s="39"/>
      <c r="V633" s="39"/>
      <c r="W633" s="39"/>
      <c r="X633" s="39"/>
      <c r="Y633" s="39"/>
      <c r="Z633" s="39"/>
      <c r="AA633" s="39"/>
      <c r="AB633" s="39"/>
      <c r="AC633" s="39"/>
      <c r="AD633" s="39"/>
      <c r="AE633" s="39"/>
      <c r="AF633" s="39"/>
      <c r="AG633" s="39"/>
      <c r="AH633" s="39"/>
      <c r="AI633" s="35"/>
      <c r="AJ633" s="39"/>
      <c r="AK633" s="39"/>
      <c r="AL633" s="39"/>
      <c r="AM633" s="35"/>
      <c r="AN633" s="35"/>
      <c r="AO633" s="39"/>
      <c r="AP633" s="39"/>
      <c r="AQ633" s="35"/>
      <c r="AR633" s="35"/>
      <c r="AS633" s="35"/>
      <c r="AT633" s="30">
        <f t="shared" ca="1" si="68"/>
        <v>0</v>
      </c>
      <c r="AU633" s="32" t="str">
        <f t="shared" ca="1" si="67"/>
        <v/>
      </c>
      <c r="AV633" s="32" t="str" cm="1">
        <f t="array" aca="1" ref="AV633" ca="1">IFERROR(_xlfn.IFS($AU633="","",$AU633&lt;=15,"0-15",AND($AU633&gt;=16,$AU633&lt;=30),"16-30",AND($AU633&gt;=31,$AU633&lt;=45),"31-45",AND($AU633&gt;=46,$AU633&lt;=60),"46-60",AND($AU633&gt;=61,$AU633&lt;=90),"61-90",AND($AU633&gt;=91),"&gt; 90",AND($AU633&gt;=2000),""),"")</f>
        <v/>
      </c>
      <c r="AW633" s="32" t="str" cm="1">
        <f t="array" aca="1" ref="AW633" ca="1">IFERROR(_xlfn.IFS(OR($M633="",$AM633=""),"",OR($C633="Offered",$C633="Joined"),($AM633-$M633)-$AT633),"")</f>
        <v/>
      </c>
      <c r="AX633" s="32" t="str" cm="1">
        <f t="array" aca="1" ref="AX633" ca="1">IFERROR(_xlfn.IFS(OR($M633="",$AS633=""),"",$C633="Joined",($AS633-$M633)-$AT633),"")</f>
        <v/>
      </c>
      <c r="AY633" s="30" t="str">
        <f>IFERROR(IF(COUNTIFS('Candidate Tracker'!$E:$E,'Positions Tracker'!$B633,'Candidate Tracker'!$C:$C,"Offer Drop")=0,"",COUNTIFS('Candidate Tracker'!$E:$E,'Positions Tracker'!$B633,'Candidate Tracker'!$C:$C,"Offer Drop")),"")</f>
        <v/>
      </c>
      <c r="AZ6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3" s="34" t="str">
        <f>IFERROR(IF(COUNTIFS('Candidate Tracker'!$E:$E,'Positions Tracker'!$B633,'Candidate Tracker'!$I:$I,"Female")=0,"",COUNTIFS('Candidate Tracker'!$E:$E,'Positions Tracker'!$B633,'Candidate Tracker'!$I:$I,"Female")),"")</f>
        <v/>
      </c>
      <c r="BB633" s="34" t="str">
        <f>IFERROR(IF(COUNTIFS('Candidate Tracker'!$E:$E,'Positions Tracker'!$B633,'Candidate Tracker'!$I:$I,"male")=0,"",COUNTIFS('Candidate Tracker'!$E:$E,'Positions Tracker'!$B633,'Candidate Tracker'!$I:$I,"male")),"")</f>
        <v/>
      </c>
      <c r="BC633" s="33" t="str">
        <f>IFERROR(IF(COUNTIFS('Candidate Tracker'!$E:$E,'Positions Tracker'!$B633,'Candidate Tracker'!$C:$C,"&lt;&gt;WIP",'Candidate Tracker'!$C:$C,"&lt;&gt;Hold",'Candidate Tracker'!$C:$C,"&lt;&gt;Cancelled",'Candidate Tracker'!$C:$C,"&lt;&gt;Closed")/COUNTIFS('Candidate Tracker'!$E:$E,'Positions Tracker'!$B633)=0,"",COUNTIFS('Candidate Tracker'!$E:$E,'Positions Tracker'!$B633,'Candidate Tracker'!$C:$C,"&lt;&gt;WIP",'Candidate Tracker'!$C:$C,"&lt;&gt;Hold",'Candidate Tracker'!$C:$C,"&lt;&gt;Cancelled",'Candidate Tracker'!$C:$C,"&lt;&gt;Closed")/COUNTIFS('Candidate Tracker'!$E:$E,'Positions Tracker'!$B633)),"")</f>
        <v/>
      </c>
      <c r="BD633" s="30" t="str">
        <f t="shared" si="69"/>
        <v/>
      </c>
      <c r="BE633" s="30" t="str">
        <f t="shared" si="70"/>
        <v/>
      </c>
      <c r="BF633" s="30" t="str">
        <f t="shared" si="71"/>
        <v/>
      </c>
      <c r="BG633" s="30" t="str">
        <f t="shared" si="72"/>
        <v/>
      </c>
    </row>
    <row r="634" spans="1:59">
      <c r="A634" s="39"/>
      <c r="B634" s="39"/>
      <c r="C634" s="39"/>
      <c r="D634" s="39"/>
      <c r="E634" s="39"/>
      <c r="F634" s="39"/>
      <c r="G634" s="39"/>
      <c r="H634" s="39"/>
      <c r="I634" s="40"/>
      <c r="J634" s="40"/>
      <c r="K634" s="35"/>
      <c r="L634" s="35"/>
      <c r="M634" s="35"/>
      <c r="N634" s="39"/>
      <c r="O634" s="39"/>
      <c r="P634" s="39"/>
      <c r="Q634" s="39"/>
      <c r="R634" s="39"/>
      <c r="S634" s="39"/>
      <c r="T634" s="39"/>
      <c r="U634" s="39"/>
      <c r="V634" s="39"/>
      <c r="W634" s="39"/>
      <c r="X634" s="39"/>
      <c r="Y634" s="39"/>
      <c r="Z634" s="39"/>
      <c r="AA634" s="39"/>
      <c r="AB634" s="39"/>
      <c r="AC634" s="39"/>
      <c r="AD634" s="39"/>
      <c r="AE634" s="39"/>
      <c r="AF634" s="39"/>
      <c r="AG634" s="39"/>
      <c r="AH634" s="39"/>
      <c r="AI634" s="35"/>
      <c r="AJ634" s="39"/>
      <c r="AK634" s="39"/>
      <c r="AL634" s="39"/>
      <c r="AM634" s="35"/>
      <c r="AN634" s="35"/>
      <c r="AO634" s="39"/>
      <c r="AP634" s="39"/>
      <c r="AQ634" s="35"/>
      <c r="AR634" s="35"/>
      <c r="AS634" s="35"/>
      <c r="AT634" s="30">
        <f t="shared" ca="1" si="68"/>
        <v>0</v>
      </c>
      <c r="AU634" s="32" t="str">
        <f t="shared" ca="1" si="67"/>
        <v/>
      </c>
      <c r="AV634" s="32" t="str" cm="1">
        <f t="array" aca="1" ref="AV634" ca="1">IFERROR(_xlfn.IFS($AU634="","",$AU634&lt;=15,"0-15",AND($AU634&gt;=16,$AU634&lt;=30),"16-30",AND($AU634&gt;=31,$AU634&lt;=45),"31-45",AND($AU634&gt;=46,$AU634&lt;=60),"46-60",AND($AU634&gt;=61,$AU634&lt;=90),"61-90",AND($AU634&gt;=91),"&gt; 90",AND($AU634&gt;=2000),""),"")</f>
        <v/>
      </c>
      <c r="AW634" s="32" t="str" cm="1">
        <f t="array" aca="1" ref="AW634" ca="1">IFERROR(_xlfn.IFS(OR($M634="",$AM634=""),"",OR($C634="Offered",$C634="Joined"),($AM634-$M634)-$AT634),"")</f>
        <v/>
      </c>
      <c r="AX634" s="32" t="str" cm="1">
        <f t="array" aca="1" ref="AX634" ca="1">IFERROR(_xlfn.IFS(OR($M634="",$AS634=""),"",$C634="Joined",($AS634-$M634)-$AT634),"")</f>
        <v/>
      </c>
      <c r="AY634" s="30" t="str">
        <f>IFERROR(IF(COUNTIFS('Candidate Tracker'!$E:$E,'Positions Tracker'!$B634,'Candidate Tracker'!$C:$C,"Offer Drop")=0,"",COUNTIFS('Candidate Tracker'!$E:$E,'Positions Tracker'!$B634,'Candidate Tracker'!$C:$C,"Offer Drop")),"")</f>
        <v/>
      </c>
      <c r="AZ6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4" s="34" t="str">
        <f>IFERROR(IF(COUNTIFS('Candidate Tracker'!$E:$E,'Positions Tracker'!$B634,'Candidate Tracker'!$I:$I,"Female")=0,"",COUNTIFS('Candidate Tracker'!$E:$E,'Positions Tracker'!$B634,'Candidate Tracker'!$I:$I,"Female")),"")</f>
        <v/>
      </c>
      <c r="BB634" s="34" t="str">
        <f>IFERROR(IF(COUNTIFS('Candidate Tracker'!$E:$E,'Positions Tracker'!$B634,'Candidate Tracker'!$I:$I,"male")=0,"",COUNTIFS('Candidate Tracker'!$E:$E,'Positions Tracker'!$B634,'Candidate Tracker'!$I:$I,"male")),"")</f>
        <v/>
      </c>
      <c r="BC634" s="33" t="str">
        <f>IFERROR(IF(COUNTIFS('Candidate Tracker'!$E:$E,'Positions Tracker'!$B634,'Candidate Tracker'!$C:$C,"&lt;&gt;WIP",'Candidate Tracker'!$C:$C,"&lt;&gt;Hold",'Candidate Tracker'!$C:$C,"&lt;&gt;Cancelled",'Candidate Tracker'!$C:$C,"&lt;&gt;Closed")/COUNTIFS('Candidate Tracker'!$E:$E,'Positions Tracker'!$B634)=0,"",COUNTIFS('Candidate Tracker'!$E:$E,'Positions Tracker'!$B634,'Candidate Tracker'!$C:$C,"&lt;&gt;WIP",'Candidate Tracker'!$C:$C,"&lt;&gt;Hold",'Candidate Tracker'!$C:$C,"&lt;&gt;Cancelled",'Candidate Tracker'!$C:$C,"&lt;&gt;Closed")/COUNTIFS('Candidate Tracker'!$E:$E,'Positions Tracker'!$B634)),"")</f>
        <v/>
      </c>
      <c r="BD634" s="30" t="str">
        <f t="shared" si="69"/>
        <v/>
      </c>
      <c r="BE634" s="30" t="str">
        <f t="shared" si="70"/>
        <v/>
      </c>
      <c r="BF634" s="30" t="str">
        <f t="shared" si="71"/>
        <v/>
      </c>
      <c r="BG634" s="30" t="str">
        <f t="shared" si="72"/>
        <v/>
      </c>
    </row>
    <row r="635" spans="1:59">
      <c r="A635" s="39"/>
      <c r="B635" s="39"/>
      <c r="C635" s="39"/>
      <c r="D635" s="39"/>
      <c r="E635" s="39"/>
      <c r="F635" s="39"/>
      <c r="G635" s="39"/>
      <c r="H635" s="39"/>
      <c r="I635" s="40"/>
      <c r="J635" s="40"/>
      <c r="K635" s="35"/>
      <c r="L635" s="35"/>
      <c r="M635" s="35"/>
      <c r="N635" s="39"/>
      <c r="O635" s="39"/>
      <c r="P635" s="39"/>
      <c r="Q635" s="39"/>
      <c r="R635" s="39"/>
      <c r="S635" s="39"/>
      <c r="T635" s="39"/>
      <c r="U635" s="39"/>
      <c r="V635" s="39"/>
      <c r="W635" s="39"/>
      <c r="X635" s="39"/>
      <c r="Y635" s="39"/>
      <c r="Z635" s="39"/>
      <c r="AA635" s="39"/>
      <c r="AB635" s="39"/>
      <c r="AC635" s="39"/>
      <c r="AD635" s="39"/>
      <c r="AE635" s="39"/>
      <c r="AF635" s="39"/>
      <c r="AG635" s="39"/>
      <c r="AH635" s="39"/>
      <c r="AI635" s="35"/>
      <c r="AJ635" s="39"/>
      <c r="AK635" s="39"/>
      <c r="AL635" s="39"/>
      <c r="AM635" s="35"/>
      <c r="AN635" s="35"/>
      <c r="AO635" s="39"/>
      <c r="AP635" s="39"/>
      <c r="AQ635" s="35"/>
      <c r="AR635" s="35"/>
      <c r="AS635" s="35"/>
      <c r="AT635" s="30">
        <f t="shared" ca="1" si="68"/>
        <v>0</v>
      </c>
      <c r="AU635" s="32" t="str">
        <f t="shared" ca="1" si="67"/>
        <v/>
      </c>
      <c r="AV635" s="32" t="str" cm="1">
        <f t="array" aca="1" ref="AV635" ca="1">IFERROR(_xlfn.IFS($AU635="","",$AU635&lt;=15,"0-15",AND($AU635&gt;=16,$AU635&lt;=30),"16-30",AND($AU635&gt;=31,$AU635&lt;=45),"31-45",AND($AU635&gt;=46,$AU635&lt;=60),"46-60",AND($AU635&gt;=61,$AU635&lt;=90),"61-90",AND($AU635&gt;=91),"&gt; 90",AND($AU635&gt;=2000),""),"")</f>
        <v/>
      </c>
      <c r="AW635" s="32" t="str" cm="1">
        <f t="array" aca="1" ref="AW635" ca="1">IFERROR(_xlfn.IFS(OR($M635="",$AM635=""),"",OR($C635="Offered",$C635="Joined"),($AM635-$M635)-$AT635),"")</f>
        <v/>
      </c>
      <c r="AX635" s="32" t="str" cm="1">
        <f t="array" aca="1" ref="AX635" ca="1">IFERROR(_xlfn.IFS(OR($M635="",$AS635=""),"",$C635="Joined",($AS635-$M635)-$AT635),"")</f>
        <v/>
      </c>
      <c r="AY635" s="30" t="str">
        <f>IFERROR(IF(COUNTIFS('Candidate Tracker'!$E:$E,'Positions Tracker'!$B635,'Candidate Tracker'!$C:$C,"Offer Drop")=0,"",COUNTIFS('Candidate Tracker'!$E:$E,'Positions Tracker'!$B635,'Candidate Tracker'!$C:$C,"Offer Drop")),"")</f>
        <v/>
      </c>
      <c r="AZ6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5" s="34" t="str">
        <f>IFERROR(IF(COUNTIFS('Candidate Tracker'!$E:$E,'Positions Tracker'!$B635,'Candidate Tracker'!$I:$I,"Female")=0,"",COUNTIFS('Candidate Tracker'!$E:$E,'Positions Tracker'!$B635,'Candidate Tracker'!$I:$I,"Female")),"")</f>
        <v/>
      </c>
      <c r="BB635" s="34" t="str">
        <f>IFERROR(IF(COUNTIFS('Candidate Tracker'!$E:$E,'Positions Tracker'!$B635,'Candidate Tracker'!$I:$I,"male")=0,"",COUNTIFS('Candidate Tracker'!$E:$E,'Positions Tracker'!$B635,'Candidate Tracker'!$I:$I,"male")),"")</f>
        <v/>
      </c>
      <c r="BC635" s="33" t="str">
        <f>IFERROR(IF(COUNTIFS('Candidate Tracker'!$E:$E,'Positions Tracker'!$B635,'Candidate Tracker'!$C:$C,"&lt;&gt;WIP",'Candidate Tracker'!$C:$C,"&lt;&gt;Hold",'Candidate Tracker'!$C:$C,"&lt;&gt;Cancelled",'Candidate Tracker'!$C:$C,"&lt;&gt;Closed")/COUNTIFS('Candidate Tracker'!$E:$E,'Positions Tracker'!$B635)=0,"",COUNTIFS('Candidate Tracker'!$E:$E,'Positions Tracker'!$B635,'Candidate Tracker'!$C:$C,"&lt;&gt;WIP",'Candidate Tracker'!$C:$C,"&lt;&gt;Hold",'Candidate Tracker'!$C:$C,"&lt;&gt;Cancelled",'Candidate Tracker'!$C:$C,"&lt;&gt;Closed")/COUNTIFS('Candidate Tracker'!$E:$E,'Positions Tracker'!$B635)),"")</f>
        <v/>
      </c>
      <c r="BD635" s="30" t="str">
        <f t="shared" si="69"/>
        <v/>
      </c>
      <c r="BE635" s="30" t="str">
        <f t="shared" si="70"/>
        <v/>
      </c>
      <c r="BF635" s="30" t="str">
        <f t="shared" si="71"/>
        <v/>
      </c>
      <c r="BG635" s="30" t="str">
        <f t="shared" si="72"/>
        <v/>
      </c>
    </row>
    <row r="636" spans="1:59">
      <c r="A636" s="39"/>
      <c r="B636" s="39"/>
      <c r="C636" s="39"/>
      <c r="D636" s="39"/>
      <c r="E636" s="39"/>
      <c r="F636" s="39"/>
      <c r="G636" s="39"/>
      <c r="H636" s="39"/>
      <c r="I636" s="40"/>
      <c r="J636" s="40"/>
      <c r="K636" s="35"/>
      <c r="L636" s="35"/>
      <c r="M636" s="35"/>
      <c r="N636" s="39"/>
      <c r="O636" s="39"/>
      <c r="P636" s="39"/>
      <c r="Q636" s="39"/>
      <c r="R636" s="39"/>
      <c r="S636" s="39"/>
      <c r="T636" s="39"/>
      <c r="U636" s="39"/>
      <c r="V636" s="39"/>
      <c r="W636" s="39"/>
      <c r="X636" s="39"/>
      <c r="Y636" s="39"/>
      <c r="Z636" s="39"/>
      <c r="AA636" s="39"/>
      <c r="AB636" s="39"/>
      <c r="AC636" s="39"/>
      <c r="AD636" s="39"/>
      <c r="AE636" s="39"/>
      <c r="AF636" s="39"/>
      <c r="AG636" s="39"/>
      <c r="AH636" s="39"/>
      <c r="AI636" s="35"/>
      <c r="AJ636" s="39"/>
      <c r="AK636" s="39"/>
      <c r="AL636" s="39"/>
      <c r="AM636" s="35"/>
      <c r="AN636" s="35"/>
      <c r="AO636" s="39"/>
      <c r="AP636" s="39"/>
      <c r="AQ636" s="35"/>
      <c r="AR636" s="35"/>
      <c r="AS636" s="35"/>
      <c r="AT636" s="30">
        <f t="shared" ca="1" si="68"/>
        <v>0</v>
      </c>
      <c r="AU636" s="32" t="str">
        <f t="shared" ca="1" si="67"/>
        <v/>
      </c>
      <c r="AV636" s="32" t="str" cm="1">
        <f t="array" aca="1" ref="AV636" ca="1">IFERROR(_xlfn.IFS($AU636="","",$AU636&lt;=15,"0-15",AND($AU636&gt;=16,$AU636&lt;=30),"16-30",AND($AU636&gt;=31,$AU636&lt;=45),"31-45",AND($AU636&gt;=46,$AU636&lt;=60),"46-60",AND($AU636&gt;=61,$AU636&lt;=90),"61-90",AND($AU636&gt;=91),"&gt; 90",AND($AU636&gt;=2000),""),"")</f>
        <v/>
      </c>
      <c r="AW636" s="32" t="str" cm="1">
        <f t="array" aca="1" ref="AW636" ca="1">IFERROR(_xlfn.IFS(OR($M636="",$AM636=""),"",OR($C636="Offered",$C636="Joined"),($AM636-$M636)-$AT636),"")</f>
        <v/>
      </c>
      <c r="AX636" s="32" t="str" cm="1">
        <f t="array" aca="1" ref="AX636" ca="1">IFERROR(_xlfn.IFS(OR($M636="",$AS636=""),"",$C636="Joined",($AS636-$M636)-$AT636),"")</f>
        <v/>
      </c>
      <c r="AY636" s="30" t="str">
        <f>IFERROR(IF(COUNTIFS('Candidate Tracker'!$E:$E,'Positions Tracker'!$B636,'Candidate Tracker'!$C:$C,"Offer Drop")=0,"",COUNTIFS('Candidate Tracker'!$E:$E,'Positions Tracker'!$B636,'Candidate Tracker'!$C:$C,"Offer Drop")),"")</f>
        <v/>
      </c>
      <c r="AZ6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6" s="34" t="str">
        <f>IFERROR(IF(COUNTIFS('Candidate Tracker'!$E:$E,'Positions Tracker'!$B636,'Candidate Tracker'!$I:$I,"Female")=0,"",COUNTIFS('Candidate Tracker'!$E:$E,'Positions Tracker'!$B636,'Candidate Tracker'!$I:$I,"Female")),"")</f>
        <v/>
      </c>
      <c r="BB636" s="34" t="str">
        <f>IFERROR(IF(COUNTIFS('Candidate Tracker'!$E:$E,'Positions Tracker'!$B636,'Candidate Tracker'!$I:$I,"male")=0,"",COUNTIFS('Candidate Tracker'!$E:$E,'Positions Tracker'!$B636,'Candidate Tracker'!$I:$I,"male")),"")</f>
        <v/>
      </c>
      <c r="BC636" s="33" t="str">
        <f>IFERROR(IF(COUNTIFS('Candidate Tracker'!$E:$E,'Positions Tracker'!$B636,'Candidate Tracker'!$C:$C,"&lt;&gt;WIP",'Candidate Tracker'!$C:$C,"&lt;&gt;Hold",'Candidate Tracker'!$C:$C,"&lt;&gt;Cancelled",'Candidate Tracker'!$C:$C,"&lt;&gt;Closed")/COUNTIFS('Candidate Tracker'!$E:$E,'Positions Tracker'!$B636)=0,"",COUNTIFS('Candidate Tracker'!$E:$E,'Positions Tracker'!$B636,'Candidate Tracker'!$C:$C,"&lt;&gt;WIP",'Candidate Tracker'!$C:$C,"&lt;&gt;Hold",'Candidate Tracker'!$C:$C,"&lt;&gt;Cancelled",'Candidate Tracker'!$C:$C,"&lt;&gt;Closed")/COUNTIFS('Candidate Tracker'!$E:$E,'Positions Tracker'!$B636)),"")</f>
        <v/>
      </c>
      <c r="BD636" s="30" t="str">
        <f t="shared" si="69"/>
        <v/>
      </c>
      <c r="BE636" s="30" t="str">
        <f t="shared" si="70"/>
        <v/>
      </c>
      <c r="BF636" s="30" t="str">
        <f t="shared" si="71"/>
        <v/>
      </c>
      <c r="BG636" s="30" t="str">
        <f t="shared" si="72"/>
        <v/>
      </c>
    </row>
    <row r="637" spans="1:59">
      <c r="A637" s="39"/>
      <c r="B637" s="39"/>
      <c r="C637" s="39"/>
      <c r="D637" s="39"/>
      <c r="E637" s="39"/>
      <c r="F637" s="39"/>
      <c r="G637" s="39"/>
      <c r="H637" s="39"/>
      <c r="I637" s="40"/>
      <c r="J637" s="40"/>
      <c r="K637" s="35"/>
      <c r="L637" s="35"/>
      <c r="M637" s="35"/>
      <c r="N637" s="39"/>
      <c r="O637" s="39"/>
      <c r="P637" s="39"/>
      <c r="Q637" s="39"/>
      <c r="R637" s="39"/>
      <c r="S637" s="39"/>
      <c r="T637" s="39"/>
      <c r="U637" s="39"/>
      <c r="V637" s="39"/>
      <c r="W637" s="39"/>
      <c r="X637" s="39"/>
      <c r="Y637" s="39"/>
      <c r="Z637" s="39"/>
      <c r="AA637" s="39"/>
      <c r="AB637" s="39"/>
      <c r="AC637" s="39"/>
      <c r="AD637" s="39"/>
      <c r="AE637" s="39"/>
      <c r="AF637" s="39"/>
      <c r="AG637" s="39"/>
      <c r="AH637" s="39"/>
      <c r="AI637" s="35"/>
      <c r="AJ637" s="39"/>
      <c r="AK637" s="39"/>
      <c r="AL637" s="39"/>
      <c r="AM637" s="35"/>
      <c r="AN637" s="35"/>
      <c r="AO637" s="39"/>
      <c r="AP637" s="39"/>
      <c r="AQ637" s="35"/>
      <c r="AR637" s="35"/>
      <c r="AS637" s="35"/>
      <c r="AT637" s="30">
        <f t="shared" ca="1" si="68"/>
        <v>0</v>
      </c>
      <c r="AU637" s="32" t="str">
        <f t="shared" ca="1" si="67"/>
        <v/>
      </c>
      <c r="AV637" s="32" t="str" cm="1">
        <f t="array" aca="1" ref="AV637" ca="1">IFERROR(_xlfn.IFS($AU637="","",$AU637&lt;=15,"0-15",AND($AU637&gt;=16,$AU637&lt;=30),"16-30",AND($AU637&gt;=31,$AU637&lt;=45),"31-45",AND($AU637&gt;=46,$AU637&lt;=60),"46-60",AND($AU637&gt;=61,$AU637&lt;=90),"61-90",AND($AU637&gt;=91),"&gt; 90",AND($AU637&gt;=2000),""),"")</f>
        <v/>
      </c>
      <c r="AW637" s="32" t="str" cm="1">
        <f t="array" aca="1" ref="AW637" ca="1">IFERROR(_xlfn.IFS(OR($M637="",$AM637=""),"",OR($C637="Offered",$C637="Joined"),($AM637-$M637)-$AT637),"")</f>
        <v/>
      </c>
      <c r="AX637" s="32" t="str" cm="1">
        <f t="array" aca="1" ref="AX637" ca="1">IFERROR(_xlfn.IFS(OR($M637="",$AS637=""),"",$C637="Joined",($AS637-$M637)-$AT637),"")</f>
        <v/>
      </c>
      <c r="AY637" s="30" t="str">
        <f>IFERROR(IF(COUNTIFS('Candidate Tracker'!$E:$E,'Positions Tracker'!$B637,'Candidate Tracker'!$C:$C,"Offer Drop")=0,"",COUNTIFS('Candidate Tracker'!$E:$E,'Positions Tracker'!$B637,'Candidate Tracker'!$C:$C,"Offer Drop")),"")</f>
        <v/>
      </c>
      <c r="AZ6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7" s="34" t="str">
        <f>IFERROR(IF(COUNTIFS('Candidate Tracker'!$E:$E,'Positions Tracker'!$B637,'Candidate Tracker'!$I:$I,"Female")=0,"",COUNTIFS('Candidate Tracker'!$E:$E,'Positions Tracker'!$B637,'Candidate Tracker'!$I:$I,"Female")),"")</f>
        <v/>
      </c>
      <c r="BB637" s="34" t="str">
        <f>IFERROR(IF(COUNTIFS('Candidate Tracker'!$E:$E,'Positions Tracker'!$B637,'Candidate Tracker'!$I:$I,"male")=0,"",COUNTIFS('Candidate Tracker'!$E:$E,'Positions Tracker'!$B637,'Candidate Tracker'!$I:$I,"male")),"")</f>
        <v/>
      </c>
      <c r="BC637" s="33" t="str">
        <f>IFERROR(IF(COUNTIFS('Candidate Tracker'!$E:$E,'Positions Tracker'!$B637,'Candidate Tracker'!$C:$C,"&lt;&gt;WIP",'Candidate Tracker'!$C:$C,"&lt;&gt;Hold",'Candidate Tracker'!$C:$C,"&lt;&gt;Cancelled",'Candidate Tracker'!$C:$C,"&lt;&gt;Closed")/COUNTIFS('Candidate Tracker'!$E:$E,'Positions Tracker'!$B637)=0,"",COUNTIFS('Candidate Tracker'!$E:$E,'Positions Tracker'!$B637,'Candidate Tracker'!$C:$C,"&lt;&gt;WIP",'Candidate Tracker'!$C:$C,"&lt;&gt;Hold",'Candidate Tracker'!$C:$C,"&lt;&gt;Cancelled",'Candidate Tracker'!$C:$C,"&lt;&gt;Closed")/COUNTIFS('Candidate Tracker'!$E:$E,'Positions Tracker'!$B637)),"")</f>
        <v/>
      </c>
      <c r="BD637" s="30" t="str">
        <f t="shared" si="69"/>
        <v/>
      </c>
      <c r="BE637" s="30" t="str">
        <f t="shared" si="70"/>
        <v/>
      </c>
      <c r="BF637" s="30" t="str">
        <f t="shared" si="71"/>
        <v/>
      </c>
      <c r="BG637" s="30" t="str">
        <f t="shared" si="72"/>
        <v/>
      </c>
    </row>
    <row r="638" spans="1:59">
      <c r="A638" s="39"/>
      <c r="B638" s="39"/>
      <c r="C638" s="39"/>
      <c r="D638" s="39"/>
      <c r="E638" s="39"/>
      <c r="F638" s="39"/>
      <c r="G638" s="39"/>
      <c r="H638" s="39"/>
      <c r="I638" s="40"/>
      <c r="J638" s="40"/>
      <c r="K638" s="35"/>
      <c r="L638" s="35"/>
      <c r="M638" s="35"/>
      <c r="N638" s="39"/>
      <c r="O638" s="39"/>
      <c r="P638" s="39"/>
      <c r="Q638" s="39"/>
      <c r="R638" s="39"/>
      <c r="S638" s="39"/>
      <c r="T638" s="39"/>
      <c r="U638" s="39"/>
      <c r="V638" s="39"/>
      <c r="W638" s="39"/>
      <c r="X638" s="39"/>
      <c r="Y638" s="39"/>
      <c r="Z638" s="39"/>
      <c r="AA638" s="39"/>
      <c r="AB638" s="39"/>
      <c r="AC638" s="39"/>
      <c r="AD638" s="39"/>
      <c r="AE638" s="39"/>
      <c r="AF638" s="39"/>
      <c r="AG638" s="39"/>
      <c r="AH638" s="39"/>
      <c r="AI638" s="35"/>
      <c r="AJ638" s="39"/>
      <c r="AK638" s="39"/>
      <c r="AL638" s="39"/>
      <c r="AM638" s="35"/>
      <c r="AN638" s="35"/>
      <c r="AO638" s="39"/>
      <c r="AP638" s="39"/>
      <c r="AQ638" s="35"/>
      <c r="AR638" s="35"/>
      <c r="AS638" s="35"/>
      <c r="AT638" s="30">
        <f t="shared" ca="1" si="68"/>
        <v>0</v>
      </c>
      <c r="AU638" s="32" t="str">
        <f t="shared" ca="1" si="67"/>
        <v/>
      </c>
      <c r="AV638" s="32" t="str" cm="1">
        <f t="array" aca="1" ref="AV638" ca="1">IFERROR(_xlfn.IFS($AU638="","",$AU638&lt;=15,"0-15",AND($AU638&gt;=16,$AU638&lt;=30),"16-30",AND($AU638&gt;=31,$AU638&lt;=45),"31-45",AND($AU638&gt;=46,$AU638&lt;=60),"46-60",AND($AU638&gt;=61,$AU638&lt;=90),"61-90",AND($AU638&gt;=91),"&gt; 90",AND($AU638&gt;=2000),""),"")</f>
        <v/>
      </c>
      <c r="AW638" s="32" t="str" cm="1">
        <f t="array" aca="1" ref="AW638" ca="1">IFERROR(_xlfn.IFS(OR($M638="",$AM638=""),"",OR($C638="Offered",$C638="Joined"),($AM638-$M638)-$AT638),"")</f>
        <v/>
      </c>
      <c r="AX638" s="32" t="str" cm="1">
        <f t="array" aca="1" ref="AX638" ca="1">IFERROR(_xlfn.IFS(OR($M638="",$AS638=""),"",$C638="Joined",($AS638-$M638)-$AT638),"")</f>
        <v/>
      </c>
      <c r="AY638" s="30" t="str">
        <f>IFERROR(IF(COUNTIFS('Candidate Tracker'!$E:$E,'Positions Tracker'!$B638,'Candidate Tracker'!$C:$C,"Offer Drop")=0,"",COUNTIFS('Candidate Tracker'!$E:$E,'Positions Tracker'!$B638,'Candidate Tracker'!$C:$C,"Offer Drop")),"")</f>
        <v/>
      </c>
      <c r="AZ6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8" s="34" t="str">
        <f>IFERROR(IF(COUNTIFS('Candidate Tracker'!$E:$E,'Positions Tracker'!$B638,'Candidate Tracker'!$I:$I,"Female")=0,"",COUNTIFS('Candidate Tracker'!$E:$E,'Positions Tracker'!$B638,'Candidate Tracker'!$I:$I,"Female")),"")</f>
        <v/>
      </c>
      <c r="BB638" s="34" t="str">
        <f>IFERROR(IF(COUNTIFS('Candidate Tracker'!$E:$E,'Positions Tracker'!$B638,'Candidate Tracker'!$I:$I,"male")=0,"",COUNTIFS('Candidate Tracker'!$E:$E,'Positions Tracker'!$B638,'Candidate Tracker'!$I:$I,"male")),"")</f>
        <v/>
      </c>
      <c r="BC638" s="33" t="str">
        <f>IFERROR(IF(COUNTIFS('Candidate Tracker'!$E:$E,'Positions Tracker'!$B638,'Candidate Tracker'!$C:$C,"&lt;&gt;WIP",'Candidate Tracker'!$C:$C,"&lt;&gt;Hold",'Candidate Tracker'!$C:$C,"&lt;&gt;Cancelled",'Candidate Tracker'!$C:$C,"&lt;&gt;Closed")/COUNTIFS('Candidate Tracker'!$E:$E,'Positions Tracker'!$B638)=0,"",COUNTIFS('Candidate Tracker'!$E:$E,'Positions Tracker'!$B638,'Candidate Tracker'!$C:$C,"&lt;&gt;WIP",'Candidate Tracker'!$C:$C,"&lt;&gt;Hold",'Candidate Tracker'!$C:$C,"&lt;&gt;Cancelled",'Candidate Tracker'!$C:$C,"&lt;&gt;Closed")/COUNTIFS('Candidate Tracker'!$E:$E,'Positions Tracker'!$B638)),"")</f>
        <v/>
      </c>
      <c r="BD638" s="30" t="str">
        <f t="shared" si="69"/>
        <v/>
      </c>
      <c r="BE638" s="30" t="str">
        <f t="shared" si="70"/>
        <v/>
      </c>
      <c r="BF638" s="30" t="str">
        <f t="shared" si="71"/>
        <v/>
      </c>
      <c r="BG638" s="30" t="str">
        <f t="shared" si="72"/>
        <v/>
      </c>
    </row>
    <row r="639" spans="1:59">
      <c r="A639" s="39"/>
      <c r="B639" s="39"/>
      <c r="C639" s="39"/>
      <c r="D639" s="39"/>
      <c r="E639" s="39"/>
      <c r="F639" s="39"/>
      <c r="G639" s="39"/>
      <c r="H639" s="39"/>
      <c r="I639" s="40"/>
      <c r="J639" s="40"/>
      <c r="K639" s="35"/>
      <c r="L639" s="35"/>
      <c r="M639" s="35"/>
      <c r="N639" s="39"/>
      <c r="O639" s="39"/>
      <c r="P639" s="39"/>
      <c r="Q639" s="39"/>
      <c r="R639" s="39"/>
      <c r="S639" s="39"/>
      <c r="T639" s="39"/>
      <c r="U639" s="39"/>
      <c r="V639" s="39"/>
      <c r="W639" s="39"/>
      <c r="X639" s="39"/>
      <c r="Y639" s="39"/>
      <c r="Z639" s="39"/>
      <c r="AA639" s="39"/>
      <c r="AB639" s="39"/>
      <c r="AC639" s="39"/>
      <c r="AD639" s="39"/>
      <c r="AE639" s="39"/>
      <c r="AF639" s="39"/>
      <c r="AG639" s="39"/>
      <c r="AH639" s="39"/>
      <c r="AI639" s="35"/>
      <c r="AJ639" s="39"/>
      <c r="AK639" s="39"/>
      <c r="AL639" s="39"/>
      <c r="AM639" s="35"/>
      <c r="AN639" s="35"/>
      <c r="AO639" s="39"/>
      <c r="AP639" s="39"/>
      <c r="AQ639" s="35"/>
      <c r="AR639" s="35"/>
      <c r="AS639" s="35"/>
      <c r="AT639" s="30">
        <f t="shared" ca="1" si="68"/>
        <v>0</v>
      </c>
      <c r="AU639" s="32" t="str">
        <f t="shared" ca="1" si="67"/>
        <v/>
      </c>
      <c r="AV639" s="32" t="str" cm="1">
        <f t="array" aca="1" ref="AV639" ca="1">IFERROR(_xlfn.IFS($AU639="","",$AU639&lt;=15,"0-15",AND($AU639&gt;=16,$AU639&lt;=30),"16-30",AND($AU639&gt;=31,$AU639&lt;=45),"31-45",AND($AU639&gt;=46,$AU639&lt;=60),"46-60",AND($AU639&gt;=61,$AU639&lt;=90),"61-90",AND($AU639&gt;=91),"&gt; 90",AND($AU639&gt;=2000),""),"")</f>
        <v/>
      </c>
      <c r="AW639" s="32" t="str" cm="1">
        <f t="array" aca="1" ref="AW639" ca="1">IFERROR(_xlfn.IFS(OR($M639="",$AM639=""),"",OR($C639="Offered",$C639="Joined"),($AM639-$M639)-$AT639),"")</f>
        <v/>
      </c>
      <c r="AX639" s="32" t="str" cm="1">
        <f t="array" aca="1" ref="AX639" ca="1">IFERROR(_xlfn.IFS(OR($M639="",$AS639=""),"",$C639="Joined",($AS639-$M639)-$AT639),"")</f>
        <v/>
      </c>
      <c r="AY639" s="30" t="str">
        <f>IFERROR(IF(COUNTIFS('Candidate Tracker'!$E:$E,'Positions Tracker'!$B639,'Candidate Tracker'!$C:$C,"Offer Drop")=0,"",COUNTIFS('Candidate Tracker'!$E:$E,'Positions Tracker'!$B639,'Candidate Tracker'!$C:$C,"Offer Drop")),"")</f>
        <v/>
      </c>
      <c r="AZ6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39" s="34" t="str">
        <f>IFERROR(IF(COUNTIFS('Candidate Tracker'!$E:$E,'Positions Tracker'!$B639,'Candidate Tracker'!$I:$I,"Female")=0,"",COUNTIFS('Candidate Tracker'!$E:$E,'Positions Tracker'!$B639,'Candidate Tracker'!$I:$I,"Female")),"")</f>
        <v/>
      </c>
      <c r="BB639" s="34" t="str">
        <f>IFERROR(IF(COUNTIFS('Candidate Tracker'!$E:$E,'Positions Tracker'!$B639,'Candidate Tracker'!$I:$I,"male")=0,"",COUNTIFS('Candidate Tracker'!$E:$E,'Positions Tracker'!$B639,'Candidate Tracker'!$I:$I,"male")),"")</f>
        <v/>
      </c>
      <c r="BC639" s="33" t="str">
        <f>IFERROR(IF(COUNTIFS('Candidate Tracker'!$E:$E,'Positions Tracker'!$B639,'Candidate Tracker'!$C:$C,"&lt;&gt;WIP",'Candidate Tracker'!$C:$C,"&lt;&gt;Hold",'Candidate Tracker'!$C:$C,"&lt;&gt;Cancelled",'Candidate Tracker'!$C:$C,"&lt;&gt;Closed")/COUNTIFS('Candidate Tracker'!$E:$E,'Positions Tracker'!$B639)=0,"",COUNTIFS('Candidate Tracker'!$E:$E,'Positions Tracker'!$B639,'Candidate Tracker'!$C:$C,"&lt;&gt;WIP",'Candidate Tracker'!$C:$C,"&lt;&gt;Hold",'Candidate Tracker'!$C:$C,"&lt;&gt;Cancelled",'Candidate Tracker'!$C:$C,"&lt;&gt;Closed")/COUNTIFS('Candidate Tracker'!$E:$E,'Positions Tracker'!$B639)),"")</f>
        <v/>
      </c>
      <c r="BD639" s="30" t="str">
        <f t="shared" si="69"/>
        <v/>
      </c>
      <c r="BE639" s="30" t="str">
        <f t="shared" si="70"/>
        <v/>
      </c>
      <c r="BF639" s="30" t="str">
        <f t="shared" si="71"/>
        <v/>
      </c>
      <c r="BG639" s="30" t="str">
        <f t="shared" si="72"/>
        <v/>
      </c>
    </row>
    <row r="640" spans="1:59">
      <c r="A640" s="39"/>
      <c r="B640" s="39"/>
      <c r="C640" s="39"/>
      <c r="D640" s="39"/>
      <c r="E640" s="39"/>
      <c r="F640" s="39"/>
      <c r="G640" s="39"/>
      <c r="H640" s="39"/>
      <c r="I640" s="40"/>
      <c r="J640" s="40"/>
      <c r="K640" s="35"/>
      <c r="L640" s="35"/>
      <c r="M640" s="35"/>
      <c r="N640" s="39"/>
      <c r="O640" s="39"/>
      <c r="P640" s="39"/>
      <c r="Q640" s="39"/>
      <c r="R640" s="39"/>
      <c r="S640" s="39"/>
      <c r="T640" s="39"/>
      <c r="U640" s="39"/>
      <c r="V640" s="39"/>
      <c r="W640" s="39"/>
      <c r="X640" s="39"/>
      <c r="Y640" s="39"/>
      <c r="Z640" s="39"/>
      <c r="AA640" s="39"/>
      <c r="AB640" s="39"/>
      <c r="AC640" s="39"/>
      <c r="AD640" s="39"/>
      <c r="AE640" s="39"/>
      <c r="AF640" s="39"/>
      <c r="AG640" s="39"/>
      <c r="AH640" s="39"/>
      <c r="AI640" s="35"/>
      <c r="AJ640" s="39"/>
      <c r="AK640" s="39"/>
      <c r="AL640" s="39"/>
      <c r="AM640" s="35"/>
      <c r="AN640" s="35"/>
      <c r="AO640" s="39"/>
      <c r="AP640" s="39"/>
      <c r="AQ640" s="35"/>
      <c r="AR640" s="35"/>
      <c r="AS640" s="35"/>
      <c r="AT640" s="30">
        <f t="shared" ca="1" si="68"/>
        <v>0</v>
      </c>
      <c r="AU640" s="32" t="str">
        <f t="shared" ref="AU640:AU703" ca="1" si="73">IFERROR(IF(($M640=""),"",IF(OR(,$C640="Offer in Progress",$C640="WIP",$C640="WIP/Drop",$C640="WIP/New",$C640="WIP/Hold"),(TODAY()-$M640)-$AT640,"")),"")</f>
        <v/>
      </c>
      <c r="AV640" s="32" t="str" cm="1">
        <f t="array" aca="1" ref="AV640" ca="1">IFERROR(_xlfn.IFS($AU640="","",$AU640&lt;=15,"0-15",AND($AU640&gt;=16,$AU640&lt;=30),"16-30",AND($AU640&gt;=31,$AU640&lt;=45),"31-45",AND($AU640&gt;=46,$AU640&lt;=60),"46-60",AND($AU640&gt;=61,$AU640&lt;=90),"61-90",AND($AU640&gt;=91),"&gt; 90",AND($AU640&gt;=2000),""),"")</f>
        <v/>
      </c>
      <c r="AW640" s="32" t="str" cm="1">
        <f t="array" aca="1" ref="AW640" ca="1">IFERROR(_xlfn.IFS(OR($M640="",$AM640=""),"",OR($C640="Offered",$C640="Joined"),($AM640-$M640)-$AT640),"")</f>
        <v/>
      </c>
      <c r="AX640" s="32" t="str" cm="1">
        <f t="array" aca="1" ref="AX640" ca="1">IFERROR(_xlfn.IFS(OR($M640="",$AS640=""),"",$C640="Joined",($AS640-$M640)-$AT640),"")</f>
        <v/>
      </c>
      <c r="AY640" s="30" t="str">
        <f>IFERROR(IF(COUNTIFS('Candidate Tracker'!$E:$E,'Positions Tracker'!$B640,'Candidate Tracker'!$C:$C,"Offer Drop")=0,"",COUNTIFS('Candidate Tracker'!$E:$E,'Positions Tracker'!$B640,'Candidate Tracker'!$C:$C,"Offer Drop")),"")</f>
        <v/>
      </c>
      <c r="AZ6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0" s="34" t="str">
        <f>IFERROR(IF(COUNTIFS('Candidate Tracker'!$E:$E,'Positions Tracker'!$B640,'Candidate Tracker'!$I:$I,"Female")=0,"",COUNTIFS('Candidate Tracker'!$E:$E,'Positions Tracker'!$B640,'Candidate Tracker'!$I:$I,"Female")),"")</f>
        <v/>
      </c>
      <c r="BB640" s="34" t="str">
        <f>IFERROR(IF(COUNTIFS('Candidate Tracker'!$E:$E,'Positions Tracker'!$B640,'Candidate Tracker'!$I:$I,"male")=0,"",COUNTIFS('Candidate Tracker'!$E:$E,'Positions Tracker'!$B640,'Candidate Tracker'!$I:$I,"male")),"")</f>
        <v/>
      </c>
      <c r="BC640" s="33" t="str">
        <f>IFERROR(IF(COUNTIFS('Candidate Tracker'!$E:$E,'Positions Tracker'!$B640,'Candidate Tracker'!$C:$C,"&lt;&gt;WIP",'Candidate Tracker'!$C:$C,"&lt;&gt;Hold",'Candidate Tracker'!$C:$C,"&lt;&gt;Cancelled",'Candidate Tracker'!$C:$C,"&lt;&gt;Closed")/COUNTIFS('Candidate Tracker'!$E:$E,'Positions Tracker'!$B640)=0,"",COUNTIFS('Candidate Tracker'!$E:$E,'Positions Tracker'!$B640,'Candidate Tracker'!$C:$C,"&lt;&gt;WIP",'Candidate Tracker'!$C:$C,"&lt;&gt;Hold",'Candidate Tracker'!$C:$C,"&lt;&gt;Cancelled",'Candidate Tracker'!$C:$C,"&lt;&gt;Closed")/COUNTIFS('Candidate Tracker'!$E:$E,'Positions Tracker'!$B640)),"")</f>
        <v/>
      </c>
      <c r="BD640" s="30" t="str">
        <f t="shared" si="69"/>
        <v/>
      </c>
      <c r="BE640" s="30" t="str">
        <f t="shared" si="70"/>
        <v/>
      </c>
      <c r="BF640" s="30" t="str">
        <f t="shared" si="71"/>
        <v/>
      </c>
      <c r="BG640" s="30" t="str">
        <f t="shared" si="72"/>
        <v/>
      </c>
    </row>
    <row r="641" spans="1:59">
      <c r="A641" s="39"/>
      <c r="B641" s="39"/>
      <c r="C641" s="39"/>
      <c r="D641" s="39"/>
      <c r="E641" s="39"/>
      <c r="F641" s="39"/>
      <c r="G641" s="39"/>
      <c r="H641" s="39"/>
      <c r="I641" s="40"/>
      <c r="J641" s="40"/>
      <c r="K641" s="35"/>
      <c r="L641" s="35"/>
      <c r="M641" s="35"/>
      <c r="N641" s="39"/>
      <c r="O641" s="39"/>
      <c r="P641" s="39"/>
      <c r="Q641" s="39"/>
      <c r="R641" s="39"/>
      <c r="S641" s="39"/>
      <c r="T641" s="39"/>
      <c r="U641" s="39"/>
      <c r="V641" s="39"/>
      <c r="W641" s="39"/>
      <c r="X641" s="39"/>
      <c r="Y641" s="39"/>
      <c r="Z641" s="39"/>
      <c r="AA641" s="39"/>
      <c r="AB641" s="39"/>
      <c r="AC641" s="39"/>
      <c r="AD641" s="39"/>
      <c r="AE641" s="39"/>
      <c r="AF641" s="39"/>
      <c r="AG641" s="39"/>
      <c r="AH641" s="39"/>
      <c r="AI641" s="35"/>
      <c r="AJ641" s="39"/>
      <c r="AK641" s="39"/>
      <c r="AL641" s="39"/>
      <c r="AM641" s="35"/>
      <c r="AN641" s="35"/>
      <c r="AO641" s="39"/>
      <c r="AP641" s="39"/>
      <c r="AQ641" s="35"/>
      <c r="AR641" s="35"/>
      <c r="AS641" s="35"/>
      <c r="AT641" s="30">
        <f t="shared" ref="AT641:AT704" ca="1" si="74">IFERROR(SUM(IF(AND(ISBLANK(T641),ISBLANK(Q641)),0,IF(T641="",TODAY()-Q641,T641-Q641))+IF(AND(ISBLANK(S641),ISBLANK(P641)),0,IF(S641="",TODAY()-P641,S641-P641))+IF(AND(ISBLANK(O641),ISBLANK(R641)),0,IF(R641="",TODAY()-O641,R641-O641))),"")</f>
        <v>0</v>
      </c>
      <c r="AU641" s="32" t="str">
        <f t="shared" ca="1" si="73"/>
        <v/>
      </c>
      <c r="AV641" s="32" t="str" cm="1">
        <f t="array" aca="1" ref="AV641" ca="1">IFERROR(_xlfn.IFS($AU641="","",$AU641&lt;=15,"0-15",AND($AU641&gt;=16,$AU641&lt;=30),"16-30",AND($AU641&gt;=31,$AU641&lt;=45),"31-45",AND($AU641&gt;=46,$AU641&lt;=60),"46-60",AND($AU641&gt;=61,$AU641&lt;=90),"61-90",AND($AU641&gt;=91),"&gt; 90",AND($AU641&gt;=2000),""),"")</f>
        <v/>
      </c>
      <c r="AW641" s="32" t="str" cm="1">
        <f t="array" aca="1" ref="AW641" ca="1">IFERROR(_xlfn.IFS(OR($M641="",$AM641=""),"",OR($C641="Offered",$C641="Joined"),($AM641-$M641)-$AT641),"")</f>
        <v/>
      </c>
      <c r="AX641" s="32" t="str" cm="1">
        <f t="array" aca="1" ref="AX641" ca="1">IFERROR(_xlfn.IFS(OR($M641="",$AS641=""),"",$C641="Joined",($AS641-$M641)-$AT641),"")</f>
        <v/>
      </c>
      <c r="AY641" s="30" t="str">
        <f>IFERROR(IF(COUNTIFS('Candidate Tracker'!$E:$E,'Positions Tracker'!$B641,'Candidate Tracker'!$C:$C,"Offer Drop")=0,"",COUNTIFS('Candidate Tracker'!$E:$E,'Positions Tracker'!$B641,'Candidate Tracker'!$C:$C,"Offer Drop")),"")</f>
        <v/>
      </c>
      <c r="AZ6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1" s="34" t="str">
        <f>IFERROR(IF(COUNTIFS('Candidate Tracker'!$E:$E,'Positions Tracker'!$B641,'Candidate Tracker'!$I:$I,"Female")=0,"",COUNTIFS('Candidate Tracker'!$E:$E,'Positions Tracker'!$B641,'Candidate Tracker'!$I:$I,"Female")),"")</f>
        <v/>
      </c>
      <c r="BB641" s="34" t="str">
        <f>IFERROR(IF(COUNTIFS('Candidate Tracker'!$E:$E,'Positions Tracker'!$B641,'Candidate Tracker'!$I:$I,"male")=0,"",COUNTIFS('Candidate Tracker'!$E:$E,'Positions Tracker'!$B641,'Candidate Tracker'!$I:$I,"male")),"")</f>
        <v/>
      </c>
      <c r="BC641" s="33" t="str">
        <f>IFERROR(IF(COUNTIFS('Candidate Tracker'!$E:$E,'Positions Tracker'!$B641,'Candidate Tracker'!$C:$C,"&lt;&gt;WIP",'Candidate Tracker'!$C:$C,"&lt;&gt;Hold",'Candidate Tracker'!$C:$C,"&lt;&gt;Cancelled",'Candidate Tracker'!$C:$C,"&lt;&gt;Closed")/COUNTIFS('Candidate Tracker'!$E:$E,'Positions Tracker'!$B641)=0,"",COUNTIFS('Candidate Tracker'!$E:$E,'Positions Tracker'!$B641,'Candidate Tracker'!$C:$C,"&lt;&gt;WIP",'Candidate Tracker'!$C:$C,"&lt;&gt;Hold",'Candidate Tracker'!$C:$C,"&lt;&gt;Cancelled",'Candidate Tracker'!$C:$C,"&lt;&gt;Closed")/COUNTIFS('Candidate Tracker'!$E:$E,'Positions Tracker'!$B641)),"")</f>
        <v/>
      </c>
      <c r="BD641" s="30" t="str">
        <f t="shared" ref="BD641:BD704" si="75">IFERROR(IF($M641="","",TEXT($M641,"MMM-YY")),"")</f>
        <v/>
      </c>
      <c r="BE641" s="30" t="str">
        <f t="shared" ref="BE641:BE704" si="76">IFERROR(IF($AI641="","",TEXT($AI641,"MMM-YY")),"")</f>
        <v/>
      </c>
      <c r="BF641" s="30" t="str">
        <f t="shared" ref="BF641:BF704" si="77">IFERROR(IF($AM641="","",TEXT($AM641,"MMM-YY")),"")</f>
        <v/>
      </c>
      <c r="BG641" s="30" t="str">
        <f t="shared" ref="BG641:BG704" si="78">IFERROR(IF($AS641="","",TEXT($AS641,"MMM-YY")),"")</f>
        <v/>
      </c>
    </row>
    <row r="642" spans="1:59">
      <c r="A642" s="39"/>
      <c r="B642" s="39"/>
      <c r="C642" s="39"/>
      <c r="D642" s="39"/>
      <c r="E642" s="39"/>
      <c r="F642" s="39"/>
      <c r="G642" s="39"/>
      <c r="H642" s="39"/>
      <c r="I642" s="40"/>
      <c r="J642" s="40"/>
      <c r="K642" s="35"/>
      <c r="L642" s="35"/>
      <c r="M642" s="35"/>
      <c r="N642" s="39"/>
      <c r="O642" s="39"/>
      <c r="P642" s="39"/>
      <c r="Q642" s="39"/>
      <c r="R642" s="39"/>
      <c r="S642" s="39"/>
      <c r="T642" s="39"/>
      <c r="U642" s="39"/>
      <c r="V642" s="39"/>
      <c r="W642" s="39"/>
      <c r="X642" s="39"/>
      <c r="Y642" s="39"/>
      <c r="Z642" s="39"/>
      <c r="AA642" s="39"/>
      <c r="AB642" s="39"/>
      <c r="AC642" s="39"/>
      <c r="AD642" s="39"/>
      <c r="AE642" s="39"/>
      <c r="AF642" s="39"/>
      <c r="AG642" s="39"/>
      <c r="AH642" s="39"/>
      <c r="AI642" s="35"/>
      <c r="AJ642" s="39"/>
      <c r="AK642" s="39"/>
      <c r="AL642" s="39"/>
      <c r="AM642" s="35"/>
      <c r="AN642" s="35"/>
      <c r="AO642" s="39"/>
      <c r="AP642" s="39"/>
      <c r="AQ642" s="35"/>
      <c r="AR642" s="35"/>
      <c r="AS642" s="35"/>
      <c r="AT642" s="30">
        <f t="shared" ca="1" si="74"/>
        <v>0</v>
      </c>
      <c r="AU642" s="32" t="str">
        <f t="shared" ca="1" si="73"/>
        <v/>
      </c>
      <c r="AV642" s="32" t="str" cm="1">
        <f t="array" aca="1" ref="AV642" ca="1">IFERROR(_xlfn.IFS($AU642="","",$AU642&lt;=15,"0-15",AND($AU642&gt;=16,$AU642&lt;=30),"16-30",AND($AU642&gt;=31,$AU642&lt;=45),"31-45",AND($AU642&gt;=46,$AU642&lt;=60),"46-60",AND($AU642&gt;=61,$AU642&lt;=90),"61-90",AND($AU642&gt;=91),"&gt; 90",AND($AU642&gt;=2000),""),"")</f>
        <v/>
      </c>
      <c r="AW642" s="32" t="str" cm="1">
        <f t="array" aca="1" ref="AW642" ca="1">IFERROR(_xlfn.IFS(OR($M642="",$AM642=""),"",OR($C642="Offered",$C642="Joined"),($AM642-$M642)-$AT642),"")</f>
        <v/>
      </c>
      <c r="AX642" s="32" t="str" cm="1">
        <f t="array" aca="1" ref="AX642" ca="1">IFERROR(_xlfn.IFS(OR($M642="",$AS642=""),"",$C642="Joined",($AS642-$M642)-$AT642),"")</f>
        <v/>
      </c>
      <c r="AY642" s="30" t="str">
        <f>IFERROR(IF(COUNTIFS('Candidate Tracker'!$E:$E,'Positions Tracker'!$B642,'Candidate Tracker'!$C:$C,"Offer Drop")=0,"",COUNTIFS('Candidate Tracker'!$E:$E,'Positions Tracker'!$B642,'Candidate Tracker'!$C:$C,"Offer Drop")),"")</f>
        <v/>
      </c>
      <c r="AZ6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2" s="34" t="str">
        <f>IFERROR(IF(COUNTIFS('Candidate Tracker'!$E:$E,'Positions Tracker'!$B642,'Candidate Tracker'!$I:$I,"Female")=0,"",COUNTIFS('Candidate Tracker'!$E:$E,'Positions Tracker'!$B642,'Candidate Tracker'!$I:$I,"Female")),"")</f>
        <v/>
      </c>
      <c r="BB642" s="34" t="str">
        <f>IFERROR(IF(COUNTIFS('Candidate Tracker'!$E:$E,'Positions Tracker'!$B642,'Candidate Tracker'!$I:$I,"male")=0,"",COUNTIFS('Candidate Tracker'!$E:$E,'Positions Tracker'!$B642,'Candidate Tracker'!$I:$I,"male")),"")</f>
        <v/>
      </c>
      <c r="BC642" s="33" t="str">
        <f>IFERROR(IF(COUNTIFS('Candidate Tracker'!$E:$E,'Positions Tracker'!$B642,'Candidate Tracker'!$C:$C,"&lt;&gt;WIP",'Candidate Tracker'!$C:$C,"&lt;&gt;Hold",'Candidate Tracker'!$C:$C,"&lt;&gt;Cancelled",'Candidate Tracker'!$C:$C,"&lt;&gt;Closed")/COUNTIFS('Candidate Tracker'!$E:$E,'Positions Tracker'!$B642)=0,"",COUNTIFS('Candidate Tracker'!$E:$E,'Positions Tracker'!$B642,'Candidate Tracker'!$C:$C,"&lt;&gt;WIP",'Candidate Tracker'!$C:$C,"&lt;&gt;Hold",'Candidate Tracker'!$C:$C,"&lt;&gt;Cancelled",'Candidate Tracker'!$C:$C,"&lt;&gt;Closed")/COUNTIFS('Candidate Tracker'!$E:$E,'Positions Tracker'!$B642)),"")</f>
        <v/>
      </c>
      <c r="BD642" s="30" t="str">
        <f t="shared" si="75"/>
        <v/>
      </c>
      <c r="BE642" s="30" t="str">
        <f t="shared" si="76"/>
        <v/>
      </c>
      <c r="BF642" s="30" t="str">
        <f t="shared" si="77"/>
        <v/>
      </c>
      <c r="BG642" s="30" t="str">
        <f t="shared" si="78"/>
        <v/>
      </c>
    </row>
    <row r="643" spans="1:59">
      <c r="A643" s="39"/>
      <c r="B643" s="39"/>
      <c r="C643" s="39"/>
      <c r="D643" s="39"/>
      <c r="E643" s="39"/>
      <c r="F643" s="39"/>
      <c r="G643" s="39"/>
      <c r="H643" s="39"/>
      <c r="I643" s="40"/>
      <c r="J643" s="40"/>
      <c r="K643" s="35"/>
      <c r="L643" s="35"/>
      <c r="M643" s="35"/>
      <c r="N643" s="39"/>
      <c r="O643" s="39"/>
      <c r="P643" s="39"/>
      <c r="Q643" s="39"/>
      <c r="R643" s="39"/>
      <c r="S643" s="39"/>
      <c r="T643" s="39"/>
      <c r="U643" s="39"/>
      <c r="V643" s="39"/>
      <c r="W643" s="39"/>
      <c r="X643" s="39"/>
      <c r="Y643" s="39"/>
      <c r="Z643" s="39"/>
      <c r="AA643" s="39"/>
      <c r="AB643" s="39"/>
      <c r="AC643" s="39"/>
      <c r="AD643" s="39"/>
      <c r="AE643" s="39"/>
      <c r="AF643" s="39"/>
      <c r="AG643" s="39"/>
      <c r="AH643" s="39"/>
      <c r="AI643" s="35"/>
      <c r="AJ643" s="39"/>
      <c r="AK643" s="39"/>
      <c r="AL643" s="39"/>
      <c r="AM643" s="35"/>
      <c r="AN643" s="35"/>
      <c r="AO643" s="39"/>
      <c r="AP643" s="39"/>
      <c r="AQ643" s="35"/>
      <c r="AR643" s="35"/>
      <c r="AS643" s="35"/>
      <c r="AT643" s="30">
        <f t="shared" ca="1" si="74"/>
        <v>0</v>
      </c>
      <c r="AU643" s="32" t="str">
        <f t="shared" ca="1" si="73"/>
        <v/>
      </c>
      <c r="AV643" s="32" t="str" cm="1">
        <f t="array" aca="1" ref="AV643" ca="1">IFERROR(_xlfn.IFS($AU643="","",$AU643&lt;=15,"0-15",AND($AU643&gt;=16,$AU643&lt;=30),"16-30",AND($AU643&gt;=31,$AU643&lt;=45),"31-45",AND($AU643&gt;=46,$AU643&lt;=60),"46-60",AND($AU643&gt;=61,$AU643&lt;=90),"61-90",AND($AU643&gt;=91),"&gt; 90",AND($AU643&gt;=2000),""),"")</f>
        <v/>
      </c>
      <c r="AW643" s="32" t="str" cm="1">
        <f t="array" aca="1" ref="AW643" ca="1">IFERROR(_xlfn.IFS(OR($M643="",$AM643=""),"",OR($C643="Offered",$C643="Joined"),($AM643-$M643)-$AT643),"")</f>
        <v/>
      </c>
      <c r="AX643" s="32" t="str" cm="1">
        <f t="array" aca="1" ref="AX643" ca="1">IFERROR(_xlfn.IFS(OR($M643="",$AS643=""),"",$C643="Joined",($AS643-$M643)-$AT643),"")</f>
        <v/>
      </c>
      <c r="AY643" s="30" t="str">
        <f>IFERROR(IF(COUNTIFS('Candidate Tracker'!$E:$E,'Positions Tracker'!$B643,'Candidate Tracker'!$C:$C,"Offer Drop")=0,"",COUNTIFS('Candidate Tracker'!$E:$E,'Positions Tracker'!$B643,'Candidate Tracker'!$C:$C,"Offer Drop")),"")</f>
        <v/>
      </c>
      <c r="AZ6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3" s="34" t="str">
        <f>IFERROR(IF(COUNTIFS('Candidate Tracker'!$E:$E,'Positions Tracker'!$B643,'Candidate Tracker'!$I:$I,"Female")=0,"",COUNTIFS('Candidate Tracker'!$E:$E,'Positions Tracker'!$B643,'Candidate Tracker'!$I:$I,"Female")),"")</f>
        <v/>
      </c>
      <c r="BB643" s="34" t="str">
        <f>IFERROR(IF(COUNTIFS('Candidate Tracker'!$E:$E,'Positions Tracker'!$B643,'Candidate Tracker'!$I:$I,"male")=0,"",COUNTIFS('Candidate Tracker'!$E:$E,'Positions Tracker'!$B643,'Candidate Tracker'!$I:$I,"male")),"")</f>
        <v/>
      </c>
      <c r="BC643" s="33" t="str">
        <f>IFERROR(IF(COUNTIFS('Candidate Tracker'!$E:$E,'Positions Tracker'!$B643,'Candidate Tracker'!$C:$C,"&lt;&gt;WIP",'Candidate Tracker'!$C:$C,"&lt;&gt;Hold",'Candidate Tracker'!$C:$C,"&lt;&gt;Cancelled",'Candidate Tracker'!$C:$C,"&lt;&gt;Closed")/COUNTIFS('Candidate Tracker'!$E:$E,'Positions Tracker'!$B643)=0,"",COUNTIFS('Candidate Tracker'!$E:$E,'Positions Tracker'!$B643,'Candidate Tracker'!$C:$C,"&lt;&gt;WIP",'Candidate Tracker'!$C:$C,"&lt;&gt;Hold",'Candidate Tracker'!$C:$C,"&lt;&gt;Cancelled",'Candidate Tracker'!$C:$C,"&lt;&gt;Closed")/COUNTIFS('Candidate Tracker'!$E:$E,'Positions Tracker'!$B643)),"")</f>
        <v/>
      </c>
      <c r="BD643" s="30" t="str">
        <f t="shared" si="75"/>
        <v/>
      </c>
      <c r="BE643" s="30" t="str">
        <f t="shared" si="76"/>
        <v/>
      </c>
      <c r="BF643" s="30" t="str">
        <f t="shared" si="77"/>
        <v/>
      </c>
      <c r="BG643" s="30" t="str">
        <f t="shared" si="78"/>
        <v/>
      </c>
    </row>
    <row r="644" spans="1:59">
      <c r="A644" s="39"/>
      <c r="B644" s="39"/>
      <c r="C644" s="39"/>
      <c r="D644" s="39"/>
      <c r="E644" s="39"/>
      <c r="F644" s="39"/>
      <c r="G644" s="39"/>
      <c r="H644" s="39"/>
      <c r="I644" s="40"/>
      <c r="J644" s="40"/>
      <c r="K644" s="35"/>
      <c r="L644" s="35"/>
      <c r="M644" s="35"/>
      <c r="N644" s="39"/>
      <c r="O644" s="39"/>
      <c r="P644" s="39"/>
      <c r="Q644" s="39"/>
      <c r="R644" s="39"/>
      <c r="S644" s="39"/>
      <c r="T644" s="39"/>
      <c r="U644" s="39"/>
      <c r="V644" s="39"/>
      <c r="W644" s="39"/>
      <c r="X644" s="39"/>
      <c r="Y644" s="39"/>
      <c r="Z644" s="39"/>
      <c r="AA644" s="39"/>
      <c r="AB644" s="39"/>
      <c r="AC644" s="39"/>
      <c r="AD644" s="39"/>
      <c r="AE644" s="39"/>
      <c r="AF644" s="39"/>
      <c r="AG644" s="39"/>
      <c r="AH644" s="39"/>
      <c r="AI644" s="35"/>
      <c r="AJ644" s="39"/>
      <c r="AK644" s="39"/>
      <c r="AL644" s="39"/>
      <c r="AM644" s="35"/>
      <c r="AN644" s="35"/>
      <c r="AO644" s="39"/>
      <c r="AP644" s="39"/>
      <c r="AQ644" s="35"/>
      <c r="AR644" s="35"/>
      <c r="AS644" s="35"/>
      <c r="AT644" s="30">
        <f t="shared" ca="1" si="74"/>
        <v>0</v>
      </c>
      <c r="AU644" s="32" t="str">
        <f t="shared" ca="1" si="73"/>
        <v/>
      </c>
      <c r="AV644" s="32" t="str" cm="1">
        <f t="array" aca="1" ref="AV644" ca="1">IFERROR(_xlfn.IFS($AU644="","",$AU644&lt;=15,"0-15",AND($AU644&gt;=16,$AU644&lt;=30),"16-30",AND($AU644&gt;=31,$AU644&lt;=45),"31-45",AND($AU644&gt;=46,$AU644&lt;=60),"46-60",AND($AU644&gt;=61,$AU644&lt;=90),"61-90",AND($AU644&gt;=91),"&gt; 90",AND($AU644&gt;=2000),""),"")</f>
        <v/>
      </c>
      <c r="AW644" s="32" t="str" cm="1">
        <f t="array" aca="1" ref="AW644" ca="1">IFERROR(_xlfn.IFS(OR($M644="",$AM644=""),"",OR($C644="Offered",$C644="Joined"),($AM644-$M644)-$AT644),"")</f>
        <v/>
      </c>
      <c r="AX644" s="32" t="str" cm="1">
        <f t="array" aca="1" ref="AX644" ca="1">IFERROR(_xlfn.IFS(OR($M644="",$AS644=""),"",$C644="Joined",($AS644-$M644)-$AT644),"")</f>
        <v/>
      </c>
      <c r="AY644" s="30" t="str">
        <f>IFERROR(IF(COUNTIFS('Candidate Tracker'!$E:$E,'Positions Tracker'!$B644,'Candidate Tracker'!$C:$C,"Offer Drop")=0,"",COUNTIFS('Candidate Tracker'!$E:$E,'Positions Tracker'!$B644,'Candidate Tracker'!$C:$C,"Offer Drop")),"")</f>
        <v/>
      </c>
      <c r="AZ6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4" s="34" t="str">
        <f>IFERROR(IF(COUNTIFS('Candidate Tracker'!$E:$E,'Positions Tracker'!$B644,'Candidate Tracker'!$I:$I,"Female")=0,"",COUNTIFS('Candidate Tracker'!$E:$E,'Positions Tracker'!$B644,'Candidate Tracker'!$I:$I,"Female")),"")</f>
        <v/>
      </c>
      <c r="BB644" s="34" t="str">
        <f>IFERROR(IF(COUNTIFS('Candidate Tracker'!$E:$E,'Positions Tracker'!$B644,'Candidate Tracker'!$I:$I,"male")=0,"",COUNTIFS('Candidate Tracker'!$E:$E,'Positions Tracker'!$B644,'Candidate Tracker'!$I:$I,"male")),"")</f>
        <v/>
      </c>
      <c r="BC644" s="33" t="str">
        <f>IFERROR(IF(COUNTIFS('Candidate Tracker'!$E:$E,'Positions Tracker'!$B644,'Candidate Tracker'!$C:$C,"&lt;&gt;WIP",'Candidate Tracker'!$C:$C,"&lt;&gt;Hold",'Candidate Tracker'!$C:$C,"&lt;&gt;Cancelled",'Candidate Tracker'!$C:$C,"&lt;&gt;Closed")/COUNTIFS('Candidate Tracker'!$E:$E,'Positions Tracker'!$B644)=0,"",COUNTIFS('Candidate Tracker'!$E:$E,'Positions Tracker'!$B644,'Candidate Tracker'!$C:$C,"&lt;&gt;WIP",'Candidate Tracker'!$C:$C,"&lt;&gt;Hold",'Candidate Tracker'!$C:$C,"&lt;&gt;Cancelled",'Candidate Tracker'!$C:$C,"&lt;&gt;Closed")/COUNTIFS('Candidate Tracker'!$E:$E,'Positions Tracker'!$B644)),"")</f>
        <v/>
      </c>
      <c r="BD644" s="30" t="str">
        <f t="shared" si="75"/>
        <v/>
      </c>
      <c r="BE644" s="30" t="str">
        <f t="shared" si="76"/>
        <v/>
      </c>
      <c r="BF644" s="30" t="str">
        <f t="shared" si="77"/>
        <v/>
      </c>
      <c r="BG644" s="30" t="str">
        <f t="shared" si="78"/>
        <v/>
      </c>
    </row>
    <row r="645" spans="1:59">
      <c r="A645" s="39"/>
      <c r="B645" s="39"/>
      <c r="C645" s="39"/>
      <c r="D645" s="39"/>
      <c r="E645" s="39"/>
      <c r="F645" s="39"/>
      <c r="G645" s="39"/>
      <c r="H645" s="39"/>
      <c r="I645" s="40"/>
      <c r="J645" s="40"/>
      <c r="K645" s="35"/>
      <c r="L645" s="35"/>
      <c r="M645" s="35"/>
      <c r="N645" s="39"/>
      <c r="O645" s="39"/>
      <c r="P645" s="39"/>
      <c r="Q645" s="39"/>
      <c r="R645" s="39"/>
      <c r="S645" s="39"/>
      <c r="T645" s="39"/>
      <c r="U645" s="39"/>
      <c r="V645" s="39"/>
      <c r="W645" s="39"/>
      <c r="X645" s="39"/>
      <c r="Y645" s="39"/>
      <c r="Z645" s="39"/>
      <c r="AA645" s="39"/>
      <c r="AB645" s="39"/>
      <c r="AC645" s="39"/>
      <c r="AD645" s="39"/>
      <c r="AE645" s="39"/>
      <c r="AF645" s="39"/>
      <c r="AG645" s="39"/>
      <c r="AH645" s="39"/>
      <c r="AI645" s="35"/>
      <c r="AJ645" s="39"/>
      <c r="AK645" s="39"/>
      <c r="AL645" s="39"/>
      <c r="AM645" s="35"/>
      <c r="AN645" s="35"/>
      <c r="AO645" s="39"/>
      <c r="AP645" s="39"/>
      <c r="AQ645" s="35"/>
      <c r="AR645" s="35"/>
      <c r="AS645" s="35"/>
      <c r="AT645" s="30">
        <f t="shared" ca="1" si="74"/>
        <v>0</v>
      </c>
      <c r="AU645" s="32" t="str">
        <f t="shared" ca="1" si="73"/>
        <v/>
      </c>
      <c r="AV645" s="32" t="str" cm="1">
        <f t="array" aca="1" ref="AV645" ca="1">IFERROR(_xlfn.IFS($AU645="","",$AU645&lt;=15,"0-15",AND($AU645&gt;=16,$AU645&lt;=30),"16-30",AND($AU645&gt;=31,$AU645&lt;=45),"31-45",AND($AU645&gt;=46,$AU645&lt;=60),"46-60",AND($AU645&gt;=61,$AU645&lt;=90),"61-90",AND($AU645&gt;=91),"&gt; 90",AND($AU645&gt;=2000),""),"")</f>
        <v/>
      </c>
      <c r="AW645" s="32" t="str" cm="1">
        <f t="array" aca="1" ref="AW645" ca="1">IFERROR(_xlfn.IFS(OR($M645="",$AM645=""),"",OR($C645="Offered",$C645="Joined"),($AM645-$M645)-$AT645),"")</f>
        <v/>
      </c>
      <c r="AX645" s="32" t="str" cm="1">
        <f t="array" aca="1" ref="AX645" ca="1">IFERROR(_xlfn.IFS(OR($M645="",$AS645=""),"",$C645="Joined",($AS645-$M645)-$AT645),"")</f>
        <v/>
      </c>
      <c r="AY645" s="30" t="str">
        <f>IFERROR(IF(COUNTIFS('Candidate Tracker'!$E:$E,'Positions Tracker'!$B645,'Candidate Tracker'!$C:$C,"Offer Drop")=0,"",COUNTIFS('Candidate Tracker'!$E:$E,'Positions Tracker'!$B645,'Candidate Tracker'!$C:$C,"Offer Drop")),"")</f>
        <v/>
      </c>
      <c r="AZ64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5" s="34" t="str">
        <f>IFERROR(IF(COUNTIFS('Candidate Tracker'!$E:$E,'Positions Tracker'!$B645,'Candidate Tracker'!$I:$I,"Female")=0,"",COUNTIFS('Candidate Tracker'!$E:$E,'Positions Tracker'!$B645,'Candidate Tracker'!$I:$I,"Female")),"")</f>
        <v/>
      </c>
      <c r="BB645" s="34" t="str">
        <f>IFERROR(IF(COUNTIFS('Candidate Tracker'!$E:$E,'Positions Tracker'!$B645,'Candidate Tracker'!$I:$I,"male")=0,"",COUNTIFS('Candidate Tracker'!$E:$E,'Positions Tracker'!$B645,'Candidate Tracker'!$I:$I,"male")),"")</f>
        <v/>
      </c>
      <c r="BC645" s="33" t="str">
        <f>IFERROR(IF(COUNTIFS('Candidate Tracker'!$E:$E,'Positions Tracker'!$B645,'Candidate Tracker'!$C:$C,"&lt;&gt;WIP",'Candidate Tracker'!$C:$C,"&lt;&gt;Hold",'Candidate Tracker'!$C:$C,"&lt;&gt;Cancelled",'Candidate Tracker'!$C:$C,"&lt;&gt;Closed")/COUNTIFS('Candidate Tracker'!$E:$E,'Positions Tracker'!$B645)=0,"",COUNTIFS('Candidate Tracker'!$E:$E,'Positions Tracker'!$B645,'Candidate Tracker'!$C:$C,"&lt;&gt;WIP",'Candidate Tracker'!$C:$C,"&lt;&gt;Hold",'Candidate Tracker'!$C:$C,"&lt;&gt;Cancelled",'Candidate Tracker'!$C:$C,"&lt;&gt;Closed")/COUNTIFS('Candidate Tracker'!$E:$E,'Positions Tracker'!$B645)),"")</f>
        <v/>
      </c>
      <c r="BD645" s="30" t="str">
        <f t="shared" si="75"/>
        <v/>
      </c>
      <c r="BE645" s="30" t="str">
        <f t="shared" si="76"/>
        <v/>
      </c>
      <c r="BF645" s="30" t="str">
        <f t="shared" si="77"/>
        <v/>
      </c>
      <c r="BG645" s="30" t="str">
        <f t="shared" si="78"/>
        <v/>
      </c>
    </row>
    <row r="646" spans="1:59">
      <c r="A646" s="39"/>
      <c r="B646" s="39"/>
      <c r="C646" s="39"/>
      <c r="D646" s="39"/>
      <c r="E646" s="39"/>
      <c r="F646" s="39"/>
      <c r="G646" s="39"/>
      <c r="H646" s="39"/>
      <c r="I646" s="40"/>
      <c r="J646" s="40"/>
      <c r="K646" s="35"/>
      <c r="L646" s="35"/>
      <c r="M646" s="35"/>
      <c r="N646" s="39"/>
      <c r="O646" s="39"/>
      <c r="P646" s="39"/>
      <c r="Q646" s="39"/>
      <c r="R646" s="39"/>
      <c r="S646" s="39"/>
      <c r="T646" s="39"/>
      <c r="U646" s="39"/>
      <c r="V646" s="39"/>
      <c r="W646" s="39"/>
      <c r="X646" s="39"/>
      <c r="Y646" s="39"/>
      <c r="Z646" s="39"/>
      <c r="AA646" s="39"/>
      <c r="AB646" s="39"/>
      <c r="AC646" s="39"/>
      <c r="AD646" s="39"/>
      <c r="AE646" s="39"/>
      <c r="AF646" s="39"/>
      <c r="AG646" s="39"/>
      <c r="AH646" s="39"/>
      <c r="AI646" s="35"/>
      <c r="AJ646" s="39"/>
      <c r="AK646" s="39"/>
      <c r="AL646" s="39"/>
      <c r="AM646" s="35"/>
      <c r="AN646" s="35"/>
      <c r="AO646" s="39"/>
      <c r="AP646" s="39"/>
      <c r="AQ646" s="35"/>
      <c r="AR646" s="35"/>
      <c r="AS646" s="35"/>
      <c r="AT646" s="30">
        <f t="shared" ca="1" si="74"/>
        <v>0</v>
      </c>
      <c r="AU646" s="32" t="str">
        <f t="shared" ca="1" si="73"/>
        <v/>
      </c>
      <c r="AV646" s="32" t="str" cm="1">
        <f t="array" aca="1" ref="AV646" ca="1">IFERROR(_xlfn.IFS($AU646="","",$AU646&lt;=15,"0-15",AND($AU646&gt;=16,$AU646&lt;=30),"16-30",AND($AU646&gt;=31,$AU646&lt;=45),"31-45",AND($AU646&gt;=46,$AU646&lt;=60),"46-60",AND($AU646&gt;=61,$AU646&lt;=90),"61-90",AND($AU646&gt;=91),"&gt; 90",AND($AU646&gt;=2000),""),"")</f>
        <v/>
      </c>
      <c r="AW646" s="32" t="str" cm="1">
        <f t="array" aca="1" ref="AW646" ca="1">IFERROR(_xlfn.IFS(OR($M646="",$AM646=""),"",OR($C646="Offered",$C646="Joined"),($AM646-$M646)-$AT646),"")</f>
        <v/>
      </c>
      <c r="AX646" s="32" t="str" cm="1">
        <f t="array" aca="1" ref="AX646" ca="1">IFERROR(_xlfn.IFS(OR($M646="",$AS646=""),"",$C646="Joined",($AS646-$M646)-$AT646),"")</f>
        <v/>
      </c>
      <c r="AY646" s="30" t="str">
        <f>IFERROR(IF(COUNTIFS('Candidate Tracker'!$E:$E,'Positions Tracker'!$B646,'Candidate Tracker'!$C:$C,"Offer Drop")=0,"",COUNTIFS('Candidate Tracker'!$E:$E,'Positions Tracker'!$B646,'Candidate Tracker'!$C:$C,"Offer Drop")),"")</f>
        <v/>
      </c>
      <c r="AZ64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6" s="34" t="str">
        <f>IFERROR(IF(COUNTIFS('Candidate Tracker'!$E:$E,'Positions Tracker'!$B646,'Candidate Tracker'!$I:$I,"Female")=0,"",COUNTIFS('Candidate Tracker'!$E:$E,'Positions Tracker'!$B646,'Candidate Tracker'!$I:$I,"Female")),"")</f>
        <v/>
      </c>
      <c r="BB646" s="34" t="str">
        <f>IFERROR(IF(COUNTIFS('Candidate Tracker'!$E:$E,'Positions Tracker'!$B646,'Candidate Tracker'!$I:$I,"male")=0,"",COUNTIFS('Candidate Tracker'!$E:$E,'Positions Tracker'!$B646,'Candidate Tracker'!$I:$I,"male")),"")</f>
        <v/>
      </c>
      <c r="BC646" s="33" t="str">
        <f>IFERROR(IF(COUNTIFS('Candidate Tracker'!$E:$E,'Positions Tracker'!$B646,'Candidate Tracker'!$C:$C,"&lt;&gt;WIP",'Candidate Tracker'!$C:$C,"&lt;&gt;Hold",'Candidate Tracker'!$C:$C,"&lt;&gt;Cancelled",'Candidate Tracker'!$C:$C,"&lt;&gt;Closed")/COUNTIFS('Candidate Tracker'!$E:$E,'Positions Tracker'!$B646)=0,"",COUNTIFS('Candidate Tracker'!$E:$E,'Positions Tracker'!$B646,'Candidate Tracker'!$C:$C,"&lt;&gt;WIP",'Candidate Tracker'!$C:$C,"&lt;&gt;Hold",'Candidate Tracker'!$C:$C,"&lt;&gt;Cancelled",'Candidate Tracker'!$C:$C,"&lt;&gt;Closed")/COUNTIFS('Candidate Tracker'!$E:$E,'Positions Tracker'!$B646)),"")</f>
        <v/>
      </c>
      <c r="BD646" s="30" t="str">
        <f t="shared" si="75"/>
        <v/>
      </c>
      <c r="BE646" s="30" t="str">
        <f t="shared" si="76"/>
        <v/>
      </c>
      <c r="BF646" s="30" t="str">
        <f t="shared" si="77"/>
        <v/>
      </c>
      <c r="BG646" s="30" t="str">
        <f t="shared" si="78"/>
        <v/>
      </c>
    </row>
    <row r="647" spans="1:59">
      <c r="A647" s="39"/>
      <c r="B647" s="39"/>
      <c r="C647" s="39"/>
      <c r="D647" s="39"/>
      <c r="E647" s="39"/>
      <c r="F647" s="39"/>
      <c r="G647" s="39"/>
      <c r="H647" s="39"/>
      <c r="I647" s="40"/>
      <c r="J647" s="40"/>
      <c r="K647" s="35"/>
      <c r="L647" s="35"/>
      <c r="M647" s="35"/>
      <c r="N647" s="39"/>
      <c r="O647" s="39"/>
      <c r="P647" s="39"/>
      <c r="Q647" s="39"/>
      <c r="R647" s="39"/>
      <c r="S647" s="39"/>
      <c r="T647" s="39"/>
      <c r="U647" s="39"/>
      <c r="V647" s="39"/>
      <c r="W647" s="39"/>
      <c r="X647" s="39"/>
      <c r="Y647" s="39"/>
      <c r="Z647" s="39"/>
      <c r="AA647" s="39"/>
      <c r="AB647" s="39"/>
      <c r="AC647" s="39"/>
      <c r="AD647" s="39"/>
      <c r="AE647" s="39"/>
      <c r="AF647" s="39"/>
      <c r="AG647" s="39"/>
      <c r="AH647" s="39"/>
      <c r="AI647" s="35"/>
      <c r="AJ647" s="39"/>
      <c r="AK647" s="39"/>
      <c r="AL647" s="39"/>
      <c r="AM647" s="35"/>
      <c r="AN647" s="35"/>
      <c r="AO647" s="39"/>
      <c r="AP647" s="39"/>
      <c r="AQ647" s="35"/>
      <c r="AR647" s="35"/>
      <c r="AS647" s="35"/>
      <c r="AT647" s="30">
        <f t="shared" ca="1" si="74"/>
        <v>0</v>
      </c>
      <c r="AU647" s="32" t="str">
        <f t="shared" ca="1" si="73"/>
        <v/>
      </c>
      <c r="AV647" s="32" t="str" cm="1">
        <f t="array" aca="1" ref="AV647" ca="1">IFERROR(_xlfn.IFS($AU647="","",$AU647&lt;=15,"0-15",AND($AU647&gt;=16,$AU647&lt;=30),"16-30",AND($AU647&gt;=31,$AU647&lt;=45),"31-45",AND($AU647&gt;=46,$AU647&lt;=60),"46-60",AND($AU647&gt;=61,$AU647&lt;=90),"61-90",AND($AU647&gt;=91),"&gt; 90",AND($AU647&gt;=2000),""),"")</f>
        <v/>
      </c>
      <c r="AW647" s="32" t="str" cm="1">
        <f t="array" aca="1" ref="AW647" ca="1">IFERROR(_xlfn.IFS(OR($M647="",$AM647=""),"",OR($C647="Offered",$C647="Joined"),($AM647-$M647)-$AT647),"")</f>
        <v/>
      </c>
      <c r="AX647" s="32" t="str" cm="1">
        <f t="array" aca="1" ref="AX647" ca="1">IFERROR(_xlfn.IFS(OR($M647="",$AS647=""),"",$C647="Joined",($AS647-$M647)-$AT647),"")</f>
        <v/>
      </c>
      <c r="AY647" s="30" t="str">
        <f>IFERROR(IF(COUNTIFS('Candidate Tracker'!$E:$E,'Positions Tracker'!$B647,'Candidate Tracker'!$C:$C,"Offer Drop")=0,"",COUNTIFS('Candidate Tracker'!$E:$E,'Positions Tracker'!$B647,'Candidate Tracker'!$C:$C,"Offer Drop")),"")</f>
        <v/>
      </c>
      <c r="AZ64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7" s="34" t="str">
        <f>IFERROR(IF(COUNTIFS('Candidate Tracker'!$E:$E,'Positions Tracker'!$B647,'Candidate Tracker'!$I:$I,"Female")=0,"",COUNTIFS('Candidate Tracker'!$E:$E,'Positions Tracker'!$B647,'Candidate Tracker'!$I:$I,"Female")),"")</f>
        <v/>
      </c>
      <c r="BB647" s="34" t="str">
        <f>IFERROR(IF(COUNTIFS('Candidate Tracker'!$E:$E,'Positions Tracker'!$B647,'Candidate Tracker'!$I:$I,"male")=0,"",COUNTIFS('Candidate Tracker'!$E:$E,'Positions Tracker'!$B647,'Candidate Tracker'!$I:$I,"male")),"")</f>
        <v/>
      </c>
      <c r="BC647" s="33" t="str">
        <f>IFERROR(IF(COUNTIFS('Candidate Tracker'!$E:$E,'Positions Tracker'!$B647,'Candidate Tracker'!$C:$C,"&lt;&gt;WIP",'Candidate Tracker'!$C:$C,"&lt;&gt;Hold",'Candidate Tracker'!$C:$C,"&lt;&gt;Cancelled",'Candidate Tracker'!$C:$C,"&lt;&gt;Closed")/COUNTIFS('Candidate Tracker'!$E:$E,'Positions Tracker'!$B647)=0,"",COUNTIFS('Candidate Tracker'!$E:$E,'Positions Tracker'!$B647,'Candidate Tracker'!$C:$C,"&lt;&gt;WIP",'Candidate Tracker'!$C:$C,"&lt;&gt;Hold",'Candidate Tracker'!$C:$C,"&lt;&gt;Cancelled",'Candidate Tracker'!$C:$C,"&lt;&gt;Closed")/COUNTIFS('Candidate Tracker'!$E:$E,'Positions Tracker'!$B647)),"")</f>
        <v/>
      </c>
      <c r="BD647" s="30" t="str">
        <f t="shared" si="75"/>
        <v/>
      </c>
      <c r="BE647" s="30" t="str">
        <f t="shared" si="76"/>
        <v/>
      </c>
      <c r="BF647" s="30" t="str">
        <f t="shared" si="77"/>
        <v/>
      </c>
      <c r="BG647" s="30" t="str">
        <f t="shared" si="78"/>
        <v/>
      </c>
    </row>
    <row r="648" spans="1:59">
      <c r="A648" s="39"/>
      <c r="B648" s="39"/>
      <c r="C648" s="39"/>
      <c r="D648" s="39"/>
      <c r="E648" s="39"/>
      <c r="F648" s="39"/>
      <c r="G648" s="39"/>
      <c r="H648" s="39"/>
      <c r="I648" s="40"/>
      <c r="J648" s="40"/>
      <c r="K648" s="35"/>
      <c r="L648" s="35"/>
      <c r="M648" s="35"/>
      <c r="N648" s="39"/>
      <c r="O648" s="39"/>
      <c r="P648" s="39"/>
      <c r="Q648" s="39"/>
      <c r="R648" s="39"/>
      <c r="S648" s="39"/>
      <c r="T648" s="39"/>
      <c r="U648" s="39"/>
      <c r="V648" s="39"/>
      <c r="W648" s="39"/>
      <c r="X648" s="39"/>
      <c r="Y648" s="39"/>
      <c r="Z648" s="39"/>
      <c r="AA648" s="39"/>
      <c r="AB648" s="39"/>
      <c r="AC648" s="39"/>
      <c r="AD648" s="39"/>
      <c r="AE648" s="39"/>
      <c r="AF648" s="39"/>
      <c r="AG648" s="39"/>
      <c r="AH648" s="39"/>
      <c r="AI648" s="35"/>
      <c r="AJ648" s="39"/>
      <c r="AK648" s="39"/>
      <c r="AL648" s="39"/>
      <c r="AM648" s="35"/>
      <c r="AN648" s="35"/>
      <c r="AO648" s="39"/>
      <c r="AP648" s="39"/>
      <c r="AQ648" s="35"/>
      <c r="AR648" s="35"/>
      <c r="AS648" s="35"/>
      <c r="AT648" s="30">
        <f t="shared" ca="1" si="74"/>
        <v>0</v>
      </c>
      <c r="AU648" s="32" t="str">
        <f t="shared" ca="1" si="73"/>
        <v/>
      </c>
      <c r="AV648" s="32" t="str" cm="1">
        <f t="array" aca="1" ref="AV648" ca="1">IFERROR(_xlfn.IFS($AU648="","",$AU648&lt;=15,"0-15",AND($AU648&gt;=16,$AU648&lt;=30),"16-30",AND($AU648&gt;=31,$AU648&lt;=45),"31-45",AND($AU648&gt;=46,$AU648&lt;=60),"46-60",AND($AU648&gt;=61,$AU648&lt;=90),"61-90",AND($AU648&gt;=91),"&gt; 90",AND($AU648&gt;=2000),""),"")</f>
        <v/>
      </c>
      <c r="AW648" s="32" t="str" cm="1">
        <f t="array" aca="1" ref="AW648" ca="1">IFERROR(_xlfn.IFS(OR($M648="",$AM648=""),"",OR($C648="Offered",$C648="Joined"),($AM648-$M648)-$AT648),"")</f>
        <v/>
      </c>
      <c r="AX648" s="32" t="str" cm="1">
        <f t="array" aca="1" ref="AX648" ca="1">IFERROR(_xlfn.IFS(OR($M648="",$AS648=""),"",$C648="Joined",($AS648-$M648)-$AT648),"")</f>
        <v/>
      </c>
      <c r="AY648" s="30" t="str">
        <f>IFERROR(IF(COUNTIFS('Candidate Tracker'!$E:$E,'Positions Tracker'!$B648,'Candidate Tracker'!$C:$C,"Offer Drop")=0,"",COUNTIFS('Candidate Tracker'!$E:$E,'Positions Tracker'!$B648,'Candidate Tracker'!$C:$C,"Offer Drop")),"")</f>
        <v/>
      </c>
      <c r="AZ6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8" s="34" t="str">
        <f>IFERROR(IF(COUNTIFS('Candidate Tracker'!$E:$E,'Positions Tracker'!$B648,'Candidate Tracker'!$I:$I,"Female")=0,"",COUNTIFS('Candidate Tracker'!$E:$E,'Positions Tracker'!$B648,'Candidate Tracker'!$I:$I,"Female")),"")</f>
        <v/>
      </c>
      <c r="BB648" s="34" t="str">
        <f>IFERROR(IF(COUNTIFS('Candidate Tracker'!$E:$E,'Positions Tracker'!$B648,'Candidate Tracker'!$I:$I,"male")=0,"",COUNTIFS('Candidate Tracker'!$E:$E,'Positions Tracker'!$B648,'Candidate Tracker'!$I:$I,"male")),"")</f>
        <v/>
      </c>
      <c r="BC648" s="33" t="str">
        <f>IFERROR(IF(COUNTIFS('Candidate Tracker'!$E:$E,'Positions Tracker'!$B648,'Candidate Tracker'!$C:$C,"&lt;&gt;WIP",'Candidate Tracker'!$C:$C,"&lt;&gt;Hold",'Candidate Tracker'!$C:$C,"&lt;&gt;Cancelled",'Candidate Tracker'!$C:$C,"&lt;&gt;Closed")/COUNTIFS('Candidate Tracker'!$E:$E,'Positions Tracker'!$B648)=0,"",COUNTIFS('Candidate Tracker'!$E:$E,'Positions Tracker'!$B648,'Candidate Tracker'!$C:$C,"&lt;&gt;WIP",'Candidate Tracker'!$C:$C,"&lt;&gt;Hold",'Candidate Tracker'!$C:$C,"&lt;&gt;Cancelled",'Candidate Tracker'!$C:$C,"&lt;&gt;Closed")/COUNTIFS('Candidate Tracker'!$E:$E,'Positions Tracker'!$B648)),"")</f>
        <v/>
      </c>
      <c r="BD648" s="30" t="str">
        <f t="shared" si="75"/>
        <v/>
      </c>
      <c r="BE648" s="30" t="str">
        <f t="shared" si="76"/>
        <v/>
      </c>
      <c r="BF648" s="30" t="str">
        <f t="shared" si="77"/>
        <v/>
      </c>
      <c r="BG648" s="30" t="str">
        <f t="shared" si="78"/>
        <v/>
      </c>
    </row>
    <row r="649" spans="1:59">
      <c r="A649" s="39"/>
      <c r="B649" s="39"/>
      <c r="C649" s="39"/>
      <c r="D649" s="39"/>
      <c r="E649" s="39"/>
      <c r="F649" s="39"/>
      <c r="G649" s="39"/>
      <c r="H649" s="39"/>
      <c r="I649" s="40"/>
      <c r="J649" s="40"/>
      <c r="K649" s="35"/>
      <c r="L649" s="35"/>
      <c r="M649" s="35"/>
      <c r="N649" s="39"/>
      <c r="O649" s="39"/>
      <c r="P649" s="39"/>
      <c r="Q649" s="39"/>
      <c r="R649" s="39"/>
      <c r="S649" s="39"/>
      <c r="T649" s="39"/>
      <c r="U649" s="39"/>
      <c r="V649" s="39"/>
      <c r="W649" s="39"/>
      <c r="X649" s="39"/>
      <c r="Y649" s="39"/>
      <c r="Z649" s="39"/>
      <c r="AA649" s="39"/>
      <c r="AB649" s="39"/>
      <c r="AC649" s="39"/>
      <c r="AD649" s="39"/>
      <c r="AE649" s="39"/>
      <c r="AF649" s="39"/>
      <c r="AG649" s="39"/>
      <c r="AH649" s="39"/>
      <c r="AI649" s="35"/>
      <c r="AJ649" s="39"/>
      <c r="AK649" s="39"/>
      <c r="AL649" s="39"/>
      <c r="AM649" s="35"/>
      <c r="AN649" s="35"/>
      <c r="AO649" s="39"/>
      <c r="AP649" s="39"/>
      <c r="AQ649" s="35"/>
      <c r="AR649" s="35"/>
      <c r="AS649" s="35"/>
      <c r="AT649" s="30">
        <f t="shared" ca="1" si="74"/>
        <v>0</v>
      </c>
      <c r="AU649" s="32" t="str">
        <f t="shared" ca="1" si="73"/>
        <v/>
      </c>
      <c r="AV649" s="32" t="str" cm="1">
        <f t="array" aca="1" ref="AV649" ca="1">IFERROR(_xlfn.IFS($AU649="","",$AU649&lt;=15,"0-15",AND($AU649&gt;=16,$AU649&lt;=30),"16-30",AND($AU649&gt;=31,$AU649&lt;=45),"31-45",AND($AU649&gt;=46,$AU649&lt;=60),"46-60",AND($AU649&gt;=61,$AU649&lt;=90),"61-90",AND($AU649&gt;=91),"&gt; 90",AND($AU649&gt;=2000),""),"")</f>
        <v/>
      </c>
      <c r="AW649" s="32" t="str" cm="1">
        <f t="array" aca="1" ref="AW649" ca="1">IFERROR(_xlfn.IFS(OR($M649="",$AM649=""),"",OR($C649="Offered",$C649="Joined"),($AM649-$M649)-$AT649),"")</f>
        <v/>
      </c>
      <c r="AX649" s="32" t="str" cm="1">
        <f t="array" aca="1" ref="AX649" ca="1">IFERROR(_xlfn.IFS(OR($M649="",$AS649=""),"",$C649="Joined",($AS649-$M649)-$AT649),"")</f>
        <v/>
      </c>
      <c r="AY649" s="30" t="str">
        <f>IFERROR(IF(COUNTIFS('Candidate Tracker'!$E:$E,'Positions Tracker'!$B649,'Candidate Tracker'!$C:$C,"Offer Drop")=0,"",COUNTIFS('Candidate Tracker'!$E:$E,'Positions Tracker'!$B649,'Candidate Tracker'!$C:$C,"Offer Drop")),"")</f>
        <v/>
      </c>
      <c r="AZ64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49" s="34" t="str">
        <f>IFERROR(IF(COUNTIFS('Candidate Tracker'!$E:$E,'Positions Tracker'!$B649,'Candidate Tracker'!$I:$I,"Female")=0,"",COUNTIFS('Candidate Tracker'!$E:$E,'Positions Tracker'!$B649,'Candidate Tracker'!$I:$I,"Female")),"")</f>
        <v/>
      </c>
      <c r="BB649" s="34" t="str">
        <f>IFERROR(IF(COUNTIFS('Candidate Tracker'!$E:$E,'Positions Tracker'!$B649,'Candidate Tracker'!$I:$I,"male")=0,"",COUNTIFS('Candidate Tracker'!$E:$E,'Positions Tracker'!$B649,'Candidate Tracker'!$I:$I,"male")),"")</f>
        <v/>
      </c>
      <c r="BC649" s="33" t="str">
        <f>IFERROR(IF(COUNTIFS('Candidate Tracker'!$E:$E,'Positions Tracker'!$B649,'Candidate Tracker'!$C:$C,"&lt;&gt;WIP",'Candidate Tracker'!$C:$C,"&lt;&gt;Hold",'Candidate Tracker'!$C:$C,"&lt;&gt;Cancelled",'Candidate Tracker'!$C:$C,"&lt;&gt;Closed")/COUNTIFS('Candidate Tracker'!$E:$E,'Positions Tracker'!$B649)=0,"",COUNTIFS('Candidate Tracker'!$E:$E,'Positions Tracker'!$B649,'Candidate Tracker'!$C:$C,"&lt;&gt;WIP",'Candidate Tracker'!$C:$C,"&lt;&gt;Hold",'Candidate Tracker'!$C:$C,"&lt;&gt;Cancelled",'Candidate Tracker'!$C:$C,"&lt;&gt;Closed")/COUNTIFS('Candidate Tracker'!$E:$E,'Positions Tracker'!$B649)),"")</f>
        <v/>
      </c>
      <c r="BD649" s="30" t="str">
        <f t="shared" si="75"/>
        <v/>
      </c>
      <c r="BE649" s="30" t="str">
        <f t="shared" si="76"/>
        <v/>
      </c>
      <c r="BF649" s="30" t="str">
        <f t="shared" si="77"/>
        <v/>
      </c>
      <c r="BG649" s="30" t="str">
        <f t="shared" si="78"/>
        <v/>
      </c>
    </row>
    <row r="650" spans="1:59">
      <c r="A650" s="39"/>
      <c r="B650" s="39"/>
      <c r="C650" s="39"/>
      <c r="D650" s="39"/>
      <c r="E650" s="39"/>
      <c r="F650" s="39"/>
      <c r="G650" s="39"/>
      <c r="H650" s="39"/>
      <c r="I650" s="40"/>
      <c r="J650" s="40"/>
      <c r="K650" s="35"/>
      <c r="L650" s="35"/>
      <c r="M650" s="35"/>
      <c r="N650" s="39"/>
      <c r="O650" s="39"/>
      <c r="P650" s="39"/>
      <c r="Q650" s="39"/>
      <c r="R650" s="39"/>
      <c r="S650" s="39"/>
      <c r="T650" s="39"/>
      <c r="U650" s="39"/>
      <c r="V650" s="39"/>
      <c r="W650" s="39"/>
      <c r="X650" s="39"/>
      <c r="Y650" s="39"/>
      <c r="Z650" s="39"/>
      <c r="AA650" s="39"/>
      <c r="AB650" s="39"/>
      <c r="AC650" s="39"/>
      <c r="AD650" s="39"/>
      <c r="AE650" s="39"/>
      <c r="AF650" s="39"/>
      <c r="AG650" s="39"/>
      <c r="AH650" s="39"/>
      <c r="AI650" s="35"/>
      <c r="AJ650" s="39"/>
      <c r="AK650" s="39"/>
      <c r="AL650" s="39"/>
      <c r="AM650" s="35"/>
      <c r="AN650" s="35"/>
      <c r="AO650" s="39"/>
      <c r="AP650" s="39"/>
      <c r="AQ650" s="35"/>
      <c r="AR650" s="35"/>
      <c r="AS650" s="35"/>
      <c r="AT650" s="30">
        <f t="shared" ca="1" si="74"/>
        <v>0</v>
      </c>
      <c r="AU650" s="32" t="str">
        <f t="shared" ca="1" si="73"/>
        <v/>
      </c>
      <c r="AV650" s="32" t="str" cm="1">
        <f t="array" aca="1" ref="AV650" ca="1">IFERROR(_xlfn.IFS($AU650="","",$AU650&lt;=15,"0-15",AND($AU650&gt;=16,$AU650&lt;=30),"16-30",AND($AU650&gt;=31,$AU650&lt;=45),"31-45",AND($AU650&gt;=46,$AU650&lt;=60),"46-60",AND($AU650&gt;=61,$AU650&lt;=90),"61-90",AND($AU650&gt;=91),"&gt; 90",AND($AU650&gt;=2000),""),"")</f>
        <v/>
      </c>
      <c r="AW650" s="32" t="str" cm="1">
        <f t="array" aca="1" ref="AW650" ca="1">IFERROR(_xlfn.IFS(OR($M650="",$AM650=""),"",OR($C650="Offered",$C650="Joined"),($AM650-$M650)-$AT650),"")</f>
        <v/>
      </c>
      <c r="AX650" s="32" t="str" cm="1">
        <f t="array" aca="1" ref="AX650" ca="1">IFERROR(_xlfn.IFS(OR($M650="",$AS650=""),"",$C650="Joined",($AS650-$M650)-$AT650),"")</f>
        <v/>
      </c>
      <c r="AY650" s="30" t="str">
        <f>IFERROR(IF(COUNTIFS('Candidate Tracker'!$E:$E,'Positions Tracker'!$B650,'Candidate Tracker'!$C:$C,"Offer Drop")=0,"",COUNTIFS('Candidate Tracker'!$E:$E,'Positions Tracker'!$B650,'Candidate Tracker'!$C:$C,"Offer Drop")),"")</f>
        <v/>
      </c>
      <c r="AZ65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0" s="34" t="str">
        <f>IFERROR(IF(COUNTIFS('Candidate Tracker'!$E:$E,'Positions Tracker'!$B650,'Candidate Tracker'!$I:$I,"Female")=0,"",COUNTIFS('Candidate Tracker'!$E:$E,'Positions Tracker'!$B650,'Candidate Tracker'!$I:$I,"Female")),"")</f>
        <v/>
      </c>
      <c r="BB650" s="34" t="str">
        <f>IFERROR(IF(COUNTIFS('Candidate Tracker'!$E:$E,'Positions Tracker'!$B650,'Candidate Tracker'!$I:$I,"male")=0,"",COUNTIFS('Candidate Tracker'!$E:$E,'Positions Tracker'!$B650,'Candidate Tracker'!$I:$I,"male")),"")</f>
        <v/>
      </c>
      <c r="BC650" s="33" t="str">
        <f>IFERROR(IF(COUNTIFS('Candidate Tracker'!$E:$E,'Positions Tracker'!$B650,'Candidate Tracker'!$C:$C,"&lt;&gt;WIP",'Candidate Tracker'!$C:$C,"&lt;&gt;Hold",'Candidate Tracker'!$C:$C,"&lt;&gt;Cancelled",'Candidate Tracker'!$C:$C,"&lt;&gt;Closed")/COUNTIFS('Candidate Tracker'!$E:$E,'Positions Tracker'!$B650)=0,"",COUNTIFS('Candidate Tracker'!$E:$E,'Positions Tracker'!$B650,'Candidate Tracker'!$C:$C,"&lt;&gt;WIP",'Candidate Tracker'!$C:$C,"&lt;&gt;Hold",'Candidate Tracker'!$C:$C,"&lt;&gt;Cancelled",'Candidate Tracker'!$C:$C,"&lt;&gt;Closed")/COUNTIFS('Candidate Tracker'!$E:$E,'Positions Tracker'!$B650)),"")</f>
        <v/>
      </c>
      <c r="BD650" s="30" t="str">
        <f t="shared" si="75"/>
        <v/>
      </c>
      <c r="BE650" s="30" t="str">
        <f t="shared" si="76"/>
        <v/>
      </c>
      <c r="BF650" s="30" t="str">
        <f t="shared" si="77"/>
        <v/>
      </c>
      <c r="BG650" s="30" t="str">
        <f t="shared" si="78"/>
        <v/>
      </c>
    </row>
    <row r="651" spans="1:59">
      <c r="A651" s="39"/>
      <c r="B651" s="39"/>
      <c r="C651" s="39"/>
      <c r="D651" s="39"/>
      <c r="E651" s="39"/>
      <c r="F651" s="39"/>
      <c r="G651" s="39"/>
      <c r="H651" s="39"/>
      <c r="I651" s="40"/>
      <c r="J651" s="40"/>
      <c r="K651" s="35"/>
      <c r="L651" s="35"/>
      <c r="M651" s="35"/>
      <c r="N651" s="39"/>
      <c r="O651" s="39"/>
      <c r="P651" s="39"/>
      <c r="Q651" s="39"/>
      <c r="R651" s="39"/>
      <c r="S651" s="39"/>
      <c r="T651" s="39"/>
      <c r="U651" s="39"/>
      <c r="V651" s="39"/>
      <c r="W651" s="39"/>
      <c r="X651" s="39"/>
      <c r="Y651" s="39"/>
      <c r="Z651" s="39"/>
      <c r="AA651" s="39"/>
      <c r="AB651" s="39"/>
      <c r="AC651" s="39"/>
      <c r="AD651" s="39"/>
      <c r="AE651" s="39"/>
      <c r="AF651" s="39"/>
      <c r="AG651" s="39"/>
      <c r="AH651" s="39"/>
      <c r="AI651" s="35"/>
      <c r="AJ651" s="39"/>
      <c r="AK651" s="39"/>
      <c r="AL651" s="39"/>
      <c r="AM651" s="35"/>
      <c r="AN651" s="35"/>
      <c r="AO651" s="39"/>
      <c r="AP651" s="39"/>
      <c r="AQ651" s="35"/>
      <c r="AR651" s="35"/>
      <c r="AS651" s="35"/>
      <c r="AT651" s="30">
        <f t="shared" ca="1" si="74"/>
        <v>0</v>
      </c>
      <c r="AU651" s="32" t="str">
        <f t="shared" ca="1" si="73"/>
        <v/>
      </c>
      <c r="AV651" s="32" t="str" cm="1">
        <f t="array" aca="1" ref="AV651" ca="1">IFERROR(_xlfn.IFS($AU651="","",$AU651&lt;=15,"0-15",AND($AU651&gt;=16,$AU651&lt;=30),"16-30",AND($AU651&gt;=31,$AU651&lt;=45),"31-45",AND($AU651&gt;=46,$AU651&lt;=60),"46-60",AND($AU651&gt;=61,$AU651&lt;=90),"61-90",AND($AU651&gt;=91),"&gt; 90",AND($AU651&gt;=2000),""),"")</f>
        <v/>
      </c>
      <c r="AW651" s="32" t="str" cm="1">
        <f t="array" aca="1" ref="AW651" ca="1">IFERROR(_xlfn.IFS(OR($M651="",$AM651=""),"",OR($C651="Offered",$C651="Joined"),($AM651-$M651)-$AT651),"")</f>
        <v/>
      </c>
      <c r="AX651" s="32" t="str" cm="1">
        <f t="array" aca="1" ref="AX651" ca="1">IFERROR(_xlfn.IFS(OR($M651="",$AS651=""),"",$C651="Joined",($AS651-$M651)-$AT651),"")</f>
        <v/>
      </c>
      <c r="AY651" s="30" t="str">
        <f>IFERROR(IF(COUNTIFS('Candidate Tracker'!$E:$E,'Positions Tracker'!$B651,'Candidate Tracker'!$C:$C,"Offer Drop")=0,"",COUNTIFS('Candidate Tracker'!$E:$E,'Positions Tracker'!$B651,'Candidate Tracker'!$C:$C,"Offer Drop")),"")</f>
        <v/>
      </c>
      <c r="AZ6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1" s="34" t="str">
        <f>IFERROR(IF(COUNTIFS('Candidate Tracker'!$E:$E,'Positions Tracker'!$B651,'Candidate Tracker'!$I:$I,"Female")=0,"",COUNTIFS('Candidate Tracker'!$E:$E,'Positions Tracker'!$B651,'Candidate Tracker'!$I:$I,"Female")),"")</f>
        <v/>
      </c>
      <c r="BB651" s="34" t="str">
        <f>IFERROR(IF(COUNTIFS('Candidate Tracker'!$E:$E,'Positions Tracker'!$B651,'Candidate Tracker'!$I:$I,"male")=0,"",COUNTIFS('Candidate Tracker'!$E:$E,'Positions Tracker'!$B651,'Candidate Tracker'!$I:$I,"male")),"")</f>
        <v/>
      </c>
      <c r="BC651" s="33" t="str">
        <f>IFERROR(IF(COUNTIFS('Candidate Tracker'!$E:$E,'Positions Tracker'!$B651,'Candidate Tracker'!$C:$C,"&lt;&gt;WIP",'Candidate Tracker'!$C:$C,"&lt;&gt;Hold",'Candidate Tracker'!$C:$C,"&lt;&gt;Cancelled",'Candidate Tracker'!$C:$C,"&lt;&gt;Closed")/COUNTIFS('Candidate Tracker'!$E:$E,'Positions Tracker'!$B651)=0,"",COUNTIFS('Candidate Tracker'!$E:$E,'Positions Tracker'!$B651,'Candidate Tracker'!$C:$C,"&lt;&gt;WIP",'Candidate Tracker'!$C:$C,"&lt;&gt;Hold",'Candidate Tracker'!$C:$C,"&lt;&gt;Cancelled",'Candidate Tracker'!$C:$C,"&lt;&gt;Closed")/COUNTIFS('Candidate Tracker'!$E:$E,'Positions Tracker'!$B651)),"")</f>
        <v/>
      </c>
      <c r="BD651" s="30" t="str">
        <f t="shared" si="75"/>
        <v/>
      </c>
      <c r="BE651" s="30" t="str">
        <f t="shared" si="76"/>
        <v/>
      </c>
      <c r="BF651" s="30" t="str">
        <f t="shared" si="77"/>
        <v/>
      </c>
      <c r="BG651" s="30" t="str">
        <f t="shared" si="78"/>
        <v/>
      </c>
    </row>
    <row r="652" spans="1:59">
      <c r="A652" s="39"/>
      <c r="B652" s="39"/>
      <c r="C652" s="39"/>
      <c r="D652" s="39"/>
      <c r="E652" s="39"/>
      <c r="F652" s="39"/>
      <c r="G652" s="39"/>
      <c r="H652" s="39"/>
      <c r="I652" s="40"/>
      <c r="J652" s="40"/>
      <c r="K652" s="35"/>
      <c r="L652" s="35"/>
      <c r="M652" s="35"/>
      <c r="N652" s="39"/>
      <c r="O652" s="39"/>
      <c r="P652" s="39"/>
      <c r="Q652" s="39"/>
      <c r="R652" s="39"/>
      <c r="S652" s="39"/>
      <c r="T652" s="39"/>
      <c r="U652" s="39"/>
      <c r="V652" s="39"/>
      <c r="W652" s="39"/>
      <c r="X652" s="39"/>
      <c r="Y652" s="39"/>
      <c r="Z652" s="39"/>
      <c r="AA652" s="39"/>
      <c r="AB652" s="39"/>
      <c r="AC652" s="39"/>
      <c r="AD652" s="39"/>
      <c r="AE652" s="39"/>
      <c r="AF652" s="39"/>
      <c r="AG652" s="39"/>
      <c r="AH652" s="39"/>
      <c r="AI652" s="35"/>
      <c r="AJ652" s="39"/>
      <c r="AK652" s="39"/>
      <c r="AL652" s="39"/>
      <c r="AM652" s="35"/>
      <c r="AN652" s="35"/>
      <c r="AO652" s="39"/>
      <c r="AP652" s="39"/>
      <c r="AQ652" s="35"/>
      <c r="AR652" s="35"/>
      <c r="AS652" s="35"/>
      <c r="AT652" s="30">
        <f t="shared" ca="1" si="74"/>
        <v>0</v>
      </c>
      <c r="AU652" s="32" t="str">
        <f t="shared" ca="1" si="73"/>
        <v/>
      </c>
      <c r="AV652" s="32" t="str" cm="1">
        <f t="array" aca="1" ref="AV652" ca="1">IFERROR(_xlfn.IFS($AU652="","",$AU652&lt;=15,"0-15",AND($AU652&gt;=16,$AU652&lt;=30),"16-30",AND($AU652&gt;=31,$AU652&lt;=45),"31-45",AND($AU652&gt;=46,$AU652&lt;=60),"46-60",AND($AU652&gt;=61,$AU652&lt;=90),"61-90",AND($AU652&gt;=91),"&gt; 90",AND($AU652&gt;=2000),""),"")</f>
        <v/>
      </c>
      <c r="AW652" s="32" t="str" cm="1">
        <f t="array" aca="1" ref="AW652" ca="1">IFERROR(_xlfn.IFS(OR($M652="",$AM652=""),"",OR($C652="Offered",$C652="Joined"),($AM652-$M652)-$AT652),"")</f>
        <v/>
      </c>
      <c r="AX652" s="32" t="str" cm="1">
        <f t="array" aca="1" ref="AX652" ca="1">IFERROR(_xlfn.IFS(OR($M652="",$AS652=""),"",$C652="Joined",($AS652-$M652)-$AT652),"")</f>
        <v/>
      </c>
      <c r="AY652" s="30" t="str">
        <f>IFERROR(IF(COUNTIFS('Candidate Tracker'!$E:$E,'Positions Tracker'!$B652,'Candidate Tracker'!$C:$C,"Offer Drop")=0,"",COUNTIFS('Candidate Tracker'!$E:$E,'Positions Tracker'!$B652,'Candidate Tracker'!$C:$C,"Offer Drop")),"")</f>
        <v/>
      </c>
      <c r="AZ65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2" s="34" t="str">
        <f>IFERROR(IF(COUNTIFS('Candidate Tracker'!$E:$E,'Positions Tracker'!$B652,'Candidate Tracker'!$I:$I,"Female")=0,"",COUNTIFS('Candidate Tracker'!$E:$E,'Positions Tracker'!$B652,'Candidate Tracker'!$I:$I,"Female")),"")</f>
        <v/>
      </c>
      <c r="BB652" s="34" t="str">
        <f>IFERROR(IF(COUNTIFS('Candidate Tracker'!$E:$E,'Positions Tracker'!$B652,'Candidate Tracker'!$I:$I,"male")=0,"",COUNTIFS('Candidate Tracker'!$E:$E,'Positions Tracker'!$B652,'Candidate Tracker'!$I:$I,"male")),"")</f>
        <v/>
      </c>
      <c r="BC652" s="33" t="str">
        <f>IFERROR(IF(COUNTIFS('Candidate Tracker'!$E:$E,'Positions Tracker'!$B652,'Candidate Tracker'!$C:$C,"&lt;&gt;WIP",'Candidate Tracker'!$C:$C,"&lt;&gt;Hold",'Candidate Tracker'!$C:$C,"&lt;&gt;Cancelled",'Candidate Tracker'!$C:$C,"&lt;&gt;Closed")/COUNTIFS('Candidate Tracker'!$E:$E,'Positions Tracker'!$B652)=0,"",COUNTIFS('Candidate Tracker'!$E:$E,'Positions Tracker'!$B652,'Candidate Tracker'!$C:$C,"&lt;&gt;WIP",'Candidate Tracker'!$C:$C,"&lt;&gt;Hold",'Candidate Tracker'!$C:$C,"&lt;&gt;Cancelled",'Candidate Tracker'!$C:$C,"&lt;&gt;Closed")/COUNTIFS('Candidate Tracker'!$E:$E,'Positions Tracker'!$B652)),"")</f>
        <v/>
      </c>
      <c r="BD652" s="30" t="str">
        <f t="shared" si="75"/>
        <v/>
      </c>
      <c r="BE652" s="30" t="str">
        <f t="shared" si="76"/>
        <v/>
      </c>
      <c r="BF652" s="30" t="str">
        <f t="shared" si="77"/>
        <v/>
      </c>
      <c r="BG652" s="30" t="str">
        <f t="shared" si="78"/>
        <v/>
      </c>
    </row>
    <row r="653" spans="1:59">
      <c r="A653" s="39"/>
      <c r="B653" s="39"/>
      <c r="C653" s="39"/>
      <c r="D653" s="39"/>
      <c r="E653" s="39"/>
      <c r="F653" s="39"/>
      <c r="G653" s="39"/>
      <c r="H653" s="39"/>
      <c r="I653" s="40"/>
      <c r="J653" s="40"/>
      <c r="K653" s="35"/>
      <c r="L653" s="35"/>
      <c r="M653" s="35"/>
      <c r="N653" s="39"/>
      <c r="O653" s="39"/>
      <c r="P653" s="39"/>
      <c r="Q653" s="39"/>
      <c r="R653" s="39"/>
      <c r="S653" s="39"/>
      <c r="T653" s="39"/>
      <c r="U653" s="39"/>
      <c r="V653" s="39"/>
      <c r="W653" s="39"/>
      <c r="X653" s="39"/>
      <c r="Y653" s="39"/>
      <c r="Z653" s="39"/>
      <c r="AA653" s="39"/>
      <c r="AB653" s="39"/>
      <c r="AC653" s="39"/>
      <c r="AD653" s="39"/>
      <c r="AE653" s="39"/>
      <c r="AF653" s="39"/>
      <c r="AG653" s="39"/>
      <c r="AH653" s="39"/>
      <c r="AI653" s="35"/>
      <c r="AJ653" s="39"/>
      <c r="AK653" s="39"/>
      <c r="AL653" s="39"/>
      <c r="AM653" s="35"/>
      <c r="AN653" s="35"/>
      <c r="AO653" s="39"/>
      <c r="AP653" s="39"/>
      <c r="AQ653" s="35"/>
      <c r="AR653" s="35"/>
      <c r="AS653" s="35"/>
      <c r="AT653" s="30">
        <f t="shared" ca="1" si="74"/>
        <v>0</v>
      </c>
      <c r="AU653" s="32" t="str">
        <f t="shared" ca="1" si="73"/>
        <v/>
      </c>
      <c r="AV653" s="32" t="str" cm="1">
        <f t="array" aca="1" ref="AV653" ca="1">IFERROR(_xlfn.IFS($AU653="","",$AU653&lt;=15,"0-15",AND($AU653&gt;=16,$AU653&lt;=30),"16-30",AND($AU653&gt;=31,$AU653&lt;=45),"31-45",AND($AU653&gt;=46,$AU653&lt;=60),"46-60",AND($AU653&gt;=61,$AU653&lt;=90),"61-90",AND($AU653&gt;=91),"&gt; 90",AND($AU653&gt;=2000),""),"")</f>
        <v/>
      </c>
      <c r="AW653" s="32" t="str" cm="1">
        <f t="array" aca="1" ref="AW653" ca="1">IFERROR(_xlfn.IFS(OR($M653="",$AM653=""),"",OR($C653="Offered",$C653="Joined"),($AM653-$M653)-$AT653),"")</f>
        <v/>
      </c>
      <c r="AX653" s="32" t="str" cm="1">
        <f t="array" aca="1" ref="AX653" ca="1">IFERROR(_xlfn.IFS(OR($M653="",$AS653=""),"",$C653="Joined",($AS653-$M653)-$AT653),"")</f>
        <v/>
      </c>
      <c r="AY653" s="30" t="str">
        <f>IFERROR(IF(COUNTIFS('Candidate Tracker'!$E:$E,'Positions Tracker'!$B653,'Candidate Tracker'!$C:$C,"Offer Drop")=0,"",COUNTIFS('Candidate Tracker'!$E:$E,'Positions Tracker'!$B653,'Candidate Tracker'!$C:$C,"Offer Drop")),"")</f>
        <v/>
      </c>
      <c r="AZ65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3" s="34" t="str">
        <f>IFERROR(IF(COUNTIFS('Candidate Tracker'!$E:$E,'Positions Tracker'!$B653,'Candidate Tracker'!$I:$I,"Female")=0,"",COUNTIFS('Candidate Tracker'!$E:$E,'Positions Tracker'!$B653,'Candidate Tracker'!$I:$I,"Female")),"")</f>
        <v/>
      </c>
      <c r="BB653" s="34" t="str">
        <f>IFERROR(IF(COUNTIFS('Candidate Tracker'!$E:$E,'Positions Tracker'!$B653,'Candidate Tracker'!$I:$I,"male")=0,"",COUNTIFS('Candidate Tracker'!$E:$E,'Positions Tracker'!$B653,'Candidate Tracker'!$I:$I,"male")),"")</f>
        <v/>
      </c>
      <c r="BC653" s="33" t="str">
        <f>IFERROR(IF(COUNTIFS('Candidate Tracker'!$E:$E,'Positions Tracker'!$B653,'Candidate Tracker'!$C:$C,"&lt;&gt;WIP",'Candidate Tracker'!$C:$C,"&lt;&gt;Hold",'Candidate Tracker'!$C:$C,"&lt;&gt;Cancelled",'Candidate Tracker'!$C:$C,"&lt;&gt;Closed")/COUNTIFS('Candidate Tracker'!$E:$E,'Positions Tracker'!$B653)=0,"",COUNTIFS('Candidate Tracker'!$E:$E,'Positions Tracker'!$B653,'Candidate Tracker'!$C:$C,"&lt;&gt;WIP",'Candidate Tracker'!$C:$C,"&lt;&gt;Hold",'Candidate Tracker'!$C:$C,"&lt;&gt;Cancelled",'Candidate Tracker'!$C:$C,"&lt;&gt;Closed")/COUNTIFS('Candidate Tracker'!$E:$E,'Positions Tracker'!$B653)),"")</f>
        <v/>
      </c>
      <c r="BD653" s="30" t="str">
        <f t="shared" si="75"/>
        <v/>
      </c>
      <c r="BE653" s="30" t="str">
        <f t="shared" si="76"/>
        <v/>
      </c>
      <c r="BF653" s="30" t="str">
        <f t="shared" si="77"/>
        <v/>
      </c>
      <c r="BG653" s="30" t="str">
        <f t="shared" si="78"/>
        <v/>
      </c>
    </row>
    <row r="654" spans="1:59">
      <c r="A654" s="39"/>
      <c r="B654" s="39"/>
      <c r="C654" s="39"/>
      <c r="D654" s="39"/>
      <c r="E654" s="39"/>
      <c r="F654" s="39"/>
      <c r="G654" s="39"/>
      <c r="H654" s="39"/>
      <c r="I654" s="40"/>
      <c r="J654" s="40"/>
      <c r="K654" s="35"/>
      <c r="L654" s="35"/>
      <c r="M654" s="35"/>
      <c r="N654" s="39"/>
      <c r="O654" s="39"/>
      <c r="P654" s="39"/>
      <c r="Q654" s="39"/>
      <c r="R654" s="39"/>
      <c r="S654" s="39"/>
      <c r="T654" s="39"/>
      <c r="U654" s="39"/>
      <c r="V654" s="39"/>
      <c r="W654" s="39"/>
      <c r="X654" s="39"/>
      <c r="Y654" s="39"/>
      <c r="Z654" s="39"/>
      <c r="AA654" s="39"/>
      <c r="AB654" s="39"/>
      <c r="AC654" s="39"/>
      <c r="AD654" s="39"/>
      <c r="AE654" s="39"/>
      <c r="AF654" s="39"/>
      <c r="AG654" s="39"/>
      <c r="AH654" s="39"/>
      <c r="AI654" s="35"/>
      <c r="AJ654" s="39"/>
      <c r="AK654" s="39"/>
      <c r="AL654" s="39"/>
      <c r="AM654" s="35"/>
      <c r="AN654" s="35"/>
      <c r="AO654" s="39"/>
      <c r="AP654" s="39"/>
      <c r="AQ654" s="35"/>
      <c r="AR654" s="35"/>
      <c r="AS654" s="35"/>
      <c r="AT654" s="30">
        <f t="shared" ca="1" si="74"/>
        <v>0</v>
      </c>
      <c r="AU654" s="32" t="str">
        <f t="shared" ca="1" si="73"/>
        <v/>
      </c>
      <c r="AV654" s="32" t="str" cm="1">
        <f t="array" aca="1" ref="AV654" ca="1">IFERROR(_xlfn.IFS($AU654="","",$AU654&lt;=15,"0-15",AND($AU654&gt;=16,$AU654&lt;=30),"16-30",AND($AU654&gt;=31,$AU654&lt;=45),"31-45",AND($AU654&gt;=46,$AU654&lt;=60),"46-60",AND($AU654&gt;=61,$AU654&lt;=90),"61-90",AND($AU654&gt;=91),"&gt; 90",AND($AU654&gt;=2000),""),"")</f>
        <v/>
      </c>
      <c r="AW654" s="32" t="str" cm="1">
        <f t="array" aca="1" ref="AW654" ca="1">IFERROR(_xlfn.IFS(OR($M654="",$AM654=""),"",OR($C654="Offered",$C654="Joined"),($AM654-$M654)-$AT654),"")</f>
        <v/>
      </c>
      <c r="AX654" s="32" t="str" cm="1">
        <f t="array" aca="1" ref="AX654" ca="1">IFERROR(_xlfn.IFS(OR($M654="",$AS654=""),"",$C654="Joined",($AS654-$M654)-$AT654),"")</f>
        <v/>
      </c>
      <c r="AY654" s="30" t="str">
        <f>IFERROR(IF(COUNTIFS('Candidate Tracker'!$E:$E,'Positions Tracker'!$B654,'Candidate Tracker'!$C:$C,"Offer Drop")=0,"",COUNTIFS('Candidate Tracker'!$E:$E,'Positions Tracker'!$B654,'Candidate Tracker'!$C:$C,"Offer Drop")),"")</f>
        <v/>
      </c>
      <c r="AZ65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4" s="34" t="str">
        <f>IFERROR(IF(COUNTIFS('Candidate Tracker'!$E:$E,'Positions Tracker'!$B654,'Candidate Tracker'!$I:$I,"Female")=0,"",COUNTIFS('Candidate Tracker'!$E:$E,'Positions Tracker'!$B654,'Candidate Tracker'!$I:$I,"Female")),"")</f>
        <v/>
      </c>
      <c r="BB654" s="34" t="str">
        <f>IFERROR(IF(COUNTIFS('Candidate Tracker'!$E:$E,'Positions Tracker'!$B654,'Candidate Tracker'!$I:$I,"male")=0,"",COUNTIFS('Candidate Tracker'!$E:$E,'Positions Tracker'!$B654,'Candidate Tracker'!$I:$I,"male")),"")</f>
        <v/>
      </c>
      <c r="BC654" s="33" t="str">
        <f>IFERROR(IF(COUNTIFS('Candidate Tracker'!$E:$E,'Positions Tracker'!$B654,'Candidate Tracker'!$C:$C,"&lt;&gt;WIP",'Candidate Tracker'!$C:$C,"&lt;&gt;Hold",'Candidate Tracker'!$C:$C,"&lt;&gt;Cancelled",'Candidate Tracker'!$C:$C,"&lt;&gt;Closed")/COUNTIFS('Candidate Tracker'!$E:$E,'Positions Tracker'!$B654)=0,"",COUNTIFS('Candidate Tracker'!$E:$E,'Positions Tracker'!$B654,'Candidate Tracker'!$C:$C,"&lt;&gt;WIP",'Candidate Tracker'!$C:$C,"&lt;&gt;Hold",'Candidate Tracker'!$C:$C,"&lt;&gt;Cancelled",'Candidate Tracker'!$C:$C,"&lt;&gt;Closed")/COUNTIFS('Candidate Tracker'!$E:$E,'Positions Tracker'!$B654)),"")</f>
        <v/>
      </c>
      <c r="BD654" s="30" t="str">
        <f t="shared" si="75"/>
        <v/>
      </c>
      <c r="BE654" s="30" t="str">
        <f t="shared" si="76"/>
        <v/>
      </c>
      <c r="BF654" s="30" t="str">
        <f t="shared" si="77"/>
        <v/>
      </c>
      <c r="BG654" s="30" t="str">
        <f t="shared" si="78"/>
        <v/>
      </c>
    </row>
    <row r="655" spans="1:59">
      <c r="A655" s="39"/>
      <c r="B655" s="39"/>
      <c r="C655" s="39"/>
      <c r="D655" s="39"/>
      <c r="E655" s="39"/>
      <c r="F655" s="39"/>
      <c r="G655" s="39"/>
      <c r="H655" s="39"/>
      <c r="I655" s="40"/>
      <c r="J655" s="40"/>
      <c r="K655" s="35"/>
      <c r="L655" s="35"/>
      <c r="M655" s="35"/>
      <c r="N655" s="39"/>
      <c r="O655" s="39"/>
      <c r="P655" s="39"/>
      <c r="Q655" s="39"/>
      <c r="R655" s="39"/>
      <c r="S655" s="39"/>
      <c r="T655" s="39"/>
      <c r="U655" s="39"/>
      <c r="V655" s="39"/>
      <c r="W655" s="39"/>
      <c r="X655" s="39"/>
      <c r="Y655" s="39"/>
      <c r="Z655" s="39"/>
      <c r="AA655" s="39"/>
      <c r="AB655" s="39"/>
      <c r="AC655" s="39"/>
      <c r="AD655" s="39"/>
      <c r="AE655" s="39"/>
      <c r="AF655" s="39"/>
      <c r="AG655" s="39"/>
      <c r="AH655" s="39"/>
      <c r="AI655" s="35"/>
      <c r="AJ655" s="39"/>
      <c r="AK655" s="39"/>
      <c r="AL655" s="39"/>
      <c r="AM655" s="35"/>
      <c r="AN655" s="35"/>
      <c r="AO655" s="39"/>
      <c r="AP655" s="39"/>
      <c r="AQ655" s="35"/>
      <c r="AR655" s="35"/>
      <c r="AS655" s="35"/>
      <c r="AT655" s="30">
        <f t="shared" ca="1" si="74"/>
        <v>0</v>
      </c>
      <c r="AU655" s="32" t="str">
        <f t="shared" ca="1" si="73"/>
        <v/>
      </c>
      <c r="AV655" s="32" t="str" cm="1">
        <f t="array" aca="1" ref="AV655" ca="1">IFERROR(_xlfn.IFS($AU655="","",$AU655&lt;=15,"0-15",AND($AU655&gt;=16,$AU655&lt;=30),"16-30",AND($AU655&gt;=31,$AU655&lt;=45),"31-45",AND($AU655&gt;=46,$AU655&lt;=60),"46-60",AND($AU655&gt;=61,$AU655&lt;=90),"61-90",AND($AU655&gt;=91),"&gt; 90",AND($AU655&gt;=2000),""),"")</f>
        <v/>
      </c>
      <c r="AW655" s="32" t="str" cm="1">
        <f t="array" aca="1" ref="AW655" ca="1">IFERROR(_xlfn.IFS(OR($M655="",$AM655=""),"",OR($C655="Offered",$C655="Joined"),($AM655-$M655)-$AT655),"")</f>
        <v/>
      </c>
      <c r="AX655" s="32" t="str" cm="1">
        <f t="array" aca="1" ref="AX655" ca="1">IFERROR(_xlfn.IFS(OR($M655="",$AS655=""),"",$C655="Joined",($AS655-$M655)-$AT655),"")</f>
        <v/>
      </c>
      <c r="AY655" s="30" t="str">
        <f>IFERROR(IF(COUNTIFS('Candidate Tracker'!$E:$E,'Positions Tracker'!$B655,'Candidate Tracker'!$C:$C,"Offer Drop")=0,"",COUNTIFS('Candidate Tracker'!$E:$E,'Positions Tracker'!$B655,'Candidate Tracker'!$C:$C,"Offer Drop")),"")</f>
        <v/>
      </c>
      <c r="AZ65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5" s="34" t="str">
        <f>IFERROR(IF(COUNTIFS('Candidate Tracker'!$E:$E,'Positions Tracker'!$B655,'Candidate Tracker'!$I:$I,"Female")=0,"",COUNTIFS('Candidate Tracker'!$E:$E,'Positions Tracker'!$B655,'Candidate Tracker'!$I:$I,"Female")),"")</f>
        <v/>
      </c>
      <c r="BB655" s="34" t="str">
        <f>IFERROR(IF(COUNTIFS('Candidate Tracker'!$E:$E,'Positions Tracker'!$B655,'Candidate Tracker'!$I:$I,"male")=0,"",COUNTIFS('Candidate Tracker'!$E:$E,'Positions Tracker'!$B655,'Candidate Tracker'!$I:$I,"male")),"")</f>
        <v/>
      </c>
      <c r="BC655" s="33" t="str">
        <f>IFERROR(IF(COUNTIFS('Candidate Tracker'!$E:$E,'Positions Tracker'!$B655,'Candidate Tracker'!$C:$C,"&lt;&gt;WIP",'Candidate Tracker'!$C:$C,"&lt;&gt;Hold",'Candidate Tracker'!$C:$C,"&lt;&gt;Cancelled",'Candidate Tracker'!$C:$C,"&lt;&gt;Closed")/COUNTIFS('Candidate Tracker'!$E:$E,'Positions Tracker'!$B655)=0,"",COUNTIFS('Candidate Tracker'!$E:$E,'Positions Tracker'!$B655,'Candidate Tracker'!$C:$C,"&lt;&gt;WIP",'Candidate Tracker'!$C:$C,"&lt;&gt;Hold",'Candidate Tracker'!$C:$C,"&lt;&gt;Cancelled",'Candidate Tracker'!$C:$C,"&lt;&gt;Closed")/COUNTIFS('Candidate Tracker'!$E:$E,'Positions Tracker'!$B655)),"")</f>
        <v/>
      </c>
      <c r="BD655" s="30" t="str">
        <f t="shared" si="75"/>
        <v/>
      </c>
      <c r="BE655" s="30" t="str">
        <f t="shared" si="76"/>
        <v/>
      </c>
      <c r="BF655" s="30" t="str">
        <f t="shared" si="77"/>
        <v/>
      </c>
      <c r="BG655" s="30" t="str">
        <f t="shared" si="78"/>
        <v/>
      </c>
    </row>
    <row r="656" spans="1:59">
      <c r="A656" s="39"/>
      <c r="B656" s="39"/>
      <c r="C656" s="39"/>
      <c r="D656" s="39"/>
      <c r="E656" s="39"/>
      <c r="F656" s="39"/>
      <c r="G656" s="39"/>
      <c r="H656" s="39"/>
      <c r="I656" s="40"/>
      <c r="J656" s="40"/>
      <c r="K656" s="35"/>
      <c r="L656" s="35"/>
      <c r="M656" s="35"/>
      <c r="N656" s="39"/>
      <c r="O656" s="39"/>
      <c r="P656" s="39"/>
      <c r="Q656" s="39"/>
      <c r="R656" s="39"/>
      <c r="S656" s="39"/>
      <c r="T656" s="39"/>
      <c r="U656" s="39"/>
      <c r="V656" s="39"/>
      <c r="W656" s="39"/>
      <c r="X656" s="39"/>
      <c r="Y656" s="39"/>
      <c r="Z656" s="39"/>
      <c r="AA656" s="39"/>
      <c r="AB656" s="39"/>
      <c r="AC656" s="39"/>
      <c r="AD656" s="39"/>
      <c r="AE656" s="39"/>
      <c r="AF656" s="39"/>
      <c r="AG656" s="39"/>
      <c r="AH656" s="39"/>
      <c r="AI656" s="35"/>
      <c r="AJ656" s="39"/>
      <c r="AK656" s="39"/>
      <c r="AL656" s="39"/>
      <c r="AM656" s="35"/>
      <c r="AN656" s="35"/>
      <c r="AO656" s="39"/>
      <c r="AP656" s="39"/>
      <c r="AQ656" s="35"/>
      <c r="AR656" s="35"/>
      <c r="AS656" s="35"/>
      <c r="AT656" s="30">
        <f t="shared" ca="1" si="74"/>
        <v>0</v>
      </c>
      <c r="AU656" s="32" t="str">
        <f t="shared" ca="1" si="73"/>
        <v/>
      </c>
      <c r="AV656" s="32" t="str" cm="1">
        <f t="array" aca="1" ref="AV656" ca="1">IFERROR(_xlfn.IFS($AU656="","",$AU656&lt;=15,"0-15",AND($AU656&gt;=16,$AU656&lt;=30),"16-30",AND($AU656&gt;=31,$AU656&lt;=45),"31-45",AND($AU656&gt;=46,$AU656&lt;=60),"46-60",AND($AU656&gt;=61,$AU656&lt;=90),"61-90",AND($AU656&gt;=91),"&gt; 90",AND($AU656&gt;=2000),""),"")</f>
        <v/>
      </c>
      <c r="AW656" s="32" t="str" cm="1">
        <f t="array" aca="1" ref="AW656" ca="1">IFERROR(_xlfn.IFS(OR($M656="",$AM656=""),"",OR($C656="Offered",$C656="Joined"),($AM656-$M656)-$AT656),"")</f>
        <v/>
      </c>
      <c r="AX656" s="32" t="str" cm="1">
        <f t="array" aca="1" ref="AX656" ca="1">IFERROR(_xlfn.IFS(OR($M656="",$AS656=""),"",$C656="Joined",($AS656-$M656)-$AT656),"")</f>
        <v/>
      </c>
      <c r="AY656" s="30" t="str">
        <f>IFERROR(IF(COUNTIFS('Candidate Tracker'!$E:$E,'Positions Tracker'!$B656,'Candidate Tracker'!$C:$C,"Offer Drop")=0,"",COUNTIFS('Candidate Tracker'!$E:$E,'Positions Tracker'!$B656,'Candidate Tracker'!$C:$C,"Offer Drop")),"")</f>
        <v/>
      </c>
      <c r="AZ65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6" s="34" t="str">
        <f>IFERROR(IF(COUNTIFS('Candidate Tracker'!$E:$E,'Positions Tracker'!$B656,'Candidate Tracker'!$I:$I,"Female")=0,"",COUNTIFS('Candidate Tracker'!$E:$E,'Positions Tracker'!$B656,'Candidate Tracker'!$I:$I,"Female")),"")</f>
        <v/>
      </c>
      <c r="BB656" s="34" t="str">
        <f>IFERROR(IF(COUNTIFS('Candidate Tracker'!$E:$E,'Positions Tracker'!$B656,'Candidate Tracker'!$I:$I,"male")=0,"",COUNTIFS('Candidate Tracker'!$E:$E,'Positions Tracker'!$B656,'Candidate Tracker'!$I:$I,"male")),"")</f>
        <v/>
      </c>
      <c r="BC656" s="33" t="str">
        <f>IFERROR(IF(COUNTIFS('Candidate Tracker'!$E:$E,'Positions Tracker'!$B656,'Candidate Tracker'!$C:$C,"&lt;&gt;WIP",'Candidate Tracker'!$C:$C,"&lt;&gt;Hold",'Candidate Tracker'!$C:$C,"&lt;&gt;Cancelled",'Candidate Tracker'!$C:$C,"&lt;&gt;Closed")/COUNTIFS('Candidate Tracker'!$E:$E,'Positions Tracker'!$B656)=0,"",COUNTIFS('Candidate Tracker'!$E:$E,'Positions Tracker'!$B656,'Candidate Tracker'!$C:$C,"&lt;&gt;WIP",'Candidate Tracker'!$C:$C,"&lt;&gt;Hold",'Candidate Tracker'!$C:$C,"&lt;&gt;Cancelled",'Candidate Tracker'!$C:$C,"&lt;&gt;Closed")/COUNTIFS('Candidate Tracker'!$E:$E,'Positions Tracker'!$B656)),"")</f>
        <v/>
      </c>
      <c r="BD656" s="30" t="str">
        <f t="shared" si="75"/>
        <v/>
      </c>
      <c r="BE656" s="30" t="str">
        <f t="shared" si="76"/>
        <v/>
      </c>
      <c r="BF656" s="30" t="str">
        <f t="shared" si="77"/>
        <v/>
      </c>
      <c r="BG656" s="30" t="str">
        <f t="shared" si="78"/>
        <v/>
      </c>
    </row>
    <row r="657" spans="1:59">
      <c r="A657" s="39"/>
      <c r="B657" s="39"/>
      <c r="C657" s="39"/>
      <c r="D657" s="39"/>
      <c r="E657" s="39"/>
      <c r="F657" s="39"/>
      <c r="G657" s="39"/>
      <c r="H657" s="39"/>
      <c r="I657" s="40"/>
      <c r="J657" s="40"/>
      <c r="K657" s="35"/>
      <c r="L657" s="35"/>
      <c r="M657" s="35"/>
      <c r="N657" s="39"/>
      <c r="O657" s="39"/>
      <c r="P657" s="39"/>
      <c r="Q657" s="39"/>
      <c r="R657" s="39"/>
      <c r="S657" s="39"/>
      <c r="T657" s="39"/>
      <c r="U657" s="39"/>
      <c r="V657" s="39"/>
      <c r="W657" s="39"/>
      <c r="X657" s="39"/>
      <c r="Y657" s="39"/>
      <c r="Z657" s="39"/>
      <c r="AA657" s="39"/>
      <c r="AB657" s="39"/>
      <c r="AC657" s="39"/>
      <c r="AD657" s="39"/>
      <c r="AE657" s="39"/>
      <c r="AF657" s="39"/>
      <c r="AG657" s="39"/>
      <c r="AH657" s="39"/>
      <c r="AI657" s="35"/>
      <c r="AJ657" s="39"/>
      <c r="AK657" s="39"/>
      <c r="AL657" s="39"/>
      <c r="AM657" s="35"/>
      <c r="AN657" s="35"/>
      <c r="AO657" s="39"/>
      <c r="AP657" s="39"/>
      <c r="AQ657" s="35"/>
      <c r="AR657" s="35"/>
      <c r="AS657" s="35"/>
      <c r="AT657" s="30">
        <f t="shared" ca="1" si="74"/>
        <v>0</v>
      </c>
      <c r="AU657" s="32" t="str">
        <f t="shared" ca="1" si="73"/>
        <v/>
      </c>
      <c r="AV657" s="32" t="str" cm="1">
        <f t="array" aca="1" ref="AV657" ca="1">IFERROR(_xlfn.IFS($AU657="","",$AU657&lt;=15,"0-15",AND($AU657&gt;=16,$AU657&lt;=30),"16-30",AND($AU657&gt;=31,$AU657&lt;=45),"31-45",AND($AU657&gt;=46,$AU657&lt;=60),"46-60",AND($AU657&gt;=61,$AU657&lt;=90),"61-90",AND($AU657&gt;=91),"&gt; 90",AND($AU657&gt;=2000),""),"")</f>
        <v/>
      </c>
      <c r="AW657" s="32" t="str" cm="1">
        <f t="array" aca="1" ref="AW657" ca="1">IFERROR(_xlfn.IFS(OR($M657="",$AM657=""),"",OR($C657="Offered",$C657="Joined"),($AM657-$M657)-$AT657),"")</f>
        <v/>
      </c>
      <c r="AX657" s="32" t="str" cm="1">
        <f t="array" aca="1" ref="AX657" ca="1">IFERROR(_xlfn.IFS(OR($M657="",$AS657=""),"",$C657="Joined",($AS657-$M657)-$AT657),"")</f>
        <v/>
      </c>
      <c r="AY657" s="30" t="str">
        <f>IFERROR(IF(COUNTIFS('Candidate Tracker'!$E:$E,'Positions Tracker'!$B657,'Candidate Tracker'!$C:$C,"Offer Drop")=0,"",COUNTIFS('Candidate Tracker'!$E:$E,'Positions Tracker'!$B657,'Candidate Tracker'!$C:$C,"Offer Drop")),"")</f>
        <v/>
      </c>
      <c r="AZ65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7" s="34" t="str">
        <f>IFERROR(IF(COUNTIFS('Candidate Tracker'!$E:$E,'Positions Tracker'!$B657,'Candidate Tracker'!$I:$I,"Female")=0,"",COUNTIFS('Candidate Tracker'!$E:$E,'Positions Tracker'!$B657,'Candidate Tracker'!$I:$I,"Female")),"")</f>
        <v/>
      </c>
      <c r="BB657" s="34" t="str">
        <f>IFERROR(IF(COUNTIFS('Candidate Tracker'!$E:$E,'Positions Tracker'!$B657,'Candidate Tracker'!$I:$I,"male")=0,"",COUNTIFS('Candidate Tracker'!$E:$E,'Positions Tracker'!$B657,'Candidate Tracker'!$I:$I,"male")),"")</f>
        <v/>
      </c>
      <c r="BC657" s="33" t="str">
        <f>IFERROR(IF(COUNTIFS('Candidate Tracker'!$E:$E,'Positions Tracker'!$B657,'Candidate Tracker'!$C:$C,"&lt;&gt;WIP",'Candidate Tracker'!$C:$C,"&lt;&gt;Hold",'Candidate Tracker'!$C:$C,"&lt;&gt;Cancelled",'Candidate Tracker'!$C:$C,"&lt;&gt;Closed")/COUNTIFS('Candidate Tracker'!$E:$E,'Positions Tracker'!$B657)=0,"",COUNTIFS('Candidate Tracker'!$E:$E,'Positions Tracker'!$B657,'Candidate Tracker'!$C:$C,"&lt;&gt;WIP",'Candidate Tracker'!$C:$C,"&lt;&gt;Hold",'Candidate Tracker'!$C:$C,"&lt;&gt;Cancelled",'Candidate Tracker'!$C:$C,"&lt;&gt;Closed")/COUNTIFS('Candidate Tracker'!$E:$E,'Positions Tracker'!$B657)),"")</f>
        <v/>
      </c>
      <c r="BD657" s="30" t="str">
        <f t="shared" si="75"/>
        <v/>
      </c>
      <c r="BE657" s="30" t="str">
        <f t="shared" si="76"/>
        <v/>
      </c>
      <c r="BF657" s="30" t="str">
        <f t="shared" si="77"/>
        <v/>
      </c>
      <c r="BG657" s="30" t="str">
        <f t="shared" si="78"/>
        <v/>
      </c>
    </row>
    <row r="658" spans="1:59">
      <c r="A658" s="39"/>
      <c r="B658" s="39"/>
      <c r="C658" s="39"/>
      <c r="D658" s="39"/>
      <c r="E658" s="39"/>
      <c r="F658" s="39"/>
      <c r="G658" s="39"/>
      <c r="H658" s="39"/>
      <c r="I658" s="40"/>
      <c r="J658" s="40"/>
      <c r="K658" s="35"/>
      <c r="L658" s="35"/>
      <c r="M658" s="35"/>
      <c r="N658" s="39"/>
      <c r="O658" s="39"/>
      <c r="P658" s="39"/>
      <c r="Q658" s="39"/>
      <c r="R658" s="39"/>
      <c r="S658" s="39"/>
      <c r="T658" s="39"/>
      <c r="U658" s="39"/>
      <c r="V658" s="39"/>
      <c r="W658" s="39"/>
      <c r="X658" s="39"/>
      <c r="Y658" s="39"/>
      <c r="Z658" s="39"/>
      <c r="AA658" s="39"/>
      <c r="AB658" s="39"/>
      <c r="AC658" s="39"/>
      <c r="AD658" s="39"/>
      <c r="AE658" s="39"/>
      <c r="AF658" s="39"/>
      <c r="AG658" s="39"/>
      <c r="AH658" s="39"/>
      <c r="AI658" s="35"/>
      <c r="AJ658" s="39"/>
      <c r="AK658" s="39"/>
      <c r="AL658" s="39"/>
      <c r="AM658" s="35"/>
      <c r="AN658" s="35"/>
      <c r="AO658" s="39"/>
      <c r="AP658" s="39"/>
      <c r="AQ658" s="35"/>
      <c r="AR658" s="35"/>
      <c r="AS658" s="35"/>
      <c r="AT658" s="30">
        <f t="shared" ca="1" si="74"/>
        <v>0</v>
      </c>
      <c r="AU658" s="32" t="str">
        <f t="shared" ca="1" si="73"/>
        <v/>
      </c>
      <c r="AV658" s="32" t="str" cm="1">
        <f t="array" aca="1" ref="AV658" ca="1">IFERROR(_xlfn.IFS($AU658="","",$AU658&lt;=15,"0-15",AND($AU658&gt;=16,$AU658&lt;=30),"16-30",AND($AU658&gt;=31,$AU658&lt;=45),"31-45",AND($AU658&gt;=46,$AU658&lt;=60),"46-60",AND($AU658&gt;=61,$AU658&lt;=90),"61-90",AND($AU658&gt;=91),"&gt; 90",AND($AU658&gt;=2000),""),"")</f>
        <v/>
      </c>
      <c r="AW658" s="32" t="str" cm="1">
        <f t="array" aca="1" ref="AW658" ca="1">IFERROR(_xlfn.IFS(OR($M658="",$AM658=""),"",OR($C658="Offered",$C658="Joined"),($AM658-$M658)-$AT658),"")</f>
        <v/>
      </c>
      <c r="AX658" s="32" t="str" cm="1">
        <f t="array" aca="1" ref="AX658" ca="1">IFERROR(_xlfn.IFS(OR($M658="",$AS658=""),"",$C658="Joined",($AS658-$M658)-$AT658),"")</f>
        <v/>
      </c>
      <c r="AY658" s="30" t="str">
        <f>IFERROR(IF(COUNTIFS('Candidate Tracker'!$E:$E,'Positions Tracker'!$B658,'Candidate Tracker'!$C:$C,"Offer Drop")=0,"",COUNTIFS('Candidate Tracker'!$E:$E,'Positions Tracker'!$B658,'Candidate Tracker'!$C:$C,"Offer Drop")),"")</f>
        <v/>
      </c>
      <c r="AZ6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8" s="34" t="str">
        <f>IFERROR(IF(COUNTIFS('Candidate Tracker'!$E:$E,'Positions Tracker'!$B658,'Candidate Tracker'!$I:$I,"Female")=0,"",COUNTIFS('Candidate Tracker'!$E:$E,'Positions Tracker'!$B658,'Candidate Tracker'!$I:$I,"Female")),"")</f>
        <v/>
      </c>
      <c r="BB658" s="34" t="str">
        <f>IFERROR(IF(COUNTIFS('Candidate Tracker'!$E:$E,'Positions Tracker'!$B658,'Candidate Tracker'!$I:$I,"male")=0,"",COUNTIFS('Candidate Tracker'!$E:$E,'Positions Tracker'!$B658,'Candidate Tracker'!$I:$I,"male")),"")</f>
        <v/>
      </c>
      <c r="BC658" s="33" t="str">
        <f>IFERROR(IF(COUNTIFS('Candidate Tracker'!$E:$E,'Positions Tracker'!$B658,'Candidate Tracker'!$C:$C,"&lt;&gt;WIP",'Candidate Tracker'!$C:$C,"&lt;&gt;Hold",'Candidate Tracker'!$C:$C,"&lt;&gt;Cancelled",'Candidate Tracker'!$C:$C,"&lt;&gt;Closed")/COUNTIFS('Candidate Tracker'!$E:$E,'Positions Tracker'!$B658)=0,"",COUNTIFS('Candidate Tracker'!$E:$E,'Positions Tracker'!$B658,'Candidate Tracker'!$C:$C,"&lt;&gt;WIP",'Candidate Tracker'!$C:$C,"&lt;&gt;Hold",'Candidate Tracker'!$C:$C,"&lt;&gt;Cancelled",'Candidate Tracker'!$C:$C,"&lt;&gt;Closed")/COUNTIFS('Candidate Tracker'!$E:$E,'Positions Tracker'!$B658)),"")</f>
        <v/>
      </c>
      <c r="BD658" s="30" t="str">
        <f t="shared" si="75"/>
        <v/>
      </c>
      <c r="BE658" s="30" t="str">
        <f t="shared" si="76"/>
        <v/>
      </c>
      <c r="BF658" s="30" t="str">
        <f t="shared" si="77"/>
        <v/>
      </c>
      <c r="BG658" s="30" t="str">
        <f t="shared" si="78"/>
        <v/>
      </c>
    </row>
    <row r="659" spans="1:59">
      <c r="A659" s="39"/>
      <c r="B659" s="39"/>
      <c r="C659" s="39"/>
      <c r="D659" s="39"/>
      <c r="E659" s="39"/>
      <c r="F659" s="39"/>
      <c r="G659" s="39"/>
      <c r="H659" s="39"/>
      <c r="I659" s="40"/>
      <c r="J659" s="40"/>
      <c r="K659" s="35"/>
      <c r="L659" s="35"/>
      <c r="M659" s="35"/>
      <c r="N659" s="39"/>
      <c r="O659" s="39"/>
      <c r="P659" s="39"/>
      <c r="Q659" s="39"/>
      <c r="R659" s="39"/>
      <c r="S659" s="39"/>
      <c r="T659" s="39"/>
      <c r="U659" s="39"/>
      <c r="V659" s="39"/>
      <c r="W659" s="39"/>
      <c r="X659" s="39"/>
      <c r="Y659" s="39"/>
      <c r="Z659" s="39"/>
      <c r="AA659" s="39"/>
      <c r="AB659" s="39"/>
      <c r="AC659" s="39"/>
      <c r="AD659" s="39"/>
      <c r="AE659" s="39"/>
      <c r="AF659" s="39"/>
      <c r="AG659" s="39"/>
      <c r="AH659" s="39"/>
      <c r="AI659" s="35"/>
      <c r="AJ659" s="39"/>
      <c r="AK659" s="39"/>
      <c r="AL659" s="39"/>
      <c r="AM659" s="35"/>
      <c r="AN659" s="35"/>
      <c r="AO659" s="39"/>
      <c r="AP659" s="39"/>
      <c r="AQ659" s="35"/>
      <c r="AR659" s="35"/>
      <c r="AS659" s="35"/>
      <c r="AT659" s="30">
        <f t="shared" ca="1" si="74"/>
        <v>0</v>
      </c>
      <c r="AU659" s="32" t="str">
        <f t="shared" ca="1" si="73"/>
        <v/>
      </c>
      <c r="AV659" s="32" t="str" cm="1">
        <f t="array" aca="1" ref="AV659" ca="1">IFERROR(_xlfn.IFS($AU659="","",$AU659&lt;=15,"0-15",AND($AU659&gt;=16,$AU659&lt;=30),"16-30",AND($AU659&gt;=31,$AU659&lt;=45),"31-45",AND($AU659&gt;=46,$AU659&lt;=60),"46-60",AND($AU659&gt;=61,$AU659&lt;=90),"61-90",AND($AU659&gt;=91),"&gt; 90",AND($AU659&gt;=2000),""),"")</f>
        <v/>
      </c>
      <c r="AW659" s="32" t="str" cm="1">
        <f t="array" aca="1" ref="AW659" ca="1">IFERROR(_xlfn.IFS(OR($M659="",$AM659=""),"",OR($C659="Offered",$C659="Joined"),($AM659-$M659)-$AT659),"")</f>
        <v/>
      </c>
      <c r="AX659" s="32" t="str" cm="1">
        <f t="array" aca="1" ref="AX659" ca="1">IFERROR(_xlfn.IFS(OR($M659="",$AS659=""),"",$C659="Joined",($AS659-$M659)-$AT659),"")</f>
        <v/>
      </c>
      <c r="AY659" s="30" t="str">
        <f>IFERROR(IF(COUNTIFS('Candidate Tracker'!$E:$E,'Positions Tracker'!$B659,'Candidate Tracker'!$C:$C,"Offer Drop")=0,"",COUNTIFS('Candidate Tracker'!$E:$E,'Positions Tracker'!$B659,'Candidate Tracker'!$C:$C,"Offer Drop")),"")</f>
        <v/>
      </c>
      <c r="AZ6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59" s="34" t="str">
        <f>IFERROR(IF(COUNTIFS('Candidate Tracker'!$E:$E,'Positions Tracker'!$B659,'Candidate Tracker'!$I:$I,"Female")=0,"",COUNTIFS('Candidate Tracker'!$E:$E,'Positions Tracker'!$B659,'Candidate Tracker'!$I:$I,"Female")),"")</f>
        <v/>
      </c>
      <c r="BB659" s="34" t="str">
        <f>IFERROR(IF(COUNTIFS('Candidate Tracker'!$E:$E,'Positions Tracker'!$B659,'Candidate Tracker'!$I:$I,"male")=0,"",COUNTIFS('Candidate Tracker'!$E:$E,'Positions Tracker'!$B659,'Candidate Tracker'!$I:$I,"male")),"")</f>
        <v/>
      </c>
      <c r="BC659" s="33" t="str">
        <f>IFERROR(IF(COUNTIFS('Candidate Tracker'!$E:$E,'Positions Tracker'!$B659,'Candidate Tracker'!$C:$C,"&lt;&gt;WIP",'Candidate Tracker'!$C:$C,"&lt;&gt;Hold",'Candidate Tracker'!$C:$C,"&lt;&gt;Cancelled",'Candidate Tracker'!$C:$C,"&lt;&gt;Closed")/COUNTIFS('Candidate Tracker'!$E:$E,'Positions Tracker'!$B659)=0,"",COUNTIFS('Candidate Tracker'!$E:$E,'Positions Tracker'!$B659,'Candidate Tracker'!$C:$C,"&lt;&gt;WIP",'Candidate Tracker'!$C:$C,"&lt;&gt;Hold",'Candidate Tracker'!$C:$C,"&lt;&gt;Cancelled",'Candidate Tracker'!$C:$C,"&lt;&gt;Closed")/COUNTIFS('Candidate Tracker'!$E:$E,'Positions Tracker'!$B659)),"")</f>
        <v/>
      </c>
      <c r="BD659" s="30" t="str">
        <f t="shared" si="75"/>
        <v/>
      </c>
      <c r="BE659" s="30" t="str">
        <f t="shared" si="76"/>
        <v/>
      </c>
      <c r="BF659" s="30" t="str">
        <f t="shared" si="77"/>
        <v/>
      </c>
      <c r="BG659" s="30" t="str">
        <f t="shared" si="78"/>
        <v/>
      </c>
    </row>
    <row r="660" spans="1:59">
      <c r="A660" s="39"/>
      <c r="B660" s="39"/>
      <c r="C660" s="39"/>
      <c r="D660" s="39"/>
      <c r="E660" s="39"/>
      <c r="F660" s="39"/>
      <c r="G660" s="39"/>
      <c r="H660" s="39"/>
      <c r="I660" s="40"/>
      <c r="J660" s="40"/>
      <c r="K660" s="35"/>
      <c r="L660" s="35"/>
      <c r="M660" s="35"/>
      <c r="N660" s="39"/>
      <c r="O660" s="39"/>
      <c r="P660" s="39"/>
      <c r="Q660" s="39"/>
      <c r="R660" s="39"/>
      <c r="S660" s="39"/>
      <c r="T660" s="39"/>
      <c r="U660" s="39"/>
      <c r="V660" s="39"/>
      <c r="W660" s="39"/>
      <c r="X660" s="39"/>
      <c r="Y660" s="39"/>
      <c r="Z660" s="39"/>
      <c r="AA660" s="39"/>
      <c r="AB660" s="39"/>
      <c r="AC660" s="39"/>
      <c r="AD660" s="39"/>
      <c r="AE660" s="39"/>
      <c r="AF660" s="39"/>
      <c r="AG660" s="39"/>
      <c r="AH660" s="39"/>
      <c r="AI660" s="35"/>
      <c r="AJ660" s="39"/>
      <c r="AK660" s="39"/>
      <c r="AL660" s="39"/>
      <c r="AM660" s="35"/>
      <c r="AN660" s="35"/>
      <c r="AO660" s="39"/>
      <c r="AP660" s="39"/>
      <c r="AQ660" s="35"/>
      <c r="AR660" s="35"/>
      <c r="AS660" s="35"/>
      <c r="AT660" s="30">
        <f t="shared" ca="1" si="74"/>
        <v>0</v>
      </c>
      <c r="AU660" s="32" t="str">
        <f t="shared" ca="1" si="73"/>
        <v/>
      </c>
      <c r="AV660" s="32" t="str" cm="1">
        <f t="array" aca="1" ref="AV660" ca="1">IFERROR(_xlfn.IFS($AU660="","",$AU660&lt;=15,"0-15",AND($AU660&gt;=16,$AU660&lt;=30),"16-30",AND($AU660&gt;=31,$AU660&lt;=45),"31-45",AND($AU660&gt;=46,$AU660&lt;=60),"46-60",AND($AU660&gt;=61,$AU660&lt;=90),"61-90",AND($AU660&gt;=91),"&gt; 90",AND($AU660&gt;=2000),""),"")</f>
        <v/>
      </c>
      <c r="AW660" s="32" t="str" cm="1">
        <f t="array" aca="1" ref="AW660" ca="1">IFERROR(_xlfn.IFS(OR($M660="",$AM660=""),"",OR($C660="Offered",$C660="Joined"),($AM660-$M660)-$AT660),"")</f>
        <v/>
      </c>
      <c r="AX660" s="32" t="str" cm="1">
        <f t="array" aca="1" ref="AX660" ca="1">IFERROR(_xlfn.IFS(OR($M660="",$AS660=""),"",$C660="Joined",($AS660-$M660)-$AT660),"")</f>
        <v/>
      </c>
      <c r="AY660" s="30" t="str">
        <f>IFERROR(IF(COUNTIFS('Candidate Tracker'!$E:$E,'Positions Tracker'!$B660,'Candidate Tracker'!$C:$C,"Offer Drop")=0,"",COUNTIFS('Candidate Tracker'!$E:$E,'Positions Tracker'!$B660,'Candidate Tracker'!$C:$C,"Offer Drop")),"")</f>
        <v/>
      </c>
      <c r="AZ6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0" s="34" t="str">
        <f>IFERROR(IF(COUNTIFS('Candidate Tracker'!$E:$E,'Positions Tracker'!$B660,'Candidate Tracker'!$I:$I,"Female")=0,"",COUNTIFS('Candidate Tracker'!$E:$E,'Positions Tracker'!$B660,'Candidate Tracker'!$I:$I,"Female")),"")</f>
        <v/>
      </c>
      <c r="BB660" s="34" t="str">
        <f>IFERROR(IF(COUNTIFS('Candidate Tracker'!$E:$E,'Positions Tracker'!$B660,'Candidate Tracker'!$I:$I,"male")=0,"",COUNTIFS('Candidate Tracker'!$E:$E,'Positions Tracker'!$B660,'Candidate Tracker'!$I:$I,"male")),"")</f>
        <v/>
      </c>
      <c r="BC660" s="33" t="str">
        <f>IFERROR(IF(COUNTIFS('Candidate Tracker'!$E:$E,'Positions Tracker'!$B660,'Candidate Tracker'!$C:$C,"&lt;&gt;WIP",'Candidate Tracker'!$C:$C,"&lt;&gt;Hold",'Candidate Tracker'!$C:$C,"&lt;&gt;Cancelled",'Candidate Tracker'!$C:$C,"&lt;&gt;Closed")/COUNTIFS('Candidate Tracker'!$E:$E,'Positions Tracker'!$B660)=0,"",COUNTIFS('Candidate Tracker'!$E:$E,'Positions Tracker'!$B660,'Candidate Tracker'!$C:$C,"&lt;&gt;WIP",'Candidate Tracker'!$C:$C,"&lt;&gt;Hold",'Candidate Tracker'!$C:$C,"&lt;&gt;Cancelled",'Candidate Tracker'!$C:$C,"&lt;&gt;Closed")/COUNTIFS('Candidate Tracker'!$E:$E,'Positions Tracker'!$B660)),"")</f>
        <v/>
      </c>
      <c r="BD660" s="30" t="str">
        <f t="shared" si="75"/>
        <v/>
      </c>
      <c r="BE660" s="30" t="str">
        <f t="shared" si="76"/>
        <v/>
      </c>
      <c r="BF660" s="30" t="str">
        <f t="shared" si="77"/>
        <v/>
      </c>
      <c r="BG660" s="30" t="str">
        <f t="shared" si="78"/>
        <v/>
      </c>
    </row>
    <row r="661" spans="1:59">
      <c r="A661" s="39"/>
      <c r="B661" s="39"/>
      <c r="C661" s="39"/>
      <c r="D661" s="39"/>
      <c r="E661" s="39"/>
      <c r="F661" s="39"/>
      <c r="G661" s="39"/>
      <c r="H661" s="39"/>
      <c r="I661" s="40"/>
      <c r="J661" s="40"/>
      <c r="K661" s="35"/>
      <c r="L661" s="35"/>
      <c r="M661" s="35"/>
      <c r="N661" s="39"/>
      <c r="O661" s="39"/>
      <c r="P661" s="39"/>
      <c r="Q661" s="39"/>
      <c r="R661" s="39"/>
      <c r="S661" s="39"/>
      <c r="T661" s="39"/>
      <c r="U661" s="39"/>
      <c r="V661" s="39"/>
      <c r="W661" s="39"/>
      <c r="X661" s="39"/>
      <c r="Y661" s="39"/>
      <c r="Z661" s="39"/>
      <c r="AA661" s="39"/>
      <c r="AB661" s="39"/>
      <c r="AC661" s="39"/>
      <c r="AD661" s="39"/>
      <c r="AE661" s="39"/>
      <c r="AF661" s="39"/>
      <c r="AG661" s="39"/>
      <c r="AH661" s="39"/>
      <c r="AI661" s="35"/>
      <c r="AJ661" s="39"/>
      <c r="AK661" s="39"/>
      <c r="AL661" s="39"/>
      <c r="AM661" s="35"/>
      <c r="AN661" s="35"/>
      <c r="AO661" s="39"/>
      <c r="AP661" s="39"/>
      <c r="AQ661" s="35"/>
      <c r="AR661" s="35"/>
      <c r="AS661" s="35"/>
      <c r="AT661" s="30">
        <f t="shared" ca="1" si="74"/>
        <v>0</v>
      </c>
      <c r="AU661" s="32" t="str">
        <f t="shared" ca="1" si="73"/>
        <v/>
      </c>
      <c r="AV661" s="32" t="str" cm="1">
        <f t="array" aca="1" ref="AV661" ca="1">IFERROR(_xlfn.IFS($AU661="","",$AU661&lt;=15,"0-15",AND($AU661&gt;=16,$AU661&lt;=30),"16-30",AND($AU661&gt;=31,$AU661&lt;=45),"31-45",AND($AU661&gt;=46,$AU661&lt;=60),"46-60",AND($AU661&gt;=61,$AU661&lt;=90),"61-90",AND($AU661&gt;=91),"&gt; 90",AND($AU661&gt;=2000),""),"")</f>
        <v/>
      </c>
      <c r="AW661" s="32" t="str" cm="1">
        <f t="array" aca="1" ref="AW661" ca="1">IFERROR(_xlfn.IFS(OR($M661="",$AM661=""),"",OR($C661="Offered",$C661="Joined"),($AM661-$M661)-$AT661),"")</f>
        <v/>
      </c>
      <c r="AX661" s="32" t="str" cm="1">
        <f t="array" aca="1" ref="AX661" ca="1">IFERROR(_xlfn.IFS(OR($M661="",$AS661=""),"",$C661="Joined",($AS661-$M661)-$AT661),"")</f>
        <v/>
      </c>
      <c r="AY661" s="30" t="str">
        <f>IFERROR(IF(COUNTIFS('Candidate Tracker'!$E:$E,'Positions Tracker'!$B661,'Candidate Tracker'!$C:$C,"Offer Drop")=0,"",COUNTIFS('Candidate Tracker'!$E:$E,'Positions Tracker'!$B661,'Candidate Tracker'!$C:$C,"Offer Drop")),"")</f>
        <v/>
      </c>
      <c r="AZ6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1" s="34" t="str">
        <f>IFERROR(IF(COUNTIFS('Candidate Tracker'!$E:$E,'Positions Tracker'!$B661,'Candidate Tracker'!$I:$I,"Female")=0,"",COUNTIFS('Candidate Tracker'!$E:$E,'Positions Tracker'!$B661,'Candidate Tracker'!$I:$I,"Female")),"")</f>
        <v/>
      </c>
      <c r="BB661" s="34" t="str">
        <f>IFERROR(IF(COUNTIFS('Candidate Tracker'!$E:$E,'Positions Tracker'!$B661,'Candidate Tracker'!$I:$I,"male")=0,"",COUNTIFS('Candidate Tracker'!$E:$E,'Positions Tracker'!$B661,'Candidate Tracker'!$I:$I,"male")),"")</f>
        <v/>
      </c>
      <c r="BC661" s="33" t="str">
        <f>IFERROR(IF(COUNTIFS('Candidate Tracker'!$E:$E,'Positions Tracker'!$B661,'Candidate Tracker'!$C:$C,"&lt;&gt;WIP",'Candidate Tracker'!$C:$C,"&lt;&gt;Hold",'Candidate Tracker'!$C:$C,"&lt;&gt;Cancelled",'Candidate Tracker'!$C:$C,"&lt;&gt;Closed")/COUNTIFS('Candidate Tracker'!$E:$E,'Positions Tracker'!$B661)=0,"",COUNTIFS('Candidate Tracker'!$E:$E,'Positions Tracker'!$B661,'Candidate Tracker'!$C:$C,"&lt;&gt;WIP",'Candidate Tracker'!$C:$C,"&lt;&gt;Hold",'Candidate Tracker'!$C:$C,"&lt;&gt;Cancelled",'Candidate Tracker'!$C:$C,"&lt;&gt;Closed")/COUNTIFS('Candidate Tracker'!$E:$E,'Positions Tracker'!$B661)),"")</f>
        <v/>
      </c>
      <c r="BD661" s="30" t="str">
        <f t="shared" si="75"/>
        <v/>
      </c>
      <c r="BE661" s="30" t="str">
        <f t="shared" si="76"/>
        <v/>
      </c>
      <c r="BF661" s="30" t="str">
        <f t="shared" si="77"/>
        <v/>
      </c>
      <c r="BG661" s="30" t="str">
        <f t="shared" si="78"/>
        <v/>
      </c>
    </row>
    <row r="662" spans="1:59">
      <c r="A662" s="39"/>
      <c r="B662" s="39"/>
      <c r="C662" s="39"/>
      <c r="D662" s="39"/>
      <c r="E662" s="39"/>
      <c r="F662" s="39"/>
      <c r="G662" s="39"/>
      <c r="H662" s="39"/>
      <c r="I662" s="40"/>
      <c r="J662" s="40"/>
      <c r="K662" s="35"/>
      <c r="L662" s="35"/>
      <c r="M662" s="35"/>
      <c r="N662" s="39"/>
      <c r="O662" s="39"/>
      <c r="P662" s="39"/>
      <c r="Q662" s="39"/>
      <c r="R662" s="39"/>
      <c r="S662" s="39"/>
      <c r="T662" s="39"/>
      <c r="U662" s="39"/>
      <c r="V662" s="39"/>
      <c r="W662" s="39"/>
      <c r="X662" s="39"/>
      <c r="Y662" s="39"/>
      <c r="Z662" s="39"/>
      <c r="AA662" s="39"/>
      <c r="AB662" s="39"/>
      <c r="AC662" s="39"/>
      <c r="AD662" s="39"/>
      <c r="AE662" s="39"/>
      <c r="AF662" s="39"/>
      <c r="AG662" s="39"/>
      <c r="AH662" s="39"/>
      <c r="AI662" s="35"/>
      <c r="AJ662" s="39"/>
      <c r="AK662" s="39"/>
      <c r="AL662" s="39"/>
      <c r="AM662" s="35"/>
      <c r="AN662" s="35"/>
      <c r="AO662" s="39"/>
      <c r="AP662" s="39"/>
      <c r="AQ662" s="35"/>
      <c r="AR662" s="35"/>
      <c r="AS662" s="35"/>
      <c r="AT662" s="30">
        <f t="shared" ca="1" si="74"/>
        <v>0</v>
      </c>
      <c r="AU662" s="32" t="str">
        <f t="shared" ca="1" si="73"/>
        <v/>
      </c>
      <c r="AV662" s="32" t="str" cm="1">
        <f t="array" aca="1" ref="AV662" ca="1">IFERROR(_xlfn.IFS($AU662="","",$AU662&lt;=15,"0-15",AND($AU662&gt;=16,$AU662&lt;=30),"16-30",AND($AU662&gt;=31,$AU662&lt;=45),"31-45",AND($AU662&gt;=46,$AU662&lt;=60),"46-60",AND($AU662&gt;=61,$AU662&lt;=90),"61-90",AND($AU662&gt;=91),"&gt; 90",AND($AU662&gt;=2000),""),"")</f>
        <v/>
      </c>
      <c r="AW662" s="32" t="str" cm="1">
        <f t="array" aca="1" ref="AW662" ca="1">IFERROR(_xlfn.IFS(OR($M662="",$AM662=""),"",OR($C662="Offered",$C662="Joined"),($AM662-$M662)-$AT662),"")</f>
        <v/>
      </c>
      <c r="AX662" s="32" t="str" cm="1">
        <f t="array" aca="1" ref="AX662" ca="1">IFERROR(_xlfn.IFS(OR($M662="",$AS662=""),"",$C662="Joined",($AS662-$M662)-$AT662),"")</f>
        <v/>
      </c>
      <c r="AY662" s="30" t="str">
        <f>IFERROR(IF(COUNTIFS('Candidate Tracker'!$E:$E,'Positions Tracker'!$B662,'Candidate Tracker'!$C:$C,"Offer Drop")=0,"",COUNTIFS('Candidate Tracker'!$E:$E,'Positions Tracker'!$B662,'Candidate Tracker'!$C:$C,"Offer Drop")),"")</f>
        <v/>
      </c>
      <c r="AZ6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2" s="34" t="str">
        <f>IFERROR(IF(COUNTIFS('Candidate Tracker'!$E:$E,'Positions Tracker'!$B662,'Candidate Tracker'!$I:$I,"Female")=0,"",COUNTIFS('Candidate Tracker'!$E:$E,'Positions Tracker'!$B662,'Candidate Tracker'!$I:$I,"Female")),"")</f>
        <v/>
      </c>
      <c r="BB662" s="34" t="str">
        <f>IFERROR(IF(COUNTIFS('Candidate Tracker'!$E:$E,'Positions Tracker'!$B662,'Candidate Tracker'!$I:$I,"male")=0,"",COUNTIFS('Candidate Tracker'!$E:$E,'Positions Tracker'!$B662,'Candidate Tracker'!$I:$I,"male")),"")</f>
        <v/>
      </c>
      <c r="BC662" s="33" t="str">
        <f>IFERROR(IF(COUNTIFS('Candidate Tracker'!$E:$E,'Positions Tracker'!$B662,'Candidate Tracker'!$C:$C,"&lt;&gt;WIP",'Candidate Tracker'!$C:$C,"&lt;&gt;Hold",'Candidate Tracker'!$C:$C,"&lt;&gt;Cancelled",'Candidate Tracker'!$C:$C,"&lt;&gt;Closed")/COUNTIFS('Candidate Tracker'!$E:$E,'Positions Tracker'!$B662)=0,"",COUNTIFS('Candidate Tracker'!$E:$E,'Positions Tracker'!$B662,'Candidate Tracker'!$C:$C,"&lt;&gt;WIP",'Candidate Tracker'!$C:$C,"&lt;&gt;Hold",'Candidate Tracker'!$C:$C,"&lt;&gt;Cancelled",'Candidate Tracker'!$C:$C,"&lt;&gt;Closed")/COUNTIFS('Candidate Tracker'!$E:$E,'Positions Tracker'!$B662)),"")</f>
        <v/>
      </c>
      <c r="BD662" s="30" t="str">
        <f t="shared" si="75"/>
        <v/>
      </c>
      <c r="BE662" s="30" t="str">
        <f t="shared" si="76"/>
        <v/>
      </c>
      <c r="BF662" s="30" t="str">
        <f t="shared" si="77"/>
        <v/>
      </c>
      <c r="BG662" s="30" t="str">
        <f t="shared" si="78"/>
        <v/>
      </c>
    </row>
    <row r="663" spans="1:59">
      <c r="A663" s="39"/>
      <c r="B663" s="39"/>
      <c r="C663" s="39"/>
      <c r="D663" s="39"/>
      <c r="E663" s="39"/>
      <c r="F663" s="39"/>
      <c r="G663" s="39"/>
      <c r="H663" s="39"/>
      <c r="I663" s="40"/>
      <c r="J663" s="40"/>
      <c r="K663" s="35"/>
      <c r="L663" s="35"/>
      <c r="M663" s="35"/>
      <c r="N663" s="39"/>
      <c r="O663" s="39"/>
      <c r="P663" s="39"/>
      <c r="Q663" s="39"/>
      <c r="R663" s="39"/>
      <c r="S663" s="39"/>
      <c r="T663" s="39"/>
      <c r="U663" s="39"/>
      <c r="V663" s="39"/>
      <c r="W663" s="39"/>
      <c r="X663" s="39"/>
      <c r="Y663" s="39"/>
      <c r="Z663" s="39"/>
      <c r="AA663" s="39"/>
      <c r="AB663" s="39"/>
      <c r="AC663" s="39"/>
      <c r="AD663" s="39"/>
      <c r="AE663" s="39"/>
      <c r="AF663" s="39"/>
      <c r="AG663" s="39"/>
      <c r="AH663" s="39"/>
      <c r="AI663" s="35"/>
      <c r="AJ663" s="39"/>
      <c r="AK663" s="39"/>
      <c r="AL663" s="39"/>
      <c r="AM663" s="35"/>
      <c r="AN663" s="35"/>
      <c r="AO663" s="39"/>
      <c r="AP663" s="39"/>
      <c r="AQ663" s="35"/>
      <c r="AR663" s="35"/>
      <c r="AS663" s="35"/>
      <c r="AT663" s="30">
        <f t="shared" ca="1" si="74"/>
        <v>0</v>
      </c>
      <c r="AU663" s="32" t="str">
        <f t="shared" ca="1" si="73"/>
        <v/>
      </c>
      <c r="AV663" s="32" t="str" cm="1">
        <f t="array" aca="1" ref="AV663" ca="1">IFERROR(_xlfn.IFS($AU663="","",$AU663&lt;=15,"0-15",AND($AU663&gt;=16,$AU663&lt;=30),"16-30",AND($AU663&gt;=31,$AU663&lt;=45),"31-45",AND($AU663&gt;=46,$AU663&lt;=60),"46-60",AND($AU663&gt;=61,$AU663&lt;=90),"61-90",AND($AU663&gt;=91),"&gt; 90",AND($AU663&gt;=2000),""),"")</f>
        <v/>
      </c>
      <c r="AW663" s="32" t="str" cm="1">
        <f t="array" aca="1" ref="AW663" ca="1">IFERROR(_xlfn.IFS(OR($M663="",$AM663=""),"",OR($C663="Offered",$C663="Joined"),($AM663-$M663)-$AT663),"")</f>
        <v/>
      </c>
      <c r="AX663" s="32" t="str" cm="1">
        <f t="array" aca="1" ref="AX663" ca="1">IFERROR(_xlfn.IFS(OR($M663="",$AS663=""),"",$C663="Joined",($AS663-$M663)-$AT663),"")</f>
        <v/>
      </c>
      <c r="AY663" s="30" t="str">
        <f>IFERROR(IF(COUNTIFS('Candidate Tracker'!$E:$E,'Positions Tracker'!$B663,'Candidate Tracker'!$C:$C,"Offer Drop")=0,"",COUNTIFS('Candidate Tracker'!$E:$E,'Positions Tracker'!$B663,'Candidate Tracker'!$C:$C,"Offer Drop")),"")</f>
        <v/>
      </c>
      <c r="AZ66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3" s="34" t="str">
        <f>IFERROR(IF(COUNTIFS('Candidate Tracker'!$E:$E,'Positions Tracker'!$B663,'Candidate Tracker'!$I:$I,"Female")=0,"",COUNTIFS('Candidate Tracker'!$E:$E,'Positions Tracker'!$B663,'Candidate Tracker'!$I:$I,"Female")),"")</f>
        <v/>
      </c>
      <c r="BB663" s="34" t="str">
        <f>IFERROR(IF(COUNTIFS('Candidate Tracker'!$E:$E,'Positions Tracker'!$B663,'Candidate Tracker'!$I:$I,"male")=0,"",COUNTIFS('Candidate Tracker'!$E:$E,'Positions Tracker'!$B663,'Candidate Tracker'!$I:$I,"male")),"")</f>
        <v/>
      </c>
      <c r="BC663" s="33" t="str">
        <f>IFERROR(IF(COUNTIFS('Candidate Tracker'!$E:$E,'Positions Tracker'!$B663,'Candidate Tracker'!$C:$C,"&lt;&gt;WIP",'Candidate Tracker'!$C:$C,"&lt;&gt;Hold",'Candidate Tracker'!$C:$C,"&lt;&gt;Cancelled",'Candidate Tracker'!$C:$C,"&lt;&gt;Closed")/COUNTIFS('Candidate Tracker'!$E:$E,'Positions Tracker'!$B663)=0,"",COUNTIFS('Candidate Tracker'!$E:$E,'Positions Tracker'!$B663,'Candidate Tracker'!$C:$C,"&lt;&gt;WIP",'Candidate Tracker'!$C:$C,"&lt;&gt;Hold",'Candidate Tracker'!$C:$C,"&lt;&gt;Cancelled",'Candidate Tracker'!$C:$C,"&lt;&gt;Closed")/COUNTIFS('Candidate Tracker'!$E:$E,'Positions Tracker'!$B663)),"")</f>
        <v/>
      </c>
      <c r="BD663" s="30" t="str">
        <f t="shared" si="75"/>
        <v/>
      </c>
      <c r="BE663" s="30" t="str">
        <f t="shared" si="76"/>
        <v/>
      </c>
      <c r="BF663" s="30" t="str">
        <f t="shared" si="77"/>
        <v/>
      </c>
      <c r="BG663" s="30" t="str">
        <f t="shared" si="78"/>
        <v/>
      </c>
    </row>
    <row r="664" spans="1:59">
      <c r="A664" s="39"/>
      <c r="B664" s="39"/>
      <c r="C664" s="39"/>
      <c r="D664" s="39"/>
      <c r="E664" s="39"/>
      <c r="F664" s="39"/>
      <c r="G664" s="39"/>
      <c r="H664" s="39"/>
      <c r="I664" s="40"/>
      <c r="J664" s="40"/>
      <c r="K664" s="35"/>
      <c r="L664" s="35"/>
      <c r="M664" s="35"/>
      <c r="N664" s="39"/>
      <c r="O664" s="39"/>
      <c r="P664" s="39"/>
      <c r="Q664" s="39"/>
      <c r="R664" s="39"/>
      <c r="S664" s="39"/>
      <c r="T664" s="39"/>
      <c r="U664" s="39"/>
      <c r="V664" s="39"/>
      <c r="W664" s="39"/>
      <c r="X664" s="39"/>
      <c r="Y664" s="39"/>
      <c r="Z664" s="39"/>
      <c r="AA664" s="39"/>
      <c r="AB664" s="39"/>
      <c r="AC664" s="39"/>
      <c r="AD664" s="39"/>
      <c r="AE664" s="39"/>
      <c r="AF664" s="39"/>
      <c r="AG664" s="39"/>
      <c r="AH664" s="39"/>
      <c r="AI664" s="35"/>
      <c r="AJ664" s="39"/>
      <c r="AK664" s="39"/>
      <c r="AL664" s="39"/>
      <c r="AM664" s="35"/>
      <c r="AN664" s="35"/>
      <c r="AO664" s="39"/>
      <c r="AP664" s="39"/>
      <c r="AQ664" s="35"/>
      <c r="AR664" s="35"/>
      <c r="AS664" s="35"/>
      <c r="AT664" s="30">
        <f t="shared" ca="1" si="74"/>
        <v>0</v>
      </c>
      <c r="AU664" s="32" t="str">
        <f t="shared" ca="1" si="73"/>
        <v/>
      </c>
      <c r="AV664" s="32" t="str" cm="1">
        <f t="array" aca="1" ref="AV664" ca="1">IFERROR(_xlfn.IFS($AU664="","",$AU664&lt;=15,"0-15",AND($AU664&gt;=16,$AU664&lt;=30),"16-30",AND($AU664&gt;=31,$AU664&lt;=45),"31-45",AND($AU664&gt;=46,$AU664&lt;=60),"46-60",AND($AU664&gt;=61,$AU664&lt;=90),"61-90",AND($AU664&gt;=91),"&gt; 90",AND($AU664&gt;=2000),""),"")</f>
        <v/>
      </c>
      <c r="AW664" s="32" t="str" cm="1">
        <f t="array" aca="1" ref="AW664" ca="1">IFERROR(_xlfn.IFS(OR($M664="",$AM664=""),"",OR($C664="Offered",$C664="Joined"),($AM664-$M664)-$AT664),"")</f>
        <v/>
      </c>
      <c r="AX664" s="32" t="str" cm="1">
        <f t="array" aca="1" ref="AX664" ca="1">IFERROR(_xlfn.IFS(OR($M664="",$AS664=""),"",$C664="Joined",($AS664-$M664)-$AT664),"")</f>
        <v/>
      </c>
      <c r="AY664" s="30" t="str">
        <f>IFERROR(IF(COUNTIFS('Candidate Tracker'!$E:$E,'Positions Tracker'!$B664,'Candidate Tracker'!$C:$C,"Offer Drop")=0,"",COUNTIFS('Candidate Tracker'!$E:$E,'Positions Tracker'!$B664,'Candidate Tracker'!$C:$C,"Offer Drop")),"")</f>
        <v/>
      </c>
      <c r="AZ6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4" s="34" t="str">
        <f>IFERROR(IF(COUNTIFS('Candidate Tracker'!$E:$E,'Positions Tracker'!$B664,'Candidate Tracker'!$I:$I,"Female")=0,"",COUNTIFS('Candidate Tracker'!$E:$E,'Positions Tracker'!$B664,'Candidate Tracker'!$I:$I,"Female")),"")</f>
        <v/>
      </c>
      <c r="BB664" s="34" t="str">
        <f>IFERROR(IF(COUNTIFS('Candidate Tracker'!$E:$E,'Positions Tracker'!$B664,'Candidate Tracker'!$I:$I,"male")=0,"",COUNTIFS('Candidate Tracker'!$E:$E,'Positions Tracker'!$B664,'Candidate Tracker'!$I:$I,"male")),"")</f>
        <v/>
      </c>
      <c r="BC664" s="33" t="str">
        <f>IFERROR(IF(COUNTIFS('Candidate Tracker'!$E:$E,'Positions Tracker'!$B664,'Candidate Tracker'!$C:$C,"&lt;&gt;WIP",'Candidate Tracker'!$C:$C,"&lt;&gt;Hold",'Candidate Tracker'!$C:$C,"&lt;&gt;Cancelled",'Candidate Tracker'!$C:$C,"&lt;&gt;Closed")/COUNTIFS('Candidate Tracker'!$E:$E,'Positions Tracker'!$B664)=0,"",COUNTIFS('Candidate Tracker'!$E:$E,'Positions Tracker'!$B664,'Candidate Tracker'!$C:$C,"&lt;&gt;WIP",'Candidate Tracker'!$C:$C,"&lt;&gt;Hold",'Candidate Tracker'!$C:$C,"&lt;&gt;Cancelled",'Candidate Tracker'!$C:$C,"&lt;&gt;Closed")/COUNTIFS('Candidate Tracker'!$E:$E,'Positions Tracker'!$B664)),"")</f>
        <v/>
      </c>
      <c r="BD664" s="30" t="str">
        <f t="shared" si="75"/>
        <v/>
      </c>
      <c r="BE664" s="30" t="str">
        <f t="shared" si="76"/>
        <v/>
      </c>
      <c r="BF664" s="30" t="str">
        <f t="shared" si="77"/>
        <v/>
      </c>
      <c r="BG664" s="30" t="str">
        <f t="shared" si="78"/>
        <v/>
      </c>
    </row>
    <row r="665" spans="1:59">
      <c r="A665" s="39"/>
      <c r="B665" s="39"/>
      <c r="C665" s="39"/>
      <c r="D665" s="39"/>
      <c r="E665" s="39"/>
      <c r="F665" s="39"/>
      <c r="G665" s="39"/>
      <c r="H665" s="39"/>
      <c r="I665" s="40"/>
      <c r="J665" s="40"/>
      <c r="K665" s="35"/>
      <c r="L665" s="35"/>
      <c r="M665" s="35"/>
      <c r="N665" s="39"/>
      <c r="O665" s="39"/>
      <c r="P665" s="39"/>
      <c r="Q665" s="39"/>
      <c r="R665" s="39"/>
      <c r="S665" s="39"/>
      <c r="T665" s="39"/>
      <c r="U665" s="39"/>
      <c r="V665" s="39"/>
      <c r="W665" s="39"/>
      <c r="X665" s="39"/>
      <c r="Y665" s="39"/>
      <c r="Z665" s="39"/>
      <c r="AA665" s="39"/>
      <c r="AB665" s="39"/>
      <c r="AC665" s="39"/>
      <c r="AD665" s="39"/>
      <c r="AE665" s="39"/>
      <c r="AF665" s="39"/>
      <c r="AG665" s="39"/>
      <c r="AH665" s="39"/>
      <c r="AI665" s="35"/>
      <c r="AJ665" s="39"/>
      <c r="AK665" s="39"/>
      <c r="AL665" s="39"/>
      <c r="AM665" s="35"/>
      <c r="AN665" s="35"/>
      <c r="AO665" s="39"/>
      <c r="AP665" s="39"/>
      <c r="AQ665" s="35"/>
      <c r="AR665" s="35"/>
      <c r="AS665" s="35"/>
      <c r="AT665" s="30">
        <f t="shared" ca="1" si="74"/>
        <v>0</v>
      </c>
      <c r="AU665" s="32" t="str">
        <f t="shared" ca="1" si="73"/>
        <v/>
      </c>
      <c r="AV665" s="32" t="str" cm="1">
        <f t="array" aca="1" ref="AV665" ca="1">IFERROR(_xlfn.IFS($AU665="","",$AU665&lt;=15,"0-15",AND($AU665&gt;=16,$AU665&lt;=30),"16-30",AND($AU665&gt;=31,$AU665&lt;=45),"31-45",AND($AU665&gt;=46,$AU665&lt;=60),"46-60",AND($AU665&gt;=61,$AU665&lt;=90),"61-90",AND($AU665&gt;=91),"&gt; 90",AND($AU665&gt;=2000),""),"")</f>
        <v/>
      </c>
      <c r="AW665" s="32" t="str" cm="1">
        <f t="array" aca="1" ref="AW665" ca="1">IFERROR(_xlfn.IFS(OR($M665="",$AM665=""),"",OR($C665="Offered",$C665="Joined"),($AM665-$M665)-$AT665),"")</f>
        <v/>
      </c>
      <c r="AX665" s="32" t="str" cm="1">
        <f t="array" aca="1" ref="AX665" ca="1">IFERROR(_xlfn.IFS(OR($M665="",$AS665=""),"",$C665="Joined",($AS665-$M665)-$AT665),"")</f>
        <v/>
      </c>
      <c r="AY665" s="30" t="str">
        <f>IFERROR(IF(COUNTIFS('Candidate Tracker'!$E:$E,'Positions Tracker'!$B665,'Candidate Tracker'!$C:$C,"Offer Drop")=0,"",COUNTIFS('Candidate Tracker'!$E:$E,'Positions Tracker'!$B665,'Candidate Tracker'!$C:$C,"Offer Drop")),"")</f>
        <v/>
      </c>
      <c r="AZ66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5" s="34" t="str">
        <f>IFERROR(IF(COUNTIFS('Candidate Tracker'!$E:$E,'Positions Tracker'!$B665,'Candidate Tracker'!$I:$I,"Female")=0,"",COUNTIFS('Candidate Tracker'!$E:$E,'Positions Tracker'!$B665,'Candidate Tracker'!$I:$I,"Female")),"")</f>
        <v/>
      </c>
      <c r="BB665" s="34" t="str">
        <f>IFERROR(IF(COUNTIFS('Candidate Tracker'!$E:$E,'Positions Tracker'!$B665,'Candidate Tracker'!$I:$I,"male")=0,"",COUNTIFS('Candidate Tracker'!$E:$E,'Positions Tracker'!$B665,'Candidate Tracker'!$I:$I,"male")),"")</f>
        <v/>
      </c>
      <c r="BC665" s="33" t="str">
        <f>IFERROR(IF(COUNTIFS('Candidate Tracker'!$E:$E,'Positions Tracker'!$B665,'Candidate Tracker'!$C:$C,"&lt;&gt;WIP",'Candidate Tracker'!$C:$C,"&lt;&gt;Hold",'Candidate Tracker'!$C:$C,"&lt;&gt;Cancelled",'Candidate Tracker'!$C:$C,"&lt;&gt;Closed")/COUNTIFS('Candidate Tracker'!$E:$E,'Positions Tracker'!$B665)=0,"",COUNTIFS('Candidate Tracker'!$E:$E,'Positions Tracker'!$B665,'Candidate Tracker'!$C:$C,"&lt;&gt;WIP",'Candidate Tracker'!$C:$C,"&lt;&gt;Hold",'Candidate Tracker'!$C:$C,"&lt;&gt;Cancelled",'Candidate Tracker'!$C:$C,"&lt;&gt;Closed")/COUNTIFS('Candidate Tracker'!$E:$E,'Positions Tracker'!$B665)),"")</f>
        <v/>
      </c>
      <c r="BD665" s="30" t="str">
        <f t="shared" si="75"/>
        <v/>
      </c>
      <c r="BE665" s="30" t="str">
        <f t="shared" si="76"/>
        <v/>
      </c>
      <c r="BF665" s="30" t="str">
        <f t="shared" si="77"/>
        <v/>
      </c>
      <c r="BG665" s="30" t="str">
        <f t="shared" si="78"/>
        <v/>
      </c>
    </row>
    <row r="666" spans="1:59">
      <c r="A666" s="39"/>
      <c r="B666" s="39"/>
      <c r="C666" s="39"/>
      <c r="D666" s="39"/>
      <c r="E666" s="39"/>
      <c r="F666" s="39"/>
      <c r="G666" s="39"/>
      <c r="H666" s="39"/>
      <c r="I666" s="40"/>
      <c r="J666" s="40"/>
      <c r="K666" s="35"/>
      <c r="L666" s="35"/>
      <c r="M666" s="35"/>
      <c r="N666" s="39"/>
      <c r="O666" s="39"/>
      <c r="P666" s="39"/>
      <c r="Q666" s="39"/>
      <c r="R666" s="39"/>
      <c r="S666" s="39"/>
      <c r="T666" s="39"/>
      <c r="U666" s="39"/>
      <c r="V666" s="39"/>
      <c r="W666" s="39"/>
      <c r="X666" s="39"/>
      <c r="Y666" s="39"/>
      <c r="Z666" s="39"/>
      <c r="AA666" s="39"/>
      <c r="AB666" s="39"/>
      <c r="AC666" s="39"/>
      <c r="AD666" s="39"/>
      <c r="AE666" s="39"/>
      <c r="AF666" s="39"/>
      <c r="AG666" s="39"/>
      <c r="AH666" s="39"/>
      <c r="AI666" s="35"/>
      <c r="AJ666" s="39"/>
      <c r="AK666" s="39"/>
      <c r="AL666" s="39"/>
      <c r="AM666" s="35"/>
      <c r="AN666" s="35"/>
      <c r="AO666" s="39"/>
      <c r="AP666" s="39"/>
      <c r="AQ666" s="35"/>
      <c r="AR666" s="35"/>
      <c r="AS666" s="35"/>
      <c r="AT666" s="30">
        <f t="shared" ca="1" si="74"/>
        <v>0</v>
      </c>
      <c r="AU666" s="32" t="str">
        <f t="shared" ca="1" si="73"/>
        <v/>
      </c>
      <c r="AV666" s="32" t="str" cm="1">
        <f t="array" aca="1" ref="AV666" ca="1">IFERROR(_xlfn.IFS($AU666="","",$AU666&lt;=15,"0-15",AND($AU666&gt;=16,$AU666&lt;=30),"16-30",AND($AU666&gt;=31,$AU666&lt;=45),"31-45",AND($AU666&gt;=46,$AU666&lt;=60),"46-60",AND($AU666&gt;=61,$AU666&lt;=90),"61-90",AND($AU666&gt;=91),"&gt; 90",AND($AU666&gt;=2000),""),"")</f>
        <v/>
      </c>
      <c r="AW666" s="32" t="str" cm="1">
        <f t="array" aca="1" ref="AW666" ca="1">IFERROR(_xlfn.IFS(OR($M666="",$AM666=""),"",OR($C666="Offered",$C666="Joined"),($AM666-$M666)-$AT666),"")</f>
        <v/>
      </c>
      <c r="AX666" s="32" t="str" cm="1">
        <f t="array" aca="1" ref="AX666" ca="1">IFERROR(_xlfn.IFS(OR($M666="",$AS666=""),"",$C666="Joined",($AS666-$M666)-$AT666),"")</f>
        <v/>
      </c>
      <c r="AY666" s="30" t="str">
        <f>IFERROR(IF(COUNTIFS('Candidate Tracker'!$E:$E,'Positions Tracker'!$B666,'Candidate Tracker'!$C:$C,"Offer Drop")=0,"",COUNTIFS('Candidate Tracker'!$E:$E,'Positions Tracker'!$B666,'Candidate Tracker'!$C:$C,"Offer Drop")),"")</f>
        <v/>
      </c>
      <c r="AZ6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6" s="34" t="str">
        <f>IFERROR(IF(COUNTIFS('Candidate Tracker'!$E:$E,'Positions Tracker'!$B666,'Candidate Tracker'!$I:$I,"Female")=0,"",COUNTIFS('Candidate Tracker'!$E:$E,'Positions Tracker'!$B666,'Candidate Tracker'!$I:$I,"Female")),"")</f>
        <v/>
      </c>
      <c r="BB666" s="34" t="str">
        <f>IFERROR(IF(COUNTIFS('Candidate Tracker'!$E:$E,'Positions Tracker'!$B666,'Candidate Tracker'!$I:$I,"male")=0,"",COUNTIFS('Candidate Tracker'!$E:$E,'Positions Tracker'!$B666,'Candidate Tracker'!$I:$I,"male")),"")</f>
        <v/>
      </c>
      <c r="BC666" s="33" t="str">
        <f>IFERROR(IF(COUNTIFS('Candidate Tracker'!$E:$E,'Positions Tracker'!$B666,'Candidate Tracker'!$C:$C,"&lt;&gt;WIP",'Candidate Tracker'!$C:$C,"&lt;&gt;Hold",'Candidate Tracker'!$C:$C,"&lt;&gt;Cancelled",'Candidate Tracker'!$C:$C,"&lt;&gt;Closed")/COUNTIFS('Candidate Tracker'!$E:$E,'Positions Tracker'!$B666)=0,"",COUNTIFS('Candidate Tracker'!$E:$E,'Positions Tracker'!$B666,'Candidate Tracker'!$C:$C,"&lt;&gt;WIP",'Candidate Tracker'!$C:$C,"&lt;&gt;Hold",'Candidate Tracker'!$C:$C,"&lt;&gt;Cancelled",'Candidate Tracker'!$C:$C,"&lt;&gt;Closed")/COUNTIFS('Candidate Tracker'!$E:$E,'Positions Tracker'!$B666)),"")</f>
        <v/>
      </c>
      <c r="BD666" s="30" t="str">
        <f t="shared" si="75"/>
        <v/>
      </c>
      <c r="BE666" s="30" t="str">
        <f t="shared" si="76"/>
        <v/>
      </c>
      <c r="BF666" s="30" t="str">
        <f t="shared" si="77"/>
        <v/>
      </c>
      <c r="BG666" s="30" t="str">
        <f t="shared" si="78"/>
        <v/>
      </c>
    </row>
    <row r="667" spans="1:59">
      <c r="A667" s="39"/>
      <c r="B667" s="39"/>
      <c r="C667" s="39"/>
      <c r="D667" s="39"/>
      <c r="E667" s="39"/>
      <c r="F667" s="39"/>
      <c r="G667" s="39"/>
      <c r="H667" s="39"/>
      <c r="I667" s="40"/>
      <c r="J667" s="40"/>
      <c r="K667" s="35"/>
      <c r="L667" s="35"/>
      <c r="M667" s="35"/>
      <c r="N667" s="39"/>
      <c r="O667" s="39"/>
      <c r="P667" s="39"/>
      <c r="Q667" s="39"/>
      <c r="R667" s="39"/>
      <c r="S667" s="39"/>
      <c r="T667" s="39"/>
      <c r="U667" s="39"/>
      <c r="V667" s="39"/>
      <c r="W667" s="39"/>
      <c r="X667" s="39"/>
      <c r="Y667" s="39"/>
      <c r="Z667" s="39"/>
      <c r="AA667" s="39"/>
      <c r="AB667" s="39"/>
      <c r="AC667" s="39"/>
      <c r="AD667" s="39"/>
      <c r="AE667" s="39"/>
      <c r="AF667" s="39"/>
      <c r="AG667" s="39"/>
      <c r="AH667" s="39"/>
      <c r="AI667" s="35"/>
      <c r="AJ667" s="39"/>
      <c r="AK667" s="39"/>
      <c r="AL667" s="39"/>
      <c r="AM667" s="35"/>
      <c r="AN667" s="35"/>
      <c r="AO667" s="39"/>
      <c r="AP667" s="39"/>
      <c r="AQ667" s="35"/>
      <c r="AR667" s="35"/>
      <c r="AS667" s="35"/>
      <c r="AT667" s="30">
        <f t="shared" ca="1" si="74"/>
        <v>0</v>
      </c>
      <c r="AU667" s="32" t="str">
        <f t="shared" ca="1" si="73"/>
        <v/>
      </c>
      <c r="AV667" s="32" t="str" cm="1">
        <f t="array" aca="1" ref="AV667" ca="1">IFERROR(_xlfn.IFS($AU667="","",$AU667&lt;=15,"0-15",AND($AU667&gt;=16,$AU667&lt;=30),"16-30",AND($AU667&gt;=31,$AU667&lt;=45),"31-45",AND($AU667&gt;=46,$AU667&lt;=60),"46-60",AND($AU667&gt;=61,$AU667&lt;=90),"61-90",AND($AU667&gt;=91),"&gt; 90",AND($AU667&gt;=2000),""),"")</f>
        <v/>
      </c>
      <c r="AW667" s="32" t="str" cm="1">
        <f t="array" aca="1" ref="AW667" ca="1">IFERROR(_xlfn.IFS(OR($M667="",$AM667=""),"",OR($C667="Offered",$C667="Joined"),($AM667-$M667)-$AT667),"")</f>
        <v/>
      </c>
      <c r="AX667" s="32" t="str" cm="1">
        <f t="array" aca="1" ref="AX667" ca="1">IFERROR(_xlfn.IFS(OR($M667="",$AS667=""),"",$C667="Joined",($AS667-$M667)-$AT667),"")</f>
        <v/>
      </c>
      <c r="AY667" s="30" t="str">
        <f>IFERROR(IF(COUNTIFS('Candidate Tracker'!$E:$E,'Positions Tracker'!$B667,'Candidate Tracker'!$C:$C,"Offer Drop")=0,"",COUNTIFS('Candidate Tracker'!$E:$E,'Positions Tracker'!$B667,'Candidate Tracker'!$C:$C,"Offer Drop")),"")</f>
        <v/>
      </c>
      <c r="AZ6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7" s="34" t="str">
        <f>IFERROR(IF(COUNTIFS('Candidate Tracker'!$E:$E,'Positions Tracker'!$B667,'Candidate Tracker'!$I:$I,"Female")=0,"",COUNTIFS('Candidate Tracker'!$E:$E,'Positions Tracker'!$B667,'Candidate Tracker'!$I:$I,"Female")),"")</f>
        <v/>
      </c>
      <c r="BB667" s="34" t="str">
        <f>IFERROR(IF(COUNTIFS('Candidate Tracker'!$E:$E,'Positions Tracker'!$B667,'Candidate Tracker'!$I:$I,"male")=0,"",COUNTIFS('Candidate Tracker'!$E:$E,'Positions Tracker'!$B667,'Candidate Tracker'!$I:$I,"male")),"")</f>
        <v/>
      </c>
      <c r="BC667" s="33" t="str">
        <f>IFERROR(IF(COUNTIFS('Candidate Tracker'!$E:$E,'Positions Tracker'!$B667,'Candidate Tracker'!$C:$C,"&lt;&gt;WIP",'Candidate Tracker'!$C:$C,"&lt;&gt;Hold",'Candidate Tracker'!$C:$C,"&lt;&gt;Cancelled",'Candidate Tracker'!$C:$C,"&lt;&gt;Closed")/COUNTIFS('Candidate Tracker'!$E:$E,'Positions Tracker'!$B667)=0,"",COUNTIFS('Candidate Tracker'!$E:$E,'Positions Tracker'!$B667,'Candidate Tracker'!$C:$C,"&lt;&gt;WIP",'Candidate Tracker'!$C:$C,"&lt;&gt;Hold",'Candidate Tracker'!$C:$C,"&lt;&gt;Cancelled",'Candidate Tracker'!$C:$C,"&lt;&gt;Closed")/COUNTIFS('Candidate Tracker'!$E:$E,'Positions Tracker'!$B667)),"")</f>
        <v/>
      </c>
      <c r="BD667" s="30" t="str">
        <f t="shared" si="75"/>
        <v/>
      </c>
      <c r="BE667" s="30" t="str">
        <f t="shared" si="76"/>
        <v/>
      </c>
      <c r="BF667" s="30" t="str">
        <f t="shared" si="77"/>
        <v/>
      </c>
      <c r="BG667" s="30" t="str">
        <f t="shared" si="78"/>
        <v/>
      </c>
    </row>
    <row r="668" spans="1:59">
      <c r="A668" s="39"/>
      <c r="B668" s="39"/>
      <c r="C668" s="39"/>
      <c r="D668" s="39"/>
      <c r="E668" s="39"/>
      <c r="F668" s="39"/>
      <c r="G668" s="39"/>
      <c r="H668" s="39"/>
      <c r="I668" s="40"/>
      <c r="J668" s="40"/>
      <c r="K668" s="35"/>
      <c r="L668" s="35"/>
      <c r="M668" s="35"/>
      <c r="N668" s="39"/>
      <c r="O668" s="39"/>
      <c r="P668" s="39"/>
      <c r="Q668" s="39"/>
      <c r="R668" s="39"/>
      <c r="S668" s="39"/>
      <c r="T668" s="39"/>
      <c r="U668" s="39"/>
      <c r="V668" s="39"/>
      <c r="W668" s="39"/>
      <c r="X668" s="39"/>
      <c r="Y668" s="39"/>
      <c r="Z668" s="39"/>
      <c r="AA668" s="39"/>
      <c r="AB668" s="39"/>
      <c r="AC668" s="39"/>
      <c r="AD668" s="39"/>
      <c r="AE668" s="39"/>
      <c r="AF668" s="39"/>
      <c r="AG668" s="39"/>
      <c r="AH668" s="39"/>
      <c r="AI668" s="35"/>
      <c r="AJ668" s="39"/>
      <c r="AK668" s="39"/>
      <c r="AL668" s="39"/>
      <c r="AM668" s="35"/>
      <c r="AN668" s="35"/>
      <c r="AO668" s="39"/>
      <c r="AP668" s="39"/>
      <c r="AQ668" s="35"/>
      <c r="AR668" s="35"/>
      <c r="AS668" s="35"/>
      <c r="AT668" s="30">
        <f t="shared" ca="1" si="74"/>
        <v>0</v>
      </c>
      <c r="AU668" s="32" t="str">
        <f t="shared" ca="1" si="73"/>
        <v/>
      </c>
      <c r="AV668" s="32" t="str" cm="1">
        <f t="array" aca="1" ref="AV668" ca="1">IFERROR(_xlfn.IFS($AU668="","",$AU668&lt;=15,"0-15",AND($AU668&gt;=16,$AU668&lt;=30),"16-30",AND($AU668&gt;=31,$AU668&lt;=45),"31-45",AND($AU668&gt;=46,$AU668&lt;=60),"46-60",AND($AU668&gt;=61,$AU668&lt;=90),"61-90",AND($AU668&gt;=91),"&gt; 90",AND($AU668&gt;=2000),""),"")</f>
        <v/>
      </c>
      <c r="AW668" s="32" t="str" cm="1">
        <f t="array" aca="1" ref="AW668" ca="1">IFERROR(_xlfn.IFS(OR($M668="",$AM668=""),"",OR($C668="Offered",$C668="Joined"),($AM668-$M668)-$AT668),"")</f>
        <v/>
      </c>
      <c r="AX668" s="32" t="str" cm="1">
        <f t="array" aca="1" ref="AX668" ca="1">IFERROR(_xlfn.IFS(OR($M668="",$AS668=""),"",$C668="Joined",($AS668-$M668)-$AT668),"")</f>
        <v/>
      </c>
      <c r="AY668" s="30" t="str">
        <f>IFERROR(IF(COUNTIFS('Candidate Tracker'!$E:$E,'Positions Tracker'!$B668,'Candidate Tracker'!$C:$C,"Offer Drop")=0,"",COUNTIFS('Candidate Tracker'!$E:$E,'Positions Tracker'!$B668,'Candidate Tracker'!$C:$C,"Offer Drop")),"")</f>
        <v/>
      </c>
      <c r="AZ6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8" s="34" t="str">
        <f>IFERROR(IF(COUNTIFS('Candidate Tracker'!$E:$E,'Positions Tracker'!$B668,'Candidate Tracker'!$I:$I,"Female")=0,"",COUNTIFS('Candidate Tracker'!$E:$E,'Positions Tracker'!$B668,'Candidate Tracker'!$I:$I,"Female")),"")</f>
        <v/>
      </c>
      <c r="BB668" s="34" t="str">
        <f>IFERROR(IF(COUNTIFS('Candidate Tracker'!$E:$E,'Positions Tracker'!$B668,'Candidate Tracker'!$I:$I,"male")=0,"",COUNTIFS('Candidate Tracker'!$E:$E,'Positions Tracker'!$B668,'Candidate Tracker'!$I:$I,"male")),"")</f>
        <v/>
      </c>
      <c r="BC668" s="33" t="str">
        <f>IFERROR(IF(COUNTIFS('Candidate Tracker'!$E:$E,'Positions Tracker'!$B668,'Candidate Tracker'!$C:$C,"&lt;&gt;WIP",'Candidate Tracker'!$C:$C,"&lt;&gt;Hold",'Candidate Tracker'!$C:$C,"&lt;&gt;Cancelled",'Candidate Tracker'!$C:$C,"&lt;&gt;Closed")/COUNTIFS('Candidate Tracker'!$E:$E,'Positions Tracker'!$B668)=0,"",COUNTIFS('Candidate Tracker'!$E:$E,'Positions Tracker'!$B668,'Candidate Tracker'!$C:$C,"&lt;&gt;WIP",'Candidate Tracker'!$C:$C,"&lt;&gt;Hold",'Candidate Tracker'!$C:$C,"&lt;&gt;Cancelled",'Candidate Tracker'!$C:$C,"&lt;&gt;Closed")/COUNTIFS('Candidate Tracker'!$E:$E,'Positions Tracker'!$B668)),"")</f>
        <v/>
      </c>
      <c r="BD668" s="30" t="str">
        <f t="shared" si="75"/>
        <v/>
      </c>
      <c r="BE668" s="30" t="str">
        <f t="shared" si="76"/>
        <v/>
      </c>
      <c r="BF668" s="30" t="str">
        <f t="shared" si="77"/>
        <v/>
      </c>
      <c r="BG668" s="30" t="str">
        <f t="shared" si="78"/>
        <v/>
      </c>
    </row>
    <row r="669" spans="1:59">
      <c r="A669" s="39"/>
      <c r="B669" s="39"/>
      <c r="C669" s="39"/>
      <c r="D669" s="39"/>
      <c r="E669" s="39"/>
      <c r="F669" s="39"/>
      <c r="G669" s="39"/>
      <c r="H669" s="39"/>
      <c r="I669" s="40"/>
      <c r="J669" s="40"/>
      <c r="K669" s="35"/>
      <c r="L669" s="35"/>
      <c r="M669" s="35"/>
      <c r="N669" s="39"/>
      <c r="O669" s="39"/>
      <c r="P669" s="39"/>
      <c r="Q669" s="39"/>
      <c r="R669" s="39"/>
      <c r="S669" s="39"/>
      <c r="T669" s="39"/>
      <c r="U669" s="39"/>
      <c r="V669" s="39"/>
      <c r="W669" s="39"/>
      <c r="X669" s="39"/>
      <c r="Y669" s="39"/>
      <c r="Z669" s="39"/>
      <c r="AA669" s="39"/>
      <c r="AB669" s="39"/>
      <c r="AC669" s="39"/>
      <c r="AD669" s="39"/>
      <c r="AE669" s="39"/>
      <c r="AF669" s="39"/>
      <c r="AG669" s="39"/>
      <c r="AH669" s="39"/>
      <c r="AI669" s="35"/>
      <c r="AJ669" s="39"/>
      <c r="AK669" s="39"/>
      <c r="AL669" s="39"/>
      <c r="AM669" s="35"/>
      <c r="AN669" s="35"/>
      <c r="AO669" s="39"/>
      <c r="AP669" s="39"/>
      <c r="AQ669" s="35"/>
      <c r="AR669" s="35"/>
      <c r="AS669" s="35"/>
      <c r="AT669" s="30">
        <f t="shared" ca="1" si="74"/>
        <v>0</v>
      </c>
      <c r="AU669" s="32" t="str">
        <f t="shared" ca="1" si="73"/>
        <v/>
      </c>
      <c r="AV669" s="32" t="str" cm="1">
        <f t="array" aca="1" ref="AV669" ca="1">IFERROR(_xlfn.IFS($AU669="","",$AU669&lt;=15,"0-15",AND($AU669&gt;=16,$AU669&lt;=30),"16-30",AND($AU669&gt;=31,$AU669&lt;=45),"31-45",AND($AU669&gt;=46,$AU669&lt;=60),"46-60",AND($AU669&gt;=61,$AU669&lt;=90),"61-90",AND($AU669&gt;=91),"&gt; 90",AND($AU669&gt;=2000),""),"")</f>
        <v/>
      </c>
      <c r="AW669" s="32" t="str" cm="1">
        <f t="array" aca="1" ref="AW669" ca="1">IFERROR(_xlfn.IFS(OR($M669="",$AM669=""),"",OR($C669="Offered",$C669="Joined"),($AM669-$M669)-$AT669),"")</f>
        <v/>
      </c>
      <c r="AX669" s="32" t="str" cm="1">
        <f t="array" aca="1" ref="AX669" ca="1">IFERROR(_xlfn.IFS(OR($M669="",$AS669=""),"",$C669="Joined",($AS669-$M669)-$AT669),"")</f>
        <v/>
      </c>
      <c r="AY669" s="30" t="str">
        <f>IFERROR(IF(COUNTIFS('Candidate Tracker'!$E:$E,'Positions Tracker'!$B669,'Candidate Tracker'!$C:$C,"Offer Drop")=0,"",COUNTIFS('Candidate Tracker'!$E:$E,'Positions Tracker'!$B669,'Candidate Tracker'!$C:$C,"Offer Drop")),"")</f>
        <v/>
      </c>
      <c r="AZ6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69" s="34" t="str">
        <f>IFERROR(IF(COUNTIFS('Candidate Tracker'!$E:$E,'Positions Tracker'!$B669,'Candidate Tracker'!$I:$I,"Female")=0,"",COUNTIFS('Candidate Tracker'!$E:$E,'Positions Tracker'!$B669,'Candidate Tracker'!$I:$I,"Female")),"")</f>
        <v/>
      </c>
      <c r="BB669" s="34" t="str">
        <f>IFERROR(IF(COUNTIFS('Candidate Tracker'!$E:$E,'Positions Tracker'!$B669,'Candidate Tracker'!$I:$I,"male")=0,"",COUNTIFS('Candidate Tracker'!$E:$E,'Positions Tracker'!$B669,'Candidate Tracker'!$I:$I,"male")),"")</f>
        <v/>
      </c>
      <c r="BC669" s="33" t="str">
        <f>IFERROR(IF(COUNTIFS('Candidate Tracker'!$E:$E,'Positions Tracker'!$B669,'Candidate Tracker'!$C:$C,"&lt;&gt;WIP",'Candidate Tracker'!$C:$C,"&lt;&gt;Hold",'Candidate Tracker'!$C:$C,"&lt;&gt;Cancelled",'Candidate Tracker'!$C:$C,"&lt;&gt;Closed")/COUNTIFS('Candidate Tracker'!$E:$E,'Positions Tracker'!$B669)=0,"",COUNTIFS('Candidate Tracker'!$E:$E,'Positions Tracker'!$B669,'Candidate Tracker'!$C:$C,"&lt;&gt;WIP",'Candidate Tracker'!$C:$C,"&lt;&gt;Hold",'Candidate Tracker'!$C:$C,"&lt;&gt;Cancelled",'Candidate Tracker'!$C:$C,"&lt;&gt;Closed")/COUNTIFS('Candidate Tracker'!$E:$E,'Positions Tracker'!$B669)),"")</f>
        <v/>
      </c>
      <c r="BD669" s="30" t="str">
        <f t="shared" si="75"/>
        <v/>
      </c>
      <c r="BE669" s="30" t="str">
        <f t="shared" si="76"/>
        <v/>
      </c>
      <c r="BF669" s="30" t="str">
        <f t="shared" si="77"/>
        <v/>
      </c>
      <c r="BG669" s="30" t="str">
        <f t="shared" si="78"/>
        <v/>
      </c>
    </row>
    <row r="670" spans="1:59">
      <c r="A670" s="39"/>
      <c r="B670" s="39"/>
      <c r="C670" s="39"/>
      <c r="D670" s="39"/>
      <c r="E670" s="39"/>
      <c r="F670" s="39"/>
      <c r="G670" s="39"/>
      <c r="H670" s="39"/>
      <c r="I670" s="40"/>
      <c r="J670" s="40"/>
      <c r="K670" s="35"/>
      <c r="L670" s="35"/>
      <c r="M670" s="35"/>
      <c r="N670" s="39"/>
      <c r="O670" s="39"/>
      <c r="P670" s="39"/>
      <c r="Q670" s="39"/>
      <c r="R670" s="39"/>
      <c r="S670" s="39"/>
      <c r="T670" s="39"/>
      <c r="U670" s="39"/>
      <c r="V670" s="39"/>
      <c r="W670" s="39"/>
      <c r="X670" s="39"/>
      <c r="Y670" s="39"/>
      <c r="Z670" s="39"/>
      <c r="AA670" s="39"/>
      <c r="AB670" s="39"/>
      <c r="AC670" s="39"/>
      <c r="AD670" s="39"/>
      <c r="AE670" s="39"/>
      <c r="AF670" s="39"/>
      <c r="AG670" s="39"/>
      <c r="AH670" s="39"/>
      <c r="AI670" s="35"/>
      <c r="AJ670" s="39"/>
      <c r="AK670" s="39"/>
      <c r="AL670" s="39"/>
      <c r="AM670" s="35"/>
      <c r="AN670" s="35"/>
      <c r="AO670" s="39"/>
      <c r="AP670" s="39"/>
      <c r="AQ670" s="35"/>
      <c r="AR670" s="35"/>
      <c r="AS670" s="35"/>
      <c r="AT670" s="30">
        <f t="shared" ca="1" si="74"/>
        <v>0</v>
      </c>
      <c r="AU670" s="32" t="str">
        <f t="shared" ca="1" si="73"/>
        <v/>
      </c>
      <c r="AV670" s="32" t="str" cm="1">
        <f t="array" aca="1" ref="AV670" ca="1">IFERROR(_xlfn.IFS($AU670="","",$AU670&lt;=15,"0-15",AND($AU670&gt;=16,$AU670&lt;=30),"16-30",AND($AU670&gt;=31,$AU670&lt;=45),"31-45",AND($AU670&gt;=46,$AU670&lt;=60),"46-60",AND($AU670&gt;=61,$AU670&lt;=90),"61-90",AND($AU670&gt;=91),"&gt; 90",AND($AU670&gt;=2000),""),"")</f>
        <v/>
      </c>
      <c r="AW670" s="32" t="str" cm="1">
        <f t="array" aca="1" ref="AW670" ca="1">IFERROR(_xlfn.IFS(OR($M670="",$AM670=""),"",OR($C670="Offered",$C670="Joined"),($AM670-$M670)-$AT670),"")</f>
        <v/>
      </c>
      <c r="AX670" s="32" t="str" cm="1">
        <f t="array" aca="1" ref="AX670" ca="1">IFERROR(_xlfn.IFS(OR($M670="",$AS670=""),"",$C670="Joined",($AS670-$M670)-$AT670),"")</f>
        <v/>
      </c>
      <c r="AY670" s="30" t="str">
        <f>IFERROR(IF(COUNTIFS('Candidate Tracker'!$E:$E,'Positions Tracker'!$B670,'Candidate Tracker'!$C:$C,"Offer Drop")=0,"",COUNTIFS('Candidate Tracker'!$E:$E,'Positions Tracker'!$B670,'Candidate Tracker'!$C:$C,"Offer Drop")),"")</f>
        <v/>
      </c>
      <c r="AZ6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0" s="34" t="str">
        <f>IFERROR(IF(COUNTIFS('Candidate Tracker'!$E:$E,'Positions Tracker'!$B670,'Candidate Tracker'!$I:$I,"Female")=0,"",COUNTIFS('Candidate Tracker'!$E:$E,'Positions Tracker'!$B670,'Candidate Tracker'!$I:$I,"Female")),"")</f>
        <v/>
      </c>
      <c r="BB670" s="34" t="str">
        <f>IFERROR(IF(COUNTIFS('Candidate Tracker'!$E:$E,'Positions Tracker'!$B670,'Candidate Tracker'!$I:$I,"male")=0,"",COUNTIFS('Candidate Tracker'!$E:$E,'Positions Tracker'!$B670,'Candidate Tracker'!$I:$I,"male")),"")</f>
        <v/>
      </c>
      <c r="BC670" s="33" t="str">
        <f>IFERROR(IF(COUNTIFS('Candidate Tracker'!$E:$E,'Positions Tracker'!$B670,'Candidate Tracker'!$C:$C,"&lt;&gt;WIP",'Candidate Tracker'!$C:$C,"&lt;&gt;Hold",'Candidate Tracker'!$C:$C,"&lt;&gt;Cancelled",'Candidate Tracker'!$C:$C,"&lt;&gt;Closed")/COUNTIFS('Candidate Tracker'!$E:$E,'Positions Tracker'!$B670)=0,"",COUNTIFS('Candidate Tracker'!$E:$E,'Positions Tracker'!$B670,'Candidate Tracker'!$C:$C,"&lt;&gt;WIP",'Candidate Tracker'!$C:$C,"&lt;&gt;Hold",'Candidate Tracker'!$C:$C,"&lt;&gt;Cancelled",'Candidate Tracker'!$C:$C,"&lt;&gt;Closed")/COUNTIFS('Candidate Tracker'!$E:$E,'Positions Tracker'!$B670)),"")</f>
        <v/>
      </c>
      <c r="BD670" s="30" t="str">
        <f t="shared" si="75"/>
        <v/>
      </c>
      <c r="BE670" s="30" t="str">
        <f t="shared" si="76"/>
        <v/>
      </c>
      <c r="BF670" s="30" t="str">
        <f t="shared" si="77"/>
        <v/>
      </c>
      <c r="BG670" s="30" t="str">
        <f t="shared" si="78"/>
        <v/>
      </c>
    </row>
    <row r="671" spans="1:59">
      <c r="A671" s="39"/>
      <c r="B671" s="39"/>
      <c r="C671" s="39"/>
      <c r="D671" s="39"/>
      <c r="E671" s="39"/>
      <c r="F671" s="39"/>
      <c r="G671" s="39"/>
      <c r="H671" s="39"/>
      <c r="I671" s="40"/>
      <c r="J671" s="40"/>
      <c r="K671" s="35"/>
      <c r="L671" s="35"/>
      <c r="M671" s="35"/>
      <c r="N671" s="39"/>
      <c r="O671" s="39"/>
      <c r="P671" s="39"/>
      <c r="Q671" s="39"/>
      <c r="R671" s="39"/>
      <c r="S671" s="39"/>
      <c r="T671" s="39"/>
      <c r="U671" s="39"/>
      <c r="V671" s="39"/>
      <c r="W671" s="39"/>
      <c r="X671" s="39"/>
      <c r="Y671" s="39"/>
      <c r="Z671" s="39"/>
      <c r="AA671" s="39"/>
      <c r="AB671" s="39"/>
      <c r="AC671" s="39"/>
      <c r="AD671" s="39"/>
      <c r="AE671" s="39"/>
      <c r="AF671" s="39"/>
      <c r="AG671" s="39"/>
      <c r="AH671" s="39"/>
      <c r="AI671" s="35"/>
      <c r="AJ671" s="39"/>
      <c r="AK671" s="39"/>
      <c r="AL671" s="39"/>
      <c r="AM671" s="35"/>
      <c r="AN671" s="35"/>
      <c r="AO671" s="39"/>
      <c r="AP671" s="39"/>
      <c r="AQ671" s="35"/>
      <c r="AR671" s="35"/>
      <c r="AS671" s="35"/>
      <c r="AT671" s="30">
        <f t="shared" ca="1" si="74"/>
        <v>0</v>
      </c>
      <c r="AU671" s="32" t="str">
        <f t="shared" ca="1" si="73"/>
        <v/>
      </c>
      <c r="AV671" s="32" t="str" cm="1">
        <f t="array" aca="1" ref="AV671" ca="1">IFERROR(_xlfn.IFS($AU671="","",$AU671&lt;=15,"0-15",AND($AU671&gt;=16,$AU671&lt;=30),"16-30",AND($AU671&gt;=31,$AU671&lt;=45),"31-45",AND($AU671&gt;=46,$AU671&lt;=60),"46-60",AND($AU671&gt;=61,$AU671&lt;=90),"61-90",AND($AU671&gt;=91),"&gt; 90",AND($AU671&gt;=2000),""),"")</f>
        <v/>
      </c>
      <c r="AW671" s="32" t="str" cm="1">
        <f t="array" aca="1" ref="AW671" ca="1">IFERROR(_xlfn.IFS(OR($M671="",$AM671=""),"",OR($C671="Offered",$C671="Joined"),($AM671-$M671)-$AT671),"")</f>
        <v/>
      </c>
      <c r="AX671" s="32" t="str" cm="1">
        <f t="array" aca="1" ref="AX671" ca="1">IFERROR(_xlfn.IFS(OR($M671="",$AS671=""),"",$C671="Joined",($AS671-$M671)-$AT671),"")</f>
        <v/>
      </c>
      <c r="AY671" s="30" t="str">
        <f>IFERROR(IF(COUNTIFS('Candidate Tracker'!$E:$E,'Positions Tracker'!$B671,'Candidate Tracker'!$C:$C,"Offer Drop")=0,"",COUNTIFS('Candidate Tracker'!$E:$E,'Positions Tracker'!$B671,'Candidate Tracker'!$C:$C,"Offer Drop")),"")</f>
        <v/>
      </c>
      <c r="AZ6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1" s="34" t="str">
        <f>IFERROR(IF(COUNTIFS('Candidate Tracker'!$E:$E,'Positions Tracker'!$B671,'Candidate Tracker'!$I:$I,"Female")=0,"",COUNTIFS('Candidate Tracker'!$E:$E,'Positions Tracker'!$B671,'Candidate Tracker'!$I:$I,"Female")),"")</f>
        <v/>
      </c>
      <c r="BB671" s="34" t="str">
        <f>IFERROR(IF(COUNTIFS('Candidate Tracker'!$E:$E,'Positions Tracker'!$B671,'Candidate Tracker'!$I:$I,"male")=0,"",COUNTIFS('Candidate Tracker'!$E:$E,'Positions Tracker'!$B671,'Candidate Tracker'!$I:$I,"male")),"")</f>
        <v/>
      </c>
      <c r="BC671" s="33" t="str">
        <f>IFERROR(IF(COUNTIFS('Candidate Tracker'!$E:$E,'Positions Tracker'!$B671,'Candidate Tracker'!$C:$C,"&lt;&gt;WIP",'Candidate Tracker'!$C:$C,"&lt;&gt;Hold",'Candidate Tracker'!$C:$C,"&lt;&gt;Cancelled",'Candidate Tracker'!$C:$C,"&lt;&gt;Closed")/COUNTIFS('Candidate Tracker'!$E:$E,'Positions Tracker'!$B671)=0,"",COUNTIFS('Candidate Tracker'!$E:$E,'Positions Tracker'!$B671,'Candidate Tracker'!$C:$C,"&lt;&gt;WIP",'Candidate Tracker'!$C:$C,"&lt;&gt;Hold",'Candidate Tracker'!$C:$C,"&lt;&gt;Cancelled",'Candidate Tracker'!$C:$C,"&lt;&gt;Closed")/COUNTIFS('Candidate Tracker'!$E:$E,'Positions Tracker'!$B671)),"")</f>
        <v/>
      </c>
      <c r="BD671" s="30" t="str">
        <f t="shared" si="75"/>
        <v/>
      </c>
      <c r="BE671" s="30" t="str">
        <f t="shared" si="76"/>
        <v/>
      </c>
      <c r="BF671" s="30" t="str">
        <f t="shared" si="77"/>
        <v/>
      </c>
      <c r="BG671" s="30" t="str">
        <f t="shared" si="78"/>
        <v/>
      </c>
    </row>
    <row r="672" spans="1:59">
      <c r="A672" s="39"/>
      <c r="B672" s="39"/>
      <c r="C672" s="39"/>
      <c r="D672" s="39"/>
      <c r="E672" s="39"/>
      <c r="F672" s="39"/>
      <c r="G672" s="39"/>
      <c r="H672" s="39"/>
      <c r="I672" s="40"/>
      <c r="J672" s="40"/>
      <c r="K672" s="35"/>
      <c r="L672" s="35"/>
      <c r="M672" s="35"/>
      <c r="N672" s="39"/>
      <c r="O672" s="39"/>
      <c r="P672" s="39"/>
      <c r="Q672" s="39"/>
      <c r="R672" s="39"/>
      <c r="S672" s="39"/>
      <c r="T672" s="39"/>
      <c r="U672" s="39"/>
      <c r="V672" s="39"/>
      <c r="W672" s="39"/>
      <c r="X672" s="39"/>
      <c r="Y672" s="39"/>
      <c r="Z672" s="39"/>
      <c r="AA672" s="39"/>
      <c r="AB672" s="39"/>
      <c r="AC672" s="39"/>
      <c r="AD672" s="39"/>
      <c r="AE672" s="39"/>
      <c r="AF672" s="39"/>
      <c r="AG672" s="39"/>
      <c r="AH672" s="39"/>
      <c r="AI672" s="35"/>
      <c r="AJ672" s="39"/>
      <c r="AK672" s="39"/>
      <c r="AL672" s="39"/>
      <c r="AM672" s="35"/>
      <c r="AN672" s="35"/>
      <c r="AO672" s="39"/>
      <c r="AP672" s="39"/>
      <c r="AQ672" s="35"/>
      <c r="AR672" s="35"/>
      <c r="AS672" s="35"/>
      <c r="AT672" s="30">
        <f t="shared" ca="1" si="74"/>
        <v>0</v>
      </c>
      <c r="AU672" s="32" t="str">
        <f t="shared" ca="1" si="73"/>
        <v/>
      </c>
      <c r="AV672" s="32" t="str" cm="1">
        <f t="array" aca="1" ref="AV672" ca="1">IFERROR(_xlfn.IFS($AU672="","",$AU672&lt;=15,"0-15",AND($AU672&gt;=16,$AU672&lt;=30),"16-30",AND($AU672&gt;=31,$AU672&lt;=45),"31-45",AND($AU672&gt;=46,$AU672&lt;=60),"46-60",AND($AU672&gt;=61,$AU672&lt;=90),"61-90",AND($AU672&gt;=91),"&gt; 90",AND($AU672&gt;=2000),""),"")</f>
        <v/>
      </c>
      <c r="AW672" s="32" t="str" cm="1">
        <f t="array" aca="1" ref="AW672" ca="1">IFERROR(_xlfn.IFS(OR($M672="",$AM672=""),"",OR($C672="Offered",$C672="Joined"),($AM672-$M672)-$AT672),"")</f>
        <v/>
      </c>
      <c r="AX672" s="32" t="str" cm="1">
        <f t="array" aca="1" ref="AX672" ca="1">IFERROR(_xlfn.IFS(OR($M672="",$AS672=""),"",$C672="Joined",($AS672-$M672)-$AT672),"")</f>
        <v/>
      </c>
      <c r="AY672" s="30" t="str">
        <f>IFERROR(IF(COUNTIFS('Candidate Tracker'!$E:$E,'Positions Tracker'!$B672,'Candidate Tracker'!$C:$C,"Offer Drop")=0,"",COUNTIFS('Candidate Tracker'!$E:$E,'Positions Tracker'!$B672,'Candidate Tracker'!$C:$C,"Offer Drop")),"")</f>
        <v/>
      </c>
      <c r="AZ6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2" s="34" t="str">
        <f>IFERROR(IF(COUNTIFS('Candidate Tracker'!$E:$E,'Positions Tracker'!$B672,'Candidate Tracker'!$I:$I,"Female")=0,"",COUNTIFS('Candidate Tracker'!$E:$E,'Positions Tracker'!$B672,'Candidate Tracker'!$I:$I,"Female")),"")</f>
        <v/>
      </c>
      <c r="BB672" s="34" t="str">
        <f>IFERROR(IF(COUNTIFS('Candidate Tracker'!$E:$E,'Positions Tracker'!$B672,'Candidate Tracker'!$I:$I,"male")=0,"",COUNTIFS('Candidate Tracker'!$E:$E,'Positions Tracker'!$B672,'Candidate Tracker'!$I:$I,"male")),"")</f>
        <v/>
      </c>
      <c r="BC672" s="33" t="str">
        <f>IFERROR(IF(COUNTIFS('Candidate Tracker'!$E:$E,'Positions Tracker'!$B672,'Candidate Tracker'!$C:$C,"&lt;&gt;WIP",'Candidate Tracker'!$C:$C,"&lt;&gt;Hold",'Candidate Tracker'!$C:$C,"&lt;&gt;Cancelled",'Candidate Tracker'!$C:$C,"&lt;&gt;Closed")/COUNTIFS('Candidate Tracker'!$E:$E,'Positions Tracker'!$B672)=0,"",COUNTIFS('Candidate Tracker'!$E:$E,'Positions Tracker'!$B672,'Candidate Tracker'!$C:$C,"&lt;&gt;WIP",'Candidate Tracker'!$C:$C,"&lt;&gt;Hold",'Candidate Tracker'!$C:$C,"&lt;&gt;Cancelled",'Candidate Tracker'!$C:$C,"&lt;&gt;Closed")/COUNTIFS('Candidate Tracker'!$E:$E,'Positions Tracker'!$B672)),"")</f>
        <v/>
      </c>
      <c r="BD672" s="30" t="str">
        <f t="shared" si="75"/>
        <v/>
      </c>
      <c r="BE672" s="30" t="str">
        <f t="shared" si="76"/>
        <v/>
      </c>
      <c r="BF672" s="30" t="str">
        <f t="shared" si="77"/>
        <v/>
      </c>
      <c r="BG672" s="30" t="str">
        <f t="shared" si="78"/>
        <v/>
      </c>
    </row>
    <row r="673" spans="1:59">
      <c r="A673" s="39"/>
      <c r="B673" s="39"/>
      <c r="C673" s="39"/>
      <c r="D673" s="39"/>
      <c r="E673" s="39"/>
      <c r="F673" s="39"/>
      <c r="G673" s="39"/>
      <c r="H673" s="39"/>
      <c r="I673" s="40"/>
      <c r="J673" s="40"/>
      <c r="K673" s="35"/>
      <c r="L673" s="35"/>
      <c r="M673" s="35"/>
      <c r="N673" s="39"/>
      <c r="O673" s="39"/>
      <c r="P673" s="39"/>
      <c r="Q673" s="39"/>
      <c r="R673" s="39"/>
      <c r="S673" s="39"/>
      <c r="T673" s="39"/>
      <c r="U673" s="39"/>
      <c r="V673" s="39"/>
      <c r="W673" s="39"/>
      <c r="X673" s="39"/>
      <c r="Y673" s="39"/>
      <c r="Z673" s="39"/>
      <c r="AA673" s="39"/>
      <c r="AB673" s="39"/>
      <c r="AC673" s="39"/>
      <c r="AD673" s="39"/>
      <c r="AE673" s="39"/>
      <c r="AF673" s="39"/>
      <c r="AG673" s="39"/>
      <c r="AH673" s="39"/>
      <c r="AI673" s="35"/>
      <c r="AJ673" s="39"/>
      <c r="AK673" s="39"/>
      <c r="AL673" s="39"/>
      <c r="AM673" s="35"/>
      <c r="AN673" s="35"/>
      <c r="AO673" s="39"/>
      <c r="AP673" s="39"/>
      <c r="AQ673" s="35"/>
      <c r="AR673" s="35"/>
      <c r="AS673" s="35"/>
      <c r="AT673" s="30">
        <f t="shared" ca="1" si="74"/>
        <v>0</v>
      </c>
      <c r="AU673" s="32" t="str">
        <f t="shared" ca="1" si="73"/>
        <v/>
      </c>
      <c r="AV673" s="32" t="str" cm="1">
        <f t="array" aca="1" ref="AV673" ca="1">IFERROR(_xlfn.IFS($AU673="","",$AU673&lt;=15,"0-15",AND($AU673&gt;=16,$AU673&lt;=30),"16-30",AND($AU673&gt;=31,$AU673&lt;=45),"31-45",AND($AU673&gt;=46,$AU673&lt;=60),"46-60",AND($AU673&gt;=61,$AU673&lt;=90),"61-90",AND($AU673&gt;=91),"&gt; 90",AND($AU673&gt;=2000),""),"")</f>
        <v/>
      </c>
      <c r="AW673" s="32" t="str" cm="1">
        <f t="array" aca="1" ref="AW673" ca="1">IFERROR(_xlfn.IFS(OR($M673="",$AM673=""),"",OR($C673="Offered",$C673="Joined"),($AM673-$M673)-$AT673),"")</f>
        <v/>
      </c>
      <c r="AX673" s="32" t="str" cm="1">
        <f t="array" aca="1" ref="AX673" ca="1">IFERROR(_xlfn.IFS(OR($M673="",$AS673=""),"",$C673="Joined",($AS673-$M673)-$AT673),"")</f>
        <v/>
      </c>
      <c r="AY673" s="30" t="str">
        <f>IFERROR(IF(COUNTIFS('Candidate Tracker'!$E:$E,'Positions Tracker'!$B673,'Candidate Tracker'!$C:$C,"Offer Drop")=0,"",COUNTIFS('Candidate Tracker'!$E:$E,'Positions Tracker'!$B673,'Candidate Tracker'!$C:$C,"Offer Drop")),"")</f>
        <v/>
      </c>
      <c r="AZ6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3" s="34" t="str">
        <f>IFERROR(IF(COUNTIFS('Candidate Tracker'!$E:$E,'Positions Tracker'!$B673,'Candidate Tracker'!$I:$I,"Female")=0,"",COUNTIFS('Candidate Tracker'!$E:$E,'Positions Tracker'!$B673,'Candidate Tracker'!$I:$I,"Female")),"")</f>
        <v/>
      </c>
      <c r="BB673" s="34" t="str">
        <f>IFERROR(IF(COUNTIFS('Candidate Tracker'!$E:$E,'Positions Tracker'!$B673,'Candidate Tracker'!$I:$I,"male")=0,"",COUNTIFS('Candidate Tracker'!$E:$E,'Positions Tracker'!$B673,'Candidate Tracker'!$I:$I,"male")),"")</f>
        <v/>
      </c>
      <c r="BC673" s="33" t="str">
        <f>IFERROR(IF(COUNTIFS('Candidate Tracker'!$E:$E,'Positions Tracker'!$B673,'Candidate Tracker'!$C:$C,"&lt;&gt;WIP",'Candidate Tracker'!$C:$C,"&lt;&gt;Hold",'Candidate Tracker'!$C:$C,"&lt;&gt;Cancelled",'Candidate Tracker'!$C:$C,"&lt;&gt;Closed")/COUNTIFS('Candidate Tracker'!$E:$E,'Positions Tracker'!$B673)=0,"",COUNTIFS('Candidate Tracker'!$E:$E,'Positions Tracker'!$B673,'Candidate Tracker'!$C:$C,"&lt;&gt;WIP",'Candidate Tracker'!$C:$C,"&lt;&gt;Hold",'Candidate Tracker'!$C:$C,"&lt;&gt;Cancelled",'Candidate Tracker'!$C:$C,"&lt;&gt;Closed")/COUNTIFS('Candidate Tracker'!$E:$E,'Positions Tracker'!$B673)),"")</f>
        <v/>
      </c>
      <c r="BD673" s="30" t="str">
        <f t="shared" si="75"/>
        <v/>
      </c>
      <c r="BE673" s="30" t="str">
        <f t="shared" si="76"/>
        <v/>
      </c>
      <c r="BF673" s="30" t="str">
        <f t="shared" si="77"/>
        <v/>
      </c>
      <c r="BG673" s="30" t="str">
        <f t="shared" si="78"/>
        <v/>
      </c>
    </row>
    <row r="674" spans="1:59">
      <c r="A674" s="39"/>
      <c r="B674" s="39"/>
      <c r="C674" s="39"/>
      <c r="D674" s="39"/>
      <c r="E674" s="39"/>
      <c r="F674" s="39"/>
      <c r="G674" s="39"/>
      <c r="H674" s="39"/>
      <c r="I674" s="40"/>
      <c r="J674" s="40"/>
      <c r="K674" s="35"/>
      <c r="L674" s="35"/>
      <c r="M674" s="35"/>
      <c r="N674" s="39"/>
      <c r="O674" s="39"/>
      <c r="P674" s="39"/>
      <c r="Q674" s="39"/>
      <c r="R674" s="39"/>
      <c r="S674" s="39"/>
      <c r="T674" s="39"/>
      <c r="U674" s="39"/>
      <c r="V674" s="39"/>
      <c r="W674" s="39"/>
      <c r="X674" s="39"/>
      <c r="Y674" s="39"/>
      <c r="Z674" s="39"/>
      <c r="AA674" s="39"/>
      <c r="AB674" s="39"/>
      <c r="AC674" s="39"/>
      <c r="AD674" s="39"/>
      <c r="AE674" s="39"/>
      <c r="AF674" s="39"/>
      <c r="AG674" s="39"/>
      <c r="AH674" s="39"/>
      <c r="AI674" s="35"/>
      <c r="AJ674" s="39"/>
      <c r="AK674" s="39"/>
      <c r="AL674" s="39"/>
      <c r="AM674" s="35"/>
      <c r="AN674" s="35"/>
      <c r="AO674" s="39"/>
      <c r="AP674" s="39"/>
      <c r="AQ674" s="35"/>
      <c r="AR674" s="35"/>
      <c r="AS674" s="35"/>
      <c r="AT674" s="30">
        <f t="shared" ca="1" si="74"/>
        <v>0</v>
      </c>
      <c r="AU674" s="32" t="str">
        <f t="shared" ca="1" si="73"/>
        <v/>
      </c>
      <c r="AV674" s="32" t="str" cm="1">
        <f t="array" aca="1" ref="AV674" ca="1">IFERROR(_xlfn.IFS($AU674="","",$AU674&lt;=15,"0-15",AND($AU674&gt;=16,$AU674&lt;=30),"16-30",AND($AU674&gt;=31,$AU674&lt;=45),"31-45",AND($AU674&gt;=46,$AU674&lt;=60),"46-60",AND($AU674&gt;=61,$AU674&lt;=90),"61-90",AND($AU674&gt;=91),"&gt; 90",AND($AU674&gt;=2000),""),"")</f>
        <v/>
      </c>
      <c r="AW674" s="32" t="str" cm="1">
        <f t="array" aca="1" ref="AW674" ca="1">IFERROR(_xlfn.IFS(OR($M674="",$AM674=""),"",OR($C674="Offered",$C674="Joined"),($AM674-$M674)-$AT674),"")</f>
        <v/>
      </c>
      <c r="AX674" s="32" t="str" cm="1">
        <f t="array" aca="1" ref="AX674" ca="1">IFERROR(_xlfn.IFS(OR($M674="",$AS674=""),"",$C674="Joined",($AS674-$M674)-$AT674),"")</f>
        <v/>
      </c>
      <c r="AY674" s="30" t="str">
        <f>IFERROR(IF(COUNTIFS('Candidate Tracker'!$E:$E,'Positions Tracker'!$B674,'Candidate Tracker'!$C:$C,"Offer Drop")=0,"",COUNTIFS('Candidate Tracker'!$E:$E,'Positions Tracker'!$B674,'Candidate Tracker'!$C:$C,"Offer Drop")),"")</f>
        <v/>
      </c>
      <c r="AZ6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4" s="34" t="str">
        <f>IFERROR(IF(COUNTIFS('Candidate Tracker'!$E:$E,'Positions Tracker'!$B674,'Candidate Tracker'!$I:$I,"Female")=0,"",COUNTIFS('Candidate Tracker'!$E:$E,'Positions Tracker'!$B674,'Candidate Tracker'!$I:$I,"Female")),"")</f>
        <v/>
      </c>
      <c r="BB674" s="34" t="str">
        <f>IFERROR(IF(COUNTIFS('Candidate Tracker'!$E:$E,'Positions Tracker'!$B674,'Candidate Tracker'!$I:$I,"male")=0,"",COUNTIFS('Candidate Tracker'!$E:$E,'Positions Tracker'!$B674,'Candidate Tracker'!$I:$I,"male")),"")</f>
        <v/>
      </c>
      <c r="BC674" s="33" t="str">
        <f>IFERROR(IF(COUNTIFS('Candidate Tracker'!$E:$E,'Positions Tracker'!$B674,'Candidate Tracker'!$C:$C,"&lt;&gt;WIP",'Candidate Tracker'!$C:$C,"&lt;&gt;Hold",'Candidate Tracker'!$C:$C,"&lt;&gt;Cancelled",'Candidate Tracker'!$C:$C,"&lt;&gt;Closed")/COUNTIFS('Candidate Tracker'!$E:$E,'Positions Tracker'!$B674)=0,"",COUNTIFS('Candidate Tracker'!$E:$E,'Positions Tracker'!$B674,'Candidate Tracker'!$C:$C,"&lt;&gt;WIP",'Candidate Tracker'!$C:$C,"&lt;&gt;Hold",'Candidate Tracker'!$C:$C,"&lt;&gt;Cancelled",'Candidate Tracker'!$C:$C,"&lt;&gt;Closed")/COUNTIFS('Candidate Tracker'!$E:$E,'Positions Tracker'!$B674)),"")</f>
        <v/>
      </c>
      <c r="BD674" s="30" t="str">
        <f t="shared" si="75"/>
        <v/>
      </c>
      <c r="BE674" s="30" t="str">
        <f t="shared" si="76"/>
        <v/>
      </c>
      <c r="BF674" s="30" t="str">
        <f t="shared" si="77"/>
        <v/>
      </c>
      <c r="BG674" s="30" t="str">
        <f t="shared" si="78"/>
        <v/>
      </c>
    </row>
    <row r="675" spans="1:59">
      <c r="A675" s="39"/>
      <c r="B675" s="39"/>
      <c r="C675" s="39"/>
      <c r="D675" s="39"/>
      <c r="E675" s="39"/>
      <c r="F675" s="39"/>
      <c r="G675" s="39"/>
      <c r="H675" s="39"/>
      <c r="I675" s="40"/>
      <c r="J675" s="40"/>
      <c r="K675" s="35"/>
      <c r="L675" s="35"/>
      <c r="M675" s="35"/>
      <c r="N675" s="39"/>
      <c r="O675" s="39"/>
      <c r="P675" s="39"/>
      <c r="Q675" s="39"/>
      <c r="R675" s="39"/>
      <c r="S675" s="39"/>
      <c r="T675" s="39"/>
      <c r="U675" s="39"/>
      <c r="V675" s="39"/>
      <c r="W675" s="39"/>
      <c r="X675" s="39"/>
      <c r="Y675" s="39"/>
      <c r="Z675" s="39"/>
      <c r="AA675" s="39"/>
      <c r="AB675" s="39"/>
      <c r="AC675" s="39"/>
      <c r="AD675" s="39"/>
      <c r="AE675" s="39"/>
      <c r="AF675" s="39"/>
      <c r="AG675" s="39"/>
      <c r="AH675" s="39"/>
      <c r="AI675" s="35"/>
      <c r="AJ675" s="39"/>
      <c r="AK675" s="39"/>
      <c r="AL675" s="39"/>
      <c r="AM675" s="35"/>
      <c r="AN675" s="35"/>
      <c r="AO675" s="39"/>
      <c r="AP675" s="39"/>
      <c r="AQ675" s="35"/>
      <c r="AR675" s="35"/>
      <c r="AS675" s="35"/>
      <c r="AT675" s="30">
        <f t="shared" ca="1" si="74"/>
        <v>0</v>
      </c>
      <c r="AU675" s="32" t="str">
        <f t="shared" ca="1" si="73"/>
        <v/>
      </c>
      <c r="AV675" s="32" t="str" cm="1">
        <f t="array" aca="1" ref="AV675" ca="1">IFERROR(_xlfn.IFS($AU675="","",$AU675&lt;=15,"0-15",AND($AU675&gt;=16,$AU675&lt;=30),"16-30",AND($AU675&gt;=31,$AU675&lt;=45),"31-45",AND($AU675&gt;=46,$AU675&lt;=60),"46-60",AND($AU675&gt;=61,$AU675&lt;=90),"61-90",AND($AU675&gt;=91),"&gt; 90",AND($AU675&gt;=2000),""),"")</f>
        <v/>
      </c>
      <c r="AW675" s="32" t="str" cm="1">
        <f t="array" aca="1" ref="AW675" ca="1">IFERROR(_xlfn.IFS(OR($M675="",$AM675=""),"",OR($C675="Offered",$C675="Joined"),($AM675-$M675)-$AT675),"")</f>
        <v/>
      </c>
      <c r="AX675" s="32" t="str" cm="1">
        <f t="array" aca="1" ref="AX675" ca="1">IFERROR(_xlfn.IFS(OR($M675="",$AS675=""),"",$C675="Joined",($AS675-$M675)-$AT675),"")</f>
        <v/>
      </c>
      <c r="AY675" s="30" t="str">
        <f>IFERROR(IF(COUNTIFS('Candidate Tracker'!$E:$E,'Positions Tracker'!$B675,'Candidate Tracker'!$C:$C,"Offer Drop")=0,"",COUNTIFS('Candidate Tracker'!$E:$E,'Positions Tracker'!$B675,'Candidate Tracker'!$C:$C,"Offer Drop")),"")</f>
        <v/>
      </c>
      <c r="AZ6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5" s="34" t="str">
        <f>IFERROR(IF(COUNTIFS('Candidate Tracker'!$E:$E,'Positions Tracker'!$B675,'Candidate Tracker'!$I:$I,"Female")=0,"",COUNTIFS('Candidate Tracker'!$E:$E,'Positions Tracker'!$B675,'Candidate Tracker'!$I:$I,"Female")),"")</f>
        <v/>
      </c>
      <c r="BB675" s="34" t="str">
        <f>IFERROR(IF(COUNTIFS('Candidate Tracker'!$E:$E,'Positions Tracker'!$B675,'Candidate Tracker'!$I:$I,"male")=0,"",COUNTIFS('Candidate Tracker'!$E:$E,'Positions Tracker'!$B675,'Candidate Tracker'!$I:$I,"male")),"")</f>
        <v/>
      </c>
      <c r="BC675" s="33" t="str">
        <f>IFERROR(IF(COUNTIFS('Candidate Tracker'!$E:$E,'Positions Tracker'!$B675,'Candidate Tracker'!$C:$C,"&lt;&gt;WIP",'Candidate Tracker'!$C:$C,"&lt;&gt;Hold",'Candidate Tracker'!$C:$C,"&lt;&gt;Cancelled",'Candidate Tracker'!$C:$C,"&lt;&gt;Closed")/COUNTIFS('Candidate Tracker'!$E:$E,'Positions Tracker'!$B675)=0,"",COUNTIFS('Candidate Tracker'!$E:$E,'Positions Tracker'!$B675,'Candidate Tracker'!$C:$C,"&lt;&gt;WIP",'Candidate Tracker'!$C:$C,"&lt;&gt;Hold",'Candidate Tracker'!$C:$C,"&lt;&gt;Cancelled",'Candidate Tracker'!$C:$C,"&lt;&gt;Closed")/COUNTIFS('Candidate Tracker'!$E:$E,'Positions Tracker'!$B675)),"")</f>
        <v/>
      </c>
      <c r="BD675" s="30" t="str">
        <f t="shared" si="75"/>
        <v/>
      </c>
      <c r="BE675" s="30" t="str">
        <f t="shared" si="76"/>
        <v/>
      </c>
      <c r="BF675" s="30" t="str">
        <f t="shared" si="77"/>
        <v/>
      </c>
      <c r="BG675" s="30" t="str">
        <f t="shared" si="78"/>
        <v/>
      </c>
    </row>
    <row r="676" spans="1:59">
      <c r="A676" s="39"/>
      <c r="B676" s="39"/>
      <c r="C676" s="39"/>
      <c r="D676" s="39"/>
      <c r="E676" s="39"/>
      <c r="F676" s="39"/>
      <c r="G676" s="39"/>
      <c r="H676" s="39"/>
      <c r="I676" s="40"/>
      <c r="J676" s="40"/>
      <c r="K676" s="35"/>
      <c r="L676" s="35"/>
      <c r="M676" s="35"/>
      <c r="N676" s="39"/>
      <c r="O676" s="39"/>
      <c r="P676" s="39"/>
      <c r="Q676" s="39"/>
      <c r="R676" s="39"/>
      <c r="S676" s="39"/>
      <c r="T676" s="39"/>
      <c r="U676" s="39"/>
      <c r="V676" s="39"/>
      <c r="W676" s="39"/>
      <c r="X676" s="39"/>
      <c r="Y676" s="39"/>
      <c r="Z676" s="39"/>
      <c r="AA676" s="39"/>
      <c r="AB676" s="39"/>
      <c r="AC676" s="39"/>
      <c r="AD676" s="39"/>
      <c r="AE676" s="39"/>
      <c r="AF676" s="39"/>
      <c r="AG676" s="39"/>
      <c r="AH676" s="39"/>
      <c r="AI676" s="35"/>
      <c r="AJ676" s="39"/>
      <c r="AK676" s="39"/>
      <c r="AL676" s="39"/>
      <c r="AM676" s="35"/>
      <c r="AN676" s="35"/>
      <c r="AO676" s="39"/>
      <c r="AP676" s="39"/>
      <c r="AQ676" s="35"/>
      <c r="AR676" s="35"/>
      <c r="AS676" s="35"/>
      <c r="AT676" s="30">
        <f t="shared" ca="1" si="74"/>
        <v>0</v>
      </c>
      <c r="AU676" s="32" t="str">
        <f t="shared" ca="1" si="73"/>
        <v/>
      </c>
      <c r="AV676" s="32" t="str" cm="1">
        <f t="array" aca="1" ref="AV676" ca="1">IFERROR(_xlfn.IFS($AU676="","",$AU676&lt;=15,"0-15",AND($AU676&gt;=16,$AU676&lt;=30),"16-30",AND($AU676&gt;=31,$AU676&lt;=45),"31-45",AND($AU676&gt;=46,$AU676&lt;=60),"46-60",AND($AU676&gt;=61,$AU676&lt;=90),"61-90",AND($AU676&gt;=91),"&gt; 90",AND($AU676&gt;=2000),""),"")</f>
        <v/>
      </c>
      <c r="AW676" s="32" t="str" cm="1">
        <f t="array" aca="1" ref="AW676" ca="1">IFERROR(_xlfn.IFS(OR($M676="",$AM676=""),"",OR($C676="Offered",$C676="Joined"),($AM676-$M676)-$AT676),"")</f>
        <v/>
      </c>
      <c r="AX676" s="32" t="str" cm="1">
        <f t="array" aca="1" ref="AX676" ca="1">IFERROR(_xlfn.IFS(OR($M676="",$AS676=""),"",$C676="Joined",($AS676-$M676)-$AT676),"")</f>
        <v/>
      </c>
      <c r="AY676" s="30" t="str">
        <f>IFERROR(IF(COUNTIFS('Candidate Tracker'!$E:$E,'Positions Tracker'!$B676,'Candidate Tracker'!$C:$C,"Offer Drop")=0,"",COUNTIFS('Candidate Tracker'!$E:$E,'Positions Tracker'!$B676,'Candidate Tracker'!$C:$C,"Offer Drop")),"")</f>
        <v/>
      </c>
      <c r="AZ6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6" s="34" t="str">
        <f>IFERROR(IF(COUNTIFS('Candidate Tracker'!$E:$E,'Positions Tracker'!$B676,'Candidate Tracker'!$I:$I,"Female")=0,"",COUNTIFS('Candidate Tracker'!$E:$E,'Positions Tracker'!$B676,'Candidate Tracker'!$I:$I,"Female")),"")</f>
        <v/>
      </c>
      <c r="BB676" s="34" t="str">
        <f>IFERROR(IF(COUNTIFS('Candidate Tracker'!$E:$E,'Positions Tracker'!$B676,'Candidate Tracker'!$I:$I,"male")=0,"",COUNTIFS('Candidate Tracker'!$E:$E,'Positions Tracker'!$B676,'Candidate Tracker'!$I:$I,"male")),"")</f>
        <v/>
      </c>
      <c r="BC676" s="33" t="str">
        <f>IFERROR(IF(COUNTIFS('Candidate Tracker'!$E:$E,'Positions Tracker'!$B676,'Candidate Tracker'!$C:$C,"&lt;&gt;WIP",'Candidate Tracker'!$C:$C,"&lt;&gt;Hold",'Candidate Tracker'!$C:$C,"&lt;&gt;Cancelled",'Candidate Tracker'!$C:$C,"&lt;&gt;Closed")/COUNTIFS('Candidate Tracker'!$E:$E,'Positions Tracker'!$B676)=0,"",COUNTIFS('Candidate Tracker'!$E:$E,'Positions Tracker'!$B676,'Candidate Tracker'!$C:$C,"&lt;&gt;WIP",'Candidate Tracker'!$C:$C,"&lt;&gt;Hold",'Candidate Tracker'!$C:$C,"&lt;&gt;Cancelled",'Candidate Tracker'!$C:$C,"&lt;&gt;Closed")/COUNTIFS('Candidate Tracker'!$E:$E,'Positions Tracker'!$B676)),"")</f>
        <v/>
      </c>
      <c r="BD676" s="30" t="str">
        <f t="shared" si="75"/>
        <v/>
      </c>
      <c r="BE676" s="30" t="str">
        <f t="shared" si="76"/>
        <v/>
      </c>
      <c r="BF676" s="30" t="str">
        <f t="shared" si="77"/>
        <v/>
      </c>
      <c r="BG676" s="30" t="str">
        <f t="shared" si="78"/>
        <v/>
      </c>
    </row>
    <row r="677" spans="1:59">
      <c r="A677" s="39"/>
      <c r="B677" s="39"/>
      <c r="C677" s="39"/>
      <c r="D677" s="39"/>
      <c r="E677" s="39"/>
      <c r="F677" s="39"/>
      <c r="G677" s="39"/>
      <c r="H677" s="39"/>
      <c r="I677" s="40"/>
      <c r="J677" s="40"/>
      <c r="K677" s="35"/>
      <c r="L677" s="35"/>
      <c r="M677" s="35"/>
      <c r="N677" s="39"/>
      <c r="O677" s="39"/>
      <c r="P677" s="39"/>
      <c r="Q677" s="39"/>
      <c r="R677" s="39"/>
      <c r="S677" s="39"/>
      <c r="T677" s="39"/>
      <c r="U677" s="39"/>
      <c r="V677" s="39"/>
      <c r="W677" s="39"/>
      <c r="X677" s="39"/>
      <c r="Y677" s="39"/>
      <c r="Z677" s="39"/>
      <c r="AA677" s="39"/>
      <c r="AB677" s="39"/>
      <c r="AC677" s="39"/>
      <c r="AD677" s="39"/>
      <c r="AE677" s="39"/>
      <c r="AF677" s="39"/>
      <c r="AG677" s="39"/>
      <c r="AH677" s="39"/>
      <c r="AI677" s="35"/>
      <c r="AJ677" s="39"/>
      <c r="AK677" s="39"/>
      <c r="AL677" s="39"/>
      <c r="AM677" s="35"/>
      <c r="AN677" s="35"/>
      <c r="AO677" s="39"/>
      <c r="AP677" s="39"/>
      <c r="AQ677" s="35"/>
      <c r="AR677" s="35"/>
      <c r="AS677" s="35"/>
      <c r="AT677" s="30">
        <f t="shared" ca="1" si="74"/>
        <v>0</v>
      </c>
      <c r="AU677" s="32" t="str">
        <f t="shared" ca="1" si="73"/>
        <v/>
      </c>
      <c r="AV677" s="32" t="str" cm="1">
        <f t="array" aca="1" ref="AV677" ca="1">IFERROR(_xlfn.IFS($AU677="","",$AU677&lt;=15,"0-15",AND($AU677&gt;=16,$AU677&lt;=30),"16-30",AND($AU677&gt;=31,$AU677&lt;=45),"31-45",AND($AU677&gt;=46,$AU677&lt;=60),"46-60",AND($AU677&gt;=61,$AU677&lt;=90),"61-90",AND($AU677&gt;=91),"&gt; 90",AND($AU677&gt;=2000),""),"")</f>
        <v/>
      </c>
      <c r="AW677" s="32" t="str" cm="1">
        <f t="array" aca="1" ref="AW677" ca="1">IFERROR(_xlfn.IFS(OR($M677="",$AM677=""),"",OR($C677="Offered",$C677="Joined"),($AM677-$M677)-$AT677),"")</f>
        <v/>
      </c>
      <c r="AX677" s="32" t="str" cm="1">
        <f t="array" aca="1" ref="AX677" ca="1">IFERROR(_xlfn.IFS(OR($M677="",$AS677=""),"",$C677="Joined",($AS677-$M677)-$AT677),"")</f>
        <v/>
      </c>
      <c r="AY677" s="30" t="str">
        <f>IFERROR(IF(COUNTIFS('Candidate Tracker'!$E:$E,'Positions Tracker'!$B677,'Candidate Tracker'!$C:$C,"Offer Drop")=0,"",COUNTIFS('Candidate Tracker'!$E:$E,'Positions Tracker'!$B677,'Candidate Tracker'!$C:$C,"Offer Drop")),"")</f>
        <v/>
      </c>
      <c r="AZ6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7" s="34" t="str">
        <f>IFERROR(IF(COUNTIFS('Candidate Tracker'!$E:$E,'Positions Tracker'!$B677,'Candidate Tracker'!$I:$I,"Female")=0,"",COUNTIFS('Candidate Tracker'!$E:$E,'Positions Tracker'!$B677,'Candidate Tracker'!$I:$I,"Female")),"")</f>
        <v/>
      </c>
      <c r="BB677" s="34" t="str">
        <f>IFERROR(IF(COUNTIFS('Candidate Tracker'!$E:$E,'Positions Tracker'!$B677,'Candidate Tracker'!$I:$I,"male")=0,"",COUNTIFS('Candidate Tracker'!$E:$E,'Positions Tracker'!$B677,'Candidate Tracker'!$I:$I,"male")),"")</f>
        <v/>
      </c>
      <c r="BC677" s="33" t="str">
        <f>IFERROR(IF(COUNTIFS('Candidate Tracker'!$E:$E,'Positions Tracker'!$B677,'Candidate Tracker'!$C:$C,"&lt;&gt;WIP",'Candidate Tracker'!$C:$C,"&lt;&gt;Hold",'Candidate Tracker'!$C:$C,"&lt;&gt;Cancelled",'Candidate Tracker'!$C:$C,"&lt;&gt;Closed")/COUNTIFS('Candidate Tracker'!$E:$E,'Positions Tracker'!$B677)=0,"",COUNTIFS('Candidate Tracker'!$E:$E,'Positions Tracker'!$B677,'Candidate Tracker'!$C:$C,"&lt;&gt;WIP",'Candidate Tracker'!$C:$C,"&lt;&gt;Hold",'Candidate Tracker'!$C:$C,"&lt;&gt;Cancelled",'Candidate Tracker'!$C:$C,"&lt;&gt;Closed")/COUNTIFS('Candidate Tracker'!$E:$E,'Positions Tracker'!$B677)),"")</f>
        <v/>
      </c>
      <c r="BD677" s="30" t="str">
        <f t="shared" si="75"/>
        <v/>
      </c>
      <c r="BE677" s="30" t="str">
        <f t="shared" si="76"/>
        <v/>
      </c>
      <c r="BF677" s="30" t="str">
        <f t="shared" si="77"/>
        <v/>
      </c>
      <c r="BG677" s="30" t="str">
        <f t="shared" si="78"/>
        <v/>
      </c>
    </row>
    <row r="678" spans="1:59">
      <c r="A678" s="39"/>
      <c r="B678" s="39"/>
      <c r="C678" s="39"/>
      <c r="D678" s="39"/>
      <c r="E678" s="39"/>
      <c r="F678" s="39"/>
      <c r="G678" s="39"/>
      <c r="H678" s="39"/>
      <c r="I678" s="40"/>
      <c r="J678" s="40"/>
      <c r="K678" s="35"/>
      <c r="L678" s="35"/>
      <c r="M678" s="35"/>
      <c r="N678" s="39"/>
      <c r="O678" s="39"/>
      <c r="P678" s="39"/>
      <c r="Q678" s="39"/>
      <c r="R678" s="39"/>
      <c r="S678" s="39"/>
      <c r="T678" s="39"/>
      <c r="U678" s="39"/>
      <c r="V678" s="39"/>
      <c r="W678" s="39"/>
      <c r="X678" s="39"/>
      <c r="Y678" s="39"/>
      <c r="Z678" s="39"/>
      <c r="AA678" s="39"/>
      <c r="AB678" s="39"/>
      <c r="AC678" s="39"/>
      <c r="AD678" s="39"/>
      <c r="AE678" s="39"/>
      <c r="AF678" s="39"/>
      <c r="AG678" s="39"/>
      <c r="AH678" s="39"/>
      <c r="AI678" s="35"/>
      <c r="AJ678" s="39"/>
      <c r="AK678" s="39"/>
      <c r="AL678" s="39"/>
      <c r="AM678" s="35"/>
      <c r="AN678" s="35"/>
      <c r="AO678" s="39"/>
      <c r="AP678" s="39"/>
      <c r="AQ678" s="35"/>
      <c r="AR678" s="35"/>
      <c r="AS678" s="35"/>
      <c r="AT678" s="30">
        <f t="shared" ca="1" si="74"/>
        <v>0</v>
      </c>
      <c r="AU678" s="32" t="str">
        <f t="shared" ca="1" si="73"/>
        <v/>
      </c>
      <c r="AV678" s="32" t="str" cm="1">
        <f t="array" aca="1" ref="AV678" ca="1">IFERROR(_xlfn.IFS($AU678="","",$AU678&lt;=15,"0-15",AND($AU678&gt;=16,$AU678&lt;=30),"16-30",AND($AU678&gt;=31,$AU678&lt;=45),"31-45",AND($AU678&gt;=46,$AU678&lt;=60),"46-60",AND($AU678&gt;=61,$AU678&lt;=90),"61-90",AND($AU678&gt;=91),"&gt; 90",AND($AU678&gt;=2000),""),"")</f>
        <v/>
      </c>
      <c r="AW678" s="32" t="str" cm="1">
        <f t="array" aca="1" ref="AW678" ca="1">IFERROR(_xlfn.IFS(OR($M678="",$AM678=""),"",OR($C678="Offered",$C678="Joined"),($AM678-$M678)-$AT678),"")</f>
        <v/>
      </c>
      <c r="AX678" s="32" t="str" cm="1">
        <f t="array" aca="1" ref="AX678" ca="1">IFERROR(_xlfn.IFS(OR($M678="",$AS678=""),"",$C678="Joined",($AS678-$M678)-$AT678),"")</f>
        <v/>
      </c>
      <c r="AY678" s="30" t="str">
        <f>IFERROR(IF(COUNTIFS('Candidate Tracker'!$E:$E,'Positions Tracker'!$B678,'Candidate Tracker'!$C:$C,"Offer Drop")=0,"",COUNTIFS('Candidate Tracker'!$E:$E,'Positions Tracker'!$B678,'Candidate Tracker'!$C:$C,"Offer Drop")),"")</f>
        <v/>
      </c>
      <c r="AZ6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8" s="34" t="str">
        <f>IFERROR(IF(COUNTIFS('Candidate Tracker'!$E:$E,'Positions Tracker'!$B678,'Candidate Tracker'!$I:$I,"Female")=0,"",COUNTIFS('Candidate Tracker'!$E:$E,'Positions Tracker'!$B678,'Candidate Tracker'!$I:$I,"Female")),"")</f>
        <v/>
      </c>
      <c r="BB678" s="34" t="str">
        <f>IFERROR(IF(COUNTIFS('Candidate Tracker'!$E:$E,'Positions Tracker'!$B678,'Candidate Tracker'!$I:$I,"male")=0,"",COUNTIFS('Candidate Tracker'!$E:$E,'Positions Tracker'!$B678,'Candidate Tracker'!$I:$I,"male")),"")</f>
        <v/>
      </c>
      <c r="BC678" s="33" t="str">
        <f>IFERROR(IF(COUNTIFS('Candidate Tracker'!$E:$E,'Positions Tracker'!$B678,'Candidate Tracker'!$C:$C,"&lt;&gt;WIP",'Candidate Tracker'!$C:$C,"&lt;&gt;Hold",'Candidate Tracker'!$C:$C,"&lt;&gt;Cancelled",'Candidate Tracker'!$C:$C,"&lt;&gt;Closed")/COUNTIFS('Candidate Tracker'!$E:$E,'Positions Tracker'!$B678)=0,"",COUNTIFS('Candidate Tracker'!$E:$E,'Positions Tracker'!$B678,'Candidate Tracker'!$C:$C,"&lt;&gt;WIP",'Candidate Tracker'!$C:$C,"&lt;&gt;Hold",'Candidate Tracker'!$C:$C,"&lt;&gt;Cancelled",'Candidate Tracker'!$C:$C,"&lt;&gt;Closed")/COUNTIFS('Candidate Tracker'!$E:$E,'Positions Tracker'!$B678)),"")</f>
        <v/>
      </c>
      <c r="BD678" s="30" t="str">
        <f t="shared" si="75"/>
        <v/>
      </c>
      <c r="BE678" s="30" t="str">
        <f t="shared" si="76"/>
        <v/>
      </c>
      <c r="BF678" s="30" t="str">
        <f t="shared" si="77"/>
        <v/>
      </c>
      <c r="BG678" s="30" t="str">
        <f t="shared" si="78"/>
        <v/>
      </c>
    </row>
    <row r="679" spans="1:59">
      <c r="A679" s="39"/>
      <c r="B679" s="39"/>
      <c r="C679" s="39"/>
      <c r="D679" s="39"/>
      <c r="E679" s="39"/>
      <c r="F679" s="39"/>
      <c r="G679" s="39"/>
      <c r="H679" s="39"/>
      <c r="I679" s="40"/>
      <c r="J679" s="40"/>
      <c r="K679" s="35"/>
      <c r="L679" s="35"/>
      <c r="M679" s="35"/>
      <c r="N679" s="39"/>
      <c r="O679" s="39"/>
      <c r="P679" s="39"/>
      <c r="Q679" s="39"/>
      <c r="R679" s="39"/>
      <c r="S679" s="39"/>
      <c r="T679" s="39"/>
      <c r="U679" s="39"/>
      <c r="V679" s="39"/>
      <c r="W679" s="39"/>
      <c r="X679" s="39"/>
      <c r="Y679" s="39"/>
      <c r="Z679" s="39"/>
      <c r="AA679" s="39"/>
      <c r="AB679" s="39"/>
      <c r="AC679" s="39"/>
      <c r="AD679" s="39"/>
      <c r="AE679" s="39"/>
      <c r="AF679" s="39"/>
      <c r="AG679" s="39"/>
      <c r="AH679" s="39"/>
      <c r="AI679" s="35"/>
      <c r="AJ679" s="39"/>
      <c r="AK679" s="39"/>
      <c r="AL679" s="39"/>
      <c r="AM679" s="35"/>
      <c r="AN679" s="35"/>
      <c r="AO679" s="39"/>
      <c r="AP679" s="39"/>
      <c r="AQ679" s="35"/>
      <c r="AR679" s="35"/>
      <c r="AS679" s="35"/>
      <c r="AT679" s="30">
        <f t="shared" ca="1" si="74"/>
        <v>0</v>
      </c>
      <c r="AU679" s="32" t="str">
        <f t="shared" ca="1" si="73"/>
        <v/>
      </c>
      <c r="AV679" s="32" t="str" cm="1">
        <f t="array" aca="1" ref="AV679" ca="1">IFERROR(_xlfn.IFS($AU679="","",$AU679&lt;=15,"0-15",AND($AU679&gt;=16,$AU679&lt;=30),"16-30",AND($AU679&gt;=31,$AU679&lt;=45),"31-45",AND($AU679&gt;=46,$AU679&lt;=60),"46-60",AND($AU679&gt;=61,$AU679&lt;=90),"61-90",AND($AU679&gt;=91),"&gt; 90",AND($AU679&gt;=2000),""),"")</f>
        <v/>
      </c>
      <c r="AW679" s="32" t="str" cm="1">
        <f t="array" aca="1" ref="AW679" ca="1">IFERROR(_xlfn.IFS(OR($M679="",$AM679=""),"",OR($C679="Offered",$C679="Joined"),($AM679-$M679)-$AT679),"")</f>
        <v/>
      </c>
      <c r="AX679" s="32" t="str" cm="1">
        <f t="array" aca="1" ref="AX679" ca="1">IFERROR(_xlfn.IFS(OR($M679="",$AS679=""),"",$C679="Joined",($AS679-$M679)-$AT679),"")</f>
        <v/>
      </c>
      <c r="AY679" s="30" t="str">
        <f>IFERROR(IF(COUNTIFS('Candidate Tracker'!$E:$E,'Positions Tracker'!$B679,'Candidate Tracker'!$C:$C,"Offer Drop")=0,"",COUNTIFS('Candidate Tracker'!$E:$E,'Positions Tracker'!$B679,'Candidate Tracker'!$C:$C,"Offer Drop")),"")</f>
        <v/>
      </c>
      <c r="AZ6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79" s="34" t="str">
        <f>IFERROR(IF(COUNTIFS('Candidate Tracker'!$E:$E,'Positions Tracker'!$B679,'Candidate Tracker'!$I:$I,"Female")=0,"",COUNTIFS('Candidate Tracker'!$E:$E,'Positions Tracker'!$B679,'Candidate Tracker'!$I:$I,"Female")),"")</f>
        <v/>
      </c>
      <c r="BB679" s="34" t="str">
        <f>IFERROR(IF(COUNTIFS('Candidate Tracker'!$E:$E,'Positions Tracker'!$B679,'Candidate Tracker'!$I:$I,"male")=0,"",COUNTIFS('Candidate Tracker'!$E:$E,'Positions Tracker'!$B679,'Candidate Tracker'!$I:$I,"male")),"")</f>
        <v/>
      </c>
      <c r="BC679" s="33" t="str">
        <f>IFERROR(IF(COUNTIFS('Candidate Tracker'!$E:$E,'Positions Tracker'!$B679,'Candidate Tracker'!$C:$C,"&lt;&gt;WIP",'Candidate Tracker'!$C:$C,"&lt;&gt;Hold",'Candidate Tracker'!$C:$C,"&lt;&gt;Cancelled",'Candidate Tracker'!$C:$C,"&lt;&gt;Closed")/COUNTIFS('Candidate Tracker'!$E:$E,'Positions Tracker'!$B679)=0,"",COUNTIFS('Candidate Tracker'!$E:$E,'Positions Tracker'!$B679,'Candidate Tracker'!$C:$C,"&lt;&gt;WIP",'Candidate Tracker'!$C:$C,"&lt;&gt;Hold",'Candidate Tracker'!$C:$C,"&lt;&gt;Cancelled",'Candidate Tracker'!$C:$C,"&lt;&gt;Closed")/COUNTIFS('Candidate Tracker'!$E:$E,'Positions Tracker'!$B679)),"")</f>
        <v/>
      </c>
      <c r="BD679" s="30" t="str">
        <f t="shared" si="75"/>
        <v/>
      </c>
      <c r="BE679" s="30" t="str">
        <f t="shared" si="76"/>
        <v/>
      </c>
      <c r="BF679" s="30" t="str">
        <f t="shared" si="77"/>
        <v/>
      </c>
      <c r="BG679" s="30" t="str">
        <f t="shared" si="78"/>
        <v/>
      </c>
    </row>
    <row r="680" spans="1:59">
      <c r="A680" s="39"/>
      <c r="B680" s="39"/>
      <c r="C680" s="39"/>
      <c r="D680" s="39"/>
      <c r="E680" s="39"/>
      <c r="F680" s="39"/>
      <c r="G680" s="39"/>
      <c r="H680" s="39"/>
      <c r="I680" s="40"/>
      <c r="J680" s="40"/>
      <c r="K680" s="35"/>
      <c r="L680" s="35"/>
      <c r="M680" s="35"/>
      <c r="N680" s="39"/>
      <c r="O680" s="39"/>
      <c r="P680" s="39"/>
      <c r="Q680" s="39"/>
      <c r="R680" s="39"/>
      <c r="S680" s="39"/>
      <c r="T680" s="39"/>
      <c r="U680" s="39"/>
      <c r="V680" s="39"/>
      <c r="W680" s="39"/>
      <c r="X680" s="39"/>
      <c r="Y680" s="39"/>
      <c r="Z680" s="39"/>
      <c r="AA680" s="39"/>
      <c r="AB680" s="39"/>
      <c r="AC680" s="39"/>
      <c r="AD680" s="39"/>
      <c r="AE680" s="39"/>
      <c r="AF680" s="39"/>
      <c r="AG680" s="39"/>
      <c r="AH680" s="39"/>
      <c r="AI680" s="35"/>
      <c r="AJ680" s="39"/>
      <c r="AK680" s="39"/>
      <c r="AL680" s="39"/>
      <c r="AM680" s="35"/>
      <c r="AN680" s="35"/>
      <c r="AO680" s="39"/>
      <c r="AP680" s="39"/>
      <c r="AQ680" s="35"/>
      <c r="AR680" s="35"/>
      <c r="AS680" s="35"/>
      <c r="AT680" s="30">
        <f t="shared" ca="1" si="74"/>
        <v>0</v>
      </c>
      <c r="AU680" s="32" t="str">
        <f t="shared" ca="1" si="73"/>
        <v/>
      </c>
      <c r="AV680" s="32" t="str" cm="1">
        <f t="array" aca="1" ref="AV680" ca="1">IFERROR(_xlfn.IFS($AU680="","",$AU680&lt;=15,"0-15",AND($AU680&gt;=16,$AU680&lt;=30),"16-30",AND($AU680&gt;=31,$AU680&lt;=45),"31-45",AND($AU680&gt;=46,$AU680&lt;=60),"46-60",AND($AU680&gt;=61,$AU680&lt;=90),"61-90",AND($AU680&gt;=91),"&gt; 90",AND($AU680&gt;=2000),""),"")</f>
        <v/>
      </c>
      <c r="AW680" s="32" t="str" cm="1">
        <f t="array" aca="1" ref="AW680" ca="1">IFERROR(_xlfn.IFS(OR($M680="",$AM680=""),"",OR($C680="Offered",$C680="Joined"),($AM680-$M680)-$AT680),"")</f>
        <v/>
      </c>
      <c r="AX680" s="32" t="str" cm="1">
        <f t="array" aca="1" ref="AX680" ca="1">IFERROR(_xlfn.IFS(OR($M680="",$AS680=""),"",$C680="Joined",($AS680-$M680)-$AT680),"")</f>
        <v/>
      </c>
      <c r="AY680" s="30" t="str">
        <f>IFERROR(IF(COUNTIFS('Candidate Tracker'!$E:$E,'Positions Tracker'!$B680,'Candidate Tracker'!$C:$C,"Offer Drop")=0,"",COUNTIFS('Candidate Tracker'!$E:$E,'Positions Tracker'!$B680,'Candidate Tracker'!$C:$C,"Offer Drop")),"")</f>
        <v/>
      </c>
      <c r="AZ6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0" s="34" t="str">
        <f>IFERROR(IF(COUNTIFS('Candidate Tracker'!$E:$E,'Positions Tracker'!$B680,'Candidate Tracker'!$I:$I,"Female")=0,"",COUNTIFS('Candidate Tracker'!$E:$E,'Positions Tracker'!$B680,'Candidate Tracker'!$I:$I,"Female")),"")</f>
        <v/>
      </c>
      <c r="BB680" s="34" t="str">
        <f>IFERROR(IF(COUNTIFS('Candidate Tracker'!$E:$E,'Positions Tracker'!$B680,'Candidate Tracker'!$I:$I,"male")=0,"",COUNTIFS('Candidate Tracker'!$E:$E,'Positions Tracker'!$B680,'Candidate Tracker'!$I:$I,"male")),"")</f>
        <v/>
      </c>
      <c r="BC680" s="33" t="str">
        <f>IFERROR(IF(COUNTIFS('Candidate Tracker'!$E:$E,'Positions Tracker'!$B680,'Candidate Tracker'!$C:$C,"&lt;&gt;WIP",'Candidate Tracker'!$C:$C,"&lt;&gt;Hold",'Candidate Tracker'!$C:$C,"&lt;&gt;Cancelled",'Candidate Tracker'!$C:$C,"&lt;&gt;Closed")/COUNTIFS('Candidate Tracker'!$E:$E,'Positions Tracker'!$B680)=0,"",COUNTIFS('Candidate Tracker'!$E:$E,'Positions Tracker'!$B680,'Candidate Tracker'!$C:$C,"&lt;&gt;WIP",'Candidate Tracker'!$C:$C,"&lt;&gt;Hold",'Candidate Tracker'!$C:$C,"&lt;&gt;Cancelled",'Candidate Tracker'!$C:$C,"&lt;&gt;Closed")/COUNTIFS('Candidate Tracker'!$E:$E,'Positions Tracker'!$B680)),"")</f>
        <v/>
      </c>
      <c r="BD680" s="30" t="str">
        <f t="shared" si="75"/>
        <v/>
      </c>
      <c r="BE680" s="30" t="str">
        <f t="shared" si="76"/>
        <v/>
      </c>
      <c r="BF680" s="30" t="str">
        <f t="shared" si="77"/>
        <v/>
      </c>
      <c r="BG680" s="30" t="str">
        <f t="shared" si="78"/>
        <v/>
      </c>
    </row>
    <row r="681" spans="1:59">
      <c r="A681" s="39"/>
      <c r="B681" s="39"/>
      <c r="C681" s="39"/>
      <c r="D681" s="39"/>
      <c r="E681" s="39"/>
      <c r="F681" s="39"/>
      <c r="G681" s="39"/>
      <c r="H681" s="39"/>
      <c r="I681" s="40"/>
      <c r="J681" s="40"/>
      <c r="K681" s="35"/>
      <c r="L681" s="35"/>
      <c r="M681" s="35"/>
      <c r="N681" s="39"/>
      <c r="O681" s="39"/>
      <c r="P681" s="39"/>
      <c r="Q681" s="39"/>
      <c r="R681" s="39"/>
      <c r="S681" s="39"/>
      <c r="T681" s="39"/>
      <c r="U681" s="39"/>
      <c r="V681" s="39"/>
      <c r="W681" s="39"/>
      <c r="X681" s="39"/>
      <c r="Y681" s="39"/>
      <c r="Z681" s="39"/>
      <c r="AA681" s="39"/>
      <c r="AB681" s="39"/>
      <c r="AC681" s="39"/>
      <c r="AD681" s="39"/>
      <c r="AE681" s="39"/>
      <c r="AF681" s="39"/>
      <c r="AG681" s="39"/>
      <c r="AH681" s="39"/>
      <c r="AI681" s="35"/>
      <c r="AJ681" s="39"/>
      <c r="AK681" s="39"/>
      <c r="AL681" s="39"/>
      <c r="AM681" s="35"/>
      <c r="AN681" s="35"/>
      <c r="AO681" s="39"/>
      <c r="AP681" s="39"/>
      <c r="AQ681" s="35"/>
      <c r="AR681" s="35"/>
      <c r="AS681" s="35"/>
      <c r="AT681" s="30">
        <f t="shared" ca="1" si="74"/>
        <v>0</v>
      </c>
      <c r="AU681" s="32" t="str">
        <f t="shared" ca="1" si="73"/>
        <v/>
      </c>
      <c r="AV681" s="32" t="str" cm="1">
        <f t="array" aca="1" ref="AV681" ca="1">IFERROR(_xlfn.IFS($AU681="","",$AU681&lt;=15,"0-15",AND($AU681&gt;=16,$AU681&lt;=30),"16-30",AND($AU681&gt;=31,$AU681&lt;=45),"31-45",AND($AU681&gt;=46,$AU681&lt;=60),"46-60",AND($AU681&gt;=61,$AU681&lt;=90),"61-90",AND($AU681&gt;=91),"&gt; 90",AND($AU681&gt;=2000),""),"")</f>
        <v/>
      </c>
      <c r="AW681" s="32" t="str" cm="1">
        <f t="array" aca="1" ref="AW681" ca="1">IFERROR(_xlfn.IFS(OR($M681="",$AM681=""),"",OR($C681="Offered",$C681="Joined"),($AM681-$M681)-$AT681),"")</f>
        <v/>
      </c>
      <c r="AX681" s="32" t="str" cm="1">
        <f t="array" aca="1" ref="AX681" ca="1">IFERROR(_xlfn.IFS(OR($M681="",$AS681=""),"",$C681="Joined",($AS681-$M681)-$AT681),"")</f>
        <v/>
      </c>
      <c r="AY681" s="30" t="str">
        <f>IFERROR(IF(COUNTIFS('Candidate Tracker'!$E:$E,'Positions Tracker'!$B681,'Candidate Tracker'!$C:$C,"Offer Drop")=0,"",COUNTIFS('Candidate Tracker'!$E:$E,'Positions Tracker'!$B681,'Candidate Tracker'!$C:$C,"Offer Drop")),"")</f>
        <v/>
      </c>
      <c r="AZ6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1" s="34" t="str">
        <f>IFERROR(IF(COUNTIFS('Candidate Tracker'!$E:$E,'Positions Tracker'!$B681,'Candidate Tracker'!$I:$I,"Female")=0,"",COUNTIFS('Candidate Tracker'!$E:$E,'Positions Tracker'!$B681,'Candidate Tracker'!$I:$I,"Female")),"")</f>
        <v/>
      </c>
      <c r="BB681" s="34" t="str">
        <f>IFERROR(IF(COUNTIFS('Candidate Tracker'!$E:$E,'Positions Tracker'!$B681,'Candidate Tracker'!$I:$I,"male")=0,"",COUNTIFS('Candidate Tracker'!$E:$E,'Positions Tracker'!$B681,'Candidate Tracker'!$I:$I,"male")),"")</f>
        <v/>
      </c>
      <c r="BC681" s="33" t="str">
        <f>IFERROR(IF(COUNTIFS('Candidate Tracker'!$E:$E,'Positions Tracker'!$B681,'Candidate Tracker'!$C:$C,"&lt;&gt;WIP",'Candidate Tracker'!$C:$C,"&lt;&gt;Hold",'Candidate Tracker'!$C:$C,"&lt;&gt;Cancelled",'Candidate Tracker'!$C:$C,"&lt;&gt;Closed")/COUNTIFS('Candidate Tracker'!$E:$E,'Positions Tracker'!$B681)=0,"",COUNTIFS('Candidate Tracker'!$E:$E,'Positions Tracker'!$B681,'Candidate Tracker'!$C:$C,"&lt;&gt;WIP",'Candidate Tracker'!$C:$C,"&lt;&gt;Hold",'Candidate Tracker'!$C:$C,"&lt;&gt;Cancelled",'Candidate Tracker'!$C:$C,"&lt;&gt;Closed")/COUNTIFS('Candidate Tracker'!$E:$E,'Positions Tracker'!$B681)),"")</f>
        <v/>
      </c>
      <c r="BD681" s="30" t="str">
        <f t="shared" si="75"/>
        <v/>
      </c>
      <c r="BE681" s="30" t="str">
        <f t="shared" si="76"/>
        <v/>
      </c>
      <c r="BF681" s="30" t="str">
        <f t="shared" si="77"/>
        <v/>
      </c>
      <c r="BG681" s="30" t="str">
        <f t="shared" si="78"/>
        <v/>
      </c>
    </row>
    <row r="682" spans="1:59">
      <c r="A682" s="39"/>
      <c r="B682" s="39"/>
      <c r="C682" s="39"/>
      <c r="D682" s="39"/>
      <c r="E682" s="39"/>
      <c r="F682" s="39"/>
      <c r="G682" s="39"/>
      <c r="H682" s="39"/>
      <c r="I682" s="40"/>
      <c r="J682" s="40"/>
      <c r="K682" s="35"/>
      <c r="L682" s="35"/>
      <c r="M682" s="35"/>
      <c r="N682" s="39"/>
      <c r="O682" s="39"/>
      <c r="P682" s="39"/>
      <c r="Q682" s="39"/>
      <c r="R682" s="39"/>
      <c r="S682" s="39"/>
      <c r="T682" s="39"/>
      <c r="U682" s="39"/>
      <c r="V682" s="39"/>
      <c r="W682" s="39"/>
      <c r="X682" s="39"/>
      <c r="Y682" s="39"/>
      <c r="Z682" s="39"/>
      <c r="AA682" s="39"/>
      <c r="AB682" s="39"/>
      <c r="AC682" s="39"/>
      <c r="AD682" s="39"/>
      <c r="AE682" s="39"/>
      <c r="AF682" s="39"/>
      <c r="AG682" s="39"/>
      <c r="AH682" s="39"/>
      <c r="AI682" s="35"/>
      <c r="AJ682" s="39"/>
      <c r="AK682" s="39"/>
      <c r="AL682" s="39"/>
      <c r="AM682" s="35"/>
      <c r="AN682" s="35"/>
      <c r="AO682" s="39"/>
      <c r="AP682" s="39"/>
      <c r="AQ682" s="35"/>
      <c r="AR682" s="35"/>
      <c r="AS682" s="35"/>
      <c r="AT682" s="30">
        <f t="shared" ca="1" si="74"/>
        <v>0</v>
      </c>
      <c r="AU682" s="32" t="str">
        <f t="shared" ca="1" si="73"/>
        <v/>
      </c>
      <c r="AV682" s="32" t="str" cm="1">
        <f t="array" aca="1" ref="AV682" ca="1">IFERROR(_xlfn.IFS($AU682="","",$AU682&lt;=15,"0-15",AND($AU682&gt;=16,$AU682&lt;=30),"16-30",AND($AU682&gt;=31,$AU682&lt;=45),"31-45",AND($AU682&gt;=46,$AU682&lt;=60),"46-60",AND($AU682&gt;=61,$AU682&lt;=90),"61-90",AND($AU682&gt;=91),"&gt; 90",AND($AU682&gt;=2000),""),"")</f>
        <v/>
      </c>
      <c r="AW682" s="32" t="str" cm="1">
        <f t="array" aca="1" ref="AW682" ca="1">IFERROR(_xlfn.IFS(OR($M682="",$AM682=""),"",OR($C682="Offered",$C682="Joined"),($AM682-$M682)-$AT682),"")</f>
        <v/>
      </c>
      <c r="AX682" s="32" t="str" cm="1">
        <f t="array" aca="1" ref="AX682" ca="1">IFERROR(_xlfn.IFS(OR($M682="",$AS682=""),"",$C682="Joined",($AS682-$M682)-$AT682),"")</f>
        <v/>
      </c>
      <c r="AY682" s="30" t="str">
        <f>IFERROR(IF(COUNTIFS('Candidate Tracker'!$E:$E,'Positions Tracker'!$B682,'Candidate Tracker'!$C:$C,"Offer Drop")=0,"",COUNTIFS('Candidate Tracker'!$E:$E,'Positions Tracker'!$B682,'Candidate Tracker'!$C:$C,"Offer Drop")),"")</f>
        <v/>
      </c>
      <c r="AZ6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2" s="34" t="str">
        <f>IFERROR(IF(COUNTIFS('Candidate Tracker'!$E:$E,'Positions Tracker'!$B682,'Candidate Tracker'!$I:$I,"Female")=0,"",COUNTIFS('Candidate Tracker'!$E:$E,'Positions Tracker'!$B682,'Candidate Tracker'!$I:$I,"Female")),"")</f>
        <v/>
      </c>
      <c r="BB682" s="34" t="str">
        <f>IFERROR(IF(COUNTIFS('Candidate Tracker'!$E:$E,'Positions Tracker'!$B682,'Candidate Tracker'!$I:$I,"male")=0,"",COUNTIFS('Candidate Tracker'!$E:$E,'Positions Tracker'!$B682,'Candidate Tracker'!$I:$I,"male")),"")</f>
        <v/>
      </c>
      <c r="BC682" s="33" t="str">
        <f>IFERROR(IF(COUNTIFS('Candidate Tracker'!$E:$E,'Positions Tracker'!$B682,'Candidate Tracker'!$C:$C,"&lt;&gt;WIP",'Candidate Tracker'!$C:$C,"&lt;&gt;Hold",'Candidate Tracker'!$C:$C,"&lt;&gt;Cancelled",'Candidate Tracker'!$C:$C,"&lt;&gt;Closed")/COUNTIFS('Candidate Tracker'!$E:$E,'Positions Tracker'!$B682)=0,"",COUNTIFS('Candidate Tracker'!$E:$E,'Positions Tracker'!$B682,'Candidate Tracker'!$C:$C,"&lt;&gt;WIP",'Candidate Tracker'!$C:$C,"&lt;&gt;Hold",'Candidate Tracker'!$C:$C,"&lt;&gt;Cancelled",'Candidate Tracker'!$C:$C,"&lt;&gt;Closed")/COUNTIFS('Candidate Tracker'!$E:$E,'Positions Tracker'!$B682)),"")</f>
        <v/>
      </c>
      <c r="BD682" s="30" t="str">
        <f t="shared" si="75"/>
        <v/>
      </c>
      <c r="BE682" s="30" t="str">
        <f t="shared" si="76"/>
        <v/>
      </c>
      <c r="BF682" s="30" t="str">
        <f t="shared" si="77"/>
        <v/>
      </c>
      <c r="BG682" s="30" t="str">
        <f t="shared" si="78"/>
        <v/>
      </c>
    </row>
    <row r="683" spans="1:59">
      <c r="A683" s="39"/>
      <c r="B683" s="39"/>
      <c r="C683" s="39"/>
      <c r="D683" s="39"/>
      <c r="E683" s="39"/>
      <c r="F683" s="39"/>
      <c r="G683" s="39"/>
      <c r="H683" s="39"/>
      <c r="I683" s="40"/>
      <c r="J683" s="40"/>
      <c r="K683" s="35"/>
      <c r="L683" s="35"/>
      <c r="M683" s="35"/>
      <c r="N683" s="39"/>
      <c r="O683" s="39"/>
      <c r="P683" s="39"/>
      <c r="Q683" s="39"/>
      <c r="R683" s="39"/>
      <c r="S683" s="39"/>
      <c r="T683" s="39"/>
      <c r="U683" s="39"/>
      <c r="V683" s="39"/>
      <c r="W683" s="39"/>
      <c r="X683" s="39"/>
      <c r="Y683" s="39"/>
      <c r="Z683" s="39"/>
      <c r="AA683" s="39"/>
      <c r="AB683" s="39"/>
      <c r="AC683" s="39"/>
      <c r="AD683" s="39"/>
      <c r="AE683" s="39"/>
      <c r="AF683" s="39"/>
      <c r="AG683" s="39"/>
      <c r="AH683" s="39"/>
      <c r="AI683" s="35"/>
      <c r="AJ683" s="39"/>
      <c r="AK683" s="39"/>
      <c r="AL683" s="39"/>
      <c r="AM683" s="35"/>
      <c r="AN683" s="35"/>
      <c r="AO683" s="39"/>
      <c r="AP683" s="39"/>
      <c r="AQ683" s="35"/>
      <c r="AR683" s="35"/>
      <c r="AS683" s="35"/>
      <c r="AT683" s="30">
        <f t="shared" ca="1" si="74"/>
        <v>0</v>
      </c>
      <c r="AU683" s="32" t="str">
        <f t="shared" ca="1" si="73"/>
        <v/>
      </c>
      <c r="AV683" s="32" t="str" cm="1">
        <f t="array" aca="1" ref="AV683" ca="1">IFERROR(_xlfn.IFS($AU683="","",$AU683&lt;=15,"0-15",AND($AU683&gt;=16,$AU683&lt;=30),"16-30",AND($AU683&gt;=31,$AU683&lt;=45),"31-45",AND($AU683&gt;=46,$AU683&lt;=60),"46-60",AND($AU683&gt;=61,$AU683&lt;=90),"61-90",AND($AU683&gt;=91),"&gt; 90",AND($AU683&gt;=2000),""),"")</f>
        <v/>
      </c>
      <c r="AW683" s="32" t="str" cm="1">
        <f t="array" aca="1" ref="AW683" ca="1">IFERROR(_xlfn.IFS(OR($M683="",$AM683=""),"",OR($C683="Offered",$C683="Joined"),($AM683-$M683)-$AT683),"")</f>
        <v/>
      </c>
      <c r="AX683" s="32" t="str" cm="1">
        <f t="array" aca="1" ref="AX683" ca="1">IFERROR(_xlfn.IFS(OR($M683="",$AS683=""),"",$C683="Joined",($AS683-$M683)-$AT683),"")</f>
        <v/>
      </c>
      <c r="AY683" s="30" t="str">
        <f>IFERROR(IF(COUNTIFS('Candidate Tracker'!$E:$E,'Positions Tracker'!$B683,'Candidate Tracker'!$C:$C,"Offer Drop")=0,"",COUNTIFS('Candidate Tracker'!$E:$E,'Positions Tracker'!$B683,'Candidate Tracker'!$C:$C,"Offer Drop")),"")</f>
        <v/>
      </c>
      <c r="AZ6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3" s="34" t="str">
        <f>IFERROR(IF(COUNTIFS('Candidate Tracker'!$E:$E,'Positions Tracker'!$B683,'Candidate Tracker'!$I:$I,"Female")=0,"",COUNTIFS('Candidate Tracker'!$E:$E,'Positions Tracker'!$B683,'Candidate Tracker'!$I:$I,"Female")),"")</f>
        <v/>
      </c>
      <c r="BB683" s="34" t="str">
        <f>IFERROR(IF(COUNTIFS('Candidate Tracker'!$E:$E,'Positions Tracker'!$B683,'Candidate Tracker'!$I:$I,"male")=0,"",COUNTIFS('Candidate Tracker'!$E:$E,'Positions Tracker'!$B683,'Candidate Tracker'!$I:$I,"male")),"")</f>
        <v/>
      </c>
      <c r="BC683" s="33" t="str">
        <f>IFERROR(IF(COUNTIFS('Candidate Tracker'!$E:$E,'Positions Tracker'!$B683,'Candidate Tracker'!$C:$C,"&lt;&gt;WIP",'Candidate Tracker'!$C:$C,"&lt;&gt;Hold",'Candidate Tracker'!$C:$C,"&lt;&gt;Cancelled",'Candidate Tracker'!$C:$C,"&lt;&gt;Closed")/COUNTIFS('Candidate Tracker'!$E:$E,'Positions Tracker'!$B683)=0,"",COUNTIFS('Candidate Tracker'!$E:$E,'Positions Tracker'!$B683,'Candidate Tracker'!$C:$C,"&lt;&gt;WIP",'Candidate Tracker'!$C:$C,"&lt;&gt;Hold",'Candidate Tracker'!$C:$C,"&lt;&gt;Cancelled",'Candidate Tracker'!$C:$C,"&lt;&gt;Closed")/COUNTIFS('Candidate Tracker'!$E:$E,'Positions Tracker'!$B683)),"")</f>
        <v/>
      </c>
      <c r="BD683" s="30" t="str">
        <f t="shared" si="75"/>
        <v/>
      </c>
      <c r="BE683" s="30" t="str">
        <f t="shared" si="76"/>
        <v/>
      </c>
      <c r="BF683" s="30" t="str">
        <f t="shared" si="77"/>
        <v/>
      </c>
      <c r="BG683" s="30" t="str">
        <f t="shared" si="78"/>
        <v/>
      </c>
    </row>
    <row r="684" spans="1:59">
      <c r="A684" s="39"/>
      <c r="B684" s="39"/>
      <c r="C684" s="39"/>
      <c r="D684" s="39"/>
      <c r="E684" s="39"/>
      <c r="F684" s="39"/>
      <c r="G684" s="39"/>
      <c r="H684" s="39"/>
      <c r="I684" s="40"/>
      <c r="J684" s="40"/>
      <c r="K684" s="35"/>
      <c r="L684" s="35"/>
      <c r="M684" s="35"/>
      <c r="N684" s="39"/>
      <c r="O684" s="39"/>
      <c r="P684" s="39"/>
      <c r="Q684" s="39"/>
      <c r="R684" s="39"/>
      <c r="S684" s="39"/>
      <c r="T684" s="39"/>
      <c r="U684" s="39"/>
      <c r="V684" s="39"/>
      <c r="W684" s="39"/>
      <c r="X684" s="39"/>
      <c r="Y684" s="39"/>
      <c r="Z684" s="39"/>
      <c r="AA684" s="39"/>
      <c r="AB684" s="39"/>
      <c r="AC684" s="39"/>
      <c r="AD684" s="39"/>
      <c r="AE684" s="39"/>
      <c r="AF684" s="39"/>
      <c r="AG684" s="39"/>
      <c r="AH684" s="39"/>
      <c r="AI684" s="35"/>
      <c r="AJ684" s="39"/>
      <c r="AK684" s="39"/>
      <c r="AL684" s="39"/>
      <c r="AM684" s="35"/>
      <c r="AN684" s="35"/>
      <c r="AO684" s="39"/>
      <c r="AP684" s="39"/>
      <c r="AQ684" s="35"/>
      <c r="AR684" s="35"/>
      <c r="AS684" s="35"/>
      <c r="AT684" s="30">
        <f t="shared" ca="1" si="74"/>
        <v>0</v>
      </c>
      <c r="AU684" s="32" t="str">
        <f t="shared" ca="1" si="73"/>
        <v/>
      </c>
      <c r="AV684" s="32" t="str" cm="1">
        <f t="array" aca="1" ref="AV684" ca="1">IFERROR(_xlfn.IFS($AU684="","",$AU684&lt;=15,"0-15",AND($AU684&gt;=16,$AU684&lt;=30),"16-30",AND($AU684&gt;=31,$AU684&lt;=45),"31-45",AND($AU684&gt;=46,$AU684&lt;=60),"46-60",AND($AU684&gt;=61,$AU684&lt;=90),"61-90",AND($AU684&gt;=91),"&gt; 90",AND($AU684&gt;=2000),""),"")</f>
        <v/>
      </c>
      <c r="AW684" s="32" t="str" cm="1">
        <f t="array" aca="1" ref="AW684" ca="1">IFERROR(_xlfn.IFS(OR($M684="",$AM684=""),"",OR($C684="Offered",$C684="Joined"),($AM684-$M684)-$AT684),"")</f>
        <v/>
      </c>
      <c r="AX684" s="32" t="str" cm="1">
        <f t="array" aca="1" ref="AX684" ca="1">IFERROR(_xlfn.IFS(OR($M684="",$AS684=""),"",$C684="Joined",($AS684-$M684)-$AT684),"")</f>
        <v/>
      </c>
      <c r="AY684" s="30" t="str">
        <f>IFERROR(IF(COUNTIFS('Candidate Tracker'!$E:$E,'Positions Tracker'!$B684,'Candidate Tracker'!$C:$C,"Offer Drop")=0,"",COUNTIFS('Candidate Tracker'!$E:$E,'Positions Tracker'!$B684,'Candidate Tracker'!$C:$C,"Offer Drop")),"")</f>
        <v/>
      </c>
      <c r="AZ6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4" s="34" t="str">
        <f>IFERROR(IF(COUNTIFS('Candidate Tracker'!$E:$E,'Positions Tracker'!$B684,'Candidate Tracker'!$I:$I,"Female")=0,"",COUNTIFS('Candidate Tracker'!$E:$E,'Positions Tracker'!$B684,'Candidate Tracker'!$I:$I,"Female")),"")</f>
        <v/>
      </c>
      <c r="BB684" s="34" t="str">
        <f>IFERROR(IF(COUNTIFS('Candidate Tracker'!$E:$E,'Positions Tracker'!$B684,'Candidate Tracker'!$I:$I,"male")=0,"",COUNTIFS('Candidate Tracker'!$E:$E,'Positions Tracker'!$B684,'Candidate Tracker'!$I:$I,"male")),"")</f>
        <v/>
      </c>
      <c r="BC684" s="33" t="str">
        <f>IFERROR(IF(COUNTIFS('Candidate Tracker'!$E:$E,'Positions Tracker'!$B684,'Candidate Tracker'!$C:$C,"&lt;&gt;WIP",'Candidate Tracker'!$C:$C,"&lt;&gt;Hold",'Candidate Tracker'!$C:$C,"&lt;&gt;Cancelled",'Candidate Tracker'!$C:$C,"&lt;&gt;Closed")/COUNTIFS('Candidate Tracker'!$E:$E,'Positions Tracker'!$B684)=0,"",COUNTIFS('Candidate Tracker'!$E:$E,'Positions Tracker'!$B684,'Candidate Tracker'!$C:$C,"&lt;&gt;WIP",'Candidate Tracker'!$C:$C,"&lt;&gt;Hold",'Candidate Tracker'!$C:$C,"&lt;&gt;Cancelled",'Candidate Tracker'!$C:$C,"&lt;&gt;Closed")/COUNTIFS('Candidate Tracker'!$E:$E,'Positions Tracker'!$B684)),"")</f>
        <v/>
      </c>
      <c r="BD684" s="30" t="str">
        <f t="shared" si="75"/>
        <v/>
      </c>
      <c r="BE684" s="30" t="str">
        <f t="shared" si="76"/>
        <v/>
      </c>
      <c r="BF684" s="30" t="str">
        <f t="shared" si="77"/>
        <v/>
      </c>
      <c r="BG684" s="30" t="str">
        <f t="shared" si="78"/>
        <v/>
      </c>
    </row>
    <row r="685" spans="1:59">
      <c r="A685" s="39"/>
      <c r="B685" s="39"/>
      <c r="C685" s="39"/>
      <c r="D685" s="39"/>
      <c r="E685" s="39"/>
      <c r="F685" s="39"/>
      <c r="G685" s="39"/>
      <c r="H685" s="39"/>
      <c r="I685" s="40"/>
      <c r="J685" s="40"/>
      <c r="K685" s="35"/>
      <c r="L685" s="35"/>
      <c r="M685" s="35"/>
      <c r="N685" s="39"/>
      <c r="O685" s="39"/>
      <c r="P685" s="39"/>
      <c r="Q685" s="39"/>
      <c r="R685" s="39"/>
      <c r="S685" s="39"/>
      <c r="T685" s="39"/>
      <c r="U685" s="39"/>
      <c r="V685" s="39"/>
      <c r="W685" s="39"/>
      <c r="X685" s="39"/>
      <c r="Y685" s="39"/>
      <c r="Z685" s="39"/>
      <c r="AA685" s="39"/>
      <c r="AB685" s="39"/>
      <c r="AC685" s="39"/>
      <c r="AD685" s="39"/>
      <c r="AE685" s="39"/>
      <c r="AF685" s="39"/>
      <c r="AG685" s="39"/>
      <c r="AH685" s="39"/>
      <c r="AI685" s="35"/>
      <c r="AJ685" s="39"/>
      <c r="AK685" s="39"/>
      <c r="AL685" s="39"/>
      <c r="AM685" s="35"/>
      <c r="AN685" s="35"/>
      <c r="AO685" s="39"/>
      <c r="AP685" s="39"/>
      <c r="AQ685" s="35"/>
      <c r="AR685" s="35"/>
      <c r="AS685" s="35"/>
      <c r="AT685" s="30">
        <f t="shared" ca="1" si="74"/>
        <v>0</v>
      </c>
      <c r="AU685" s="32" t="str">
        <f t="shared" ca="1" si="73"/>
        <v/>
      </c>
      <c r="AV685" s="32" t="str" cm="1">
        <f t="array" aca="1" ref="AV685" ca="1">IFERROR(_xlfn.IFS($AU685="","",$AU685&lt;=15,"0-15",AND($AU685&gt;=16,$AU685&lt;=30),"16-30",AND($AU685&gt;=31,$AU685&lt;=45),"31-45",AND($AU685&gt;=46,$AU685&lt;=60),"46-60",AND($AU685&gt;=61,$AU685&lt;=90),"61-90",AND($AU685&gt;=91),"&gt; 90",AND($AU685&gt;=2000),""),"")</f>
        <v/>
      </c>
      <c r="AW685" s="32" t="str" cm="1">
        <f t="array" aca="1" ref="AW685" ca="1">IFERROR(_xlfn.IFS(OR($M685="",$AM685=""),"",OR($C685="Offered",$C685="Joined"),($AM685-$M685)-$AT685),"")</f>
        <v/>
      </c>
      <c r="AX685" s="32" t="str" cm="1">
        <f t="array" aca="1" ref="AX685" ca="1">IFERROR(_xlfn.IFS(OR($M685="",$AS685=""),"",$C685="Joined",($AS685-$M685)-$AT685),"")</f>
        <v/>
      </c>
      <c r="AY685" s="30" t="str">
        <f>IFERROR(IF(COUNTIFS('Candidate Tracker'!$E:$E,'Positions Tracker'!$B685,'Candidate Tracker'!$C:$C,"Offer Drop")=0,"",COUNTIFS('Candidate Tracker'!$E:$E,'Positions Tracker'!$B685,'Candidate Tracker'!$C:$C,"Offer Drop")),"")</f>
        <v/>
      </c>
      <c r="AZ6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5" s="34" t="str">
        <f>IFERROR(IF(COUNTIFS('Candidate Tracker'!$E:$E,'Positions Tracker'!$B685,'Candidate Tracker'!$I:$I,"Female")=0,"",COUNTIFS('Candidate Tracker'!$E:$E,'Positions Tracker'!$B685,'Candidate Tracker'!$I:$I,"Female")),"")</f>
        <v/>
      </c>
      <c r="BB685" s="34" t="str">
        <f>IFERROR(IF(COUNTIFS('Candidate Tracker'!$E:$E,'Positions Tracker'!$B685,'Candidate Tracker'!$I:$I,"male")=0,"",COUNTIFS('Candidate Tracker'!$E:$E,'Positions Tracker'!$B685,'Candidate Tracker'!$I:$I,"male")),"")</f>
        <v/>
      </c>
      <c r="BC685" s="33" t="str">
        <f>IFERROR(IF(COUNTIFS('Candidate Tracker'!$E:$E,'Positions Tracker'!$B685,'Candidate Tracker'!$C:$C,"&lt;&gt;WIP",'Candidate Tracker'!$C:$C,"&lt;&gt;Hold",'Candidate Tracker'!$C:$C,"&lt;&gt;Cancelled",'Candidate Tracker'!$C:$C,"&lt;&gt;Closed")/COUNTIFS('Candidate Tracker'!$E:$E,'Positions Tracker'!$B685)=0,"",COUNTIFS('Candidate Tracker'!$E:$E,'Positions Tracker'!$B685,'Candidate Tracker'!$C:$C,"&lt;&gt;WIP",'Candidate Tracker'!$C:$C,"&lt;&gt;Hold",'Candidate Tracker'!$C:$C,"&lt;&gt;Cancelled",'Candidate Tracker'!$C:$C,"&lt;&gt;Closed")/COUNTIFS('Candidate Tracker'!$E:$E,'Positions Tracker'!$B685)),"")</f>
        <v/>
      </c>
      <c r="BD685" s="30" t="str">
        <f t="shared" si="75"/>
        <v/>
      </c>
      <c r="BE685" s="30" t="str">
        <f t="shared" si="76"/>
        <v/>
      </c>
      <c r="BF685" s="30" t="str">
        <f t="shared" si="77"/>
        <v/>
      </c>
      <c r="BG685" s="30" t="str">
        <f t="shared" si="78"/>
        <v/>
      </c>
    </row>
    <row r="686" spans="1:59">
      <c r="A686" s="39"/>
      <c r="B686" s="39"/>
      <c r="C686" s="39"/>
      <c r="D686" s="39"/>
      <c r="E686" s="39"/>
      <c r="F686" s="39"/>
      <c r="G686" s="39"/>
      <c r="H686" s="39"/>
      <c r="I686" s="40"/>
      <c r="J686" s="40"/>
      <c r="K686" s="35"/>
      <c r="L686" s="35"/>
      <c r="M686" s="35"/>
      <c r="N686" s="39"/>
      <c r="O686" s="39"/>
      <c r="P686" s="39"/>
      <c r="Q686" s="39"/>
      <c r="R686" s="39"/>
      <c r="S686" s="39"/>
      <c r="T686" s="39"/>
      <c r="U686" s="39"/>
      <c r="V686" s="39"/>
      <c r="W686" s="39"/>
      <c r="X686" s="39"/>
      <c r="Y686" s="39"/>
      <c r="Z686" s="39"/>
      <c r="AA686" s="39"/>
      <c r="AB686" s="39"/>
      <c r="AC686" s="39"/>
      <c r="AD686" s="39"/>
      <c r="AE686" s="39"/>
      <c r="AF686" s="39"/>
      <c r="AG686" s="39"/>
      <c r="AH686" s="39"/>
      <c r="AI686" s="35"/>
      <c r="AJ686" s="39"/>
      <c r="AK686" s="39"/>
      <c r="AL686" s="39"/>
      <c r="AM686" s="35"/>
      <c r="AN686" s="35"/>
      <c r="AO686" s="39"/>
      <c r="AP686" s="39"/>
      <c r="AQ686" s="35"/>
      <c r="AR686" s="35"/>
      <c r="AS686" s="35"/>
      <c r="AT686" s="30">
        <f t="shared" ca="1" si="74"/>
        <v>0</v>
      </c>
      <c r="AU686" s="32" t="str">
        <f t="shared" ca="1" si="73"/>
        <v/>
      </c>
      <c r="AV686" s="32" t="str" cm="1">
        <f t="array" aca="1" ref="AV686" ca="1">IFERROR(_xlfn.IFS($AU686="","",$AU686&lt;=15,"0-15",AND($AU686&gt;=16,$AU686&lt;=30),"16-30",AND($AU686&gt;=31,$AU686&lt;=45),"31-45",AND($AU686&gt;=46,$AU686&lt;=60),"46-60",AND($AU686&gt;=61,$AU686&lt;=90),"61-90",AND($AU686&gt;=91),"&gt; 90",AND($AU686&gt;=2000),""),"")</f>
        <v/>
      </c>
      <c r="AW686" s="32" t="str" cm="1">
        <f t="array" aca="1" ref="AW686" ca="1">IFERROR(_xlfn.IFS(OR($M686="",$AM686=""),"",OR($C686="Offered",$C686="Joined"),($AM686-$M686)-$AT686),"")</f>
        <v/>
      </c>
      <c r="AX686" s="32" t="str" cm="1">
        <f t="array" aca="1" ref="AX686" ca="1">IFERROR(_xlfn.IFS(OR($M686="",$AS686=""),"",$C686="Joined",($AS686-$M686)-$AT686),"")</f>
        <v/>
      </c>
      <c r="AY686" s="30" t="str">
        <f>IFERROR(IF(COUNTIFS('Candidate Tracker'!$E:$E,'Positions Tracker'!$B686,'Candidate Tracker'!$C:$C,"Offer Drop")=0,"",COUNTIFS('Candidate Tracker'!$E:$E,'Positions Tracker'!$B686,'Candidate Tracker'!$C:$C,"Offer Drop")),"")</f>
        <v/>
      </c>
      <c r="AZ68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6" s="34" t="str">
        <f>IFERROR(IF(COUNTIFS('Candidate Tracker'!$E:$E,'Positions Tracker'!$B686,'Candidate Tracker'!$I:$I,"Female")=0,"",COUNTIFS('Candidate Tracker'!$E:$E,'Positions Tracker'!$B686,'Candidate Tracker'!$I:$I,"Female")),"")</f>
        <v/>
      </c>
      <c r="BB686" s="34" t="str">
        <f>IFERROR(IF(COUNTIFS('Candidate Tracker'!$E:$E,'Positions Tracker'!$B686,'Candidate Tracker'!$I:$I,"male")=0,"",COUNTIFS('Candidate Tracker'!$E:$E,'Positions Tracker'!$B686,'Candidate Tracker'!$I:$I,"male")),"")</f>
        <v/>
      </c>
      <c r="BC686" s="33" t="str">
        <f>IFERROR(IF(COUNTIFS('Candidate Tracker'!$E:$E,'Positions Tracker'!$B686,'Candidate Tracker'!$C:$C,"&lt;&gt;WIP",'Candidate Tracker'!$C:$C,"&lt;&gt;Hold",'Candidate Tracker'!$C:$C,"&lt;&gt;Cancelled",'Candidate Tracker'!$C:$C,"&lt;&gt;Closed")/COUNTIFS('Candidate Tracker'!$E:$E,'Positions Tracker'!$B686)=0,"",COUNTIFS('Candidate Tracker'!$E:$E,'Positions Tracker'!$B686,'Candidate Tracker'!$C:$C,"&lt;&gt;WIP",'Candidate Tracker'!$C:$C,"&lt;&gt;Hold",'Candidate Tracker'!$C:$C,"&lt;&gt;Cancelled",'Candidate Tracker'!$C:$C,"&lt;&gt;Closed")/COUNTIFS('Candidate Tracker'!$E:$E,'Positions Tracker'!$B686)),"")</f>
        <v/>
      </c>
      <c r="BD686" s="30" t="str">
        <f t="shared" si="75"/>
        <v/>
      </c>
      <c r="BE686" s="30" t="str">
        <f t="shared" si="76"/>
        <v/>
      </c>
      <c r="BF686" s="30" t="str">
        <f t="shared" si="77"/>
        <v/>
      </c>
      <c r="BG686" s="30" t="str">
        <f t="shared" si="78"/>
        <v/>
      </c>
    </row>
    <row r="687" spans="1:59">
      <c r="A687" s="39"/>
      <c r="B687" s="39"/>
      <c r="C687" s="39"/>
      <c r="D687" s="39"/>
      <c r="E687" s="39"/>
      <c r="F687" s="39"/>
      <c r="G687" s="39"/>
      <c r="H687" s="39"/>
      <c r="I687" s="40"/>
      <c r="J687" s="40"/>
      <c r="K687" s="35"/>
      <c r="L687" s="35"/>
      <c r="M687" s="35"/>
      <c r="N687" s="39"/>
      <c r="O687" s="39"/>
      <c r="P687" s="39"/>
      <c r="Q687" s="39"/>
      <c r="R687" s="39"/>
      <c r="S687" s="39"/>
      <c r="T687" s="39"/>
      <c r="U687" s="39"/>
      <c r="V687" s="39"/>
      <c r="W687" s="39"/>
      <c r="X687" s="39"/>
      <c r="Y687" s="39"/>
      <c r="Z687" s="39"/>
      <c r="AA687" s="39"/>
      <c r="AB687" s="39"/>
      <c r="AC687" s="39"/>
      <c r="AD687" s="39"/>
      <c r="AE687" s="39"/>
      <c r="AF687" s="39"/>
      <c r="AG687" s="39"/>
      <c r="AH687" s="39"/>
      <c r="AI687" s="35"/>
      <c r="AJ687" s="39"/>
      <c r="AK687" s="39"/>
      <c r="AL687" s="39"/>
      <c r="AM687" s="35"/>
      <c r="AN687" s="35"/>
      <c r="AO687" s="39"/>
      <c r="AP687" s="39"/>
      <c r="AQ687" s="35"/>
      <c r="AR687" s="35"/>
      <c r="AS687" s="35"/>
      <c r="AT687" s="30">
        <f t="shared" ca="1" si="74"/>
        <v>0</v>
      </c>
      <c r="AU687" s="32" t="str">
        <f t="shared" ca="1" si="73"/>
        <v/>
      </c>
      <c r="AV687" s="32" t="str" cm="1">
        <f t="array" aca="1" ref="AV687" ca="1">IFERROR(_xlfn.IFS($AU687="","",$AU687&lt;=15,"0-15",AND($AU687&gt;=16,$AU687&lt;=30),"16-30",AND($AU687&gt;=31,$AU687&lt;=45),"31-45",AND($AU687&gt;=46,$AU687&lt;=60),"46-60",AND($AU687&gt;=61,$AU687&lt;=90),"61-90",AND($AU687&gt;=91),"&gt; 90",AND($AU687&gt;=2000),""),"")</f>
        <v/>
      </c>
      <c r="AW687" s="32" t="str" cm="1">
        <f t="array" aca="1" ref="AW687" ca="1">IFERROR(_xlfn.IFS(OR($M687="",$AM687=""),"",OR($C687="Offered",$C687="Joined"),($AM687-$M687)-$AT687),"")</f>
        <v/>
      </c>
      <c r="AX687" s="32" t="str" cm="1">
        <f t="array" aca="1" ref="AX687" ca="1">IFERROR(_xlfn.IFS(OR($M687="",$AS687=""),"",$C687="Joined",($AS687-$M687)-$AT687),"")</f>
        <v/>
      </c>
      <c r="AY687" s="30" t="str">
        <f>IFERROR(IF(COUNTIFS('Candidate Tracker'!$E:$E,'Positions Tracker'!$B687,'Candidate Tracker'!$C:$C,"Offer Drop")=0,"",COUNTIFS('Candidate Tracker'!$E:$E,'Positions Tracker'!$B687,'Candidate Tracker'!$C:$C,"Offer Drop")),"")</f>
        <v/>
      </c>
      <c r="AZ68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7" s="34" t="str">
        <f>IFERROR(IF(COUNTIFS('Candidate Tracker'!$E:$E,'Positions Tracker'!$B687,'Candidate Tracker'!$I:$I,"Female")=0,"",COUNTIFS('Candidate Tracker'!$E:$E,'Positions Tracker'!$B687,'Candidate Tracker'!$I:$I,"Female")),"")</f>
        <v/>
      </c>
      <c r="BB687" s="34" t="str">
        <f>IFERROR(IF(COUNTIFS('Candidate Tracker'!$E:$E,'Positions Tracker'!$B687,'Candidate Tracker'!$I:$I,"male")=0,"",COUNTIFS('Candidate Tracker'!$E:$E,'Positions Tracker'!$B687,'Candidate Tracker'!$I:$I,"male")),"")</f>
        <v/>
      </c>
      <c r="BC687" s="33" t="str">
        <f>IFERROR(IF(COUNTIFS('Candidate Tracker'!$E:$E,'Positions Tracker'!$B687,'Candidate Tracker'!$C:$C,"&lt;&gt;WIP",'Candidate Tracker'!$C:$C,"&lt;&gt;Hold",'Candidate Tracker'!$C:$C,"&lt;&gt;Cancelled",'Candidate Tracker'!$C:$C,"&lt;&gt;Closed")/COUNTIFS('Candidate Tracker'!$E:$E,'Positions Tracker'!$B687)=0,"",COUNTIFS('Candidate Tracker'!$E:$E,'Positions Tracker'!$B687,'Candidate Tracker'!$C:$C,"&lt;&gt;WIP",'Candidate Tracker'!$C:$C,"&lt;&gt;Hold",'Candidate Tracker'!$C:$C,"&lt;&gt;Cancelled",'Candidate Tracker'!$C:$C,"&lt;&gt;Closed")/COUNTIFS('Candidate Tracker'!$E:$E,'Positions Tracker'!$B687)),"")</f>
        <v/>
      </c>
      <c r="BD687" s="30" t="str">
        <f t="shared" si="75"/>
        <v/>
      </c>
      <c r="BE687" s="30" t="str">
        <f t="shared" si="76"/>
        <v/>
      </c>
      <c r="BF687" s="30" t="str">
        <f t="shared" si="77"/>
        <v/>
      </c>
      <c r="BG687" s="30" t="str">
        <f t="shared" si="78"/>
        <v/>
      </c>
    </row>
    <row r="688" spans="1:59">
      <c r="A688" s="39"/>
      <c r="B688" s="39"/>
      <c r="C688" s="39"/>
      <c r="D688" s="39"/>
      <c r="E688" s="39"/>
      <c r="F688" s="39"/>
      <c r="G688" s="39"/>
      <c r="H688" s="39"/>
      <c r="I688" s="40"/>
      <c r="J688" s="40"/>
      <c r="K688" s="35"/>
      <c r="L688" s="35"/>
      <c r="M688" s="35"/>
      <c r="N688" s="39"/>
      <c r="O688" s="39"/>
      <c r="P688" s="39"/>
      <c r="Q688" s="39"/>
      <c r="R688" s="39"/>
      <c r="S688" s="39"/>
      <c r="T688" s="39"/>
      <c r="U688" s="39"/>
      <c r="V688" s="39"/>
      <c r="W688" s="39"/>
      <c r="X688" s="39"/>
      <c r="Y688" s="39"/>
      <c r="Z688" s="39"/>
      <c r="AA688" s="39"/>
      <c r="AB688" s="39"/>
      <c r="AC688" s="39"/>
      <c r="AD688" s="39"/>
      <c r="AE688" s="39"/>
      <c r="AF688" s="39"/>
      <c r="AG688" s="39"/>
      <c r="AH688" s="39"/>
      <c r="AI688" s="35"/>
      <c r="AJ688" s="39"/>
      <c r="AK688" s="39"/>
      <c r="AL688" s="39"/>
      <c r="AM688" s="35"/>
      <c r="AN688" s="35"/>
      <c r="AO688" s="39"/>
      <c r="AP688" s="39"/>
      <c r="AQ688" s="35"/>
      <c r="AR688" s="35"/>
      <c r="AS688" s="35"/>
      <c r="AT688" s="30">
        <f t="shared" ca="1" si="74"/>
        <v>0</v>
      </c>
      <c r="AU688" s="32" t="str">
        <f t="shared" ca="1" si="73"/>
        <v/>
      </c>
      <c r="AV688" s="32" t="str" cm="1">
        <f t="array" aca="1" ref="AV688" ca="1">IFERROR(_xlfn.IFS($AU688="","",$AU688&lt;=15,"0-15",AND($AU688&gt;=16,$AU688&lt;=30),"16-30",AND($AU688&gt;=31,$AU688&lt;=45),"31-45",AND($AU688&gt;=46,$AU688&lt;=60),"46-60",AND($AU688&gt;=61,$AU688&lt;=90),"61-90",AND($AU688&gt;=91),"&gt; 90",AND($AU688&gt;=2000),""),"")</f>
        <v/>
      </c>
      <c r="AW688" s="32" t="str" cm="1">
        <f t="array" aca="1" ref="AW688" ca="1">IFERROR(_xlfn.IFS(OR($M688="",$AM688=""),"",OR($C688="Offered",$C688="Joined"),($AM688-$M688)-$AT688),"")</f>
        <v/>
      </c>
      <c r="AX688" s="32" t="str" cm="1">
        <f t="array" aca="1" ref="AX688" ca="1">IFERROR(_xlfn.IFS(OR($M688="",$AS688=""),"",$C688="Joined",($AS688-$M688)-$AT688),"")</f>
        <v/>
      </c>
      <c r="AY688" s="30" t="str">
        <f>IFERROR(IF(COUNTIFS('Candidate Tracker'!$E:$E,'Positions Tracker'!$B688,'Candidate Tracker'!$C:$C,"Offer Drop")=0,"",COUNTIFS('Candidate Tracker'!$E:$E,'Positions Tracker'!$B688,'Candidate Tracker'!$C:$C,"Offer Drop")),"")</f>
        <v/>
      </c>
      <c r="AZ68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8" s="34" t="str">
        <f>IFERROR(IF(COUNTIFS('Candidate Tracker'!$E:$E,'Positions Tracker'!$B688,'Candidate Tracker'!$I:$I,"Female")=0,"",COUNTIFS('Candidate Tracker'!$E:$E,'Positions Tracker'!$B688,'Candidate Tracker'!$I:$I,"Female")),"")</f>
        <v/>
      </c>
      <c r="BB688" s="34" t="str">
        <f>IFERROR(IF(COUNTIFS('Candidate Tracker'!$E:$E,'Positions Tracker'!$B688,'Candidate Tracker'!$I:$I,"male")=0,"",COUNTIFS('Candidate Tracker'!$E:$E,'Positions Tracker'!$B688,'Candidate Tracker'!$I:$I,"male")),"")</f>
        <v/>
      </c>
      <c r="BC688" s="33" t="str">
        <f>IFERROR(IF(COUNTIFS('Candidate Tracker'!$E:$E,'Positions Tracker'!$B688,'Candidate Tracker'!$C:$C,"&lt;&gt;WIP",'Candidate Tracker'!$C:$C,"&lt;&gt;Hold",'Candidate Tracker'!$C:$C,"&lt;&gt;Cancelled",'Candidate Tracker'!$C:$C,"&lt;&gt;Closed")/COUNTIFS('Candidate Tracker'!$E:$E,'Positions Tracker'!$B688)=0,"",COUNTIFS('Candidate Tracker'!$E:$E,'Positions Tracker'!$B688,'Candidate Tracker'!$C:$C,"&lt;&gt;WIP",'Candidate Tracker'!$C:$C,"&lt;&gt;Hold",'Candidate Tracker'!$C:$C,"&lt;&gt;Cancelled",'Candidate Tracker'!$C:$C,"&lt;&gt;Closed")/COUNTIFS('Candidate Tracker'!$E:$E,'Positions Tracker'!$B688)),"")</f>
        <v/>
      </c>
      <c r="BD688" s="30" t="str">
        <f t="shared" si="75"/>
        <v/>
      </c>
      <c r="BE688" s="30" t="str">
        <f t="shared" si="76"/>
        <v/>
      </c>
      <c r="BF688" s="30" t="str">
        <f t="shared" si="77"/>
        <v/>
      </c>
      <c r="BG688" s="30" t="str">
        <f t="shared" si="78"/>
        <v/>
      </c>
    </row>
    <row r="689" spans="1:59">
      <c r="A689" s="39"/>
      <c r="B689" s="39"/>
      <c r="C689" s="39"/>
      <c r="D689" s="39"/>
      <c r="E689" s="39"/>
      <c r="F689" s="39"/>
      <c r="G689" s="39"/>
      <c r="H689" s="39"/>
      <c r="I689" s="40"/>
      <c r="J689" s="40"/>
      <c r="K689" s="35"/>
      <c r="L689" s="35"/>
      <c r="M689" s="35"/>
      <c r="N689" s="39"/>
      <c r="O689" s="39"/>
      <c r="P689" s="39"/>
      <c r="Q689" s="39"/>
      <c r="R689" s="39"/>
      <c r="S689" s="39"/>
      <c r="T689" s="39"/>
      <c r="U689" s="39"/>
      <c r="V689" s="39"/>
      <c r="W689" s="39"/>
      <c r="X689" s="39"/>
      <c r="Y689" s="39"/>
      <c r="Z689" s="39"/>
      <c r="AA689" s="39"/>
      <c r="AB689" s="39"/>
      <c r="AC689" s="39"/>
      <c r="AD689" s="39"/>
      <c r="AE689" s="39"/>
      <c r="AF689" s="39"/>
      <c r="AG689" s="39"/>
      <c r="AH689" s="39"/>
      <c r="AI689" s="35"/>
      <c r="AJ689" s="39"/>
      <c r="AK689" s="39"/>
      <c r="AL689" s="39"/>
      <c r="AM689" s="35"/>
      <c r="AN689" s="35"/>
      <c r="AO689" s="39"/>
      <c r="AP689" s="39"/>
      <c r="AQ689" s="35"/>
      <c r="AR689" s="35"/>
      <c r="AS689" s="35"/>
      <c r="AT689" s="30">
        <f t="shared" ca="1" si="74"/>
        <v>0</v>
      </c>
      <c r="AU689" s="32" t="str">
        <f t="shared" ca="1" si="73"/>
        <v/>
      </c>
      <c r="AV689" s="32" t="str" cm="1">
        <f t="array" aca="1" ref="AV689" ca="1">IFERROR(_xlfn.IFS($AU689="","",$AU689&lt;=15,"0-15",AND($AU689&gt;=16,$AU689&lt;=30),"16-30",AND($AU689&gt;=31,$AU689&lt;=45),"31-45",AND($AU689&gt;=46,$AU689&lt;=60),"46-60",AND($AU689&gt;=61,$AU689&lt;=90),"61-90",AND($AU689&gt;=91),"&gt; 90",AND($AU689&gt;=2000),""),"")</f>
        <v/>
      </c>
      <c r="AW689" s="32" t="str" cm="1">
        <f t="array" aca="1" ref="AW689" ca="1">IFERROR(_xlfn.IFS(OR($M689="",$AM689=""),"",OR($C689="Offered",$C689="Joined"),($AM689-$M689)-$AT689),"")</f>
        <v/>
      </c>
      <c r="AX689" s="32" t="str" cm="1">
        <f t="array" aca="1" ref="AX689" ca="1">IFERROR(_xlfn.IFS(OR($M689="",$AS689=""),"",$C689="Joined",($AS689-$M689)-$AT689),"")</f>
        <v/>
      </c>
      <c r="AY689" s="30" t="str">
        <f>IFERROR(IF(COUNTIFS('Candidate Tracker'!$E:$E,'Positions Tracker'!$B689,'Candidate Tracker'!$C:$C,"Offer Drop")=0,"",COUNTIFS('Candidate Tracker'!$E:$E,'Positions Tracker'!$B689,'Candidate Tracker'!$C:$C,"Offer Drop")),"")</f>
        <v/>
      </c>
      <c r="AZ68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89" s="34" t="str">
        <f>IFERROR(IF(COUNTIFS('Candidate Tracker'!$E:$E,'Positions Tracker'!$B689,'Candidate Tracker'!$I:$I,"Female")=0,"",COUNTIFS('Candidate Tracker'!$E:$E,'Positions Tracker'!$B689,'Candidate Tracker'!$I:$I,"Female")),"")</f>
        <v/>
      </c>
      <c r="BB689" s="34" t="str">
        <f>IFERROR(IF(COUNTIFS('Candidate Tracker'!$E:$E,'Positions Tracker'!$B689,'Candidate Tracker'!$I:$I,"male")=0,"",COUNTIFS('Candidate Tracker'!$E:$E,'Positions Tracker'!$B689,'Candidate Tracker'!$I:$I,"male")),"")</f>
        <v/>
      </c>
      <c r="BC689" s="33" t="str">
        <f>IFERROR(IF(COUNTIFS('Candidate Tracker'!$E:$E,'Positions Tracker'!$B689,'Candidate Tracker'!$C:$C,"&lt;&gt;WIP",'Candidate Tracker'!$C:$C,"&lt;&gt;Hold",'Candidate Tracker'!$C:$C,"&lt;&gt;Cancelled",'Candidate Tracker'!$C:$C,"&lt;&gt;Closed")/COUNTIFS('Candidate Tracker'!$E:$E,'Positions Tracker'!$B689)=0,"",COUNTIFS('Candidate Tracker'!$E:$E,'Positions Tracker'!$B689,'Candidate Tracker'!$C:$C,"&lt;&gt;WIP",'Candidate Tracker'!$C:$C,"&lt;&gt;Hold",'Candidate Tracker'!$C:$C,"&lt;&gt;Cancelled",'Candidate Tracker'!$C:$C,"&lt;&gt;Closed")/COUNTIFS('Candidate Tracker'!$E:$E,'Positions Tracker'!$B689)),"")</f>
        <v/>
      </c>
      <c r="BD689" s="30" t="str">
        <f t="shared" si="75"/>
        <v/>
      </c>
      <c r="BE689" s="30" t="str">
        <f t="shared" si="76"/>
        <v/>
      </c>
      <c r="BF689" s="30" t="str">
        <f t="shared" si="77"/>
        <v/>
      </c>
      <c r="BG689" s="30" t="str">
        <f t="shared" si="78"/>
        <v/>
      </c>
    </row>
    <row r="690" spans="1:59">
      <c r="A690" s="39"/>
      <c r="B690" s="39"/>
      <c r="C690" s="39"/>
      <c r="D690" s="39"/>
      <c r="E690" s="39"/>
      <c r="F690" s="39"/>
      <c r="G690" s="39"/>
      <c r="H690" s="39"/>
      <c r="I690" s="40"/>
      <c r="J690" s="40"/>
      <c r="K690" s="35"/>
      <c r="L690" s="35"/>
      <c r="M690" s="35"/>
      <c r="N690" s="39"/>
      <c r="O690" s="39"/>
      <c r="P690" s="39"/>
      <c r="Q690" s="39"/>
      <c r="R690" s="39"/>
      <c r="S690" s="39"/>
      <c r="T690" s="39"/>
      <c r="U690" s="39"/>
      <c r="V690" s="39"/>
      <c r="W690" s="39"/>
      <c r="X690" s="39"/>
      <c r="Y690" s="39"/>
      <c r="Z690" s="39"/>
      <c r="AA690" s="39"/>
      <c r="AB690" s="39"/>
      <c r="AC690" s="39"/>
      <c r="AD690" s="39"/>
      <c r="AE690" s="39"/>
      <c r="AF690" s="39"/>
      <c r="AG690" s="39"/>
      <c r="AH690" s="39"/>
      <c r="AI690" s="35"/>
      <c r="AJ690" s="39"/>
      <c r="AK690" s="39"/>
      <c r="AL690" s="39"/>
      <c r="AM690" s="35"/>
      <c r="AN690" s="35"/>
      <c r="AO690" s="39"/>
      <c r="AP690" s="39"/>
      <c r="AQ690" s="35"/>
      <c r="AR690" s="35"/>
      <c r="AS690" s="35"/>
      <c r="AT690" s="30">
        <f t="shared" ca="1" si="74"/>
        <v>0</v>
      </c>
      <c r="AU690" s="32" t="str">
        <f t="shared" ca="1" si="73"/>
        <v/>
      </c>
      <c r="AV690" s="32" t="str" cm="1">
        <f t="array" aca="1" ref="AV690" ca="1">IFERROR(_xlfn.IFS($AU690="","",$AU690&lt;=15,"0-15",AND($AU690&gt;=16,$AU690&lt;=30),"16-30",AND($AU690&gt;=31,$AU690&lt;=45),"31-45",AND($AU690&gt;=46,$AU690&lt;=60),"46-60",AND($AU690&gt;=61,$AU690&lt;=90),"61-90",AND($AU690&gt;=91),"&gt; 90",AND($AU690&gt;=2000),""),"")</f>
        <v/>
      </c>
      <c r="AW690" s="32" t="str" cm="1">
        <f t="array" aca="1" ref="AW690" ca="1">IFERROR(_xlfn.IFS(OR($M690="",$AM690=""),"",OR($C690="Offered",$C690="Joined"),($AM690-$M690)-$AT690),"")</f>
        <v/>
      </c>
      <c r="AX690" s="32" t="str" cm="1">
        <f t="array" aca="1" ref="AX690" ca="1">IFERROR(_xlfn.IFS(OR($M690="",$AS690=""),"",$C690="Joined",($AS690-$M690)-$AT690),"")</f>
        <v/>
      </c>
      <c r="AY690" s="30" t="str">
        <f>IFERROR(IF(COUNTIFS('Candidate Tracker'!$E:$E,'Positions Tracker'!$B690,'Candidate Tracker'!$C:$C,"Offer Drop")=0,"",COUNTIFS('Candidate Tracker'!$E:$E,'Positions Tracker'!$B690,'Candidate Tracker'!$C:$C,"Offer Drop")),"")</f>
        <v/>
      </c>
      <c r="AZ69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0" s="34" t="str">
        <f>IFERROR(IF(COUNTIFS('Candidate Tracker'!$E:$E,'Positions Tracker'!$B690,'Candidate Tracker'!$I:$I,"Female")=0,"",COUNTIFS('Candidate Tracker'!$E:$E,'Positions Tracker'!$B690,'Candidate Tracker'!$I:$I,"Female")),"")</f>
        <v/>
      </c>
      <c r="BB690" s="34" t="str">
        <f>IFERROR(IF(COUNTIFS('Candidate Tracker'!$E:$E,'Positions Tracker'!$B690,'Candidate Tracker'!$I:$I,"male")=0,"",COUNTIFS('Candidate Tracker'!$E:$E,'Positions Tracker'!$B690,'Candidate Tracker'!$I:$I,"male")),"")</f>
        <v/>
      </c>
      <c r="BC690" s="33" t="str">
        <f>IFERROR(IF(COUNTIFS('Candidate Tracker'!$E:$E,'Positions Tracker'!$B690,'Candidate Tracker'!$C:$C,"&lt;&gt;WIP",'Candidate Tracker'!$C:$C,"&lt;&gt;Hold",'Candidate Tracker'!$C:$C,"&lt;&gt;Cancelled",'Candidate Tracker'!$C:$C,"&lt;&gt;Closed")/COUNTIFS('Candidate Tracker'!$E:$E,'Positions Tracker'!$B690)=0,"",COUNTIFS('Candidate Tracker'!$E:$E,'Positions Tracker'!$B690,'Candidate Tracker'!$C:$C,"&lt;&gt;WIP",'Candidate Tracker'!$C:$C,"&lt;&gt;Hold",'Candidate Tracker'!$C:$C,"&lt;&gt;Cancelled",'Candidate Tracker'!$C:$C,"&lt;&gt;Closed")/COUNTIFS('Candidate Tracker'!$E:$E,'Positions Tracker'!$B690)),"")</f>
        <v/>
      </c>
      <c r="BD690" s="30" t="str">
        <f t="shared" si="75"/>
        <v/>
      </c>
      <c r="BE690" s="30" t="str">
        <f t="shared" si="76"/>
        <v/>
      </c>
      <c r="BF690" s="30" t="str">
        <f t="shared" si="77"/>
        <v/>
      </c>
      <c r="BG690" s="30" t="str">
        <f t="shared" si="78"/>
        <v/>
      </c>
    </row>
    <row r="691" spans="1:59">
      <c r="A691" s="39"/>
      <c r="B691" s="39"/>
      <c r="C691" s="39"/>
      <c r="D691" s="39"/>
      <c r="E691" s="39"/>
      <c r="F691" s="39"/>
      <c r="G691" s="39"/>
      <c r="H691" s="39"/>
      <c r="I691" s="40"/>
      <c r="J691" s="40"/>
      <c r="K691" s="35"/>
      <c r="L691" s="35"/>
      <c r="M691" s="35"/>
      <c r="N691" s="39"/>
      <c r="O691" s="39"/>
      <c r="P691" s="39"/>
      <c r="Q691" s="39"/>
      <c r="R691" s="39"/>
      <c r="S691" s="39"/>
      <c r="T691" s="39"/>
      <c r="U691" s="39"/>
      <c r="V691" s="39"/>
      <c r="W691" s="39"/>
      <c r="X691" s="39"/>
      <c r="Y691" s="39"/>
      <c r="Z691" s="39"/>
      <c r="AA691" s="39"/>
      <c r="AB691" s="39"/>
      <c r="AC691" s="39"/>
      <c r="AD691" s="39"/>
      <c r="AE691" s="39"/>
      <c r="AF691" s="39"/>
      <c r="AG691" s="39"/>
      <c r="AH691" s="39"/>
      <c r="AI691" s="35"/>
      <c r="AJ691" s="39"/>
      <c r="AK691" s="39"/>
      <c r="AL691" s="39"/>
      <c r="AM691" s="35"/>
      <c r="AN691" s="35"/>
      <c r="AO691" s="39"/>
      <c r="AP691" s="39"/>
      <c r="AQ691" s="35"/>
      <c r="AR691" s="35"/>
      <c r="AS691" s="35"/>
      <c r="AT691" s="30">
        <f t="shared" ca="1" si="74"/>
        <v>0</v>
      </c>
      <c r="AU691" s="32" t="str">
        <f t="shared" ca="1" si="73"/>
        <v/>
      </c>
      <c r="AV691" s="32" t="str" cm="1">
        <f t="array" aca="1" ref="AV691" ca="1">IFERROR(_xlfn.IFS($AU691="","",$AU691&lt;=15,"0-15",AND($AU691&gt;=16,$AU691&lt;=30),"16-30",AND($AU691&gt;=31,$AU691&lt;=45),"31-45",AND($AU691&gt;=46,$AU691&lt;=60),"46-60",AND($AU691&gt;=61,$AU691&lt;=90),"61-90",AND($AU691&gt;=91),"&gt; 90",AND($AU691&gt;=2000),""),"")</f>
        <v/>
      </c>
      <c r="AW691" s="32" t="str" cm="1">
        <f t="array" aca="1" ref="AW691" ca="1">IFERROR(_xlfn.IFS(OR($M691="",$AM691=""),"",OR($C691="Offered",$C691="Joined"),($AM691-$M691)-$AT691),"")</f>
        <v/>
      </c>
      <c r="AX691" s="32" t="str" cm="1">
        <f t="array" aca="1" ref="AX691" ca="1">IFERROR(_xlfn.IFS(OR($M691="",$AS691=""),"",$C691="Joined",($AS691-$M691)-$AT691),"")</f>
        <v/>
      </c>
      <c r="AY691" s="30" t="str">
        <f>IFERROR(IF(COUNTIFS('Candidate Tracker'!$E:$E,'Positions Tracker'!$B691,'Candidate Tracker'!$C:$C,"Offer Drop")=0,"",COUNTIFS('Candidate Tracker'!$E:$E,'Positions Tracker'!$B691,'Candidate Tracker'!$C:$C,"Offer Drop")),"")</f>
        <v/>
      </c>
      <c r="AZ69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1" s="34" t="str">
        <f>IFERROR(IF(COUNTIFS('Candidate Tracker'!$E:$E,'Positions Tracker'!$B691,'Candidate Tracker'!$I:$I,"Female")=0,"",COUNTIFS('Candidate Tracker'!$E:$E,'Positions Tracker'!$B691,'Candidate Tracker'!$I:$I,"Female")),"")</f>
        <v/>
      </c>
      <c r="BB691" s="34" t="str">
        <f>IFERROR(IF(COUNTIFS('Candidate Tracker'!$E:$E,'Positions Tracker'!$B691,'Candidate Tracker'!$I:$I,"male")=0,"",COUNTIFS('Candidate Tracker'!$E:$E,'Positions Tracker'!$B691,'Candidate Tracker'!$I:$I,"male")),"")</f>
        <v/>
      </c>
      <c r="BC691" s="33" t="str">
        <f>IFERROR(IF(COUNTIFS('Candidate Tracker'!$E:$E,'Positions Tracker'!$B691,'Candidate Tracker'!$C:$C,"&lt;&gt;WIP",'Candidate Tracker'!$C:$C,"&lt;&gt;Hold",'Candidate Tracker'!$C:$C,"&lt;&gt;Cancelled",'Candidate Tracker'!$C:$C,"&lt;&gt;Closed")/COUNTIFS('Candidate Tracker'!$E:$E,'Positions Tracker'!$B691)=0,"",COUNTIFS('Candidate Tracker'!$E:$E,'Positions Tracker'!$B691,'Candidate Tracker'!$C:$C,"&lt;&gt;WIP",'Candidate Tracker'!$C:$C,"&lt;&gt;Hold",'Candidate Tracker'!$C:$C,"&lt;&gt;Cancelled",'Candidate Tracker'!$C:$C,"&lt;&gt;Closed")/COUNTIFS('Candidate Tracker'!$E:$E,'Positions Tracker'!$B691)),"")</f>
        <v/>
      </c>
      <c r="BD691" s="30" t="str">
        <f t="shared" si="75"/>
        <v/>
      </c>
      <c r="BE691" s="30" t="str">
        <f t="shared" si="76"/>
        <v/>
      </c>
      <c r="BF691" s="30" t="str">
        <f t="shared" si="77"/>
        <v/>
      </c>
      <c r="BG691" s="30" t="str">
        <f t="shared" si="78"/>
        <v/>
      </c>
    </row>
    <row r="692" spans="1:59">
      <c r="A692" s="39"/>
      <c r="B692" s="39"/>
      <c r="C692" s="39"/>
      <c r="D692" s="39"/>
      <c r="E692" s="39"/>
      <c r="F692" s="39"/>
      <c r="G692" s="39"/>
      <c r="H692" s="39"/>
      <c r="I692" s="40"/>
      <c r="J692" s="40"/>
      <c r="K692" s="35"/>
      <c r="L692" s="35"/>
      <c r="M692" s="35"/>
      <c r="N692" s="39"/>
      <c r="O692" s="39"/>
      <c r="P692" s="39"/>
      <c r="Q692" s="39"/>
      <c r="R692" s="39"/>
      <c r="S692" s="39"/>
      <c r="T692" s="39"/>
      <c r="U692" s="39"/>
      <c r="V692" s="39"/>
      <c r="W692" s="39"/>
      <c r="X692" s="39"/>
      <c r="Y692" s="39"/>
      <c r="Z692" s="39"/>
      <c r="AA692" s="39"/>
      <c r="AB692" s="39"/>
      <c r="AC692" s="39"/>
      <c r="AD692" s="39"/>
      <c r="AE692" s="39"/>
      <c r="AF692" s="39"/>
      <c r="AG692" s="39"/>
      <c r="AH692" s="39"/>
      <c r="AI692" s="35"/>
      <c r="AJ692" s="39"/>
      <c r="AK692" s="39"/>
      <c r="AL692" s="39"/>
      <c r="AM692" s="35"/>
      <c r="AN692" s="35"/>
      <c r="AO692" s="39"/>
      <c r="AP692" s="39"/>
      <c r="AQ692" s="35"/>
      <c r="AR692" s="35"/>
      <c r="AS692" s="35"/>
      <c r="AT692" s="30">
        <f t="shared" ca="1" si="74"/>
        <v>0</v>
      </c>
      <c r="AU692" s="32" t="str">
        <f t="shared" ca="1" si="73"/>
        <v/>
      </c>
      <c r="AV692" s="32" t="str" cm="1">
        <f t="array" aca="1" ref="AV692" ca="1">IFERROR(_xlfn.IFS($AU692="","",$AU692&lt;=15,"0-15",AND($AU692&gt;=16,$AU692&lt;=30),"16-30",AND($AU692&gt;=31,$AU692&lt;=45),"31-45",AND($AU692&gt;=46,$AU692&lt;=60),"46-60",AND($AU692&gt;=61,$AU692&lt;=90),"61-90",AND($AU692&gt;=91),"&gt; 90",AND($AU692&gt;=2000),""),"")</f>
        <v/>
      </c>
      <c r="AW692" s="32" t="str" cm="1">
        <f t="array" aca="1" ref="AW692" ca="1">IFERROR(_xlfn.IFS(OR($M692="",$AM692=""),"",OR($C692="Offered",$C692="Joined"),($AM692-$M692)-$AT692),"")</f>
        <v/>
      </c>
      <c r="AX692" s="32" t="str" cm="1">
        <f t="array" aca="1" ref="AX692" ca="1">IFERROR(_xlfn.IFS(OR($M692="",$AS692=""),"",$C692="Joined",($AS692-$M692)-$AT692),"")</f>
        <v/>
      </c>
      <c r="AY692" s="30" t="str">
        <f>IFERROR(IF(COUNTIFS('Candidate Tracker'!$E:$E,'Positions Tracker'!$B692,'Candidate Tracker'!$C:$C,"Offer Drop")=0,"",COUNTIFS('Candidate Tracker'!$E:$E,'Positions Tracker'!$B692,'Candidate Tracker'!$C:$C,"Offer Drop")),"")</f>
        <v/>
      </c>
      <c r="AZ69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2" s="34" t="str">
        <f>IFERROR(IF(COUNTIFS('Candidate Tracker'!$E:$E,'Positions Tracker'!$B692,'Candidate Tracker'!$I:$I,"Female")=0,"",COUNTIFS('Candidate Tracker'!$E:$E,'Positions Tracker'!$B692,'Candidate Tracker'!$I:$I,"Female")),"")</f>
        <v/>
      </c>
      <c r="BB692" s="34" t="str">
        <f>IFERROR(IF(COUNTIFS('Candidate Tracker'!$E:$E,'Positions Tracker'!$B692,'Candidate Tracker'!$I:$I,"male")=0,"",COUNTIFS('Candidate Tracker'!$E:$E,'Positions Tracker'!$B692,'Candidate Tracker'!$I:$I,"male")),"")</f>
        <v/>
      </c>
      <c r="BC692" s="33" t="str">
        <f>IFERROR(IF(COUNTIFS('Candidate Tracker'!$E:$E,'Positions Tracker'!$B692,'Candidate Tracker'!$C:$C,"&lt;&gt;WIP",'Candidate Tracker'!$C:$C,"&lt;&gt;Hold",'Candidate Tracker'!$C:$C,"&lt;&gt;Cancelled",'Candidate Tracker'!$C:$C,"&lt;&gt;Closed")/COUNTIFS('Candidate Tracker'!$E:$E,'Positions Tracker'!$B692)=0,"",COUNTIFS('Candidate Tracker'!$E:$E,'Positions Tracker'!$B692,'Candidate Tracker'!$C:$C,"&lt;&gt;WIP",'Candidate Tracker'!$C:$C,"&lt;&gt;Hold",'Candidate Tracker'!$C:$C,"&lt;&gt;Cancelled",'Candidate Tracker'!$C:$C,"&lt;&gt;Closed")/COUNTIFS('Candidate Tracker'!$E:$E,'Positions Tracker'!$B692)),"")</f>
        <v/>
      </c>
      <c r="BD692" s="30" t="str">
        <f t="shared" si="75"/>
        <v/>
      </c>
      <c r="BE692" s="30" t="str">
        <f t="shared" si="76"/>
        <v/>
      </c>
      <c r="BF692" s="30" t="str">
        <f t="shared" si="77"/>
        <v/>
      </c>
      <c r="BG692" s="30" t="str">
        <f t="shared" si="78"/>
        <v/>
      </c>
    </row>
    <row r="693" spans="1:59">
      <c r="A693" s="39"/>
      <c r="B693" s="39"/>
      <c r="C693" s="39"/>
      <c r="D693" s="39"/>
      <c r="E693" s="39"/>
      <c r="F693" s="39"/>
      <c r="G693" s="39"/>
      <c r="H693" s="39"/>
      <c r="I693" s="40"/>
      <c r="J693" s="40"/>
      <c r="K693" s="35"/>
      <c r="L693" s="35"/>
      <c r="M693" s="35"/>
      <c r="N693" s="39"/>
      <c r="O693" s="39"/>
      <c r="P693" s="39"/>
      <c r="Q693" s="39"/>
      <c r="R693" s="39"/>
      <c r="S693" s="39"/>
      <c r="T693" s="39"/>
      <c r="U693" s="39"/>
      <c r="V693" s="39"/>
      <c r="W693" s="39"/>
      <c r="X693" s="39"/>
      <c r="Y693" s="39"/>
      <c r="Z693" s="39"/>
      <c r="AA693" s="39"/>
      <c r="AB693" s="39"/>
      <c r="AC693" s="39"/>
      <c r="AD693" s="39"/>
      <c r="AE693" s="39"/>
      <c r="AF693" s="39"/>
      <c r="AG693" s="39"/>
      <c r="AH693" s="39"/>
      <c r="AI693" s="35"/>
      <c r="AJ693" s="39"/>
      <c r="AK693" s="39"/>
      <c r="AL693" s="39"/>
      <c r="AM693" s="35"/>
      <c r="AN693" s="35"/>
      <c r="AO693" s="39"/>
      <c r="AP693" s="39"/>
      <c r="AQ693" s="35"/>
      <c r="AR693" s="35"/>
      <c r="AS693" s="35"/>
      <c r="AT693" s="30">
        <f t="shared" ca="1" si="74"/>
        <v>0</v>
      </c>
      <c r="AU693" s="32" t="str">
        <f t="shared" ca="1" si="73"/>
        <v/>
      </c>
      <c r="AV693" s="32" t="str" cm="1">
        <f t="array" aca="1" ref="AV693" ca="1">IFERROR(_xlfn.IFS($AU693="","",$AU693&lt;=15,"0-15",AND($AU693&gt;=16,$AU693&lt;=30),"16-30",AND($AU693&gt;=31,$AU693&lt;=45),"31-45",AND($AU693&gt;=46,$AU693&lt;=60),"46-60",AND($AU693&gt;=61,$AU693&lt;=90),"61-90",AND($AU693&gt;=91),"&gt; 90",AND($AU693&gt;=2000),""),"")</f>
        <v/>
      </c>
      <c r="AW693" s="32" t="str" cm="1">
        <f t="array" aca="1" ref="AW693" ca="1">IFERROR(_xlfn.IFS(OR($M693="",$AM693=""),"",OR($C693="Offered",$C693="Joined"),($AM693-$M693)-$AT693),"")</f>
        <v/>
      </c>
      <c r="AX693" s="32" t="str" cm="1">
        <f t="array" aca="1" ref="AX693" ca="1">IFERROR(_xlfn.IFS(OR($M693="",$AS693=""),"",$C693="Joined",($AS693-$M693)-$AT693),"")</f>
        <v/>
      </c>
      <c r="AY693" s="30" t="str">
        <f>IFERROR(IF(COUNTIFS('Candidate Tracker'!$E:$E,'Positions Tracker'!$B693,'Candidate Tracker'!$C:$C,"Offer Drop")=0,"",COUNTIFS('Candidate Tracker'!$E:$E,'Positions Tracker'!$B693,'Candidate Tracker'!$C:$C,"Offer Drop")),"")</f>
        <v/>
      </c>
      <c r="AZ69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3" s="34" t="str">
        <f>IFERROR(IF(COUNTIFS('Candidate Tracker'!$E:$E,'Positions Tracker'!$B693,'Candidate Tracker'!$I:$I,"Female")=0,"",COUNTIFS('Candidate Tracker'!$E:$E,'Positions Tracker'!$B693,'Candidate Tracker'!$I:$I,"Female")),"")</f>
        <v/>
      </c>
      <c r="BB693" s="34" t="str">
        <f>IFERROR(IF(COUNTIFS('Candidate Tracker'!$E:$E,'Positions Tracker'!$B693,'Candidate Tracker'!$I:$I,"male")=0,"",COUNTIFS('Candidate Tracker'!$E:$E,'Positions Tracker'!$B693,'Candidate Tracker'!$I:$I,"male")),"")</f>
        <v/>
      </c>
      <c r="BC693" s="33" t="str">
        <f>IFERROR(IF(COUNTIFS('Candidate Tracker'!$E:$E,'Positions Tracker'!$B693,'Candidate Tracker'!$C:$C,"&lt;&gt;WIP",'Candidate Tracker'!$C:$C,"&lt;&gt;Hold",'Candidate Tracker'!$C:$C,"&lt;&gt;Cancelled",'Candidate Tracker'!$C:$C,"&lt;&gt;Closed")/COUNTIFS('Candidate Tracker'!$E:$E,'Positions Tracker'!$B693)=0,"",COUNTIFS('Candidate Tracker'!$E:$E,'Positions Tracker'!$B693,'Candidate Tracker'!$C:$C,"&lt;&gt;WIP",'Candidate Tracker'!$C:$C,"&lt;&gt;Hold",'Candidate Tracker'!$C:$C,"&lt;&gt;Cancelled",'Candidate Tracker'!$C:$C,"&lt;&gt;Closed")/COUNTIFS('Candidate Tracker'!$E:$E,'Positions Tracker'!$B693)),"")</f>
        <v/>
      </c>
      <c r="BD693" s="30" t="str">
        <f t="shared" si="75"/>
        <v/>
      </c>
      <c r="BE693" s="30" t="str">
        <f t="shared" si="76"/>
        <v/>
      </c>
      <c r="BF693" s="30" t="str">
        <f t="shared" si="77"/>
        <v/>
      </c>
      <c r="BG693" s="30" t="str">
        <f t="shared" si="78"/>
        <v/>
      </c>
    </row>
    <row r="694" spans="1:59">
      <c r="A694" s="39"/>
      <c r="B694" s="39"/>
      <c r="C694" s="39"/>
      <c r="D694" s="39"/>
      <c r="E694" s="39"/>
      <c r="F694" s="39"/>
      <c r="G694" s="39"/>
      <c r="H694" s="39"/>
      <c r="I694" s="40"/>
      <c r="J694" s="40"/>
      <c r="K694" s="35"/>
      <c r="L694" s="35"/>
      <c r="M694" s="35"/>
      <c r="N694" s="39"/>
      <c r="O694" s="39"/>
      <c r="P694" s="39"/>
      <c r="Q694" s="39"/>
      <c r="R694" s="39"/>
      <c r="S694" s="39"/>
      <c r="T694" s="39"/>
      <c r="U694" s="39"/>
      <c r="V694" s="39"/>
      <c r="W694" s="39"/>
      <c r="X694" s="39"/>
      <c r="Y694" s="39"/>
      <c r="Z694" s="39"/>
      <c r="AA694" s="39"/>
      <c r="AB694" s="39"/>
      <c r="AC694" s="39"/>
      <c r="AD694" s="39"/>
      <c r="AE694" s="39"/>
      <c r="AF694" s="39"/>
      <c r="AG694" s="39"/>
      <c r="AH694" s="39"/>
      <c r="AI694" s="35"/>
      <c r="AJ694" s="39"/>
      <c r="AK694" s="39"/>
      <c r="AL694" s="39"/>
      <c r="AM694" s="35"/>
      <c r="AN694" s="35"/>
      <c r="AO694" s="39"/>
      <c r="AP694" s="39"/>
      <c r="AQ694" s="35"/>
      <c r="AR694" s="35"/>
      <c r="AS694" s="35"/>
      <c r="AT694" s="30">
        <f t="shared" ca="1" si="74"/>
        <v>0</v>
      </c>
      <c r="AU694" s="32" t="str">
        <f t="shared" ca="1" si="73"/>
        <v/>
      </c>
      <c r="AV694" s="32" t="str" cm="1">
        <f t="array" aca="1" ref="AV694" ca="1">IFERROR(_xlfn.IFS($AU694="","",$AU694&lt;=15,"0-15",AND($AU694&gt;=16,$AU694&lt;=30),"16-30",AND($AU694&gt;=31,$AU694&lt;=45),"31-45",AND($AU694&gt;=46,$AU694&lt;=60),"46-60",AND($AU694&gt;=61,$AU694&lt;=90),"61-90",AND($AU694&gt;=91),"&gt; 90",AND($AU694&gt;=2000),""),"")</f>
        <v/>
      </c>
      <c r="AW694" s="32" t="str" cm="1">
        <f t="array" aca="1" ref="AW694" ca="1">IFERROR(_xlfn.IFS(OR($M694="",$AM694=""),"",OR($C694="Offered",$C694="Joined"),($AM694-$M694)-$AT694),"")</f>
        <v/>
      </c>
      <c r="AX694" s="32" t="str" cm="1">
        <f t="array" aca="1" ref="AX694" ca="1">IFERROR(_xlfn.IFS(OR($M694="",$AS694=""),"",$C694="Joined",($AS694-$M694)-$AT694),"")</f>
        <v/>
      </c>
      <c r="AY694" s="30" t="str">
        <f>IFERROR(IF(COUNTIFS('Candidate Tracker'!$E:$E,'Positions Tracker'!$B694,'Candidate Tracker'!$C:$C,"Offer Drop")=0,"",COUNTIFS('Candidate Tracker'!$E:$E,'Positions Tracker'!$B694,'Candidate Tracker'!$C:$C,"Offer Drop")),"")</f>
        <v/>
      </c>
      <c r="AZ69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4" s="34" t="str">
        <f>IFERROR(IF(COUNTIFS('Candidate Tracker'!$E:$E,'Positions Tracker'!$B694,'Candidate Tracker'!$I:$I,"Female")=0,"",COUNTIFS('Candidate Tracker'!$E:$E,'Positions Tracker'!$B694,'Candidate Tracker'!$I:$I,"Female")),"")</f>
        <v/>
      </c>
      <c r="BB694" s="34" t="str">
        <f>IFERROR(IF(COUNTIFS('Candidate Tracker'!$E:$E,'Positions Tracker'!$B694,'Candidate Tracker'!$I:$I,"male")=0,"",COUNTIFS('Candidate Tracker'!$E:$E,'Positions Tracker'!$B694,'Candidate Tracker'!$I:$I,"male")),"")</f>
        <v/>
      </c>
      <c r="BC694" s="33" t="str">
        <f>IFERROR(IF(COUNTIFS('Candidate Tracker'!$E:$E,'Positions Tracker'!$B694,'Candidate Tracker'!$C:$C,"&lt;&gt;WIP",'Candidate Tracker'!$C:$C,"&lt;&gt;Hold",'Candidate Tracker'!$C:$C,"&lt;&gt;Cancelled",'Candidate Tracker'!$C:$C,"&lt;&gt;Closed")/COUNTIFS('Candidate Tracker'!$E:$E,'Positions Tracker'!$B694)=0,"",COUNTIFS('Candidate Tracker'!$E:$E,'Positions Tracker'!$B694,'Candidate Tracker'!$C:$C,"&lt;&gt;WIP",'Candidate Tracker'!$C:$C,"&lt;&gt;Hold",'Candidate Tracker'!$C:$C,"&lt;&gt;Cancelled",'Candidate Tracker'!$C:$C,"&lt;&gt;Closed")/COUNTIFS('Candidate Tracker'!$E:$E,'Positions Tracker'!$B694)),"")</f>
        <v/>
      </c>
      <c r="BD694" s="30" t="str">
        <f t="shared" si="75"/>
        <v/>
      </c>
      <c r="BE694" s="30" t="str">
        <f t="shared" si="76"/>
        <v/>
      </c>
      <c r="BF694" s="30" t="str">
        <f t="shared" si="77"/>
        <v/>
      </c>
      <c r="BG694" s="30" t="str">
        <f t="shared" si="78"/>
        <v/>
      </c>
    </row>
    <row r="695" spans="1:59">
      <c r="A695" s="39"/>
      <c r="B695" s="39"/>
      <c r="C695" s="39"/>
      <c r="D695" s="39"/>
      <c r="E695" s="39"/>
      <c r="F695" s="39"/>
      <c r="G695" s="39"/>
      <c r="H695" s="39"/>
      <c r="I695" s="40"/>
      <c r="J695" s="40"/>
      <c r="K695" s="35"/>
      <c r="L695" s="35"/>
      <c r="M695" s="35"/>
      <c r="N695" s="39"/>
      <c r="O695" s="39"/>
      <c r="P695" s="39"/>
      <c r="Q695" s="39"/>
      <c r="R695" s="39"/>
      <c r="S695" s="39"/>
      <c r="T695" s="39"/>
      <c r="U695" s="39"/>
      <c r="V695" s="39"/>
      <c r="W695" s="39"/>
      <c r="X695" s="39"/>
      <c r="Y695" s="39"/>
      <c r="Z695" s="39"/>
      <c r="AA695" s="39"/>
      <c r="AB695" s="39"/>
      <c r="AC695" s="39"/>
      <c r="AD695" s="39"/>
      <c r="AE695" s="39"/>
      <c r="AF695" s="39"/>
      <c r="AG695" s="39"/>
      <c r="AH695" s="39"/>
      <c r="AI695" s="35"/>
      <c r="AJ695" s="39"/>
      <c r="AK695" s="39"/>
      <c r="AL695" s="39"/>
      <c r="AM695" s="35"/>
      <c r="AN695" s="35"/>
      <c r="AO695" s="39"/>
      <c r="AP695" s="39"/>
      <c r="AQ695" s="35"/>
      <c r="AR695" s="35"/>
      <c r="AS695" s="35"/>
      <c r="AT695" s="30">
        <f t="shared" ca="1" si="74"/>
        <v>0</v>
      </c>
      <c r="AU695" s="32" t="str">
        <f t="shared" ca="1" si="73"/>
        <v/>
      </c>
      <c r="AV695" s="32" t="str" cm="1">
        <f t="array" aca="1" ref="AV695" ca="1">IFERROR(_xlfn.IFS($AU695="","",$AU695&lt;=15,"0-15",AND($AU695&gt;=16,$AU695&lt;=30),"16-30",AND($AU695&gt;=31,$AU695&lt;=45),"31-45",AND($AU695&gt;=46,$AU695&lt;=60),"46-60",AND($AU695&gt;=61,$AU695&lt;=90),"61-90",AND($AU695&gt;=91),"&gt; 90",AND($AU695&gt;=2000),""),"")</f>
        <v/>
      </c>
      <c r="AW695" s="32" t="str" cm="1">
        <f t="array" aca="1" ref="AW695" ca="1">IFERROR(_xlfn.IFS(OR($M695="",$AM695=""),"",OR($C695="Offered",$C695="Joined"),($AM695-$M695)-$AT695),"")</f>
        <v/>
      </c>
      <c r="AX695" s="32" t="str" cm="1">
        <f t="array" aca="1" ref="AX695" ca="1">IFERROR(_xlfn.IFS(OR($M695="",$AS695=""),"",$C695="Joined",($AS695-$M695)-$AT695),"")</f>
        <v/>
      </c>
      <c r="AY695" s="30" t="str">
        <f>IFERROR(IF(COUNTIFS('Candidate Tracker'!$E:$E,'Positions Tracker'!$B695,'Candidate Tracker'!$C:$C,"Offer Drop")=0,"",COUNTIFS('Candidate Tracker'!$E:$E,'Positions Tracker'!$B695,'Candidate Tracker'!$C:$C,"Offer Drop")),"")</f>
        <v/>
      </c>
      <c r="AZ69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5" s="34" t="str">
        <f>IFERROR(IF(COUNTIFS('Candidate Tracker'!$E:$E,'Positions Tracker'!$B695,'Candidate Tracker'!$I:$I,"Female")=0,"",COUNTIFS('Candidate Tracker'!$E:$E,'Positions Tracker'!$B695,'Candidate Tracker'!$I:$I,"Female")),"")</f>
        <v/>
      </c>
      <c r="BB695" s="34" t="str">
        <f>IFERROR(IF(COUNTIFS('Candidate Tracker'!$E:$E,'Positions Tracker'!$B695,'Candidate Tracker'!$I:$I,"male")=0,"",COUNTIFS('Candidate Tracker'!$E:$E,'Positions Tracker'!$B695,'Candidate Tracker'!$I:$I,"male")),"")</f>
        <v/>
      </c>
      <c r="BC695" s="33" t="str">
        <f>IFERROR(IF(COUNTIFS('Candidate Tracker'!$E:$E,'Positions Tracker'!$B695,'Candidate Tracker'!$C:$C,"&lt;&gt;WIP",'Candidate Tracker'!$C:$C,"&lt;&gt;Hold",'Candidate Tracker'!$C:$C,"&lt;&gt;Cancelled",'Candidate Tracker'!$C:$C,"&lt;&gt;Closed")/COUNTIFS('Candidate Tracker'!$E:$E,'Positions Tracker'!$B695)=0,"",COUNTIFS('Candidate Tracker'!$E:$E,'Positions Tracker'!$B695,'Candidate Tracker'!$C:$C,"&lt;&gt;WIP",'Candidate Tracker'!$C:$C,"&lt;&gt;Hold",'Candidate Tracker'!$C:$C,"&lt;&gt;Cancelled",'Candidate Tracker'!$C:$C,"&lt;&gt;Closed")/COUNTIFS('Candidate Tracker'!$E:$E,'Positions Tracker'!$B695)),"")</f>
        <v/>
      </c>
      <c r="BD695" s="30" t="str">
        <f t="shared" si="75"/>
        <v/>
      </c>
      <c r="BE695" s="30" t="str">
        <f t="shared" si="76"/>
        <v/>
      </c>
      <c r="BF695" s="30" t="str">
        <f t="shared" si="77"/>
        <v/>
      </c>
      <c r="BG695" s="30" t="str">
        <f t="shared" si="78"/>
        <v/>
      </c>
    </row>
    <row r="696" spans="1:59">
      <c r="A696" s="39"/>
      <c r="B696" s="39"/>
      <c r="C696" s="39"/>
      <c r="D696" s="39"/>
      <c r="E696" s="39"/>
      <c r="F696" s="39"/>
      <c r="G696" s="39"/>
      <c r="H696" s="39"/>
      <c r="I696" s="40"/>
      <c r="J696" s="40"/>
      <c r="K696" s="35"/>
      <c r="L696" s="35"/>
      <c r="M696" s="35"/>
      <c r="N696" s="39"/>
      <c r="O696" s="39"/>
      <c r="P696" s="39"/>
      <c r="Q696" s="39"/>
      <c r="R696" s="39"/>
      <c r="S696" s="39"/>
      <c r="T696" s="39"/>
      <c r="U696" s="39"/>
      <c r="V696" s="39"/>
      <c r="W696" s="39"/>
      <c r="X696" s="39"/>
      <c r="Y696" s="39"/>
      <c r="Z696" s="39"/>
      <c r="AA696" s="39"/>
      <c r="AB696" s="39"/>
      <c r="AC696" s="39"/>
      <c r="AD696" s="39"/>
      <c r="AE696" s="39"/>
      <c r="AF696" s="39"/>
      <c r="AG696" s="39"/>
      <c r="AH696" s="39"/>
      <c r="AI696" s="35"/>
      <c r="AJ696" s="39"/>
      <c r="AK696" s="39"/>
      <c r="AL696" s="39"/>
      <c r="AM696" s="35"/>
      <c r="AN696" s="35"/>
      <c r="AO696" s="39"/>
      <c r="AP696" s="39"/>
      <c r="AQ696" s="35"/>
      <c r="AR696" s="35"/>
      <c r="AS696" s="35"/>
      <c r="AT696" s="30">
        <f t="shared" ca="1" si="74"/>
        <v>0</v>
      </c>
      <c r="AU696" s="32" t="str">
        <f t="shared" ca="1" si="73"/>
        <v/>
      </c>
      <c r="AV696" s="32" t="str" cm="1">
        <f t="array" aca="1" ref="AV696" ca="1">IFERROR(_xlfn.IFS($AU696="","",$AU696&lt;=15,"0-15",AND($AU696&gt;=16,$AU696&lt;=30),"16-30",AND($AU696&gt;=31,$AU696&lt;=45),"31-45",AND($AU696&gt;=46,$AU696&lt;=60),"46-60",AND($AU696&gt;=61,$AU696&lt;=90),"61-90",AND($AU696&gt;=91),"&gt; 90",AND($AU696&gt;=2000),""),"")</f>
        <v/>
      </c>
      <c r="AW696" s="32" t="str" cm="1">
        <f t="array" aca="1" ref="AW696" ca="1">IFERROR(_xlfn.IFS(OR($M696="",$AM696=""),"",OR($C696="Offered",$C696="Joined"),($AM696-$M696)-$AT696),"")</f>
        <v/>
      </c>
      <c r="AX696" s="32" t="str" cm="1">
        <f t="array" aca="1" ref="AX696" ca="1">IFERROR(_xlfn.IFS(OR($M696="",$AS696=""),"",$C696="Joined",($AS696-$M696)-$AT696),"")</f>
        <v/>
      </c>
      <c r="AY696" s="30" t="str">
        <f>IFERROR(IF(COUNTIFS('Candidate Tracker'!$E:$E,'Positions Tracker'!$B696,'Candidate Tracker'!$C:$C,"Offer Drop")=0,"",COUNTIFS('Candidate Tracker'!$E:$E,'Positions Tracker'!$B696,'Candidate Tracker'!$C:$C,"Offer Drop")),"")</f>
        <v/>
      </c>
      <c r="AZ69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6" s="34" t="str">
        <f>IFERROR(IF(COUNTIFS('Candidate Tracker'!$E:$E,'Positions Tracker'!$B696,'Candidate Tracker'!$I:$I,"Female")=0,"",COUNTIFS('Candidate Tracker'!$E:$E,'Positions Tracker'!$B696,'Candidate Tracker'!$I:$I,"Female")),"")</f>
        <v/>
      </c>
      <c r="BB696" s="34" t="str">
        <f>IFERROR(IF(COUNTIFS('Candidate Tracker'!$E:$E,'Positions Tracker'!$B696,'Candidate Tracker'!$I:$I,"male")=0,"",COUNTIFS('Candidate Tracker'!$E:$E,'Positions Tracker'!$B696,'Candidate Tracker'!$I:$I,"male")),"")</f>
        <v/>
      </c>
      <c r="BC696" s="33" t="str">
        <f>IFERROR(IF(COUNTIFS('Candidate Tracker'!$E:$E,'Positions Tracker'!$B696,'Candidate Tracker'!$C:$C,"&lt;&gt;WIP",'Candidate Tracker'!$C:$C,"&lt;&gt;Hold",'Candidate Tracker'!$C:$C,"&lt;&gt;Cancelled",'Candidate Tracker'!$C:$C,"&lt;&gt;Closed")/COUNTIFS('Candidate Tracker'!$E:$E,'Positions Tracker'!$B696)=0,"",COUNTIFS('Candidate Tracker'!$E:$E,'Positions Tracker'!$B696,'Candidate Tracker'!$C:$C,"&lt;&gt;WIP",'Candidate Tracker'!$C:$C,"&lt;&gt;Hold",'Candidate Tracker'!$C:$C,"&lt;&gt;Cancelled",'Candidate Tracker'!$C:$C,"&lt;&gt;Closed")/COUNTIFS('Candidate Tracker'!$E:$E,'Positions Tracker'!$B696)),"")</f>
        <v/>
      </c>
      <c r="BD696" s="30" t="str">
        <f t="shared" si="75"/>
        <v/>
      </c>
      <c r="BE696" s="30" t="str">
        <f t="shared" si="76"/>
        <v/>
      </c>
      <c r="BF696" s="30" t="str">
        <f t="shared" si="77"/>
        <v/>
      </c>
      <c r="BG696" s="30" t="str">
        <f t="shared" si="78"/>
        <v/>
      </c>
    </row>
    <row r="697" spans="1:59">
      <c r="A697" s="39"/>
      <c r="B697" s="39"/>
      <c r="C697" s="39"/>
      <c r="D697" s="39"/>
      <c r="E697" s="39"/>
      <c r="F697" s="39"/>
      <c r="G697" s="39"/>
      <c r="H697" s="39"/>
      <c r="I697" s="40"/>
      <c r="J697" s="40"/>
      <c r="K697" s="35"/>
      <c r="L697" s="35"/>
      <c r="M697" s="35"/>
      <c r="N697" s="39"/>
      <c r="O697" s="39"/>
      <c r="P697" s="39"/>
      <c r="Q697" s="39"/>
      <c r="R697" s="39"/>
      <c r="S697" s="39"/>
      <c r="T697" s="39"/>
      <c r="U697" s="39"/>
      <c r="V697" s="39"/>
      <c r="W697" s="39"/>
      <c r="X697" s="39"/>
      <c r="Y697" s="39"/>
      <c r="Z697" s="39"/>
      <c r="AA697" s="39"/>
      <c r="AB697" s="39"/>
      <c r="AC697" s="39"/>
      <c r="AD697" s="39"/>
      <c r="AE697" s="39"/>
      <c r="AF697" s="39"/>
      <c r="AG697" s="39"/>
      <c r="AH697" s="39"/>
      <c r="AI697" s="35"/>
      <c r="AJ697" s="39"/>
      <c r="AK697" s="39"/>
      <c r="AL697" s="39"/>
      <c r="AM697" s="35"/>
      <c r="AN697" s="35"/>
      <c r="AO697" s="39"/>
      <c r="AP697" s="39"/>
      <c r="AQ697" s="35"/>
      <c r="AR697" s="35"/>
      <c r="AS697" s="35"/>
      <c r="AT697" s="30">
        <f t="shared" ca="1" si="74"/>
        <v>0</v>
      </c>
      <c r="AU697" s="32" t="str">
        <f t="shared" ca="1" si="73"/>
        <v/>
      </c>
      <c r="AV697" s="32" t="str" cm="1">
        <f t="array" aca="1" ref="AV697" ca="1">IFERROR(_xlfn.IFS($AU697="","",$AU697&lt;=15,"0-15",AND($AU697&gt;=16,$AU697&lt;=30),"16-30",AND($AU697&gt;=31,$AU697&lt;=45),"31-45",AND($AU697&gt;=46,$AU697&lt;=60),"46-60",AND($AU697&gt;=61,$AU697&lt;=90),"61-90",AND($AU697&gt;=91),"&gt; 90",AND($AU697&gt;=2000),""),"")</f>
        <v/>
      </c>
      <c r="AW697" s="32" t="str" cm="1">
        <f t="array" aca="1" ref="AW697" ca="1">IFERROR(_xlfn.IFS(OR($M697="",$AM697=""),"",OR($C697="Offered",$C697="Joined"),($AM697-$M697)-$AT697),"")</f>
        <v/>
      </c>
      <c r="AX697" s="32" t="str" cm="1">
        <f t="array" aca="1" ref="AX697" ca="1">IFERROR(_xlfn.IFS(OR($M697="",$AS697=""),"",$C697="Joined",($AS697-$M697)-$AT697),"")</f>
        <v/>
      </c>
      <c r="AY697" s="30" t="str">
        <f>IFERROR(IF(COUNTIFS('Candidate Tracker'!$E:$E,'Positions Tracker'!$B697,'Candidate Tracker'!$C:$C,"Offer Drop")=0,"",COUNTIFS('Candidate Tracker'!$E:$E,'Positions Tracker'!$B697,'Candidate Tracker'!$C:$C,"Offer Drop")),"")</f>
        <v/>
      </c>
      <c r="AZ69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7" s="34" t="str">
        <f>IFERROR(IF(COUNTIFS('Candidate Tracker'!$E:$E,'Positions Tracker'!$B697,'Candidate Tracker'!$I:$I,"Female")=0,"",COUNTIFS('Candidate Tracker'!$E:$E,'Positions Tracker'!$B697,'Candidate Tracker'!$I:$I,"Female")),"")</f>
        <v/>
      </c>
      <c r="BB697" s="34" t="str">
        <f>IFERROR(IF(COUNTIFS('Candidate Tracker'!$E:$E,'Positions Tracker'!$B697,'Candidate Tracker'!$I:$I,"male")=0,"",COUNTIFS('Candidate Tracker'!$E:$E,'Positions Tracker'!$B697,'Candidate Tracker'!$I:$I,"male")),"")</f>
        <v/>
      </c>
      <c r="BC697" s="33" t="str">
        <f>IFERROR(IF(COUNTIFS('Candidate Tracker'!$E:$E,'Positions Tracker'!$B697,'Candidate Tracker'!$C:$C,"&lt;&gt;WIP",'Candidate Tracker'!$C:$C,"&lt;&gt;Hold",'Candidate Tracker'!$C:$C,"&lt;&gt;Cancelled",'Candidate Tracker'!$C:$C,"&lt;&gt;Closed")/COUNTIFS('Candidate Tracker'!$E:$E,'Positions Tracker'!$B697)=0,"",COUNTIFS('Candidate Tracker'!$E:$E,'Positions Tracker'!$B697,'Candidate Tracker'!$C:$C,"&lt;&gt;WIP",'Candidate Tracker'!$C:$C,"&lt;&gt;Hold",'Candidate Tracker'!$C:$C,"&lt;&gt;Cancelled",'Candidate Tracker'!$C:$C,"&lt;&gt;Closed")/COUNTIFS('Candidate Tracker'!$E:$E,'Positions Tracker'!$B697)),"")</f>
        <v/>
      </c>
      <c r="BD697" s="30" t="str">
        <f t="shared" si="75"/>
        <v/>
      </c>
      <c r="BE697" s="30" t="str">
        <f t="shared" si="76"/>
        <v/>
      </c>
      <c r="BF697" s="30" t="str">
        <f t="shared" si="77"/>
        <v/>
      </c>
      <c r="BG697" s="30" t="str">
        <f t="shared" si="78"/>
        <v/>
      </c>
    </row>
    <row r="698" spans="1:59">
      <c r="A698" s="39"/>
      <c r="B698" s="39"/>
      <c r="C698" s="39"/>
      <c r="D698" s="39"/>
      <c r="E698" s="39"/>
      <c r="F698" s="39"/>
      <c r="G698" s="39"/>
      <c r="H698" s="39"/>
      <c r="I698" s="40"/>
      <c r="J698" s="40"/>
      <c r="K698" s="35"/>
      <c r="L698" s="35"/>
      <c r="M698" s="35"/>
      <c r="N698" s="39"/>
      <c r="O698" s="39"/>
      <c r="P698" s="39"/>
      <c r="Q698" s="39"/>
      <c r="R698" s="39"/>
      <c r="S698" s="39"/>
      <c r="T698" s="39"/>
      <c r="U698" s="39"/>
      <c r="V698" s="39"/>
      <c r="W698" s="39"/>
      <c r="X698" s="39"/>
      <c r="Y698" s="39"/>
      <c r="Z698" s="39"/>
      <c r="AA698" s="39"/>
      <c r="AB698" s="39"/>
      <c r="AC698" s="39"/>
      <c r="AD698" s="39"/>
      <c r="AE698" s="39"/>
      <c r="AF698" s="39"/>
      <c r="AG698" s="39"/>
      <c r="AH698" s="39"/>
      <c r="AI698" s="35"/>
      <c r="AJ698" s="39"/>
      <c r="AK698" s="39"/>
      <c r="AL698" s="39"/>
      <c r="AM698" s="35"/>
      <c r="AN698" s="35"/>
      <c r="AO698" s="39"/>
      <c r="AP698" s="39"/>
      <c r="AQ698" s="35"/>
      <c r="AR698" s="35"/>
      <c r="AS698" s="35"/>
      <c r="AT698" s="30">
        <f t="shared" ca="1" si="74"/>
        <v>0</v>
      </c>
      <c r="AU698" s="32" t="str">
        <f t="shared" ca="1" si="73"/>
        <v/>
      </c>
      <c r="AV698" s="32" t="str" cm="1">
        <f t="array" aca="1" ref="AV698" ca="1">IFERROR(_xlfn.IFS($AU698="","",$AU698&lt;=15,"0-15",AND($AU698&gt;=16,$AU698&lt;=30),"16-30",AND($AU698&gt;=31,$AU698&lt;=45),"31-45",AND($AU698&gt;=46,$AU698&lt;=60),"46-60",AND($AU698&gt;=61,$AU698&lt;=90),"61-90",AND($AU698&gt;=91),"&gt; 90",AND($AU698&gt;=2000),""),"")</f>
        <v/>
      </c>
      <c r="AW698" s="32" t="str" cm="1">
        <f t="array" aca="1" ref="AW698" ca="1">IFERROR(_xlfn.IFS(OR($M698="",$AM698=""),"",OR($C698="Offered",$C698="Joined"),($AM698-$M698)-$AT698),"")</f>
        <v/>
      </c>
      <c r="AX698" s="32" t="str" cm="1">
        <f t="array" aca="1" ref="AX698" ca="1">IFERROR(_xlfn.IFS(OR($M698="",$AS698=""),"",$C698="Joined",($AS698-$M698)-$AT698),"")</f>
        <v/>
      </c>
      <c r="AY698" s="30" t="str">
        <f>IFERROR(IF(COUNTIFS('Candidate Tracker'!$E:$E,'Positions Tracker'!$B698,'Candidate Tracker'!$C:$C,"Offer Drop")=0,"",COUNTIFS('Candidate Tracker'!$E:$E,'Positions Tracker'!$B698,'Candidate Tracker'!$C:$C,"Offer Drop")),"")</f>
        <v/>
      </c>
      <c r="AZ69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8" s="34" t="str">
        <f>IFERROR(IF(COUNTIFS('Candidate Tracker'!$E:$E,'Positions Tracker'!$B698,'Candidate Tracker'!$I:$I,"Female")=0,"",COUNTIFS('Candidate Tracker'!$E:$E,'Positions Tracker'!$B698,'Candidate Tracker'!$I:$I,"Female")),"")</f>
        <v/>
      </c>
      <c r="BB698" s="34" t="str">
        <f>IFERROR(IF(COUNTIFS('Candidate Tracker'!$E:$E,'Positions Tracker'!$B698,'Candidate Tracker'!$I:$I,"male")=0,"",COUNTIFS('Candidate Tracker'!$E:$E,'Positions Tracker'!$B698,'Candidate Tracker'!$I:$I,"male")),"")</f>
        <v/>
      </c>
      <c r="BC698" s="33" t="str">
        <f>IFERROR(IF(COUNTIFS('Candidate Tracker'!$E:$E,'Positions Tracker'!$B698,'Candidate Tracker'!$C:$C,"&lt;&gt;WIP",'Candidate Tracker'!$C:$C,"&lt;&gt;Hold",'Candidate Tracker'!$C:$C,"&lt;&gt;Cancelled",'Candidate Tracker'!$C:$C,"&lt;&gt;Closed")/COUNTIFS('Candidate Tracker'!$E:$E,'Positions Tracker'!$B698)=0,"",COUNTIFS('Candidate Tracker'!$E:$E,'Positions Tracker'!$B698,'Candidate Tracker'!$C:$C,"&lt;&gt;WIP",'Candidate Tracker'!$C:$C,"&lt;&gt;Hold",'Candidate Tracker'!$C:$C,"&lt;&gt;Cancelled",'Candidate Tracker'!$C:$C,"&lt;&gt;Closed")/COUNTIFS('Candidate Tracker'!$E:$E,'Positions Tracker'!$B698)),"")</f>
        <v/>
      </c>
      <c r="BD698" s="30" t="str">
        <f t="shared" si="75"/>
        <v/>
      </c>
      <c r="BE698" s="30" t="str">
        <f t="shared" si="76"/>
        <v/>
      </c>
      <c r="BF698" s="30" t="str">
        <f t="shared" si="77"/>
        <v/>
      </c>
      <c r="BG698" s="30" t="str">
        <f t="shared" si="78"/>
        <v/>
      </c>
    </row>
    <row r="699" spans="1:59">
      <c r="A699" s="39"/>
      <c r="B699" s="39"/>
      <c r="C699" s="39"/>
      <c r="D699" s="39"/>
      <c r="E699" s="39"/>
      <c r="F699" s="39"/>
      <c r="G699" s="39"/>
      <c r="H699" s="39"/>
      <c r="I699" s="40"/>
      <c r="J699" s="40"/>
      <c r="K699" s="35"/>
      <c r="L699" s="35"/>
      <c r="M699" s="35"/>
      <c r="N699" s="39"/>
      <c r="O699" s="39"/>
      <c r="P699" s="39"/>
      <c r="Q699" s="39"/>
      <c r="R699" s="39"/>
      <c r="S699" s="39"/>
      <c r="T699" s="39"/>
      <c r="U699" s="39"/>
      <c r="V699" s="39"/>
      <c r="W699" s="39"/>
      <c r="X699" s="39"/>
      <c r="Y699" s="39"/>
      <c r="Z699" s="39"/>
      <c r="AA699" s="39"/>
      <c r="AB699" s="39"/>
      <c r="AC699" s="39"/>
      <c r="AD699" s="39"/>
      <c r="AE699" s="39"/>
      <c r="AF699" s="39"/>
      <c r="AG699" s="39"/>
      <c r="AH699" s="39"/>
      <c r="AI699" s="35"/>
      <c r="AJ699" s="39"/>
      <c r="AK699" s="39"/>
      <c r="AL699" s="39"/>
      <c r="AM699" s="35"/>
      <c r="AN699" s="35"/>
      <c r="AO699" s="39"/>
      <c r="AP699" s="39"/>
      <c r="AQ699" s="35"/>
      <c r="AR699" s="35"/>
      <c r="AS699" s="35"/>
      <c r="AT699" s="30">
        <f t="shared" ca="1" si="74"/>
        <v>0</v>
      </c>
      <c r="AU699" s="32" t="str">
        <f t="shared" ca="1" si="73"/>
        <v/>
      </c>
      <c r="AV699" s="32" t="str" cm="1">
        <f t="array" aca="1" ref="AV699" ca="1">IFERROR(_xlfn.IFS($AU699="","",$AU699&lt;=15,"0-15",AND($AU699&gt;=16,$AU699&lt;=30),"16-30",AND($AU699&gt;=31,$AU699&lt;=45),"31-45",AND($AU699&gt;=46,$AU699&lt;=60),"46-60",AND($AU699&gt;=61,$AU699&lt;=90),"61-90",AND($AU699&gt;=91),"&gt; 90",AND($AU699&gt;=2000),""),"")</f>
        <v/>
      </c>
      <c r="AW699" s="32" t="str" cm="1">
        <f t="array" aca="1" ref="AW699" ca="1">IFERROR(_xlfn.IFS(OR($M699="",$AM699=""),"",OR($C699="Offered",$C699="Joined"),($AM699-$M699)-$AT699),"")</f>
        <v/>
      </c>
      <c r="AX699" s="32" t="str" cm="1">
        <f t="array" aca="1" ref="AX699" ca="1">IFERROR(_xlfn.IFS(OR($M699="",$AS699=""),"",$C699="Joined",($AS699-$M699)-$AT699),"")</f>
        <v/>
      </c>
      <c r="AY699" s="30" t="str">
        <f>IFERROR(IF(COUNTIFS('Candidate Tracker'!$E:$E,'Positions Tracker'!$B699,'Candidate Tracker'!$C:$C,"Offer Drop")=0,"",COUNTIFS('Candidate Tracker'!$E:$E,'Positions Tracker'!$B699,'Candidate Tracker'!$C:$C,"Offer Drop")),"")</f>
        <v/>
      </c>
      <c r="AZ69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699" s="34" t="str">
        <f>IFERROR(IF(COUNTIFS('Candidate Tracker'!$E:$E,'Positions Tracker'!$B699,'Candidate Tracker'!$I:$I,"Female")=0,"",COUNTIFS('Candidate Tracker'!$E:$E,'Positions Tracker'!$B699,'Candidate Tracker'!$I:$I,"Female")),"")</f>
        <v/>
      </c>
      <c r="BB699" s="34" t="str">
        <f>IFERROR(IF(COUNTIFS('Candidate Tracker'!$E:$E,'Positions Tracker'!$B699,'Candidate Tracker'!$I:$I,"male")=0,"",COUNTIFS('Candidate Tracker'!$E:$E,'Positions Tracker'!$B699,'Candidate Tracker'!$I:$I,"male")),"")</f>
        <v/>
      </c>
      <c r="BC699" s="33" t="str">
        <f>IFERROR(IF(COUNTIFS('Candidate Tracker'!$E:$E,'Positions Tracker'!$B699,'Candidate Tracker'!$C:$C,"&lt;&gt;WIP",'Candidate Tracker'!$C:$C,"&lt;&gt;Hold",'Candidate Tracker'!$C:$C,"&lt;&gt;Cancelled",'Candidate Tracker'!$C:$C,"&lt;&gt;Closed")/COUNTIFS('Candidate Tracker'!$E:$E,'Positions Tracker'!$B699)=0,"",COUNTIFS('Candidate Tracker'!$E:$E,'Positions Tracker'!$B699,'Candidate Tracker'!$C:$C,"&lt;&gt;WIP",'Candidate Tracker'!$C:$C,"&lt;&gt;Hold",'Candidate Tracker'!$C:$C,"&lt;&gt;Cancelled",'Candidate Tracker'!$C:$C,"&lt;&gt;Closed")/COUNTIFS('Candidate Tracker'!$E:$E,'Positions Tracker'!$B699)),"")</f>
        <v/>
      </c>
      <c r="BD699" s="30" t="str">
        <f t="shared" si="75"/>
        <v/>
      </c>
      <c r="BE699" s="30" t="str">
        <f t="shared" si="76"/>
        <v/>
      </c>
      <c r="BF699" s="30" t="str">
        <f t="shared" si="77"/>
        <v/>
      </c>
      <c r="BG699" s="30" t="str">
        <f t="shared" si="78"/>
        <v/>
      </c>
    </row>
    <row r="700" spans="1:59">
      <c r="A700" s="39"/>
      <c r="B700" s="39"/>
      <c r="C700" s="39"/>
      <c r="D700" s="39"/>
      <c r="E700" s="39"/>
      <c r="F700" s="39"/>
      <c r="G700" s="39"/>
      <c r="H700" s="39"/>
      <c r="I700" s="40"/>
      <c r="J700" s="40"/>
      <c r="K700" s="35"/>
      <c r="L700" s="35"/>
      <c r="M700" s="35"/>
      <c r="N700" s="39"/>
      <c r="O700" s="39"/>
      <c r="P700" s="39"/>
      <c r="Q700" s="39"/>
      <c r="R700" s="39"/>
      <c r="S700" s="39"/>
      <c r="T700" s="39"/>
      <c r="U700" s="39"/>
      <c r="V700" s="39"/>
      <c r="W700" s="39"/>
      <c r="X700" s="39"/>
      <c r="Y700" s="39"/>
      <c r="Z700" s="39"/>
      <c r="AA700" s="39"/>
      <c r="AB700" s="39"/>
      <c r="AC700" s="39"/>
      <c r="AD700" s="39"/>
      <c r="AE700" s="39"/>
      <c r="AF700" s="39"/>
      <c r="AG700" s="39"/>
      <c r="AH700" s="39"/>
      <c r="AI700" s="35"/>
      <c r="AJ700" s="39"/>
      <c r="AK700" s="39"/>
      <c r="AL700" s="39"/>
      <c r="AM700" s="35"/>
      <c r="AN700" s="35"/>
      <c r="AO700" s="39"/>
      <c r="AP700" s="39"/>
      <c r="AQ700" s="35"/>
      <c r="AR700" s="35"/>
      <c r="AS700" s="35"/>
      <c r="AT700" s="30">
        <f t="shared" ca="1" si="74"/>
        <v>0</v>
      </c>
      <c r="AU700" s="32" t="str">
        <f t="shared" ca="1" si="73"/>
        <v/>
      </c>
      <c r="AV700" s="32" t="str" cm="1">
        <f t="array" aca="1" ref="AV700" ca="1">IFERROR(_xlfn.IFS($AU700="","",$AU700&lt;=15,"0-15",AND($AU700&gt;=16,$AU700&lt;=30),"16-30",AND($AU700&gt;=31,$AU700&lt;=45),"31-45",AND($AU700&gt;=46,$AU700&lt;=60),"46-60",AND($AU700&gt;=61,$AU700&lt;=90),"61-90",AND($AU700&gt;=91),"&gt; 90",AND($AU700&gt;=2000),""),"")</f>
        <v/>
      </c>
      <c r="AW700" s="32" t="str" cm="1">
        <f t="array" aca="1" ref="AW700" ca="1">IFERROR(_xlfn.IFS(OR($M700="",$AM700=""),"",OR($C700="Offered",$C700="Joined"),($AM700-$M700)-$AT700),"")</f>
        <v/>
      </c>
      <c r="AX700" s="32" t="str" cm="1">
        <f t="array" aca="1" ref="AX700" ca="1">IFERROR(_xlfn.IFS(OR($M700="",$AS700=""),"",$C700="Joined",($AS700-$M700)-$AT700),"")</f>
        <v/>
      </c>
      <c r="AY700" s="30" t="str">
        <f>IFERROR(IF(COUNTIFS('Candidate Tracker'!$E:$E,'Positions Tracker'!$B700,'Candidate Tracker'!$C:$C,"Offer Drop")=0,"",COUNTIFS('Candidate Tracker'!$E:$E,'Positions Tracker'!$B700,'Candidate Tracker'!$C:$C,"Offer Drop")),"")</f>
        <v/>
      </c>
      <c r="AZ70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0" s="34" t="str">
        <f>IFERROR(IF(COUNTIFS('Candidate Tracker'!$E:$E,'Positions Tracker'!$B700,'Candidate Tracker'!$I:$I,"Female")=0,"",COUNTIFS('Candidate Tracker'!$E:$E,'Positions Tracker'!$B700,'Candidate Tracker'!$I:$I,"Female")),"")</f>
        <v/>
      </c>
      <c r="BB700" s="34" t="str">
        <f>IFERROR(IF(COUNTIFS('Candidate Tracker'!$E:$E,'Positions Tracker'!$B700,'Candidate Tracker'!$I:$I,"male")=0,"",COUNTIFS('Candidate Tracker'!$E:$E,'Positions Tracker'!$B700,'Candidate Tracker'!$I:$I,"male")),"")</f>
        <v/>
      </c>
      <c r="BC700" s="33" t="str">
        <f>IFERROR(IF(COUNTIFS('Candidate Tracker'!$E:$E,'Positions Tracker'!$B700,'Candidate Tracker'!$C:$C,"&lt;&gt;WIP",'Candidate Tracker'!$C:$C,"&lt;&gt;Hold",'Candidate Tracker'!$C:$C,"&lt;&gt;Cancelled",'Candidate Tracker'!$C:$C,"&lt;&gt;Closed")/COUNTIFS('Candidate Tracker'!$E:$E,'Positions Tracker'!$B700)=0,"",COUNTIFS('Candidate Tracker'!$E:$E,'Positions Tracker'!$B700,'Candidate Tracker'!$C:$C,"&lt;&gt;WIP",'Candidate Tracker'!$C:$C,"&lt;&gt;Hold",'Candidate Tracker'!$C:$C,"&lt;&gt;Cancelled",'Candidate Tracker'!$C:$C,"&lt;&gt;Closed")/COUNTIFS('Candidate Tracker'!$E:$E,'Positions Tracker'!$B700)),"")</f>
        <v/>
      </c>
      <c r="BD700" s="30" t="str">
        <f t="shared" si="75"/>
        <v/>
      </c>
      <c r="BE700" s="30" t="str">
        <f t="shared" si="76"/>
        <v/>
      </c>
      <c r="BF700" s="30" t="str">
        <f t="shared" si="77"/>
        <v/>
      </c>
      <c r="BG700" s="30" t="str">
        <f t="shared" si="78"/>
        <v/>
      </c>
    </row>
    <row r="701" spans="1:59">
      <c r="A701" s="39"/>
      <c r="B701" s="39"/>
      <c r="C701" s="39"/>
      <c r="D701" s="39"/>
      <c r="E701" s="39"/>
      <c r="F701" s="39"/>
      <c r="G701" s="39"/>
      <c r="H701" s="39"/>
      <c r="I701" s="40"/>
      <c r="J701" s="40"/>
      <c r="K701" s="35"/>
      <c r="L701" s="35"/>
      <c r="M701" s="35"/>
      <c r="N701" s="39"/>
      <c r="O701" s="39"/>
      <c r="P701" s="39"/>
      <c r="Q701" s="39"/>
      <c r="R701" s="39"/>
      <c r="S701" s="39"/>
      <c r="T701" s="39"/>
      <c r="U701" s="39"/>
      <c r="V701" s="39"/>
      <c r="W701" s="39"/>
      <c r="X701" s="39"/>
      <c r="Y701" s="39"/>
      <c r="Z701" s="39"/>
      <c r="AA701" s="39"/>
      <c r="AB701" s="39"/>
      <c r="AC701" s="39"/>
      <c r="AD701" s="39"/>
      <c r="AE701" s="39"/>
      <c r="AF701" s="39"/>
      <c r="AG701" s="39"/>
      <c r="AH701" s="39"/>
      <c r="AI701" s="35"/>
      <c r="AJ701" s="39"/>
      <c r="AK701" s="39"/>
      <c r="AL701" s="39"/>
      <c r="AM701" s="35"/>
      <c r="AN701" s="35"/>
      <c r="AO701" s="39"/>
      <c r="AP701" s="39"/>
      <c r="AQ701" s="35"/>
      <c r="AR701" s="35"/>
      <c r="AS701" s="35"/>
      <c r="AT701" s="30">
        <f t="shared" ca="1" si="74"/>
        <v>0</v>
      </c>
      <c r="AU701" s="32" t="str">
        <f t="shared" ca="1" si="73"/>
        <v/>
      </c>
      <c r="AV701" s="32" t="str" cm="1">
        <f t="array" aca="1" ref="AV701" ca="1">IFERROR(_xlfn.IFS($AU701="","",$AU701&lt;=15,"0-15",AND($AU701&gt;=16,$AU701&lt;=30),"16-30",AND($AU701&gt;=31,$AU701&lt;=45),"31-45",AND($AU701&gt;=46,$AU701&lt;=60),"46-60",AND($AU701&gt;=61,$AU701&lt;=90),"61-90",AND($AU701&gt;=91),"&gt; 90",AND($AU701&gt;=2000),""),"")</f>
        <v/>
      </c>
      <c r="AW701" s="32" t="str" cm="1">
        <f t="array" aca="1" ref="AW701" ca="1">IFERROR(_xlfn.IFS(OR($M701="",$AM701=""),"",OR($C701="Offered",$C701="Joined"),($AM701-$M701)-$AT701),"")</f>
        <v/>
      </c>
      <c r="AX701" s="32" t="str" cm="1">
        <f t="array" aca="1" ref="AX701" ca="1">IFERROR(_xlfn.IFS(OR($M701="",$AS701=""),"",$C701="Joined",($AS701-$M701)-$AT701),"")</f>
        <v/>
      </c>
      <c r="AY701" s="30" t="str">
        <f>IFERROR(IF(COUNTIFS('Candidate Tracker'!$E:$E,'Positions Tracker'!$B701,'Candidate Tracker'!$C:$C,"Offer Drop")=0,"",COUNTIFS('Candidate Tracker'!$E:$E,'Positions Tracker'!$B701,'Candidate Tracker'!$C:$C,"Offer Drop")),"")</f>
        <v/>
      </c>
      <c r="AZ70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1" s="34" t="str">
        <f>IFERROR(IF(COUNTIFS('Candidate Tracker'!$E:$E,'Positions Tracker'!$B701,'Candidate Tracker'!$I:$I,"Female")=0,"",COUNTIFS('Candidate Tracker'!$E:$E,'Positions Tracker'!$B701,'Candidate Tracker'!$I:$I,"Female")),"")</f>
        <v/>
      </c>
      <c r="BB701" s="34" t="str">
        <f>IFERROR(IF(COUNTIFS('Candidate Tracker'!$E:$E,'Positions Tracker'!$B701,'Candidate Tracker'!$I:$I,"male")=0,"",COUNTIFS('Candidate Tracker'!$E:$E,'Positions Tracker'!$B701,'Candidate Tracker'!$I:$I,"male")),"")</f>
        <v/>
      </c>
      <c r="BC701" s="33" t="str">
        <f>IFERROR(IF(COUNTIFS('Candidate Tracker'!$E:$E,'Positions Tracker'!$B701,'Candidate Tracker'!$C:$C,"&lt;&gt;WIP",'Candidate Tracker'!$C:$C,"&lt;&gt;Hold",'Candidate Tracker'!$C:$C,"&lt;&gt;Cancelled",'Candidate Tracker'!$C:$C,"&lt;&gt;Closed")/COUNTIFS('Candidate Tracker'!$E:$E,'Positions Tracker'!$B701)=0,"",COUNTIFS('Candidate Tracker'!$E:$E,'Positions Tracker'!$B701,'Candidate Tracker'!$C:$C,"&lt;&gt;WIP",'Candidate Tracker'!$C:$C,"&lt;&gt;Hold",'Candidate Tracker'!$C:$C,"&lt;&gt;Cancelled",'Candidate Tracker'!$C:$C,"&lt;&gt;Closed")/COUNTIFS('Candidate Tracker'!$E:$E,'Positions Tracker'!$B701)),"")</f>
        <v/>
      </c>
      <c r="BD701" s="30" t="str">
        <f t="shared" si="75"/>
        <v/>
      </c>
      <c r="BE701" s="30" t="str">
        <f t="shared" si="76"/>
        <v/>
      </c>
      <c r="BF701" s="30" t="str">
        <f t="shared" si="77"/>
        <v/>
      </c>
      <c r="BG701" s="30" t="str">
        <f t="shared" si="78"/>
        <v/>
      </c>
    </row>
    <row r="702" spans="1:59">
      <c r="A702" s="39"/>
      <c r="B702" s="39"/>
      <c r="C702" s="39"/>
      <c r="D702" s="39"/>
      <c r="E702" s="39"/>
      <c r="F702" s="39"/>
      <c r="G702" s="39"/>
      <c r="H702" s="39"/>
      <c r="I702" s="40"/>
      <c r="J702" s="40"/>
      <c r="K702" s="35"/>
      <c r="L702" s="35"/>
      <c r="M702" s="35"/>
      <c r="N702" s="39"/>
      <c r="O702" s="39"/>
      <c r="P702" s="39"/>
      <c r="Q702" s="39"/>
      <c r="R702" s="39"/>
      <c r="S702" s="39"/>
      <c r="T702" s="39"/>
      <c r="U702" s="39"/>
      <c r="V702" s="39"/>
      <c r="W702" s="39"/>
      <c r="X702" s="39"/>
      <c r="Y702" s="39"/>
      <c r="Z702" s="39"/>
      <c r="AA702" s="39"/>
      <c r="AB702" s="39"/>
      <c r="AC702" s="39"/>
      <c r="AD702" s="39"/>
      <c r="AE702" s="39"/>
      <c r="AF702" s="39"/>
      <c r="AG702" s="39"/>
      <c r="AH702" s="39"/>
      <c r="AI702" s="35"/>
      <c r="AJ702" s="39"/>
      <c r="AK702" s="39"/>
      <c r="AL702" s="39"/>
      <c r="AM702" s="35"/>
      <c r="AN702" s="35"/>
      <c r="AO702" s="39"/>
      <c r="AP702" s="39"/>
      <c r="AQ702" s="35"/>
      <c r="AR702" s="35"/>
      <c r="AS702" s="35"/>
      <c r="AT702" s="30">
        <f t="shared" ca="1" si="74"/>
        <v>0</v>
      </c>
      <c r="AU702" s="32" t="str">
        <f t="shared" ca="1" si="73"/>
        <v/>
      </c>
      <c r="AV702" s="32" t="str" cm="1">
        <f t="array" aca="1" ref="AV702" ca="1">IFERROR(_xlfn.IFS($AU702="","",$AU702&lt;=15,"0-15",AND($AU702&gt;=16,$AU702&lt;=30),"16-30",AND($AU702&gt;=31,$AU702&lt;=45),"31-45",AND($AU702&gt;=46,$AU702&lt;=60),"46-60",AND($AU702&gt;=61,$AU702&lt;=90),"61-90",AND($AU702&gt;=91),"&gt; 90",AND($AU702&gt;=2000),""),"")</f>
        <v/>
      </c>
      <c r="AW702" s="32" t="str" cm="1">
        <f t="array" aca="1" ref="AW702" ca="1">IFERROR(_xlfn.IFS(OR($M702="",$AM702=""),"",OR($C702="Offered",$C702="Joined"),($AM702-$M702)-$AT702),"")</f>
        <v/>
      </c>
      <c r="AX702" s="32" t="str" cm="1">
        <f t="array" aca="1" ref="AX702" ca="1">IFERROR(_xlfn.IFS(OR($M702="",$AS702=""),"",$C702="Joined",($AS702-$M702)-$AT702),"")</f>
        <v/>
      </c>
      <c r="AY702" s="30" t="str">
        <f>IFERROR(IF(COUNTIFS('Candidate Tracker'!$E:$E,'Positions Tracker'!$B702,'Candidate Tracker'!$C:$C,"Offer Drop")=0,"",COUNTIFS('Candidate Tracker'!$E:$E,'Positions Tracker'!$B702,'Candidate Tracker'!$C:$C,"Offer Drop")),"")</f>
        <v/>
      </c>
      <c r="AZ70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2" s="34" t="str">
        <f>IFERROR(IF(COUNTIFS('Candidate Tracker'!$E:$E,'Positions Tracker'!$B702,'Candidate Tracker'!$I:$I,"Female")=0,"",COUNTIFS('Candidate Tracker'!$E:$E,'Positions Tracker'!$B702,'Candidate Tracker'!$I:$I,"Female")),"")</f>
        <v/>
      </c>
      <c r="BB702" s="34" t="str">
        <f>IFERROR(IF(COUNTIFS('Candidate Tracker'!$E:$E,'Positions Tracker'!$B702,'Candidate Tracker'!$I:$I,"male")=0,"",COUNTIFS('Candidate Tracker'!$E:$E,'Positions Tracker'!$B702,'Candidate Tracker'!$I:$I,"male")),"")</f>
        <v/>
      </c>
      <c r="BC702" s="33" t="str">
        <f>IFERROR(IF(COUNTIFS('Candidate Tracker'!$E:$E,'Positions Tracker'!$B702,'Candidate Tracker'!$C:$C,"&lt;&gt;WIP",'Candidate Tracker'!$C:$C,"&lt;&gt;Hold",'Candidate Tracker'!$C:$C,"&lt;&gt;Cancelled",'Candidate Tracker'!$C:$C,"&lt;&gt;Closed")/COUNTIFS('Candidate Tracker'!$E:$E,'Positions Tracker'!$B702)=0,"",COUNTIFS('Candidate Tracker'!$E:$E,'Positions Tracker'!$B702,'Candidate Tracker'!$C:$C,"&lt;&gt;WIP",'Candidate Tracker'!$C:$C,"&lt;&gt;Hold",'Candidate Tracker'!$C:$C,"&lt;&gt;Cancelled",'Candidate Tracker'!$C:$C,"&lt;&gt;Closed")/COUNTIFS('Candidate Tracker'!$E:$E,'Positions Tracker'!$B702)),"")</f>
        <v/>
      </c>
      <c r="BD702" s="30" t="str">
        <f t="shared" si="75"/>
        <v/>
      </c>
      <c r="BE702" s="30" t="str">
        <f t="shared" si="76"/>
        <v/>
      </c>
      <c r="BF702" s="30" t="str">
        <f t="shared" si="77"/>
        <v/>
      </c>
      <c r="BG702" s="30" t="str">
        <f t="shared" si="78"/>
        <v/>
      </c>
    </row>
    <row r="703" spans="1:59">
      <c r="A703" s="39"/>
      <c r="B703" s="39"/>
      <c r="C703" s="39"/>
      <c r="D703" s="39"/>
      <c r="E703" s="39"/>
      <c r="F703" s="39"/>
      <c r="G703" s="39"/>
      <c r="H703" s="39"/>
      <c r="I703" s="40"/>
      <c r="J703" s="40"/>
      <c r="K703" s="35"/>
      <c r="L703" s="35"/>
      <c r="M703" s="35"/>
      <c r="N703" s="39"/>
      <c r="O703" s="39"/>
      <c r="P703" s="39"/>
      <c r="Q703" s="39"/>
      <c r="R703" s="39"/>
      <c r="S703" s="39"/>
      <c r="T703" s="39"/>
      <c r="U703" s="39"/>
      <c r="V703" s="39"/>
      <c r="W703" s="39"/>
      <c r="X703" s="39"/>
      <c r="Y703" s="39"/>
      <c r="Z703" s="39"/>
      <c r="AA703" s="39"/>
      <c r="AB703" s="39"/>
      <c r="AC703" s="39"/>
      <c r="AD703" s="39"/>
      <c r="AE703" s="39"/>
      <c r="AF703" s="39"/>
      <c r="AG703" s="39"/>
      <c r="AH703" s="39"/>
      <c r="AI703" s="35"/>
      <c r="AJ703" s="39"/>
      <c r="AK703" s="39"/>
      <c r="AL703" s="39"/>
      <c r="AM703" s="35"/>
      <c r="AN703" s="35"/>
      <c r="AO703" s="39"/>
      <c r="AP703" s="39"/>
      <c r="AQ703" s="35"/>
      <c r="AR703" s="35"/>
      <c r="AS703" s="35"/>
      <c r="AT703" s="30">
        <f t="shared" ca="1" si="74"/>
        <v>0</v>
      </c>
      <c r="AU703" s="32" t="str">
        <f t="shared" ca="1" si="73"/>
        <v/>
      </c>
      <c r="AV703" s="32" t="str" cm="1">
        <f t="array" aca="1" ref="AV703" ca="1">IFERROR(_xlfn.IFS($AU703="","",$AU703&lt;=15,"0-15",AND($AU703&gt;=16,$AU703&lt;=30),"16-30",AND($AU703&gt;=31,$AU703&lt;=45),"31-45",AND($AU703&gt;=46,$AU703&lt;=60),"46-60",AND($AU703&gt;=61,$AU703&lt;=90),"61-90",AND($AU703&gt;=91),"&gt; 90",AND($AU703&gt;=2000),""),"")</f>
        <v/>
      </c>
      <c r="AW703" s="32" t="str" cm="1">
        <f t="array" aca="1" ref="AW703" ca="1">IFERROR(_xlfn.IFS(OR($M703="",$AM703=""),"",OR($C703="Offered",$C703="Joined"),($AM703-$M703)-$AT703),"")</f>
        <v/>
      </c>
      <c r="AX703" s="32" t="str" cm="1">
        <f t="array" aca="1" ref="AX703" ca="1">IFERROR(_xlfn.IFS(OR($M703="",$AS703=""),"",$C703="Joined",($AS703-$M703)-$AT703),"")</f>
        <v/>
      </c>
      <c r="AY703" s="30" t="str">
        <f>IFERROR(IF(COUNTIFS('Candidate Tracker'!$E:$E,'Positions Tracker'!$B703,'Candidate Tracker'!$C:$C,"Offer Drop")=0,"",COUNTIFS('Candidate Tracker'!$E:$E,'Positions Tracker'!$B703,'Candidate Tracker'!$C:$C,"Offer Drop")),"")</f>
        <v/>
      </c>
      <c r="AZ70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3" s="34" t="str">
        <f>IFERROR(IF(COUNTIFS('Candidate Tracker'!$E:$E,'Positions Tracker'!$B703,'Candidate Tracker'!$I:$I,"Female")=0,"",COUNTIFS('Candidate Tracker'!$E:$E,'Positions Tracker'!$B703,'Candidate Tracker'!$I:$I,"Female")),"")</f>
        <v/>
      </c>
      <c r="BB703" s="34" t="str">
        <f>IFERROR(IF(COUNTIFS('Candidate Tracker'!$E:$E,'Positions Tracker'!$B703,'Candidate Tracker'!$I:$I,"male")=0,"",COUNTIFS('Candidate Tracker'!$E:$E,'Positions Tracker'!$B703,'Candidate Tracker'!$I:$I,"male")),"")</f>
        <v/>
      </c>
      <c r="BC703" s="33" t="str">
        <f>IFERROR(IF(COUNTIFS('Candidate Tracker'!$E:$E,'Positions Tracker'!$B703,'Candidate Tracker'!$C:$C,"&lt;&gt;WIP",'Candidate Tracker'!$C:$C,"&lt;&gt;Hold",'Candidate Tracker'!$C:$C,"&lt;&gt;Cancelled",'Candidate Tracker'!$C:$C,"&lt;&gt;Closed")/COUNTIFS('Candidate Tracker'!$E:$E,'Positions Tracker'!$B703)=0,"",COUNTIFS('Candidate Tracker'!$E:$E,'Positions Tracker'!$B703,'Candidate Tracker'!$C:$C,"&lt;&gt;WIP",'Candidate Tracker'!$C:$C,"&lt;&gt;Hold",'Candidate Tracker'!$C:$C,"&lt;&gt;Cancelled",'Candidate Tracker'!$C:$C,"&lt;&gt;Closed")/COUNTIFS('Candidate Tracker'!$E:$E,'Positions Tracker'!$B703)),"")</f>
        <v/>
      </c>
      <c r="BD703" s="30" t="str">
        <f t="shared" si="75"/>
        <v/>
      </c>
      <c r="BE703" s="30" t="str">
        <f t="shared" si="76"/>
        <v/>
      </c>
      <c r="BF703" s="30" t="str">
        <f t="shared" si="77"/>
        <v/>
      </c>
      <c r="BG703" s="30" t="str">
        <f t="shared" si="78"/>
        <v/>
      </c>
    </row>
    <row r="704" spans="1:59">
      <c r="A704" s="39"/>
      <c r="B704" s="39"/>
      <c r="C704" s="39"/>
      <c r="D704" s="39"/>
      <c r="E704" s="39"/>
      <c r="F704" s="39"/>
      <c r="G704" s="39"/>
      <c r="H704" s="39"/>
      <c r="I704" s="40"/>
      <c r="J704" s="40"/>
      <c r="K704" s="35"/>
      <c r="L704" s="35"/>
      <c r="M704" s="35"/>
      <c r="N704" s="39"/>
      <c r="O704" s="39"/>
      <c r="P704" s="39"/>
      <c r="Q704" s="39"/>
      <c r="R704" s="39"/>
      <c r="S704" s="39"/>
      <c r="T704" s="39"/>
      <c r="U704" s="39"/>
      <c r="V704" s="39"/>
      <c r="W704" s="39"/>
      <c r="X704" s="39"/>
      <c r="Y704" s="39"/>
      <c r="Z704" s="39"/>
      <c r="AA704" s="39"/>
      <c r="AB704" s="39"/>
      <c r="AC704" s="39"/>
      <c r="AD704" s="39"/>
      <c r="AE704" s="39"/>
      <c r="AF704" s="39"/>
      <c r="AG704" s="39"/>
      <c r="AH704" s="39"/>
      <c r="AI704" s="35"/>
      <c r="AJ704" s="39"/>
      <c r="AK704" s="39"/>
      <c r="AL704" s="39"/>
      <c r="AM704" s="35"/>
      <c r="AN704" s="35"/>
      <c r="AO704" s="39"/>
      <c r="AP704" s="39"/>
      <c r="AQ704" s="35"/>
      <c r="AR704" s="35"/>
      <c r="AS704" s="35"/>
      <c r="AT704" s="30">
        <f t="shared" ca="1" si="74"/>
        <v>0</v>
      </c>
      <c r="AU704" s="32" t="str">
        <f t="shared" ref="AU704:AU767" ca="1" si="79">IFERROR(IF(($M704=""),"",IF(OR(,$C704="Offer in Progress",$C704="WIP",$C704="WIP/Drop",$C704="WIP/New",$C704="WIP/Hold"),(TODAY()-$M704)-$AT704,"")),"")</f>
        <v/>
      </c>
      <c r="AV704" s="32" t="str" cm="1">
        <f t="array" aca="1" ref="AV704" ca="1">IFERROR(_xlfn.IFS($AU704="","",$AU704&lt;=15,"0-15",AND($AU704&gt;=16,$AU704&lt;=30),"16-30",AND($AU704&gt;=31,$AU704&lt;=45),"31-45",AND($AU704&gt;=46,$AU704&lt;=60),"46-60",AND($AU704&gt;=61,$AU704&lt;=90),"61-90",AND($AU704&gt;=91),"&gt; 90",AND($AU704&gt;=2000),""),"")</f>
        <v/>
      </c>
      <c r="AW704" s="32" t="str" cm="1">
        <f t="array" aca="1" ref="AW704" ca="1">IFERROR(_xlfn.IFS(OR($M704="",$AM704=""),"",OR($C704="Offered",$C704="Joined"),($AM704-$M704)-$AT704),"")</f>
        <v/>
      </c>
      <c r="AX704" s="32" t="str" cm="1">
        <f t="array" aca="1" ref="AX704" ca="1">IFERROR(_xlfn.IFS(OR($M704="",$AS704=""),"",$C704="Joined",($AS704-$M704)-$AT704),"")</f>
        <v/>
      </c>
      <c r="AY704" s="30" t="str">
        <f>IFERROR(IF(COUNTIFS('Candidate Tracker'!$E:$E,'Positions Tracker'!$B704,'Candidate Tracker'!$C:$C,"Offer Drop")=0,"",COUNTIFS('Candidate Tracker'!$E:$E,'Positions Tracker'!$B704,'Candidate Tracker'!$C:$C,"Offer Drop")),"")</f>
        <v/>
      </c>
      <c r="AZ70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4" s="34" t="str">
        <f>IFERROR(IF(COUNTIFS('Candidate Tracker'!$E:$E,'Positions Tracker'!$B704,'Candidate Tracker'!$I:$I,"Female")=0,"",COUNTIFS('Candidate Tracker'!$E:$E,'Positions Tracker'!$B704,'Candidate Tracker'!$I:$I,"Female")),"")</f>
        <v/>
      </c>
      <c r="BB704" s="34" t="str">
        <f>IFERROR(IF(COUNTIFS('Candidate Tracker'!$E:$E,'Positions Tracker'!$B704,'Candidate Tracker'!$I:$I,"male")=0,"",COUNTIFS('Candidate Tracker'!$E:$E,'Positions Tracker'!$B704,'Candidate Tracker'!$I:$I,"male")),"")</f>
        <v/>
      </c>
      <c r="BC704" s="33" t="str">
        <f>IFERROR(IF(COUNTIFS('Candidate Tracker'!$E:$E,'Positions Tracker'!$B704,'Candidate Tracker'!$C:$C,"&lt;&gt;WIP",'Candidate Tracker'!$C:$C,"&lt;&gt;Hold",'Candidate Tracker'!$C:$C,"&lt;&gt;Cancelled",'Candidate Tracker'!$C:$C,"&lt;&gt;Closed")/COUNTIFS('Candidate Tracker'!$E:$E,'Positions Tracker'!$B704)=0,"",COUNTIFS('Candidate Tracker'!$E:$E,'Positions Tracker'!$B704,'Candidate Tracker'!$C:$C,"&lt;&gt;WIP",'Candidate Tracker'!$C:$C,"&lt;&gt;Hold",'Candidate Tracker'!$C:$C,"&lt;&gt;Cancelled",'Candidate Tracker'!$C:$C,"&lt;&gt;Closed")/COUNTIFS('Candidate Tracker'!$E:$E,'Positions Tracker'!$B704)),"")</f>
        <v/>
      </c>
      <c r="BD704" s="30" t="str">
        <f t="shared" si="75"/>
        <v/>
      </c>
      <c r="BE704" s="30" t="str">
        <f t="shared" si="76"/>
        <v/>
      </c>
      <c r="BF704" s="30" t="str">
        <f t="shared" si="77"/>
        <v/>
      </c>
      <c r="BG704" s="30" t="str">
        <f t="shared" si="78"/>
        <v/>
      </c>
    </row>
    <row r="705" spans="1:59">
      <c r="A705" s="39"/>
      <c r="B705" s="39"/>
      <c r="C705" s="39"/>
      <c r="D705" s="39"/>
      <c r="E705" s="39"/>
      <c r="F705" s="39"/>
      <c r="G705" s="39"/>
      <c r="H705" s="39"/>
      <c r="I705" s="40"/>
      <c r="J705" s="40"/>
      <c r="K705" s="35"/>
      <c r="L705" s="35"/>
      <c r="M705" s="35"/>
      <c r="N705" s="39"/>
      <c r="O705" s="39"/>
      <c r="P705" s="39"/>
      <c r="Q705" s="39"/>
      <c r="R705" s="39"/>
      <c r="S705" s="39"/>
      <c r="T705" s="39"/>
      <c r="U705" s="39"/>
      <c r="V705" s="39"/>
      <c r="W705" s="39"/>
      <c r="X705" s="39"/>
      <c r="Y705" s="39"/>
      <c r="Z705" s="39"/>
      <c r="AA705" s="39"/>
      <c r="AB705" s="39"/>
      <c r="AC705" s="39"/>
      <c r="AD705" s="39"/>
      <c r="AE705" s="39"/>
      <c r="AF705" s="39"/>
      <c r="AG705" s="39"/>
      <c r="AH705" s="39"/>
      <c r="AI705" s="35"/>
      <c r="AJ705" s="39"/>
      <c r="AK705" s="39"/>
      <c r="AL705" s="39"/>
      <c r="AM705" s="35"/>
      <c r="AN705" s="35"/>
      <c r="AO705" s="39"/>
      <c r="AP705" s="39"/>
      <c r="AQ705" s="35"/>
      <c r="AR705" s="35"/>
      <c r="AS705" s="35"/>
      <c r="AT705" s="30">
        <f t="shared" ref="AT705:AT768" ca="1" si="80">IFERROR(SUM(IF(AND(ISBLANK(T705),ISBLANK(Q705)),0,IF(T705="",TODAY()-Q705,T705-Q705))+IF(AND(ISBLANK(S705),ISBLANK(P705)),0,IF(S705="",TODAY()-P705,S705-P705))+IF(AND(ISBLANK(O705),ISBLANK(R705)),0,IF(R705="",TODAY()-O705,R705-O705))),"")</f>
        <v>0</v>
      </c>
      <c r="AU705" s="32" t="str">
        <f t="shared" ca="1" si="79"/>
        <v/>
      </c>
      <c r="AV705" s="32" t="str" cm="1">
        <f t="array" aca="1" ref="AV705" ca="1">IFERROR(_xlfn.IFS($AU705="","",$AU705&lt;=15,"0-15",AND($AU705&gt;=16,$AU705&lt;=30),"16-30",AND($AU705&gt;=31,$AU705&lt;=45),"31-45",AND($AU705&gt;=46,$AU705&lt;=60),"46-60",AND($AU705&gt;=61,$AU705&lt;=90),"61-90",AND($AU705&gt;=91),"&gt; 90",AND($AU705&gt;=2000),""),"")</f>
        <v/>
      </c>
      <c r="AW705" s="32" t="str" cm="1">
        <f t="array" aca="1" ref="AW705" ca="1">IFERROR(_xlfn.IFS(OR($M705="",$AM705=""),"",OR($C705="Offered",$C705="Joined"),($AM705-$M705)-$AT705),"")</f>
        <v/>
      </c>
      <c r="AX705" s="32" t="str" cm="1">
        <f t="array" aca="1" ref="AX705" ca="1">IFERROR(_xlfn.IFS(OR($M705="",$AS705=""),"",$C705="Joined",($AS705-$M705)-$AT705),"")</f>
        <v/>
      </c>
      <c r="AY705" s="30" t="str">
        <f>IFERROR(IF(COUNTIFS('Candidate Tracker'!$E:$E,'Positions Tracker'!$B705,'Candidate Tracker'!$C:$C,"Offer Drop")=0,"",COUNTIFS('Candidate Tracker'!$E:$E,'Positions Tracker'!$B705,'Candidate Tracker'!$C:$C,"Offer Drop")),"")</f>
        <v/>
      </c>
      <c r="AZ70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5" s="34" t="str">
        <f>IFERROR(IF(COUNTIFS('Candidate Tracker'!$E:$E,'Positions Tracker'!$B705,'Candidate Tracker'!$I:$I,"Female")=0,"",COUNTIFS('Candidate Tracker'!$E:$E,'Positions Tracker'!$B705,'Candidate Tracker'!$I:$I,"Female")),"")</f>
        <v/>
      </c>
      <c r="BB705" s="34" t="str">
        <f>IFERROR(IF(COUNTIFS('Candidate Tracker'!$E:$E,'Positions Tracker'!$B705,'Candidate Tracker'!$I:$I,"male")=0,"",COUNTIFS('Candidate Tracker'!$E:$E,'Positions Tracker'!$B705,'Candidate Tracker'!$I:$I,"male")),"")</f>
        <v/>
      </c>
      <c r="BC705" s="33" t="str">
        <f>IFERROR(IF(COUNTIFS('Candidate Tracker'!$E:$E,'Positions Tracker'!$B705,'Candidate Tracker'!$C:$C,"&lt;&gt;WIP",'Candidate Tracker'!$C:$C,"&lt;&gt;Hold",'Candidate Tracker'!$C:$C,"&lt;&gt;Cancelled",'Candidate Tracker'!$C:$C,"&lt;&gt;Closed")/COUNTIFS('Candidate Tracker'!$E:$E,'Positions Tracker'!$B705)=0,"",COUNTIFS('Candidate Tracker'!$E:$E,'Positions Tracker'!$B705,'Candidate Tracker'!$C:$C,"&lt;&gt;WIP",'Candidate Tracker'!$C:$C,"&lt;&gt;Hold",'Candidate Tracker'!$C:$C,"&lt;&gt;Cancelled",'Candidate Tracker'!$C:$C,"&lt;&gt;Closed")/COUNTIFS('Candidate Tracker'!$E:$E,'Positions Tracker'!$B705)),"")</f>
        <v/>
      </c>
      <c r="BD705" s="30" t="str">
        <f t="shared" ref="BD705:BD768" si="81">IFERROR(IF($M705="","",TEXT($M705,"MMM-YY")),"")</f>
        <v/>
      </c>
      <c r="BE705" s="30" t="str">
        <f t="shared" ref="BE705:BE768" si="82">IFERROR(IF($AI705="","",TEXT($AI705,"MMM-YY")),"")</f>
        <v/>
      </c>
      <c r="BF705" s="30" t="str">
        <f t="shared" ref="BF705:BF768" si="83">IFERROR(IF($AM705="","",TEXT($AM705,"MMM-YY")),"")</f>
        <v/>
      </c>
      <c r="BG705" s="30" t="str">
        <f t="shared" ref="BG705:BG768" si="84">IFERROR(IF($AS705="","",TEXT($AS705,"MMM-YY")),"")</f>
        <v/>
      </c>
    </row>
    <row r="706" spans="1:59">
      <c r="A706" s="39"/>
      <c r="B706" s="39"/>
      <c r="C706" s="39"/>
      <c r="D706" s="39"/>
      <c r="E706" s="39"/>
      <c r="F706" s="39"/>
      <c r="G706" s="39"/>
      <c r="H706" s="39"/>
      <c r="I706" s="40"/>
      <c r="J706" s="40"/>
      <c r="K706" s="35"/>
      <c r="L706" s="35"/>
      <c r="M706" s="35"/>
      <c r="N706" s="39"/>
      <c r="O706" s="39"/>
      <c r="P706" s="39"/>
      <c r="Q706" s="39"/>
      <c r="R706" s="39"/>
      <c r="S706" s="39"/>
      <c r="T706" s="39"/>
      <c r="U706" s="39"/>
      <c r="V706" s="39"/>
      <c r="W706" s="39"/>
      <c r="X706" s="39"/>
      <c r="Y706" s="39"/>
      <c r="Z706" s="39"/>
      <c r="AA706" s="39"/>
      <c r="AB706" s="39"/>
      <c r="AC706" s="39"/>
      <c r="AD706" s="39"/>
      <c r="AE706" s="39"/>
      <c r="AF706" s="39"/>
      <c r="AG706" s="39"/>
      <c r="AH706" s="39"/>
      <c r="AI706" s="35"/>
      <c r="AJ706" s="39"/>
      <c r="AK706" s="39"/>
      <c r="AL706" s="39"/>
      <c r="AM706" s="35"/>
      <c r="AN706" s="35"/>
      <c r="AO706" s="39"/>
      <c r="AP706" s="39"/>
      <c r="AQ706" s="35"/>
      <c r="AR706" s="35"/>
      <c r="AS706" s="35"/>
      <c r="AT706" s="30">
        <f t="shared" ca="1" si="80"/>
        <v>0</v>
      </c>
      <c r="AU706" s="32" t="str">
        <f t="shared" ca="1" si="79"/>
        <v/>
      </c>
      <c r="AV706" s="32" t="str" cm="1">
        <f t="array" aca="1" ref="AV706" ca="1">IFERROR(_xlfn.IFS($AU706="","",$AU706&lt;=15,"0-15",AND($AU706&gt;=16,$AU706&lt;=30),"16-30",AND($AU706&gt;=31,$AU706&lt;=45),"31-45",AND($AU706&gt;=46,$AU706&lt;=60),"46-60",AND($AU706&gt;=61,$AU706&lt;=90),"61-90",AND($AU706&gt;=91),"&gt; 90",AND($AU706&gt;=2000),""),"")</f>
        <v/>
      </c>
      <c r="AW706" s="32" t="str" cm="1">
        <f t="array" aca="1" ref="AW706" ca="1">IFERROR(_xlfn.IFS(OR($M706="",$AM706=""),"",OR($C706="Offered",$C706="Joined"),($AM706-$M706)-$AT706),"")</f>
        <v/>
      </c>
      <c r="AX706" s="32" t="str" cm="1">
        <f t="array" aca="1" ref="AX706" ca="1">IFERROR(_xlfn.IFS(OR($M706="",$AS706=""),"",$C706="Joined",($AS706-$M706)-$AT706),"")</f>
        <v/>
      </c>
      <c r="AY706" s="30" t="str">
        <f>IFERROR(IF(COUNTIFS('Candidate Tracker'!$E:$E,'Positions Tracker'!$B706,'Candidate Tracker'!$C:$C,"Offer Drop")=0,"",COUNTIFS('Candidate Tracker'!$E:$E,'Positions Tracker'!$B706,'Candidate Tracker'!$C:$C,"Offer Drop")),"")</f>
        <v/>
      </c>
      <c r="AZ70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6" s="34" t="str">
        <f>IFERROR(IF(COUNTIFS('Candidate Tracker'!$E:$E,'Positions Tracker'!$B706,'Candidate Tracker'!$I:$I,"Female")=0,"",COUNTIFS('Candidate Tracker'!$E:$E,'Positions Tracker'!$B706,'Candidate Tracker'!$I:$I,"Female")),"")</f>
        <v/>
      </c>
      <c r="BB706" s="34" t="str">
        <f>IFERROR(IF(COUNTIFS('Candidate Tracker'!$E:$E,'Positions Tracker'!$B706,'Candidate Tracker'!$I:$I,"male")=0,"",COUNTIFS('Candidate Tracker'!$E:$E,'Positions Tracker'!$B706,'Candidate Tracker'!$I:$I,"male")),"")</f>
        <v/>
      </c>
      <c r="BC706" s="33" t="str">
        <f>IFERROR(IF(COUNTIFS('Candidate Tracker'!$E:$E,'Positions Tracker'!$B706,'Candidate Tracker'!$C:$C,"&lt;&gt;WIP",'Candidate Tracker'!$C:$C,"&lt;&gt;Hold",'Candidate Tracker'!$C:$C,"&lt;&gt;Cancelled",'Candidate Tracker'!$C:$C,"&lt;&gt;Closed")/COUNTIFS('Candidate Tracker'!$E:$E,'Positions Tracker'!$B706)=0,"",COUNTIFS('Candidate Tracker'!$E:$E,'Positions Tracker'!$B706,'Candidate Tracker'!$C:$C,"&lt;&gt;WIP",'Candidate Tracker'!$C:$C,"&lt;&gt;Hold",'Candidate Tracker'!$C:$C,"&lt;&gt;Cancelled",'Candidate Tracker'!$C:$C,"&lt;&gt;Closed")/COUNTIFS('Candidate Tracker'!$E:$E,'Positions Tracker'!$B706)),"")</f>
        <v/>
      </c>
      <c r="BD706" s="30" t="str">
        <f t="shared" si="81"/>
        <v/>
      </c>
      <c r="BE706" s="30" t="str">
        <f t="shared" si="82"/>
        <v/>
      </c>
      <c r="BF706" s="30" t="str">
        <f t="shared" si="83"/>
        <v/>
      </c>
      <c r="BG706" s="30" t="str">
        <f t="shared" si="84"/>
        <v/>
      </c>
    </row>
    <row r="707" spans="1:59">
      <c r="A707" s="39"/>
      <c r="B707" s="39"/>
      <c r="C707" s="39"/>
      <c r="D707" s="39"/>
      <c r="E707" s="39"/>
      <c r="F707" s="39"/>
      <c r="G707" s="39"/>
      <c r="H707" s="39"/>
      <c r="I707" s="40"/>
      <c r="J707" s="40"/>
      <c r="K707" s="35"/>
      <c r="L707" s="35"/>
      <c r="M707" s="35"/>
      <c r="N707" s="39"/>
      <c r="O707" s="39"/>
      <c r="P707" s="39"/>
      <c r="Q707" s="39"/>
      <c r="R707" s="39"/>
      <c r="S707" s="39"/>
      <c r="T707" s="39"/>
      <c r="U707" s="39"/>
      <c r="V707" s="39"/>
      <c r="W707" s="39"/>
      <c r="X707" s="39"/>
      <c r="Y707" s="39"/>
      <c r="Z707" s="39"/>
      <c r="AA707" s="39"/>
      <c r="AB707" s="39"/>
      <c r="AC707" s="39"/>
      <c r="AD707" s="39"/>
      <c r="AE707" s="39"/>
      <c r="AF707" s="39"/>
      <c r="AG707" s="39"/>
      <c r="AH707" s="39"/>
      <c r="AI707" s="35"/>
      <c r="AJ707" s="39"/>
      <c r="AK707" s="39"/>
      <c r="AL707" s="39"/>
      <c r="AM707" s="35"/>
      <c r="AN707" s="35"/>
      <c r="AO707" s="39"/>
      <c r="AP707" s="39"/>
      <c r="AQ707" s="35"/>
      <c r="AR707" s="35"/>
      <c r="AS707" s="35"/>
      <c r="AT707" s="30">
        <f t="shared" ca="1" si="80"/>
        <v>0</v>
      </c>
      <c r="AU707" s="32" t="str">
        <f t="shared" ca="1" si="79"/>
        <v/>
      </c>
      <c r="AV707" s="32" t="str" cm="1">
        <f t="array" aca="1" ref="AV707" ca="1">IFERROR(_xlfn.IFS($AU707="","",$AU707&lt;=15,"0-15",AND($AU707&gt;=16,$AU707&lt;=30),"16-30",AND($AU707&gt;=31,$AU707&lt;=45),"31-45",AND($AU707&gt;=46,$AU707&lt;=60),"46-60",AND($AU707&gt;=61,$AU707&lt;=90),"61-90",AND($AU707&gt;=91),"&gt; 90",AND($AU707&gt;=2000),""),"")</f>
        <v/>
      </c>
      <c r="AW707" s="32" t="str" cm="1">
        <f t="array" aca="1" ref="AW707" ca="1">IFERROR(_xlfn.IFS(OR($M707="",$AM707=""),"",OR($C707="Offered",$C707="Joined"),($AM707-$M707)-$AT707),"")</f>
        <v/>
      </c>
      <c r="AX707" s="32" t="str" cm="1">
        <f t="array" aca="1" ref="AX707" ca="1">IFERROR(_xlfn.IFS(OR($M707="",$AS707=""),"",$C707="Joined",($AS707-$M707)-$AT707),"")</f>
        <v/>
      </c>
      <c r="AY707" s="30" t="str">
        <f>IFERROR(IF(COUNTIFS('Candidate Tracker'!$E:$E,'Positions Tracker'!$B707,'Candidate Tracker'!$C:$C,"Offer Drop")=0,"",COUNTIFS('Candidate Tracker'!$E:$E,'Positions Tracker'!$B707,'Candidate Tracker'!$C:$C,"Offer Drop")),"")</f>
        <v/>
      </c>
      <c r="AZ70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7" s="34" t="str">
        <f>IFERROR(IF(COUNTIFS('Candidate Tracker'!$E:$E,'Positions Tracker'!$B707,'Candidate Tracker'!$I:$I,"Female")=0,"",COUNTIFS('Candidate Tracker'!$E:$E,'Positions Tracker'!$B707,'Candidate Tracker'!$I:$I,"Female")),"")</f>
        <v/>
      </c>
      <c r="BB707" s="34" t="str">
        <f>IFERROR(IF(COUNTIFS('Candidate Tracker'!$E:$E,'Positions Tracker'!$B707,'Candidate Tracker'!$I:$I,"male")=0,"",COUNTIFS('Candidate Tracker'!$E:$E,'Positions Tracker'!$B707,'Candidate Tracker'!$I:$I,"male")),"")</f>
        <v/>
      </c>
      <c r="BC707" s="33" t="str">
        <f>IFERROR(IF(COUNTIFS('Candidate Tracker'!$E:$E,'Positions Tracker'!$B707,'Candidate Tracker'!$C:$C,"&lt;&gt;WIP",'Candidate Tracker'!$C:$C,"&lt;&gt;Hold",'Candidate Tracker'!$C:$C,"&lt;&gt;Cancelled",'Candidate Tracker'!$C:$C,"&lt;&gt;Closed")/COUNTIFS('Candidate Tracker'!$E:$E,'Positions Tracker'!$B707)=0,"",COUNTIFS('Candidate Tracker'!$E:$E,'Positions Tracker'!$B707,'Candidate Tracker'!$C:$C,"&lt;&gt;WIP",'Candidate Tracker'!$C:$C,"&lt;&gt;Hold",'Candidate Tracker'!$C:$C,"&lt;&gt;Cancelled",'Candidate Tracker'!$C:$C,"&lt;&gt;Closed")/COUNTIFS('Candidate Tracker'!$E:$E,'Positions Tracker'!$B707)),"")</f>
        <v/>
      </c>
      <c r="BD707" s="30" t="str">
        <f t="shared" si="81"/>
        <v/>
      </c>
      <c r="BE707" s="30" t="str">
        <f t="shared" si="82"/>
        <v/>
      </c>
      <c r="BF707" s="30" t="str">
        <f t="shared" si="83"/>
        <v/>
      </c>
      <c r="BG707" s="30" t="str">
        <f t="shared" si="84"/>
        <v/>
      </c>
    </row>
    <row r="708" spans="1:59">
      <c r="A708" s="39"/>
      <c r="B708" s="39"/>
      <c r="C708" s="39"/>
      <c r="D708" s="39"/>
      <c r="E708" s="39"/>
      <c r="F708" s="39"/>
      <c r="G708" s="39"/>
      <c r="H708" s="39"/>
      <c r="I708" s="40"/>
      <c r="J708" s="40"/>
      <c r="K708" s="35"/>
      <c r="L708" s="35"/>
      <c r="M708" s="35"/>
      <c r="N708" s="39"/>
      <c r="O708" s="39"/>
      <c r="P708" s="39"/>
      <c r="Q708" s="39"/>
      <c r="R708" s="39"/>
      <c r="S708" s="39"/>
      <c r="T708" s="39"/>
      <c r="U708" s="39"/>
      <c r="V708" s="39"/>
      <c r="W708" s="39"/>
      <c r="X708" s="39"/>
      <c r="Y708" s="39"/>
      <c r="Z708" s="39"/>
      <c r="AA708" s="39"/>
      <c r="AB708" s="39"/>
      <c r="AC708" s="39"/>
      <c r="AD708" s="39"/>
      <c r="AE708" s="39"/>
      <c r="AF708" s="39"/>
      <c r="AG708" s="39"/>
      <c r="AH708" s="39"/>
      <c r="AI708" s="35"/>
      <c r="AJ708" s="39"/>
      <c r="AK708" s="39"/>
      <c r="AL708" s="39"/>
      <c r="AM708" s="35"/>
      <c r="AN708" s="35"/>
      <c r="AO708" s="39"/>
      <c r="AP708" s="39"/>
      <c r="AQ708" s="35"/>
      <c r="AR708" s="35"/>
      <c r="AS708" s="35"/>
      <c r="AT708" s="30">
        <f t="shared" ca="1" si="80"/>
        <v>0</v>
      </c>
      <c r="AU708" s="32" t="str">
        <f t="shared" ca="1" si="79"/>
        <v/>
      </c>
      <c r="AV708" s="32" t="str" cm="1">
        <f t="array" aca="1" ref="AV708" ca="1">IFERROR(_xlfn.IFS($AU708="","",$AU708&lt;=15,"0-15",AND($AU708&gt;=16,$AU708&lt;=30),"16-30",AND($AU708&gt;=31,$AU708&lt;=45),"31-45",AND($AU708&gt;=46,$AU708&lt;=60),"46-60",AND($AU708&gt;=61,$AU708&lt;=90),"61-90",AND($AU708&gt;=91),"&gt; 90",AND($AU708&gt;=2000),""),"")</f>
        <v/>
      </c>
      <c r="AW708" s="32" t="str" cm="1">
        <f t="array" aca="1" ref="AW708" ca="1">IFERROR(_xlfn.IFS(OR($M708="",$AM708=""),"",OR($C708="Offered",$C708="Joined"),($AM708-$M708)-$AT708),"")</f>
        <v/>
      </c>
      <c r="AX708" s="32" t="str" cm="1">
        <f t="array" aca="1" ref="AX708" ca="1">IFERROR(_xlfn.IFS(OR($M708="",$AS708=""),"",$C708="Joined",($AS708-$M708)-$AT708),"")</f>
        <v/>
      </c>
      <c r="AY708" s="30" t="str">
        <f>IFERROR(IF(COUNTIFS('Candidate Tracker'!$E:$E,'Positions Tracker'!$B708,'Candidate Tracker'!$C:$C,"Offer Drop")=0,"",COUNTIFS('Candidate Tracker'!$E:$E,'Positions Tracker'!$B708,'Candidate Tracker'!$C:$C,"Offer Drop")),"")</f>
        <v/>
      </c>
      <c r="AZ70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8" s="34" t="str">
        <f>IFERROR(IF(COUNTIFS('Candidate Tracker'!$E:$E,'Positions Tracker'!$B708,'Candidate Tracker'!$I:$I,"Female")=0,"",COUNTIFS('Candidate Tracker'!$E:$E,'Positions Tracker'!$B708,'Candidate Tracker'!$I:$I,"Female")),"")</f>
        <v/>
      </c>
      <c r="BB708" s="34" t="str">
        <f>IFERROR(IF(COUNTIFS('Candidate Tracker'!$E:$E,'Positions Tracker'!$B708,'Candidate Tracker'!$I:$I,"male")=0,"",COUNTIFS('Candidate Tracker'!$E:$E,'Positions Tracker'!$B708,'Candidate Tracker'!$I:$I,"male")),"")</f>
        <v/>
      </c>
      <c r="BC708" s="33" t="str">
        <f>IFERROR(IF(COUNTIFS('Candidate Tracker'!$E:$E,'Positions Tracker'!$B708,'Candidate Tracker'!$C:$C,"&lt;&gt;WIP",'Candidate Tracker'!$C:$C,"&lt;&gt;Hold",'Candidate Tracker'!$C:$C,"&lt;&gt;Cancelled",'Candidate Tracker'!$C:$C,"&lt;&gt;Closed")/COUNTIFS('Candidate Tracker'!$E:$E,'Positions Tracker'!$B708)=0,"",COUNTIFS('Candidate Tracker'!$E:$E,'Positions Tracker'!$B708,'Candidate Tracker'!$C:$C,"&lt;&gt;WIP",'Candidate Tracker'!$C:$C,"&lt;&gt;Hold",'Candidate Tracker'!$C:$C,"&lt;&gt;Cancelled",'Candidate Tracker'!$C:$C,"&lt;&gt;Closed")/COUNTIFS('Candidate Tracker'!$E:$E,'Positions Tracker'!$B708)),"")</f>
        <v/>
      </c>
      <c r="BD708" s="30" t="str">
        <f t="shared" si="81"/>
        <v/>
      </c>
      <c r="BE708" s="30" t="str">
        <f t="shared" si="82"/>
        <v/>
      </c>
      <c r="BF708" s="30" t="str">
        <f t="shared" si="83"/>
        <v/>
      </c>
      <c r="BG708" s="30" t="str">
        <f t="shared" si="84"/>
        <v/>
      </c>
    </row>
    <row r="709" spans="1:59">
      <c r="A709" s="39"/>
      <c r="B709" s="39"/>
      <c r="C709" s="39"/>
      <c r="D709" s="39"/>
      <c r="E709" s="39"/>
      <c r="F709" s="39"/>
      <c r="G709" s="39"/>
      <c r="H709" s="39"/>
      <c r="I709" s="40"/>
      <c r="J709" s="40"/>
      <c r="K709" s="35"/>
      <c r="L709" s="35"/>
      <c r="M709" s="35"/>
      <c r="N709" s="39"/>
      <c r="O709" s="39"/>
      <c r="P709" s="39"/>
      <c r="Q709" s="39"/>
      <c r="R709" s="39"/>
      <c r="S709" s="39"/>
      <c r="T709" s="39"/>
      <c r="U709" s="39"/>
      <c r="V709" s="39"/>
      <c r="W709" s="39"/>
      <c r="X709" s="39"/>
      <c r="Y709" s="39"/>
      <c r="Z709" s="39"/>
      <c r="AA709" s="39"/>
      <c r="AB709" s="39"/>
      <c r="AC709" s="39"/>
      <c r="AD709" s="39"/>
      <c r="AE709" s="39"/>
      <c r="AF709" s="39"/>
      <c r="AG709" s="39"/>
      <c r="AH709" s="39"/>
      <c r="AI709" s="35"/>
      <c r="AJ709" s="39"/>
      <c r="AK709" s="39"/>
      <c r="AL709" s="39"/>
      <c r="AM709" s="35"/>
      <c r="AN709" s="35"/>
      <c r="AO709" s="39"/>
      <c r="AP709" s="39"/>
      <c r="AQ709" s="35"/>
      <c r="AR709" s="35"/>
      <c r="AS709" s="35"/>
      <c r="AT709" s="30">
        <f t="shared" ca="1" si="80"/>
        <v>0</v>
      </c>
      <c r="AU709" s="32" t="str">
        <f t="shared" ca="1" si="79"/>
        <v/>
      </c>
      <c r="AV709" s="32" t="str" cm="1">
        <f t="array" aca="1" ref="AV709" ca="1">IFERROR(_xlfn.IFS($AU709="","",$AU709&lt;=15,"0-15",AND($AU709&gt;=16,$AU709&lt;=30),"16-30",AND($AU709&gt;=31,$AU709&lt;=45),"31-45",AND($AU709&gt;=46,$AU709&lt;=60),"46-60",AND($AU709&gt;=61,$AU709&lt;=90),"61-90",AND($AU709&gt;=91),"&gt; 90",AND($AU709&gt;=2000),""),"")</f>
        <v/>
      </c>
      <c r="AW709" s="32" t="str" cm="1">
        <f t="array" aca="1" ref="AW709" ca="1">IFERROR(_xlfn.IFS(OR($M709="",$AM709=""),"",OR($C709="Offered",$C709="Joined"),($AM709-$M709)-$AT709),"")</f>
        <v/>
      </c>
      <c r="AX709" s="32" t="str" cm="1">
        <f t="array" aca="1" ref="AX709" ca="1">IFERROR(_xlfn.IFS(OR($M709="",$AS709=""),"",$C709="Joined",($AS709-$M709)-$AT709),"")</f>
        <v/>
      </c>
      <c r="AY709" s="30" t="str">
        <f>IFERROR(IF(COUNTIFS('Candidate Tracker'!$E:$E,'Positions Tracker'!$B709,'Candidate Tracker'!$C:$C,"Offer Drop")=0,"",COUNTIFS('Candidate Tracker'!$E:$E,'Positions Tracker'!$B709,'Candidate Tracker'!$C:$C,"Offer Drop")),"")</f>
        <v/>
      </c>
      <c r="AZ70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09" s="34" t="str">
        <f>IFERROR(IF(COUNTIFS('Candidate Tracker'!$E:$E,'Positions Tracker'!$B709,'Candidate Tracker'!$I:$I,"Female")=0,"",COUNTIFS('Candidate Tracker'!$E:$E,'Positions Tracker'!$B709,'Candidate Tracker'!$I:$I,"Female")),"")</f>
        <v/>
      </c>
      <c r="BB709" s="34" t="str">
        <f>IFERROR(IF(COUNTIFS('Candidate Tracker'!$E:$E,'Positions Tracker'!$B709,'Candidate Tracker'!$I:$I,"male")=0,"",COUNTIFS('Candidate Tracker'!$E:$E,'Positions Tracker'!$B709,'Candidate Tracker'!$I:$I,"male")),"")</f>
        <v/>
      </c>
      <c r="BC709" s="33" t="str">
        <f>IFERROR(IF(COUNTIFS('Candidate Tracker'!$E:$E,'Positions Tracker'!$B709,'Candidate Tracker'!$C:$C,"&lt;&gt;WIP",'Candidate Tracker'!$C:$C,"&lt;&gt;Hold",'Candidate Tracker'!$C:$C,"&lt;&gt;Cancelled",'Candidate Tracker'!$C:$C,"&lt;&gt;Closed")/COUNTIFS('Candidate Tracker'!$E:$E,'Positions Tracker'!$B709)=0,"",COUNTIFS('Candidate Tracker'!$E:$E,'Positions Tracker'!$B709,'Candidate Tracker'!$C:$C,"&lt;&gt;WIP",'Candidate Tracker'!$C:$C,"&lt;&gt;Hold",'Candidate Tracker'!$C:$C,"&lt;&gt;Cancelled",'Candidate Tracker'!$C:$C,"&lt;&gt;Closed")/COUNTIFS('Candidate Tracker'!$E:$E,'Positions Tracker'!$B709)),"")</f>
        <v/>
      </c>
      <c r="BD709" s="30" t="str">
        <f t="shared" si="81"/>
        <v/>
      </c>
      <c r="BE709" s="30" t="str">
        <f t="shared" si="82"/>
        <v/>
      </c>
      <c r="BF709" s="30" t="str">
        <f t="shared" si="83"/>
        <v/>
      </c>
      <c r="BG709" s="30" t="str">
        <f t="shared" si="84"/>
        <v/>
      </c>
    </row>
    <row r="710" spans="1:59">
      <c r="A710" s="39"/>
      <c r="B710" s="39"/>
      <c r="C710" s="39"/>
      <c r="D710" s="39"/>
      <c r="E710" s="39"/>
      <c r="F710" s="39"/>
      <c r="G710" s="39"/>
      <c r="H710" s="39"/>
      <c r="I710" s="40"/>
      <c r="J710" s="40"/>
      <c r="K710" s="35"/>
      <c r="L710" s="35"/>
      <c r="M710" s="35"/>
      <c r="N710" s="39"/>
      <c r="O710" s="39"/>
      <c r="P710" s="39"/>
      <c r="Q710" s="39"/>
      <c r="R710" s="39"/>
      <c r="S710" s="39"/>
      <c r="T710" s="39"/>
      <c r="U710" s="39"/>
      <c r="V710" s="39"/>
      <c r="W710" s="39"/>
      <c r="X710" s="39"/>
      <c r="Y710" s="39"/>
      <c r="Z710" s="39"/>
      <c r="AA710" s="39"/>
      <c r="AB710" s="39"/>
      <c r="AC710" s="39"/>
      <c r="AD710" s="39"/>
      <c r="AE710" s="39"/>
      <c r="AF710" s="39"/>
      <c r="AG710" s="39"/>
      <c r="AH710" s="39"/>
      <c r="AI710" s="35"/>
      <c r="AJ710" s="39"/>
      <c r="AK710" s="39"/>
      <c r="AL710" s="39"/>
      <c r="AM710" s="35"/>
      <c r="AN710" s="35"/>
      <c r="AO710" s="39"/>
      <c r="AP710" s="39"/>
      <c r="AQ710" s="35"/>
      <c r="AR710" s="35"/>
      <c r="AS710" s="35"/>
      <c r="AT710" s="30">
        <f t="shared" ca="1" si="80"/>
        <v>0</v>
      </c>
      <c r="AU710" s="32" t="str">
        <f t="shared" ca="1" si="79"/>
        <v/>
      </c>
      <c r="AV710" s="32" t="str" cm="1">
        <f t="array" aca="1" ref="AV710" ca="1">IFERROR(_xlfn.IFS($AU710="","",$AU710&lt;=15,"0-15",AND($AU710&gt;=16,$AU710&lt;=30),"16-30",AND($AU710&gt;=31,$AU710&lt;=45),"31-45",AND($AU710&gt;=46,$AU710&lt;=60),"46-60",AND($AU710&gt;=61,$AU710&lt;=90),"61-90",AND($AU710&gt;=91),"&gt; 90",AND($AU710&gt;=2000),""),"")</f>
        <v/>
      </c>
      <c r="AW710" s="32" t="str" cm="1">
        <f t="array" aca="1" ref="AW710" ca="1">IFERROR(_xlfn.IFS(OR($M710="",$AM710=""),"",OR($C710="Offered",$C710="Joined"),($AM710-$M710)-$AT710),"")</f>
        <v/>
      </c>
      <c r="AX710" s="32" t="str" cm="1">
        <f t="array" aca="1" ref="AX710" ca="1">IFERROR(_xlfn.IFS(OR($M710="",$AS710=""),"",$C710="Joined",($AS710-$M710)-$AT710),"")</f>
        <v/>
      </c>
      <c r="AY710" s="30" t="str">
        <f>IFERROR(IF(COUNTIFS('Candidate Tracker'!$E:$E,'Positions Tracker'!$B710,'Candidate Tracker'!$C:$C,"Offer Drop")=0,"",COUNTIFS('Candidate Tracker'!$E:$E,'Positions Tracker'!$B710,'Candidate Tracker'!$C:$C,"Offer Drop")),"")</f>
        <v/>
      </c>
      <c r="AZ7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0" s="34" t="str">
        <f>IFERROR(IF(COUNTIFS('Candidate Tracker'!$E:$E,'Positions Tracker'!$B710,'Candidate Tracker'!$I:$I,"Female")=0,"",COUNTIFS('Candidate Tracker'!$E:$E,'Positions Tracker'!$B710,'Candidate Tracker'!$I:$I,"Female")),"")</f>
        <v/>
      </c>
      <c r="BB710" s="34" t="str">
        <f>IFERROR(IF(COUNTIFS('Candidate Tracker'!$E:$E,'Positions Tracker'!$B710,'Candidate Tracker'!$I:$I,"male")=0,"",COUNTIFS('Candidate Tracker'!$E:$E,'Positions Tracker'!$B710,'Candidate Tracker'!$I:$I,"male")),"")</f>
        <v/>
      </c>
      <c r="BC710" s="33" t="str">
        <f>IFERROR(IF(COUNTIFS('Candidate Tracker'!$E:$E,'Positions Tracker'!$B710,'Candidate Tracker'!$C:$C,"&lt;&gt;WIP",'Candidate Tracker'!$C:$C,"&lt;&gt;Hold",'Candidate Tracker'!$C:$C,"&lt;&gt;Cancelled",'Candidate Tracker'!$C:$C,"&lt;&gt;Closed")/COUNTIFS('Candidate Tracker'!$E:$E,'Positions Tracker'!$B710)=0,"",COUNTIFS('Candidate Tracker'!$E:$E,'Positions Tracker'!$B710,'Candidate Tracker'!$C:$C,"&lt;&gt;WIP",'Candidate Tracker'!$C:$C,"&lt;&gt;Hold",'Candidate Tracker'!$C:$C,"&lt;&gt;Cancelled",'Candidate Tracker'!$C:$C,"&lt;&gt;Closed")/COUNTIFS('Candidate Tracker'!$E:$E,'Positions Tracker'!$B710)),"")</f>
        <v/>
      </c>
      <c r="BD710" s="30" t="str">
        <f t="shared" si="81"/>
        <v/>
      </c>
      <c r="BE710" s="30" t="str">
        <f t="shared" si="82"/>
        <v/>
      </c>
      <c r="BF710" s="30" t="str">
        <f t="shared" si="83"/>
        <v/>
      </c>
      <c r="BG710" s="30" t="str">
        <f t="shared" si="84"/>
        <v/>
      </c>
    </row>
    <row r="711" spans="1:59">
      <c r="A711" s="39"/>
      <c r="B711" s="39"/>
      <c r="C711" s="39"/>
      <c r="D711" s="39"/>
      <c r="E711" s="39"/>
      <c r="F711" s="39"/>
      <c r="G711" s="39"/>
      <c r="H711" s="39"/>
      <c r="I711" s="40"/>
      <c r="J711" s="40"/>
      <c r="K711" s="35"/>
      <c r="L711" s="35"/>
      <c r="M711" s="35"/>
      <c r="N711" s="39"/>
      <c r="O711" s="39"/>
      <c r="P711" s="39"/>
      <c r="Q711" s="39"/>
      <c r="R711" s="39"/>
      <c r="S711" s="39"/>
      <c r="T711" s="39"/>
      <c r="U711" s="39"/>
      <c r="V711" s="39"/>
      <c r="W711" s="39"/>
      <c r="X711" s="39"/>
      <c r="Y711" s="39"/>
      <c r="Z711" s="39"/>
      <c r="AA711" s="39"/>
      <c r="AB711" s="39"/>
      <c r="AC711" s="39"/>
      <c r="AD711" s="39"/>
      <c r="AE711" s="39"/>
      <c r="AF711" s="39"/>
      <c r="AG711" s="39"/>
      <c r="AH711" s="39"/>
      <c r="AI711" s="35"/>
      <c r="AJ711" s="39"/>
      <c r="AK711" s="39"/>
      <c r="AL711" s="39"/>
      <c r="AM711" s="35"/>
      <c r="AN711" s="35"/>
      <c r="AO711" s="39"/>
      <c r="AP711" s="39"/>
      <c r="AQ711" s="35"/>
      <c r="AR711" s="35"/>
      <c r="AS711" s="35"/>
      <c r="AT711" s="30">
        <f t="shared" ca="1" si="80"/>
        <v>0</v>
      </c>
      <c r="AU711" s="32" t="str">
        <f t="shared" ca="1" si="79"/>
        <v/>
      </c>
      <c r="AV711" s="32" t="str" cm="1">
        <f t="array" aca="1" ref="AV711" ca="1">IFERROR(_xlfn.IFS($AU711="","",$AU711&lt;=15,"0-15",AND($AU711&gt;=16,$AU711&lt;=30),"16-30",AND($AU711&gt;=31,$AU711&lt;=45),"31-45",AND($AU711&gt;=46,$AU711&lt;=60),"46-60",AND($AU711&gt;=61,$AU711&lt;=90),"61-90",AND($AU711&gt;=91),"&gt; 90",AND($AU711&gt;=2000),""),"")</f>
        <v/>
      </c>
      <c r="AW711" s="32" t="str" cm="1">
        <f t="array" aca="1" ref="AW711" ca="1">IFERROR(_xlfn.IFS(OR($M711="",$AM711=""),"",OR($C711="Offered",$C711="Joined"),($AM711-$M711)-$AT711),"")</f>
        <v/>
      </c>
      <c r="AX711" s="32" t="str" cm="1">
        <f t="array" aca="1" ref="AX711" ca="1">IFERROR(_xlfn.IFS(OR($M711="",$AS711=""),"",$C711="Joined",($AS711-$M711)-$AT711),"")</f>
        <v/>
      </c>
      <c r="AY711" s="30" t="str">
        <f>IFERROR(IF(COUNTIFS('Candidate Tracker'!$E:$E,'Positions Tracker'!$B711,'Candidate Tracker'!$C:$C,"Offer Drop")=0,"",COUNTIFS('Candidate Tracker'!$E:$E,'Positions Tracker'!$B711,'Candidate Tracker'!$C:$C,"Offer Drop")),"")</f>
        <v/>
      </c>
      <c r="AZ7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1" s="34" t="str">
        <f>IFERROR(IF(COUNTIFS('Candidate Tracker'!$E:$E,'Positions Tracker'!$B711,'Candidate Tracker'!$I:$I,"Female")=0,"",COUNTIFS('Candidate Tracker'!$E:$E,'Positions Tracker'!$B711,'Candidate Tracker'!$I:$I,"Female")),"")</f>
        <v/>
      </c>
      <c r="BB711" s="34" t="str">
        <f>IFERROR(IF(COUNTIFS('Candidate Tracker'!$E:$E,'Positions Tracker'!$B711,'Candidate Tracker'!$I:$I,"male")=0,"",COUNTIFS('Candidate Tracker'!$E:$E,'Positions Tracker'!$B711,'Candidate Tracker'!$I:$I,"male")),"")</f>
        <v/>
      </c>
      <c r="BC711" s="33" t="str">
        <f>IFERROR(IF(COUNTIFS('Candidate Tracker'!$E:$E,'Positions Tracker'!$B711,'Candidate Tracker'!$C:$C,"&lt;&gt;WIP",'Candidate Tracker'!$C:$C,"&lt;&gt;Hold",'Candidate Tracker'!$C:$C,"&lt;&gt;Cancelled",'Candidate Tracker'!$C:$C,"&lt;&gt;Closed")/COUNTIFS('Candidate Tracker'!$E:$E,'Positions Tracker'!$B711)=0,"",COUNTIFS('Candidate Tracker'!$E:$E,'Positions Tracker'!$B711,'Candidate Tracker'!$C:$C,"&lt;&gt;WIP",'Candidate Tracker'!$C:$C,"&lt;&gt;Hold",'Candidate Tracker'!$C:$C,"&lt;&gt;Cancelled",'Candidate Tracker'!$C:$C,"&lt;&gt;Closed")/COUNTIFS('Candidate Tracker'!$E:$E,'Positions Tracker'!$B711)),"")</f>
        <v/>
      </c>
      <c r="BD711" s="30" t="str">
        <f t="shared" si="81"/>
        <v/>
      </c>
      <c r="BE711" s="30" t="str">
        <f t="shared" si="82"/>
        <v/>
      </c>
      <c r="BF711" s="30" t="str">
        <f t="shared" si="83"/>
        <v/>
      </c>
      <c r="BG711" s="30" t="str">
        <f t="shared" si="84"/>
        <v/>
      </c>
    </row>
    <row r="712" spans="1:59">
      <c r="A712" s="39"/>
      <c r="B712" s="39"/>
      <c r="C712" s="39"/>
      <c r="D712" s="39"/>
      <c r="E712" s="39"/>
      <c r="F712" s="39"/>
      <c r="G712" s="39"/>
      <c r="H712" s="39"/>
      <c r="I712" s="40"/>
      <c r="J712" s="40"/>
      <c r="K712" s="35"/>
      <c r="L712" s="35"/>
      <c r="M712" s="35"/>
      <c r="N712" s="39"/>
      <c r="O712" s="39"/>
      <c r="P712" s="39"/>
      <c r="Q712" s="39"/>
      <c r="R712" s="39"/>
      <c r="S712" s="39"/>
      <c r="T712" s="39"/>
      <c r="U712" s="39"/>
      <c r="V712" s="39"/>
      <c r="W712" s="39"/>
      <c r="X712" s="39"/>
      <c r="Y712" s="39"/>
      <c r="Z712" s="39"/>
      <c r="AA712" s="39"/>
      <c r="AB712" s="39"/>
      <c r="AC712" s="39"/>
      <c r="AD712" s="39"/>
      <c r="AE712" s="39"/>
      <c r="AF712" s="39"/>
      <c r="AG712" s="39"/>
      <c r="AH712" s="39"/>
      <c r="AI712" s="35"/>
      <c r="AJ712" s="39"/>
      <c r="AK712" s="39"/>
      <c r="AL712" s="39"/>
      <c r="AM712" s="35"/>
      <c r="AN712" s="35"/>
      <c r="AO712" s="39"/>
      <c r="AP712" s="39"/>
      <c r="AQ712" s="35"/>
      <c r="AR712" s="35"/>
      <c r="AS712" s="35"/>
      <c r="AT712" s="30">
        <f t="shared" ca="1" si="80"/>
        <v>0</v>
      </c>
      <c r="AU712" s="32" t="str">
        <f t="shared" ca="1" si="79"/>
        <v/>
      </c>
      <c r="AV712" s="32" t="str" cm="1">
        <f t="array" aca="1" ref="AV712" ca="1">IFERROR(_xlfn.IFS($AU712="","",$AU712&lt;=15,"0-15",AND($AU712&gt;=16,$AU712&lt;=30),"16-30",AND($AU712&gt;=31,$AU712&lt;=45),"31-45",AND($AU712&gt;=46,$AU712&lt;=60),"46-60",AND($AU712&gt;=61,$AU712&lt;=90),"61-90",AND($AU712&gt;=91),"&gt; 90",AND($AU712&gt;=2000),""),"")</f>
        <v/>
      </c>
      <c r="AW712" s="32" t="str" cm="1">
        <f t="array" aca="1" ref="AW712" ca="1">IFERROR(_xlfn.IFS(OR($M712="",$AM712=""),"",OR($C712="Offered",$C712="Joined"),($AM712-$M712)-$AT712),"")</f>
        <v/>
      </c>
      <c r="AX712" s="32" t="str" cm="1">
        <f t="array" aca="1" ref="AX712" ca="1">IFERROR(_xlfn.IFS(OR($M712="",$AS712=""),"",$C712="Joined",($AS712-$M712)-$AT712),"")</f>
        <v/>
      </c>
      <c r="AY712" s="30" t="str">
        <f>IFERROR(IF(COUNTIFS('Candidate Tracker'!$E:$E,'Positions Tracker'!$B712,'Candidate Tracker'!$C:$C,"Offer Drop")=0,"",COUNTIFS('Candidate Tracker'!$E:$E,'Positions Tracker'!$B712,'Candidate Tracker'!$C:$C,"Offer Drop")),"")</f>
        <v/>
      </c>
      <c r="AZ7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2" s="34" t="str">
        <f>IFERROR(IF(COUNTIFS('Candidate Tracker'!$E:$E,'Positions Tracker'!$B712,'Candidate Tracker'!$I:$I,"Female")=0,"",COUNTIFS('Candidate Tracker'!$E:$E,'Positions Tracker'!$B712,'Candidate Tracker'!$I:$I,"Female")),"")</f>
        <v/>
      </c>
      <c r="BB712" s="34" t="str">
        <f>IFERROR(IF(COUNTIFS('Candidate Tracker'!$E:$E,'Positions Tracker'!$B712,'Candidate Tracker'!$I:$I,"male")=0,"",COUNTIFS('Candidate Tracker'!$E:$E,'Positions Tracker'!$B712,'Candidate Tracker'!$I:$I,"male")),"")</f>
        <v/>
      </c>
      <c r="BC712" s="33" t="str">
        <f>IFERROR(IF(COUNTIFS('Candidate Tracker'!$E:$E,'Positions Tracker'!$B712,'Candidate Tracker'!$C:$C,"&lt;&gt;WIP",'Candidate Tracker'!$C:$C,"&lt;&gt;Hold",'Candidate Tracker'!$C:$C,"&lt;&gt;Cancelled",'Candidate Tracker'!$C:$C,"&lt;&gt;Closed")/COUNTIFS('Candidate Tracker'!$E:$E,'Positions Tracker'!$B712)=0,"",COUNTIFS('Candidate Tracker'!$E:$E,'Positions Tracker'!$B712,'Candidate Tracker'!$C:$C,"&lt;&gt;WIP",'Candidate Tracker'!$C:$C,"&lt;&gt;Hold",'Candidate Tracker'!$C:$C,"&lt;&gt;Cancelled",'Candidate Tracker'!$C:$C,"&lt;&gt;Closed")/COUNTIFS('Candidate Tracker'!$E:$E,'Positions Tracker'!$B712)),"")</f>
        <v/>
      </c>
      <c r="BD712" s="30" t="str">
        <f t="shared" si="81"/>
        <v/>
      </c>
      <c r="BE712" s="30" t="str">
        <f t="shared" si="82"/>
        <v/>
      </c>
      <c r="BF712" s="30" t="str">
        <f t="shared" si="83"/>
        <v/>
      </c>
      <c r="BG712" s="30" t="str">
        <f t="shared" si="84"/>
        <v/>
      </c>
    </row>
    <row r="713" spans="1:59">
      <c r="A713" s="39"/>
      <c r="B713" s="39"/>
      <c r="C713" s="39"/>
      <c r="D713" s="39"/>
      <c r="E713" s="39"/>
      <c r="F713" s="39"/>
      <c r="G713" s="39"/>
      <c r="H713" s="39"/>
      <c r="I713" s="40"/>
      <c r="J713" s="40"/>
      <c r="K713" s="35"/>
      <c r="L713" s="35"/>
      <c r="M713" s="35"/>
      <c r="N713" s="39"/>
      <c r="O713" s="39"/>
      <c r="P713" s="39"/>
      <c r="Q713" s="39"/>
      <c r="R713" s="39"/>
      <c r="S713" s="39"/>
      <c r="T713" s="39"/>
      <c r="U713" s="39"/>
      <c r="V713" s="39"/>
      <c r="W713" s="39"/>
      <c r="X713" s="39"/>
      <c r="Y713" s="39"/>
      <c r="Z713" s="39"/>
      <c r="AA713" s="39"/>
      <c r="AB713" s="39"/>
      <c r="AC713" s="39"/>
      <c r="AD713" s="39"/>
      <c r="AE713" s="39"/>
      <c r="AF713" s="39"/>
      <c r="AG713" s="39"/>
      <c r="AH713" s="39"/>
      <c r="AI713" s="35"/>
      <c r="AJ713" s="39"/>
      <c r="AK713" s="39"/>
      <c r="AL713" s="39"/>
      <c r="AM713" s="35"/>
      <c r="AN713" s="35"/>
      <c r="AO713" s="39"/>
      <c r="AP713" s="39"/>
      <c r="AQ713" s="35"/>
      <c r="AR713" s="35"/>
      <c r="AS713" s="35"/>
      <c r="AT713" s="30">
        <f t="shared" ca="1" si="80"/>
        <v>0</v>
      </c>
      <c r="AU713" s="32" t="str">
        <f t="shared" ca="1" si="79"/>
        <v/>
      </c>
      <c r="AV713" s="32" t="str" cm="1">
        <f t="array" aca="1" ref="AV713" ca="1">IFERROR(_xlfn.IFS($AU713="","",$AU713&lt;=15,"0-15",AND($AU713&gt;=16,$AU713&lt;=30),"16-30",AND($AU713&gt;=31,$AU713&lt;=45),"31-45",AND($AU713&gt;=46,$AU713&lt;=60),"46-60",AND($AU713&gt;=61,$AU713&lt;=90),"61-90",AND($AU713&gt;=91),"&gt; 90",AND($AU713&gt;=2000),""),"")</f>
        <v/>
      </c>
      <c r="AW713" s="32" t="str" cm="1">
        <f t="array" aca="1" ref="AW713" ca="1">IFERROR(_xlfn.IFS(OR($M713="",$AM713=""),"",OR($C713="Offered",$C713="Joined"),($AM713-$M713)-$AT713),"")</f>
        <v/>
      </c>
      <c r="AX713" s="32" t="str" cm="1">
        <f t="array" aca="1" ref="AX713" ca="1">IFERROR(_xlfn.IFS(OR($M713="",$AS713=""),"",$C713="Joined",($AS713-$M713)-$AT713),"")</f>
        <v/>
      </c>
      <c r="AY713" s="30" t="str">
        <f>IFERROR(IF(COUNTIFS('Candidate Tracker'!$E:$E,'Positions Tracker'!$B713,'Candidate Tracker'!$C:$C,"Offer Drop")=0,"",COUNTIFS('Candidate Tracker'!$E:$E,'Positions Tracker'!$B713,'Candidate Tracker'!$C:$C,"Offer Drop")),"")</f>
        <v/>
      </c>
      <c r="AZ7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3" s="34" t="str">
        <f>IFERROR(IF(COUNTIFS('Candidate Tracker'!$E:$E,'Positions Tracker'!$B713,'Candidate Tracker'!$I:$I,"Female")=0,"",COUNTIFS('Candidate Tracker'!$E:$E,'Positions Tracker'!$B713,'Candidate Tracker'!$I:$I,"Female")),"")</f>
        <v/>
      </c>
      <c r="BB713" s="34" t="str">
        <f>IFERROR(IF(COUNTIFS('Candidate Tracker'!$E:$E,'Positions Tracker'!$B713,'Candidate Tracker'!$I:$I,"male")=0,"",COUNTIFS('Candidate Tracker'!$E:$E,'Positions Tracker'!$B713,'Candidate Tracker'!$I:$I,"male")),"")</f>
        <v/>
      </c>
      <c r="BC713" s="33" t="str">
        <f>IFERROR(IF(COUNTIFS('Candidate Tracker'!$E:$E,'Positions Tracker'!$B713,'Candidate Tracker'!$C:$C,"&lt;&gt;WIP",'Candidate Tracker'!$C:$C,"&lt;&gt;Hold",'Candidate Tracker'!$C:$C,"&lt;&gt;Cancelled",'Candidate Tracker'!$C:$C,"&lt;&gt;Closed")/COUNTIFS('Candidate Tracker'!$E:$E,'Positions Tracker'!$B713)=0,"",COUNTIFS('Candidate Tracker'!$E:$E,'Positions Tracker'!$B713,'Candidate Tracker'!$C:$C,"&lt;&gt;WIP",'Candidate Tracker'!$C:$C,"&lt;&gt;Hold",'Candidate Tracker'!$C:$C,"&lt;&gt;Cancelled",'Candidate Tracker'!$C:$C,"&lt;&gt;Closed")/COUNTIFS('Candidate Tracker'!$E:$E,'Positions Tracker'!$B713)),"")</f>
        <v/>
      </c>
      <c r="BD713" s="30" t="str">
        <f t="shared" si="81"/>
        <v/>
      </c>
      <c r="BE713" s="30" t="str">
        <f t="shared" si="82"/>
        <v/>
      </c>
      <c r="BF713" s="30" t="str">
        <f t="shared" si="83"/>
        <v/>
      </c>
      <c r="BG713" s="30" t="str">
        <f t="shared" si="84"/>
        <v/>
      </c>
    </row>
    <row r="714" spans="1:59">
      <c r="A714" s="39"/>
      <c r="B714" s="39"/>
      <c r="C714" s="39"/>
      <c r="D714" s="39"/>
      <c r="E714" s="39"/>
      <c r="F714" s="39"/>
      <c r="G714" s="39"/>
      <c r="H714" s="39"/>
      <c r="I714" s="40"/>
      <c r="J714" s="40"/>
      <c r="K714" s="35"/>
      <c r="L714" s="35"/>
      <c r="M714" s="35"/>
      <c r="N714" s="39"/>
      <c r="O714" s="39"/>
      <c r="P714" s="39"/>
      <c r="Q714" s="39"/>
      <c r="R714" s="39"/>
      <c r="S714" s="39"/>
      <c r="T714" s="39"/>
      <c r="U714" s="39"/>
      <c r="V714" s="39"/>
      <c r="W714" s="39"/>
      <c r="X714" s="39"/>
      <c r="Y714" s="39"/>
      <c r="Z714" s="39"/>
      <c r="AA714" s="39"/>
      <c r="AB714" s="39"/>
      <c r="AC714" s="39"/>
      <c r="AD714" s="39"/>
      <c r="AE714" s="39"/>
      <c r="AF714" s="39"/>
      <c r="AG714" s="39"/>
      <c r="AH714" s="39"/>
      <c r="AI714" s="35"/>
      <c r="AJ714" s="39"/>
      <c r="AK714" s="39"/>
      <c r="AL714" s="39"/>
      <c r="AM714" s="35"/>
      <c r="AN714" s="35"/>
      <c r="AO714" s="39"/>
      <c r="AP714" s="39"/>
      <c r="AQ714" s="35"/>
      <c r="AR714" s="35"/>
      <c r="AS714" s="35"/>
      <c r="AT714" s="30">
        <f t="shared" ca="1" si="80"/>
        <v>0</v>
      </c>
      <c r="AU714" s="32" t="str">
        <f t="shared" ca="1" si="79"/>
        <v/>
      </c>
      <c r="AV714" s="32" t="str" cm="1">
        <f t="array" aca="1" ref="AV714" ca="1">IFERROR(_xlfn.IFS($AU714="","",$AU714&lt;=15,"0-15",AND($AU714&gt;=16,$AU714&lt;=30),"16-30",AND($AU714&gt;=31,$AU714&lt;=45),"31-45",AND($AU714&gt;=46,$AU714&lt;=60),"46-60",AND($AU714&gt;=61,$AU714&lt;=90),"61-90",AND($AU714&gt;=91),"&gt; 90",AND($AU714&gt;=2000),""),"")</f>
        <v/>
      </c>
      <c r="AW714" s="32" t="str" cm="1">
        <f t="array" aca="1" ref="AW714" ca="1">IFERROR(_xlfn.IFS(OR($M714="",$AM714=""),"",OR($C714="Offered",$C714="Joined"),($AM714-$M714)-$AT714),"")</f>
        <v/>
      </c>
      <c r="AX714" s="32" t="str" cm="1">
        <f t="array" aca="1" ref="AX714" ca="1">IFERROR(_xlfn.IFS(OR($M714="",$AS714=""),"",$C714="Joined",($AS714-$M714)-$AT714),"")</f>
        <v/>
      </c>
      <c r="AY714" s="30" t="str">
        <f>IFERROR(IF(COUNTIFS('Candidate Tracker'!$E:$E,'Positions Tracker'!$B714,'Candidate Tracker'!$C:$C,"Offer Drop")=0,"",COUNTIFS('Candidate Tracker'!$E:$E,'Positions Tracker'!$B714,'Candidate Tracker'!$C:$C,"Offer Drop")),"")</f>
        <v/>
      </c>
      <c r="AZ7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4" s="34" t="str">
        <f>IFERROR(IF(COUNTIFS('Candidate Tracker'!$E:$E,'Positions Tracker'!$B714,'Candidate Tracker'!$I:$I,"Female")=0,"",COUNTIFS('Candidate Tracker'!$E:$E,'Positions Tracker'!$B714,'Candidate Tracker'!$I:$I,"Female")),"")</f>
        <v/>
      </c>
      <c r="BB714" s="34" t="str">
        <f>IFERROR(IF(COUNTIFS('Candidate Tracker'!$E:$E,'Positions Tracker'!$B714,'Candidate Tracker'!$I:$I,"male")=0,"",COUNTIFS('Candidate Tracker'!$E:$E,'Positions Tracker'!$B714,'Candidate Tracker'!$I:$I,"male")),"")</f>
        <v/>
      </c>
      <c r="BC714" s="33" t="str">
        <f>IFERROR(IF(COUNTIFS('Candidate Tracker'!$E:$E,'Positions Tracker'!$B714,'Candidate Tracker'!$C:$C,"&lt;&gt;WIP",'Candidate Tracker'!$C:$C,"&lt;&gt;Hold",'Candidate Tracker'!$C:$C,"&lt;&gt;Cancelled",'Candidate Tracker'!$C:$C,"&lt;&gt;Closed")/COUNTIFS('Candidate Tracker'!$E:$E,'Positions Tracker'!$B714)=0,"",COUNTIFS('Candidate Tracker'!$E:$E,'Positions Tracker'!$B714,'Candidate Tracker'!$C:$C,"&lt;&gt;WIP",'Candidate Tracker'!$C:$C,"&lt;&gt;Hold",'Candidate Tracker'!$C:$C,"&lt;&gt;Cancelled",'Candidate Tracker'!$C:$C,"&lt;&gt;Closed")/COUNTIFS('Candidate Tracker'!$E:$E,'Positions Tracker'!$B714)),"")</f>
        <v/>
      </c>
      <c r="BD714" s="30" t="str">
        <f t="shared" si="81"/>
        <v/>
      </c>
      <c r="BE714" s="30" t="str">
        <f t="shared" si="82"/>
        <v/>
      </c>
      <c r="BF714" s="30" t="str">
        <f t="shared" si="83"/>
        <v/>
      </c>
      <c r="BG714" s="30" t="str">
        <f t="shared" si="84"/>
        <v/>
      </c>
    </row>
    <row r="715" spans="1:59">
      <c r="A715" s="39"/>
      <c r="B715" s="39"/>
      <c r="C715" s="39"/>
      <c r="D715" s="39"/>
      <c r="E715" s="39"/>
      <c r="F715" s="39"/>
      <c r="G715" s="39"/>
      <c r="H715" s="39"/>
      <c r="I715" s="40"/>
      <c r="J715" s="40"/>
      <c r="K715" s="35"/>
      <c r="L715" s="35"/>
      <c r="M715" s="35"/>
      <c r="N715" s="39"/>
      <c r="O715" s="39"/>
      <c r="P715" s="39"/>
      <c r="Q715" s="39"/>
      <c r="R715" s="39"/>
      <c r="S715" s="39"/>
      <c r="T715" s="39"/>
      <c r="U715" s="39"/>
      <c r="V715" s="39"/>
      <c r="W715" s="39"/>
      <c r="X715" s="39"/>
      <c r="Y715" s="39"/>
      <c r="Z715" s="39"/>
      <c r="AA715" s="39"/>
      <c r="AB715" s="39"/>
      <c r="AC715" s="39"/>
      <c r="AD715" s="39"/>
      <c r="AE715" s="39"/>
      <c r="AF715" s="39"/>
      <c r="AG715" s="39"/>
      <c r="AH715" s="39"/>
      <c r="AI715" s="35"/>
      <c r="AJ715" s="39"/>
      <c r="AK715" s="39"/>
      <c r="AL715" s="39"/>
      <c r="AM715" s="35"/>
      <c r="AN715" s="35"/>
      <c r="AO715" s="39"/>
      <c r="AP715" s="39"/>
      <c r="AQ715" s="35"/>
      <c r="AR715" s="35"/>
      <c r="AS715" s="35"/>
      <c r="AT715" s="30">
        <f t="shared" ca="1" si="80"/>
        <v>0</v>
      </c>
      <c r="AU715" s="32" t="str">
        <f t="shared" ca="1" si="79"/>
        <v/>
      </c>
      <c r="AV715" s="32" t="str" cm="1">
        <f t="array" aca="1" ref="AV715" ca="1">IFERROR(_xlfn.IFS($AU715="","",$AU715&lt;=15,"0-15",AND($AU715&gt;=16,$AU715&lt;=30),"16-30",AND($AU715&gt;=31,$AU715&lt;=45),"31-45",AND($AU715&gt;=46,$AU715&lt;=60),"46-60",AND($AU715&gt;=61,$AU715&lt;=90),"61-90",AND($AU715&gt;=91),"&gt; 90",AND($AU715&gt;=2000),""),"")</f>
        <v/>
      </c>
      <c r="AW715" s="32" t="str" cm="1">
        <f t="array" aca="1" ref="AW715" ca="1">IFERROR(_xlfn.IFS(OR($M715="",$AM715=""),"",OR($C715="Offered",$C715="Joined"),($AM715-$M715)-$AT715),"")</f>
        <v/>
      </c>
      <c r="AX715" s="32" t="str" cm="1">
        <f t="array" aca="1" ref="AX715" ca="1">IFERROR(_xlfn.IFS(OR($M715="",$AS715=""),"",$C715="Joined",($AS715-$M715)-$AT715),"")</f>
        <v/>
      </c>
      <c r="AY715" s="30" t="str">
        <f>IFERROR(IF(COUNTIFS('Candidate Tracker'!$E:$E,'Positions Tracker'!$B715,'Candidate Tracker'!$C:$C,"Offer Drop")=0,"",COUNTIFS('Candidate Tracker'!$E:$E,'Positions Tracker'!$B715,'Candidate Tracker'!$C:$C,"Offer Drop")),"")</f>
        <v/>
      </c>
      <c r="AZ7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5" s="34" t="str">
        <f>IFERROR(IF(COUNTIFS('Candidate Tracker'!$E:$E,'Positions Tracker'!$B715,'Candidate Tracker'!$I:$I,"Female")=0,"",COUNTIFS('Candidate Tracker'!$E:$E,'Positions Tracker'!$B715,'Candidate Tracker'!$I:$I,"Female")),"")</f>
        <v/>
      </c>
      <c r="BB715" s="34" t="str">
        <f>IFERROR(IF(COUNTIFS('Candidate Tracker'!$E:$E,'Positions Tracker'!$B715,'Candidate Tracker'!$I:$I,"male")=0,"",COUNTIFS('Candidate Tracker'!$E:$E,'Positions Tracker'!$B715,'Candidate Tracker'!$I:$I,"male")),"")</f>
        <v/>
      </c>
      <c r="BC715" s="33" t="str">
        <f>IFERROR(IF(COUNTIFS('Candidate Tracker'!$E:$E,'Positions Tracker'!$B715,'Candidate Tracker'!$C:$C,"&lt;&gt;WIP",'Candidate Tracker'!$C:$C,"&lt;&gt;Hold",'Candidate Tracker'!$C:$C,"&lt;&gt;Cancelled",'Candidate Tracker'!$C:$C,"&lt;&gt;Closed")/COUNTIFS('Candidate Tracker'!$E:$E,'Positions Tracker'!$B715)=0,"",COUNTIFS('Candidate Tracker'!$E:$E,'Positions Tracker'!$B715,'Candidate Tracker'!$C:$C,"&lt;&gt;WIP",'Candidate Tracker'!$C:$C,"&lt;&gt;Hold",'Candidate Tracker'!$C:$C,"&lt;&gt;Cancelled",'Candidate Tracker'!$C:$C,"&lt;&gt;Closed")/COUNTIFS('Candidate Tracker'!$E:$E,'Positions Tracker'!$B715)),"")</f>
        <v/>
      </c>
      <c r="BD715" s="30" t="str">
        <f t="shared" si="81"/>
        <v/>
      </c>
      <c r="BE715" s="30" t="str">
        <f t="shared" si="82"/>
        <v/>
      </c>
      <c r="BF715" s="30" t="str">
        <f t="shared" si="83"/>
        <v/>
      </c>
      <c r="BG715" s="30" t="str">
        <f t="shared" si="84"/>
        <v/>
      </c>
    </row>
    <row r="716" spans="1:59">
      <c r="A716" s="39"/>
      <c r="B716" s="39"/>
      <c r="C716" s="39"/>
      <c r="D716" s="39"/>
      <c r="E716" s="39"/>
      <c r="F716" s="39"/>
      <c r="G716" s="39"/>
      <c r="H716" s="39"/>
      <c r="I716" s="40"/>
      <c r="J716" s="40"/>
      <c r="K716" s="35"/>
      <c r="L716" s="35"/>
      <c r="M716" s="35"/>
      <c r="N716" s="39"/>
      <c r="O716" s="39"/>
      <c r="P716" s="39"/>
      <c r="Q716" s="39"/>
      <c r="R716" s="39"/>
      <c r="S716" s="39"/>
      <c r="T716" s="39"/>
      <c r="U716" s="39"/>
      <c r="V716" s="39"/>
      <c r="W716" s="39"/>
      <c r="X716" s="39"/>
      <c r="Y716" s="39"/>
      <c r="Z716" s="39"/>
      <c r="AA716" s="39"/>
      <c r="AB716" s="39"/>
      <c r="AC716" s="39"/>
      <c r="AD716" s="39"/>
      <c r="AE716" s="39"/>
      <c r="AF716" s="39"/>
      <c r="AG716" s="39"/>
      <c r="AH716" s="39"/>
      <c r="AI716" s="35"/>
      <c r="AJ716" s="39"/>
      <c r="AK716" s="39"/>
      <c r="AL716" s="39"/>
      <c r="AM716" s="35"/>
      <c r="AN716" s="35"/>
      <c r="AO716" s="39"/>
      <c r="AP716" s="39"/>
      <c r="AQ716" s="35"/>
      <c r="AR716" s="35"/>
      <c r="AS716" s="35"/>
      <c r="AT716" s="30">
        <f t="shared" ca="1" si="80"/>
        <v>0</v>
      </c>
      <c r="AU716" s="32" t="str">
        <f t="shared" ca="1" si="79"/>
        <v/>
      </c>
      <c r="AV716" s="32" t="str" cm="1">
        <f t="array" aca="1" ref="AV716" ca="1">IFERROR(_xlfn.IFS($AU716="","",$AU716&lt;=15,"0-15",AND($AU716&gt;=16,$AU716&lt;=30),"16-30",AND($AU716&gt;=31,$AU716&lt;=45),"31-45",AND($AU716&gt;=46,$AU716&lt;=60),"46-60",AND($AU716&gt;=61,$AU716&lt;=90),"61-90",AND($AU716&gt;=91),"&gt; 90",AND($AU716&gt;=2000),""),"")</f>
        <v/>
      </c>
      <c r="AW716" s="32" t="str" cm="1">
        <f t="array" aca="1" ref="AW716" ca="1">IFERROR(_xlfn.IFS(OR($M716="",$AM716=""),"",OR($C716="Offered",$C716="Joined"),($AM716-$M716)-$AT716),"")</f>
        <v/>
      </c>
      <c r="AX716" s="32" t="str" cm="1">
        <f t="array" aca="1" ref="AX716" ca="1">IFERROR(_xlfn.IFS(OR($M716="",$AS716=""),"",$C716="Joined",($AS716-$M716)-$AT716),"")</f>
        <v/>
      </c>
      <c r="AY716" s="30" t="str">
        <f>IFERROR(IF(COUNTIFS('Candidate Tracker'!$E:$E,'Positions Tracker'!$B716,'Candidate Tracker'!$C:$C,"Offer Drop")=0,"",COUNTIFS('Candidate Tracker'!$E:$E,'Positions Tracker'!$B716,'Candidate Tracker'!$C:$C,"Offer Drop")),"")</f>
        <v/>
      </c>
      <c r="AZ7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6" s="34" t="str">
        <f>IFERROR(IF(COUNTIFS('Candidate Tracker'!$E:$E,'Positions Tracker'!$B716,'Candidate Tracker'!$I:$I,"Female")=0,"",COUNTIFS('Candidate Tracker'!$E:$E,'Positions Tracker'!$B716,'Candidate Tracker'!$I:$I,"Female")),"")</f>
        <v/>
      </c>
      <c r="BB716" s="34" t="str">
        <f>IFERROR(IF(COUNTIFS('Candidate Tracker'!$E:$E,'Positions Tracker'!$B716,'Candidate Tracker'!$I:$I,"male")=0,"",COUNTIFS('Candidate Tracker'!$E:$E,'Positions Tracker'!$B716,'Candidate Tracker'!$I:$I,"male")),"")</f>
        <v/>
      </c>
      <c r="BC716" s="33" t="str">
        <f>IFERROR(IF(COUNTIFS('Candidate Tracker'!$E:$E,'Positions Tracker'!$B716,'Candidate Tracker'!$C:$C,"&lt;&gt;WIP",'Candidate Tracker'!$C:$C,"&lt;&gt;Hold",'Candidate Tracker'!$C:$C,"&lt;&gt;Cancelled",'Candidate Tracker'!$C:$C,"&lt;&gt;Closed")/COUNTIFS('Candidate Tracker'!$E:$E,'Positions Tracker'!$B716)=0,"",COUNTIFS('Candidate Tracker'!$E:$E,'Positions Tracker'!$B716,'Candidate Tracker'!$C:$C,"&lt;&gt;WIP",'Candidate Tracker'!$C:$C,"&lt;&gt;Hold",'Candidate Tracker'!$C:$C,"&lt;&gt;Cancelled",'Candidate Tracker'!$C:$C,"&lt;&gt;Closed")/COUNTIFS('Candidate Tracker'!$E:$E,'Positions Tracker'!$B716)),"")</f>
        <v/>
      </c>
      <c r="BD716" s="30" t="str">
        <f t="shared" si="81"/>
        <v/>
      </c>
      <c r="BE716" s="30" t="str">
        <f t="shared" si="82"/>
        <v/>
      </c>
      <c r="BF716" s="30" t="str">
        <f t="shared" si="83"/>
        <v/>
      </c>
      <c r="BG716" s="30" t="str">
        <f t="shared" si="84"/>
        <v/>
      </c>
    </row>
    <row r="717" spans="1:59">
      <c r="A717" s="39"/>
      <c r="B717" s="39"/>
      <c r="C717" s="39"/>
      <c r="D717" s="39"/>
      <c r="E717" s="39"/>
      <c r="F717" s="39"/>
      <c r="G717" s="39"/>
      <c r="H717" s="39"/>
      <c r="I717" s="40"/>
      <c r="J717" s="40"/>
      <c r="K717" s="35"/>
      <c r="L717" s="35"/>
      <c r="M717" s="35"/>
      <c r="N717" s="39"/>
      <c r="O717" s="39"/>
      <c r="P717" s="39"/>
      <c r="Q717" s="39"/>
      <c r="R717" s="39"/>
      <c r="S717" s="39"/>
      <c r="T717" s="39"/>
      <c r="U717" s="39"/>
      <c r="V717" s="39"/>
      <c r="W717" s="39"/>
      <c r="X717" s="39"/>
      <c r="Y717" s="39"/>
      <c r="Z717" s="39"/>
      <c r="AA717" s="39"/>
      <c r="AB717" s="39"/>
      <c r="AC717" s="39"/>
      <c r="AD717" s="39"/>
      <c r="AE717" s="39"/>
      <c r="AF717" s="39"/>
      <c r="AG717" s="39"/>
      <c r="AH717" s="39"/>
      <c r="AI717" s="35"/>
      <c r="AJ717" s="39"/>
      <c r="AK717" s="39"/>
      <c r="AL717" s="39"/>
      <c r="AM717" s="35"/>
      <c r="AN717" s="35"/>
      <c r="AO717" s="39"/>
      <c r="AP717" s="39"/>
      <c r="AQ717" s="35"/>
      <c r="AR717" s="35"/>
      <c r="AS717" s="35"/>
      <c r="AT717" s="30">
        <f t="shared" ca="1" si="80"/>
        <v>0</v>
      </c>
      <c r="AU717" s="32" t="str">
        <f t="shared" ca="1" si="79"/>
        <v/>
      </c>
      <c r="AV717" s="32" t="str" cm="1">
        <f t="array" aca="1" ref="AV717" ca="1">IFERROR(_xlfn.IFS($AU717="","",$AU717&lt;=15,"0-15",AND($AU717&gt;=16,$AU717&lt;=30),"16-30",AND($AU717&gt;=31,$AU717&lt;=45),"31-45",AND($AU717&gt;=46,$AU717&lt;=60),"46-60",AND($AU717&gt;=61,$AU717&lt;=90),"61-90",AND($AU717&gt;=91),"&gt; 90",AND($AU717&gt;=2000),""),"")</f>
        <v/>
      </c>
      <c r="AW717" s="32" t="str" cm="1">
        <f t="array" aca="1" ref="AW717" ca="1">IFERROR(_xlfn.IFS(OR($M717="",$AM717=""),"",OR($C717="Offered",$C717="Joined"),($AM717-$M717)-$AT717),"")</f>
        <v/>
      </c>
      <c r="AX717" s="32" t="str" cm="1">
        <f t="array" aca="1" ref="AX717" ca="1">IFERROR(_xlfn.IFS(OR($M717="",$AS717=""),"",$C717="Joined",($AS717-$M717)-$AT717),"")</f>
        <v/>
      </c>
      <c r="AY717" s="30" t="str">
        <f>IFERROR(IF(COUNTIFS('Candidate Tracker'!$E:$E,'Positions Tracker'!$B717,'Candidate Tracker'!$C:$C,"Offer Drop")=0,"",COUNTIFS('Candidate Tracker'!$E:$E,'Positions Tracker'!$B717,'Candidate Tracker'!$C:$C,"Offer Drop")),"")</f>
        <v/>
      </c>
      <c r="AZ7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7" s="34" t="str">
        <f>IFERROR(IF(COUNTIFS('Candidate Tracker'!$E:$E,'Positions Tracker'!$B717,'Candidate Tracker'!$I:$I,"Female")=0,"",COUNTIFS('Candidate Tracker'!$E:$E,'Positions Tracker'!$B717,'Candidate Tracker'!$I:$I,"Female")),"")</f>
        <v/>
      </c>
      <c r="BB717" s="34" t="str">
        <f>IFERROR(IF(COUNTIFS('Candidate Tracker'!$E:$E,'Positions Tracker'!$B717,'Candidate Tracker'!$I:$I,"male")=0,"",COUNTIFS('Candidate Tracker'!$E:$E,'Positions Tracker'!$B717,'Candidate Tracker'!$I:$I,"male")),"")</f>
        <v/>
      </c>
      <c r="BC717" s="33" t="str">
        <f>IFERROR(IF(COUNTIFS('Candidate Tracker'!$E:$E,'Positions Tracker'!$B717,'Candidate Tracker'!$C:$C,"&lt;&gt;WIP",'Candidate Tracker'!$C:$C,"&lt;&gt;Hold",'Candidate Tracker'!$C:$C,"&lt;&gt;Cancelled",'Candidate Tracker'!$C:$C,"&lt;&gt;Closed")/COUNTIFS('Candidate Tracker'!$E:$E,'Positions Tracker'!$B717)=0,"",COUNTIFS('Candidate Tracker'!$E:$E,'Positions Tracker'!$B717,'Candidate Tracker'!$C:$C,"&lt;&gt;WIP",'Candidate Tracker'!$C:$C,"&lt;&gt;Hold",'Candidate Tracker'!$C:$C,"&lt;&gt;Cancelled",'Candidate Tracker'!$C:$C,"&lt;&gt;Closed")/COUNTIFS('Candidate Tracker'!$E:$E,'Positions Tracker'!$B717)),"")</f>
        <v/>
      </c>
      <c r="BD717" s="30" t="str">
        <f t="shared" si="81"/>
        <v/>
      </c>
      <c r="BE717" s="30" t="str">
        <f t="shared" si="82"/>
        <v/>
      </c>
      <c r="BF717" s="30" t="str">
        <f t="shared" si="83"/>
        <v/>
      </c>
      <c r="BG717" s="30" t="str">
        <f t="shared" si="84"/>
        <v/>
      </c>
    </row>
    <row r="718" spans="1:59">
      <c r="A718" s="39"/>
      <c r="B718" s="39"/>
      <c r="C718" s="39"/>
      <c r="D718" s="39"/>
      <c r="E718" s="39"/>
      <c r="F718" s="39"/>
      <c r="G718" s="39"/>
      <c r="H718" s="39"/>
      <c r="I718" s="40"/>
      <c r="J718" s="40"/>
      <c r="K718" s="35"/>
      <c r="L718" s="35"/>
      <c r="M718" s="35"/>
      <c r="N718" s="39"/>
      <c r="O718" s="39"/>
      <c r="P718" s="39"/>
      <c r="Q718" s="39"/>
      <c r="R718" s="39"/>
      <c r="S718" s="39"/>
      <c r="T718" s="39"/>
      <c r="U718" s="39"/>
      <c r="V718" s="39"/>
      <c r="W718" s="39"/>
      <c r="X718" s="39"/>
      <c r="Y718" s="39"/>
      <c r="Z718" s="39"/>
      <c r="AA718" s="39"/>
      <c r="AB718" s="39"/>
      <c r="AC718" s="39"/>
      <c r="AD718" s="39"/>
      <c r="AE718" s="39"/>
      <c r="AF718" s="39"/>
      <c r="AG718" s="39"/>
      <c r="AH718" s="39"/>
      <c r="AI718" s="35"/>
      <c r="AJ718" s="39"/>
      <c r="AK718" s="39"/>
      <c r="AL718" s="39"/>
      <c r="AM718" s="35"/>
      <c r="AN718" s="35"/>
      <c r="AO718" s="39"/>
      <c r="AP718" s="39"/>
      <c r="AQ718" s="35"/>
      <c r="AR718" s="35"/>
      <c r="AS718" s="35"/>
      <c r="AT718" s="30">
        <f t="shared" ca="1" si="80"/>
        <v>0</v>
      </c>
      <c r="AU718" s="32" t="str">
        <f t="shared" ca="1" si="79"/>
        <v/>
      </c>
      <c r="AV718" s="32" t="str" cm="1">
        <f t="array" aca="1" ref="AV718" ca="1">IFERROR(_xlfn.IFS($AU718="","",$AU718&lt;=15,"0-15",AND($AU718&gt;=16,$AU718&lt;=30),"16-30",AND($AU718&gt;=31,$AU718&lt;=45),"31-45",AND($AU718&gt;=46,$AU718&lt;=60),"46-60",AND($AU718&gt;=61,$AU718&lt;=90),"61-90",AND($AU718&gt;=91),"&gt; 90",AND($AU718&gt;=2000),""),"")</f>
        <v/>
      </c>
      <c r="AW718" s="32" t="str" cm="1">
        <f t="array" aca="1" ref="AW718" ca="1">IFERROR(_xlfn.IFS(OR($M718="",$AM718=""),"",OR($C718="Offered",$C718="Joined"),($AM718-$M718)-$AT718),"")</f>
        <v/>
      </c>
      <c r="AX718" s="32" t="str" cm="1">
        <f t="array" aca="1" ref="AX718" ca="1">IFERROR(_xlfn.IFS(OR($M718="",$AS718=""),"",$C718="Joined",($AS718-$M718)-$AT718),"")</f>
        <v/>
      </c>
      <c r="AY718" s="30" t="str">
        <f>IFERROR(IF(COUNTIFS('Candidate Tracker'!$E:$E,'Positions Tracker'!$B718,'Candidate Tracker'!$C:$C,"Offer Drop")=0,"",COUNTIFS('Candidate Tracker'!$E:$E,'Positions Tracker'!$B718,'Candidate Tracker'!$C:$C,"Offer Drop")),"")</f>
        <v/>
      </c>
      <c r="AZ7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8" s="34" t="str">
        <f>IFERROR(IF(COUNTIFS('Candidate Tracker'!$E:$E,'Positions Tracker'!$B718,'Candidate Tracker'!$I:$I,"Female")=0,"",COUNTIFS('Candidate Tracker'!$E:$E,'Positions Tracker'!$B718,'Candidate Tracker'!$I:$I,"Female")),"")</f>
        <v/>
      </c>
      <c r="BB718" s="34" t="str">
        <f>IFERROR(IF(COUNTIFS('Candidate Tracker'!$E:$E,'Positions Tracker'!$B718,'Candidate Tracker'!$I:$I,"male")=0,"",COUNTIFS('Candidate Tracker'!$E:$E,'Positions Tracker'!$B718,'Candidate Tracker'!$I:$I,"male")),"")</f>
        <v/>
      </c>
      <c r="BC718" s="33" t="str">
        <f>IFERROR(IF(COUNTIFS('Candidate Tracker'!$E:$E,'Positions Tracker'!$B718,'Candidate Tracker'!$C:$C,"&lt;&gt;WIP",'Candidate Tracker'!$C:$C,"&lt;&gt;Hold",'Candidate Tracker'!$C:$C,"&lt;&gt;Cancelled",'Candidate Tracker'!$C:$C,"&lt;&gt;Closed")/COUNTIFS('Candidate Tracker'!$E:$E,'Positions Tracker'!$B718)=0,"",COUNTIFS('Candidate Tracker'!$E:$E,'Positions Tracker'!$B718,'Candidate Tracker'!$C:$C,"&lt;&gt;WIP",'Candidate Tracker'!$C:$C,"&lt;&gt;Hold",'Candidate Tracker'!$C:$C,"&lt;&gt;Cancelled",'Candidate Tracker'!$C:$C,"&lt;&gt;Closed")/COUNTIFS('Candidate Tracker'!$E:$E,'Positions Tracker'!$B718)),"")</f>
        <v/>
      </c>
      <c r="BD718" s="30" t="str">
        <f t="shared" si="81"/>
        <v/>
      </c>
      <c r="BE718" s="30" t="str">
        <f t="shared" si="82"/>
        <v/>
      </c>
      <c r="BF718" s="30" t="str">
        <f t="shared" si="83"/>
        <v/>
      </c>
      <c r="BG718" s="30" t="str">
        <f t="shared" si="84"/>
        <v/>
      </c>
    </row>
    <row r="719" spans="1:59">
      <c r="A719" s="39"/>
      <c r="B719" s="39"/>
      <c r="C719" s="39"/>
      <c r="D719" s="39"/>
      <c r="E719" s="39"/>
      <c r="F719" s="39"/>
      <c r="G719" s="39"/>
      <c r="H719" s="39"/>
      <c r="I719" s="40"/>
      <c r="J719" s="40"/>
      <c r="K719" s="35"/>
      <c r="L719" s="35"/>
      <c r="M719" s="35"/>
      <c r="N719" s="39"/>
      <c r="O719" s="39"/>
      <c r="P719" s="39"/>
      <c r="Q719" s="39"/>
      <c r="R719" s="39"/>
      <c r="S719" s="39"/>
      <c r="T719" s="39"/>
      <c r="U719" s="39"/>
      <c r="V719" s="39"/>
      <c r="W719" s="39"/>
      <c r="X719" s="39"/>
      <c r="Y719" s="39"/>
      <c r="Z719" s="39"/>
      <c r="AA719" s="39"/>
      <c r="AB719" s="39"/>
      <c r="AC719" s="39"/>
      <c r="AD719" s="39"/>
      <c r="AE719" s="39"/>
      <c r="AF719" s="39"/>
      <c r="AG719" s="39"/>
      <c r="AH719" s="39"/>
      <c r="AI719" s="35"/>
      <c r="AJ719" s="39"/>
      <c r="AK719" s="39"/>
      <c r="AL719" s="39"/>
      <c r="AM719" s="35"/>
      <c r="AN719" s="35"/>
      <c r="AO719" s="39"/>
      <c r="AP719" s="39"/>
      <c r="AQ719" s="35"/>
      <c r="AR719" s="35"/>
      <c r="AS719" s="35"/>
      <c r="AT719" s="30">
        <f t="shared" ca="1" si="80"/>
        <v>0</v>
      </c>
      <c r="AU719" s="32" t="str">
        <f t="shared" ca="1" si="79"/>
        <v/>
      </c>
      <c r="AV719" s="32" t="str" cm="1">
        <f t="array" aca="1" ref="AV719" ca="1">IFERROR(_xlfn.IFS($AU719="","",$AU719&lt;=15,"0-15",AND($AU719&gt;=16,$AU719&lt;=30),"16-30",AND($AU719&gt;=31,$AU719&lt;=45),"31-45",AND($AU719&gt;=46,$AU719&lt;=60),"46-60",AND($AU719&gt;=61,$AU719&lt;=90),"61-90",AND($AU719&gt;=91),"&gt; 90",AND($AU719&gt;=2000),""),"")</f>
        <v/>
      </c>
      <c r="AW719" s="32" t="str" cm="1">
        <f t="array" aca="1" ref="AW719" ca="1">IFERROR(_xlfn.IFS(OR($M719="",$AM719=""),"",OR($C719="Offered",$C719="Joined"),($AM719-$M719)-$AT719),"")</f>
        <v/>
      </c>
      <c r="AX719" s="32" t="str" cm="1">
        <f t="array" aca="1" ref="AX719" ca="1">IFERROR(_xlfn.IFS(OR($M719="",$AS719=""),"",$C719="Joined",($AS719-$M719)-$AT719),"")</f>
        <v/>
      </c>
      <c r="AY719" s="30" t="str">
        <f>IFERROR(IF(COUNTIFS('Candidate Tracker'!$E:$E,'Positions Tracker'!$B719,'Candidate Tracker'!$C:$C,"Offer Drop")=0,"",COUNTIFS('Candidate Tracker'!$E:$E,'Positions Tracker'!$B719,'Candidate Tracker'!$C:$C,"Offer Drop")),"")</f>
        <v/>
      </c>
      <c r="AZ7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19" s="34" t="str">
        <f>IFERROR(IF(COUNTIFS('Candidate Tracker'!$E:$E,'Positions Tracker'!$B719,'Candidate Tracker'!$I:$I,"Female")=0,"",COUNTIFS('Candidate Tracker'!$E:$E,'Positions Tracker'!$B719,'Candidate Tracker'!$I:$I,"Female")),"")</f>
        <v/>
      </c>
      <c r="BB719" s="34" t="str">
        <f>IFERROR(IF(COUNTIFS('Candidate Tracker'!$E:$E,'Positions Tracker'!$B719,'Candidate Tracker'!$I:$I,"male")=0,"",COUNTIFS('Candidate Tracker'!$E:$E,'Positions Tracker'!$B719,'Candidate Tracker'!$I:$I,"male")),"")</f>
        <v/>
      </c>
      <c r="BC719" s="33" t="str">
        <f>IFERROR(IF(COUNTIFS('Candidate Tracker'!$E:$E,'Positions Tracker'!$B719,'Candidate Tracker'!$C:$C,"&lt;&gt;WIP",'Candidate Tracker'!$C:$C,"&lt;&gt;Hold",'Candidate Tracker'!$C:$C,"&lt;&gt;Cancelled",'Candidate Tracker'!$C:$C,"&lt;&gt;Closed")/COUNTIFS('Candidate Tracker'!$E:$E,'Positions Tracker'!$B719)=0,"",COUNTIFS('Candidate Tracker'!$E:$E,'Positions Tracker'!$B719,'Candidate Tracker'!$C:$C,"&lt;&gt;WIP",'Candidate Tracker'!$C:$C,"&lt;&gt;Hold",'Candidate Tracker'!$C:$C,"&lt;&gt;Cancelled",'Candidate Tracker'!$C:$C,"&lt;&gt;Closed")/COUNTIFS('Candidate Tracker'!$E:$E,'Positions Tracker'!$B719)),"")</f>
        <v/>
      </c>
      <c r="BD719" s="30" t="str">
        <f t="shared" si="81"/>
        <v/>
      </c>
      <c r="BE719" s="30" t="str">
        <f t="shared" si="82"/>
        <v/>
      </c>
      <c r="BF719" s="30" t="str">
        <f t="shared" si="83"/>
        <v/>
      </c>
      <c r="BG719" s="30" t="str">
        <f t="shared" si="84"/>
        <v/>
      </c>
    </row>
    <row r="720" spans="1:59">
      <c r="A720" s="39"/>
      <c r="B720" s="39"/>
      <c r="C720" s="39"/>
      <c r="D720" s="39"/>
      <c r="E720" s="39"/>
      <c r="F720" s="39"/>
      <c r="G720" s="39"/>
      <c r="H720" s="39"/>
      <c r="I720" s="40"/>
      <c r="J720" s="40"/>
      <c r="K720" s="35"/>
      <c r="L720" s="35"/>
      <c r="M720" s="35"/>
      <c r="N720" s="39"/>
      <c r="O720" s="39"/>
      <c r="P720" s="39"/>
      <c r="Q720" s="39"/>
      <c r="R720" s="39"/>
      <c r="S720" s="39"/>
      <c r="T720" s="39"/>
      <c r="U720" s="39"/>
      <c r="V720" s="39"/>
      <c r="W720" s="39"/>
      <c r="X720" s="39"/>
      <c r="Y720" s="39"/>
      <c r="Z720" s="39"/>
      <c r="AA720" s="39"/>
      <c r="AB720" s="39"/>
      <c r="AC720" s="39"/>
      <c r="AD720" s="39"/>
      <c r="AE720" s="39"/>
      <c r="AF720" s="39"/>
      <c r="AG720" s="39"/>
      <c r="AH720" s="39"/>
      <c r="AI720" s="35"/>
      <c r="AJ720" s="39"/>
      <c r="AK720" s="39"/>
      <c r="AL720" s="39"/>
      <c r="AM720" s="35"/>
      <c r="AN720" s="35"/>
      <c r="AO720" s="39"/>
      <c r="AP720" s="39"/>
      <c r="AQ720" s="35"/>
      <c r="AR720" s="35"/>
      <c r="AS720" s="35"/>
      <c r="AT720" s="30">
        <f t="shared" ca="1" si="80"/>
        <v>0</v>
      </c>
      <c r="AU720" s="32" t="str">
        <f t="shared" ca="1" si="79"/>
        <v/>
      </c>
      <c r="AV720" s="32" t="str" cm="1">
        <f t="array" aca="1" ref="AV720" ca="1">IFERROR(_xlfn.IFS($AU720="","",$AU720&lt;=15,"0-15",AND($AU720&gt;=16,$AU720&lt;=30),"16-30",AND($AU720&gt;=31,$AU720&lt;=45),"31-45",AND($AU720&gt;=46,$AU720&lt;=60),"46-60",AND($AU720&gt;=61,$AU720&lt;=90),"61-90",AND($AU720&gt;=91),"&gt; 90",AND($AU720&gt;=2000),""),"")</f>
        <v/>
      </c>
      <c r="AW720" s="32" t="str" cm="1">
        <f t="array" aca="1" ref="AW720" ca="1">IFERROR(_xlfn.IFS(OR($M720="",$AM720=""),"",OR($C720="Offered",$C720="Joined"),($AM720-$M720)-$AT720),"")</f>
        <v/>
      </c>
      <c r="AX720" s="32" t="str" cm="1">
        <f t="array" aca="1" ref="AX720" ca="1">IFERROR(_xlfn.IFS(OR($M720="",$AS720=""),"",$C720="Joined",($AS720-$M720)-$AT720),"")</f>
        <v/>
      </c>
      <c r="AY720" s="30" t="str">
        <f>IFERROR(IF(COUNTIFS('Candidate Tracker'!$E:$E,'Positions Tracker'!$B720,'Candidate Tracker'!$C:$C,"Offer Drop")=0,"",COUNTIFS('Candidate Tracker'!$E:$E,'Positions Tracker'!$B720,'Candidate Tracker'!$C:$C,"Offer Drop")),"")</f>
        <v/>
      </c>
      <c r="AZ7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0" s="34" t="str">
        <f>IFERROR(IF(COUNTIFS('Candidate Tracker'!$E:$E,'Positions Tracker'!$B720,'Candidate Tracker'!$I:$I,"Female")=0,"",COUNTIFS('Candidate Tracker'!$E:$E,'Positions Tracker'!$B720,'Candidate Tracker'!$I:$I,"Female")),"")</f>
        <v/>
      </c>
      <c r="BB720" s="34" t="str">
        <f>IFERROR(IF(COUNTIFS('Candidate Tracker'!$E:$E,'Positions Tracker'!$B720,'Candidate Tracker'!$I:$I,"male")=0,"",COUNTIFS('Candidate Tracker'!$E:$E,'Positions Tracker'!$B720,'Candidate Tracker'!$I:$I,"male")),"")</f>
        <v/>
      </c>
      <c r="BC720" s="33" t="str">
        <f>IFERROR(IF(COUNTIFS('Candidate Tracker'!$E:$E,'Positions Tracker'!$B720,'Candidate Tracker'!$C:$C,"&lt;&gt;WIP",'Candidate Tracker'!$C:$C,"&lt;&gt;Hold",'Candidate Tracker'!$C:$C,"&lt;&gt;Cancelled",'Candidate Tracker'!$C:$C,"&lt;&gt;Closed")/COUNTIFS('Candidate Tracker'!$E:$E,'Positions Tracker'!$B720)=0,"",COUNTIFS('Candidate Tracker'!$E:$E,'Positions Tracker'!$B720,'Candidate Tracker'!$C:$C,"&lt;&gt;WIP",'Candidate Tracker'!$C:$C,"&lt;&gt;Hold",'Candidate Tracker'!$C:$C,"&lt;&gt;Cancelled",'Candidate Tracker'!$C:$C,"&lt;&gt;Closed")/COUNTIFS('Candidate Tracker'!$E:$E,'Positions Tracker'!$B720)),"")</f>
        <v/>
      </c>
      <c r="BD720" s="30" t="str">
        <f t="shared" si="81"/>
        <v/>
      </c>
      <c r="BE720" s="30" t="str">
        <f t="shared" si="82"/>
        <v/>
      </c>
      <c r="BF720" s="30" t="str">
        <f t="shared" si="83"/>
        <v/>
      </c>
      <c r="BG720" s="30" t="str">
        <f t="shared" si="84"/>
        <v/>
      </c>
    </row>
    <row r="721" spans="1:59">
      <c r="A721" s="39"/>
      <c r="B721" s="39"/>
      <c r="C721" s="39"/>
      <c r="D721" s="39"/>
      <c r="E721" s="39"/>
      <c r="F721" s="39"/>
      <c r="G721" s="39"/>
      <c r="H721" s="39"/>
      <c r="I721" s="40"/>
      <c r="J721" s="40"/>
      <c r="K721" s="35"/>
      <c r="L721" s="35"/>
      <c r="M721" s="35"/>
      <c r="N721" s="39"/>
      <c r="O721" s="39"/>
      <c r="P721" s="39"/>
      <c r="Q721" s="39"/>
      <c r="R721" s="39"/>
      <c r="S721" s="39"/>
      <c r="T721" s="39"/>
      <c r="U721" s="39"/>
      <c r="V721" s="39"/>
      <c r="W721" s="39"/>
      <c r="X721" s="39"/>
      <c r="Y721" s="39"/>
      <c r="Z721" s="39"/>
      <c r="AA721" s="39"/>
      <c r="AB721" s="39"/>
      <c r="AC721" s="39"/>
      <c r="AD721" s="39"/>
      <c r="AE721" s="39"/>
      <c r="AF721" s="39"/>
      <c r="AG721" s="39"/>
      <c r="AH721" s="39"/>
      <c r="AI721" s="35"/>
      <c r="AJ721" s="39"/>
      <c r="AK721" s="39"/>
      <c r="AL721" s="39"/>
      <c r="AM721" s="35"/>
      <c r="AN721" s="35"/>
      <c r="AO721" s="39"/>
      <c r="AP721" s="39"/>
      <c r="AQ721" s="35"/>
      <c r="AR721" s="35"/>
      <c r="AS721" s="35"/>
      <c r="AT721" s="30">
        <f t="shared" ca="1" si="80"/>
        <v>0</v>
      </c>
      <c r="AU721" s="32" t="str">
        <f t="shared" ca="1" si="79"/>
        <v/>
      </c>
      <c r="AV721" s="32" t="str" cm="1">
        <f t="array" aca="1" ref="AV721" ca="1">IFERROR(_xlfn.IFS($AU721="","",$AU721&lt;=15,"0-15",AND($AU721&gt;=16,$AU721&lt;=30),"16-30",AND($AU721&gt;=31,$AU721&lt;=45),"31-45",AND($AU721&gt;=46,$AU721&lt;=60),"46-60",AND($AU721&gt;=61,$AU721&lt;=90),"61-90",AND($AU721&gt;=91),"&gt; 90",AND($AU721&gt;=2000),""),"")</f>
        <v/>
      </c>
      <c r="AW721" s="32" t="str" cm="1">
        <f t="array" aca="1" ref="AW721" ca="1">IFERROR(_xlfn.IFS(OR($M721="",$AM721=""),"",OR($C721="Offered",$C721="Joined"),($AM721-$M721)-$AT721),"")</f>
        <v/>
      </c>
      <c r="AX721" s="32" t="str" cm="1">
        <f t="array" aca="1" ref="AX721" ca="1">IFERROR(_xlfn.IFS(OR($M721="",$AS721=""),"",$C721="Joined",($AS721-$M721)-$AT721),"")</f>
        <v/>
      </c>
      <c r="AY721" s="30" t="str">
        <f>IFERROR(IF(COUNTIFS('Candidate Tracker'!$E:$E,'Positions Tracker'!$B721,'Candidate Tracker'!$C:$C,"Offer Drop")=0,"",COUNTIFS('Candidate Tracker'!$E:$E,'Positions Tracker'!$B721,'Candidate Tracker'!$C:$C,"Offer Drop")),"")</f>
        <v/>
      </c>
      <c r="AZ7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1" s="34" t="str">
        <f>IFERROR(IF(COUNTIFS('Candidate Tracker'!$E:$E,'Positions Tracker'!$B721,'Candidate Tracker'!$I:$I,"Female")=0,"",COUNTIFS('Candidate Tracker'!$E:$E,'Positions Tracker'!$B721,'Candidate Tracker'!$I:$I,"Female")),"")</f>
        <v/>
      </c>
      <c r="BB721" s="34" t="str">
        <f>IFERROR(IF(COUNTIFS('Candidate Tracker'!$E:$E,'Positions Tracker'!$B721,'Candidate Tracker'!$I:$I,"male")=0,"",COUNTIFS('Candidate Tracker'!$E:$E,'Positions Tracker'!$B721,'Candidate Tracker'!$I:$I,"male")),"")</f>
        <v/>
      </c>
      <c r="BC721" s="33" t="str">
        <f>IFERROR(IF(COUNTIFS('Candidate Tracker'!$E:$E,'Positions Tracker'!$B721,'Candidate Tracker'!$C:$C,"&lt;&gt;WIP",'Candidate Tracker'!$C:$C,"&lt;&gt;Hold",'Candidate Tracker'!$C:$C,"&lt;&gt;Cancelled",'Candidate Tracker'!$C:$C,"&lt;&gt;Closed")/COUNTIFS('Candidate Tracker'!$E:$E,'Positions Tracker'!$B721)=0,"",COUNTIFS('Candidate Tracker'!$E:$E,'Positions Tracker'!$B721,'Candidate Tracker'!$C:$C,"&lt;&gt;WIP",'Candidate Tracker'!$C:$C,"&lt;&gt;Hold",'Candidate Tracker'!$C:$C,"&lt;&gt;Cancelled",'Candidate Tracker'!$C:$C,"&lt;&gt;Closed")/COUNTIFS('Candidate Tracker'!$E:$E,'Positions Tracker'!$B721)),"")</f>
        <v/>
      </c>
      <c r="BD721" s="30" t="str">
        <f t="shared" si="81"/>
        <v/>
      </c>
      <c r="BE721" s="30" t="str">
        <f t="shared" si="82"/>
        <v/>
      </c>
      <c r="BF721" s="30" t="str">
        <f t="shared" si="83"/>
        <v/>
      </c>
      <c r="BG721" s="30" t="str">
        <f t="shared" si="84"/>
        <v/>
      </c>
    </row>
    <row r="722" spans="1:59">
      <c r="A722" s="39"/>
      <c r="B722" s="39"/>
      <c r="C722" s="39"/>
      <c r="D722" s="39"/>
      <c r="E722" s="39"/>
      <c r="F722" s="39"/>
      <c r="G722" s="39"/>
      <c r="H722" s="39"/>
      <c r="I722" s="40"/>
      <c r="J722" s="40"/>
      <c r="K722" s="35"/>
      <c r="L722" s="35"/>
      <c r="M722" s="35"/>
      <c r="N722" s="39"/>
      <c r="O722" s="39"/>
      <c r="P722" s="39"/>
      <c r="Q722" s="39"/>
      <c r="R722" s="39"/>
      <c r="S722" s="39"/>
      <c r="T722" s="39"/>
      <c r="U722" s="39"/>
      <c r="V722" s="39"/>
      <c r="W722" s="39"/>
      <c r="X722" s="39"/>
      <c r="Y722" s="39"/>
      <c r="Z722" s="39"/>
      <c r="AA722" s="39"/>
      <c r="AB722" s="39"/>
      <c r="AC722" s="39"/>
      <c r="AD722" s="39"/>
      <c r="AE722" s="39"/>
      <c r="AF722" s="39"/>
      <c r="AG722" s="39"/>
      <c r="AH722" s="39"/>
      <c r="AI722" s="35"/>
      <c r="AJ722" s="39"/>
      <c r="AK722" s="39"/>
      <c r="AL722" s="39"/>
      <c r="AM722" s="35"/>
      <c r="AN722" s="35"/>
      <c r="AO722" s="39"/>
      <c r="AP722" s="39"/>
      <c r="AQ722" s="35"/>
      <c r="AR722" s="35"/>
      <c r="AS722" s="35"/>
      <c r="AT722" s="30">
        <f t="shared" ca="1" si="80"/>
        <v>0</v>
      </c>
      <c r="AU722" s="32" t="str">
        <f t="shared" ca="1" si="79"/>
        <v/>
      </c>
      <c r="AV722" s="32" t="str" cm="1">
        <f t="array" aca="1" ref="AV722" ca="1">IFERROR(_xlfn.IFS($AU722="","",$AU722&lt;=15,"0-15",AND($AU722&gt;=16,$AU722&lt;=30),"16-30",AND($AU722&gt;=31,$AU722&lt;=45),"31-45",AND($AU722&gt;=46,$AU722&lt;=60),"46-60",AND($AU722&gt;=61,$AU722&lt;=90),"61-90",AND($AU722&gt;=91),"&gt; 90",AND($AU722&gt;=2000),""),"")</f>
        <v/>
      </c>
      <c r="AW722" s="32" t="str" cm="1">
        <f t="array" aca="1" ref="AW722" ca="1">IFERROR(_xlfn.IFS(OR($M722="",$AM722=""),"",OR($C722="Offered",$C722="Joined"),($AM722-$M722)-$AT722),"")</f>
        <v/>
      </c>
      <c r="AX722" s="32" t="str" cm="1">
        <f t="array" aca="1" ref="AX722" ca="1">IFERROR(_xlfn.IFS(OR($M722="",$AS722=""),"",$C722="Joined",($AS722-$M722)-$AT722),"")</f>
        <v/>
      </c>
      <c r="AY722" s="30" t="str">
        <f>IFERROR(IF(COUNTIFS('Candidate Tracker'!$E:$E,'Positions Tracker'!$B722,'Candidate Tracker'!$C:$C,"Offer Drop")=0,"",COUNTIFS('Candidate Tracker'!$E:$E,'Positions Tracker'!$B722,'Candidate Tracker'!$C:$C,"Offer Drop")),"")</f>
        <v/>
      </c>
      <c r="AZ7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2" s="34" t="str">
        <f>IFERROR(IF(COUNTIFS('Candidate Tracker'!$E:$E,'Positions Tracker'!$B722,'Candidate Tracker'!$I:$I,"Female")=0,"",COUNTIFS('Candidate Tracker'!$E:$E,'Positions Tracker'!$B722,'Candidate Tracker'!$I:$I,"Female")),"")</f>
        <v/>
      </c>
      <c r="BB722" s="34" t="str">
        <f>IFERROR(IF(COUNTIFS('Candidate Tracker'!$E:$E,'Positions Tracker'!$B722,'Candidate Tracker'!$I:$I,"male")=0,"",COUNTIFS('Candidate Tracker'!$E:$E,'Positions Tracker'!$B722,'Candidate Tracker'!$I:$I,"male")),"")</f>
        <v/>
      </c>
      <c r="BC722" s="33" t="str">
        <f>IFERROR(IF(COUNTIFS('Candidate Tracker'!$E:$E,'Positions Tracker'!$B722,'Candidate Tracker'!$C:$C,"&lt;&gt;WIP",'Candidate Tracker'!$C:$C,"&lt;&gt;Hold",'Candidate Tracker'!$C:$C,"&lt;&gt;Cancelled",'Candidate Tracker'!$C:$C,"&lt;&gt;Closed")/COUNTIFS('Candidate Tracker'!$E:$E,'Positions Tracker'!$B722)=0,"",COUNTIFS('Candidate Tracker'!$E:$E,'Positions Tracker'!$B722,'Candidate Tracker'!$C:$C,"&lt;&gt;WIP",'Candidate Tracker'!$C:$C,"&lt;&gt;Hold",'Candidate Tracker'!$C:$C,"&lt;&gt;Cancelled",'Candidate Tracker'!$C:$C,"&lt;&gt;Closed")/COUNTIFS('Candidate Tracker'!$E:$E,'Positions Tracker'!$B722)),"")</f>
        <v/>
      </c>
      <c r="BD722" s="30" t="str">
        <f t="shared" si="81"/>
        <v/>
      </c>
      <c r="BE722" s="30" t="str">
        <f t="shared" si="82"/>
        <v/>
      </c>
      <c r="BF722" s="30" t="str">
        <f t="shared" si="83"/>
        <v/>
      </c>
      <c r="BG722" s="30" t="str">
        <f t="shared" si="84"/>
        <v/>
      </c>
    </row>
    <row r="723" spans="1:59">
      <c r="A723" s="39"/>
      <c r="B723" s="39"/>
      <c r="C723" s="39"/>
      <c r="D723" s="39"/>
      <c r="E723" s="39"/>
      <c r="F723" s="39"/>
      <c r="G723" s="39"/>
      <c r="H723" s="39"/>
      <c r="I723" s="40"/>
      <c r="J723" s="40"/>
      <c r="K723" s="35"/>
      <c r="L723" s="35"/>
      <c r="M723" s="35"/>
      <c r="N723" s="39"/>
      <c r="O723" s="39"/>
      <c r="P723" s="39"/>
      <c r="Q723" s="39"/>
      <c r="R723" s="39"/>
      <c r="S723" s="39"/>
      <c r="T723" s="39"/>
      <c r="U723" s="39"/>
      <c r="V723" s="39"/>
      <c r="W723" s="39"/>
      <c r="X723" s="39"/>
      <c r="Y723" s="39"/>
      <c r="Z723" s="39"/>
      <c r="AA723" s="39"/>
      <c r="AB723" s="39"/>
      <c r="AC723" s="39"/>
      <c r="AD723" s="39"/>
      <c r="AE723" s="39"/>
      <c r="AF723" s="39"/>
      <c r="AG723" s="39"/>
      <c r="AH723" s="39"/>
      <c r="AI723" s="35"/>
      <c r="AJ723" s="39"/>
      <c r="AK723" s="39"/>
      <c r="AL723" s="39"/>
      <c r="AM723" s="35"/>
      <c r="AN723" s="35"/>
      <c r="AO723" s="39"/>
      <c r="AP723" s="39"/>
      <c r="AQ723" s="35"/>
      <c r="AR723" s="35"/>
      <c r="AS723" s="35"/>
      <c r="AT723" s="30">
        <f t="shared" ca="1" si="80"/>
        <v>0</v>
      </c>
      <c r="AU723" s="32" t="str">
        <f t="shared" ca="1" si="79"/>
        <v/>
      </c>
      <c r="AV723" s="32" t="str" cm="1">
        <f t="array" aca="1" ref="AV723" ca="1">IFERROR(_xlfn.IFS($AU723="","",$AU723&lt;=15,"0-15",AND($AU723&gt;=16,$AU723&lt;=30),"16-30",AND($AU723&gt;=31,$AU723&lt;=45),"31-45",AND($AU723&gt;=46,$AU723&lt;=60),"46-60",AND($AU723&gt;=61,$AU723&lt;=90),"61-90",AND($AU723&gt;=91),"&gt; 90",AND($AU723&gt;=2000),""),"")</f>
        <v/>
      </c>
      <c r="AW723" s="32" t="str" cm="1">
        <f t="array" aca="1" ref="AW723" ca="1">IFERROR(_xlfn.IFS(OR($M723="",$AM723=""),"",OR($C723="Offered",$C723="Joined"),($AM723-$M723)-$AT723),"")</f>
        <v/>
      </c>
      <c r="AX723" s="32" t="str" cm="1">
        <f t="array" aca="1" ref="AX723" ca="1">IFERROR(_xlfn.IFS(OR($M723="",$AS723=""),"",$C723="Joined",($AS723-$M723)-$AT723),"")</f>
        <v/>
      </c>
      <c r="AY723" s="30" t="str">
        <f>IFERROR(IF(COUNTIFS('Candidate Tracker'!$E:$E,'Positions Tracker'!$B723,'Candidate Tracker'!$C:$C,"Offer Drop")=0,"",COUNTIFS('Candidate Tracker'!$E:$E,'Positions Tracker'!$B723,'Candidate Tracker'!$C:$C,"Offer Drop")),"")</f>
        <v/>
      </c>
      <c r="AZ7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3" s="34" t="str">
        <f>IFERROR(IF(COUNTIFS('Candidate Tracker'!$E:$E,'Positions Tracker'!$B723,'Candidate Tracker'!$I:$I,"Female")=0,"",COUNTIFS('Candidate Tracker'!$E:$E,'Positions Tracker'!$B723,'Candidate Tracker'!$I:$I,"Female")),"")</f>
        <v/>
      </c>
      <c r="BB723" s="34" t="str">
        <f>IFERROR(IF(COUNTIFS('Candidate Tracker'!$E:$E,'Positions Tracker'!$B723,'Candidate Tracker'!$I:$I,"male")=0,"",COUNTIFS('Candidate Tracker'!$E:$E,'Positions Tracker'!$B723,'Candidate Tracker'!$I:$I,"male")),"")</f>
        <v/>
      </c>
      <c r="BC723" s="33" t="str">
        <f>IFERROR(IF(COUNTIFS('Candidate Tracker'!$E:$E,'Positions Tracker'!$B723,'Candidate Tracker'!$C:$C,"&lt;&gt;WIP",'Candidate Tracker'!$C:$C,"&lt;&gt;Hold",'Candidate Tracker'!$C:$C,"&lt;&gt;Cancelled",'Candidate Tracker'!$C:$C,"&lt;&gt;Closed")/COUNTIFS('Candidate Tracker'!$E:$E,'Positions Tracker'!$B723)=0,"",COUNTIFS('Candidate Tracker'!$E:$E,'Positions Tracker'!$B723,'Candidate Tracker'!$C:$C,"&lt;&gt;WIP",'Candidate Tracker'!$C:$C,"&lt;&gt;Hold",'Candidate Tracker'!$C:$C,"&lt;&gt;Cancelled",'Candidate Tracker'!$C:$C,"&lt;&gt;Closed")/COUNTIFS('Candidate Tracker'!$E:$E,'Positions Tracker'!$B723)),"")</f>
        <v/>
      </c>
      <c r="BD723" s="30" t="str">
        <f t="shared" si="81"/>
        <v/>
      </c>
      <c r="BE723" s="30" t="str">
        <f t="shared" si="82"/>
        <v/>
      </c>
      <c r="BF723" s="30" t="str">
        <f t="shared" si="83"/>
        <v/>
      </c>
      <c r="BG723" s="30" t="str">
        <f t="shared" si="84"/>
        <v/>
      </c>
    </row>
    <row r="724" spans="1:59">
      <c r="A724" s="39"/>
      <c r="B724" s="39"/>
      <c r="C724" s="39"/>
      <c r="D724" s="39"/>
      <c r="E724" s="39"/>
      <c r="F724" s="39"/>
      <c r="G724" s="39"/>
      <c r="H724" s="39"/>
      <c r="I724" s="40"/>
      <c r="J724" s="40"/>
      <c r="K724" s="35"/>
      <c r="L724" s="35"/>
      <c r="M724" s="35"/>
      <c r="N724" s="39"/>
      <c r="O724" s="39"/>
      <c r="P724" s="39"/>
      <c r="Q724" s="39"/>
      <c r="R724" s="39"/>
      <c r="S724" s="39"/>
      <c r="T724" s="39"/>
      <c r="U724" s="39"/>
      <c r="V724" s="39"/>
      <c r="W724" s="39"/>
      <c r="X724" s="39"/>
      <c r="Y724" s="39"/>
      <c r="Z724" s="39"/>
      <c r="AA724" s="39"/>
      <c r="AB724" s="39"/>
      <c r="AC724" s="39"/>
      <c r="AD724" s="39"/>
      <c r="AE724" s="39"/>
      <c r="AF724" s="39"/>
      <c r="AG724" s="39"/>
      <c r="AH724" s="39"/>
      <c r="AI724" s="35"/>
      <c r="AJ724" s="39"/>
      <c r="AK724" s="39"/>
      <c r="AL724" s="39"/>
      <c r="AM724" s="35"/>
      <c r="AN724" s="35"/>
      <c r="AO724" s="39"/>
      <c r="AP724" s="39"/>
      <c r="AQ724" s="35"/>
      <c r="AR724" s="35"/>
      <c r="AS724" s="35"/>
      <c r="AT724" s="30">
        <f t="shared" ca="1" si="80"/>
        <v>0</v>
      </c>
      <c r="AU724" s="32" t="str">
        <f t="shared" ca="1" si="79"/>
        <v/>
      </c>
      <c r="AV724" s="32" t="str" cm="1">
        <f t="array" aca="1" ref="AV724" ca="1">IFERROR(_xlfn.IFS($AU724="","",$AU724&lt;=15,"0-15",AND($AU724&gt;=16,$AU724&lt;=30),"16-30",AND($AU724&gt;=31,$AU724&lt;=45),"31-45",AND($AU724&gt;=46,$AU724&lt;=60),"46-60",AND($AU724&gt;=61,$AU724&lt;=90),"61-90",AND($AU724&gt;=91),"&gt; 90",AND($AU724&gt;=2000),""),"")</f>
        <v/>
      </c>
      <c r="AW724" s="32" t="str" cm="1">
        <f t="array" aca="1" ref="AW724" ca="1">IFERROR(_xlfn.IFS(OR($M724="",$AM724=""),"",OR($C724="Offered",$C724="Joined"),($AM724-$M724)-$AT724),"")</f>
        <v/>
      </c>
      <c r="AX724" s="32" t="str" cm="1">
        <f t="array" aca="1" ref="AX724" ca="1">IFERROR(_xlfn.IFS(OR($M724="",$AS724=""),"",$C724="Joined",($AS724-$M724)-$AT724),"")</f>
        <v/>
      </c>
      <c r="AY724" s="30" t="str">
        <f>IFERROR(IF(COUNTIFS('Candidate Tracker'!$E:$E,'Positions Tracker'!$B724,'Candidate Tracker'!$C:$C,"Offer Drop")=0,"",COUNTIFS('Candidate Tracker'!$E:$E,'Positions Tracker'!$B724,'Candidate Tracker'!$C:$C,"Offer Drop")),"")</f>
        <v/>
      </c>
      <c r="AZ7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4" s="34" t="str">
        <f>IFERROR(IF(COUNTIFS('Candidate Tracker'!$E:$E,'Positions Tracker'!$B724,'Candidate Tracker'!$I:$I,"Female")=0,"",COUNTIFS('Candidate Tracker'!$E:$E,'Positions Tracker'!$B724,'Candidate Tracker'!$I:$I,"Female")),"")</f>
        <v/>
      </c>
      <c r="BB724" s="34" t="str">
        <f>IFERROR(IF(COUNTIFS('Candidate Tracker'!$E:$E,'Positions Tracker'!$B724,'Candidate Tracker'!$I:$I,"male")=0,"",COUNTIFS('Candidate Tracker'!$E:$E,'Positions Tracker'!$B724,'Candidate Tracker'!$I:$I,"male")),"")</f>
        <v/>
      </c>
      <c r="BC724" s="33" t="str">
        <f>IFERROR(IF(COUNTIFS('Candidate Tracker'!$E:$E,'Positions Tracker'!$B724,'Candidate Tracker'!$C:$C,"&lt;&gt;WIP",'Candidate Tracker'!$C:$C,"&lt;&gt;Hold",'Candidate Tracker'!$C:$C,"&lt;&gt;Cancelled",'Candidate Tracker'!$C:$C,"&lt;&gt;Closed")/COUNTIFS('Candidate Tracker'!$E:$E,'Positions Tracker'!$B724)=0,"",COUNTIFS('Candidate Tracker'!$E:$E,'Positions Tracker'!$B724,'Candidate Tracker'!$C:$C,"&lt;&gt;WIP",'Candidate Tracker'!$C:$C,"&lt;&gt;Hold",'Candidate Tracker'!$C:$C,"&lt;&gt;Cancelled",'Candidate Tracker'!$C:$C,"&lt;&gt;Closed")/COUNTIFS('Candidate Tracker'!$E:$E,'Positions Tracker'!$B724)),"")</f>
        <v/>
      </c>
      <c r="BD724" s="30" t="str">
        <f t="shared" si="81"/>
        <v/>
      </c>
      <c r="BE724" s="30" t="str">
        <f t="shared" si="82"/>
        <v/>
      </c>
      <c r="BF724" s="30" t="str">
        <f t="shared" si="83"/>
        <v/>
      </c>
      <c r="BG724" s="30" t="str">
        <f t="shared" si="84"/>
        <v/>
      </c>
    </row>
    <row r="725" spans="1:59">
      <c r="A725" s="39"/>
      <c r="B725" s="39"/>
      <c r="C725" s="39"/>
      <c r="D725" s="39"/>
      <c r="E725" s="39"/>
      <c r="F725" s="39"/>
      <c r="G725" s="39"/>
      <c r="H725" s="39"/>
      <c r="I725" s="40"/>
      <c r="J725" s="40"/>
      <c r="K725" s="35"/>
      <c r="L725" s="35"/>
      <c r="M725" s="35"/>
      <c r="N725" s="39"/>
      <c r="O725" s="39"/>
      <c r="P725" s="39"/>
      <c r="Q725" s="39"/>
      <c r="R725" s="39"/>
      <c r="S725" s="39"/>
      <c r="T725" s="39"/>
      <c r="U725" s="39"/>
      <c r="V725" s="39"/>
      <c r="W725" s="39"/>
      <c r="X725" s="39"/>
      <c r="Y725" s="39"/>
      <c r="Z725" s="39"/>
      <c r="AA725" s="39"/>
      <c r="AB725" s="39"/>
      <c r="AC725" s="39"/>
      <c r="AD725" s="39"/>
      <c r="AE725" s="39"/>
      <c r="AF725" s="39"/>
      <c r="AG725" s="39"/>
      <c r="AH725" s="39"/>
      <c r="AI725" s="35"/>
      <c r="AJ725" s="39"/>
      <c r="AK725" s="39"/>
      <c r="AL725" s="39"/>
      <c r="AM725" s="35"/>
      <c r="AN725" s="35"/>
      <c r="AO725" s="39"/>
      <c r="AP725" s="39"/>
      <c r="AQ725" s="35"/>
      <c r="AR725" s="35"/>
      <c r="AS725" s="35"/>
      <c r="AT725" s="30">
        <f t="shared" ca="1" si="80"/>
        <v>0</v>
      </c>
      <c r="AU725" s="32" t="str">
        <f t="shared" ca="1" si="79"/>
        <v/>
      </c>
      <c r="AV725" s="32" t="str" cm="1">
        <f t="array" aca="1" ref="AV725" ca="1">IFERROR(_xlfn.IFS($AU725="","",$AU725&lt;=15,"0-15",AND($AU725&gt;=16,$AU725&lt;=30),"16-30",AND($AU725&gt;=31,$AU725&lt;=45),"31-45",AND($AU725&gt;=46,$AU725&lt;=60),"46-60",AND($AU725&gt;=61,$AU725&lt;=90),"61-90",AND($AU725&gt;=91),"&gt; 90",AND($AU725&gt;=2000),""),"")</f>
        <v/>
      </c>
      <c r="AW725" s="32" t="str" cm="1">
        <f t="array" aca="1" ref="AW725" ca="1">IFERROR(_xlfn.IFS(OR($M725="",$AM725=""),"",OR($C725="Offered",$C725="Joined"),($AM725-$M725)-$AT725),"")</f>
        <v/>
      </c>
      <c r="AX725" s="32" t="str" cm="1">
        <f t="array" aca="1" ref="AX725" ca="1">IFERROR(_xlfn.IFS(OR($M725="",$AS725=""),"",$C725="Joined",($AS725-$M725)-$AT725),"")</f>
        <v/>
      </c>
      <c r="AY725" s="30" t="str">
        <f>IFERROR(IF(COUNTIFS('Candidate Tracker'!$E:$E,'Positions Tracker'!$B725,'Candidate Tracker'!$C:$C,"Offer Drop")=0,"",COUNTIFS('Candidate Tracker'!$E:$E,'Positions Tracker'!$B725,'Candidate Tracker'!$C:$C,"Offer Drop")),"")</f>
        <v/>
      </c>
      <c r="AZ7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5" s="34" t="str">
        <f>IFERROR(IF(COUNTIFS('Candidate Tracker'!$E:$E,'Positions Tracker'!$B725,'Candidate Tracker'!$I:$I,"Female")=0,"",COUNTIFS('Candidate Tracker'!$E:$E,'Positions Tracker'!$B725,'Candidate Tracker'!$I:$I,"Female")),"")</f>
        <v/>
      </c>
      <c r="BB725" s="34" t="str">
        <f>IFERROR(IF(COUNTIFS('Candidate Tracker'!$E:$E,'Positions Tracker'!$B725,'Candidate Tracker'!$I:$I,"male")=0,"",COUNTIFS('Candidate Tracker'!$E:$E,'Positions Tracker'!$B725,'Candidate Tracker'!$I:$I,"male")),"")</f>
        <v/>
      </c>
      <c r="BC725" s="33" t="str">
        <f>IFERROR(IF(COUNTIFS('Candidate Tracker'!$E:$E,'Positions Tracker'!$B725,'Candidate Tracker'!$C:$C,"&lt;&gt;WIP",'Candidate Tracker'!$C:$C,"&lt;&gt;Hold",'Candidate Tracker'!$C:$C,"&lt;&gt;Cancelled",'Candidate Tracker'!$C:$C,"&lt;&gt;Closed")/COUNTIFS('Candidate Tracker'!$E:$E,'Positions Tracker'!$B725)=0,"",COUNTIFS('Candidate Tracker'!$E:$E,'Positions Tracker'!$B725,'Candidate Tracker'!$C:$C,"&lt;&gt;WIP",'Candidate Tracker'!$C:$C,"&lt;&gt;Hold",'Candidate Tracker'!$C:$C,"&lt;&gt;Cancelled",'Candidate Tracker'!$C:$C,"&lt;&gt;Closed")/COUNTIFS('Candidate Tracker'!$E:$E,'Positions Tracker'!$B725)),"")</f>
        <v/>
      </c>
      <c r="BD725" s="30" t="str">
        <f t="shared" si="81"/>
        <v/>
      </c>
      <c r="BE725" s="30" t="str">
        <f t="shared" si="82"/>
        <v/>
      </c>
      <c r="BF725" s="30" t="str">
        <f t="shared" si="83"/>
        <v/>
      </c>
      <c r="BG725" s="30" t="str">
        <f t="shared" si="84"/>
        <v/>
      </c>
    </row>
    <row r="726" spans="1:59">
      <c r="A726" s="39"/>
      <c r="B726" s="39"/>
      <c r="C726" s="39"/>
      <c r="D726" s="39"/>
      <c r="E726" s="39"/>
      <c r="F726" s="39"/>
      <c r="G726" s="39"/>
      <c r="H726" s="39"/>
      <c r="I726" s="40"/>
      <c r="J726" s="40"/>
      <c r="K726" s="35"/>
      <c r="L726" s="35"/>
      <c r="M726" s="35"/>
      <c r="N726" s="39"/>
      <c r="O726" s="39"/>
      <c r="P726" s="39"/>
      <c r="Q726" s="39"/>
      <c r="R726" s="39"/>
      <c r="S726" s="39"/>
      <c r="T726" s="39"/>
      <c r="U726" s="39"/>
      <c r="V726" s="39"/>
      <c r="W726" s="39"/>
      <c r="X726" s="39"/>
      <c r="Y726" s="39"/>
      <c r="Z726" s="39"/>
      <c r="AA726" s="39"/>
      <c r="AB726" s="39"/>
      <c r="AC726" s="39"/>
      <c r="AD726" s="39"/>
      <c r="AE726" s="39"/>
      <c r="AF726" s="39"/>
      <c r="AG726" s="39"/>
      <c r="AH726" s="39"/>
      <c r="AI726" s="35"/>
      <c r="AJ726" s="39"/>
      <c r="AK726" s="39"/>
      <c r="AL726" s="39"/>
      <c r="AM726" s="35"/>
      <c r="AN726" s="35"/>
      <c r="AO726" s="39"/>
      <c r="AP726" s="39"/>
      <c r="AQ726" s="35"/>
      <c r="AR726" s="35"/>
      <c r="AS726" s="35"/>
      <c r="AT726" s="30">
        <f t="shared" ca="1" si="80"/>
        <v>0</v>
      </c>
      <c r="AU726" s="32" t="str">
        <f t="shared" ca="1" si="79"/>
        <v/>
      </c>
      <c r="AV726" s="32" t="str" cm="1">
        <f t="array" aca="1" ref="AV726" ca="1">IFERROR(_xlfn.IFS($AU726="","",$AU726&lt;=15,"0-15",AND($AU726&gt;=16,$AU726&lt;=30),"16-30",AND($AU726&gt;=31,$AU726&lt;=45),"31-45",AND($AU726&gt;=46,$AU726&lt;=60),"46-60",AND($AU726&gt;=61,$AU726&lt;=90),"61-90",AND($AU726&gt;=91),"&gt; 90",AND($AU726&gt;=2000),""),"")</f>
        <v/>
      </c>
      <c r="AW726" s="32" t="str" cm="1">
        <f t="array" aca="1" ref="AW726" ca="1">IFERROR(_xlfn.IFS(OR($M726="",$AM726=""),"",OR($C726="Offered",$C726="Joined"),($AM726-$M726)-$AT726),"")</f>
        <v/>
      </c>
      <c r="AX726" s="32" t="str" cm="1">
        <f t="array" aca="1" ref="AX726" ca="1">IFERROR(_xlfn.IFS(OR($M726="",$AS726=""),"",$C726="Joined",($AS726-$M726)-$AT726),"")</f>
        <v/>
      </c>
      <c r="AY726" s="30" t="str">
        <f>IFERROR(IF(COUNTIFS('Candidate Tracker'!$E:$E,'Positions Tracker'!$B726,'Candidate Tracker'!$C:$C,"Offer Drop")=0,"",COUNTIFS('Candidate Tracker'!$E:$E,'Positions Tracker'!$B726,'Candidate Tracker'!$C:$C,"Offer Drop")),"")</f>
        <v/>
      </c>
      <c r="AZ7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6" s="34" t="str">
        <f>IFERROR(IF(COUNTIFS('Candidate Tracker'!$E:$E,'Positions Tracker'!$B726,'Candidate Tracker'!$I:$I,"Female")=0,"",COUNTIFS('Candidate Tracker'!$E:$E,'Positions Tracker'!$B726,'Candidate Tracker'!$I:$I,"Female")),"")</f>
        <v/>
      </c>
      <c r="BB726" s="34" t="str">
        <f>IFERROR(IF(COUNTIFS('Candidate Tracker'!$E:$E,'Positions Tracker'!$B726,'Candidate Tracker'!$I:$I,"male")=0,"",COUNTIFS('Candidate Tracker'!$E:$E,'Positions Tracker'!$B726,'Candidate Tracker'!$I:$I,"male")),"")</f>
        <v/>
      </c>
      <c r="BC726" s="33" t="str">
        <f>IFERROR(IF(COUNTIFS('Candidate Tracker'!$E:$E,'Positions Tracker'!$B726,'Candidate Tracker'!$C:$C,"&lt;&gt;WIP",'Candidate Tracker'!$C:$C,"&lt;&gt;Hold",'Candidate Tracker'!$C:$C,"&lt;&gt;Cancelled",'Candidate Tracker'!$C:$C,"&lt;&gt;Closed")/COUNTIFS('Candidate Tracker'!$E:$E,'Positions Tracker'!$B726)=0,"",COUNTIFS('Candidate Tracker'!$E:$E,'Positions Tracker'!$B726,'Candidate Tracker'!$C:$C,"&lt;&gt;WIP",'Candidate Tracker'!$C:$C,"&lt;&gt;Hold",'Candidate Tracker'!$C:$C,"&lt;&gt;Cancelled",'Candidate Tracker'!$C:$C,"&lt;&gt;Closed")/COUNTIFS('Candidate Tracker'!$E:$E,'Positions Tracker'!$B726)),"")</f>
        <v/>
      </c>
      <c r="BD726" s="30" t="str">
        <f t="shared" si="81"/>
        <v/>
      </c>
      <c r="BE726" s="30" t="str">
        <f t="shared" si="82"/>
        <v/>
      </c>
      <c r="BF726" s="30" t="str">
        <f t="shared" si="83"/>
        <v/>
      </c>
      <c r="BG726" s="30" t="str">
        <f t="shared" si="84"/>
        <v/>
      </c>
    </row>
    <row r="727" spans="1:59">
      <c r="A727" s="39"/>
      <c r="B727" s="39"/>
      <c r="C727" s="39"/>
      <c r="D727" s="39"/>
      <c r="E727" s="39"/>
      <c r="F727" s="39"/>
      <c r="G727" s="39"/>
      <c r="H727" s="39"/>
      <c r="I727" s="40"/>
      <c r="J727" s="40"/>
      <c r="K727" s="35"/>
      <c r="L727" s="35"/>
      <c r="M727" s="35"/>
      <c r="N727" s="39"/>
      <c r="O727" s="39"/>
      <c r="P727" s="39"/>
      <c r="Q727" s="39"/>
      <c r="R727" s="39"/>
      <c r="S727" s="39"/>
      <c r="T727" s="39"/>
      <c r="U727" s="39"/>
      <c r="V727" s="39"/>
      <c r="W727" s="39"/>
      <c r="X727" s="39"/>
      <c r="Y727" s="39"/>
      <c r="Z727" s="39"/>
      <c r="AA727" s="39"/>
      <c r="AB727" s="39"/>
      <c r="AC727" s="39"/>
      <c r="AD727" s="39"/>
      <c r="AE727" s="39"/>
      <c r="AF727" s="39"/>
      <c r="AG727" s="39"/>
      <c r="AH727" s="39"/>
      <c r="AI727" s="35"/>
      <c r="AJ727" s="39"/>
      <c r="AK727" s="39"/>
      <c r="AL727" s="39"/>
      <c r="AM727" s="35"/>
      <c r="AN727" s="35"/>
      <c r="AO727" s="39"/>
      <c r="AP727" s="39"/>
      <c r="AQ727" s="35"/>
      <c r="AR727" s="35"/>
      <c r="AS727" s="35"/>
      <c r="AT727" s="30">
        <f t="shared" ca="1" si="80"/>
        <v>0</v>
      </c>
      <c r="AU727" s="32" t="str">
        <f t="shared" ca="1" si="79"/>
        <v/>
      </c>
      <c r="AV727" s="32" t="str" cm="1">
        <f t="array" aca="1" ref="AV727" ca="1">IFERROR(_xlfn.IFS($AU727="","",$AU727&lt;=15,"0-15",AND($AU727&gt;=16,$AU727&lt;=30),"16-30",AND($AU727&gt;=31,$AU727&lt;=45),"31-45",AND($AU727&gt;=46,$AU727&lt;=60),"46-60",AND($AU727&gt;=61,$AU727&lt;=90),"61-90",AND($AU727&gt;=91),"&gt; 90",AND($AU727&gt;=2000),""),"")</f>
        <v/>
      </c>
      <c r="AW727" s="32" t="str" cm="1">
        <f t="array" aca="1" ref="AW727" ca="1">IFERROR(_xlfn.IFS(OR($M727="",$AM727=""),"",OR($C727="Offered",$C727="Joined"),($AM727-$M727)-$AT727),"")</f>
        <v/>
      </c>
      <c r="AX727" s="32" t="str" cm="1">
        <f t="array" aca="1" ref="AX727" ca="1">IFERROR(_xlfn.IFS(OR($M727="",$AS727=""),"",$C727="Joined",($AS727-$M727)-$AT727),"")</f>
        <v/>
      </c>
      <c r="AY727" s="30" t="str">
        <f>IFERROR(IF(COUNTIFS('Candidate Tracker'!$E:$E,'Positions Tracker'!$B727,'Candidate Tracker'!$C:$C,"Offer Drop")=0,"",COUNTIFS('Candidate Tracker'!$E:$E,'Positions Tracker'!$B727,'Candidate Tracker'!$C:$C,"Offer Drop")),"")</f>
        <v/>
      </c>
      <c r="AZ7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7" s="34" t="str">
        <f>IFERROR(IF(COUNTIFS('Candidate Tracker'!$E:$E,'Positions Tracker'!$B727,'Candidate Tracker'!$I:$I,"Female")=0,"",COUNTIFS('Candidate Tracker'!$E:$E,'Positions Tracker'!$B727,'Candidate Tracker'!$I:$I,"Female")),"")</f>
        <v/>
      </c>
      <c r="BB727" s="34" t="str">
        <f>IFERROR(IF(COUNTIFS('Candidate Tracker'!$E:$E,'Positions Tracker'!$B727,'Candidate Tracker'!$I:$I,"male")=0,"",COUNTIFS('Candidate Tracker'!$E:$E,'Positions Tracker'!$B727,'Candidate Tracker'!$I:$I,"male")),"")</f>
        <v/>
      </c>
      <c r="BC727" s="33" t="str">
        <f>IFERROR(IF(COUNTIFS('Candidate Tracker'!$E:$E,'Positions Tracker'!$B727,'Candidate Tracker'!$C:$C,"&lt;&gt;WIP",'Candidate Tracker'!$C:$C,"&lt;&gt;Hold",'Candidate Tracker'!$C:$C,"&lt;&gt;Cancelled",'Candidate Tracker'!$C:$C,"&lt;&gt;Closed")/COUNTIFS('Candidate Tracker'!$E:$E,'Positions Tracker'!$B727)=0,"",COUNTIFS('Candidate Tracker'!$E:$E,'Positions Tracker'!$B727,'Candidate Tracker'!$C:$C,"&lt;&gt;WIP",'Candidate Tracker'!$C:$C,"&lt;&gt;Hold",'Candidate Tracker'!$C:$C,"&lt;&gt;Cancelled",'Candidate Tracker'!$C:$C,"&lt;&gt;Closed")/COUNTIFS('Candidate Tracker'!$E:$E,'Positions Tracker'!$B727)),"")</f>
        <v/>
      </c>
      <c r="BD727" s="30" t="str">
        <f t="shared" si="81"/>
        <v/>
      </c>
      <c r="BE727" s="30" t="str">
        <f t="shared" si="82"/>
        <v/>
      </c>
      <c r="BF727" s="30" t="str">
        <f t="shared" si="83"/>
        <v/>
      </c>
      <c r="BG727" s="30" t="str">
        <f t="shared" si="84"/>
        <v/>
      </c>
    </row>
    <row r="728" spans="1:59">
      <c r="A728" s="39"/>
      <c r="B728" s="39"/>
      <c r="C728" s="39"/>
      <c r="D728" s="39"/>
      <c r="E728" s="39"/>
      <c r="F728" s="39"/>
      <c r="G728" s="39"/>
      <c r="H728" s="39"/>
      <c r="I728" s="40"/>
      <c r="J728" s="40"/>
      <c r="K728" s="35"/>
      <c r="L728" s="35"/>
      <c r="M728" s="35"/>
      <c r="N728" s="39"/>
      <c r="O728" s="39"/>
      <c r="P728" s="39"/>
      <c r="Q728" s="39"/>
      <c r="R728" s="39"/>
      <c r="S728" s="39"/>
      <c r="T728" s="39"/>
      <c r="U728" s="39"/>
      <c r="V728" s="39"/>
      <c r="W728" s="39"/>
      <c r="X728" s="39"/>
      <c r="Y728" s="39"/>
      <c r="Z728" s="39"/>
      <c r="AA728" s="39"/>
      <c r="AB728" s="39"/>
      <c r="AC728" s="39"/>
      <c r="AD728" s="39"/>
      <c r="AE728" s="39"/>
      <c r="AF728" s="39"/>
      <c r="AG728" s="39"/>
      <c r="AH728" s="39"/>
      <c r="AI728" s="35"/>
      <c r="AJ728" s="39"/>
      <c r="AK728" s="39"/>
      <c r="AL728" s="39"/>
      <c r="AM728" s="35"/>
      <c r="AN728" s="35"/>
      <c r="AO728" s="39"/>
      <c r="AP728" s="39"/>
      <c r="AQ728" s="35"/>
      <c r="AR728" s="35"/>
      <c r="AS728" s="35"/>
      <c r="AT728" s="30">
        <f t="shared" ca="1" si="80"/>
        <v>0</v>
      </c>
      <c r="AU728" s="32" t="str">
        <f t="shared" ca="1" si="79"/>
        <v/>
      </c>
      <c r="AV728" s="32" t="str" cm="1">
        <f t="array" aca="1" ref="AV728" ca="1">IFERROR(_xlfn.IFS($AU728="","",$AU728&lt;=15,"0-15",AND($AU728&gt;=16,$AU728&lt;=30),"16-30",AND($AU728&gt;=31,$AU728&lt;=45),"31-45",AND($AU728&gt;=46,$AU728&lt;=60),"46-60",AND($AU728&gt;=61,$AU728&lt;=90),"61-90",AND($AU728&gt;=91),"&gt; 90",AND($AU728&gt;=2000),""),"")</f>
        <v/>
      </c>
      <c r="AW728" s="32" t="str" cm="1">
        <f t="array" aca="1" ref="AW728" ca="1">IFERROR(_xlfn.IFS(OR($M728="",$AM728=""),"",OR($C728="Offered",$C728="Joined"),($AM728-$M728)-$AT728),"")</f>
        <v/>
      </c>
      <c r="AX728" s="32" t="str" cm="1">
        <f t="array" aca="1" ref="AX728" ca="1">IFERROR(_xlfn.IFS(OR($M728="",$AS728=""),"",$C728="Joined",($AS728-$M728)-$AT728),"")</f>
        <v/>
      </c>
      <c r="AY728" s="30" t="str">
        <f>IFERROR(IF(COUNTIFS('Candidate Tracker'!$E:$E,'Positions Tracker'!$B728,'Candidate Tracker'!$C:$C,"Offer Drop")=0,"",COUNTIFS('Candidate Tracker'!$E:$E,'Positions Tracker'!$B728,'Candidate Tracker'!$C:$C,"Offer Drop")),"")</f>
        <v/>
      </c>
      <c r="AZ72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8" s="34" t="str">
        <f>IFERROR(IF(COUNTIFS('Candidate Tracker'!$E:$E,'Positions Tracker'!$B728,'Candidate Tracker'!$I:$I,"Female")=0,"",COUNTIFS('Candidate Tracker'!$E:$E,'Positions Tracker'!$B728,'Candidate Tracker'!$I:$I,"Female")),"")</f>
        <v/>
      </c>
      <c r="BB728" s="34" t="str">
        <f>IFERROR(IF(COUNTIFS('Candidate Tracker'!$E:$E,'Positions Tracker'!$B728,'Candidate Tracker'!$I:$I,"male")=0,"",COUNTIFS('Candidate Tracker'!$E:$E,'Positions Tracker'!$B728,'Candidate Tracker'!$I:$I,"male")),"")</f>
        <v/>
      </c>
      <c r="BC728" s="33" t="str">
        <f>IFERROR(IF(COUNTIFS('Candidate Tracker'!$E:$E,'Positions Tracker'!$B728,'Candidate Tracker'!$C:$C,"&lt;&gt;WIP",'Candidate Tracker'!$C:$C,"&lt;&gt;Hold",'Candidate Tracker'!$C:$C,"&lt;&gt;Cancelled",'Candidate Tracker'!$C:$C,"&lt;&gt;Closed")/COUNTIFS('Candidate Tracker'!$E:$E,'Positions Tracker'!$B728)=0,"",COUNTIFS('Candidate Tracker'!$E:$E,'Positions Tracker'!$B728,'Candidate Tracker'!$C:$C,"&lt;&gt;WIP",'Candidate Tracker'!$C:$C,"&lt;&gt;Hold",'Candidate Tracker'!$C:$C,"&lt;&gt;Cancelled",'Candidate Tracker'!$C:$C,"&lt;&gt;Closed")/COUNTIFS('Candidate Tracker'!$E:$E,'Positions Tracker'!$B728)),"")</f>
        <v/>
      </c>
      <c r="BD728" s="30" t="str">
        <f t="shared" si="81"/>
        <v/>
      </c>
      <c r="BE728" s="30" t="str">
        <f t="shared" si="82"/>
        <v/>
      </c>
      <c r="BF728" s="30" t="str">
        <f t="shared" si="83"/>
        <v/>
      </c>
      <c r="BG728" s="30" t="str">
        <f t="shared" si="84"/>
        <v/>
      </c>
    </row>
    <row r="729" spans="1:59">
      <c r="A729" s="39"/>
      <c r="B729" s="39"/>
      <c r="C729" s="39"/>
      <c r="D729" s="39"/>
      <c r="E729" s="39"/>
      <c r="F729" s="39"/>
      <c r="G729" s="39"/>
      <c r="H729" s="39"/>
      <c r="I729" s="40"/>
      <c r="J729" s="40"/>
      <c r="K729" s="35"/>
      <c r="L729" s="35"/>
      <c r="M729" s="35"/>
      <c r="N729" s="39"/>
      <c r="O729" s="39"/>
      <c r="P729" s="39"/>
      <c r="Q729" s="39"/>
      <c r="R729" s="39"/>
      <c r="S729" s="39"/>
      <c r="T729" s="39"/>
      <c r="U729" s="39"/>
      <c r="V729" s="39"/>
      <c r="W729" s="39"/>
      <c r="X729" s="39"/>
      <c r="Y729" s="39"/>
      <c r="Z729" s="39"/>
      <c r="AA729" s="39"/>
      <c r="AB729" s="39"/>
      <c r="AC729" s="39"/>
      <c r="AD729" s="39"/>
      <c r="AE729" s="39"/>
      <c r="AF729" s="39"/>
      <c r="AG729" s="39"/>
      <c r="AH729" s="39"/>
      <c r="AI729" s="35"/>
      <c r="AJ729" s="39"/>
      <c r="AK729" s="39"/>
      <c r="AL729" s="39"/>
      <c r="AM729" s="35"/>
      <c r="AN729" s="35"/>
      <c r="AO729" s="39"/>
      <c r="AP729" s="39"/>
      <c r="AQ729" s="35"/>
      <c r="AR729" s="35"/>
      <c r="AS729" s="35"/>
      <c r="AT729" s="30">
        <f t="shared" ca="1" si="80"/>
        <v>0</v>
      </c>
      <c r="AU729" s="32" t="str">
        <f t="shared" ca="1" si="79"/>
        <v/>
      </c>
      <c r="AV729" s="32" t="str" cm="1">
        <f t="array" aca="1" ref="AV729" ca="1">IFERROR(_xlfn.IFS($AU729="","",$AU729&lt;=15,"0-15",AND($AU729&gt;=16,$AU729&lt;=30),"16-30",AND($AU729&gt;=31,$AU729&lt;=45),"31-45",AND($AU729&gt;=46,$AU729&lt;=60),"46-60",AND($AU729&gt;=61,$AU729&lt;=90),"61-90",AND($AU729&gt;=91),"&gt; 90",AND($AU729&gt;=2000),""),"")</f>
        <v/>
      </c>
      <c r="AW729" s="32" t="str" cm="1">
        <f t="array" aca="1" ref="AW729" ca="1">IFERROR(_xlfn.IFS(OR($M729="",$AM729=""),"",OR($C729="Offered",$C729="Joined"),($AM729-$M729)-$AT729),"")</f>
        <v/>
      </c>
      <c r="AX729" s="32" t="str" cm="1">
        <f t="array" aca="1" ref="AX729" ca="1">IFERROR(_xlfn.IFS(OR($M729="",$AS729=""),"",$C729="Joined",($AS729-$M729)-$AT729),"")</f>
        <v/>
      </c>
      <c r="AY729" s="30" t="str">
        <f>IFERROR(IF(COUNTIFS('Candidate Tracker'!$E:$E,'Positions Tracker'!$B729,'Candidate Tracker'!$C:$C,"Offer Drop")=0,"",COUNTIFS('Candidate Tracker'!$E:$E,'Positions Tracker'!$B729,'Candidate Tracker'!$C:$C,"Offer Drop")),"")</f>
        <v/>
      </c>
      <c r="AZ7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29" s="34" t="str">
        <f>IFERROR(IF(COUNTIFS('Candidate Tracker'!$E:$E,'Positions Tracker'!$B729,'Candidate Tracker'!$I:$I,"Female")=0,"",COUNTIFS('Candidate Tracker'!$E:$E,'Positions Tracker'!$B729,'Candidate Tracker'!$I:$I,"Female")),"")</f>
        <v/>
      </c>
      <c r="BB729" s="34" t="str">
        <f>IFERROR(IF(COUNTIFS('Candidate Tracker'!$E:$E,'Positions Tracker'!$B729,'Candidate Tracker'!$I:$I,"male")=0,"",COUNTIFS('Candidate Tracker'!$E:$E,'Positions Tracker'!$B729,'Candidate Tracker'!$I:$I,"male")),"")</f>
        <v/>
      </c>
      <c r="BC729" s="33" t="str">
        <f>IFERROR(IF(COUNTIFS('Candidate Tracker'!$E:$E,'Positions Tracker'!$B729,'Candidate Tracker'!$C:$C,"&lt;&gt;WIP",'Candidate Tracker'!$C:$C,"&lt;&gt;Hold",'Candidate Tracker'!$C:$C,"&lt;&gt;Cancelled",'Candidate Tracker'!$C:$C,"&lt;&gt;Closed")/COUNTIFS('Candidate Tracker'!$E:$E,'Positions Tracker'!$B729)=0,"",COUNTIFS('Candidate Tracker'!$E:$E,'Positions Tracker'!$B729,'Candidate Tracker'!$C:$C,"&lt;&gt;WIP",'Candidate Tracker'!$C:$C,"&lt;&gt;Hold",'Candidate Tracker'!$C:$C,"&lt;&gt;Cancelled",'Candidate Tracker'!$C:$C,"&lt;&gt;Closed")/COUNTIFS('Candidate Tracker'!$E:$E,'Positions Tracker'!$B729)),"")</f>
        <v/>
      </c>
      <c r="BD729" s="30" t="str">
        <f t="shared" si="81"/>
        <v/>
      </c>
      <c r="BE729" s="30" t="str">
        <f t="shared" si="82"/>
        <v/>
      </c>
      <c r="BF729" s="30" t="str">
        <f t="shared" si="83"/>
        <v/>
      </c>
      <c r="BG729" s="30" t="str">
        <f t="shared" si="84"/>
        <v/>
      </c>
    </row>
    <row r="730" spans="1:59">
      <c r="A730" s="39"/>
      <c r="B730" s="39"/>
      <c r="C730" s="39"/>
      <c r="D730" s="39"/>
      <c r="E730" s="39"/>
      <c r="F730" s="39"/>
      <c r="G730" s="39"/>
      <c r="H730" s="39"/>
      <c r="I730" s="40"/>
      <c r="J730" s="40"/>
      <c r="K730" s="35"/>
      <c r="L730" s="35"/>
      <c r="M730" s="35"/>
      <c r="N730" s="39"/>
      <c r="O730" s="39"/>
      <c r="P730" s="39"/>
      <c r="Q730" s="39"/>
      <c r="R730" s="39"/>
      <c r="S730" s="39"/>
      <c r="T730" s="39"/>
      <c r="U730" s="39"/>
      <c r="V730" s="39"/>
      <c r="W730" s="39"/>
      <c r="X730" s="39"/>
      <c r="Y730" s="39"/>
      <c r="Z730" s="39"/>
      <c r="AA730" s="39"/>
      <c r="AB730" s="39"/>
      <c r="AC730" s="39"/>
      <c r="AD730" s="39"/>
      <c r="AE730" s="39"/>
      <c r="AF730" s="39"/>
      <c r="AG730" s="39"/>
      <c r="AH730" s="39"/>
      <c r="AI730" s="35"/>
      <c r="AJ730" s="39"/>
      <c r="AK730" s="39"/>
      <c r="AL730" s="39"/>
      <c r="AM730" s="35"/>
      <c r="AN730" s="35"/>
      <c r="AO730" s="39"/>
      <c r="AP730" s="39"/>
      <c r="AQ730" s="35"/>
      <c r="AR730" s="35"/>
      <c r="AS730" s="35"/>
      <c r="AT730" s="30">
        <f t="shared" ca="1" si="80"/>
        <v>0</v>
      </c>
      <c r="AU730" s="32" t="str">
        <f t="shared" ca="1" si="79"/>
        <v/>
      </c>
      <c r="AV730" s="32" t="str" cm="1">
        <f t="array" aca="1" ref="AV730" ca="1">IFERROR(_xlfn.IFS($AU730="","",$AU730&lt;=15,"0-15",AND($AU730&gt;=16,$AU730&lt;=30),"16-30",AND($AU730&gt;=31,$AU730&lt;=45),"31-45",AND($AU730&gt;=46,$AU730&lt;=60),"46-60",AND($AU730&gt;=61,$AU730&lt;=90),"61-90",AND($AU730&gt;=91),"&gt; 90",AND($AU730&gt;=2000),""),"")</f>
        <v/>
      </c>
      <c r="AW730" s="32" t="str" cm="1">
        <f t="array" aca="1" ref="AW730" ca="1">IFERROR(_xlfn.IFS(OR($M730="",$AM730=""),"",OR($C730="Offered",$C730="Joined"),($AM730-$M730)-$AT730),"")</f>
        <v/>
      </c>
      <c r="AX730" s="32" t="str" cm="1">
        <f t="array" aca="1" ref="AX730" ca="1">IFERROR(_xlfn.IFS(OR($M730="",$AS730=""),"",$C730="Joined",($AS730-$M730)-$AT730),"")</f>
        <v/>
      </c>
      <c r="AY730" s="30" t="str">
        <f>IFERROR(IF(COUNTIFS('Candidate Tracker'!$E:$E,'Positions Tracker'!$B730,'Candidate Tracker'!$C:$C,"Offer Drop")=0,"",COUNTIFS('Candidate Tracker'!$E:$E,'Positions Tracker'!$B730,'Candidate Tracker'!$C:$C,"Offer Drop")),"")</f>
        <v/>
      </c>
      <c r="AZ7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0" s="34" t="str">
        <f>IFERROR(IF(COUNTIFS('Candidate Tracker'!$E:$E,'Positions Tracker'!$B730,'Candidate Tracker'!$I:$I,"Female")=0,"",COUNTIFS('Candidate Tracker'!$E:$E,'Positions Tracker'!$B730,'Candidate Tracker'!$I:$I,"Female")),"")</f>
        <v/>
      </c>
      <c r="BB730" s="34" t="str">
        <f>IFERROR(IF(COUNTIFS('Candidate Tracker'!$E:$E,'Positions Tracker'!$B730,'Candidate Tracker'!$I:$I,"male")=0,"",COUNTIFS('Candidate Tracker'!$E:$E,'Positions Tracker'!$B730,'Candidate Tracker'!$I:$I,"male")),"")</f>
        <v/>
      </c>
      <c r="BC730" s="33" t="str">
        <f>IFERROR(IF(COUNTIFS('Candidate Tracker'!$E:$E,'Positions Tracker'!$B730,'Candidate Tracker'!$C:$C,"&lt;&gt;WIP",'Candidate Tracker'!$C:$C,"&lt;&gt;Hold",'Candidate Tracker'!$C:$C,"&lt;&gt;Cancelled",'Candidate Tracker'!$C:$C,"&lt;&gt;Closed")/COUNTIFS('Candidate Tracker'!$E:$E,'Positions Tracker'!$B730)=0,"",COUNTIFS('Candidate Tracker'!$E:$E,'Positions Tracker'!$B730,'Candidate Tracker'!$C:$C,"&lt;&gt;WIP",'Candidate Tracker'!$C:$C,"&lt;&gt;Hold",'Candidate Tracker'!$C:$C,"&lt;&gt;Cancelled",'Candidate Tracker'!$C:$C,"&lt;&gt;Closed")/COUNTIFS('Candidate Tracker'!$E:$E,'Positions Tracker'!$B730)),"")</f>
        <v/>
      </c>
      <c r="BD730" s="30" t="str">
        <f t="shared" si="81"/>
        <v/>
      </c>
      <c r="BE730" s="30" t="str">
        <f t="shared" si="82"/>
        <v/>
      </c>
      <c r="BF730" s="30" t="str">
        <f t="shared" si="83"/>
        <v/>
      </c>
      <c r="BG730" s="30" t="str">
        <f t="shared" si="84"/>
        <v/>
      </c>
    </row>
    <row r="731" spans="1:59">
      <c r="A731" s="39"/>
      <c r="B731" s="39"/>
      <c r="C731" s="39"/>
      <c r="D731" s="39"/>
      <c r="E731" s="39"/>
      <c r="F731" s="39"/>
      <c r="G731" s="39"/>
      <c r="H731" s="39"/>
      <c r="I731" s="40"/>
      <c r="J731" s="40"/>
      <c r="K731" s="35"/>
      <c r="L731" s="35"/>
      <c r="M731" s="35"/>
      <c r="N731" s="39"/>
      <c r="O731" s="39"/>
      <c r="P731" s="39"/>
      <c r="Q731" s="39"/>
      <c r="R731" s="39"/>
      <c r="S731" s="39"/>
      <c r="T731" s="39"/>
      <c r="U731" s="39"/>
      <c r="V731" s="39"/>
      <c r="W731" s="39"/>
      <c r="X731" s="39"/>
      <c r="Y731" s="39"/>
      <c r="Z731" s="39"/>
      <c r="AA731" s="39"/>
      <c r="AB731" s="39"/>
      <c r="AC731" s="39"/>
      <c r="AD731" s="39"/>
      <c r="AE731" s="39"/>
      <c r="AF731" s="39"/>
      <c r="AG731" s="39"/>
      <c r="AH731" s="39"/>
      <c r="AI731" s="35"/>
      <c r="AJ731" s="39"/>
      <c r="AK731" s="39"/>
      <c r="AL731" s="39"/>
      <c r="AM731" s="35"/>
      <c r="AN731" s="35"/>
      <c r="AO731" s="39"/>
      <c r="AP731" s="39"/>
      <c r="AQ731" s="35"/>
      <c r="AR731" s="35"/>
      <c r="AS731" s="35"/>
      <c r="AT731" s="30">
        <f t="shared" ca="1" si="80"/>
        <v>0</v>
      </c>
      <c r="AU731" s="32" t="str">
        <f t="shared" ca="1" si="79"/>
        <v/>
      </c>
      <c r="AV731" s="32" t="str" cm="1">
        <f t="array" aca="1" ref="AV731" ca="1">IFERROR(_xlfn.IFS($AU731="","",$AU731&lt;=15,"0-15",AND($AU731&gt;=16,$AU731&lt;=30),"16-30",AND($AU731&gt;=31,$AU731&lt;=45),"31-45",AND($AU731&gt;=46,$AU731&lt;=60),"46-60",AND($AU731&gt;=61,$AU731&lt;=90),"61-90",AND($AU731&gt;=91),"&gt; 90",AND($AU731&gt;=2000),""),"")</f>
        <v/>
      </c>
      <c r="AW731" s="32" t="str" cm="1">
        <f t="array" aca="1" ref="AW731" ca="1">IFERROR(_xlfn.IFS(OR($M731="",$AM731=""),"",OR($C731="Offered",$C731="Joined"),($AM731-$M731)-$AT731),"")</f>
        <v/>
      </c>
      <c r="AX731" s="32" t="str" cm="1">
        <f t="array" aca="1" ref="AX731" ca="1">IFERROR(_xlfn.IFS(OR($M731="",$AS731=""),"",$C731="Joined",($AS731-$M731)-$AT731),"")</f>
        <v/>
      </c>
      <c r="AY731" s="30" t="str">
        <f>IFERROR(IF(COUNTIFS('Candidate Tracker'!$E:$E,'Positions Tracker'!$B731,'Candidate Tracker'!$C:$C,"Offer Drop")=0,"",COUNTIFS('Candidate Tracker'!$E:$E,'Positions Tracker'!$B731,'Candidate Tracker'!$C:$C,"Offer Drop")),"")</f>
        <v/>
      </c>
      <c r="AZ7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1" s="34" t="str">
        <f>IFERROR(IF(COUNTIFS('Candidate Tracker'!$E:$E,'Positions Tracker'!$B731,'Candidate Tracker'!$I:$I,"Female")=0,"",COUNTIFS('Candidate Tracker'!$E:$E,'Positions Tracker'!$B731,'Candidate Tracker'!$I:$I,"Female")),"")</f>
        <v/>
      </c>
      <c r="BB731" s="34" t="str">
        <f>IFERROR(IF(COUNTIFS('Candidate Tracker'!$E:$E,'Positions Tracker'!$B731,'Candidate Tracker'!$I:$I,"male")=0,"",COUNTIFS('Candidate Tracker'!$E:$E,'Positions Tracker'!$B731,'Candidate Tracker'!$I:$I,"male")),"")</f>
        <v/>
      </c>
      <c r="BC731" s="33" t="str">
        <f>IFERROR(IF(COUNTIFS('Candidate Tracker'!$E:$E,'Positions Tracker'!$B731,'Candidate Tracker'!$C:$C,"&lt;&gt;WIP",'Candidate Tracker'!$C:$C,"&lt;&gt;Hold",'Candidate Tracker'!$C:$C,"&lt;&gt;Cancelled",'Candidate Tracker'!$C:$C,"&lt;&gt;Closed")/COUNTIFS('Candidate Tracker'!$E:$E,'Positions Tracker'!$B731)=0,"",COUNTIFS('Candidate Tracker'!$E:$E,'Positions Tracker'!$B731,'Candidate Tracker'!$C:$C,"&lt;&gt;WIP",'Candidate Tracker'!$C:$C,"&lt;&gt;Hold",'Candidate Tracker'!$C:$C,"&lt;&gt;Cancelled",'Candidate Tracker'!$C:$C,"&lt;&gt;Closed")/COUNTIFS('Candidate Tracker'!$E:$E,'Positions Tracker'!$B731)),"")</f>
        <v/>
      </c>
      <c r="BD731" s="30" t="str">
        <f t="shared" si="81"/>
        <v/>
      </c>
      <c r="BE731" s="30" t="str">
        <f t="shared" si="82"/>
        <v/>
      </c>
      <c r="BF731" s="30" t="str">
        <f t="shared" si="83"/>
        <v/>
      </c>
      <c r="BG731" s="30" t="str">
        <f t="shared" si="84"/>
        <v/>
      </c>
    </row>
    <row r="732" spans="1:59">
      <c r="A732" s="39"/>
      <c r="B732" s="39"/>
      <c r="C732" s="39"/>
      <c r="D732" s="39"/>
      <c r="E732" s="39"/>
      <c r="F732" s="39"/>
      <c r="G732" s="39"/>
      <c r="H732" s="39"/>
      <c r="I732" s="40"/>
      <c r="J732" s="40"/>
      <c r="K732" s="35"/>
      <c r="L732" s="35"/>
      <c r="M732" s="35"/>
      <c r="N732" s="39"/>
      <c r="O732" s="39"/>
      <c r="P732" s="39"/>
      <c r="Q732" s="39"/>
      <c r="R732" s="39"/>
      <c r="S732" s="39"/>
      <c r="T732" s="39"/>
      <c r="U732" s="39"/>
      <c r="V732" s="39"/>
      <c r="W732" s="39"/>
      <c r="X732" s="39"/>
      <c r="Y732" s="39"/>
      <c r="Z732" s="39"/>
      <c r="AA732" s="39"/>
      <c r="AB732" s="39"/>
      <c r="AC732" s="39"/>
      <c r="AD732" s="39"/>
      <c r="AE732" s="39"/>
      <c r="AF732" s="39"/>
      <c r="AG732" s="39"/>
      <c r="AH732" s="39"/>
      <c r="AI732" s="35"/>
      <c r="AJ732" s="39"/>
      <c r="AK732" s="39"/>
      <c r="AL732" s="39"/>
      <c r="AM732" s="35"/>
      <c r="AN732" s="35"/>
      <c r="AO732" s="39"/>
      <c r="AP732" s="39"/>
      <c r="AQ732" s="35"/>
      <c r="AR732" s="35"/>
      <c r="AS732" s="35"/>
      <c r="AT732" s="30">
        <f t="shared" ca="1" si="80"/>
        <v>0</v>
      </c>
      <c r="AU732" s="32" t="str">
        <f t="shared" ca="1" si="79"/>
        <v/>
      </c>
      <c r="AV732" s="32" t="str" cm="1">
        <f t="array" aca="1" ref="AV732" ca="1">IFERROR(_xlfn.IFS($AU732="","",$AU732&lt;=15,"0-15",AND($AU732&gt;=16,$AU732&lt;=30),"16-30",AND($AU732&gt;=31,$AU732&lt;=45),"31-45",AND($AU732&gt;=46,$AU732&lt;=60),"46-60",AND($AU732&gt;=61,$AU732&lt;=90),"61-90",AND($AU732&gt;=91),"&gt; 90",AND($AU732&gt;=2000),""),"")</f>
        <v/>
      </c>
      <c r="AW732" s="32" t="str" cm="1">
        <f t="array" aca="1" ref="AW732" ca="1">IFERROR(_xlfn.IFS(OR($M732="",$AM732=""),"",OR($C732="Offered",$C732="Joined"),($AM732-$M732)-$AT732),"")</f>
        <v/>
      </c>
      <c r="AX732" s="32" t="str" cm="1">
        <f t="array" aca="1" ref="AX732" ca="1">IFERROR(_xlfn.IFS(OR($M732="",$AS732=""),"",$C732="Joined",($AS732-$M732)-$AT732),"")</f>
        <v/>
      </c>
      <c r="AY732" s="30" t="str">
        <f>IFERROR(IF(COUNTIFS('Candidate Tracker'!$E:$E,'Positions Tracker'!$B732,'Candidate Tracker'!$C:$C,"Offer Drop")=0,"",COUNTIFS('Candidate Tracker'!$E:$E,'Positions Tracker'!$B732,'Candidate Tracker'!$C:$C,"Offer Drop")),"")</f>
        <v/>
      </c>
      <c r="AZ7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2" s="34" t="str">
        <f>IFERROR(IF(COUNTIFS('Candidate Tracker'!$E:$E,'Positions Tracker'!$B732,'Candidate Tracker'!$I:$I,"Female")=0,"",COUNTIFS('Candidate Tracker'!$E:$E,'Positions Tracker'!$B732,'Candidate Tracker'!$I:$I,"Female")),"")</f>
        <v/>
      </c>
      <c r="BB732" s="34" t="str">
        <f>IFERROR(IF(COUNTIFS('Candidate Tracker'!$E:$E,'Positions Tracker'!$B732,'Candidate Tracker'!$I:$I,"male")=0,"",COUNTIFS('Candidate Tracker'!$E:$E,'Positions Tracker'!$B732,'Candidate Tracker'!$I:$I,"male")),"")</f>
        <v/>
      </c>
      <c r="BC732" s="33" t="str">
        <f>IFERROR(IF(COUNTIFS('Candidate Tracker'!$E:$E,'Positions Tracker'!$B732,'Candidate Tracker'!$C:$C,"&lt;&gt;WIP",'Candidate Tracker'!$C:$C,"&lt;&gt;Hold",'Candidate Tracker'!$C:$C,"&lt;&gt;Cancelled",'Candidate Tracker'!$C:$C,"&lt;&gt;Closed")/COUNTIFS('Candidate Tracker'!$E:$E,'Positions Tracker'!$B732)=0,"",COUNTIFS('Candidate Tracker'!$E:$E,'Positions Tracker'!$B732,'Candidate Tracker'!$C:$C,"&lt;&gt;WIP",'Candidate Tracker'!$C:$C,"&lt;&gt;Hold",'Candidate Tracker'!$C:$C,"&lt;&gt;Cancelled",'Candidate Tracker'!$C:$C,"&lt;&gt;Closed")/COUNTIFS('Candidate Tracker'!$E:$E,'Positions Tracker'!$B732)),"")</f>
        <v/>
      </c>
      <c r="BD732" s="30" t="str">
        <f t="shared" si="81"/>
        <v/>
      </c>
      <c r="BE732" s="30" t="str">
        <f t="shared" si="82"/>
        <v/>
      </c>
      <c r="BF732" s="30" t="str">
        <f t="shared" si="83"/>
        <v/>
      </c>
      <c r="BG732" s="30" t="str">
        <f t="shared" si="84"/>
        <v/>
      </c>
    </row>
    <row r="733" spans="1:59">
      <c r="A733" s="39"/>
      <c r="B733" s="39"/>
      <c r="C733" s="39"/>
      <c r="D733" s="39"/>
      <c r="E733" s="39"/>
      <c r="F733" s="39"/>
      <c r="G733" s="39"/>
      <c r="H733" s="39"/>
      <c r="I733" s="40"/>
      <c r="J733" s="40"/>
      <c r="K733" s="35"/>
      <c r="L733" s="35"/>
      <c r="M733" s="35"/>
      <c r="N733" s="39"/>
      <c r="O733" s="39"/>
      <c r="P733" s="39"/>
      <c r="Q733" s="39"/>
      <c r="R733" s="39"/>
      <c r="S733" s="39"/>
      <c r="T733" s="39"/>
      <c r="U733" s="39"/>
      <c r="V733" s="39"/>
      <c r="W733" s="39"/>
      <c r="X733" s="39"/>
      <c r="Y733" s="39"/>
      <c r="Z733" s="39"/>
      <c r="AA733" s="39"/>
      <c r="AB733" s="39"/>
      <c r="AC733" s="39"/>
      <c r="AD733" s="39"/>
      <c r="AE733" s="39"/>
      <c r="AF733" s="39"/>
      <c r="AG733" s="39"/>
      <c r="AH733" s="39"/>
      <c r="AI733" s="35"/>
      <c r="AJ733" s="39"/>
      <c r="AK733" s="39"/>
      <c r="AL733" s="39"/>
      <c r="AM733" s="35"/>
      <c r="AN733" s="35"/>
      <c r="AO733" s="39"/>
      <c r="AP733" s="39"/>
      <c r="AQ733" s="35"/>
      <c r="AR733" s="35"/>
      <c r="AS733" s="35"/>
      <c r="AT733" s="30">
        <f t="shared" ca="1" si="80"/>
        <v>0</v>
      </c>
      <c r="AU733" s="32" t="str">
        <f t="shared" ca="1" si="79"/>
        <v/>
      </c>
      <c r="AV733" s="32" t="str" cm="1">
        <f t="array" aca="1" ref="AV733" ca="1">IFERROR(_xlfn.IFS($AU733="","",$AU733&lt;=15,"0-15",AND($AU733&gt;=16,$AU733&lt;=30),"16-30",AND($AU733&gt;=31,$AU733&lt;=45),"31-45",AND($AU733&gt;=46,$AU733&lt;=60),"46-60",AND($AU733&gt;=61,$AU733&lt;=90),"61-90",AND($AU733&gt;=91),"&gt; 90",AND($AU733&gt;=2000),""),"")</f>
        <v/>
      </c>
      <c r="AW733" s="32" t="str" cm="1">
        <f t="array" aca="1" ref="AW733" ca="1">IFERROR(_xlfn.IFS(OR($M733="",$AM733=""),"",OR($C733="Offered",$C733="Joined"),($AM733-$M733)-$AT733),"")</f>
        <v/>
      </c>
      <c r="AX733" s="32" t="str" cm="1">
        <f t="array" aca="1" ref="AX733" ca="1">IFERROR(_xlfn.IFS(OR($M733="",$AS733=""),"",$C733="Joined",($AS733-$M733)-$AT733),"")</f>
        <v/>
      </c>
      <c r="AY733" s="30" t="str">
        <f>IFERROR(IF(COUNTIFS('Candidate Tracker'!$E:$E,'Positions Tracker'!$B733,'Candidate Tracker'!$C:$C,"Offer Drop")=0,"",COUNTIFS('Candidate Tracker'!$E:$E,'Positions Tracker'!$B733,'Candidate Tracker'!$C:$C,"Offer Drop")),"")</f>
        <v/>
      </c>
      <c r="AZ7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3" s="34" t="str">
        <f>IFERROR(IF(COUNTIFS('Candidate Tracker'!$E:$E,'Positions Tracker'!$B733,'Candidate Tracker'!$I:$I,"Female")=0,"",COUNTIFS('Candidate Tracker'!$E:$E,'Positions Tracker'!$B733,'Candidate Tracker'!$I:$I,"Female")),"")</f>
        <v/>
      </c>
      <c r="BB733" s="34" t="str">
        <f>IFERROR(IF(COUNTIFS('Candidate Tracker'!$E:$E,'Positions Tracker'!$B733,'Candidate Tracker'!$I:$I,"male")=0,"",COUNTIFS('Candidate Tracker'!$E:$E,'Positions Tracker'!$B733,'Candidate Tracker'!$I:$I,"male")),"")</f>
        <v/>
      </c>
      <c r="BC733" s="33" t="str">
        <f>IFERROR(IF(COUNTIFS('Candidate Tracker'!$E:$E,'Positions Tracker'!$B733,'Candidate Tracker'!$C:$C,"&lt;&gt;WIP",'Candidate Tracker'!$C:$C,"&lt;&gt;Hold",'Candidate Tracker'!$C:$C,"&lt;&gt;Cancelled",'Candidate Tracker'!$C:$C,"&lt;&gt;Closed")/COUNTIFS('Candidate Tracker'!$E:$E,'Positions Tracker'!$B733)=0,"",COUNTIFS('Candidate Tracker'!$E:$E,'Positions Tracker'!$B733,'Candidate Tracker'!$C:$C,"&lt;&gt;WIP",'Candidate Tracker'!$C:$C,"&lt;&gt;Hold",'Candidate Tracker'!$C:$C,"&lt;&gt;Cancelled",'Candidate Tracker'!$C:$C,"&lt;&gt;Closed")/COUNTIFS('Candidate Tracker'!$E:$E,'Positions Tracker'!$B733)),"")</f>
        <v/>
      </c>
      <c r="BD733" s="30" t="str">
        <f t="shared" si="81"/>
        <v/>
      </c>
      <c r="BE733" s="30" t="str">
        <f t="shared" si="82"/>
        <v/>
      </c>
      <c r="BF733" s="30" t="str">
        <f t="shared" si="83"/>
        <v/>
      </c>
      <c r="BG733" s="30" t="str">
        <f t="shared" si="84"/>
        <v/>
      </c>
    </row>
    <row r="734" spans="1:59">
      <c r="A734" s="39"/>
      <c r="B734" s="39"/>
      <c r="C734" s="39"/>
      <c r="D734" s="39"/>
      <c r="E734" s="39"/>
      <c r="F734" s="39"/>
      <c r="G734" s="39"/>
      <c r="H734" s="39"/>
      <c r="I734" s="40"/>
      <c r="J734" s="40"/>
      <c r="K734" s="35"/>
      <c r="L734" s="35"/>
      <c r="M734" s="35"/>
      <c r="N734" s="39"/>
      <c r="O734" s="39"/>
      <c r="P734" s="39"/>
      <c r="Q734" s="39"/>
      <c r="R734" s="39"/>
      <c r="S734" s="39"/>
      <c r="T734" s="39"/>
      <c r="U734" s="39"/>
      <c r="V734" s="39"/>
      <c r="W734" s="39"/>
      <c r="X734" s="39"/>
      <c r="Y734" s="39"/>
      <c r="Z734" s="39"/>
      <c r="AA734" s="39"/>
      <c r="AB734" s="39"/>
      <c r="AC734" s="39"/>
      <c r="AD734" s="39"/>
      <c r="AE734" s="39"/>
      <c r="AF734" s="39"/>
      <c r="AG734" s="39"/>
      <c r="AH734" s="39"/>
      <c r="AI734" s="35"/>
      <c r="AJ734" s="39"/>
      <c r="AK734" s="39"/>
      <c r="AL734" s="39"/>
      <c r="AM734" s="35"/>
      <c r="AN734" s="35"/>
      <c r="AO734" s="39"/>
      <c r="AP734" s="39"/>
      <c r="AQ734" s="35"/>
      <c r="AR734" s="35"/>
      <c r="AS734" s="35"/>
      <c r="AT734" s="30">
        <f t="shared" ca="1" si="80"/>
        <v>0</v>
      </c>
      <c r="AU734" s="32" t="str">
        <f t="shared" ca="1" si="79"/>
        <v/>
      </c>
      <c r="AV734" s="32" t="str" cm="1">
        <f t="array" aca="1" ref="AV734" ca="1">IFERROR(_xlfn.IFS($AU734="","",$AU734&lt;=15,"0-15",AND($AU734&gt;=16,$AU734&lt;=30),"16-30",AND($AU734&gt;=31,$AU734&lt;=45),"31-45",AND($AU734&gt;=46,$AU734&lt;=60),"46-60",AND($AU734&gt;=61,$AU734&lt;=90),"61-90",AND($AU734&gt;=91),"&gt; 90",AND($AU734&gt;=2000),""),"")</f>
        <v/>
      </c>
      <c r="AW734" s="32" t="str" cm="1">
        <f t="array" aca="1" ref="AW734" ca="1">IFERROR(_xlfn.IFS(OR($M734="",$AM734=""),"",OR($C734="Offered",$C734="Joined"),($AM734-$M734)-$AT734),"")</f>
        <v/>
      </c>
      <c r="AX734" s="32" t="str" cm="1">
        <f t="array" aca="1" ref="AX734" ca="1">IFERROR(_xlfn.IFS(OR($M734="",$AS734=""),"",$C734="Joined",($AS734-$M734)-$AT734),"")</f>
        <v/>
      </c>
      <c r="AY734" s="30" t="str">
        <f>IFERROR(IF(COUNTIFS('Candidate Tracker'!$E:$E,'Positions Tracker'!$B734,'Candidate Tracker'!$C:$C,"Offer Drop")=0,"",COUNTIFS('Candidate Tracker'!$E:$E,'Positions Tracker'!$B734,'Candidate Tracker'!$C:$C,"Offer Drop")),"")</f>
        <v/>
      </c>
      <c r="AZ7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4" s="34" t="str">
        <f>IFERROR(IF(COUNTIFS('Candidate Tracker'!$E:$E,'Positions Tracker'!$B734,'Candidate Tracker'!$I:$I,"Female")=0,"",COUNTIFS('Candidate Tracker'!$E:$E,'Positions Tracker'!$B734,'Candidate Tracker'!$I:$I,"Female")),"")</f>
        <v/>
      </c>
      <c r="BB734" s="34" t="str">
        <f>IFERROR(IF(COUNTIFS('Candidate Tracker'!$E:$E,'Positions Tracker'!$B734,'Candidate Tracker'!$I:$I,"male")=0,"",COUNTIFS('Candidate Tracker'!$E:$E,'Positions Tracker'!$B734,'Candidate Tracker'!$I:$I,"male")),"")</f>
        <v/>
      </c>
      <c r="BC734" s="33" t="str">
        <f>IFERROR(IF(COUNTIFS('Candidate Tracker'!$E:$E,'Positions Tracker'!$B734,'Candidate Tracker'!$C:$C,"&lt;&gt;WIP",'Candidate Tracker'!$C:$C,"&lt;&gt;Hold",'Candidate Tracker'!$C:$C,"&lt;&gt;Cancelled",'Candidate Tracker'!$C:$C,"&lt;&gt;Closed")/COUNTIFS('Candidate Tracker'!$E:$E,'Positions Tracker'!$B734)=0,"",COUNTIFS('Candidate Tracker'!$E:$E,'Positions Tracker'!$B734,'Candidate Tracker'!$C:$C,"&lt;&gt;WIP",'Candidate Tracker'!$C:$C,"&lt;&gt;Hold",'Candidate Tracker'!$C:$C,"&lt;&gt;Cancelled",'Candidate Tracker'!$C:$C,"&lt;&gt;Closed")/COUNTIFS('Candidate Tracker'!$E:$E,'Positions Tracker'!$B734)),"")</f>
        <v/>
      </c>
      <c r="BD734" s="30" t="str">
        <f t="shared" si="81"/>
        <v/>
      </c>
      <c r="BE734" s="30" t="str">
        <f t="shared" si="82"/>
        <v/>
      </c>
      <c r="BF734" s="30" t="str">
        <f t="shared" si="83"/>
        <v/>
      </c>
      <c r="BG734" s="30" t="str">
        <f t="shared" si="84"/>
        <v/>
      </c>
    </row>
    <row r="735" spans="1:59">
      <c r="A735" s="39"/>
      <c r="B735" s="39"/>
      <c r="C735" s="39"/>
      <c r="D735" s="39"/>
      <c r="E735" s="39"/>
      <c r="F735" s="39"/>
      <c r="G735" s="39"/>
      <c r="H735" s="39"/>
      <c r="I735" s="40"/>
      <c r="J735" s="40"/>
      <c r="K735" s="35"/>
      <c r="L735" s="35"/>
      <c r="M735" s="35"/>
      <c r="N735" s="39"/>
      <c r="O735" s="39"/>
      <c r="P735" s="39"/>
      <c r="Q735" s="39"/>
      <c r="R735" s="39"/>
      <c r="S735" s="39"/>
      <c r="T735" s="39"/>
      <c r="U735" s="39"/>
      <c r="V735" s="39"/>
      <c r="W735" s="39"/>
      <c r="X735" s="39"/>
      <c r="Y735" s="39"/>
      <c r="Z735" s="39"/>
      <c r="AA735" s="39"/>
      <c r="AB735" s="39"/>
      <c r="AC735" s="39"/>
      <c r="AD735" s="39"/>
      <c r="AE735" s="39"/>
      <c r="AF735" s="39"/>
      <c r="AG735" s="39"/>
      <c r="AH735" s="39"/>
      <c r="AI735" s="35"/>
      <c r="AJ735" s="39"/>
      <c r="AK735" s="39"/>
      <c r="AL735" s="39"/>
      <c r="AM735" s="35"/>
      <c r="AN735" s="35"/>
      <c r="AO735" s="39"/>
      <c r="AP735" s="39"/>
      <c r="AQ735" s="35"/>
      <c r="AR735" s="35"/>
      <c r="AS735" s="35"/>
      <c r="AT735" s="30">
        <f t="shared" ca="1" si="80"/>
        <v>0</v>
      </c>
      <c r="AU735" s="32" t="str">
        <f t="shared" ca="1" si="79"/>
        <v/>
      </c>
      <c r="AV735" s="32" t="str" cm="1">
        <f t="array" aca="1" ref="AV735" ca="1">IFERROR(_xlfn.IFS($AU735="","",$AU735&lt;=15,"0-15",AND($AU735&gt;=16,$AU735&lt;=30),"16-30",AND($AU735&gt;=31,$AU735&lt;=45),"31-45",AND($AU735&gt;=46,$AU735&lt;=60),"46-60",AND($AU735&gt;=61,$AU735&lt;=90),"61-90",AND($AU735&gt;=91),"&gt; 90",AND($AU735&gt;=2000),""),"")</f>
        <v/>
      </c>
      <c r="AW735" s="32" t="str" cm="1">
        <f t="array" aca="1" ref="AW735" ca="1">IFERROR(_xlfn.IFS(OR($M735="",$AM735=""),"",OR($C735="Offered",$C735="Joined"),($AM735-$M735)-$AT735),"")</f>
        <v/>
      </c>
      <c r="AX735" s="32" t="str" cm="1">
        <f t="array" aca="1" ref="AX735" ca="1">IFERROR(_xlfn.IFS(OR($M735="",$AS735=""),"",$C735="Joined",($AS735-$M735)-$AT735),"")</f>
        <v/>
      </c>
      <c r="AY735" s="30" t="str">
        <f>IFERROR(IF(COUNTIFS('Candidate Tracker'!$E:$E,'Positions Tracker'!$B735,'Candidate Tracker'!$C:$C,"Offer Drop")=0,"",COUNTIFS('Candidate Tracker'!$E:$E,'Positions Tracker'!$B735,'Candidate Tracker'!$C:$C,"Offer Drop")),"")</f>
        <v/>
      </c>
      <c r="AZ7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5" s="34" t="str">
        <f>IFERROR(IF(COUNTIFS('Candidate Tracker'!$E:$E,'Positions Tracker'!$B735,'Candidate Tracker'!$I:$I,"Female")=0,"",COUNTIFS('Candidate Tracker'!$E:$E,'Positions Tracker'!$B735,'Candidate Tracker'!$I:$I,"Female")),"")</f>
        <v/>
      </c>
      <c r="BB735" s="34" t="str">
        <f>IFERROR(IF(COUNTIFS('Candidate Tracker'!$E:$E,'Positions Tracker'!$B735,'Candidate Tracker'!$I:$I,"male")=0,"",COUNTIFS('Candidate Tracker'!$E:$E,'Positions Tracker'!$B735,'Candidate Tracker'!$I:$I,"male")),"")</f>
        <v/>
      </c>
      <c r="BC735" s="33" t="str">
        <f>IFERROR(IF(COUNTIFS('Candidate Tracker'!$E:$E,'Positions Tracker'!$B735,'Candidate Tracker'!$C:$C,"&lt;&gt;WIP",'Candidate Tracker'!$C:$C,"&lt;&gt;Hold",'Candidate Tracker'!$C:$C,"&lt;&gt;Cancelled",'Candidate Tracker'!$C:$C,"&lt;&gt;Closed")/COUNTIFS('Candidate Tracker'!$E:$E,'Positions Tracker'!$B735)=0,"",COUNTIFS('Candidate Tracker'!$E:$E,'Positions Tracker'!$B735,'Candidate Tracker'!$C:$C,"&lt;&gt;WIP",'Candidate Tracker'!$C:$C,"&lt;&gt;Hold",'Candidate Tracker'!$C:$C,"&lt;&gt;Cancelled",'Candidate Tracker'!$C:$C,"&lt;&gt;Closed")/COUNTIFS('Candidate Tracker'!$E:$E,'Positions Tracker'!$B735)),"")</f>
        <v/>
      </c>
      <c r="BD735" s="30" t="str">
        <f t="shared" si="81"/>
        <v/>
      </c>
      <c r="BE735" s="30" t="str">
        <f t="shared" si="82"/>
        <v/>
      </c>
      <c r="BF735" s="30" t="str">
        <f t="shared" si="83"/>
        <v/>
      </c>
      <c r="BG735" s="30" t="str">
        <f t="shared" si="84"/>
        <v/>
      </c>
    </row>
    <row r="736" spans="1:59">
      <c r="A736" s="39"/>
      <c r="B736" s="39"/>
      <c r="C736" s="39"/>
      <c r="D736" s="39"/>
      <c r="E736" s="39"/>
      <c r="F736" s="39"/>
      <c r="G736" s="39"/>
      <c r="H736" s="39"/>
      <c r="I736" s="40"/>
      <c r="J736" s="40"/>
      <c r="K736" s="35"/>
      <c r="L736" s="35"/>
      <c r="M736" s="35"/>
      <c r="N736" s="39"/>
      <c r="O736" s="39"/>
      <c r="P736" s="39"/>
      <c r="Q736" s="39"/>
      <c r="R736" s="39"/>
      <c r="S736" s="39"/>
      <c r="T736" s="39"/>
      <c r="U736" s="39"/>
      <c r="V736" s="39"/>
      <c r="W736" s="39"/>
      <c r="X736" s="39"/>
      <c r="Y736" s="39"/>
      <c r="Z736" s="39"/>
      <c r="AA736" s="39"/>
      <c r="AB736" s="39"/>
      <c r="AC736" s="39"/>
      <c r="AD736" s="39"/>
      <c r="AE736" s="39"/>
      <c r="AF736" s="39"/>
      <c r="AG736" s="39"/>
      <c r="AH736" s="39"/>
      <c r="AI736" s="35"/>
      <c r="AJ736" s="39"/>
      <c r="AK736" s="39"/>
      <c r="AL736" s="39"/>
      <c r="AM736" s="35"/>
      <c r="AN736" s="35"/>
      <c r="AO736" s="39"/>
      <c r="AP736" s="39"/>
      <c r="AQ736" s="35"/>
      <c r="AR736" s="35"/>
      <c r="AS736" s="35"/>
      <c r="AT736" s="30">
        <f t="shared" ca="1" si="80"/>
        <v>0</v>
      </c>
      <c r="AU736" s="32" t="str">
        <f t="shared" ca="1" si="79"/>
        <v/>
      </c>
      <c r="AV736" s="32" t="str" cm="1">
        <f t="array" aca="1" ref="AV736" ca="1">IFERROR(_xlfn.IFS($AU736="","",$AU736&lt;=15,"0-15",AND($AU736&gt;=16,$AU736&lt;=30),"16-30",AND($AU736&gt;=31,$AU736&lt;=45),"31-45",AND($AU736&gt;=46,$AU736&lt;=60),"46-60",AND($AU736&gt;=61,$AU736&lt;=90),"61-90",AND($AU736&gt;=91),"&gt; 90",AND($AU736&gt;=2000),""),"")</f>
        <v/>
      </c>
      <c r="AW736" s="32" t="str" cm="1">
        <f t="array" aca="1" ref="AW736" ca="1">IFERROR(_xlfn.IFS(OR($M736="",$AM736=""),"",OR($C736="Offered",$C736="Joined"),($AM736-$M736)-$AT736),"")</f>
        <v/>
      </c>
      <c r="AX736" s="32" t="str" cm="1">
        <f t="array" aca="1" ref="AX736" ca="1">IFERROR(_xlfn.IFS(OR($M736="",$AS736=""),"",$C736="Joined",($AS736-$M736)-$AT736),"")</f>
        <v/>
      </c>
      <c r="AY736" s="30" t="str">
        <f>IFERROR(IF(COUNTIFS('Candidate Tracker'!$E:$E,'Positions Tracker'!$B736,'Candidate Tracker'!$C:$C,"Offer Drop")=0,"",COUNTIFS('Candidate Tracker'!$E:$E,'Positions Tracker'!$B736,'Candidate Tracker'!$C:$C,"Offer Drop")),"")</f>
        <v/>
      </c>
      <c r="AZ7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6" s="34" t="str">
        <f>IFERROR(IF(COUNTIFS('Candidate Tracker'!$E:$E,'Positions Tracker'!$B736,'Candidate Tracker'!$I:$I,"Female")=0,"",COUNTIFS('Candidate Tracker'!$E:$E,'Positions Tracker'!$B736,'Candidate Tracker'!$I:$I,"Female")),"")</f>
        <v/>
      </c>
      <c r="BB736" s="34" t="str">
        <f>IFERROR(IF(COUNTIFS('Candidate Tracker'!$E:$E,'Positions Tracker'!$B736,'Candidate Tracker'!$I:$I,"male")=0,"",COUNTIFS('Candidate Tracker'!$E:$E,'Positions Tracker'!$B736,'Candidate Tracker'!$I:$I,"male")),"")</f>
        <v/>
      </c>
      <c r="BC736" s="33" t="str">
        <f>IFERROR(IF(COUNTIFS('Candidate Tracker'!$E:$E,'Positions Tracker'!$B736,'Candidate Tracker'!$C:$C,"&lt;&gt;WIP",'Candidate Tracker'!$C:$C,"&lt;&gt;Hold",'Candidate Tracker'!$C:$C,"&lt;&gt;Cancelled",'Candidate Tracker'!$C:$C,"&lt;&gt;Closed")/COUNTIFS('Candidate Tracker'!$E:$E,'Positions Tracker'!$B736)=0,"",COUNTIFS('Candidate Tracker'!$E:$E,'Positions Tracker'!$B736,'Candidate Tracker'!$C:$C,"&lt;&gt;WIP",'Candidate Tracker'!$C:$C,"&lt;&gt;Hold",'Candidate Tracker'!$C:$C,"&lt;&gt;Cancelled",'Candidate Tracker'!$C:$C,"&lt;&gt;Closed")/COUNTIFS('Candidate Tracker'!$E:$E,'Positions Tracker'!$B736)),"")</f>
        <v/>
      </c>
      <c r="BD736" s="30" t="str">
        <f t="shared" si="81"/>
        <v/>
      </c>
      <c r="BE736" s="30" t="str">
        <f t="shared" si="82"/>
        <v/>
      </c>
      <c r="BF736" s="30" t="str">
        <f t="shared" si="83"/>
        <v/>
      </c>
      <c r="BG736" s="30" t="str">
        <f t="shared" si="84"/>
        <v/>
      </c>
    </row>
    <row r="737" spans="1:59">
      <c r="A737" s="39"/>
      <c r="B737" s="39"/>
      <c r="C737" s="39"/>
      <c r="D737" s="39"/>
      <c r="E737" s="39"/>
      <c r="F737" s="39"/>
      <c r="G737" s="39"/>
      <c r="H737" s="39"/>
      <c r="I737" s="40"/>
      <c r="J737" s="40"/>
      <c r="K737" s="35"/>
      <c r="L737" s="35"/>
      <c r="M737" s="35"/>
      <c r="N737" s="39"/>
      <c r="O737" s="39"/>
      <c r="P737" s="39"/>
      <c r="Q737" s="39"/>
      <c r="R737" s="39"/>
      <c r="S737" s="39"/>
      <c r="T737" s="39"/>
      <c r="U737" s="39"/>
      <c r="V737" s="39"/>
      <c r="W737" s="39"/>
      <c r="X737" s="39"/>
      <c r="Y737" s="39"/>
      <c r="Z737" s="39"/>
      <c r="AA737" s="39"/>
      <c r="AB737" s="39"/>
      <c r="AC737" s="39"/>
      <c r="AD737" s="39"/>
      <c r="AE737" s="39"/>
      <c r="AF737" s="39"/>
      <c r="AG737" s="39"/>
      <c r="AH737" s="39"/>
      <c r="AI737" s="35"/>
      <c r="AJ737" s="39"/>
      <c r="AK737" s="39"/>
      <c r="AL737" s="39"/>
      <c r="AM737" s="35"/>
      <c r="AN737" s="35"/>
      <c r="AO737" s="39"/>
      <c r="AP737" s="39"/>
      <c r="AQ737" s="35"/>
      <c r="AR737" s="35"/>
      <c r="AS737" s="35"/>
      <c r="AT737" s="30">
        <f t="shared" ca="1" si="80"/>
        <v>0</v>
      </c>
      <c r="AU737" s="32" t="str">
        <f t="shared" ca="1" si="79"/>
        <v/>
      </c>
      <c r="AV737" s="32" t="str" cm="1">
        <f t="array" aca="1" ref="AV737" ca="1">IFERROR(_xlfn.IFS($AU737="","",$AU737&lt;=15,"0-15",AND($AU737&gt;=16,$AU737&lt;=30),"16-30",AND($AU737&gt;=31,$AU737&lt;=45),"31-45",AND($AU737&gt;=46,$AU737&lt;=60),"46-60",AND($AU737&gt;=61,$AU737&lt;=90),"61-90",AND($AU737&gt;=91),"&gt; 90",AND($AU737&gt;=2000),""),"")</f>
        <v/>
      </c>
      <c r="AW737" s="32" t="str" cm="1">
        <f t="array" aca="1" ref="AW737" ca="1">IFERROR(_xlfn.IFS(OR($M737="",$AM737=""),"",OR($C737="Offered",$C737="Joined"),($AM737-$M737)-$AT737),"")</f>
        <v/>
      </c>
      <c r="AX737" s="32" t="str" cm="1">
        <f t="array" aca="1" ref="AX737" ca="1">IFERROR(_xlfn.IFS(OR($M737="",$AS737=""),"",$C737="Joined",($AS737-$M737)-$AT737),"")</f>
        <v/>
      </c>
      <c r="AY737" s="30" t="str">
        <f>IFERROR(IF(COUNTIFS('Candidate Tracker'!$E:$E,'Positions Tracker'!$B737,'Candidate Tracker'!$C:$C,"Offer Drop")=0,"",COUNTIFS('Candidate Tracker'!$E:$E,'Positions Tracker'!$B737,'Candidate Tracker'!$C:$C,"Offer Drop")),"")</f>
        <v/>
      </c>
      <c r="AZ7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7" s="34" t="str">
        <f>IFERROR(IF(COUNTIFS('Candidate Tracker'!$E:$E,'Positions Tracker'!$B737,'Candidate Tracker'!$I:$I,"Female")=0,"",COUNTIFS('Candidate Tracker'!$E:$E,'Positions Tracker'!$B737,'Candidate Tracker'!$I:$I,"Female")),"")</f>
        <v/>
      </c>
      <c r="BB737" s="34" t="str">
        <f>IFERROR(IF(COUNTIFS('Candidate Tracker'!$E:$E,'Positions Tracker'!$B737,'Candidate Tracker'!$I:$I,"male")=0,"",COUNTIFS('Candidate Tracker'!$E:$E,'Positions Tracker'!$B737,'Candidate Tracker'!$I:$I,"male")),"")</f>
        <v/>
      </c>
      <c r="BC737" s="33" t="str">
        <f>IFERROR(IF(COUNTIFS('Candidate Tracker'!$E:$E,'Positions Tracker'!$B737,'Candidate Tracker'!$C:$C,"&lt;&gt;WIP",'Candidate Tracker'!$C:$C,"&lt;&gt;Hold",'Candidate Tracker'!$C:$C,"&lt;&gt;Cancelled",'Candidate Tracker'!$C:$C,"&lt;&gt;Closed")/COUNTIFS('Candidate Tracker'!$E:$E,'Positions Tracker'!$B737)=0,"",COUNTIFS('Candidate Tracker'!$E:$E,'Positions Tracker'!$B737,'Candidate Tracker'!$C:$C,"&lt;&gt;WIP",'Candidate Tracker'!$C:$C,"&lt;&gt;Hold",'Candidate Tracker'!$C:$C,"&lt;&gt;Cancelled",'Candidate Tracker'!$C:$C,"&lt;&gt;Closed")/COUNTIFS('Candidate Tracker'!$E:$E,'Positions Tracker'!$B737)),"")</f>
        <v/>
      </c>
      <c r="BD737" s="30" t="str">
        <f t="shared" si="81"/>
        <v/>
      </c>
      <c r="BE737" s="30" t="str">
        <f t="shared" si="82"/>
        <v/>
      </c>
      <c r="BF737" s="30" t="str">
        <f t="shared" si="83"/>
        <v/>
      </c>
      <c r="BG737" s="30" t="str">
        <f t="shared" si="84"/>
        <v/>
      </c>
    </row>
    <row r="738" spans="1:59">
      <c r="A738" s="39"/>
      <c r="B738" s="39"/>
      <c r="C738" s="39"/>
      <c r="D738" s="39"/>
      <c r="E738" s="39"/>
      <c r="F738" s="39"/>
      <c r="G738" s="39"/>
      <c r="H738" s="39"/>
      <c r="I738" s="40"/>
      <c r="J738" s="40"/>
      <c r="K738" s="35"/>
      <c r="L738" s="35"/>
      <c r="M738" s="35"/>
      <c r="N738" s="39"/>
      <c r="O738" s="39"/>
      <c r="P738" s="39"/>
      <c r="Q738" s="39"/>
      <c r="R738" s="39"/>
      <c r="S738" s="39"/>
      <c r="T738" s="39"/>
      <c r="U738" s="39"/>
      <c r="V738" s="39"/>
      <c r="W738" s="39"/>
      <c r="X738" s="39"/>
      <c r="Y738" s="39"/>
      <c r="Z738" s="39"/>
      <c r="AA738" s="39"/>
      <c r="AB738" s="39"/>
      <c r="AC738" s="39"/>
      <c r="AD738" s="39"/>
      <c r="AE738" s="39"/>
      <c r="AF738" s="39"/>
      <c r="AG738" s="39"/>
      <c r="AH738" s="39"/>
      <c r="AI738" s="35"/>
      <c r="AJ738" s="39"/>
      <c r="AK738" s="39"/>
      <c r="AL738" s="39"/>
      <c r="AM738" s="35"/>
      <c r="AN738" s="35"/>
      <c r="AO738" s="39"/>
      <c r="AP738" s="39"/>
      <c r="AQ738" s="35"/>
      <c r="AR738" s="35"/>
      <c r="AS738" s="35"/>
      <c r="AT738" s="30">
        <f t="shared" ca="1" si="80"/>
        <v>0</v>
      </c>
      <c r="AU738" s="32" t="str">
        <f t="shared" ca="1" si="79"/>
        <v/>
      </c>
      <c r="AV738" s="32" t="str" cm="1">
        <f t="array" aca="1" ref="AV738" ca="1">IFERROR(_xlfn.IFS($AU738="","",$AU738&lt;=15,"0-15",AND($AU738&gt;=16,$AU738&lt;=30),"16-30",AND($AU738&gt;=31,$AU738&lt;=45),"31-45",AND($AU738&gt;=46,$AU738&lt;=60),"46-60",AND($AU738&gt;=61,$AU738&lt;=90),"61-90",AND($AU738&gt;=91),"&gt; 90",AND($AU738&gt;=2000),""),"")</f>
        <v/>
      </c>
      <c r="AW738" s="32" t="str" cm="1">
        <f t="array" aca="1" ref="AW738" ca="1">IFERROR(_xlfn.IFS(OR($M738="",$AM738=""),"",OR($C738="Offered",$C738="Joined"),($AM738-$M738)-$AT738),"")</f>
        <v/>
      </c>
      <c r="AX738" s="32" t="str" cm="1">
        <f t="array" aca="1" ref="AX738" ca="1">IFERROR(_xlfn.IFS(OR($M738="",$AS738=""),"",$C738="Joined",($AS738-$M738)-$AT738),"")</f>
        <v/>
      </c>
      <c r="AY738" s="30" t="str">
        <f>IFERROR(IF(COUNTIFS('Candidate Tracker'!$E:$E,'Positions Tracker'!$B738,'Candidate Tracker'!$C:$C,"Offer Drop")=0,"",COUNTIFS('Candidate Tracker'!$E:$E,'Positions Tracker'!$B738,'Candidate Tracker'!$C:$C,"Offer Drop")),"")</f>
        <v/>
      </c>
      <c r="AZ7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8" s="34" t="str">
        <f>IFERROR(IF(COUNTIFS('Candidate Tracker'!$E:$E,'Positions Tracker'!$B738,'Candidate Tracker'!$I:$I,"Female")=0,"",COUNTIFS('Candidate Tracker'!$E:$E,'Positions Tracker'!$B738,'Candidate Tracker'!$I:$I,"Female")),"")</f>
        <v/>
      </c>
      <c r="BB738" s="34" t="str">
        <f>IFERROR(IF(COUNTIFS('Candidate Tracker'!$E:$E,'Positions Tracker'!$B738,'Candidate Tracker'!$I:$I,"male")=0,"",COUNTIFS('Candidate Tracker'!$E:$E,'Positions Tracker'!$B738,'Candidate Tracker'!$I:$I,"male")),"")</f>
        <v/>
      </c>
      <c r="BC738" s="33" t="str">
        <f>IFERROR(IF(COUNTIFS('Candidate Tracker'!$E:$E,'Positions Tracker'!$B738,'Candidate Tracker'!$C:$C,"&lt;&gt;WIP",'Candidate Tracker'!$C:$C,"&lt;&gt;Hold",'Candidate Tracker'!$C:$C,"&lt;&gt;Cancelled",'Candidate Tracker'!$C:$C,"&lt;&gt;Closed")/COUNTIFS('Candidate Tracker'!$E:$E,'Positions Tracker'!$B738)=0,"",COUNTIFS('Candidate Tracker'!$E:$E,'Positions Tracker'!$B738,'Candidate Tracker'!$C:$C,"&lt;&gt;WIP",'Candidate Tracker'!$C:$C,"&lt;&gt;Hold",'Candidate Tracker'!$C:$C,"&lt;&gt;Cancelled",'Candidate Tracker'!$C:$C,"&lt;&gt;Closed")/COUNTIFS('Candidate Tracker'!$E:$E,'Positions Tracker'!$B738)),"")</f>
        <v/>
      </c>
      <c r="BD738" s="30" t="str">
        <f t="shared" si="81"/>
        <v/>
      </c>
      <c r="BE738" s="30" t="str">
        <f t="shared" si="82"/>
        <v/>
      </c>
      <c r="BF738" s="30" t="str">
        <f t="shared" si="83"/>
        <v/>
      </c>
      <c r="BG738" s="30" t="str">
        <f t="shared" si="84"/>
        <v/>
      </c>
    </row>
    <row r="739" spans="1:59">
      <c r="A739" s="39"/>
      <c r="B739" s="39"/>
      <c r="C739" s="39"/>
      <c r="D739" s="39"/>
      <c r="E739" s="39"/>
      <c r="F739" s="39"/>
      <c r="G739" s="39"/>
      <c r="H739" s="39"/>
      <c r="I739" s="40"/>
      <c r="J739" s="40"/>
      <c r="K739" s="35"/>
      <c r="L739" s="35"/>
      <c r="M739" s="35"/>
      <c r="N739" s="39"/>
      <c r="O739" s="39"/>
      <c r="P739" s="39"/>
      <c r="Q739" s="39"/>
      <c r="R739" s="39"/>
      <c r="S739" s="39"/>
      <c r="T739" s="39"/>
      <c r="U739" s="39"/>
      <c r="V739" s="39"/>
      <c r="W739" s="39"/>
      <c r="X739" s="39"/>
      <c r="Y739" s="39"/>
      <c r="Z739" s="39"/>
      <c r="AA739" s="39"/>
      <c r="AB739" s="39"/>
      <c r="AC739" s="39"/>
      <c r="AD739" s="39"/>
      <c r="AE739" s="39"/>
      <c r="AF739" s="39"/>
      <c r="AG739" s="39"/>
      <c r="AH739" s="39"/>
      <c r="AI739" s="35"/>
      <c r="AJ739" s="39"/>
      <c r="AK739" s="39"/>
      <c r="AL739" s="39"/>
      <c r="AM739" s="35"/>
      <c r="AN739" s="35"/>
      <c r="AO739" s="39"/>
      <c r="AP739" s="39"/>
      <c r="AQ739" s="35"/>
      <c r="AR739" s="35"/>
      <c r="AS739" s="35"/>
      <c r="AT739" s="30">
        <f t="shared" ca="1" si="80"/>
        <v>0</v>
      </c>
      <c r="AU739" s="32" t="str">
        <f t="shared" ca="1" si="79"/>
        <v/>
      </c>
      <c r="AV739" s="32" t="str" cm="1">
        <f t="array" aca="1" ref="AV739" ca="1">IFERROR(_xlfn.IFS($AU739="","",$AU739&lt;=15,"0-15",AND($AU739&gt;=16,$AU739&lt;=30),"16-30",AND($AU739&gt;=31,$AU739&lt;=45),"31-45",AND($AU739&gt;=46,$AU739&lt;=60),"46-60",AND($AU739&gt;=61,$AU739&lt;=90),"61-90",AND($AU739&gt;=91),"&gt; 90",AND($AU739&gt;=2000),""),"")</f>
        <v/>
      </c>
      <c r="AW739" s="32" t="str" cm="1">
        <f t="array" aca="1" ref="AW739" ca="1">IFERROR(_xlfn.IFS(OR($M739="",$AM739=""),"",OR($C739="Offered",$C739="Joined"),($AM739-$M739)-$AT739),"")</f>
        <v/>
      </c>
      <c r="AX739" s="32" t="str" cm="1">
        <f t="array" aca="1" ref="AX739" ca="1">IFERROR(_xlfn.IFS(OR($M739="",$AS739=""),"",$C739="Joined",($AS739-$M739)-$AT739),"")</f>
        <v/>
      </c>
      <c r="AY739" s="30" t="str">
        <f>IFERROR(IF(COUNTIFS('Candidate Tracker'!$E:$E,'Positions Tracker'!$B739,'Candidate Tracker'!$C:$C,"Offer Drop")=0,"",COUNTIFS('Candidate Tracker'!$E:$E,'Positions Tracker'!$B739,'Candidate Tracker'!$C:$C,"Offer Drop")),"")</f>
        <v/>
      </c>
      <c r="AZ7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39" s="34" t="str">
        <f>IFERROR(IF(COUNTIFS('Candidate Tracker'!$E:$E,'Positions Tracker'!$B739,'Candidate Tracker'!$I:$I,"Female")=0,"",COUNTIFS('Candidate Tracker'!$E:$E,'Positions Tracker'!$B739,'Candidate Tracker'!$I:$I,"Female")),"")</f>
        <v/>
      </c>
      <c r="BB739" s="34" t="str">
        <f>IFERROR(IF(COUNTIFS('Candidate Tracker'!$E:$E,'Positions Tracker'!$B739,'Candidate Tracker'!$I:$I,"male")=0,"",COUNTIFS('Candidate Tracker'!$E:$E,'Positions Tracker'!$B739,'Candidate Tracker'!$I:$I,"male")),"")</f>
        <v/>
      </c>
      <c r="BC739" s="33" t="str">
        <f>IFERROR(IF(COUNTIFS('Candidate Tracker'!$E:$E,'Positions Tracker'!$B739,'Candidate Tracker'!$C:$C,"&lt;&gt;WIP",'Candidate Tracker'!$C:$C,"&lt;&gt;Hold",'Candidate Tracker'!$C:$C,"&lt;&gt;Cancelled",'Candidate Tracker'!$C:$C,"&lt;&gt;Closed")/COUNTIFS('Candidate Tracker'!$E:$E,'Positions Tracker'!$B739)=0,"",COUNTIFS('Candidate Tracker'!$E:$E,'Positions Tracker'!$B739,'Candidate Tracker'!$C:$C,"&lt;&gt;WIP",'Candidate Tracker'!$C:$C,"&lt;&gt;Hold",'Candidate Tracker'!$C:$C,"&lt;&gt;Cancelled",'Candidate Tracker'!$C:$C,"&lt;&gt;Closed")/COUNTIFS('Candidate Tracker'!$E:$E,'Positions Tracker'!$B739)),"")</f>
        <v/>
      </c>
      <c r="BD739" s="30" t="str">
        <f t="shared" si="81"/>
        <v/>
      </c>
      <c r="BE739" s="30" t="str">
        <f t="shared" si="82"/>
        <v/>
      </c>
      <c r="BF739" s="30" t="str">
        <f t="shared" si="83"/>
        <v/>
      </c>
      <c r="BG739" s="30" t="str">
        <f t="shared" si="84"/>
        <v/>
      </c>
    </row>
    <row r="740" spans="1:59">
      <c r="A740" s="39"/>
      <c r="B740" s="39"/>
      <c r="C740" s="39"/>
      <c r="D740" s="39"/>
      <c r="E740" s="39"/>
      <c r="F740" s="39"/>
      <c r="G740" s="39"/>
      <c r="H740" s="39"/>
      <c r="I740" s="40"/>
      <c r="J740" s="40"/>
      <c r="K740" s="35"/>
      <c r="L740" s="35"/>
      <c r="M740" s="35"/>
      <c r="N740" s="39"/>
      <c r="O740" s="39"/>
      <c r="P740" s="39"/>
      <c r="Q740" s="39"/>
      <c r="R740" s="39"/>
      <c r="S740" s="39"/>
      <c r="T740" s="39"/>
      <c r="U740" s="39"/>
      <c r="V740" s="39"/>
      <c r="W740" s="39"/>
      <c r="X740" s="39"/>
      <c r="Y740" s="39"/>
      <c r="Z740" s="39"/>
      <c r="AA740" s="39"/>
      <c r="AB740" s="39"/>
      <c r="AC740" s="39"/>
      <c r="AD740" s="39"/>
      <c r="AE740" s="39"/>
      <c r="AF740" s="39"/>
      <c r="AG740" s="39"/>
      <c r="AH740" s="39"/>
      <c r="AI740" s="35"/>
      <c r="AJ740" s="39"/>
      <c r="AK740" s="39"/>
      <c r="AL740" s="39"/>
      <c r="AM740" s="35"/>
      <c r="AN740" s="35"/>
      <c r="AO740" s="39"/>
      <c r="AP740" s="39"/>
      <c r="AQ740" s="35"/>
      <c r="AR740" s="35"/>
      <c r="AS740" s="35"/>
      <c r="AT740" s="30">
        <f t="shared" ca="1" si="80"/>
        <v>0</v>
      </c>
      <c r="AU740" s="32" t="str">
        <f t="shared" ca="1" si="79"/>
        <v/>
      </c>
      <c r="AV740" s="32" t="str" cm="1">
        <f t="array" aca="1" ref="AV740" ca="1">IFERROR(_xlfn.IFS($AU740="","",$AU740&lt;=15,"0-15",AND($AU740&gt;=16,$AU740&lt;=30),"16-30",AND($AU740&gt;=31,$AU740&lt;=45),"31-45",AND($AU740&gt;=46,$AU740&lt;=60),"46-60",AND($AU740&gt;=61,$AU740&lt;=90),"61-90",AND($AU740&gt;=91),"&gt; 90",AND($AU740&gt;=2000),""),"")</f>
        <v/>
      </c>
      <c r="AW740" s="32" t="str" cm="1">
        <f t="array" aca="1" ref="AW740" ca="1">IFERROR(_xlfn.IFS(OR($M740="",$AM740=""),"",OR($C740="Offered",$C740="Joined"),($AM740-$M740)-$AT740),"")</f>
        <v/>
      </c>
      <c r="AX740" s="32" t="str" cm="1">
        <f t="array" aca="1" ref="AX740" ca="1">IFERROR(_xlfn.IFS(OR($M740="",$AS740=""),"",$C740="Joined",($AS740-$M740)-$AT740),"")</f>
        <v/>
      </c>
      <c r="AY740" s="30" t="str">
        <f>IFERROR(IF(COUNTIFS('Candidate Tracker'!$E:$E,'Positions Tracker'!$B740,'Candidate Tracker'!$C:$C,"Offer Drop")=0,"",COUNTIFS('Candidate Tracker'!$E:$E,'Positions Tracker'!$B740,'Candidate Tracker'!$C:$C,"Offer Drop")),"")</f>
        <v/>
      </c>
      <c r="AZ7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0" s="34" t="str">
        <f>IFERROR(IF(COUNTIFS('Candidate Tracker'!$E:$E,'Positions Tracker'!$B740,'Candidate Tracker'!$I:$I,"Female")=0,"",COUNTIFS('Candidate Tracker'!$E:$E,'Positions Tracker'!$B740,'Candidate Tracker'!$I:$I,"Female")),"")</f>
        <v/>
      </c>
      <c r="BB740" s="34" t="str">
        <f>IFERROR(IF(COUNTIFS('Candidate Tracker'!$E:$E,'Positions Tracker'!$B740,'Candidate Tracker'!$I:$I,"male")=0,"",COUNTIFS('Candidate Tracker'!$E:$E,'Positions Tracker'!$B740,'Candidate Tracker'!$I:$I,"male")),"")</f>
        <v/>
      </c>
      <c r="BC740" s="33" t="str">
        <f>IFERROR(IF(COUNTIFS('Candidate Tracker'!$E:$E,'Positions Tracker'!$B740,'Candidate Tracker'!$C:$C,"&lt;&gt;WIP",'Candidate Tracker'!$C:$C,"&lt;&gt;Hold",'Candidate Tracker'!$C:$C,"&lt;&gt;Cancelled",'Candidate Tracker'!$C:$C,"&lt;&gt;Closed")/COUNTIFS('Candidate Tracker'!$E:$E,'Positions Tracker'!$B740)=0,"",COUNTIFS('Candidate Tracker'!$E:$E,'Positions Tracker'!$B740,'Candidate Tracker'!$C:$C,"&lt;&gt;WIP",'Candidate Tracker'!$C:$C,"&lt;&gt;Hold",'Candidate Tracker'!$C:$C,"&lt;&gt;Cancelled",'Candidate Tracker'!$C:$C,"&lt;&gt;Closed")/COUNTIFS('Candidate Tracker'!$E:$E,'Positions Tracker'!$B740)),"")</f>
        <v/>
      </c>
      <c r="BD740" s="30" t="str">
        <f t="shared" si="81"/>
        <v/>
      </c>
      <c r="BE740" s="30" t="str">
        <f t="shared" si="82"/>
        <v/>
      </c>
      <c r="BF740" s="30" t="str">
        <f t="shared" si="83"/>
        <v/>
      </c>
      <c r="BG740" s="30" t="str">
        <f t="shared" si="84"/>
        <v/>
      </c>
    </row>
    <row r="741" spans="1:59">
      <c r="A741" s="39"/>
      <c r="B741" s="39"/>
      <c r="C741" s="39"/>
      <c r="D741" s="39"/>
      <c r="E741" s="39"/>
      <c r="F741" s="39"/>
      <c r="G741" s="39"/>
      <c r="H741" s="39"/>
      <c r="I741" s="40"/>
      <c r="J741" s="40"/>
      <c r="K741" s="35"/>
      <c r="L741" s="35"/>
      <c r="M741" s="35"/>
      <c r="N741" s="39"/>
      <c r="O741" s="39"/>
      <c r="P741" s="39"/>
      <c r="Q741" s="39"/>
      <c r="R741" s="39"/>
      <c r="S741" s="39"/>
      <c r="T741" s="39"/>
      <c r="U741" s="39"/>
      <c r="V741" s="39"/>
      <c r="W741" s="39"/>
      <c r="X741" s="39"/>
      <c r="Y741" s="39"/>
      <c r="Z741" s="39"/>
      <c r="AA741" s="39"/>
      <c r="AB741" s="39"/>
      <c r="AC741" s="39"/>
      <c r="AD741" s="39"/>
      <c r="AE741" s="39"/>
      <c r="AF741" s="39"/>
      <c r="AG741" s="39"/>
      <c r="AH741" s="39"/>
      <c r="AI741" s="35"/>
      <c r="AJ741" s="39"/>
      <c r="AK741" s="39"/>
      <c r="AL741" s="39"/>
      <c r="AM741" s="35"/>
      <c r="AN741" s="35"/>
      <c r="AO741" s="39"/>
      <c r="AP741" s="39"/>
      <c r="AQ741" s="35"/>
      <c r="AR741" s="35"/>
      <c r="AS741" s="35"/>
      <c r="AT741" s="30">
        <f t="shared" ca="1" si="80"/>
        <v>0</v>
      </c>
      <c r="AU741" s="32" t="str">
        <f t="shared" ca="1" si="79"/>
        <v/>
      </c>
      <c r="AV741" s="32" t="str" cm="1">
        <f t="array" aca="1" ref="AV741" ca="1">IFERROR(_xlfn.IFS($AU741="","",$AU741&lt;=15,"0-15",AND($AU741&gt;=16,$AU741&lt;=30),"16-30",AND($AU741&gt;=31,$AU741&lt;=45),"31-45",AND($AU741&gt;=46,$AU741&lt;=60),"46-60",AND($AU741&gt;=61,$AU741&lt;=90),"61-90",AND($AU741&gt;=91),"&gt; 90",AND($AU741&gt;=2000),""),"")</f>
        <v/>
      </c>
      <c r="AW741" s="32" t="str" cm="1">
        <f t="array" aca="1" ref="AW741" ca="1">IFERROR(_xlfn.IFS(OR($M741="",$AM741=""),"",OR($C741="Offered",$C741="Joined"),($AM741-$M741)-$AT741),"")</f>
        <v/>
      </c>
      <c r="AX741" s="32" t="str" cm="1">
        <f t="array" aca="1" ref="AX741" ca="1">IFERROR(_xlfn.IFS(OR($M741="",$AS741=""),"",$C741="Joined",($AS741-$M741)-$AT741),"")</f>
        <v/>
      </c>
      <c r="AY741" s="30" t="str">
        <f>IFERROR(IF(COUNTIFS('Candidate Tracker'!$E:$E,'Positions Tracker'!$B741,'Candidate Tracker'!$C:$C,"Offer Drop")=0,"",COUNTIFS('Candidate Tracker'!$E:$E,'Positions Tracker'!$B741,'Candidate Tracker'!$C:$C,"Offer Drop")),"")</f>
        <v/>
      </c>
      <c r="AZ7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1" s="34" t="str">
        <f>IFERROR(IF(COUNTIFS('Candidate Tracker'!$E:$E,'Positions Tracker'!$B741,'Candidate Tracker'!$I:$I,"Female")=0,"",COUNTIFS('Candidate Tracker'!$E:$E,'Positions Tracker'!$B741,'Candidate Tracker'!$I:$I,"Female")),"")</f>
        <v/>
      </c>
      <c r="BB741" s="34" t="str">
        <f>IFERROR(IF(COUNTIFS('Candidate Tracker'!$E:$E,'Positions Tracker'!$B741,'Candidate Tracker'!$I:$I,"male")=0,"",COUNTIFS('Candidate Tracker'!$E:$E,'Positions Tracker'!$B741,'Candidate Tracker'!$I:$I,"male")),"")</f>
        <v/>
      </c>
      <c r="BC741" s="33" t="str">
        <f>IFERROR(IF(COUNTIFS('Candidate Tracker'!$E:$E,'Positions Tracker'!$B741,'Candidate Tracker'!$C:$C,"&lt;&gt;WIP",'Candidate Tracker'!$C:$C,"&lt;&gt;Hold",'Candidate Tracker'!$C:$C,"&lt;&gt;Cancelled",'Candidate Tracker'!$C:$C,"&lt;&gt;Closed")/COUNTIFS('Candidate Tracker'!$E:$E,'Positions Tracker'!$B741)=0,"",COUNTIFS('Candidate Tracker'!$E:$E,'Positions Tracker'!$B741,'Candidate Tracker'!$C:$C,"&lt;&gt;WIP",'Candidate Tracker'!$C:$C,"&lt;&gt;Hold",'Candidate Tracker'!$C:$C,"&lt;&gt;Cancelled",'Candidate Tracker'!$C:$C,"&lt;&gt;Closed")/COUNTIFS('Candidate Tracker'!$E:$E,'Positions Tracker'!$B741)),"")</f>
        <v/>
      </c>
      <c r="BD741" s="30" t="str">
        <f t="shared" si="81"/>
        <v/>
      </c>
      <c r="BE741" s="30" t="str">
        <f t="shared" si="82"/>
        <v/>
      </c>
      <c r="BF741" s="30" t="str">
        <f t="shared" si="83"/>
        <v/>
      </c>
      <c r="BG741" s="30" t="str">
        <f t="shared" si="84"/>
        <v/>
      </c>
    </row>
    <row r="742" spans="1:59">
      <c r="A742" s="39"/>
      <c r="B742" s="39"/>
      <c r="C742" s="39"/>
      <c r="D742" s="39"/>
      <c r="E742" s="39"/>
      <c r="F742" s="39"/>
      <c r="G742" s="39"/>
      <c r="H742" s="39"/>
      <c r="I742" s="40"/>
      <c r="J742" s="40"/>
      <c r="K742" s="35"/>
      <c r="L742" s="35"/>
      <c r="M742" s="35"/>
      <c r="N742" s="39"/>
      <c r="O742" s="39"/>
      <c r="P742" s="39"/>
      <c r="Q742" s="39"/>
      <c r="R742" s="39"/>
      <c r="S742" s="39"/>
      <c r="T742" s="39"/>
      <c r="U742" s="39"/>
      <c r="V742" s="39"/>
      <c r="W742" s="39"/>
      <c r="X742" s="39"/>
      <c r="Y742" s="39"/>
      <c r="Z742" s="39"/>
      <c r="AA742" s="39"/>
      <c r="AB742" s="39"/>
      <c r="AC742" s="39"/>
      <c r="AD742" s="39"/>
      <c r="AE742" s="39"/>
      <c r="AF742" s="39"/>
      <c r="AG742" s="39"/>
      <c r="AH742" s="39"/>
      <c r="AI742" s="35"/>
      <c r="AJ742" s="39"/>
      <c r="AK742" s="39"/>
      <c r="AL742" s="39"/>
      <c r="AM742" s="35"/>
      <c r="AN742" s="35"/>
      <c r="AO742" s="39"/>
      <c r="AP742" s="39"/>
      <c r="AQ742" s="35"/>
      <c r="AR742" s="35"/>
      <c r="AS742" s="35"/>
      <c r="AT742" s="30">
        <f t="shared" ca="1" si="80"/>
        <v>0</v>
      </c>
      <c r="AU742" s="32" t="str">
        <f t="shared" ca="1" si="79"/>
        <v/>
      </c>
      <c r="AV742" s="32" t="str" cm="1">
        <f t="array" aca="1" ref="AV742" ca="1">IFERROR(_xlfn.IFS($AU742="","",$AU742&lt;=15,"0-15",AND($AU742&gt;=16,$AU742&lt;=30),"16-30",AND($AU742&gt;=31,$AU742&lt;=45),"31-45",AND($AU742&gt;=46,$AU742&lt;=60),"46-60",AND($AU742&gt;=61,$AU742&lt;=90),"61-90",AND($AU742&gt;=91),"&gt; 90",AND($AU742&gt;=2000),""),"")</f>
        <v/>
      </c>
      <c r="AW742" s="32" t="str" cm="1">
        <f t="array" aca="1" ref="AW742" ca="1">IFERROR(_xlfn.IFS(OR($M742="",$AM742=""),"",OR($C742="Offered",$C742="Joined"),($AM742-$M742)-$AT742),"")</f>
        <v/>
      </c>
      <c r="AX742" s="32" t="str" cm="1">
        <f t="array" aca="1" ref="AX742" ca="1">IFERROR(_xlfn.IFS(OR($M742="",$AS742=""),"",$C742="Joined",($AS742-$M742)-$AT742),"")</f>
        <v/>
      </c>
      <c r="AY742" s="30" t="str">
        <f>IFERROR(IF(COUNTIFS('Candidate Tracker'!$E:$E,'Positions Tracker'!$B742,'Candidate Tracker'!$C:$C,"Offer Drop")=0,"",COUNTIFS('Candidate Tracker'!$E:$E,'Positions Tracker'!$B742,'Candidate Tracker'!$C:$C,"Offer Drop")),"")</f>
        <v/>
      </c>
      <c r="AZ7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2" s="34" t="str">
        <f>IFERROR(IF(COUNTIFS('Candidate Tracker'!$E:$E,'Positions Tracker'!$B742,'Candidate Tracker'!$I:$I,"Female")=0,"",COUNTIFS('Candidate Tracker'!$E:$E,'Positions Tracker'!$B742,'Candidate Tracker'!$I:$I,"Female")),"")</f>
        <v/>
      </c>
      <c r="BB742" s="34" t="str">
        <f>IFERROR(IF(COUNTIFS('Candidate Tracker'!$E:$E,'Positions Tracker'!$B742,'Candidate Tracker'!$I:$I,"male")=0,"",COUNTIFS('Candidate Tracker'!$E:$E,'Positions Tracker'!$B742,'Candidate Tracker'!$I:$I,"male")),"")</f>
        <v/>
      </c>
      <c r="BC742" s="33" t="str">
        <f>IFERROR(IF(COUNTIFS('Candidate Tracker'!$E:$E,'Positions Tracker'!$B742,'Candidate Tracker'!$C:$C,"&lt;&gt;WIP",'Candidate Tracker'!$C:$C,"&lt;&gt;Hold",'Candidate Tracker'!$C:$C,"&lt;&gt;Cancelled",'Candidate Tracker'!$C:$C,"&lt;&gt;Closed")/COUNTIFS('Candidate Tracker'!$E:$E,'Positions Tracker'!$B742)=0,"",COUNTIFS('Candidate Tracker'!$E:$E,'Positions Tracker'!$B742,'Candidate Tracker'!$C:$C,"&lt;&gt;WIP",'Candidate Tracker'!$C:$C,"&lt;&gt;Hold",'Candidate Tracker'!$C:$C,"&lt;&gt;Cancelled",'Candidate Tracker'!$C:$C,"&lt;&gt;Closed")/COUNTIFS('Candidate Tracker'!$E:$E,'Positions Tracker'!$B742)),"")</f>
        <v/>
      </c>
      <c r="BD742" s="30" t="str">
        <f t="shared" si="81"/>
        <v/>
      </c>
      <c r="BE742" s="30" t="str">
        <f t="shared" si="82"/>
        <v/>
      </c>
      <c r="BF742" s="30" t="str">
        <f t="shared" si="83"/>
        <v/>
      </c>
      <c r="BG742" s="30" t="str">
        <f t="shared" si="84"/>
        <v/>
      </c>
    </row>
    <row r="743" spans="1:59">
      <c r="A743" s="39"/>
      <c r="B743" s="39"/>
      <c r="C743" s="39"/>
      <c r="D743" s="39"/>
      <c r="E743" s="39"/>
      <c r="F743" s="39"/>
      <c r="G743" s="39"/>
      <c r="H743" s="39"/>
      <c r="I743" s="40"/>
      <c r="J743" s="40"/>
      <c r="K743" s="35"/>
      <c r="L743" s="35"/>
      <c r="M743" s="35"/>
      <c r="N743" s="39"/>
      <c r="O743" s="39"/>
      <c r="P743" s="39"/>
      <c r="Q743" s="39"/>
      <c r="R743" s="39"/>
      <c r="S743" s="39"/>
      <c r="T743" s="39"/>
      <c r="U743" s="39"/>
      <c r="V743" s="39"/>
      <c r="W743" s="39"/>
      <c r="X743" s="39"/>
      <c r="Y743" s="39"/>
      <c r="Z743" s="39"/>
      <c r="AA743" s="39"/>
      <c r="AB743" s="39"/>
      <c r="AC743" s="39"/>
      <c r="AD743" s="39"/>
      <c r="AE743" s="39"/>
      <c r="AF743" s="39"/>
      <c r="AG743" s="39"/>
      <c r="AH743" s="39"/>
      <c r="AI743" s="35"/>
      <c r="AJ743" s="39"/>
      <c r="AK743" s="39"/>
      <c r="AL743" s="39"/>
      <c r="AM743" s="35"/>
      <c r="AN743" s="35"/>
      <c r="AO743" s="39"/>
      <c r="AP743" s="39"/>
      <c r="AQ743" s="35"/>
      <c r="AR743" s="35"/>
      <c r="AS743" s="35"/>
      <c r="AT743" s="30">
        <f t="shared" ca="1" si="80"/>
        <v>0</v>
      </c>
      <c r="AU743" s="32" t="str">
        <f t="shared" ca="1" si="79"/>
        <v/>
      </c>
      <c r="AV743" s="32" t="str" cm="1">
        <f t="array" aca="1" ref="AV743" ca="1">IFERROR(_xlfn.IFS($AU743="","",$AU743&lt;=15,"0-15",AND($AU743&gt;=16,$AU743&lt;=30),"16-30",AND($AU743&gt;=31,$AU743&lt;=45),"31-45",AND($AU743&gt;=46,$AU743&lt;=60),"46-60",AND($AU743&gt;=61,$AU743&lt;=90),"61-90",AND($AU743&gt;=91),"&gt; 90",AND($AU743&gt;=2000),""),"")</f>
        <v/>
      </c>
      <c r="AW743" s="32" t="str" cm="1">
        <f t="array" aca="1" ref="AW743" ca="1">IFERROR(_xlfn.IFS(OR($M743="",$AM743=""),"",OR($C743="Offered",$C743="Joined"),($AM743-$M743)-$AT743),"")</f>
        <v/>
      </c>
      <c r="AX743" s="32" t="str" cm="1">
        <f t="array" aca="1" ref="AX743" ca="1">IFERROR(_xlfn.IFS(OR($M743="",$AS743=""),"",$C743="Joined",($AS743-$M743)-$AT743),"")</f>
        <v/>
      </c>
      <c r="AY743" s="30" t="str">
        <f>IFERROR(IF(COUNTIFS('Candidate Tracker'!$E:$E,'Positions Tracker'!$B743,'Candidate Tracker'!$C:$C,"Offer Drop")=0,"",COUNTIFS('Candidate Tracker'!$E:$E,'Positions Tracker'!$B743,'Candidate Tracker'!$C:$C,"Offer Drop")),"")</f>
        <v/>
      </c>
      <c r="AZ7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3" s="34" t="str">
        <f>IFERROR(IF(COUNTIFS('Candidate Tracker'!$E:$E,'Positions Tracker'!$B743,'Candidate Tracker'!$I:$I,"Female")=0,"",COUNTIFS('Candidate Tracker'!$E:$E,'Positions Tracker'!$B743,'Candidate Tracker'!$I:$I,"Female")),"")</f>
        <v/>
      </c>
      <c r="BB743" s="34" t="str">
        <f>IFERROR(IF(COUNTIFS('Candidate Tracker'!$E:$E,'Positions Tracker'!$B743,'Candidate Tracker'!$I:$I,"male")=0,"",COUNTIFS('Candidate Tracker'!$E:$E,'Positions Tracker'!$B743,'Candidate Tracker'!$I:$I,"male")),"")</f>
        <v/>
      </c>
      <c r="BC743" s="33" t="str">
        <f>IFERROR(IF(COUNTIFS('Candidate Tracker'!$E:$E,'Positions Tracker'!$B743,'Candidate Tracker'!$C:$C,"&lt;&gt;WIP",'Candidate Tracker'!$C:$C,"&lt;&gt;Hold",'Candidate Tracker'!$C:$C,"&lt;&gt;Cancelled",'Candidate Tracker'!$C:$C,"&lt;&gt;Closed")/COUNTIFS('Candidate Tracker'!$E:$E,'Positions Tracker'!$B743)=0,"",COUNTIFS('Candidate Tracker'!$E:$E,'Positions Tracker'!$B743,'Candidate Tracker'!$C:$C,"&lt;&gt;WIP",'Candidate Tracker'!$C:$C,"&lt;&gt;Hold",'Candidate Tracker'!$C:$C,"&lt;&gt;Cancelled",'Candidate Tracker'!$C:$C,"&lt;&gt;Closed")/COUNTIFS('Candidate Tracker'!$E:$E,'Positions Tracker'!$B743)),"")</f>
        <v/>
      </c>
      <c r="BD743" s="30" t="str">
        <f t="shared" si="81"/>
        <v/>
      </c>
      <c r="BE743" s="30" t="str">
        <f t="shared" si="82"/>
        <v/>
      </c>
      <c r="BF743" s="30" t="str">
        <f t="shared" si="83"/>
        <v/>
      </c>
      <c r="BG743" s="30" t="str">
        <f t="shared" si="84"/>
        <v/>
      </c>
    </row>
    <row r="744" spans="1:59">
      <c r="A744" s="39"/>
      <c r="B744" s="39"/>
      <c r="C744" s="39"/>
      <c r="D744" s="39"/>
      <c r="E744" s="39"/>
      <c r="F744" s="39"/>
      <c r="G744" s="39"/>
      <c r="H744" s="39"/>
      <c r="I744" s="40"/>
      <c r="J744" s="40"/>
      <c r="K744" s="35"/>
      <c r="L744" s="35"/>
      <c r="M744" s="35"/>
      <c r="N744" s="39"/>
      <c r="O744" s="39"/>
      <c r="P744" s="39"/>
      <c r="Q744" s="39"/>
      <c r="R744" s="39"/>
      <c r="S744" s="39"/>
      <c r="T744" s="39"/>
      <c r="U744" s="39"/>
      <c r="V744" s="39"/>
      <c r="W744" s="39"/>
      <c r="X744" s="39"/>
      <c r="Y744" s="39"/>
      <c r="Z744" s="39"/>
      <c r="AA744" s="39"/>
      <c r="AB744" s="39"/>
      <c r="AC744" s="39"/>
      <c r="AD744" s="39"/>
      <c r="AE744" s="39"/>
      <c r="AF744" s="39"/>
      <c r="AG744" s="39"/>
      <c r="AH744" s="39"/>
      <c r="AI744" s="35"/>
      <c r="AJ744" s="39"/>
      <c r="AK744" s="39"/>
      <c r="AL744" s="39"/>
      <c r="AM744" s="35"/>
      <c r="AN744" s="35"/>
      <c r="AO744" s="39"/>
      <c r="AP744" s="39"/>
      <c r="AQ744" s="35"/>
      <c r="AR744" s="35"/>
      <c r="AS744" s="35"/>
      <c r="AT744" s="30">
        <f t="shared" ca="1" si="80"/>
        <v>0</v>
      </c>
      <c r="AU744" s="32" t="str">
        <f t="shared" ca="1" si="79"/>
        <v/>
      </c>
      <c r="AV744" s="32" t="str" cm="1">
        <f t="array" aca="1" ref="AV744" ca="1">IFERROR(_xlfn.IFS($AU744="","",$AU744&lt;=15,"0-15",AND($AU744&gt;=16,$AU744&lt;=30),"16-30",AND($AU744&gt;=31,$AU744&lt;=45),"31-45",AND($AU744&gt;=46,$AU744&lt;=60),"46-60",AND($AU744&gt;=61,$AU744&lt;=90),"61-90",AND($AU744&gt;=91),"&gt; 90",AND($AU744&gt;=2000),""),"")</f>
        <v/>
      </c>
      <c r="AW744" s="32" t="str" cm="1">
        <f t="array" aca="1" ref="AW744" ca="1">IFERROR(_xlfn.IFS(OR($M744="",$AM744=""),"",OR($C744="Offered",$C744="Joined"),($AM744-$M744)-$AT744),"")</f>
        <v/>
      </c>
      <c r="AX744" s="32" t="str" cm="1">
        <f t="array" aca="1" ref="AX744" ca="1">IFERROR(_xlfn.IFS(OR($M744="",$AS744=""),"",$C744="Joined",($AS744-$M744)-$AT744),"")</f>
        <v/>
      </c>
      <c r="AY744" s="30" t="str">
        <f>IFERROR(IF(COUNTIFS('Candidate Tracker'!$E:$E,'Positions Tracker'!$B744,'Candidate Tracker'!$C:$C,"Offer Drop")=0,"",COUNTIFS('Candidate Tracker'!$E:$E,'Positions Tracker'!$B744,'Candidate Tracker'!$C:$C,"Offer Drop")),"")</f>
        <v/>
      </c>
      <c r="AZ7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4" s="34" t="str">
        <f>IFERROR(IF(COUNTIFS('Candidate Tracker'!$E:$E,'Positions Tracker'!$B744,'Candidate Tracker'!$I:$I,"Female")=0,"",COUNTIFS('Candidate Tracker'!$E:$E,'Positions Tracker'!$B744,'Candidate Tracker'!$I:$I,"Female")),"")</f>
        <v/>
      </c>
      <c r="BB744" s="34" t="str">
        <f>IFERROR(IF(COUNTIFS('Candidate Tracker'!$E:$E,'Positions Tracker'!$B744,'Candidate Tracker'!$I:$I,"male")=0,"",COUNTIFS('Candidate Tracker'!$E:$E,'Positions Tracker'!$B744,'Candidate Tracker'!$I:$I,"male")),"")</f>
        <v/>
      </c>
      <c r="BC744" s="33" t="str">
        <f>IFERROR(IF(COUNTIFS('Candidate Tracker'!$E:$E,'Positions Tracker'!$B744,'Candidate Tracker'!$C:$C,"&lt;&gt;WIP",'Candidate Tracker'!$C:$C,"&lt;&gt;Hold",'Candidate Tracker'!$C:$C,"&lt;&gt;Cancelled",'Candidate Tracker'!$C:$C,"&lt;&gt;Closed")/COUNTIFS('Candidate Tracker'!$E:$E,'Positions Tracker'!$B744)=0,"",COUNTIFS('Candidate Tracker'!$E:$E,'Positions Tracker'!$B744,'Candidate Tracker'!$C:$C,"&lt;&gt;WIP",'Candidate Tracker'!$C:$C,"&lt;&gt;Hold",'Candidate Tracker'!$C:$C,"&lt;&gt;Cancelled",'Candidate Tracker'!$C:$C,"&lt;&gt;Closed")/COUNTIFS('Candidate Tracker'!$E:$E,'Positions Tracker'!$B744)),"")</f>
        <v/>
      </c>
      <c r="BD744" s="30" t="str">
        <f t="shared" si="81"/>
        <v/>
      </c>
      <c r="BE744" s="30" t="str">
        <f t="shared" si="82"/>
        <v/>
      </c>
      <c r="BF744" s="30" t="str">
        <f t="shared" si="83"/>
        <v/>
      </c>
      <c r="BG744" s="30" t="str">
        <f t="shared" si="84"/>
        <v/>
      </c>
    </row>
    <row r="745" spans="1:59">
      <c r="A745" s="39"/>
      <c r="B745" s="39"/>
      <c r="C745" s="39"/>
      <c r="D745" s="39"/>
      <c r="E745" s="39"/>
      <c r="F745" s="39"/>
      <c r="G745" s="39"/>
      <c r="H745" s="39"/>
      <c r="I745" s="40"/>
      <c r="J745" s="40"/>
      <c r="K745" s="35"/>
      <c r="L745" s="35"/>
      <c r="M745" s="35"/>
      <c r="N745" s="39"/>
      <c r="O745" s="39"/>
      <c r="P745" s="39"/>
      <c r="Q745" s="39"/>
      <c r="R745" s="39"/>
      <c r="S745" s="39"/>
      <c r="T745" s="39"/>
      <c r="U745" s="39"/>
      <c r="V745" s="39"/>
      <c r="W745" s="39"/>
      <c r="X745" s="39"/>
      <c r="Y745" s="39"/>
      <c r="Z745" s="39"/>
      <c r="AA745" s="39"/>
      <c r="AB745" s="39"/>
      <c r="AC745" s="39"/>
      <c r="AD745" s="39"/>
      <c r="AE745" s="39"/>
      <c r="AF745" s="39"/>
      <c r="AG745" s="39"/>
      <c r="AH745" s="39"/>
      <c r="AI745" s="35"/>
      <c r="AJ745" s="39"/>
      <c r="AK745" s="39"/>
      <c r="AL745" s="39"/>
      <c r="AM745" s="35"/>
      <c r="AN745" s="35"/>
      <c r="AO745" s="39"/>
      <c r="AP745" s="39"/>
      <c r="AQ745" s="35"/>
      <c r="AR745" s="35"/>
      <c r="AS745" s="35"/>
      <c r="AT745" s="30">
        <f t="shared" ca="1" si="80"/>
        <v>0</v>
      </c>
      <c r="AU745" s="32" t="str">
        <f t="shared" ca="1" si="79"/>
        <v/>
      </c>
      <c r="AV745" s="32" t="str" cm="1">
        <f t="array" aca="1" ref="AV745" ca="1">IFERROR(_xlfn.IFS($AU745="","",$AU745&lt;=15,"0-15",AND($AU745&gt;=16,$AU745&lt;=30),"16-30",AND($AU745&gt;=31,$AU745&lt;=45),"31-45",AND($AU745&gt;=46,$AU745&lt;=60),"46-60",AND($AU745&gt;=61,$AU745&lt;=90),"61-90",AND($AU745&gt;=91),"&gt; 90",AND($AU745&gt;=2000),""),"")</f>
        <v/>
      </c>
      <c r="AW745" s="32" t="str" cm="1">
        <f t="array" aca="1" ref="AW745" ca="1">IFERROR(_xlfn.IFS(OR($M745="",$AM745=""),"",OR($C745="Offered",$C745="Joined"),($AM745-$M745)-$AT745),"")</f>
        <v/>
      </c>
      <c r="AX745" s="32" t="str" cm="1">
        <f t="array" aca="1" ref="AX745" ca="1">IFERROR(_xlfn.IFS(OR($M745="",$AS745=""),"",$C745="Joined",($AS745-$M745)-$AT745),"")</f>
        <v/>
      </c>
      <c r="AY745" s="30" t="str">
        <f>IFERROR(IF(COUNTIFS('Candidate Tracker'!$E:$E,'Positions Tracker'!$B745,'Candidate Tracker'!$C:$C,"Offer Drop")=0,"",COUNTIFS('Candidate Tracker'!$E:$E,'Positions Tracker'!$B745,'Candidate Tracker'!$C:$C,"Offer Drop")),"")</f>
        <v/>
      </c>
      <c r="AZ74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5" s="34" t="str">
        <f>IFERROR(IF(COUNTIFS('Candidate Tracker'!$E:$E,'Positions Tracker'!$B745,'Candidate Tracker'!$I:$I,"Female")=0,"",COUNTIFS('Candidate Tracker'!$E:$E,'Positions Tracker'!$B745,'Candidate Tracker'!$I:$I,"Female")),"")</f>
        <v/>
      </c>
      <c r="BB745" s="34" t="str">
        <f>IFERROR(IF(COUNTIFS('Candidate Tracker'!$E:$E,'Positions Tracker'!$B745,'Candidate Tracker'!$I:$I,"male")=0,"",COUNTIFS('Candidate Tracker'!$E:$E,'Positions Tracker'!$B745,'Candidate Tracker'!$I:$I,"male")),"")</f>
        <v/>
      </c>
      <c r="BC745" s="33" t="str">
        <f>IFERROR(IF(COUNTIFS('Candidate Tracker'!$E:$E,'Positions Tracker'!$B745,'Candidate Tracker'!$C:$C,"&lt;&gt;WIP",'Candidate Tracker'!$C:$C,"&lt;&gt;Hold",'Candidate Tracker'!$C:$C,"&lt;&gt;Cancelled",'Candidate Tracker'!$C:$C,"&lt;&gt;Closed")/COUNTIFS('Candidate Tracker'!$E:$E,'Positions Tracker'!$B745)=0,"",COUNTIFS('Candidate Tracker'!$E:$E,'Positions Tracker'!$B745,'Candidate Tracker'!$C:$C,"&lt;&gt;WIP",'Candidate Tracker'!$C:$C,"&lt;&gt;Hold",'Candidate Tracker'!$C:$C,"&lt;&gt;Cancelled",'Candidate Tracker'!$C:$C,"&lt;&gt;Closed")/COUNTIFS('Candidate Tracker'!$E:$E,'Positions Tracker'!$B745)),"")</f>
        <v/>
      </c>
      <c r="BD745" s="30" t="str">
        <f t="shared" si="81"/>
        <v/>
      </c>
      <c r="BE745" s="30" t="str">
        <f t="shared" si="82"/>
        <v/>
      </c>
      <c r="BF745" s="30" t="str">
        <f t="shared" si="83"/>
        <v/>
      </c>
      <c r="BG745" s="30" t="str">
        <f t="shared" si="84"/>
        <v/>
      </c>
    </row>
    <row r="746" spans="1:59">
      <c r="A746" s="39"/>
      <c r="B746" s="39"/>
      <c r="C746" s="39"/>
      <c r="D746" s="39"/>
      <c r="E746" s="39"/>
      <c r="F746" s="39"/>
      <c r="G746" s="39"/>
      <c r="H746" s="39"/>
      <c r="I746" s="40"/>
      <c r="J746" s="40"/>
      <c r="K746" s="35"/>
      <c r="L746" s="35"/>
      <c r="M746" s="35"/>
      <c r="N746" s="39"/>
      <c r="O746" s="39"/>
      <c r="P746" s="39"/>
      <c r="Q746" s="39"/>
      <c r="R746" s="39"/>
      <c r="S746" s="39"/>
      <c r="T746" s="39"/>
      <c r="U746" s="39"/>
      <c r="V746" s="39"/>
      <c r="W746" s="39"/>
      <c r="X746" s="39"/>
      <c r="Y746" s="39"/>
      <c r="Z746" s="39"/>
      <c r="AA746" s="39"/>
      <c r="AB746" s="39"/>
      <c r="AC746" s="39"/>
      <c r="AD746" s="39"/>
      <c r="AE746" s="39"/>
      <c r="AF746" s="39"/>
      <c r="AG746" s="39"/>
      <c r="AH746" s="39"/>
      <c r="AI746" s="35"/>
      <c r="AJ746" s="39"/>
      <c r="AK746" s="39"/>
      <c r="AL746" s="39"/>
      <c r="AM746" s="35"/>
      <c r="AN746" s="35"/>
      <c r="AO746" s="39"/>
      <c r="AP746" s="39"/>
      <c r="AQ746" s="35"/>
      <c r="AR746" s="35"/>
      <c r="AS746" s="35"/>
      <c r="AT746" s="30">
        <f t="shared" ca="1" si="80"/>
        <v>0</v>
      </c>
      <c r="AU746" s="32" t="str">
        <f t="shared" ca="1" si="79"/>
        <v/>
      </c>
      <c r="AV746" s="32" t="str" cm="1">
        <f t="array" aca="1" ref="AV746" ca="1">IFERROR(_xlfn.IFS($AU746="","",$AU746&lt;=15,"0-15",AND($AU746&gt;=16,$AU746&lt;=30),"16-30",AND($AU746&gt;=31,$AU746&lt;=45),"31-45",AND($AU746&gt;=46,$AU746&lt;=60),"46-60",AND($AU746&gt;=61,$AU746&lt;=90),"61-90",AND($AU746&gt;=91),"&gt; 90",AND($AU746&gt;=2000),""),"")</f>
        <v/>
      </c>
      <c r="AW746" s="32" t="str" cm="1">
        <f t="array" aca="1" ref="AW746" ca="1">IFERROR(_xlfn.IFS(OR($M746="",$AM746=""),"",OR($C746="Offered",$C746="Joined"),($AM746-$M746)-$AT746),"")</f>
        <v/>
      </c>
      <c r="AX746" s="32" t="str" cm="1">
        <f t="array" aca="1" ref="AX746" ca="1">IFERROR(_xlfn.IFS(OR($M746="",$AS746=""),"",$C746="Joined",($AS746-$M746)-$AT746),"")</f>
        <v/>
      </c>
      <c r="AY746" s="30" t="str">
        <f>IFERROR(IF(COUNTIFS('Candidate Tracker'!$E:$E,'Positions Tracker'!$B746,'Candidate Tracker'!$C:$C,"Offer Drop")=0,"",COUNTIFS('Candidate Tracker'!$E:$E,'Positions Tracker'!$B746,'Candidate Tracker'!$C:$C,"Offer Drop")),"")</f>
        <v/>
      </c>
      <c r="AZ74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6" s="34" t="str">
        <f>IFERROR(IF(COUNTIFS('Candidate Tracker'!$E:$E,'Positions Tracker'!$B746,'Candidate Tracker'!$I:$I,"Female")=0,"",COUNTIFS('Candidate Tracker'!$E:$E,'Positions Tracker'!$B746,'Candidate Tracker'!$I:$I,"Female")),"")</f>
        <v/>
      </c>
      <c r="BB746" s="34" t="str">
        <f>IFERROR(IF(COUNTIFS('Candidate Tracker'!$E:$E,'Positions Tracker'!$B746,'Candidate Tracker'!$I:$I,"male")=0,"",COUNTIFS('Candidate Tracker'!$E:$E,'Positions Tracker'!$B746,'Candidate Tracker'!$I:$I,"male")),"")</f>
        <v/>
      </c>
      <c r="BC746" s="33" t="str">
        <f>IFERROR(IF(COUNTIFS('Candidate Tracker'!$E:$E,'Positions Tracker'!$B746,'Candidate Tracker'!$C:$C,"&lt;&gt;WIP",'Candidate Tracker'!$C:$C,"&lt;&gt;Hold",'Candidate Tracker'!$C:$C,"&lt;&gt;Cancelled",'Candidate Tracker'!$C:$C,"&lt;&gt;Closed")/COUNTIFS('Candidate Tracker'!$E:$E,'Positions Tracker'!$B746)=0,"",COUNTIFS('Candidate Tracker'!$E:$E,'Positions Tracker'!$B746,'Candidate Tracker'!$C:$C,"&lt;&gt;WIP",'Candidate Tracker'!$C:$C,"&lt;&gt;Hold",'Candidate Tracker'!$C:$C,"&lt;&gt;Cancelled",'Candidate Tracker'!$C:$C,"&lt;&gt;Closed")/COUNTIFS('Candidate Tracker'!$E:$E,'Positions Tracker'!$B746)),"")</f>
        <v/>
      </c>
      <c r="BD746" s="30" t="str">
        <f t="shared" si="81"/>
        <v/>
      </c>
      <c r="BE746" s="30" t="str">
        <f t="shared" si="82"/>
        <v/>
      </c>
      <c r="BF746" s="30" t="str">
        <f t="shared" si="83"/>
        <v/>
      </c>
      <c r="BG746" s="30" t="str">
        <f t="shared" si="84"/>
        <v/>
      </c>
    </row>
    <row r="747" spans="1:59">
      <c r="A747" s="39"/>
      <c r="B747" s="39"/>
      <c r="C747" s="39"/>
      <c r="D747" s="39"/>
      <c r="E747" s="39"/>
      <c r="F747" s="39"/>
      <c r="G747" s="39"/>
      <c r="H747" s="39"/>
      <c r="I747" s="40"/>
      <c r="J747" s="40"/>
      <c r="K747" s="35"/>
      <c r="L747" s="35"/>
      <c r="M747" s="35"/>
      <c r="N747" s="39"/>
      <c r="O747" s="39"/>
      <c r="P747" s="39"/>
      <c r="Q747" s="39"/>
      <c r="R747" s="39"/>
      <c r="S747" s="39"/>
      <c r="T747" s="39"/>
      <c r="U747" s="39"/>
      <c r="V747" s="39"/>
      <c r="W747" s="39"/>
      <c r="X747" s="39"/>
      <c r="Y747" s="39"/>
      <c r="Z747" s="39"/>
      <c r="AA747" s="39"/>
      <c r="AB747" s="39"/>
      <c r="AC747" s="39"/>
      <c r="AD747" s="39"/>
      <c r="AE747" s="39"/>
      <c r="AF747" s="39"/>
      <c r="AG747" s="39"/>
      <c r="AH747" s="39"/>
      <c r="AI747" s="35"/>
      <c r="AJ747" s="39"/>
      <c r="AK747" s="39"/>
      <c r="AL747" s="39"/>
      <c r="AM747" s="35"/>
      <c r="AN747" s="35"/>
      <c r="AO747" s="39"/>
      <c r="AP747" s="39"/>
      <c r="AQ747" s="35"/>
      <c r="AR747" s="35"/>
      <c r="AS747" s="35"/>
      <c r="AT747" s="30">
        <f t="shared" ca="1" si="80"/>
        <v>0</v>
      </c>
      <c r="AU747" s="32" t="str">
        <f t="shared" ca="1" si="79"/>
        <v/>
      </c>
      <c r="AV747" s="32" t="str" cm="1">
        <f t="array" aca="1" ref="AV747" ca="1">IFERROR(_xlfn.IFS($AU747="","",$AU747&lt;=15,"0-15",AND($AU747&gt;=16,$AU747&lt;=30),"16-30",AND($AU747&gt;=31,$AU747&lt;=45),"31-45",AND($AU747&gt;=46,$AU747&lt;=60),"46-60",AND($AU747&gt;=61,$AU747&lt;=90),"61-90",AND($AU747&gt;=91),"&gt; 90",AND($AU747&gt;=2000),""),"")</f>
        <v/>
      </c>
      <c r="AW747" s="32" t="str" cm="1">
        <f t="array" aca="1" ref="AW747" ca="1">IFERROR(_xlfn.IFS(OR($M747="",$AM747=""),"",OR($C747="Offered",$C747="Joined"),($AM747-$M747)-$AT747),"")</f>
        <v/>
      </c>
      <c r="AX747" s="32" t="str" cm="1">
        <f t="array" aca="1" ref="AX747" ca="1">IFERROR(_xlfn.IFS(OR($M747="",$AS747=""),"",$C747="Joined",($AS747-$M747)-$AT747),"")</f>
        <v/>
      </c>
      <c r="AY747" s="30" t="str">
        <f>IFERROR(IF(COUNTIFS('Candidate Tracker'!$E:$E,'Positions Tracker'!$B747,'Candidate Tracker'!$C:$C,"Offer Drop")=0,"",COUNTIFS('Candidate Tracker'!$E:$E,'Positions Tracker'!$B747,'Candidate Tracker'!$C:$C,"Offer Drop")),"")</f>
        <v/>
      </c>
      <c r="AZ74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7" s="34" t="str">
        <f>IFERROR(IF(COUNTIFS('Candidate Tracker'!$E:$E,'Positions Tracker'!$B747,'Candidate Tracker'!$I:$I,"Female")=0,"",COUNTIFS('Candidate Tracker'!$E:$E,'Positions Tracker'!$B747,'Candidate Tracker'!$I:$I,"Female")),"")</f>
        <v/>
      </c>
      <c r="BB747" s="34" t="str">
        <f>IFERROR(IF(COUNTIFS('Candidate Tracker'!$E:$E,'Positions Tracker'!$B747,'Candidate Tracker'!$I:$I,"male")=0,"",COUNTIFS('Candidate Tracker'!$E:$E,'Positions Tracker'!$B747,'Candidate Tracker'!$I:$I,"male")),"")</f>
        <v/>
      </c>
      <c r="BC747" s="33" t="str">
        <f>IFERROR(IF(COUNTIFS('Candidate Tracker'!$E:$E,'Positions Tracker'!$B747,'Candidate Tracker'!$C:$C,"&lt;&gt;WIP",'Candidate Tracker'!$C:$C,"&lt;&gt;Hold",'Candidate Tracker'!$C:$C,"&lt;&gt;Cancelled",'Candidate Tracker'!$C:$C,"&lt;&gt;Closed")/COUNTIFS('Candidate Tracker'!$E:$E,'Positions Tracker'!$B747)=0,"",COUNTIFS('Candidate Tracker'!$E:$E,'Positions Tracker'!$B747,'Candidate Tracker'!$C:$C,"&lt;&gt;WIP",'Candidate Tracker'!$C:$C,"&lt;&gt;Hold",'Candidate Tracker'!$C:$C,"&lt;&gt;Cancelled",'Candidate Tracker'!$C:$C,"&lt;&gt;Closed")/COUNTIFS('Candidate Tracker'!$E:$E,'Positions Tracker'!$B747)),"")</f>
        <v/>
      </c>
      <c r="BD747" s="30" t="str">
        <f t="shared" si="81"/>
        <v/>
      </c>
      <c r="BE747" s="30" t="str">
        <f t="shared" si="82"/>
        <v/>
      </c>
      <c r="BF747" s="30" t="str">
        <f t="shared" si="83"/>
        <v/>
      </c>
      <c r="BG747" s="30" t="str">
        <f t="shared" si="84"/>
        <v/>
      </c>
    </row>
    <row r="748" spans="1:59">
      <c r="A748" s="39"/>
      <c r="B748" s="39"/>
      <c r="C748" s="39"/>
      <c r="D748" s="39"/>
      <c r="E748" s="39"/>
      <c r="F748" s="39"/>
      <c r="G748" s="39"/>
      <c r="H748" s="39"/>
      <c r="I748" s="40"/>
      <c r="J748" s="40"/>
      <c r="K748" s="35"/>
      <c r="L748" s="35"/>
      <c r="M748" s="35"/>
      <c r="N748" s="39"/>
      <c r="O748" s="39"/>
      <c r="P748" s="39"/>
      <c r="Q748" s="39"/>
      <c r="R748" s="39"/>
      <c r="S748" s="39"/>
      <c r="T748" s="39"/>
      <c r="U748" s="39"/>
      <c r="V748" s="39"/>
      <c r="W748" s="39"/>
      <c r="X748" s="39"/>
      <c r="Y748" s="39"/>
      <c r="Z748" s="39"/>
      <c r="AA748" s="39"/>
      <c r="AB748" s="39"/>
      <c r="AC748" s="39"/>
      <c r="AD748" s="39"/>
      <c r="AE748" s="39"/>
      <c r="AF748" s="39"/>
      <c r="AG748" s="39"/>
      <c r="AH748" s="39"/>
      <c r="AI748" s="35"/>
      <c r="AJ748" s="39"/>
      <c r="AK748" s="39"/>
      <c r="AL748" s="39"/>
      <c r="AM748" s="35"/>
      <c r="AN748" s="35"/>
      <c r="AO748" s="39"/>
      <c r="AP748" s="39"/>
      <c r="AQ748" s="35"/>
      <c r="AR748" s="35"/>
      <c r="AS748" s="35"/>
      <c r="AT748" s="30">
        <f t="shared" ca="1" si="80"/>
        <v>0</v>
      </c>
      <c r="AU748" s="32" t="str">
        <f t="shared" ca="1" si="79"/>
        <v/>
      </c>
      <c r="AV748" s="32" t="str" cm="1">
        <f t="array" aca="1" ref="AV748" ca="1">IFERROR(_xlfn.IFS($AU748="","",$AU748&lt;=15,"0-15",AND($AU748&gt;=16,$AU748&lt;=30),"16-30",AND($AU748&gt;=31,$AU748&lt;=45),"31-45",AND($AU748&gt;=46,$AU748&lt;=60),"46-60",AND($AU748&gt;=61,$AU748&lt;=90),"61-90",AND($AU748&gt;=91),"&gt; 90",AND($AU748&gt;=2000),""),"")</f>
        <v/>
      </c>
      <c r="AW748" s="32" t="str" cm="1">
        <f t="array" aca="1" ref="AW748" ca="1">IFERROR(_xlfn.IFS(OR($M748="",$AM748=""),"",OR($C748="Offered",$C748="Joined"),($AM748-$M748)-$AT748),"")</f>
        <v/>
      </c>
      <c r="AX748" s="32" t="str" cm="1">
        <f t="array" aca="1" ref="AX748" ca="1">IFERROR(_xlfn.IFS(OR($M748="",$AS748=""),"",$C748="Joined",($AS748-$M748)-$AT748),"")</f>
        <v/>
      </c>
      <c r="AY748" s="30" t="str">
        <f>IFERROR(IF(COUNTIFS('Candidate Tracker'!$E:$E,'Positions Tracker'!$B748,'Candidate Tracker'!$C:$C,"Offer Drop")=0,"",COUNTIFS('Candidate Tracker'!$E:$E,'Positions Tracker'!$B748,'Candidate Tracker'!$C:$C,"Offer Drop")),"")</f>
        <v/>
      </c>
      <c r="AZ7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8" s="34" t="str">
        <f>IFERROR(IF(COUNTIFS('Candidate Tracker'!$E:$E,'Positions Tracker'!$B748,'Candidate Tracker'!$I:$I,"Female")=0,"",COUNTIFS('Candidate Tracker'!$E:$E,'Positions Tracker'!$B748,'Candidate Tracker'!$I:$I,"Female")),"")</f>
        <v/>
      </c>
      <c r="BB748" s="34" t="str">
        <f>IFERROR(IF(COUNTIFS('Candidate Tracker'!$E:$E,'Positions Tracker'!$B748,'Candidate Tracker'!$I:$I,"male")=0,"",COUNTIFS('Candidate Tracker'!$E:$E,'Positions Tracker'!$B748,'Candidate Tracker'!$I:$I,"male")),"")</f>
        <v/>
      </c>
      <c r="BC748" s="33" t="str">
        <f>IFERROR(IF(COUNTIFS('Candidate Tracker'!$E:$E,'Positions Tracker'!$B748,'Candidate Tracker'!$C:$C,"&lt;&gt;WIP",'Candidate Tracker'!$C:$C,"&lt;&gt;Hold",'Candidate Tracker'!$C:$C,"&lt;&gt;Cancelled",'Candidate Tracker'!$C:$C,"&lt;&gt;Closed")/COUNTIFS('Candidate Tracker'!$E:$E,'Positions Tracker'!$B748)=0,"",COUNTIFS('Candidate Tracker'!$E:$E,'Positions Tracker'!$B748,'Candidate Tracker'!$C:$C,"&lt;&gt;WIP",'Candidate Tracker'!$C:$C,"&lt;&gt;Hold",'Candidate Tracker'!$C:$C,"&lt;&gt;Cancelled",'Candidate Tracker'!$C:$C,"&lt;&gt;Closed")/COUNTIFS('Candidate Tracker'!$E:$E,'Positions Tracker'!$B748)),"")</f>
        <v/>
      </c>
      <c r="BD748" s="30" t="str">
        <f t="shared" si="81"/>
        <v/>
      </c>
      <c r="BE748" s="30" t="str">
        <f t="shared" si="82"/>
        <v/>
      </c>
      <c r="BF748" s="30" t="str">
        <f t="shared" si="83"/>
        <v/>
      </c>
      <c r="BG748" s="30" t="str">
        <f t="shared" si="84"/>
        <v/>
      </c>
    </row>
    <row r="749" spans="1:59">
      <c r="A749" s="39"/>
      <c r="B749" s="39"/>
      <c r="C749" s="39"/>
      <c r="D749" s="39"/>
      <c r="E749" s="39"/>
      <c r="F749" s="39"/>
      <c r="G749" s="39"/>
      <c r="H749" s="39"/>
      <c r="I749" s="40"/>
      <c r="J749" s="40"/>
      <c r="K749" s="35"/>
      <c r="L749" s="35"/>
      <c r="M749" s="35"/>
      <c r="N749" s="39"/>
      <c r="O749" s="39"/>
      <c r="P749" s="39"/>
      <c r="Q749" s="39"/>
      <c r="R749" s="39"/>
      <c r="S749" s="39"/>
      <c r="T749" s="39"/>
      <c r="U749" s="39"/>
      <c r="V749" s="39"/>
      <c r="W749" s="39"/>
      <c r="X749" s="39"/>
      <c r="Y749" s="39"/>
      <c r="Z749" s="39"/>
      <c r="AA749" s="39"/>
      <c r="AB749" s="39"/>
      <c r="AC749" s="39"/>
      <c r="AD749" s="39"/>
      <c r="AE749" s="39"/>
      <c r="AF749" s="39"/>
      <c r="AG749" s="39"/>
      <c r="AH749" s="39"/>
      <c r="AI749" s="35"/>
      <c r="AJ749" s="39"/>
      <c r="AK749" s="39"/>
      <c r="AL749" s="39"/>
      <c r="AM749" s="35"/>
      <c r="AN749" s="35"/>
      <c r="AO749" s="39"/>
      <c r="AP749" s="39"/>
      <c r="AQ749" s="35"/>
      <c r="AR749" s="35"/>
      <c r="AS749" s="35"/>
      <c r="AT749" s="30">
        <f t="shared" ca="1" si="80"/>
        <v>0</v>
      </c>
      <c r="AU749" s="32" t="str">
        <f t="shared" ca="1" si="79"/>
        <v/>
      </c>
      <c r="AV749" s="32" t="str" cm="1">
        <f t="array" aca="1" ref="AV749" ca="1">IFERROR(_xlfn.IFS($AU749="","",$AU749&lt;=15,"0-15",AND($AU749&gt;=16,$AU749&lt;=30),"16-30",AND($AU749&gt;=31,$AU749&lt;=45),"31-45",AND($AU749&gt;=46,$AU749&lt;=60),"46-60",AND($AU749&gt;=61,$AU749&lt;=90),"61-90",AND($AU749&gt;=91),"&gt; 90",AND($AU749&gt;=2000),""),"")</f>
        <v/>
      </c>
      <c r="AW749" s="32" t="str" cm="1">
        <f t="array" aca="1" ref="AW749" ca="1">IFERROR(_xlfn.IFS(OR($M749="",$AM749=""),"",OR($C749="Offered",$C749="Joined"),($AM749-$M749)-$AT749),"")</f>
        <v/>
      </c>
      <c r="AX749" s="32" t="str" cm="1">
        <f t="array" aca="1" ref="AX749" ca="1">IFERROR(_xlfn.IFS(OR($M749="",$AS749=""),"",$C749="Joined",($AS749-$M749)-$AT749),"")</f>
        <v/>
      </c>
      <c r="AY749" s="30" t="str">
        <f>IFERROR(IF(COUNTIFS('Candidate Tracker'!$E:$E,'Positions Tracker'!$B749,'Candidate Tracker'!$C:$C,"Offer Drop")=0,"",COUNTIFS('Candidate Tracker'!$E:$E,'Positions Tracker'!$B749,'Candidate Tracker'!$C:$C,"Offer Drop")),"")</f>
        <v/>
      </c>
      <c r="AZ74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49" s="34" t="str">
        <f>IFERROR(IF(COUNTIFS('Candidate Tracker'!$E:$E,'Positions Tracker'!$B749,'Candidate Tracker'!$I:$I,"Female")=0,"",COUNTIFS('Candidate Tracker'!$E:$E,'Positions Tracker'!$B749,'Candidate Tracker'!$I:$I,"Female")),"")</f>
        <v/>
      </c>
      <c r="BB749" s="34" t="str">
        <f>IFERROR(IF(COUNTIFS('Candidate Tracker'!$E:$E,'Positions Tracker'!$B749,'Candidate Tracker'!$I:$I,"male")=0,"",COUNTIFS('Candidate Tracker'!$E:$E,'Positions Tracker'!$B749,'Candidate Tracker'!$I:$I,"male")),"")</f>
        <v/>
      </c>
      <c r="BC749" s="33" t="str">
        <f>IFERROR(IF(COUNTIFS('Candidate Tracker'!$E:$E,'Positions Tracker'!$B749,'Candidate Tracker'!$C:$C,"&lt;&gt;WIP",'Candidate Tracker'!$C:$C,"&lt;&gt;Hold",'Candidate Tracker'!$C:$C,"&lt;&gt;Cancelled",'Candidate Tracker'!$C:$C,"&lt;&gt;Closed")/COUNTIFS('Candidate Tracker'!$E:$E,'Positions Tracker'!$B749)=0,"",COUNTIFS('Candidate Tracker'!$E:$E,'Positions Tracker'!$B749,'Candidate Tracker'!$C:$C,"&lt;&gt;WIP",'Candidate Tracker'!$C:$C,"&lt;&gt;Hold",'Candidate Tracker'!$C:$C,"&lt;&gt;Cancelled",'Candidate Tracker'!$C:$C,"&lt;&gt;Closed")/COUNTIFS('Candidate Tracker'!$E:$E,'Positions Tracker'!$B749)),"")</f>
        <v/>
      </c>
      <c r="BD749" s="30" t="str">
        <f t="shared" si="81"/>
        <v/>
      </c>
      <c r="BE749" s="30" t="str">
        <f t="shared" si="82"/>
        <v/>
      </c>
      <c r="BF749" s="30" t="str">
        <f t="shared" si="83"/>
        <v/>
      </c>
      <c r="BG749" s="30" t="str">
        <f t="shared" si="84"/>
        <v/>
      </c>
    </row>
    <row r="750" spans="1:59">
      <c r="A750" s="39"/>
      <c r="B750" s="39"/>
      <c r="C750" s="39"/>
      <c r="D750" s="39"/>
      <c r="E750" s="39"/>
      <c r="F750" s="39"/>
      <c r="G750" s="39"/>
      <c r="H750" s="39"/>
      <c r="I750" s="40"/>
      <c r="J750" s="40"/>
      <c r="K750" s="35"/>
      <c r="L750" s="35"/>
      <c r="M750" s="35"/>
      <c r="N750" s="39"/>
      <c r="O750" s="39"/>
      <c r="P750" s="39"/>
      <c r="Q750" s="39"/>
      <c r="R750" s="39"/>
      <c r="S750" s="39"/>
      <c r="T750" s="39"/>
      <c r="U750" s="39"/>
      <c r="V750" s="39"/>
      <c r="W750" s="39"/>
      <c r="X750" s="39"/>
      <c r="Y750" s="39"/>
      <c r="Z750" s="39"/>
      <c r="AA750" s="39"/>
      <c r="AB750" s="39"/>
      <c r="AC750" s="39"/>
      <c r="AD750" s="39"/>
      <c r="AE750" s="39"/>
      <c r="AF750" s="39"/>
      <c r="AG750" s="39"/>
      <c r="AH750" s="39"/>
      <c r="AI750" s="35"/>
      <c r="AJ750" s="39"/>
      <c r="AK750" s="39"/>
      <c r="AL750" s="39"/>
      <c r="AM750" s="35"/>
      <c r="AN750" s="35"/>
      <c r="AO750" s="39"/>
      <c r="AP750" s="39"/>
      <c r="AQ750" s="35"/>
      <c r="AR750" s="35"/>
      <c r="AS750" s="35"/>
      <c r="AT750" s="30">
        <f t="shared" ca="1" si="80"/>
        <v>0</v>
      </c>
      <c r="AU750" s="32" t="str">
        <f t="shared" ca="1" si="79"/>
        <v/>
      </c>
      <c r="AV750" s="32" t="str" cm="1">
        <f t="array" aca="1" ref="AV750" ca="1">IFERROR(_xlfn.IFS($AU750="","",$AU750&lt;=15,"0-15",AND($AU750&gt;=16,$AU750&lt;=30),"16-30",AND($AU750&gt;=31,$AU750&lt;=45),"31-45",AND($AU750&gt;=46,$AU750&lt;=60),"46-60",AND($AU750&gt;=61,$AU750&lt;=90),"61-90",AND($AU750&gt;=91),"&gt; 90",AND($AU750&gt;=2000),""),"")</f>
        <v/>
      </c>
      <c r="AW750" s="32" t="str" cm="1">
        <f t="array" aca="1" ref="AW750" ca="1">IFERROR(_xlfn.IFS(OR($M750="",$AM750=""),"",OR($C750="Offered",$C750="Joined"),($AM750-$M750)-$AT750),"")</f>
        <v/>
      </c>
      <c r="AX750" s="32" t="str" cm="1">
        <f t="array" aca="1" ref="AX750" ca="1">IFERROR(_xlfn.IFS(OR($M750="",$AS750=""),"",$C750="Joined",($AS750-$M750)-$AT750),"")</f>
        <v/>
      </c>
      <c r="AY750" s="30" t="str">
        <f>IFERROR(IF(COUNTIFS('Candidate Tracker'!$E:$E,'Positions Tracker'!$B750,'Candidate Tracker'!$C:$C,"Offer Drop")=0,"",COUNTIFS('Candidate Tracker'!$E:$E,'Positions Tracker'!$B750,'Candidate Tracker'!$C:$C,"Offer Drop")),"")</f>
        <v/>
      </c>
      <c r="AZ75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0" s="34" t="str">
        <f>IFERROR(IF(COUNTIFS('Candidate Tracker'!$E:$E,'Positions Tracker'!$B750,'Candidate Tracker'!$I:$I,"Female")=0,"",COUNTIFS('Candidate Tracker'!$E:$E,'Positions Tracker'!$B750,'Candidate Tracker'!$I:$I,"Female")),"")</f>
        <v/>
      </c>
      <c r="BB750" s="34" t="str">
        <f>IFERROR(IF(COUNTIFS('Candidate Tracker'!$E:$E,'Positions Tracker'!$B750,'Candidate Tracker'!$I:$I,"male")=0,"",COUNTIFS('Candidate Tracker'!$E:$E,'Positions Tracker'!$B750,'Candidate Tracker'!$I:$I,"male")),"")</f>
        <v/>
      </c>
      <c r="BC750" s="33" t="str">
        <f>IFERROR(IF(COUNTIFS('Candidate Tracker'!$E:$E,'Positions Tracker'!$B750,'Candidate Tracker'!$C:$C,"&lt;&gt;WIP",'Candidate Tracker'!$C:$C,"&lt;&gt;Hold",'Candidate Tracker'!$C:$C,"&lt;&gt;Cancelled",'Candidate Tracker'!$C:$C,"&lt;&gt;Closed")/COUNTIFS('Candidate Tracker'!$E:$E,'Positions Tracker'!$B750)=0,"",COUNTIFS('Candidate Tracker'!$E:$E,'Positions Tracker'!$B750,'Candidate Tracker'!$C:$C,"&lt;&gt;WIP",'Candidate Tracker'!$C:$C,"&lt;&gt;Hold",'Candidate Tracker'!$C:$C,"&lt;&gt;Cancelled",'Candidate Tracker'!$C:$C,"&lt;&gt;Closed")/COUNTIFS('Candidate Tracker'!$E:$E,'Positions Tracker'!$B750)),"")</f>
        <v/>
      </c>
      <c r="BD750" s="30" t="str">
        <f t="shared" si="81"/>
        <v/>
      </c>
      <c r="BE750" s="30" t="str">
        <f t="shared" si="82"/>
        <v/>
      </c>
      <c r="BF750" s="30" t="str">
        <f t="shared" si="83"/>
        <v/>
      </c>
      <c r="BG750" s="30" t="str">
        <f t="shared" si="84"/>
        <v/>
      </c>
    </row>
    <row r="751" spans="1:59">
      <c r="A751" s="39"/>
      <c r="B751" s="39"/>
      <c r="C751" s="39"/>
      <c r="D751" s="39"/>
      <c r="E751" s="39"/>
      <c r="F751" s="39"/>
      <c r="G751" s="39"/>
      <c r="H751" s="39"/>
      <c r="I751" s="40"/>
      <c r="J751" s="40"/>
      <c r="K751" s="35"/>
      <c r="L751" s="35"/>
      <c r="M751" s="35"/>
      <c r="N751" s="39"/>
      <c r="O751" s="39"/>
      <c r="P751" s="39"/>
      <c r="Q751" s="39"/>
      <c r="R751" s="39"/>
      <c r="S751" s="39"/>
      <c r="T751" s="39"/>
      <c r="U751" s="39"/>
      <c r="V751" s="39"/>
      <c r="W751" s="39"/>
      <c r="X751" s="39"/>
      <c r="Y751" s="39"/>
      <c r="Z751" s="39"/>
      <c r="AA751" s="39"/>
      <c r="AB751" s="39"/>
      <c r="AC751" s="39"/>
      <c r="AD751" s="39"/>
      <c r="AE751" s="39"/>
      <c r="AF751" s="39"/>
      <c r="AG751" s="39"/>
      <c r="AH751" s="39"/>
      <c r="AI751" s="35"/>
      <c r="AJ751" s="39"/>
      <c r="AK751" s="39"/>
      <c r="AL751" s="39"/>
      <c r="AM751" s="35"/>
      <c r="AN751" s="35"/>
      <c r="AO751" s="39"/>
      <c r="AP751" s="39"/>
      <c r="AQ751" s="35"/>
      <c r="AR751" s="35"/>
      <c r="AS751" s="35"/>
      <c r="AT751" s="30">
        <f t="shared" ca="1" si="80"/>
        <v>0</v>
      </c>
      <c r="AU751" s="32" t="str">
        <f t="shared" ca="1" si="79"/>
        <v/>
      </c>
      <c r="AV751" s="32" t="str" cm="1">
        <f t="array" aca="1" ref="AV751" ca="1">IFERROR(_xlfn.IFS($AU751="","",$AU751&lt;=15,"0-15",AND($AU751&gt;=16,$AU751&lt;=30),"16-30",AND($AU751&gt;=31,$AU751&lt;=45),"31-45",AND($AU751&gt;=46,$AU751&lt;=60),"46-60",AND($AU751&gt;=61,$AU751&lt;=90),"61-90",AND($AU751&gt;=91),"&gt; 90",AND($AU751&gt;=2000),""),"")</f>
        <v/>
      </c>
      <c r="AW751" s="32" t="str" cm="1">
        <f t="array" aca="1" ref="AW751" ca="1">IFERROR(_xlfn.IFS(OR($M751="",$AM751=""),"",OR($C751="Offered",$C751="Joined"),($AM751-$M751)-$AT751),"")</f>
        <v/>
      </c>
      <c r="AX751" s="32" t="str" cm="1">
        <f t="array" aca="1" ref="AX751" ca="1">IFERROR(_xlfn.IFS(OR($M751="",$AS751=""),"",$C751="Joined",($AS751-$M751)-$AT751),"")</f>
        <v/>
      </c>
      <c r="AY751" s="30" t="str">
        <f>IFERROR(IF(COUNTIFS('Candidate Tracker'!$E:$E,'Positions Tracker'!$B751,'Candidate Tracker'!$C:$C,"Offer Drop")=0,"",COUNTIFS('Candidate Tracker'!$E:$E,'Positions Tracker'!$B751,'Candidate Tracker'!$C:$C,"Offer Drop")),"")</f>
        <v/>
      </c>
      <c r="AZ7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1" s="34" t="str">
        <f>IFERROR(IF(COUNTIFS('Candidate Tracker'!$E:$E,'Positions Tracker'!$B751,'Candidate Tracker'!$I:$I,"Female")=0,"",COUNTIFS('Candidate Tracker'!$E:$E,'Positions Tracker'!$B751,'Candidate Tracker'!$I:$I,"Female")),"")</f>
        <v/>
      </c>
      <c r="BB751" s="34" t="str">
        <f>IFERROR(IF(COUNTIFS('Candidate Tracker'!$E:$E,'Positions Tracker'!$B751,'Candidate Tracker'!$I:$I,"male")=0,"",COUNTIFS('Candidate Tracker'!$E:$E,'Positions Tracker'!$B751,'Candidate Tracker'!$I:$I,"male")),"")</f>
        <v/>
      </c>
      <c r="BC751" s="33" t="str">
        <f>IFERROR(IF(COUNTIFS('Candidate Tracker'!$E:$E,'Positions Tracker'!$B751,'Candidate Tracker'!$C:$C,"&lt;&gt;WIP",'Candidate Tracker'!$C:$C,"&lt;&gt;Hold",'Candidate Tracker'!$C:$C,"&lt;&gt;Cancelled",'Candidate Tracker'!$C:$C,"&lt;&gt;Closed")/COUNTIFS('Candidate Tracker'!$E:$E,'Positions Tracker'!$B751)=0,"",COUNTIFS('Candidate Tracker'!$E:$E,'Positions Tracker'!$B751,'Candidate Tracker'!$C:$C,"&lt;&gt;WIP",'Candidate Tracker'!$C:$C,"&lt;&gt;Hold",'Candidate Tracker'!$C:$C,"&lt;&gt;Cancelled",'Candidate Tracker'!$C:$C,"&lt;&gt;Closed")/COUNTIFS('Candidate Tracker'!$E:$E,'Positions Tracker'!$B751)),"")</f>
        <v/>
      </c>
      <c r="BD751" s="30" t="str">
        <f t="shared" si="81"/>
        <v/>
      </c>
      <c r="BE751" s="30" t="str">
        <f t="shared" si="82"/>
        <v/>
      </c>
      <c r="BF751" s="30" t="str">
        <f t="shared" si="83"/>
        <v/>
      </c>
      <c r="BG751" s="30" t="str">
        <f t="shared" si="84"/>
        <v/>
      </c>
    </row>
    <row r="752" spans="1:59">
      <c r="A752" s="39"/>
      <c r="B752" s="39"/>
      <c r="C752" s="39"/>
      <c r="D752" s="39"/>
      <c r="E752" s="39"/>
      <c r="F752" s="39"/>
      <c r="G752" s="39"/>
      <c r="H752" s="39"/>
      <c r="I752" s="40"/>
      <c r="J752" s="40"/>
      <c r="K752" s="35"/>
      <c r="L752" s="35"/>
      <c r="M752" s="35"/>
      <c r="N752" s="39"/>
      <c r="O752" s="39"/>
      <c r="P752" s="39"/>
      <c r="Q752" s="39"/>
      <c r="R752" s="39"/>
      <c r="S752" s="39"/>
      <c r="T752" s="39"/>
      <c r="U752" s="39"/>
      <c r="V752" s="39"/>
      <c r="W752" s="39"/>
      <c r="X752" s="39"/>
      <c r="Y752" s="39"/>
      <c r="Z752" s="39"/>
      <c r="AA752" s="39"/>
      <c r="AB752" s="39"/>
      <c r="AC752" s="39"/>
      <c r="AD752" s="39"/>
      <c r="AE752" s="39"/>
      <c r="AF752" s="39"/>
      <c r="AG752" s="39"/>
      <c r="AH752" s="39"/>
      <c r="AI752" s="35"/>
      <c r="AJ752" s="39"/>
      <c r="AK752" s="39"/>
      <c r="AL752" s="39"/>
      <c r="AM752" s="35"/>
      <c r="AN752" s="35"/>
      <c r="AO752" s="39"/>
      <c r="AP752" s="39"/>
      <c r="AQ752" s="35"/>
      <c r="AR752" s="35"/>
      <c r="AS752" s="35"/>
      <c r="AT752" s="30">
        <f t="shared" ca="1" si="80"/>
        <v>0</v>
      </c>
      <c r="AU752" s="32" t="str">
        <f t="shared" ca="1" si="79"/>
        <v/>
      </c>
      <c r="AV752" s="32" t="str" cm="1">
        <f t="array" aca="1" ref="AV752" ca="1">IFERROR(_xlfn.IFS($AU752="","",$AU752&lt;=15,"0-15",AND($AU752&gt;=16,$AU752&lt;=30),"16-30",AND($AU752&gt;=31,$AU752&lt;=45),"31-45",AND($AU752&gt;=46,$AU752&lt;=60),"46-60",AND($AU752&gt;=61,$AU752&lt;=90),"61-90",AND($AU752&gt;=91),"&gt; 90",AND($AU752&gt;=2000),""),"")</f>
        <v/>
      </c>
      <c r="AW752" s="32" t="str" cm="1">
        <f t="array" aca="1" ref="AW752" ca="1">IFERROR(_xlfn.IFS(OR($M752="",$AM752=""),"",OR($C752="Offered",$C752="Joined"),($AM752-$M752)-$AT752),"")</f>
        <v/>
      </c>
      <c r="AX752" s="32" t="str" cm="1">
        <f t="array" aca="1" ref="AX752" ca="1">IFERROR(_xlfn.IFS(OR($M752="",$AS752=""),"",$C752="Joined",($AS752-$M752)-$AT752),"")</f>
        <v/>
      </c>
      <c r="AY752" s="30" t="str">
        <f>IFERROR(IF(COUNTIFS('Candidate Tracker'!$E:$E,'Positions Tracker'!$B752,'Candidate Tracker'!$C:$C,"Offer Drop")=0,"",COUNTIFS('Candidate Tracker'!$E:$E,'Positions Tracker'!$B752,'Candidate Tracker'!$C:$C,"Offer Drop")),"")</f>
        <v/>
      </c>
      <c r="AZ75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2" s="34" t="str">
        <f>IFERROR(IF(COUNTIFS('Candidate Tracker'!$E:$E,'Positions Tracker'!$B752,'Candidate Tracker'!$I:$I,"Female")=0,"",COUNTIFS('Candidate Tracker'!$E:$E,'Positions Tracker'!$B752,'Candidate Tracker'!$I:$I,"Female")),"")</f>
        <v/>
      </c>
      <c r="BB752" s="34" t="str">
        <f>IFERROR(IF(COUNTIFS('Candidate Tracker'!$E:$E,'Positions Tracker'!$B752,'Candidate Tracker'!$I:$I,"male")=0,"",COUNTIFS('Candidate Tracker'!$E:$E,'Positions Tracker'!$B752,'Candidate Tracker'!$I:$I,"male")),"")</f>
        <v/>
      </c>
      <c r="BC752" s="33" t="str">
        <f>IFERROR(IF(COUNTIFS('Candidate Tracker'!$E:$E,'Positions Tracker'!$B752,'Candidate Tracker'!$C:$C,"&lt;&gt;WIP",'Candidate Tracker'!$C:$C,"&lt;&gt;Hold",'Candidate Tracker'!$C:$C,"&lt;&gt;Cancelled",'Candidate Tracker'!$C:$C,"&lt;&gt;Closed")/COUNTIFS('Candidate Tracker'!$E:$E,'Positions Tracker'!$B752)=0,"",COUNTIFS('Candidate Tracker'!$E:$E,'Positions Tracker'!$B752,'Candidate Tracker'!$C:$C,"&lt;&gt;WIP",'Candidate Tracker'!$C:$C,"&lt;&gt;Hold",'Candidate Tracker'!$C:$C,"&lt;&gt;Cancelled",'Candidate Tracker'!$C:$C,"&lt;&gt;Closed")/COUNTIFS('Candidate Tracker'!$E:$E,'Positions Tracker'!$B752)),"")</f>
        <v/>
      </c>
      <c r="BD752" s="30" t="str">
        <f t="shared" si="81"/>
        <v/>
      </c>
      <c r="BE752" s="30" t="str">
        <f t="shared" si="82"/>
        <v/>
      </c>
      <c r="BF752" s="30" t="str">
        <f t="shared" si="83"/>
        <v/>
      </c>
      <c r="BG752" s="30" t="str">
        <f t="shared" si="84"/>
        <v/>
      </c>
    </row>
    <row r="753" spans="1:59">
      <c r="A753" s="39"/>
      <c r="B753" s="39"/>
      <c r="C753" s="39"/>
      <c r="D753" s="39"/>
      <c r="E753" s="39"/>
      <c r="F753" s="39"/>
      <c r="G753" s="39"/>
      <c r="H753" s="39"/>
      <c r="I753" s="40"/>
      <c r="J753" s="40"/>
      <c r="K753" s="35"/>
      <c r="L753" s="35"/>
      <c r="M753" s="35"/>
      <c r="N753" s="39"/>
      <c r="O753" s="39"/>
      <c r="P753" s="39"/>
      <c r="Q753" s="39"/>
      <c r="R753" s="39"/>
      <c r="S753" s="39"/>
      <c r="T753" s="39"/>
      <c r="U753" s="39"/>
      <c r="V753" s="39"/>
      <c r="W753" s="39"/>
      <c r="X753" s="39"/>
      <c r="Y753" s="39"/>
      <c r="Z753" s="39"/>
      <c r="AA753" s="39"/>
      <c r="AB753" s="39"/>
      <c r="AC753" s="39"/>
      <c r="AD753" s="39"/>
      <c r="AE753" s="39"/>
      <c r="AF753" s="39"/>
      <c r="AG753" s="39"/>
      <c r="AH753" s="39"/>
      <c r="AI753" s="35"/>
      <c r="AJ753" s="39"/>
      <c r="AK753" s="39"/>
      <c r="AL753" s="39"/>
      <c r="AM753" s="35"/>
      <c r="AN753" s="35"/>
      <c r="AO753" s="39"/>
      <c r="AP753" s="39"/>
      <c r="AQ753" s="35"/>
      <c r="AR753" s="35"/>
      <c r="AS753" s="35"/>
      <c r="AT753" s="30">
        <f t="shared" ca="1" si="80"/>
        <v>0</v>
      </c>
      <c r="AU753" s="32" t="str">
        <f t="shared" ca="1" si="79"/>
        <v/>
      </c>
      <c r="AV753" s="32" t="str" cm="1">
        <f t="array" aca="1" ref="AV753" ca="1">IFERROR(_xlfn.IFS($AU753="","",$AU753&lt;=15,"0-15",AND($AU753&gt;=16,$AU753&lt;=30),"16-30",AND($AU753&gt;=31,$AU753&lt;=45),"31-45",AND($AU753&gt;=46,$AU753&lt;=60),"46-60",AND($AU753&gt;=61,$AU753&lt;=90),"61-90",AND($AU753&gt;=91),"&gt; 90",AND($AU753&gt;=2000),""),"")</f>
        <v/>
      </c>
      <c r="AW753" s="32" t="str" cm="1">
        <f t="array" aca="1" ref="AW753" ca="1">IFERROR(_xlfn.IFS(OR($M753="",$AM753=""),"",OR($C753="Offered",$C753="Joined"),($AM753-$M753)-$AT753),"")</f>
        <v/>
      </c>
      <c r="AX753" s="32" t="str" cm="1">
        <f t="array" aca="1" ref="AX753" ca="1">IFERROR(_xlfn.IFS(OR($M753="",$AS753=""),"",$C753="Joined",($AS753-$M753)-$AT753),"")</f>
        <v/>
      </c>
      <c r="AY753" s="30" t="str">
        <f>IFERROR(IF(COUNTIFS('Candidate Tracker'!$E:$E,'Positions Tracker'!$B753,'Candidate Tracker'!$C:$C,"Offer Drop")=0,"",COUNTIFS('Candidate Tracker'!$E:$E,'Positions Tracker'!$B753,'Candidate Tracker'!$C:$C,"Offer Drop")),"")</f>
        <v/>
      </c>
      <c r="AZ75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3" s="34" t="str">
        <f>IFERROR(IF(COUNTIFS('Candidate Tracker'!$E:$E,'Positions Tracker'!$B753,'Candidate Tracker'!$I:$I,"Female")=0,"",COUNTIFS('Candidate Tracker'!$E:$E,'Positions Tracker'!$B753,'Candidate Tracker'!$I:$I,"Female")),"")</f>
        <v/>
      </c>
      <c r="BB753" s="34" t="str">
        <f>IFERROR(IF(COUNTIFS('Candidate Tracker'!$E:$E,'Positions Tracker'!$B753,'Candidate Tracker'!$I:$I,"male")=0,"",COUNTIFS('Candidate Tracker'!$E:$E,'Positions Tracker'!$B753,'Candidate Tracker'!$I:$I,"male")),"")</f>
        <v/>
      </c>
      <c r="BC753" s="33" t="str">
        <f>IFERROR(IF(COUNTIFS('Candidate Tracker'!$E:$E,'Positions Tracker'!$B753,'Candidate Tracker'!$C:$C,"&lt;&gt;WIP",'Candidate Tracker'!$C:$C,"&lt;&gt;Hold",'Candidate Tracker'!$C:$C,"&lt;&gt;Cancelled",'Candidate Tracker'!$C:$C,"&lt;&gt;Closed")/COUNTIFS('Candidate Tracker'!$E:$E,'Positions Tracker'!$B753)=0,"",COUNTIFS('Candidate Tracker'!$E:$E,'Positions Tracker'!$B753,'Candidate Tracker'!$C:$C,"&lt;&gt;WIP",'Candidate Tracker'!$C:$C,"&lt;&gt;Hold",'Candidate Tracker'!$C:$C,"&lt;&gt;Cancelled",'Candidate Tracker'!$C:$C,"&lt;&gt;Closed")/COUNTIFS('Candidate Tracker'!$E:$E,'Positions Tracker'!$B753)),"")</f>
        <v/>
      </c>
      <c r="BD753" s="30" t="str">
        <f t="shared" si="81"/>
        <v/>
      </c>
      <c r="BE753" s="30" t="str">
        <f t="shared" si="82"/>
        <v/>
      </c>
      <c r="BF753" s="30" t="str">
        <f t="shared" si="83"/>
        <v/>
      </c>
      <c r="BG753" s="30" t="str">
        <f t="shared" si="84"/>
        <v/>
      </c>
    </row>
    <row r="754" spans="1:59">
      <c r="A754" s="39"/>
      <c r="B754" s="39"/>
      <c r="C754" s="39"/>
      <c r="D754" s="39"/>
      <c r="E754" s="39"/>
      <c r="F754" s="39"/>
      <c r="G754" s="39"/>
      <c r="H754" s="39"/>
      <c r="I754" s="40"/>
      <c r="J754" s="40"/>
      <c r="K754" s="35"/>
      <c r="L754" s="35"/>
      <c r="M754" s="35"/>
      <c r="N754" s="39"/>
      <c r="O754" s="39"/>
      <c r="P754" s="39"/>
      <c r="Q754" s="39"/>
      <c r="R754" s="39"/>
      <c r="S754" s="39"/>
      <c r="T754" s="39"/>
      <c r="U754" s="39"/>
      <c r="V754" s="39"/>
      <c r="W754" s="39"/>
      <c r="X754" s="39"/>
      <c r="Y754" s="39"/>
      <c r="Z754" s="39"/>
      <c r="AA754" s="39"/>
      <c r="AB754" s="39"/>
      <c r="AC754" s="39"/>
      <c r="AD754" s="39"/>
      <c r="AE754" s="39"/>
      <c r="AF754" s="39"/>
      <c r="AG754" s="39"/>
      <c r="AH754" s="39"/>
      <c r="AI754" s="35"/>
      <c r="AJ754" s="39"/>
      <c r="AK754" s="39"/>
      <c r="AL754" s="39"/>
      <c r="AM754" s="35"/>
      <c r="AN754" s="35"/>
      <c r="AO754" s="39"/>
      <c r="AP754" s="39"/>
      <c r="AQ754" s="35"/>
      <c r="AR754" s="35"/>
      <c r="AS754" s="35"/>
      <c r="AT754" s="30">
        <f t="shared" ca="1" si="80"/>
        <v>0</v>
      </c>
      <c r="AU754" s="32" t="str">
        <f t="shared" ca="1" si="79"/>
        <v/>
      </c>
      <c r="AV754" s="32" t="str" cm="1">
        <f t="array" aca="1" ref="AV754" ca="1">IFERROR(_xlfn.IFS($AU754="","",$AU754&lt;=15,"0-15",AND($AU754&gt;=16,$AU754&lt;=30),"16-30",AND($AU754&gt;=31,$AU754&lt;=45),"31-45",AND($AU754&gt;=46,$AU754&lt;=60),"46-60",AND($AU754&gt;=61,$AU754&lt;=90),"61-90",AND($AU754&gt;=91),"&gt; 90",AND($AU754&gt;=2000),""),"")</f>
        <v/>
      </c>
      <c r="AW754" s="32" t="str" cm="1">
        <f t="array" aca="1" ref="AW754" ca="1">IFERROR(_xlfn.IFS(OR($M754="",$AM754=""),"",OR($C754="Offered",$C754="Joined"),($AM754-$M754)-$AT754),"")</f>
        <v/>
      </c>
      <c r="AX754" s="32" t="str" cm="1">
        <f t="array" aca="1" ref="AX754" ca="1">IFERROR(_xlfn.IFS(OR($M754="",$AS754=""),"",$C754="Joined",($AS754-$M754)-$AT754),"")</f>
        <v/>
      </c>
      <c r="AY754" s="30" t="str">
        <f>IFERROR(IF(COUNTIFS('Candidate Tracker'!$E:$E,'Positions Tracker'!$B754,'Candidate Tracker'!$C:$C,"Offer Drop")=0,"",COUNTIFS('Candidate Tracker'!$E:$E,'Positions Tracker'!$B754,'Candidate Tracker'!$C:$C,"Offer Drop")),"")</f>
        <v/>
      </c>
      <c r="AZ75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4" s="34" t="str">
        <f>IFERROR(IF(COUNTIFS('Candidate Tracker'!$E:$E,'Positions Tracker'!$B754,'Candidate Tracker'!$I:$I,"Female")=0,"",COUNTIFS('Candidate Tracker'!$E:$E,'Positions Tracker'!$B754,'Candidate Tracker'!$I:$I,"Female")),"")</f>
        <v/>
      </c>
      <c r="BB754" s="34" t="str">
        <f>IFERROR(IF(COUNTIFS('Candidate Tracker'!$E:$E,'Positions Tracker'!$B754,'Candidate Tracker'!$I:$I,"male")=0,"",COUNTIFS('Candidate Tracker'!$E:$E,'Positions Tracker'!$B754,'Candidate Tracker'!$I:$I,"male")),"")</f>
        <v/>
      </c>
      <c r="BC754" s="33" t="str">
        <f>IFERROR(IF(COUNTIFS('Candidate Tracker'!$E:$E,'Positions Tracker'!$B754,'Candidate Tracker'!$C:$C,"&lt;&gt;WIP",'Candidate Tracker'!$C:$C,"&lt;&gt;Hold",'Candidate Tracker'!$C:$C,"&lt;&gt;Cancelled",'Candidate Tracker'!$C:$C,"&lt;&gt;Closed")/COUNTIFS('Candidate Tracker'!$E:$E,'Positions Tracker'!$B754)=0,"",COUNTIFS('Candidate Tracker'!$E:$E,'Positions Tracker'!$B754,'Candidate Tracker'!$C:$C,"&lt;&gt;WIP",'Candidate Tracker'!$C:$C,"&lt;&gt;Hold",'Candidate Tracker'!$C:$C,"&lt;&gt;Cancelled",'Candidate Tracker'!$C:$C,"&lt;&gt;Closed")/COUNTIFS('Candidate Tracker'!$E:$E,'Positions Tracker'!$B754)),"")</f>
        <v/>
      </c>
      <c r="BD754" s="30" t="str">
        <f t="shared" si="81"/>
        <v/>
      </c>
      <c r="BE754" s="30" t="str">
        <f t="shared" si="82"/>
        <v/>
      </c>
      <c r="BF754" s="30" t="str">
        <f t="shared" si="83"/>
        <v/>
      </c>
      <c r="BG754" s="30" t="str">
        <f t="shared" si="84"/>
        <v/>
      </c>
    </row>
    <row r="755" spans="1:59">
      <c r="A755" s="39"/>
      <c r="B755" s="39"/>
      <c r="C755" s="39"/>
      <c r="D755" s="39"/>
      <c r="E755" s="39"/>
      <c r="F755" s="39"/>
      <c r="G755" s="39"/>
      <c r="H755" s="39"/>
      <c r="I755" s="40"/>
      <c r="J755" s="40"/>
      <c r="K755" s="35"/>
      <c r="L755" s="35"/>
      <c r="M755" s="35"/>
      <c r="N755" s="39"/>
      <c r="O755" s="39"/>
      <c r="P755" s="39"/>
      <c r="Q755" s="39"/>
      <c r="R755" s="39"/>
      <c r="S755" s="39"/>
      <c r="T755" s="39"/>
      <c r="U755" s="39"/>
      <c r="V755" s="39"/>
      <c r="W755" s="39"/>
      <c r="X755" s="39"/>
      <c r="Y755" s="39"/>
      <c r="Z755" s="39"/>
      <c r="AA755" s="39"/>
      <c r="AB755" s="39"/>
      <c r="AC755" s="39"/>
      <c r="AD755" s="39"/>
      <c r="AE755" s="39"/>
      <c r="AF755" s="39"/>
      <c r="AG755" s="39"/>
      <c r="AH755" s="39"/>
      <c r="AI755" s="35"/>
      <c r="AJ755" s="39"/>
      <c r="AK755" s="39"/>
      <c r="AL755" s="39"/>
      <c r="AM755" s="35"/>
      <c r="AN755" s="35"/>
      <c r="AO755" s="39"/>
      <c r="AP755" s="39"/>
      <c r="AQ755" s="35"/>
      <c r="AR755" s="35"/>
      <c r="AS755" s="35"/>
      <c r="AT755" s="30">
        <f t="shared" ca="1" si="80"/>
        <v>0</v>
      </c>
      <c r="AU755" s="32" t="str">
        <f t="shared" ca="1" si="79"/>
        <v/>
      </c>
      <c r="AV755" s="32" t="str" cm="1">
        <f t="array" aca="1" ref="AV755" ca="1">IFERROR(_xlfn.IFS($AU755="","",$AU755&lt;=15,"0-15",AND($AU755&gt;=16,$AU755&lt;=30),"16-30",AND($AU755&gt;=31,$AU755&lt;=45),"31-45",AND($AU755&gt;=46,$AU755&lt;=60),"46-60",AND($AU755&gt;=61,$AU755&lt;=90),"61-90",AND($AU755&gt;=91),"&gt; 90",AND($AU755&gt;=2000),""),"")</f>
        <v/>
      </c>
      <c r="AW755" s="32" t="str" cm="1">
        <f t="array" aca="1" ref="AW755" ca="1">IFERROR(_xlfn.IFS(OR($M755="",$AM755=""),"",OR($C755="Offered",$C755="Joined"),($AM755-$M755)-$AT755),"")</f>
        <v/>
      </c>
      <c r="AX755" s="32" t="str" cm="1">
        <f t="array" aca="1" ref="AX755" ca="1">IFERROR(_xlfn.IFS(OR($M755="",$AS755=""),"",$C755="Joined",($AS755-$M755)-$AT755),"")</f>
        <v/>
      </c>
      <c r="AY755" s="30" t="str">
        <f>IFERROR(IF(COUNTIFS('Candidate Tracker'!$E:$E,'Positions Tracker'!$B755,'Candidate Tracker'!$C:$C,"Offer Drop")=0,"",COUNTIFS('Candidate Tracker'!$E:$E,'Positions Tracker'!$B755,'Candidate Tracker'!$C:$C,"Offer Drop")),"")</f>
        <v/>
      </c>
      <c r="AZ75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5" s="34" t="str">
        <f>IFERROR(IF(COUNTIFS('Candidate Tracker'!$E:$E,'Positions Tracker'!$B755,'Candidate Tracker'!$I:$I,"Female")=0,"",COUNTIFS('Candidate Tracker'!$E:$E,'Positions Tracker'!$B755,'Candidate Tracker'!$I:$I,"Female")),"")</f>
        <v/>
      </c>
      <c r="BB755" s="34" t="str">
        <f>IFERROR(IF(COUNTIFS('Candidate Tracker'!$E:$E,'Positions Tracker'!$B755,'Candidate Tracker'!$I:$I,"male")=0,"",COUNTIFS('Candidate Tracker'!$E:$E,'Positions Tracker'!$B755,'Candidate Tracker'!$I:$I,"male")),"")</f>
        <v/>
      </c>
      <c r="BC755" s="33" t="str">
        <f>IFERROR(IF(COUNTIFS('Candidate Tracker'!$E:$E,'Positions Tracker'!$B755,'Candidate Tracker'!$C:$C,"&lt;&gt;WIP",'Candidate Tracker'!$C:$C,"&lt;&gt;Hold",'Candidate Tracker'!$C:$C,"&lt;&gt;Cancelled",'Candidate Tracker'!$C:$C,"&lt;&gt;Closed")/COUNTIFS('Candidate Tracker'!$E:$E,'Positions Tracker'!$B755)=0,"",COUNTIFS('Candidate Tracker'!$E:$E,'Positions Tracker'!$B755,'Candidate Tracker'!$C:$C,"&lt;&gt;WIP",'Candidate Tracker'!$C:$C,"&lt;&gt;Hold",'Candidate Tracker'!$C:$C,"&lt;&gt;Cancelled",'Candidate Tracker'!$C:$C,"&lt;&gt;Closed")/COUNTIFS('Candidate Tracker'!$E:$E,'Positions Tracker'!$B755)),"")</f>
        <v/>
      </c>
      <c r="BD755" s="30" t="str">
        <f t="shared" si="81"/>
        <v/>
      </c>
      <c r="BE755" s="30" t="str">
        <f t="shared" si="82"/>
        <v/>
      </c>
      <c r="BF755" s="30" t="str">
        <f t="shared" si="83"/>
        <v/>
      </c>
      <c r="BG755" s="30" t="str">
        <f t="shared" si="84"/>
        <v/>
      </c>
    </row>
    <row r="756" spans="1:59">
      <c r="A756" s="39"/>
      <c r="B756" s="39"/>
      <c r="C756" s="39"/>
      <c r="D756" s="39"/>
      <c r="E756" s="39"/>
      <c r="F756" s="39"/>
      <c r="G756" s="39"/>
      <c r="H756" s="39"/>
      <c r="I756" s="40"/>
      <c r="J756" s="40"/>
      <c r="K756" s="35"/>
      <c r="L756" s="35"/>
      <c r="M756" s="35"/>
      <c r="N756" s="39"/>
      <c r="O756" s="39"/>
      <c r="P756" s="39"/>
      <c r="Q756" s="39"/>
      <c r="R756" s="39"/>
      <c r="S756" s="39"/>
      <c r="T756" s="39"/>
      <c r="U756" s="39"/>
      <c r="V756" s="39"/>
      <c r="W756" s="39"/>
      <c r="X756" s="39"/>
      <c r="Y756" s="39"/>
      <c r="Z756" s="39"/>
      <c r="AA756" s="39"/>
      <c r="AB756" s="39"/>
      <c r="AC756" s="39"/>
      <c r="AD756" s="39"/>
      <c r="AE756" s="39"/>
      <c r="AF756" s="39"/>
      <c r="AG756" s="39"/>
      <c r="AH756" s="39"/>
      <c r="AI756" s="35"/>
      <c r="AJ756" s="39"/>
      <c r="AK756" s="39"/>
      <c r="AL756" s="39"/>
      <c r="AM756" s="35"/>
      <c r="AN756" s="35"/>
      <c r="AO756" s="39"/>
      <c r="AP756" s="39"/>
      <c r="AQ756" s="35"/>
      <c r="AR756" s="35"/>
      <c r="AS756" s="35"/>
      <c r="AT756" s="30">
        <f t="shared" ca="1" si="80"/>
        <v>0</v>
      </c>
      <c r="AU756" s="32" t="str">
        <f t="shared" ca="1" si="79"/>
        <v/>
      </c>
      <c r="AV756" s="32" t="str" cm="1">
        <f t="array" aca="1" ref="AV756" ca="1">IFERROR(_xlfn.IFS($AU756="","",$AU756&lt;=15,"0-15",AND($AU756&gt;=16,$AU756&lt;=30),"16-30",AND($AU756&gt;=31,$AU756&lt;=45),"31-45",AND($AU756&gt;=46,$AU756&lt;=60),"46-60",AND($AU756&gt;=61,$AU756&lt;=90),"61-90",AND($AU756&gt;=91),"&gt; 90",AND($AU756&gt;=2000),""),"")</f>
        <v/>
      </c>
      <c r="AW756" s="32" t="str" cm="1">
        <f t="array" aca="1" ref="AW756" ca="1">IFERROR(_xlfn.IFS(OR($M756="",$AM756=""),"",OR($C756="Offered",$C756="Joined"),($AM756-$M756)-$AT756),"")</f>
        <v/>
      </c>
      <c r="AX756" s="32" t="str" cm="1">
        <f t="array" aca="1" ref="AX756" ca="1">IFERROR(_xlfn.IFS(OR($M756="",$AS756=""),"",$C756="Joined",($AS756-$M756)-$AT756),"")</f>
        <v/>
      </c>
      <c r="AY756" s="30" t="str">
        <f>IFERROR(IF(COUNTIFS('Candidate Tracker'!$E:$E,'Positions Tracker'!$B756,'Candidate Tracker'!$C:$C,"Offer Drop")=0,"",COUNTIFS('Candidate Tracker'!$E:$E,'Positions Tracker'!$B756,'Candidate Tracker'!$C:$C,"Offer Drop")),"")</f>
        <v/>
      </c>
      <c r="AZ75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6" s="34" t="str">
        <f>IFERROR(IF(COUNTIFS('Candidate Tracker'!$E:$E,'Positions Tracker'!$B756,'Candidate Tracker'!$I:$I,"Female")=0,"",COUNTIFS('Candidate Tracker'!$E:$E,'Positions Tracker'!$B756,'Candidate Tracker'!$I:$I,"Female")),"")</f>
        <v/>
      </c>
      <c r="BB756" s="34" t="str">
        <f>IFERROR(IF(COUNTIFS('Candidate Tracker'!$E:$E,'Positions Tracker'!$B756,'Candidate Tracker'!$I:$I,"male")=0,"",COUNTIFS('Candidate Tracker'!$E:$E,'Positions Tracker'!$B756,'Candidate Tracker'!$I:$I,"male")),"")</f>
        <v/>
      </c>
      <c r="BC756" s="33" t="str">
        <f>IFERROR(IF(COUNTIFS('Candidate Tracker'!$E:$E,'Positions Tracker'!$B756,'Candidate Tracker'!$C:$C,"&lt;&gt;WIP",'Candidate Tracker'!$C:$C,"&lt;&gt;Hold",'Candidate Tracker'!$C:$C,"&lt;&gt;Cancelled",'Candidate Tracker'!$C:$C,"&lt;&gt;Closed")/COUNTIFS('Candidate Tracker'!$E:$E,'Positions Tracker'!$B756)=0,"",COUNTIFS('Candidate Tracker'!$E:$E,'Positions Tracker'!$B756,'Candidate Tracker'!$C:$C,"&lt;&gt;WIP",'Candidate Tracker'!$C:$C,"&lt;&gt;Hold",'Candidate Tracker'!$C:$C,"&lt;&gt;Cancelled",'Candidate Tracker'!$C:$C,"&lt;&gt;Closed")/COUNTIFS('Candidate Tracker'!$E:$E,'Positions Tracker'!$B756)),"")</f>
        <v/>
      </c>
      <c r="BD756" s="30" t="str">
        <f t="shared" si="81"/>
        <v/>
      </c>
      <c r="BE756" s="30" t="str">
        <f t="shared" si="82"/>
        <v/>
      </c>
      <c r="BF756" s="30" t="str">
        <f t="shared" si="83"/>
        <v/>
      </c>
      <c r="BG756" s="30" t="str">
        <f t="shared" si="84"/>
        <v/>
      </c>
    </row>
    <row r="757" spans="1:59">
      <c r="A757" s="39"/>
      <c r="B757" s="39"/>
      <c r="C757" s="39"/>
      <c r="D757" s="39"/>
      <c r="E757" s="39"/>
      <c r="F757" s="39"/>
      <c r="G757" s="39"/>
      <c r="H757" s="39"/>
      <c r="I757" s="40"/>
      <c r="J757" s="40"/>
      <c r="K757" s="35"/>
      <c r="L757" s="35"/>
      <c r="M757" s="35"/>
      <c r="N757" s="39"/>
      <c r="O757" s="39"/>
      <c r="P757" s="39"/>
      <c r="Q757" s="39"/>
      <c r="R757" s="39"/>
      <c r="S757" s="39"/>
      <c r="T757" s="39"/>
      <c r="U757" s="39"/>
      <c r="V757" s="39"/>
      <c r="W757" s="39"/>
      <c r="X757" s="39"/>
      <c r="Y757" s="39"/>
      <c r="Z757" s="39"/>
      <c r="AA757" s="39"/>
      <c r="AB757" s="39"/>
      <c r="AC757" s="39"/>
      <c r="AD757" s="39"/>
      <c r="AE757" s="39"/>
      <c r="AF757" s="39"/>
      <c r="AG757" s="39"/>
      <c r="AH757" s="39"/>
      <c r="AI757" s="35"/>
      <c r="AJ757" s="39"/>
      <c r="AK757" s="39"/>
      <c r="AL757" s="39"/>
      <c r="AM757" s="35"/>
      <c r="AN757" s="35"/>
      <c r="AO757" s="39"/>
      <c r="AP757" s="39"/>
      <c r="AQ757" s="35"/>
      <c r="AR757" s="35"/>
      <c r="AS757" s="35"/>
      <c r="AT757" s="30">
        <f t="shared" ca="1" si="80"/>
        <v>0</v>
      </c>
      <c r="AU757" s="32" t="str">
        <f t="shared" ca="1" si="79"/>
        <v/>
      </c>
      <c r="AV757" s="32" t="str" cm="1">
        <f t="array" aca="1" ref="AV757" ca="1">IFERROR(_xlfn.IFS($AU757="","",$AU757&lt;=15,"0-15",AND($AU757&gt;=16,$AU757&lt;=30),"16-30",AND($AU757&gt;=31,$AU757&lt;=45),"31-45",AND($AU757&gt;=46,$AU757&lt;=60),"46-60",AND($AU757&gt;=61,$AU757&lt;=90),"61-90",AND($AU757&gt;=91),"&gt; 90",AND($AU757&gt;=2000),""),"")</f>
        <v/>
      </c>
      <c r="AW757" s="32" t="str" cm="1">
        <f t="array" aca="1" ref="AW757" ca="1">IFERROR(_xlfn.IFS(OR($M757="",$AM757=""),"",OR($C757="Offered",$C757="Joined"),($AM757-$M757)-$AT757),"")</f>
        <v/>
      </c>
      <c r="AX757" s="32" t="str" cm="1">
        <f t="array" aca="1" ref="AX757" ca="1">IFERROR(_xlfn.IFS(OR($M757="",$AS757=""),"",$C757="Joined",($AS757-$M757)-$AT757),"")</f>
        <v/>
      </c>
      <c r="AY757" s="30" t="str">
        <f>IFERROR(IF(COUNTIFS('Candidate Tracker'!$E:$E,'Positions Tracker'!$B757,'Candidate Tracker'!$C:$C,"Offer Drop")=0,"",COUNTIFS('Candidate Tracker'!$E:$E,'Positions Tracker'!$B757,'Candidate Tracker'!$C:$C,"Offer Drop")),"")</f>
        <v/>
      </c>
      <c r="AZ75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7" s="34" t="str">
        <f>IFERROR(IF(COUNTIFS('Candidate Tracker'!$E:$E,'Positions Tracker'!$B757,'Candidate Tracker'!$I:$I,"Female")=0,"",COUNTIFS('Candidate Tracker'!$E:$E,'Positions Tracker'!$B757,'Candidate Tracker'!$I:$I,"Female")),"")</f>
        <v/>
      </c>
      <c r="BB757" s="34" t="str">
        <f>IFERROR(IF(COUNTIFS('Candidate Tracker'!$E:$E,'Positions Tracker'!$B757,'Candidate Tracker'!$I:$I,"male")=0,"",COUNTIFS('Candidate Tracker'!$E:$E,'Positions Tracker'!$B757,'Candidate Tracker'!$I:$I,"male")),"")</f>
        <v/>
      </c>
      <c r="BC757" s="33" t="str">
        <f>IFERROR(IF(COUNTIFS('Candidate Tracker'!$E:$E,'Positions Tracker'!$B757,'Candidate Tracker'!$C:$C,"&lt;&gt;WIP",'Candidate Tracker'!$C:$C,"&lt;&gt;Hold",'Candidate Tracker'!$C:$C,"&lt;&gt;Cancelled",'Candidate Tracker'!$C:$C,"&lt;&gt;Closed")/COUNTIFS('Candidate Tracker'!$E:$E,'Positions Tracker'!$B757)=0,"",COUNTIFS('Candidate Tracker'!$E:$E,'Positions Tracker'!$B757,'Candidate Tracker'!$C:$C,"&lt;&gt;WIP",'Candidate Tracker'!$C:$C,"&lt;&gt;Hold",'Candidate Tracker'!$C:$C,"&lt;&gt;Cancelled",'Candidate Tracker'!$C:$C,"&lt;&gt;Closed")/COUNTIFS('Candidate Tracker'!$E:$E,'Positions Tracker'!$B757)),"")</f>
        <v/>
      </c>
      <c r="BD757" s="30" t="str">
        <f t="shared" si="81"/>
        <v/>
      </c>
      <c r="BE757" s="30" t="str">
        <f t="shared" si="82"/>
        <v/>
      </c>
      <c r="BF757" s="30" t="str">
        <f t="shared" si="83"/>
        <v/>
      </c>
      <c r="BG757" s="30" t="str">
        <f t="shared" si="84"/>
        <v/>
      </c>
    </row>
    <row r="758" spans="1:59">
      <c r="A758" s="39"/>
      <c r="B758" s="39"/>
      <c r="C758" s="39"/>
      <c r="D758" s="39"/>
      <c r="E758" s="39"/>
      <c r="F758" s="39"/>
      <c r="G758" s="39"/>
      <c r="H758" s="39"/>
      <c r="I758" s="40"/>
      <c r="J758" s="40"/>
      <c r="K758" s="35"/>
      <c r="L758" s="35"/>
      <c r="M758" s="35"/>
      <c r="N758" s="39"/>
      <c r="O758" s="39"/>
      <c r="P758" s="39"/>
      <c r="Q758" s="39"/>
      <c r="R758" s="39"/>
      <c r="S758" s="39"/>
      <c r="T758" s="39"/>
      <c r="U758" s="39"/>
      <c r="V758" s="39"/>
      <c r="W758" s="39"/>
      <c r="X758" s="39"/>
      <c r="Y758" s="39"/>
      <c r="Z758" s="39"/>
      <c r="AA758" s="39"/>
      <c r="AB758" s="39"/>
      <c r="AC758" s="39"/>
      <c r="AD758" s="39"/>
      <c r="AE758" s="39"/>
      <c r="AF758" s="39"/>
      <c r="AG758" s="39"/>
      <c r="AH758" s="39"/>
      <c r="AI758" s="35"/>
      <c r="AJ758" s="39"/>
      <c r="AK758" s="39"/>
      <c r="AL758" s="39"/>
      <c r="AM758" s="35"/>
      <c r="AN758" s="35"/>
      <c r="AO758" s="39"/>
      <c r="AP758" s="39"/>
      <c r="AQ758" s="35"/>
      <c r="AR758" s="35"/>
      <c r="AS758" s="35"/>
      <c r="AT758" s="30">
        <f t="shared" ca="1" si="80"/>
        <v>0</v>
      </c>
      <c r="AU758" s="32" t="str">
        <f t="shared" ca="1" si="79"/>
        <v/>
      </c>
      <c r="AV758" s="32" t="str" cm="1">
        <f t="array" aca="1" ref="AV758" ca="1">IFERROR(_xlfn.IFS($AU758="","",$AU758&lt;=15,"0-15",AND($AU758&gt;=16,$AU758&lt;=30),"16-30",AND($AU758&gt;=31,$AU758&lt;=45),"31-45",AND($AU758&gt;=46,$AU758&lt;=60),"46-60",AND($AU758&gt;=61,$AU758&lt;=90),"61-90",AND($AU758&gt;=91),"&gt; 90",AND($AU758&gt;=2000),""),"")</f>
        <v/>
      </c>
      <c r="AW758" s="32" t="str" cm="1">
        <f t="array" aca="1" ref="AW758" ca="1">IFERROR(_xlfn.IFS(OR($M758="",$AM758=""),"",OR($C758="Offered",$C758="Joined"),($AM758-$M758)-$AT758),"")</f>
        <v/>
      </c>
      <c r="AX758" s="32" t="str" cm="1">
        <f t="array" aca="1" ref="AX758" ca="1">IFERROR(_xlfn.IFS(OR($M758="",$AS758=""),"",$C758="Joined",($AS758-$M758)-$AT758),"")</f>
        <v/>
      </c>
      <c r="AY758" s="30" t="str">
        <f>IFERROR(IF(COUNTIFS('Candidate Tracker'!$E:$E,'Positions Tracker'!$B758,'Candidate Tracker'!$C:$C,"Offer Drop")=0,"",COUNTIFS('Candidate Tracker'!$E:$E,'Positions Tracker'!$B758,'Candidate Tracker'!$C:$C,"Offer Drop")),"")</f>
        <v/>
      </c>
      <c r="AZ7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8" s="34" t="str">
        <f>IFERROR(IF(COUNTIFS('Candidate Tracker'!$E:$E,'Positions Tracker'!$B758,'Candidate Tracker'!$I:$I,"Female")=0,"",COUNTIFS('Candidate Tracker'!$E:$E,'Positions Tracker'!$B758,'Candidate Tracker'!$I:$I,"Female")),"")</f>
        <v/>
      </c>
      <c r="BB758" s="34" t="str">
        <f>IFERROR(IF(COUNTIFS('Candidate Tracker'!$E:$E,'Positions Tracker'!$B758,'Candidate Tracker'!$I:$I,"male")=0,"",COUNTIFS('Candidate Tracker'!$E:$E,'Positions Tracker'!$B758,'Candidate Tracker'!$I:$I,"male")),"")</f>
        <v/>
      </c>
      <c r="BC758" s="33" t="str">
        <f>IFERROR(IF(COUNTIFS('Candidate Tracker'!$E:$E,'Positions Tracker'!$B758,'Candidate Tracker'!$C:$C,"&lt;&gt;WIP",'Candidate Tracker'!$C:$C,"&lt;&gt;Hold",'Candidate Tracker'!$C:$C,"&lt;&gt;Cancelled",'Candidate Tracker'!$C:$C,"&lt;&gt;Closed")/COUNTIFS('Candidate Tracker'!$E:$E,'Positions Tracker'!$B758)=0,"",COUNTIFS('Candidate Tracker'!$E:$E,'Positions Tracker'!$B758,'Candidate Tracker'!$C:$C,"&lt;&gt;WIP",'Candidate Tracker'!$C:$C,"&lt;&gt;Hold",'Candidate Tracker'!$C:$C,"&lt;&gt;Cancelled",'Candidate Tracker'!$C:$C,"&lt;&gt;Closed")/COUNTIFS('Candidate Tracker'!$E:$E,'Positions Tracker'!$B758)),"")</f>
        <v/>
      </c>
      <c r="BD758" s="30" t="str">
        <f t="shared" si="81"/>
        <v/>
      </c>
      <c r="BE758" s="30" t="str">
        <f t="shared" si="82"/>
        <v/>
      </c>
      <c r="BF758" s="30" t="str">
        <f t="shared" si="83"/>
        <v/>
      </c>
      <c r="BG758" s="30" t="str">
        <f t="shared" si="84"/>
        <v/>
      </c>
    </row>
    <row r="759" spans="1:59">
      <c r="A759" s="39"/>
      <c r="B759" s="39"/>
      <c r="C759" s="39"/>
      <c r="D759" s="39"/>
      <c r="E759" s="39"/>
      <c r="F759" s="39"/>
      <c r="G759" s="39"/>
      <c r="H759" s="39"/>
      <c r="I759" s="40"/>
      <c r="J759" s="40"/>
      <c r="K759" s="35"/>
      <c r="L759" s="35"/>
      <c r="M759" s="35"/>
      <c r="N759" s="39"/>
      <c r="O759" s="39"/>
      <c r="P759" s="39"/>
      <c r="Q759" s="39"/>
      <c r="R759" s="39"/>
      <c r="S759" s="39"/>
      <c r="T759" s="39"/>
      <c r="U759" s="39"/>
      <c r="V759" s="39"/>
      <c r="W759" s="39"/>
      <c r="X759" s="39"/>
      <c r="Y759" s="39"/>
      <c r="Z759" s="39"/>
      <c r="AA759" s="39"/>
      <c r="AB759" s="39"/>
      <c r="AC759" s="39"/>
      <c r="AD759" s="39"/>
      <c r="AE759" s="39"/>
      <c r="AF759" s="39"/>
      <c r="AG759" s="39"/>
      <c r="AH759" s="39"/>
      <c r="AI759" s="35"/>
      <c r="AJ759" s="39"/>
      <c r="AK759" s="39"/>
      <c r="AL759" s="39"/>
      <c r="AM759" s="35"/>
      <c r="AN759" s="35"/>
      <c r="AO759" s="39"/>
      <c r="AP759" s="39"/>
      <c r="AQ759" s="35"/>
      <c r="AR759" s="35"/>
      <c r="AS759" s="35"/>
      <c r="AT759" s="30">
        <f t="shared" ca="1" si="80"/>
        <v>0</v>
      </c>
      <c r="AU759" s="32" t="str">
        <f t="shared" ca="1" si="79"/>
        <v/>
      </c>
      <c r="AV759" s="32" t="str" cm="1">
        <f t="array" aca="1" ref="AV759" ca="1">IFERROR(_xlfn.IFS($AU759="","",$AU759&lt;=15,"0-15",AND($AU759&gt;=16,$AU759&lt;=30),"16-30",AND($AU759&gt;=31,$AU759&lt;=45),"31-45",AND($AU759&gt;=46,$AU759&lt;=60),"46-60",AND($AU759&gt;=61,$AU759&lt;=90),"61-90",AND($AU759&gt;=91),"&gt; 90",AND($AU759&gt;=2000),""),"")</f>
        <v/>
      </c>
      <c r="AW759" s="32" t="str" cm="1">
        <f t="array" aca="1" ref="AW759" ca="1">IFERROR(_xlfn.IFS(OR($M759="",$AM759=""),"",OR($C759="Offered",$C759="Joined"),($AM759-$M759)-$AT759),"")</f>
        <v/>
      </c>
      <c r="AX759" s="32" t="str" cm="1">
        <f t="array" aca="1" ref="AX759" ca="1">IFERROR(_xlfn.IFS(OR($M759="",$AS759=""),"",$C759="Joined",($AS759-$M759)-$AT759),"")</f>
        <v/>
      </c>
      <c r="AY759" s="30" t="str">
        <f>IFERROR(IF(COUNTIFS('Candidate Tracker'!$E:$E,'Positions Tracker'!$B759,'Candidate Tracker'!$C:$C,"Offer Drop")=0,"",COUNTIFS('Candidate Tracker'!$E:$E,'Positions Tracker'!$B759,'Candidate Tracker'!$C:$C,"Offer Drop")),"")</f>
        <v/>
      </c>
      <c r="AZ7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59" s="34" t="str">
        <f>IFERROR(IF(COUNTIFS('Candidate Tracker'!$E:$E,'Positions Tracker'!$B759,'Candidate Tracker'!$I:$I,"Female")=0,"",COUNTIFS('Candidate Tracker'!$E:$E,'Positions Tracker'!$B759,'Candidate Tracker'!$I:$I,"Female")),"")</f>
        <v/>
      </c>
      <c r="BB759" s="34" t="str">
        <f>IFERROR(IF(COUNTIFS('Candidate Tracker'!$E:$E,'Positions Tracker'!$B759,'Candidate Tracker'!$I:$I,"male")=0,"",COUNTIFS('Candidate Tracker'!$E:$E,'Positions Tracker'!$B759,'Candidate Tracker'!$I:$I,"male")),"")</f>
        <v/>
      </c>
      <c r="BC759" s="33" t="str">
        <f>IFERROR(IF(COUNTIFS('Candidate Tracker'!$E:$E,'Positions Tracker'!$B759,'Candidate Tracker'!$C:$C,"&lt;&gt;WIP",'Candidate Tracker'!$C:$C,"&lt;&gt;Hold",'Candidate Tracker'!$C:$C,"&lt;&gt;Cancelled",'Candidate Tracker'!$C:$C,"&lt;&gt;Closed")/COUNTIFS('Candidate Tracker'!$E:$E,'Positions Tracker'!$B759)=0,"",COUNTIFS('Candidate Tracker'!$E:$E,'Positions Tracker'!$B759,'Candidate Tracker'!$C:$C,"&lt;&gt;WIP",'Candidate Tracker'!$C:$C,"&lt;&gt;Hold",'Candidate Tracker'!$C:$C,"&lt;&gt;Cancelled",'Candidate Tracker'!$C:$C,"&lt;&gt;Closed")/COUNTIFS('Candidate Tracker'!$E:$E,'Positions Tracker'!$B759)),"")</f>
        <v/>
      </c>
      <c r="BD759" s="30" t="str">
        <f t="shared" si="81"/>
        <v/>
      </c>
      <c r="BE759" s="30" t="str">
        <f t="shared" si="82"/>
        <v/>
      </c>
      <c r="BF759" s="30" t="str">
        <f t="shared" si="83"/>
        <v/>
      </c>
      <c r="BG759" s="30" t="str">
        <f t="shared" si="84"/>
        <v/>
      </c>
    </row>
    <row r="760" spans="1:59">
      <c r="A760" s="39"/>
      <c r="B760" s="39"/>
      <c r="C760" s="39"/>
      <c r="D760" s="39"/>
      <c r="E760" s="39"/>
      <c r="F760" s="39"/>
      <c r="G760" s="39"/>
      <c r="H760" s="39"/>
      <c r="I760" s="40"/>
      <c r="J760" s="40"/>
      <c r="K760" s="35"/>
      <c r="L760" s="35"/>
      <c r="M760" s="35"/>
      <c r="N760" s="39"/>
      <c r="O760" s="39"/>
      <c r="P760" s="39"/>
      <c r="Q760" s="39"/>
      <c r="R760" s="39"/>
      <c r="S760" s="39"/>
      <c r="T760" s="39"/>
      <c r="U760" s="39"/>
      <c r="V760" s="39"/>
      <c r="W760" s="39"/>
      <c r="X760" s="39"/>
      <c r="Y760" s="39"/>
      <c r="Z760" s="39"/>
      <c r="AA760" s="39"/>
      <c r="AB760" s="39"/>
      <c r="AC760" s="39"/>
      <c r="AD760" s="39"/>
      <c r="AE760" s="39"/>
      <c r="AF760" s="39"/>
      <c r="AG760" s="39"/>
      <c r="AH760" s="39"/>
      <c r="AI760" s="35"/>
      <c r="AJ760" s="39"/>
      <c r="AK760" s="39"/>
      <c r="AL760" s="39"/>
      <c r="AM760" s="35"/>
      <c r="AN760" s="35"/>
      <c r="AO760" s="39"/>
      <c r="AP760" s="39"/>
      <c r="AQ760" s="35"/>
      <c r="AR760" s="35"/>
      <c r="AS760" s="35"/>
      <c r="AT760" s="30">
        <f t="shared" ca="1" si="80"/>
        <v>0</v>
      </c>
      <c r="AU760" s="32" t="str">
        <f t="shared" ca="1" si="79"/>
        <v/>
      </c>
      <c r="AV760" s="32" t="str" cm="1">
        <f t="array" aca="1" ref="AV760" ca="1">IFERROR(_xlfn.IFS($AU760="","",$AU760&lt;=15,"0-15",AND($AU760&gt;=16,$AU760&lt;=30),"16-30",AND($AU760&gt;=31,$AU760&lt;=45),"31-45",AND($AU760&gt;=46,$AU760&lt;=60),"46-60",AND($AU760&gt;=61,$AU760&lt;=90),"61-90",AND($AU760&gt;=91),"&gt; 90",AND($AU760&gt;=2000),""),"")</f>
        <v/>
      </c>
      <c r="AW760" s="32" t="str" cm="1">
        <f t="array" aca="1" ref="AW760" ca="1">IFERROR(_xlfn.IFS(OR($M760="",$AM760=""),"",OR($C760="Offered",$C760="Joined"),($AM760-$M760)-$AT760),"")</f>
        <v/>
      </c>
      <c r="AX760" s="32" t="str" cm="1">
        <f t="array" aca="1" ref="AX760" ca="1">IFERROR(_xlfn.IFS(OR($M760="",$AS760=""),"",$C760="Joined",($AS760-$M760)-$AT760),"")</f>
        <v/>
      </c>
      <c r="AY760" s="30" t="str">
        <f>IFERROR(IF(COUNTIFS('Candidate Tracker'!$E:$E,'Positions Tracker'!$B760,'Candidate Tracker'!$C:$C,"Offer Drop")=0,"",COUNTIFS('Candidate Tracker'!$E:$E,'Positions Tracker'!$B760,'Candidate Tracker'!$C:$C,"Offer Drop")),"")</f>
        <v/>
      </c>
      <c r="AZ7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0" s="34" t="str">
        <f>IFERROR(IF(COUNTIFS('Candidate Tracker'!$E:$E,'Positions Tracker'!$B760,'Candidate Tracker'!$I:$I,"Female")=0,"",COUNTIFS('Candidate Tracker'!$E:$E,'Positions Tracker'!$B760,'Candidate Tracker'!$I:$I,"Female")),"")</f>
        <v/>
      </c>
      <c r="BB760" s="34" t="str">
        <f>IFERROR(IF(COUNTIFS('Candidate Tracker'!$E:$E,'Positions Tracker'!$B760,'Candidate Tracker'!$I:$I,"male")=0,"",COUNTIFS('Candidate Tracker'!$E:$E,'Positions Tracker'!$B760,'Candidate Tracker'!$I:$I,"male")),"")</f>
        <v/>
      </c>
      <c r="BC760" s="33" t="str">
        <f>IFERROR(IF(COUNTIFS('Candidate Tracker'!$E:$E,'Positions Tracker'!$B760,'Candidate Tracker'!$C:$C,"&lt;&gt;WIP",'Candidate Tracker'!$C:$C,"&lt;&gt;Hold",'Candidate Tracker'!$C:$C,"&lt;&gt;Cancelled",'Candidate Tracker'!$C:$C,"&lt;&gt;Closed")/COUNTIFS('Candidate Tracker'!$E:$E,'Positions Tracker'!$B760)=0,"",COUNTIFS('Candidate Tracker'!$E:$E,'Positions Tracker'!$B760,'Candidate Tracker'!$C:$C,"&lt;&gt;WIP",'Candidate Tracker'!$C:$C,"&lt;&gt;Hold",'Candidate Tracker'!$C:$C,"&lt;&gt;Cancelled",'Candidate Tracker'!$C:$C,"&lt;&gt;Closed")/COUNTIFS('Candidate Tracker'!$E:$E,'Positions Tracker'!$B760)),"")</f>
        <v/>
      </c>
      <c r="BD760" s="30" t="str">
        <f t="shared" si="81"/>
        <v/>
      </c>
      <c r="BE760" s="30" t="str">
        <f t="shared" si="82"/>
        <v/>
      </c>
      <c r="BF760" s="30" t="str">
        <f t="shared" si="83"/>
        <v/>
      </c>
      <c r="BG760" s="30" t="str">
        <f t="shared" si="84"/>
        <v/>
      </c>
    </row>
    <row r="761" spans="1:59">
      <c r="A761" s="39"/>
      <c r="B761" s="39"/>
      <c r="C761" s="39"/>
      <c r="D761" s="39"/>
      <c r="E761" s="39"/>
      <c r="F761" s="39"/>
      <c r="G761" s="39"/>
      <c r="H761" s="39"/>
      <c r="I761" s="40"/>
      <c r="J761" s="40"/>
      <c r="K761" s="35"/>
      <c r="L761" s="35"/>
      <c r="M761" s="35"/>
      <c r="N761" s="39"/>
      <c r="O761" s="39"/>
      <c r="P761" s="39"/>
      <c r="Q761" s="39"/>
      <c r="R761" s="39"/>
      <c r="S761" s="39"/>
      <c r="T761" s="39"/>
      <c r="U761" s="39"/>
      <c r="V761" s="39"/>
      <c r="W761" s="39"/>
      <c r="X761" s="39"/>
      <c r="Y761" s="39"/>
      <c r="Z761" s="39"/>
      <c r="AA761" s="39"/>
      <c r="AB761" s="39"/>
      <c r="AC761" s="39"/>
      <c r="AD761" s="39"/>
      <c r="AE761" s="39"/>
      <c r="AF761" s="39"/>
      <c r="AG761" s="39"/>
      <c r="AH761" s="39"/>
      <c r="AI761" s="35"/>
      <c r="AJ761" s="39"/>
      <c r="AK761" s="39"/>
      <c r="AL761" s="39"/>
      <c r="AM761" s="35"/>
      <c r="AN761" s="35"/>
      <c r="AO761" s="39"/>
      <c r="AP761" s="39"/>
      <c r="AQ761" s="35"/>
      <c r="AR761" s="35"/>
      <c r="AS761" s="35"/>
      <c r="AT761" s="30">
        <f t="shared" ca="1" si="80"/>
        <v>0</v>
      </c>
      <c r="AU761" s="32" t="str">
        <f t="shared" ca="1" si="79"/>
        <v/>
      </c>
      <c r="AV761" s="32" t="str" cm="1">
        <f t="array" aca="1" ref="AV761" ca="1">IFERROR(_xlfn.IFS($AU761="","",$AU761&lt;=15,"0-15",AND($AU761&gt;=16,$AU761&lt;=30),"16-30",AND($AU761&gt;=31,$AU761&lt;=45),"31-45",AND($AU761&gt;=46,$AU761&lt;=60),"46-60",AND($AU761&gt;=61,$AU761&lt;=90),"61-90",AND($AU761&gt;=91),"&gt; 90",AND($AU761&gt;=2000),""),"")</f>
        <v/>
      </c>
      <c r="AW761" s="32" t="str" cm="1">
        <f t="array" aca="1" ref="AW761" ca="1">IFERROR(_xlfn.IFS(OR($M761="",$AM761=""),"",OR($C761="Offered",$C761="Joined"),($AM761-$M761)-$AT761),"")</f>
        <v/>
      </c>
      <c r="AX761" s="32" t="str" cm="1">
        <f t="array" aca="1" ref="AX761" ca="1">IFERROR(_xlfn.IFS(OR($M761="",$AS761=""),"",$C761="Joined",($AS761-$M761)-$AT761),"")</f>
        <v/>
      </c>
      <c r="AY761" s="30" t="str">
        <f>IFERROR(IF(COUNTIFS('Candidate Tracker'!$E:$E,'Positions Tracker'!$B761,'Candidate Tracker'!$C:$C,"Offer Drop")=0,"",COUNTIFS('Candidate Tracker'!$E:$E,'Positions Tracker'!$B761,'Candidate Tracker'!$C:$C,"Offer Drop")),"")</f>
        <v/>
      </c>
      <c r="AZ7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1" s="34" t="str">
        <f>IFERROR(IF(COUNTIFS('Candidate Tracker'!$E:$E,'Positions Tracker'!$B761,'Candidate Tracker'!$I:$I,"Female")=0,"",COUNTIFS('Candidate Tracker'!$E:$E,'Positions Tracker'!$B761,'Candidate Tracker'!$I:$I,"Female")),"")</f>
        <v/>
      </c>
      <c r="BB761" s="34" t="str">
        <f>IFERROR(IF(COUNTIFS('Candidate Tracker'!$E:$E,'Positions Tracker'!$B761,'Candidate Tracker'!$I:$I,"male")=0,"",COUNTIFS('Candidate Tracker'!$E:$E,'Positions Tracker'!$B761,'Candidate Tracker'!$I:$I,"male")),"")</f>
        <v/>
      </c>
      <c r="BC761" s="33" t="str">
        <f>IFERROR(IF(COUNTIFS('Candidate Tracker'!$E:$E,'Positions Tracker'!$B761,'Candidate Tracker'!$C:$C,"&lt;&gt;WIP",'Candidate Tracker'!$C:$C,"&lt;&gt;Hold",'Candidate Tracker'!$C:$C,"&lt;&gt;Cancelled",'Candidate Tracker'!$C:$C,"&lt;&gt;Closed")/COUNTIFS('Candidate Tracker'!$E:$E,'Positions Tracker'!$B761)=0,"",COUNTIFS('Candidate Tracker'!$E:$E,'Positions Tracker'!$B761,'Candidate Tracker'!$C:$C,"&lt;&gt;WIP",'Candidate Tracker'!$C:$C,"&lt;&gt;Hold",'Candidate Tracker'!$C:$C,"&lt;&gt;Cancelled",'Candidate Tracker'!$C:$C,"&lt;&gt;Closed")/COUNTIFS('Candidate Tracker'!$E:$E,'Positions Tracker'!$B761)),"")</f>
        <v/>
      </c>
      <c r="BD761" s="30" t="str">
        <f t="shared" si="81"/>
        <v/>
      </c>
      <c r="BE761" s="30" t="str">
        <f t="shared" si="82"/>
        <v/>
      </c>
      <c r="BF761" s="30" t="str">
        <f t="shared" si="83"/>
        <v/>
      </c>
      <c r="BG761" s="30" t="str">
        <f t="shared" si="84"/>
        <v/>
      </c>
    </row>
    <row r="762" spans="1:59">
      <c r="A762" s="39"/>
      <c r="B762" s="39"/>
      <c r="C762" s="39"/>
      <c r="D762" s="39"/>
      <c r="E762" s="39"/>
      <c r="F762" s="39"/>
      <c r="G762" s="39"/>
      <c r="H762" s="39"/>
      <c r="I762" s="40"/>
      <c r="J762" s="40"/>
      <c r="K762" s="35"/>
      <c r="L762" s="35"/>
      <c r="M762" s="35"/>
      <c r="N762" s="39"/>
      <c r="O762" s="39"/>
      <c r="P762" s="39"/>
      <c r="Q762" s="39"/>
      <c r="R762" s="39"/>
      <c r="S762" s="39"/>
      <c r="T762" s="39"/>
      <c r="U762" s="39"/>
      <c r="V762" s="39"/>
      <c r="W762" s="39"/>
      <c r="X762" s="39"/>
      <c r="Y762" s="39"/>
      <c r="Z762" s="39"/>
      <c r="AA762" s="39"/>
      <c r="AB762" s="39"/>
      <c r="AC762" s="39"/>
      <c r="AD762" s="39"/>
      <c r="AE762" s="39"/>
      <c r="AF762" s="39"/>
      <c r="AG762" s="39"/>
      <c r="AH762" s="39"/>
      <c r="AI762" s="35"/>
      <c r="AJ762" s="39"/>
      <c r="AK762" s="39"/>
      <c r="AL762" s="39"/>
      <c r="AM762" s="35"/>
      <c r="AN762" s="35"/>
      <c r="AO762" s="39"/>
      <c r="AP762" s="39"/>
      <c r="AQ762" s="35"/>
      <c r="AR762" s="35"/>
      <c r="AS762" s="35"/>
      <c r="AT762" s="30">
        <f t="shared" ca="1" si="80"/>
        <v>0</v>
      </c>
      <c r="AU762" s="32" t="str">
        <f t="shared" ca="1" si="79"/>
        <v/>
      </c>
      <c r="AV762" s="32" t="str" cm="1">
        <f t="array" aca="1" ref="AV762" ca="1">IFERROR(_xlfn.IFS($AU762="","",$AU762&lt;=15,"0-15",AND($AU762&gt;=16,$AU762&lt;=30),"16-30",AND($AU762&gt;=31,$AU762&lt;=45),"31-45",AND($AU762&gt;=46,$AU762&lt;=60),"46-60",AND($AU762&gt;=61,$AU762&lt;=90),"61-90",AND($AU762&gt;=91),"&gt; 90",AND($AU762&gt;=2000),""),"")</f>
        <v/>
      </c>
      <c r="AW762" s="32" t="str" cm="1">
        <f t="array" aca="1" ref="AW762" ca="1">IFERROR(_xlfn.IFS(OR($M762="",$AM762=""),"",OR($C762="Offered",$C762="Joined"),($AM762-$M762)-$AT762),"")</f>
        <v/>
      </c>
      <c r="AX762" s="32" t="str" cm="1">
        <f t="array" aca="1" ref="AX762" ca="1">IFERROR(_xlfn.IFS(OR($M762="",$AS762=""),"",$C762="Joined",($AS762-$M762)-$AT762),"")</f>
        <v/>
      </c>
      <c r="AY762" s="30" t="str">
        <f>IFERROR(IF(COUNTIFS('Candidate Tracker'!$E:$E,'Positions Tracker'!$B762,'Candidate Tracker'!$C:$C,"Offer Drop")=0,"",COUNTIFS('Candidate Tracker'!$E:$E,'Positions Tracker'!$B762,'Candidate Tracker'!$C:$C,"Offer Drop")),"")</f>
        <v/>
      </c>
      <c r="AZ7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2" s="34" t="str">
        <f>IFERROR(IF(COUNTIFS('Candidate Tracker'!$E:$E,'Positions Tracker'!$B762,'Candidate Tracker'!$I:$I,"Female")=0,"",COUNTIFS('Candidate Tracker'!$E:$E,'Positions Tracker'!$B762,'Candidate Tracker'!$I:$I,"Female")),"")</f>
        <v/>
      </c>
      <c r="BB762" s="34" t="str">
        <f>IFERROR(IF(COUNTIFS('Candidate Tracker'!$E:$E,'Positions Tracker'!$B762,'Candidate Tracker'!$I:$I,"male")=0,"",COUNTIFS('Candidate Tracker'!$E:$E,'Positions Tracker'!$B762,'Candidate Tracker'!$I:$I,"male")),"")</f>
        <v/>
      </c>
      <c r="BC762" s="33" t="str">
        <f>IFERROR(IF(COUNTIFS('Candidate Tracker'!$E:$E,'Positions Tracker'!$B762,'Candidate Tracker'!$C:$C,"&lt;&gt;WIP",'Candidate Tracker'!$C:$C,"&lt;&gt;Hold",'Candidate Tracker'!$C:$C,"&lt;&gt;Cancelled",'Candidate Tracker'!$C:$C,"&lt;&gt;Closed")/COUNTIFS('Candidate Tracker'!$E:$E,'Positions Tracker'!$B762)=0,"",COUNTIFS('Candidate Tracker'!$E:$E,'Positions Tracker'!$B762,'Candidate Tracker'!$C:$C,"&lt;&gt;WIP",'Candidate Tracker'!$C:$C,"&lt;&gt;Hold",'Candidate Tracker'!$C:$C,"&lt;&gt;Cancelled",'Candidate Tracker'!$C:$C,"&lt;&gt;Closed")/COUNTIFS('Candidate Tracker'!$E:$E,'Positions Tracker'!$B762)),"")</f>
        <v/>
      </c>
      <c r="BD762" s="30" t="str">
        <f t="shared" si="81"/>
        <v/>
      </c>
      <c r="BE762" s="30" t="str">
        <f t="shared" si="82"/>
        <v/>
      </c>
      <c r="BF762" s="30" t="str">
        <f t="shared" si="83"/>
        <v/>
      </c>
      <c r="BG762" s="30" t="str">
        <f t="shared" si="84"/>
        <v/>
      </c>
    </row>
    <row r="763" spans="1:59">
      <c r="A763" s="39"/>
      <c r="B763" s="39"/>
      <c r="C763" s="39"/>
      <c r="D763" s="39"/>
      <c r="E763" s="39"/>
      <c r="F763" s="39"/>
      <c r="G763" s="39"/>
      <c r="H763" s="39"/>
      <c r="I763" s="40"/>
      <c r="J763" s="40"/>
      <c r="K763" s="35"/>
      <c r="L763" s="35"/>
      <c r="M763" s="35"/>
      <c r="N763" s="39"/>
      <c r="O763" s="39"/>
      <c r="P763" s="39"/>
      <c r="Q763" s="39"/>
      <c r="R763" s="39"/>
      <c r="S763" s="39"/>
      <c r="T763" s="39"/>
      <c r="U763" s="39"/>
      <c r="V763" s="39"/>
      <c r="W763" s="39"/>
      <c r="X763" s="39"/>
      <c r="Y763" s="39"/>
      <c r="Z763" s="39"/>
      <c r="AA763" s="39"/>
      <c r="AB763" s="39"/>
      <c r="AC763" s="39"/>
      <c r="AD763" s="39"/>
      <c r="AE763" s="39"/>
      <c r="AF763" s="39"/>
      <c r="AG763" s="39"/>
      <c r="AH763" s="39"/>
      <c r="AI763" s="35"/>
      <c r="AJ763" s="39"/>
      <c r="AK763" s="39"/>
      <c r="AL763" s="39"/>
      <c r="AM763" s="35"/>
      <c r="AN763" s="35"/>
      <c r="AO763" s="39"/>
      <c r="AP763" s="39"/>
      <c r="AQ763" s="35"/>
      <c r="AR763" s="35"/>
      <c r="AS763" s="35"/>
      <c r="AT763" s="30">
        <f t="shared" ca="1" si="80"/>
        <v>0</v>
      </c>
      <c r="AU763" s="32" t="str">
        <f t="shared" ca="1" si="79"/>
        <v/>
      </c>
      <c r="AV763" s="32" t="str" cm="1">
        <f t="array" aca="1" ref="AV763" ca="1">IFERROR(_xlfn.IFS($AU763="","",$AU763&lt;=15,"0-15",AND($AU763&gt;=16,$AU763&lt;=30),"16-30",AND($AU763&gt;=31,$AU763&lt;=45),"31-45",AND($AU763&gt;=46,$AU763&lt;=60),"46-60",AND($AU763&gt;=61,$AU763&lt;=90),"61-90",AND($AU763&gt;=91),"&gt; 90",AND($AU763&gt;=2000),""),"")</f>
        <v/>
      </c>
      <c r="AW763" s="32" t="str" cm="1">
        <f t="array" aca="1" ref="AW763" ca="1">IFERROR(_xlfn.IFS(OR($M763="",$AM763=""),"",OR($C763="Offered",$C763="Joined"),($AM763-$M763)-$AT763),"")</f>
        <v/>
      </c>
      <c r="AX763" s="32" t="str" cm="1">
        <f t="array" aca="1" ref="AX763" ca="1">IFERROR(_xlfn.IFS(OR($M763="",$AS763=""),"",$C763="Joined",($AS763-$M763)-$AT763),"")</f>
        <v/>
      </c>
      <c r="AY763" s="30" t="str">
        <f>IFERROR(IF(COUNTIFS('Candidate Tracker'!$E:$E,'Positions Tracker'!$B763,'Candidate Tracker'!$C:$C,"Offer Drop")=0,"",COUNTIFS('Candidate Tracker'!$E:$E,'Positions Tracker'!$B763,'Candidate Tracker'!$C:$C,"Offer Drop")),"")</f>
        <v/>
      </c>
      <c r="AZ76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3" s="34" t="str">
        <f>IFERROR(IF(COUNTIFS('Candidate Tracker'!$E:$E,'Positions Tracker'!$B763,'Candidate Tracker'!$I:$I,"Female")=0,"",COUNTIFS('Candidate Tracker'!$E:$E,'Positions Tracker'!$B763,'Candidate Tracker'!$I:$I,"Female")),"")</f>
        <v/>
      </c>
      <c r="BB763" s="34" t="str">
        <f>IFERROR(IF(COUNTIFS('Candidate Tracker'!$E:$E,'Positions Tracker'!$B763,'Candidate Tracker'!$I:$I,"male")=0,"",COUNTIFS('Candidate Tracker'!$E:$E,'Positions Tracker'!$B763,'Candidate Tracker'!$I:$I,"male")),"")</f>
        <v/>
      </c>
      <c r="BC763" s="33" t="str">
        <f>IFERROR(IF(COUNTIFS('Candidate Tracker'!$E:$E,'Positions Tracker'!$B763,'Candidate Tracker'!$C:$C,"&lt;&gt;WIP",'Candidate Tracker'!$C:$C,"&lt;&gt;Hold",'Candidate Tracker'!$C:$C,"&lt;&gt;Cancelled",'Candidate Tracker'!$C:$C,"&lt;&gt;Closed")/COUNTIFS('Candidate Tracker'!$E:$E,'Positions Tracker'!$B763)=0,"",COUNTIFS('Candidate Tracker'!$E:$E,'Positions Tracker'!$B763,'Candidate Tracker'!$C:$C,"&lt;&gt;WIP",'Candidate Tracker'!$C:$C,"&lt;&gt;Hold",'Candidate Tracker'!$C:$C,"&lt;&gt;Cancelled",'Candidate Tracker'!$C:$C,"&lt;&gt;Closed")/COUNTIFS('Candidate Tracker'!$E:$E,'Positions Tracker'!$B763)),"")</f>
        <v/>
      </c>
      <c r="BD763" s="30" t="str">
        <f t="shared" si="81"/>
        <v/>
      </c>
      <c r="BE763" s="30" t="str">
        <f t="shared" si="82"/>
        <v/>
      </c>
      <c r="BF763" s="30" t="str">
        <f t="shared" si="83"/>
        <v/>
      </c>
      <c r="BG763" s="30" t="str">
        <f t="shared" si="84"/>
        <v/>
      </c>
    </row>
    <row r="764" spans="1:59">
      <c r="A764" s="39"/>
      <c r="B764" s="39"/>
      <c r="C764" s="39"/>
      <c r="D764" s="39"/>
      <c r="E764" s="39"/>
      <c r="F764" s="39"/>
      <c r="G764" s="39"/>
      <c r="H764" s="39"/>
      <c r="I764" s="40"/>
      <c r="J764" s="40"/>
      <c r="K764" s="35"/>
      <c r="L764" s="35"/>
      <c r="M764" s="35"/>
      <c r="N764" s="39"/>
      <c r="O764" s="39"/>
      <c r="P764" s="39"/>
      <c r="Q764" s="39"/>
      <c r="R764" s="39"/>
      <c r="S764" s="39"/>
      <c r="T764" s="39"/>
      <c r="U764" s="39"/>
      <c r="V764" s="39"/>
      <c r="W764" s="39"/>
      <c r="X764" s="39"/>
      <c r="Y764" s="39"/>
      <c r="Z764" s="39"/>
      <c r="AA764" s="39"/>
      <c r="AB764" s="39"/>
      <c r="AC764" s="39"/>
      <c r="AD764" s="39"/>
      <c r="AE764" s="39"/>
      <c r="AF764" s="39"/>
      <c r="AG764" s="39"/>
      <c r="AH764" s="39"/>
      <c r="AI764" s="35"/>
      <c r="AJ764" s="39"/>
      <c r="AK764" s="39"/>
      <c r="AL764" s="39"/>
      <c r="AM764" s="35"/>
      <c r="AN764" s="35"/>
      <c r="AO764" s="39"/>
      <c r="AP764" s="39"/>
      <c r="AQ764" s="35"/>
      <c r="AR764" s="35"/>
      <c r="AS764" s="35"/>
      <c r="AT764" s="30">
        <f t="shared" ca="1" si="80"/>
        <v>0</v>
      </c>
      <c r="AU764" s="32" t="str">
        <f t="shared" ca="1" si="79"/>
        <v/>
      </c>
      <c r="AV764" s="32" t="str" cm="1">
        <f t="array" aca="1" ref="AV764" ca="1">IFERROR(_xlfn.IFS($AU764="","",$AU764&lt;=15,"0-15",AND($AU764&gt;=16,$AU764&lt;=30),"16-30",AND($AU764&gt;=31,$AU764&lt;=45),"31-45",AND($AU764&gt;=46,$AU764&lt;=60),"46-60",AND($AU764&gt;=61,$AU764&lt;=90),"61-90",AND($AU764&gt;=91),"&gt; 90",AND($AU764&gt;=2000),""),"")</f>
        <v/>
      </c>
      <c r="AW764" s="32" t="str" cm="1">
        <f t="array" aca="1" ref="AW764" ca="1">IFERROR(_xlfn.IFS(OR($M764="",$AM764=""),"",OR($C764="Offered",$C764="Joined"),($AM764-$M764)-$AT764),"")</f>
        <v/>
      </c>
      <c r="AX764" s="32" t="str" cm="1">
        <f t="array" aca="1" ref="AX764" ca="1">IFERROR(_xlfn.IFS(OR($M764="",$AS764=""),"",$C764="Joined",($AS764-$M764)-$AT764),"")</f>
        <v/>
      </c>
      <c r="AY764" s="30" t="str">
        <f>IFERROR(IF(COUNTIFS('Candidate Tracker'!$E:$E,'Positions Tracker'!$B764,'Candidate Tracker'!$C:$C,"Offer Drop")=0,"",COUNTIFS('Candidate Tracker'!$E:$E,'Positions Tracker'!$B764,'Candidate Tracker'!$C:$C,"Offer Drop")),"")</f>
        <v/>
      </c>
      <c r="AZ7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4" s="34" t="str">
        <f>IFERROR(IF(COUNTIFS('Candidate Tracker'!$E:$E,'Positions Tracker'!$B764,'Candidate Tracker'!$I:$I,"Female")=0,"",COUNTIFS('Candidate Tracker'!$E:$E,'Positions Tracker'!$B764,'Candidate Tracker'!$I:$I,"Female")),"")</f>
        <v/>
      </c>
      <c r="BB764" s="34" t="str">
        <f>IFERROR(IF(COUNTIFS('Candidate Tracker'!$E:$E,'Positions Tracker'!$B764,'Candidate Tracker'!$I:$I,"male")=0,"",COUNTIFS('Candidate Tracker'!$E:$E,'Positions Tracker'!$B764,'Candidate Tracker'!$I:$I,"male")),"")</f>
        <v/>
      </c>
      <c r="BC764" s="33" t="str">
        <f>IFERROR(IF(COUNTIFS('Candidate Tracker'!$E:$E,'Positions Tracker'!$B764,'Candidate Tracker'!$C:$C,"&lt;&gt;WIP",'Candidate Tracker'!$C:$C,"&lt;&gt;Hold",'Candidate Tracker'!$C:$C,"&lt;&gt;Cancelled",'Candidate Tracker'!$C:$C,"&lt;&gt;Closed")/COUNTIFS('Candidate Tracker'!$E:$E,'Positions Tracker'!$B764)=0,"",COUNTIFS('Candidate Tracker'!$E:$E,'Positions Tracker'!$B764,'Candidate Tracker'!$C:$C,"&lt;&gt;WIP",'Candidate Tracker'!$C:$C,"&lt;&gt;Hold",'Candidate Tracker'!$C:$C,"&lt;&gt;Cancelled",'Candidate Tracker'!$C:$C,"&lt;&gt;Closed")/COUNTIFS('Candidate Tracker'!$E:$E,'Positions Tracker'!$B764)),"")</f>
        <v/>
      </c>
      <c r="BD764" s="30" t="str">
        <f t="shared" si="81"/>
        <v/>
      </c>
      <c r="BE764" s="30" t="str">
        <f t="shared" si="82"/>
        <v/>
      </c>
      <c r="BF764" s="30" t="str">
        <f t="shared" si="83"/>
        <v/>
      </c>
      <c r="BG764" s="30" t="str">
        <f t="shared" si="84"/>
        <v/>
      </c>
    </row>
    <row r="765" spans="1:59">
      <c r="A765" s="39"/>
      <c r="B765" s="39"/>
      <c r="C765" s="39"/>
      <c r="D765" s="39"/>
      <c r="E765" s="39"/>
      <c r="F765" s="39"/>
      <c r="G765" s="39"/>
      <c r="H765" s="39"/>
      <c r="I765" s="40"/>
      <c r="J765" s="40"/>
      <c r="K765" s="35"/>
      <c r="L765" s="35"/>
      <c r="M765" s="35"/>
      <c r="N765" s="39"/>
      <c r="O765" s="39"/>
      <c r="P765" s="39"/>
      <c r="Q765" s="39"/>
      <c r="R765" s="39"/>
      <c r="S765" s="39"/>
      <c r="T765" s="39"/>
      <c r="U765" s="39"/>
      <c r="V765" s="39"/>
      <c r="W765" s="39"/>
      <c r="X765" s="39"/>
      <c r="Y765" s="39"/>
      <c r="Z765" s="39"/>
      <c r="AA765" s="39"/>
      <c r="AB765" s="39"/>
      <c r="AC765" s="39"/>
      <c r="AD765" s="39"/>
      <c r="AE765" s="39"/>
      <c r="AF765" s="39"/>
      <c r="AG765" s="39"/>
      <c r="AH765" s="39"/>
      <c r="AI765" s="35"/>
      <c r="AJ765" s="39"/>
      <c r="AK765" s="39"/>
      <c r="AL765" s="39"/>
      <c r="AM765" s="35"/>
      <c r="AN765" s="35"/>
      <c r="AO765" s="39"/>
      <c r="AP765" s="39"/>
      <c r="AQ765" s="35"/>
      <c r="AR765" s="35"/>
      <c r="AS765" s="35"/>
      <c r="AT765" s="30">
        <f t="shared" ca="1" si="80"/>
        <v>0</v>
      </c>
      <c r="AU765" s="32" t="str">
        <f t="shared" ca="1" si="79"/>
        <v/>
      </c>
      <c r="AV765" s="32" t="str" cm="1">
        <f t="array" aca="1" ref="AV765" ca="1">IFERROR(_xlfn.IFS($AU765="","",$AU765&lt;=15,"0-15",AND($AU765&gt;=16,$AU765&lt;=30),"16-30",AND($AU765&gt;=31,$AU765&lt;=45),"31-45",AND($AU765&gt;=46,$AU765&lt;=60),"46-60",AND($AU765&gt;=61,$AU765&lt;=90),"61-90",AND($AU765&gt;=91),"&gt; 90",AND($AU765&gt;=2000),""),"")</f>
        <v/>
      </c>
      <c r="AW765" s="32" t="str" cm="1">
        <f t="array" aca="1" ref="AW765" ca="1">IFERROR(_xlfn.IFS(OR($M765="",$AM765=""),"",OR($C765="Offered",$C765="Joined"),($AM765-$M765)-$AT765),"")</f>
        <v/>
      </c>
      <c r="AX765" s="32" t="str" cm="1">
        <f t="array" aca="1" ref="AX765" ca="1">IFERROR(_xlfn.IFS(OR($M765="",$AS765=""),"",$C765="Joined",($AS765-$M765)-$AT765),"")</f>
        <v/>
      </c>
      <c r="AY765" s="30" t="str">
        <f>IFERROR(IF(COUNTIFS('Candidate Tracker'!$E:$E,'Positions Tracker'!$B765,'Candidate Tracker'!$C:$C,"Offer Drop")=0,"",COUNTIFS('Candidate Tracker'!$E:$E,'Positions Tracker'!$B765,'Candidate Tracker'!$C:$C,"Offer Drop")),"")</f>
        <v/>
      </c>
      <c r="AZ76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5" s="34" t="str">
        <f>IFERROR(IF(COUNTIFS('Candidate Tracker'!$E:$E,'Positions Tracker'!$B765,'Candidate Tracker'!$I:$I,"Female")=0,"",COUNTIFS('Candidate Tracker'!$E:$E,'Positions Tracker'!$B765,'Candidate Tracker'!$I:$I,"Female")),"")</f>
        <v/>
      </c>
      <c r="BB765" s="34" t="str">
        <f>IFERROR(IF(COUNTIFS('Candidate Tracker'!$E:$E,'Positions Tracker'!$B765,'Candidate Tracker'!$I:$I,"male")=0,"",COUNTIFS('Candidate Tracker'!$E:$E,'Positions Tracker'!$B765,'Candidate Tracker'!$I:$I,"male")),"")</f>
        <v/>
      </c>
      <c r="BC765" s="33" t="str">
        <f>IFERROR(IF(COUNTIFS('Candidate Tracker'!$E:$E,'Positions Tracker'!$B765,'Candidate Tracker'!$C:$C,"&lt;&gt;WIP",'Candidate Tracker'!$C:$C,"&lt;&gt;Hold",'Candidate Tracker'!$C:$C,"&lt;&gt;Cancelled",'Candidate Tracker'!$C:$C,"&lt;&gt;Closed")/COUNTIFS('Candidate Tracker'!$E:$E,'Positions Tracker'!$B765)=0,"",COUNTIFS('Candidate Tracker'!$E:$E,'Positions Tracker'!$B765,'Candidate Tracker'!$C:$C,"&lt;&gt;WIP",'Candidate Tracker'!$C:$C,"&lt;&gt;Hold",'Candidate Tracker'!$C:$C,"&lt;&gt;Cancelled",'Candidate Tracker'!$C:$C,"&lt;&gt;Closed")/COUNTIFS('Candidate Tracker'!$E:$E,'Positions Tracker'!$B765)),"")</f>
        <v/>
      </c>
      <c r="BD765" s="30" t="str">
        <f t="shared" si="81"/>
        <v/>
      </c>
      <c r="BE765" s="30" t="str">
        <f t="shared" si="82"/>
        <v/>
      </c>
      <c r="BF765" s="30" t="str">
        <f t="shared" si="83"/>
        <v/>
      </c>
      <c r="BG765" s="30" t="str">
        <f t="shared" si="84"/>
        <v/>
      </c>
    </row>
    <row r="766" spans="1:59">
      <c r="A766" s="39"/>
      <c r="B766" s="39"/>
      <c r="C766" s="39"/>
      <c r="D766" s="39"/>
      <c r="E766" s="39"/>
      <c r="F766" s="39"/>
      <c r="G766" s="39"/>
      <c r="H766" s="39"/>
      <c r="I766" s="40"/>
      <c r="J766" s="40"/>
      <c r="K766" s="35"/>
      <c r="L766" s="35"/>
      <c r="M766" s="35"/>
      <c r="N766" s="39"/>
      <c r="O766" s="39"/>
      <c r="P766" s="39"/>
      <c r="Q766" s="39"/>
      <c r="R766" s="39"/>
      <c r="S766" s="39"/>
      <c r="T766" s="39"/>
      <c r="U766" s="39"/>
      <c r="V766" s="39"/>
      <c r="W766" s="39"/>
      <c r="X766" s="39"/>
      <c r="Y766" s="39"/>
      <c r="Z766" s="39"/>
      <c r="AA766" s="39"/>
      <c r="AB766" s="39"/>
      <c r="AC766" s="39"/>
      <c r="AD766" s="39"/>
      <c r="AE766" s="39"/>
      <c r="AF766" s="39"/>
      <c r="AG766" s="39"/>
      <c r="AH766" s="39"/>
      <c r="AI766" s="35"/>
      <c r="AJ766" s="39"/>
      <c r="AK766" s="39"/>
      <c r="AL766" s="39"/>
      <c r="AM766" s="35"/>
      <c r="AN766" s="35"/>
      <c r="AO766" s="39"/>
      <c r="AP766" s="39"/>
      <c r="AQ766" s="35"/>
      <c r="AR766" s="35"/>
      <c r="AS766" s="35"/>
      <c r="AT766" s="30">
        <f t="shared" ca="1" si="80"/>
        <v>0</v>
      </c>
      <c r="AU766" s="32" t="str">
        <f t="shared" ca="1" si="79"/>
        <v/>
      </c>
      <c r="AV766" s="32" t="str" cm="1">
        <f t="array" aca="1" ref="AV766" ca="1">IFERROR(_xlfn.IFS($AU766="","",$AU766&lt;=15,"0-15",AND($AU766&gt;=16,$AU766&lt;=30),"16-30",AND($AU766&gt;=31,$AU766&lt;=45),"31-45",AND($AU766&gt;=46,$AU766&lt;=60),"46-60",AND($AU766&gt;=61,$AU766&lt;=90),"61-90",AND($AU766&gt;=91),"&gt; 90",AND($AU766&gt;=2000),""),"")</f>
        <v/>
      </c>
      <c r="AW766" s="32" t="str" cm="1">
        <f t="array" aca="1" ref="AW766" ca="1">IFERROR(_xlfn.IFS(OR($M766="",$AM766=""),"",OR($C766="Offered",$C766="Joined"),($AM766-$M766)-$AT766),"")</f>
        <v/>
      </c>
      <c r="AX766" s="32" t="str" cm="1">
        <f t="array" aca="1" ref="AX766" ca="1">IFERROR(_xlfn.IFS(OR($M766="",$AS766=""),"",$C766="Joined",($AS766-$M766)-$AT766),"")</f>
        <v/>
      </c>
      <c r="AY766" s="30" t="str">
        <f>IFERROR(IF(COUNTIFS('Candidate Tracker'!$E:$E,'Positions Tracker'!$B766,'Candidate Tracker'!$C:$C,"Offer Drop")=0,"",COUNTIFS('Candidate Tracker'!$E:$E,'Positions Tracker'!$B766,'Candidate Tracker'!$C:$C,"Offer Drop")),"")</f>
        <v/>
      </c>
      <c r="AZ7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6" s="34" t="str">
        <f>IFERROR(IF(COUNTIFS('Candidate Tracker'!$E:$E,'Positions Tracker'!$B766,'Candidate Tracker'!$I:$I,"Female")=0,"",COUNTIFS('Candidate Tracker'!$E:$E,'Positions Tracker'!$B766,'Candidate Tracker'!$I:$I,"Female")),"")</f>
        <v/>
      </c>
      <c r="BB766" s="34" t="str">
        <f>IFERROR(IF(COUNTIFS('Candidate Tracker'!$E:$E,'Positions Tracker'!$B766,'Candidate Tracker'!$I:$I,"male")=0,"",COUNTIFS('Candidate Tracker'!$E:$E,'Positions Tracker'!$B766,'Candidate Tracker'!$I:$I,"male")),"")</f>
        <v/>
      </c>
      <c r="BC766" s="33" t="str">
        <f>IFERROR(IF(COUNTIFS('Candidate Tracker'!$E:$E,'Positions Tracker'!$B766,'Candidate Tracker'!$C:$C,"&lt;&gt;WIP",'Candidate Tracker'!$C:$C,"&lt;&gt;Hold",'Candidate Tracker'!$C:$C,"&lt;&gt;Cancelled",'Candidate Tracker'!$C:$C,"&lt;&gt;Closed")/COUNTIFS('Candidate Tracker'!$E:$E,'Positions Tracker'!$B766)=0,"",COUNTIFS('Candidate Tracker'!$E:$E,'Positions Tracker'!$B766,'Candidate Tracker'!$C:$C,"&lt;&gt;WIP",'Candidate Tracker'!$C:$C,"&lt;&gt;Hold",'Candidate Tracker'!$C:$C,"&lt;&gt;Cancelled",'Candidate Tracker'!$C:$C,"&lt;&gt;Closed")/COUNTIFS('Candidate Tracker'!$E:$E,'Positions Tracker'!$B766)),"")</f>
        <v/>
      </c>
      <c r="BD766" s="30" t="str">
        <f t="shared" si="81"/>
        <v/>
      </c>
      <c r="BE766" s="30" t="str">
        <f t="shared" si="82"/>
        <v/>
      </c>
      <c r="BF766" s="30" t="str">
        <f t="shared" si="83"/>
        <v/>
      </c>
      <c r="BG766" s="30" t="str">
        <f t="shared" si="84"/>
        <v/>
      </c>
    </row>
    <row r="767" spans="1:59">
      <c r="A767" s="39"/>
      <c r="B767" s="39"/>
      <c r="C767" s="39"/>
      <c r="D767" s="39"/>
      <c r="E767" s="39"/>
      <c r="F767" s="39"/>
      <c r="G767" s="39"/>
      <c r="H767" s="39"/>
      <c r="I767" s="40"/>
      <c r="J767" s="40"/>
      <c r="K767" s="35"/>
      <c r="L767" s="35"/>
      <c r="M767" s="35"/>
      <c r="N767" s="39"/>
      <c r="O767" s="39"/>
      <c r="P767" s="39"/>
      <c r="Q767" s="39"/>
      <c r="R767" s="39"/>
      <c r="S767" s="39"/>
      <c r="T767" s="39"/>
      <c r="U767" s="39"/>
      <c r="V767" s="39"/>
      <c r="W767" s="39"/>
      <c r="X767" s="39"/>
      <c r="Y767" s="39"/>
      <c r="Z767" s="39"/>
      <c r="AA767" s="39"/>
      <c r="AB767" s="39"/>
      <c r="AC767" s="39"/>
      <c r="AD767" s="39"/>
      <c r="AE767" s="39"/>
      <c r="AF767" s="39"/>
      <c r="AG767" s="39"/>
      <c r="AH767" s="39"/>
      <c r="AI767" s="35"/>
      <c r="AJ767" s="39"/>
      <c r="AK767" s="39"/>
      <c r="AL767" s="39"/>
      <c r="AM767" s="35"/>
      <c r="AN767" s="35"/>
      <c r="AO767" s="39"/>
      <c r="AP767" s="39"/>
      <c r="AQ767" s="35"/>
      <c r="AR767" s="35"/>
      <c r="AS767" s="35"/>
      <c r="AT767" s="30">
        <f t="shared" ca="1" si="80"/>
        <v>0</v>
      </c>
      <c r="AU767" s="32" t="str">
        <f t="shared" ca="1" si="79"/>
        <v/>
      </c>
      <c r="AV767" s="32" t="str" cm="1">
        <f t="array" aca="1" ref="AV767" ca="1">IFERROR(_xlfn.IFS($AU767="","",$AU767&lt;=15,"0-15",AND($AU767&gt;=16,$AU767&lt;=30),"16-30",AND($AU767&gt;=31,$AU767&lt;=45),"31-45",AND($AU767&gt;=46,$AU767&lt;=60),"46-60",AND($AU767&gt;=61,$AU767&lt;=90),"61-90",AND($AU767&gt;=91),"&gt; 90",AND($AU767&gt;=2000),""),"")</f>
        <v/>
      </c>
      <c r="AW767" s="32" t="str" cm="1">
        <f t="array" aca="1" ref="AW767" ca="1">IFERROR(_xlfn.IFS(OR($M767="",$AM767=""),"",OR($C767="Offered",$C767="Joined"),($AM767-$M767)-$AT767),"")</f>
        <v/>
      </c>
      <c r="AX767" s="32" t="str" cm="1">
        <f t="array" aca="1" ref="AX767" ca="1">IFERROR(_xlfn.IFS(OR($M767="",$AS767=""),"",$C767="Joined",($AS767-$M767)-$AT767),"")</f>
        <v/>
      </c>
      <c r="AY767" s="30" t="str">
        <f>IFERROR(IF(COUNTIFS('Candidate Tracker'!$E:$E,'Positions Tracker'!$B767,'Candidate Tracker'!$C:$C,"Offer Drop")=0,"",COUNTIFS('Candidate Tracker'!$E:$E,'Positions Tracker'!$B767,'Candidate Tracker'!$C:$C,"Offer Drop")),"")</f>
        <v/>
      </c>
      <c r="AZ7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7" s="34" t="str">
        <f>IFERROR(IF(COUNTIFS('Candidate Tracker'!$E:$E,'Positions Tracker'!$B767,'Candidate Tracker'!$I:$I,"Female")=0,"",COUNTIFS('Candidate Tracker'!$E:$E,'Positions Tracker'!$B767,'Candidate Tracker'!$I:$I,"Female")),"")</f>
        <v/>
      </c>
      <c r="BB767" s="34" t="str">
        <f>IFERROR(IF(COUNTIFS('Candidate Tracker'!$E:$E,'Positions Tracker'!$B767,'Candidate Tracker'!$I:$I,"male")=0,"",COUNTIFS('Candidate Tracker'!$E:$E,'Positions Tracker'!$B767,'Candidate Tracker'!$I:$I,"male")),"")</f>
        <v/>
      </c>
      <c r="BC767" s="33" t="str">
        <f>IFERROR(IF(COUNTIFS('Candidate Tracker'!$E:$E,'Positions Tracker'!$B767,'Candidate Tracker'!$C:$C,"&lt;&gt;WIP",'Candidate Tracker'!$C:$C,"&lt;&gt;Hold",'Candidate Tracker'!$C:$C,"&lt;&gt;Cancelled",'Candidate Tracker'!$C:$C,"&lt;&gt;Closed")/COUNTIFS('Candidate Tracker'!$E:$E,'Positions Tracker'!$B767)=0,"",COUNTIFS('Candidate Tracker'!$E:$E,'Positions Tracker'!$B767,'Candidate Tracker'!$C:$C,"&lt;&gt;WIP",'Candidate Tracker'!$C:$C,"&lt;&gt;Hold",'Candidate Tracker'!$C:$C,"&lt;&gt;Cancelled",'Candidate Tracker'!$C:$C,"&lt;&gt;Closed")/COUNTIFS('Candidate Tracker'!$E:$E,'Positions Tracker'!$B767)),"")</f>
        <v/>
      </c>
      <c r="BD767" s="30" t="str">
        <f t="shared" si="81"/>
        <v/>
      </c>
      <c r="BE767" s="30" t="str">
        <f t="shared" si="82"/>
        <v/>
      </c>
      <c r="BF767" s="30" t="str">
        <f t="shared" si="83"/>
        <v/>
      </c>
      <c r="BG767" s="30" t="str">
        <f t="shared" si="84"/>
        <v/>
      </c>
    </row>
    <row r="768" spans="1:59">
      <c r="A768" s="39"/>
      <c r="B768" s="39"/>
      <c r="C768" s="39"/>
      <c r="D768" s="39"/>
      <c r="E768" s="39"/>
      <c r="F768" s="39"/>
      <c r="G768" s="39"/>
      <c r="H768" s="39"/>
      <c r="I768" s="40"/>
      <c r="J768" s="40"/>
      <c r="K768" s="35"/>
      <c r="L768" s="35"/>
      <c r="M768" s="35"/>
      <c r="N768" s="39"/>
      <c r="O768" s="39"/>
      <c r="P768" s="39"/>
      <c r="Q768" s="39"/>
      <c r="R768" s="39"/>
      <c r="S768" s="39"/>
      <c r="T768" s="39"/>
      <c r="U768" s="39"/>
      <c r="V768" s="39"/>
      <c r="W768" s="39"/>
      <c r="X768" s="39"/>
      <c r="Y768" s="39"/>
      <c r="Z768" s="39"/>
      <c r="AA768" s="39"/>
      <c r="AB768" s="39"/>
      <c r="AC768" s="39"/>
      <c r="AD768" s="39"/>
      <c r="AE768" s="39"/>
      <c r="AF768" s="39"/>
      <c r="AG768" s="39"/>
      <c r="AH768" s="39"/>
      <c r="AI768" s="35"/>
      <c r="AJ768" s="39"/>
      <c r="AK768" s="39"/>
      <c r="AL768" s="39"/>
      <c r="AM768" s="35"/>
      <c r="AN768" s="35"/>
      <c r="AO768" s="39"/>
      <c r="AP768" s="39"/>
      <c r="AQ768" s="35"/>
      <c r="AR768" s="35"/>
      <c r="AS768" s="35"/>
      <c r="AT768" s="30">
        <f t="shared" ca="1" si="80"/>
        <v>0</v>
      </c>
      <c r="AU768" s="32" t="str">
        <f t="shared" ref="AU768:AU831" ca="1" si="85">IFERROR(IF(($M768=""),"",IF(OR(,$C768="Offer in Progress",$C768="WIP",$C768="WIP/Drop",$C768="WIP/New",$C768="WIP/Hold"),(TODAY()-$M768)-$AT768,"")),"")</f>
        <v/>
      </c>
      <c r="AV768" s="32" t="str" cm="1">
        <f t="array" aca="1" ref="AV768" ca="1">IFERROR(_xlfn.IFS($AU768="","",$AU768&lt;=15,"0-15",AND($AU768&gt;=16,$AU768&lt;=30),"16-30",AND($AU768&gt;=31,$AU768&lt;=45),"31-45",AND($AU768&gt;=46,$AU768&lt;=60),"46-60",AND($AU768&gt;=61,$AU768&lt;=90),"61-90",AND($AU768&gt;=91),"&gt; 90",AND($AU768&gt;=2000),""),"")</f>
        <v/>
      </c>
      <c r="AW768" s="32" t="str" cm="1">
        <f t="array" aca="1" ref="AW768" ca="1">IFERROR(_xlfn.IFS(OR($M768="",$AM768=""),"",OR($C768="Offered",$C768="Joined"),($AM768-$M768)-$AT768),"")</f>
        <v/>
      </c>
      <c r="AX768" s="32" t="str" cm="1">
        <f t="array" aca="1" ref="AX768" ca="1">IFERROR(_xlfn.IFS(OR($M768="",$AS768=""),"",$C768="Joined",($AS768-$M768)-$AT768),"")</f>
        <v/>
      </c>
      <c r="AY768" s="30" t="str">
        <f>IFERROR(IF(COUNTIFS('Candidate Tracker'!$E:$E,'Positions Tracker'!$B768,'Candidate Tracker'!$C:$C,"Offer Drop")=0,"",COUNTIFS('Candidate Tracker'!$E:$E,'Positions Tracker'!$B768,'Candidate Tracker'!$C:$C,"Offer Drop")),"")</f>
        <v/>
      </c>
      <c r="AZ7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8" s="34" t="str">
        <f>IFERROR(IF(COUNTIFS('Candidate Tracker'!$E:$E,'Positions Tracker'!$B768,'Candidate Tracker'!$I:$I,"Female")=0,"",COUNTIFS('Candidate Tracker'!$E:$E,'Positions Tracker'!$B768,'Candidate Tracker'!$I:$I,"Female")),"")</f>
        <v/>
      </c>
      <c r="BB768" s="34" t="str">
        <f>IFERROR(IF(COUNTIFS('Candidate Tracker'!$E:$E,'Positions Tracker'!$B768,'Candidate Tracker'!$I:$I,"male")=0,"",COUNTIFS('Candidate Tracker'!$E:$E,'Positions Tracker'!$B768,'Candidate Tracker'!$I:$I,"male")),"")</f>
        <v/>
      </c>
      <c r="BC768" s="33" t="str">
        <f>IFERROR(IF(COUNTIFS('Candidate Tracker'!$E:$E,'Positions Tracker'!$B768,'Candidate Tracker'!$C:$C,"&lt;&gt;WIP",'Candidate Tracker'!$C:$C,"&lt;&gt;Hold",'Candidate Tracker'!$C:$C,"&lt;&gt;Cancelled",'Candidate Tracker'!$C:$C,"&lt;&gt;Closed")/COUNTIFS('Candidate Tracker'!$E:$E,'Positions Tracker'!$B768)=0,"",COUNTIFS('Candidate Tracker'!$E:$E,'Positions Tracker'!$B768,'Candidate Tracker'!$C:$C,"&lt;&gt;WIP",'Candidate Tracker'!$C:$C,"&lt;&gt;Hold",'Candidate Tracker'!$C:$C,"&lt;&gt;Cancelled",'Candidate Tracker'!$C:$C,"&lt;&gt;Closed")/COUNTIFS('Candidate Tracker'!$E:$E,'Positions Tracker'!$B768)),"")</f>
        <v/>
      </c>
      <c r="BD768" s="30" t="str">
        <f t="shared" si="81"/>
        <v/>
      </c>
      <c r="BE768" s="30" t="str">
        <f t="shared" si="82"/>
        <v/>
      </c>
      <c r="BF768" s="30" t="str">
        <f t="shared" si="83"/>
        <v/>
      </c>
      <c r="BG768" s="30" t="str">
        <f t="shared" si="84"/>
        <v/>
      </c>
    </row>
    <row r="769" spans="1:59">
      <c r="A769" s="39"/>
      <c r="B769" s="39"/>
      <c r="C769" s="39"/>
      <c r="D769" s="39"/>
      <c r="E769" s="39"/>
      <c r="F769" s="39"/>
      <c r="G769" s="39"/>
      <c r="H769" s="39"/>
      <c r="I769" s="40"/>
      <c r="J769" s="40"/>
      <c r="K769" s="35"/>
      <c r="L769" s="35"/>
      <c r="M769" s="35"/>
      <c r="N769" s="39"/>
      <c r="O769" s="39"/>
      <c r="P769" s="39"/>
      <c r="Q769" s="39"/>
      <c r="R769" s="39"/>
      <c r="S769" s="39"/>
      <c r="T769" s="39"/>
      <c r="U769" s="39"/>
      <c r="V769" s="39"/>
      <c r="W769" s="39"/>
      <c r="X769" s="39"/>
      <c r="Y769" s="39"/>
      <c r="Z769" s="39"/>
      <c r="AA769" s="39"/>
      <c r="AB769" s="39"/>
      <c r="AC769" s="39"/>
      <c r="AD769" s="39"/>
      <c r="AE769" s="39"/>
      <c r="AF769" s="39"/>
      <c r="AG769" s="39"/>
      <c r="AH769" s="39"/>
      <c r="AI769" s="35"/>
      <c r="AJ769" s="39"/>
      <c r="AK769" s="39"/>
      <c r="AL769" s="39"/>
      <c r="AM769" s="35"/>
      <c r="AN769" s="35"/>
      <c r="AO769" s="39"/>
      <c r="AP769" s="39"/>
      <c r="AQ769" s="35"/>
      <c r="AR769" s="35"/>
      <c r="AS769" s="35"/>
      <c r="AT769" s="30">
        <f t="shared" ref="AT769:AT832" ca="1" si="86">IFERROR(SUM(IF(AND(ISBLANK(T769),ISBLANK(Q769)),0,IF(T769="",TODAY()-Q769,T769-Q769))+IF(AND(ISBLANK(S769),ISBLANK(P769)),0,IF(S769="",TODAY()-P769,S769-P769))+IF(AND(ISBLANK(O769),ISBLANK(R769)),0,IF(R769="",TODAY()-O769,R769-O769))),"")</f>
        <v>0</v>
      </c>
      <c r="AU769" s="32" t="str">
        <f t="shared" ca="1" si="85"/>
        <v/>
      </c>
      <c r="AV769" s="32" t="str" cm="1">
        <f t="array" aca="1" ref="AV769" ca="1">IFERROR(_xlfn.IFS($AU769="","",$AU769&lt;=15,"0-15",AND($AU769&gt;=16,$AU769&lt;=30),"16-30",AND($AU769&gt;=31,$AU769&lt;=45),"31-45",AND($AU769&gt;=46,$AU769&lt;=60),"46-60",AND($AU769&gt;=61,$AU769&lt;=90),"61-90",AND($AU769&gt;=91),"&gt; 90",AND($AU769&gt;=2000),""),"")</f>
        <v/>
      </c>
      <c r="AW769" s="32" t="str" cm="1">
        <f t="array" aca="1" ref="AW769" ca="1">IFERROR(_xlfn.IFS(OR($M769="",$AM769=""),"",OR($C769="Offered",$C769="Joined"),($AM769-$M769)-$AT769),"")</f>
        <v/>
      </c>
      <c r="AX769" s="32" t="str" cm="1">
        <f t="array" aca="1" ref="AX769" ca="1">IFERROR(_xlfn.IFS(OR($M769="",$AS769=""),"",$C769="Joined",($AS769-$M769)-$AT769),"")</f>
        <v/>
      </c>
      <c r="AY769" s="30" t="str">
        <f>IFERROR(IF(COUNTIFS('Candidate Tracker'!$E:$E,'Positions Tracker'!$B769,'Candidate Tracker'!$C:$C,"Offer Drop")=0,"",COUNTIFS('Candidate Tracker'!$E:$E,'Positions Tracker'!$B769,'Candidate Tracker'!$C:$C,"Offer Drop")),"")</f>
        <v/>
      </c>
      <c r="AZ7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69" s="34" t="str">
        <f>IFERROR(IF(COUNTIFS('Candidate Tracker'!$E:$E,'Positions Tracker'!$B769,'Candidate Tracker'!$I:$I,"Female")=0,"",COUNTIFS('Candidate Tracker'!$E:$E,'Positions Tracker'!$B769,'Candidate Tracker'!$I:$I,"Female")),"")</f>
        <v/>
      </c>
      <c r="BB769" s="34" t="str">
        <f>IFERROR(IF(COUNTIFS('Candidate Tracker'!$E:$E,'Positions Tracker'!$B769,'Candidate Tracker'!$I:$I,"male")=0,"",COUNTIFS('Candidate Tracker'!$E:$E,'Positions Tracker'!$B769,'Candidate Tracker'!$I:$I,"male")),"")</f>
        <v/>
      </c>
      <c r="BC769" s="33" t="str">
        <f>IFERROR(IF(COUNTIFS('Candidate Tracker'!$E:$E,'Positions Tracker'!$B769,'Candidate Tracker'!$C:$C,"&lt;&gt;WIP",'Candidate Tracker'!$C:$C,"&lt;&gt;Hold",'Candidate Tracker'!$C:$C,"&lt;&gt;Cancelled",'Candidate Tracker'!$C:$C,"&lt;&gt;Closed")/COUNTIFS('Candidate Tracker'!$E:$E,'Positions Tracker'!$B769)=0,"",COUNTIFS('Candidate Tracker'!$E:$E,'Positions Tracker'!$B769,'Candidate Tracker'!$C:$C,"&lt;&gt;WIP",'Candidate Tracker'!$C:$C,"&lt;&gt;Hold",'Candidate Tracker'!$C:$C,"&lt;&gt;Cancelled",'Candidate Tracker'!$C:$C,"&lt;&gt;Closed")/COUNTIFS('Candidate Tracker'!$E:$E,'Positions Tracker'!$B769)),"")</f>
        <v/>
      </c>
      <c r="BD769" s="30" t="str">
        <f t="shared" ref="BD769:BD832" si="87">IFERROR(IF($M769="","",TEXT($M769,"MMM-YY")),"")</f>
        <v/>
      </c>
      <c r="BE769" s="30" t="str">
        <f t="shared" ref="BE769:BE832" si="88">IFERROR(IF($AI769="","",TEXT($AI769,"MMM-YY")),"")</f>
        <v/>
      </c>
      <c r="BF769" s="30" t="str">
        <f t="shared" ref="BF769:BF832" si="89">IFERROR(IF($AM769="","",TEXT($AM769,"MMM-YY")),"")</f>
        <v/>
      </c>
      <c r="BG769" s="30" t="str">
        <f t="shared" ref="BG769:BG832" si="90">IFERROR(IF($AS769="","",TEXT($AS769,"MMM-YY")),"")</f>
        <v/>
      </c>
    </row>
    <row r="770" spans="1:59">
      <c r="A770" s="39"/>
      <c r="B770" s="39"/>
      <c r="C770" s="39"/>
      <c r="D770" s="39"/>
      <c r="E770" s="39"/>
      <c r="F770" s="39"/>
      <c r="G770" s="39"/>
      <c r="H770" s="39"/>
      <c r="I770" s="40"/>
      <c r="J770" s="40"/>
      <c r="K770" s="35"/>
      <c r="L770" s="35"/>
      <c r="M770" s="35"/>
      <c r="N770" s="39"/>
      <c r="O770" s="39"/>
      <c r="P770" s="39"/>
      <c r="Q770" s="39"/>
      <c r="R770" s="39"/>
      <c r="S770" s="39"/>
      <c r="T770" s="39"/>
      <c r="U770" s="39"/>
      <c r="V770" s="39"/>
      <c r="W770" s="39"/>
      <c r="X770" s="39"/>
      <c r="Y770" s="39"/>
      <c r="Z770" s="39"/>
      <c r="AA770" s="39"/>
      <c r="AB770" s="39"/>
      <c r="AC770" s="39"/>
      <c r="AD770" s="39"/>
      <c r="AE770" s="39"/>
      <c r="AF770" s="39"/>
      <c r="AG770" s="39"/>
      <c r="AH770" s="39"/>
      <c r="AI770" s="35"/>
      <c r="AJ770" s="39"/>
      <c r="AK770" s="39"/>
      <c r="AL770" s="39"/>
      <c r="AM770" s="35"/>
      <c r="AN770" s="35"/>
      <c r="AO770" s="39"/>
      <c r="AP770" s="39"/>
      <c r="AQ770" s="35"/>
      <c r="AR770" s="35"/>
      <c r="AS770" s="35"/>
      <c r="AT770" s="30">
        <f t="shared" ca="1" si="86"/>
        <v>0</v>
      </c>
      <c r="AU770" s="32" t="str">
        <f t="shared" ca="1" si="85"/>
        <v/>
      </c>
      <c r="AV770" s="32" t="str" cm="1">
        <f t="array" aca="1" ref="AV770" ca="1">IFERROR(_xlfn.IFS($AU770="","",$AU770&lt;=15,"0-15",AND($AU770&gt;=16,$AU770&lt;=30),"16-30",AND($AU770&gt;=31,$AU770&lt;=45),"31-45",AND($AU770&gt;=46,$AU770&lt;=60),"46-60",AND($AU770&gt;=61,$AU770&lt;=90),"61-90",AND($AU770&gt;=91),"&gt; 90",AND($AU770&gt;=2000),""),"")</f>
        <v/>
      </c>
      <c r="AW770" s="32" t="str" cm="1">
        <f t="array" aca="1" ref="AW770" ca="1">IFERROR(_xlfn.IFS(OR($M770="",$AM770=""),"",OR($C770="Offered",$C770="Joined"),($AM770-$M770)-$AT770),"")</f>
        <v/>
      </c>
      <c r="AX770" s="32" t="str" cm="1">
        <f t="array" aca="1" ref="AX770" ca="1">IFERROR(_xlfn.IFS(OR($M770="",$AS770=""),"",$C770="Joined",($AS770-$M770)-$AT770),"")</f>
        <v/>
      </c>
      <c r="AY770" s="30" t="str">
        <f>IFERROR(IF(COUNTIFS('Candidate Tracker'!$E:$E,'Positions Tracker'!$B770,'Candidate Tracker'!$C:$C,"Offer Drop")=0,"",COUNTIFS('Candidate Tracker'!$E:$E,'Positions Tracker'!$B770,'Candidate Tracker'!$C:$C,"Offer Drop")),"")</f>
        <v/>
      </c>
      <c r="AZ7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0" s="34" t="str">
        <f>IFERROR(IF(COUNTIFS('Candidate Tracker'!$E:$E,'Positions Tracker'!$B770,'Candidate Tracker'!$I:$I,"Female")=0,"",COUNTIFS('Candidate Tracker'!$E:$E,'Positions Tracker'!$B770,'Candidate Tracker'!$I:$I,"Female")),"")</f>
        <v/>
      </c>
      <c r="BB770" s="34" t="str">
        <f>IFERROR(IF(COUNTIFS('Candidate Tracker'!$E:$E,'Positions Tracker'!$B770,'Candidate Tracker'!$I:$I,"male")=0,"",COUNTIFS('Candidate Tracker'!$E:$E,'Positions Tracker'!$B770,'Candidate Tracker'!$I:$I,"male")),"")</f>
        <v/>
      </c>
      <c r="BC770" s="33" t="str">
        <f>IFERROR(IF(COUNTIFS('Candidate Tracker'!$E:$E,'Positions Tracker'!$B770,'Candidate Tracker'!$C:$C,"&lt;&gt;WIP",'Candidate Tracker'!$C:$C,"&lt;&gt;Hold",'Candidate Tracker'!$C:$C,"&lt;&gt;Cancelled",'Candidate Tracker'!$C:$C,"&lt;&gt;Closed")/COUNTIFS('Candidate Tracker'!$E:$E,'Positions Tracker'!$B770)=0,"",COUNTIFS('Candidate Tracker'!$E:$E,'Positions Tracker'!$B770,'Candidate Tracker'!$C:$C,"&lt;&gt;WIP",'Candidate Tracker'!$C:$C,"&lt;&gt;Hold",'Candidate Tracker'!$C:$C,"&lt;&gt;Cancelled",'Candidate Tracker'!$C:$C,"&lt;&gt;Closed")/COUNTIFS('Candidate Tracker'!$E:$E,'Positions Tracker'!$B770)),"")</f>
        <v/>
      </c>
      <c r="BD770" s="30" t="str">
        <f t="shared" si="87"/>
        <v/>
      </c>
      <c r="BE770" s="30" t="str">
        <f t="shared" si="88"/>
        <v/>
      </c>
      <c r="BF770" s="30" t="str">
        <f t="shared" si="89"/>
        <v/>
      </c>
      <c r="BG770" s="30" t="str">
        <f t="shared" si="90"/>
        <v/>
      </c>
    </row>
    <row r="771" spans="1:59">
      <c r="A771" s="39"/>
      <c r="B771" s="39"/>
      <c r="C771" s="39"/>
      <c r="D771" s="39"/>
      <c r="E771" s="39"/>
      <c r="F771" s="39"/>
      <c r="G771" s="39"/>
      <c r="H771" s="39"/>
      <c r="I771" s="40"/>
      <c r="J771" s="40"/>
      <c r="K771" s="35"/>
      <c r="L771" s="35"/>
      <c r="M771" s="35"/>
      <c r="N771" s="39"/>
      <c r="O771" s="39"/>
      <c r="P771" s="39"/>
      <c r="Q771" s="39"/>
      <c r="R771" s="39"/>
      <c r="S771" s="39"/>
      <c r="T771" s="39"/>
      <c r="U771" s="39"/>
      <c r="V771" s="39"/>
      <c r="W771" s="39"/>
      <c r="X771" s="39"/>
      <c r="Y771" s="39"/>
      <c r="Z771" s="39"/>
      <c r="AA771" s="39"/>
      <c r="AB771" s="39"/>
      <c r="AC771" s="39"/>
      <c r="AD771" s="39"/>
      <c r="AE771" s="39"/>
      <c r="AF771" s="39"/>
      <c r="AG771" s="39"/>
      <c r="AH771" s="39"/>
      <c r="AI771" s="35"/>
      <c r="AJ771" s="39"/>
      <c r="AK771" s="39"/>
      <c r="AL771" s="39"/>
      <c r="AM771" s="35"/>
      <c r="AN771" s="35"/>
      <c r="AO771" s="39"/>
      <c r="AP771" s="39"/>
      <c r="AQ771" s="35"/>
      <c r="AR771" s="35"/>
      <c r="AS771" s="35"/>
      <c r="AT771" s="30">
        <f t="shared" ca="1" si="86"/>
        <v>0</v>
      </c>
      <c r="AU771" s="32" t="str">
        <f t="shared" ca="1" si="85"/>
        <v/>
      </c>
      <c r="AV771" s="32" t="str" cm="1">
        <f t="array" aca="1" ref="AV771" ca="1">IFERROR(_xlfn.IFS($AU771="","",$AU771&lt;=15,"0-15",AND($AU771&gt;=16,$AU771&lt;=30),"16-30",AND($AU771&gt;=31,$AU771&lt;=45),"31-45",AND($AU771&gt;=46,$AU771&lt;=60),"46-60",AND($AU771&gt;=61,$AU771&lt;=90),"61-90",AND($AU771&gt;=91),"&gt; 90",AND($AU771&gt;=2000),""),"")</f>
        <v/>
      </c>
      <c r="AW771" s="32" t="str" cm="1">
        <f t="array" aca="1" ref="AW771" ca="1">IFERROR(_xlfn.IFS(OR($M771="",$AM771=""),"",OR($C771="Offered",$C771="Joined"),($AM771-$M771)-$AT771),"")</f>
        <v/>
      </c>
      <c r="AX771" s="32" t="str" cm="1">
        <f t="array" aca="1" ref="AX771" ca="1">IFERROR(_xlfn.IFS(OR($M771="",$AS771=""),"",$C771="Joined",($AS771-$M771)-$AT771),"")</f>
        <v/>
      </c>
      <c r="AY771" s="30" t="str">
        <f>IFERROR(IF(COUNTIFS('Candidate Tracker'!$E:$E,'Positions Tracker'!$B771,'Candidate Tracker'!$C:$C,"Offer Drop")=0,"",COUNTIFS('Candidate Tracker'!$E:$E,'Positions Tracker'!$B771,'Candidate Tracker'!$C:$C,"Offer Drop")),"")</f>
        <v/>
      </c>
      <c r="AZ7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1" s="34" t="str">
        <f>IFERROR(IF(COUNTIFS('Candidate Tracker'!$E:$E,'Positions Tracker'!$B771,'Candidate Tracker'!$I:$I,"Female")=0,"",COUNTIFS('Candidate Tracker'!$E:$E,'Positions Tracker'!$B771,'Candidate Tracker'!$I:$I,"Female")),"")</f>
        <v/>
      </c>
      <c r="BB771" s="34" t="str">
        <f>IFERROR(IF(COUNTIFS('Candidate Tracker'!$E:$E,'Positions Tracker'!$B771,'Candidate Tracker'!$I:$I,"male")=0,"",COUNTIFS('Candidate Tracker'!$E:$E,'Positions Tracker'!$B771,'Candidate Tracker'!$I:$I,"male")),"")</f>
        <v/>
      </c>
      <c r="BC771" s="33" t="str">
        <f>IFERROR(IF(COUNTIFS('Candidate Tracker'!$E:$E,'Positions Tracker'!$B771,'Candidate Tracker'!$C:$C,"&lt;&gt;WIP",'Candidate Tracker'!$C:$C,"&lt;&gt;Hold",'Candidate Tracker'!$C:$C,"&lt;&gt;Cancelled",'Candidate Tracker'!$C:$C,"&lt;&gt;Closed")/COUNTIFS('Candidate Tracker'!$E:$E,'Positions Tracker'!$B771)=0,"",COUNTIFS('Candidate Tracker'!$E:$E,'Positions Tracker'!$B771,'Candidate Tracker'!$C:$C,"&lt;&gt;WIP",'Candidate Tracker'!$C:$C,"&lt;&gt;Hold",'Candidate Tracker'!$C:$C,"&lt;&gt;Cancelled",'Candidate Tracker'!$C:$C,"&lt;&gt;Closed")/COUNTIFS('Candidate Tracker'!$E:$E,'Positions Tracker'!$B771)),"")</f>
        <v/>
      </c>
      <c r="BD771" s="30" t="str">
        <f t="shared" si="87"/>
        <v/>
      </c>
      <c r="BE771" s="30" t="str">
        <f t="shared" si="88"/>
        <v/>
      </c>
      <c r="BF771" s="30" t="str">
        <f t="shared" si="89"/>
        <v/>
      </c>
      <c r="BG771" s="30" t="str">
        <f t="shared" si="90"/>
        <v/>
      </c>
    </row>
    <row r="772" spans="1:59">
      <c r="A772" s="39"/>
      <c r="B772" s="39"/>
      <c r="C772" s="39"/>
      <c r="D772" s="39"/>
      <c r="E772" s="39"/>
      <c r="F772" s="39"/>
      <c r="G772" s="39"/>
      <c r="H772" s="39"/>
      <c r="I772" s="40"/>
      <c r="J772" s="40"/>
      <c r="K772" s="35"/>
      <c r="L772" s="35"/>
      <c r="M772" s="35"/>
      <c r="N772" s="39"/>
      <c r="O772" s="39"/>
      <c r="P772" s="39"/>
      <c r="Q772" s="39"/>
      <c r="R772" s="39"/>
      <c r="S772" s="39"/>
      <c r="T772" s="39"/>
      <c r="U772" s="39"/>
      <c r="V772" s="39"/>
      <c r="W772" s="39"/>
      <c r="X772" s="39"/>
      <c r="Y772" s="39"/>
      <c r="Z772" s="39"/>
      <c r="AA772" s="39"/>
      <c r="AB772" s="39"/>
      <c r="AC772" s="39"/>
      <c r="AD772" s="39"/>
      <c r="AE772" s="39"/>
      <c r="AF772" s="39"/>
      <c r="AG772" s="39"/>
      <c r="AH772" s="39"/>
      <c r="AI772" s="35"/>
      <c r="AJ772" s="39"/>
      <c r="AK772" s="39"/>
      <c r="AL772" s="39"/>
      <c r="AM772" s="35"/>
      <c r="AN772" s="35"/>
      <c r="AO772" s="39"/>
      <c r="AP772" s="39"/>
      <c r="AQ772" s="35"/>
      <c r="AR772" s="35"/>
      <c r="AS772" s="35"/>
      <c r="AT772" s="30">
        <f t="shared" ca="1" si="86"/>
        <v>0</v>
      </c>
      <c r="AU772" s="32" t="str">
        <f t="shared" ca="1" si="85"/>
        <v/>
      </c>
      <c r="AV772" s="32" t="str" cm="1">
        <f t="array" aca="1" ref="AV772" ca="1">IFERROR(_xlfn.IFS($AU772="","",$AU772&lt;=15,"0-15",AND($AU772&gt;=16,$AU772&lt;=30),"16-30",AND($AU772&gt;=31,$AU772&lt;=45),"31-45",AND($AU772&gt;=46,$AU772&lt;=60),"46-60",AND($AU772&gt;=61,$AU772&lt;=90),"61-90",AND($AU772&gt;=91),"&gt; 90",AND($AU772&gt;=2000),""),"")</f>
        <v/>
      </c>
      <c r="AW772" s="32" t="str" cm="1">
        <f t="array" aca="1" ref="AW772" ca="1">IFERROR(_xlfn.IFS(OR($M772="",$AM772=""),"",OR($C772="Offered",$C772="Joined"),($AM772-$M772)-$AT772),"")</f>
        <v/>
      </c>
      <c r="AX772" s="32" t="str" cm="1">
        <f t="array" aca="1" ref="AX772" ca="1">IFERROR(_xlfn.IFS(OR($M772="",$AS772=""),"",$C772="Joined",($AS772-$M772)-$AT772),"")</f>
        <v/>
      </c>
      <c r="AY772" s="30" t="str">
        <f>IFERROR(IF(COUNTIFS('Candidate Tracker'!$E:$E,'Positions Tracker'!$B772,'Candidate Tracker'!$C:$C,"Offer Drop")=0,"",COUNTIFS('Candidate Tracker'!$E:$E,'Positions Tracker'!$B772,'Candidate Tracker'!$C:$C,"Offer Drop")),"")</f>
        <v/>
      </c>
      <c r="AZ7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2" s="34" t="str">
        <f>IFERROR(IF(COUNTIFS('Candidate Tracker'!$E:$E,'Positions Tracker'!$B772,'Candidate Tracker'!$I:$I,"Female")=0,"",COUNTIFS('Candidate Tracker'!$E:$E,'Positions Tracker'!$B772,'Candidate Tracker'!$I:$I,"Female")),"")</f>
        <v/>
      </c>
      <c r="BB772" s="34" t="str">
        <f>IFERROR(IF(COUNTIFS('Candidate Tracker'!$E:$E,'Positions Tracker'!$B772,'Candidate Tracker'!$I:$I,"male")=0,"",COUNTIFS('Candidate Tracker'!$E:$E,'Positions Tracker'!$B772,'Candidate Tracker'!$I:$I,"male")),"")</f>
        <v/>
      </c>
      <c r="BC772" s="33" t="str">
        <f>IFERROR(IF(COUNTIFS('Candidate Tracker'!$E:$E,'Positions Tracker'!$B772,'Candidate Tracker'!$C:$C,"&lt;&gt;WIP",'Candidate Tracker'!$C:$C,"&lt;&gt;Hold",'Candidate Tracker'!$C:$C,"&lt;&gt;Cancelled",'Candidate Tracker'!$C:$C,"&lt;&gt;Closed")/COUNTIFS('Candidate Tracker'!$E:$E,'Positions Tracker'!$B772)=0,"",COUNTIFS('Candidate Tracker'!$E:$E,'Positions Tracker'!$B772,'Candidate Tracker'!$C:$C,"&lt;&gt;WIP",'Candidate Tracker'!$C:$C,"&lt;&gt;Hold",'Candidate Tracker'!$C:$C,"&lt;&gt;Cancelled",'Candidate Tracker'!$C:$C,"&lt;&gt;Closed")/COUNTIFS('Candidate Tracker'!$E:$E,'Positions Tracker'!$B772)),"")</f>
        <v/>
      </c>
      <c r="BD772" s="30" t="str">
        <f t="shared" si="87"/>
        <v/>
      </c>
      <c r="BE772" s="30" t="str">
        <f t="shared" si="88"/>
        <v/>
      </c>
      <c r="BF772" s="30" t="str">
        <f t="shared" si="89"/>
        <v/>
      </c>
      <c r="BG772" s="30" t="str">
        <f t="shared" si="90"/>
        <v/>
      </c>
    </row>
    <row r="773" spans="1:59">
      <c r="A773" s="39"/>
      <c r="B773" s="39"/>
      <c r="C773" s="39"/>
      <c r="D773" s="39"/>
      <c r="E773" s="39"/>
      <c r="F773" s="39"/>
      <c r="G773" s="39"/>
      <c r="H773" s="39"/>
      <c r="I773" s="40"/>
      <c r="J773" s="40"/>
      <c r="K773" s="35"/>
      <c r="L773" s="35"/>
      <c r="M773" s="35"/>
      <c r="N773" s="39"/>
      <c r="O773" s="39"/>
      <c r="P773" s="39"/>
      <c r="Q773" s="39"/>
      <c r="R773" s="39"/>
      <c r="S773" s="39"/>
      <c r="T773" s="39"/>
      <c r="U773" s="39"/>
      <c r="V773" s="39"/>
      <c r="W773" s="39"/>
      <c r="X773" s="39"/>
      <c r="Y773" s="39"/>
      <c r="Z773" s="39"/>
      <c r="AA773" s="39"/>
      <c r="AB773" s="39"/>
      <c r="AC773" s="39"/>
      <c r="AD773" s="39"/>
      <c r="AE773" s="39"/>
      <c r="AF773" s="39"/>
      <c r="AG773" s="39"/>
      <c r="AH773" s="39"/>
      <c r="AI773" s="35"/>
      <c r="AJ773" s="39"/>
      <c r="AK773" s="39"/>
      <c r="AL773" s="39"/>
      <c r="AM773" s="35"/>
      <c r="AN773" s="35"/>
      <c r="AO773" s="39"/>
      <c r="AP773" s="39"/>
      <c r="AQ773" s="35"/>
      <c r="AR773" s="35"/>
      <c r="AS773" s="35"/>
      <c r="AT773" s="30">
        <f t="shared" ca="1" si="86"/>
        <v>0</v>
      </c>
      <c r="AU773" s="32" t="str">
        <f t="shared" ca="1" si="85"/>
        <v/>
      </c>
      <c r="AV773" s="32" t="str" cm="1">
        <f t="array" aca="1" ref="AV773" ca="1">IFERROR(_xlfn.IFS($AU773="","",$AU773&lt;=15,"0-15",AND($AU773&gt;=16,$AU773&lt;=30),"16-30",AND($AU773&gt;=31,$AU773&lt;=45),"31-45",AND($AU773&gt;=46,$AU773&lt;=60),"46-60",AND($AU773&gt;=61,$AU773&lt;=90),"61-90",AND($AU773&gt;=91),"&gt; 90",AND($AU773&gt;=2000),""),"")</f>
        <v/>
      </c>
      <c r="AW773" s="32" t="str" cm="1">
        <f t="array" aca="1" ref="AW773" ca="1">IFERROR(_xlfn.IFS(OR($M773="",$AM773=""),"",OR($C773="Offered",$C773="Joined"),($AM773-$M773)-$AT773),"")</f>
        <v/>
      </c>
      <c r="AX773" s="32" t="str" cm="1">
        <f t="array" aca="1" ref="AX773" ca="1">IFERROR(_xlfn.IFS(OR($M773="",$AS773=""),"",$C773="Joined",($AS773-$M773)-$AT773),"")</f>
        <v/>
      </c>
      <c r="AY773" s="30" t="str">
        <f>IFERROR(IF(COUNTIFS('Candidate Tracker'!$E:$E,'Positions Tracker'!$B773,'Candidate Tracker'!$C:$C,"Offer Drop")=0,"",COUNTIFS('Candidate Tracker'!$E:$E,'Positions Tracker'!$B773,'Candidate Tracker'!$C:$C,"Offer Drop")),"")</f>
        <v/>
      </c>
      <c r="AZ7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3" s="34" t="str">
        <f>IFERROR(IF(COUNTIFS('Candidate Tracker'!$E:$E,'Positions Tracker'!$B773,'Candidate Tracker'!$I:$I,"Female")=0,"",COUNTIFS('Candidate Tracker'!$E:$E,'Positions Tracker'!$B773,'Candidate Tracker'!$I:$I,"Female")),"")</f>
        <v/>
      </c>
      <c r="BB773" s="34" t="str">
        <f>IFERROR(IF(COUNTIFS('Candidate Tracker'!$E:$E,'Positions Tracker'!$B773,'Candidate Tracker'!$I:$I,"male")=0,"",COUNTIFS('Candidate Tracker'!$E:$E,'Positions Tracker'!$B773,'Candidate Tracker'!$I:$I,"male")),"")</f>
        <v/>
      </c>
      <c r="BC773" s="33" t="str">
        <f>IFERROR(IF(COUNTIFS('Candidate Tracker'!$E:$E,'Positions Tracker'!$B773,'Candidate Tracker'!$C:$C,"&lt;&gt;WIP",'Candidate Tracker'!$C:$C,"&lt;&gt;Hold",'Candidate Tracker'!$C:$C,"&lt;&gt;Cancelled",'Candidate Tracker'!$C:$C,"&lt;&gt;Closed")/COUNTIFS('Candidate Tracker'!$E:$E,'Positions Tracker'!$B773)=0,"",COUNTIFS('Candidate Tracker'!$E:$E,'Positions Tracker'!$B773,'Candidate Tracker'!$C:$C,"&lt;&gt;WIP",'Candidate Tracker'!$C:$C,"&lt;&gt;Hold",'Candidate Tracker'!$C:$C,"&lt;&gt;Cancelled",'Candidate Tracker'!$C:$C,"&lt;&gt;Closed")/COUNTIFS('Candidate Tracker'!$E:$E,'Positions Tracker'!$B773)),"")</f>
        <v/>
      </c>
      <c r="BD773" s="30" t="str">
        <f t="shared" si="87"/>
        <v/>
      </c>
      <c r="BE773" s="30" t="str">
        <f t="shared" si="88"/>
        <v/>
      </c>
      <c r="BF773" s="30" t="str">
        <f t="shared" si="89"/>
        <v/>
      </c>
      <c r="BG773" s="30" t="str">
        <f t="shared" si="90"/>
        <v/>
      </c>
    </row>
    <row r="774" spans="1:59">
      <c r="A774" s="39"/>
      <c r="B774" s="39"/>
      <c r="C774" s="39"/>
      <c r="D774" s="39"/>
      <c r="E774" s="39"/>
      <c r="F774" s="39"/>
      <c r="G774" s="39"/>
      <c r="H774" s="39"/>
      <c r="I774" s="40"/>
      <c r="J774" s="40"/>
      <c r="K774" s="35"/>
      <c r="L774" s="35"/>
      <c r="M774" s="35"/>
      <c r="N774" s="39"/>
      <c r="O774" s="39"/>
      <c r="P774" s="39"/>
      <c r="Q774" s="39"/>
      <c r="R774" s="39"/>
      <c r="S774" s="39"/>
      <c r="T774" s="39"/>
      <c r="U774" s="39"/>
      <c r="V774" s="39"/>
      <c r="W774" s="39"/>
      <c r="X774" s="39"/>
      <c r="Y774" s="39"/>
      <c r="Z774" s="39"/>
      <c r="AA774" s="39"/>
      <c r="AB774" s="39"/>
      <c r="AC774" s="39"/>
      <c r="AD774" s="39"/>
      <c r="AE774" s="39"/>
      <c r="AF774" s="39"/>
      <c r="AG774" s="39"/>
      <c r="AH774" s="39"/>
      <c r="AI774" s="35"/>
      <c r="AJ774" s="39"/>
      <c r="AK774" s="39"/>
      <c r="AL774" s="39"/>
      <c r="AM774" s="35"/>
      <c r="AN774" s="35"/>
      <c r="AO774" s="39"/>
      <c r="AP774" s="39"/>
      <c r="AQ774" s="35"/>
      <c r="AR774" s="35"/>
      <c r="AS774" s="35"/>
      <c r="AT774" s="30">
        <f t="shared" ca="1" si="86"/>
        <v>0</v>
      </c>
      <c r="AU774" s="32" t="str">
        <f t="shared" ca="1" si="85"/>
        <v/>
      </c>
      <c r="AV774" s="32" t="str" cm="1">
        <f t="array" aca="1" ref="AV774" ca="1">IFERROR(_xlfn.IFS($AU774="","",$AU774&lt;=15,"0-15",AND($AU774&gt;=16,$AU774&lt;=30),"16-30",AND($AU774&gt;=31,$AU774&lt;=45),"31-45",AND($AU774&gt;=46,$AU774&lt;=60),"46-60",AND($AU774&gt;=61,$AU774&lt;=90),"61-90",AND($AU774&gt;=91),"&gt; 90",AND($AU774&gt;=2000),""),"")</f>
        <v/>
      </c>
      <c r="AW774" s="32" t="str" cm="1">
        <f t="array" aca="1" ref="AW774" ca="1">IFERROR(_xlfn.IFS(OR($M774="",$AM774=""),"",OR($C774="Offered",$C774="Joined"),($AM774-$M774)-$AT774),"")</f>
        <v/>
      </c>
      <c r="AX774" s="32" t="str" cm="1">
        <f t="array" aca="1" ref="AX774" ca="1">IFERROR(_xlfn.IFS(OR($M774="",$AS774=""),"",$C774="Joined",($AS774-$M774)-$AT774),"")</f>
        <v/>
      </c>
      <c r="AY774" s="30" t="str">
        <f>IFERROR(IF(COUNTIFS('Candidate Tracker'!$E:$E,'Positions Tracker'!$B774,'Candidate Tracker'!$C:$C,"Offer Drop")=0,"",COUNTIFS('Candidate Tracker'!$E:$E,'Positions Tracker'!$B774,'Candidate Tracker'!$C:$C,"Offer Drop")),"")</f>
        <v/>
      </c>
      <c r="AZ7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4" s="34" t="str">
        <f>IFERROR(IF(COUNTIFS('Candidate Tracker'!$E:$E,'Positions Tracker'!$B774,'Candidate Tracker'!$I:$I,"Female")=0,"",COUNTIFS('Candidate Tracker'!$E:$E,'Positions Tracker'!$B774,'Candidate Tracker'!$I:$I,"Female")),"")</f>
        <v/>
      </c>
      <c r="BB774" s="34" t="str">
        <f>IFERROR(IF(COUNTIFS('Candidate Tracker'!$E:$E,'Positions Tracker'!$B774,'Candidate Tracker'!$I:$I,"male")=0,"",COUNTIFS('Candidate Tracker'!$E:$E,'Positions Tracker'!$B774,'Candidate Tracker'!$I:$I,"male")),"")</f>
        <v/>
      </c>
      <c r="BC774" s="33" t="str">
        <f>IFERROR(IF(COUNTIFS('Candidate Tracker'!$E:$E,'Positions Tracker'!$B774,'Candidate Tracker'!$C:$C,"&lt;&gt;WIP",'Candidate Tracker'!$C:$C,"&lt;&gt;Hold",'Candidate Tracker'!$C:$C,"&lt;&gt;Cancelled",'Candidate Tracker'!$C:$C,"&lt;&gt;Closed")/COUNTIFS('Candidate Tracker'!$E:$E,'Positions Tracker'!$B774)=0,"",COUNTIFS('Candidate Tracker'!$E:$E,'Positions Tracker'!$B774,'Candidate Tracker'!$C:$C,"&lt;&gt;WIP",'Candidate Tracker'!$C:$C,"&lt;&gt;Hold",'Candidate Tracker'!$C:$C,"&lt;&gt;Cancelled",'Candidate Tracker'!$C:$C,"&lt;&gt;Closed")/COUNTIFS('Candidate Tracker'!$E:$E,'Positions Tracker'!$B774)),"")</f>
        <v/>
      </c>
      <c r="BD774" s="30" t="str">
        <f t="shared" si="87"/>
        <v/>
      </c>
      <c r="BE774" s="30" t="str">
        <f t="shared" si="88"/>
        <v/>
      </c>
      <c r="BF774" s="30" t="str">
        <f t="shared" si="89"/>
        <v/>
      </c>
      <c r="BG774" s="30" t="str">
        <f t="shared" si="90"/>
        <v/>
      </c>
    </row>
    <row r="775" spans="1:59">
      <c r="A775" s="39"/>
      <c r="B775" s="39"/>
      <c r="C775" s="39"/>
      <c r="D775" s="39"/>
      <c r="E775" s="39"/>
      <c r="F775" s="39"/>
      <c r="G775" s="39"/>
      <c r="H775" s="39"/>
      <c r="I775" s="40"/>
      <c r="J775" s="40"/>
      <c r="K775" s="35"/>
      <c r="L775" s="35"/>
      <c r="M775" s="35"/>
      <c r="N775" s="39"/>
      <c r="O775" s="39"/>
      <c r="P775" s="39"/>
      <c r="Q775" s="39"/>
      <c r="R775" s="39"/>
      <c r="S775" s="39"/>
      <c r="T775" s="39"/>
      <c r="U775" s="39"/>
      <c r="V775" s="39"/>
      <c r="W775" s="39"/>
      <c r="X775" s="39"/>
      <c r="Y775" s="39"/>
      <c r="Z775" s="39"/>
      <c r="AA775" s="39"/>
      <c r="AB775" s="39"/>
      <c r="AC775" s="39"/>
      <c r="AD775" s="39"/>
      <c r="AE775" s="39"/>
      <c r="AF775" s="39"/>
      <c r="AG775" s="39"/>
      <c r="AH775" s="39"/>
      <c r="AI775" s="35"/>
      <c r="AJ775" s="39"/>
      <c r="AK775" s="39"/>
      <c r="AL775" s="39"/>
      <c r="AM775" s="35"/>
      <c r="AN775" s="35"/>
      <c r="AO775" s="39"/>
      <c r="AP775" s="39"/>
      <c r="AQ775" s="35"/>
      <c r="AR775" s="35"/>
      <c r="AS775" s="35"/>
      <c r="AT775" s="30">
        <f t="shared" ca="1" si="86"/>
        <v>0</v>
      </c>
      <c r="AU775" s="32" t="str">
        <f t="shared" ca="1" si="85"/>
        <v/>
      </c>
      <c r="AV775" s="32" t="str" cm="1">
        <f t="array" aca="1" ref="AV775" ca="1">IFERROR(_xlfn.IFS($AU775="","",$AU775&lt;=15,"0-15",AND($AU775&gt;=16,$AU775&lt;=30),"16-30",AND($AU775&gt;=31,$AU775&lt;=45),"31-45",AND($AU775&gt;=46,$AU775&lt;=60),"46-60",AND($AU775&gt;=61,$AU775&lt;=90),"61-90",AND($AU775&gt;=91),"&gt; 90",AND($AU775&gt;=2000),""),"")</f>
        <v/>
      </c>
      <c r="AW775" s="32" t="str" cm="1">
        <f t="array" aca="1" ref="AW775" ca="1">IFERROR(_xlfn.IFS(OR($M775="",$AM775=""),"",OR($C775="Offered",$C775="Joined"),($AM775-$M775)-$AT775),"")</f>
        <v/>
      </c>
      <c r="AX775" s="32" t="str" cm="1">
        <f t="array" aca="1" ref="AX775" ca="1">IFERROR(_xlfn.IFS(OR($M775="",$AS775=""),"",$C775="Joined",($AS775-$M775)-$AT775),"")</f>
        <v/>
      </c>
      <c r="AY775" s="30" t="str">
        <f>IFERROR(IF(COUNTIFS('Candidate Tracker'!$E:$E,'Positions Tracker'!$B775,'Candidate Tracker'!$C:$C,"Offer Drop")=0,"",COUNTIFS('Candidate Tracker'!$E:$E,'Positions Tracker'!$B775,'Candidate Tracker'!$C:$C,"Offer Drop")),"")</f>
        <v/>
      </c>
      <c r="AZ7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5" s="34" t="str">
        <f>IFERROR(IF(COUNTIFS('Candidate Tracker'!$E:$E,'Positions Tracker'!$B775,'Candidate Tracker'!$I:$I,"Female")=0,"",COUNTIFS('Candidate Tracker'!$E:$E,'Positions Tracker'!$B775,'Candidate Tracker'!$I:$I,"Female")),"")</f>
        <v/>
      </c>
      <c r="BB775" s="34" t="str">
        <f>IFERROR(IF(COUNTIFS('Candidate Tracker'!$E:$E,'Positions Tracker'!$B775,'Candidate Tracker'!$I:$I,"male")=0,"",COUNTIFS('Candidate Tracker'!$E:$E,'Positions Tracker'!$B775,'Candidate Tracker'!$I:$I,"male")),"")</f>
        <v/>
      </c>
      <c r="BC775" s="33" t="str">
        <f>IFERROR(IF(COUNTIFS('Candidate Tracker'!$E:$E,'Positions Tracker'!$B775,'Candidate Tracker'!$C:$C,"&lt;&gt;WIP",'Candidate Tracker'!$C:$C,"&lt;&gt;Hold",'Candidate Tracker'!$C:$C,"&lt;&gt;Cancelled",'Candidate Tracker'!$C:$C,"&lt;&gt;Closed")/COUNTIFS('Candidate Tracker'!$E:$E,'Positions Tracker'!$B775)=0,"",COUNTIFS('Candidate Tracker'!$E:$E,'Positions Tracker'!$B775,'Candidate Tracker'!$C:$C,"&lt;&gt;WIP",'Candidate Tracker'!$C:$C,"&lt;&gt;Hold",'Candidate Tracker'!$C:$C,"&lt;&gt;Cancelled",'Candidate Tracker'!$C:$C,"&lt;&gt;Closed")/COUNTIFS('Candidate Tracker'!$E:$E,'Positions Tracker'!$B775)),"")</f>
        <v/>
      </c>
      <c r="BD775" s="30" t="str">
        <f t="shared" si="87"/>
        <v/>
      </c>
      <c r="BE775" s="30" t="str">
        <f t="shared" si="88"/>
        <v/>
      </c>
      <c r="BF775" s="30" t="str">
        <f t="shared" si="89"/>
        <v/>
      </c>
      <c r="BG775" s="30" t="str">
        <f t="shared" si="90"/>
        <v/>
      </c>
    </row>
    <row r="776" spans="1:59">
      <c r="A776" s="39"/>
      <c r="B776" s="39"/>
      <c r="C776" s="39"/>
      <c r="D776" s="39"/>
      <c r="E776" s="39"/>
      <c r="F776" s="39"/>
      <c r="G776" s="39"/>
      <c r="H776" s="39"/>
      <c r="I776" s="40"/>
      <c r="J776" s="40"/>
      <c r="K776" s="35"/>
      <c r="L776" s="35"/>
      <c r="M776" s="35"/>
      <c r="N776" s="39"/>
      <c r="O776" s="39"/>
      <c r="P776" s="39"/>
      <c r="Q776" s="39"/>
      <c r="R776" s="39"/>
      <c r="S776" s="39"/>
      <c r="T776" s="39"/>
      <c r="U776" s="39"/>
      <c r="V776" s="39"/>
      <c r="W776" s="39"/>
      <c r="X776" s="39"/>
      <c r="Y776" s="39"/>
      <c r="Z776" s="39"/>
      <c r="AA776" s="39"/>
      <c r="AB776" s="39"/>
      <c r="AC776" s="39"/>
      <c r="AD776" s="39"/>
      <c r="AE776" s="39"/>
      <c r="AF776" s="39"/>
      <c r="AG776" s="39"/>
      <c r="AH776" s="39"/>
      <c r="AI776" s="35"/>
      <c r="AJ776" s="39"/>
      <c r="AK776" s="39"/>
      <c r="AL776" s="39"/>
      <c r="AM776" s="35"/>
      <c r="AN776" s="35"/>
      <c r="AO776" s="39"/>
      <c r="AP776" s="39"/>
      <c r="AQ776" s="35"/>
      <c r="AR776" s="35"/>
      <c r="AS776" s="35"/>
      <c r="AT776" s="30">
        <f t="shared" ca="1" si="86"/>
        <v>0</v>
      </c>
      <c r="AU776" s="32" t="str">
        <f t="shared" ca="1" si="85"/>
        <v/>
      </c>
      <c r="AV776" s="32" t="str" cm="1">
        <f t="array" aca="1" ref="AV776" ca="1">IFERROR(_xlfn.IFS($AU776="","",$AU776&lt;=15,"0-15",AND($AU776&gt;=16,$AU776&lt;=30),"16-30",AND($AU776&gt;=31,$AU776&lt;=45),"31-45",AND($AU776&gt;=46,$AU776&lt;=60),"46-60",AND($AU776&gt;=61,$AU776&lt;=90),"61-90",AND($AU776&gt;=91),"&gt; 90",AND($AU776&gt;=2000),""),"")</f>
        <v/>
      </c>
      <c r="AW776" s="32" t="str" cm="1">
        <f t="array" aca="1" ref="AW776" ca="1">IFERROR(_xlfn.IFS(OR($M776="",$AM776=""),"",OR($C776="Offered",$C776="Joined"),($AM776-$M776)-$AT776),"")</f>
        <v/>
      </c>
      <c r="AX776" s="32" t="str" cm="1">
        <f t="array" aca="1" ref="AX776" ca="1">IFERROR(_xlfn.IFS(OR($M776="",$AS776=""),"",$C776="Joined",($AS776-$M776)-$AT776),"")</f>
        <v/>
      </c>
      <c r="AY776" s="30" t="str">
        <f>IFERROR(IF(COUNTIFS('Candidate Tracker'!$E:$E,'Positions Tracker'!$B776,'Candidate Tracker'!$C:$C,"Offer Drop")=0,"",COUNTIFS('Candidate Tracker'!$E:$E,'Positions Tracker'!$B776,'Candidate Tracker'!$C:$C,"Offer Drop")),"")</f>
        <v/>
      </c>
      <c r="AZ7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6" s="34" t="str">
        <f>IFERROR(IF(COUNTIFS('Candidate Tracker'!$E:$E,'Positions Tracker'!$B776,'Candidate Tracker'!$I:$I,"Female")=0,"",COUNTIFS('Candidate Tracker'!$E:$E,'Positions Tracker'!$B776,'Candidate Tracker'!$I:$I,"Female")),"")</f>
        <v/>
      </c>
      <c r="BB776" s="34" t="str">
        <f>IFERROR(IF(COUNTIFS('Candidate Tracker'!$E:$E,'Positions Tracker'!$B776,'Candidate Tracker'!$I:$I,"male")=0,"",COUNTIFS('Candidate Tracker'!$E:$E,'Positions Tracker'!$B776,'Candidate Tracker'!$I:$I,"male")),"")</f>
        <v/>
      </c>
      <c r="BC776" s="33" t="str">
        <f>IFERROR(IF(COUNTIFS('Candidate Tracker'!$E:$E,'Positions Tracker'!$B776,'Candidate Tracker'!$C:$C,"&lt;&gt;WIP",'Candidate Tracker'!$C:$C,"&lt;&gt;Hold",'Candidate Tracker'!$C:$C,"&lt;&gt;Cancelled",'Candidate Tracker'!$C:$C,"&lt;&gt;Closed")/COUNTIFS('Candidate Tracker'!$E:$E,'Positions Tracker'!$B776)=0,"",COUNTIFS('Candidate Tracker'!$E:$E,'Positions Tracker'!$B776,'Candidate Tracker'!$C:$C,"&lt;&gt;WIP",'Candidate Tracker'!$C:$C,"&lt;&gt;Hold",'Candidate Tracker'!$C:$C,"&lt;&gt;Cancelled",'Candidate Tracker'!$C:$C,"&lt;&gt;Closed")/COUNTIFS('Candidate Tracker'!$E:$E,'Positions Tracker'!$B776)),"")</f>
        <v/>
      </c>
      <c r="BD776" s="30" t="str">
        <f t="shared" si="87"/>
        <v/>
      </c>
      <c r="BE776" s="30" t="str">
        <f t="shared" si="88"/>
        <v/>
      </c>
      <c r="BF776" s="30" t="str">
        <f t="shared" si="89"/>
        <v/>
      </c>
      <c r="BG776" s="30" t="str">
        <f t="shared" si="90"/>
        <v/>
      </c>
    </row>
    <row r="777" spans="1:59">
      <c r="A777" s="39"/>
      <c r="B777" s="39"/>
      <c r="C777" s="39"/>
      <c r="D777" s="39"/>
      <c r="E777" s="39"/>
      <c r="F777" s="39"/>
      <c r="G777" s="39"/>
      <c r="H777" s="39"/>
      <c r="I777" s="40"/>
      <c r="J777" s="40"/>
      <c r="K777" s="35"/>
      <c r="L777" s="35"/>
      <c r="M777" s="35"/>
      <c r="N777" s="39"/>
      <c r="O777" s="39"/>
      <c r="P777" s="39"/>
      <c r="Q777" s="39"/>
      <c r="R777" s="39"/>
      <c r="S777" s="39"/>
      <c r="T777" s="39"/>
      <c r="U777" s="39"/>
      <c r="V777" s="39"/>
      <c r="W777" s="39"/>
      <c r="X777" s="39"/>
      <c r="Y777" s="39"/>
      <c r="Z777" s="39"/>
      <c r="AA777" s="39"/>
      <c r="AB777" s="39"/>
      <c r="AC777" s="39"/>
      <c r="AD777" s="39"/>
      <c r="AE777" s="39"/>
      <c r="AF777" s="39"/>
      <c r="AG777" s="39"/>
      <c r="AH777" s="39"/>
      <c r="AI777" s="35"/>
      <c r="AJ777" s="39"/>
      <c r="AK777" s="39"/>
      <c r="AL777" s="39"/>
      <c r="AM777" s="35"/>
      <c r="AN777" s="35"/>
      <c r="AO777" s="39"/>
      <c r="AP777" s="39"/>
      <c r="AQ777" s="35"/>
      <c r="AR777" s="35"/>
      <c r="AS777" s="35"/>
      <c r="AT777" s="30">
        <f t="shared" ca="1" si="86"/>
        <v>0</v>
      </c>
      <c r="AU777" s="32" t="str">
        <f t="shared" ca="1" si="85"/>
        <v/>
      </c>
      <c r="AV777" s="32" t="str" cm="1">
        <f t="array" aca="1" ref="AV777" ca="1">IFERROR(_xlfn.IFS($AU777="","",$AU777&lt;=15,"0-15",AND($AU777&gt;=16,$AU777&lt;=30),"16-30",AND($AU777&gt;=31,$AU777&lt;=45),"31-45",AND($AU777&gt;=46,$AU777&lt;=60),"46-60",AND($AU777&gt;=61,$AU777&lt;=90),"61-90",AND($AU777&gt;=91),"&gt; 90",AND($AU777&gt;=2000),""),"")</f>
        <v/>
      </c>
      <c r="AW777" s="32" t="str" cm="1">
        <f t="array" aca="1" ref="AW777" ca="1">IFERROR(_xlfn.IFS(OR($M777="",$AM777=""),"",OR($C777="Offered",$C777="Joined"),($AM777-$M777)-$AT777),"")</f>
        <v/>
      </c>
      <c r="AX777" s="32" t="str" cm="1">
        <f t="array" aca="1" ref="AX777" ca="1">IFERROR(_xlfn.IFS(OR($M777="",$AS777=""),"",$C777="Joined",($AS777-$M777)-$AT777),"")</f>
        <v/>
      </c>
      <c r="AY777" s="30" t="str">
        <f>IFERROR(IF(COUNTIFS('Candidate Tracker'!$E:$E,'Positions Tracker'!$B777,'Candidate Tracker'!$C:$C,"Offer Drop")=0,"",COUNTIFS('Candidate Tracker'!$E:$E,'Positions Tracker'!$B777,'Candidate Tracker'!$C:$C,"Offer Drop")),"")</f>
        <v/>
      </c>
      <c r="AZ7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7" s="34" t="str">
        <f>IFERROR(IF(COUNTIFS('Candidate Tracker'!$E:$E,'Positions Tracker'!$B777,'Candidate Tracker'!$I:$I,"Female")=0,"",COUNTIFS('Candidate Tracker'!$E:$E,'Positions Tracker'!$B777,'Candidate Tracker'!$I:$I,"Female")),"")</f>
        <v/>
      </c>
      <c r="BB777" s="34" t="str">
        <f>IFERROR(IF(COUNTIFS('Candidate Tracker'!$E:$E,'Positions Tracker'!$B777,'Candidate Tracker'!$I:$I,"male")=0,"",COUNTIFS('Candidate Tracker'!$E:$E,'Positions Tracker'!$B777,'Candidate Tracker'!$I:$I,"male")),"")</f>
        <v/>
      </c>
      <c r="BC777" s="33" t="str">
        <f>IFERROR(IF(COUNTIFS('Candidate Tracker'!$E:$E,'Positions Tracker'!$B777,'Candidate Tracker'!$C:$C,"&lt;&gt;WIP",'Candidate Tracker'!$C:$C,"&lt;&gt;Hold",'Candidate Tracker'!$C:$C,"&lt;&gt;Cancelled",'Candidate Tracker'!$C:$C,"&lt;&gt;Closed")/COUNTIFS('Candidate Tracker'!$E:$E,'Positions Tracker'!$B777)=0,"",COUNTIFS('Candidate Tracker'!$E:$E,'Positions Tracker'!$B777,'Candidate Tracker'!$C:$C,"&lt;&gt;WIP",'Candidate Tracker'!$C:$C,"&lt;&gt;Hold",'Candidate Tracker'!$C:$C,"&lt;&gt;Cancelled",'Candidate Tracker'!$C:$C,"&lt;&gt;Closed")/COUNTIFS('Candidate Tracker'!$E:$E,'Positions Tracker'!$B777)),"")</f>
        <v/>
      </c>
      <c r="BD777" s="30" t="str">
        <f t="shared" si="87"/>
        <v/>
      </c>
      <c r="BE777" s="30" t="str">
        <f t="shared" si="88"/>
        <v/>
      </c>
      <c r="BF777" s="30" t="str">
        <f t="shared" si="89"/>
        <v/>
      </c>
      <c r="BG777" s="30" t="str">
        <f t="shared" si="90"/>
        <v/>
      </c>
    </row>
    <row r="778" spans="1:59">
      <c r="A778" s="39"/>
      <c r="B778" s="39"/>
      <c r="C778" s="39"/>
      <c r="D778" s="39"/>
      <c r="E778" s="39"/>
      <c r="F778" s="39"/>
      <c r="G778" s="39"/>
      <c r="H778" s="39"/>
      <c r="I778" s="40"/>
      <c r="J778" s="40"/>
      <c r="K778" s="35"/>
      <c r="L778" s="35"/>
      <c r="M778" s="35"/>
      <c r="N778" s="39"/>
      <c r="O778" s="39"/>
      <c r="P778" s="39"/>
      <c r="Q778" s="39"/>
      <c r="R778" s="39"/>
      <c r="S778" s="39"/>
      <c r="T778" s="39"/>
      <c r="U778" s="39"/>
      <c r="V778" s="39"/>
      <c r="W778" s="39"/>
      <c r="X778" s="39"/>
      <c r="Y778" s="39"/>
      <c r="Z778" s="39"/>
      <c r="AA778" s="39"/>
      <c r="AB778" s="39"/>
      <c r="AC778" s="39"/>
      <c r="AD778" s="39"/>
      <c r="AE778" s="39"/>
      <c r="AF778" s="39"/>
      <c r="AG778" s="39"/>
      <c r="AH778" s="39"/>
      <c r="AI778" s="35"/>
      <c r="AJ778" s="39"/>
      <c r="AK778" s="39"/>
      <c r="AL778" s="39"/>
      <c r="AM778" s="35"/>
      <c r="AN778" s="35"/>
      <c r="AO778" s="39"/>
      <c r="AP778" s="39"/>
      <c r="AQ778" s="35"/>
      <c r="AR778" s="35"/>
      <c r="AS778" s="35"/>
      <c r="AT778" s="30">
        <f t="shared" ca="1" si="86"/>
        <v>0</v>
      </c>
      <c r="AU778" s="32" t="str">
        <f t="shared" ca="1" si="85"/>
        <v/>
      </c>
      <c r="AV778" s="32" t="str" cm="1">
        <f t="array" aca="1" ref="AV778" ca="1">IFERROR(_xlfn.IFS($AU778="","",$AU778&lt;=15,"0-15",AND($AU778&gt;=16,$AU778&lt;=30),"16-30",AND($AU778&gt;=31,$AU778&lt;=45),"31-45",AND($AU778&gt;=46,$AU778&lt;=60),"46-60",AND($AU778&gt;=61,$AU778&lt;=90),"61-90",AND($AU778&gt;=91),"&gt; 90",AND($AU778&gt;=2000),""),"")</f>
        <v/>
      </c>
      <c r="AW778" s="32" t="str" cm="1">
        <f t="array" aca="1" ref="AW778" ca="1">IFERROR(_xlfn.IFS(OR($M778="",$AM778=""),"",OR($C778="Offered",$C778="Joined"),($AM778-$M778)-$AT778),"")</f>
        <v/>
      </c>
      <c r="AX778" s="32" t="str" cm="1">
        <f t="array" aca="1" ref="AX778" ca="1">IFERROR(_xlfn.IFS(OR($M778="",$AS778=""),"",$C778="Joined",($AS778-$M778)-$AT778),"")</f>
        <v/>
      </c>
      <c r="AY778" s="30" t="str">
        <f>IFERROR(IF(COUNTIFS('Candidate Tracker'!$E:$E,'Positions Tracker'!$B778,'Candidate Tracker'!$C:$C,"Offer Drop")=0,"",COUNTIFS('Candidate Tracker'!$E:$E,'Positions Tracker'!$B778,'Candidate Tracker'!$C:$C,"Offer Drop")),"")</f>
        <v/>
      </c>
      <c r="AZ7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8" s="34" t="str">
        <f>IFERROR(IF(COUNTIFS('Candidate Tracker'!$E:$E,'Positions Tracker'!$B778,'Candidate Tracker'!$I:$I,"Female")=0,"",COUNTIFS('Candidate Tracker'!$E:$E,'Positions Tracker'!$B778,'Candidate Tracker'!$I:$I,"Female")),"")</f>
        <v/>
      </c>
      <c r="BB778" s="34" t="str">
        <f>IFERROR(IF(COUNTIFS('Candidate Tracker'!$E:$E,'Positions Tracker'!$B778,'Candidate Tracker'!$I:$I,"male")=0,"",COUNTIFS('Candidate Tracker'!$E:$E,'Positions Tracker'!$B778,'Candidate Tracker'!$I:$I,"male")),"")</f>
        <v/>
      </c>
      <c r="BC778" s="33" t="str">
        <f>IFERROR(IF(COUNTIFS('Candidate Tracker'!$E:$E,'Positions Tracker'!$B778,'Candidate Tracker'!$C:$C,"&lt;&gt;WIP",'Candidate Tracker'!$C:$C,"&lt;&gt;Hold",'Candidate Tracker'!$C:$C,"&lt;&gt;Cancelled",'Candidate Tracker'!$C:$C,"&lt;&gt;Closed")/COUNTIFS('Candidate Tracker'!$E:$E,'Positions Tracker'!$B778)=0,"",COUNTIFS('Candidate Tracker'!$E:$E,'Positions Tracker'!$B778,'Candidate Tracker'!$C:$C,"&lt;&gt;WIP",'Candidate Tracker'!$C:$C,"&lt;&gt;Hold",'Candidate Tracker'!$C:$C,"&lt;&gt;Cancelled",'Candidate Tracker'!$C:$C,"&lt;&gt;Closed")/COUNTIFS('Candidate Tracker'!$E:$E,'Positions Tracker'!$B778)),"")</f>
        <v/>
      </c>
      <c r="BD778" s="30" t="str">
        <f t="shared" si="87"/>
        <v/>
      </c>
      <c r="BE778" s="30" t="str">
        <f t="shared" si="88"/>
        <v/>
      </c>
      <c r="BF778" s="30" t="str">
        <f t="shared" si="89"/>
        <v/>
      </c>
      <c r="BG778" s="30" t="str">
        <f t="shared" si="90"/>
        <v/>
      </c>
    </row>
    <row r="779" spans="1:59">
      <c r="A779" s="39"/>
      <c r="B779" s="39"/>
      <c r="C779" s="39"/>
      <c r="D779" s="39"/>
      <c r="E779" s="39"/>
      <c r="F779" s="39"/>
      <c r="G779" s="39"/>
      <c r="H779" s="39"/>
      <c r="I779" s="40"/>
      <c r="J779" s="40"/>
      <c r="K779" s="35"/>
      <c r="L779" s="35"/>
      <c r="M779" s="35"/>
      <c r="N779" s="39"/>
      <c r="O779" s="39"/>
      <c r="P779" s="39"/>
      <c r="Q779" s="39"/>
      <c r="R779" s="39"/>
      <c r="S779" s="39"/>
      <c r="T779" s="39"/>
      <c r="U779" s="39"/>
      <c r="V779" s="39"/>
      <c r="W779" s="39"/>
      <c r="X779" s="39"/>
      <c r="Y779" s="39"/>
      <c r="Z779" s="39"/>
      <c r="AA779" s="39"/>
      <c r="AB779" s="39"/>
      <c r="AC779" s="39"/>
      <c r="AD779" s="39"/>
      <c r="AE779" s="39"/>
      <c r="AF779" s="39"/>
      <c r="AG779" s="39"/>
      <c r="AH779" s="39"/>
      <c r="AI779" s="35"/>
      <c r="AJ779" s="39"/>
      <c r="AK779" s="39"/>
      <c r="AL779" s="39"/>
      <c r="AM779" s="35"/>
      <c r="AN779" s="35"/>
      <c r="AO779" s="39"/>
      <c r="AP779" s="39"/>
      <c r="AQ779" s="35"/>
      <c r="AR779" s="35"/>
      <c r="AS779" s="35"/>
      <c r="AT779" s="30">
        <f t="shared" ca="1" si="86"/>
        <v>0</v>
      </c>
      <c r="AU779" s="32" t="str">
        <f t="shared" ca="1" si="85"/>
        <v/>
      </c>
      <c r="AV779" s="32" t="str" cm="1">
        <f t="array" aca="1" ref="AV779" ca="1">IFERROR(_xlfn.IFS($AU779="","",$AU779&lt;=15,"0-15",AND($AU779&gt;=16,$AU779&lt;=30),"16-30",AND($AU779&gt;=31,$AU779&lt;=45),"31-45",AND($AU779&gt;=46,$AU779&lt;=60),"46-60",AND($AU779&gt;=61,$AU779&lt;=90),"61-90",AND($AU779&gt;=91),"&gt; 90",AND($AU779&gt;=2000),""),"")</f>
        <v/>
      </c>
      <c r="AW779" s="32" t="str" cm="1">
        <f t="array" aca="1" ref="AW779" ca="1">IFERROR(_xlfn.IFS(OR($M779="",$AM779=""),"",OR($C779="Offered",$C779="Joined"),($AM779-$M779)-$AT779),"")</f>
        <v/>
      </c>
      <c r="AX779" s="32" t="str" cm="1">
        <f t="array" aca="1" ref="AX779" ca="1">IFERROR(_xlfn.IFS(OR($M779="",$AS779=""),"",$C779="Joined",($AS779-$M779)-$AT779),"")</f>
        <v/>
      </c>
      <c r="AY779" s="30" t="str">
        <f>IFERROR(IF(COUNTIFS('Candidate Tracker'!$E:$E,'Positions Tracker'!$B779,'Candidate Tracker'!$C:$C,"Offer Drop")=0,"",COUNTIFS('Candidate Tracker'!$E:$E,'Positions Tracker'!$B779,'Candidate Tracker'!$C:$C,"Offer Drop")),"")</f>
        <v/>
      </c>
      <c r="AZ7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79" s="34" t="str">
        <f>IFERROR(IF(COUNTIFS('Candidate Tracker'!$E:$E,'Positions Tracker'!$B779,'Candidate Tracker'!$I:$I,"Female")=0,"",COUNTIFS('Candidate Tracker'!$E:$E,'Positions Tracker'!$B779,'Candidate Tracker'!$I:$I,"Female")),"")</f>
        <v/>
      </c>
      <c r="BB779" s="34" t="str">
        <f>IFERROR(IF(COUNTIFS('Candidate Tracker'!$E:$E,'Positions Tracker'!$B779,'Candidate Tracker'!$I:$I,"male")=0,"",COUNTIFS('Candidate Tracker'!$E:$E,'Positions Tracker'!$B779,'Candidate Tracker'!$I:$I,"male")),"")</f>
        <v/>
      </c>
      <c r="BC779" s="33" t="str">
        <f>IFERROR(IF(COUNTIFS('Candidate Tracker'!$E:$E,'Positions Tracker'!$B779,'Candidate Tracker'!$C:$C,"&lt;&gt;WIP",'Candidate Tracker'!$C:$C,"&lt;&gt;Hold",'Candidate Tracker'!$C:$C,"&lt;&gt;Cancelled",'Candidate Tracker'!$C:$C,"&lt;&gt;Closed")/COUNTIFS('Candidate Tracker'!$E:$E,'Positions Tracker'!$B779)=0,"",COUNTIFS('Candidate Tracker'!$E:$E,'Positions Tracker'!$B779,'Candidate Tracker'!$C:$C,"&lt;&gt;WIP",'Candidate Tracker'!$C:$C,"&lt;&gt;Hold",'Candidate Tracker'!$C:$C,"&lt;&gt;Cancelled",'Candidate Tracker'!$C:$C,"&lt;&gt;Closed")/COUNTIFS('Candidate Tracker'!$E:$E,'Positions Tracker'!$B779)),"")</f>
        <v/>
      </c>
      <c r="BD779" s="30" t="str">
        <f t="shared" si="87"/>
        <v/>
      </c>
      <c r="BE779" s="30" t="str">
        <f t="shared" si="88"/>
        <v/>
      </c>
      <c r="BF779" s="30" t="str">
        <f t="shared" si="89"/>
        <v/>
      </c>
      <c r="BG779" s="30" t="str">
        <f t="shared" si="90"/>
        <v/>
      </c>
    </row>
    <row r="780" spans="1:59">
      <c r="A780" s="39"/>
      <c r="B780" s="39"/>
      <c r="C780" s="39"/>
      <c r="D780" s="39"/>
      <c r="E780" s="39"/>
      <c r="F780" s="39"/>
      <c r="G780" s="39"/>
      <c r="H780" s="39"/>
      <c r="I780" s="40"/>
      <c r="J780" s="40"/>
      <c r="K780" s="35"/>
      <c r="L780" s="35"/>
      <c r="M780" s="35"/>
      <c r="N780" s="39"/>
      <c r="O780" s="39"/>
      <c r="P780" s="39"/>
      <c r="Q780" s="39"/>
      <c r="R780" s="39"/>
      <c r="S780" s="39"/>
      <c r="T780" s="39"/>
      <c r="U780" s="39"/>
      <c r="V780" s="39"/>
      <c r="W780" s="39"/>
      <c r="X780" s="39"/>
      <c r="Y780" s="39"/>
      <c r="Z780" s="39"/>
      <c r="AA780" s="39"/>
      <c r="AB780" s="39"/>
      <c r="AC780" s="39"/>
      <c r="AD780" s="39"/>
      <c r="AE780" s="39"/>
      <c r="AF780" s="39"/>
      <c r="AG780" s="39"/>
      <c r="AH780" s="39"/>
      <c r="AI780" s="35"/>
      <c r="AJ780" s="39"/>
      <c r="AK780" s="39"/>
      <c r="AL780" s="39"/>
      <c r="AM780" s="35"/>
      <c r="AN780" s="35"/>
      <c r="AO780" s="39"/>
      <c r="AP780" s="39"/>
      <c r="AQ780" s="35"/>
      <c r="AR780" s="35"/>
      <c r="AS780" s="35"/>
      <c r="AT780" s="30">
        <f t="shared" ca="1" si="86"/>
        <v>0</v>
      </c>
      <c r="AU780" s="32" t="str">
        <f t="shared" ca="1" si="85"/>
        <v/>
      </c>
      <c r="AV780" s="32" t="str" cm="1">
        <f t="array" aca="1" ref="AV780" ca="1">IFERROR(_xlfn.IFS($AU780="","",$AU780&lt;=15,"0-15",AND($AU780&gt;=16,$AU780&lt;=30),"16-30",AND($AU780&gt;=31,$AU780&lt;=45),"31-45",AND($AU780&gt;=46,$AU780&lt;=60),"46-60",AND($AU780&gt;=61,$AU780&lt;=90),"61-90",AND($AU780&gt;=91),"&gt; 90",AND($AU780&gt;=2000),""),"")</f>
        <v/>
      </c>
      <c r="AW780" s="32" t="str" cm="1">
        <f t="array" aca="1" ref="AW780" ca="1">IFERROR(_xlfn.IFS(OR($M780="",$AM780=""),"",OR($C780="Offered",$C780="Joined"),($AM780-$M780)-$AT780),"")</f>
        <v/>
      </c>
      <c r="AX780" s="32" t="str" cm="1">
        <f t="array" aca="1" ref="AX780" ca="1">IFERROR(_xlfn.IFS(OR($M780="",$AS780=""),"",$C780="Joined",($AS780-$M780)-$AT780),"")</f>
        <v/>
      </c>
      <c r="AY780" s="30" t="str">
        <f>IFERROR(IF(COUNTIFS('Candidate Tracker'!$E:$E,'Positions Tracker'!$B780,'Candidate Tracker'!$C:$C,"Offer Drop")=0,"",COUNTIFS('Candidate Tracker'!$E:$E,'Positions Tracker'!$B780,'Candidate Tracker'!$C:$C,"Offer Drop")),"")</f>
        <v/>
      </c>
      <c r="AZ7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0" s="34" t="str">
        <f>IFERROR(IF(COUNTIFS('Candidate Tracker'!$E:$E,'Positions Tracker'!$B780,'Candidate Tracker'!$I:$I,"Female")=0,"",COUNTIFS('Candidate Tracker'!$E:$E,'Positions Tracker'!$B780,'Candidate Tracker'!$I:$I,"Female")),"")</f>
        <v/>
      </c>
      <c r="BB780" s="34" t="str">
        <f>IFERROR(IF(COUNTIFS('Candidate Tracker'!$E:$E,'Positions Tracker'!$B780,'Candidate Tracker'!$I:$I,"male")=0,"",COUNTIFS('Candidate Tracker'!$E:$E,'Positions Tracker'!$B780,'Candidate Tracker'!$I:$I,"male")),"")</f>
        <v/>
      </c>
      <c r="BC780" s="33" t="str">
        <f>IFERROR(IF(COUNTIFS('Candidate Tracker'!$E:$E,'Positions Tracker'!$B780,'Candidate Tracker'!$C:$C,"&lt;&gt;WIP",'Candidate Tracker'!$C:$C,"&lt;&gt;Hold",'Candidate Tracker'!$C:$C,"&lt;&gt;Cancelled",'Candidate Tracker'!$C:$C,"&lt;&gt;Closed")/COUNTIFS('Candidate Tracker'!$E:$E,'Positions Tracker'!$B780)=0,"",COUNTIFS('Candidate Tracker'!$E:$E,'Positions Tracker'!$B780,'Candidate Tracker'!$C:$C,"&lt;&gt;WIP",'Candidate Tracker'!$C:$C,"&lt;&gt;Hold",'Candidate Tracker'!$C:$C,"&lt;&gt;Cancelled",'Candidate Tracker'!$C:$C,"&lt;&gt;Closed")/COUNTIFS('Candidate Tracker'!$E:$E,'Positions Tracker'!$B780)),"")</f>
        <v/>
      </c>
      <c r="BD780" s="30" t="str">
        <f t="shared" si="87"/>
        <v/>
      </c>
      <c r="BE780" s="30" t="str">
        <f t="shared" si="88"/>
        <v/>
      </c>
      <c r="BF780" s="30" t="str">
        <f t="shared" si="89"/>
        <v/>
      </c>
      <c r="BG780" s="30" t="str">
        <f t="shared" si="90"/>
        <v/>
      </c>
    </row>
    <row r="781" spans="1:59">
      <c r="A781" s="39"/>
      <c r="B781" s="39"/>
      <c r="C781" s="39"/>
      <c r="D781" s="39"/>
      <c r="E781" s="39"/>
      <c r="F781" s="39"/>
      <c r="G781" s="39"/>
      <c r="H781" s="39"/>
      <c r="I781" s="40"/>
      <c r="J781" s="40"/>
      <c r="K781" s="35"/>
      <c r="L781" s="35"/>
      <c r="M781" s="35"/>
      <c r="N781" s="39"/>
      <c r="O781" s="39"/>
      <c r="P781" s="39"/>
      <c r="Q781" s="39"/>
      <c r="R781" s="39"/>
      <c r="S781" s="39"/>
      <c r="T781" s="39"/>
      <c r="U781" s="39"/>
      <c r="V781" s="39"/>
      <c r="W781" s="39"/>
      <c r="X781" s="39"/>
      <c r="Y781" s="39"/>
      <c r="Z781" s="39"/>
      <c r="AA781" s="39"/>
      <c r="AB781" s="39"/>
      <c r="AC781" s="39"/>
      <c r="AD781" s="39"/>
      <c r="AE781" s="39"/>
      <c r="AF781" s="39"/>
      <c r="AG781" s="39"/>
      <c r="AH781" s="39"/>
      <c r="AI781" s="35"/>
      <c r="AJ781" s="39"/>
      <c r="AK781" s="39"/>
      <c r="AL781" s="39"/>
      <c r="AM781" s="35"/>
      <c r="AN781" s="35"/>
      <c r="AO781" s="39"/>
      <c r="AP781" s="39"/>
      <c r="AQ781" s="35"/>
      <c r="AR781" s="35"/>
      <c r="AS781" s="35"/>
      <c r="AT781" s="30">
        <f t="shared" ca="1" si="86"/>
        <v>0</v>
      </c>
      <c r="AU781" s="32" t="str">
        <f t="shared" ca="1" si="85"/>
        <v/>
      </c>
      <c r="AV781" s="32" t="str" cm="1">
        <f t="array" aca="1" ref="AV781" ca="1">IFERROR(_xlfn.IFS($AU781="","",$AU781&lt;=15,"0-15",AND($AU781&gt;=16,$AU781&lt;=30),"16-30",AND($AU781&gt;=31,$AU781&lt;=45),"31-45",AND($AU781&gt;=46,$AU781&lt;=60),"46-60",AND($AU781&gt;=61,$AU781&lt;=90),"61-90",AND($AU781&gt;=91),"&gt; 90",AND($AU781&gt;=2000),""),"")</f>
        <v/>
      </c>
      <c r="AW781" s="32" t="str" cm="1">
        <f t="array" aca="1" ref="AW781" ca="1">IFERROR(_xlfn.IFS(OR($M781="",$AM781=""),"",OR($C781="Offered",$C781="Joined"),($AM781-$M781)-$AT781),"")</f>
        <v/>
      </c>
      <c r="AX781" s="32" t="str" cm="1">
        <f t="array" aca="1" ref="AX781" ca="1">IFERROR(_xlfn.IFS(OR($M781="",$AS781=""),"",$C781="Joined",($AS781-$M781)-$AT781),"")</f>
        <v/>
      </c>
      <c r="AY781" s="30" t="str">
        <f>IFERROR(IF(COUNTIFS('Candidate Tracker'!$E:$E,'Positions Tracker'!$B781,'Candidate Tracker'!$C:$C,"Offer Drop")=0,"",COUNTIFS('Candidate Tracker'!$E:$E,'Positions Tracker'!$B781,'Candidate Tracker'!$C:$C,"Offer Drop")),"")</f>
        <v/>
      </c>
      <c r="AZ7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1" s="34" t="str">
        <f>IFERROR(IF(COUNTIFS('Candidate Tracker'!$E:$E,'Positions Tracker'!$B781,'Candidate Tracker'!$I:$I,"Female")=0,"",COUNTIFS('Candidate Tracker'!$E:$E,'Positions Tracker'!$B781,'Candidate Tracker'!$I:$I,"Female")),"")</f>
        <v/>
      </c>
      <c r="BB781" s="34" t="str">
        <f>IFERROR(IF(COUNTIFS('Candidate Tracker'!$E:$E,'Positions Tracker'!$B781,'Candidate Tracker'!$I:$I,"male")=0,"",COUNTIFS('Candidate Tracker'!$E:$E,'Positions Tracker'!$B781,'Candidate Tracker'!$I:$I,"male")),"")</f>
        <v/>
      </c>
      <c r="BC781" s="33" t="str">
        <f>IFERROR(IF(COUNTIFS('Candidate Tracker'!$E:$E,'Positions Tracker'!$B781,'Candidate Tracker'!$C:$C,"&lt;&gt;WIP",'Candidate Tracker'!$C:$C,"&lt;&gt;Hold",'Candidate Tracker'!$C:$C,"&lt;&gt;Cancelled",'Candidate Tracker'!$C:$C,"&lt;&gt;Closed")/COUNTIFS('Candidate Tracker'!$E:$E,'Positions Tracker'!$B781)=0,"",COUNTIFS('Candidate Tracker'!$E:$E,'Positions Tracker'!$B781,'Candidate Tracker'!$C:$C,"&lt;&gt;WIP",'Candidate Tracker'!$C:$C,"&lt;&gt;Hold",'Candidate Tracker'!$C:$C,"&lt;&gt;Cancelled",'Candidate Tracker'!$C:$C,"&lt;&gt;Closed")/COUNTIFS('Candidate Tracker'!$E:$E,'Positions Tracker'!$B781)),"")</f>
        <v/>
      </c>
      <c r="BD781" s="30" t="str">
        <f t="shared" si="87"/>
        <v/>
      </c>
      <c r="BE781" s="30" t="str">
        <f t="shared" si="88"/>
        <v/>
      </c>
      <c r="BF781" s="30" t="str">
        <f t="shared" si="89"/>
        <v/>
      </c>
      <c r="BG781" s="30" t="str">
        <f t="shared" si="90"/>
        <v/>
      </c>
    </row>
    <row r="782" spans="1:59">
      <c r="A782" s="39"/>
      <c r="B782" s="39"/>
      <c r="C782" s="39"/>
      <c r="D782" s="39"/>
      <c r="E782" s="39"/>
      <c r="F782" s="39"/>
      <c r="G782" s="39"/>
      <c r="H782" s="39"/>
      <c r="I782" s="40"/>
      <c r="J782" s="40"/>
      <c r="K782" s="35"/>
      <c r="L782" s="35"/>
      <c r="M782" s="35"/>
      <c r="N782" s="39"/>
      <c r="O782" s="39"/>
      <c r="P782" s="39"/>
      <c r="Q782" s="39"/>
      <c r="R782" s="39"/>
      <c r="S782" s="39"/>
      <c r="T782" s="39"/>
      <c r="U782" s="39"/>
      <c r="V782" s="39"/>
      <c r="W782" s="39"/>
      <c r="X782" s="39"/>
      <c r="Y782" s="39"/>
      <c r="Z782" s="39"/>
      <c r="AA782" s="39"/>
      <c r="AB782" s="39"/>
      <c r="AC782" s="39"/>
      <c r="AD782" s="39"/>
      <c r="AE782" s="39"/>
      <c r="AF782" s="39"/>
      <c r="AG782" s="39"/>
      <c r="AH782" s="39"/>
      <c r="AI782" s="35"/>
      <c r="AJ782" s="39"/>
      <c r="AK782" s="39"/>
      <c r="AL782" s="39"/>
      <c r="AM782" s="35"/>
      <c r="AN782" s="35"/>
      <c r="AO782" s="39"/>
      <c r="AP782" s="39"/>
      <c r="AQ782" s="35"/>
      <c r="AR782" s="35"/>
      <c r="AS782" s="35"/>
      <c r="AT782" s="30">
        <f t="shared" ca="1" si="86"/>
        <v>0</v>
      </c>
      <c r="AU782" s="32" t="str">
        <f t="shared" ca="1" si="85"/>
        <v/>
      </c>
      <c r="AV782" s="32" t="str" cm="1">
        <f t="array" aca="1" ref="AV782" ca="1">IFERROR(_xlfn.IFS($AU782="","",$AU782&lt;=15,"0-15",AND($AU782&gt;=16,$AU782&lt;=30),"16-30",AND($AU782&gt;=31,$AU782&lt;=45),"31-45",AND($AU782&gt;=46,$AU782&lt;=60),"46-60",AND($AU782&gt;=61,$AU782&lt;=90),"61-90",AND($AU782&gt;=91),"&gt; 90",AND($AU782&gt;=2000),""),"")</f>
        <v/>
      </c>
      <c r="AW782" s="32" t="str" cm="1">
        <f t="array" aca="1" ref="AW782" ca="1">IFERROR(_xlfn.IFS(OR($M782="",$AM782=""),"",OR($C782="Offered",$C782="Joined"),($AM782-$M782)-$AT782),"")</f>
        <v/>
      </c>
      <c r="AX782" s="32" t="str" cm="1">
        <f t="array" aca="1" ref="AX782" ca="1">IFERROR(_xlfn.IFS(OR($M782="",$AS782=""),"",$C782="Joined",($AS782-$M782)-$AT782),"")</f>
        <v/>
      </c>
      <c r="AY782" s="30" t="str">
        <f>IFERROR(IF(COUNTIFS('Candidate Tracker'!$E:$E,'Positions Tracker'!$B782,'Candidate Tracker'!$C:$C,"Offer Drop")=0,"",COUNTIFS('Candidate Tracker'!$E:$E,'Positions Tracker'!$B782,'Candidate Tracker'!$C:$C,"Offer Drop")),"")</f>
        <v/>
      </c>
      <c r="AZ7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2" s="34" t="str">
        <f>IFERROR(IF(COUNTIFS('Candidate Tracker'!$E:$E,'Positions Tracker'!$B782,'Candidate Tracker'!$I:$I,"Female")=0,"",COUNTIFS('Candidate Tracker'!$E:$E,'Positions Tracker'!$B782,'Candidate Tracker'!$I:$I,"Female")),"")</f>
        <v/>
      </c>
      <c r="BB782" s="34" t="str">
        <f>IFERROR(IF(COUNTIFS('Candidate Tracker'!$E:$E,'Positions Tracker'!$B782,'Candidate Tracker'!$I:$I,"male")=0,"",COUNTIFS('Candidate Tracker'!$E:$E,'Positions Tracker'!$B782,'Candidate Tracker'!$I:$I,"male")),"")</f>
        <v/>
      </c>
      <c r="BC782" s="33" t="str">
        <f>IFERROR(IF(COUNTIFS('Candidate Tracker'!$E:$E,'Positions Tracker'!$B782,'Candidate Tracker'!$C:$C,"&lt;&gt;WIP",'Candidate Tracker'!$C:$C,"&lt;&gt;Hold",'Candidate Tracker'!$C:$C,"&lt;&gt;Cancelled",'Candidate Tracker'!$C:$C,"&lt;&gt;Closed")/COUNTIFS('Candidate Tracker'!$E:$E,'Positions Tracker'!$B782)=0,"",COUNTIFS('Candidate Tracker'!$E:$E,'Positions Tracker'!$B782,'Candidate Tracker'!$C:$C,"&lt;&gt;WIP",'Candidate Tracker'!$C:$C,"&lt;&gt;Hold",'Candidate Tracker'!$C:$C,"&lt;&gt;Cancelled",'Candidate Tracker'!$C:$C,"&lt;&gt;Closed")/COUNTIFS('Candidate Tracker'!$E:$E,'Positions Tracker'!$B782)),"")</f>
        <v/>
      </c>
      <c r="BD782" s="30" t="str">
        <f t="shared" si="87"/>
        <v/>
      </c>
      <c r="BE782" s="30" t="str">
        <f t="shared" si="88"/>
        <v/>
      </c>
      <c r="BF782" s="30" t="str">
        <f t="shared" si="89"/>
        <v/>
      </c>
      <c r="BG782" s="30" t="str">
        <f t="shared" si="90"/>
        <v/>
      </c>
    </row>
    <row r="783" spans="1:59">
      <c r="A783" s="39"/>
      <c r="B783" s="39"/>
      <c r="C783" s="39"/>
      <c r="D783" s="39"/>
      <c r="E783" s="39"/>
      <c r="F783" s="39"/>
      <c r="G783" s="39"/>
      <c r="H783" s="39"/>
      <c r="I783" s="40"/>
      <c r="J783" s="40"/>
      <c r="K783" s="35"/>
      <c r="L783" s="35"/>
      <c r="M783" s="35"/>
      <c r="N783" s="39"/>
      <c r="O783" s="39"/>
      <c r="P783" s="39"/>
      <c r="Q783" s="39"/>
      <c r="R783" s="39"/>
      <c r="S783" s="39"/>
      <c r="T783" s="39"/>
      <c r="U783" s="39"/>
      <c r="V783" s="39"/>
      <c r="W783" s="39"/>
      <c r="X783" s="39"/>
      <c r="Y783" s="39"/>
      <c r="Z783" s="39"/>
      <c r="AA783" s="39"/>
      <c r="AB783" s="39"/>
      <c r="AC783" s="39"/>
      <c r="AD783" s="39"/>
      <c r="AE783" s="39"/>
      <c r="AF783" s="39"/>
      <c r="AG783" s="39"/>
      <c r="AH783" s="39"/>
      <c r="AI783" s="35"/>
      <c r="AJ783" s="39"/>
      <c r="AK783" s="39"/>
      <c r="AL783" s="39"/>
      <c r="AM783" s="35"/>
      <c r="AN783" s="35"/>
      <c r="AO783" s="39"/>
      <c r="AP783" s="39"/>
      <c r="AQ783" s="35"/>
      <c r="AR783" s="35"/>
      <c r="AS783" s="35"/>
      <c r="AT783" s="30">
        <f t="shared" ca="1" si="86"/>
        <v>0</v>
      </c>
      <c r="AU783" s="32" t="str">
        <f t="shared" ca="1" si="85"/>
        <v/>
      </c>
      <c r="AV783" s="32" t="str" cm="1">
        <f t="array" aca="1" ref="AV783" ca="1">IFERROR(_xlfn.IFS($AU783="","",$AU783&lt;=15,"0-15",AND($AU783&gt;=16,$AU783&lt;=30),"16-30",AND($AU783&gt;=31,$AU783&lt;=45),"31-45",AND($AU783&gt;=46,$AU783&lt;=60),"46-60",AND($AU783&gt;=61,$AU783&lt;=90),"61-90",AND($AU783&gt;=91),"&gt; 90",AND($AU783&gt;=2000),""),"")</f>
        <v/>
      </c>
      <c r="AW783" s="32" t="str" cm="1">
        <f t="array" aca="1" ref="AW783" ca="1">IFERROR(_xlfn.IFS(OR($M783="",$AM783=""),"",OR($C783="Offered",$C783="Joined"),($AM783-$M783)-$AT783),"")</f>
        <v/>
      </c>
      <c r="AX783" s="32" t="str" cm="1">
        <f t="array" aca="1" ref="AX783" ca="1">IFERROR(_xlfn.IFS(OR($M783="",$AS783=""),"",$C783="Joined",($AS783-$M783)-$AT783),"")</f>
        <v/>
      </c>
      <c r="AY783" s="30" t="str">
        <f>IFERROR(IF(COUNTIFS('Candidate Tracker'!$E:$E,'Positions Tracker'!$B783,'Candidate Tracker'!$C:$C,"Offer Drop")=0,"",COUNTIFS('Candidate Tracker'!$E:$E,'Positions Tracker'!$B783,'Candidate Tracker'!$C:$C,"Offer Drop")),"")</f>
        <v/>
      </c>
      <c r="AZ7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3" s="34" t="str">
        <f>IFERROR(IF(COUNTIFS('Candidate Tracker'!$E:$E,'Positions Tracker'!$B783,'Candidate Tracker'!$I:$I,"Female")=0,"",COUNTIFS('Candidate Tracker'!$E:$E,'Positions Tracker'!$B783,'Candidate Tracker'!$I:$I,"Female")),"")</f>
        <v/>
      </c>
      <c r="BB783" s="34" t="str">
        <f>IFERROR(IF(COUNTIFS('Candidate Tracker'!$E:$E,'Positions Tracker'!$B783,'Candidate Tracker'!$I:$I,"male")=0,"",COUNTIFS('Candidate Tracker'!$E:$E,'Positions Tracker'!$B783,'Candidate Tracker'!$I:$I,"male")),"")</f>
        <v/>
      </c>
      <c r="BC783" s="33" t="str">
        <f>IFERROR(IF(COUNTIFS('Candidate Tracker'!$E:$E,'Positions Tracker'!$B783,'Candidate Tracker'!$C:$C,"&lt;&gt;WIP",'Candidate Tracker'!$C:$C,"&lt;&gt;Hold",'Candidate Tracker'!$C:$C,"&lt;&gt;Cancelled",'Candidate Tracker'!$C:$C,"&lt;&gt;Closed")/COUNTIFS('Candidate Tracker'!$E:$E,'Positions Tracker'!$B783)=0,"",COUNTIFS('Candidate Tracker'!$E:$E,'Positions Tracker'!$B783,'Candidate Tracker'!$C:$C,"&lt;&gt;WIP",'Candidate Tracker'!$C:$C,"&lt;&gt;Hold",'Candidate Tracker'!$C:$C,"&lt;&gt;Cancelled",'Candidate Tracker'!$C:$C,"&lt;&gt;Closed")/COUNTIFS('Candidate Tracker'!$E:$E,'Positions Tracker'!$B783)),"")</f>
        <v/>
      </c>
      <c r="BD783" s="30" t="str">
        <f t="shared" si="87"/>
        <v/>
      </c>
      <c r="BE783" s="30" t="str">
        <f t="shared" si="88"/>
        <v/>
      </c>
      <c r="BF783" s="30" t="str">
        <f t="shared" si="89"/>
        <v/>
      </c>
      <c r="BG783" s="30" t="str">
        <f t="shared" si="90"/>
        <v/>
      </c>
    </row>
    <row r="784" spans="1:59">
      <c r="A784" s="39"/>
      <c r="B784" s="39"/>
      <c r="C784" s="39"/>
      <c r="D784" s="39"/>
      <c r="E784" s="39"/>
      <c r="F784" s="39"/>
      <c r="G784" s="39"/>
      <c r="H784" s="39"/>
      <c r="I784" s="40"/>
      <c r="J784" s="40"/>
      <c r="K784" s="35"/>
      <c r="L784" s="35"/>
      <c r="M784" s="35"/>
      <c r="N784" s="39"/>
      <c r="O784" s="39"/>
      <c r="P784" s="39"/>
      <c r="Q784" s="39"/>
      <c r="R784" s="39"/>
      <c r="S784" s="39"/>
      <c r="T784" s="39"/>
      <c r="U784" s="39"/>
      <c r="V784" s="39"/>
      <c r="W784" s="39"/>
      <c r="X784" s="39"/>
      <c r="Y784" s="39"/>
      <c r="Z784" s="39"/>
      <c r="AA784" s="39"/>
      <c r="AB784" s="39"/>
      <c r="AC784" s="39"/>
      <c r="AD784" s="39"/>
      <c r="AE784" s="39"/>
      <c r="AF784" s="39"/>
      <c r="AG784" s="39"/>
      <c r="AH784" s="39"/>
      <c r="AI784" s="35"/>
      <c r="AJ784" s="39"/>
      <c r="AK784" s="39"/>
      <c r="AL784" s="39"/>
      <c r="AM784" s="35"/>
      <c r="AN784" s="35"/>
      <c r="AO784" s="39"/>
      <c r="AP784" s="39"/>
      <c r="AQ784" s="35"/>
      <c r="AR784" s="35"/>
      <c r="AS784" s="35"/>
      <c r="AT784" s="30">
        <f t="shared" ca="1" si="86"/>
        <v>0</v>
      </c>
      <c r="AU784" s="32" t="str">
        <f t="shared" ca="1" si="85"/>
        <v/>
      </c>
      <c r="AV784" s="32" t="str" cm="1">
        <f t="array" aca="1" ref="AV784" ca="1">IFERROR(_xlfn.IFS($AU784="","",$AU784&lt;=15,"0-15",AND($AU784&gt;=16,$AU784&lt;=30),"16-30",AND($AU784&gt;=31,$AU784&lt;=45),"31-45",AND($AU784&gt;=46,$AU784&lt;=60),"46-60",AND($AU784&gt;=61,$AU784&lt;=90),"61-90",AND($AU784&gt;=91),"&gt; 90",AND($AU784&gt;=2000),""),"")</f>
        <v/>
      </c>
      <c r="AW784" s="32" t="str" cm="1">
        <f t="array" aca="1" ref="AW784" ca="1">IFERROR(_xlfn.IFS(OR($M784="",$AM784=""),"",OR($C784="Offered",$C784="Joined"),($AM784-$M784)-$AT784),"")</f>
        <v/>
      </c>
      <c r="AX784" s="32" t="str" cm="1">
        <f t="array" aca="1" ref="AX784" ca="1">IFERROR(_xlfn.IFS(OR($M784="",$AS784=""),"",$C784="Joined",($AS784-$M784)-$AT784),"")</f>
        <v/>
      </c>
      <c r="AY784" s="30" t="str">
        <f>IFERROR(IF(COUNTIFS('Candidate Tracker'!$E:$E,'Positions Tracker'!$B784,'Candidate Tracker'!$C:$C,"Offer Drop")=0,"",COUNTIFS('Candidate Tracker'!$E:$E,'Positions Tracker'!$B784,'Candidate Tracker'!$C:$C,"Offer Drop")),"")</f>
        <v/>
      </c>
      <c r="AZ7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4" s="34" t="str">
        <f>IFERROR(IF(COUNTIFS('Candidate Tracker'!$E:$E,'Positions Tracker'!$B784,'Candidate Tracker'!$I:$I,"Female")=0,"",COUNTIFS('Candidate Tracker'!$E:$E,'Positions Tracker'!$B784,'Candidate Tracker'!$I:$I,"Female")),"")</f>
        <v/>
      </c>
      <c r="BB784" s="34" t="str">
        <f>IFERROR(IF(COUNTIFS('Candidate Tracker'!$E:$E,'Positions Tracker'!$B784,'Candidate Tracker'!$I:$I,"male")=0,"",COUNTIFS('Candidate Tracker'!$E:$E,'Positions Tracker'!$B784,'Candidate Tracker'!$I:$I,"male")),"")</f>
        <v/>
      </c>
      <c r="BC784" s="33" t="str">
        <f>IFERROR(IF(COUNTIFS('Candidate Tracker'!$E:$E,'Positions Tracker'!$B784,'Candidate Tracker'!$C:$C,"&lt;&gt;WIP",'Candidate Tracker'!$C:$C,"&lt;&gt;Hold",'Candidate Tracker'!$C:$C,"&lt;&gt;Cancelled",'Candidate Tracker'!$C:$C,"&lt;&gt;Closed")/COUNTIFS('Candidate Tracker'!$E:$E,'Positions Tracker'!$B784)=0,"",COUNTIFS('Candidate Tracker'!$E:$E,'Positions Tracker'!$B784,'Candidate Tracker'!$C:$C,"&lt;&gt;WIP",'Candidate Tracker'!$C:$C,"&lt;&gt;Hold",'Candidate Tracker'!$C:$C,"&lt;&gt;Cancelled",'Candidate Tracker'!$C:$C,"&lt;&gt;Closed")/COUNTIFS('Candidate Tracker'!$E:$E,'Positions Tracker'!$B784)),"")</f>
        <v/>
      </c>
      <c r="BD784" s="30" t="str">
        <f t="shared" si="87"/>
        <v/>
      </c>
      <c r="BE784" s="30" t="str">
        <f t="shared" si="88"/>
        <v/>
      </c>
      <c r="BF784" s="30" t="str">
        <f t="shared" si="89"/>
        <v/>
      </c>
      <c r="BG784" s="30" t="str">
        <f t="shared" si="90"/>
        <v/>
      </c>
    </row>
    <row r="785" spans="1:59">
      <c r="A785" s="39"/>
      <c r="B785" s="39"/>
      <c r="C785" s="39"/>
      <c r="D785" s="39"/>
      <c r="E785" s="39"/>
      <c r="F785" s="39"/>
      <c r="G785" s="39"/>
      <c r="H785" s="39"/>
      <c r="I785" s="40"/>
      <c r="J785" s="40"/>
      <c r="K785" s="35"/>
      <c r="L785" s="35"/>
      <c r="M785" s="35"/>
      <c r="N785" s="39"/>
      <c r="O785" s="39"/>
      <c r="P785" s="39"/>
      <c r="Q785" s="39"/>
      <c r="R785" s="39"/>
      <c r="S785" s="39"/>
      <c r="T785" s="39"/>
      <c r="U785" s="39"/>
      <c r="V785" s="39"/>
      <c r="W785" s="39"/>
      <c r="X785" s="39"/>
      <c r="Y785" s="39"/>
      <c r="Z785" s="39"/>
      <c r="AA785" s="39"/>
      <c r="AB785" s="39"/>
      <c r="AC785" s="39"/>
      <c r="AD785" s="39"/>
      <c r="AE785" s="39"/>
      <c r="AF785" s="39"/>
      <c r="AG785" s="39"/>
      <c r="AH785" s="39"/>
      <c r="AI785" s="35"/>
      <c r="AJ785" s="39"/>
      <c r="AK785" s="39"/>
      <c r="AL785" s="39"/>
      <c r="AM785" s="35"/>
      <c r="AN785" s="35"/>
      <c r="AO785" s="39"/>
      <c r="AP785" s="39"/>
      <c r="AQ785" s="35"/>
      <c r="AR785" s="35"/>
      <c r="AS785" s="35"/>
      <c r="AT785" s="30">
        <f t="shared" ca="1" si="86"/>
        <v>0</v>
      </c>
      <c r="AU785" s="32" t="str">
        <f t="shared" ca="1" si="85"/>
        <v/>
      </c>
      <c r="AV785" s="32" t="str" cm="1">
        <f t="array" aca="1" ref="AV785" ca="1">IFERROR(_xlfn.IFS($AU785="","",$AU785&lt;=15,"0-15",AND($AU785&gt;=16,$AU785&lt;=30),"16-30",AND($AU785&gt;=31,$AU785&lt;=45),"31-45",AND($AU785&gt;=46,$AU785&lt;=60),"46-60",AND($AU785&gt;=61,$AU785&lt;=90),"61-90",AND($AU785&gt;=91),"&gt; 90",AND($AU785&gt;=2000),""),"")</f>
        <v/>
      </c>
      <c r="AW785" s="32" t="str" cm="1">
        <f t="array" aca="1" ref="AW785" ca="1">IFERROR(_xlfn.IFS(OR($M785="",$AM785=""),"",OR($C785="Offered",$C785="Joined"),($AM785-$M785)-$AT785),"")</f>
        <v/>
      </c>
      <c r="AX785" s="32" t="str" cm="1">
        <f t="array" aca="1" ref="AX785" ca="1">IFERROR(_xlfn.IFS(OR($M785="",$AS785=""),"",$C785="Joined",($AS785-$M785)-$AT785),"")</f>
        <v/>
      </c>
      <c r="AY785" s="30" t="str">
        <f>IFERROR(IF(COUNTIFS('Candidate Tracker'!$E:$E,'Positions Tracker'!$B785,'Candidate Tracker'!$C:$C,"Offer Drop")=0,"",COUNTIFS('Candidate Tracker'!$E:$E,'Positions Tracker'!$B785,'Candidate Tracker'!$C:$C,"Offer Drop")),"")</f>
        <v/>
      </c>
      <c r="AZ7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5" s="34" t="str">
        <f>IFERROR(IF(COUNTIFS('Candidate Tracker'!$E:$E,'Positions Tracker'!$B785,'Candidate Tracker'!$I:$I,"Female")=0,"",COUNTIFS('Candidate Tracker'!$E:$E,'Positions Tracker'!$B785,'Candidate Tracker'!$I:$I,"Female")),"")</f>
        <v/>
      </c>
      <c r="BB785" s="34" t="str">
        <f>IFERROR(IF(COUNTIFS('Candidate Tracker'!$E:$E,'Positions Tracker'!$B785,'Candidate Tracker'!$I:$I,"male")=0,"",COUNTIFS('Candidate Tracker'!$E:$E,'Positions Tracker'!$B785,'Candidate Tracker'!$I:$I,"male")),"")</f>
        <v/>
      </c>
      <c r="BC785" s="33" t="str">
        <f>IFERROR(IF(COUNTIFS('Candidate Tracker'!$E:$E,'Positions Tracker'!$B785,'Candidate Tracker'!$C:$C,"&lt;&gt;WIP",'Candidate Tracker'!$C:$C,"&lt;&gt;Hold",'Candidate Tracker'!$C:$C,"&lt;&gt;Cancelled",'Candidate Tracker'!$C:$C,"&lt;&gt;Closed")/COUNTIFS('Candidate Tracker'!$E:$E,'Positions Tracker'!$B785)=0,"",COUNTIFS('Candidate Tracker'!$E:$E,'Positions Tracker'!$B785,'Candidate Tracker'!$C:$C,"&lt;&gt;WIP",'Candidate Tracker'!$C:$C,"&lt;&gt;Hold",'Candidate Tracker'!$C:$C,"&lt;&gt;Cancelled",'Candidate Tracker'!$C:$C,"&lt;&gt;Closed")/COUNTIFS('Candidate Tracker'!$E:$E,'Positions Tracker'!$B785)),"")</f>
        <v/>
      </c>
      <c r="BD785" s="30" t="str">
        <f t="shared" si="87"/>
        <v/>
      </c>
      <c r="BE785" s="30" t="str">
        <f t="shared" si="88"/>
        <v/>
      </c>
      <c r="BF785" s="30" t="str">
        <f t="shared" si="89"/>
        <v/>
      </c>
      <c r="BG785" s="30" t="str">
        <f t="shared" si="90"/>
        <v/>
      </c>
    </row>
    <row r="786" spans="1:59">
      <c r="A786" s="39"/>
      <c r="B786" s="39"/>
      <c r="C786" s="39"/>
      <c r="D786" s="39"/>
      <c r="E786" s="39"/>
      <c r="F786" s="39"/>
      <c r="G786" s="39"/>
      <c r="H786" s="39"/>
      <c r="I786" s="40"/>
      <c r="J786" s="40"/>
      <c r="K786" s="35"/>
      <c r="L786" s="35"/>
      <c r="M786" s="35"/>
      <c r="N786" s="39"/>
      <c r="O786" s="39"/>
      <c r="P786" s="39"/>
      <c r="Q786" s="39"/>
      <c r="R786" s="39"/>
      <c r="S786" s="39"/>
      <c r="T786" s="39"/>
      <c r="U786" s="39"/>
      <c r="V786" s="39"/>
      <c r="W786" s="39"/>
      <c r="X786" s="39"/>
      <c r="Y786" s="39"/>
      <c r="Z786" s="39"/>
      <c r="AA786" s="39"/>
      <c r="AB786" s="39"/>
      <c r="AC786" s="39"/>
      <c r="AD786" s="39"/>
      <c r="AE786" s="39"/>
      <c r="AF786" s="39"/>
      <c r="AG786" s="39"/>
      <c r="AH786" s="39"/>
      <c r="AI786" s="35"/>
      <c r="AJ786" s="39"/>
      <c r="AK786" s="39"/>
      <c r="AL786" s="39"/>
      <c r="AM786" s="35"/>
      <c r="AN786" s="35"/>
      <c r="AO786" s="39"/>
      <c r="AP786" s="39"/>
      <c r="AQ786" s="35"/>
      <c r="AR786" s="35"/>
      <c r="AS786" s="35"/>
      <c r="AT786" s="30">
        <f t="shared" ca="1" si="86"/>
        <v>0</v>
      </c>
      <c r="AU786" s="32" t="str">
        <f t="shared" ca="1" si="85"/>
        <v/>
      </c>
      <c r="AV786" s="32" t="str" cm="1">
        <f t="array" aca="1" ref="AV786" ca="1">IFERROR(_xlfn.IFS($AU786="","",$AU786&lt;=15,"0-15",AND($AU786&gt;=16,$AU786&lt;=30),"16-30",AND($AU786&gt;=31,$AU786&lt;=45),"31-45",AND($AU786&gt;=46,$AU786&lt;=60),"46-60",AND($AU786&gt;=61,$AU786&lt;=90),"61-90",AND($AU786&gt;=91),"&gt; 90",AND($AU786&gt;=2000),""),"")</f>
        <v/>
      </c>
      <c r="AW786" s="32" t="str" cm="1">
        <f t="array" aca="1" ref="AW786" ca="1">IFERROR(_xlfn.IFS(OR($M786="",$AM786=""),"",OR($C786="Offered",$C786="Joined"),($AM786-$M786)-$AT786),"")</f>
        <v/>
      </c>
      <c r="AX786" s="32" t="str" cm="1">
        <f t="array" aca="1" ref="AX786" ca="1">IFERROR(_xlfn.IFS(OR($M786="",$AS786=""),"",$C786="Joined",($AS786-$M786)-$AT786),"")</f>
        <v/>
      </c>
      <c r="AY786" s="30" t="str">
        <f>IFERROR(IF(COUNTIFS('Candidate Tracker'!$E:$E,'Positions Tracker'!$B786,'Candidate Tracker'!$C:$C,"Offer Drop")=0,"",COUNTIFS('Candidate Tracker'!$E:$E,'Positions Tracker'!$B786,'Candidate Tracker'!$C:$C,"Offer Drop")),"")</f>
        <v/>
      </c>
      <c r="AZ78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6" s="34" t="str">
        <f>IFERROR(IF(COUNTIFS('Candidate Tracker'!$E:$E,'Positions Tracker'!$B786,'Candidate Tracker'!$I:$I,"Female")=0,"",COUNTIFS('Candidate Tracker'!$E:$E,'Positions Tracker'!$B786,'Candidate Tracker'!$I:$I,"Female")),"")</f>
        <v/>
      </c>
      <c r="BB786" s="34" t="str">
        <f>IFERROR(IF(COUNTIFS('Candidate Tracker'!$E:$E,'Positions Tracker'!$B786,'Candidate Tracker'!$I:$I,"male")=0,"",COUNTIFS('Candidate Tracker'!$E:$E,'Positions Tracker'!$B786,'Candidate Tracker'!$I:$I,"male")),"")</f>
        <v/>
      </c>
      <c r="BC786" s="33" t="str">
        <f>IFERROR(IF(COUNTIFS('Candidate Tracker'!$E:$E,'Positions Tracker'!$B786,'Candidate Tracker'!$C:$C,"&lt;&gt;WIP",'Candidate Tracker'!$C:$C,"&lt;&gt;Hold",'Candidate Tracker'!$C:$C,"&lt;&gt;Cancelled",'Candidate Tracker'!$C:$C,"&lt;&gt;Closed")/COUNTIFS('Candidate Tracker'!$E:$E,'Positions Tracker'!$B786)=0,"",COUNTIFS('Candidate Tracker'!$E:$E,'Positions Tracker'!$B786,'Candidate Tracker'!$C:$C,"&lt;&gt;WIP",'Candidate Tracker'!$C:$C,"&lt;&gt;Hold",'Candidate Tracker'!$C:$C,"&lt;&gt;Cancelled",'Candidate Tracker'!$C:$C,"&lt;&gt;Closed")/COUNTIFS('Candidate Tracker'!$E:$E,'Positions Tracker'!$B786)),"")</f>
        <v/>
      </c>
      <c r="BD786" s="30" t="str">
        <f t="shared" si="87"/>
        <v/>
      </c>
      <c r="BE786" s="30" t="str">
        <f t="shared" si="88"/>
        <v/>
      </c>
      <c r="BF786" s="30" t="str">
        <f t="shared" si="89"/>
        <v/>
      </c>
      <c r="BG786" s="30" t="str">
        <f t="shared" si="90"/>
        <v/>
      </c>
    </row>
    <row r="787" spans="1:59">
      <c r="A787" s="39"/>
      <c r="B787" s="39"/>
      <c r="C787" s="39"/>
      <c r="D787" s="39"/>
      <c r="E787" s="39"/>
      <c r="F787" s="39"/>
      <c r="G787" s="39"/>
      <c r="H787" s="39"/>
      <c r="I787" s="40"/>
      <c r="J787" s="40"/>
      <c r="K787" s="35"/>
      <c r="L787" s="35"/>
      <c r="M787" s="35"/>
      <c r="N787" s="39"/>
      <c r="O787" s="39"/>
      <c r="P787" s="39"/>
      <c r="Q787" s="39"/>
      <c r="R787" s="39"/>
      <c r="S787" s="39"/>
      <c r="T787" s="39"/>
      <c r="U787" s="39"/>
      <c r="V787" s="39"/>
      <c r="W787" s="39"/>
      <c r="X787" s="39"/>
      <c r="Y787" s="39"/>
      <c r="Z787" s="39"/>
      <c r="AA787" s="39"/>
      <c r="AB787" s="39"/>
      <c r="AC787" s="39"/>
      <c r="AD787" s="39"/>
      <c r="AE787" s="39"/>
      <c r="AF787" s="39"/>
      <c r="AG787" s="39"/>
      <c r="AH787" s="39"/>
      <c r="AI787" s="35"/>
      <c r="AJ787" s="39"/>
      <c r="AK787" s="39"/>
      <c r="AL787" s="39"/>
      <c r="AM787" s="35"/>
      <c r="AN787" s="35"/>
      <c r="AO787" s="39"/>
      <c r="AP787" s="39"/>
      <c r="AQ787" s="35"/>
      <c r="AR787" s="35"/>
      <c r="AS787" s="35"/>
      <c r="AT787" s="30">
        <f t="shared" ca="1" si="86"/>
        <v>0</v>
      </c>
      <c r="AU787" s="32" t="str">
        <f t="shared" ca="1" si="85"/>
        <v/>
      </c>
      <c r="AV787" s="32" t="str" cm="1">
        <f t="array" aca="1" ref="AV787" ca="1">IFERROR(_xlfn.IFS($AU787="","",$AU787&lt;=15,"0-15",AND($AU787&gt;=16,$AU787&lt;=30),"16-30",AND($AU787&gt;=31,$AU787&lt;=45),"31-45",AND($AU787&gt;=46,$AU787&lt;=60),"46-60",AND($AU787&gt;=61,$AU787&lt;=90),"61-90",AND($AU787&gt;=91),"&gt; 90",AND($AU787&gt;=2000),""),"")</f>
        <v/>
      </c>
      <c r="AW787" s="32" t="str" cm="1">
        <f t="array" aca="1" ref="AW787" ca="1">IFERROR(_xlfn.IFS(OR($M787="",$AM787=""),"",OR($C787="Offered",$C787="Joined"),($AM787-$M787)-$AT787),"")</f>
        <v/>
      </c>
      <c r="AX787" s="32" t="str" cm="1">
        <f t="array" aca="1" ref="AX787" ca="1">IFERROR(_xlfn.IFS(OR($M787="",$AS787=""),"",$C787="Joined",($AS787-$M787)-$AT787),"")</f>
        <v/>
      </c>
      <c r="AY787" s="30" t="str">
        <f>IFERROR(IF(COUNTIFS('Candidate Tracker'!$E:$E,'Positions Tracker'!$B787,'Candidate Tracker'!$C:$C,"Offer Drop")=0,"",COUNTIFS('Candidate Tracker'!$E:$E,'Positions Tracker'!$B787,'Candidate Tracker'!$C:$C,"Offer Drop")),"")</f>
        <v/>
      </c>
      <c r="AZ78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7" s="34" t="str">
        <f>IFERROR(IF(COUNTIFS('Candidate Tracker'!$E:$E,'Positions Tracker'!$B787,'Candidate Tracker'!$I:$I,"Female")=0,"",COUNTIFS('Candidate Tracker'!$E:$E,'Positions Tracker'!$B787,'Candidate Tracker'!$I:$I,"Female")),"")</f>
        <v/>
      </c>
      <c r="BB787" s="34" t="str">
        <f>IFERROR(IF(COUNTIFS('Candidate Tracker'!$E:$E,'Positions Tracker'!$B787,'Candidate Tracker'!$I:$I,"male")=0,"",COUNTIFS('Candidate Tracker'!$E:$E,'Positions Tracker'!$B787,'Candidate Tracker'!$I:$I,"male")),"")</f>
        <v/>
      </c>
      <c r="BC787" s="33" t="str">
        <f>IFERROR(IF(COUNTIFS('Candidate Tracker'!$E:$E,'Positions Tracker'!$B787,'Candidate Tracker'!$C:$C,"&lt;&gt;WIP",'Candidate Tracker'!$C:$C,"&lt;&gt;Hold",'Candidate Tracker'!$C:$C,"&lt;&gt;Cancelled",'Candidate Tracker'!$C:$C,"&lt;&gt;Closed")/COUNTIFS('Candidate Tracker'!$E:$E,'Positions Tracker'!$B787)=0,"",COUNTIFS('Candidate Tracker'!$E:$E,'Positions Tracker'!$B787,'Candidate Tracker'!$C:$C,"&lt;&gt;WIP",'Candidate Tracker'!$C:$C,"&lt;&gt;Hold",'Candidate Tracker'!$C:$C,"&lt;&gt;Cancelled",'Candidate Tracker'!$C:$C,"&lt;&gt;Closed")/COUNTIFS('Candidate Tracker'!$E:$E,'Positions Tracker'!$B787)),"")</f>
        <v/>
      </c>
      <c r="BD787" s="30" t="str">
        <f t="shared" si="87"/>
        <v/>
      </c>
      <c r="BE787" s="30" t="str">
        <f t="shared" si="88"/>
        <v/>
      </c>
      <c r="BF787" s="30" t="str">
        <f t="shared" si="89"/>
        <v/>
      </c>
      <c r="BG787" s="30" t="str">
        <f t="shared" si="90"/>
        <v/>
      </c>
    </row>
    <row r="788" spans="1:59">
      <c r="A788" s="39"/>
      <c r="B788" s="39"/>
      <c r="C788" s="39"/>
      <c r="D788" s="39"/>
      <c r="E788" s="39"/>
      <c r="F788" s="39"/>
      <c r="G788" s="39"/>
      <c r="H788" s="39"/>
      <c r="I788" s="40"/>
      <c r="J788" s="40"/>
      <c r="K788" s="35"/>
      <c r="L788" s="35"/>
      <c r="M788" s="35"/>
      <c r="N788" s="39"/>
      <c r="O788" s="39"/>
      <c r="P788" s="39"/>
      <c r="Q788" s="39"/>
      <c r="R788" s="39"/>
      <c r="S788" s="39"/>
      <c r="T788" s="39"/>
      <c r="U788" s="39"/>
      <c r="V788" s="39"/>
      <c r="W788" s="39"/>
      <c r="X788" s="39"/>
      <c r="Y788" s="39"/>
      <c r="Z788" s="39"/>
      <c r="AA788" s="39"/>
      <c r="AB788" s="39"/>
      <c r="AC788" s="39"/>
      <c r="AD788" s="39"/>
      <c r="AE788" s="39"/>
      <c r="AF788" s="39"/>
      <c r="AG788" s="39"/>
      <c r="AH788" s="39"/>
      <c r="AI788" s="35"/>
      <c r="AJ788" s="39"/>
      <c r="AK788" s="39"/>
      <c r="AL788" s="39"/>
      <c r="AM788" s="35"/>
      <c r="AN788" s="35"/>
      <c r="AO788" s="39"/>
      <c r="AP788" s="39"/>
      <c r="AQ788" s="35"/>
      <c r="AR788" s="35"/>
      <c r="AS788" s="35"/>
      <c r="AT788" s="30">
        <f t="shared" ca="1" si="86"/>
        <v>0</v>
      </c>
      <c r="AU788" s="32" t="str">
        <f t="shared" ca="1" si="85"/>
        <v/>
      </c>
      <c r="AV788" s="32" t="str" cm="1">
        <f t="array" aca="1" ref="AV788" ca="1">IFERROR(_xlfn.IFS($AU788="","",$AU788&lt;=15,"0-15",AND($AU788&gt;=16,$AU788&lt;=30),"16-30",AND($AU788&gt;=31,$AU788&lt;=45),"31-45",AND($AU788&gt;=46,$AU788&lt;=60),"46-60",AND($AU788&gt;=61,$AU788&lt;=90),"61-90",AND($AU788&gt;=91),"&gt; 90",AND($AU788&gt;=2000),""),"")</f>
        <v/>
      </c>
      <c r="AW788" s="32" t="str" cm="1">
        <f t="array" aca="1" ref="AW788" ca="1">IFERROR(_xlfn.IFS(OR($M788="",$AM788=""),"",OR($C788="Offered",$C788="Joined"),($AM788-$M788)-$AT788),"")</f>
        <v/>
      </c>
      <c r="AX788" s="32" t="str" cm="1">
        <f t="array" aca="1" ref="AX788" ca="1">IFERROR(_xlfn.IFS(OR($M788="",$AS788=""),"",$C788="Joined",($AS788-$M788)-$AT788),"")</f>
        <v/>
      </c>
      <c r="AY788" s="30" t="str">
        <f>IFERROR(IF(COUNTIFS('Candidate Tracker'!$E:$E,'Positions Tracker'!$B788,'Candidate Tracker'!$C:$C,"Offer Drop")=0,"",COUNTIFS('Candidate Tracker'!$E:$E,'Positions Tracker'!$B788,'Candidate Tracker'!$C:$C,"Offer Drop")),"")</f>
        <v/>
      </c>
      <c r="AZ78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8" s="34" t="str">
        <f>IFERROR(IF(COUNTIFS('Candidate Tracker'!$E:$E,'Positions Tracker'!$B788,'Candidate Tracker'!$I:$I,"Female")=0,"",COUNTIFS('Candidate Tracker'!$E:$E,'Positions Tracker'!$B788,'Candidate Tracker'!$I:$I,"Female")),"")</f>
        <v/>
      </c>
      <c r="BB788" s="34" t="str">
        <f>IFERROR(IF(COUNTIFS('Candidate Tracker'!$E:$E,'Positions Tracker'!$B788,'Candidate Tracker'!$I:$I,"male")=0,"",COUNTIFS('Candidate Tracker'!$E:$E,'Positions Tracker'!$B788,'Candidate Tracker'!$I:$I,"male")),"")</f>
        <v/>
      </c>
      <c r="BC788" s="33" t="str">
        <f>IFERROR(IF(COUNTIFS('Candidate Tracker'!$E:$E,'Positions Tracker'!$B788,'Candidate Tracker'!$C:$C,"&lt;&gt;WIP",'Candidate Tracker'!$C:$C,"&lt;&gt;Hold",'Candidate Tracker'!$C:$C,"&lt;&gt;Cancelled",'Candidate Tracker'!$C:$C,"&lt;&gt;Closed")/COUNTIFS('Candidate Tracker'!$E:$E,'Positions Tracker'!$B788)=0,"",COUNTIFS('Candidate Tracker'!$E:$E,'Positions Tracker'!$B788,'Candidate Tracker'!$C:$C,"&lt;&gt;WIP",'Candidate Tracker'!$C:$C,"&lt;&gt;Hold",'Candidate Tracker'!$C:$C,"&lt;&gt;Cancelled",'Candidate Tracker'!$C:$C,"&lt;&gt;Closed")/COUNTIFS('Candidate Tracker'!$E:$E,'Positions Tracker'!$B788)),"")</f>
        <v/>
      </c>
      <c r="BD788" s="30" t="str">
        <f t="shared" si="87"/>
        <v/>
      </c>
      <c r="BE788" s="30" t="str">
        <f t="shared" si="88"/>
        <v/>
      </c>
      <c r="BF788" s="30" t="str">
        <f t="shared" si="89"/>
        <v/>
      </c>
      <c r="BG788" s="30" t="str">
        <f t="shared" si="90"/>
        <v/>
      </c>
    </row>
    <row r="789" spans="1:59">
      <c r="A789" s="39"/>
      <c r="B789" s="39"/>
      <c r="C789" s="39"/>
      <c r="D789" s="39"/>
      <c r="E789" s="39"/>
      <c r="F789" s="39"/>
      <c r="G789" s="39"/>
      <c r="H789" s="39"/>
      <c r="I789" s="40"/>
      <c r="J789" s="40"/>
      <c r="K789" s="35"/>
      <c r="L789" s="35"/>
      <c r="M789" s="35"/>
      <c r="N789" s="39"/>
      <c r="O789" s="39"/>
      <c r="P789" s="39"/>
      <c r="Q789" s="39"/>
      <c r="R789" s="39"/>
      <c r="S789" s="39"/>
      <c r="T789" s="39"/>
      <c r="U789" s="39"/>
      <c r="V789" s="39"/>
      <c r="W789" s="39"/>
      <c r="X789" s="39"/>
      <c r="Y789" s="39"/>
      <c r="Z789" s="39"/>
      <c r="AA789" s="39"/>
      <c r="AB789" s="39"/>
      <c r="AC789" s="39"/>
      <c r="AD789" s="39"/>
      <c r="AE789" s="39"/>
      <c r="AF789" s="39"/>
      <c r="AG789" s="39"/>
      <c r="AH789" s="39"/>
      <c r="AI789" s="35"/>
      <c r="AJ789" s="39"/>
      <c r="AK789" s="39"/>
      <c r="AL789" s="39"/>
      <c r="AM789" s="35"/>
      <c r="AN789" s="35"/>
      <c r="AO789" s="39"/>
      <c r="AP789" s="39"/>
      <c r="AQ789" s="35"/>
      <c r="AR789" s="35"/>
      <c r="AS789" s="35"/>
      <c r="AT789" s="30">
        <f t="shared" ca="1" si="86"/>
        <v>0</v>
      </c>
      <c r="AU789" s="32" t="str">
        <f t="shared" ca="1" si="85"/>
        <v/>
      </c>
      <c r="AV789" s="32" t="str" cm="1">
        <f t="array" aca="1" ref="AV789" ca="1">IFERROR(_xlfn.IFS($AU789="","",$AU789&lt;=15,"0-15",AND($AU789&gt;=16,$AU789&lt;=30),"16-30",AND($AU789&gt;=31,$AU789&lt;=45),"31-45",AND($AU789&gt;=46,$AU789&lt;=60),"46-60",AND($AU789&gt;=61,$AU789&lt;=90),"61-90",AND($AU789&gt;=91),"&gt; 90",AND($AU789&gt;=2000),""),"")</f>
        <v/>
      </c>
      <c r="AW789" s="32" t="str" cm="1">
        <f t="array" aca="1" ref="AW789" ca="1">IFERROR(_xlfn.IFS(OR($M789="",$AM789=""),"",OR($C789="Offered",$C789="Joined"),($AM789-$M789)-$AT789),"")</f>
        <v/>
      </c>
      <c r="AX789" s="32" t="str" cm="1">
        <f t="array" aca="1" ref="AX789" ca="1">IFERROR(_xlfn.IFS(OR($M789="",$AS789=""),"",$C789="Joined",($AS789-$M789)-$AT789),"")</f>
        <v/>
      </c>
      <c r="AY789" s="30" t="str">
        <f>IFERROR(IF(COUNTIFS('Candidate Tracker'!$E:$E,'Positions Tracker'!$B789,'Candidate Tracker'!$C:$C,"Offer Drop")=0,"",COUNTIFS('Candidate Tracker'!$E:$E,'Positions Tracker'!$B789,'Candidate Tracker'!$C:$C,"Offer Drop")),"")</f>
        <v/>
      </c>
      <c r="AZ78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89" s="34" t="str">
        <f>IFERROR(IF(COUNTIFS('Candidate Tracker'!$E:$E,'Positions Tracker'!$B789,'Candidate Tracker'!$I:$I,"Female")=0,"",COUNTIFS('Candidate Tracker'!$E:$E,'Positions Tracker'!$B789,'Candidate Tracker'!$I:$I,"Female")),"")</f>
        <v/>
      </c>
      <c r="BB789" s="34" t="str">
        <f>IFERROR(IF(COUNTIFS('Candidate Tracker'!$E:$E,'Positions Tracker'!$B789,'Candidate Tracker'!$I:$I,"male")=0,"",COUNTIFS('Candidate Tracker'!$E:$E,'Positions Tracker'!$B789,'Candidate Tracker'!$I:$I,"male")),"")</f>
        <v/>
      </c>
      <c r="BC789" s="33" t="str">
        <f>IFERROR(IF(COUNTIFS('Candidate Tracker'!$E:$E,'Positions Tracker'!$B789,'Candidate Tracker'!$C:$C,"&lt;&gt;WIP",'Candidate Tracker'!$C:$C,"&lt;&gt;Hold",'Candidate Tracker'!$C:$C,"&lt;&gt;Cancelled",'Candidate Tracker'!$C:$C,"&lt;&gt;Closed")/COUNTIFS('Candidate Tracker'!$E:$E,'Positions Tracker'!$B789)=0,"",COUNTIFS('Candidate Tracker'!$E:$E,'Positions Tracker'!$B789,'Candidate Tracker'!$C:$C,"&lt;&gt;WIP",'Candidate Tracker'!$C:$C,"&lt;&gt;Hold",'Candidate Tracker'!$C:$C,"&lt;&gt;Cancelled",'Candidate Tracker'!$C:$C,"&lt;&gt;Closed")/COUNTIFS('Candidate Tracker'!$E:$E,'Positions Tracker'!$B789)),"")</f>
        <v/>
      </c>
      <c r="BD789" s="30" t="str">
        <f t="shared" si="87"/>
        <v/>
      </c>
      <c r="BE789" s="30" t="str">
        <f t="shared" si="88"/>
        <v/>
      </c>
      <c r="BF789" s="30" t="str">
        <f t="shared" si="89"/>
        <v/>
      </c>
      <c r="BG789" s="30" t="str">
        <f t="shared" si="90"/>
        <v/>
      </c>
    </row>
    <row r="790" spans="1:59">
      <c r="A790" s="39"/>
      <c r="B790" s="39"/>
      <c r="C790" s="39"/>
      <c r="D790" s="39"/>
      <c r="E790" s="39"/>
      <c r="F790" s="39"/>
      <c r="G790" s="39"/>
      <c r="H790" s="39"/>
      <c r="I790" s="40"/>
      <c r="J790" s="40"/>
      <c r="K790" s="35"/>
      <c r="L790" s="35"/>
      <c r="M790" s="35"/>
      <c r="N790" s="39"/>
      <c r="O790" s="39"/>
      <c r="P790" s="39"/>
      <c r="Q790" s="39"/>
      <c r="R790" s="39"/>
      <c r="S790" s="39"/>
      <c r="T790" s="39"/>
      <c r="U790" s="39"/>
      <c r="V790" s="39"/>
      <c r="W790" s="39"/>
      <c r="X790" s="39"/>
      <c r="Y790" s="39"/>
      <c r="Z790" s="39"/>
      <c r="AA790" s="39"/>
      <c r="AB790" s="39"/>
      <c r="AC790" s="39"/>
      <c r="AD790" s="39"/>
      <c r="AE790" s="39"/>
      <c r="AF790" s="39"/>
      <c r="AG790" s="39"/>
      <c r="AH790" s="39"/>
      <c r="AI790" s="35"/>
      <c r="AJ790" s="39"/>
      <c r="AK790" s="39"/>
      <c r="AL790" s="39"/>
      <c r="AM790" s="35"/>
      <c r="AN790" s="35"/>
      <c r="AO790" s="39"/>
      <c r="AP790" s="39"/>
      <c r="AQ790" s="35"/>
      <c r="AR790" s="35"/>
      <c r="AS790" s="35"/>
      <c r="AT790" s="30">
        <f t="shared" ca="1" si="86"/>
        <v>0</v>
      </c>
      <c r="AU790" s="32" t="str">
        <f t="shared" ca="1" si="85"/>
        <v/>
      </c>
      <c r="AV790" s="32" t="str" cm="1">
        <f t="array" aca="1" ref="AV790" ca="1">IFERROR(_xlfn.IFS($AU790="","",$AU790&lt;=15,"0-15",AND($AU790&gt;=16,$AU790&lt;=30),"16-30",AND($AU790&gt;=31,$AU790&lt;=45),"31-45",AND($AU790&gt;=46,$AU790&lt;=60),"46-60",AND($AU790&gt;=61,$AU790&lt;=90),"61-90",AND($AU790&gt;=91),"&gt; 90",AND($AU790&gt;=2000),""),"")</f>
        <v/>
      </c>
      <c r="AW790" s="32" t="str" cm="1">
        <f t="array" aca="1" ref="AW790" ca="1">IFERROR(_xlfn.IFS(OR($M790="",$AM790=""),"",OR($C790="Offered",$C790="Joined"),($AM790-$M790)-$AT790),"")</f>
        <v/>
      </c>
      <c r="AX790" s="32" t="str" cm="1">
        <f t="array" aca="1" ref="AX790" ca="1">IFERROR(_xlfn.IFS(OR($M790="",$AS790=""),"",$C790="Joined",($AS790-$M790)-$AT790),"")</f>
        <v/>
      </c>
      <c r="AY790" s="30" t="str">
        <f>IFERROR(IF(COUNTIFS('Candidate Tracker'!$E:$E,'Positions Tracker'!$B790,'Candidate Tracker'!$C:$C,"Offer Drop")=0,"",COUNTIFS('Candidate Tracker'!$E:$E,'Positions Tracker'!$B790,'Candidate Tracker'!$C:$C,"Offer Drop")),"")</f>
        <v/>
      </c>
      <c r="AZ79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0" s="34" t="str">
        <f>IFERROR(IF(COUNTIFS('Candidate Tracker'!$E:$E,'Positions Tracker'!$B790,'Candidate Tracker'!$I:$I,"Female")=0,"",COUNTIFS('Candidate Tracker'!$E:$E,'Positions Tracker'!$B790,'Candidate Tracker'!$I:$I,"Female")),"")</f>
        <v/>
      </c>
      <c r="BB790" s="34" t="str">
        <f>IFERROR(IF(COUNTIFS('Candidate Tracker'!$E:$E,'Positions Tracker'!$B790,'Candidate Tracker'!$I:$I,"male")=0,"",COUNTIFS('Candidate Tracker'!$E:$E,'Positions Tracker'!$B790,'Candidate Tracker'!$I:$I,"male")),"")</f>
        <v/>
      </c>
      <c r="BC790" s="33" t="str">
        <f>IFERROR(IF(COUNTIFS('Candidate Tracker'!$E:$E,'Positions Tracker'!$B790,'Candidate Tracker'!$C:$C,"&lt;&gt;WIP",'Candidate Tracker'!$C:$C,"&lt;&gt;Hold",'Candidate Tracker'!$C:$C,"&lt;&gt;Cancelled",'Candidate Tracker'!$C:$C,"&lt;&gt;Closed")/COUNTIFS('Candidate Tracker'!$E:$E,'Positions Tracker'!$B790)=0,"",COUNTIFS('Candidate Tracker'!$E:$E,'Positions Tracker'!$B790,'Candidate Tracker'!$C:$C,"&lt;&gt;WIP",'Candidate Tracker'!$C:$C,"&lt;&gt;Hold",'Candidate Tracker'!$C:$C,"&lt;&gt;Cancelled",'Candidate Tracker'!$C:$C,"&lt;&gt;Closed")/COUNTIFS('Candidate Tracker'!$E:$E,'Positions Tracker'!$B790)),"")</f>
        <v/>
      </c>
      <c r="BD790" s="30" t="str">
        <f t="shared" si="87"/>
        <v/>
      </c>
      <c r="BE790" s="30" t="str">
        <f t="shared" si="88"/>
        <v/>
      </c>
      <c r="BF790" s="30" t="str">
        <f t="shared" si="89"/>
        <v/>
      </c>
      <c r="BG790" s="30" t="str">
        <f t="shared" si="90"/>
        <v/>
      </c>
    </row>
    <row r="791" spans="1:59">
      <c r="A791" s="39"/>
      <c r="B791" s="39"/>
      <c r="C791" s="39"/>
      <c r="D791" s="39"/>
      <c r="E791" s="39"/>
      <c r="F791" s="39"/>
      <c r="G791" s="39"/>
      <c r="H791" s="39"/>
      <c r="I791" s="40"/>
      <c r="J791" s="40"/>
      <c r="K791" s="35"/>
      <c r="L791" s="35"/>
      <c r="M791" s="35"/>
      <c r="N791" s="39"/>
      <c r="O791" s="39"/>
      <c r="P791" s="39"/>
      <c r="Q791" s="39"/>
      <c r="R791" s="39"/>
      <c r="S791" s="39"/>
      <c r="T791" s="39"/>
      <c r="U791" s="39"/>
      <c r="V791" s="39"/>
      <c r="W791" s="39"/>
      <c r="X791" s="39"/>
      <c r="Y791" s="39"/>
      <c r="Z791" s="39"/>
      <c r="AA791" s="39"/>
      <c r="AB791" s="39"/>
      <c r="AC791" s="39"/>
      <c r="AD791" s="39"/>
      <c r="AE791" s="39"/>
      <c r="AF791" s="39"/>
      <c r="AG791" s="39"/>
      <c r="AH791" s="39"/>
      <c r="AI791" s="35"/>
      <c r="AJ791" s="39"/>
      <c r="AK791" s="39"/>
      <c r="AL791" s="39"/>
      <c r="AM791" s="35"/>
      <c r="AN791" s="35"/>
      <c r="AO791" s="39"/>
      <c r="AP791" s="39"/>
      <c r="AQ791" s="35"/>
      <c r="AR791" s="35"/>
      <c r="AS791" s="35"/>
      <c r="AT791" s="30">
        <f t="shared" ca="1" si="86"/>
        <v>0</v>
      </c>
      <c r="AU791" s="32" t="str">
        <f t="shared" ca="1" si="85"/>
        <v/>
      </c>
      <c r="AV791" s="32" t="str" cm="1">
        <f t="array" aca="1" ref="AV791" ca="1">IFERROR(_xlfn.IFS($AU791="","",$AU791&lt;=15,"0-15",AND($AU791&gt;=16,$AU791&lt;=30),"16-30",AND($AU791&gt;=31,$AU791&lt;=45),"31-45",AND($AU791&gt;=46,$AU791&lt;=60),"46-60",AND($AU791&gt;=61,$AU791&lt;=90),"61-90",AND($AU791&gt;=91),"&gt; 90",AND($AU791&gt;=2000),""),"")</f>
        <v/>
      </c>
      <c r="AW791" s="32" t="str" cm="1">
        <f t="array" aca="1" ref="AW791" ca="1">IFERROR(_xlfn.IFS(OR($M791="",$AM791=""),"",OR($C791="Offered",$C791="Joined"),($AM791-$M791)-$AT791),"")</f>
        <v/>
      </c>
      <c r="AX791" s="32" t="str" cm="1">
        <f t="array" aca="1" ref="AX791" ca="1">IFERROR(_xlfn.IFS(OR($M791="",$AS791=""),"",$C791="Joined",($AS791-$M791)-$AT791),"")</f>
        <v/>
      </c>
      <c r="AY791" s="30" t="str">
        <f>IFERROR(IF(COUNTIFS('Candidate Tracker'!$E:$E,'Positions Tracker'!$B791,'Candidate Tracker'!$C:$C,"Offer Drop")=0,"",COUNTIFS('Candidate Tracker'!$E:$E,'Positions Tracker'!$B791,'Candidate Tracker'!$C:$C,"Offer Drop")),"")</f>
        <v/>
      </c>
      <c r="AZ79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1" s="34" t="str">
        <f>IFERROR(IF(COUNTIFS('Candidate Tracker'!$E:$E,'Positions Tracker'!$B791,'Candidate Tracker'!$I:$I,"Female")=0,"",COUNTIFS('Candidate Tracker'!$E:$E,'Positions Tracker'!$B791,'Candidate Tracker'!$I:$I,"Female")),"")</f>
        <v/>
      </c>
      <c r="BB791" s="34" t="str">
        <f>IFERROR(IF(COUNTIFS('Candidate Tracker'!$E:$E,'Positions Tracker'!$B791,'Candidate Tracker'!$I:$I,"male")=0,"",COUNTIFS('Candidate Tracker'!$E:$E,'Positions Tracker'!$B791,'Candidate Tracker'!$I:$I,"male")),"")</f>
        <v/>
      </c>
      <c r="BC791" s="33" t="str">
        <f>IFERROR(IF(COUNTIFS('Candidate Tracker'!$E:$E,'Positions Tracker'!$B791,'Candidate Tracker'!$C:$C,"&lt;&gt;WIP",'Candidate Tracker'!$C:$C,"&lt;&gt;Hold",'Candidate Tracker'!$C:$C,"&lt;&gt;Cancelled",'Candidate Tracker'!$C:$C,"&lt;&gt;Closed")/COUNTIFS('Candidate Tracker'!$E:$E,'Positions Tracker'!$B791)=0,"",COUNTIFS('Candidate Tracker'!$E:$E,'Positions Tracker'!$B791,'Candidate Tracker'!$C:$C,"&lt;&gt;WIP",'Candidate Tracker'!$C:$C,"&lt;&gt;Hold",'Candidate Tracker'!$C:$C,"&lt;&gt;Cancelled",'Candidate Tracker'!$C:$C,"&lt;&gt;Closed")/COUNTIFS('Candidate Tracker'!$E:$E,'Positions Tracker'!$B791)),"")</f>
        <v/>
      </c>
      <c r="BD791" s="30" t="str">
        <f t="shared" si="87"/>
        <v/>
      </c>
      <c r="BE791" s="30" t="str">
        <f t="shared" si="88"/>
        <v/>
      </c>
      <c r="BF791" s="30" t="str">
        <f t="shared" si="89"/>
        <v/>
      </c>
      <c r="BG791" s="30" t="str">
        <f t="shared" si="90"/>
        <v/>
      </c>
    </row>
    <row r="792" spans="1:59">
      <c r="A792" s="39"/>
      <c r="B792" s="39"/>
      <c r="C792" s="39"/>
      <c r="D792" s="39"/>
      <c r="E792" s="39"/>
      <c r="F792" s="39"/>
      <c r="G792" s="39"/>
      <c r="H792" s="39"/>
      <c r="I792" s="40"/>
      <c r="J792" s="40"/>
      <c r="K792" s="35"/>
      <c r="L792" s="35"/>
      <c r="M792" s="35"/>
      <c r="N792" s="39"/>
      <c r="O792" s="39"/>
      <c r="P792" s="39"/>
      <c r="Q792" s="39"/>
      <c r="R792" s="39"/>
      <c r="S792" s="39"/>
      <c r="T792" s="39"/>
      <c r="U792" s="39"/>
      <c r="V792" s="39"/>
      <c r="W792" s="39"/>
      <c r="X792" s="39"/>
      <c r="Y792" s="39"/>
      <c r="Z792" s="39"/>
      <c r="AA792" s="39"/>
      <c r="AB792" s="39"/>
      <c r="AC792" s="39"/>
      <c r="AD792" s="39"/>
      <c r="AE792" s="39"/>
      <c r="AF792" s="39"/>
      <c r="AG792" s="39"/>
      <c r="AH792" s="39"/>
      <c r="AI792" s="35"/>
      <c r="AJ792" s="39"/>
      <c r="AK792" s="39"/>
      <c r="AL792" s="39"/>
      <c r="AM792" s="35"/>
      <c r="AN792" s="35"/>
      <c r="AO792" s="39"/>
      <c r="AP792" s="39"/>
      <c r="AQ792" s="35"/>
      <c r="AR792" s="35"/>
      <c r="AS792" s="35"/>
      <c r="AT792" s="30">
        <f t="shared" ca="1" si="86"/>
        <v>0</v>
      </c>
      <c r="AU792" s="32" t="str">
        <f t="shared" ca="1" si="85"/>
        <v/>
      </c>
      <c r="AV792" s="32" t="str" cm="1">
        <f t="array" aca="1" ref="AV792" ca="1">IFERROR(_xlfn.IFS($AU792="","",$AU792&lt;=15,"0-15",AND($AU792&gt;=16,$AU792&lt;=30),"16-30",AND($AU792&gt;=31,$AU792&lt;=45),"31-45",AND($AU792&gt;=46,$AU792&lt;=60),"46-60",AND($AU792&gt;=61,$AU792&lt;=90),"61-90",AND($AU792&gt;=91),"&gt; 90",AND($AU792&gt;=2000),""),"")</f>
        <v/>
      </c>
      <c r="AW792" s="32" t="str" cm="1">
        <f t="array" aca="1" ref="AW792" ca="1">IFERROR(_xlfn.IFS(OR($M792="",$AM792=""),"",OR($C792="Offered",$C792="Joined"),($AM792-$M792)-$AT792),"")</f>
        <v/>
      </c>
      <c r="AX792" s="32" t="str" cm="1">
        <f t="array" aca="1" ref="AX792" ca="1">IFERROR(_xlfn.IFS(OR($M792="",$AS792=""),"",$C792="Joined",($AS792-$M792)-$AT792),"")</f>
        <v/>
      </c>
      <c r="AY792" s="30" t="str">
        <f>IFERROR(IF(COUNTIFS('Candidate Tracker'!$E:$E,'Positions Tracker'!$B792,'Candidate Tracker'!$C:$C,"Offer Drop")=0,"",COUNTIFS('Candidate Tracker'!$E:$E,'Positions Tracker'!$B792,'Candidate Tracker'!$C:$C,"Offer Drop")),"")</f>
        <v/>
      </c>
      <c r="AZ79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2" s="34" t="str">
        <f>IFERROR(IF(COUNTIFS('Candidate Tracker'!$E:$E,'Positions Tracker'!$B792,'Candidate Tracker'!$I:$I,"Female")=0,"",COUNTIFS('Candidate Tracker'!$E:$E,'Positions Tracker'!$B792,'Candidate Tracker'!$I:$I,"Female")),"")</f>
        <v/>
      </c>
      <c r="BB792" s="34" t="str">
        <f>IFERROR(IF(COUNTIFS('Candidate Tracker'!$E:$E,'Positions Tracker'!$B792,'Candidate Tracker'!$I:$I,"male")=0,"",COUNTIFS('Candidate Tracker'!$E:$E,'Positions Tracker'!$B792,'Candidate Tracker'!$I:$I,"male")),"")</f>
        <v/>
      </c>
      <c r="BC792" s="33" t="str">
        <f>IFERROR(IF(COUNTIFS('Candidate Tracker'!$E:$E,'Positions Tracker'!$B792,'Candidate Tracker'!$C:$C,"&lt;&gt;WIP",'Candidate Tracker'!$C:$C,"&lt;&gt;Hold",'Candidate Tracker'!$C:$C,"&lt;&gt;Cancelled",'Candidate Tracker'!$C:$C,"&lt;&gt;Closed")/COUNTIFS('Candidate Tracker'!$E:$E,'Positions Tracker'!$B792)=0,"",COUNTIFS('Candidate Tracker'!$E:$E,'Positions Tracker'!$B792,'Candidate Tracker'!$C:$C,"&lt;&gt;WIP",'Candidate Tracker'!$C:$C,"&lt;&gt;Hold",'Candidate Tracker'!$C:$C,"&lt;&gt;Cancelled",'Candidate Tracker'!$C:$C,"&lt;&gt;Closed")/COUNTIFS('Candidate Tracker'!$E:$E,'Positions Tracker'!$B792)),"")</f>
        <v/>
      </c>
      <c r="BD792" s="30" t="str">
        <f t="shared" si="87"/>
        <v/>
      </c>
      <c r="BE792" s="30" t="str">
        <f t="shared" si="88"/>
        <v/>
      </c>
      <c r="BF792" s="30" t="str">
        <f t="shared" si="89"/>
        <v/>
      </c>
      <c r="BG792" s="30" t="str">
        <f t="shared" si="90"/>
        <v/>
      </c>
    </row>
    <row r="793" spans="1:59">
      <c r="A793" s="39"/>
      <c r="B793" s="39"/>
      <c r="C793" s="39"/>
      <c r="D793" s="39"/>
      <c r="E793" s="39"/>
      <c r="F793" s="39"/>
      <c r="G793" s="39"/>
      <c r="H793" s="39"/>
      <c r="I793" s="40"/>
      <c r="J793" s="40"/>
      <c r="K793" s="35"/>
      <c r="L793" s="35"/>
      <c r="M793" s="35"/>
      <c r="N793" s="39"/>
      <c r="O793" s="39"/>
      <c r="P793" s="39"/>
      <c r="Q793" s="39"/>
      <c r="R793" s="39"/>
      <c r="S793" s="39"/>
      <c r="T793" s="39"/>
      <c r="U793" s="39"/>
      <c r="V793" s="39"/>
      <c r="W793" s="39"/>
      <c r="X793" s="39"/>
      <c r="Y793" s="39"/>
      <c r="Z793" s="39"/>
      <c r="AA793" s="39"/>
      <c r="AB793" s="39"/>
      <c r="AC793" s="39"/>
      <c r="AD793" s="39"/>
      <c r="AE793" s="39"/>
      <c r="AF793" s="39"/>
      <c r="AG793" s="39"/>
      <c r="AH793" s="39"/>
      <c r="AI793" s="35"/>
      <c r="AJ793" s="39"/>
      <c r="AK793" s="39"/>
      <c r="AL793" s="39"/>
      <c r="AM793" s="35"/>
      <c r="AN793" s="35"/>
      <c r="AO793" s="39"/>
      <c r="AP793" s="39"/>
      <c r="AQ793" s="35"/>
      <c r="AR793" s="35"/>
      <c r="AS793" s="35"/>
      <c r="AT793" s="30">
        <f t="shared" ca="1" si="86"/>
        <v>0</v>
      </c>
      <c r="AU793" s="32" t="str">
        <f t="shared" ca="1" si="85"/>
        <v/>
      </c>
      <c r="AV793" s="32" t="str" cm="1">
        <f t="array" aca="1" ref="AV793" ca="1">IFERROR(_xlfn.IFS($AU793="","",$AU793&lt;=15,"0-15",AND($AU793&gt;=16,$AU793&lt;=30),"16-30",AND($AU793&gt;=31,$AU793&lt;=45),"31-45",AND($AU793&gt;=46,$AU793&lt;=60),"46-60",AND($AU793&gt;=61,$AU793&lt;=90),"61-90",AND($AU793&gt;=91),"&gt; 90",AND($AU793&gt;=2000),""),"")</f>
        <v/>
      </c>
      <c r="AW793" s="32" t="str" cm="1">
        <f t="array" aca="1" ref="AW793" ca="1">IFERROR(_xlfn.IFS(OR($M793="",$AM793=""),"",OR($C793="Offered",$C793="Joined"),($AM793-$M793)-$AT793),"")</f>
        <v/>
      </c>
      <c r="AX793" s="32" t="str" cm="1">
        <f t="array" aca="1" ref="AX793" ca="1">IFERROR(_xlfn.IFS(OR($M793="",$AS793=""),"",$C793="Joined",($AS793-$M793)-$AT793),"")</f>
        <v/>
      </c>
      <c r="AY793" s="30" t="str">
        <f>IFERROR(IF(COUNTIFS('Candidate Tracker'!$E:$E,'Positions Tracker'!$B793,'Candidate Tracker'!$C:$C,"Offer Drop")=0,"",COUNTIFS('Candidate Tracker'!$E:$E,'Positions Tracker'!$B793,'Candidate Tracker'!$C:$C,"Offer Drop")),"")</f>
        <v/>
      </c>
      <c r="AZ79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3" s="34" t="str">
        <f>IFERROR(IF(COUNTIFS('Candidate Tracker'!$E:$E,'Positions Tracker'!$B793,'Candidate Tracker'!$I:$I,"Female")=0,"",COUNTIFS('Candidate Tracker'!$E:$E,'Positions Tracker'!$B793,'Candidate Tracker'!$I:$I,"Female")),"")</f>
        <v/>
      </c>
      <c r="BB793" s="34" t="str">
        <f>IFERROR(IF(COUNTIFS('Candidate Tracker'!$E:$E,'Positions Tracker'!$B793,'Candidate Tracker'!$I:$I,"male")=0,"",COUNTIFS('Candidate Tracker'!$E:$E,'Positions Tracker'!$B793,'Candidate Tracker'!$I:$I,"male")),"")</f>
        <v/>
      </c>
      <c r="BC793" s="33" t="str">
        <f>IFERROR(IF(COUNTIFS('Candidate Tracker'!$E:$E,'Positions Tracker'!$B793,'Candidate Tracker'!$C:$C,"&lt;&gt;WIP",'Candidate Tracker'!$C:$C,"&lt;&gt;Hold",'Candidate Tracker'!$C:$C,"&lt;&gt;Cancelled",'Candidate Tracker'!$C:$C,"&lt;&gt;Closed")/COUNTIFS('Candidate Tracker'!$E:$E,'Positions Tracker'!$B793)=0,"",COUNTIFS('Candidate Tracker'!$E:$E,'Positions Tracker'!$B793,'Candidate Tracker'!$C:$C,"&lt;&gt;WIP",'Candidate Tracker'!$C:$C,"&lt;&gt;Hold",'Candidate Tracker'!$C:$C,"&lt;&gt;Cancelled",'Candidate Tracker'!$C:$C,"&lt;&gt;Closed")/COUNTIFS('Candidate Tracker'!$E:$E,'Positions Tracker'!$B793)),"")</f>
        <v/>
      </c>
      <c r="BD793" s="30" t="str">
        <f t="shared" si="87"/>
        <v/>
      </c>
      <c r="BE793" s="30" t="str">
        <f t="shared" si="88"/>
        <v/>
      </c>
      <c r="BF793" s="30" t="str">
        <f t="shared" si="89"/>
        <v/>
      </c>
      <c r="BG793" s="30" t="str">
        <f t="shared" si="90"/>
        <v/>
      </c>
    </row>
    <row r="794" spans="1:59">
      <c r="A794" s="39"/>
      <c r="B794" s="39"/>
      <c r="C794" s="39"/>
      <c r="D794" s="39"/>
      <c r="E794" s="39"/>
      <c r="F794" s="39"/>
      <c r="G794" s="39"/>
      <c r="H794" s="39"/>
      <c r="I794" s="40"/>
      <c r="J794" s="40"/>
      <c r="K794" s="35"/>
      <c r="L794" s="35"/>
      <c r="M794" s="35"/>
      <c r="N794" s="39"/>
      <c r="O794" s="39"/>
      <c r="P794" s="39"/>
      <c r="Q794" s="39"/>
      <c r="R794" s="39"/>
      <c r="S794" s="39"/>
      <c r="T794" s="39"/>
      <c r="U794" s="39"/>
      <c r="V794" s="39"/>
      <c r="W794" s="39"/>
      <c r="X794" s="39"/>
      <c r="Y794" s="39"/>
      <c r="Z794" s="39"/>
      <c r="AA794" s="39"/>
      <c r="AB794" s="39"/>
      <c r="AC794" s="39"/>
      <c r="AD794" s="39"/>
      <c r="AE794" s="39"/>
      <c r="AF794" s="39"/>
      <c r="AG794" s="39"/>
      <c r="AH794" s="39"/>
      <c r="AI794" s="35"/>
      <c r="AJ794" s="39"/>
      <c r="AK794" s="39"/>
      <c r="AL794" s="39"/>
      <c r="AM794" s="35"/>
      <c r="AN794" s="35"/>
      <c r="AO794" s="39"/>
      <c r="AP794" s="39"/>
      <c r="AQ794" s="35"/>
      <c r="AR794" s="35"/>
      <c r="AS794" s="35"/>
      <c r="AT794" s="30">
        <f t="shared" ca="1" si="86"/>
        <v>0</v>
      </c>
      <c r="AU794" s="32" t="str">
        <f t="shared" ca="1" si="85"/>
        <v/>
      </c>
      <c r="AV794" s="32" t="str" cm="1">
        <f t="array" aca="1" ref="AV794" ca="1">IFERROR(_xlfn.IFS($AU794="","",$AU794&lt;=15,"0-15",AND($AU794&gt;=16,$AU794&lt;=30),"16-30",AND($AU794&gt;=31,$AU794&lt;=45),"31-45",AND($AU794&gt;=46,$AU794&lt;=60),"46-60",AND($AU794&gt;=61,$AU794&lt;=90),"61-90",AND($AU794&gt;=91),"&gt; 90",AND($AU794&gt;=2000),""),"")</f>
        <v/>
      </c>
      <c r="AW794" s="32" t="str" cm="1">
        <f t="array" aca="1" ref="AW794" ca="1">IFERROR(_xlfn.IFS(OR($M794="",$AM794=""),"",OR($C794="Offered",$C794="Joined"),($AM794-$M794)-$AT794),"")</f>
        <v/>
      </c>
      <c r="AX794" s="32" t="str" cm="1">
        <f t="array" aca="1" ref="AX794" ca="1">IFERROR(_xlfn.IFS(OR($M794="",$AS794=""),"",$C794="Joined",($AS794-$M794)-$AT794),"")</f>
        <v/>
      </c>
      <c r="AY794" s="30" t="str">
        <f>IFERROR(IF(COUNTIFS('Candidate Tracker'!$E:$E,'Positions Tracker'!$B794,'Candidate Tracker'!$C:$C,"Offer Drop")=0,"",COUNTIFS('Candidate Tracker'!$E:$E,'Positions Tracker'!$B794,'Candidate Tracker'!$C:$C,"Offer Drop")),"")</f>
        <v/>
      </c>
      <c r="AZ79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4" s="34" t="str">
        <f>IFERROR(IF(COUNTIFS('Candidate Tracker'!$E:$E,'Positions Tracker'!$B794,'Candidate Tracker'!$I:$I,"Female")=0,"",COUNTIFS('Candidate Tracker'!$E:$E,'Positions Tracker'!$B794,'Candidate Tracker'!$I:$I,"Female")),"")</f>
        <v/>
      </c>
      <c r="BB794" s="34" t="str">
        <f>IFERROR(IF(COUNTIFS('Candidate Tracker'!$E:$E,'Positions Tracker'!$B794,'Candidate Tracker'!$I:$I,"male")=0,"",COUNTIFS('Candidate Tracker'!$E:$E,'Positions Tracker'!$B794,'Candidate Tracker'!$I:$I,"male")),"")</f>
        <v/>
      </c>
      <c r="BC794" s="33" t="str">
        <f>IFERROR(IF(COUNTIFS('Candidate Tracker'!$E:$E,'Positions Tracker'!$B794,'Candidate Tracker'!$C:$C,"&lt;&gt;WIP",'Candidate Tracker'!$C:$C,"&lt;&gt;Hold",'Candidate Tracker'!$C:$C,"&lt;&gt;Cancelled",'Candidate Tracker'!$C:$C,"&lt;&gt;Closed")/COUNTIFS('Candidate Tracker'!$E:$E,'Positions Tracker'!$B794)=0,"",COUNTIFS('Candidate Tracker'!$E:$E,'Positions Tracker'!$B794,'Candidate Tracker'!$C:$C,"&lt;&gt;WIP",'Candidate Tracker'!$C:$C,"&lt;&gt;Hold",'Candidate Tracker'!$C:$C,"&lt;&gt;Cancelled",'Candidate Tracker'!$C:$C,"&lt;&gt;Closed")/COUNTIFS('Candidate Tracker'!$E:$E,'Positions Tracker'!$B794)),"")</f>
        <v/>
      </c>
      <c r="BD794" s="30" t="str">
        <f t="shared" si="87"/>
        <v/>
      </c>
      <c r="BE794" s="30" t="str">
        <f t="shared" si="88"/>
        <v/>
      </c>
      <c r="BF794" s="30" t="str">
        <f t="shared" si="89"/>
        <v/>
      </c>
      <c r="BG794" s="30" t="str">
        <f t="shared" si="90"/>
        <v/>
      </c>
    </row>
    <row r="795" spans="1:59">
      <c r="A795" s="39"/>
      <c r="B795" s="39"/>
      <c r="C795" s="39"/>
      <c r="D795" s="39"/>
      <c r="E795" s="39"/>
      <c r="F795" s="39"/>
      <c r="G795" s="39"/>
      <c r="H795" s="39"/>
      <c r="I795" s="40"/>
      <c r="J795" s="40"/>
      <c r="K795" s="35"/>
      <c r="L795" s="35"/>
      <c r="M795" s="35"/>
      <c r="N795" s="39"/>
      <c r="O795" s="39"/>
      <c r="P795" s="39"/>
      <c r="Q795" s="39"/>
      <c r="R795" s="39"/>
      <c r="S795" s="39"/>
      <c r="T795" s="39"/>
      <c r="U795" s="39"/>
      <c r="V795" s="39"/>
      <c r="W795" s="39"/>
      <c r="X795" s="39"/>
      <c r="Y795" s="39"/>
      <c r="Z795" s="39"/>
      <c r="AA795" s="39"/>
      <c r="AB795" s="39"/>
      <c r="AC795" s="39"/>
      <c r="AD795" s="39"/>
      <c r="AE795" s="39"/>
      <c r="AF795" s="39"/>
      <c r="AG795" s="39"/>
      <c r="AH795" s="39"/>
      <c r="AI795" s="35"/>
      <c r="AJ795" s="39"/>
      <c r="AK795" s="39"/>
      <c r="AL795" s="39"/>
      <c r="AM795" s="35"/>
      <c r="AN795" s="35"/>
      <c r="AO795" s="39"/>
      <c r="AP795" s="39"/>
      <c r="AQ795" s="35"/>
      <c r="AR795" s="35"/>
      <c r="AS795" s="35"/>
      <c r="AT795" s="30">
        <f t="shared" ca="1" si="86"/>
        <v>0</v>
      </c>
      <c r="AU795" s="32" t="str">
        <f t="shared" ca="1" si="85"/>
        <v/>
      </c>
      <c r="AV795" s="32" t="str" cm="1">
        <f t="array" aca="1" ref="AV795" ca="1">IFERROR(_xlfn.IFS($AU795="","",$AU795&lt;=15,"0-15",AND($AU795&gt;=16,$AU795&lt;=30),"16-30",AND($AU795&gt;=31,$AU795&lt;=45),"31-45",AND($AU795&gt;=46,$AU795&lt;=60),"46-60",AND($AU795&gt;=61,$AU795&lt;=90),"61-90",AND($AU795&gt;=91),"&gt; 90",AND($AU795&gt;=2000),""),"")</f>
        <v/>
      </c>
      <c r="AW795" s="32" t="str" cm="1">
        <f t="array" aca="1" ref="AW795" ca="1">IFERROR(_xlfn.IFS(OR($M795="",$AM795=""),"",OR($C795="Offered",$C795="Joined"),($AM795-$M795)-$AT795),"")</f>
        <v/>
      </c>
      <c r="AX795" s="32" t="str" cm="1">
        <f t="array" aca="1" ref="AX795" ca="1">IFERROR(_xlfn.IFS(OR($M795="",$AS795=""),"",$C795="Joined",($AS795-$M795)-$AT795),"")</f>
        <v/>
      </c>
      <c r="AY795" s="30" t="str">
        <f>IFERROR(IF(COUNTIFS('Candidate Tracker'!$E:$E,'Positions Tracker'!$B795,'Candidate Tracker'!$C:$C,"Offer Drop")=0,"",COUNTIFS('Candidate Tracker'!$E:$E,'Positions Tracker'!$B795,'Candidate Tracker'!$C:$C,"Offer Drop")),"")</f>
        <v/>
      </c>
      <c r="AZ79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5" s="34" t="str">
        <f>IFERROR(IF(COUNTIFS('Candidate Tracker'!$E:$E,'Positions Tracker'!$B795,'Candidate Tracker'!$I:$I,"Female")=0,"",COUNTIFS('Candidate Tracker'!$E:$E,'Positions Tracker'!$B795,'Candidate Tracker'!$I:$I,"Female")),"")</f>
        <v/>
      </c>
      <c r="BB795" s="34" t="str">
        <f>IFERROR(IF(COUNTIFS('Candidate Tracker'!$E:$E,'Positions Tracker'!$B795,'Candidate Tracker'!$I:$I,"male")=0,"",COUNTIFS('Candidate Tracker'!$E:$E,'Positions Tracker'!$B795,'Candidate Tracker'!$I:$I,"male")),"")</f>
        <v/>
      </c>
      <c r="BC795" s="33" t="str">
        <f>IFERROR(IF(COUNTIFS('Candidate Tracker'!$E:$E,'Positions Tracker'!$B795,'Candidate Tracker'!$C:$C,"&lt;&gt;WIP",'Candidate Tracker'!$C:$C,"&lt;&gt;Hold",'Candidate Tracker'!$C:$C,"&lt;&gt;Cancelled",'Candidate Tracker'!$C:$C,"&lt;&gt;Closed")/COUNTIFS('Candidate Tracker'!$E:$E,'Positions Tracker'!$B795)=0,"",COUNTIFS('Candidate Tracker'!$E:$E,'Positions Tracker'!$B795,'Candidate Tracker'!$C:$C,"&lt;&gt;WIP",'Candidate Tracker'!$C:$C,"&lt;&gt;Hold",'Candidate Tracker'!$C:$C,"&lt;&gt;Cancelled",'Candidate Tracker'!$C:$C,"&lt;&gt;Closed")/COUNTIFS('Candidate Tracker'!$E:$E,'Positions Tracker'!$B795)),"")</f>
        <v/>
      </c>
      <c r="BD795" s="30" t="str">
        <f t="shared" si="87"/>
        <v/>
      </c>
      <c r="BE795" s="30" t="str">
        <f t="shared" si="88"/>
        <v/>
      </c>
      <c r="BF795" s="30" t="str">
        <f t="shared" si="89"/>
        <v/>
      </c>
      <c r="BG795" s="30" t="str">
        <f t="shared" si="90"/>
        <v/>
      </c>
    </row>
    <row r="796" spans="1:59">
      <c r="A796" s="39"/>
      <c r="B796" s="39"/>
      <c r="C796" s="39"/>
      <c r="D796" s="39"/>
      <c r="E796" s="39"/>
      <c r="F796" s="39"/>
      <c r="G796" s="39"/>
      <c r="H796" s="39"/>
      <c r="I796" s="40"/>
      <c r="J796" s="40"/>
      <c r="K796" s="35"/>
      <c r="L796" s="35"/>
      <c r="M796" s="35"/>
      <c r="N796" s="39"/>
      <c r="O796" s="39"/>
      <c r="P796" s="39"/>
      <c r="Q796" s="39"/>
      <c r="R796" s="39"/>
      <c r="S796" s="39"/>
      <c r="T796" s="39"/>
      <c r="U796" s="39"/>
      <c r="V796" s="39"/>
      <c r="W796" s="39"/>
      <c r="X796" s="39"/>
      <c r="Y796" s="39"/>
      <c r="Z796" s="39"/>
      <c r="AA796" s="39"/>
      <c r="AB796" s="39"/>
      <c r="AC796" s="39"/>
      <c r="AD796" s="39"/>
      <c r="AE796" s="39"/>
      <c r="AF796" s="39"/>
      <c r="AG796" s="39"/>
      <c r="AH796" s="39"/>
      <c r="AI796" s="35"/>
      <c r="AJ796" s="39"/>
      <c r="AK796" s="39"/>
      <c r="AL796" s="39"/>
      <c r="AM796" s="35"/>
      <c r="AN796" s="35"/>
      <c r="AO796" s="39"/>
      <c r="AP796" s="39"/>
      <c r="AQ796" s="35"/>
      <c r="AR796" s="35"/>
      <c r="AS796" s="35"/>
      <c r="AT796" s="30">
        <f t="shared" ca="1" si="86"/>
        <v>0</v>
      </c>
      <c r="AU796" s="32" t="str">
        <f t="shared" ca="1" si="85"/>
        <v/>
      </c>
      <c r="AV796" s="32" t="str" cm="1">
        <f t="array" aca="1" ref="AV796" ca="1">IFERROR(_xlfn.IFS($AU796="","",$AU796&lt;=15,"0-15",AND($AU796&gt;=16,$AU796&lt;=30),"16-30",AND($AU796&gt;=31,$AU796&lt;=45),"31-45",AND($AU796&gt;=46,$AU796&lt;=60),"46-60",AND($AU796&gt;=61,$AU796&lt;=90),"61-90",AND($AU796&gt;=91),"&gt; 90",AND($AU796&gt;=2000),""),"")</f>
        <v/>
      </c>
      <c r="AW796" s="32" t="str" cm="1">
        <f t="array" aca="1" ref="AW796" ca="1">IFERROR(_xlfn.IFS(OR($M796="",$AM796=""),"",OR($C796="Offered",$C796="Joined"),($AM796-$M796)-$AT796),"")</f>
        <v/>
      </c>
      <c r="AX796" s="32" t="str" cm="1">
        <f t="array" aca="1" ref="AX796" ca="1">IFERROR(_xlfn.IFS(OR($M796="",$AS796=""),"",$C796="Joined",($AS796-$M796)-$AT796),"")</f>
        <v/>
      </c>
      <c r="AY796" s="30" t="str">
        <f>IFERROR(IF(COUNTIFS('Candidate Tracker'!$E:$E,'Positions Tracker'!$B796,'Candidate Tracker'!$C:$C,"Offer Drop")=0,"",COUNTIFS('Candidate Tracker'!$E:$E,'Positions Tracker'!$B796,'Candidate Tracker'!$C:$C,"Offer Drop")),"")</f>
        <v/>
      </c>
      <c r="AZ79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6" s="34" t="str">
        <f>IFERROR(IF(COUNTIFS('Candidate Tracker'!$E:$E,'Positions Tracker'!$B796,'Candidate Tracker'!$I:$I,"Female")=0,"",COUNTIFS('Candidate Tracker'!$E:$E,'Positions Tracker'!$B796,'Candidate Tracker'!$I:$I,"Female")),"")</f>
        <v/>
      </c>
      <c r="BB796" s="34" t="str">
        <f>IFERROR(IF(COUNTIFS('Candidate Tracker'!$E:$E,'Positions Tracker'!$B796,'Candidate Tracker'!$I:$I,"male")=0,"",COUNTIFS('Candidate Tracker'!$E:$E,'Positions Tracker'!$B796,'Candidate Tracker'!$I:$I,"male")),"")</f>
        <v/>
      </c>
      <c r="BC796" s="33" t="str">
        <f>IFERROR(IF(COUNTIFS('Candidate Tracker'!$E:$E,'Positions Tracker'!$B796,'Candidate Tracker'!$C:$C,"&lt;&gt;WIP",'Candidate Tracker'!$C:$C,"&lt;&gt;Hold",'Candidate Tracker'!$C:$C,"&lt;&gt;Cancelled",'Candidate Tracker'!$C:$C,"&lt;&gt;Closed")/COUNTIFS('Candidate Tracker'!$E:$E,'Positions Tracker'!$B796)=0,"",COUNTIFS('Candidate Tracker'!$E:$E,'Positions Tracker'!$B796,'Candidate Tracker'!$C:$C,"&lt;&gt;WIP",'Candidate Tracker'!$C:$C,"&lt;&gt;Hold",'Candidate Tracker'!$C:$C,"&lt;&gt;Cancelled",'Candidate Tracker'!$C:$C,"&lt;&gt;Closed")/COUNTIFS('Candidate Tracker'!$E:$E,'Positions Tracker'!$B796)),"")</f>
        <v/>
      </c>
      <c r="BD796" s="30" t="str">
        <f t="shared" si="87"/>
        <v/>
      </c>
      <c r="BE796" s="30" t="str">
        <f t="shared" si="88"/>
        <v/>
      </c>
      <c r="BF796" s="30" t="str">
        <f t="shared" si="89"/>
        <v/>
      </c>
      <c r="BG796" s="30" t="str">
        <f t="shared" si="90"/>
        <v/>
      </c>
    </row>
    <row r="797" spans="1:59">
      <c r="A797" s="39"/>
      <c r="B797" s="39"/>
      <c r="C797" s="39"/>
      <c r="D797" s="39"/>
      <c r="E797" s="39"/>
      <c r="F797" s="39"/>
      <c r="G797" s="39"/>
      <c r="H797" s="39"/>
      <c r="I797" s="40"/>
      <c r="J797" s="40"/>
      <c r="K797" s="35"/>
      <c r="L797" s="35"/>
      <c r="M797" s="35"/>
      <c r="N797" s="39"/>
      <c r="O797" s="39"/>
      <c r="P797" s="39"/>
      <c r="Q797" s="39"/>
      <c r="R797" s="39"/>
      <c r="S797" s="39"/>
      <c r="T797" s="39"/>
      <c r="U797" s="39"/>
      <c r="V797" s="39"/>
      <c r="W797" s="39"/>
      <c r="X797" s="39"/>
      <c r="Y797" s="39"/>
      <c r="Z797" s="39"/>
      <c r="AA797" s="39"/>
      <c r="AB797" s="39"/>
      <c r="AC797" s="39"/>
      <c r="AD797" s="39"/>
      <c r="AE797" s="39"/>
      <c r="AF797" s="39"/>
      <c r="AG797" s="39"/>
      <c r="AH797" s="39"/>
      <c r="AI797" s="35"/>
      <c r="AJ797" s="39"/>
      <c r="AK797" s="39"/>
      <c r="AL797" s="39"/>
      <c r="AM797" s="35"/>
      <c r="AN797" s="35"/>
      <c r="AO797" s="39"/>
      <c r="AP797" s="39"/>
      <c r="AQ797" s="35"/>
      <c r="AR797" s="35"/>
      <c r="AS797" s="35"/>
      <c r="AT797" s="30">
        <f t="shared" ca="1" si="86"/>
        <v>0</v>
      </c>
      <c r="AU797" s="32" t="str">
        <f t="shared" ca="1" si="85"/>
        <v/>
      </c>
      <c r="AV797" s="32" t="str" cm="1">
        <f t="array" aca="1" ref="AV797" ca="1">IFERROR(_xlfn.IFS($AU797="","",$AU797&lt;=15,"0-15",AND($AU797&gt;=16,$AU797&lt;=30),"16-30",AND($AU797&gt;=31,$AU797&lt;=45),"31-45",AND($AU797&gt;=46,$AU797&lt;=60),"46-60",AND($AU797&gt;=61,$AU797&lt;=90),"61-90",AND($AU797&gt;=91),"&gt; 90",AND($AU797&gt;=2000),""),"")</f>
        <v/>
      </c>
      <c r="AW797" s="32" t="str" cm="1">
        <f t="array" aca="1" ref="AW797" ca="1">IFERROR(_xlfn.IFS(OR($M797="",$AM797=""),"",OR($C797="Offered",$C797="Joined"),($AM797-$M797)-$AT797),"")</f>
        <v/>
      </c>
      <c r="AX797" s="32" t="str" cm="1">
        <f t="array" aca="1" ref="AX797" ca="1">IFERROR(_xlfn.IFS(OR($M797="",$AS797=""),"",$C797="Joined",($AS797-$M797)-$AT797),"")</f>
        <v/>
      </c>
      <c r="AY797" s="30" t="str">
        <f>IFERROR(IF(COUNTIFS('Candidate Tracker'!$E:$E,'Positions Tracker'!$B797,'Candidate Tracker'!$C:$C,"Offer Drop")=0,"",COUNTIFS('Candidate Tracker'!$E:$E,'Positions Tracker'!$B797,'Candidate Tracker'!$C:$C,"Offer Drop")),"")</f>
        <v/>
      </c>
      <c r="AZ79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7" s="34" t="str">
        <f>IFERROR(IF(COUNTIFS('Candidate Tracker'!$E:$E,'Positions Tracker'!$B797,'Candidate Tracker'!$I:$I,"Female")=0,"",COUNTIFS('Candidate Tracker'!$E:$E,'Positions Tracker'!$B797,'Candidate Tracker'!$I:$I,"Female")),"")</f>
        <v/>
      </c>
      <c r="BB797" s="34" t="str">
        <f>IFERROR(IF(COUNTIFS('Candidate Tracker'!$E:$E,'Positions Tracker'!$B797,'Candidate Tracker'!$I:$I,"male")=0,"",COUNTIFS('Candidate Tracker'!$E:$E,'Positions Tracker'!$B797,'Candidate Tracker'!$I:$I,"male")),"")</f>
        <v/>
      </c>
      <c r="BC797" s="33" t="str">
        <f>IFERROR(IF(COUNTIFS('Candidate Tracker'!$E:$E,'Positions Tracker'!$B797,'Candidate Tracker'!$C:$C,"&lt;&gt;WIP",'Candidate Tracker'!$C:$C,"&lt;&gt;Hold",'Candidate Tracker'!$C:$C,"&lt;&gt;Cancelled",'Candidate Tracker'!$C:$C,"&lt;&gt;Closed")/COUNTIFS('Candidate Tracker'!$E:$E,'Positions Tracker'!$B797)=0,"",COUNTIFS('Candidate Tracker'!$E:$E,'Positions Tracker'!$B797,'Candidate Tracker'!$C:$C,"&lt;&gt;WIP",'Candidate Tracker'!$C:$C,"&lt;&gt;Hold",'Candidate Tracker'!$C:$C,"&lt;&gt;Cancelled",'Candidate Tracker'!$C:$C,"&lt;&gt;Closed")/COUNTIFS('Candidate Tracker'!$E:$E,'Positions Tracker'!$B797)),"")</f>
        <v/>
      </c>
      <c r="BD797" s="30" t="str">
        <f t="shared" si="87"/>
        <v/>
      </c>
      <c r="BE797" s="30" t="str">
        <f t="shared" si="88"/>
        <v/>
      </c>
      <c r="BF797" s="30" t="str">
        <f t="shared" si="89"/>
        <v/>
      </c>
      <c r="BG797" s="30" t="str">
        <f t="shared" si="90"/>
        <v/>
      </c>
    </row>
    <row r="798" spans="1:59">
      <c r="A798" s="39"/>
      <c r="B798" s="39"/>
      <c r="C798" s="39"/>
      <c r="D798" s="39"/>
      <c r="E798" s="39"/>
      <c r="F798" s="39"/>
      <c r="G798" s="39"/>
      <c r="H798" s="39"/>
      <c r="I798" s="40"/>
      <c r="J798" s="40"/>
      <c r="K798" s="35"/>
      <c r="L798" s="35"/>
      <c r="M798" s="35"/>
      <c r="N798" s="39"/>
      <c r="O798" s="39"/>
      <c r="P798" s="39"/>
      <c r="Q798" s="39"/>
      <c r="R798" s="39"/>
      <c r="S798" s="39"/>
      <c r="T798" s="39"/>
      <c r="U798" s="39"/>
      <c r="V798" s="39"/>
      <c r="W798" s="39"/>
      <c r="X798" s="39"/>
      <c r="Y798" s="39"/>
      <c r="Z798" s="39"/>
      <c r="AA798" s="39"/>
      <c r="AB798" s="39"/>
      <c r="AC798" s="39"/>
      <c r="AD798" s="39"/>
      <c r="AE798" s="39"/>
      <c r="AF798" s="39"/>
      <c r="AG798" s="39"/>
      <c r="AH798" s="39"/>
      <c r="AI798" s="35"/>
      <c r="AJ798" s="39"/>
      <c r="AK798" s="39"/>
      <c r="AL798" s="39"/>
      <c r="AM798" s="35"/>
      <c r="AN798" s="35"/>
      <c r="AO798" s="39"/>
      <c r="AP798" s="39"/>
      <c r="AQ798" s="35"/>
      <c r="AR798" s="35"/>
      <c r="AS798" s="35"/>
      <c r="AT798" s="30">
        <f t="shared" ca="1" si="86"/>
        <v>0</v>
      </c>
      <c r="AU798" s="32" t="str">
        <f t="shared" ca="1" si="85"/>
        <v/>
      </c>
      <c r="AV798" s="32" t="str" cm="1">
        <f t="array" aca="1" ref="AV798" ca="1">IFERROR(_xlfn.IFS($AU798="","",$AU798&lt;=15,"0-15",AND($AU798&gt;=16,$AU798&lt;=30),"16-30",AND($AU798&gt;=31,$AU798&lt;=45),"31-45",AND($AU798&gt;=46,$AU798&lt;=60),"46-60",AND($AU798&gt;=61,$AU798&lt;=90),"61-90",AND($AU798&gt;=91),"&gt; 90",AND($AU798&gt;=2000),""),"")</f>
        <v/>
      </c>
      <c r="AW798" s="32" t="str" cm="1">
        <f t="array" aca="1" ref="AW798" ca="1">IFERROR(_xlfn.IFS(OR($M798="",$AM798=""),"",OR($C798="Offered",$C798="Joined"),($AM798-$M798)-$AT798),"")</f>
        <v/>
      </c>
      <c r="AX798" s="32" t="str" cm="1">
        <f t="array" aca="1" ref="AX798" ca="1">IFERROR(_xlfn.IFS(OR($M798="",$AS798=""),"",$C798="Joined",($AS798-$M798)-$AT798),"")</f>
        <v/>
      </c>
      <c r="AY798" s="30" t="str">
        <f>IFERROR(IF(COUNTIFS('Candidate Tracker'!$E:$E,'Positions Tracker'!$B798,'Candidate Tracker'!$C:$C,"Offer Drop")=0,"",COUNTIFS('Candidate Tracker'!$E:$E,'Positions Tracker'!$B798,'Candidate Tracker'!$C:$C,"Offer Drop")),"")</f>
        <v/>
      </c>
      <c r="AZ79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8" s="34" t="str">
        <f>IFERROR(IF(COUNTIFS('Candidate Tracker'!$E:$E,'Positions Tracker'!$B798,'Candidate Tracker'!$I:$I,"Female")=0,"",COUNTIFS('Candidate Tracker'!$E:$E,'Positions Tracker'!$B798,'Candidate Tracker'!$I:$I,"Female")),"")</f>
        <v/>
      </c>
      <c r="BB798" s="34" t="str">
        <f>IFERROR(IF(COUNTIFS('Candidate Tracker'!$E:$E,'Positions Tracker'!$B798,'Candidate Tracker'!$I:$I,"male")=0,"",COUNTIFS('Candidate Tracker'!$E:$E,'Positions Tracker'!$B798,'Candidate Tracker'!$I:$I,"male")),"")</f>
        <v/>
      </c>
      <c r="BC798" s="33" t="str">
        <f>IFERROR(IF(COUNTIFS('Candidate Tracker'!$E:$E,'Positions Tracker'!$B798,'Candidate Tracker'!$C:$C,"&lt;&gt;WIP",'Candidate Tracker'!$C:$C,"&lt;&gt;Hold",'Candidate Tracker'!$C:$C,"&lt;&gt;Cancelled",'Candidate Tracker'!$C:$C,"&lt;&gt;Closed")/COUNTIFS('Candidate Tracker'!$E:$E,'Positions Tracker'!$B798)=0,"",COUNTIFS('Candidate Tracker'!$E:$E,'Positions Tracker'!$B798,'Candidate Tracker'!$C:$C,"&lt;&gt;WIP",'Candidate Tracker'!$C:$C,"&lt;&gt;Hold",'Candidate Tracker'!$C:$C,"&lt;&gt;Cancelled",'Candidate Tracker'!$C:$C,"&lt;&gt;Closed")/COUNTIFS('Candidate Tracker'!$E:$E,'Positions Tracker'!$B798)),"")</f>
        <v/>
      </c>
      <c r="BD798" s="30" t="str">
        <f t="shared" si="87"/>
        <v/>
      </c>
      <c r="BE798" s="30" t="str">
        <f t="shared" si="88"/>
        <v/>
      </c>
      <c r="BF798" s="30" t="str">
        <f t="shared" si="89"/>
        <v/>
      </c>
      <c r="BG798" s="30" t="str">
        <f t="shared" si="90"/>
        <v/>
      </c>
    </row>
    <row r="799" spans="1:59">
      <c r="A799" s="39"/>
      <c r="B799" s="39"/>
      <c r="C799" s="39"/>
      <c r="D799" s="39"/>
      <c r="E799" s="39"/>
      <c r="F799" s="39"/>
      <c r="G799" s="39"/>
      <c r="H799" s="39"/>
      <c r="I799" s="40"/>
      <c r="J799" s="40"/>
      <c r="K799" s="35"/>
      <c r="L799" s="35"/>
      <c r="M799" s="35"/>
      <c r="N799" s="39"/>
      <c r="O799" s="39"/>
      <c r="P799" s="39"/>
      <c r="Q799" s="39"/>
      <c r="R799" s="39"/>
      <c r="S799" s="39"/>
      <c r="T799" s="39"/>
      <c r="U799" s="39"/>
      <c r="V799" s="39"/>
      <c r="W799" s="39"/>
      <c r="X799" s="39"/>
      <c r="Y799" s="39"/>
      <c r="Z799" s="39"/>
      <c r="AA799" s="39"/>
      <c r="AB799" s="39"/>
      <c r="AC799" s="39"/>
      <c r="AD799" s="39"/>
      <c r="AE799" s="39"/>
      <c r="AF799" s="39"/>
      <c r="AG799" s="39"/>
      <c r="AH799" s="39"/>
      <c r="AI799" s="35"/>
      <c r="AJ799" s="39"/>
      <c r="AK799" s="39"/>
      <c r="AL799" s="39"/>
      <c r="AM799" s="35"/>
      <c r="AN799" s="35"/>
      <c r="AO799" s="39"/>
      <c r="AP799" s="39"/>
      <c r="AQ799" s="35"/>
      <c r="AR799" s="35"/>
      <c r="AS799" s="35"/>
      <c r="AT799" s="30">
        <f t="shared" ca="1" si="86"/>
        <v>0</v>
      </c>
      <c r="AU799" s="32" t="str">
        <f t="shared" ca="1" si="85"/>
        <v/>
      </c>
      <c r="AV799" s="32" t="str" cm="1">
        <f t="array" aca="1" ref="AV799" ca="1">IFERROR(_xlfn.IFS($AU799="","",$AU799&lt;=15,"0-15",AND($AU799&gt;=16,$AU799&lt;=30),"16-30",AND($AU799&gt;=31,$AU799&lt;=45),"31-45",AND($AU799&gt;=46,$AU799&lt;=60),"46-60",AND($AU799&gt;=61,$AU799&lt;=90),"61-90",AND($AU799&gt;=91),"&gt; 90",AND($AU799&gt;=2000),""),"")</f>
        <v/>
      </c>
      <c r="AW799" s="32" t="str" cm="1">
        <f t="array" aca="1" ref="AW799" ca="1">IFERROR(_xlfn.IFS(OR($M799="",$AM799=""),"",OR($C799="Offered",$C799="Joined"),($AM799-$M799)-$AT799),"")</f>
        <v/>
      </c>
      <c r="AX799" s="32" t="str" cm="1">
        <f t="array" aca="1" ref="AX799" ca="1">IFERROR(_xlfn.IFS(OR($M799="",$AS799=""),"",$C799="Joined",($AS799-$M799)-$AT799),"")</f>
        <v/>
      </c>
      <c r="AY799" s="30" t="str">
        <f>IFERROR(IF(COUNTIFS('Candidate Tracker'!$E:$E,'Positions Tracker'!$B799,'Candidate Tracker'!$C:$C,"Offer Drop")=0,"",COUNTIFS('Candidate Tracker'!$E:$E,'Positions Tracker'!$B799,'Candidate Tracker'!$C:$C,"Offer Drop")),"")</f>
        <v/>
      </c>
      <c r="AZ79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799" s="34" t="str">
        <f>IFERROR(IF(COUNTIFS('Candidate Tracker'!$E:$E,'Positions Tracker'!$B799,'Candidate Tracker'!$I:$I,"Female")=0,"",COUNTIFS('Candidate Tracker'!$E:$E,'Positions Tracker'!$B799,'Candidate Tracker'!$I:$I,"Female")),"")</f>
        <v/>
      </c>
      <c r="BB799" s="34" t="str">
        <f>IFERROR(IF(COUNTIFS('Candidate Tracker'!$E:$E,'Positions Tracker'!$B799,'Candidate Tracker'!$I:$I,"male")=0,"",COUNTIFS('Candidate Tracker'!$E:$E,'Positions Tracker'!$B799,'Candidate Tracker'!$I:$I,"male")),"")</f>
        <v/>
      </c>
      <c r="BC799" s="33" t="str">
        <f>IFERROR(IF(COUNTIFS('Candidate Tracker'!$E:$E,'Positions Tracker'!$B799,'Candidate Tracker'!$C:$C,"&lt;&gt;WIP",'Candidate Tracker'!$C:$C,"&lt;&gt;Hold",'Candidate Tracker'!$C:$C,"&lt;&gt;Cancelled",'Candidate Tracker'!$C:$C,"&lt;&gt;Closed")/COUNTIFS('Candidate Tracker'!$E:$E,'Positions Tracker'!$B799)=0,"",COUNTIFS('Candidate Tracker'!$E:$E,'Positions Tracker'!$B799,'Candidate Tracker'!$C:$C,"&lt;&gt;WIP",'Candidate Tracker'!$C:$C,"&lt;&gt;Hold",'Candidate Tracker'!$C:$C,"&lt;&gt;Cancelled",'Candidate Tracker'!$C:$C,"&lt;&gt;Closed")/COUNTIFS('Candidate Tracker'!$E:$E,'Positions Tracker'!$B799)),"")</f>
        <v/>
      </c>
      <c r="BD799" s="30" t="str">
        <f t="shared" si="87"/>
        <v/>
      </c>
      <c r="BE799" s="30" t="str">
        <f t="shared" si="88"/>
        <v/>
      </c>
      <c r="BF799" s="30" t="str">
        <f t="shared" si="89"/>
        <v/>
      </c>
      <c r="BG799" s="30" t="str">
        <f t="shared" si="90"/>
        <v/>
      </c>
    </row>
    <row r="800" spans="1:59">
      <c r="A800" s="39"/>
      <c r="B800" s="39"/>
      <c r="C800" s="39"/>
      <c r="D800" s="39"/>
      <c r="E800" s="39"/>
      <c r="F800" s="39"/>
      <c r="G800" s="39"/>
      <c r="H800" s="39"/>
      <c r="I800" s="40"/>
      <c r="J800" s="40"/>
      <c r="K800" s="35"/>
      <c r="L800" s="35"/>
      <c r="M800" s="35"/>
      <c r="N800" s="39"/>
      <c r="O800" s="39"/>
      <c r="P800" s="39"/>
      <c r="Q800" s="39"/>
      <c r="R800" s="39"/>
      <c r="S800" s="39"/>
      <c r="T800" s="39"/>
      <c r="U800" s="39"/>
      <c r="V800" s="39"/>
      <c r="W800" s="39"/>
      <c r="X800" s="39"/>
      <c r="Y800" s="39"/>
      <c r="Z800" s="39"/>
      <c r="AA800" s="39"/>
      <c r="AB800" s="39"/>
      <c r="AC800" s="39"/>
      <c r="AD800" s="39"/>
      <c r="AE800" s="39"/>
      <c r="AF800" s="39"/>
      <c r="AG800" s="39"/>
      <c r="AH800" s="39"/>
      <c r="AI800" s="35"/>
      <c r="AJ800" s="39"/>
      <c r="AK800" s="39"/>
      <c r="AL800" s="39"/>
      <c r="AM800" s="35"/>
      <c r="AN800" s="35"/>
      <c r="AO800" s="39"/>
      <c r="AP800" s="39"/>
      <c r="AQ800" s="35"/>
      <c r="AR800" s="35"/>
      <c r="AS800" s="35"/>
      <c r="AT800" s="30">
        <f t="shared" ca="1" si="86"/>
        <v>0</v>
      </c>
      <c r="AU800" s="32" t="str">
        <f t="shared" ca="1" si="85"/>
        <v/>
      </c>
      <c r="AV800" s="32" t="str" cm="1">
        <f t="array" aca="1" ref="AV800" ca="1">IFERROR(_xlfn.IFS($AU800="","",$AU800&lt;=15,"0-15",AND($AU800&gt;=16,$AU800&lt;=30),"16-30",AND($AU800&gt;=31,$AU800&lt;=45),"31-45",AND($AU800&gt;=46,$AU800&lt;=60),"46-60",AND($AU800&gt;=61,$AU800&lt;=90),"61-90",AND($AU800&gt;=91),"&gt; 90",AND($AU800&gt;=2000),""),"")</f>
        <v/>
      </c>
      <c r="AW800" s="32" t="str" cm="1">
        <f t="array" aca="1" ref="AW800" ca="1">IFERROR(_xlfn.IFS(OR($M800="",$AM800=""),"",OR($C800="Offered",$C800="Joined"),($AM800-$M800)-$AT800),"")</f>
        <v/>
      </c>
      <c r="AX800" s="32" t="str" cm="1">
        <f t="array" aca="1" ref="AX800" ca="1">IFERROR(_xlfn.IFS(OR($M800="",$AS800=""),"",$C800="Joined",($AS800-$M800)-$AT800),"")</f>
        <v/>
      </c>
      <c r="AY800" s="30" t="str">
        <f>IFERROR(IF(COUNTIFS('Candidate Tracker'!$E:$E,'Positions Tracker'!$B800,'Candidate Tracker'!$C:$C,"Offer Drop")=0,"",COUNTIFS('Candidate Tracker'!$E:$E,'Positions Tracker'!$B800,'Candidate Tracker'!$C:$C,"Offer Drop")),"")</f>
        <v/>
      </c>
      <c r="AZ80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0" s="34" t="str">
        <f>IFERROR(IF(COUNTIFS('Candidate Tracker'!$E:$E,'Positions Tracker'!$B800,'Candidate Tracker'!$I:$I,"Female")=0,"",COUNTIFS('Candidate Tracker'!$E:$E,'Positions Tracker'!$B800,'Candidate Tracker'!$I:$I,"Female")),"")</f>
        <v/>
      </c>
      <c r="BB800" s="34" t="str">
        <f>IFERROR(IF(COUNTIFS('Candidate Tracker'!$E:$E,'Positions Tracker'!$B800,'Candidate Tracker'!$I:$I,"male")=0,"",COUNTIFS('Candidate Tracker'!$E:$E,'Positions Tracker'!$B800,'Candidate Tracker'!$I:$I,"male")),"")</f>
        <v/>
      </c>
      <c r="BC800" s="33" t="str">
        <f>IFERROR(IF(COUNTIFS('Candidate Tracker'!$E:$E,'Positions Tracker'!$B800,'Candidate Tracker'!$C:$C,"&lt;&gt;WIP",'Candidate Tracker'!$C:$C,"&lt;&gt;Hold",'Candidate Tracker'!$C:$C,"&lt;&gt;Cancelled",'Candidate Tracker'!$C:$C,"&lt;&gt;Closed")/COUNTIFS('Candidate Tracker'!$E:$E,'Positions Tracker'!$B800)=0,"",COUNTIFS('Candidate Tracker'!$E:$E,'Positions Tracker'!$B800,'Candidate Tracker'!$C:$C,"&lt;&gt;WIP",'Candidate Tracker'!$C:$C,"&lt;&gt;Hold",'Candidate Tracker'!$C:$C,"&lt;&gt;Cancelled",'Candidate Tracker'!$C:$C,"&lt;&gt;Closed")/COUNTIFS('Candidate Tracker'!$E:$E,'Positions Tracker'!$B800)),"")</f>
        <v/>
      </c>
      <c r="BD800" s="30" t="str">
        <f t="shared" si="87"/>
        <v/>
      </c>
      <c r="BE800" s="30" t="str">
        <f t="shared" si="88"/>
        <v/>
      </c>
      <c r="BF800" s="30" t="str">
        <f t="shared" si="89"/>
        <v/>
      </c>
      <c r="BG800" s="30" t="str">
        <f t="shared" si="90"/>
        <v/>
      </c>
    </row>
    <row r="801" spans="1:59">
      <c r="A801" s="39"/>
      <c r="B801" s="39"/>
      <c r="C801" s="39"/>
      <c r="D801" s="39"/>
      <c r="E801" s="39"/>
      <c r="F801" s="39"/>
      <c r="G801" s="39"/>
      <c r="H801" s="39"/>
      <c r="I801" s="40"/>
      <c r="J801" s="40"/>
      <c r="K801" s="35"/>
      <c r="L801" s="35"/>
      <c r="M801" s="35"/>
      <c r="N801" s="39"/>
      <c r="O801" s="39"/>
      <c r="P801" s="39"/>
      <c r="Q801" s="39"/>
      <c r="R801" s="39"/>
      <c r="S801" s="39"/>
      <c r="T801" s="39"/>
      <c r="U801" s="39"/>
      <c r="V801" s="39"/>
      <c r="W801" s="39"/>
      <c r="X801" s="39"/>
      <c r="Y801" s="39"/>
      <c r="Z801" s="39"/>
      <c r="AA801" s="39"/>
      <c r="AB801" s="39"/>
      <c r="AC801" s="39"/>
      <c r="AD801" s="39"/>
      <c r="AE801" s="39"/>
      <c r="AF801" s="39"/>
      <c r="AG801" s="39"/>
      <c r="AH801" s="39"/>
      <c r="AI801" s="35"/>
      <c r="AJ801" s="39"/>
      <c r="AK801" s="39"/>
      <c r="AL801" s="39"/>
      <c r="AM801" s="35"/>
      <c r="AN801" s="35"/>
      <c r="AO801" s="39"/>
      <c r="AP801" s="39"/>
      <c r="AQ801" s="35"/>
      <c r="AR801" s="35"/>
      <c r="AS801" s="35"/>
      <c r="AT801" s="30">
        <f t="shared" ca="1" si="86"/>
        <v>0</v>
      </c>
      <c r="AU801" s="32" t="str">
        <f t="shared" ca="1" si="85"/>
        <v/>
      </c>
      <c r="AV801" s="32" t="str" cm="1">
        <f t="array" aca="1" ref="AV801" ca="1">IFERROR(_xlfn.IFS($AU801="","",$AU801&lt;=15,"0-15",AND($AU801&gt;=16,$AU801&lt;=30),"16-30",AND($AU801&gt;=31,$AU801&lt;=45),"31-45",AND($AU801&gt;=46,$AU801&lt;=60),"46-60",AND($AU801&gt;=61,$AU801&lt;=90),"61-90",AND($AU801&gt;=91),"&gt; 90",AND($AU801&gt;=2000),""),"")</f>
        <v/>
      </c>
      <c r="AW801" s="32" t="str" cm="1">
        <f t="array" aca="1" ref="AW801" ca="1">IFERROR(_xlfn.IFS(OR($M801="",$AM801=""),"",OR($C801="Offered",$C801="Joined"),($AM801-$M801)-$AT801),"")</f>
        <v/>
      </c>
      <c r="AX801" s="32" t="str" cm="1">
        <f t="array" aca="1" ref="AX801" ca="1">IFERROR(_xlfn.IFS(OR($M801="",$AS801=""),"",$C801="Joined",($AS801-$M801)-$AT801),"")</f>
        <v/>
      </c>
      <c r="AY801" s="30" t="str">
        <f>IFERROR(IF(COUNTIFS('Candidate Tracker'!$E:$E,'Positions Tracker'!$B801,'Candidate Tracker'!$C:$C,"Offer Drop")=0,"",COUNTIFS('Candidate Tracker'!$E:$E,'Positions Tracker'!$B801,'Candidate Tracker'!$C:$C,"Offer Drop")),"")</f>
        <v/>
      </c>
      <c r="AZ80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1" s="34" t="str">
        <f>IFERROR(IF(COUNTIFS('Candidate Tracker'!$E:$E,'Positions Tracker'!$B801,'Candidate Tracker'!$I:$I,"Female")=0,"",COUNTIFS('Candidate Tracker'!$E:$E,'Positions Tracker'!$B801,'Candidate Tracker'!$I:$I,"Female")),"")</f>
        <v/>
      </c>
      <c r="BB801" s="34" t="str">
        <f>IFERROR(IF(COUNTIFS('Candidate Tracker'!$E:$E,'Positions Tracker'!$B801,'Candidate Tracker'!$I:$I,"male")=0,"",COUNTIFS('Candidate Tracker'!$E:$E,'Positions Tracker'!$B801,'Candidate Tracker'!$I:$I,"male")),"")</f>
        <v/>
      </c>
      <c r="BC801" s="33" t="str">
        <f>IFERROR(IF(COUNTIFS('Candidate Tracker'!$E:$E,'Positions Tracker'!$B801,'Candidate Tracker'!$C:$C,"&lt;&gt;WIP",'Candidate Tracker'!$C:$C,"&lt;&gt;Hold",'Candidate Tracker'!$C:$C,"&lt;&gt;Cancelled",'Candidate Tracker'!$C:$C,"&lt;&gt;Closed")/COUNTIFS('Candidate Tracker'!$E:$E,'Positions Tracker'!$B801)=0,"",COUNTIFS('Candidate Tracker'!$E:$E,'Positions Tracker'!$B801,'Candidate Tracker'!$C:$C,"&lt;&gt;WIP",'Candidate Tracker'!$C:$C,"&lt;&gt;Hold",'Candidate Tracker'!$C:$C,"&lt;&gt;Cancelled",'Candidate Tracker'!$C:$C,"&lt;&gt;Closed")/COUNTIFS('Candidate Tracker'!$E:$E,'Positions Tracker'!$B801)),"")</f>
        <v/>
      </c>
      <c r="BD801" s="30" t="str">
        <f t="shared" si="87"/>
        <v/>
      </c>
      <c r="BE801" s="30" t="str">
        <f t="shared" si="88"/>
        <v/>
      </c>
      <c r="BF801" s="30" t="str">
        <f t="shared" si="89"/>
        <v/>
      </c>
      <c r="BG801" s="30" t="str">
        <f t="shared" si="90"/>
        <v/>
      </c>
    </row>
    <row r="802" spans="1:59">
      <c r="A802" s="39"/>
      <c r="B802" s="39"/>
      <c r="C802" s="39"/>
      <c r="D802" s="39"/>
      <c r="E802" s="39"/>
      <c r="F802" s="39"/>
      <c r="G802" s="39"/>
      <c r="H802" s="39"/>
      <c r="I802" s="40"/>
      <c r="J802" s="40"/>
      <c r="K802" s="35"/>
      <c r="L802" s="35"/>
      <c r="M802" s="35"/>
      <c r="N802" s="39"/>
      <c r="O802" s="39"/>
      <c r="P802" s="39"/>
      <c r="Q802" s="39"/>
      <c r="R802" s="39"/>
      <c r="S802" s="39"/>
      <c r="T802" s="39"/>
      <c r="U802" s="39"/>
      <c r="V802" s="39"/>
      <c r="W802" s="39"/>
      <c r="X802" s="39"/>
      <c r="Y802" s="39"/>
      <c r="Z802" s="39"/>
      <c r="AA802" s="39"/>
      <c r="AB802" s="39"/>
      <c r="AC802" s="39"/>
      <c r="AD802" s="39"/>
      <c r="AE802" s="39"/>
      <c r="AF802" s="39"/>
      <c r="AG802" s="39"/>
      <c r="AH802" s="39"/>
      <c r="AI802" s="35"/>
      <c r="AJ802" s="39"/>
      <c r="AK802" s="39"/>
      <c r="AL802" s="39"/>
      <c r="AM802" s="35"/>
      <c r="AN802" s="35"/>
      <c r="AO802" s="39"/>
      <c r="AP802" s="39"/>
      <c r="AQ802" s="35"/>
      <c r="AR802" s="35"/>
      <c r="AS802" s="35"/>
      <c r="AT802" s="30">
        <f t="shared" ca="1" si="86"/>
        <v>0</v>
      </c>
      <c r="AU802" s="32" t="str">
        <f t="shared" ca="1" si="85"/>
        <v/>
      </c>
      <c r="AV802" s="32" t="str" cm="1">
        <f t="array" aca="1" ref="AV802" ca="1">IFERROR(_xlfn.IFS($AU802="","",$AU802&lt;=15,"0-15",AND($AU802&gt;=16,$AU802&lt;=30),"16-30",AND($AU802&gt;=31,$AU802&lt;=45),"31-45",AND($AU802&gt;=46,$AU802&lt;=60),"46-60",AND($AU802&gt;=61,$AU802&lt;=90),"61-90",AND($AU802&gt;=91),"&gt; 90",AND($AU802&gt;=2000),""),"")</f>
        <v/>
      </c>
      <c r="AW802" s="32" t="str" cm="1">
        <f t="array" aca="1" ref="AW802" ca="1">IFERROR(_xlfn.IFS(OR($M802="",$AM802=""),"",OR($C802="Offered",$C802="Joined"),($AM802-$M802)-$AT802),"")</f>
        <v/>
      </c>
      <c r="AX802" s="32" t="str" cm="1">
        <f t="array" aca="1" ref="AX802" ca="1">IFERROR(_xlfn.IFS(OR($M802="",$AS802=""),"",$C802="Joined",($AS802-$M802)-$AT802),"")</f>
        <v/>
      </c>
      <c r="AY802" s="30" t="str">
        <f>IFERROR(IF(COUNTIFS('Candidate Tracker'!$E:$E,'Positions Tracker'!$B802,'Candidate Tracker'!$C:$C,"Offer Drop")=0,"",COUNTIFS('Candidate Tracker'!$E:$E,'Positions Tracker'!$B802,'Candidate Tracker'!$C:$C,"Offer Drop")),"")</f>
        <v/>
      </c>
      <c r="AZ80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2" s="34" t="str">
        <f>IFERROR(IF(COUNTIFS('Candidate Tracker'!$E:$E,'Positions Tracker'!$B802,'Candidate Tracker'!$I:$I,"Female")=0,"",COUNTIFS('Candidate Tracker'!$E:$E,'Positions Tracker'!$B802,'Candidate Tracker'!$I:$I,"Female")),"")</f>
        <v/>
      </c>
      <c r="BB802" s="34" t="str">
        <f>IFERROR(IF(COUNTIFS('Candidate Tracker'!$E:$E,'Positions Tracker'!$B802,'Candidate Tracker'!$I:$I,"male")=0,"",COUNTIFS('Candidate Tracker'!$E:$E,'Positions Tracker'!$B802,'Candidate Tracker'!$I:$I,"male")),"")</f>
        <v/>
      </c>
      <c r="BC802" s="33" t="str">
        <f>IFERROR(IF(COUNTIFS('Candidate Tracker'!$E:$E,'Positions Tracker'!$B802,'Candidate Tracker'!$C:$C,"&lt;&gt;WIP",'Candidate Tracker'!$C:$C,"&lt;&gt;Hold",'Candidate Tracker'!$C:$C,"&lt;&gt;Cancelled",'Candidate Tracker'!$C:$C,"&lt;&gt;Closed")/COUNTIFS('Candidate Tracker'!$E:$E,'Positions Tracker'!$B802)=0,"",COUNTIFS('Candidate Tracker'!$E:$E,'Positions Tracker'!$B802,'Candidate Tracker'!$C:$C,"&lt;&gt;WIP",'Candidate Tracker'!$C:$C,"&lt;&gt;Hold",'Candidate Tracker'!$C:$C,"&lt;&gt;Cancelled",'Candidate Tracker'!$C:$C,"&lt;&gt;Closed")/COUNTIFS('Candidate Tracker'!$E:$E,'Positions Tracker'!$B802)),"")</f>
        <v/>
      </c>
      <c r="BD802" s="30" t="str">
        <f t="shared" si="87"/>
        <v/>
      </c>
      <c r="BE802" s="30" t="str">
        <f t="shared" si="88"/>
        <v/>
      </c>
      <c r="BF802" s="30" t="str">
        <f t="shared" si="89"/>
        <v/>
      </c>
      <c r="BG802" s="30" t="str">
        <f t="shared" si="90"/>
        <v/>
      </c>
    </row>
    <row r="803" spans="1:59">
      <c r="A803" s="39"/>
      <c r="B803" s="39"/>
      <c r="C803" s="39"/>
      <c r="D803" s="39"/>
      <c r="E803" s="39"/>
      <c r="F803" s="39"/>
      <c r="G803" s="39"/>
      <c r="H803" s="39"/>
      <c r="I803" s="40"/>
      <c r="J803" s="40"/>
      <c r="K803" s="35"/>
      <c r="L803" s="35"/>
      <c r="M803" s="35"/>
      <c r="N803" s="39"/>
      <c r="O803" s="39"/>
      <c r="P803" s="39"/>
      <c r="Q803" s="39"/>
      <c r="R803" s="39"/>
      <c r="S803" s="39"/>
      <c r="T803" s="39"/>
      <c r="U803" s="39"/>
      <c r="V803" s="39"/>
      <c r="W803" s="39"/>
      <c r="X803" s="39"/>
      <c r="Y803" s="39"/>
      <c r="Z803" s="39"/>
      <c r="AA803" s="39"/>
      <c r="AB803" s="39"/>
      <c r="AC803" s="39"/>
      <c r="AD803" s="39"/>
      <c r="AE803" s="39"/>
      <c r="AF803" s="39"/>
      <c r="AG803" s="39"/>
      <c r="AH803" s="39"/>
      <c r="AI803" s="35"/>
      <c r="AJ803" s="39"/>
      <c r="AK803" s="39"/>
      <c r="AL803" s="39"/>
      <c r="AM803" s="35"/>
      <c r="AN803" s="35"/>
      <c r="AO803" s="39"/>
      <c r="AP803" s="39"/>
      <c r="AQ803" s="35"/>
      <c r="AR803" s="35"/>
      <c r="AS803" s="35"/>
      <c r="AT803" s="30">
        <f t="shared" ca="1" si="86"/>
        <v>0</v>
      </c>
      <c r="AU803" s="32" t="str">
        <f t="shared" ca="1" si="85"/>
        <v/>
      </c>
      <c r="AV803" s="32" t="str" cm="1">
        <f t="array" aca="1" ref="AV803" ca="1">IFERROR(_xlfn.IFS($AU803="","",$AU803&lt;=15,"0-15",AND($AU803&gt;=16,$AU803&lt;=30),"16-30",AND($AU803&gt;=31,$AU803&lt;=45),"31-45",AND($AU803&gt;=46,$AU803&lt;=60),"46-60",AND($AU803&gt;=61,$AU803&lt;=90),"61-90",AND($AU803&gt;=91),"&gt; 90",AND($AU803&gt;=2000),""),"")</f>
        <v/>
      </c>
      <c r="AW803" s="32" t="str" cm="1">
        <f t="array" aca="1" ref="AW803" ca="1">IFERROR(_xlfn.IFS(OR($M803="",$AM803=""),"",OR($C803="Offered",$C803="Joined"),($AM803-$M803)-$AT803),"")</f>
        <v/>
      </c>
      <c r="AX803" s="32" t="str" cm="1">
        <f t="array" aca="1" ref="AX803" ca="1">IFERROR(_xlfn.IFS(OR($M803="",$AS803=""),"",$C803="Joined",($AS803-$M803)-$AT803),"")</f>
        <v/>
      </c>
      <c r="AY803" s="30" t="str">
        <f>IFERROR(IF(COUNTIFS('Candidate Tracker'!$E:$E,'Positions Tracker'!$B803,'Candidate Tracker'!$C:$C,"Offer Drop")=0,"",COUNTIFS('Candidate Tracker'!$E:$E,'Positions Tracker'!$B803,'Candidate Tracker'!$C:$C,"Offer Drop")),"")</f>
        <v/>
      </c>
      <c r="AZ80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3" s="34" t="str">
        <f>IFERROR(IF(COUNTIFS('Candidate Tracker'!$E:$E,'Positions Tracker'!$B803,'Candidate Tracker'!$I:$I,"Female")=0,"",COUNTIFS('Candidate Tracker'!$E:$E,'Positions Tracker'!$B803,'Candidate Tracker'!$I:$I,"Female")),"")</f>
        <v/>
      </c>
      <c r="BB803" s="34" t="str">
        <f>IFERROR(IF(COUNTIFS('Candidate Tracker'!$E:$E,'Positions Tracker'!$B803,'Candidate Tracker'!$I:$I,"male")=0,"",COUNTIFS('Candidate Tracker'!$E:$E,'Positions Tracker'!$B803,'Candidate Tracker'!$I:$I,"male")),"")</f>
        <v/>
      </c>
      <c r="BC803" s="33" t="str">
        <f>IFERROR(IF(COUNTIFS('Candidate Tracker'!$E:$E,'Positions Tracker'!$B803,'Candidate Tracker'!$C:$C,"&lt;&gt;WIP",'Candidate Tracker'!$C:$C,"&lt;&gt;Hold",'Candidate Tracker'!$C:$C,"&lt;&gt;Cancelled",'Candidate Tracker'!$C:$C,"&lt;&gt;Closed")/COUNTIFS('Candidate Tracker'!$E:$E,'Positions Tracker'!$B803)=0,"",COUNTIFS('Candidate Tracker'!$E:$E,'Positions Tracker'!$B803,'Candidate Tracker'!$C:$C,"&lt;&gt;WIP",'Candidate Tracker'!$C:$C,"&lt;&gt;Hold",'Candidate Tracker'!$C:$C,"&lt;&gt;Cancelled",'Candidate Tracker'!$C:$C,"&lt;&gt;Closed")/COUNTIFS('Candidate Tracker'!$E:$E,'Positions Tracker'!$B803)),"")</f>
        <v/>
      </c>
      <c r="BD803" s="30" t="str">
        <f t="shared" si="87"/>
        <v/>
      </c>
      <c r="BE803" s="30" t="str">
        <f t="shared" si="88"/>
        <v/>
      </c>
      <c r="BF803" s="30" t="str">
        <f t="shared" si="89"/>
        <v/>
      </c>
      <c r="BG803" s="30" t="str">
        <f t="shared" si="90"/>
        <v/>
      </c>
    </row>
    <row r="804" spans="1:59">
      <c r="A804" s="39"/>
      <c r="B804" s="39"/>
      <c r="C804" s="39"/>
      <c r="D804" s="39"/>
      <c r="E804" s="39"/>
      <c r="F804" s="39"/>
      <c r="G804" s="39"/>
      <c r="H804" s="39"/>
      <c r="I804" s="40"/>
      <c r="J804" s="40"/>
      <c r="K804" s="35"/>
      <c r="L804" s="35"/>
      <c r="M804" s="35"/>
      <c r="N804" s="39"/>
      <c r="O804" s="39"/>
      <c r="P804" s="39"/>
      <c r="Q804" s="39"/>
      <c r="R804" s="39"/>
      <c r="S804" s="39"/>
      <c r="T804" s="39"/>
      <c r="U804" s="39"/>
      <c r="V804" s="39"/>
      <c r="W804" s="39"/>
      <c r="X804" s="39"/>
      <c r="Y804" s="39"/>
      <c r="Z804" s="39"/>
      <c r="AA804" s="39"/>
      <c r="AB804" s="39"/>
      <c r="AC804" s="39"/>
      <c r="AD804" s="39"/>
      <c r="AE804" s="39"/>
      <c r="AF804" s="39"/>
      <c r="AG804" s="39"/>
      <c r="AH804" s="39"/>
      <c r="AI804" s="35"/>
      <c r="AJ804" s="39"/>
      <c r="AK804" s="39"/>
      <c r="AL804" s="39"/>
      <c r="AM804" s="35"/>
      <c r="AN804" s="35"/>
      <c r="AO804" s="39"/>
      <c r="AP804" s="39"/>
      <c r="AQ804" s="35"/>
      <c r="AR804" s="35"/>
      <c r="AS804" s="35"/>
      <c r="AT804" s="30">
        <f t="shared" ca="1" si="86"/>
        <v>0</v>
      </c>
      <c r="AU804" s="32" t="str">
        <f t="shared" ca="1" si="85"/>
        <v/>
      </c>
      <c r="AV804" s="32" t="str" cm="1">
        <f t="array" aca="1" ref="AV804" ca="1">IFERROR(_xlfn.IFS($AU804="","",$AU804&lt;=15,"0-15",AND($AU804&gt;=16,$AU804&lt;=30),"16-30",AND($AU804&gt;=31,$AU804&lt;=45),"31-45",AND($AU804&gt;=46,$AU804&lt;=60),"46-60",AND($AU804&gt;=61,$AU804&lt;=90),"61-90",AND($AU804&gt;=91),"&gt; 90",AND($AU804&gt;=2000),""),"")</f>
        <v/>
      </c>
      <c r="AW804" s="32" t="str" cm="1">
        <f t="array" aca="1" ref="AW804" ca="1">IFERROR(_xlfn.IFS(OR($M804="",$AM804=""),"",OR($C804="Offered",$C804="Joined"),($AM804-$M804)-$AT804),"")</f>
        <v/>
      </c>
      <c r="AX804" s="32" t="str" cm="1">
        <f t="array" aca="1" ref="AX804" ca="1">IFERROR(_xlfn.IFS(OR($M804="",$AS804=""),"",$C804="Joined",($AS804-$M804)-$AT804),"")</f>
        <v/>
      </c>
      <c r="AY804" s="30" t="str">
        <f>IFERROR(IF(COUNTIFS('Candidate Tracker'!$E:$E,'Positions Tracker'!$B804,'Candidate Tracker'!$C:$C,"Offer Drop")=0,"",COUNTIFS('Candidate Tracker'!$E:$E,'Positions Tracker'!$B804,'Candidate Tracker'!$C:$C,"Offer Drop")),"")</f>
        <v/>
      </c>
      <c r="AZ80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4" s="34" t="str">
        <f>IFERROR(IF(COUNTIFS('Candidate Tracker'!$E:$E,'Positions Tracker'!$B804,'Candidate Tracker'!$I:$I,"Female")=0,"",COUNTIFS('Candidate Tracker'!$E:$E,'Positions Tracker'!$B804,'Candidate Tracker'!$I:$I,"Female")),"")</f>
        <v/>
      </c>
      <c r="BB804" s="34" t="str">
        <f>IFERROR(IF(COUNTIFS('Candidate Tracker'!$E:$E,'Positions Tracker'!$B804,'Candidate Tracker'!$I:$I,"male")=0,"",COUNTIFS('Candidate Tracker'!$E:$E,'Positions Tracker'!$B804,'Candidate Tracker'!$I:$I,"male")),"")</f>
        <v/>
      </c>
      <c r="BC804" s="33" t="str">
        <f>IFERROR(IF(COUNTIFS('Candidate Tracker'!$E:$E,'Positions Tracker'!$B804,'Candidate Tracker'!$C:$C,"&lt;&gt;WIP",'Candidate Tracker'!$C:$C,"&lt;&gt;Hold",'Candidate Tracker'!$C:$C,"&lt;&gt;Cancelled",'Candidate Tracker'!$C:$C,"&lt;&gt;Closed")/COUNTIFS('Candidate Tracker'!$E:$E,'Positions Tracker'!$B804)=0,"",COUNTIFS('Candidate Tracker'!$E:$E,'Positions Tracker'!$B804,'Candidate Tracker'!$C:$C,"&lt;&gt;WIP",'Candidate Tracker'!$C:$C,"&lt;&gt;Hold",'Candidate Tracker'!$C:$C,"&lt;&gt;Cancelled",'Candidate Tracker'!$C:$C,"&lt;&gt;Closed")/COUNTIFS('Candidate Tracker'!$E:$E,'Positions Tracker'!$B804)),"")</f>
        <v/>
      </c>
      <c r="BD804" s="30" t="str">
        <f t="shared" si="87"/>
        <v/>
      </c>
      <c r="BE804" s="30" t="str">
        <f t="shared" si="88"/>
        <v/>
      </c>
      <c r="BF804" s="30" t="str">
        <f t="shared" si="89"/>
        <v/>
      </c>
      <c r="BG804" s="30" t="str">
        <f t="shared" si="90"/>
        <v/>
      </c>
    </row>
    <row r="805" spans="1:59">
      <c r="A805" s="39"/>
      <c r="B805" s="39"/>
      <c r="C805" s="39"/>
      <c r="D805" s="39"/>
      <c r="E805" s="39"/>
      <c r="F805" s="39"/>
      <c r="G805" s="39"/>
      <c r="H805" s="39"/>
      <c r="I805" s="40"/>
      <c r="J805" s="40"/>
      <c r="K805" s="35"/>
      <c r="L805" s="35"/>
      <c r="M805" s="35"/>
      <c r="N805" s="39"/>
      <c r="O805" s="39"/>
      <c r="P805" s="39"/>
      <c r="Q805" s="39"/>
      <c r="R805" s="39"/>
      <c r="S805" s="39"/>
      <c r="T805" s="39"/>
      <c r="U805" s="39"/>
      <c r="V805" s="39"/>
      <c r="W805" s="39"/>
      <c r="X805" s="39"/>
      <c r="Y805" s="39"/>
      <c r="Z805" s="39"/>
      <c r="AA805" s="39"/>
      <c r="AB805" s="39"/>
      <c r="AC805" s="39"/>
      <c r="AD805" s="39"/>
      <c r="AE805" s="39"/>
      <c r="AF805" s="39"/>
      <c r="AG805" s="39"/>
      <c r="AH805" s="39"/>
      <c r="AI805" s="35"/>
      <c r="AJ805" s="39"/>
      <c r="AK805" s="39"/>
      <c r="AL805" s="39"/>
      <c r="AM805" s="35"/>
      <c r="AN805" s="35"/>
      <c r="AO805" s="39"/>
      <c r="AP805" s="39"/>
      <c r="AQ805" s="35"/>
      <c r="AR805" s="35"/>
      <c r="AS805" s="35"/>
      <c r="AT805" s="30">
        <f t="shared" ca="1" si="86"/>
        <v>0</v>
      </c>
      <c r="AU805" s="32" t="str">
        <f t="shared" ca="1" si="85"/>
        <v/>
      </c>
      <c r="AV805" s="32" t="str" cm="1">
        <f t="array" aca="1" ref="AV805" ca="1">IFERROR(_xlfn.IFS($AU805="","",$AU805&lt;=15,"0-15",AND($AU805&gt;=16,$AU805&lt;=30),"16-30",AND($AU805&gt;=31,$AU805&lt;=45),"31-45",AND($AU805&gt;=46,$AU805&lt;=60),"46-60",AND($AU805&gt;=61,$AU805&lt;=90),"61-90",AND($AU805&gt;=91),"&gt; 90",AND($AU805&gt;=2000),""),"")</f>
        <v/>
      </c>
      <c r="AW805" s="32" t="str" cm="1">
        <f t="array" aca="1" ref="AW805" ca="1">IFERROR(_xlfn.IFS(OR($M805="",$AM805=""),"",OR($C805="Offered",$C805="Joined"),($AM805-$M805)-$AT805),"")</f>
        <v/>
      </c>
      <c r="AX805" s="32" t="str" cm="1">
        <f t="array" aca="1" ref="AX805" ca="1">IFERROR(_xlfn.IFS(OR($M805="",$AS805=""),"",$C805="Joined",($AS805-$M805)-$AT805),"")</f>
        <v/>
      </c>
      <c r="AY805" s="30" t="str">
        <f>IFERROR(IF(COUNTIFS('Candidate Tracker'!$E:$E,'Positions Tracker'!$B805,'Candidate Tracker'!$C:$C,"Offer Drop")=0,"",COUNTIFS('Candidate Tracker'!$E:$E,'Positions Tracker'!$B805,'Candidate Tracker'!$C:$C,"Offer Drop")),"")</f>
        <v/>
      </c>
      <c r="AZ80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5" s="34" t="str">
        <f>IFERROR(IF(COUNTIFS('Candidate Tracker'!$E:$E,'Positions Tracker'!$B805,'Candidate Tracker'!$I:$I,"Female")=0,"",COUNTIFS('Candidate Tracker'!$E:$E,'Positions Tracker'!$B805,'Candidate Tracker'!$I:$I,"Female")),"")</f>
        <v/>
      </c>
      <c r="BB805" s="34" t="str">
        <f>IFERROR(IF(COUNTIFS('Candidate Tracker'!$E:$E,'Positions Tracker'!$B805,'Candidate Tracker'!$I:$I,"male")=0,"",COUNTIFS('Candidate Tracker'!$E:$E,'Positions Tracker'!$B805,'Candidate Tracker'!$I:$I,"male")),"")</f>
        <v/>
      </c>
      <c r="BC805" s="33" t="str">
        <f>IFERROR(IF(COUNTIFS('Candidate Tracker'!$E:$E,'Positions Tracker'!$B805,'Candidate Tracker'!$C:$C,"&lt;&gt;WIP",'Candidate Tracker'!$C:$C,"&lt;&gt;Hold",'Candidate Tracker'!$C:$C,"&lt;&gt;Cancelled",'Candidate Tracker'!$C:$C,"&lt;&gt;Closed")/COUNTIFS('Candidate Tracker'!$E:$E,'Positions Tracker'!$B805)=0,"",COUNTIFS('Candidate Tracker'!$E:$E,'Positions Tracker'!$B805,'Candidate Tracker'!$C:$C,"&lt;&gt;WIP",'Candidate Tracker'!$C:$C,"&lt;&gt;Hold",'Candidate Tracker'!$C:$C,"&lt;&gt;Cancelled",'Candidate Tracker'!$C:$C,"&lt;&gt;Closed")/COUNTIFS('Candidate Tracker'!$E:$E,'Positions Tracker'!$B805)),"")</f>
        <v/>
      </c>
      <c r="BD805" s="30" t="str">
        <f t="shared" si="87"/>
        <v/>
      </c>
      <c r="BE805" s="30" t="str">
        <f t="shared" si="88"/>
        <v/>
      </c>
      <c r="BF805" s="30" t="str">
        <f t="shared" si="89"/>
        <v/>
      </c>
      <c r="BG805" s="30" t="str">
        <f t="shared" si="90"/>
        <v/>
      </c>
    </row>
    <row r="806" spans="1:59">
      <c r="A806" s="39"/>
      <c r="B806" s="39"/>
      <c r="C806" s="39"/>
      <c r="D806" s="39"/>
      <c r="E806" s="39"/>
      <c r="F806" s="39"/>
      <c r="G806" s="39"/>
      <c r="H806" s="39"/>
      <c r="I806" s="40"/>
      <c r="J806" s="40"/>
      <c r="K806" s="35"/>
      <c r="L806" s="35"/>
      <c r="M806" s="35"/>
      <c r="N806" s="39"/>
      <c r="O806" s="39"/>
      <c r="P806" s="39"/>
      <c r="Q806" s="39"/>
      <c r="R806" s="39"/>
      <c r="S806" s="39"/>
      <c r="T806" s="39"/>
      <c r="U806" s="39"/>
      <c r="V806" s="39"/>
      <c r="W806" s="39"/>
      <c r="X806" s="39"/>
      <c r="Y806" s="39"/>
      <c r="Z806" s="39"/>
      <c r="AA806" s="39"/>
      <c r="AB806" s="39"/>
      <c r="AC806" s="39"/>
      <c r="AD806" s="39"/>
      <c r="AE806" s="39"/>
      <c r="AF806" s="39"/>
      <c r="AG806" s="39"/>
      <c r="AH806" s="39"/>
      <c r="AI806" s="35"/>
      <c r="AJ806" s="39"/>
      <c r="AK806" s="39"/>
      <c r="AL806" s="39"/>
      <c r="AM806" s="35"/>
      <c r="AN806" s="35"/>
      <c r="AO806" s="39"/>
      <c r="AP806" s="39"/>
      <c r="AQ806" s="35"/>
      <c r="AR806" s="35"/>
      <c r="AS806" s="35"/>
      <c r="AT806" s="30">
        <f t="shared" ca="1" si="86"/>
        <v>0</v>
      </c>
      <c r="AU806" s="32" t="str">
        <f t="shared" ca="1" si="85"/>
        <v/>
      </c>
      <c r="AV806" s="32" t="str" cm="1">
        <f t="array" aca="1" ref="AV806" ca="1">IFERROR(_xlfn.IFS($AU806="","",$AU806&lt;=15,"0-15",AND($AU806&gt;=16,$AU806&lt;=30),"16-30",AND($AU806&gt;=31,$AU806&lt;=45),"31-45",AND($AU806&gt;=46,$AU806&lt;=60),"46-60",AND($AU806&gt;=61,$AU806&lt;=90),"61-90",AND($AU806&gt;=91),"&gt; 90",AND($AU806&gt;=2000),""),"")</f>
        <v/>
      </c>
      <c r="AW806" s="32" t="str" cm="1">
        <f t="array" aca="1" ref="AW806" ca="1">IFERROR(_xlfn.IFS(OR($M806="",$AM806=""),"",OR($C806="Offered",$C806="Joined"),($AM806-$M806)-$AT806),"")</f>
        <v/>
      </c>
      <c r="AX806" s="32" t="str" cm="1">
        <f t="array" aca="1" ref="AX806" ca="1">IFERROR(_xlfn.IFS(OR($M806="",$AS806=""),"",$C806="Joined",($AS806-$M806)-$AT806),"")</f>
        <v/>
      </c>
      <c r="AY806" s="30" t="str">
        <f>IFERROR(IF(COUNTIFS('Candidate Tracker'!$E:$E,'Positions Tracker'!$B806,'Candidate Tracker'!$C:$C,"Offer Drop")=0,"",COUNTIFS('Candidate Tracker'!$E:$E,'Positions Tracker'!$B806,'Candidate Tracker'!$C:$C,"Offer Drop")),"")</f>
        <v/>
      </c>
      <c r="AZ80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6" s="34" t="str">
        <f>IFERROR(IF(COUNTIFS('Candidate Tracker'!$E:$E,'Positions Tracker'!$B806,'Candidate Tracker'!$I:$I,"Female")=0,"",COUNTIFS('Candidate Tracker'!$E:$E,'Positions Tracker'!$B806,'Candidate Tracker'!$I:$I,"Female")),"")</f>
        <v/>
      </c>
      <c r="BB806" s="34" t="str">
        <f>IFERROR(IF(COUNTIFS('Candidate Tracker'!$E:$E,'Positions Tracker'!$B806,'Candidate Tracker'!$I:$I,"male")=0,"",COUNTIFS('Candidate Tracker'!$E:$E,'Positions Tracker'!$B806,'Candidate Tracker'!$I:$I,"male")),"")</f>
        <v/>
      </c>
      <c r="BC806" s="33" t="str">
        <f>IFERROR(IF(COUNTIFS('Candidate Tracker'!$E:$E,'Positions Tracker'!$B806,'Candidate Tracker'!$C:$C,"&lt;&gt;WIP",'Candidate Tracker'!$C:$C,"&lt;&gt;Hold",'Candidate Tracker'!$C:$C,"&lt;&gt;Cancelled",'Candidate Tracker'!$C:$C,"&lt;&gt;Closed")/COUNTIFS('Candidate Tracker'!$E:$E,'Positions Tracker'!$B806)=0,"",COUNTIFS('Candidate Tracker'!$E:$E,'Positions Tracker'!$B806,'Candidate Tracker'!$C:$C,"&lt;&gt;WIP",'Candidate Tracker'!$C:$C,"&lt;&gt;Hold",'Candidate Tracker'!$C:$C,"&lt;&gt;Cancelled",'Candidate Tracker'!$C:$C,"&lt;&gt;Closed")/COUNTIFS('Candidate Tracker'!$E:$E,'Positions Tracker'!$B806)),"")</f>
        <v/>
      </c>
      <c r="BD806" s="30" t="str">
        <f t="shared" si="87"/>
        <v/>
      </c>
      <c r="BE806" s="30" t="str">
        <f t="shared" si="88"/>
        <v/>
      </c>
      <c r="BF806" s="30" t="str">
        <f t="shared" si="89"/>
        <v/>
      </c>
      <c r="BG806" s="30" t="str">
        <f t="shared" si="90"/>
        <v/>
      </c>
    </row>
    <row r="807" spans="1:59">
      <c r="A807" s="39"/>
      <c r="B807" s="39"/>
      <c r="C807" s="39"/>
      <c r="D807" s="39"/>
      <c r="E807" s="39"/>
      <c r="F807" s="39"/>
      <c r="G807" s="39"/>
      <c r="H807" s="39"/>
      <c r="I807" s="40"/>
      <c r="J807" s="40"/>
      <c r="K807" s="35"/>
      <c r="L807" s="35"/>
      <c r="M807" s="35"/>
      <c r="N807" s="39"/>
      <c r="O807" s="39"/>
      <c r="P807" s="39"/>
      <c r="Q807" s="39"/>
      <c r="R807" s="39"/>
      <c r="S807" s="39"/>
      <c r="T807" s="39"/>
      <c r="U807" s="39"/>
      <c r="V807" s="39"/>
      <c r="W807" s="39"/>
      <c r="X807" s="39"/>
      <c r="Y807" s="39"/>
      <c r="Z807" s="39"/>
      <c r="AA807" s="39"/>
      <c r="AB807" s="39"/>
      <c r="AC807" s="39"/>
      <c r="AD807" s="39"/>
      <c r="AE807" s="39"/>
      <c r="AF807" s="39"/>
      <c r="AG807" s="39"/>
      <c r="AH807" s="39"/>
      <c r="AI807" s="35"/>
      <c r="AJ807" s="39"/>
      <c r="AK807" s="39"/>
      <c r="AL807" s="39"/>
      <c r="AM807" s="35"/>
      <c r="AN807" s="35"/>
      <c r="AO807" s="39"/>
      <c r="AP807" s="39"/>
      <c r="AQ807" s="35"/>
      <c r="AR807" s="35"/>
      <c r="AS807" s="35"/>
      <c r="AT807" s="30">
        <f t="shared" ca="1" si="86"/>
        <v>0</v>
      </c>
      <c r="AU807" s="32" t="str">
        <f t="shared" ca="1" si="85"/>
        <v/>
      </c>
      <c r="AV807" s="32" t="str" cm="1">
        <f t="array" aca="1" ref="AV807" ca="1">IFERROR(_xlfn.IFS($AU807="","",$AU807&lt;=15,"0-15",AND($AU807&gt;=16,$AU807&lt;=30),"16-30",AND($AU807&gt;=31,$AU807&lt;=45),"31-45",AND($AU807&gt;=46,$AU807&lt;=60),"46-60",AND($AU807&gt;=61,$AU807&lt;=90),"61-90",AND($AU807&gt;=91),"&gt; 90",AND($AU807&gt;=2000),""),"")</f>
        <v/>
      </c>
      <c r="AW807" s="32" t="str" cm="1">
        <f t="array" aca="1" ref="AW807" ca="1">IFERROR(_xlfn.IFS(OR($M807="",$AM807=""),"",OR($C807="Offered",$C807="Joined"),($AM807-$M807)-$AT807),"")</f>
        <v/>
      </c>
      <c r="AX807" s="32" t="str" cm="1">
        <f t="array" aca="1" ref="AX807" ca="1">IFERROR(_xlfn.IFS(OR($M807="",$AS807=""),"",$C807="Joined",($AS807-$M807)-$AT807),"")</f>
        <v/>
      </c>
      <c r="AY807" s="30" t="str">
        <f>IFERROR(IF(COUNTIFS('Candidate Tracker'!$E:$E,'Positions Tracker'!$B807,'Candidate Tracker'!$C:$C,"Offer Drop")=0,"",COUNTIFS('Candidate Tracker'!$E:$E,'Positions Tracker'!$B807,'Candidate Tracker'!$C:$C,"Offer Drop")),"")</f>
        <v/>
      </c>
      <c r="AZ80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7" s="34" t="str">
        <f>IFERROR(IF(COUNTIFS('Candidate Tracker'!$E:$E,'Positions Tracker'!$B807,'Candidate Tracker'!$I:$I,"Female")=0,"",COUNTIFS('Candidate Tracker'!$E:$E,'Positions Tracker'!$B807,'Candidate Tracker'!$I:$I,"Female")),"")</f>
        <v/>
      </c>
      <c r="BB807" s="34" t="str">
        <f>IFERROR(IF(COUNTIFS('Candidate Tracker'!$E:$E,'Positions Tracker'!$B807,'Candidate Tracker'!$I:$I,"male")=0,"",COUNTIFS('Candidate Tracker'!$E:$E,'Positions Tracker'!$B807,'Candidate Tracker'!$I:$I,"male")),"")</f>
        <v/>
      </c>
      <c r="BC807" s="33" t="str">
        <f>IFERROR(IF(COUNTIFS('Candidate Tracker'!$E:$E,'Positions Tracker'!$B807,'Candidate Tracker'!$C:$C,"&lt;&gt;WIP",'Candidate Tracker'!$C:$C,"&lt;&gt;Hold",'Candidate Tracker'!$C:$C,"&lt;&gt;Cancelled",'Candidate Tracker'!$C:$C,"&lt;&gt;Closed")/COUNTIFS('Candidate Tracker'!$E:$E,'Positions Tracker'!$B807)=0,"",COUNTIFS('Candidate Tracker'!$E:$E,'Positions Tracker'!$B807,'Candidate Tracker'!$C:$C,"&lt;&gt;WIP",'Candidate Tracker'!$C:$C,"&lt;&gt;Hold",'Candidate Tracker'!$C:$C,"&lt;&gt;Cancelled",'Candidate Tracker'!$C:$C,"&lt;&gt;Closed")/COUNTIFS('Candidate Tracker'!$E:$E,'Positions Tracker'!$B807)),"")</f>
        <v/>
      </c>
      <c r="BD807" s="30" t="str">
        <f t="shared" si="87"/>
        <v/>
      </c>
      <c r="BE807" s="30" t="str">
        <f t="shared" si="88"/>
        <v/>
      </c>
      <c r="BF807" s="30" t="str">
        <f t="shared" si="89"/>
        <v/>
      </c>
      <c r="BG807" s="30" t="str">
        <f t="shared" si="90"/>
        <v/>
      </c>
    </row>
    <row r="808" spans="1:59">
      <c r="A808" s="39"/>
      <c r="B808" s="39"/>
      <c r="C808" s="39"/>
      <c r="D808" s="39"/>
      <c r="E808" s="39"/>
      <c r="F808" s="39"/>
      <c r="G808" s="39"/>
      <c r="H808" s="39"/>
      <c r="I808" s="40"/>
      <c r="J808" s="40"/>
      <c r="K808" s="35"/>
      <c r="L808" s="35"/>
      <c r="M808" s="35"/>
      <c r="N808" s="39"/>
      <c r="O808" s="39"/>
      <c r="P808" s="39"/>
      <c r="Q808" s="39"/>
      <c r="R808" s="39"/>
      <c r="S808" s="39"/>
      <c r="T808" s="39"/>
      <c r="U808" s="39"/>
      <c r="V808" s="39"/>
      <c r="W808" s="39"/>
      <c r="X808" s="39"/>
      <c r="Y808" s="39"/>
      <c r="Z808" s="39"/>
      <c r="AA808" s="39"/>
      <c r="AB808" s="39"/>
      <c r="AC808" s="39"/>
      <c r="AD808" s="39"/>
      <c r="AE808" s="39"/>
      <c r="AF808" s="39"/>
      <c r="AG808" s="39"/>
      <c r="AH808" s="39"/>
      <c r="AI808" s="35"/>
      <c r="AJ808" s="39"/>
      <c r="AK808" s="39"/>
      <c r="AL808" s="39"/>
      <c r="AM808" s="35"/>
      <c r="AN808" s="35"/>
      <c r="AO808" s="39"/>
      <c r="AP808" s="39"/>
      <c r="AQ808" s="35"/>
      <c r="AR808" s="35"/>
      <c r="AS808" s="35"/>
      <c r="AT808" s="30">
        <f t="shared" ca="1" si="86"/>
        <v>0</v>
      </c>
      <c r="AU808" s="32" t="str">
        <f t="shared" ca="1" si="85"/>
        <v/>
      </c>
      <c r="AV808" s="32" t="str" cm="1">
        <f t="array" aca="1" ref="AV808" ca="1">IFERROR(_xlfn.IFS($AU808="","",$AU808&lt;=15,"0-15",AND($AU808&gt;=16,$AU808&lt;=30),"16-30",AND($AU808&gt;=31,$AU808&lt;=45),"31-45",AND($AU808&gt;=46,$AU808&lt;=60),"46-60",AND($AU808&gt;=61,$AU808&lt;=90),"61-90",AND($AU808&gt;=91),"&gt; 90",AND($AU808&gt;=2000),""),"")</f>
        <v/>
      </c>
      <c r="AW808" s="32" t="str" cm="1">
        <f t="array" aca="1" ref="AW808" ca="1">IFERROR(_xlfn.IFS(OR($M808="",$AM808=""),"",OR($C808="Offered",$C808="Joined"),($AM808-$M808)-$AT808),"")</f>
        <v/>
      </c>
      <c r="AX808" s="32" t="str" cm="1">
        <f t="array" aca="1" ref="AX808" ca="1">IFERROR(_xlfn.IFS(OR($M808="",$AS808=""),"",$C808="Joined",($AS808-$M808)-$AT808),"")</f>
        <v/>
      </c>
      <c r="AY808" s="30" t="str">
        <f>IFERROR(IF(COUNTIFS('Candidate Tracker'!$E:$E,'Positions Tracker'!$B808,'Candidate Tracker'!$C:$C,"Offer Drop")=0,"",COUNTIFS('Candidate Tracker'!$E:$E,'Positions Tracker'!$B808,'Candidate Tracker'!$C:$C,"Offer Drop")),"")</f>
        <v/>
      </c>
      <c r="AZ80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8" s="34" t="str">
        <f>IFERROR(IF(COUNTIFS('Candidate Tracker'!$E:$E,'Positions Tracker'!$B808,'Candidate Tracker'!$I:$I,"Female")=0,"",COUNTIFS('Candidate Tracker'!$E:$E,'Positions Tracker'!$B808,'Candidate Tracker'!$I:$I,"Female")),"")</f>
        <v/>
      </c>
      <c r="BB808" s="34" t="str">
        <f>IFERROR(IF(COUNTIFS('Candidate Tracker'!$E:$E,'Positions Tracker'!$B808,'Candidate Tracker'!$I:$I,"male")=0,"",COUNTIFS('Candidate Tracker'!$E:$E,'Positions Tracker'!$B808,'Candidate Tracker'!$I:$I,"male")),"")</f>
        <v/>
      </c>
      <c r="BC808" s="33" t="str">
        <f>IFERROR(IF(COUNTIFS('Candidate Tracker'!$E:$E,'Positions Tracker'!$B808,'Candidate Tracker'!$C:$C,"&lt;&gt;WIP",'Candidate Tracker'!$C:$C,"&lt;&gt;Hold",'Candidate Tracker'!$C:$C,"&lt;&gt;Cancelled",'Candidate Tracker'!$C:$C,"&lt;&gt;Closed")/COUNTIFS('Candidate Tracker'!$E:$E,'Positions Tracker'!$B808)=0,"",COUNTIFS('Candidate Tracker'!$E:$E,'Positions Tracker'!$B808,'Candidate Tracker'!$C:$C,"&lt;&gt;WIP",'Candidate Tracker'!$C:$C,"&lt;&gt;Hold",'Candidate Tracker'!$C:$C,"&lt;&gt;Cancelled",'Candidate Tracker'!$C:$C,"&lt;&gt;Closed")/COUNTIFS('Candidate Tracker'!$E:$E,'Positions Tracker'!$B808)),"")</f>
        <v/>
      </c>
      <c r="BD808" s="30" t="str">
        <f t="shared" si="87"/>
        <v/>
      </c>
      <c r="BE808" s="30" t="str">
        <f t="shared" si="88"/>
        <v/>
      </c>
      <c r="BF808" s="30" t="str">
        <f t="shared" si="89"/>
        <v/>
      </c>
      <c r="BG808" s="30" t="str">
        <f t="shared" si="90"/>
        <v/>
      </c>
    </row>
    <row r="809" spans="1:59">
      <c r="A809" s="39"/>
      <c r="B809" s="39"/>
      <c r="C809" s="39"/>
      <c r="D809" s="39"/>
      <c r="E809" s="39"/>
      <c r="F809" s="39"/>
      <c r="G809" s="39"/>
      <c r="H809" s="39"/>
      <c r="I809" s="40"/>
      <c r="J809" s="40"/>
      <c r="K809" s="35"/>
      <c r="L809" s="35"/>
      <c r="M809" s="35"/>
      <c r="N809" s="39"/>
      <c r="O809" s="39"/>
      <c r="P809" s="39"/>
      <c r="Q809" s="39"/>
      <c r="R809" s="39"/>
      <c r="S809" s="39"/>
      <c r="T809" s="39"/>
      <c r="U809" s="39"/>
      <c r="V809" s="39"/>
      <c r="W809" s="39"/>
      <c r="X809" s="39"/>
      <c r="Y809" s="39"/>
      <c r="Z809" s="39"/>
      <c r="AA809" s="39"/>
      <c r="AB809" s="39"/>
      <c r="AC809" s="39"/>
      <c r="AD809" s="39"/>
      <c r="AE809" s="39"/>
      <c r="AF809" s="39"/>
      <c r="AG809" s="39"/>
      <c r="AH809" s="39"/>
      <c r="AI809" s="35"/>
      <c r="AJ809" s="39"/>
      <c r="AK809" s="39"/>
      <c r="AL809" s="39"/>
      <c r="AM809" s="35"/>
      <c r="AN809" s="35"/>
      <c r="AO809" s="39"/>
      <c r="AP809" s="39"/>
      <c r="AQ809" s="35"/>
      <c r="AR809" s="35"/>
      <c r="AS809" s="35"/>
      <c r="AT809" s="30">
        <f t="shared" ca="1" si="86"/>
        <v>0</v>
      </c>
      <c r="AU809" s="32" t="str">
        <f t="shared" ca="1" si="85"/>
        <v/>
      </c>
      <c r="AV809" s="32" t="str" cm="1">
        <f t="array" aca="1" ref="AV809" ca="1">IFERROR(_xlfn.IFS($AU809="","",$AU809&lt;=15,"0-15",AND($AU809&gt;=16,$AU809&lt;=30),"16-30",AND($AU809&gt;=31,$AU809&lt;=45),"31-45",AND($AU809&gt;=46,$AU809&lt;=60),"46-60",AND($AU809&gt;=61,$AU809&lt;=90),"61-90",AND($AU809&gt;=91),"&gt; 90",AND($AU809&gt;=2000),""),"")</f>
        <v/>
      </c>
      <c r="AW809" s="32" t="str" cm="1">
        <f t="array" aca="1" ref="AW809" ca="1">IFERROR(_xlfn.IFS(OR($M809="",$AM809=""),"",OR($C809="Offered",$C809="Joined"),($AM809-$M809)-$AT809),"")</f>
        <v/>
      </c>
      <c r="AX809" s="32" t="str" cm="1">
        <f t="array" aca="1" ref="AX809" ca="1">IFERROR(_xlfn.IFS(OR($M809="",$AS809=""),"",$C809="Joined",($AS809-$M809)-$AT809),"")</f>
        <v/>
      </c>
      <c r="AY809" s="30" t="str">
        <f>IFERROR(IF(COUNTIFS('Candidate Tracker'!$E:$E,'Positions Tracker'!$B809,'Candidate Tracker'!$C:$C,"Offer Drop")=0,"",COUNTIFS('Candidate Tracker'!$E:$E,'Positions Tracker'!$B809,'Candidate Tracker'!$C:$C,"Offer Drop")),"")</f>
        <v/>
      </c>
      <c r="AZ80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09" s="34" t="str">
        <f>IFERROR(IF(COUNTIFS('Candidate Tracker'!$E:$E,'Positions Tracker'!$B809,'Candidate Tracker'!$I:$I,"Female")=0,"",COUNTIFS('Candidate Tracker'!$E:$E,'Positions Tracker'!$B809,'Candidate Tracker'!$I:$I,"Female")),"")</f>
        <v/>
      </c>
      <c r="BB809" s="34" t="str">
        <f>IFERROR(IF(COUNTIFS('Candidate Tracker'!$E:$E,'Positions Tracker'!$B809,'Candidate Tracker'!$I:$I,"male")=0,"",COUNTIFS('Candidate Tracker'!$E:$E,'Positions Tracker'!$B809,'Candidate Tracker'!$I:$I,"male")),"")</f>
        <v/>
      </c>
      <c r="BC809" s="33" t="str">
        <f>IFERROR(IF(COUNTIFS('Candidate Tracker'!$E:$E,'Positions Tracker'!$B809,'Candidate Tracker'!$C:$C,"&lt;&gt;WIP",'Candidate Tracker'!$C:$C,"&lt;&gt;Hold",'Candidate Tracker'!$C:$C,"&lt;&gt;Cancelled",'Candidate Tracker'!$C:$C,"&lt;&gt;Closed")/COUNTIFS('Candidate Tracker'!$E:$E,'Positions Tracker'!$B809)=0,"",COUNTIFS('Candidate Tracker'!$E:$E,'Positions Tracker'!$B809,'Candidate Tracker'!$C:$C,"&lt;&gt;WIP",'Candidate Tracker'!$C:$C,"&lt;&gt;Hold",'Candidate Tracker'!$C:$C,"&lt;&gt;Cancelled",'Candidate Tracker'!$C:$C,"&lt;&gt;Closed")/COUNTIFS('Candidate Tracker'!$E:$E,'Positions Tracker'!$B809)),"")</f>
        <v/>
      </c>
      <c r="BD809" s="30" t="str">
        <f t="shared" si="87"/>
        <v/>
      </c>
      <c r="BE809" s="30" t="str">
        <f t="shared" si="88"/>
        <v/>
      </c>
      <c r="BF809" s="30" t="str">
        <f t="shared" si="89"/>
        <v/>
      </c>
      <c r="BG809" s="30" t="str">
        <f t="shared" si="90"/>
        <v/>
      </c>
    </row>
    <row r="810" spans="1:59">
      <c r="A810" s="39"/>
      <c r="B810" s="39"/>
      <c r="C810" s="39"/>
      <c r="D810" s="39"/>
      <c r="E810" s="39"/>
      <c r="F810" s="39"/>
      <c r="G810" s="39"/>
      <c r="H810" s="39"/>
      <c r="I810" s="40"/>
      <c r="J810" s="40"/>
      <c r="K810" s="35"/>
      <c r="L810" s="35"/>
      <c r="M810" s="35"/>
      <c r="N810" s="39"/>
      <c r="O810" s="39"/>
      <c r="P810" s="39"/>
      <c r="Q810" s="39"/>
      <c r="R810" s="39"/>
      <c r="S810" s="39"/>
      <c r="T810" s="39"/>
      <c r="U810" s="39"/>
      <c r="V810" s="39"/>
      <c r="W810" s="39"/>
      <c r="X810" s="39"/>
      <c r="Y810" s="39"/>
      <c r="Z810" s="39"/>
      <c r="AA810" s="39"/>
      <c r="AB810" s="39"/>
      <c r="AC810" s="39"/>
      <c r="AD810" s="39"/>
      <c r="AE810" s="39"/>
      <c r="AF810" s="39"/>
      <c r="AG810" s="39"/>
      <c r="AH810" s="39"/>
      <c r="AI810" s="35"/>
      <c r="AJ810" s="39"/>
      <c r="AK810" s="39"/>
      <c r="AL810" s="39"/>
      <c r="AM810" s="35"/>
      <c r="AN810" s="35"/>
      <c r="AO810" s="39"/>
      <c r="AP810" s="39"/>
      <c r="AQ810" s="35"/>
      <c r="AR810" s="35"/>
      <c r="AS810" s="35"/>
      <c r="AT810" s="30">
        <f t="shared" ca="1" si="86"/>
        <v>0</v>
      </c>
      <c r="AU810" s="32" t="str">
        <f t="shared" ca="1" si="85"/>
        <v/>
      </c>
      <c r="AV810" s="32" t="str" cm="1">
        <f t="array" aca="1" ref="AV810" ca="1">IFERROR(_xlfn.IFS($AU810="","",$AU810&lt;=15,"0-15",AND($AU810&gt;=16,$AU810&lt;=30),"16-30",AND($AU810&gt;=31,$AU810&lt;=45),"31-45",AND($AU810&gt;=46,$AU810&lt;=60),"46-60",AND($AU810&gt;=61,$AU810&lt;=90),"61-90",AND($AU810&gt;=91),"&gt; 90",AND($AU810&gt;=2000),""),"")</f>
        <v/>
      </c>
      <c r="AW810" s="32" t="str" cm="1">
        <f t="array" aca="1" ref="AW810" ca="1">IFERROR(_xlfn.IFS(OR($M810="",$AM810=""),"",OR($C810="Offered",$C810="Joined"),($AM810-$M810)-$AT810),"")</f>
        <v/>
      </c>
      <c r="AX810" s="32" t="str" cm="1">
        <f t="array" aca="1" ref="AX810" ca="1">IFERROR(_xlfn.IFS(OR($M810="",$AS810=""),"",$C810="Joined",($AS810-$M810)-$AT810),"")</f>
        <v/>
      </c>
      <c r="AY810" s="30" t="str">
        <f>IFERROR(IF(COUNTIFS('Candidate Tracker'!$E:$E,'Positions Tracker'!$B810,'Candidate Tracker'!$C:$C,"Offer Drop")=0,"",COUNTIFS('Candidate Tracker'!$E:$E,'Positions Tracker'!$B810,'Candidate Tracker'!$C:$C,"Offer Drop")),"")</f>
        <v/>
      </c>
      <c r="AZ8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0" s="34" t="str">
        <f>IFERROR(IF(COUNTIFS('Candidate Tracker'!$E:$E,'Positions Tracker'!$B810,'Candidate Tracker'!$I:$I,"Female")=0,"",COUNTIFS('Candidate Tracker'!$E:$E,'Positions Tracker'!$B810,'Candidate Tracker'!$I:$I,"Female")),"")</f>
        <v/>
      </c>
      <c r="BB810" s="34" t="str">
        <f>IFERROR(IF(COUNTIFS('Candidate Tracker'!$E:$E,'Positions Tracker'!$B810,'Candidate Tracker'!$I:$I,"male")=0,"",COUNTIFS('Candidate Tracker'!$E:$E,'Positions Tracker'!$B810,'Candidate Tracker'!$I:$I,"male")),"")</f>
        <v/>
      </c>
      <c r="BC810" s="33" t="str">
        <f>IFERROR(IF(COUNTIFS('Candidate Tracker'!$E:$E,'Positions Tracker'!$B810,'Candidate Tracker'!$C:$C,"&lt;&gt;WIP",'Candidate Tracker'!$C:$C,"&lt;&gt;Hold",'Candidate Tracker'!$C:$C,"&lt;&gt;Cancelled",'Candidate Tracker'!$C:$C,"&lt;&gt;Closed")/COUNTIFS('Candidate Tracker'!$E:$E,'Positions Tracker'!$B810)=0,"",COUNTIFS('Candidate Tracker'!$E:$E,'Positions Tracker'!$B810,'Candidate Tracker'!$C:$C,"&lt;&gt;WIP",'Candidate Tracker'!$C:$C,"&lt;&gt;Hold",'Candidate Tracker'!$C:$C,"&lt;&gt;Cancelled",'Candidate Tracker'!$C:$C,"&lt;&gt;Closed")/COUNTIFS('Candidate Tracker'!$E:$E,'Positions Tracker'!$B810)),"")</f>
        <v/>
      </c>
      <c r="BD810" s="30" t="str">
        <f t="shared" si="87"/>
        <v/>
      </c>
      <c r="BE810" s="30" t="str">
        <f t="shared" si="88"/>
        <v/>
      </c>
      <c r="BF810" s="30" t="str">
        <f t="shared" si="89"/>
        <v/>
      </c>
      <c r="BG810" s="30" t="str">
        <f t="shared" si="90"/>
        <v/>
      </c>
    </row>
    <row r="811" spans="1:59">
      <c r="A811" s="39"/>
      <c r="B811" s="39"/>
      <c r="C811" s="39"/>
      <c r="D811" s="39"/>
      <c r="E811" s="39"/>
      <c r="F811" s="39"/>
      <c r="G811" s="39"/>
      <c r="H811" s="39"/>
      <c r="I811" s="40"/>
      <c r="J811" s="40"/>
      <c r="K811" s="35"/>
      <c r="L811" s="35"/>
      <c r="M811" s="35"/>
      <c r="N811" s="39"/>
      <c r="O811" s="39"/>
      <c r="P811" s="39"/>
      <c r="Q811" s="39"/>
      <c r="R811" s="39"/>
      <c r="S811" s="39"/>
      <c r="T811" s="39"/>
      <c r="U811" s="39"/>
      <c r="V811" s="39"/>
      <c r="W811" s="39"/>
      <c r="X811" s="39"/>
      <c r="Y811" s="39"/>
      <c r="Z811" s="39"/>
      <c r="AA811" s="39"/>
      <c r="AB811" s="39"/>
      <c r="AC811" s="39"/>
      <c r="AD811" s="39"/>
      <c r="AE811" s="39"/>
      <c r="AF811" s="39"/>
      <c r="AG811" s="39"/>
      <c r="AH811" s="39"/>
      <c r="AI811" s="35"/>
      <c r="AJ811" s="39"/>
      <c r="AK811" s="39"/>
      <c r="AL811" s="39"/>
      <c r="AM811" s="35"/>
      <c r="AN811" s="35"/>
      <c r="AO811" s="39"/>
      <c r="AP811" s="39"/>
      <c r="AQ811" s="35"/>
      <c r="AR811" s="35"/>
      <c r="AS811" s="35"/>
      <c r="AT811" s="30">
        <f t="shared" ca="1" si="86"/>
        <v>0</v>
      </c>
      <c r="AU811" s="32" t="str">
        <f t="shared" ca="1" si="85"/>
        <v/>
      </c>
      <c r="AV811" s="32" t="str" cm="1">
        <f t="array" aca="1" ref="AV811" ca="1">IFERROR(_xlfn.IFS($AU811="","",$AU811&lt;=15,"0-15",AND($AU811&gt;=16,$AU811&lt;=30),"16-30",AND($AU811&gt;=31,$AU811&lt;=45),"31-45",AND($AU811&gt;=46,$AU811&lt;=60),"46-60",AND($AU811&gt;=61,$AU811&lt;=90),"61-90",AND($AU811&gt;=91),"&gt; 90",AND($AU811&gt;=2000),""),"")</f>
        <v/>
      </c>
      <c r="AW811" s="32" t="str" cm="1">
        <f t="array" aca="1" ref="AW811" ca="1">IFERROR(_xlfn.IFS(OR($M811="",$AM811=""),"",OR($C811="Offered",$C811="Joined"),($AM811-$M811)-$AT811),"")</f>
        <v/>
      </c>
      <c r="AX811" s="32" t="str" cm="1">
        <f t="array" aca="1" ref="AX811" ca="1">IFERROR(_xlfn.IFS(OR($M811="",$AS811=""),"",$C811="Joined",($AS811-$M811)-$AT811),"")</f>
        <v/>
      </c>
      <c r="AY811" s="30" t="str">
        <f>IFERROR(IF(COUNTIFS('Candidate Tracker'!$E:$E,'Positions Tracker'!$B811,'Candidate Tracker'!$C:$C,"Offer Drop")=0,"",COUNTIFS('Candidate Tracker'!$E:$E,'Positions Tracker'!$B811,'Candidate Tracker'!$C:$C,"Offer Drop")),"")</f>
        <v/>
      </c>
      <c r="AZ8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1" s="34" t="str">
        <f>IFERROR(IF(COUNTIFS('Candidate Tracker'!$E:$E,'Positions Tracker'!$B811,'Candidate Tracker'!$I:$I,"Female")=0,"",COUNTIFS('Candidate Tracker'!$E:$E,'Positions Tracker'!$B811,'Candidate Tracker'!$I:$I,"Female")),"")</f>
        <v/>
      </c>
      <c r="BB811" s="34" t="str">
        <f>IFERROR(IF(COUNTIFS('Candidate Tracker'!$E:$E,'Positions Tracker'!$B811,'Candidate Tracker'!$I:$I,"male")=0,"",COUNTIFS('Candidate Tracker'!$E:$E,'Positions Tracker'!$B811,'Candidate Tracker'!$I:$I,"male")),"")</f>
        <v/>
      </c>
      <c r="BC811" s="33" t="str">
        <f>IFERROR(IF(COUNTIFS('Candidate Tracker'!$E:$E,'Positions Tracker'!$B811,'Candidate Tracker'!$C:$C,"&lt;&gt;WIP",'Candidate Tracker'!$C:$C,"&lt;&gt;Hold",'Candidate Tracker'!$C:$C,"&lt;&gt;Cancelled",'Candidate Tracker'!$C:$C,"&lt;&gt;Closed")/COUNTIFS('Candidate Tracker'!$E:$E,'Positions Tracker'!$B811)=0,"",COUNTIFS('Candidate Tracker'!$E:$E,'Positions Tracker'!$B811,'Candidate Tracker'!$C:$C,"&lt;&gt;WIP",'Candidate Tracker'!$C:$C,"&lt;&gt;Hold",'Candidate Tracker'!$C:$C,"&lt;&gt;Cancelled",'Candidate Tracker'!$C:$C,"&lt;&gt;Closed")/COUNTIFS('Candidate Tracker'!$E:$E,'Positions Tracker'!$B811)),"")</f>
        <v/>
      </c>
      <c r="BD811" s="30" t="str">
        <f t="shared" si="87"/>
        <v/>
      </c>
      <c r="BE811" s="30" t="str">
        <f t="shared" si="88"/>
        <v/>
      </c>
      <c r="BF811" s="30" t="str">
        <f t="shared" si="89"/>
        <v/>
      </c>
      <c r="BG811" s="30" t="str">
        <f t="shared" si="90"/>
        <v/>
      </c>
    </row>
    <row r="812" spans="1:59">
      <c r="A812" s="39"/>
      <c r="B812" s="39"/>
      <c r="C812" s="39"/>
      <c r="D812" s="39"/>
      <c r="E812" s="39"/>
      <c r="F812" s="39"/>
      <c r="G812" s="39"/>
      <c r="H812" s="39"/>
      <c r="I812" s="40"/>
      <c r="J812" s="40"/>
      <c r="K812" s="35"/>
      <c r="L812" s="35"/>
      <c r="M812" s="35"/>
      <c r="N812" s="39"/>
      <c r="O812" s="39"/>
      <c r="P812" s="39"/>
      <c r="Q812" s="39"/>
      <c r="R812" s="39"/>
      <c r="S812" s="39"/>
      <c r="T812" s="39"/>
      <c r="U812" s="39"/>
      <c r="V812" s="39"/>
      <c r="W812" s="39"/>
      <c r="X812" s="39"/>
      <c r="Y812" s="39"/>
      <c r="Z812" s="39"/>
      <c r="AA812" s="39"/>
      <c r="AB812" s="39"/>
      <c r="AC812" s="39"/>
      <c r="AD812" s="39"/>
      <c r="AE812" s="39"/>
      <c r="AF812" s="39"/>
      <c r="AG812" s="39"/>
      <c r="AH812" s="39"/>
      <c r="AI812" s="35"/>
      <c r="AJ812" s="39"/>
      <c r="AK812" s="39"/>
      <c r="AL812" s="39"/>
      <c r="AM812" s="35"/>
      <c r="AN812" s="35"/>
      <c r="AO812" s="39"/>
      <c r="AP812" s="39"/>
      <c r="AQ812" s="35"/>
      <c r="AR812" s="35"/>
      <c r="AS812" s="35"/>
      <c r="AT812" s="30">
        <f t="shared" ca="1" si="86"/>
        <v>0</v>
      </c>
      <c r="AU812" s="32" t="str">
        <f t="shared" ca="1" si="85"/>
        <v/>
      </c>
      <c r="AV812" s="32" t="str" cm="1">
        <f t="array" aca="1" ref="AV812" ca="1">IFERROR(_xlfn.IFS($AU812="","",$AU812&lt;=15,"0-15",AND($AU812&gt;=16,$AU812&lt;=30),"16-30",AND($AU812&gt;=31,$AU812&lt;=45),"31-45",AND($AU812&gt;=46,$AU812&lt;=60),"46-60",AND($AU812&gt;=61,$AU812&lt;=90),"61-90",AND($AU812&gt;=91),"&gt; 90",AND($AU812&gt;=2000),""),"")</f>
        <v/>
      </c>
      <c r="AW812" s="32" t="str" cm="1">
        <f t="array" aca="1" ref="AW812" ca="1">IFERROR(_xlfn.IFS(OR($M812="",$AM812=""),"",OR($C812="Offered",$C812="Joined"),($AM812-$M812)-$AT812),"")</f>
        <v/>
      </c>
      <c r="AX812" s="32" t="str" cm="1">
        <f t="array" aca="1" ref="AX812" ca="1">IFERROR(_xlfn.IFS(OR($M812="",$AS812=""),"",$C812="Joined",($AS812-$M812)-$AT812),"")</f>
        <v/>
      </c>
      <c r="AY812" s="30" t="str">
        <f>IFERROR(IF(COUNTIFS('Candidate Tracker'!$E:$E,'Positions Tracker'!$B812,'Candidate Tracker'!$C:$C,"Offer Drop")=0,"",COUNTIFS('Candidate Tracker'!$E:$E,'Positions Tracker'!$B812,'Candidate Tracker'!$C:$C,"Offer Drop")),"")</f>
        <v/>
      </c>
      <c r="AZ8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2" s="34" t="str">
        <f>IFERROR(IF(COUNTIFS('Candidate Tracker'!$E:$E,'Positions Tracker'!$B812,'Candidate Tracker'!$I:$I,"Female")=0,"",COUNTIFS('Candidate Tracker'!$E:$E,'Positions Tracker'!$B812,'Candidate Tracker'!$I:$I,"Female")),"")</f>
        <v/>
      </c>
      <c r="BB812" s="34" t="str">
        <f>IFERROR(IF(COUNTIFS('Candidate Tracker'!$E:$E,'Positions Tracker'!$B812,'Candidate Tracker'!$I:$I,"male")=0,"",COUNTIFS('Candidate Tracker'!$E:$E,'Positions Tracker'!$B812,'Candidate Tracker'!$I:$I,"male")),"")</f>
        <v/>
      </c>
      <c r="BC812" s="33" t="str">
        <f>IFERROR(IF(COUNTIFS('Candidate Tracker'!$E:$E,'Positions Tracker'!$B812,'Candidate Tracker'!$C:$C,"&lt;&gt;WIP",'Candidate Tracker'!$C:$C,"&lt;&gt;Hold",'Candidate Tracker'!$C:$C,"&lt;&gt;Cancelled",'Candidate Tracker'!$C:$C,"&lt;&gt;Closed")/COUNTIFS('Candidate Tracker'!$E:$E,'Positions Tracker'!$B812)=0,"",COUNTIFS('Candidate Tracker'!$E:$E,'Positions Tracker'!$B812,'Candidate Tracker'!$C:$C,"&lt;&gt;WIP",'Candidate Tracker'!$C:$C,"&lt;&gt;Hold",'Candidate Tracker'!$C:$C,"&lt;&gt;Cancelled",'Candidate Tracker'!$C:$C,"&lt;&gt;Closed")/COUNTIFS('Candidate Tracker'!$E:$E,'Positions Tracker'!$B812)),"")</f>
        <v/>
      </c>
      <c r="BD812" s="30" t="str">
        <f t="shared" si="87"/>
        <v/>
      </c>
      <c r="BE812" s="30" t="str">
        <f t="shared" si="88"/>
        <v/>
      </c>
      <c r="BF812" s="30" t="str">
        <f t="shared" si="89"/>
        <v/>
      </c>
      <c r="BG812" s="30" t="str">
        <f t="shared" si="90"/>
        <v/>
      </c>
    </row>
    <row r="813" spans="1:59">
      <c r="A813" s="39"/>
      <c r="B813" s="39"/>
      <c r="C813" s="39"/>
      <c r="D813" s="39"/>
      <c r="E813" s="39"/>
      <c r="F813" s="39"/>
      <c r="G813" s="39"/>
      <c r="H813" s="39"/>
      <c r="I813" s="40"/>
      <c r="J813" s="40"/>
      <c r="K813" s="35"/>
      <c r="L813" s="35"/>
      <c r="M813" s="35"/>
      <c r="N813" s="39"/>
      <c r="O813" s="39"/>
      <c r="P813" s="39"/>
      <c r="Q813" s="39"/>
      <c r="R813" s="39"/>
      <c r="S813" s="39"/>
      <c r="T813" s="39"/>
      <c r="U813" s="39"/>
      <c r="V813" s="39"/>
      <c r="W813" s="39"/>
      <c r="X813" s="39"/>
      <c r="Y813" s="39"/>
      <c r="Z813" s="39"/>
      <c r="AA813" s="39"/>
      <c r="AB813" s="39"/>
      <c r="AC813" s="39"/>
      <c r="AD813" s="39"/>
      <c r="AE813" s="39"/>
      <c r="AF813" s="39"/>
      <c r="AG813" s="39"/>
      <c r="AH813" s="39"/>
      <c r="AI813" s="35"/>
      <c r="AJ813" s="39"/>
      <c r="AK813" s="39"/>
      <c r="AL813" s="39"/>
      <c r="AM813" s="35"/>
      <c r="AN813" s="35"/>
      <c r="AO813" s="39"/>
      <c r="AP813" s="39"/>
      <c r="AQ813" s="35"/>
      <c r="AR813" s="35"/>
      <c r="AS813" s="35"/>
      <c r="AT813" s="30">
        <f t="shared" ca="1" si="86"/>
        <v>0</v>
      </c>
      <c r="AU813" s="32" t="str">
        <f t="shared" ca="1" si="85"/>
        <v/>
      </c>
      <c r="AV813" s="32" t="str" cm="1">
        <f t="array" aca="1" ref="AV813" ca="1">IFERROR(_xlfn.IFS($AU813="","",$AU813&lt;=15,"0-15",AND($AU813&gt;=16,$AU813&lt;=30),"16-30",AND($AU813&gt;=31,$AU813&lt;=45),"31-45",AND($AU813&gt;=46,$AU813&lt;=60),"46-60",AND($AU813&gt;=61,$AU813&lt;=90),"61-90",AND($AU813&gt;=91),"&gt; 90",AND($AU813&gt;=2000),""),"")</f>
        <v/>
      </c>
      <c r="AW813" s="32" t="str" cm="1">
        <f t="array" aca="1" ref="AW813" ca="1">IFERROR(_xlfn.IFS(OR($M813="",$AM813=""),"",OR($C813="Offered",$C813="Joined"),($AM813-$M813)-$AT813),"")</f>
        <v/>
      </c>
      <c r="AX813" s="32" t="str" cm="1">
        <f t="array" aca="1" ref="AX813" ca="1">IFERROR(_xlfn.IFS(OR($M813="",$AS813=""),"",$C813="Joined",($AS813-$M813)-$AT813),"")</f>
        <v/>
      </c>
      <c r="AY813" s="30" t="str">
        <f>IFERROR(IF(COUNTIFS('Candidate Tracker'!$E:$E,'Positions Tracker'!$B813,'Candidate Tracker'!$C:$C,"Offer Drop")=0,"",COUNTIFS('Candidate Tracker'!$E:$E,'Positions Tracker'!$B813,'Candidate Tracker'!$C:$C,"Offer Drop")),"")</f>
        <v/>
      </c>
      <c r="AZ8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3" s="34" t="str">
        <f>IFERROR(IF(COUNTIFS('Candidate Tracker'!$E:$E,'Positions Tracker'!$B813,'Candidate Tracker'!$I:$I,"Female")=0,"",COUNTIFS('Candidate Tracker'!$E:$E,'Positions Tracker'!$B813,'Candidate Tracker'!$I:$I,"Female")),"")</f>
        <v/>
      </c>
      <c r="BB813" s="34" t="str">
        <f>IFERROR(IF(COUNTIFS('Candidate Tracker'!$E:$E,'Positions Tracker'!$B813,'Candidate Tracker'!$I:$I,"male")=0,"",COUNTIFS('Candidate Tracker'!$E:$E,'Positions Tracker'!$B813,'Candidate Tracker'!$I:$I,"male")),"")</f>
        <v/>
      </c>
      <c r="BC813" s="33" t="str">
        <f>IFERROR(IF(COUNTIFS('Candidate Tracker'!$E:$E,'Positions Tracker'!$B813,'Candidate Tracker'!$C:$C,"&lt;&gt;WIP",'Candidate Tracker'!$C:$C,"&lt;&gt;Hold",'Candidate Tracker'!$C:$C,"&lt;&gt;Cancelled",'Candidate Tracker'!$C:$C,"&lt;&gt;Closed")/COUNTIFS('Candidate Tracker'!$E:$E,'Positions Tracker'!$B813)=0,"",COUNTIFS('Candidate Tracker'!$E:$E,'Positions Tracker'!$B813,'Candidate Tracker'!$C:$C,"&lt;&gt;WIP",'Candidate Tracker'!$C:$C,"&lt;&gt;Hold",'Candidate Tracker'!$C:$C,"&lt;&gt;Cancelled",'Candidate Tracker'!$C:$C,"&lt;&gt;Closed")/COUNTIFS('Candidate Tracker'!$E:$E,'Positions Tracker'!$B813)),"")</f>
        <v/>
      </c>
      <c r="BD813" s="30" t="str">
        <f t="shared" si="87"/>
        <v/>
      </c>
      <c r="BE813" s="30" t="str">
        <f t="shared" si="88"/>
        <v/>
      </c>
      <c r="BF813" s="30" t="str">
        <f t="shared" si="89"/>
        <v/>
      </c>
      <c r="BG813" s="30" t="str">
        <f t="shared" si="90"/>
        <v/>
      </c>
    </row>
    <row r="814" spans="1:59">
      <c r="A814" s="39"/>
      <c r="B814" s="39"/>
      <c r="C814" s="39"/>
      <c r="D814" s="39"/>
      <c r="E814" s="39"/>
      <c r="F814" s="39"/>
      <c r="G814" s="39"/>
      <c r="H814" s="39"/>
      <c r="I814" s="40"/>
      <c r="J814" s="40"/>
      <c r="K814" s="35"/>
      <c r="L814" s="35"/>
      <c r="M814" s="35"/>
      <c r="N814" s="39"/>
      <c r="O814" s="39"/>
      <c r="P814" s="39"/>
      <c r="Q814" s="39"/>
      <c r="R814" s="39"/>
      <c r="S814" s="39"/>
      <c r="T814" s="39"/>
      <c r="U814" s="39"/>
      <c r="V814" s="39"/>
      <c r="W814" s="39"/>
      <c r="X814" s="39"/>
      <c r="Y814" s="39"/>
      <c r="Z814" s="39"/>
      <c r="AA814" s="39"/>
      <c r="AB814" s="39"/>
      <c r="AC814" s="39"/>
      <c r="AD814" s="39"/>
      <c r="AE814" s="39"/>
      <c r="AF814" s="39"/>
      <c r="AG814" s="39"/>
      <c r="AH814" s="39"/>
      <c r="AI814" s="35"/>
      <c r="AJ814" s="39"/>
      <c r="AK814" s="39"/>
      <c r="AL814" s="39"/>
      <c r="AM814" s="35"/>
      <c r="AN814" s="35"/>
      <c r="AO814" s="39"/>
      <c r="AP814" s="39"/>
      <c r="AQ814" s="35"/>
      <c r="AR814" s="35"/>
      <c r="AS814" s="35"/>
      <c r="AT814" s="30">
        <f t="shared" ca="1" si="86"/>
        <v>0</v>
      </c>
      <c r="AU814" s="32" t="str">
        <f t="shared" ca="1" si="85"/>
        <v/>
      </c>
      <c r="AV814" s="32" t="str" cm="1">
        <f t="array" aca="1" ref="AV814" ca="1">IFERROR(_xlfn.IFS($AU814="","",$AU814&lt;=15,"0-15",AND($AU814&gt;=16,$AU814&lt;=30),"16-30",AND($AU814&gt;=31,$AU814&lt;=45),"31-45",AND($AU814&gt;=46,$AU814&lt;=60),"46-60",AND($AU814&gt;=61,$AU814&lt;=90),"61-90",AND($AU814&gt;=91),"&gt; 90",AND($AU814&gt;=2000),""),"")</f>
        <v/>
      </c>
      <c r="AW814" s="32" t="str" cm="1">
        <f t="array" aca="1" ref="AW814" ca="1">IFERROR(_xlfn.IFS(OR($M814="",$AM814=""),"",OR($C814="Offered",$C814="Joined"),($AM814-$M814)-$AT814),"")</f>
        <v/>
      </c>
      <c r="AX814" s="32" t="str" cm="1">
        <f t="array" aca="1" ref="AX814" ca="1">IFERROR(_xlfn.IFS(OR($M814="",$AS814=""),"",$C814="Joined",($AS814-$M814)-$AT814),"")</f>
        <v/>
      </c>
      <c r="AY814" s="30" t="str">
        <f>IFERROR(IF(COUNTIFS('Candidate Tracker'!$E:$E,'Positions Tracker'!$B814,'Candidate Tracker'!$C:$C,"Offer Drop")=0,"",COUNTIFS('Candidate Tracker'!$E:$E,'Positions Tracker'!$B814,'Candidate Tracker'!$C:$C,"Offer Drop")),"")</f>
        <v/>
      </c>
      <c r="AZ8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4" s="34" t="str">
        <f>IFERROR(IF(COUNTIFS('Candidate Tracker'!$E:$E,'Positions Tracker'!$B814,'Candidate Tracker'!$I:$I,"Female")=0,"",COUNTIFS('Candidate Tracker'!$E:$E,'Positions Tracker'!$B814,'Candidate Tracker'!$I:$I,"Female")),"")</f>
        <v/>
      </c>
      <c r="BB814" s="34" t="str">
        <f>IFERROR(IF(COUNTIFS('Candidate Tracker'!$E:$E,'Positions Tracker'!$B814,'Candidate Tracker'!$I:$I,"male")=0,"",COUNTIFS('Candidate Tracker'!$E:$E,'Positions Tracker'!$B814,'Candidate Tracker'!$I:$I,"male")),"")</f>
        <v/>
      </c>
      <c r="BC814" s="33" t="str">
        <f>IFERROR(IF(COUNTIFS('Candidate Tracker'!$E:$E,'Positions Tracker'!$B814,'Candidate Tracker'!$C:$C,"&lt;&gt;WIP",'Candidate Tracker'!$C:$C,"&lt;&gt;Hold",'Candidate Tracker'!$C:$C,"&lt;&gt;Cancelled",'Candidate Tracker'!$C:$C,"&lt;&gt;Closed")/COUNTIFS('Candidate Tracker'!$E:$E,'Positions Tracker'!$B814)=0,"",COUNTIFS('Candidate Tracker'!$E:$E,'Positions Tracker'!$B814,'Candidate Tracker'!$C:$C,"&lt;&gt;WIP",'Candidate Tracker'!$C:$C,"&lt;&gt;Hold",'Candidate Tracker'!$C:$C,"&lt;&gt;Cancelled",'Candidate Tracker'!$C:$C,"&lt;&gt;Closed")/COUNTIFS('Candidate Tracker'!$E:$E,'Positions Tracker'!$B814)),"")</f>
        <v/>
      </c>
      <c r="BD814" s="30" t="str">
        <f t="shared" si="87"/>
        <v/>
      </c>
      <c r="BE814" s="30" t="str">
        <f t="shared" si="88"/>
        <v/>
      </c>
      <c r="BF814" s="30" t="str">
        <f t="shared" si="89"/>
        <v/>
      </c>
      <c r="BG814" s="30" t="str">
        <f t="shared" si="90"/>
        <v/>
      </c>
    </row>
    <row r="815" spans="1:59">
      <c r="A815" s="39"/>
      <c r="B815" s="39"/>
      <c r="C815" s="39"/>
      <c r="D815" s="39"/>
      <c r="E815" s="39"/>
      <c r="F815" s="39"/>
      <c r="G815" s="39"/>
      <c r="H815" s="39"/>
      <c r="I815" s="40"/>
      <c r="J815" s="40"/>
      <c r="K815" s="35"/>
      <c r="L815" s="35"/>
      <c r="M815" s="35"/>
      <c r="N815" s="39"/>
      <c r="O815" s="39"/>
      <c r="P815" s="39"/>
      <c r="Q815" s="39"/>
      <c r="R815" s="39"/>
      <c r="S815" s="39"/>
      <c r="T815" s="39"/>
      <c r="U815" s="39"/>
      <c r="V815" s="39"/>
      <c r="W815" s="39"/>
      <c r="X815" s="39"/>
      <c r="Y815" s="39"/>
      <c r="Z815" s="39"/>
      <c r="AA815" s="39"/>
      <c r="AB815" s="39"/>
      <c r="AC815" s="39"/>
      <c r="AD815" s="39"/>
      <c r="AE815" s="39"/>
      <c r="AF815" s="39"/>
      <c r="AG815" s="39"/>
      <c r="AH815" s="39"/>
      <c r="AI815" s="35"/>
      <c r="AJ815" s="39"/>
      <c r="AK815" s="39"/>
      <c r="AL815" s="39"/>
      <c r="AM815" s="35"/>
      <c r="AN815" s="35"/>
      <c r="AO815" s="39"/>
      <c r="AP815" s="39"/>
      <c r="AQ815" s="35"/>
      <c r="AR815" s="35"/>
      <c r="AS815" s="35"/>
      <c r="AT815" s="30">
        <f t="shared" ca="1" si="86"/>
        <v>0</v>
      </c>
      <c r="AU815" s="32" t="str">
        <f t="shared" ca="1" si="85"/>
        <v/>
      </c>
      <c r="AV815" s="32" t="str" cm="1">
        <f t="array" aca="1" ref="AV815" ca="1">IFERROR(_xlfn.IFS($AU815="","",$AU815&lt;=15,"0-15",AND($AU815&gt;=16,$AU815&lt;=30),"16-30",AND($AU815&gt;=31,$AU815&lt;=45),"31-45",AND($AU815&gt;=46,$AU815&lt;=60),"46-60",AND($AU815&gt;=61,$AU815&lt;=90),"61-90",AND($AU815&gt;=91),"&gt; 90",AND($AU815&gt;=2000),""),"")</f>
        <v/>
      </c>
      <c r="AW815" s="32" t="str" cm="1">
        <f t="array" aca="1" ref="AW815" ca="1">IFERROR(_xlfn.IFS(OR($M815="",$AM815=""),"",OR($C815="Offered",$C815="Joined"),($AM815-$M815)-$AT815),"")</f>
        <v/>
      </c>
      <c r="AX815" s="32" t="str" cm="1">
        <f t="array" aca="1" ref="AX815" ca="1">IFERROR(_xlfn.IFS(OR($M815="",$AS815=""),"",$C815="Joined",($AS815-$M815)-$AT815),"")</f>
        <v/>
      </c>
      <c r="AY815" s="30" t="str">
        <f>IFERROR(IF(COUNTIFS('Candidate Tracker'!$E:$E,'Positions Tracker'!$B815,'Candidate Tracker'!$C:$C,"Offer Drop")=0,"",COUNTIFS('Candidate Tracker'!$E:$E,'Positions Tracker'!$B815,'Candidate Tracker'!$C:$C,"Offer Drop")),"")</f>
        <v/>
      </c>
      <c r="AZ8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5" s="34" t="str">
        <f>IFERROR(IF(COUNTIFS('Candidate Tracker'!$E:$E,'Positions Tracker'!$B815,'Candidate Tracker'!$I:$I,"Female")=0,"",COUNTIFS('Candidate Tracker'!$E:$E,'Positions Tracker'!$B815,'Candidate Tracker'!$I:$I,"Female")),"")</f>
        <v/>
      </c>
      <c r="BB815" s="34" t="str">
        <f>IFERROR(IF(COUNTIFS('Candidate Tracker'!$E:$E,'Positions Tracker'!$B815,'Candidate Tracker'!$I:$I,"male")=0,"",COUNTIFS('Candidate Tracker'!$E:$E,'Positions Tracker'!$B815,'Candidate Tracker'!$I:$I,"male")),"")</f>
        <v/>
      </c>
      <c r="BC815" s="33" t="str">
        <f>IFERROR(IF(COUNTIFS('Candidate Tracker'!$E:$E,'Positions Tracker'!$B815,'Candidate Tracker'!$C:$C,"&lt;&gt;WIP",'Candidate Tracker'!$C:$C,"&lt;&gt;Hold",'Candidate Tracker'!$C:$C,"&lt;&gt;Cancelled",'Candidate Tracker'!$C:$C,"&lt;&gt;Closed")/COUNTIFS('Candidate Tracker'!$E:$E,'Positions Tracker'!$B815)=0,"",COUNTIFS('Candidate Tracker'!$E:$E,'Positions Tracker'!$B815,'Candidate Tracker'!$C:$C,"&lt;&gt;WIP",'Candidate Tracker'!$C:$C,"&lt;&gt;Hold",'Candidate Tracker'!$C:$C,"&lt;&gt;Cancelled",'Candidate Tracker'!$C:$C,"&lt;&gt;Closed")/COUNTIFS('Candidate Tracker'!$E:$E,'Positions Tracker'!$B815)),"")</f>
        <v/>
      </c>
      <c r="BD815" s="30" t="str">
        <f t="shared" si="87"/>
        <v/>
      </c>
      <c r="BE815" s="30" t="str">
        <f t="shared" si="88"/>
        <v/>
      </c>
      <c r="BF815" s="30" t="str">
        <f t="shared" si="89"/>
        <v/>
      </c>
      <c r="BG815" s="30" t="str">
        <f t="shared" si="90"/>
        <v/>
      </c>
    </row>
    <row r="816" spans="1:59">
      <c r="A816" s="39"/>
      <c r="B816" s="39"/>
      <c r="C816" s="39"/>
      <c r="D816" s="39"/>
      <c r="E816" s="39"/>
      <c r="F816" s="39"/>
      <c r="G816" s="39"/>
      <c r="H816" s="39"/>
      <c r="I816" s="40"/>
      <c r="J816" s="40"/>
      <c r="K816" s="35"/>
      <c r="L816" s="35"/>
      <c r="M816" s="35"/>
      <c r="N816" s="39"/>
      <c r="O816" s="39"/>
      <c r="P816" s="39"/>
      <c r="Q816" s="39"/>
      <c r="R816" s="39"/>
      <c r="S816" s="39"/>
      <c r="T816" s="39"/>
      <c r="U816" s="39"/>
      <c r="V816" s="39"/>
      <c r="W816" s="39"/>
      <c r="X816" s="39"/>
      <c r="Y816" s="39"/>
      <c r="Z816" s="39"/>
      <c r="AA816" s="39"/>
      <c r="AB816" s="39"/>
      <c r="AC816" s="39"/>
      <c r="AD816" s="39"/>
      <c r="AE816" s="39"/>
      <c r="AF816" s="39"/>
      <c r="AG816" s="39"/>
      <c r="AH816" s="39"/>
      <c r="AI816" s="35"/>
      <c r="AJ816" s="39"/>
      <c r="AK816" s="39"/>
      <c r="AL816" s="39"/>
      <c r="AM816" s="35"/>
      <c r="AN816" s="35"/>
      <c r="AO816" s="39"/>
      <c r="AP816" s="39"/>
      <c r="AQ816" s="35"/>
      <c r="AR816" s="35"/>
      <c r="AS816" s="35"/>
      <c r="AT816" s="30">
        <f t="shared" ca="1" si="86"/>
        <v>0</v>
      </c>
      <c r="AU816" s="32" t="str">
        <f t="shared" ca="1" si="85"/>
        <v/>
      </c>
      <c r="AV816" s="32" t="str" cm="1">
        <f t="array" aca="1" ref="AV816" ca="1">IFERROR(_xlfn.IFS($AU816="","",$AU816&lt;=15,"0-15",AND($AU816&gt;=16,$AU816&lt;=30),"16-30",AND($AU816&gt;=31,$AU816&lt;=45),"31-45",AND($AU816&gt;=46,$AU816&lt;=60),"46-60",AND($AU816&gt;=61,$AU816&lt;=90),"61-90",AND($AU816&gt;=91),"&gt; 90",AND($AU816&gt;=2000),""),"")</f>
        <v/>
      </c>
      <c r="AW816" s="32" t="str" cm="1">
        <f t="array" aca="1" ref="AW816" ca="1">IFERROR(_xlfn.IFS(OR($M816="",$AM816=""),"",OR($C816="Offered",$C816="Joined"),($AM816-$M816)-$AT816),"")</f>
        <v/>
      </c>
      <c r="AX816" s="32" t="str" cm="1">
        <f t="array" aca="1" ref="AX816" ca="1">IFERROR(_xlfn.IFS(OR($M816="",$AS816=""),"",$C816="Joined",($AS816-$M816)-$AT816),"")</f>
        <v/>
      </c>
      <c r="AY816" s="30" t="str">
        <f>IFERROR(IF(COUNTIFS('Candidate Tracker'!$E:$E,'Positions Tracker'!$B816,'Candidate Tracker'!$C:$C,"Offer Drop")=0,"",COUNTIFS('Candidate Tracker'!$E:$E,'Positions Tracker'!$B816,'Candidate Tracker'!$C:$C,"Offer Drop")),"")</f>
        <v/>
      </c>
      <c r="AZ8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6" s="34" t="str">
        <f>IFERROR(IF(COUNTIFS('Candidate Tracker'!$E:$E,'Positions Tracker'!$B816,'Candidate Tracker'!$I:$I,"Female")=0,"",COUNTIFS('Candidate Tracker'!$E:$E,'Positions Tracker'!$B816,'Candidate Tracker'!$I:$I,"Female")),"")</f>
        <v/>
      </c>
      <c r="BB816" s="34" t="str">
        <f>IFERROR(IF(COUNTIFS('Candidate Tracker'!$E:$E,'Positions Tracker'!$B816,'Candidate Tracker'!$I:$I,"male")=0,"",COUNTIFS('Candidate Tracker'!$E:$E,'Positions Tracker'!$B816,'Candidate Tracker'!$I:$I,"male")),"")</f>
        <v/>
      </c>
      <c r="BC816" s="33" t="str">
        <f>IFERROR(IF(COUNTIFS('Candidate Tracker'!$E:$E,'Positions Tracker'!$B816,'Candidate Tracker'!$C:$C,"&lt;&gt;WIP",'Candidate Tracker'!$C:$C,"&lt;&gt;Hold",'Candidate Tracker'!$C:$C,"&lt;&gt;Cancelled",'Candidate Tracker'!$C:$C,"&lt;&gt;Closed")/COUNTIFS('Candidate Tracker'!$E:$E,'Positions Tracker'!$B816)=0,"",COUNTIFS('Candidate Tracker'!$E:$E,'Positions Tracker'!$B816,'Candidate Tracker'!$C:$C,"&lt;&gt;WIP",'Candidate Tracker'!$C:$C,"&lt;&gt;Hold",'Candidate Tracker'!$C:$C,"&lt;&gt;Cancelled",'Candidate Tracker'!$C:$C,"&lt;&gt;Closed")/COUNTIFS('Candidate Tracker'!$E:$E,'Positions Tracker'!$B816)),"")</f>
        <v/>
      </c>
      <c r="BD816" s="30" t="str">
        <f t="shared" si="87"/>
        <v/>
      </c>
      <c r="BE816" s="30" t="str">
        <f t="shared" si="88"/>
        <v/>
      </c>
      <c r="BF816" s="30" t="str">
        <f t="shared" si="89"/>
        <v/>
      </c>
      <c r="BG816" s="30" t="str">
        <f t="shared" si="90"/>
        <v/>
      </c>
    </row>
    <row r="817" spans="1:59">
      <c r="A817" s="39"/>
      <c r="B817" s="39"/>
      <c r="C817" s="39"/>
      <c r="D817" s="39"/>
      <c r="E817" s="39"/>
      <c r="F817" s="39"/>
      <c r="G817" s="39"/>
      <c r="H817" s="39"/>
      <c r="I817" s="40"/>
      <c r="J817" s="40"/>
      <c r="K817" s="35"/>
      <c r="L817" s="35"/>
      <c r="M817" s="35"/>
      <c r="N817" s="39"/>
      <c r="O817" s="39"/>
      <c r="P817" s="39"/>
      <c r="Q817" s="39"/>
      <c r="R817" s="39"/>
      <c r="S817" s="39"/>
      <c r="T817" s="39"/>
      <c r="U817" s="39"/>
      <c r="V817" s="39"/>
      <c r="W817" s="39"/>
      <c r="X817" s="39"/>
      <c r="Y817" s="39"/>
      <c r="Z817" s="39"/>
      <c r="AA817" s="39"/>
      <c r="AB817" s="39"/>
      <c r="AC817" s="39"/>
      <c r="AD817" s="39"/>
      <c r="AE817" s="39"/>
      <c r="AF817" s="39"/>
      <c r="AG817" s="39"/>
      <c r="AH817" s="39"/>
      <c r="AI817" s="35"/>
      <c r="AJ817" s="39"/>
      <c r="AK817" s="39"/>
      <c r="AL817" s="39"/>
      <c r="AM817" s="35"/>
      <c r="AN817" s="35"/>
      <c r="AO817" s="39"/>
      <c r="AP817" s="39"/>
      <c r="AQ817" s="35"/>
      <c r="AR817" s="35"/>
      <c r="AS817" s="35"/>
      <c r="AT817" s="30">
        <f t="shared" ca="1" si="86"/>
        <v>0</v>
      </c>
      <c r="AU817" s="32" t="str">
        <f t="shared" ca="1" si="85"/>
        <v/>
      </c>
      <c r="AV817" s="32" t="str" cm="1">
        <f t="array" aca="1" ref="AV817" ca="1">IFERROR(_xlfn.IFS($AU817="","",$AU817&lt;=15,"0-15",AND($AU817&gt;=16,$AU817&lt;=30),"16-30",AND($AU817&gt;=31,$AU817&lt;=45),"31-45",AND($AU817&gt;=46,$AU817&lt;=60),"46-60",AND($AU817&gt;=61,$AU817&lt;=90),"61-90",AND($AU817&gt;=91),"&gt; 90",AND($AU817&gt;=2000),""),"")</f>
        <v/>
      </c>
      <c r="AW817" s="32" t="str" cm="1">
        <f t="array" aca="1" ref="AW817" ca="1">IFERROR(_xlfn.IFS(OR($M817="",$AM817=""),"",OR($C817="Offered",$C817="Joined"),($AM817-$M817)-$AT817),"")</f>
        <v/>
      </c>
      <c r="AX817" s="32" t="str" cm="1">
        <f t="array" aca="1" ref="AX817" ca="1">IFERROR(_xlfn.IFS(OR($M817="",$AS817=""),"",$C817="Joined",($AS817-$M817)-$AT817),"")</f>
        <v/>
      </c>
      <c r="AY817" s="30" t="str">
        <f>IFERROR(IF(COUNTIFS('Candidate Tracker'!$E:$E,'Positions Tracker'!$B817,'Candidate Tracker'!$C:$C,"Offer Drop")=0,"",COUNTIFS('Candidate Tracker'!$E:$E,'Positions Tracker'!$B817,'Candidate Tracker'!$C:$C,"Offer Drop")),"")</f>
        <v/>
      </c>
      <c r="AZ8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7" s="34" t="str">
        <f>IFERROR(IF(COUNTIFS('Candidate Tracker'!$E:$E,'Positions Tracker'!$B817,'Candidate Tracker'!$I:$I,"Female")=0,"",COUNTIFS('Candidate Tracker'!$E:$E,'Positions Tracker'!$B817,'Candidate Tracker'!$I:$I,"Female")),"")</f>
        <v/>
      </c>
      <c r="BB817" s="34" t="str">
        <f>IFERROR(IF(COUNTIFS('Candidate Tracker'!$E:$E,'Positions Tracker'!$B817,'Candidate Tracker'!$I:$I,"male")=0,"",COUNTIFS('Candidate Tracker'!$E:$E,'Positions Tracker'!$B817,'Candidate Tracker'!$I:$I,"male")),"")</f>
        <v/>
      </c>
      <c r="BC817" s="33" t="str">
        <f>IFERROR(IF(COUNTIFS('Candidate Tracker'!$E:$E,'Positions Tracker'!$B817,'Candidate Tracker'!$C:$C,"&lt;&gt;WIP",'Candidate Tracker'!$C:$C,"&lt;&gt;Hold",'Candidate Tracker'!$C:$C,"&lt;&gt;Cancelled",'Candidate Tracker'!$C:$C,"&lt;&gt;Closed")/COUNTIFS('Candidate Tracker'!$E:$E,'Positions Tracker'!$B817)=0,"",COUNTIFS('Candidate Tracker'!$E:$E,'Positions Tracker'!$B817,'Candidate Tracker'!$C:$C,"&lt;&gt;WIP",'Candidate Tracker'!$C:$C,"&lt;&gt;Hold",'Candidate Tracker'!$C:$C,"&lt;&gt;Cancelled",'Candidate Tracker'!$C:$C,"&lt;&gt;Closed")/COUNTIFS('Candidate Tracker'!$E:$E,'Positions Tracker'!$B817)),"")</f>
        <v/>
      </c>
      <c r="BD817" s="30" t="str">
        <f t="shared" si="87"/>
        <v/>
      </c>
      <c r="BE817" s="30" t="str">
        <f t="shared" si="88"/>
        <v/>
      </c>
      <c r="BF817" s="30" t="str">
        <f t="shared" si="89"/>
        <v/>
      </c>
      <c r="BG817" s="30" t="str">
        <f t="shared" si="90"/>
        <v/>
      </c>
    </row>
    <row r="818" spans="1:59">
      <c r="A818" s="39"/>
      <c r="B818" s="39"/>
      <c r="C818" s="39"/>
      <c r="D818" s="39"/>
      <c r="E818" s="39"/>
      <c r="F818" s="39"/>
      <c r="G818" s="39"/>
      <c r="H818" s="39"/>
      <c r="I818" s="40"/>
      <c r="J818" s="40"/>
      <c r="K818" s="35"/>
      <c r="L818" s="35"/>
      <c r="M818" s="35"/>
      <c r="N818" s="39"/>
      <c r="O818" s="39"/>
      <c r="P818" s="39"/>
      <c r="Q818" s="39"/>
      <c r="R818" s="39"/>
      <c r="S818" s="39"/>
      <c r="T818" s="39"/>
      <c r="U818" s="39"/>
      <c r="V818" s="39"/>
      <c r="W818" s="39"/>
      <c r="X818" s="39"/>
      <c r="Y818" s="39"/>
      <c r="Z818" s="39"/>
      <c r="AA818" s="39"/>
      <c r="AB818" s="39"/>
      <c r="AC818" s="39"/>
      <c r="AD818" s="39"/>
      <c r="AE818" s="39"/>
      <c r="AF818" s="39"/>
      <c r="AG818" s="39"/>
      <c r="AH818" s="39"/>
      <c r="AI818" s="35"/>
      <c r="AJ818" s="39"/>
      <c r="AK818" s="39"/>
      <c r="AL818" s="39"/>
      <c r="AM818" s="35"/>
      <c r="AN818" s="35"/>
      <c r="AO818" s="39"/>
      <c r="AP818" s="39"/>
      <c r="AQ818" s="35"/>
      <c r="AR818" s="35"/>
      <c r="AS818" s="35"/>
      <c r="AT818" s="30">
        <f t="shared" ca="1" si="86"/>
        <v>0</v>
      </c>
      <c r="AU818" s="32" t="str">
        <f t="shared" ca="1" si="85"/>
        <v/>
      </c>
      <c r="AV818" s="32" t="str" cm="1">
        <f t="array" aca="1" ref="AV818" ca="1">IFERROR(_xlfn.IFS($AU818="","",$AU818&lt;=15,"0-15",AND($AU818&gt;=16,$AU818&lt;=30),"16-30",AND($AU818&gt;=31,$AU818&lt;=45),"31-45",AND($AU818&gt;=46,$AU818&lt;=60),"46-60",AND($AU818&gt;=61,$AU818&lt;=90),"61-90",AND($AU818&gt;=91),"&gt; 90",AND($AU818&gt;=2000),""),"")</f>
        <v/>
      </c>
      <c r="AW818" s="32" t="str" cm="1">
        <f t="array" aca="1" ref="AW818" ca="1">IFERROR(_xlfn.IFS(OR($M818="",$AM818=""),"",OR($C818="Offered",$C818="Joined"),($AM818-$M818)-$AT818),"")</f>
        <v/>
      </c>
      <c r="AX818" s="32" t="str" cm="1">
        <f t="array" aca="1" ref="AX818" ca="1">IFERROR(_xlfn.IFS(OR($M818="",$AS818=""),"",$C818="Joined",($AS818-$M818)-$AT818),"")</f>
        <v/>
      </c>
      <c r="AY818" s="30" t="str">
        <f>IFERROR(IF(COUNTIFS('Candidate Tracker'!$E:$E,'Positions Tracker'!$B818,'Candidate Tracker'!$C:$C,"Offer Drop")=0,"",COUNTIFS('Candidate Tracker'!$E:$E,'Positions Tracker'!$B818,'Candidate Tracker'!$C:$C,"Offer Drop")),"")</f>
        <v/>
      </c>
      <c r="AZ8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8" s="34" t="str">
        <f>IFERROR(IF(COUNTIFS('Candidate Tracker'!$E:$E,'Positions Tracker'!$B818,'Candidate Tracker'!$I:$I,"Female")=0,"",COUNTIFS('Candidate Tracker'!$E:$E,'Positions Tracker'!$B818,'Candidate Tracker'!$I:$I,"Female")),"")</f>
        <v/>
      </c>
      <c r="BB818" s="34" t="str">
        <f>IFERROR(IF(COUNTIFS('Candidate Tracker'!$E:$E,'Positions Tracker'!$B818,'Candidate Tracker'!$I:$I,"male")=0,"",COUNTIFS('Candidate Tracker'!$E:$E,'Positions Tracker'!$B818,'Candidate Tracker'!$I:$I,"male")),"")</f>
        <v/>
      </c>
      <c r="BC818" s="33" t="str">
        <f>IFERROR(IF(COUNTIFS('Candidate Tracker'!$E:$E,'Positions Tracker'!$B818,'Candidate Tracker'!$C:$C,"&lt;&gt;WIP",'Candidate Tracker'!$C:$C,"&lt;&gt;Hold",'Candidate Tracker'!$C:$C,"&lt;&gt;Cancelled",'Candidate Tracker'!$C:$C,"&lt;&gt;Closed")/COUNTIFS('Candidate Tracker'!$E:$E,'Positions Tracker'!$B818)=0,"",COUNTIFS('Candidate Tracker'!$E:$E,'Positions Tracker'!$B818,'Candidate Tracker'!$C:$C,"&lt;&gt;WIP",'Candidate Tracker'!$C:$C,"&lt;&gt;Hold",'Candidate Tracker'!$C:$C,"&lt;&gt;Cancelled",'Candidate Tracker'!$C:$C,"&lt;&gt;Closed")/COUNTIFS('Candidate Tracker'!$E:$E,'Positions Tracker'!$B818)),"")</f>
        <v/>
      </c>
      <c r="BD818" s="30" t="str">
        <f t="shared" si="87"/>
        <v/>
      </c>
      <c r="BE818" s="30" t="str">
        <f t="shared" si="88"/>
        <v/>
      </c>
      <c r="BF818" s="30" t="str">
        <f t="shared" si="89"/>
        <v/>
      </c>
      <c r="BG818" s="30" t="str">
        <f t="shared" si="90"/>
        <v/>
      </c>
    </row>
    <row r="819" spans="1:59">
      <c r="A819" s="39"/>
      <c r="B819" s="39"/>
      <c r="C819" s="39"/>
      <c r="D819" s="39"/>
      <c r="E819" s="39"/>
      <c r="F819" s="39"/>
      <c r="G819" s="39"/>
      <c r="H819" s="39"/>
      <c r="I819" s="40"/>
      <c r="J819" s="40"/>
      <c r="K819" s="35"/>
      <c r="L819" s="35"/>
      <c r="M819" s="35"/>
      <c r="N819" s="39"/>
      <c r="O819" s="39"/>
      <c r="P819" s="39"/>
      <c r="Q819" s="39"/>
      <c r="R819" s="39"/>
      <c r="S819" s="39"/>
      <c r="T819" s="39"/>
      <c r="U819" s="39"/>
      <c r="V819" s="39"/>
      <c r="W819" s="39"/>
      <c r="X819" s="39"/>
      <c r="Y819" s="39"/>
      <c r="Z819" s="39"/>
      <c r="AA819" s="39"/>
      <c r="AB819" s="39"/>
      <c r="AC819" s="39"/>
      <c r="AD819" s="39"/>
      <c r="AE819" s="39"/>
      <c r="AF819" s="39"/>
      <c r="AG819" s="39"/>
      <c r="AH819" s="39"/>
      <c r="AI819" s="35"/>
      <c r="AJ819" s="39"/>
      <c r="AK819" s="39"/>
      <c r="AL819" s="39"/>
      <c r="AM819" s="35"/>
      <c r="AN819" s="35"/>
      <c r="AO819" s="39"/>
      <c r="AP819" s="39"/>
      <c r="AQ819" s="35"/>
      <c r="AR819" s="35"/>
      <c r="AS819" s="35"/>
      <c r="AT819" s="30">
        <f t="shared" ca="1" si="86"/>
        <v>0</v>
      </c>
      <c r="AU819" s="32" t="str">
        <f t="shared" ca="1" si="85"/>
        <v/>
      </c>
      <c r="AV819" s="32" t="str" cm="1">
        <f t="array" aca="1" ref="AV819" ca="1">IFERROR(_xlfn.IFS($AU819="","",$AU819&lt;=15,"0-15",AND($AU819&gt;=16,$AU819&lt;=30),"16-30",AND($AU819&gt;=31,$AU819&lt;=45),"31-45",AND($AU819&gt;=46,$AU819&lt;=60),"46-60",AND($AU819&gt;=61,$AU819&lt;=90),"61-90",AND($AU819&gt;=91),"&gt; 90",AND($AU819&gt;=2000),""),"")</f>
        <v/>
      </c>
      <c r="AW819" s="32" t="str" cm="1">
        <f t="array" aca="1" ref="AW819" ca="1">IFERROR(_xlfn.IFS(OR($M819="",$AM819=""),"",OR($C819="Offered",$C819="Joined"),($AM819-$M819)-$AT819),"")</f>
        <v/>
      </c>
      <c r="AX819" s="32" t="str" cm="1">
        <f t="array" aca="1" ref="AX819" ca="1">IFERROR(_xlfn.IFS(OR($M819="",$AS819=""),"",$C819="Joined",($AS819-$M819)-$AT819),"")</f>
        <v/>
      </c>
      <c r="AY819" s="30" t="str">
        <f>IFERROR(IF(COUNTIFS('Candidate Tracker'!$E:$E,'Positions Tracker'!$B819,'Candidate Tracker'!$C:$C,"Offer Drop")=0,"",COUNTIFS('Candidate Tracker'!$E:$E,'Positions Tracker'!$B819,'Candidate Tracker'!$C:$C,"Offer Drop")),"")</f>
        <v/>
      </c>
      <c r="AZ8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19" s="34" t="str">
        <f>IFERROR(IF(COUNTIFS('Candidate Tracker'!$E:$E,'Positions Tracker'!$B819,'Candidate Tracker'!$I:$I,"Female")=0,"",COUNTIFS('Candidate Tracker'!$E:$E,'Positions Tracker'!$B819,'Candidate Tracker'!$I:$I,"Female")),"")</f>
        <v/>
      </c>
      <c r="BB819" s="34" t="str">
        <f>IFERROR(IF(COUNTIFS('Candidate Tracker'!$E:$E,'Positions Tracker'!$B819,'Candidate Tracker'!$I:$I,"male")=0,"",COUNTIFS('Candidate Tracker'!$E:$E,'Positions Tracker'!$B819,'Candidate Tracker'!$I:$I,"male")),"")</f>
        <v/>
      </c>
      <c r="BC819" s="33" t="str">
        <f>IFERROR(IF(COUNTIFS('Candidate Tracker'!$E:$E,'Positions Tracker'!$B819,'Candidate Tracker'!$C:$C,"&lt;&gt;WIP",'Candidate Tracker'!$C:$C,"&lt;&gt;Hold",'Candidate Tracker'!$C:$C,"&lt;&gt;Cancelled",'Candidate Tracker'!$C:$C,"&lt;&gt;Closed")/COUNTIFS('Candidate Tracker'!$E:$E,'Positions Tracker'!$B819)=0,"",COUNTIFS('Candidate Tracker'!$E:$E,'Positions Tracker'!$B819,'Candidate Tracker'!$C:$C,"&lt;&gt;WIP",'Candidate Tracker'!$C:$C,"&lt;&gt;Hold",'Candidate Tracker'!$C:$C,"&lt;&gt;Cancelled",'Candidate Tracker'!$C:$C,"&lt;&gt;Closed")/COUNTIFS('Candidate Tracker'!$E:$E,'Positions Tracker'!$B819)),"")</f>
        <v/>
      </c>
      <c r="BD819" s="30" t="str">
        <f t="shared" si="87"/>
        <v/>
      </c>
      <c r="BE819" s="30" t="str">
        <f t="shared" si="88"/>
        <v/>
      </c>
      <c r="BF819" s="30" t="str">
        <f t="shared" si="89"/>
        <v/>
      </c>
      <c r="BG819" s="30" t="str">
        <f t="shared" si="90"/>
        <v/>
      </c>
    </row>
    <row r="820" spans="1:59">
      <c r="A820" s="39"/>
      <c r="B820" s="39"/>
      <c r="C820" s="39"/>
      <c r="D820" s="39"/>
      <c r="E820" s="39"/>
      <c r="F820" s="39"/>
      <c r="G820" s="39"/>
      <c r="H820" s="39"/>
      <c r="I820" s="40"/>
      <c r="J820" s="40"/>
      <c r="K820" s="35"/>
      <c r="L820" s="35"/>
      <c r="M820" s="35"/>
      <c r="N820" s="39"/>
      <c r="O820" s="39"/>
      <c r="P820" s="39"/>
      <c r="Q820" s="39"/>
      <c r="R820" s="39"/>
      <c r="S820" s="39"/>
      <c r="T820" s="39"/>
      <c r="U820" s="39"/>
      <c r="V820" s="39"/>
      <c r="W820" s="39"/>
      <c r="X820" s="39"/>
      <c r="Y820" s="39"/>
      <c r="Z820" s="39"/>
      <c r="AA820" s="39"/>
      <c r="AB820" s="39"/>
      <c r="AC820" s="39"/>
      <c r="AD820" s="39"/>
      <c r="AE820" s="39"/>
      <c r="AF820" s="39"/>
      <c r="AG820" s="39"/>
      <c r="AH820" s="39"/>
      <c r="AI820" s="35"/>
      <c r="AJ820" s="39"/>
      <c r="AK820" s="39"/>
      <c r="AL820" s="39"/>
      <c r="AM820" s="35"/>
      <c r="AN820" s="35"/>
      <c r="AO820" s="39"/>
      <c r="AP820" s="39"/>
      <c r="AQ820" s="35"/>
      <c r="AR820" s="35"/>
      <c r="AS820" s="35"/>
      <c r="AT820" s="30">
        <f t="shared" ca="1" si="86"/>
        <v>0</v>
      </c>
      <c r="AU820" s="32" t="str">
        <f t="shared" ca="1" si="85"/>
        <v/>
      </c>
      <c r="AV820" s="32" t="str" cm="1">
        <f t="array" aca="1" ref="AV820" ca="1">IFERROR(_xlfn.IFS($AU820="","",$AU820&lt;=15,"0-15",AND($AU820&gt;=16,$AU820&lt;=30),"16-30",AND($AU820&gt;=31,$AU820&lt;=45),"31-45",AND($AU820&gt;=46,$AU820&lt;=60),"46-60",AND($AU820&gt;=61,$AU820&lt;=90),"61-90",AND($AU820&gt;=91),"&gt; 90",AND($AU820&gt;=2000),""),"")</f>
        <v/>
      </c>
      <c r="AW820" s="32" t="str" cm="1">
        <f t="array" aca="1" ref="AW820" ca="1">IFERROR(_xlfn.IFS(OR($M820="",$AM820=""),"",OR($C820="Offered",$C820="Joined"),($AM820-$M820)-$AT820),"")</f>
        <v/>
      </c>
      <c r="AX820" s="32" t="str" cm="1">
        <f t="array" aca="1" ref="AX820" ca="1">IFERROR(_xlfn.IFS(OR($M820="",$AS820=""),"",$C820="Joined",($AS820-$M820)-$AT820),"")</f>
        <v/>
      </c>
      <c r="AY820" s="30" t="str">
        <f>IFERROR(IF(COUNTIFS('Candidate Tracker'!$E:$E,'Positions Tracker'!$B820,'Candidate Tracker'!$C:$C,"Offer Drop")=0,"",COUNTIFS('Candidate Tracker'!$E:$E,'Positions Tracker'!$B820,'Candidate Tracker'!$C:$C,"Offer Drop")),"")</f>
        <v/>
      </c>
      <c r="AZ8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0" s="34" t="str">
        <f>IFERROR(IF(COUNTIFS('Candidate Tracker'!$E:$E,'Positions Tracker'!$B820,'Candidate Tracker'!$I:$I,"Female")=0,"",COUNTIFS('Candidate Tracker'!$E:$E,'Positions Tracker'!$B820,'Candidate Tracker'!$I:$I,"Female")),"")</f>
        <v/>
      </c>
      <c r="BB820" s="34" t="str">
        <f>IFERROR(IF(COUNTIFS('Candidate Tracker'!$E:$E,'Positions Tracker'!$B820,'Candidate Tracker'!$I:$I,"male")=0,"",COUNTIFS('Candidate Tracker'!$E:$E,'Positions Tracker'!$B820,'Candidate Tracker'!$I:$I,"male")),"")</f>
        <v/>
      </c>
      <c r="BC820" s="33" t="str">
        <f>IFERROR(IF(COUNTIFS('Candidate Tracker'!$E:$E,'Positions Tracker'!$B820,'Candidate Tracker'!$C:$C,"&lt;&gt;WIP",'Candidate Tracker'!$C:$C,"&lt;&gt;Hold",'Candidate Tracker'!$C:$C,"&lt;&gt;Cancelled",'Candidate Tracker'!$C:$C,"&lt;&gt;Closed")/COUNTIFS('Candidate Tracker'!$E:$E,'Positions Tracker'!$B820)=0,"",COUNTIFS('Candidate Tracker'!$E:$E,'Positions Tracker'!$B820,'Candidate Tracker'!$C:$C,"&lt;&gt;WIP",'Candidate Tracker'!$C:$C,"&lt;&gt;Hold",'Candidate Tracker'!$C:$C,"&lt;&gt;Cancelled",'Candidate Tracker'!$C:$C,"&lt;&gt;Closed")/COUNTIFS('Candidate Tracker'!$E:$E,'Positions Tracker'!$B820)),"")</f>
        <v/>
      </c>
      <c r="BD820" s="30" t="str">
        <f t="shared" si="87"/>
        <v/>
      </c>
      <c r="BE820" s="30" t="str">
        <f t="shared" si="88"/>
        <v/>
      </c>
      <c r="BF820" s="30" t="str">
        <f t="shared" si="89"/>
        <v/>
      </c>
      <c r="BG820" s="30" t="str">
        <f t="shared" si="90"/>
        <v/>
      </c>
    </row>
    <row r="821" spans="1:59">
      <c r="A821" s="39"/>
      <c r="B821" s="39"/>
      <c r="C821" s="39"/>
      <c r="D821" s="39"/>
      <c r="E821" s="39"/>
      <c r="F821" s="39"/>
      <c r="G821" s="39"/>
      <c r="H821" s="39"/>
      <c r="I821" s="40"/>
      <c r="J821" s="40"/>
      <c r="K821" s="35"/>
      <c r="L821" s="35"/>
      <c r="M821" s="35"/>
      <c r="N821" s="39"/>
      <c r="O821" s="39"/>
      <c r="P821" s="39"/>
      <c r="Q821" s="39"/>
      <c r="R821" s="39"/>
      <c r="S821" s="39"/>
      <c r="T821" s="39"/>
      <c r="U821" s="39"/>
      <c r="V821" s="39"/>
      <c r="W821" s="39"/>
      <c r="X821" s="39"/>
      <c r="Y821" s="39"/>
      <c r="Z821" s="39"/>
      <c r="AA821" s="39"/>
      <c r="AB821" s="39"/>
      <c r="AC821" s="39"/>
      <c r="AD821" s="39"/>
      <c r="AE821" s="39"/>
      <c r="AF821" s="39"/>
      <c r="AG821" s="39"/>
      <c r="AH821" s="39"/>
      <c r="AI821" s="35"/>
      <c r="AJ821" s="39"/>
      <c r="AK821" s="39"/>
      <c r="AL821" s="39"/>
      <c r="AM821" s="35"/>
      <c r="AN821" s="35"/>
      <c r="AO821" s="39"/>
      <c r="AP821" s="39"/>
      <c r="AQ821" s="35"/>
      <c r="AR821" s="35"/>
      <c r="AS821" s="35"/>
      <c r="AT821" s="30">
        <f t="shared" ca="1" si="86"/>
        <v>0</v>
      </c>
      <c r="AU821" s="32" t="str">
        <f t="shared" ca="1" si="85"/>
        <v/>
      </c>
      <c r="AV821" s="32" t="str" cm="1">
        <f t="array" aca="1" ref="AV821" ca="1">IFERROR(_xlfn.IFS($AU821="","",$AU821&lt;=15,"0-15",AND($AU821&gt;=16,$AU821&lt;=30),"16-30",AND($AU821&gt;=31,$AU821&lt;=45),"31-45",AND($AU821&gt;=46,$AU821&lt;=60),"46-60",AND($AU821&gt;=61,$AU821&lt;=90),"61-90",AND($AU821&gt;=91),"&gt; 90",AND($AU821&gt;=2000),""),"")</f>
        <v/>
      </c>
      <c r="AW821" s="32" t="str" cm="1">
        <f t="array" aca="1" ref="AW821" ca="1">IFERROR(_xlfn.IFS(OR($M821="",$AM821=""),"",OR($C821="Offered",$C821="Joined"),($AM821-$M821)-$AT821),"")</f>
        <v/>
      </c>
      <c r="AX821" s="32" t="str" cm="1">
        <f t="array" aca="1" ref="AX821" ca="1">IFERROR(_xlfn.IFS(OR($M821="",$AS821=""),"",$C821="Joined",($AS821-$M821)-$AT821),"")</f>
        <v/>
      </c>
      <c r="AY821" s="30" t="str">
        <f>IFERROR(IF(COUNTIFS('Candidate Tracker'!$E:$E,'Positions Tracker'!$B821,'Candidate Tracker'!$C:$C,"Offer Drop")=0,"",COUNTIFS('Candidate Tracker'!$E:$E,'Positions Tracker'!$B821,'Candidate Tracker'!$C:$C,"Offer Drop")),"")</f>
        <v/>
      </c>
      <c r="AZ8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1" s="34" t="str">
        <f>IFERROR(IF(COUNTIFS('Candidate Tracker'!$E:$E,'Positions Tracker'!$B821,'Candidate Tracker'!$I:$I,"Female")=0,"",COUNTIFS('Candidate Tracker'!$E:$E,'Positions Tracker'!$B821,'Candidate Tracker'!$I:$I,"Female")),"")</f>
        <v/>
      </c>
      <c r="BB821" s="34" t="str">
        <f>IFERROR(IF(COUNTIFS('Candidate Tracker'!$E:$E,'Positions Tracker'!$B821,'Candidate Tracker'!$I:$I,"male")=0,"",COUNTIFS('Candidate Tracker'!$E:$E,'Positions Tracker'!$B821,'Candidate Tracker'!$I:$I,"male")),"")</f>
        <v/>
      </c>
      <c r="BC821" s="33" t="str">
        <f>IFERROR(IF(COUNTIFS('Candidate Tracker'!$E:$E,'Positions Tracker'!$B821,'Candidate Tracker'!$C:$C,"&lt;&gt;WIP",'Candidate Tracker'!$C:$C,"&lt;&gt;Hold",'Candidate Tracker'!$C:$C,"&lt;&gt;Cancelled",'Candidate Tracker'!$C:$C,"&lt;&gt;Closed")/COUNTIFS('Candidate Tracker'!$E:$E,'Positions Tracker'!$B821)=0,"",COUNTIFS('Candidate Tracker'!$E:$E,'Positions Tracker'!$B821,'Candidate Tracker'!$C:$C,"&lt;&gt;WIP",'Candidate Tracker'!$C:$C,"&lt;&gt;Hold",'Candidate Tracker'!$C:$C,"&lt;&gt;Cancelled",'Candidate Tracker'!$C:$C,"&lt;&gt;Closed")/COUNTIFS('Candidate Tracker'!$E:$E,'Positions Tracker'!$B821)),"")</f>
        <v/>
      </c>
      <c r="BD821" s="30" t="str">
        <f t="shared" si="87"/>
        <v/>
      </c>
      <c r="BE821" s="30" t="str">
        <f t="shared" si="88"/>
        <v/>
      </c>
      <c r="BF821" s="30" t="str">
        <f t="shared" si="89"/>
        <v/>
      </c>
      <c r="BG821" s="30" t="str">
        <f t="shared" si="90"/>
        <v/>
      </c>
    </row>
    <row r="822" spans="1:59">
      <c r="A822" s="39"/>
      <c r="B822" s="39"/>
      <c r="C822" s="39"/>
      <c r="D822" s="39"/>
      <c r="E822" s="39"/>
      <c r="F822" s="39"/>
      <c r="G822" s="39"/>
      <c r="H822" s="39"/>
      <c r="I822" s="40"/>
      <c r="J822" s="40"/>
      <c r="K822" s="35"/>
      <c r="L822" s="35"/>
      <c r="M822" s="35"/>
      <c r="N822" s="39"/>
      <c r="O822" s="39"/>
      <c r="P822" s="39"/>
      <c r="Q822" s="39"/>
      <c r="R822" s="39"/>
      <c r="S822" s="39"/>
      <c r="T822" s="39"/>
      <c r="U822" s="39"/>
      <c r="V822" s="39"/>
      <c r="W822" s="39"/>
      <c r="X822" s="39"/>
      <c r="Y822" s="39"/>
      <c r="Z822" s="39"/>
      <c r="AA822" s="39"/>
      <c r="AB822" s="39"/>
      <c r="AC822" s="39"/>
      <c r="AD822" s="39"/>
      <c r="AE822" s="39"/>
      <c r="AF822" s="39"/>
      <c r="AG822" s="39"/>
      <c r="AH822" s="39"/>
      <c r="AI822" s="35"/>
      <c r="AJ822" s="39"/>
      <c r="AK822" s="39"/>
      <c r="AL822" s="39"/>
      <c r="AM822" s="35"/>
      <c r="AN822" s="35"/>
      <c r="AO822" s="39"/>
      <c r="AP822" s="39"/>
      <c r="AQ822" s="35"/>
      <c r="AR822" s="35"/>
      <c r="AS822" s="35"/>
      <c r="AT822" s="30">
        <f t="shared" ca="1" si="86"/>
        <v>0</v>
      </c>
      <c r="AU822" s="32" t="str">
        <f t="shared" ca="1" si="85"/>
        <v/>
      </c>
      <c r="AV822" s="32" t="str" cm="1">
        <f t="array" aca="1" ref="AV822" ca="1">IFERROR(_xlfn.IFS($AU822="","",$AU822&lt;=15,"0-15",AND($AU822&gt;=16,$AU822&lt;=30),"16-30",AND($AU822&gt;=31,$AU822&lt;=45),"31-45",AND($AU822&gt;=46,$AU822&lt;=60),"46-60",AND($AU822&gt;=61,$AU822&lt;=90),"61-90",AND($AU822&gt;=91),"&gt; 90",AND($AU822&gt;=2000),""),"")</f>
        <v/>
      </c>
      <c r="AW822" s="32" t="str" cm="1">
        <f t="array" aca="1" ref="AW822" ca="1">IFERROR(_xlfn.IFS(OR($M822="",$AM822=""),"",OR($C822="Offered",$C822="Joined"),($AM822-$M822)-$AT822),"")</f>
        <v/>
      </c>
      <c r="AX822" s="32" t="str" cm="1">
        <f t="array" aca="1" ref="AX822" ca="1">IFERROR(_xlfn.IFS(OR($M822="",$AS822=""),"",$C822="Joined",($AS822-$M822)-$AT822),"")</f>
        <v/>
      </c>
      <c r="AY822" s="30" t="str">
        <f>IFERROR(IF(COUNTIFS('Candidate Tracker'!$E:$E,'Positions Tracker'!$B822,'Candidate Tracker'!$C:$C,"Offer Drop")=0,"",COUNTIFS('Candidate Tracker'!$E:$E,'Positions Tracker'!$B822,'Candidate Tracker'!$C:$C,"Offer Drop")),"")</f>
        <v/>
      </c>
      <c r="AZ8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2" s="34" t="str">
        <f>IFERROR(IF(COUNTIFS('Candidate Tracker'!$E:$E,'Positions Tracker'!$B822,'Candidate Tracker'!$I:$I,"Female")=0,"",COUNTIFS('Candidate Tracker'!$E:$E,'Positions Tracker'!$B822,'Candidate Tracker'!$I:$I,"Female")),"")</f>
        <v/>
      </c>
      <c r="BB822" s="34" t="str">
        <f>IFERROR(IF(COUNTIFS('Candidate Tracker'!$E:$E,'Positions Tracker'!$B822,'Candidate Tracker'!$I:$I,"male")=0,"",COUNTIFS('Candidate Tracker'!$E:$E,'Positions Tracker'!$B822,'Candidate Tracker'!$I:$I,"male")),"")</f>
        <v/>
      </c>
      <c r="BC822" s="33" t="str">
        <f>IFERROR(IF(COUNTIFS('Candidate Tracker'!$E:$E,'Positions Tracker'!$B822,'Candidate Tracker'!$C:$C,"&lt;&gt;WIP",'Candidate Tracker'!$C:$C,"&lt;&gt;Hold",'Candidate Tracker'!$C:$C,"&lt;&gt;Cancelled",'Candidate Tracker'!$C:$C,"&lt;&gt;Closed")/COUNTIFS('Candidate Tracker'!$E:$E,'Positions Tracker'!$B822)=0,"",COUNTIFS('Candidate Tracker'!$E:$E,'Positions Tracker'!$B822,'Candidate Tracker'!$C:$C,"&lt;&gt;WIP",'Candidate Tracker'!$C:$C,"&lt;&gt;Hold",'Candidate Tracker'!$C:$C,"&lt;&gt;Cancelled",'Candidate Tracker'!$C:$C,"&lt;&gt;Closed")/COUNTIFS('Candidate Tracker'!$E:$E,'Positions Tracker'!$B822)),"")</f>
        <v/>
      </c>
      <c r="BD822" s="30" t="str">
        <f t="shared" si="87"/>
        <v/>
      </c>
      <c r="BE822" s="30" t="str">
        <f t="shared" si="88"/>
        <v/>
      </c>
      <c r="BF822" s="30" t="str">
        <f t="shared" si="89"/>
        <v/>
      </c>
      <c r="BG822" s="30" t="str">
        <f t="shared" si="90"/>
        <v/>
      </c>
    </row>
    <row r="823" spans="1:59">
      <c r="A823" s="39"/>
      <c r="B823" s="39"/>
      <c r="C823" s="39"/>
      <c r="D823" s="39"/>
      <c r="E823" s="39"/>
      <c r="F823" s="39"/>
      <c r="G823" s="39"/>
      <c r="H823" s="39"/>
      <c r="I823" s="40"/>
      <c r="J823" s="40"/>
      <c r="K823" s="35"/>
      <c r="L823" s="35"/>
      <c r="M823" s="35"/>
      <c r="N823" s="39"/>
      <c r="O823" s="39"/>
      <c r="P823" s="39"/>
      <c r="Q823" s="39"/>
      <c r="R823" s="39"/>
      <c r="S823" s="39"/>
      <c r="T823" s="39"/>
      <c r="U823" s="39"/>
      <c r="V823" s="39"/>
      <c r="W823" s="39"/>
      <c r="X823" s="39"/>
      <c r="Y823" s="39"/>
      <c r="Z823" s="39"/>
      <c r="AA823" s="39"/>
      <c r="AB823" s="39"/>
      <c r="AC823" s="39"/>
      <c r="AD823" s="39"/>
      <c r="AE823" s="39"/>
      <c r="AF823" s="39"/>
      <c r="AG823" s="39"/>
      <c r="AH823" s="39"/>
      <c r="AI823" s="35"/>
      <c r="AJ823" s="39"/>
      <c r="AK823" s="39"/>
      <c r="AL823" s="39"/>
      <c r="AM823" s="35"/>
      <c r="AN823" s="35"/>
      <c r="AO823" s="39"/>
      <c r="AP823" s="39"/>
      <c r="AQ823" s="35"/>
      <c r="AR823" s="35"/>
      <c r="AS823" s="35"/>
      <c r="AT823" s="30">
        <f t="shared" ca="1" si="86"/>
        <v>0</v>
      </c>
      <c r="AU823" s="32" t="str">
        <f t="shared" ca="1" si="85"/>
        <v/>
      </c>
      <c r="AV823" s="32" t="str" cm="1">
        <f t="array" aca="1" ref="AV823" ca="1">IFERROR(_xlfn.IFS($AU823="","",$AU823&lt;=15,"0-15",AND($AU823&gt;=16,$AU823&lt;=30),"16-30",AND($AU823&gt;=31,$AU823&lt;=45),"31-45",AND($AU823&gt;=46,$AU823&lt;=60),"46-60",AND($AU823&gt;=61,$AU823&lt;=90),"61-90",AND($AU823&gt;=91),"&gt; 90",AND($AU823&gt;=2000),""),"")</f>
        <v/>
      </c>
      <c r="AW823" s="32" t="str" cm="1">
        <f t="array" aca="1" ref="AW823" ca="1">IFERROR(_xlfn.IFS(OR($M823="",$AM823=""),"",OR($C823="Offered",$C823="Joined"),($AM823-$M823)-$AT823),"")</f>
        <v/>
      </c>
      <c r="AX823" s="32" t="str" cm="1">
        <f t="array" aca="1" ref="AX823" ca="1">IFERROR(_xlfn.IFS(OR($M823="",$AS823=""),"",$C823="Joined",($AS823-$M823)-$AT823),"")</f>
        <v/>
      </c>
      <c r="AY823" s="30" t="str">
        <f>IFERROR(IF(COUNTIFS('Candidate Tracker'!$E:$E,'Positions Tracker'!$B823,'Candidate Tracker'!$C:$C,"Offer Drop")=0,"",COUNTIFS('Candidate Tracker'!$E:$E,'Positions Tracker'!$B823,'Candidate Tracker'!$C:$C,"Offer Drop")),"")</f>
        <v/>
      </c>
      <c r="AZ8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3" s="34" t="str">
        <f>IFERROR(IF(COUNTIFS('Candidate Tracker'!$E:$E,'Positions Tracker'!$B823,'Candidate Tracker'!$I:$I,"Female")=0,"",COUNTIFS('Candidate Tracker'!$E:$E,'Positions Tracker'!$B823,'Candidate Tracker'!$I:$I,"Female")),"")</f>
        <v/>
      </c>
      <c r="BB823" s="34" t="str">
        <f>IFERROR(IF(COUNTIFS('Candidate Tracker'!$E:$E,'Positions Tracker'!$B823,'Candidate Tracker'!$I:$I,"male")=0,"",COUNTIFS('Candidate Tracker'!$E:$E,'Positions Tracker'!$B823,'Candidate Tracker'!$I:$I,"male")),"")</f>
        <v/>
      </c>
      <c r="BC823" s="33" t="str">
        <f>IFERROR(IF(COUNTIFS('Candidate Tracker'!$E:$E,'Positions Tracker'!$B823,'Candidate Tracker'!$C:$C,"&lt;&gt;WIP",'Candidate Tracker'!$C:$C,"&lt;&gt;Hold",'Candidate Tracker'!$C:$C,"&lt;&gt;Cancelled",'Candidate Tracker'!$C:$C,"&lt;&gt;Closed")/COUNTIFS('Candidate Tracker'!$E:$E,'Positions Tracker'!$B823)=0,"",COUNTIFS('Candidate Tracker'!$E:$E,'Positions Tracker'!$B823,'Candidate Tracker'!$C:$C,"&lt;&gt;WIP",'Candidate Tracker'!$C:$C,"&lt;&gt;Hold",'Candidate Tracker'!$C:$C,"&lt;&gt;Cancelled",'Candidate Tracker'!$C:$C,"&lt;&gt;Closed")/COUNTIFS('Candidate Tracker'!$E:$E,'Positions Tracker'!$B823)),"")</f>
        <v/>
      </c>
      <c r="BD823" s="30" t="str">
        <f t="shared" si="87"/>
        <v/>
      </c>
      <c r="BE823" s="30" t="str">
        <f t="shared" si="88"/>
        <v/>
      </c>
      <c r="BF823" s="30" t="str">
        <f t="shared" si="89"/>
        <v/>
      </c>
      <c r="BG823" s="30" t="str">
        <f t="shared" si="90"/>
        <v/>
      </c>
    </row>
    <row r="824" spans="1:59">
      <c r="A824" s="39"/>
      <c r="B824" s="39"/>
      <c r="C824" s="39"/>
      <c r="D824" s="39"/>
      <c r="E824" s="39"/>
      <c r="F824" s="39"/>
      <c r="G824" s="39"/>
      <c r="H824" s="39"/>
      <c r="I824" s="40"/>
      <c r="J824" s="40"/>
      <c r="K824" s="35"/>
      <c r="L824" s="35"/>
      <c r="M824" s="35"/>
      <c r="N824" s="39"/>
      <c r="O824" s="39"/>
      <c r="P824" s="39"/>
      <c r="Q824" s="39"/>
      <c r="R824" s="39"/>
      <c r="S824" s="39"/>
      <c r="T824" s="39"/>
      <c r="U824" s="39"/>
      <c r="V824" s="39"/>
      <c r="W824" s="39"/>
      <c r="X824" s="39"/>
      <c r="Y824" s="39"/>
      <c r="Z824" s="39"/>
      <c r="AA824" s="39"/>
      <c r="AB824" s="39"/>
      <c r="AC824" s="39"/>
      <c r="AD824" s="39"/>
      <c r="AE824" s="39"/>
      <c r="AF824" s="39"/>
      <c r="AG824" s="39"/>
      <c r="AH824" s="39"/>
      <c r="AI824" s="35"/>
      <c r="AJ824" s="39"/>
      <c r="AK824" s="39"/>
      <c r="AL824" s="39"/>
      <c r="AM824" s="35"/>
      <c r="AN824" s="35"/>
      <c r="AO824" s="39"/>
      <c r="AP824" s="39"/>
      <c r="AQ824" s="35"/>
      <c r="AR824" s="35"/>
      <c r="AS824" s="35"/>
      <c r="AT824" s="30">
        <f t="shared" ca="1" si="86"/>
        <v>0</v>
      </c>
      <c r="AU824" s="32" t="str">
        <f t="shared" ca="1" si="85"/>
        <v/>
      </c>
      <c r="AV824" s="32" t="str" cm="1">
        <f t="array" aca="1" ref="AV824" ca="1">IFERROR(_xlfn.IFS($AU824="","",$AU824&lt;=15,"0-15",AND($AU824&gt;=16,$AU824&lt;=30),"16-30",AND($AU824&gt;=31,$AU824&lt;=45),"31-45",AND($AU824&gt;=46,$AU824&lt;=60),"46-60",AND($AU824&gt;=61,$AU824&lt;=90),"61-90",AND($AU824&gt;=91),"&gt; 90",AND($AU824&gt;=2000),""),"")</f>
        <v/>
      </c>
      <c r="AW824" s="32" t="str" cm="1">
        <f t="array" aca="1" ref="AW824" ca="1">IFERROR(_xlfn.IFS(OR($M824="",$AM824=""),"",OR($C824="Offered",$C824="Joined"),($AM824-$M824)-$AT824),"")</f>
        <v/>
      </c>
      <c r="AX824" s="32" t="str" cm="1">
        <f t="array" aca="1" ref="AX824" ca="1">IFERROR(_xlfn.IFS(OR($M824="",$AS824=""),"",$C824="Joined",($AS824-$M824)-$AT824),"")</f>
        <v/>
      </c>
      <c r="AY824" s="30" t="str">
        <f>IFERROR(IF(COUNTIFS('Candidate Tracker'!$E:$E,'Positions Tracker'!$B824,'Candidate Tracker'!$C:$C,"Offer Drop")=0,"",COUNTIFS('Candidate Tracker'!$E:$E,'Positions Tracker'!$B824,'Candidate Tracker'!$C:$C,"Offer Drop")),"")</f>
        <v/>
      </c>
      <c r="AZ8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4" s="34" t="str">
        <f>IFERROR(IF(COUNTIFS('Candidate Tracker'!$E:$E,'Positions Tracker'!$B824,'Candidate Tracker'!$I:$I,"Female")=0,"",COUNTIFS('Candidate Tracker'!$E:$E,'Positions Tracker'!$B824,'Candidate Tracker'!$I:$I,"Female")),"")</f>
        <v/>
      </c>
      <c r="BB824" s="34" t="str">
        <f>IFERROR(IF(COUNTIFS('Candidate Tracker'!$E:$E,'Positions Tracker'!$B824,'Candidate Tracker'!$I:$I,"male")=0,"",COUNTIFS('Candidate Tracker'!$E:$E,'Positions Tracker'!$B824,'Candidate Tracker'!$I:$I,"male")),"")</f>
        <v/>
      </c>
      <c r="BC824" s="33" t="str">
        <f>IFERROR(IF(COUNTIFS('Candidate Tracker'!$E:$E,'Positions Tracker'!$B824,'Candidate Tracker'!$C:$C,"&lt;&gt;WIP",'Candidate Tracker'!$C:$C,"&lt;&gt;Hold",'Candidate Tracker'!$C:$C,"&lt;&gt;Cancelled",'Candidate Tracker'!$C:$C,"&lt;&gt;Closed")/COUNTIFS('Candidate Tracker'!$E:$E,'Positions Tracker'!$B824)=0,"",COUNTIFS('Candidate Tracker'!$E:$E,'Positions Tracker'!$B824,'Candidate Tracker'!$C:$C,"&lt;&gt;WIP",'Candidate Tracker'!$C:$C,"&lt;&gt;Hold",'Candidate Tracker'!$C:$C,"&lt;&gt;Cancelled",'Candidate Tracker'!$C:$C,"&lt;&gt;Closed")/COUNTIFS('Candidate Tracker'!$E:$E,'Positions Tracker'!$B824)),"")</f>
        <v/>
      </c>
      <c r="BD824" s="30" t="str">
        <f t="shared" si="87"/>
        <v/>
      </c>
      <c r="BE824" s="30" t="str">
        <f t="shared" si="88"/>
        <v/>
      </c>
      <c r="BF824" s="30" t="str">
        <f t="shared" si="89"/>
        <v/>
      </c>
      <c r="BG824" s="30" t="str">
        <f t="shared" si="90"/>
        <v/>
      </c>
    </row>
    <row r="825" spans="1:59">
      <c r="A825" s="39"/>
      <c r="B825" s="39"/>
      <c r="C825" s="39"/>
      <c r="D825" s="39"/>
      <c r="E825" s="39"/>
      <c r="F825" s="39"/>
      <c r="G825" s="39"/>
      <c r="H825" s="39"/>
      <c r="I825" s="40"/>
      <c r="J825" s="40"/>
      <c r="K825" s="35"/>
      <c r="L825" s="35"/>
      <c r="M825" s="35"/>
      <c r="N825" s="39"/>
      <c r="O825" s="39"/>
      <c r="P825" s="39"/>
      <c r="Q825" s="39"/>
      <c r="R825" s="39"/>
      <c r="S825" s="39"/>
      <c r="T825" s="39"/>
      <c r="U825" s="39"/>
      <c r="V825" s="39"/>
      <c r="W825" s="39"/>
      <c r="X825" s="39"/>
      <c r="Y825" s="39"/>
      <c r="Z825" s="39"/>
      <c r="AA825" s="39"/>
      <c r="AB825" s="39"/>
      <c r="AC825" s="39"/>
      <c r="AD825" s="39"/>
      <c r="AE825" s="39"/>
      <c r="AF825" s="39"/>
      <c r="AG825" s="39"/>
      <c r="AH825" s="39"/>
      <c r="AI825" s="35"/>
      <c r="AJ825" s="39"/>
      <c r="AK825" s="39"/>
      <c r="AL825" s="39"/>
      <c r="AM825" s="35"/>
      <c r="AN825" s="35"/>
      <c r="AO825" s="39"/>
      <c r="AP825" s="39"/>
      <c r="AQ825" s="35"/>
      <c r="AR825" s="35"/>
      <c r="AS825" s="35"/>
      <c r="AT825" s="30">
        <f t="shared" ca="1" si="86"/>
        <v>0</v>
      </c>
      <c r="AU825" s="32" t="str">
        <f t="shared" ca="1" si="85"/>
        <v/>
      </c>
      <c r="AV825" s="32" t="str" cm="1">
        <f t="array" aca="1" ref="AV825" ca="1">IFERROR(_xlfn.IFS($AU825="","",$AU825&lt;=15,"0-15",AND($AU825&gt;=16,$AU825&lt;=30),"16-30",AND($AU825&gt;=31,$AU825&lt;=45),"31-45",AND($AU825&gt;=46,$AU825&lt;=60),"46-60",AND($AU825&gt;=61,$AU825&lt;=90),"61-90",AND($AU825&gt;=91),"&gt; 90",AND($AU825&gt;=2000),""),"")</f>
        <v/>
      </c>
      <c r="AW825" s="32" t="str" cm="1">
        <f t="array" aca="1" ref="AW825" ca="1">IFERROR(_xlfn.IFS(OR($M825="",$AM825=""),"",OR($C825="Offered",$C825="Joined"),($AM825-$M825)-$AT825),"")</f>
        <v/>
      </c>
      <c r="AX825" s="32" t="str" cm="1">
        <f t="array" aca="1" ref="AX825" ca="1">IFERROR(_xlfn.IFS(OR($M825="",$AS825=""),"",$C825="Joined",($AS825-$M825)-$AT825),"")</f>
        <v/>
      </c>
      <c r="AY825" s="30" t="str">
        <f>IFERROR(IF(COUNTIFS('Candidate Tracker'!$E:$E,'Positions Tracker'!$B825,'Candidate Tracker'!$C:$C,"Offer Drop")=0,"",COUNTIFS('Candidate Tracker'!$E:$E,'Positions Tracker'!$B825,'Candidate Tracker'!$C:$C,"Offer Drop")),"")</f>
        <v/>
      </c>
      <c r="AZ8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5" s="34" t="str">
        <f>IFERROR(IF(COUNTIFS('Candidate Tracker'!$E:$E,'Positions Tracker'!$B825,'Candidate Tracker'!$I:$I,"Female")=0,"",COUNTIFS('Candidate Tracker'!$E:$E,'Positions Tracker'!$B825,'Candidate Tracker'!$I:$I,"Female")),"")</f>
        <v/>
      </c>
      <c r="BB825" s="34" t="str">
        <f>IFERROR(IF(COUNTIFS('Candidate Tracker'!$E:$E,'Positions Tracker'!$B825,'Candidate Tracker'!$I:$I,"male")=0,"",COUNTIFS('Candidate Tracker'!$E:$E,'Positions Tracker'!$B825,'Candidate Tracker'!$I:$I,"male")),"")</f>
        <v/>
      </c>
      <c r="BC825" s="33" t="str">
        <f>IFERROR(IF(COUNTIFS('Candidate Tracker'!$E:$E,'Positions Tracker'!$B825,'Candidate Tracker'!$C:$C,"&lt;&gt;WIP",'Candidate Tracker'!$C:$C,"&lt;&gt;Hold",'Candidate Tracker'!$C:$C,"&lt;&gt;Cancelled",'Candidate Tracker'!$C:$C,"&lt;&gt;Closed")/COUNTIFS('Candidate Tracker'!$E:$E,'Positions Tracker'!$B825)=0,"",COUNTIFS('Candidate Tracker'!$E:$E,'Positions Tracker'!$B825,'Candidate Tracker'!$C:$C,"&lt;&gt;WIP",'Candidate Tracker'!$C:$C,"&lt;&gt;Hold",'Candidate Tracker'!$C:$C,"&lt;&gt;Cancelled",'Candidate Tracker'!$C:$C,"&lt;&gt;Closed")/COUNTIFS('Candidate Tracker'!$E:$E,'Positions Tracker'!$B825)),"")</f>
        <v/>
      </c>
      <c r="BD825" s="30" t="str">
        <f t="shared" si="87"/>
        <v/>
      </c>
      <c r="BE825" s="30" t="str">
        <f t="shared" si="88"/>
        <v/>
      </c>
      <c r="BF825" s="30" t="str">
        <f t="shared" si="89"/>
        <v/>
      </c>
      <c r="BG825" s="30" t="str">
        <f t="shared" si="90"/>
        <v/>
      </c>
    </row>
    <row r="826" spans="1:59">
      <c r="A826" s="39"/>
      <c r="B826" s="39"/>
      <c r="C826" s="39"/>
      <c r="D826" s="39"/>
      <c r="E826" s="39"/>
      <c r="F826" s="39"/>
      <c r="G826" s="39"/>
      <c r="H826" s="39"/>
      <c r="I826" s="40"/>
      <c r="J826" s="40"/>
      <c r="K826" s="35"/>
      <c r="L826" s="35"/>
      <c r="M826" s="35"/>
      <c r="N826" s="39"/>
      <c r="O826" s="39"/>
      <c r="P826" s="39"/>
      <c r="Q826" s="39"/>
      <c r="R826" s="39"/>
      <c r="S826" s="39"/>
      <c r="T826" s="39"/>
      <c r="U826" s="39"/>
      <c r="V826" s="39"/>
      <c r="W826" s="39"/>
      <c r="X826" s="39"/>
      <c r="Y826" s="39"/>
      <c r="Z826" s="39"/>
      <c r="AA826" s="39"/>
      <c r="AB826" s="39"/>
      <c r="AC826" s="39"/>
      <c r="AD826" s="39"/>
      <c r="AE826" s="39"/>
      <c r="AF826" s="39"/>
      <c r="AG826" s="39"/>
      <c r="AH826" s="39"/>
      <c r="AI826" s="35"/>
      <c r="AJ826" s="39"/>
      <c r="AK826" s="39"/>
      <c r="AL826" s="39"/>
      <c r="AM826" s="35"/>
      <c r="AN826" s="35"/>
      <c r="AO826" s="39"/>
      <c r="AP826" s="39"/>
      <c r="AQ826" s="35"/>
      <c r="AR826" s="35"/>
      <c r="AS826" s="35"/>
      <c r="AT826" s="30">
        <f t="shared" ca="1" si="86"/>
        <v>0</v>
      </c>
      <c r="AU826" s="32" t="str">
        <f t="shared" ca="1" si="85"/>
        <v/>
      </c>
      <c r="AV826" s="32" t="str" cm="1">
        <f t="array" aca="1" ref="AV826" ca="1">IFERROR(_xlfn.IFS($AU826="","",$AU826&lt;=15,"0-15",AND($AU826&gt;=16,$AU826&lt;=30),"16-30",AND($AU826&gt;=31,$AU826&lt;=45),"31-45",AND($AU826&gt;=46,$AU826&lt;=60),"46-60",AND($AU826&gt;=61,$AU826&lt;=90),"61-90",AND($AU826&gt;=91),"&gt; 90",AND($AU826&gt;=2000),""),"")</f>
        <v/>
      </c>
      <c r="AW826" s="32" t="str" cm="1">
        <f t="array" aca="1" ref="AW826" ca="1">IFERROR(_xlfn.IFS(OR($M826="",$AM826=""),"",OR($C826="Offered",$C826="Joined"),($AM826-$M826)-$AT826),"")</f>
        <v/>
      </c>
      <c r="AX826" s="32" t="str" cm="1">
        <f t="array" aca="1" ref="AX826" ca="1">IFERROR(_xlfn.IFS(OR($M826="",$AS826=""),"",$C826="Joined",($AS826-$M826)-$AT826),"")</f>
        <v/>
      </c>
      <c r="AY826" s="30" t="str">
        <f>IFERROR(IF(COUNTIFS('Candidate Tracker'!$E:$E,'Positions Tracker'!$B826,'Candidate Tracker'!$C:$C,"Offer Drop")=0,"",COUNTIFS('Candidate Tracker'!$E:$E,'Positions Tracker'!$B826,'Candidate Tracker'!$C:$C,"Offer Drop")),"")</f>
        <v/>
      </c>
      <c r="AZ8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6" s="34" t="str">
        <f>IFERROR(IF(COUNTIFS('Candidate Tracker'!$E:$E,'Positions Tracker'!$B826,'Candidate Tracker'!$I:$I,"Female")=0,"",COUNTIFS('Candidate Tracker'!$E:$E,'Positions Tracker'!$B826,'Candidate Tracker'!$I:$I,"Female")),"")</f>
        <v/>
      </c>
      <c r="BB826" s="34" t="str">
        <f>IFERROR(IF(COUNTIFS('Candidate Tracker'!$E:$E,'Positions Tracker'!$B826,'Candidate Tracker'!$I:$I,"male")=0,"",COUNTIFS('Candidate Tracker'!$E:$E,'Positions Tracker'!$B826,'Candidate Tracker'!$I:$I,"male")),"")</f>
        <v/>
      </c>
      <c r="BC826" s="33" t="str">
        <f>IFERROR(IF(COUNTIFS('Candidate Tracker'!$E:$E,'Positions Tracker'!$B826,'Candidate Tracker'!$C:$C,"&lt;&gt;WIP",'Candidate Tracker'!$C:$C,"&lt;&gt;Hold",'Candidate Tracker'!$C:$C,"&lt;&gt;Cancelled",'Candidate Tracker'!$C:$C,"&lt;&gt;Closed")/COUNTIFS('Candidate Tracker'!$E:$E,'Positions Tracker'!$B826)=0,"",COUNTIFS('Candidate Tracker'!$E:$E,'Positions Tracker'!$B826,'Candidate Tracker'!$C:$C,"&lt;&gt;WIP",'Candidate Tracker'!$C:$C,"&lt;&gt;Hold",'Candidate Tracker'!$C:$C,"&lt;&gt;Cancelled",'Candidate Tracker'!$C:$C,"&lt;&gt;Closed")/COUNTIFS('Candidate Tracker'!$E:$E,'Positions Tracker'!$B826)),"")</f>
        <v/>
      </c>
      <c r="BD826" s="30" t="str">
        <f t="shared" si="87"/>
        <v/>
      </c>
      <c r="BE826" s="30" t="str">
        <f t="shared" si="88"/>
        <v/>
      </c>
      <c r="BF826" s="30" t="str">
        <f t="shared" si="89"/>
        <v/>
      </c>
      <c r="BG826" s="30" t="str">
        <f t="shared" si="90"/>
        <v/>
      </c>
    </row>
    <row r="827" spans="1:59">
      <c r="A827" s="39"/>
      <c r="B827" s="39"/>
      <c r="C827" s="39"/>
      <c r="D827" s="39"/>
      <c r="E827" s="39"/>
      <c r="F827" s="39"/>
      <c r="G827" s="39"/>
      <c r="H827" s="39"/>
      <c r="I827" s="40"/>
      <c r="J827" s="40"/>
      <c r="K827" s="35"/>
      <c r="L827" s="35"/>
      <c r="M827" s="35"/>
      <c r="N827" s="39"/>
      <c r="O827" s="39"/>
      <c r="P827" s="39"/>
      <c r="Q827" s="39"/>
      <c r="R827" s="39"/>
      <c r="S827" s="39"/>
      <c r="T827" s="39"/>
      <c r="U827" s="39"/>
      <c r="V827" s="39"/>
      <c r="W827" s="39"/>
      <c r="X827" s="39"/>
      <c r="Y827" s="39"/>
      <c r="Z827" s="39"/>
      <c r="AA827" s="39"/>
      <c r="AB827" s="39"/>
      <c r="AC827" s="39"/>
      <c r="AD827" s="39"/>
      <c r="AE827" s="39"/>
      <c r="AF827" s="39"/>
      <c r="AG827" s="39"/>
      <c r="AH827" s="39"/>
      <c r="AI827" s="35"/>
      <c r="AJ827" s="39"/>
      <c r="AK827" s="39"/>
      <c r="AL827" s="39"/>
      <c r="AM827" s="35"/>
      <c r="AN827" s="35"/>
      <c r="AO827" s="39"/>
      <c r="AP827" s="39"/>
      <c r="AQ827" s="35"/>
      <c r="AR827" s="35"/>
      <c r="AS827" s="35"/>
      <c r="AT827" s="30">
        <f t="shared" ca="1" si="86"/>
        <v>0</v>
      </c>
      <c r="AU827" s="32" t="str">
        <f t="shared" ca="1" si="85"/>
        <v/>
      </c>
      <c r="AV827" s="32" t="str" cm="1">
        <f t="array" aca="1" ref="AV827" ca="1">IFERROR(_xlfn.IFS($AU827="","",$AU827&lt;=15,"0-15",AND($AU827&gt;=16,$AU827&lt;=30),"16-30",AND($AU827&gt;=31,$AU827&lt;=45),"31-45",AND($AU827&gt;=46,$AU827&lt;=60),"46-60",AND($AU827&gt;=61,$AU827&lt;=90),"61-90",AND($AU827&gt;=91),"&gt; 90",AND($AU827&gt;=2000),""),"")</f>
        <v/>
      </c>
      <c r="AW827" s="32" t="str" cm="1">
        <f t="array" aca="1" ref="AW827" ca="1">IFERROR(_xlfn.IFS(OR($M827="",$AM827=""),"",OR($C827="Offered",$C827="Joined"),($AM827-$M827)-$AT827),"")</f>
        <v/>
      </c>
      <c r="AX827" s="32" t="str" cm="1">
        <f t="array" aca="1" ref="AX827" ca="1">IFERROR(_xlfn.IFS(OR($M827="",$AS827=""),"",$C827="Joined",($AS827-$M827)-$AT827),"")</f>
        <v/>
      </c>
      <c r="AY827" s="30" t="str">
        <f>IFERROR(IF(COUNTIFS('Candidate Tracker'!$E:$E,'Positions Tracker'!$B827,'Candidate Tracker'!$C:$C,"Offer Drop")=0,"",COUNTIFS('Candidate Tracker'!$E:$E,'Positions Tracker'!$B827,'Candidate Tracker'!$C:$C,"Offer Drop")),"")</f>
        <v/>
      </c>
      <c r="AZ8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7" s="34" t="str">
        <f>IFERROR(IF(COUNTIFS('Candidate Tracker'!$E:$E,'Positions Tracker'!$B827,'Candidate Tracker'!$I:$I,"Female")=0,"",COUNTIFS('Candidate Tracker'!$E:$E,'Positions Tracker'!$B827,'Candidate Tracker'!$I:$I,"Female")),"")</f>
        <v/>
      </c>
      <c r="BB827" s="34" t="str">
        <f>IFERROR(IF(COUNTIFS('Candidate Tracker'!$E:$E,'Positions Tracker'!$B827,'Candidate Tracker'!$I:$I,"male")=0,"",COUNTIFS('Candidate Tracker'!$E:$E,'Positions Tracker'!$B827,'Candidate Tracker'!$I:$I,"male")),"")</f>
        <v/>
      </c>
      <c r="BC827" s="33" t="str">
        <f>IFERROR(IF(COUNTIFS('Candidate Tracker'!$E:$E,'Positions Tracker'!$B827,'Candidate Tracker'!$C:$C,"&lt;&gt;WIP",'Candidate Tracker'!$C:$C,"&lt;&gt;Hold",'Candidate Tracker'!$C:$C,"&lt;&gt;Cancelled",'Candidate Tracker'!$C:$C,"&lt;&gt;Closed")/COUNTIFS('Candidate Tracker'!$E:$E,'Positions Tracker'!$B827)=0,"",COUNTIFS('Candidate Tracker'!$E:$E,'Positions Tracker'!$B827,'Candidate Tracker'!$C:$C,"&lt;&gt;WIP",'Candidate Tracker'!$C:$C,"&lt;&gt;Hold",'Candidate Tracker'!$C:$C,"&lt;&gt;Cancelled",'Candidate Tracker'!$C:$C,"&lt;&gt;Closed")/COUNTIFS('Candidate Tracker'!$E:$E,'Positions Tracker'!$B827)),"")</f>
        <v/>
      </c>
      <c r="BD827" s="30" t="str">
        <f t="shared" si="87"/>
        <v/>
      </c>
      <c r="BE827" s="30" t="str">
        <f t="shared" si="88"/>
        <v/>
      </c>
      <c r="BF827" s="30" t="str">
        <f t="shared" si="89"/>
        <v/>
      </c>
      <c r="BG827" s="30" t="str">
        <f t="shared" si="90"/>
        <v/>
      </c>
    </row>
    <row r="828" spans="1:59">
      <c r="A828" s="39"/>
      <c r="B828" s="39"/>
      <c r="C828" s="39"/>
      <c r="D828" s="39"/>
      <c r="E828" s="39"/>
      <c r="F828" s="39"/>
      <c r="G828" s="39"/>
      <c r="H828" s="39"/>
      <c r="I828" s="40"/>
      <c r="J828" s="40"/>
      <c r="K828" s="35"/>
      <c r="L828" s="35"/>
      <c r="M828" s="35"/>
      <c r="N828" s="39"/>
      <c r="O828" s="39"/>
      <c r="P828" s="39"/>
      <c r="Q828" s="39"/>
      <c r="R828" s="39"/>
      <c r="S828" s="39"/>
      <c r="T828" s="39"/>
      <c r="U828" s="39"/>
      <c r="V828" s="39"/>
      <c r="W828" s="39"/>
      <c r="X828" s="39"/>
      <c r="Y828" s="39"/>
      <c r="Z828" s="39"/>
      <c r="AA828" s="39"/>
      <c r="AB828" s="39"/>
      <c r="AC828" s="39"/>
      <c r="AD828" s="39"/>
      <c r="AE828" s="39"/>
      <c r="AF828" s="39"/>
      <c r="AG828" s="39"/>
      <c r="AH828" s="39"/>
      <c r="AI828" s="35"/>
      <c r="AJ828" s="39"/>
      <c r="AK828" s="39"/>
      <c r="AL828" s="39"/>
      <c r="AM828" s="35"/>
      <c r="AN828" s="35"/>
      <c r="AO828" s="39"/>
      <c r="AP828" s="39"/>
      <c r="AQ828" s="35"/>
      <c r="AR828" s="35"/>
      <c r="AS828" s="35"/>
      <c r="AT828" s="30">
        <f t="shared" ca="1" si="86"/>
        <v>0</v>
      </c>
      <c r="AU828" s="32" t="str">
        <f t="shared" ca="1" si="85"/>
        <v/>
      </c>
      <c r="AV828" s="32" t="str" cm="1">
        <f t="array" aca="1" ref="AV828" ca="1">IFERROR(_xlfn.IFS($AU828="","",$AU828&lt;=15,"0-15",AND($AU828&gt;=16,$AU828&lt;=30),"16-30",AND($AU828&gt;=31,$AU828&lt;=45),"31-45",AND($AU828&gt;=46,$AU828&lt;=60),"46-60",AND($AU828&gt;=61,$AU828&lt;=90),"61-90",AND($AU828&gt;=91),"&gt; 90",AND($AU828&gt;=2000),""),"")</f>
        <v/>
      </c>
      <c r="AW828" s="32" t="str" cm="1">
        <f t="array" aca="1" ref="AW828" ca="1">IFERROR(_xlfn.IFS(OR($M828="",$AM828=""),"",OR($C828="Offered",$C828="Joined"),($AM828-$M828)-$AT828),"")</f>
        <v/>
      </c>
      <c r="AX828" s="32" t="str" cm="1">
        <f t="array" aca="1" ref="AX828" ca="1">IFERROR(_xlfn.IFS(OR($M828="",$AS828=""),"",$C828="Joined",($AS828-$M828)-$AT828),"")</f>
        <v/>
      </c>
      <c r="AY828" s="30" t="str">
        <f>IFERROR(IF(COUNTIFS('Candidate Tracker'!$E:$E,'Positions Tracker'!$B828,'Candidate Tracker'!$C:$C,"Offer Drop")=0,"",COUNTIFS('Candidate Tracker'!$E:$E,'Positions Tracker'!$B828,'Candidate Tracker'!$C:$C,"Offer Drop")),"")</f>
        <v/>
      </c>
      <c r="AZ82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8" s="34" t="str">
        <f>IFERROR(IF(COUNTIFS('Candidate Tracker'!$E:$E,'Positions Tracker'!$B828,'Candidate Tracker'!$I:$I,"Female")=0,"",COUNTIFS('Candidate Tracker'!$E:$E,'Positions Tracker'!$B828,'Candidate Tracker'!$I:$I,"Female")),"")</f>
        <v/>
      </c>
      <c r="BB828" s="34" t="str">
        <f>IFERROR(IF(COUNTIFS('Candidate Tracker'!$E:$E,'Positions Tracker'!$B828,'Candidate Tracker'!$I:$I,"male")=0,"",COUNTIFS('Candidate Tracker'!$E:$E,'Positions Tracker'!$B828,'Candidate Tracker'!$I:$I,"male")),"")</f>
        <v/>
      </c>
      <c r="BC828" s="33" t="str">
        <f>IFERROR(IF(COUNTIFS('Candidate Tracker'!$E:$E,'Positions Tracker'!$B828,'Candidate Tracker'!$C:$C,"&lt;&gt;WIP",'Candidate Tracker'!$C:$C,"&lt;&gt;Hold",'Candidate Tracker'!$C:$C,"&lt;&gt;Cancelled",'Candidate Tracker'!$C:$C,"&lt;&gt;Closed")/COUNTIFS('Candidate Tracker'!$E:$E,'Positions Tracker'!$B828)=0,"",COUNTIFS('Candidate Tracker'!$E:$E,'Positions Tracker'!$B828,'Candidate Tracker'!$C:$C,"&lt;&gt;WIP",'Candidate Tracker'!$C:$C,"&lt;&gt;Hold",'Candidate Tracker'!$C:$C,"&lt;&gt;Cancelled",'Candidate Tracker'!$C:$C,"&lt;&gt;Closed")/COUNTIFS('Candidate Tracker'!$E:$E,'Positions Tracker'!$B828)),"")</f>
        <v/>
      </c>
      <c r="BD828" s="30" t="str">
        <f t="shared" si="87"/>
        <v/>
      </c>
      <c r="BE828" s="30" t="str">
        <f t="shared" si="88"/>
        <v/>
      </c>
      <c r="BF828" s="30" t="str">
        <f t="shared" si="89"/>
        <v/>
      </c>
      <c r="BG828" s="30" t="str">
        <f t="shared" si="90"/>
        <v/>
      </c>
    </row>
    <row r="829" spans="1:59">
      <c r="A829" s="39"/>
      <c r="B829" s="39"/>
      <c r="C829" s="39"/>
      <c r="D829" s="39"/>
      <c r="E829" s="39"/>
      <c r="F829" s="39"/>
      <c r="G829" s="39"/>
      <c r="H829" s="39"/>
      <c r="I829" s="40"/>
      <c r="J829" s="40"/>
      <c r="K829" s="35"/>
      <c r="L829" s="35"/>
      <c r="M829" s="35"/>
      <c r="N829" s="39"/>
      <c r="O829" s="39"/>
      <c r="P829" s="39"/>
      <c r="Q829" s="39"/>
      <c r="R829" s="39"/>
      <c r="S829" s="39"/>
      <c r="T829" s="39"/>
      <c r="U829" s="39"/>
      <c r="V829" s="39"/>
      <c r="W829" s="39"/>
      <c r="X829" s="39"/>
      <c r="Y829" s="39"/>
      <c r="Z829" s="39"/>
      <c r="AA829" s="39"/>
      <c r="AB829" s="39"/>
      <c r="AC829" s="39"/>
      <c r="AD829" s="39"/>
      <c r="AE829" s="39"/>
      <c r="AF829" s="39"/>
      <c r="AG829" s="39"/>
      <c r="AH829" s="39"/>
      <c r="AI829" s="35"/>
      <c r="AJ829" s="39"/>
      <c r="AK829" s="39"/>
      <c r="AL829" s="39"/>
      <c r="AM829" s="35"/>
      <c r="AN829" s="35"/>
      <c r="AO829" s="39"/>
      <c r="AP829" s="39"/>
      <c r="AQ829" s="35"/>
      <c r="AR829" s="35"/>
      <c r="AS829" s="35"/>
      <c r="AT829" s="30">
        <f t="shared" ca="1" si="86"/>
        <v>0</v>
      </c>
      <c r="AU829" s="32" t="str">
        <f t="shared" ca="1" si="85"/>
        <v/>
      </c>
      <c r="AV829" s="32" t="str" cm="1">
        <f t="array" aca="1" ref="AV829" ca="1">IFERROR(_xlfn.IFS($AU829="","",$AU829&lt;=15,"0-15",AND($AU829&gt;=16,$AU829&lt;=30),"16-30",AND($AU829&gt;=31,$AU829&lt;=45),"31-45",AND($AU829&gt;=46,$AU829&lt;=60),"46-60",AND($AU829&gt;=61,$AU829&lt;=90),"61-90",AND($AU829&gt;=91),"&gt; 90",AND($AU829&gt;=2000),""),"")</f>
        <v/>
      </c>
      <c r="AW829" s="32" t="str" cm="1">
        <f t="array" aca="1" ref="AW829" ca="1">IFERROR(_xlfn.IFS(OR($M829="",$AM829=""),"",OR($C829="Offered",$C829="Joined"),($AM829-$M829)-$AT829),"")</f>
        <v/>
      </c>
      <c r="AX829" s="32" t="str" cm="1">
        <f t="array" aca="1" ref="AX829" ca="1">IFERROR(_xlfn.IFS(OR($M829="",$AS829=""),"",$C829="Joined",($AS829-$M829)-$AT829),"")</f>
        <v/>
      </c>
      <c r="AY829" s="30" t="str">
        <f>IFERROR(IF(COUNTIFS('Candidate Tracker'!$E:$E,'Positions Tracker'!$B829,'Candidate Tracker'!$C:$C,"Offer Drop")=0,"",COUNTIFS('Candidate Tracker'!$E:$E,'Positions Tracker'!$B829,'Candidate Tracker'!$C:$C,"Offer Drop")),"")</f>
        <v/>
      </c>
      <c r="AZ8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29" s="34" t="str">
        <f>IFERROR(IF(COUNTIFS('Candidate Tracker'!$E:$E,'Positions Tracker'!$B829,'Candidate Tracker'!$I:$I,"Female")=0,"",COUNTIFS('Candidate Tracker'!$E:$E,'Positions Tracker'!$B829,'Candidate Tracker'!$I:$I,"Female")),"")</f>
        <v/>
      </c>
      <c r="BB829" s="34" t="str">
        <f>IFERROR(IF(COUNTIFS('Candidate Tracker'!$E:$E,'Positions Tracker'!$B829,'Candidate Tracker'!$I:$I,"male")=0,"",COUNTIFS('Candidate Tracker'!$E:$E,'Positions Tracker'!$B829,'Candidate Tracker'!$I:$I,"male")),"")</f>
        <v/>
      </c>
      <c r="BC829" s="33" t="str">
        <f>IFERROR(IF(COUNTIFS('Candidate Tracker'!$E:$E,'Positions Tracker'!$B829,'Candidate Tracker'!$C:$C,"&lt;&gt;WIP",'Candidate Tracker'!$C:$C,"&lt;&gt;Hold",'Candidate Tracker'!$C:$C,"&lt;&gt;Cancelled",'Candidate Tracker'!$C:$C,"&lt;&gt;Closed")/COUNTIFS('Candidate Tracker'!$E:$E,'Positions Tracker'!$B829)=0,"",COUNTIFS('Candidate Tracker'!$E:$E,'Positions Tracker'!$B829,'Candidate Tracker'!$C:$C,"&lt;&gt;WIP",'Candidate Tracker'!$C:$C,"&lt;&gt;Hold",'Candidate Tracker'!$C:$C,"&lt;&gt;Cancelled",'Candidate Tracker'!$C:$C,"&lt;&gt;Closed")/COUNTIFS('Candidate Tracker'!$E:$E,'Positions Tracker'!$B829)),"")</f>
        <v/>
      </c>
      <c r="BD829" s="30" t="str">
        <f t="shared" si="87"/>
        <v/>
      </c>
      <c r="BE829" s="30" t="str">
        <f t="shared" si="88"/>
        <v/>
      </c>
      <c r="BF829" s="30" t="str">
        <f t="shared" si="89"/>
        <v/>
      </c>
      <c r="BG829" s="30" t="str">
        <f t="shared" si="90"/>
        <v/>
      </c>
    </row>
    <row r="830" spans="1:59">
      <c r="A830" s="39"/>
      <c r="B830" s="39"/>
      <c r="C830" s="39"/>
      <c r="D830" s="39"/>
      <c r="E830" s="39"/>
      <c r="F830" s="39"/>
      <c r="G830" s="39"/>
      <c r="H830" s="39"/>
      <c r="I830" s="40"/>
      <c r="J830" s="40"/>
      <c r="K830" s="35"/>
      <c r="L830" s="35"/>
      <c r="M830" s="35"/>
      <c r="N830" s="39"/>
      <c r="O830" s="39"/>
      <c r="P830" s="39"/>
      <c r="Q830" s="39"/>
      <c r="R830" s="39"/>
      <c r="S830" s="39"/>
      <c r="T830" s="39"/>
      <c r="U830" s="39"/>
      <c r="V830" s="39"/>
      <c r="W830" s="39"/>
      <c r="X830" s="39"/>
      <c r="Y830" s="39"/>
      <c r="Z830" s="39"/>
      <c r="AA830" s="39"/>
      <c r="AB830" s="39"/>
      <c r="AC830" s="39"/>
      <c r="AD830" s="39"/>
      <c r="AE830" s="39"/>
      <c r="AF830" s="39"/>
      <c r="AG830" s="39"/>
      <c r="AH830" s="39"/>
      <c r="AI830" s="35"/>
      <c r="AJ830" s="39"/>
      <c r="AK830" s="39"/>
      <c r="AL830" s="39"/>
      <c r="AM830" s="35"/>
      <c r="AN830" s="35"/>
      <c r="AO830" s="39"/>
      <c r="AP830" s="39"/>
      <c r="AQ830" s="35"/>
      <c r="AR830" s="35"/>
      <c r="AS830" s="35"/>
      <c r="AT830" s="30">
        <f t="shared" ca="1" si="86"/>
        <v>0</v>
      </c>
      <c r="AU830" s="32" t="str">
        <f t="shared" ca="1" si="85"/>
        <v/>
      </c>
      <c r="AV830" s="32" t="str" cm="1">
        <f t="array" aca="1" ref="AV830" ca="1">IFERROR(_xlfn.IFS($AU830="","",$AU830&lt;=15,"0-15",AND($AU830&gt;=16,$AU830&lt;=30),"16-30",AND($AU830&gt;=31,$AU830&lt;=45),"31-45",AND($AU830&gt;=46,$AU830&lt;=60),"46-60",AND($AU830&gt;=61,$AU830&lt;=90),"61-90",AND($AU830&gt;=91),"&gt; 90",AND($AU830&gt;=2000),""),"")</f>
        <v/>
      </c>
      <c r="AW830" s="32" t="str" cm="1">
        <f t="array" aca="1" ref="AW830" ca="1">IFERROR(_xlfn.IFS(OR($M830="",$AM830=""),"",OR($C830="Offered",$C830="Joined"),($AM830-$M830)-$AT830),"")</f>
        <v/>
      </c>
      <c r="AX830" s="32" t="str" cm="1">
        <f t="array" aca="1" ref="AX830" ca="1">IFERROR(_xlfn.IFS(OR($M830="",$AS830=""),"",$C830="Joined",($AS830-$M830)-$AT830),"")</f>
        <v/>
      </c>
      <c r="AY830" s="30" t="str">
        <f>IFERROR(IF(COUNTIFS('Candidate Tracker'!$E:$E,'Positions Tracker'!$B830,'Candidate Tracker'!$C:$C,"Offer Drop")=0,"",COUNTIFS('Candidate Tracker'!$E:$E,'Positions Tracker'!$B830,'Candidate Tracker'!$C:$C,"Offer Drop")),"")</f>
        <v/>
      </c>
      <c r="AZ8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0" s="34" t="str">
        <f>IFERROR(IF(COUNTIFS('Candidate Tracker'!$E:$E,'Positions Tracker'!$B830,'Candidate Tracker'!$I:$I,"Female")=0,"",COUNTIFS('Candidate Tracker'!$E:$E,'Positions Tracker'!$B830,'Candidate Tracker'!$I:$I,"Female")),"")</f>
        <v/>
      </c>
      <c r="BB830" s="34" t="str">
        <f>IFERROR(IF(COUNTIFS('Candidate Tracker'!$E:$E,'Positions Tracker'!$B830,'Candidate Tracker'!$I:$I,"male")=0,"",COUNTIFS('Candidate Tracker'!$E:$E,'Positions Tracker'!$B830,'Candidate Tracker'!$I:$I,"male")),"")</f>
        <v/>
      </c>
      <c r="BC830" s="33" t="str">
        <f>IFERROR(IF(COUNTIFS('Candidate Tracker'!$E:$E,'Positions Tracker'!$B830,'Candidate Tracker'!$C:$C,"&lt;&gt;WIP",'Candidate Tracker'!$C:$C,"&lt;&gt;Hold",'Candidate Tracker'!$C:$C,"&lt;&gt;Cancelled",'Candidate Tracker'!$C:$C,"&lt;&gt;Closed")/COUNTIFS('Candidate Tracker'!$E:$E,'Positions Tracker'!$B830)=0,"",COUNTIFS('Candidate Tracker'!$E:$E,'Positions Tracker'!$B830,'Candidate Tracker'!$C:$C,"&lt;&gt;WIP",'Candidate Tracker'!$C:$C,"&lt;&gt;Hold",'Candidate Tracker'!$C:$C,"&lt;&gt;Cancelled",'Candidate Tracker'!$C:$C,"&lt;&gt;Closed")/COUNTIFS('Candidate Tracker'!$E:$E,'Positions Tracker'!$B830)),"")</f>
        <v/>
      </c>
      <c r="BD830" s="30" t="str">
        <f t="shared" si="87"/>
        <v/>
      </c>
      <c r="BE830" s="30" t="str">
        <f t="shared" si="88"/>
        <v/>
      </c>
      <c r="BF830" s="30" t="str">
        <f t="shared" si="89"/>
        <v/>
      </c>
      <c r="BG830" s="30" t="str">
        <f t="shared" si="90"/>
        <v/>
      </c>
    </row>
    <row r="831" spans="1:59">
      <c r="A831" s="39"/>
      <c r="B831" s="39"/>
      <c r="C831" s="39"/>
      <c r="D831" s="39"/>
      <c r="E831" s="39"/>
      <c r="F831" s="39"/>
      <c r="G831" s="39"/>
      <c r="H831" s="39"/>
      <c r="I831" s="40"/>
      <c r="J831" s="40"/>
      <c r="K831" s="35"/>
      <c r="L831" s="35"/>
      <c r="M831" s="35"/>
      <c r="N831" s="39"/>
      <c r="O831" s="39"/>
      <c r="P831" s="39"/>
      <c r="Q831" s="39"/>
      <c r="R831" s="39"/>
      <c r="S831" s="39"/>
      <c r="T831" s="39"/>
      <c r="U831" s="39"/>
      <c r="V831" s="39"/>
      <c r="W831" s="39"/>
      <c r="X831" s="39"/>
      <c r="Y831" s="39"/>
      <c r="Z831" s="39"/>
      <c r="AA831" s="39"/>
      <c r="AB831" s="39"/>
      <c r="AC831" s="39"/>
      <c r="AD831" s="39"/>
      <c r="AE831" s="39"/>
      <c r="AF831" s="39"/>
      <c r="AG831" s="39"/>
      <c r="AH831" s="39"/>
      <c r="AI831" s="35"/>
      <c r="AJ831" s="39"/>
      <c r="AK831" s="39"/>
      <c r="AL831" s="39"/>
      <c r="AM831" s="35"/>
      <c r="AN831" s="35"/>
      <c r="AO831" s="39"/>
      <c r="AP831" s="39"/>
      <c r="AQ831" s="35"/>
      <c r="AR831" s="35"/>
      <c r="AS831" s="35"/>
      <c r="AT831" s="30">
        <f t="shared" ca="1" si="86"/>
        <v>0</v>
      </c>
      <c r="AU831" s="32" t="str">
        <f t="shared" ca="1" si="85"/>
        <v/>
      </c>
      <c r="AV831" s="32" t="str" cm="1">
        <f t="array" aca="1" ref="AV831" ca="1">IFERROR(_xlfn.IFS($AU831="","",$AU831&lt;=15,"0-15",AND($AU831&gt;=16,$AU831&lt;=30),"16-30",AND($AU831&gt;=31,$AU831&lt;=45),"31-45",AND($AU831&gt;=46,$AU831&lt;=60),"46-60",AND($AU831&gt;=61,$AU831&lt;=90),"61-90",AND($AU831&gt;=91),"&gt; 90",AND($AU831&gt;=2000),""),"")</f>
        <v/>
      </c>
      <c r="AW831" s="32" t="str" cm="1">
        <f t="array" aca="1" ref="AW831" ca="1">IFERROR(_xlfn.IFS(OR($M831="",$AM831=""),"",OR($C831="Offered",$C831="Joined"),($AM831-$M831)-$AT831),"")</f>
        <v/>
      </c>
      <c r="AX831" s="32" t="str" cm="1">
        <f t="array" aca="1" ref="AX831" ca="1">IFERROR(_xlfn.IFS(OR($M831="",$AS831=""),"",$C831="Joined",($AS831-$M831)-$AT831),"")</f>
        <v/>
      </c>
      <c r="AY831" s="30" t="str">
        <f>IFERROR(IF(COUNTIFS('Candidate Tracker'!$E:$E,'Positions Tracker'!$B831,'Candidate Tracker'!$C:$C,"Offer Drop")=0,"",COUNTIFS('Candidate Tracker'!$E:$E,'Positions Tracker'!$B831,'Candidate Tracker'!$C:$C,"Offer Drop")),"")</f>
        <v/>
      </c>
      <c r="AZ8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1" s="34" t="str">
        <f>IFERROR(IF(COUNTIFS('Candidate Tracker'!$E:$E,'Positions Tracker'!$B831,'Candidate Tracker'!$I:$I,"Female")=0,"",COUNTIFS('Candidate Tracker'!$E:$E,'Positions Tracker'!$B831,'Candidate Tracker'!$I:$I,"Female")),"")</f>
        <v/>
      </c>
      <c r="BB831" s="34" t="str">
        <f>IFERROR(IF(COUNTIFS('Candidate Tracker'!$E:$E,'Positions Tracker'!$B831,'Candidate Tracker'!$I:$I,"male")=0,"",COUNTIFS('Candidate Tracker'!$E:$E,'Positions Tracker'!$B831,'Candidate Tracker'!$I:$I,"male")),"")</f>
        <v/>
      </c>
      <c r="BC831" s="33" t="str">
        <f>IFERROR(IF(COUNTIFS('Candidate Tracker'!$E:$E,'Positions Tracker'!$B831,'Candidate Tracker'!$C:$C,"&lt;&gt;WIP",'Candidate Tracker'!$C:$C,"&lt;&gt;Hold",'Candidate Tracker'!$C:$C,"&lt;&gt;Cancelled",'Candidate Tracker'!$C:$C,"&lt;&gt;Closed")/COUNTIFS('Candidate Tracker'!$E:$E,'Positions Tracker'!$B831)=0,"",COUNTIFS('Candidate Tracker'!$E:$E,'Positions Tracker'!$B831,'Candidate Tracker'!$C:$C,"&lt;&gt;WIP",'Candidate Tracker'!$C:$C,"&lt;&gt;Hold",'Candidate Tracker'!$C:$C,"&lt;&gt;Cancelled",'Candidate Tracker'!$C:$C,"&lt;&gt;Closed")/COUNTIFS('Candidate Tracker'!$E:$E,'Positions Tracker'!$B831)),"")</f>
        <v/>
      </c>
      <c r="BD831" s="30" t="str">
        <f t="shared" si="87"/>
        <v/>
      </c>
      <c r="BE831" s="30" t="str">
        <f t="shared" si="88"/>
        <v/>
      </c>
      <c r="BF831" s="30" t="str">
        <f t="shared" si="89"/>
        <v/>
      </c>
      <c r="BG831" s="30" t="str">
        <f t="shared" si="90"/>
        <v/>
      </c>
    </row>
    <row r="832" spans="1:59">
      <c r="A832" s="39"/>
      <c r="B832" s="39"/>
      <c r="C832" s="39"/>
      <c r="D832" s="39"/>
      <c r="E832" s="39"/>
      <c r="F832" s="39"/>
      <c r="G832" s="39"/>
      <c r="H832" s="39"/>
      <c r="I832" s="40"/>
      <c r="J832" s="40"/>
      <c r="K832" s="35"/>
      <c r="L832" s="35"/>
      <c r="M832" s="35"/>
      <c r="N832" s="39"/>
      <c r="O832" s="39"/>
      <c r="P832" s="39"/>
      <c r="Q832" s="39"/>
      <c r="R832" s="39"/>
      <c r="S832" s="39"/>
      <c r="T832" s="39"/>
      <c r="U832" s="39"/>
      <c r="V832" s="39"/>
      <c r="W832" s="39"/>
      <c r="X832" s="39"/>
      <c r="Y832" s="39"/>
      <c r="Z832" s="39"/>
      <c r="AA832" s="39"/>
      <c r="AB832" s="39"/>
      <c r="AC832" s="39"/>
      <c r="AD832" s="39"/>
      <c r="AE832" s="39"/>
      <c r="AF832" s="39"/>
      <c r="AG832" s="39"/>
      <c r="AH832" s="39"/>
      <c r="AI832" s="35"/>
      <c r="AJ832" s="39"/>
      <c r="AK832" s="39"/>
      <c r="AL832" s="39"/>
      <c r="AM832" s="35"/>
      <c r="AN832" s="35"/>
      <c r="AO832" s="39"/>
      <c r="AP832" s="39"/>
      <c r="AQ832" s="35"/>
      <c r="AR832" s="35"/>
      <c r="AS832" s="35"/>
      <c r="AT832" s="30">
        <f t="shared" ca="1" si="86"/>
        <v>0</v>
      </c>
      <c r="AU832" s="32" t="str">
        <f t="shared" ref="AU832:AU895" ca="1" si="91">IFERROR(IF(($M832=""),"",IF(OR(,$C832="Offer in Progress",$C832="WIP",$C832="WIP/Drop",$C832="WIP/New",$C832="WIP/Hold"),(TODAY()-$M832)-$AT832,"")),"")</f>
        <v/>
      </c>
      <c r="AV832" s="32" t="str" cm="1">
        <f t="array" aca="1" ref="AV832" ca="1">IFERROR(_xlfn.IFS($AU832="","",$AU832&lt;=15,"0-15",AND($AU832&gt;=16,$AU832&lt;=30),"16-30",AND($AU832&gt;=31,$AU832&lt;=45),"31-45",AND($AU832&gt;=46,$AU832&lt;=60),"46-60",AND($AU832&gt;=61,$AU832&lt;=90),"61-90",AND($AU832&gt;=91),"&gt; 90",AND($AU832&gt;=2000),""),"")</f>
        <v/>
      </c>
      <c r="AW832" s="32" t="str" cm="1">
        <f t="array" aca="1" ref="AW832" ca="1">IFERROR(_xlfn.IFS(OR($M832="",$AM832=""),"",OR($C832="Offered",$C832="Joined"),($AM832-$M832)-$AT832),"")</f>
        <v/>
      </c>
      <c r="AX832" s="32" t="str" cm="1">
        <f t="array" aca="1" ref="AX832" ca="1">IFERROR(_xlfn.IFS(OR($M832="",$AS832=""),"",$C832="Joined",($AS832-$M832)-$AT832),"")</f>
        <v/>
      </c>
      <c r="AY832" s="30" t="str">
        <f>IFERROR(IF(COUNTIFS('Candidate Tracker'!$E:$E,'Positions Tracker'!$B832,'Candidate Tracker'!$C:$C,"Offer Drop")=0,"",COUNTIFS('Candidate Tracker'!$E:$E,'Positions Tracker'!$B832,'Candidate Tracker'!$C:$C,"Offer Drop")),"")</f>
        <v/>
      </c>
      <c r="AZ8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2" s="34" t="str">
        <f>IFERROR(IF(COUNTIFS('Candidate Tracker'!$E:$E,'Positions Tracker'!$B832,'Candidate Tracker'!$I:$I,"Female")=0,"",COUNTIFS('Candidate Tracker'!$E:$E,'Positions Tracker'!$B832,'Candidate Tracker'!$I:$I,"Female")),"")</f>
        <v/>
      </c>
      <c r="BB832" s="34" t="str">
        <f>IFERROR(IF(COUNTIFS('Candidate Tracker'!$E:$E,'Positions Tracker'!$B832,'Candidate Tracker'!$I:$I,"male")=0,"",COUNTIFS('Candidate Tracker'!$E:$E,'Positions Tracker'!$B832,'Candidate Tracker'!$I:$I,"male")),"")</f>
        <v/>
      </c>
      <c r="BC832" s="33" t="str">
        <f>IFERROR(IF(COUNTIFS('Candidate Tracker'!$E:$E,'Positions Tracker'!$B832,'Candidate Tracker'!$C:$C,"&lt;&gt;WIP",'Candidate Tracker'!$C:$C,"&lt;&gt;Hold",'Candidate Tracker'!$C:$C,"&lt;&gt;Cancelled",'Candidate Tracker'!$C:$C,"&lt;&gt;Closed")/COUNTIFS('Candidate Tracker'!$E:$E,'Positions Tracker'!$B832)=0,"",COUNTIFS('Candidate Tracker'!$E:$E,'Positions Tracker'!$B832,'Candidate Tracker'!$C:$C,"&lt;&gt;WIP",'Candidate Tracker'!$C:$C,"&lt;&gt;Hold",'Candidate Tracker'!$C:$C,"&lt;&gt;Cancelled",'Candidate Tracker'!$C:$C,"&lt;&gt;Closed")/COUNTIFS('Candidate Tracker'!$E:$E,'Positions Tracker'!$B832)),"")</f>
        <v/>
      </c>
      <c r="BD832" s="30" t="str">
        <f t="shared" si="87"/>
        <v/>
      </c>
      <c r="BE832" s="30" t="str">
        <f t="shared" si="88"/>
        <v/>
      </c>
      <c r="BF832" s="30" t="str">
        <f t="shared" si="89"/>
        <v/>
      </c>
      <c r="BG832" s="30" t="str">
        <f t="shared" si="90"/>
        <v/>
      </c>
    </row>
    <row r="833" spans="1:59">
      <c r="A833" s="39"/>
      <c r="B833" s="39"/>
      <c r="C833" s="39"/>
      <c r="D833" s="39"/>
      <c r="E833" s="39"/>
      <c r="F833" s="39"/>
      <c r="G833" s="39"/>
      <c r="H833" s="39"/>
      <c r="I833" s="40"/>
      <c r="J833" s="40"/>
      <c r="K833" s="35"/>
      <c r="L833" s="35"/>
      <c r="M833" s="35"/>
      <c r="N833" s="39"/>
      <c r="O833" s="39"/>
      <c r="P833" s="39"/>
      <c r="Q833" s="39"/>
      <c r="R833" s="39"/>
      <c r="S833" s="39"/>
      <c r="T833" s="39"/>
      <c r="U833" s="39"/>
      <c r="V833" s="39"/>
      <c r="W833" s="39"/>
      <c r="X833" s="39"/>
      <c r="Y833" s="39"/>
      <c r="Z833" s="39"/>
      <c r="AA833" s="39"/>
      <c r="AB833" s="39"/>
      <c r="AC833" s="39"/>
      <c r="AD833" s="39"/>
      <c r="AE833" s="39"/>
      <c r="AF833" s="39"/>
      <c r="AG833" s="39"/>
      <c r="AH833" s="39"/>
      <c r="AI833" s="35"/>
      <c r="AJ833" s="39"/>
      <c r="AK833" s="39"/>
      <c r="AL833" s="39"/>
      <c r="AM833" s="35"/>
      <c r="AN833" s="35"/>
      <c r="AO833" s="39"/>
      <c r="AP833" s="39"/>
      <c r="AQ833" s="35"/>
      <c r="AR833" s="35"/>
      <c r="AS833" s="35"/>
      <c r="AT833" s="30">
        <f t="shared" ref="AT833:AT896" ca="1" si="92">IFERROR(SUM(IF(AND(ISBLANK(T833),ISBLANK(Q833)),0,IF(T833="",TODAY()-Q833,T833-Q833))+IF(AND(ISBLANK(S833),ISBLANK(P833)),0,IF(S833="",TODAY()-P833,S833-P833))+IF(AND(ISBLANK(O833),ISBLANK(R833)),0,IF(R833="",TODAY()-O833,R833-O833))),"")</f>
        <v>0</v>
      </c>
      <c r="AU833" s="32" t="str">
        <f t="shared" ca="1" si="91"/>
        <v/>
      </c>
      <c r="AV833" s="32" t="str" cm="1">
        <f t="array" aca="1" ref="AV833" ca="1">IFERROR(_xlfn.IFS($AU833="","",$AU833&lt;=15,"0-15",AND($AU833&gt;=16,$AU833&lt;=30),"16-30",AND($AU833&gt;=31,$AU833&lt;=45),"31-45",AND($AU833&gt;=46,$AU833&lt;=60),"46-60",AND($AU833&gt;=61,$AU833&lt;=90),"61-90",AND($AU833&gt;=91),"&gt; 90",AND($AU833&gt;=2000),""),"")</f>
        <v/>
      </c>
      <c r="AW833" s="32" t="str" cm="1">
        <f t="array" aca="1" ref="AW833" ca="1">IFERROR(_xlfn.IFS(OR($M833="",$AM833=""),"",OR($C833="Offered",$C833="Joined"),($AM833-$M833)-$AT833),"")</f>
        <v/>
      </c>
      <c r="AX833" s="32" t="str" cm="1">
        <f t="array" aca="1" ref="AX833" ca="1">IFERROR(_xlfn.IFS(OR($M833="",$AS833=""),"",$C833="Joined",($AS833-$M833)-$AT833),"")</f>
        <v/>
      </c>
      <c r="AY833" s="30" t="str">
        <f>IFERROR(IF(COUNTIFS('Candidate Tracker'!$E:$E,'Positions Tracker'!$B833,'Candidate Tracker'!$C:$C,"Offer Drop")=0,"",COUNTIFS('Candidate Tracker'!$E:$E,'Positions Tracker'!$B833,'Candidate Tracker'!$C:$C,"Offer Drop")),"")</f>
        <v/>
      </c>
      <c r="AZ8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3" s="34" t="str">
        <f>IFERROR(IF(COUNTIFS('Candidate Tracker'!$E:$E,'Positions Tracker'!$B833,'Candidate Tracker'!$I:$I,"Female")=0,"",COUNTIFS('Candidate Tracker'!$E:$E,'Positions Tracker'!$B833,'Candidate Tracker'!$I:$I,"Female")),"")</f>
        <v/>
      </c>
      <c r="BB833" s="34" t="str">
        <f>IFERROR(IF(COUNTIFS('Candidate Tracker'!$E:$E,'Positions Tracker'!$B833,'Candidate Tracker'!$I:$I,"male")=0,"",COUNTIFS('Candidate Tracker'!$E:$E,'Positions Tracker'!$B833,'Candidate Tracker'!$I:$I,"male")),"")</f>
        <v/>
      </c>
      <c r="BC833" s="33" t="str">
        <f>IFERROR(IF(COUNTIFS('Candidate Tracker'!$E:$E,'Positions Tracker'!$B833,'Candidate Tracker'!$C:$C,"&lt;&gt;WIP",'Candidate Tracker'!$C:$C,"&lt;&gt;Hold",'Candidate Tracker'!$C:$C,"&lt;&gt;Cancelled",'Candidate Tracker'!$C:$C,"&lt;&gt;Closed")/COUNTIFS('Candidate Tracker'!$E:$E,'Positions Tracker'!$B833)=0,"",COUNTIFS('Candidate Tracker'!$E:$E,'Positions Tracker'!$B833,'Candidate Tracker'!$C:$C,"&lt;&gt;WIP",'Candidate Tracker'!$C:$C,"&lt;&gt;Hold",'Candidate Tracker'!$C:$C,"&lt;&gt;Cancelled",'Candidate Tracker'!$C:$C,"&lt;&gt;Closed")/COUNTIFS('Candidate Tracker'!$E:$E,'Positions Tracker'!$B833)),"")</f>
        <v/>
      </c>
      <c r="BD833" s="30" t="str">
        <f t="shared" ref="BD833:BD896" si="93">IFERROR(IF($M833="","",TEXT($M833,"MMM-YY")),"")</f>
        <v/>
      </c>
      <c r="BE833" s="30" t="str">
        <f t="shared" ref="BE833:BE896" si="94">IFERROR(IF($AI833="","",TEXT($AI833,"MMM-YY")),"")</f>
        <v/>
      </c>
      <c r="BF833" s="30" t="str">
        <f t="shared" ref="BF833:BF896" si="95">IFERROR(IF($AM833="","",TEXT($AM833,"MMM-YY")),"")</f>
        <v/>
      </c>
      <c r="BG833" s="30" t="str">
        <f t="shared" ref="BG833:BG896" si="96">IFERROR(IF($AS833="","",TEXT($AS833,"MMM-YY")),"")</f>
        <v/>
      </c>
    </row>
    <row r="834" spans="1:59">
      <c r="A834" s="39"/>
      <c r="B834" s="39"/>
      <c r="C834" s="39"/>
      <c r="D834" s="39"/>
      <c r="E834" s="39"/>
      <c r="F834" s="39"/>
      <c r="G834" s="39"/>
      <c r="H834" s="39"/>
      <c r="I834" s="40"/>
      <c r="J834" s="40"/>
      <c r="K834" s="35"/>
      <c r="L834" s="35"/>
      <c r="M834" s="35"/>
      <c r="N834" s="39"/>
      <c r="O834" s="39"/>
      <c r="P834" s="39"/>
      <c r="Q834" s="39"/>
      <c r="R834" s="39"/>
      <c r="S834" s="39"/>
      <c r="T834" s="39"/>
      <c r="U834" s="39"/>
      <c r="V834" s="39"/>
      <c r="W834" s="39"/>
      <c r="X834" s="39"/>
      <c r="Y834" s="39"/>
      <c r="Z834" s="39"/>
      <c r="AA834" s="39"/>
      <c r="AB834" s="39"/>
      <c r="AC834" s="39"/>
      <c r="AD834" s="39"/>
      <c r="AE834" s="39"/>
      <c r="AF834" s="39"/>
      <c r="AG834" s="39"/>
      <c r="AH834" s="39"/>
      <c r="AI834" s="35"/>
      <c r="AJ834" s="39"/>
      <c r="AK834" s="39"/>
      <c r="AL834" s="39"/>
      <c r="AM834" s="35"/>
      <c r="AN834" s="35"/>
      <c r="AO834" s="39"/>
      <c r="AP834" s="39"/>
      <c r="AQ834" s="35"/>
      <c r="AR834" s="35"/>
      <c r="AS834" s="35"/>
      <c r="AT834" s="30">
        <f t="shared" ca="1" si="92"/>
        <v>0</v>
      </c>
      <c r="AU834" s="32" t="str">
        <f t="shared" ca="1" si="91"/>
        <v/>
      </c>
      <c r="AV834" s="32" t="str" cm="1">
        <f t="array" aca="1" ref="AV834" ca="1">IFERROR(_xlfn.IFS($AU834="","",$AU834&lt;=15,"0-15",AND($AU834&gt;=16,$AU834&lt;=30),"16-30",AND($AU834&gt;=31,$AU834&lt;=45),"31-45",AND($AU834&gt;=46,$AU834&lt;=60),"46-60",AND($AU834&gt;=61,$AU834&lt;=90),"61-90",AND($AU834&gt;=91),"&gt; 90",AND($AU834&gt;=2000),""),"")</f>
        <v/>
      </c>
      <c r="AW834" s="32" t="str" cm="1">
        <f t="array" aca="1" ref="AW834" ca="1">IFERROR(_xlfn.IFS(OR($M834="",$AM834=""),"",OR($C834="Offered",$C834="Joined"),($AM834-$M834)-$AT834),"")</f>
        <v/>
      </c>
      <c r="AX834" s="32" t="str" cm="1">
        <f t="array" aca="1" ref="AX834" ca="1">IFERROR(_xlfn.IFS(OR($M834="",$AS834=""),"",$C834="Joined",($AS834-$M834)-$AT834),"")</f>
        <v/>
      </c>
      <c r="AY834" s="30" t="str">
        <f>IFERROR(IF(COUNTIFS('Candidate Tracker'!$E:$E,'Positions Tracker'!$B834,'Candidate Tracker'!$C:$C,"Offer Drop")=0,"",COUNTIFS('Candidate Tracker'!$E:$E,'Positions Tracker'!$B834,'Candidate Tracker'!$C:$C,"Offer Drop")),"")</f>
        <v/>
      </c>
      <c r="AZ8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4" s="34" t="str">
        <f>IFERROR(IF(COUNTIFS('Candidate Tracker'!$E:$E,'Positions Tracker'!$B834,'Candidate Tracker'!$I:$I,"Female")=0,"",COUNTIFS('Candidate Tracker'!$E:$E,'Positions Tracker'!$B834,'Candidate Tracker'!$I:$I,"Female")),"")</f>
        <v/>
      </c>
      <c r="BB834" s="34" t="str">
        <f>IFERROR(IF(COUNTIFS('Candidate Tracker'!$E:$E,'Positions Tracker'!$B834,'Candidate Tracker'!$I:$I,"male")=0,"",COUNTIFS('Candidate Tracker'!$E:$E,'Positions Tracker'!$B834,'Candidate Tracker'!$I:$I,"male")),"")</f>
        <v/>
      </c>
      <c r="BC834" s="33" t="str">
        <f>IFERROR(IF(COUNTIFS('Candidate Tracker'!$E:$E,'Positions Tracker'!$B834,'Candidate Tracker'!$C:$C,"&lt;&gt;WIP",'Candidate Tracker'!$C:$C,"&lt;&gt;Hold",'Candidate Tracker'!$C:$C,"&lt;&gt;Cancelled",'Candidate Tracker'!$C:$C,"&lt;&gt;Closed")/COUNTIFS('Candidate Tracker'!$E:$E,'Positions Tracker'!$B834)=0,"",COUNTIFS('Candidate Tracker'!$E:$E,'Positions Tracker'!$B834,'Candidate Tracker'!$C:$C,"&lt;&gt;WIP",'Candidate Tracker'!$C:$C,"&lt;&gt;Hold",'Candidate Tracker'!$C:$C,"&lt;&gt;Cancelled",'Candidate Tracker'!$C:$C,"&lt;&gt;Closed")/COUNTIFS('Candidate Tracker'!$E:$E,'Positions Tracker'!$B834)),"")</f>
        <v/>
      </c>
      <c r="BD834" s="30" t="str">
        <f t="shared" si="93"/>
        <v/>
      </c>
      <c r="BE834" s="30" t="str">
        <f t="shared" si="94"/>
        <v/>
      </c>
      <c r="BF834" s="30" t="str">
        <f t="shared" si="95"/>
        <v/>
      </c>
      <c r="BG834" s="30" t="str">
        <f t="shared" si="96"/>
        <v/>
      </c>
    </row>
    <row r="835" spans="1:59">
      <c r="A835" s="39"/>
      <c r="B835" s="39"/>
      <c r="C835" s="39"/>
      <c r="D835" s="39"/>
      <c r="E835" s="39"/>
      <c r="F835" s="39"/>
      <c r="G835" s="39"/>
      <c r="H835" s="39"/>
      <c r="I835" s="40"/>
      <c r="J835" s="40"/>
      <c r="K835" s="35"/>
      <c r="L835" s="35"/>
      <c r="M835" s="35"/>
      <c r="N835" s="39"/>
      <c r="O835" s="39"/>
      <c r="P835" s="39"/>
      <c r="Q835" s="39"/>
      <c r="R835" s="39"/>
      <c r="S835" s="39"/>
      <c r="T835" s="39"/>
      <c r="U835" s="39"/>
      <c r="V835" s="39"/>
      <c r="W835" s="39"/>
      <c r="X835" s="39"/>
      <c r="Y835" s="39"/>
      <c r="Z835" s="39"/>
      <c r="AA835" s="39"/>
      <c r="AB835" s="39"/>
      <c r="AC835" s="39"/>
      <c r="AD835" s="39"/>
      <c r="AE835" s="39"/>
      <c r="AF835" s="39"/>
      <c r="AG835" s="39"/>
      <c r="AH835" s="39"/>
      <c r="AI835" s="35"/>
      <c r="AJ835" s="39"/>
      <c r="AK835" s="39"/>
      <c r="AL835" s="39"/>
      <c r="AM835" s="35"/>
      <c r="AN835" s="35"/>
      <c r="AO835" s="39"/>
      <c r="AP835" s="39"/>
      <c r="AQ835" s="35"/>
      <c r="AR835" s="35"/>
      <c r="AS835" s="35"/>
      <c r="AT835" s="30">
        <f t="shared" ca="1" si="92"/>
        <v>0</v>
      </c>
      <c r="AU835" s="32" t="str">
        <f t="shared" ca="1" si="91"/>
        <v/>
      </c>
      <c r="AV835" s="32" t="str" cm="1">
        <f t="array" aca="1" ref="AV835" ca="1">IFERROR(_xlfn.IFS($AU835="","",$AU835&lt;=15,"0-15",AND($AU835&gt;=16,$AU835&lt;=30),"16-30",AND($AU835&gt;=31,$AU835&lt;=45),"31-45",AND($AU835&gt;=46,$AU835&lt;=60),"46-60",AND($AU835&gt;=61,$AU835&lt;=90),"61-90",AND($AU835&gt;=91),"&gt; 90",AND($AU835&gt;=2000),""),"")</f>
        <v/>
      </c>
      <c r="AW835" s="32" t="str" cm="1">
        <f t="array" aca="1" ref="AW835" ca="1">IFERROR(_xlfn.IFS(OR($M835="",$AM835=""),"",OR($C835="Offered",$C835="Joined"),($AM835-$M835)-$AT835),"")</f>
        <v/>
      </c>
      <c r="AX835" s="32" t="str" cm="1">
        <f t="array" aca="1" ref="AX835" ca="1">IFERROR(_xlfn.IFS(OR($M835="",$AS835=""),"",$C835="Joined",($AS835-$M835)-$AT835),"")</f>
        <v/>
      </c>
      <c r="AY835" s="30" t="str">
        <f>IFERROR(IF(COUNTIFS('Candidate Tracker'!$E:$E,'Positions Tracker'!$B835,'Candidate Tracker'!$C:$C,"Offer Drop")=0,"",COUNTIFS('Candidate Tracker'!$E:$E,'Positions Tracker'!$B835,'Candidate Tracker'!$C:$C,"Offer Drop")),"")</f>
        <v/>
      </c>
      <c r="AZ8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5" s="34" t="str">
        <f>IFERROR(IF(COUNTIFS('Candidate Tracker'!$E:$E,'Positions Tracker'!$B835,'Candidate Tracker'!$I:$I,"Female")=0,"",COUNTIFS('Candidate Tracker'!$E:$E,'Positions Tracker'!$B835,'Candidate Tracker'!$I:$I,"Female")),"")</f>
        <v/>
      </c>
      <c r="BB835" s="34" t="str">
        <f>IFERROR(IF(COUNTIFS('Candidate Tracker'!$E:$E,'Positions Tracker'!$B835,'Candidate Tracker'!$I:$I,"male")=0,"",COUNTIFS('Candidate Tracker'!$E:$E,'Positions Tracker'!$B835,'Candidate Tracker'!$I:$I,"male")),"")</f>
        <v/>
      </c>
      <c r="BC835" s="33" t="str">
        <f>IFERROR(IF(COUNTIFS('Candidate Tracker'!$E:$E,'Positions Tracker'!$B835,'Candidate Tracker'!$C:$C,"&lt;&gt;WIP",'Candidate Tracker'!$C:$C,"&lt;&gt;Hold",'Candidate Tracker'!$C:$C,"&lt;&gt;Cancelled",'Candidate Tracker'!$C:$C,"&lt;&gt;Closed")/COUNTIFS('Candidate Tracker'!$E:$E,'Positions Tracker'!$B835)=0,"",COUNTIFS('Candidate Tracker'!$E:$E,'Positions Tracker'!$B835,'Candidate Tracker'!$C:$C,"&lt;&gt;WIP",'Candidate Tracker'!$C:$C,"&lt;&gt;Hold",'Candidate Tracker'!$C:$C,"&lt;&gt;Cancelled",'Candidate Tracker'!$C:$C,"&lt;&gt;Closed")/COUNTIFS('Candidate Tracker'!$E:$E,'Positions Tracker'!$B835)),"")</f>
        <v/>
      </c>
      <c r="BD835" s="30" t="str">
        <f t="shared" si="93"/>
        <v/>
      </c>
      <c r="BE835" s="30" t="str">
        <f t="shared" si="94"/>
        <v/>
      </c>
      <c r="BF835" s="30" t="str">
        <f t="shared" si="95"/>
        <v/>
      </c>
      <c r="BG835" s="30" t="str">
        <f t="shared" si="96"/>
        <v/>
      </c>
    </row>
    <row r="836" spans="1:59">
      <c r="A836" s="39"/>
      <c r="B836" s="39"/>
      <c r="C836" s="39"/>
      <c r="D836" s="39"/>
      <c r="E836" s="39"/>
      <c r="F836" s="39"/>
      <c r="G836" s="39"/>
      <c r="H836" s="39"/>
      <c r="I836" s="40"/>
      <c r="J836" s="40"/>
      <c r="K836" s="35"/>
      <c r="L836" s="35"/>
      <c r="M836" s="35"/>
      <c r="N836" s="39"/>
      <c r="O836" s="39"/>
      <c r="P836" s="39"/>
      <c r="Q836" s="39"/>
      <c r="R836" s="39"/>
      <c r="S836" s="39"/>
      <c r="T836" s="39"/>
      <c r="U836" s="39"/>
      <c r="V836" s="39"/>
      <c r="W836" s="39"/>
      <c r="X836" s="39"/>
      <c r="Y836" s="39"/>
      <c r="Z836" s="39"/>
      <c r="AA836" s="39"/>
      <c r="AB836" s="39"/>
      <c r="AC836" s="39"/>
      <c r="AD836" s="39"/>
      <c r="AE836" s="39"/>
      <c r="AF836" s="39"/>
      <c r="AG836" s="39"/>
      <c r="AH836" s="39"/>
      <c r="AI836" s="35"/>
      <c r="AJ836" s="39"/>
      <c r="AK836" s="39"/>
      <c r="AL836" s="39"/>
      <c r="AM836" s="35"/>
      <c r="AN836" s="35"/>
      <c r="AO836" s="39"/>
      <c r="AP836" s="39"/>
      <c r="AQ836" s="35"/>
      <c r="AR836" s="35"/>
      <c r="AS836" s="35"/>
      <c r="AT836" s="30">
        <f t="shared" ca="1" si="92"/>
        <v>0</v>
      </c>
      <c r="AU836" s="32" t="str">
        <f t="shared" ca="1" si="91"/>
        <v/>
      </c>
      <c r="AV836" s="32" t="str" cm="1">
        <f t="array" aca="1" ref="AV836" ca="1">IFERROR(_xlfn.IFS($AU836="","",$AU836&lt;=15,"0-15",AND($AU836&gt;=16,$AU836&lt;=30),"16-30",AND($AU836&gt;=31,$AU836&lt;=45),"31-45",AND($AU836&gt;=46,$AU836&lt;=60),"46-60",AND($AU836&gt;=61,$AU836&lt;=90),"61-90",AND($AU836&gt;=91),"&gt; 90",AND($AU836&gt;=2000),""),"")</f>
        <v/>
      </c>
      <c r="AW836" s="32" t="str" cm="1">
        <f t="array" aca="1" ref="AW836" ca="1">IFERROR(_xlfn.IFS(OR($M836="",$AM836=""),"",OR($C836="Offered",$C836="Joined"),($AM836-$M836)-$AT836),"")</f>
        <v/>
      </c>
      <c r="AX836" s="32" t="str" cm="1">
        <f t="array" aca="1" ref="AX836" ca="1">IFERROR(_xlfn.IFS(OR($M836="",$AS836=""),"",$C836="Joined",($AS836-$M836)-$AT836),"")</f>
        <v/>
      </c>
      <c r="AY836" s="30" t="str">
        <f>IFERROR(IF(COUNTIFS('Candidate Tracker'!$E:$E,'Positions Tracker'!$B836,'Candidate Tracker'!$C:$C,"Offer Drop")=0,"",COUNTIFS('Candidate Tracker'!$E:$E,'Positions Tracker'!$B836,'Candidate Tracker'!$C:$C,"Offer Drop")),"")</f>
        <v/>
      </c>
      <c r="AZ8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6" s="34" t="str">
        <f>IFERROR(IF(COUNTIFS('Candidate Tracker'!$E:$E,'Positions Tracker'!$B836,'Candidate Tracker'!$I:$I,"Female")=0,"",COUNTIFS('Candidate Tracker'!$E:$E,'Positions Tracker'!$B836,'Candidate Tracker'!$I:$I,"Female")),"")</f>
        <v/>
      </c>
      <c r="BB836" s="34" t="str">
        <f>IFERROR(IF(COUNTIFS('Candidate Tracker'!$E:$E,'Positions Tracker'!$B836,'Candidate Tracker'!$I:$I,"male")=0,"",COUNTIFS('Candidate Tracker'!$E:$E,'Positions Tracker'!$B836,'Candidate Tracker'!$I:$I,"male")),"")</f>
        <v/>
      </c>
      <c r="BC836" s="33" t="str">
        <f>IFERROR(IF(COUNTIFS('Candidate Tracker'!$E:$E,'Positions Tracker'!$B836,'Candidate Tracker'!$C:$C,"&lt;&gt;WIP",'Candidate Tracker'!$C:$C,"&lt;&gt;Hold",'Candidate Tracker'!$C:$C,"&lt;&gt;Cancelled",'Candidate Tracker'!$C:$C,"&lt;&gt;Closed")/COUNTIFS('Candidate Tracker'!$E:$E,'Positions Tracker'!$B836)=0,"",COUNTIFS('Candidate Tracker'!$E:$E,'Positions Tracker'!$B836,'Candidate Tracker'!$C:$C,"&lt;&gt;WIP",'Candidate Tracker'!$C:$C,"&lt;&gt;Hold",'Candidate Tracker'!$C:$C,"&lt;&gt;Cancelled",'Candidate Tracker'!$C:$C,"&lt;&gt;Closed")/COUNTIFS('Candidate Tracker'!$E:$E,'Positions Tracker'!$B836)),"")</f>
        <v/>
      </c>
      <c r="BD836" s="30" t="str">
        <f t="shared" si="93"/>
        <v/>
      </c>
      <c r="BE836" s="30" t="str">
        <f t="shared" si="94"/>
        <v/>
      </c>
      <c r="BF836" s="30" t="str">
        <f t="shared" si="95"/>
        <v/>
      </c>
      <c r="BG836" s="30" t="str">
        <f t="shared" si="96"/>
        <v/>
      </c>
    </row>
    <row r="837" spans="1:59">
      <c r="A837" s="39"/>
      <c r="B837" s="39"/>
      <c r="C837" s="39"/>
      <c r="D837" s="39"/>
      <c r="E837" s="39"/>
      <c r="F837" s="39"/>
      <c r="G837" s="39"/>
      <c r="H837" s="39"/>
      <c r="I837" s="40"/>
      <c r="J837" s="40"/>
      <c r="K837" s="35"/>
      <c r="L837" s="35"/>
      <c r="M837" s="35"/>
      <c r="N837" s="39"/>
      <c r="O837" s="39"/>
      <c r="P837" s="39"/>
      <c r="Q837" s="39"/>
      <c r="R837" s="39"/>
      <c r="S837" s="39"/>
      <c r="T837" s="39"/>
      <c r="U837" s="39"/>
      <c r="V837" s="39"/>
      <c r="W837" s="39"/>
      <c r="X837" s="39"/>
      <c r="Y837" s="39"/>
      <c r="Z837" s="39"/>
      <c r="AA837" s="39"/>
      <c r="AB837" s="39"/>
      <c r="AC837" s="39"/>
      <c r="AD837" s="39"/>
      <c r="AE837" s="39"/>
      <c r="AF837" s="39"/>
      <c r="AG837" s="39"/>
      <c r="AH837" s="39"/>
      <c r="AI837" s="35"/>
      <c r="AJ837" s="39"/>
      <c r="AK837" s="39"/>
      <c r="AL837" s="39"/>
      <c r="AM837" s="35"/>
      <c r="AN837" s="35"/>
      <c r="AO837" s="39"/>
      <c r="AP837" s="39"/>
      <c r="AQ837" s="35"/>
      <c r="AR837" s="35"/>
      <c r="AS837" s="35"/>
      <c r="AT837" s="30">
        <f t="shared" ca="1" si="92"/>
        <v>0</v>
      </c>
      <c r="AU837" s="32" t="str">
        <f t="shared" ca="1" si="91"/>
        <v/>
      </c>
      <c r="AV837" s="32" t="str" cm="1">
        <f t="array" aca="1" ref="AV837" ca="1">IFERROR(_xlfn.IFS($AU837="","",$AU837&lt;=15,"0-15",AND($AU837&gt;=16,$AU837&lt;=30),"16-30",AND($AU837&gt;=31,$AU837&lt;=45),"31-45",AND($AU837&gt;=46,$AU837&lt;=60),"46-60",AND($AU837&gt;=61,$AU837&lt;=90),"61-90",AND($AU837&gt;=91),"&gt; 90",AND($AU837&gt;=2000),""),"")</f>
        <v/>
      </c>
      <c r="AW837" s="32" t="str" cm="1">
        <f t="array" aca="1" ref="AW837" ca="1">IFERROR(_xlfn.IFS(OR($M837="",$AM837=""),"",OR($C837="Offered",$C837="Joined"),($AM837-$M837)-$AT837),"")</f>
        <v/>
      </c>
      <c r="AX837" s="32" t="str" cm="1">
        <f t="array" aca="1" ref="AX837" ca="1">IFERROR(_xlfn.IFS(OR($M837="",$AS837=""),"",$C837="Joined",($AS837-$M837)-$AT837),"")</f>
        <v/>
      </c>
      <c r="AY837" s="30" t="str">
        <f>IFERROR(IF(COUNTIFS('Candidate Tracker'!$E:$E,'Positions Tracker'!$B837,'Candidate Tracker'!$C:$C,"Offer Drop")=0,"",COUNTIFS('Candidate Tracker'!$E:$E,'Positions Tracker'!$B837,'Candidate Tracker'!$C:$C,"Offer Drop")),"")</f>
        <v/>
      </c>
      <c r="AZ8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7" s="34" t="str">
        <f>IFERROR(IF(COUNTIFS('Candidate Tracker'!$E:$E,'Positions Tracker'!$B837,'Candidate Tracker'!$I:$I,"Female")=0,"",COUNTIFS('Candidate Tracker'!$E:$E,'Positions Tracker'!$B837,'Candidate Tracker'!$I:$I,"Female")),"")</f>
        <v/>
      </c>
      <c r="BB837" s="34" t="str">
        <f>IFERROR(IF(COUNTIFS('Candidate Tracker'!$E:$E,'Positions Tracker'!$B837,'Candidate Tracker'!$I:$I,"male")=0,"",COUNTIFS('Candidate Tracker'!$E:$E,'Positions Tracker'!$B837,'Candidate Tracker'!$I:$I,"male")),"")</f>
        <v/>
      </c>
      <c r="BC837" s="33" t="str">
        <f>IFERROR(IF(COUNTIFS('Candidate Tracker'!$E:$E,'Positions Tracker'!$B837,'Candidate Tracker'!$C:$C,"&lt;&gt;WIP",'Candidate Tracker'!$C:$C,"&lt;&gt;Hold",'Candidate Tracker'!$C:$C,"&lt;&gt;Cancelled",'Candidate Tracker'!$C:$C,"&lt;&gt;Closed")/COUNTIFS('Candidate Tracker'!$E:$E,'Positions Tracker'!$B837)=0,"",COUNTIFS('Candidate Tracker'!$E:$E,'Positions Tracker'!$B837,'Candidate Tracker'!$C:$C,"&lt;&gt;WIP",'Candidate Tracker'!$C:$C,"&lt;&gt;Hold",'Candidate Tracker'!$C:$C,"&lt;&gt;Cancelled",'Candidate Tracker'!$C:$C,"&lt;&gt;Closed")/COUNTIFS('Candidate Tracker'!$E:$E,'Positions Tracker'!$B837)),"")</f>
        <v/>
      </c>
      <c r="BD837" s="30" t="str">
        <f t="shared" si="93"/>
        <v/>
      </c>
      <c r="BE837" s="30" t="str">
        <f t="shared" si="94"/>
        <v/>
      </c>
      <c r="BF837" s="30" t="str">
        <f t="shared" si="95"/>
        <v/>
      </c>
      <c r="BG837" s="30" t="str">
        <f t="shared" si="96"/>
        <v/>
      </c>
    </row>
    <row r="838" spans="1:59">
      <c r="A838" s="39"/>
      <c r="B838" s="39"/>
      <c r="C838" s="39"/>
      <c r="D838" s="39"/>
      <c r="E838" s="39"/>
      <c r="F838" s="39"/>
      <c r="G838" s="39"/>
      <c r="H838" s="39"/>
      <c r="I838" s="40"/>
      <c r="J838" s="40"/>
      <c r="K838" s="35"/>
      <c r="L838" s="35"/>
      <c r="M838" s="35"/>
      <c r="N838" s="39"/>
      <c r="O838" s="39"/>
      <c r="P838" s="39"/>
      <c r="Q838" s="39"/>
      <c r="R838" s="39"/>
      <c r="S838" s="39"/>
      <c r="T838" s="39"/>
      <c r="U838" s="39"/>
      <c r="V838" s="39"/>
      <c r="W838" s="39"/>
      <c r="X838" s="39"/>
      <c r="Y838" s="39"/>
      <c r="Z838" s="39"/>
      <c r="AA838" s="39"/>
      <c r="AB838" s="39"/>
      <c r="AC838" s="39"/>
      <c r="AD838" s="39"/>
      <c r="AE838" s="39"/>
      <c r="AF838" s="39"/>
      <c r="AG838" s="39"/>
      <c r="AH838" s="39"/>
      <c r="AI838" s="35"/>
      <c r="AJ838" s="39"/>
      <c r="AK838" s="39"/>
      <c r="AL838" s="39"/>
      <c r="AM838" s="35"/>
      <c r="AN838" s="35"/>
      <c r="AO838" s="39"/>
      <c r="AP838" s="39"/>
      <c r="AQ838" s="35"/>
      <c r="AR838" s="35"/>
      <c r="AS838" s="35"/>
      <c r="AT838" s="30">
        <f t="shared" ca="1" si="92"/>
        <v>0</v>
      </c>
      <c r="AU838" s="32" t="str">
        <f t="shared" ca="1" si="91"/>
        <v/>
      </c>
      <c r="AV838" s="32" t="str" cm="1">
        <f t="array" aca="1" ref="AV838" ca="1">IFERROR(_xlfn.IFS($AU838="","",$AU838&lt;=15,"0-15",AND($AU838&gt;=16,$AU838&lt;=30),"16-30",AND($AU838&gt;=31,$AU838&lt;=45),"31-45",AND($AU838&gt;=46,$AU838&lt;=60),"46-60",AND($AU838&gt;=61,$AU838&lt;=90),"61-90",AND($AU838&gt;=91),"&gt; 90",AND($AU838&gt;=2000),""),"")</f>
        <v/>
      </c>
      <c r="AW838" s="32" t="str" cm="1">
        <f t="array" aca="1" ref="AW838" ca="1">IFERROR(_xlfn.IFS(OR($M838="",$AM838=""),"",OR($C838="Offered",$C838="Joined"),($AM838-$M838)-$AT838),"")</f>
        <v/>
      </c>
      <c r="AX838" s="32" t="str" cm="1">
        <f t="array" aca="1" ref="AX838" ca="1">IFERROR(_xlfn.IFS(OR($M838="",$AS838=""),"",$C838="Joined",($AS838-$M838)-$AT838),"")</f>
        <v/>
      </c>
      <c r="AY838" s="30" t="str">
        <f>IFERROR(IF(COUNTIFS('Candidate Tracker'!$E:$E,'Positions Tracker'!$B838,'Candidate Tracker'!$C:$C,"Offer Drop")=0,"",COUNTIFS('Candidate Tracker'!$E:$E,'Positions Tracker'!$B838,'Candidate Tracker'!$C:$C,"Offer Drop")),"")</f>
        <v/>
      </c>
      <c r="AZ8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8" s="34" t="str">
        <f>IFERROR(IF(COUNTIFS('Candidate Tracker'!$E:$E,'Positions Tracker'!$B838,'Candidate Tracker'!$I:$I,"Female")=0,"",COUNTIFS('Candidate Tracker'!$E:$E,'Positions Tracker'!$B838,'Candidate Tracker'!$I:$I,"Female")),"")</f>
        <v/>
      </c>
      <c r="BB838" s="34" t="str">
        <f>IFERROR(IF(COUNTIFS('Candidate Tracker'!$E:$E,'Positions Tracker'!$B838,'Candidate Tracker'!$I:$I,"male")=0,"",COUNTIFS('Candidate Tracker'!$E:$E,'Positions Tracker'!$B838,'Candidate Tracker'!$I:$I,"male")),"")</f>
        <v/>
      </c>
      <c r="BC838" s="33" t="str">
        <f>IFERROR(IF(COUNTIFS('Candidate Tracker'!$E:$E,'Positions Tracker'!$B838,'Candidate Tracker'!$C:$C,"&lt;&gt;WIP",'Candidate Tracker'!$C:$C,"&lt;&gt;Hold",'Candidate Tracker'!$C:$C,"&lt;&gt;Cancelled",'Candidate Tracker'!$C:$C,"&lt;&gt;Closed")/COUNTIFS('Candidate Tracker'!$E:$E,'Positions Tracker'!$B838)=0,"",COUNTIFS('Candidate Tracker'!$E:$E,'Positions Tracker'!$B838,'Candidate Tracker'!$C:$C,"&lt;&gt;WIP",'Candidate Tracker'!$C:$C,"&lt;&gt;Hold",'Candidate Tracker'!$C:$C,"&lt;&gt;Cancelled",'Candidate Tracker'!$C:$C,"&lt;&gt;Closed")/COUNTIFS('Candidate Tracker'!$E:$E,'Positions Tracker'!$B838)),"")</f>
        <v/>
      </c>
      <c r="BD838" s="30" t="str">
        <f t="shared" si="93"/>
        <v/>
      </c>
      <c r="BE838" s="30" t="str">
        <f t="shared" si="94"/>
        <v/>
      </c>
      <c r="BF838" s="30" t="str">
        <f t="shared" si="95"/>
        <v/>
      </c>
      <c r="BG838" s="30" t="str">
        <f t="shared" si="96"/>
        <v/>
      </c>
    </row>
    <row r="839" spans="1:59">
      <c r="A839" s="39"/>
      <c r="B839" s="39"/>
      <c r="C839" s="39"/>
      <c r="D839" s="39"/>
      <c r="E839" s="39"/>
      <c r="F839" s="39"/>
      <c r="G839" s="39"/>
      <c r="H839" s="39"/>
      <c r="I839" s="40"/>
      <c r="J839" s="40"/>
      <c r="K839" s="35"/>
      <c r="L839" s="35"/>
      <c r="M839" s="35"/>
      <c r="N839" s="39"/>
      <c r="O839" s="39"/>
      <c r="P839" s="39"/>
      <c r="Q839" s="39"/>
      <c r="R839" s="39"/>
      <c r="S839" s="39"/>
      <c r="T839" s="39"/>
      <c r="U839" s="39"/>
      <c r="V839" s="39"/>
      <c r="W839" s="39"/>
      <c r="X839" s="39"/>
      <c r="Y839" s="39"/>
      <c r="Z839" s="39"/>
      <c r="AA839" s="39"/>
      <c r="AB839" s="39"/>
      <c r="AC839" s="39"/>
      <c r="AD839" s="39"/>
      <c r="AE839" s="39"/>
      <c r="AF839" s="39"/>
      <c r="AG839" s="39"/>
      <c r="AH839" s="39"/>
      <c r="AI839" s="35"/>
      <c r="AJ839" s="39"/>
      <c r="AK839" s="39"/>
      <c r="AL839" s="39"/>
      <c r="AM839" s="35"/>
      <c r="AN839" s="35"/>
      <c r="AO839" s="39"/>
      <c r="AP839" s="39"/>
      <c r="AQ839" s="35"/>
      <c r="AR839" s="35"/>
      <c r="AS839" s="35"/>
      <c r="AT839" s="30">
        <f t="shared" ca="1" si="92"/>
        <v>0</v>
      </c>
      <c r="AU839" s="32" t="str">
        <f t="shared" ca="1" si="91"/>
        <v/>
      </c>
      <c r="AV839" s="32" t="str" cm="1">
        <f t="array" aca="1" ref="AV839" ca="1">IFERROR(_xlfn.IFS($AU839="","",$AU839&lt;=15,"0-15",AND($AU839&gt;=16,$AU839&lt;=30),"16-30",AND($AU839&gt;=31,$AU839&lt;=45),"31-45",AND($AU839&gt;=46,$AU839&lt;=60),"46-60",AND($AU839&gt;=61,$AU839&lt;=90),"61-90",AND($AU839&gt;=91),"&gt; 90",AND($AU839&gt;=2000),""),"")</f>
        <v/>
      </c>
      <c r="AW839" s="32" t="str" cm="1">
        <f t="array" aca="1" ref="AW839" ca="1">IFERROR(_xlfn.IFS(OR($M839="",$AM839=""),"",OR($C839="Offered",$C839="Joined"),($AM839-$M839)-$AT839),"")</f>
        <v/>
      </c>
      <c r="AX839" s="32" t="str" cm="1">
        <f t="array" aca="1" ref="AX839" ca="1">IFERROR(_xlfn.IFS(OR($M839="",$AS839=""),"",$C839="Joined",($AS839-$M839)-$AT839),"")</f>
        <v/>
      </c>
      <c r="AY839" s="30" t="str">
        <f>IFERROR(IF(COUNTIFS('Candidate Tracker'!$E:$E,'Positions Tracker'!$B839,'Candidate Tracker'!$C:$C,"Offer Drop")=0,"",COUNTIFS('Candidate Tracker'!$E:$E,'Positions Tracker'!$B839,'Candidate Tracker'!$C:$C,"Offer Drop")),"")</f>
        <v/>
      </c>
      <c r="AZ8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39" s="34" t="str">
        <f>IFERROR(IF(COUNTIFS('Candidate Tracker'!$E:$E,'Positions Tracker'!$B839,'Candidate Tracker'!$I:$I,"Female")=0,"",COUNTIFS('Candidate Tracker'!$E:$E,'Positions Tracker'!$B839,'Candidate Tracker'!$I:$I,"Female")),"")</f>
        <v/>
      </c>
      <c r="BB839" s="34" t="str">
        <f>IFERROR(IF(COUNTIFS('Candidate Tracker'!$E:$E,'Positions Tracker'!$B839,'Candidate Tracker'!$I:$I,"male")=0,"",COUNTIFS('Candidate Tracker'!$E:$E,'Positions Tracker'!$B839,'Candidate Tracker'!$I:$I,"male")),"")</f>
        <v/>
      </c>
      <c r="BC839" s="33" t="str">
        <f>IFERROR(IF(COUNTIFS('Candidate Tracker'!$E:$E,'Positions Tracker'!$B839,'Candidate Tracker'!$C:$C,"&lt;&gt;WIP",'Candidate Tracker'!$C:$C,"&lt;&gt;Hold",'Candidate Tracker'!$C:$C,"&lt;&gt;Cancelled",'Candidate Tracker'!$C:$C,"&lt;&gt;Closed")/COUNTIFS('Candidate Tracker'!$E:$E,'Positions Tracker'!$B839)=0,"",COUNTIFS('Candidate Tracker'!$E:$E,'Positions Tracker'!$B839,'Candidate Tracker'!$C:$C,"&lt;&gt;WIP",'Candidate Tracker'!$C:$C,"&lt;&gt;Hold",'Candidate Tracker'!$C:$C,"&lt;&gt;Cancelled",'Candidate Tracker'!$C:$C,"&lt;&gt;Closed")/COUNTIFS('Candidate Tracker'!$E:$E,'Positions Tracker'!$B839)),"")</f>
        <v/>
      </c>
      <c r="BD839" s="30" t="str">
        <f t="shared" si="93"/>
        <v/>
      </c>
      <c r="BE839" s="30" t="str">
        <f t="shared" si="94"/>
        <v/>
      </c>
      <c r="BF839" s="30" t="str">
        <f t="shared" si="95"/>
        <v/>
      </c>
      <c r="BG839" s="30" t="str">
        <f t="shared" si="96"/>
        <v/>
      </c>
    </row>
    <row r="840" spans="1:59">
      <c r="A840" s="39"/>
      <c r="B840" s="39"/>
      <c r="C840" s="39"/>
      <c r="D840" s="39"/>
      <c r="E840" s="39"/>
      <c r="F840" s="39"/>
      <c r="G840" s="39"/>
      <c r="H840" s="39"/>
      <c r="I840" s="40"/>
      <c r="J840" s="40"/>
      <c r="K840" s="35"/>
      <c r="L840" s="35"/>
      <c r="M840" s="35"/>
      <c r="N840" s="39"/>
      <c r="O840" s="39"/>
      <c r="P840" s="39"/>
      <c r="Q840" s="39"/>
      <c r="R840" s="39"/>
      <c r="S840" s="39"/>
      <c r="T840" s="39"/>
      <c r="U840" s="39"/>
      <c r="V840" s="39"/>
      <c r="W840" s="39"/>
      <c r="X840" s="39"/>
      <c r="Y840" s="39"/>
      <c r="Z840" s="39"/>
      <c r="AA840" s="39"/>
      <c r="AB840" s="39"/>
      <c r="AC840" s="39"/>
      <c r="AD840" s="39"/>
      <c r="AE840" s="39"/>
      <c r="AF840" s="39"/>
      <c r="AG840" s="39"/>
      <c r="AH840" s="39"/>
      <c r="AI840" s="35"/>
      <c r="AJ840" s="39"/>
      <c r="AK840" s="39"/>
      <c r="AL840" s="39"/>
      <c r="AM840" s="35"/>
      <c r="AN840" s="35"/>
      <c r="AO840" s="39"/>
      <c r="AP840" s="39"/>
      <c r="AQ840" s="35"/>
      <c r="AR840" s="35"/>
      <c r="AS840" s="35"/>
      <c r="AT840" s="30">
        <f t="shared" ca="1" si="92"/>
        <v>0</v>
      </c>
      <c r="AU840" s="32" t="str">
        <f t="shared" ca="1" si="91"/>
        <v/>
      </c>
      <c r="AV840" s="32" t="str" cm="1">
        <f t="array" aca="1" ref="AV840" ca="1">IFERROR(_xlfn.IFS($AU840="","",$AU840&lt;=15,"0-15",AND($AU840&gt;=16,$AU840&lt;=30),"16-30",AND($AU840&gt;=31,$AU840&lt;=45),"31-45",AND($AU840&gt;=46,$AU840&lt;=60),"46-60",AND($AU840&gt;=61,$AU840&lt;=90),"61-90",AND($AU840&gt;=91),"&gt; 90",AND($AU840&gt;=2000),""),"")</f>
        <v/>
      </c>
      <c r="AW840" s="32" t="str" cm="1">
        <f t="array" aca="1" ref="AW840" ca="1">IFERROR(_xlfn.IFS(OR($M840="",$AM840=""),"",OR($C840="Offered",$C840="Joined"),($AM840-$M840)-$AT840),"")</f>
        <v/>
      </c>
      <c r="AX840" s="32" t="str" cm="1">
        <f t="array" aca="1" ref="AX840" ca="1">IFERROR(_xlfn.IFS(OR($M840="",$AS840=""),"",$C840="Joined",($AS840-$M840)-$AT840),"")</f>
        <v/>
      </c>
      <c r="AY840" s="30" t="str">
        <f>IFERROR(IF(COUNTIFS('Candidate Tracker'!$E:$E,'Positions Tracker'!$B840,'Candidate Tracker'!$C:$C,"Offer Drop")=0,"",COUNTIFS('Candidate Tracker'!$E:$E,'Positions Tracker'!$B840,'Candidate Tracker'!$C:$C,"Offer Drop")),"")</f>
        <v/>
      </c>
      <c r="AZ8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0" s="34" t="str">
        <f>IFERROR(IF(COUNTIFS('Candidate Tracker'!$E:$E,'Positions Tracker'!$B840,'Candidate Tracker'!$I:$I,"Female")=0,"",COUNTIFS('Candidate Tracker'!$E:$E,'Positions Tracker'!$B840,'Candidate Tracker'!$I:$I,"Female")),"")</f>
        <v/>
      </c>
      <c r="BB840" s="34" t="str">
        <f>IFERROR(IF(COUNTIFS('Candidate Tracker'!$E:$E,'Positions Tracker'!$B840,'Candidate Tracker'!$I:$I,"male")=0,"",COUNTIFS('Candidate Tracker'!$E:$E,'Positions Tracker'!$B840,'Candidate Tracker'!$I:$I,"male")),"")</f>
        <v/>
      </c>
      <c r="BC840" s="33" t="str">
        <f>IFERROR(IF(COUNTIFS('Candidate Tracker'!$E:$E,'Positions Tracker'!$B840,'Candidate Tracker'!$C:$C,"&lt;&gt;WIP",'Candidate Tracker'!$C:$C,"&lt;&gt;Hold",'Candidate Tracker'!$C:$C,"&lt;&gt;Cancelled",'Candidate Tracker'!$C:$C,"&lt;&gt;Closed")/COUNTIFS('Candidate Tracker'!$E:$E,'Positions Tracker'!$B840)=0,"",COUNTIFS('Candidate Tracker'!$E:$E,'Positions Tracker'!$B840,'Candidate Tracker'!$C:$C,"&lt;&gt;WIP",'Candidate Tracker'!$C:$C,"&lt;&gt;Hold",'Candidate Tracker'!$C:$C,"&lt;&gt;Cancelled",'Candidate Tracker'!$C:$C,"&lt;&gt;Closed")/COUNTIFS('Candidate Tracker'!$E:$E,'Positions Tracker'!$B840)),"")</f>
        <v/>
      </c>
      <c r="BD840" s="30" t="str">
        <f t="shared" si="93"/>
        <v/>
      </c>
      <c r="BE840" s="30" t="str">
        <f t="shared" si="94"/>
        <v/>
      </c>
      <c r="BF840" s="30" t="str">
        <f t="shared" si="95"/>
        <v/>
      </c>
      <c r="BG840" s="30" t="str">
        <f t="shared" si="96"/>
        <v/>
      </c>
    </row>
    <row r="841" spans="1:59">
      <c r="A841" s="39"/>
      <c r="B841" s="39"/>
      <c r="C841" s="39"/>
      <c r="D841" s="39"/>
      <c r="E841" s="39"/>
      <c r="F841" s="39"/>
      <c r="G841" s="39"/>
      <c r="H841" s="39"/>
      <c r="I841" s="40"/>
      <c r="J841" s="40"/>
      <c r="K841" s="35"/>
      <c r="L841" s="35"/>
      <c r="M841" s="35"/>
      <c r="N841" s="39"/>
      <c r="O841" s="39"/>
      <c r="P841" s="39"/>
      <c r="Q841" s="39"/>
      <c r="R841" s="39"/>
      <c r="S841" s="39"/>
      <c r="T841" s="39"/>
      <c r="U841" s="39"/>
      <c r="V841" s="39"/>
      <c r="W841" s="39"/>
      <c r="X841" s="39"/>
      <c r="Y841" s="39"/>
      <c r="Z841" s="39"/>
      <c r="AA841" s="39"/>
      <c r="AB841" s="39"/>
      <c r="AC841" s="39"/>
      <c r="AD841" s="39"/>
      <c r="AE841" s="39"/>
      <c r="AF841" s="39"/>
      <c r="AG841" s="39"/>
      <c r="AH841" s="39"/>
      <c r="AI841" s="35"/>
      <c r="AJ841" s="39"/>
      <c r="AK841" s="39"/>
      <c r="AL841" s="39"/>
      <c r="AM841" s="35"/>
      <c r="AN841" s="35"/>
      <c r="AO841" s="39"/>
      <c r="AP841" s="39"/>
      <c r="AQ841" s="35"/>
      <c r="AR841" s="35"/>
      <c r="AS841" s="35"/>
      <c r="AT841" s="30">
        <f t="shared" ca="1" si="92"/>
        <v>0</v>
      </c>
      <c r="AU841" s="32" t="str">
        <f t="shared" ca="1" si="91"/>
        <v/>
      </c>
      <c r="AV841" s="32" t="str" cm="1">
        <f t="array" aca="1" ref="AV841" ca="1">IFERROR(_xlfn.IFS($AU841="","",$AU841&lt;=15,"0-15",AND($AU841&gt;=16,$AU841&lt;=30),"16-30",AND($AU841&gt;=31,$AU841&lt;=45),"31-45",AND($AU841&gt;=46,$AU841&lt;=60),"46-60",AND($AU841&gt;=61,$AU841&lt;=90),"61-90",AND($AU841&gt;=91),"&gt; 90",AND($AU841&gt;=2000),""),"")</f>
        <v/>
      </c>
      <c r="AW841" s="32" t="str" cm="1">
        <f t="array" aca="1" ref="AW841" ca="1">IFERROR(_xlfn.IFS(OR($M841="",$AM841=""),"",OR($C841="Offered",$C841="Joined"),($AM841-$M841)-$AT841),"")</f>
        <v/>
      </c>
      <c r="AX841" s="32" t="str" cm="1">
        <f t="array" aca="1" ref="AX841" ca="1">IFERROR(_xlfn.IFS(OR($M841="",$AS841=""),"",$C841="Joined",($AS841-$M841)-$AT841),"")</f>
        <v/>
      </c>
      <c r="AY841" s="30" t="str">
        <f>IFERROR(IF(COUNTIFS('Candidate Tracker'!$E:$E,'Positions Tracker'!$B841,'Candidate Tracker'!$C:$C,"Offer Drop")=0,"",COUNTIFS('Candidate Tracker'!$E:$E,'Positions Tracker'!$B841,'Candidate Tracker'!$C:$C,"Offer Drop")),"")</f>
        <v/>
      </c>
      <c r="AZ8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1" s="34" t="str">
        <f>IFERROR(IF(COUNTIFS('Candidate Tracker'!$E:$E,'Positions Tracker'!$B841,'Candidate Tracker'!$I:$I,"Female")=0,"",COUNTIFS('Candidate Tracker'!$E:$E,'Positions Tracker'!$B841,'Candidate Tracker'!$I:$I,"Female")),"")</f>
        <v/>
      </c>
      <c r="BB841" s="34" t="str">
        <f>IFERROR(IF(COUNTIFS('Candidate Tracker'!$E:$E,'Positions Tracker'!$B841,'Candidate Tracker'!$I:$I,"male")=0,"",COUNTIFS('Candidate Tracker'!$E:$E,'Positions Tracker'!$B841,'Candidate Tracker'!$I:$I,"male")),"")</f>
        <v/>
      </c>
      <c r="BC841" s="33" t="str">
        <f>IFERROR(IF(COUNTIFS('Candidate Tracker'!$E:$E,'Positions Tracker'!$B841,'Candidate Tracker'!$C:$C,"&lt;&gt;WIP",'Candidate Tracker'!$C:$C,"&lt;&gt;Hold",'Candidate Tracker'!$C:$C,"&lt;&gt;Cancelled",'Candidate Tracker'!$C:$C,"&lt;&gt;Closed")/COUNTIFS('Candidate Tracker'!$E:$E,'Positions Tracker'!$B841)=0,"",COUNTIFS('Candidate Tracker'!$E:$E,'Positions Tracker'!$B841,'Candidate Tracker'!$C:$C,"&lt;&gt;WIP",'Candidate Tracker'!$C:$C,"&lt;&gt;Hold",'Candidate Tracker'!$C:$C,"&lt;&gt;Cancelled",'Candidate Tracker'!$C:$C,"&lt;&gt;Closed")/COUNTIFS('Candidate Tracker'!$E:$E,'Positions Tracker'!$B841)),"")</f>
        <v/>
      </c>
      <c r="BD841" s="30" t="str">
        <f t="shared" si="93"/>
        <v/>
      </c>
      <c r="BE841" s="30" t="str">
        <f t="shared" si="94"/>
        <v/>
      </c>
      <c r="BF841" s="30" t="str">
        <f t="shared" si="95"/>
        <v/>
      </c>
      <c r="BG841" s="30" t="str">
        <f t="shared" si="96"/>
        <v/>
      </c>
    </row>
    <row r="842" spans="1:59">
      <c r="A842" s="39"/>
      <c r="B842" s="39"/>
      <c r="C842" s="39"/>
      <c r="D842" s="39"/>
      <c r="E842" s="39"/>
      <c r="F842" s="39"/>
      <c r="G842" s="39"/>
      <c r="H842" s="39"/>
      <c r="I842" s="40"/>
      <c r="J842" s="40"/>
      <c r="K842" s="35"/>
      <c r="L842" s="35"/>
      <c r="M842" s="35"/>
      <c r="N842" s="39"/>
      <c r="O842" s="39"/>
      <c r="P842" s="39"/>
      <c r="Q842" s="39"/>
      <c r="R842" s="39"/>
      <c r="S842" s="39"/>
      <c r="T842" s="39"/>
      <c r="U842" s="39"/>
      <c r="V842" s="39"/>
      <c r="W842" s="39"/>
      <c r="X842" s="39"/>
      <c r="Y842" s="39"/>
      <c r="Z842" s="39"/>
      <c r="AA842" s="39"/>
      <c r="AB842" s="39"/>
      <c r="AC842" s="39"/>
      <c r="AD842" s="39"/>
      <c r="AE842" s="39"/>
      <c r="AF842" s="39"/>
      <c r="AG842" s="39"/>
      <c r="AH842" s="39"/>
      <c r="AI842" s="35"/>
      <c r="AJ842" s="39"/>
      <c r="AK842" s="39"/>
      <c r="AL842" s="39"/>
      <c r="AM842" s="35"/>
      <c r="AN842" s="35"/>
      <c r="AO842" s="39"/>
      <c r="AP842" s="39"/>
      <c r="AQ842" s="35"/>
      <c r="AR842" s="35"/>
      <c r="AS842" s="35"/>
      <c r="AT842" s="30">
        <f t="shared" ca="1" si="92"/>
        <v>0</v>
      </c>
      <c r="AU842" s="32" t="str">
        <f t="shared" ca="1" si="91"/>
        <v/>
      </c>
      <c r="AV842" s="32" t="str" cm="1">
        <f t="array" aca="1" ref="AV842" ca="1">IFERROR(_xlfn.IFS($AU842="","",$AU842&lt;=15,"0-15",AND($AU842&gt;=16,$AU842&lt;=30),"16-30",AND($AU842&gt;=31,$AU842&lt;=45),"31-45",AND($AU842&gt;=46,$AU842&lt;=60),"46-60",AND($AU842&gt;=61,$AU842&lt;=90),"61-90",AND($AU842&gt;=91),"&gt; 90",AND($AU842&gt;=2000),""),"")</f>
        <v/>
      </c>
      <c r="AW842" s="32" t="str" cm="1">
        <f t="array" aca="1" ref="AW842" ca="1">IFERROR(_xlfn.IFS(OR($M842="",$AM842=""),"",OR($C842="Offered",$C842="Joined"),($AM842-$M842)-$AT842),"")</f>
        <v/>
      </c>
      <c r="AX842" s="32" t="str" cm="1">
        <f t="array" aca="1" ref="AX842" ca="1">IFERROR(_xlfn.IFS(OR($M842="",$AS842=""),"",$C842="Joined",($AS842-$M842)-$AT842),"")</f>
        <v/>
      </c>
      <c r="AY842" s="30" t="str">
        <f>IFERROR(IF(COUNTIFS('Candidate Tracker'!$E:$E,'Positions Tracker'!$B842,'Candidate Tracker'!$C:$C,"Offer Drop")=0,"",COUNTIFS('Candidate Tracker'!$E:$E,'Positions Tracker'!$B842,'Candidate Tracker'!$C:$C,"Offer Drop")),"")</f>
        <v/>
      </c>
      <c r="AZ8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2" s="34" t="str">
        <f>IFERROR(IF(COUNTIFS('Candidate Tracker'!$E:$E,'Positions Tracker'!$B842,'Candidate Tracker'!$I:$I,"Female")=0,"",COUNTIFS('Candidate Tracker'!$E:$E,'Positions Tracker'!$B842,'Candidate Tracker'!$I:$I,"Female")),"")</f>
        <v/>
      </c>
      <c r="BB842" s="34" t="str">
        <f>IFERROR(IF(COUNTIFS('Candidate Tracker'!$E:$E,'Positions Tracker'!$B842,'Candidate Tracker'!$I:$I,"male")=0,"",COUNTIFS('Candidate Tracker'!$E:$E,'Positions Tracker'!$B842,'Candidate Tracker'!$I:$I,"male")),"")</f>
        <v/>
      </c>
      <c r="BC842" s="33" t="str">
        <f>IFERROR(IF(COUNTIFS('Candidate Tracker'!$E:$E,'Positions Tracker'!$B842,'Candidate Tracker'!$C:$C,"&lt;&gt;WIP",'Candidate Tracker'!$C:$C,"&lt;&gt;Hold",'Candidate Tracker'!$C:$C,"&lt;&gt;Cancelled",'Candidate Tracker'!$C:$C,"&lt;&gt;Closed")/COUNTIFS('Candidate Tracker'!$E:$E,'Positions Tracker'!$B842)=0,"",COUNTIFS('Candidate Tracker'!$E:$E,'Positions Tracker'!$B842,'Candidate Tracker'!$C:$C,"&lt;&gt;WIP",'Candidate Tracker'!$C:$C,"&lt;&gt;Hold",'Candidate Tracker'!$C:$C,"&lt;&gt;Cancelled",'Candidate Tracker'!$C:$C,"&lt;&gt;Closed")/COUNTIFS('Candidate Tracker'!$E:$E,'Positions Tracker'!$B842)),"")</f>
        <v/>
      </c>
      <c r="BD842" s="30" t="str">
        <f t="shared" si="93"/>
        <v/>
      </c>
      <c r="BE842" s="30" t="str">
        <f t="shared" si="94"/>
        <v/>
      </c>
      <c r="BF842" s="30" t="str">
        <f t="shared" si="95"/>
        <v/>
      </c>
      <c r="BG842" s="30" t="str">
        <f t="shared" si="96"/>
        <v/>
      </c>
    </row>
    <row r="843" spans="1:59">
      <c r="A843" s="39"/>
      <c r="B843" s="39"/>
      <c r="C843" s="39"/>
      <c r="D843" s="39"/>
      <c r="E843" s="39"/>
      <c r="F843" s="39"/>
      <c r="G843" s="39"/>
      <c r="H843" s="39"/>
      <c r="I843" s="40"/>
      <c r="J843" s="40"/>
      <c r="K843" s="35"/>
      <c r="L843" s="35"/>
      <c r="M843" s="35"/>
      <c r="N843" s="39"/>
      <c r="O843" s="39"/>
      <c r="P843" s="39"/>
      <c r="Q843" s="39"/>
      <c r="R843" s="39"/>
      <c r="S843" s="39"/>
      <c r="T843" s="39"/>
      <c r="U843" s="39"/>
      <c r="V843" s="39"/>
      <c r="W843" s="39"/>
      <c r="X843" s="39"/>
      <c r="Y843" s="39"/>
      <c r="Z843" s="39"/>
      <c r="AA843" s="39"/>
      <c r="AB843" s="39"/>
      <c r="AC843" s="39"/>
      <c r="AD843" s="39"/>
      <c r="AE843" s="39"/>
      <c r="AF843" s="39"/>
      <c r="AG843" s="39"/>
      <c r="AH843" s="39"/>
      <c r="AI843" s="35"/>
      <c r="AJ843" s="39"/>
      <c r="AK843" s="39"/>
      <c r="AL843" s="39"/>
      <c r="AM843" s="35"/>
      <c r="AN843" s="35"/>
      <c r="AO843" s="39"/>
      <c r="AP843" s="39"/>
      <c r="AQ843" s="35"/>
      <c r="AR843" s="35"/>
      <c r="AS843" s="35"/>
      <c r="AT843" s="30">
        <f t="shared" ca="1" si="92"/>
        <v>0</v>
      </c>
      <c r="AU843" s="32" t="str">
        <f t="shared" ca="1" si="91"/>
        <v/>
      </c>
      <c r="AV843" s="32" t="str" cm="1">
        <f t="array" aca="1" ref="AV843" ca="1">IFERROR(_xlfn.IFS($AU843="","",$AU843&lt;=15,"0-15",AND($AU843&gt;=16,$AU843&lt;=30),"16-30",AND($AU843&gt;=31,$AU843&lt;=45),"31-45",AND($AU843&gt;=46,$AU843&lt;=60),"46-60",AND($AU843&gt;=61,$AU843&lt;=90),"61-90",AND($AU843&gt;=91),"&gt; 90",AND($AU843&gt;=2000),""),"")</f>
        <v/>
      </c>
      <c r="AW843" s="32" t="str" cm="1">
        <f t="array" aca="1" ref="AW843" ca="1">IFERROR(_xlfn.IFS(OR($M843="",$AM843=""),"",OR($C843="Offered",$C843="Joined"),($AM843-$M843)-$AT843),"")</f>
        <v/>
      </c>
      <c r="AX843" s="32" t="str" cm="1">
        <f t="array" aca="1" ref="AX843" ca="1">IFERROR(_xlfn.IFS(OR($M843="",$AS843=""),"",$C843="Joined",($AS843-$M843)-$AT843),"")</f>
        <v/>
      </c>
      <c r="AY843" s="30" t="str">
        <f>IFERROR(IF(COUNTIFS('Candidate Tracker'!$E:$E,'Positions Tracker'!$B843,'Candidate Tracker'!$C:$C,"Offer Drop")=0,"",COUNTIFS('Candidate Tracker'!$E:$E,'Positions Tracker'!$B843,'Candidate Tracker'!$C:$C,"Offer Drop")),"")</f>
        <v/>
      </c>
      <c r="AZ8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3" s="34" t="str">
        <f>IFERROR(IF(COUNTIFS('Candidate Tracker'!$E:$E,'Positions Tracker'!$B843,'Candidate Tracker'!$I:$I,"Female")=0,"",COUNTIFS('Candidate Tracker'!$E:$E,'Positions Tracker'!$B843,'Candidate Tracker'!$I:$I,"Female")),"")</f>
        <v/>
      </c>
      <c r="BB843" s="34" t="str">
        <f>IFERROR(IF(COUNTIFS('Candidate Tracker'!$E:$E,'Positions Tracker'!$B843,'Candidate Tracker'!$I:$I,"male")=0,"",COUNTIFS('Candidate Tracker'!$E:$E,'Positions Tracker'!$B843,'Candidate Tracker'!$I:$I,"male")),"")</f>
        <v/>
      </c>
      <c r="BC843" s="33" t="str">
        <f>IFERROR(IF(COUNTIFS('Candidate Tracker'!$E:$E,'Positions Tracker'!$B843,'Candidate Tracker'!$C:$C,"&lt;&gt;WIP",'Candidate Tracker'!$C:$C,"&lt;&gt;Hold",'Candidate Tracker'!$C:$C,"&lt;&gt;Cancelled",'Candidate Tracker'!$C:$C,"&lt;&gt;Closed")/COUNTIFS('Candidate Tracker'!$E:$E,'Positions Tracker'!$B843)=0,"",COUNTIFS('Candidate Tracker'!$E:$E,'Positions Tracker'!$B843,'Candidate Tracker'!$C:$C,"&lt;&gt;WIP",'Candidate Tracker'!$C:$C,"&lt;&gt;Hold",'Candidate Tracker'!$C:$C,"&lt;&gt;Cancelled",'Candidate Tracker'!$C:$C,"&lt;&gt;Closed")/COUNTIFS('Candidate Tracker'!$E:$E,'Positions Tracker'!$B843)),"")</f>
        <v/>
      </c>
      <c r="BD843" s="30" t="str">
        <f t="shared" si="93"/>
        <v/>
      </c>
      <c r="BE843" s="30" t="str">
        <f t="shared" si="94"/>
        <v/>
      </c>
      <c r="BF843" s="30" t="str">
        <f t="shared" si="95"/>
        <v/>
      </c>
      <c r="BG843" s="30" t="str">
        <f t="shared" si="96"/>
        <v/>
      </c>
    </row>
    <row r="844" spans="1:59">
      <c r="A844" s="39"/>
      <c r="B844" s="39"/>
      <c r="C844" s="39"/>
      <c r="D844" s="39"/>
      <c r="E844" s="39"/>
      <c r="F844" s="39"/>
      <c r="G844" s="39"/>
      <c r="H844" s="39"/>
      <c r="I844" s="40"/>
      <c r="J844" s="40"/>
      <c r="K844" s="35"/>
      <c r="L844" s="35"/>
      <c r="M844" s="35"/>
      <c r="N844" s="39"/>
      <c r="O844" s="39"/>
      <c r="P844" s="39"/>
      <c r="Q844" s="39"/>
      <c r="R844" s="39"/>
      <c r="S844" s="39"/>
      <c r="T844" s="39"/>
      <c r="U844" s="39"/>
      <c r="V844" s="39"/>
      <c r="W844" s="39"/>
      <c r="X844" s="39"/>
      <c r="Y844" s="39"/>
      <c r="Z844" s="39"/>
      <c r="AA844" s="39"/>
      <c r="AB844" s="39"/>
      <c r="AC844" s="39"/>
      <c r="AD844" s="39"/>
      <c r="AE844" s="39"/>
      <c r="AF844" s="39"/>
      <c r="AG844" s="39"/>
      <c r="AH844" s="39"/>
      <c r="AI844" s="35"/>
      <c r="AJ844" s="39"/>
      <c r="AK844" s="39"/>
      <c r="AL844" s="39"/>
      <c r="AM844" s="35"/>
      <c r="AN844" s="35"/>
      <c r="AO844" s="39"/>
      <c r="AP844" s="39"/>
      <c r="AQ844" s="35"/>
      <c r="AR844" s="35"/>
      <c r="AS844" s="35"/>
      <c r="AT844" s="30">
        <f t="shared" ca="1" si="92"/>
        <v>0</v>
      </c>
      <c r="AU844" s="32" t="str">
        <f t="shared" ca="1" si="91"/>
        <v/>
      </c>
      <c r="AV844" s="32" t="str" cm="1">
        <f t="array" aca="1" ref="AV844" ca="1">IFERROR(_xlfn.IFS($AU844="","",$AU844&lt;=15,"0-15",AND($AU844&gt;=16,$AU844&lt;=30),"16-30",AND($AU844&gt;=31,$AU844&lt;=45),"31-45",AND($AU844&gt;=46,$AU844&lt;=60),"46-60",AND($AU844&gt;=61,$AU844&lt;=90),"61-90",AND($AU844&gt;=91),"&gt; 90",AND($AU844&gt;=2000),""),"")</f>
        <v/>
      </c>
      <c r="AW844" s="32" t="str" cm="1">
        <f t="array" aca="1" ref="AW844" ca="1">IFERROR(_xlfn.IFS(OR($M844="",$AM844=""),"",OR($C844="Offered",$C844="Joined"),($AM844-$M844)-$AT844),"")</f>
        <v/>
      </c>
      <c r="AX844" s="32" t="str" cm="1">
        <f t="array" aca="1" ref="AX844" ca="1">IFERROR(_xlfn.IFS(OR($M844="",$AS844=""),"",$C844="Joined",($AS844-$M844)-$AT844),"")</f>
        <v/>
      </c>
      <c r="AY844" s="30" t="str">
        <f>IFERROR(IF(COUNTIFS('Candidate Tracker'!$E:$E,'Positions Tracker'!$B844,'Candidate Tracker'!$C:$C,"Offer Drop")=0,"",COUNTIFS('Candidate Tracker'!$E:$E,'Positions Tracker'!$B844,'Candidate Tracker'!$C:$C,"Offer Drop")),"")</f>
        <v/>
      </c>
      <c r="AZ8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4" s="34" t="str">
        <f>IFERROR(IF(COUNTIFS('Candidate Tracker'!$E:$E,'Positions Tracker'!$B844,'Candidate Tracker'!$I:$I,"Female")=0,"",COUNTIFS('Candidate Tracker'!$E:$E,'Positions Tracker'!$B844,'Candidate Tracker'!$I:$I,"Female")),"")</f>
        <v/>
      </c>
      <c r="BB844" s="34" t="str">
        <f>IFERROR(IF(COUNTIFS('Candidate Tracker'!$E:$E,'Positions Tracker'!$B844,'Candidate Tracker'!$I:$I,"male")=0,"",COUNTIFS('Candidate Tracker'!$E:$E,'Positions Tracker'!$B844,'Candidate Tracker'!$I:$I,"male")),"")</f>
        <v/>
      </c>
      <c r="BC844" s="33" t="str">
        <f>IFERROR(IF(COUNTIFS('Candidate Tracker'!$E:$E,'Positions Tracker'!$B844,'Candidate Tracker'!$C:$C,"&lt;&gt;WIP",'Candidate Tracker'!$C:$C,"&lt;&gt;Hold",'Candidate Tracker'!$C:$C,"&lt;&gt;Cancelled",'Candidate Tracker'!$C:$C,"&lt;&gt;Closed")/COUNTIFS('Candidate Tracker'!$E:$E,'Positions Tracker'!$B844)=0,"",COUNTIFS('Candidate Tracker'!$E:$E,'Positions Tracker'!$B844,'Candidate Tracker'!$C:$C,"&lt;&gt;WIP",'Candidate Tracker'!$C:$C,"&lt;&gt;Hold",'Candidate Tracker'!$C:$C,"&lt;&gt;Cancelled",'Candidate Tracker'!$C:$C,"&lt;&gt;Closed")/COUNTIFS('Candidate Tracker'!$E:$E,'Positions Tracker'!$B844)),"")</f>
        <v/>
      </c>
      <c r="BD844" s="30" t="str">
        <f t="shared" si="93"/>
        <v/>
      </c>
      <c r="BE844" s="30" t="str">
        <f t="shared" si="94"/>
        <v/>
      </c>
      <c r="BF844" s="30" t="str">
        <f t="shared" si="95"/>
        <v/>
      </c>
      <c r="BG844" s="30" t="str">
        <f t="shared" si="96"/>
        <v/>
      </c>
    </row>
    <row r="845" spans="1:59">
      <c r="A845" s="39"/>
      <c r="B845" s="39"/>
      <c r="C845" s="39"/>
      <c r="D845" s="39"/>
      <c r="E845" s="39"/>
      <c r="F845" s="39"/>
      <c r="G845" s="39"/>
      <c r="H845" s="39"/>
      <c r="I845" s="40"/>
      <c r="J845" s="40"/>
      <c r="K845" s="35"/>
      <c r="L845" s="35"/>
      <c r="M845" s="35"/>
      <c r="N845" s="39"/>
      <c r="O845" s="39"/>
      <c r="P845" s="39"/>
      <c r="Q845" s="39"/>
      <c r="R845" s="39"/>
      <c r="S845" s="39"/>
      <c r="T845" s="39"/>
      <c r="U845" s="39"/>
      <c r="V845" s="39"/>
      <c r="W845" s="39"/>
      <c r="X845" s="39"/>
      <c r="Y845" s="39"/>
      <c r="Z845" s="39"/>
      <c r="AA845" s="39"/>
      <c r="AB845" s="39"/>
      <c r="AC845" s="39"/>
      <c r="AD845" s="39"/>
      <c r="AE845" s="39"/>
      <c r="AF845" s="39"/>
      <c r="AG845" s="39"/>
      <c r="AH845" s="39"/>
      <c r="AI845" s="35"/>
      <c r="AJ845" s="39"/>
      <c r="AK845" s="39"/>
      <c r="AL845" s="39"/>
      <c r="AM845" s="35"/>
      <c r="AN845" s="35"/>
      <c r="AO845" s="39"/>
      <c r="AP845" s="39"/>
      <c r="AQ845" s="35"/>
      <c r="AR845" s="35"/>
      <c r="AS845" s="35"/>
      <c r="AT845" s="30">
        <f t="shared" ca="1" si="92"/>
        <v>0</v>
      </c>
      <c r="AU845" s="32" t="str">
        <f t="shared" ca="1" si="91"/>
        <v/>
      </c>
      <c r="AV845" s="32" t="str" cm="1">
        <f t="array" aca="1" ref="AV845" ca="1">IFERROR(_xlfn.IFS($AU845="","",$AU845&lt;=15,"0-15",AND($AU845&gt;=16,$AU845&lt;=30),"16-30",AND($AU845&gt;=31,$AU845&lt;=45),"31-45",AND($AU845&gt;=46,$AU845&lt;=60),"46-60",AND($AU845&gt;=61,$AU845&lt;=90),"61-90",AND($AU845&gt;=91),"&gt; 90",AND($AU845&gt;=2000),""),"")</f>
        <v/>
      </c>
      <c r="AW845" s="32" t="str" cm="1">
        <f t="array" aca="1" ref="AW845" ca="1">IFERROR(_xlfn.IFS(OR($M845="",$AM845=""),"",OR($C845="Offered",$C845="Joined"),($AM845-$M845)-$AT845),"")</f>
        <v/>
      </c>
      <c r="AX845" s="32" t="str" cm="1">
        <f t="array" aca="1" ref="AX845" ca="1">IFERROR(_xlfn.IFS(OR($M845="",$AS845=""),"",$C845="Joined",($AS845-$M845)-$AT845),"")</f>
        <v/>
      </c>
      <c r="AY845" s="30" t="str">
        <f>IFERROR(IF(COUNTIFS('Candidate Tracker'!$E:$E,'Positions Tracker'!$B845,'Candidate Tracker'!$C:$C,"Offer Drop")=0,"",COUNTIFS('Candidate Tracker'!$E:$E,'Positions Tracker'!$B845,'Candidate Tracker'!$C:$C,"Offer Drop")),"")</f>
        <v/>
      </c>
      <c r="AZ84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5" s="34" t="str">
        <f>IFERROR(IF(COUNTIFS('Candidate Tracker'!$E:$E,'Positions Tracker'!$B845,'Candidate Tracker'!$I:$I,"Female")=0,"",COUNTIFS('Candidate Tracker'!$E:$E,'Positions Tracker'!$B845,'Candidate Tracker'!$I:$I,"Female")),"")</f>
        <v/>
      </c>
      <c r="BB845" s="34" t="str">
        <f>IFERROR(IF(COUNTIFS('Candidate Tracker'!$E:$E,'Positions Tracker'!$B845,'Candidate Tracker'!$I:$I,"male")=0,"",COUNTIFS('Candidate Tracker'!$E:$E,'Positions Tracker'!$B845,'Candidate Tracker'!$I:$I,"male")),"")</f>
        <v/>
      </c>
      <c r="BC845" s="33" t="str">
        <f>IFERROR(IF(COUNTIFS('Candidate Tracker'!$E:$E,'Positions Tracker'!$B845,'Candidate Tracker'!$C:$C,"&lt;&gt;WIP",'Candidate Tracker'!$C:$C,"&lt;&gt;Hold",'Candidate Tracker'!$C:$C,"&lt;&gt;Cancelled",'Candidate Tracker'!$C:$C,"&lt;&gt;Closed")/COUNTIFS('Candidate Tracker'!$E:$E,'Positions Tracker'!$B845)=0,"",COUNTIFS('Candidate Tracker'!$E:$E,'Positions Tracker'!$B845,'Candidate Tracker'!$C:$C,"&lt;&gt;WIP",'Candidate Tracker'!$C:$C,"&lt;&gt;Hold",'Candidate Tracker'!$C:$C,"&lt;&gt;Cancelled",'Candidate Tracker'!$C:$C,"&lt;&gt;Closed")/COUNTIFS('Candidate Tracker'!$E:$E,'Positions Tracker'!$B845)),"")</f>
        <v/>
      </c>
      <c r="BD845" s="30" t="str">
        <f t="shared" si="93"/>
        <v/>
      </c>
      <c r="BE845" s="30" t="str">
        <f t="shared" si="94"/>
        <v/>
      </c>
      <c r="BF845" s="30" t="str">
        <f t="shared" si="95"/>
        <v/>
      </c>
      <c r="BG845" s="30" t="str">
        <f t="shared" si="96"/>
        <v/>
      </c>
    </row>
    <row r="846" spans="1:59">
      <c r="A846" s="39"/>
      <c r="B846" s="39"/>
      <c r="C846" s="39"/>
      <c r="D846" s="39"/>
      <c r="E846" s="39"/>
      <c r="F846" s="39"/>
      <c r="G846" s="39"/>
      <c r="H846" s="39"/>
      <c r="I846" s="40"/>
      <c r="J846" s="40"/>
      <c r="K846" s="35"/>
      <c r="L846" s="35"/>
      <c r="M846" s="35"/>
      <c r="N846" s="39"/>
      <c r="O846" s="39"/>
      <c r="P846" s="39"/>
      <c r="Q846" s="39"/>
      <c r="R846" s="39"/>
      <c r="S846" s="39"/>
      <c r="T846" s="39"/>
      <c r="U846" s="39"/>
      <c r="V846" s="39"/>
      <c r="W846" s="39"/>
      <c r="X846" s="39"/>
      <c r="Y846" s="39"/>
      <c r="Z846" s="39"/>
      <c r="AA846" s="39"/>
      <c r="AB846" s="39"/>
      <c r="AC846" s="39"/>
      <c r="AD846" s="39"/>
      <c r="AE846" s="39"/>
      <c r="AF846" s="39"/>
      <c r="AG846" s="39"/>
      <c r="AH846" s="39"/>
      <c r="AI846" s="35"/>
      <c r="AJ846" s="39"/>
      <c r="AK846" s="39"/>
      <c r="AL846" s="39"/>
      <c r="AM846" s="35"/>
      <c r="AN846" s="35"/>
      <c r="AO846" s="39"/>
      <c r="AP846" s="39"/>
      <c r="AQ846" s="35"/>
      <c r="AR846" s="35"/>
      <c r="AS846" s="35"/>
      <c r="AT846" s="30">
        <f t="shared" ca="1" si="92"/>
        <v>0</v>
      </c>
      <c r="AU846" s="32" t="str">
        <f t="shared" ca="1" si="91"/>
        <v/>
      </c>
      <c r="AV846" s="32" t="str" cm="1">
        <f t="array" aca="1" ref="AV846" ca="1">IFERROR(_xlfn.IFS($AU846="","",$AU846&lt;=15,"0-15",AND($AU846&gt;=16,$AU846&lt;=30),"16-30",AND($AU846&gt;=31,$AU846&lt;=45),"31-45",AND($AU846&gt;=46,$AU846&lt;=60),"46-60",AND($AU846&gt;=61,$AU846&lt;=90),"61-90",AND($AU846&gt;=91),"&gt; 90",AND($AU846&gt;=2000),""),"")</f>
        <v/>
      </c>
      <c r="AW846" s="32" t="str" cm="1">
        <f t="array" aca="1" ref="AW846" ca="1">IFERROR(_xlfn.IFS(OR($M846="",$AM846=""),"",OR($C846="Offered",$C846="Joined"),($AM846-$M846)-$AT846),"")</f>
        <v/>
      </c>
      <c r="AX846" s="32" t="str" cm="1">
        <f t="array" aca="1" ref="AX846" ca="1">IFERROR(_xlfn.IFS(OR($M846="",$AS846=""),"",$C846="Joined",($AS846-$M846)-$AT846),"")</f>
        <v/>
      </c>
      <c r="AY846" s="30" t="str">
        <f>IFERROR(IF(COUNTIFS('Candidate Tracker'!$E:$E,'Positions Tracker'!$B846,'Candidate Tracker'!$C:$C,"Offer Drop")=0,"",COUNTIFS('Candidate Tracker'!$E:$E,'Positions Tracker'!$B846,'Candidate Tracker'!$C:$C,"Offer Drop")),"")</f>
        <v/>
      </c>
      <c r="AZ84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6" s="34" t="str">
        <f>IFERROR(IF(COUNTIFS('Candidate Tracker'!$E:$E,'Positions Tracker'!$B846,'Candidate Tracker'!$I:$I,"Female")=0,"",COUNTIFS('Candidate Tracker'!$E:$E,'Positions Tracker'!$B846,'Candidate Tracker'!$I:$I,"Female")),"")</f>
        <v/>
      </c>
      <c r="BB846" s="34" t="str">
        <f>IFERROR(IF(COUNTIFS('Candidate Tracker'!$E:$E,'Positions Tracker'!$B846,'Candidate Tracker'!$I:$I,"male")=0,"",COUNTIFS('Candidate Tracker'!$E:$E,'Positions Tracker'!$B846,'Candidate Tracker'!$I:$I,"male")),"")</f>
        <v/>
      </c>
      <c r="BC846" s="33" t="str">
        <f>IFERROR(IF(COUNTIFS('Candidate Tracker'!$E:$E,'Positions Tracker'!$B846,'Candidate Tracker'!$C:$C,"&lt;&gt;WIP",'Candidate Tracker'!$C:$C,"&lt;&gt;Hold",'Candidate Tracker'!$C:$C,"&lt;&gt;Cancelled",'Candidate Tracker'!$C:$C,"&lt;&gt;Closed")/COUNTIFS('Candidate Tracker'!$E:$E,'Positions Tracker'!$B846)=0,"",COUNTIFS('Candidate Tracker'!$E:$E,'Positions Tracker'!$B846,'Candidate Tracker'!$C:$C,"&lt;&gt;WIP",'Candidate Tracker'!$C:$C,"&lt;&gt;Hold",'Candidate Tracker'!$C:$C,"&lt;&gt;Cancelled",'Candidate Tracker'!$C:$C,"&lt;&gt;Closed")/COUNTIFS('Candidate Tracker'!$E:$E,'Positions Tracker'!$B846)),"")</f>
        <v/>
      </c>
      <c r="BD846" s="30" t="str">
        <f t="shared" si="93"/>
        <v/>
      </c>
      <c r="BE846" s="30" t="str">
        <f t="shared" si="94"/>
        <v/>
      </c>
      <c r="BF846" s="30" t="str">
        <f t="shared" si="95"/>
        <v/>
      </c>
      <c r="BG846" s="30" t="str">
        <f t="shared" si="96"/>
        <v/>
      </c>
    </row>
    <row r="847" spans="1:59">
      <c r="A847" s="39"/>
      <c r="B847" s="39"/>
      <c r="C847" s="39"/>
      <c r="D847" s="39"/>
      <c r="E847" s="39"/>
      <c r="F847" s="39"/>
      <c r="G847" s="39"/>
      <c r="H847" s="39"/>
      <c r="I847" s="40"/>
      <c r="J847" s="40"/>
      <c r="K847" s="35"/>
      <c r="L847" s="35"/>
      <c r="M847" s="35"/>
      <c r="N847" s="39"/>
      <c r="O847" s="39"/>
      <c r="P847" s="39"/>
      <c r="Q847" s="39"/>
      <c r="R847" s="39"/>
      <c r="S847" s="39"/>
      <c r="T847" s="39"/>
      <c r="U847" s="39"/>
      <c r="V847" s="39"/>
      <c r="W847" s="39"/>
      <c r="X847" s="39"/>
      <c r="Y847" s="39"/>
      <c r="Z847" s="39"/>
      <c r="AA847" s="39"/>
      <c r="AB847" s="39"/>
      <c r="AC847" s="39"/>
      <c r="AD847" s="39"/>
      <c r="AE847" s="39"/>
      <c r="AF847" s="39"/>
      <c r="AG847" s="39"/>
      <c r="AH847" s="39"/>
      <c r="AI847" s="35"/>
      <c r="AJ847" s="39"/>
      <c r="AK847" s="39"/>
      <c r="AL847" s="39"/>
      <c r="AM847" s="35"/>
      <c r="AN847" s="35"/>
      <c r="AO847" s="39"/>
      <c r="AP847" s="39"/>
      <c r="AQ847" s="35"/>
      <c r="AR847" s="35"/>
      <c r="AS847" s="35"/>
      <c r="AT847" s="30">
        <f t="shared" ca="1" si="92"/>
        <v>0</v>
      </c>
      <c r="AU847" s="32" t="str">
        <f t="shared" ca="1" si="91"/>
        <v/>
      </c>
      <c r="AV847" s="32" t="str" cm="1">
        <f t="array" aca="1" ref="AV847" ca="1">IFERROR(_xlfn.IFS($AU847="","",$AU847&lt;=15,"0-15",AND($AU847&gt;=16,$AU847&lt;=30),"16-30",AND($AU847&gt;=31,$AU847&lt;=45),"31-45",AND($AU847&gt;=46,$AU847&lt;=60),"46-60",AND($AU847&gt;=61,$AU847&lt;=90),"61-90",AND($AU847&gt;=91),"&gt; 90",AND($AU847&gt;=2000),""),"")</f>
        <v/>
      </c>
      <c r="AW847" s="32" t="str" cm="1">
        <f t="array" aca="1" ref="AW847" ca="1">IFERROR(_xlfn.IFS(OR($M847="",$AM847=""),"",OR($C847="Offered",$C847="Joined"),($AM847-$M847)-$AT847),"")</f>
        <v/>
      </c>
      <c r="AX847" s="32" t="str" cm="1">
        <f t="array" aca="1" ref="AX847" ca="1">IFERROR(_xlfn.IFS(OR($M847="",$AS847=""),"",$C847="Joined",($AS847-$M847)-$AT847),"")</f>
        <v/>
      </c>
      <c r="AY847" s="30" t="str">
        <f>IFERROR(IF(COUNTIFS('Candidate Tracker'!$E:$E,'Positions Tracker'!$B847,'Candidate Tracker'!$C:$C,"Offer Drop")=0,"",COUNTIFS('Candidate Tracker'!$E:$E,'Positions Tracker'!$B847,'Candidate Tracker'!$C:$C,"Offer Drop")),"")</f>
        <v/>
      </c>
      <c r="AZ84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7" s="34" t="str">
        <f>IFERROR(IF(COUNTIFS('Candidate Tracker'!$E:$E,'Positions Tracker'!$B847,'Candidate Tracker'!$I:$I,"Female")=0,"",COUNTIFS('Candidate Tracker'!$E:$E,'Positions Tracker'!$B847,'Candidate Tracker'!$I:$I,"Female")),"")</f>
        <v/>
      </c>
      <c r="BB847" s="34" t="str">
        <f>IFERROR(IF(COUNTIFS('Candidate Tracker'!$E:$E,'Positions Tracker'!$B847,'Candidate Tracker'!$I:$I,"male")=0,"",COUNTIFS('Candidate Tracker'!$E:$E,'Positions Tracker'!$B847,'Candidate Tracker'!$I:$I,"male")),"")</f>
        <v/>
      </c>
      <c r="BC847" s="33" t="str">
        <f>IFERROR(IF(COUNTIFS('Candidate Tracker'!$E:$E,'Positions Tracker'!$B847,'Candidate Tracker'!$C:$C,"&lt;&gt;WIP",'Candidate Tracker'!$C:$C,"&lt;&gt;Hold",'Candidate Tracker'!$C:$C,"&lt;&gt;Cancelled",'Candidate Tracker'!$C:$C,"&lt;&gt;Closed")/COUNTIFS('Candidate Tracker'!$E:$E,'Positions Tracker'!$B847)=0,"",COUNTIFS('Candidate Tracker'!$E:$E,'Positions Tracker'!$B847,'Candidate Tracker'!$C:$C,"&lt;&gt;WIP",'Candidate Tracker'!$C:$C,"&lt;&gt;Hold",'Candidate Tracker'!$C:$C,"&lt;&gt;Cancelled",'Candidate Tracker'!$C:$C,"&lt;&gt;Closed")/COUNTIFS('Candidate Tracker'!$E:$E,'Positions Tracker'!$B847)),"")</f>
        <v/>
      </c>
      <c r="BD847" s="30" t="str">
        <f t="shared" si="93"/>
        <v/>
      </c>
      <c r="BE847" s="30" t="str">
        <f t="shared" si="94"/>
        <v/>
      </c>
      <c r="BF847" s="30" t="str">
        <f t="shared" si="95"/>
        <v/>
      </c>
      <c r="BG847" s="30" t="str">
        <f t="shared" si="96"/>
        <v/>
      </c>
    </row>
    <row r="848" spans="1:59">
      <c r="A848" s="39"/>
      <c r="B848" s="39"/>
      <c r="C848" s="39"/>
      <c r="D848" s="39"/>
      <c r="E848" s="39"/>
      <c r="F848" s="39"/>
      <c r="G848" s="39"/>
      <c r="H848" s="39"/>
      <c r="I848" s="40"/>
      <c r="J848" s="40"/>
      <c r="K848" s="35"/>
      <c r="L848" s="35"/>
      <c r="M848" s="35"/>
      <c r="N848" s="39"/>
      <c r="O848" s="39"/>
      <c r="P848" s="39"/>
      <c r="Q848" s="39"/>
      <c r="R848" s="39"/>
      <c r="S848" s="39"/>
      <c r="T848" s="39"/>
      <c r="U848" s="39"/>
      <c r="V848" s="39"/>
      <c r="W848" s="39"/>
      <c r="X848" s="39"/>
      <c r="Y848" s="39"/>
      <c r="Z848" s="39"/>
      <c r="AA848" s="39"/>
      <c r="AB848" s="39"/>
      <c r="AC848" s="39"/>
      <c r="AD848" s="39"/>
      <c r="AE848" s="39"/>
      <c r="AF848" s="39"/>
      <c r="AG848" s="39"/>
      <c r="AH848" s="39"/>
      <c r="AI848" s="35"/>
      <c r="AJ848" s="39"/>
      <c r="AK848" s="39"/>
      <c r="AL848" s="39"/>
      <c r="AM848" s="35"/>
      <c r="AN848" s="35"/>
      <c r="AO848" s="39"/>
      <c r="AP848" s="39"/>
      <c r="AQ848" s="35"/>
      <c r="AR848" s="35"/>
      <c r="AS848" s="35"/>
      <c r="AT848" s="30">
        <f t="shared" ca="1" si="92"/>
        <v>0</v>
      </c>
      <c r="AU848" s="32" t="str">
        <f t="shared" ca="1" si="91"/>
        <v/>
      </c>
      <c r="AV848" s="32" t="str" cm="1">
        <f t="array" aca="1" ref="AV848" ca="1">IFERROR(_xlfn.IFS($AU848="","",$AU848&lt;=15,"0-15",AND($AU848&gt;=16,$AU848&lt;=30),"16-30",AND($AU848&gt;=31,$AU848&lt;=45),"31-45",AND($AU848&gt;=46,$AU848&lt;=60),"46-60",AND($AU848&gt;=61,$AU848&lt;=90),"61-90",AND($AU848&gt;=91),"&gt; 90",AND($AU848&gt;=2000),""),"")</f>
        <v/>
      </c>
      <c r="AW848" s="32" t="str" cm="1">
        <f t="array" aca="1" ref="AW848" ca="1">IFERROR(_xlfn.IFS(OR($M848="",$AM848=""),"",OR($C848="Offered",$C848="Joined"),($AM848-$M848)-$AT848),"")</f>
        <v/>
      </c>
      <c r="AX848" s="32" t="str" cm="1">
        <f t="array" aca="1" ref="AX848" ca="1">IFERROR(_xlfn.IFS(OR($M848="",$AS848=""),"",$C848="Joined",($AS848-$M848)-$AT848),"")</f>
        <v/>
      </c>
      <c r="AY848" s="30" t="str">
        <f>IFERROR(IF(COUNTIFS('Candidate Tracker'!$E:$E,'Positions Tracker'!$B848,'Candidate Tracker'!$C:$C,"Offer Drop")=0,"",COUNTIFS('Candidate Tracker'!$E:$E,'Positions Tracker'!$B848,'Candidate Tracker'!$C:$C,"Offer Drop")),"")</f>
        <v/>
      </c>
      <c r="AZ8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8" s="34" t="str">
        <f>IFERROR(IF(COUNTIFS('Candidate Tracker'!$E:$E,'Positions Tracker'!$B848,'Candidate Tracker'!$I:$I,"Female")=0,"",COUNTIFS('Candidate Tracker'!$E:$E,'Positions Tracker'!$B848,'Candidate Tracker'!$I:$I,"Female")),"")</f>
        <v/>
      </c>
      <c r="BB848" s="34" t="str">
        <f>IFERROR(IF(COUNTIFS('Candidate Tracker'!$E:$E,'Positions Tracker'!$B848,'Candidate Tracker'!$I:$I,"male")=0,"",COUNTIFS('Candidate Tracker'!$E:$E,'Positions Tracker'!$B848,'Candidate Tracker'!$I:$I,"male")),"")</f>
        <v/>
      </c>
      <c r="BC848" s="33" t="str">
        <f>IFERROR(IF(COUNTIFS('Candidate Tracker'!$E:$E,'Positions Tracker'!$B848,'Candidate Tracker'!$C:$C,"&lt;&gt;WIP",'Candidate Tracker'!$C:$C,"&lt;&gt;Hold",'Candidate Tracker'!$C:$C,"&lt;&gt;Cancelled",'Candidate Tracker'!$C:$C,"&lt;&gt;Closed")/COUNTIFS('Candidate Tracker'!$E:$E,'Positions Tracker'!$B848)=0,"",COUNTIFS('Candidate Tracker'!$E:$E,'Positions Tracker'!$B848,'Candidate Tracker'!$C:$C,"&lt;&gt;WIP",'Candidate Tracker'!$C:$C,"&lt;&gt;Hold",'Candidate Tracker'!$C:$C,"&lt;&gt;Cancelled",'Candidate Tracker'!$C:$C,"&lt;&gt;Closed")/COUNTIFS('Candidate Tracker'!$E:$E,'Positions Tracker'!$B848)),"")</f>
        <v/>
      </c>
      <c r="BD848" s="30" t="str">
        <f t="shared" si="93"/>
        <v/>
      </c>
      <c r="BE848" s="30" t="str">
        <f t="shared" si="94"/>
        <v/>
      </c>
      <c r="BF848" s="30" t="str">
        <f t="shared" si="95"/>
        <v/>
      </c>
      <c r="BG848" s="30" t="str">
        <f t="shared" si="96"/>
        <v/>
      </c>
    </row>
    <row r="849" spans="1:59">
      <c r="A849" s="39"/>
      <c r="B849" s="39"/>
      <c r="C849" s="39"/>
      <c r="D849" s="39"/>
      <c r="E849" s="39"/>
      <c r="F849" s="39"/>
      <c r="G849" s="39"/>
      <c r="H849" s="39"/>
      <c r="I849" s="40"/>
      <c r="J849" s="40"/>
      <c r="K849" s="35"/>
      <c r="L849" s="35"/>
      <c r="M849" s="35"/>
      <c r="N849" s="39"/>
      <c r="O849" s="39"/>
      <c r="P849" s="39"/>
      <c r="Q849" s="39"/>
      <c r="R849" s="39"/>
      <c r="S849" s="39"/>
      <c r="T849" s="39"/>
      <c r="U849" s="39"/>
      <c r="V849" s="39"/>
      <c r="W849" s="39"/>
      <c r="X849" s="39"/>
      <c r="Y849" s="39"/>
      <c r="Z849" s="39"/>
      <c r="AA849" s="39"/>
      <c r="AB849" s="39"/>
      <c r="AC849" s="39"/>
      <c r="AD849" s="39"/>
      <c r="AE849" s="39"/>
      <c r="AF849" s="39"/>
      <c r="AG849" s="39"/>
      <c r="AH849" s="39"/>
      <c r="AI849" s="35"/>
      <c r="AJ849" s="39"/>
      <c r="AK849" s="39"/>
      <c r="AL849" s="39"/>
      <c r="AM849" s="35"/>
      <c r="AN849" s="35"/>
      <c r="AO849" s="39"/>
      <c r="AP849" s="39"/>
      <c r="AQ849" s="35"/>
      <c r="AR849" s="35"/>
      <c r="AS849" s="35"/>
      <c r="AT849" s="30">
        <f t="shared" ca="1" si="92"/>
        <v>0</v>
      </c>
      <c r="AU849" s="32" t="str">
        <f t="shared" ca="1" si="91"/>
        <v/>
      </c>
      <c r="AV849" s="32" t="str" cm="1">
        <f t="array" aca="1" ref="AV849" ca="1">IFERROR(_xlfn.IFS($AU849="","",$AU849&lt;=15,"0-15",AND($AU849&gt;=16,$AU849&lt;=30),"16-30",AND($AU849&gt;=31,$AU849&lt;=45),"31-45",AND($AU849&gt;=46,$AU849&lt;=60),"46-60",AND($AU849&gt;=61,$AU849&lt;=90),"61-90",AND($AU849&gt;=91),"&gt; 90",AND($AU849&gt;=2000),""),"")</f>
        <v/>
      </c>
      <c r="AW849" s="32" t="str" cm="1">
        <f t="array" aca="1" ref="AW849" ca="1">IFERROR(_xlfn.IFS(OR($M849="",$AM849=""),"",OR($C849="Offered",$C849="Joined"),($AM849-$M849)-$AT849),"")</f>
        <v/>
      </c>
      <c r="AX849" s="32" t="str" cm="1">
        <f t="array" aca="1" ref="AX849" ca="1">IFERROR(_xlfn.IFS(OR($M849="",$AS849=""),"",$C849="Joined",($AS849-$M849)-$AT849),"")</f>
        <v/>
      </c>
      <c r="AY849" s="30" t="str">
        <f>IFERROR(IF(COUNTIFS('Candidate Tracker'!$E:$E,'Positions Tracker'!$B849,'Candidate Tracker'!$C:$C,"Offer Drop")=0,"",COUNTIFS('Candidate Tracker'!$E:$E,'Positions Tracker'!$B849,'Candidate Tracker'!$C:$C,"Offer Drop")),"")</f>
        <v/>
      </c>
      <c r="AZ84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49" s="34" t="str">
        <f>IFERROR(IF(COUNTIFS('Candidate Tracker'!$E:$E,'Positions Tracker'!$B849,'Candidate Tracker'!$I:$I,"Female")=0,"",COUNTIFS('Candidate Tracker'!$E:$E,'Positions Tracker'!$B849,'Candidate Tracker'!$I:$I,"Female")),"")</f>
        <v/>
      </c>
      <c r="BB849" s="34" t="str">
        <f>IFERROR(IF(COUNTIFS('Candidate Tracker'!$E:$E,'Positions Tracker'!$B849,'Candidate Tracker'!$I:$I,"male")=0,"",COUNTIFS('Candidate Tracker'!$E:$E,'Positions Tracker'!$B849,'Candidate Tracker'!$I:$I,"male")),"")</f>
        <v/>
      </c>
      <c r="BC849" s="33" t="str">
        <f>IFERROR(IF(COUNTIFS('Candidate Tracker'!$E:$E,'Positions Tracker'!$B849,'Candidate Tracker'!$C:$C,"&lt;&gt;WIP",'Candidate Tracker'!$C:$C,"&lt;&gt;Hold",'Candidate Tracker'!$C:$C,"&lt;&gt;Cancelled",'Candidate Tracker'!$C:$C,"&lt;&gt;Closed")/COUNTIFS('Candidate Tracker'!$E:$E,'Positions Tracker'!$B849)=0,"",COUNTIFS('Candidate Tracker'!$E:$E,'Positions Tracker'!$B849,'Candidate Tracker'!$C:$C,"&lt;&gt;WIP",'Candidate Tracker'!$C:$C,"&lt;&gt;Hold",'Candidate Tracker'!$C:$C,"&lt;&gt;Cancelled",'Candidate Tracker'!$C:$C,"&lt;&gt;Closed")/COUNTIFS('Candidate Tracker'!$E:$E,'Positions Tracker'!$B849)),"")</f>
        <v/>
      </c>
      <c r="BD849" s="30" t="str">
        <f t="shared" si="93"/>
        <v/>
      </c>
      <c r="BE849" s="30" t="str">
        <f t="shared" si="94"/>
        <v/>
      </c>
      <c r="BF849" s="30" t="str">
        <f t="shared" si="95"/>
        <v/>
      </c>
      <c r="BG849" s="30" t="str">
        <f t="shared" si="96"/>
        <v/>
      </c>
    </row>
    <row r="850" spans="1:59">
      <c r="A850" s="39"/>
      <c r="B850" s="39"/>
      <c r="C850" s="39"/>
      <c r="D850" s="39"/>
      <c r="E850" s="39"/>
      <c r="F850" s="39"/>
      <c r="G850" s="39"/>
      <c r="H850" s="39"/>
      <c r="I850" s="40"/>
      <c r="J850" s="40"/>
      <c r="K850" s="35"/>
      <c r="L850" s="35"/>
      <c r="M850" s="35"/>
      <c r="N850" s="39"/>
      <c r="O850" s="39"/>
      <c r="P850" s="39"/>
      <c r="Q850" s="39"/>
      <c r="R850" s="39"/>
      <c r="S850" s="39"/>
      <c r="T850" s="39"/>
      <c r="U850" s="39"/>
      <c r="V850" s="39"/>
      <c r="W850" s="39"/>
      <c r="X850" s="39"/>
      <c r="Y850" s="39"/>
      <c r="Z850" s="39"/>
      <c r="AA850" s="39"/>
      <c r="AB850" s="39"/>
      <c r="AC850" s="39"/>
      <c r="AD850" s="39"/>
      <c r="AE850" s="39"/>
      <c r="AF850" s="39"/>
      <c r="AG850" s="39"/>
      <c r="AH850" s="39"/>
      <c r="AI850" s="35"/>
      <c r="AJ850" s="39"/>
      <c r="AK850" s="39"/>
      <c r="AL850" s="39"/>
      <c r="AM850" s="35"/>
      <c r="AN850" s="35"/>
      <c r="AO850" s="39"/>
      <c r="AP850" s="39"/>
      <c r="AQ850" s="35"/>
      <c r="AR850" s="35"/>
      <c r="AS850" s="35"/>
      <c r="AT850" s="30">
        <f t="shared" ca="1" si="92"/>
        <v>0</v>
      </c>
      <c r="AU850" s="32" t="str">
        <f t="shared" ca="1" si="91"/>
        <v/>
      </c>
      <c r="AV850" s="32" t="str" cm="1">
        <f t="array" aca="1" ref="AV850" ca="1">IFERROR(_xlfn.IFS($AU850="","",$AU850&lt;=15,"0-15",AND($AU850&gt;=16,$AU850&lt;=30),"16-30",AND($AU850&gt;=31,$AU850&lt;=45),"31-45",AND($AU850&gt;=46,$AU850&lt;=60),"46-60",AND($AU850&gt;=61,$AU850&lt;=90),"61-90",AND($AU850&gt;=91),"&gt; 90",AND($AU850&gt;=2000),""),"")</f>
        <v/>
      </c>
      <c r="AW850" s="32" t="str" cm="1">
        <f t="array" aca="1" ref="AW850" ca="1">IFERROR(_xlfn.IFS(OR($M850="",$AM850=""),"",OR($C850="Offered",$C850="Joined"),($AM850-$M850)-$AT850),"")</f>
        <v/>
      </c>
      <c r="AX850" s="32" t="str" cm="1">
        <f t="array" aca="1" ref="AX850" ca="1">IFERROR(_xlfn.IFS(OR($M850="",$AS850=""),"",$C850="Joined",($AS850-$M850)-$AT850),"")</f>
        <v/>
      </c>
      <c r="AY850" s="30" t="str">
        <f>IFERROR(IF(COUNTIFS('Candidate Tracker'!$E:$E,'Positions Tracker'!$B850,'Candidate Tracker'!$C:$C,"Offer Drop")=0,"",COUNTIFS('Candidate Tracker'!$E:$E,'Positions Tracker'!$B850,'Candidate Tracker'!$C:$C,"Offer Drop")),"")</f>
        <v/>
      </c>
      <c r="AZ85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0" s="34" t="str">
        <f>IFERROR(IF(COUNTIFS('Candidate Tracker'!$E:$E,'Positions Tracker'!$B850,'Candidate Tracker'!$I:$I,"Female")=0,"",COUNTIFS('Candidate Tracker'!$E:$E,'Positions Tracker'!$B850,'Candidate Tracker'!$I:$I,"Female")),"")</f>
        <v/>
      </c>
      <c r="BB850" s="34" t="str">
        <f>IFERROR(IF(COUNTIFS('Candidate Tracker'!$E:$E,'Positions Tracker'!$B850,'Candidate Tracker'!$I:$I,"male")=0,"",COUNTIFS('Candidate Tracker'!$E:$E,'Positions Tracker'!$B850,'Candidate Tracker'!$I:$I,"male")),"")</f>
        <v/>
      </c>
      <c r="BC850" s="33" t="str">
        <f>IFERROR(IF(COUNTIFS('Candidate Tracker'!$E:$E,'Positions Tracker'!$B850,'Candidate Tracker'!$C:$C,"&lt;&gt;WIP",'Candidate Tracker'!$C:$C,"&lt;&gt;Hold",'Candidate Tracker'!$C:$C,"&lt;&gt;Cancelled",'Candidate Tracker'!$C:$C,"&lt;&gt;Closed")/COUNTIFS('Candidate Tracker'!$E:$E,'Positions Tracker'!$B850)=0,"",COUNTIFS('Candidate Tracker'!$E:$E,'Positions Tracker'!$B850,'Candidate Tracker'!$C:$C,"&lt;&gt;WIP",'Candidate Tracker'!$C:$C,"&lt;&gt;Hold",'Candidate Tracker'!$C:$C,"&lt;&gt;Cancelled",'Candidate Tracker'!$C:$C,"&lt;&gt;Closed")/COUNTIFS('Candidate Tracker'!$E:$E,'Positions Tracker'!$B850)),"")</f>
        <v/>
      </c>
      <c r="BD850" s="30" t="str">
        <f t="shared" si="93"/>
        <v/>
      </c>
      <c r="BE850" s="30" t="str">
        <f t="shared" si="94"/>
        <v/>
      </c>
      <c r="BF850" s="30" t="str">
        <f t="shared" si="95"/>
        <v/>
      </c>
      <c r="BG850" s="30" t="str">
        <f t="shared" si="96"/>
        <v/>
      </c>
    </row>
    <row r="851" spans="1:59">
      <c r="A851" s="39"/>
      <c r="B851" s="39"/>
      <c r="C851" s="39"/>
      <c r="D851" s="39"/>
      <c r="E851" s="39"/>
      <c r="F851" s="39"/>
      <c r="G851" s="39"/>
      <c r="H851" s="39"/>
      <c r="I851" s="40"/>
      <c r="J851" s="40"/>
      <c r="K851" s="35"/>
      <c r="L851" s="35"/>
      <c r="M851" s="35"/>
      <c r="N851" s="39"/>
      <c r="O851" s="39"/>
      <c r="P851" s="39"/>
      <c r="Q851" s="39"/>
      <c r="R851" s="39"/>
      <c r="S851" s="39"/>
      <c r="T851" s="39"/>
      <c r="U851" s="39"/>
      <c r="V851" s="39"/>
      <c r="W851" s="39"/>
      <c r="X851" s="39"/>
      <c r="Y851" s="39"/>
      <c r="Z851" s="39"/>
      <c r="AA851" s="39"/>
      <c r="AB851" s="39"/>
      <c r="AC851" s="39"/>
      <c r="AD851" s="39"/>
      <c r="AE851" s="39"/>
      <c r="AF851" s="39"/>
      <c r="AG851" s="39"/>
      <c r="AH851" s="39"/>
      <c r="AI851" s="35"/>
      <c r="AJ851" s="39"/>
      <c r="AK851" s="39"/>
      <c r="AL851" s="39"/>
      <c r="AM851" s="35"/>
      <c r="AN851" s="35"/>
      <c r="AO851" s="39"/>
      <c r="AP851" s="39"/>
      <c r="AQ851" s="35"/>
      <c r="AR851" s="35"/>
      <c r="AS851" s="35"/>
      <c r="AT851" s="30">
        <f t="shared" ca="1" si="92"/>
        <v>0</v>
      </c>
      <c r="AU851" s="32" t="str">
        <f t="shared" ca="1" si="91"/>
        <v/>
      </c>
      <c r="AV851" s="32" t="str" cm="1">
        <f t="array" aca="1" ref="AV851" ca="1">IFERROR(_xlfn.IFS($AU851="","",$AU851&lt;=15,"0-15",AND($AU851&gt;=16,$AU851&lt;=30),"16-30",AND($AU851&gt;=31,$AU851&lt;=45),"31-45",AND($AU851&gt;=46,$AU851&lt;=60),"46-60",AND($AU851&gt;=61,$AU851&lt;=90),"61-90",AND($AU851&gt;=91),"&gt; 90",AND($AU851&gt;=2000),""),"")</f>
        <v/>
      </c>
      <c r="AW851" s="32" t="str" cm="1">
        <f t="array" aca="1" ref="AW851" ca="1">IFERROR(_xlfn.IFS(OR($M851="",$AM851=""),"",OR($C851="Offered",$C851="Joined"),($AM851-$M851)-$AT851),"")</f>
        <v/>
      </c>
      <c r="AX851" s="32" t="str" cm="1">
        <f t="array" aca="1" ref="AX851" ca="1">IFERROR(_xlfn.IFS(OR($M851="",$AS851=""),"",$C851="Joined",($AS851-$M851)-$AT851),"")</f>
        <v/>
      </c>
      <c r="AY851" s="30" t="str">
        <f>IFERROR(IF(COUNTIFS('Candidate Tracker'!$E:$E,'Positions Tracker'!$B851,'Candidate Tracker'!$C:$C,"Offer Drop")=0,"",COUNTIFS('Candidate Tracker'!$E:$E,'Positions Tracker'!$B851,'Candidate Tracker'!$C:$C,"Offer Drop")),"")</f>
        <v/>
      </c>
      <c r="AZ8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1" s="34" t="str">
        <f>IFERROR(IF(COUNTIFS('Candidate Tracker'!$E:$E,'Positions Tracker'!$B851,'Candidate Tracker'!$I:$I,"Female")=0,"",COUNTIFS('Candidate Tracker'!$E:$E,'Positions Tracker'!$B851,'Candidate Tracker'!$I:$I,"Female")),"")</f>
        <v/>
      </c>
      <c r="BB851" s="34" t="str">
        <f>IFERROR(IF(COUNTIFS('Candidate Tracker'!$E:$E,'Positions Tracker'!$B851,'Candidate Tracker'!$I:$I,"male")=0,"",COUNTIFS('Candidate Tracker'!$E:$E,'Positions Tracker'!$B851,'Candidate Tracker'!$I:$I,"male")),"")</f>
        <v/>
      </c>
      <c r="BC851" s="33" t="str">
        <f>IFERROR(IF(COUNTIFS('Candidate Tracker'!$E:$E,'Positions Tracker'!$B851,'Candidate Tracker'!$C:$C,"&lt;&gt;WIP",'Candidate Tracker'!$C:$C,"&lt;&gt;Hold",'Candidate Tracker'!$C:$C,"&lt;&gt;Cancelled",'Candidate Tracker'!$C:$C,"&lt;&gt;Closed")/COUNTIFS('Candidate Tracker'!$E:$E,'Positions Tracker'!$B851)=0,"",COUNTIFS('Candidate Tracker'!$E:$E,'Positions Tracker'!$B851,'Candidate Tracker'!$C:$C,"&lt;&gt;WIP",'Candidate Tracker'!$C:$C,"&lt;&gt;Hold",'Candidate Tracker'!$C:$C,"&lt;&gt;Cancelled",'Candidate Tracker'!$C:$C,"&lt;&gt;Closed")/COUNTIFS('Candidate Tracker'!$E:$E,'Positions Tracker'!$B851)),"")</f>
        <v/>
      </c>
      <c r="BD851" s="30" t="str">
        <f t="shared" si="93"/>
        <v/>
      </c>
      <c r="BE851" s="30" t="str">
        <f t="shared" si="94"/>
        <v/>
      </c>
      <c r="BF851" s="30" t="str">
        <f t="shared" si="95"/>
        <v/>
      </c>
      <c r="BG851" s="30" t="str">
        <f t="shared" si="96"/>
        <v/>
      </c>
    </row>
    <row r="852" spans="1:59">
      <c r="A852" s="39"/>
      <c r="B852" s="39"/>
      <c r="C852" s="39"/>
      <c r="D852" s="39"/>
      <c r="E852" s="39"/>
      <c r="F852" s="39"/>
      <c r="G852" s="39"/>
      <c r="H852" s="39"/>
      <c r="I852" s="40"/>
      <c r="J852" s="40"/>
      <c r="K852" s="35"/>
      <c r="L852" s="35"/>
      <c r="M852" s="35"/>
      <c r="N852" s="39"/>
      <c r="O852" s="39"/>
      <c r="P852" s="39"/>
      <c r="Q852" s="39"/>
      <c r="R852" s="39"/>
      <c r="S852" s="39"/>
      <c r="T852" s="39"/>
      <c r="U852" s="39"/>
      <c r="V852" s="39"/>
      <c r="W852" s="39"/>
      <c r="X852" s="39"/>
      <c r="Y852" s="39"/>
      <c r="Z852" s="39"/>
      <c r="AA852" s="39"/>
      <c r="AB852" s="39"/>
      <c r="AC852" s="39"/>
      <c r="AD852" s="39"/>
      <c r="AE852" s="39"/>
      <c r="AF852" s="39"/>
      <c r="AG852" s="39"/>
      <c r="AH852" s="39"/>
      <c r="AI852" s="35"/>
      <c r="AJ852" s="39"/>
      <c r="AK852" s="39"/>
      <c r="AL852" s="39"/>
      <c r="AM852" s="35"/>
      <c r="AN852" s="35"/>
      <c r="AO852" s="39"/>
      <c r="AP852" s="39"/>
      <c r="AQ852" s="35"/>
      <c r="AR852" s="35"/>
      <c r="AS852" s="35"/>
      <c r="AT852" s="30">
        <f t="shared" ca="1" si="92"/>
        <v>0</v>
      </c>
      <c r="AU852" s="32" t="str">
        <f t="shared" ca="1" si="91"/>
        <v/>
      </c>
      <c r="AV852" s="32" t="str" cm="1">
        <f t="array" aca="1" ref="AV852" ca="1">IFERROR(_xlfn.IFS($AU852="","",$AU852&lt;=15,"0-15",AND($AU852&gt;=16,$AU852&lt;=30),"16-30",AND($AU852&gt;=31,$AU852&lt;=45),"31-45",AND($AU852&gt;=46,$AU852&lt;=60),"46-60",AND($AU852&gt;=61,$AU852&lt;=90),"61-90",AND($AU852&gt;=91),"&gt; 90",AND($AU852&gt;=2000),""),"")</f>
        <v/>
      </c>
      <c r="AW852" s="32" t="str" cm="1">
        <f t="array" aca="1" ref="AW852" ca="1">IFERROR(_xlfn.IFS(OR($M852="",$AM852=""),"",OR($C852="Offered",$C852="Joined"),($AM852-$M852)-$AT852),"")</f>
        <v/>
      </c>
      <c r="AX852" s="32" t="str" cm="1">
        <f t="array" aca="1" ref="AX852" ca="1">IFERROR(_xlfn.IFS(OR($M852="",$AS852=""),"",$C852="Joined",($AS852-$M852)-$AT852),"")</f>
        <v/>
      </c>
      <c r="AY852" s="30" t="str">
        <f>IFERROR(IF(COUNTIFS('Candidate Tracker'!$E:$E,'Positions Tracker'!$B852,'Candidate Tracker'!$C:$C,"Offer Drop")=0,"",COUNTIFS('Candidate Tracker'!$E:$E,'Positions Tracker'!$B852,'Candidate Tracker'!$C:$C,"Offer Drop")),"")</f>
        <v/>
      </c>
      <c r="AZ85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2" s="34" t="str">
        <f>IFERROR(IF(COUNTIFS('Candidate Tracker'!$E:$E,'Positions Tracker'!$B852,'Candidate Tracker'!$I:$I,"Female")=0,"",COUNTIFS('Candidate Tracker'!$E:$E,'Positions Tracker'!$B852,'Candidate Tracker'!$I:$I,"Female")),"")</f>
        <v/>
      </c>
      <c r="BB852" s="34" t="str">
        <f>IFERROR(IF(COUNTIFS('Candidate Tracker'!$E:$E,'Positions Tracker'!$B852,'Candidate Tracker'!$I:$I,"male")=0,"",COUNTIFS('Candidate Tracker'!$E:$E,'Positions Tracker'!$B852,'Candidate Tracker'!$I:$I,"male")),"")</f>
        <v/>
      </c>
      <c r="BC852" s="33" t="str">
        <f>IFERROR(IF(COUNTIFS('Candidate Tracker'!$E:$E,'Positions Tracker'!$B852,'Candidate Tracker'!$C:$C,"&lt;&gt;WIP",'Candidate Tracker'!$C:$C,"&lt;&gt;Hold",'Candidate Tracker'!$C:$C,"&lt;&gt;Cancelled",'Candidate Tracker'!$C:$C,"&lt;&gt;Closed")/COUNTIFS('Candidate Tracker'!$E:$E,'Positions Tracker'!$B852)=0,"",COUNTIFS('Candidate Tracker'!$E:$E,'Positions Tracker'!$B852,'Candidate Tracker'!$C:$C,"&lt;&gt;WIP",'Candidate Tracker'!$C:$C,"&lt;&gt;Hold",'Candidate Tracker'!$C:$C,"&lt;&gt;Cancelled",'Candidate Tracker'!$C:$C,"&lt;&gt;Closed")/COUNTIFS('Candidate Tracker'!$E:$E,'Positions Tracker'!$B852)),"")</f>
        <v/>
      </c>
      <c r="BD852" s="30" t="str">
        <f t="shared" si="93"/>
        <v/>
      </c>
      <c r="BE852" s="30" t="str">
        <f t="shared" si="94"/>
        <v/>
      </c>
      <c r="BF852" s="30" t="str">
        <f t="shared" si="95"/>
        <v/>
      </c>
      <c r="BG852" s="30" t="str">
        <f t="shared" si="96"/>
        <v/>
      </c>
    </row>
    <row r="853" spans="1:59">
      <c r="A853" s="39"/>
      <c r="B853" s="39"/>
      <c r="C853" s="39"/>
      <c r="D853" s="39"/>
      <c r="E853" s="39"/>
      <c r="F853" s="39"/>
      <c r="G853" s="39"/>
      <c r="H853" s="39"/>
      <c r="I853" s="40"/>
      <c r="J853" s="40"/>
      <c r="K853" s="35"/>
      <c r="L853" s="35"/>
      <c r="M853" s="35"/>
      <c r="N853" s="39"/>
      <c r="O853" s="39"/>
      <c r="P853" s="39"/>
      <c r="Q853" s="39"/>
      <c r="R853" s="39"/>
      <c r="S853" s="39"/>
      <c r="T853" s="39"/>
      <c r="U853" s="39"/>
      <c r="V853" s="39"/>
      <c r="W853" s="39"/>
      <c r="X853" s="39"/>
      <c r="Y853" s="39"/>
      <c r="Z853" s="39"/>
      <c r="AA853" s="39"/>
      <c r="AB853" s="39"/>
      <c r="AC853" s="39"/>
      <c r="AD853" s="39"/>
      <c r="AE853" s="39"/>
      <c r="AF853" s="39"/>
      <c r="AG853" s="39"/>
      <c r="AH853" s="39"/>
      <c r="AI853" s="35"/>
      <c r="AJ853" s="39"/>
      <c r="AK853" s="39"/>
      <c r="AL853" s="39"/>
      <c r="AM853" s="35"/>
      <c r="AN853" s="35"/>
      <c r="AO853" s="39"/>
      <c r="AP853" s="39"/>
      <c r="AQ853" s="35"/>
      <c r="AR853" s="35"/>
      <c r="AS853" s="35"/>
      <c r="AT853" s="30">
        <f t="shared" ca="1" si="92"/>
        <v>0</v>
      </c>
      <c r="AU853" s="32" t="str">
        <f t="shared" ca="1" si="91"/>
        <v/>
      </c>
      <c r="AV853" s="32" t="str" cm="1">
        <f t="array" aca="1" ref="AV853" ca="1">IFERROR(_xlfn.IFS($AU853="","",$AU853&lt;=15,"0-15",AND($AU853&gt;=16,$AU853&lt;=30),"16-30",AND($AU853&gt;=31,$AU853&lt;=45),"31-45",AND($AU853&gt;=46,$AU853&lt;=60),"46-60",AND($AU853&gt;=61,$AU853&lt;=90),"61-90",AND($AU853&gt;=91),"&gt; 90",AND($AU853&gt;=2000),""),"")</f>
        <v/>
      </c>
      <c r="AW853" s="32" t="str" cm="1">
        <f t="array" aca="1" ref="AW853" ca="1">IFERROR(_xlfn.IFS(OR($M853="",$AM853=""),"",OR($C853="Offered",$C853="Joined"),($AM853-$M853)-$AT853),"")</f>
        <v/>
      </c>
      <c r="AX853" s="32" t="str" cm="1">
        <f t="array" aca="1" ref="AX853" ca="1">IFERROR(_xlfn.IFS(OR($M853="",$AS853=""),"",$C853="Joined",($AS853-$M853)-$AT853),"")</f>
        <v/>
      </c>
      <c r="AY853" s="30" t="str">
        <f>IFERROR(IF(COUNTIFS('Candidate Tracker'!$E:$E,'Positions Tracker'!$B853,'Candidate Tracker'!$C:$C,"Offer Drop")=0,"",COUNTIFS('Candidate Tracker'!$E:$E,'Positions Tracker'!$B853,'Candidate Tracker'!$C:$C,"Offer Drop")),"")</f>
        <v/>
      </c>
      <c r="AZ85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3" s="34" t="str">
        <f>IFERROR(IF(COUNTIFS('Candidate Tracker'!$E:$E,'Positions Tracker'!$B853,'Candidate Tracker'!$I:$I,"Female")=0,"",COUNTIFS('Candidate Tracker'!$E:$E,'Positions Tracker'!$B853,'Candidate Tracker'!$I:$I,"Female")),"")</f>
        <v/>
      </c>
      <c r="BB853" s="34" t="str">
        <f>IFERROR(IF(COUNTIFS('Candidate Tracker'!$E:$E,'Positions Tracker'!$B853,'Candidate Tracker'!$I:$I,"male")=0,"",COUNTIFS('Candidate Tracker'!$E:$E,'Positions Tracker'!$B853,'Candidate Tracker'!$I:$I,"male")),"")</f>
        <v/>
      </c>
      <c r="BC853" s="33" t="str">
        <f>IFERROR(IF(COUNTIFS('Candidate Tracker'!$E:$E,'Positions Tracker'!$B853,'Candidate Tracker'!$C:$C,"&lt;&gt;WIP",'Candidate Tracker'!$C:$C,"&lt;&gt;Hold",'Candidate Tracker'!$C:$C,"&lt;&gt;Cancelled",'Candidate Tracker'!$C:$C,"&lt;&gt;Closed")/COUNTIFS('Candidate Tracker'!$E:$E,'Positions Tracker'!$B853)=0,"",COUNTIFS('Candidate Tracker'!$E:$E,'Positions Tracker'!$B853,'Candidate Tracker'!$C:$C,"&lt;&gt;WIP",'Candidate Tracker'!$C:$C,"&lt;&gt;Hold",'Candidate Tracker'!$C:$C,"&lt;&gt;Cancelled",'Candidate Tracker'!$C:$C,"&lt;&gt;Closed")/COUNTIFS('Candidate Tracker'!$E:$E,'Positions Tracker'!$B853)),"")</f>
        <v/>
      </c>
      <c r="BD853" s="30" t="str">
        <f t="shared" si="93"/>
        <v/>
      </c>
      <c r="BE853" s="30" t="str">
        <f t="shared" si="94"/>
        <v/>
      </c>
      <c r="BF853" s="30" t="str">
        <f t="shared" si="95"/>
        <v/>
      </c>
      <c r="BG853" s="30" t="str">
        <f t="shared" si="96"/>
        <v/>
      </c>
    </row>
    <row r="854" spans="1:59">
      <c r="A854" s="39"/>
      <c r="B854" s="39"/>
      <c r="C854" s="39"/>
      <c r="D854" s="39"/>
      <c r="E854" s="39"/>
      <c r="F854" s="39"/>
      <c r="G854" s="39"/>
      <c r="H854" s="39"/>
      <c r="I854" s="40"/>
      <c r="J854" s="40"/>
      <c r="K854" s="35"/>
      <c r="L854" s="35"/>
      <c r="M854" s="35"/>
      <c r="N854" s="39"/>
      <c r="O854" s="39"/>
      <c r="P854" s="39"/>
      <c r="Q854" s="39"/>
      <c r="R854" s="39"/>
      <c r="S854" s="39"/>
      <c r="T854" s="39"/>
      <c r="U854" s="39"/>
      <c r="V854" s="39"/>
      <c r="W854" s="39"/>
      <c r="X854" s="39"/>
      <c r="Y854" s="39"/>
      <c r="Z854" s="39"/>
      <c r="AA854" s="39"/>
      <c r="AB854" s="39"/>
      <c r="AC854" s="39"/>
      <c r="AD854" s="39"/>
      <c r="AE854" s="39"/>
      <c r="AF854" s="39"/>
      <c r="AG854" s="39"/>
      <c r="AH854" s="39"/>
      <c r="AI854" s="35"/>
      <c r="AJ854" s="39"/>
      <c r="AK854" s="39"/>
      <c r="AL854" s="39"/>
      <c r="AM854" s="35"/>
      <c r="AN854" s="35"/>
      <c r="AO854" s="39"/>
      <c r="AP854" s="39"/>
      <c r="AQ854" s="35"/>
      <c r="AR854" s="35"/>
      <c r="AS854" s="35"/>
      <c r="AT854" s="30">
        <f t="shared" ca="1" si="92"/>
        <v>0</v>
      </c>
      <c r="AU854" s="32" t="str">
        <f t="shared" ca="1" si="91"/>
        <v/>
      </c>
      <c r="AV854" s="32" t="str" cm="1">
        <f t="array" aca="1" ref="AV854" ca="1">IFERROR(_xlfn.IFS($AU854="","",$AU854&lt;=15,"0-15",AND($AU854&gt;=16,$AU854&lt;=30),"16-30",AND($AU854&gt;=31,$AU854&lt;=45),"31-45",AND($AU854&gt;=46,$AU854&lt;=60),"46-60",AND($AU854&gt;=61,$AU854&lt;=90),"61-90",AND($AU854&gt;=91),"&gt; 90",AND($AU854&gt;=2000),""),"")</f>
        <v/>
      </c>
      <c r="AW854" s="32" t="str" cm="1">
        <f t="array" aca="1" ref="AW854" ca="1">IFERROR(_xlfn.IFS(OR($M854="",$AM854=""),"",OR($C854="Offered",$C854="Joined"),($AM854-$M854)-$AT854),"")</f>
        <v/>
      </c>
      <c r="AX854" s="32" t="str" cm="1">
        <f t="array" aca="1" ref="AX854" ca="1">IFERROR(_xlfn.IFS(OR($M854="",$AS854=""),"",$C854="Joined",($AS854-$M854)-$AT854),"")</f>
        <v/>
      </c>
      <c r="AY854" s="30" t="str">
        <f>IFERROR(IF(COUNTIFS('Candidate Tracker'!$E:$E,'Positions Tracker'!$B854,'Candidate Tracker'!$C:$C,"Offer Drop")=0,"",COUNTIFS('Candidate Tracker'!$E:$E,'Positions Tracker'!$B854,'Candidate Tracker'!$C:$C,"Offer Drop")),"")</f>
        <v/>
      </c>
      <c r="AZ85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4" s="34" t="str">
        <f>IFERROR(IF(COUNTIFS('Candidate Tracker'!$E:$E,'Positions Tracker'!$B854,'Candidate Tracker'!$I:$I,"Female")=0,"",COUNTIFS('Candidate Tracker'!$E:$E,'Positions Tracker'!$B854,'Candidate Tracker'!$I:$I,"Female")),"")</f>
        <v/>
      </c>
      <c r="BB854" s="34" t="str">
        <f>IFERROR(IF(COUNTIFS('Candidate Tracker'!$E:$E,'Positions Tracker'!$B854,'Candidate Tracker'!$I:$I,"male")=0,"",COUNTIFS('Candidate Tracker'!$E:$E,'Positions Tracker'!$B854,'Candidate Tracker'!$I:$I,"male")),"")</f>
        <v/>
      </c>
      <c r="BC854" s="33" t="str">
        <f>IFERROR(IF(COUNTIFS('Candidate Tracker'!$E:$E,'Positions Tracker'!$B854,'Candidate Tracker'!$C:$C,"&lt;&gt;WIP",'Candidate Tracker'!$C:$C,"&lt;&gt;Hold",'Candidate Tracker'!$C:$C,"&lt;&gt;Cancelled",'Candidate Tracker'!$C:$C,"&lt;&gt;Closed")/COUNTIFS('Candidate Tracker'!$E:$E,'Positions Tracker'!$B854)=0,"",COUNTIFS('Candidate Tracker'!$E:$E,'Positions Tracker'!$B854,'Candidate Tracker'!$C:$C,"&lt;&gt;WIP",'Candidate Tracker'!$C:$C,"&lt;&gt;Hold",'Candidate Tracker'!$C:$C,"&lt;&gt;Cancelled",'Candidate Tracker'!$C:$C,"&lt;&gt;Closed")/COUNTIFS('Candidate Tracker'!$E:$E,'Positions Tracker'!$B854)),"")</f>
        <v/>
      </c>
      <c r="BD854" s="30" t="str">
        <f t="shared" si="93"/>
        <v/>
      </c>
      <c r="BE854" s="30" t="str">
        <f t="shared" si="94"/>
        <v/>
      </c>
      <c r="BF854" s="30" t="str">
        <f t="shared" si="95"/>
        <v/>
      </c>
      <c r="BG854" s="30" t="str">
        <f t="shared" si="96"/>
        <v/>
      </c>
    </row>
    <row r="855" spans="1:59">
      <c r="A855" s="39"/>
      <c r="B855" s="39"/>
      <c r="C855" s="39"/>
      <c r="D855" s="39"/>
      <c r="E855" s="39"/>
      <c r="F855" s="39"/>
      <c r="G855" s="39"/>
      <c r="H855" s="39"/>
      <c r="I855" s="40"/>
      <c r="J855" s="40"/>
      <c r="K855" s="35"/>
      <c r="L855" s="35"/>
      <c r="M855" s="35"/>
      <c r="N855" s="39"/>
      <c r="O855" s="39"/>
      <c r="P855" s="39"/>
      <c r="Q855" s="39"/>
      <c r="R855" s="39"/>
      <c r="S855" s="39"/>
      <c r="T855" s="39"/>
      <c r="U855" s="39"/>
      <c r="V855" s="39"/>
      <c r="W855" s="39"/>
      <c r="X855" s="39"/>
      <c r="Y855" s="39"/>
      <c r="Z855" s="39"/>
      <c r="AA855" s="39"/>
      <c r="AB855" s="39"/>
      <c r="AC855" s="39"/>
      <c r="AD855" s="39"/>
      <c r="AE855" s="39"/>
      <c r="AF855" s="39"/>
      <c r="AG855" s="39"/>
      <c r="AH855" s="39"/>
      <c r="AI855" s="35"/>
      <c r="AJ855" s="39"/>
      <c r="AK855" s="39"/>
      <c r="AL855" s="39"/>
      <c r="AM855" s="35"/>
      <c r="AN855" s="35"/>
      <c r="AO855" s="39"/>
      <c r="AP855" s="39"/>
      <c r="AQ855" s="35"/>
      <c r="AR855" s="35"/>
      <c r="AS855" s="35"/>
      <c r="AT855" s="30">
        <f t="shared" ca="1" si="92"/>
        <v>0</v>
      </c>
      <c r="AU855" s="32" t="str">
        <f t="shared" ca="1" si="91"/>
        <v/>
      </c>
      <c r="AV855" s="32" t="str" cm="1">
        <f t="array" aca="1" ref="AV855" ca="1">IFERROR(_xlfn.IFS($AU855="","",$AU855&lt;=15,"0-15",AND($AU855&gt;=16,$AU855&lt;=30),"16-30",AND($AU855&gt;=31,$AU855&lt;=45),"31-45",AND($AU855&gt;=46,$AU855&lt;=60),"46-60",AND($AU855&gt;=61,$AU855&lt;=90),"61-90",AND($AU855&gt;=91),"&gt; 90",AND($AU855&gt;=2000),""),"")</f>
        <v/>
      </c>
      <c r="AW855" s="32" t="str" cm="1">
        <f t="array" aca="1" ref="AW855" ca="1">IFERROR(_xlfn.IFS(OR($M855="",$AM855=""),"",OR($C855="Offered",$C855="Joined"),($AM855-$M855)-$AT855),"")</f>
        <v/>
      </c>
      <c r="AX855" s="32" t="str" cm="1">
        <f t="array" aca="1" ref="AX855" ca="1">IFERROR(_xlfn.IFS(OR($M855="",$AS855=""),"",$C855="Joined",($AS855-$M855)-$AT855),"")</f>
        <v/>
      </c>
      <c r="AY855" s="30" t="str">
        <f>IFERROR(IF(COUNTIFS('Candidate Tracker'!$E:$E,'Positions Tracker'!$B855,'Candidate Tracker'!$C:$C,"Offer Drop")=0,"",COUNTIFS('Candidate Tracker'!$E:$E,'Positions Tracker'!$B855,'Candidate Tracker'!$C:$C,"Offer Drop")),"")</f>
        <v/>
      </c>
      <c r="AZ85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5" s="34" t="str">
        <f>IFERROR(IF(COUNTIFS('Candidate Tracker'!$E:$E,'Positions Tracker'!$B855,'Candidate Tracker'!$I:$I,"Female")=0,"",COUNTIFS('Candidate Tracker'!$E:$E,'Positions Tracker'!$B855,'Candidate Tracker'!$I:$I,"Female")),"")</f>
        <v/>
      </c>
      <c r="BB855" s="34" t="str">
        <f>IFERROR(IF(COUNTIFS('Candidate Tracker'!$E:$E,'Positions Tracker'!$B855,'Candidate Tracker'!$I:$I,"male")=0,"",COUNTIFS('Candidate Tracker'!$E:$E,'Positions Tracker'!$B855,'Candidate Tracker'!$I:$I,"male")),"")</f>
        <v/>
      </c>
      <c r="BC855" s="33" t="str">
        <f>IFERROR(IF(COUNTIFS('Candidate Tracker'!$E:$E,'Positions Tracker'!$B855,'Candidate Tracker'!$C:$C,"&lt;&gt;WIP",'Candidate Tracker'!$C:$C,"&lt;&gt;Hold",'Candidate Tracker'!$C:$C,"&lt;&gt;Cancelled",'Candidate Tracker'!$C:$C,"&lt;&gt;Closed")/COUNTIFS('Candidate Tracker'!$E:$E,'Positions Tracker'!$B855)=0,"",COUNTIFS('Candidate Tracker'!$E:$E,'Positions Tracker'!$B855,'Candidate Tracker'!$C:$C,"&lt;&gt;WIP",'Candidate Tracker'!$C:$C,"&lt;&gt;Hold",'Candidate Tracker'!$C:$C,"&lt;&gt;Cancelled",'Candidate Tracker'!$C:$C,"&lt;&gt;Closed")/COUNTIFS('Candidate Tracker'!$E:$E,'Positions Tracker'!$B855)),"")</f>
        <v/>
      </c>
      <c r="BD855" s="30" t="str">
        <f t="shared" si="93"/>
        <v/>
      </c>
      <c r="BE855" s="30" t="str">
        <f t="shared" si="94"/>
        <v/>
      </c>
      <c r="BF855" s="30" t="str">
        <f t="shared" si="95"/>
        <v/>
      </c>
      <c r="BG855" s="30" t="str">
        <f t="shared" si="96"/>
        <v/>
      </c>
    </row>
    <row r="856" spans="1:59">
      <c r="A856" s="39"/>
      <c r="B856" s="39"/>
      <c r="C856" s="39"/>
      <c r="D856" s="39"/>
      <c r="E856" s="39"/>
      <c r="F856" s="39"/>
      <c r="G856" s="39"/>
      <c r="H856" s="39"/>
      <c r="I856" s="40"/>
      <c r="J856" s="40"/>
      <c r="K856" s="35"/>
      <c r="L856" s="35"/>
      <c r="M856" s="35"/>
      <c r="N856" s="39"/>
      <c r="O856" s="39"/>
      <c r="P856" s="39"/>
      <c r="Q856" s="39"/>
      <c r="R856" s="39"/>
      <c r="S856" s="39"/>
      <c r="T856" s="39"/>
      <c r="U856" s="39"/>
      <c r="V856" s="39"/>
      <c r="W856" s="39"/>
      <c r="X856" s="39"/>
      <c r="Y856" s="39"/>
      <c r="Z856" s="39"/>
      <c r="AA856" s="39"/>
      <c r="AB856" s="39"/>
      <c r="AC856" s="39"/>
      <c r="AD856" s="39"/>
      <c r="AE856" s="39"/>
      <c r="AF856" s="39"/>
      <c r="AG856" s="39"/>
      <c r="AH856" s="39"/>
      <c r="AI856" s="35"/>
      <c r="AJ856" s="39"/>
      <c r="AK856" s="39"/>
      <c r="AL856" s="39"/>
      <c r="AM856" s="35"/>
      <c r="AN856" s="35"/>
      <c r="AO856" s="39"/>
      <c r="AP856" s="39"/>
      <c r="AQ856" s="35"/>
      <c r="AR856" s="35"/>
      <c r="AS856" s="35"/>
      <c r="AT856" s="30">
        <f t="shared" ca="1" si="92"/>
        <v>0</v>
      </c>
      <c r="AU856" s="32" t="str">
        <f t="shared" ca="1" si="91"/>
        <v/>
      </c>
      <c r="AV856" s="32" t="str" cm="1">
        <f t="array" aca="1" ref="AV856" ca="1">IFERROR(_xlfn.IFS($AU856="","",$AU856&lt;=15,"0-15",AND($AU856&gt;=16,$AU856&lt;=30),"16-30",AND($AU856&gt;=31,$AU856&lt;=45),"31-45",AND($AU856&gt;=46,$AU856&lt;=60),"46-60",AND($AU856&gt;=61,$AU856&lt;=90),"61-90",AND($AU856&gt;=91),"&gt; 90",AND($AU856&gt;=2000),""),"")</f>
        <v/>
      </c>
      <c r="AW856" s="32" t="str" cm="1">
        <f t="array" aca="1" ref="AW856" ca="1">IFERROR(_xlfn.IFS(OR($M856="",$AM856=""),"",OR($C856="Offered",$C856="Joined"),($AM856-$M856)-$AT856),"")</f>
        <v/>
      </c>
      <c r="AX856" s="32" t="str" cm="1">
        <f t="array" aca="1" ref="AX856" ca="1">IFERROR(_xlfn.IFS(OR($M856="",$AS856=""),"",$C856="Joined",($AS856-$M856)-$AT856),"")</f>
        <v/>
      </c>
      <c r="AY856" s="30" t="str">
        <f>IFERROR(IF(COUNTIFS('Candidate Tracker'!$E:$E,'Positions Tracker'!$B856,'Candidate Tracker'!$C:$C,"Offer Drop")=0,"",COUNTIFS('Candidate Tracker'!$E:$E,'Positions Tracker'!$B856,'Candidate Tracker'!$C:$C,"Offer Drop")),"")</f>
        <v/>
      </c>
      <c r="AZ85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6" s="34" t="str">
        <f>IFERROR(IF(COUNTIFS('Candidate Tracker'!$E:$E,'Positions Tracker'!$B856,'Candidate Tracker'!$I:$I,"Female")=0,"",COUNTIFS('Candidate Tracker'!$E:$E,'Positions Tracker'!$B856,'Candidate Tracker'!$I:$I,"Female")),"")</f>
        <v/>
      </c>
      <c r="BB856" s="34" t="str">
        <f>IFERROR(IF(COUNTIFS('Candidate Tracker'!$E:$E,'Positions Tracker'!$B856,'Candidate Tracker'!$I:$I,"male")=0,"",COUNTIFS('Candidate Tracker'!$E:$E,'Positions Tracker'!$B856,'Candidate Tracker'!$I:$I,"male")),"")</f>
        <v/>
      </c>
      <c r="BC856" s="33" t="str">
        <f>IFERROR(IF(COUNTIFS('Candidate Tracker'!$E:$E,'Positions Tracker'!$B856,'Candidate Tracker'!$C:$C,"&lt;&gt;WIP",'Candidate Tracker'!$C:$C,"&lt;&gt;Hold",'Candidate Tracker'!$C:$C,"&lt;&gt;Cancelled",'Candidate Tracker'!$C:$C,"&lt;&gt;Closed")/COUNTIFS('Candidate Tracker'!$E:$E,'Positions Tracker'!$B856)=0,"",COUNTIFS('Candidate Tracker'!$E:$E,'Positions Tracker'!$B856,'Candidate Tracker'!$C:$C,"&lt;&gt;WIP",'Candidate Tracker'!$C:$C,"&lt;&gt;Hold",'Candidate Tracker'!$C:$C,"&lt;&gt;Cancelled",'Candidate Tracker'!$C:$C,"&lt;&gt;Closed")/COUNTIFS('Candidate Tracker'!$E:$E,'Positions Tracker'!$B856)),"")</f>
        <v/>
      </c>
      <c r="BD856" s="30" t="str">
        <f t="shared" si="93"/>
        <v/>
      </c>
      <c r="BE856" s="30" t="str">
        <f t="shared" si="94"/>
        <v/>
      </c>
      <c r="BF856" s="30" t="str">
        <f t="shared" si="95"/>
        <v/>
      </c>
      <c r="BG856" s="30" t="str">
        <f t="shared" si="96"/>
        <v/>
      </c>
    </row>
    <row r="857" spans="1:59">
      <c r="A857" s="39"/>
      <c r="B857" s="39"/>
      <c r="C857" s="39"/>
      <c r="D857" s="39"/>
      <c r="E857" s="39"/>
      <c r="F857" s="39"/>
      <c r="G857" s="39"/>
      <c r="H857" s="39"/>
      <c r="I857" s="40"/>
      <c r="J857" s="40"/>
      <c r="K857" s="35"/>
      <c r="L857" s="35"/>
      <c r="M857" s="35"/>
      <c r="N857" s="39"/>
      <c r="O857" s="39"/>
      <c r="P857" s="39"/>
      <c r="Q857" s="39"/>
      <c r="R857" s="39"/>
      <c r="S857" s="39"/>
      <c r="T857" s="39"/>
      <c r="U857" s="39"/>
      <c r="V857" s="39"/>
      <c r="W857" s="39"/>
      <c r="X857" s="39"/>
      <c r="Y857" s="39"/>
      <c r="Z857" s="39"/>
      <c r="AA857" s="39"/>
      <c r="AB857" s="39"/>
      <c r="AC857" s="39"/>
      <c r="AD857" s="39"/>
      <c r="AE857" s="39"/>
      <c r="AF857" s="39"/>
      <c r="AG857" s="39"/>
      <c r="AH857" s="39"/>
      <c r="AI857" s="35"/>
      <c r="AJ857" s="39"/>
      <c r="AK857" s="39"/>
      <c r="AL857" s="39"/>
      <c r="AM857" s="35"/>
      <c r="AN857" s="35"/>
      <c r="AO857" s="39"/>
      <c r="AP857" s="39"/>
      <c r="AQ857" s="35"/>
      <c r="AR857" s="35"/>
      <c r="AS857" s="35"/>
      <c r="AT857" s="30">
        <f t="shared" ca="1" si="92"/>
        <v>0</v>
      </c>
      <c r="AU857" s="32" t="str">
        <f t="shared" ca="1" si="91"/>
        <v/>
      </c>
      <c r="AV857" s="32" t="str" cm="1">
        <f t="array" aca="1" ref="AV857" ca="1">IFERROR(_xlfn.IFS($AU857="","",$AU857&lt;=15,"0-15",AND($AU857&gt;=16,$AU857&lt;=30),"16-30",AND($AU857&gt;=31,$AU857&lt;=45),"31-45",AND($AU857&gt;=46,$AU857&lt;=60),"46-60",AND($AU857&gt;=61,$AU857&lt;=90),"61-90",AND($AU857&gt;=91),"&gt; 90",AND($AU857&gt;=2000),""),"")</f>
        <v/>
      </c>
      <c r="AW857" s="32" t="str" cm="1">
        <f t="array" aca="1" ref="AW857" ca="1">IFERROR(_xlfn.IFS(OR($M857="",$AM857=""),"",OR($C857="Offered",$C857="Joined"),($AM857-$M857)-$AT857),"")</f>
        <v/>
      </c>
      <c r="AX857" s="32" t="str" cm="1">
        <f t="array" aca="1" ref="AX857" ca="1">IFERROR(_xlfn.IFS(OR($M857="",$AS857=""),"",$C857="Joined",($AS857-$M857)-$AT857),"")</f>
        <v/>
      </c>
      <c r="AY857" s="30" t="str">
        <f>IFERROR(IF(COUNTIFS('Candidate Tracker'!$E:$E,'Positions Tracker'!$B857,'Candidate Tracker'!$C:$C,"Offer Drop")=0,"",COUNTIFS('Candidate Tracker'!$E:$E,'Positions Tracker'!$B857,'Candidate Tracker'!$C:$C,"Offer Drop")),"")</f>
        <v/>
      </c>
      <c r="AZ85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7" s="34" t="str">
        <f>IFERROR(IF(COUNTIFS('Candidate Tracker'!$E:$E,'Positions Tracker'!$B857,'Candidate Tracker'!$I:$I,"Female")=0,"",COUNTIFS('Candidate Tracker'!$E:$E,'Positions Tracker'!$B857,'Candidate Tracker'!$I:$I,"Female")),"")</f>
        <v/>
      </c>
      <c r="BB857" s="34" t="str">
        <f>IFERROR(IF(COUNTIFS('Candidate Tracker'!$E:$E,'Positions Tracker'!$B857,'Candidate Tracker'!$I:$I,"male")=0,"",COUNTIFS('Candidate Tracker'!$E:$E,'Positions Tracker'!$B857,'Candidate Tracker'!$I:$I,"male")),"")</f>
        <v/>
      </c>
      <c r="BC857" s="33" t="str">
        <f>IFERROR(IF(COUNTIFS('Candidate Tracker'!$E:$E,'Positions Tracker'!$B857,'Candidate Tracker'!$C:$C,"&lt;&gt;WIP",'Candidate Tracker'!$C:$C,"&lt;&gt;Hold",'Candidate Tracker'!$C:$C,"&lt;&gt;Cancelled",'Candidate Tracker'!$C:$C,"&lt;&gt;Closed")/COUNTIFS('Candidate Tracker'!$E:$E,'Positions Tracker'!$B857)=0,"",COUNTIFS('Candidate Tracker'!$E:$E,'Positions Tracker'!$B857,'Candidate Tracker'!$C:$C,"&lt;&gt;WIP",'Candidate Tracker'!$C:$C,"&lt;&gt;Hold",'Candidate Tracker'!$C:$C,"&lt;&gt;Cancelled",'Candidate Tracker'!$C:$C,"&lt;&gt;Closed")/COUNTIFS('Candidate Tracker'!$E:$E,'Positions Tracker'!$B857)),"")</f>
        <v/>
      </c>
      <c r="BD857" s="30" t="str">
        <f t="shared" si="93"/>
        <v/>
      </c>
      <c r="BE857" s="30" t="str">
        <f t="shared" si="94"/>
        <v/>
      </c>
      <c r="BF857" s="30" t="str">
        <f t="shared" si="95"/>
        <v/>
      </c>
      <c r="BG857" s="30" t="str">
        <f t="shared" si="96"/>
        <v/>
      </c>
    </row>
    <row r="858" spans="1:59">
      <c r="A858" s="39"/>
      <c r="B858" s="39"/>
      <c r="C858" s="39"/>
      <c r="D858" s="39"/>
      <c r="E858" s="39"/>
      <c r="F858" s="39"/>
      <c r="G858" s="39"/>
      <c r="H858" s="39"/>
      <c r="I858" s="40"/>
      <c r="J858" s="40"/>
      <c r="K858" s="35"/>
      <c r="L858" s="35"/>
      <c r="M858" s="35"/>
      <c r="N858" s="39"/>
      <c r="O858" s="39"/>
      <c r="P858" s="39"/>
      <c r="Q858" s="39"/>
      <c r="R858" s="39"/>
      <c r="S858" s="39"/>
      <c r="T858" s="39"/>
      <c r="U858" s="39"/>
      <c r="V858" s="39"/>
      <c r="W858" s="39"/>
      <c r="X858" s="39"/>
      <c r="Y858" s="39"/>
      <c r="Z858" s="39"/>
      <c r="AA858" s="39"/>
      <c r="AB858" s="39"/>
      <c r="AC858" s="39"/>
      <c r="AD858" s="39"/>
      <c r="AE858" s="39"/>
      <c r="AF858" s="39"/>
      <c r="AG858" s="39"/>
      <c r="AH858" s="39"/>
      <c r="AI858" s="35"/>
      <c r="AJ858" s="39"/>
      <c r="AK858" s="39"/>
      <c r="AL858" s="39"/>
      <c r="AM858" s="35"/>
      <c r="AN858" s="35"/>
      <c r="AO858" s="39"/>
      <c r="AP858" s="39"/>
      <c r="AQ858" s="35"/>
      <c r="AR858" s="35"/>
      <c r="AS858" s="35"/>
      <c r="AT858" s="30">
        <f t="shared" ca="1" si="92"/>
        <v>0</v>
      </c>
      <c r="AU858" s="32" t="str">
        <f t="shared" ca="1" si="91"/>
        <v/>
      </c>
      <c r="AV858" s="32" t="str" cm="1">
        <f t="array" aca="1" ref="AV858" ca="1">IFERROR(_xlfn.IFS($AU858="","",$AU858&lt;=15,"0-15",AND($AU858&gt;=16,$AU858&lt;=30),"16-30",AND($AU858&gt;=31,$AU858&lt;=45),"31-45",AND($AU858&gt;=46,$AU858&lt;=60),"46-60",AND($AU858&gt;=61,$AU858&lt;=90),"61-90",AND($AU858&gt;=91),"&gt; 90",AND($AU858&gt;=2000),""),"")</f>
        <v/>
      </c>
      <c r="AW858" s="32" t="str" cm="1">
        <f t="array" aca="1" ref="AW858" ca="1">IFERROR(_xlfn.IFS(OR($M858="",$AM858=""),"",OR($C858="Offered",$C858="Joined"),($AM858-$M858)-$AT858),"")</f>
        <v/>
      </c>
      <c r="AX858" s="32" t="str" cm="1">
        <f t="array" aca="1" ref="AX858" ca="1">IFERROR(_xlfn.IFS(OR($M858="",$AS858=""),"",$C858="Joined",($AS858-$M858)-$AT858),"")</f>
        <v/>
      </c>
      <c r="AY858" s="30" t="str">
        <f>IFERROR(IF(COUNTIFS('Candidate Tracker'!$E:$E,'Positions Tracker'!$B858,'Candidate Tracker'!$C:$C,"Offer Drop")=0,"",COUNTIFS('Candidate Tracker'!$E:$E,'Positions Tracker'!$B858,'Candidate Tracker'!$C:$C,"Offer Drop")),"")</f>
        <v/>
      </c>
      <c r="AZ8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8" s="34" t="str">
        <f>IFERROR(IF(COUNTIFS('Candidate Tracker'!$E:$E,'Positions Tracker'!$B858,'Candidate Tracker'!$I:$I,"Female")=0,"",COUNTIFS('Candidate Tracker'!$E:$E,'Positions Tracker'!$B858,'Candidate Tracker'!$I:$I,"Female")),"")</f>
        <v/>
      </c>
      <c r="BB858" s="34" t="str">
        <f>IFERROR(IF(COUNTIFS('Candidate Tracker'!$E:$E,'Positions Tracker'!$B858,'Candidate Tracker'!$I:$I,"male")=0,"",COUNTIFS('Candidate Tracker'!$E:$E,'Positions Tracker'!$B858,'Candidate Tracker'!$I:$I,"male")),"")</f>
        <v/>
      </c>
      <c r="BC858" s="33" t="str">
        <f>IFERROR(IF(COUNTIFS('Candidate Tracker'!$E:$E,'Positions Tracker'!$B858,'Candidate Tracker'!$C:$C,"&lt;&gt;WIP",'Candidate Tracker'!$C:$C,"&lt;&gt;Hold",'Candidate Tracker'!$C:$C,"&lt;&gt;Cancelled",'Candidate Tracker'!$C:$C,"&lt;&gt;Closed")/COUNTIFS('Candidate Tracker'!$E:$E,'Positions Tracker'!$B858)=0,"",COUNTIFS('Candidate Tracker'!$E:$E,'Positions Tracker'!$B858,'Candidate Tracker'!$C:$C,"&lt;&gt;WIP",'Candidate Tracker'!$C:$C,"&lt;&gt;Hold",'Candidate Tracker'!$C:$C,"&lt;&gt;Cancelled",'Candidate Tracker'!$C:$C,"&lt;&gt;Closed")/COUNTIFS('Candidate Tracker'!$E:$E,'Positions Tracker'!$B858)),"")</f>
        <v/>
      </c>
      <c r="BD858" s="30" t="str">
        <f t="shared" si="93"/>
        <v/>
      </c>
      <c r="BE858" s="30" t="str">
        <f t="shared" si="94"/>
        <v/>
      </c>
      <c r="BF858" s="30" t="str">
        <f t="shared" si="95"/>
        <v/>
      </c>
      <c r="BG858" s="30" t="str">
        <f t="shared" si="96"/>
        <v/>
      </c>
    </row>
    <row r="859" spans="1:59">
      <c r="A859" s="39"/>
      <c r="B859" s="39"/>
      <c r="C859" s="39"/>
      <c r="D859" s="39"/>
      <c r="E859" s="39"/>
      <c r="F859" s="39"/>
      <c r="G859" s="39"/>
      <c r="H859" s="39"/>
      <c r="I859" s="40"/>
      <c r="J859" s="40"/>
      <c r="K859" s="35"/>
      <c r="L859" s="35"/>
      <c r="M859" s="35"/>
      <c r="N859" s="39"/>
      <c r="O859" s="39"/>
      <c r="P859" s="39"/>
      <c r="Q859" s="39"/>
      <c r="R859" s="39"/>
      <c r="S859" s="39"/>
      <c r="T859" s="39"/>
      <c r="U859" s="39"/>
      <c r="V859" s="39"/>
      <c r="W859" s="39"/>
      <c r="X859" s="39"/>
      <c r="Y859" s="39"/>
      <c r="Z859" s="39"/>
      <c r="AA859" s="39"/>
      <c r="AB859" s="39"/>
      <c r="AC859" s="39"/>
      <c r="AD859" s="39"/>
      <c r="AE859" s="39"/>
      <c r="AF859" s="39"/>
      <c r="AG859" s="39"/>
      <c r="AH859" s="39"/>
      <c r="AI859" s="35"/>
      <c r="AJ859" s="39"/>
      <c r="AK859" s="39"/>
      <c r="AL859" s="39"/>
      <c r="AM859" s="35"/>
      <c r="AN859" s="35"/>
      <c r="AO859" s="39"/>
      <c r="AP859" s="39"/>
      <c r="AQ859" s="35"/>
      <c r="AR859" s="35"/>
      <c r="AS859" s="35"/>
      <c r="AT859" s="30">
        <f t="shared" ca="1" si="92"/>
        <v>0</v>
      </c>
      <c r="AU859" s="32" t="str">
        <f t="shared" ca="1" si="91"/>
        <v/>
      </c>
      <c r="AV859" s="32" t="str" cm="1">
        <f t="array" aca="1" ref="AV859" ca="1">IFERROR(_xlfn.IFS($AU859="","",$AU859&lt;=15,"0-15",AND($AU859&gt;=16,$AU859&lt;=30),"16-30",AND($AU859&gt;=31,$AU859&lt;=45),"31-45",AND($AU859&gt;=46,$AU859&lt;=60),"46-60",AND($AU859&gt;=61,$AU859&lt;=90),"61-90",AND($AU859&gt;=91),"&gt; 90",AND($AU859&gt;=2000),""),"")</f>
        <v/>
      </c>
      <c r="AW859" s="32" t="str" cm="1">
        <f t="array" aca="1" ref="AW859" ca="1">IFERROR(_xlfn.IFS(OR($M859="",$AM859=""),"",OR($C859="Offered",$C859="Joined"),($AM859-$M859)-$AT859),"")</f>
        <v/>
      </c>
      <c r="AX859" s="32" t="str" cm="1">
        <f t="array" aca="1" ref="AX859" ca="1">IFERROR(_xlfn.IFS(OR($M859="",$AS859=""),"",$C859="Joined",($AS859-$M859)-$AT859),"")</f>
        <v/>
      </c>
      <c r="AY859" s="30" t="str">
        <f>IFERROR(IF(COUNTIFS('Candidate Tracker'!$E:$E,'Positions Tracker'!$B859,'Candidate Tracker'!$C:$C,"Offer Drop")=0,"",COUNTIFS('Candidate Tracker'!$E:$E,'Positions Tracker'!$B859,'Candidate Tracker'!$C:$C,"Offer Drop")),"")</f>
        <v/>
      </c>
      <c r="AZ8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59" s="34" t="str">
        <f>IFERROR(IF(COUNTIFS('Candidate Tracker'!$E:$E,'Positions Tracker'!$B859,'Candidate Tracker'!$I:$I,"Female")=0,"",COUNTIFS('Candidate Tracker'!$E:$E,'Positions Tracker'!$B859,'Candidate Tracker'!$I:$I,"Female")),"")</f>
        <v/>
      </c>
      <c r="BB859" s="34" t="str">
        <f>IFERROR(IF(COUNTIFS('Candidate Tracker'!$E:$E,'Positions Tracker'!$B859,'Candidate Tracker'!$I:$I,"male")=0,"",COUNTIFS('Candidate Tracker'!$E:$E,'Positions Tracker'!$B859,'Candidate Tracker'!$I:$I,"male")),"")</f>
        <v/>
      </c>
      <c r="BC859" s="33" t="str">
        <f>IFERROR(IF(COUNTIFS('Candidate Tracker'!$E:$E,'Positions Tracker'!$B859,'Candidate Tracker'!$C:$C,"&lt;&gt;WIP",'Candidate Tracker'!$C:$C,"&lt;&gt;Hold",'Candidate Tracker'!$C:$C,"&lt;&gt;Cancelled",'Candidate Tracker'!$C:$C,"&lt;&gt;Closed")/COUNTIFS('Candidate Tracker'!$E:$E,'Positions Tracker'!$B859)=0,"",COUNTIFS('Candidate Tracker'!$E:$E,'Positions Tracker'!$B859,'Candidate Tracker'!$C:$C,"&lt;&gt;WIP",'Candidate Tracker'!$C:$C,"&lt;&gt;Hold",'Candidate Tracker'!$C:$C,"&lt;&gt;Cancelled",'Candidate Tracker'!$C:$C,"&lt;&gt;Closed")/COUNTIFS('Candidate Tracker'!$E:$E,'Positions Tracker'!$B859)),"")</f>
        <v/>
      </c>
      <c r="BD859" s="30" t="str">
        <f t="shared" si="93"/>
        <v/>
      </c>
      <c r="BE859" s="30" t="str">
        <f t="shared" si="94"/>
        <v/>
      </c>
      <c r="BF859" s="30" t="str">
        <f t="shared" si="95"/>
        <v/>
      </c>
      <c r="BG859" s="30" t="str">
        <f t="shared" si="96"/>
        <v/>
      </c>
    </row>
    <row r="860" spans="1:59">
      <c r="A860" s="39"/>
      <c r="B860" s="39"/>
      <c r="C860" s="39"/>
      <c r="D860" s="39"/>
      <c r="E860" s="39"/>
      <c r="F860" s="39"/>
      <c r="G860" s="39"/>
      <c r="H860" s="39"/>
      <c r="I860" s="40"/>
      <c r="J860" s="40"/>
      <c r="K860" s="35"/>
      <c r="L860" s="35"/>
      <c r="M860" s="35"/>
      <c r="N860" s="39"/>
      <c r="O860" s="39"/>
      <c r="P860" s="39"/>
      <c r="Q860" s="39"/>
      <c r="R860" s="39"/>
      <c r="S860" s="39"/>
      <c r="T860" s="39"/>
      <c r="U860" s="39"/>
      <c r="V860" s="39"/>
      <c r="W860" s="39"/>
      <c r="X860" s="39"/>
      <c r="Y860" s="39"/>
      <c r="Z860" s="39"/>
      <c r="AA860" s="39"/>
      <c r="AB860" s="39"/>
      <c r="AC860" s="39"/>
      <c r="AD860" s="39"/>
      <c r="AE860" s="39"/>
      <c r="AF860" s="39"/>
      <c r="AG860" s="39"/>
      <c r="AH860" s="39"/>
      <c r="AI860" s="35"/>
      <c r="AJ860" s="39"/>
      <c r="AK860" s="39"/>
      <c r="AL860" s="39"/>
      <c r="AM860" s="35"/>
      <c r="AN860" s="35"/>
      <c r="AO860" s="39"/>
      <c r="AP860" s="39"/>
      <c r="AQ860" s="35"/>
      <c r="AR860" s="35"/>
      <c r="AS860" s="35"/>
      <c r="AT860" s="30">
        <f t="shared" ca="1" si="92"/>
        <v>0</v>
      </c>
      <c r="AU860" s="32" t="str">
        <f t="shared" ca="1" si="91"/>
        <v/>
      </c>
      <c r="AV860" s="32" t="str" cm="1">
        <f t="array" aca="1" ref="AV860" ca="1">IFERROR(_xlfn.IFS($AU860="","",$AU860&lt;=15,"0-15",AND($AU860&gt;=16,$AU860&lt;=30),"16-30",AND($AU860&gt;=31,$AU860&lt;=45),"31-45",AND($AU860&gt;=46,$AU860&lt;=60),"46-60",AND($AU860&gt;=61,$AU860&lt;=90),"61-90",AND($AU860&gt;=91),"&gt; 90",AND($AU860&gt;=2000),""),"")</f>
        <v/>
      </c>
      <c r="AW860" s="32" t="str" cm="1">
        <f t="array" aca="1" ref="AW860" ca="1">IFERROR(_xlfn.IFS(OR($M860="",$AM860=""),"",OR($C860="Offered",$C860="Joined"),($AM860-$M860)-$AT860),"")</f>
        <v/>
      </c>
      <c r="AX860" s="32" t="str" cm="1">
        <f t="array" aca="1" ref="AX860" ca="1">IFERROR(_xlfn.IFS(OR($M860="",$AS860=""),"",$C860="Joined",($AS860-$M860)-$AT860),"")</f>
        <v/>
      </c>
      <c r="AY860" s="30" t="str">
        <f>IFERROR(IF(COUNTIFS('Candidate Tracker'!$E:$E,'Positions Tracker'!$B860,'Candidate Tracker'!$C:$C,"Offer Drop")=0,"",COUNTIFS('Candidate Tracker'!$E:$E,'Positions Tracker'!$B860,'Candidate Tracker'!$C:$C,"Offer Drop")),"")</f>
        <v/>
      </c>
      <c r="AZ8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0" s="34" t="str">
        <f>IFERROR(IF(COUNTIFS('Candidate Tracker'!$E:$E,'Positions Tracker'!$B860,'Candidate Tracker'!$I:$I,"Female")=0,"",COUNTIFS('Candidate Tracker'!$E:$E,'Positions Tracker'!$B860,'Candidate Tracker'!$I:$I,"Female")),"")</f>
        <v/>
      </c>
      <c r="BB860" s="34" t="str">
        <f>IFERROR(IF(COUNTIFS('Candidate Tracker'!$E:$E,'Positions Tracker'!$B860,'Candidate Tracker'!$I:$I,"male")=0,"",COUNTIFS('Candidate Tracker'!$E:$E,'Positions Tracker'!$B860,'Candidate Tracker'!$I:$I,"male")),"")</f>
        <v/>
      </c>
      <c r="BC860" s="33" t="str">
        <f>IFERROR(IF(COUNTIFS('Candidate Tracker'!$E:$E,'Positions Tracker'!$B860,'Candidate Tracker'!$C:$C,"&lt;&gt;WIP",'Candidate Tracker'!$C:$C,"&lt;&gt;Hold",'Candidate Tracker'!$C:$C,"&lt;&gt;Cancelled",'Candidate Tracker'!$C:$C,"&lt;&gt;Closed")/COUNTIFS('Candidate Tracker'!$E:$E,'Positions Tracker'!$B860)=0,"",COUNTIFS('Candidate Tracker'!$E:$E,'Positions Tracker'!$B860,'Candidate Tracker'!$C:$C,"&lt;&gt;WIP",'Candidate Tracker'!$C:$C,"&lt;&gt;Hold",'Candidate Tracker'!$C:$C,"&lt;&gt;Cancelled",'Candidate Tracker'!$C:$C,"&lt;&gt;Closed")/COUNTIFS('Candidate Tracker'!$E:$E,'Positions Tracker'!$B860)),"")</f>
        <v/>
      </c>
      <c r="BD860" s="30" t="str">
        <f t="shared" si="93"/>
        <v/>
      </c>
      <c r="BE860" s="30" t="str">
        <f t="shared" si="94"/>
        <v/>
      </c>
      <c r="BF860" s="30" t="str">
        <f t="shared" si="95"/>
        <v/>
      </c>
      <c r="BG860" s="30" t="str">
        <f t="shared" si="96"/>
        <v/>
      </c>
    </row>
    <row r="861" spans="1:59">
      <c r="A861" s="39"/>
      <c r="B861" s="39"/>
      <c r="C861" s="39"/>
      <c r="D861" s="39"/>
      <c r="E861" s="39"/>
      <c r="F861" s="39"/>
      <c r="G861" s="39"/>
      <c r="H861" s="39"/>
      <c r="I861" s="40"/>
      <c r="J861" s="40"/>
      <c r="K861" s="35"/>
      <c r="L861" s="35"/>
      <c r="M861" s="35"/>
      <c r="N861" s="39"/>
      <c r="O861" s="39"/>
      <c r="P861" s="39"/>
      <c r="Q861" s="39"/>
      <c r="R861" s="39"/>
      <c r="S861" s="39"/>
      <c r="T861" s="39"/>
      <c r="U861" s="39"/>
      <c r="V861" s="39"/>
      <c r="W861" s="39"/>
      <c r="X861" s="39"/>
      <c r="Y861" s="39"/>
      <c r="Z861" s="39"/>
      <c r="AA861" s="39"/>
      <c r="AB861" s="39"/>
      <c r="AC861" s="39"/>
      <c r="AD861" s="39"/>
      <c r="AE861" s="39"/>
      <c r="AF861" s="39"/>
      <c r="AG861" s="39"/>
      <c r="AH861" s="39"/>
      <c r="AI861" s="35"/>
      <c r="AJ861" s="39"/>
      <c r="AK861" s="39"/>
      <c r="AL861" s="39"/>
      <c r="AM861" s="35"/>
      <c r="AN861" s="35"/>
      <c r="AO861" s="39"/>
      <c r="AP861" s="39"/>
      <c r="AQ861" s="35"/>
      <c r="AR861" s="35"/>
      <c r="AS861" s="35"/>
      <c r="AT861" s="30">
        <f t="shared" ca="1" si="92"/>
        <v>0</v>
      </c>
      <c r="AU861" s="32" t="str">
        <f t="shared" ca="1" si="91"/>
        <v/>
      </c>
      <c r="AV861" s="32" t="str" cm="1">
        <f t="array" aca="1" ref="AV861" ca="1">IFERROR(_xlfn.IFS($AU861="","",$AU861&lt;=15,"0-15",AND($AU861&gt;=16,$AU861&lt;=30),"16-30",AND($AU861&gt;=31,$AU861&lt;=45),"31-45",AND($AU861&gt;=46,$AU861&lt;=60),"46-60",AND($AU861&gt;=61,$AU861&lt;=90),"61-90",AND($AU861&gt;=91),"&gt; 90",AND($AU861&gt;=2000),""),"")</f>
        <v/>
      </c>
      <c r="AW861" s="32" t="str" cm="1">
        <f t="array" aca="1" ref="AW861" ca="1">IFERROR(_xlfn.IFS(OR($M861="",$AM861=""),"",OR($C861="Offered",$C861="Joined"),($AM861-$M861)-$AT861),"")</f>
        <v/>
      </c>
      <c r="AX861" s="32" t="str" cm="1">
        <f t="array" aca="1" ref="AX861" ca="1">IFERROR(_xlfn.IFS(OR($M861="",$AS861=""),"",$C861="Joined",($AS861-$M861)-$AT861),"")</f>
        <v/>
      </c>
      <c r="AY861" s="30" t="str">
        <f>IFERROR(IF(COUNTIFS('Candidate Tracker'!$E:$E,'Positions Tracker'!$B861,'Candidate Tracker'!$C:$C,"Offer Drop")=0,"",COUNTIFS('Candidate Tracker'!$E:$E,'Positions Tracker'!$B861,'Candidate Tracker'!$C:$C,"Offer Drop")),"")</f>
        <v/>
      </c>
      <c r="AZ8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1" s="34" t="str">
        <f>IFERROR(IF(COUNTIFS('Candidate Tracker'!$E:$E,'Positions Tracker'!$B861,'Candidate Tracker'!$I:$I,"Female")=0,"",COUNTIFS('Candidate Tracker'!$E:$E,'Positions Tracker'!$B861,'Candidate Tracker'!$I:$I,"Female")),"")</f>
        <v/>
      </c>
      <c r="BB861" s="34" t="str">
        <f>IFERROR(IF(COUNTIFS('Candidate Tracker'!$E:$E,'Positions Tracker'!$B861,'Candidate Tracker'!$I:$I,"male")=0,"",COUNTIFS('Candidate Tracker'!$E:$E,'Positions Tracker'!$B861,'Candidate Tracker'!$I:$I,"male")),"")</f>
        <v/>
      </c>
      <c r="BC861" s="33" t="str">
        <f>IFERROR(IF(COUNTIFS('Candidate Tracker'!$E:$E,'Positions Tracker'!$B861,'Candidate Tracker'!$C:$C,"&lt;&gt;WIP",'Candidate Tracker'!$C:$C,"&lt;&gt;Hold",'Candidate Tracker'!$C:$C,"&lt;&gt;Cancelled",'Candidate Tracker'!$C:$C,"&lt;&gt;Closed")/COUNTIFS('Candidate Tracker'!$E:$E,'Positions Tracker'!$B861)=0,"",COUNTIFS('Candidate Tracker'!$E:$E,'Positions Tracker'!$B861,'Candidate Tracker'!$C:$C,"&lt;&gt;WIP",'Candidate Tracker'!$C:$C,"&lt;&gt;Hold",'Candidate Tracker'!$C:$C,"&lt;&gt;Cancelled",'Candidate Tracker'!$C:$C,"&lt;&gt;Closed")/COUNTIFS('Candidate Tracker'!$E:$E,'Positions Tracker'!$B861)),"")</f>
        <v/>
      </c>
      <c r="BD861" s="30" t="str">
        <f t="shared" si="93"/>
        <v/>
      </c>
      <c r="BE861" s="30" t="str">
        <f t="shared" si="94"/>
        <v/>
      </c>
      <c r="BF861" s="30" t="str">
        <f t="shared" si="95"/>
        <v/>
      </c>
      <c r="BG861" s="30" t="str">
        <f t="shared" si="96"/>
        <v/>
      </c>
    </row>
    <row r="862" spans="1:59">
      <c r="A862" s="39"/>
      <c r="B862" s="39"/>
      <c r="C862" s="39"/>
      <c r="D862" s="39"/>
      <c r="E862" s="39"/>
      <c r="F862" s="39"/>
      <c r="G862" s="39"/>
      <c r="H862" s="39"/>
      <c r="I862" s="40"/>
      <c r="J862" s="40"/>
      <c r="K862" s="35"/>
      <c r="L862" s="35"/>
      <c r="M862" s="35"/>
      <c r="N862" s="39"/>
      <c r="O862" s="39"/>
      <c r="P862" s="39"/>
      <c r="Q862" s="39"/>
      <c r="R862" s="39"/>
      <c r="S862" s="39"/>
      <c r="T862" s="39"/>
      <c r="U862" s="39"/>
      <c r="V862" s="39"/>
      <c r="W862" s="39"/>
      <c r="X862" s="39"/>
      <c r="Y862" s="39"/>
      <c r="Z862" s="39"/>
      <c r="AA862" s="39"/>
      <c r="AB862" s="39"/>
      <c r="AC862" s="39"/>
      <c r="AD862" s="39"/>
      <c r="AE862" s="39"/>
      <c r="AF862" s="39"/>
      <c r="AG862" s="39"/>
      <c r="AH862" s="39"/>
      <c r="AI862" s="35"/>
      <c r="AJ862" s="39"/>
      <c r="AK862" s="39"/>
      <c r="AL862" s="39"/>
      <c r="AM862" s="35"/>
      <c r="AN862" s="35"/>
      <c r="AO862" s="39"/>
      <c r="AP862" s="39"/>
      <c r="AQ862" s="35"/>
      <c r="AR862" s="35"/>
      <c r="AS862" s="35"/>
      <c r="AT862" s="30">
        <f t="shared" ca="1" si="92"/>
        <v>0</v>
      </c>
      <c r="AU862" s="32" t="str">
        <f t="shared" ca="1" si="91"/>
        <v/>
      </c>
      <c r="AV862" s="32" t="str" cm="1">
        <f t="array" aca="1" ref="AV862" ca="1">IFERROR(_xlfn.IFS($AU862="","",$AU862&lt;=15,"0-15",AND($AU862&gt;=16,$AU862&lt;=30),"16-30",AND($AU862&gt;=31,$AU862&lt;=45),"31-45",AND($AU862&gt;=46,$AU862&lt;=60),"46-60",AND($AU862&gt;=61,$AU862&lt;=90),"61-90",AND($AU862&gt;=91),"&gt; 90",AND($AU862&gt;=2000),""),"")</f>
        <v/>
      </c>
      <c r="AW862" s="32" t="str" cm="1">
        <f t="array" aca="1" ref="AW862" ca="1">IFERROR(_xlfn.IFS(OR($M862="",$AM862=""),"",OR($C862="Offered",$C862="Joined"),($AM862-$M862)-$AT862),"")</f>
        <v/>
      </c>
      <c r="AX862" s="32" t="str" cm="1">
        <f t="array" aca="1" ref="AX862" ca="1">IFERROR(_xlfn.IFS(OR($M862="",$AS862=""),"",$C862="Joined",($AS862-$M862)-$AT862),"")</f>
        <v/>
      </c>
      <c r="AY862" s="30" t="str">
        <f>IFERROR(IF(COUNTIFS('Candidate Tracker'!$E:$E,'Positions Tracker'!$B862,'Candidate Tracker'!$C:$C,"Offer Drop")=0,"",COUNTIFS('Candidate Tracker'!$E:$E,'Positions Tracker'!$B862,'Candidate Tracker'!$C:$C,"Offer Drop")),"")</f>
        <v/>
      </c>
      <c r="AZ8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2" s="34" t="str">
        <f>IFERROR(IF(COUNTIFS('Candidate Tracker'!$E:$E,'Positions Tracker'!$B862,'Candidate Tracker'!$I:$I,"Female")=0,"",COUNTIFS('Candidate Tracker'!$E:$E,'Positions Tracker'!$B862,'Candidate Tracker'!$I:$I,"Female")),"")</f>
        <v/>
      </c>
      <c r="BB862" s="34" t="str">
        <f>IFERROR(IF(COUNTIFS('Candidate Tracker'!$E:$E,'Positions Tracker'!$B862,'Candidate Tracker'!$I:$I,"male")=0,"",COUNTIFS('Candidate Tracker'!$E:$E,'Positions Tracker'!$B862,'Candidate Tracker'!$I:$I,"male")),"")</f>
        <v/>
      </c>
      <c r="BC862" s="33" t="str">
        <f>IFERROR(IF(COUNTIFS('Candidate Tracker'!$E:$E,'Positions Tracker'!$B862,'Candidate Tracker'!$C:$C,"&lt;&gt;WIP",'Candidate Tracker'!$C:$C,"&lt;&gt;Hold",'Candidate Tracker'!$C:$C,"&lt;&gt;Cancelled",'Candidate Tracker'!$C:$C,"&lt;&gt;Closed")/COUNTIFS('Candidate Tracker'!$E:$E,'Positions Tracker'!$B862)=0,"",COUNTIFS('Candidate Tracker'!$E:$E,'Positions Tracker'!$B862,'Candidate Tracker'!$C:$C,"&lt;&gt;WIP",'Candidate Tracker'!$C:$C,"&lt;&gt;Hold",'Candidate Tracker'!$C:$C,"&lt;&gt;Cancelled",'Candidate Tracker'!$C:$C,"&lt;&gt;Closed")/COUNTIFS('Candidate Tracker'!$E:$E,'Positions Tracker'!$B862)),"")</f>
        <v/>
      </c>
      <c r="BD862" s="30" t="str">
        <f t="shared" si="93"/>
        <v/>
      </c>
      <c r="BE862" s="30" t="str">
        <f t="shared" si="94"/>
        <v/>
      </c>
      <c r="BF862" s="30" t="str">
        <f t="shared" si="95"/>
        <v/>
      </c>
      <c r="BG862" s="30" t="str">
        <f t="shared" si="96"/>
        <v/>
      </c>
    </row>
    <row r="863" spans="1:59">
      <c r="A863" s="39"/>
      <c r="B863" s="39"/>
      <c r="C863" s="39"/>
      <c r="D863" s="39"/>
      <c r="E863" s="39"/>
      <c r="F863" s="39"/>
      <c r="G863" s="39"/>
      <c r="H863" s="39"/>
      <c r="I863" s="40"/>
      <c r="J863" s="40"/>
      <c r="K863" s="35"/>
      <c r="L863" s="35"/>
      <c r="M863" s="35"/>
      <c r="N863" s="39"/>
      <c r="O863" s="39"/>
      <c r="P863" s="39"/>
      <c r="Q863" s="39"/>
      <c r="R863" s="39"/>
      <c r="S863" s="39"/>
      <c r="T863" s="39"/>
      <c r="U863" s="39"/>
      <c r="V863" s="39"/>
      <c r="W863" s="39"/>
      <c r="X863" s="39"/>
      <c r="Y863" s="39"/>
      <c r="Z863" s="39"/>
      <c r="AA863" s="39"/>
      <c r="AB863" s="39"/>
      <c r="AC863" s="39"/>
      <c r="AD863" s="39"/>
      <c r="AE863" s="39"/>
      <c r="AF863" s="39"/>
      <c r="AG863" s="39"/>
      <c r="AH863" s="39"/>
      <c r="AI863" s="35"/>
      <c r="AJ863" s="39"/>
      <c r="AK863" s="39"/>
      <c r="AL863" s="39"/>
      <c r="AM863" s="35"/>
      <c r="AN863" s="35"/>
      <c r="AO863" s="39"/>
      <c r="AP863" s="39"/>
      <c r="AQ863" s="35"/>
      <c r="AR863" s="35"/>
      <c r="AS863" s="35"/>
      <c r="AT863" s="30">
        <f t="shared" ca="1" si="92"/>
        <v>0</v>
      </c>
      <c r="AU863" s="32" t="str">
        <f t="shared" ca="1" si="91"/>
        <v/>
      </c>
      <c r="AV863" s="32" t="str" cm="1">
        <f t="array" aca="1" ref="AV863" ca="1">IFERROR(_xlfn.IFS($AU863="","",$AU863&lt;=15,"0-15",AND($AU863&gt;=16,$AU863&lt;=30),"16-30",AND($AU863&gt;=31,$AU863&lt;=45),"31-45",AND($AU863&gt;=46,$AU863&lt;=60),"46-60",AND($AU863&gt;=61,$AU863&lt;=90),"61-90",AND($AU863&gt;=91),"&gt; 90",AND($AU863&gt;=2000),""),"")</f>
        <v/>
      </c>
      <c r="AW863" s="32" t="str" cm="1">
        <f t="array" aca="1" ref="AW863" ca="1">IFERROR(_xlfn.IFS(OR($M863="",$AM863=""),"",OR($C863="Offered",$C863="Joined"),($AM863-$M863)-$AT863),"")</f>
        <v/>
      </c>
      <c r="AX863" s="32" t="str" cm="1">
        <f t="array" aca="1" ref="AX863" ca="1">IFERROR(_xlfn.IFS(OR($M863="",$AS863=""),"",$C863="Joined",($AS863-$M863)-$AT863),"")</f>
        <v/>
      </c>
      <c r="AY863" s="30" t="str">
        <f>IFERROR(IF(COUNTIFS('Candidate Tracker'!$E:$E,'Positions Tracker'!$B863,'Candidate Tracker'!$C:$C,"Offer Drop")=0,"",COUNTIFS('Candidate Tracker'!$E:$E,'Positions Tracker'!$B863,'Candidate Tracker'!$C:$C,"Offer Drop")),"")</f>
        <v/>
      </c>
      <c r="AZ86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3" s="34" t="str">
        <f>IFERROR(IF(COUNTIFS('Candidate Tracker'!$E:$E,'Positions Tracker'!$B863,'Candidate Tracker'!$I:$I,"Female")=0,"",COUNTIFS('Candidate Tracker'!$E:$E,'Positions Tracker'!$B863,'Candidate Tracker'!$I:$I,"Female")),"")</f>
        <v/>
      </c>
      <c r="BB863" s="34" t="str">
        <f>IFERROR(IF(COUNTIFS('Candidate Tracker'!$E:$E,'Positions Tracker'!$B863,'Candidate Tracker'!$I:$I,"male")=0,"",COUNTIFS('Candidate Tracker'!$E:$E,'Positions Tracker'!$B863,'Candidate Tracker'!$I:$I,"male")),"")</f>
        <v/>
      </c>
      <c r="BC863" s="33" t="str">
        <f>IFERROR(IF(COUNTIFS('Candidate Tracker'!$E:$E,'Positions Tracker'!$B863,'Candidate Tracker'!$C:$C,"&lt;&gt;WIP",'Candidate Tracker'!$C:$C,"&lt;&gt;Hold",'Candidate Tracker'!$C:$C,"&lt;&gt;Cancelled",'Candidate Tracker'!$C:$C,"&lt;&gt;Closed")/COUNTIFS('Candidate Tracker'!$E:$E,'Positions Tracker'!$B863)=0,"",COUNTIFS('Candidate Tracker'!$E:$E,'Positions Tracker'!$B863,'Candidate Tracker'!$C:$C,"&lt;&gt;WIP",'Candidate Tracker'!$C:$C,"&lt;&gt;Hold",'Candidate Tracker'!$C:$C,"&lt;&gt;Cancelled",'Candidate Tracker'!$C:$C,"&lt;&gt;Closed")/COUNTIFS('Candidate Tracker'!$E:$E,'Positions Tracker'!$B863)),"")</f>
        <v/>
      </c>
      <c r="BD863" s="30" t="str">
        <f t="shared" si="93"/>
        <v/>
      </c>
      <c r="BE863" s="30" t="str">
        <f t="shared" si="94"/>
        <v/>
      </c>
      <c r="BF863" s="30" t="str">
        <f t="shared" si="95"/>
        <v/>
      </c>
      <c r="BG863" s="30" t="str">
        <f t="shared" si="96"/>
        <v/>
      </c>
    </row>
    <row r="864" spans="1:59">
      <c r="A864" s="39"/>
      <c r="B864" s="39"/>
      <c r="C864" s="39"/>
      <c r="D864" s="39"/>
      <c r="E864" s="39"/>
      <c r="F864" s="39"/>
      <c r="G864" s="39"/>
      <c r="H864" s="39"/>
      <c r="I864" s="40"/>
      <c r="J864" s="40"/>
      <c r="K864" s="35"/>
      <c r="L864" s="35"/>
      <c r="M864" s="35"/>
      <c r="N864" s="39"/>
      <c r="O864" s="39"/>
      <c r="P864" s="39"/>
      <c r="Q864" s="39"/>
      <c r="R864" s="39"/>
      <c r="S864" s="39"/>
      <c r="T864" s="39"/>
      <c r="U864" s="39"/>
      <c r="V864" s="39"/>
      <c r="W864" s="39"/>
      <c r="X864" s="39"/>
      <c r="Y864" s="39"/>
      <c r="Z864" s="39"/>
      <c r="AA864" s="39"/>
      <c r="AB864" s="39"/>
      <c r="AC864" s="39"/>
      <c r="AD864" s="39"/>
      <c r="AE864" s="39"/>
      <c r="AF864" s="39"/>
      <c r="AG864" s="39"/>
      <c r="AH864" s="39"/>
      <c r="AI864" s="35"/>
      <c r="AJ864" s="39"/>
      <c r="AK864" s="39"/>
      <c r="AL864" s="39"/>
      <c r="AM864" s="35"/>
      <c r="AN864" s="35"/>
      <c r="AO864" s="39"/>
      <c r="AP864" s="39"/>
      <c r="AQ864" s="35"/>
      <c r="AR864" s="35"/>
      <c r="AS864" s="35"/>
      <c r="AT864" s="30">
        <f t="shared" ca="1" si="92"/>
        <v>0</v>
      </c>
      <c r="AU864" s="32" t="str">
        <f t="shared" ca="1" si="91"/>
        <v/>
      </c>
      <c r="AV864" s="32" t="str" cm="1">
        <f t="array" aca="1" ref="AV864" ca="1">IFERROR(_xlfn.IFS($AU864="","",$AU864&lt;=15,"0-15",AND($AU864&gt;=16,$AU864&lt;=30),"16-30",AND($AU864&gt;=31,$AU864&lt;=45),"31-45",AND($AU864&gt;=46,$AU864&lt;=60),"46-60",AND($AU864&gt;=61,$AU864&lt;=90),"61-90",AND($AU864&gt;=91),"&gt; 90",AND($AU864&gt;=2000),""),"")</f>
        <v/>
      </c>
      <c r="AW864" s="32" t="str" cm="1">
        <f t="array" aca="1" ref="AW864" ca="1">IFERROR(_xlfn.IFS(OR($M864="",$AM864=""),"",OR($C864="Offered",$C864="Joined"),($AM864-$M864)-$AT864),"")</f>
        <v/>
      </c>
      <c r="AX864" s="32" t="str" cm="1">
        <f t="array" aca="1" ref="AX864" ca="1">IFERROR(_xlfn.IFS(OR($M864="",$AS864=""),"",$C864="Joined",($AS864-$M864)-$AT864),"")</f>
        <v/>
      </c>
      <c r="AY864" s="30" t="str">
        <f>IFERROR(IF(COUNTIFS('Candidate Tracker'!$E:$E,'Positions Tracker'!$B864,'Candidate Tracker'!$C:$C,"Offer Drop")=0,"",COUNTIFS('Candidate Tracker'!$E:$E,'Positions Tracker'!$B864,'Candidate Tracker'!$C:$C,"Offer Drop")),"")</f>
        <v/>
      </c>
      <c r="AZ8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4" s="34" t="str">
        <f>IFERROR(IF(COUNTIFS('Candidate Tracker'!$E:$E,'Positions Tracker'!$B864,'Candidate Tracker'!$I:$I,"Female")=0,"",COUNTIFS('Candidate Tracker'!$E:$E,'Positions Tracker'!$B864,'Candidate Tracker'!$I:$I,"Female")),"")</f>
        <v/>
      </c>
      <c r="BB864" s="34" t="str">
        <f>IFERROR(IF(COUNTIFS('Candidate Tracker'!$E:$E,'Positions Tracker'!$B864,'Candidate Tracker'!$I:$I,"male")=0,"",COUNTIFS('Candidate Tracker'!$E:$E,'Positions Tracker'!$B864,'Candidate Tracker'!$I:$I,"male")),"")</f>
        <v/>
      </c>
      <c r="BC864" s="33" t="str">
        <f>IFERROR(IF(COUNTIFS('Candidate Tracker'!$E:$E,'Positions Tracker'!$B864,'Candidate Tracker'!$C:$C,"&lt;&gt;WIP",'Candidate Tracker'!$C:$C,"&lt;&gt;Hold",'Candidate Tracker'!$C:$C,"&lt;&gt;Cancelled",'Candidate Tracker'!$C:$C,"&lt;&gt;Closed")/COUNTIFS('Candidate Tracker'!$E:$E,'Positions Tracker'!$B864)=0,"",COUNTIFS('Candidate Tracker'!$E:$E,'Positions Tracker'!$B864,'Candidate Tracker'!$C:$C,"&lt;&gt;WIP",'Candidate Tracker'!$C:$C,"&lt;&gt;Hold",'Candidate Tracker'!$C:$C,"&lt;&gt;Cancelled",'Candidate Tracker'!$C:$C,"&lt;&gt;Closed")/COUNTIFS('Candidate Tracker'!$E:$E,'Positions Tracker'!$B864)),"")</f>
        <v/>
      </c>
      <c r="BD864" s="30" t="str">
        <f t="shared" si="93"/>
        <v/>
      </c>
      <c r="BE864" s="30" t="str">
        <f t="shared" si="94"/>
        <v/>
      </c>
      <c r="BF864" s="30" t="str">
        <f t="shared" si="95"/>
        <v/>
      </c>
      <c r="BG864" s="30" t="str">
        <f t="shared" si="96"/>
        <v/>
      </c>
    </row>
    <row r="865" spans="1:59">
      <c r="A865" s="39"/>
      <c r="B865" s="39"/>
      <c r="C865" s="39"/>
      <c r="D865" s="39"/>
      <c r="E865" s="39"/>
      <c r="F865" s="39"/>
      <c r="G865" s="39"/>
      <c r="H865" s="39"/>
      <c r="I865" s="40"/>
      <c r="J865" s="40"/>
      <c r="K865" s="35"/>
      <c r="L865" s="35"/>
      <c r="M865" s="35"/>
      <c r="N865" s="39"/>
      <c r="O865" s="39"/>
      <c r="P865" s="39"/>
      <c r="Q865" s="39"/>
      <c r="R865" s="39"/>
      <c r="S865" s="39"/>
      <c r="T865" s="39"/>
      <c r="U865" s="39"/>
      <c r="V865" s="39"/>
      <c r="W865" s="39"/>
      <c r="X865" s="39"/>
      <c r="Y865" s="39"/>
      <c r="Z865" s="39"/>
      <c r="AA865" s="39"/>
      <c r="AB865" s="39"/>
      <c r="AC865" s="39"/>
      <c r="AD865" s="39"/>
      <c r="AE865" s="39"/>
      <c r="AF865" s="39"/>
      <c r="AG865" s="39"/>
      <c r="AH865" s="39"/>
      <c r="AI865" s="35"/>
      <c r="AJ865" s="39"/>
      <c r="AK865" s="39"/>
      <c r="AL865" s="39"/>
      <c r="AM865" s="35"/>
      <c r="AN865" s="35"/>
      <c r="AO865" s="39"/>
      <c r="AP865" s="39"/>
      <c r="AQ865" s="35"/>
      <c r="AR865" s="35"/>
      <c r="AS865" s="35"/>
      <c r="AT865" s="30">
        <f t="shared" ca="1" si="92"/>
        <v>0</v>
      </c>
      <c r="AU865" s="32" t="str">
        <f t="shared" ca="1" si="91"/>
        <v/>
      </c>
      <c r="AV865" s="32" t="str" cm="1">
        <f t="array" aca="1" ref="AV865" ca="1">IFERROR(_xlfn.IFS($AU865="","",$AU865&lt;=15,"0-15",AND($AU865&gt;=16,$AU865&lt;=30),"16-30",AND($AU865&gt;=31,$AU865&lt;=45),"31-45",AND($AU865&gt;=46,$AU865&lt;=60),"46-60",AND($AU865&gt;=61,$AU865&lt;=90),"61-90",AND($AU865&gt;=91),"&gt; 90",AND($AU865&gt;=2000),""),"")</f>
        <v/>
      </c>
      <c r="AW865" s="32" t="str" cm="1">
        <f t="array" aca="1" ref="AW865" ca="1">IFERROR(_xlfn.IFS(OR($M865="",$AM865=""),"",OR($C865="Offered",$C865="Joined"),($AM865-$M865)-$AT865),"")</f>
        <v/>
      </c>
      <c r="AX865" s="32" t="str" cm="1">
        <f t="array" aca="1" ref="AX865" ca="1">IFERROR(_xlfn.IFS(OR($M865="",$AS865=""),"",$C865="Joined",($AS865-$M865)-$AT865),"")</f>
        <v/>
      </c>
      <c r="AY865" s="30" t="str">
        <f>IFERROR(IF(COUNTIFS('Candidate Tracker'!$E:$E,'Positions Tracker'!$B865,'Candidate Tracker'!$C:$C,"Offer Drop")=0,"",COUNTIFS('Candidate Tracker'!$E:$E,'Positions Tracker'!$B865,'Candidate Tracker'!$C:$C,"Offer Drop")),"")</f>
        <v/>
      </c>
      <c r="AZ86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5" s="34" t="str">
        <f>IFERROR(IF(COUNTIFS('Candidate Tracker'!$E:$E,'Positions Tracker'!$B865,'Candidate Tracker'!$I:$I,"Female")=0,"",COUNTIFS('Candidate Tracker'!$E:$E,'Positions Tracker'!$B865,'Candidate Tracker'!$I:$I,"Female")),"")</f>
        <v/>
      </c>
      <c r="BB865" s="34" t="str">
        <f>IFERROR(IF(COUNTIFS('Candidate Tracker'!$E:$E,'Positions Tracker'!$B865,'Candidate Tracker'!$I:$I,"male")=0,"",COUNTIFS('Candidate Tracker'!$E:$E,'Positions Tracker'!$B865,'Candidate Tracker'!$I:$I,"male")),"")</f>
        <v/>
      </c>
      <c r="BC865" s="33" t="str">
        <f>IFERROR(IF(COUNTIFS('Candidate Tracker'!$E:$E,'Positions Tracker'!$B865,'Candidate Tracker'!$C:$C,"&lt;&gt;WIP",'Candidate Tracker'!$C:$C,"&lt;&gt;Hold",'Candidate Tracker'!$C:$C,"&lt;&gt;Cancelled",'Candidate Tracker'!$C:$C,"&lt;&gt;Closed")/COUNTIFS('Candidate Tracker'!$E:$E,'Positions Tracker'!$B865)=0,"",COUNTIFS('Candidate Tracker'!$E:$E,'Positions Tracker'!$B865,'Candidate Tracker'!$C:$C,"&lt;&gt;WIP",'Candidate Tracker'!$C:$C,"&lt;&gt;Hold",'Candidate Tracker'!$C:$C,"&lt;&gt;Cancelled",'Candidate Tracker'!$C:$C,"&lt;&gt;Closed")/COUNTIFS('Candidate Tracker'!$E:$E,'Positions Tracker'!$B865)),"")</f>
        <v/>
      </c>
      <c r="BD865" s="30" t="str">
        <f t="shared" si="93"/>
        <v/>
      </c>
      <c r="BE865" s="30" t="str">
        <f t="shared" si="94"/>
        <v/>
      </c>
      <c r="BF865" s="30" t="str">
        <f t="shared" si="95"/>
        <v/>
      </c>
      <c r="BG865" s="30" t="str">
        <f t="shared" si="96"/>
        <v/>
      </c>
    </row>
    <row r="866" spans="1:59">
      <c r="A866" s="39"/>
      <c r="B866" s="39"/>
      <c r="C866" s="39"/>
      <c r="D866" s="39"/>
      <c r="E866" s="39"/>
      <c r="F866" s="39"/>
      <c r="G866" s="39"/>
      <c r="H866" s="39"/>
      <c r="I866" s="40"/>
      <c r="J866" s="40"/>
      <c r="K866" s="35"/>
      <c r="L866" s="35"/>
      <c r="M866" s="35"/>
      <c r="N866" s="39"/>
      <c r="O866" s="39"/>
      <c r="P866" s="39"/>
      <c r="Q866" s="39"/>
      <c r="R866" s="39"/>
      <c r="S866" s="39"/>
      <c r="T866" s="39"/>
      <c r="U866" s="39"/>
      <c r="V866" s="39"/>
      <c r="W866" s="39"/>
      <c r="X866" s="39"/>
      <c r="Y866" s="39"/>
      <c r="Z866" s="39"/>
      <c r="AA866" s="39"/>
      <c r="AB866" s="39"/>
      <c r="AC866" s="39"/>
      <c r="AD866" s="39"/>
      <c r="AE866" s="39"/>
      <c r="AF866" s="39"/>
      <c r="AG866" s="39"/>
      <c r="AH866" s="39"/>
      <c r="AI866" s="35"/>
      <c r="AJ866" s="39"/>
      <c r="AK866" s="39"/>
      <c r="AL866" s="39"/>
      <c r="AM866" s="35"/>
      <c r="AN866" s="35"/>
      <c r="AO866" s="39"/>
      <c r="AP866" s="39"/>
      <c r="AQ866" s="35"/>
      <c r="AR866" s="35"/>
      <c r="AS866" s="35"/>
      <c r="AT866" s="30">
        <f t="shared" ca="1" si="92"/>
        <v>0</v>
      </c>
      <c r="AU866" s="32" t="str">
        <f t="shared" ca="1" si="91"/>
        <v/>
      </c>
      <c r="AV866" s="32" t="str" cm="1">
        <f t="array" aca="1" ref="AV866" ca="1">IFERROR(_xlfn.IFS($AU866="","",$AU866&lt;=15,"0-15",AND($AU866&gt;=16,$AU866&lt;=30),"16-30",AND($AU866&gt;=31,$AU866&lt;=45),"31-45",AND($AU866&gt;=46,$AU866&lt;=60),"46-60",AND($AU866&gt;=61,$AU866&lt;=90),"61-90",AND($AU866&gt;=91),"&gt; 90",AND($AU866&gt;=2000),""),"")</f>
        <v/>
      </c>
      <c r="AW866" s="32" t="str" cm="1">
        <f t="array" aca="1" ref="AW866" ca="1">IFERROR(_xlfn.IFS(OR($M866="",$AM866=""),"",OR($C866="Offered",$C866="Joined"),($AM866-$M866)-$AT866),"")</f>
        <v/>
      </c>
      <c r="AX866" s="32" t="str" cm="1">
        <f t="array" aca="1" ref="AX866" ca="1">IFERROR(_xlfn.IFS(OR($M866="",$AS866=""),"",$C866="Joined",($AS866-$M866)-$AT866),"")</f>
        <v/>
      </c>
      <c r="AY866" s="30" t="str">
        <f>IFERROR(IF(COUNTIFS('Candidate Tracker'!$E:$E,'Positions Tracker'!$B866,'Candidate Tracker'!$C:$C,"Offer Drop")=0,"",COUNTIFS('Candidate Tracker'!$E:$E,'Positions Tracker'!$B866,'Candidate Tracker'!$C:$C,"Offer Drop")),"")</f>
        <v/>
      </c>
      <c r="AZ8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6" s="34" t="str">
        <f>IFERROR(IF(COUNTIFS('Candidate Tracker'!$E:$E,'Positions Tracker'!$B866,'Candidate Tracker'!$I:$I,"Female")=0,"",COUNTIFS('Candidate Tracker'!$E:$E,'Positions Tracker'!$B866,'Candidate Tracker'!$I:$I,"Female")),"")</f>
        <v/>
      </c>
      <c r="BB866" s="34" t="str">
        <f>IFERROR(IF(COUNTIFS('Candidate Tracker'!$E:$E,'Positions Tracker'!$B866,'Candidate Tracker'!$I:$I,"male")=0,"",COUNTIFS('Candidate Tracker'!$E:$E,'Positions Tracker'!$B866,'Candidate Tracker'!$I:$I,"male")),"")</f>
        <v/>
      </c>
      <c r="BC866" s="33" t="str">
        <f>IFERROR(IF(COUNTIFS('Candidate Tracker'!$E:$E,'Positions Tracker'!$B866,'Candidate Tracker'!$C:$C,"&lt;&gt;WIP",'Candidate Tracker'!$C:$C,"&lt;&gt;Hold",'Candidate Tracker'!$C:$C,"&lt;&gt;Cancelled",'Candidate Tracker'!$C:$C,"&lt;&gt;Closed")/COUNTIFS('Candidate Tracker'!$E:$E,'Positions Tracker'!$B866)=0,"",COUNTIFS('Candidate Tracker'!$E:$E,'Positions Tracker'!$B866,'Candidate Tracker'!$C:$C,"&lt;&gt;WIP",'Candidate Tracker'!$C:$C,"&lt;&gt;Hold",'Candidate Tracker'!$C:$C,"&lt;&gt;Cancelled",'Candidate Tracker'!$C:$C,"&lt;&gt;Closed")/COUNTIFS('Candidate Tracker'!$E:$E,'Positions Tracker'!$B866)),"")</f>
        <v/>
      </c>
      <c r="BD866" s="30" t="str">
        <f t="shared" si="93"/>
        <v/>
      </c>
      <c r="BE866" s="30" t="str">
        <f t="shared" si="94"/>
        <v/>
      </c>
      <c r="BF866" s="30" t="str">
        <f t="shared" si="95"/>
        <v/>
      </c>
      <c r="BG866" s="30" t="str">
        <f t="shared" si="96"/>
        <v/>
      </c>
    </row>
    <row r="867" spans="1:59">
      <c r="A867" s="39"/>
      <c r="B867" s="39"/>
      <c r="C867" s="39"/>
      <c r="D867" s="39"/>
      <c r="E867" s="39"/>
      <c r="F867" s="39"/>
      <c r="G867" s="39"/>
      <c r="H867" s="39"/>
      <c r="I867" s="40"/>
      <c r="J867" s="40"/>
      <c r="K867" s="35"/>
      <c r="L867" s="35"/>
      <c r="M867" s="35"/>
      <c r="N867" s="39"/>
      <c r="O867" s="39"/>
      <c r="P867" s="39"/>
      <c r="Q867" s="39"/>
      <c r="R867" s="39"/>
      <c r="S867" s="39"/>
      <c r="T867" s="39"/>
      <c r="U867" s="39"/>
      <c r="V867" s="39"/>
      <c r="W867" s="39"/>
      <c r="X867" s="39"/>
      <c r="Y867" s="39"/>
      <c r="Z867" s="39"/>
      <c r="AA867" s="39"/>
      <c r="AB867" s="39"/>
      <c r="AC867" s="39"/>
      <c r="AD867" s="39"/>
      <c r="AE867" s="39"/>
      <c r="AF867" s="39"/>
      <c r="AG867" s="39"/>
      <c r="AH867" s="39"/>
      <c r="AI867" s="35"/>
      <c r="AJ867" s="39"/>
      <c r="AK867" s="39"/>
      <c r="AL867" s="39"/>
      <c r="AM867" s="35"/>
      <c r="AN867" s="35"/>
      <c r="AO867" s="39"/>
      <c r="AP867" s="39"/>
      <c r="AQ867" s="35"/>
      <c r="AR867" s="35"/>
      <c r="AS867" s="35"/>
      <c r="AT867" s="30">
        <f t="shared" ca="1" si="92"/>
        <v>0</v>
      </c>
      <c r="AU867" s="32" t="str">
        <f t="shared" ca="1" si="91"/>
        <v/>
      </c>
      <c r="AV867" s="32" t="str" cm="1">
        <f t="array" aca="1" ref="AV867" ca="1">IFERROR(_xlfn.IFS($AU867="","",$AU867&lt;=15,"0-15",AND($AU867&gt;=16,$AU867&lt;=30),"16-30",AND($AU867&gt;=31,$AU867&lt;=45),"31-45",AND($AU867&gt;=46,$AU867&lt;=60),"46-60",AND($AU867&gt;=61,$AU867&lt;=90),"61-90",AND($AU867&gt;=91),"&gt; 90",AND($AU867&gt;=2000),""),"")</f>
        <v/>
      </c>
      <c r="AW867" s="32" t="str" cm="1">
        <f t="array" aca="1" ref="AW867" ca="1">IFERROR(_xlfn.IFS(OR($M867="",$AM867=""),"",OR($C867="Offered",$C867="Joined"),($AM867-$M867)-$AT867),"")</f>
        <v/>
      </c>
      <c r="AX867" s="32" t="str" cm="1">
        <f t="array" aca="1" ref="AX867" ca="1">IFERROR(_xlfn.IFS(OR($M867="",$AS867=""),"",$C867="Joined",($AS867-$M867)-$AT867),"")</f>
        <v/>
      </c>
      <c r="AY867" s="30" t="str">
        <f>IFERROR(IF(COUNTIFS('Candidate Tracker'!$E:$E,'Positions Tracker'!$B867,'Candidate Tracker'!$C:$C,"Offer Drop")=0,"",COUNTIFS('Candidate Tracker'!$E:$E,'Positions Tracker'!$B867,'Candidate Tracker'!$C:$C,"Offer Drop")),"")</f>
        <v/>
      </c>
      <c r="AZ8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7" s="34" t="str">
        <f>IFERROR(IF(COUNTIFS('Candidate Tracker'!$E:$E,'Positions Tracker'!$B867,'Candidate Tracker'!$I:$I,"Female")=0,"",COUNTIFS('Candidate Tracker'!$E:$E,'Positions Tracker'!$B867,'Candidate Tracker'!$I:$I,"Female")),"")</f>
        <v/>
      </c>
      <c r="BB867" s="34" t="str">
        <f>IFERROR(IF(COUNTIFS('Candidate Tracker'!$E:$E,'Positions Tracker'!$B867,'Candidate Tracker'!$I:$I,"male")=0,"",COUNTIFS('Candidate Tracker'!$E:$E,'Positions Tracker'!$B867,'Candidate Tracker'!$I:$I,"male")),"")</f>
        <v/>
      </c>
      <c r="BC867" s="33" t="str">
        <f>IFERROR(IF(COUNTIFS('Candidate Tracker'!$E:$E,'Positions Tracker'!$B867,'Candidate Tracker'!$C:$C,"&lt;&gt;WIP",'Candidate Tracker'!$C:$C,"&lt;&gt;Hold",'Candidate Tracker'!$C:$C,"&lt;&gt;Cancelled",'Candidate Tracker'!$C:$C,"&lt;&gt;Closed")/COUNTIFS('Candidate Tracker'!$E:$E,'Positions Tracker'!$B867)=0,"",COUNTIFS('Candidate Tracker'!$E:$E,'Positions Tracker'!$B867,'Candidate Tracker'!$C:$C,"&lt;&gt;WIP",'Candidate Tracker'!$C:$C,"&lt;&gt;Hold",'Candidate Tracker'!$C:$C,"&lt;&gt;Cancelled",'Candidate Tracker'!$C:$C,"&lt;&gt;Closed")/COUNTIFS('Candidate Tracker'!$E:$E,'Positions Tracker'!$B867)),"")</f>
        <v/>
      </c>
      <c r="BD867" s="30" t="str">
        <f t="shared" si="93"/>
        <v/>
      </c>
      <c r="BE867" s="30" t="str">
        <f t="shared" si="94"/>
        <v/>
      </c>
      <c r="BF867" s="30" t="str">
        <f t="shared" si="95"/>
        <v/>
      </c>
      <c r="BG867" s="30" t="str">
        <f t="shared" si="96"/>
        <v/>
      </c>
    </row>
    <row r="868" spans="1:59">
      <c r="A868" s="39"/>
      <c r="B868" s="39"/>
      <c r="C868" s="39"/>
      <c r="D868" s="39"/>
      <c r="E868" s="39"/>
      <c r="F868" s="39"/>
      <c r="G868" s="39"/>
      <c r="H868" s="39"/>
      <c r="I868" s="40"/>
      <c r="J868" s="40"/>
      <c r="K868" s="35"/>
      <c r="L868" s="35"/>
      <c r="M868" s="35"/>
      <c r="N868" s="39"/>
      <c r="O868" s="39"/>
      <c r="P868" s="39"/>
      <c r="Q868" s="39"/>
      <c r="R868" s="39"/>
      <c r="S868" s="39"/>
      <c r="T868" s="39"/>
      <c r="U868" s="39"/>
      <c r="V868" s="39"/>
      <c r="W868" s="39"/>
      <c r="X868" s="39"/>
      <c r="Y868" s="39"/>
      <c r="Z868" s="39"/>
      <c r="AA868" s="39"/>
      <c r="AB868" s="39"/>
      <c r="AC868" s="39"/>
      <c r="AD868" s="39"/>
      <c r="AE868" s="39"/>
      <c r="AF868" s="39"/>
      <c r="AG868" s="39"/>
      <c r="AH868" s="39"/>
      <c r="AI868" s="35"/>
      <c r="AJ868" s="39"/>
      <c r="AK868" s="39"/>
      <c r="AL868" s="39"/>
      <c r="AM868" s="35"/>
      <c r="AN868" s="35"/>
      <c r="AO868" s="39"/>
      <c r="AP868" s="39"/>
      <c r="AQ868" s="35"/>
      <c r="AR868" s="35"/>
      <c r="AS868" s="35"/>
      <c r="AT868" s="30">
        <f t="shared" ca="1" si="92"/>
        <v>0</v>
      </c>
      <c r="AU868" s="32" t="str">
        <f t="shared" ca="1" si="91"/>
        <v/>
      </c>
      <c r="AV868" s="32" t="str" cm="1">
        <f t="array" aca="1" ref="AV868" ca="1">IFERROR(_xlfn.IFS($AU868="","",$AU868&lt;=15,"0-15",AND($AU868&gt;=16,$AU868&lt;=30),"16-30",AND($AU868&gt;=31,$AU868&lt;=45),"31-45",AND($AU868&gt;=46,$AU868&lt;=60),"46-60",AND($AU868&gt;=61,$AU868&lt;=90),"61-90",AND($AU868&gt;=91),"&gt; 90",AND($AU868&gt;=2000),""),"")</f>
        <v/>
      </c>
      <c r="AW868" s="32" t="str" cm="1">
        <f t="array" aca="1" ref="AW868" ca="1">IFERROR(_xlfn.IFS(OR($M868="",$AM868=""),"",OR($C868="Offered",$C868="Joined"),($AM868-$M868)-$AT868),"")</f>
        <v/>
      </c>
      <c r="AX868" s="32" t="str" cm="1">
        <f t="array" aca="1" ref="AX868" ca="1">IFERROR(_xlfn.IFS(OR($M868="",$AS868=""),"",$C868="Joined",($AS868-$M868)-$AT868),"")</f>
        <v/>
      </c>
      <c r="AY868" s="30" t="str">
        <f>IFERROR(IF(COUNTIFS('Candidate Tracker'!$E:$E,'Positions Tracker'!$B868,'Candidate Tracker'!$C:$C,"Offer Drop")=0,"",COUNTIFS('Candidate Tracker'!$E:$E,'Positions Tracker'!$B868,'Candidate Tracker'!$C:$C,"Offer Drop")),"")</f>
        <v/>
      </c>
      <c r="AZ8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8" s="34" t="str">
        <f>IFERROR(IF(COUNTIFS('Candidate Tracker'!$E:$E,'Positions Tracker'!$B868,'Candidate Tracker'!$I:$I,"Female")=0,"",COUNTIFS('Candidate Tracker'!$E:$E,'Positions Tracker'!$B868,'Candidate Tracker'!$I:$I,"Female")),"")</f>
        <v/>
      </c>
      <c r="BB868" s="34" t="str">
        <f>IFERROR(IF(COUNTIFS('Candidate Tracker'!$E:$E,'Positions Tracker'!$B868,'Candidate Tracker'!$I:$I,"male")=0,"",COUNTIFS('Candidate Tracker'!$E:$E,'Positions Tracker'!$B868,'Candidate Tracker'!$I:$I,"male")),"")</f>
        <v/>
      </c>
      <c r="BC868" s="33" t="str">
        <f>IFERROR(IF(COUNTIFS('Candidate Tracker'!$E:$E,'Positions Tracker'!$B868,'Candidate Tracker'!$C:$C,"&lt;&gt;WIP",'Candidate Tracker'!$C:$C,"&lt;&gt;Hold",'Candidate Tracker'!$C:$C,"&lt;&gt;Cancelled",'Candidate Tracker'!$C:$C,"&lt;&gt;Closed")/COUNTIFS('Candidate Tracker'!$E:$E,'Positions Tracker'!$B868)=0,"",COUNTIFS('Candidate Tracker'!$E:$E,'Positions Tracker'!$B868,'Candidate Tracker'!$C:$C,"&lt;&gt;WIP",'Candidate Tracker'!$C:$C,"&lt;&gt;Hold",'Candidate Tracker'!$C:$C,"&lt;&gt;Cancelled",'Candidate Tracker'!$C:$C,"&lt;&gt;Closed")/COUNTIFS('Candidate Tracker'!$E:$E,'Positions Tracker'!$B868)),"")</f>
        <v/>
      </c>
      <c r="BD868" s="30" t="str">
        <f t="shared" si="93"/>
        <v/>
      </c>
      <c r="BE868" s="30" t="str">
        <f t="shared" si="94"/>
        <v/>
      </c>
      <c r="BF868" s="30" t="str">
        <f t="shared" si="95"/>
        <v/>
      </c>
      <c r="BG868" s="30" t="str">
        <f t="shared" si="96"/>
        <v/>
      </c>
    </row>
    <row r="869" spans="1:59">
      <c r="A869" s="39"/>
      <c r="B869" s="39"/>
      <c r="C869" s="39"/>
      <c r="D869" s="39"/>
      <c r="E869" s="39"/>
      <c r="F869" s="39"/>
      <c r="G869" s="39"/>
      <c r="H869" s="39"/>
      <c r="I869" s="40"/>
      <c r="J869" s="40"/>
      <c r="K869" s="35"/>
      <c r="L869" s="35"/>
      <c r="M869" s="35"/>
      <c r="N869" s="39"/>
      <c r="O869" s="39"/>
      <c r="P869" s="39"/>
      <c r="Q869" s="39"/>
      <c r="R869" s="39"/>
      <c r="S869" s="39"/>
      <c r="T869" s="39"/>
      <c r="U869" s="39"/>
      <c r="V869" s="39"/>
      <c r="W869" s="39"/>
      <c r="X869" s="39"/>
      <c r="Y869" s="39"/>
      <c r="Z869" s="39"/>
      <c r="AA869" s="39"/>
      <c r="AB869" s="39"/>
      <c r="AC869" s="39"/>
      <c r="AD869" s="39"/>
      <c r="AE869" s="39"/>
      <c r="AF869" s="39"/>
      <c r="AG869" s="39"/>
      <c r="AH869" s="39"/>
      <c r="AI869" s="35"/>
      <c r="AJ869" s="39"/>
      <c r="AK869" s="39"/>
      <c r="AL869" s="39"/>
      <c r="AM869" s="35"/>
      <c r="AN869" s="35"/>
      <c r="AO869" s="39"/>
      <c r="AP869" s="39"/>
      <c r="AQ869" s="35"/>
      <c r="AR869" s="35"/>
      <c r="AS869" s="35"/>
      <c r="AT869" s="30">
        <f t="shared" ca="1" si="92"/>
        <v>0</v>
      </c>
      <c r="AU869" s="32" t="str">
        <f t="shared" ca="1" si="91"/>
        <v/>
      </c>
      <c r="AV869" s="32" t="str" cm="1">
        <f t="array" aca="1" ref="AV869" ca="1">IFERROR(_xlfn.IFS($AU869="","",$AU869&lt;=15,"0-15",AND($AU869&gt;=16,$AU869&lt;=30),"16-30",AND($AU869&gt;=31,$AU869&lt;=45),"31-45",AND($AU869&gt;=46,$AU869&lt;=60),"46-60",AND($AU869&gt;=61,$AU869&lt;=90),"61-90",AND($AU869&gt;=91),"&gt; 90",AND($AU869&gt;=2000),""),"")</f>
        <v/>
      </c>
      <c r="AW869" s="32" t="str" cm="1">
        <f t="array" aca="1" ref="AW869" ca="1">IFERROR(_xlfn.IFS(OR($M869="",$AM869=""),"",OR($C869="Offered",$C869="Joined"),($AM869-$M869)-$AT869),"")</f>
        <v/>
      </c>
      <c r="AX869" s="32" t="str" cm="1">
        <f t="array" aca="1" ref="AX869" ca="1">IFERROR(_xlfn.IFS(OR($M869="",$AS869=""),"",$C869="Joined",($AS869-$M869)-$AT869),"")</f>
        <v/>
      </c>
      <c r="AY869" s="30" t="str">
        <f>IFERROR(IF(COUNTIFS('Candidate Tracker'!$E:$E,'Positions Tracker'!$B869,'Candidate Tracker'!$C:$C,"Offer Drop")=0,"",COUNTIFS('Candidate Tracker'!$E:$E,'Positions Tracker'!$B869,'Candidate Tracker'!$C:$C,"Offer Drop")),"")</f>
        <v/>
      </c>
      <c r="AZ8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69" s="34" t="str">
        <f>IFERROR(IF(COUNTIFS('Candidate Tracker'!$E:$E,'Positions Tracker'!$B869,'Candidate Tracker'!$I:$I,"Female")=0,"",COUNTIFS('Candidate Tracker'!$E:$E,'Positions Tracker'!$B869,'Candidate Tracker'!$I:$I,"Female")),"")</f>
        <v/>
      </c>
      <c r="BB869" s="34" t="str">
        <f>IFERROR(IF(COUNTIFS('Candidate Tracker'!$E:$E,'Positions Tracker'!$B869,'Candidate Tracker'!$I:$I,"male")=0,"",COUNTIFS('Candidate Tracker'!$E:$E,'Positions Tracker'!$B869,'Candidate Tracker'!$I:$I,"male")),"")</f>
        <v/>
      </c>
      <c r="BC869" s="33" t="str">
        <f>IFERROR(IF(COUNTIFS('Candidate Tracker'!$E:$E,'Positions Tracker'!$B869,'Candidate Tracker'!$C:$C,"&lt;&gt;WIP",'Candidate Tracker'!$C:$C,"&lt;&gt;Hold",'Candidate Tracker'!$C:$C,"&lt;&gt;Cancelled",'Candidate Tracker'!$C:$C,"&lt;&gt;Closed")/COUNTIFS('Candidate Tracker'!$E:$E,'Positions Tracker'!$B869)=0,"",COUNTIFS('Candidate Tracker'!$E:$E,'Positions Tracker'!$B869,'Candidate Tracker'!$C:$C,"&lt;&gt;WIP",'Candidate Tracker'!$C:$C,"&lt;&gt;Hold",'Candidate Tracker'!$C:$C,"&lt;&gt;Cancelled",'Candidate Tracker'!$C:$C,"&lt;&gt;Closed")/COUNTIFS('Candidate Tracker'!$E:$E,'Positions Tracker'!$B869)),"")</f>
        <v/>
      </c>
      <c r="BD869" s="30" t="str">
        <f t="shared" si="93"/>
        <v/>
      </c>
      <c r="BE869" s="30" t="str">
        <f t="shared" si="94"/>
        <v/>
      </c>
      <c r="BF869" s="30" t="str">
        <f t="shared" si="95"/>
        <v/>
      </c>
      <c r="BG869" s="30" t="str">
        <f t="shared" si="96"/>
        <v/>
      </c>
    </row>
    <row r="870" spans="1:59">
      <c r="A870" s="39"/>
      <c r="B870" s="39"/>
      <c r="C870" s="39"/>
      <c r="D870" s="39"/>
      <c r="E870" s="39"/>
      <c r="F870" s="39"/>
      <c r="G870" s="39"/>
      <c r="H870" s="39"/>
      <c r="I870" s="40"/>
      <c r="J870" s="40"/>
      <c r="K870" s="35"/>
      <c r="L870" s="35"/>
      <c r="M870" s="35"/>
      <c r="N870" s="39"/>
      <c r="O870" s="39"/>
      <c r="P870" s="39"/>
      <c r="Q870" s="39"/>
      <c r="R870" s="39"/>
      <c r="S870" s="39"/>
      <c r="T870" s="39"/>
      <c r="U870" s="39"/>
      <c r="V870" s="39"/>
      <c r="W870" s="39"/>
      <c r="X870" s="39"/>
      <c r="Y870" s="39"/>
      <c r="Z870" s="39"/>
      <c r="AA870" s="39"/>
      <c r="AB870" s="39"/>
      <c r="AC870" s="39"/>
      <c r="AD870" s="39"/>
      <c r="AE870" s="39"/>
      <c r="AF870" s="39"/>
      <c r="AG870" s="39"/>
      <c r="AH870" s="39"/>
      <c r="AI870" s="35"/>
      <c r="AJ870" s="39"/>
      <c r="AK870" s="39"/>
      <c r="AL870" s="39"/>
      <c r="AM870" s="35"/>
      <c r="AN870" s="35"/>
      <c r="AO870" s="39"/>
      <c r="AP870" s="39"/>
      <c r="AQ870" s="35"/>
      <c r="AR870" s="35"/>
      <c r="AS870" s="35"/>
      <c r="AT870" s="30">
        <f t="shared" ca="1" si="92"/>
        <v>0</v>
      </c>
      <c r="AU870" s="32" t="str">
        <f t="shared" ca="1" si="91"/>
        <v/>
      </c>
      <c r="AV870" s="32" t="str" cm="1">
        <f t="array" aca="1" ref="AV870" ca="1">IFERROR(_xlfn.IFS($AU870="","",$AU870&lt;=15,"0-15",AND($AU870&gt;=16,$AU870&lt;=30),"16-30",AND($AU870&gt;=31,$AU870&lt;=45),"31-45",AND($AU870&gt;=46,$AU870&lt;=60),"46-60",AND($AU870&gt;=61,$AU870&lt;=90),"61-90",AND($AU870&gt;=91),"&gt; 90",AND($AU870&gt;=2000),""),"")</f>
        <v/>
      </c>
      <c r="AW870" s="32" t="str" cm="1">
        <f t="array" aca="1" ref="AW870" ca="1">IFERROR(_xlfn.IFS(OR($M870="",$AM870=""),"",OR($C870="Offered",$C870="Joined"),($AM870-$M870)-$AT870),"")</f>
        <v/>
      </c>
      <c r="AX870" s="32" t="str" cm="1">
        <f t="array" aca="1" ref="AX870" ca="1">IFERROR(_xlfn.IFS(OR($M870="",$AS870=""),"",$C870="Joined",($AS870-$M870)-$AT870),"")</f>
        <v/>
      </c>
      <c r="AY870" s="30" t="str">
        <f>IFERROR(IF(COUNTIFS('Candidate Tracker'!$E:$E,'Positions Tracker'!$B870,'Candidate Tracker'!$C:$C,"Offer Drop")=0,"",COUNTIFS('Candidate Tracker'!$E:$E,'Positions Tracker'!$B870,'Candidate Tracker'!$C:$C,"Offer Drop")),"")</f>
        <v/>
      </c>
      <c r="AZ8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0" s="34" t="str">
        <f>IFERROR(IF(COUNTIFS('Candidate Tracker'!$E:$E,'Positions Tracker'!$B870,'Candidate Tracker'!$I:$I,"Female")=0,"",COUNTIFS('Candidate Tracker'!$E:$E,'Positions Tracker'!$B870,'Candidate Tracker'!$I:$I,"Female")),"")</f>
        <v/>
      </c>
      <c r="BB870" s="34" t="str">
        <f>IFERROR(IF(COUNTIFS('Candidate Tracker'!$E:$E,'Positions Tracker'!$B870,'Candidate Tracker'!$I:$I,"male")=0,"",COUNTIFS('Candidate Tracker'!$E:$E,'Positions Tracker'!$B870,'Candidate Tracker'!$I:$I,"male")),"")</f>
        <v/>
      </c>
      <c r="BC870" s="33" t="str">
        <f>IFERROR(IF(COUNTIFS('Candidate Tracker'!$E:$E,'Positions Tracker'!$B870,'Candidate Tracker'!$C:$C,"&lt;&gt;WIP",'Candidate Tracker'!$C:$C,"&lt;&gt;Hold",'Candidate Tracker'!$C:$C,"&lt;&gt;Cancelled",'Candidate Tracker'!$C:$C,"&lt;&gt;Closed")/COUNTIFS('Candidate Tracker'!$E:$E,'Positions Tracker'!$B870)=0,"",COUNTIFS('Candidate Tracker'!$E:$E,'Positions Tracker'!$B870,'Candidate Tracker'!$C:$C,"&lt;&gt;WIP",'Candidate Tracker'!$C:$C,"&lt;&gt;Hold",'Candidate Tracker'!$C:$C,"&lt;&gt;Cancelled",'Candidate Tracker'!$C:$C,"&lt;&gt;Closed")/COUNTIFS('Candidate Tracker'!$E:$E,'Positions Tracker'!$B870)),"")</f>
        <v/>
      </c>
      <c r="BD870" s="30" t="str">
        <f t="shared" si="93"/>
        <v/>
      </c>
      <c r="BE870" s="30" t="str">
        <f t="shared" si="94"/>
        <v/>
      </c>
      <c r="BF870" s="30" t="str">
        <f t="shared" si="95"/>
        <v/>
      </c>
      <c r="BG870" s="30" t="str">
        <f t="shared" si="96"/>
        <v/>
      </c>
    </row>
    <row r="871" spans="1:59">
      <c r="A871" s="39"/>
      <c r="B871" s="39"/>
      <c r="C871" s="39"/>
      <c r="D871" s="39"/>
      <c r="E871" s="39"/>
      <c r="F871" s="39"/>
      <c r="G871" s="39"/>
      <c r="H871" s="39"/>
      <c r="I871" s="40"/>
      <c r="J871" s="40"/>
      <c r="K871" s="35"/>
      <c r="L871" s="35"/>
      <c r="M871" s="35"/>
      <c r="N871" s="39"/>
      <c r="O871" s="39"/>
      <c r="P871" s="39"/>
      <c r="Q871" s="39"/>
      <c r="R871" s="39"/>
      <c r="S871" s="39"/>
      <c r="T871" s="39"/>
      <c r="U871" s="39"/>
      <c r="V871" s="39"/>
      <c r="W871" s="39"/>
      <c r="X871" s="39"/>
      <c r="Y871" s="39"/>
      <c r="Z871" s="39"/>
      <c r="AA871" s="39"/>
      <c r="AB871" s="39"/>
      <c r="AC871" s="39"/>
      <c r="AD871" s="39"/>
      <c r="AE871" s="39"/>
      <c r="AF871" s="39"/>
      <c r="AG871" s="39"/>
      <c r="AH871" s="39"/>
      <c r="AI871" s="35"/>
      <c r="AJ871" s="39"/>
      <c r="AK871" s="39"/>
      <c r="AL871" s="39"/>
      <c r="AM871" s="35"/>
      <c r="AN871" s="35"/>
      <c r="AO871" s="39"/>
      <c r="AP871" s="39"/>
      <c r="AQ871" s="35"/>
      <c r="AR871" s="35"/>
      <c r="AS871" s="35"/>
      <c r="AT871" s="30">
        <f t="shared" ca="1" si="92"/>
        <v>0</v>
      </c>
      <c r="AU871" s="32" t="str">
        <f t="shared" ca="1" si="91"/>
        <v/>
      </c>
      <c r="AV871" s="32" t="str" cm="1">
        <f t="array" aca="1" ref="AV871" ca="1">IFERROR(_xlfn.IFS($AU871="","",$AU871&lt;=15,"0-15",AND($AU871&gt;=16,$AU871&lt;=30),"16-30",AND($AU871&gt;=31,$AU871&lt;=45),"31-45",AND($AU871&gt;=46,$AU871&lt;=60),"46-60",AND($AU871&gt;=61,$AU871&lt;=90),"61-90",AND($AU871&gt;=91),"&gt; 90",AND($AU871&gt;=2000),""),"")</f>
        <v/>
      </c>
      <c r="AW871" s="32" t="str" cm="1">
        <f t="array" aca="1" ref="AW871" ca="1">IFERROR(_xlfn.IFS(OR($M871="",$AM871=""),"",OR($C871="Offered",$C871="Joined"),($AM871-$M871)-$AT871),"")</f>
        <v/>
      </c>
      <c r="AX871" s="32" t="str" cm="1">
        <f t="array" aca="1" ref="AX871" ca="1">IFERROR(_xlfn.IFS(OR($M871="",$AS871=""),"",$C871="Joined",($AS871-$M871)-$AT871),"")</f>
        <v/>
      </c>
      <c r="AY871" s="30" t="str">
        <f>IFERROR(IF(COUNTIFS('Candidate Tracker'!$E:$E,'Positions Tracker'!$B871,'Candidate Tracker'!$C:$C,"Offer Drop")=0,"",COUNTIFS('Candidate Tracker'!$E:$E,'Positions Tracker'!$B871,'Candidate Tracker'!$C:$C,"Offer Drop")),"")</f>
        <v/>
      </c>
      <c r="AZ8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1" s="34" t="str">
        <f>IFERROR(IF(COUNTIFS('Candidate Tracker'!$E:$E,'Positions Tracker'!$B871,'Candidate Tracker'!$I:$I,"Female")=0,"",COUNTIFS('Candidate Tracker'!$E:$E,'Positions Tracker'!$B871,'Candidate Tracker'!$I:$I,"Female")),"")</f>
        <v/>
      </c>
      <c r="BB871" s="34" t="str">
        <f>IFERROR(IF(COUNTIFS('Candidate Tracker'!$E:$E,'Positions Tracker'!$B871,'Candidate Tracker'!$I:$I,"male")=0,"",COUNTIFS('Candidate Tracker'!$E:$E,'Positions Tracker'!$B871,'Candidate Tracker'!$I:$I,"male")),"")</f>
        <v/>
      </c>
      <c r="BC871" s="33" t="str">
        <f>IFERROR(IF(COUNTIFS('Candidate Tracker'!$E:$E,'Positions Tracker'!$B871,'Candidate Tracker'!$C:$C,"&lt;&gt;WIP",'Candidate Tracker'!$C:$C,"&lt;&gt;Hold",'Candidate Tracker'!$C:$C,"&lt;&gt;Cancelled",'Candidate Tracker'!$C:$C,"&lt;&gt;Closed")/COUNTIFS('Candidate Tracker'!$E:$E,'Positions Tracker'!$B871)=0,"",COUNTIFS('Candidate Tracker'!$E:$E,'Positions Tracker'!$B871,'Candidate Tracker'!$C:$C,"&lt;&gt;WIP",'Candidate Tracker'!$C:$C,"&lt;&gt;Hold",'Candidate Tracker'!$C:$C,"&lt;&gt;Cancelled",'Candidate Tracker'!$C:$C,"&lt;&gt;Closed")/COUNTIFS('Candidate Tracker'!$E:$E,'Positions Tracker'!$B871)),"")</f>
        <v/>
      </c>
      <c r="BD871" s="30" t="str">
        <f t="shared" si="93"/>
        <v/>
      </c>
      <c r="BE871" s="30" t="str">
        <f t="shared" si="94"/>
        <v/>
      </c>
      <c r="BF871" s="30" t="str">
        <f t="shared" si="95"/>
        <v/>
      </c>
      <c r="BG871" s="30" t="str">
        <f t="shared" si="96"/>
        <v/>
      </c>
    </row>
    <row r="872" spans="1:59">
      <c r="A872" s="39"/>
      <c r="B872" s="39"/>
      <c r="C872" s="39"/>
      <c r="D872" s="39"/>
      <c r="E872" s="39"/>
      <c r="F872" s="39"/>
      <c r="G872" s="39"/>
      <c r="H872" s="39"/>
      <c r="I872" s="40"/>
      <c r="J872" s="40"/>
      <c r="K872" s="35"/>
      <c r="L872" s="35"/>
      <c r="M872" s="35"/>
      <c r="N872" s="39"/>
      <c r="O872" s="39"/>
      <c r="P872" s="39"/>
      <c r="Q872" s="39"/>
      <c r="R872" s="39"/>
      <c r="S872" s="39"/>
      <c r="T872" s="39"/>
      <c r="U872" s="39"/>
      <c r="V872" s="39"/>
      <c r="W872" s="39"/>
      <c r="X872" s="39"/>
      <c r="Y872" s="39"/>
      <c r="Z872" s="39"/>
      <c r="AA872" s="39"/>
      <c r="AB872" s="39"/>
      <c r="AC872" s="39"/>
      <c r="AD872" s="39"/>
      <c r="AE872" s="39"/>
      <c r="AF872" s="39"/>
      <c r="AG872" s="39"/>
      <c r="AH872" s="39"/>
      <c r="AI872" s="35"/>
      <c r="AJ872" s="39"/>
      <c r="AK872" s="39"/>
      <c r="AL872" s="39"/>
      <c r="AM872" s="35"/>
      <c r="AN872" s="35"/>
      <c r="AO872" s="39"/>
      <c r="AP872" s="39"/>
      <c r="AQ872" s="35"/>
      <c r="AR872" s="35"/>
      <c r="AS872" s="35"/>
      <c r="AT872" s="30">
        <f t="shared" ca="1" si="92"/>
        <v>0</v>
      </c>
      <c r="AU872" s="32" t="str">
        <f t="shared" ca="1" si="91"/>
        <v/>
      </c>
      <c r="AV872" s="32" t="str" cm="1">
        <f t="array" aca="1" ref="AV872" ca="1">IFERROR(_xlfn.IFS($AU872="","",$AU872&lt;=15,"0-15",AND($AU872&gt;=16,$AU872&lt;=30),"16-30",AND($AU872&gt;=31,$AU872&lt;=45),"31-45",AND($AU872&gt;=46,$AU872&lt;=60),"46-60",AND($AU872&gt;=61,$AU872&lt;=90),"61-90",AND($AU872&gt;=91),"&gt; 90",AND($AU872&gt;=2000),""),"")</f>
        <v/>
      </c>
      <c r="AW872" s="32" t="str" cm="1">
        <f t="array" aca="1" ref="AW872" ca="1">IFERROR(_xlfn.IFS(OR($M872="",$AM872=""),"",OR($C872="Offered",$C872="Joined"),($AM872-$M872)-$AT872),"")</f>
        <v/>
      </c>
      <c r="AX872" s="32" t="str" cm="1">
        <f t="array" aca="1" ref="AX872" ca="1">IFERROR(_xlfn.IFS(OR($M872="",$AS872=""),"",$C872="Joined",($AS872-$M872)-$AT872),"")</f>
        <v/>
      </c>
      <c r="AY872" s="30" t="str">
        <f>IFERROR(IF(COUNTIFS('Candidate Tracker'!$E:$E,'Positions Tracker'!$B872,'Candidate Tracker'!$C:$C,"Offer Drop")=0,"",COUNTIFS('Candidate Tracker'!$E:$E,'Positions Tracker'!$B872,'Candidate Tracker'!$C:$C,"Offer Drop")),"")</f>
        <v/>
      </c>
      <c r="AZ8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2" s="34" t="str">
        <f>IFERROR(IF(COUNTIFS('Candidate Tracker'!$E:$E,'Positions Tracker'!$B872,'Candidate Tracker'!$I:$I,"Female")=0,"",COUNTIFS('Candidate Tracker'!$E:$E,'Positions Tracker'!$B872,'Candidate Tracker'!$I:$I,"Female")),"")</f>
        <v/>
      </c>
      <c r="BB872" s="34" t="str">
        <f>IFERROR(IF(COUNTIFS('Candidate Tracker'!$E:$E,'Positions Tracker'!$B872,'Candidate Tracker'!$I:$I,"male")=0,"",COUNTIFS('Candidate Tracker'!$E:$E,'Positions Tracker'!$B872,'Candidate Tracker'!$I:$I,"male")),"")</f>
        <v/>
      </c>
      <c r="BC872" s="33" t="str">
        <f>IFERROR(IF(COUNTIFS('Candidate Tracker'!$E:$E,'Positions Tracker'!$B872,'Candidate Tracker'!$C:$C,"&lt;&gt;WIP",'Candidate Tracker'!$C:$C,"&lt;&gt;Hold",'Candidate Tracker'!$C:$C,"&lt;&gt;Cancelled",'Candidate Tracker'!$C:$C,"&lt;&gt;Closed")/COUNTIFS('Candidate Tracker'!$E:$E,'Positions Tracker'!$B872)=0,"",COUNTIFS('Candidate Tracker'!$E:$E,'Positions Tracker'!$B872,'Candidate Tracker'!$C:$C,"&lt;&gt;WIP",'Candidate Tracker'!$C:$C,"&lt;&gt;Hold",'Candidate Tracker'!$C:$C,"&lt;&gt;Cancelled",'Candidate Tracker'!$C:$C,"&lt;&gt;Closed")/COUNTIFS('Candidate Tracker'!$E:$E,'Positions Tracker'!$B872)),"")</f>
        <v/>
      </c>
      <c r="BD872" s="30" t="str">
        <f t="shared" si="93"/>
        <v/>
      </c>
      <c r="BE872" s="30" t="str">
        <f t="shared" si="94"/>
        <v/>
      </c>
      <c r="BF872" s="30" t="str">
        <f t="shared" si="95"/>
        <v/>
      </c>
      <c r="BG872" s="30" t="str">
        <f t="shared" si="96"/>
        <v/>
      </c>
    </row>
    <row r="873" spans="1:59">
      <c r="A873" s="39"/>
      <c r="B873" s="39"/>
      <c r="C873" s="39"/>
      <c r="D873" s="39"/>
      <c r="E873" s="39"/>
      <c r="F873" s="39"/>
      <c r="G873" s="39"/>
      <c r="H873" s="39"/>
      <c r="I873" s="40"/>
      <c r="J873" s="40"/>
      <c r="K873" s="35"/>
      <c r="L873" s="35"/>
      <c r="M873" s="35"/>
      <c r="N873" s="39"/>
      <c r="O873" s="39"/>
      <c r="P873" s="39"/>
      <c r="Q873" s="39"/>
      <c r="R873" s="39"/>
      <c r="S873" s="39"/>
      <c r="T873" s="39"/>
      <c r="U873" s="39"/>
      <c r="V873" s="39"/>
      <c r="W873" s="39"/>
      <c r="X873" s="39"/>
      <c r="Y873" s="39"/>
      <c r="Z873" s="39"/>
      <c r="AA873" s="39"/>
      <c r="AB873" s="39"/>
      <c r="AC873" s="39"/>
      <c r="AD873" s="39"/>
      <c r="AE873" s="39"/>
      <c r="AF873" s="39"/>
      <c r="AG873" s="39"/>
      <c r="AH873" s="39"/>
      <c r="AI873" s="35"/>
      <c r="AJ873" s="39"/>
      <c r="AK873" s="39"/>
      <c r="AL873" s="39"/>
      <c r="AM873" s="35"/>
      <c r="AN873" s="35"/>
      <c r="AO873" s="39"/>
      <c r="AP873" s="39"/>
      <c r="AQ873" s="35"/>
      <c r="AR873" s="35"/>
      <c r="AS873" s="35"/>
      <c r="AT873" s="30">
        <f t="shared" ca="1" si="92"/>
        <v>0</v>
      </c>
      <c r="AU873" s="32" t="str">
        <f t="shared" ca="1" si="91"/>
        <v/>
      </c>
      <c r="AV873" s="32" t="str" cm="1">
        <f t="array" aca="1" ref="AV873" ca="1">IFERROR(_xlfn.IFS($AU873="","",$AU873&lt;=15,"0-15",AND($AU873&gt;=16,$AU873&lt;=30),"16-30",AND($AU873&gt;=31,$AU873&lt;=45),"31-45",AND($AU873&gt;=46,$AU873&lt;=60),"46-60",AND($AU873&gt;=61,$AU873&lt;=90),"61-90",AND($AU873&gt;=91),"&gt; 90",AND($AU873&gt;=2000),""),"")</f>
        <v/>
      </c>
      <c r="AW873" s="32" t="str" cm="1">
        <f t="array" aca="1" ref="AW873" ca="1">IFERROR(_xlfn.IFS(OR($M873="",$AM873=""),"",OR($C873="Offered",$C873="Joined"),($AM873-$M873)-$AT873),"")</f>
        <v/>
      </c>
      <c r="AX873" s="32" t="str" cm="1">
        <f t="array" aca="1" ref="AX873" ca="1">IFERROR(_xlfn.IFS(OR($M873="",$AS873=""),"",$C873="Joined",($AS873-$M873)-$AT873),"")</f>
        <v/>
      </c>
      <c r="AY873" s="30" t="str">
        <f>IFERROR(IF(COUNTIFS('Candidate Tracker'!$E:$E,'Positions Tracker'!$B873,'Candidate Tracker'!$C:$C,"Offer Drop")=0,"",COUNTIFS('Candidate Tracker'!$E:$E,'Positions Tracker'!$B873,'Candidate Tracker'!$C:$C,"Offer Drop")),"")</f>
        <v/>
      </c>
      <c r="AZ8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3" s="34" t="str">
        <f>IFERROR(IF(COUNTIFS('Candidate Tracker'!$E:$E,'Positions Tracker'!$B873,'Candidate Tracker'!$I:$I,"Female")=0,"",COUNTIFS('Candidate Tracker'!$E:$E,'Positions Tracker'!$B873,'Candidate Tracker'!$I:$I,"Female")),"")</f>
        <v/>
      </c>
      <c r="BB873" s="34" t="str">
        <f>IFERROR(IF(COUNTIFS('Candidate Tracker'!$E:$E,'Positions Tracker'!$B873,'Candidate Tracker'!$I:$I,"male")=0,"",COUNTIFS('Candidate Tracker'!$E:$E,'Positions Tracker'!$B873,'Candidate Tracker'!$I:$I,"male")),"")</f>
        <v/>
      </c>
      <c r="BC873" s="33" t="str">
        <f>IFERROR(IF(COUNTIFS('Candidate Tracker'!$E:$E,'Positions Tracker'!$B873,'Candidate Tracker'!$C:$C,"&lt;&gt;WIP",'Candidate Tracker'!$C:$C,"&lt;&gt;Hold",'Candidate Tracker'!$C:$C,"&lt;&gt;Cancelled",'Candidate Tracker'!$C:$C,"&lt;&gt;Closed")/COUNTIFS('Candidate Tracker'!$E:$E,'Positions Tracker'!$B873)=0,"",COUNTIFS('Candidate Tracker'!$E:$E,'Positions Tracker'!$B873,'Candidate Tracker'!$C:$C,"&lt;&gt;WIP",'Candidate Tracker'!$C:$C,"&lt;&gt;Hold",'Candidate Tracker'!$C:$C,"&lt;&gt;Cancelled",'Candidate Tracker'!$C:$C,"&lt;&gt;Closed")/COUNTIFS('Candidate Tracker'!$E:$E,'Positions Tracker'!$B873)),"")</f>
        <v/>
      </c>
      <c r="BD873" s="30" t="str">
        <f t="shared" si="93"/>
        <v/>
      </c>
      <c r="BE873" s="30" t="str">
        <f t="shared" si="94"/>
        <v/>
      </c>
      <c r="BF873" s="30" t="str">
        <f t="shared" si="95"/>
        <v/>
      </c>
      <c r="BG873" s="30" t="str">
        <f t="shared" si="96"/>
        <v/>
      </c>
    </row>
    <row r="874" spans="1:59">
      <c r="A874" s="39"/>
      <c r="B874" s="39"/>
      <c r="C874" s="39"/>
      <c r="D874" s="39"/>
      <c r="E874" s="39"/>
      <c r="F874" s="39"/>
      <c r="G874" s="39"/>
      <c r="H874" s="39"/>
      <c r="I874" s="40"/>
      <c r="J874" s="40"/>
      <c r="K874" s="35"/>
      <c r="L874" s="35"/>
      <c r="M874" s="35"/>
      <c r="N874" s="39"/>
      <c r="O874" s="39"/>
      <c r="P874" s="39"/>
      <c r="Q874" s="39"/>
      <c r="R874" s="39"/>
      <c r="S874" s="39"/>
      <c r="T874" s="39"/>
      <c r="U874" s="39"/>
      <c r="V874" s="39"/>
      <c r="W874" s="39"/>
      <c r="X874" s="39"/>
      <c r="Y874" s="39"/>
      <c r="Z874" s="39"/>
      <c r="AA874" s="39"/>
      <c r="AB874" s="39"/>
      <c r="AC874" s="39"/>
      <c r="AD874" s="39"/>
      <c r="AE874" s="39"/>
      <c r="AF874" s="39"/>
      <c r="AG874" s="39"/>
      <c r="AH874" s="39"/>
      <c r="AI874" s="35"/>
      <c r="AJ874" s="39"/>
      <c r="AK874" s="39"/>
      <c r="AL874" s="39"/>
      <c r="AM874" s="35"/>
      <c r="AN874" s="35"/>
      <c r="AO874" s="39"/>
      <c r="AP874" s="39"/>
      <c r="AQ874" s="35"/>
      <c r="AR874" s="35"/>
      <c r="AS874" s="35"/>
      <c r="AT874" s="30">
        <f t="shared" ca="1" si="92"/>
        <v>0</v>
      </c>
      <c r="AU874" s="32" t="str">
        <f t="shared" ca="1" si="91"/>
        <v/>
      </c>
      <c r="AV874" s="32" t="str" cm="1">
        <f t="array" aca="1" ref="AV874" ca="1">IFERROR(_xlfn.IFS($AU874="","",$AU874&lt;=15,"0-15",AND($AU874&gt;=16,$AU874&lt;=30),"16-30",AND($AU874&gt;=31,$AU874&lt;=45),"31-45",AND($AU874&gt;=46,$AU874&lt;=60),"46-60",AND($AU874&gt;=61,$AU874&lt;=90),"61-90",AND($AU874&gt;=91),"&gt; 90",AND($AU874&gt;=2000),""),"")</f>
        <v/>
      </c>
      <c r="AW874" s="32" t="str" cm="1">
        <f t="array" aca="1" ref="AW874" ca="1">IFERROR(_xlfn.IFS(OR($M874="",$AM874=""),"",OR($C874="Offered",$C874="Joined"),($AM874-$M874)-$AT874),"")</f>
        <v/>
      </c>
      <c r="AX874" s="32" t="str" cm="1">
        <f t="array" aca="1" ref="AX874" ca="1">IFERROR(_xlfn.IFS(OR($M874="",$AS874=""),"",$C874="Joined",($AS874-$M874)-$AT874),"")</f>
        <v/>
      </c>
      <c r="AY874" s="30" t="str">
        <f>IFERROR(IF(COUNTIFS('Candidate Tracker'!$E:$E,'Positions Tracker'!$B874,'Candidate Tracker'!$C:$C,"Offer Drop")=0,"",COUNTIFS('Candidate Tracker'!$E:$E,'Positions Tracker'!$B874,'Candidate Tracker'!$C:$C,"Offer Drop")),"")</f>
        <v/>
      </c>
      <c r="AZ8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4" s="34" t="str">
        <f>IFERROR(IF(COUNTIFS('Candidate Tracker'!$E:$E,'Positions Tracker'!$B874,'Candidate Tracker'!$I:$I,"Female")=0,"",COUNTIFS('Candidate Tracker'!$E:$E,'Positions Tracker'!$B874,'Candidate Tracker'!$I:$I,"Female")),"")</f>
        <v/>
      </c>
      <c r="BB874" s="34" t="str">
        <f>IFERROR(IF(COUNTIFS('Candidate Tracker'!$E:$E,'Positions Tracker'!$B874,'Candidate Tracker'!$I:$I,"male")=0,"",COUNTIFS('Candidate Tracker'!$E:$E,'Positions Tracker'!$B874,'Candidate Tracker'!$I:$I,"male")),"")</f>
        <v/>
      </c>
      <c r="BC874" s="33" t="str">
        <f>IFERROR(IF(COUNTIFS('Candidate Tracker'!$E:$E,'Positions Tracker'!$B874,'Candidate Tracker'!$C:$C,"&lt;&gt;WIP",'Candidate Tracker'!$C:$C,"&lt;&gt;Hold",'Candidate Tracker'!$C:$C,"&lt;&gt;Cancelled",'Candidate Tracker'!$C:$C,"&lt;&gt;Closed")/COUNTIFS('Candidate Tracker'!$E:$E,'Positions Tracker'!$B874)=0,"",COUNTIFS('Candidate Tracker'!$E:$E,'Positions Tracker'!$B874,'Candidate Tracker'!$C:$C,"&lt;&gt;WIP",'Candidate Tracker'!$C:$C,"&lt;&gt;Hold",'Candidate Tracker'!$C:$C,"&lt;&gt;Cancelled",'Candidate Tracker'!$C:$C,"&lt;&gt;Closed")/COUNTIFS('Candidate Tracker'!$E:$E,'Positions Tracker'!$B874)),"")</f>
        <v/>
      </c>
      <c r="BD874" s="30" t="str">
        <f t="shared" si="93"/>
        <v/>
      </c>
      <c r="BE874" s="30" t="str">
        <f t="shared" si="94"/>
        <v/>
      </c>
      <c r="BF874" s="30" t="str">
        <f t="shared" si="95"/>
        <v/>
      </c>
      <c r="BG874" s="30" t="str">
        <f t="shared" si="96"/>
        <v/>
      </c>
    </row>
    <row r="875" spans="1:59">
      <c r="A875" s="39"/>
      <c r="B875" s="39"/>
      <c r="C875" s="39"/>
      <c r="D875" s="39"/>
      <c r="E875" s="39"/>
      <c r="F875" s="39"/>
      <c r="G875" s="39"/>
      <c r="H875" s="39"/>
      <c r="I875" s="40"/>
      <c r="J875" s="40"/>
      <c r="K875" s="35"/>
      <c r="L875" s="35"/>
      <c r="M875" s="35"/>
      <c r="N875" s="39"/>
      <c r="O875" s="39"/>
      <c r="P875" s="39"/>
      <c r="Q875" s="39"/>
      <c r="R875" s="39"/>
      <c r="S875" s="39"/>
      <c r="T875" s="39"/>
      <c r="U875" s="39"/>
      <c r="V875" s="39"/>
      <c r="W875" s="39"/>
      <c r="X875" s="39"/>
      <c r="Y875" s="39"/>
      <c r="Z875" s="39"/>
      <c r="AA875" s="39"/>
      <c r="AB875" s="39"/>
      <c r="AC875" s="39"/>
      <c r="AD875" s="39"/>
      <c r="AE875" s="39"/>
      <c r="AF875" s="39"/>
      <c r="AG875" s="39"/>
      <c r="AH875" s="39"/>
      <c r="AI875" s="35"/>
      <c r="AJ875" s="39"/>
      <c r="AK875" s="39"/>
      <c r="AL875" s="39"/>
      <c r="AM875" s="35"/>
      <c r="AN875" s="35"/>
      <c r="AO875" s="39"/>
      <c r="AP875" s="39"/>
      <c r="AQ875" s="35"/>
      <c r="AR875" s="35"/>
      <c r="AS875" s="35"/>
      <c r="AT875" s="30">
        <f t="shared" ca="1" si="92"/>
        <v>0</v>
      </c>
      <c r="AU875" s="32" t="str">
        <f t="shared" ca="1" si="91"/>
        <v/>
      </c>
      <c r="AV875" s="32" t="str" cm="1">
        <f t="array" aca="1" ref="AV875" ca="1">IFERROR(_xlfn.IFS($AU875="","",$AU875&lt;=15,"0-15",AND($AU875&gt;=16,$AU875&lt;=30),"16-30",AND($AU875&gt;=31,$AU875&lt;=45),"31-45",AND($AU875&gt;=46,$AU875&lt;=60),"46-60",AND($AU875&gt;=61,$AU875&lt;=90),"61-90",AND($AU875&gt;=91),"&gt; 90",AND($AU875&gt;=2000),""),"")</f>
        <v/>
      </c>
      <c r="AW875" s="32" t="str" cm="1">
        <f t="array" aca="1" ref="AW875" ca="1">IFERROR(_xlfn.IFS(OR($M875="",$AM875=""),"",OR($C875="Offered",$C875="Joined"),($AM875-$M875)-$AT875),"")</f>
        <v/>
      </c>
      <c r="AX875" s="32" t="str" cm="1">
        <f t="array" aca="1" ref="AX875" ca="1">IFERROR(_xlfn.IFS(OR($M875="",$AS875=""),"",$C875="Joined",($AS875-$M875)-$AT875),"")</f>
        <v/>
      </c>
      <c r="AY875" s="30" t="str">
        <f>IFERROR(IF(COUNTIFS('Candidate Tracker'!$E:$E,'Positions Tracker'!$B875,'Candidate Tracker'!$C:$C,"Offer Drop")=0,"",COUNTIFS('Candidate Tracker'!$E:$E,'Positions Tracker'!$B875,'Candidate Tracker'!$C:$C,"Offer Drop")),"")</f>
        <v/>
      </c>
      <c r="AZ8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5" s="34" t="str">
        <f>IFERROR(IF(COUNTIFS('Candidate Tracker'!$E:$E,'Positions Tracker'!$B875,'Candidate Tracker'!$I:$I,"Female")=0,"",COUNTIFS('Candidate Tracker'!$E:$E,'Positions Tracker'!$B875,'Candidate Tracker'!$I:$I,"Female")),"")</f>
        <v/>
      </c>
      <c r="BB875" s="34" t="str">
        <f>IFERROR(IF(COUNTIFS('Candidate Tracker'!$E:$E,'Positions Tracker'!$B875,'Candidate Tracker'!$I:$I,"male")=0,"",COUNTIFS('Candidate Tracker'!$E:$E,'Positions Tracker'!$B875,'Candidate Tracker'!$I:$I,"male")),"")</f>
        <v/>
      </c>
      <c r="BC875" s="33" t="str">
        <f>IFERROR(IF(COUNTIFS('Candidate Tracker'!$E:$E,'Positions Tracker'!$B875,'Candidate Tracker'!$C:$C,"&lt;&gt;WIP",'Candidate Tracker'!$C:$C,"&lt;&gt;Hold",'Candidate Tracker'!$C:$C,"&lt;&gt;Cancelled",'Candidate Tracker'!$C:$C,"&lt;&gt;Closed")/COUNTIFS('Candidate Tracker'!$E:$E,'Positions Tracker'!$B875)=0,"",COUNTIFS('Candidate Tracker'!$E:$E,'Positions Tracker'!$B875,'Candidate Tracker'!$C:$C,"&lt;&gt;WIP",'Candidate Tracker'!$C:$C,"&lt;&gt;Hold",'Candidate Tracker'!$C:$C,"&lt;&gt;Cancelled",'Candidate Tracker'!$C:$C,"&lt;&gt;Closed")/COUNTIFS('Candidate Tracker'!$E:$E,'Positions Tracker'!$B875)),"")</f>
        <v/>
      </c>
      <c r="BD875" s="30" t="str">
        <f t="shared" si="93"/>
        <v/>
      </c>
      <c r="BE875" s="30" t="str">
        <f t="shared" si="94"/>
        <v/>
      </c>
      <c r="BF875" s="30" t="str">
        <f t="shared" si="95"/>
        <v/>
      </c>
      <c r="BG875" s="30" t="str">
        <f t="shared" si="96"/>
        <v/>
      </c>
    </row>
    <row r="876" spans="1:59">
      <c r="A876" s="39"/>
      <c r="B876" s="39"/>
      <c r="C876" s="39"/>
      <c r="D876" s="39"/>
      <c r="E876" s="39"/>
      <c r="F876" s="39"/>
      <c r="G876" s="39"/>
      <c r="H876" s="39"/>
      <c r="I876" s="40"/>
      <c r="J876" s="40"/>
      <c r="K876" s="35"/>
      <c r="L876" s="35"/>
      <c r="M876" s="35"/>
      <c r="N876" s="39"/>
      <c r="O876" s="39"/>
      <c r="P876" s="39"/>
      <c r="Q876" s="39"/>
      <c r="R876" s="39"/>
      <c r="S876" s="39"/>
      <c r="T876" s="39"/>
      <c r="U876" s="39"/>
      <c r="V876" s="39"/>
      <c r="W876" s="39"/>
      <c r="X876" s="39"/>
      <c r="Y876" s="39"/>
      <c r="Z876" s="39"/>
      <c r="AA876" s="39"/>
      <c r="AB876" s="39"/>
      <c r="AC876" s="39"/>
      <c r="AD876" s="39"/>
      <c r="AE876" s="39"/>
      <c r="AF876" s="39"/>
      <c r="AG876" s="39"/>
      <c r="AH876" s="39"/>
      <c r="AI876" s="35"/>
      <c r="AJ876" s="39"/>
      <c r="AK876" s="39"/>
      <c r="AL876" s="39"/>
      <c r="AM876" s="35"/>
      <c r="AN876" s="35"/>
      <c r="AO876" s="39"/>
      <c r="AP876" s="39"/>
      <c r="AQ876" s="35"/>
      <c r="AR876" s="35"/>
      <c r="AS876" s="35"/>
      <c r="AT876" s="30">
        <f t="shared" ca="1" si="92"/>
        <v>0</v>
      </c>
      <c r="AU876" s="32" t="str">
        <f t="shared" ca="1" si="91"/>
        <v/>
      </c>
      <c r="AV876" s="32" t="str" cm="1">
        <f t="array" aca="1" ref="AV876" ca="1">IFERROR(_xlfn.IFS($AU876="","",$AU876&lt;=15,"0-15",AND($AU876&gt;=16,$AU876&lt;=30),"16-30",AND($AU876&gt;=31,$AU876&lt;=45),"31-45",AND($AU876&gt;=46,$AU876&lt;=60),"46-60",AND($AU876&gt;=61,$AU876&lt;=90),"61-90",AND($AU876&gt;=91),"&gt; 90",AND($AU876&gt;=2000),""),"")</f>
        <v/>
      </c>
      <c r="AW876" s="32" t="str" cm="1">
        <f t="array" aca="1" ref="AW876" ca="1">IFERROR(_xlfn.IFS(OR($M876="",$AM876=""),"",OR($C876="Offered",$C876="Joined"),($AM876-$M876)-$AT876),"")</f>
        <v/>
      </c>
      <c r="AX876" s="32" t="str" cm="1">
        <f t="array" aca="1" ref="AX876" ca="1">IFERROR(_xlfn.IFS(OR($M876="",$AS876=""),"",$C876="Joined",($AS876-$M876)-$AT876),"")</f>
        <v/>
      </c>
      <c r="AY876" s="30" t="str">
        <f>IFERROR(IF(COUNTIFS('Candidate Tracker'!$E:$E,'Positions Tracker'!$B876,'Candidate Tracker'!$C:$C,"Offer Drop")=0,"",COUNTIFS('Candidate Tracker'!$E:$E,'Positions Tracker'!$B876,'Candidate Tracker'!$C:$C,"Offer Drop")),"")</f>
        <v/>
      </c>
      <c r="AZ8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6" s="34" t="str">
        <f>IFERROR(IF(COUNTIFS('Candidate Tracker'!$E:$E,'Positions Tracker'!$B876,'Candidate Tracker'!$I:$I,"Female")=0,"",COUNTIFS('Candidate Tracker'!$E:$E,'Positions Tracker'!$B876,'Candidate Tracker'!$I:$I,"Female")),"")</f>
        <v/>
      </c>
      <c r="BB876" s="34" t="str">
        <f>IFERROR(IF(COUNTIFS('Candidate Tracker'!$E:$E,'Positions Tracker'!$B876,'Candidate Tracker'!$I:$I,"male")=0,"",COUNTIFS('Candidate Tracker'!$E:$E,'Positions Tracker'!$B876,'Candidate Tracker'!$I:$I,"male")),"")</f>
        <v/>
      </c>
      <c r="BC876" s="33" t="str">
        <f>IFERROR(IF(COUNTIFS('Candidate Tracker'!$E:$E,'Positions Tracker'!$B876,'Candidate Tracker'!$C:$C,"&lt;&gt;WIP",'Candidate Tracker'!$C:$C,"&lt;&gt;Hold",'Candidate Tracker'!$C:$C,"&lt;&gt;Cancelled",'Candidate Tracker'!$C:$C,"&lt;&gt;Closed")/COUNTIFS('Candidate Tracker'!$E:$E,'Positions Tracker'!$B876)=0,"",COUNTIFS('Candidate Tracker'!$E:$E,'Positions Tracker'!$B876,'Candidate Tracker'!$C:$C,"&lt;&gt;WIP",'Candidate Tracker'!$C:$C,"&lt;&gt;Hold",'Candidate Tracker'!$C:$C,"&lt;&gt;Cancelled",'Candidate Tracker'!$C:$C,"&lt;&gt;Closed")/COUNTIFS('Candidate Tracker'!$E:$E,'Positions Tracker'!$B876)),"")</f>
        <v/>
      </c>
      <c r="BD876" s="30" t="str">
        <f t="shared" si="93"/>
        <v/>
      </c>
      <c r="BE876" s="30" t="str">
        <f t="shared" si="94"/>
        <v/>
      </c>
      <c r="BF876" s="30" t="str">
        <f t="shared" si="95"/>
        <v/>
      </c>
      <c r="BG876" s="30" t="str">
        <f t="shared" si="96"/>
        <v/>
      </c>
    </row>
    <row r="877" spans="1:59">
      <c r="A877" s="39"/>
      <c r="B877" s="39"/>
      <c r="C877" s="39"/>
      <c r="D877" s="39"/>
      <c r="E877" s="39"/>
      <c r="F877" s="39"/>
      <c r="G877" s="39"/>
      <c r="H877" s="39"/>
      <c r="I877" s="40"/>
      <c r="J877" s="40"/>
      <c r="K877" s="35"/>
      <c r="L877" s="35"/>
      <c r="M877" s="35"/>
      <c r="N877" s="39"/>
      <c r="O877" s="39"/>
      <c r="P877" s="39"/>
      <c r="Q877" s="39"/>
      <c r="R877" s="39"/>
      <c r="S877" s="39"/>
      <c r="T877" s="39"/>
      <c r="U877" s="39"/>
      <c r="V877" s="39"/>
      <c r="W877" s="39"/>
      <c r="X877" s="39"/>
      <c r="Y877" s="39"/>
      <c r="Z877" s="39"/>
      <c r="AA877" s="39"/>
      <c r="AB877" s="39"/>
      <c r="AC877" s="39"/>
      <c r="AD877" s="39"/>
      <c r="AE877" s="39"/>
      <c r="AF877" s="39"/>
      <c r="AG877" s="39"/>
      <c r="AH877" s="39"/>
      <c r="AI877" s="35"/>
      <c r="AJ877" s="39"/>
      <c r="AK877" s="39"/>
      <c r="AL877" s="39"/>
      <c r="AM877" s="35"/>
      <c r="AN877" s="35"/>
      <c r="AO877" s="39"/>
      <c r="AP877" s="39"/>
      <c r="AQ877" s="35"/>
      <c r="AR877" s="35"/>
      <c r="AS877" s="35"/>
      <c r="AT877" s="30">
        <f t="shared" ca="1" si="92"/>
        <v>0</v>
      </c>
      <c r="AU877" s="32" t="str">
        <f t="shared" ca="1" si="91"/>
        <v/>
      </c>
      <c r="AV877" s="32" t="str" cm="1">
        <f t="array" aca="1" ref="AV877" ca="1">IFERROR(_xlfn.IFS($AU877="","",$AU877&lt;=15,"0-15",AND($AU877&gt;=16,$AU877&lt;=30),"16-30",AND($AU877&gt;=31,$AU877&lt;=45),"31-45",AND($AU877&gt;=46,$AU877&lt;=60),"46-60",AND($AU877&gt;=61,$AU877&lt;=90),"61-90",AND($AU877&gt;=91),"&gt; 90",AND($AU877&gt;=2000),""),"")</f>
        <v/>
      </c>
      <c r="AW877" s="32" t="str" cm="1">
        <f t="array" aca="1" ref="AW877" ca="1">IFERROR(_xlfn.IFS(OR($M877="",$AM877=""),"",OR($C877="Offered",$C877="Joined"),($AM877-$M877)-$AT877),"")</f>
        <v/>
      </c>
      <c r="AX877" s="32" t="str" cm="1">
        <f t="array" aca="1" ref="AX877" ca="1">IFERROR(_xlfn.IFS(OR($M877="",$AS877=""),"",$C877="Joined",($AS877-$M877)-$AT877),"")</f>
        <v/>
      </c>
      <c r="AY877" s="30" t="str">
        <f>IFERROR(IF(COUNTIFS('Candidate Tracker'!$E:$E,'Positions Tracker'!$B877,'Candidate Tracker'!$C:$C,"Offer Drop")=0,"",COUNTIFS('Candidate Tracker'!$E:$E,'Positions Tracker'!$B877,'Candidate Tracker'!$C:$C,"Offer Drop")),"")</f>
        <v/>
      </c>
      <c r="AZ8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7" s="34" t="str">
        <f>IFERROR(IF(COUNTIFS('Candidate Tracker'!$E:$E,'Positions Tracker'!$B877,'Candidate Tracker'!$I:$I,"Female")=0,"",COUNTIFS('Candidate Tracker'!$E:$E,'Positions Tracker'!$B877,'Candidate Tracker'!$I:$I,"Female")),"")</f>
        <v/>
      </c>
      <c r="BB877" s="34" t="str">
        <f>IFERROR(IF(COUNTIFS('Candidate Tracker'!$E:$E,'Positions Tracker'!$B877,'Candidate Tracker'!$I:$I,"male")=0,"",COUNTIFS('Candidate Tracker'!$E:$E,'Positions Tracker'!$B877,'Candidate Tracker'!$I:$I,"male")),"")</f>
        <v/>
      </c>
      <c r="BC877" s="33" t="str">
        <f>IFERROR(IF(COUNTIFS('Candidate Tracker'!$E:$E,'Positions Tracker'!$B877,'Candidate Tracker'!$C:$C,"&lt;&gt;WIP",'Candidate Tracker'!$C:$C,"&lt;&gt;Hold",'Candidate Tracker'!$C:$C,"&lt;&gt;Cancelled",'Candidate Tracker'!$C:$C,"&lt;&gt;Closed")/COUNTIFS('Candidate Tracker'!$E:$E,'Positions Tracker'!$B877)=0,"",COUNTIFS('Candidate Tracker'!$E:$E,'Positions Tracker'!$B877,'Candidate Tracker'!$C:$C,"&lt;&gt;WIP",'Candidate Tracker'!$C:$C,"&lt;&gt;Hold",'Candidate Tracker'!$C:$C,"&lt;&gt;Cancelled",'Candidate Tracker'!$C:$C,"&lt;&gt;Closed")/COUNTIFS('Candidate Tracker'!$E:$E,'Positions Tracker'!$B877)),"")</f>
        <v/>
      </c>
      <c r="BD877" s="30" t="str">
        <f t="shared" si="93"/>
        <v/>
      </c>
      <c r="BE877" s="30" t="str">
        <f t="shared" si="94"/>
        <v/>
      </c>
      <c r="BF877" s="30" t="str">
        <f t="shared" si="95"/>
        <v/>
      </c>
      <c r="BG877" s="30" t="str">
        <f t="shared" si="96"/>
        <v/>
      </c>
    </row>
    <row r="878" spans="1:59">
      <c r="A878" s="39"/>
      <c r="B878" s="39"/>
      <c r="C878" s="39"/>
      <c r="D878" s="39"/>
      <c r="E878" s="39"/>
      <c r="F878" s="39"/>
      <c r="G878" s="39"/>
      <c r="H878" s="39"/>
      <c r="I878" s="40"/>
      <c r="J878" s="40"/>
      <c r="K878" s="35"/>
      <c r="L878" s="35"/>
      <c r="M878" s="35"/>
      <c r="N878" s="39"/>
      <c r="O878" s="39"/>
      <c r="P878" s="39"/>
      <c r="Q878" s="39"/>
      <c r="R878" s="39"/>
      <c r="S878" s="39"/>
      <c r="T878" s="39"/>
      <c r="U878" s="39"/>
      <c r="V878" s="39"/>
      <c r="W878" s="39"/>
      <c r="X878" s="39"/>
      <c r="Y878" s="39"/>
      <c r="Z878" s="39"/>
      <c r="AA878" s="39"/>
      <c r="AB878" s="39"/>
      <c r="AC878" s="39"/>
      <c r="AD878" s="39"/>
      <c r="AE878" s="39"/>
      <c r="AF878" s="39"/>
      <c r="AG878" s="39"/>
      <c r="AH878" s="39"/>
      <c r="AI878" s="35"/>
      <c r="AJ878" s="39"/>
      <c r="AK878" s="39"/>
      <c r="AL878" s="39"/>
      <c r="AM878" s="35"/>
      <c r="AN878" s="35"/>
      <c r="AO878" s="39"/>
      <c r="AP878" s="39"/>
      <c r="AQ878" s="35"/>
      <c r="AR878" s="35"/>
      <c r="AS878" s="35"/>
      <c r="AT878" s="30">
        <f t="shared" ca="1" si="92"/>
        <v>0</v>
      </c>
      <c r="AU878" s="32" t="str">
        <f t="shared" ca="1" si="91"/>
        <v/>
      </c>
      <c r="AV878" s="32" t="str" cm="1">
        <f t="array" aca="1" ref="AV878" ca="1">IFERROR(_xlfn.IFS($AU878="","",$AU878&lt;=15,"0-15",AND($AU878&gt;=16,$AU878&lt;=30),"16-30",AND($AU878&gt;=31,$AU878&lt;=45),"31-45",AND($AU878&gt;=46,$AU878&lt;=60),"46-60",AND($AU878&gt;=61,$AU878&lt;=90),"61-90",AND($AU878&gt;=91),"&gt; 90",AND($AU878&gt;=2000),""),"")</f>
        <v/>
      </c>
      <c r="AW878" s="32" t="str" cm="1">
        <f t="array" aca="1" ref="AW878" ca="1">IFERROR(_xlfn.IFS(OR($M878="",$AM878=""),"",OR($C878="Offered",$C878="Joined"),($AM878-$M878)-$AT878),"")</f>
        <v/>
      </c>
      <c r="AX878" s="32" t="str" cm="1">
        <f t="array" aca="1" ref="AX878" ca="1">IFERROR(_xlfn.IFS(OR($M878="",$AS878=""),"",$C878="Joined",($AS878-$M878)-$AT878),"")</f>
        <v/>
      </c>
      <c r="AY878" s="30" t="str">
        <f>IFERROR(IF(COUNTIFS('Candidate Tracker'!$E:$E,'Positions Tracker'!$B878,'Candidate Tracker'!$C:$C,"Offer Drop")=0,"",COUNTIFS('Candidate Tracker'!$E:$E,'Positions Tracker'!$B878,'Candidate Tracker'!$C:$C,"Offer Drop")),"")</f>
        <v/>
      </c>
      <c r="AZ8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8" s="34" t="str">
        <f>IFERROR(IF(COUNTIFS('Candidate Tracker'!$E:$E,'Positions Tracker'!$B878,'Candidate Tracker'!$I:$I,"Female")=0,"",COUNTIFS('Candidate Tracker'!$E:$E,'Positions Tracker'!$B878,'Candidate Tracker'!$I:$I,"Female")),"")</f>
        <v/>
      </c>
      <c r="BB878" s="34" t="str">
        <f>IFERROR(IF(COUNTIFS('Candidate Tracker'!$E:$E,'Positions Tracker'!$B878,'Candidate Tracker'!$I:$I,"male")=0,"",COUNTIFS('Candidate Tracker'!$E:$E,'Positions Tracker'!$B878,'Candidate Tracker'!$I:$I,"male")),"")</f>
        <v/>
      </c>
      <c r="BC878" s="33" t="str">
        <f>IFERROR(IF(COUNTIFS('Candidate Tracker'!$E:$E,'Positions Tracker'!$B878,'Candidate Tracker'!$C:$C,"&lt;&gt;WIP",'Candidate Tracker'!$C:$C,"&lt;&gt;Hold",'Candidate Tracker'!$C:$C,"&lt;&gt;Cancelled",'Candidate Tracker'!$C:$C,"&lt;&gt;Closed")/COUNTIFS('Candidate Tracker'!$E:$E,'Positions Tracker'!$B878)=0,"",COUNTIFS('Candidate Tracker'!$E:$E,'Positions Tracker'!$B878,'Candidate Tracker'!$C:$C,"&lt;&gt;WIP",'Candidate Tracker'!$C:$C,"&lt;&gt;Hold",'Candidate Tracker'!$C:$C,"&lt;&gt;Cancelled",'Candidate Tracker'!$C:$C,"&lt;&gt;Closed")/COUNTIFS('Candidate Tracker'!$E:$E,'Positions Tracker'!$B878)),"")</f>
        <v/>
      </c>
      <c r="BD878" s="30" t="str">
        <f t="shared" si="93"/>
        <v/>
      </c>
      <c r="BE878" s="30" t="str">
        <f t="shared" si="94"/>
        <v/>
      </c>
      <c r="BF878" s="30" t="str">
        <f t="shared" si="95"/>
        <v/>
      </c>
      <c r="BG878" s="30" t="str">
        <f t="shared" si="96"/>
        <v/>
      </c>
    </row>
    <row r="879" spans="1:59">
      <c r="A879" s="39"/>
      <c r="B879" s="39"/>
      <c r="C879" s="39"/>
      <c r="D879" s="39"/>
      <c r="E879" s="39"/>
      <c r="F879" s="39"/>
      <c r="G879" s="39"/>
      <c r="H879" s="39"/>
      <c r="I879" s="40"/>
      <c r="J879" s="40"/>
      <c r="K879" s="35"/>
      <c r="L879" s="35"/>
      <c r="M879" s="35"/>
      <c r="N879" s="39"/>
      <c r="O879" s="39"/>
      <c r="P879" s="39"/>
      <c r="Q879" s="39"/>
      <c r="R879" s="39"/>
      <c r="S879" s="39"/>
      <c r="T879" s="39"/>
      <c r="U879" s="39"/>
      <c r="V879" s="39"/>
      <c r="W879" s="39"/>
      <c r="X879" s="39"/>
      <c r="Y879" s="39"/>
      <c r="Z879" s="39"/>
      <c r="AA879" s="39"/>
      <c r="AB879" s="39"/>
      <c r="AC879" s="39"/>
      <c r="AD879" s="39"/>
      <c r="AE879" s="39"/>
      <c r="AF879" s="39"/>
      <c r="AG879" s="39"/>
      <c r="AH879" s="39"/>
      <c r="AI879" s="35"/>
      <c r="AJ879" s="39"/>
      <c r="AK879" s="39"/>
      <c r="AL879" s="39"/>
      <c r="AM879" s="35"/>
      <c r="AN879" s="35"/>
      <c r="AO879" s="39"/>
      <c r="AP879" s="39"/>
      <c r="AQ879" s="35"/>
      <c r="AR879" s="35"/>
      <c r="AS879" s="35"/>
      <c r="AT879" s="30">
        <f t="shared" ca="1" si="92"/>
        <v>0</v>
      </c>
      <c r="AU879" s="32" t="str">
        <f t="shared" ca="1" si="91"/>
        <v/>
      </c>
      <c r="AV879" s="32" t="str" cm="1">
        <f t="array" aca="1" ref="AV879" ca="1">IFERROR(_xlfn.IFS($AU879="","",$AU879&lt;=15,"0-15",AND($AU879&gt;=16,$AU879&lt;=30),"16-30",AND($AU879&gt;=31,$AU879&lt;=45),"31-45",AND($AU879&gt;=46,$AU879&lt;=60),"46-60",AND($AU879&gt;=61,$AU879&lt;=90),"61-90",AND($AU879&gt;=91),"&gt; 90",AND($AU879&gt;=2000),""),"")</f>
        <v/>
      </c>
      <c r="AW879" s="32" t="str" cm="1">
        <f t="array" aca="1" ref="AW879" ca="1">IFERROR(_xlfn.IFS(OR($M879="",$AM879=""),"",OR($C879="Offered",$C879="Joined"),($AM879-$M879)-$AT879),"")</f>
        <v/>
      </c>
      <c r="AX879" s="32" t="str" cm="1">
        <f t="array" aca="1" ref="AX879" ca="1">IFERROR(_xlfn.IFS(OR($M879="",$AS879=""),"",$C879="Joined",($AS879-$M879)-$AT879),"")</f>
        <v/>
      </c>
      <c r="AY879" s="30" t="str">
        <f>IFERROR(IF(COUNTIFS('Candidate Tracker'!$E:$E,'Positions Tracker'!$B879,'Candidate Tracker'!$C:$C,"Offer Drop")=0,"",COUNTIFS('Candidate Tracker'!$E:$E,'Positions Tracker'!$B879,'Candidate Tracker'!$C:$C,"Offer Drop")),"")</f>
        <v/>
      </c>
      <c r="AZ8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79" s="34" t="str">
        <f>IFERROR(IF(COUNTIFS('Candidate Tracker'!$E:$E,'Positions Tracker'!$B879,'Candidate Tracker'!$I:$I,"Female")=0,"",COUNTIFS('Candidate Tracker'!$E:$E,'Positions Tracker'!$B879,'Candidate Tracker'!$I:$I,"Female")),"")</f>
        <v/>
      </c>
      <c r="BB879" s="34" t="str">
        <f>IFERROR(IF(COUNTIFS('Candidate Tracker'!$E:$E,'Positions Tracker'!$B879,'Candidate Tracker'!$I:$I,"male")=0,"",COUNTIFS('Candidate Tracker'!$E:$E,'Positions Tracker'!$B879,'Candidate Tracker'!$I:$I,"male")),"")</f>
        <v/>
      </c>
      <c r="BC879" s="33" t="str">
        <f>IFERROR(IF(COUNTIFS('Candidate Tracker'!$E:$E,'Positions Tracker'!$B879,'Candidate Tracker'!$C:$C,"&lt;&gt;WIP",'Candidate Tracker'!$C:$C,"&lt;&gt;Hold",'Candidate Tracker'!$C:$C,"&lt;&gt;Cancelled",'Candidate Tracker'!$C:$C,"&lt;&gt;Closed")/COUNTIFS('Candidate Tracker'!$E:$E,'Positions Tracker'!$B879)=0,"",COUNTIFS('Candidate Tracker'!$E:$E,'Positions Tracker'!$B879,'Candidate Tracker'!$C:$C,"&lt;&gt;WIP",'Candidate Tracker'!$C:$C,"&lt;&gt;Hold",'Candidate Tracker'!$C:$C,"&lt;&gt;Cancelled",'Candidate Tracker'!$C:$C,"&lt;&gt;Closed")/COUNTIFS('Candidate Tracker'!$E:$E,'Positions Tracker'!$B879)),"")</f>
        <v/>
      </c>
      <c r="BD879" s="30" t="str">
        <f t="shared" si="93"/>
        <v/>
      </c>
      <c r="BE879" s="30" t="str">
        <f t="shared" si="94"/>
        <v/>
      </c>
      <c r="BF879" s="30" t="str">
        <f t="shared" si="95"/>
        <v/>
      </c>
      <c r="BG879" s="30" t="str">
        <f t="shared" si="96"/>
        <v/>
      </c>
    </row>
    <row r="880" spans="1:59">
      <c r="A880" s="39"/>
      <c r="B880" s="39"/>
      <c r="C880" s="39"/>
      <c r="D880" s="39"/>
      <c r="E880" s="39"/>
      <c r="F880" s="39"/>
      <c r="G880" s="39"/>
      <c r="H880" s="39"/>
      <c r="I880" s="40"/>
      <c r="J880" s="40"/>
      <c r="K880" s="35"/>
      <c r="L880" s="35"/>
      <c r="M880" s="35"/>
      <c r="N880" s="39"/>
      <c r="O880" s="39"/>
      <c r="P880" s="39"/>
      <c r="Q880" s="39"/>
      <c r="R880" s="39"/>
      <c r="S880" s="39"/>
      <c r="T880" s="39"/>
      <c r="U880" s="39"/>
      <c r="V880" s="39"/>
      <c r="W880" s="39"/>
      <c r="X880" s="39"/>
      <c r="Y880" s="39"/>
      <c r="Z880" s="39"/>
      <c r="AA880" s="39"/>
      <c r="AB880" s="39"/>
      <c r="AC880" s="39"/>
      <c r="AD880" s="39"/>
      <c r="AE880" s="39"/>
      <c r="AF880" s="39"/>
      <c r="AG880" s="39"/>
      <c r="AH880" s="39"/>
      <c r="AI880" s="35"/>
      <c r="AJ880" s="39"/>
      <c r="AK880" s="39"/>
      <c r="AL880" s="39"/>
      <c r="AM880" s="35"/>
      <c r="AN880" s="35"/>
      <c r="AO880" s="39"/>
      <c r="AP880" s="39"/>
      <c r="AQ880" s="35"/>
      <c r="AR880" s="35"/>
      <c r="AS880" s="35"/>
      <c r="AT880" s="30">
        <f t="shared" ca="1" si="92"/>
        <v>0</v>
      </c>
      <c r="AU880" s="32" t="str">
        <f t="shared" ca="1" si="91"/>
        <v/>
      </c>
      <c r="AV880" s="32" t="str" cm="1">
        <f t="array" aca="1" ref="AV880" ca="1">IFERROR(_xlfn.IFS($AU880="","",$AU880&lt;=15,"0-15",AND($AU880&gt;=16,$AU880&lt;=30),"16-30",AND($AU880&gt;=31,$AU880&lt;=45),"31-45",AND($AU880&gt;=46,$AU880&lt;=60),"46-60",AND($AU880&gt;=61,$AU880&lt;=90),"61-90",AND($AU880&gt;=91),"&gt; 90",AND($AU880&gt;=2000),""),"")</f>
        <v/>
      </c>
      <c r="AW880" s="32" t="str" cm="1">
        <f t="array" aca="1" ref="AW880" ca="1">IFERROR(_xlfn.IFS(OR($M880="",$AM880=""),"",OR($C880="Offered",$C880="Joined"),($AM880-$M880)-$AT880),"")</f>
        <v/>
      </c>
      <c r="AX880" s="32" t="str" cm="1">
        <f t="array" aca="1" ref="AX880" ca="1">IFERROR(_xlfn.IFS(OR($M880="",$AS880=""),"",$C880="Joined",($AS880-$M880)-$AT880),"")</f>
        <v/>
      </c>
      <c r="AY880" s="30" t="str">
        <f>IFERROR(IF(COUNTIFS('Candidate Tracker'!$E:$E,'Positions Tracker'!$B880,'Candidate Tracker'!$C:$C,"Offer Drop")=0,"",COUNTIFS('Candidate Tracker'!$E:$E,'Positions Tracker'!$B880,'Candidate Tracker'!$C:$C,"Offer Drop")),"")</f>
        <v/>
      </c>
      <c r="AZ8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0" s="34" t="str">
        <f>IFERROR(IF(COUNTIFS('Candidate Tracker'!$E:$E,'Positions Tracker'!$B880,'Candidate Tracker'!$I:$I,"Female")=0,"",COUNTIFS('Candidate Tracker'!$E:$E,'Positions Tracker'!$B880,'Candidate Tracker'!$I:$I,"Female")),"")</f>
        <v/>
      </c>
      <c r="BB880" s="34" t="str">
        <f>IFERROR(IF(COUNTIFS('Candidate Tracker'!$E:$E,'Positions Tracker'!$B880,'Candidate Tracker'!$I:$I,"male")=0,"",COUNTIFS('Candidate Tracker'!$E:$E,'Positions Tracker'!$B880,'Candidate Tracker'!$I:$I,"male")),"")</f>
        <v/>
      </c>
      <c r="BC880" s="33" t="str">
        <f>IFERROR(IF(COUNTIFS('Candidate Tracker'!$E:$E,'Positions Tracker'!$B880,'Candidate Tracker'!$C:$C,"&lt;&gt;WIP",'Candidate Tracker'!$C:$C,"&lt;&gt;Hold",'Candidate Tracker'!$C:$C,"&lt;&gt;Cancelled",'Candidate Tracker'!$C:$C,"&lt;&gt;Closed")/COUNTIFS('Candidate Tracker'!$E:$E,'Positions Tracker'!$B880)=0,"",COUNTIFS('Candidate Tracker'!$E:$E,'Positions Tracker'!$B880,'Candidate Tracker'!$C:$C,"&lt;&gt;WIP",'Candidate Tracker'!$C:$C,"&lt;&gt;Hold",'Candidate Tracker'!$C:$C,"&lt;&gt;Cancelled",'Candidate Tracker'!$C:$C,"&lt;&gt;Closed")/COUNTIFS('Candidate Tracker'!$E:$E,'Positions Tracker'!$B880)),"")</f>
        <v/>
      </c>
      <c r="BD880" s="30" t="str">
        <f t="shared" si="93"/>
        <v/>
      </c>
      <c r="BE880" s="30" t="str">
        <f t="shared" si="94"/>
        <v/>
      </c>
      <c r="BF880" s="30" t="str">
        <f t="shared" si="95"/>
        <v/>
      </c>
      <c r="BG880" s="30" t="str">
        <f t="shared" si="96"/>
        <v/>
      </c>
    </row>
    <row r="881" spans="1:59">
      <c r="A881" s="39"/>
      <c r="B881" s="39"/>
      <c r="C881" s="39"/>
      <c r="D881" s="39"/>
      <c r="E881" s="39"/>
      <c r="F881" s="39"/>
      <c r="G881" s="39"/>
      <c r="H881" s="39"/>
      <c r="I881" s="40"/>
      <c r="J881" s="40"/>
      <c r="K881" s="35"/>
      <c r="L881" s="35"/>
      <c r="M881" s="35"/>
      <c r="N881" s="39"/>
      <c r="O881" s="39"/>
      <c r="P881" s="39"/>
      <c r="Q881" s="39"/>
      <c r="R881" s="39"/>
      <c r="S881" s="39"/>
      <c r="T881" s="39"/>
      <c r="U881" s="39"/>
      <c r="V881" s="39"/>
      <c r="W881" s="39"/>
      <c r="X881" s="39"/>
      <c r="Y881" s="39"/>
      <c r="Z881" s="39"/>
      <c r="AA881" s="39"/>
      <c r="AB881" s="39"/>
      <c r="AC881" s="39"/>
      <c r="AD881" s="39"/>
      <c r="AE881" s="39"/>
      <c r="AF881" s="39"/>
      <c r="AG881" s="39"/>
      <c r="AH881" s="39"/>
      <c r="AI881" s="35"/>
      <c r="AJ881" s="39"/>
      <c r="AK881" s="39"/>
      <c r="AL881" s="39"/>
      <c r="AM881" s="35"/>
      <c r="AN881" s="35"/>
      <c r="AO881" s="39"/>
      <c r="AP881" s="39"/>
      <c r="AQ881" s="35"/>
      <c r="AR881" s="35"/>
      <c r="AS881" s="35"/>
      <c r="AT881" s="30">
        <f t="shared" ca="1" si="92"/>
        <v>0</v>
      </c>
      <c r="AU881" s="32" t="str">
        <f t="shared" ca="1" si="91"/>
        <v/>
      </c>
      <c r="AV881" s="32" t="str" cm="1">
        <f t="array" aca="1" ref="AV881" ca="1">IFERROR(_xlfn.IFS($AU881="","",$AU881&lt;=15,"0-15",AND($AU881&gt;=16,$AU881&lt;=30),"16-30",AND($AU881&gt;=31,$AU881&lt;=45),"31-45",AND($AU881&gt;=46,$AU881&lt;=60),"46-60",AND($AU881&gt;=61,$AU881&lt;=90),"61-90",AND($AU881&gt;=91),"&gt; 90",AND($AU881&gt;=2000),""),"")</f>
        <v/>
      </c>
      <c r="AW881" s="32" t="str" cm="1">
        <f t="array" aca="1" ref="AW881" ca="1">IFERROR(_xlfn.IFS(OR($M881="",$AM881=""),"",OR($C881="Offered",$C881="Joined"),($AM881-$M881)-$AT881),"")</f>
        <v/>
      </c>
      <c r="AX881" s="32" t="str" cm="1">
        <f t="array" aca="1" ref="AX881" ca="1">IFERROR(_xlfn.IFS(OR($M881="",$AS881=""),"",$C881="Joined",($AS881-$M881)-$AT881),"")</f>
        <v/>
      </c>
      <c r="AY881" s="30" t="str">
        <f>IFERROR(IF(COUNTIFS('Candidate Tracker'!$E:$E,'Positions Tracker'!$B881,'Candidate Tracker'!$C:$C,"Offer Drop")=0,"",COUNTIFS('Candidate Tracker'!$E:$E,'Positions Tracker'!$B881,'Candidate Tracker'!$C:$C,"Offer Drop")),"")</f>
        <v/>
      </c>
      <c r="AZ8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1" s="34" t="str">
        <f>IFERROR(IF(COUNTIFS('Candidate Tracker'!$E:$E,'Positions Tracker'!$B881,'Candidate Tracker'!$I:$I,"Female")=0,"",COUNTIFS('Candidate Tracker'!$E:$E,'Positions Tracker'!$B881,'Candidate Tracker'!$I:$I,"Female")),"")</f>
        <v/>
      </c>
      <c r="BB881" s="34" t="str">
        <f>IFERROR(IF(COUNTIFS('Candidate Tracker'!$E:$E,'Positions Tracker'!$B881,'Candidate Tracker'!$I:$I,"male")=0,"",COUNTIFS('Candidate Tracker'!$E:$E,'Positions Tracker'!$B881,'Candidate Tracker'!$I:$I,"male")),"")</f>
        <v/>
      </c>
      <c r="BC881" s="33" t="str">
        <f>IFERROR(IF(COUNTIFS('Candidate Tracker'!$E:$E,'Positions Tracker'!$B881,'Candidate Tracker'!$C:$C,"&lt;&gt;WIP",'Candidate Tracker'!$C:$C,"&lt;&gt;Hold",'Candidate Tracker'!$C:$C,"&lt;&gt;Cancelled",'Candidate Tracker'!$C:$C,"&lt;&gt;Closed")/COUNTIFS('Candidate Tracker'!$E:$E,'Positions Tracker'!$B881)=0,"",COUNTIFS('Candidate Tracker'!$E:$E,'Positions Tracker'!$B881,'Candidate Tracker'!$C:$C,"&lt;&gt;WIP",'Candidate Tracker'!$C:$C,"&lt;&gt;Hold",'Candidate Tracker'!$C:$C,"&lt;&gt;Cancelled",'Candidate Tracker'!$C:$C,"&lt;&gt;Closed")/COUNTIFS('Candidate Tracker'!$E:$E,'Positions Tracker'!$B881)),"")</f>
        <v/>
      </c>
      <c r="BD881" s="30" t="str">
        <f t="shared" si="93"/>
        <v/>
      </c>
      <c r="BE881" s="30" t="str">
        <f t="shared" si="94"/>
        <v/>
      </c>
      <c r="BF881" s="30" t="str">
        <f t="shared" si="95"/>
        <v/>
      </c>
      <c r="BG881" s="30" t="str">
        <f t="shared" si="96"/>
        <v/>
      </c>
    </row>
    <row r="882" spans="1:59">
      <c r="A882" s="39"/>
      <c r="B882" s="39"/>
      <c r="C882" s="39"/>
      <c r="D882" s="39"/>
      <c r="E882" s="39"/>
      <c r="F882" s="39"/>
      <c r="G882" s="39"/>
      <c r="H882" s="39"/>
      <c r="I882" s="40"/>
      <c r="J882" s="40"/>
      <c r="K882" s="35"/>
      <c r="L882" s="35"/>
      <c r="M882" s="35"/>
      <c r="N882" s="39"/>
      <c r="O882" s="39"/>
      <c r="P882" s="39"/>
      <c r="Q882" s="39"/>
      <c r="R882" s="39"/>
      <c r="S882" s="39"/>
      <c r="T882" s="39"/>
      <c r="U882" s="39"/>
      <c r="V882" s="39"/>
      <c r="W882" s="39"/>
      <c r="X882" s="39"/>
      <c r="Y882" s="39"/>
      <c r="Z882" s="39"/>
      <c r="AA882" s="39"/>
      <c r="AB882" s="39"/>
      <c r="AC882" s="39"/>
      <c r="AD882" s="39"/>
      <c r="AE882" s="39"/>
      <c r="AF882" s="39"/>
      <c r="AG882" s="39"/>
      <c r="AH882" s="39"/>
      <c r="AI882" s="35"/>
      <c r="AJ882" s="39"/>
      <c r="AK882" s="39"/>
      <c r="AL882" s="39"/>
      <c r="AM882" s="35"/>
      <c r="AN882" s="35"/>
      <c r="AO882" s="39"/>
      <c r="AP882" s="39"/>
      <c r="AQ882" s="35"/>
      <c r="AR882" s="35"/>
      <c r="AS882" s="35"/>
      <c r="AT882" s="30">
        <f t="shared" ca="1" si="92"/>
        <v>0</v>
      </c>
      <c r="AU882" s="32" t="str">
        <f t="shared" ca="1" si="91"/>
        <v/>
      </c>
      <c r="AV882" s="32" t="str" cm="1">
        <f t="array" aca="1" ref="AV882" ca="1">IFERROR(_xlfn.IFS($AU882="","",$AU882&lt;=15,"0-15",AND($AU882&gt;=16,$AU882&lt;=30),"16-30",AND($AU882&gt;=31,$AU882&lt;=45),"31-45",AND($AU882&gt;=46,$AU882&lt;=60),"46-60",AND($AU882&gt;=61,$AU882&lt;=90),"61-90",AND($AU882&gt;=91),"&gt; 90",AND($AU882&gt;=2000),""),"")</f>
        <v/>
      </c>
      <c r="AW882" s="32" t="str" cm="1">
        <f t="array" aca="1" ref="AW882" ca="1">IFERROR(_xlfn.IFS(OR($M882="",$AM882=""),"",OR($C882="Offered",$C882="Joined"),($AM882-$M882)-$AT882),"")</f>
        <v/>
      </c>
      <c r="AX882" s="32" t="str" cm="1">
        <f t="array" aca="1" ref="AX882" ca="1">IFERROR(_xlfn.IFS(OR($M882="",$AS882=""),"",$C882="Joined",($AS882-$M882)-$AT882),"")</f>
        <v/>
      </c>
      <c r="AY882" s="30" t="str">
        <f>IFERROR(IF(COUNTIFS('Candidate Tracker'!$E:$E,'Positions Tracker'!$B882,'Candidate Tracker'!$C:$C,"Offer Drop")=0,"",COUNTIFS('Candidate Tracker'!$E:$E,'Positions Tracker'!$B882,'Candidate Tracker'!$C:$C,"Offer Drop")),"")</f>
        <v/>
      </c>
      <c r="AZ8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2" s="34" t="str">
        <f>IFERROR(IF(COUNTIFS('Candidate Tracker'!$E:$E,'Positions Tracker'!$B882,'Candidate Tracker'!$I:$I,"Female")=0,"",COUNTIFS('Candidate Tracker'!$E:$E,'Positions Tracker'!$B882,'Candidate Tracker'!$I:$I,"Female")),"")</f>
        <v/>
      </c>
      <c r="BB882" s="34" t="str">
        <f>IFERROR(IF(COUNTIFS('Candidate Tracker'!$E:$E,'Positions Tracker'!$B882,'Candidate Tracker'!$I:$I,"male")=0,"",COUNTIFS('Candidate Tracker'!$E:$E,'Positions Tracker'!$B882,'Candidate Tracker'!$I:$I,"male")),"")</f>
        <v/>
      </c>
      <c r="BC882" s="33" t="str">
        <f>IFERROR(IF(COUNTIFS('Candidate Tracker'!$E:$E,'Positions Tracker'!$B882,'Candidate Tracker'!$C:$C,"&lt;&gt;WIP",'Candidate Tracker'!$C:$C,"&lt;&gt;Hold",'Candidate Tracker'!$C:$C,"&lt;&gt;Cancelled",'Candidate Tracker'!$C:$C,"&lt;&gt;Closed")/COUNTIFS('Candidate Tracker'!$E:$E,'Positions Tracker'!$B882)=0,"",COUNTIFS('Candidate Tracker'!$E:$E,'Positions Tracker'!$B882,'Candidate Tracker'!$C:$C,"&lt;&gt;WIP",'Candidate Tracker'!$C:$C,"&lt;&gt;Hold",'Candidate Tracker'!$C:$C,"&lt;&gt;Cancelled",'Candidate Tracker'!$C:$C,"&lt;&gt;Closed")/COUNTIFS('Candidate Tracker'!$E:$E,'Positions Tracker'!$B882)),"")</f>
        <v/>
      </c>
      <c r="BD882" s="30" t="str">
        <f t="shared" si="93"/>
        <v/>
      </c>
      <c r="BE882" s="30" t="str">
        <f t="shared" si="94"/>
        <v/>
      </c>
      <c r="BF882" s="30" t="str">
        <f t="shared" si="95"/>
        <v/>
      </c>
      <c r="BG882" s="30" t="str">
        <f t="shared" si="96"/>
        <v/>
      </c>
    </row>
    <row r="883" spans="1:59">
      <c r="A883" s="39"/>
      <c r="B883" s="39"/>
      <c r="C883" s="39"/>
      <c r="D883" s="39"/>
      <c r="E883" s="39"/>
      <c r="F883" s="39"/>
      <c r="G883" s="39"/>
      <c r="H883" s="39"/>
      <c r="I883" s="40"/>
      <c r="J883" s="40"/>
      <c r="K883" s="35"/>
      <c r="L883" s="35"/>
      <c r="M883" s="35"/>
      <c r="N883" s="39"/>
      <c r="O883" s="39"/>
      <c r="P883" s="39"/>
      <c r="Q883" s="39"/>
      <c r="R883" s="39"/>
      <c r="S883" s="39"/>
      <c r="T883" s="39"/>
      <c r="U883" s="39"/>
      <c r="V883" s="39"/>
      <c r="W883" s="39"/>
      <c r="X883" s="39"/>
      <c r="Y883" s="39"/>
      <c r="Z883" s="39"/>
      <c r="AA883" s="39"/>
      <c r="AB883" s="39"/>
      <c r="AC883" s="39"/>
      <c r="AD883" s="39"/>
      <c r="AE883" s="39"/>
      <c r="AF883" s="39"/>
      <c r="AG883" s="39"/>
      <c r="AH883" s="39"/>
      <c r="AI883" s="35"/>
      <c r="AJ883" s="39"/>
      <c r="AK883" s="39"/>
      <c r="AL883" s="39"/>
      <c r="AM883" s="35"/>
      <c r="AN883" s="35"/>
      <c r="AO883" s="39"/>
      <c r="AP883" s="39"/>
      <c r="AQ883" s="35"/>
      <c r="AR883" s="35"/>
      <c r="AS883" s="35"/>
      <c r="AT883" s="30">
        <f t="shared" ca="1" si="92"/>
        <v>0</v>
      </c>
      <c r="AU883" s="32" t="str">
        <f t="shared" ca="1" si="91"/>
        <v/>
      </c>
      <c r="AV883" s="32" t="str" cm="1">
        <f t="array" aca="1" ref="AV883" ca="1">IFERROR(_xlfn.IFS($AU883="","",$AU883&lt;=15,"0-15",AND($AU883&gt;=16,$AU883&lt;=30),"16-30",AND($AU883&gt;=31,$AU883&lt;=45),"31-45",AND($AU883&gt;=46,$AU883&lt;=60),"46-60",AND($AU883&gt;=61,$AU883&lt;=90),"61-90",AND($AU883&gt;=91),"&gt; 90",AND($AU883&gt;=2000),""),"")</f>
        <v/>
      </c>
      <c r="AW883" s="32" t="str" cm="1">
        <f t="array" aca="1" ref="AW883" ca="1">IFERROR(_xlfn.IFS(OR($M883="",$AM883=""),"",OR($C883="Offered",$C883="Joined"),($AM883-$M883)-$AT883),"")</f>
        <v/>
      </c>
      <c r="AX883" s="32" t="str" cm="1">
        <f t="array" aca="1" ref="AX883" ca="1">IFERROR(_xlfn.IFS(OR($M883="",$AS883=""),"",$C883="Joined",($AS883-$M883)-$AT883),"")</f>
        <v/>
      </c>
      <c r="AY883" s="30" t="str">
        <f>IFERROR(IF(COUNTIFS('Candidate Tracker'!$E:$E,'Positions Tracker'!$B883,'Candidate Tracker'!$C:$C,"Offer Drop")=0,"",COUNTIFS('Candidate Tracker'!$E:$E,'Positions Tracker'!$B883,'Candidate Tracker'!$C:$C,"Offer Drop")),"")</f>
        <v/>
      </c>
      <c r="AZ8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3" s="34" t="str">
        <f>IFERROR(IF(COUNTIFS('Candidate Tracker'!$E:$E,'Positions Tracker'!$B883,'Candidate Tracker'!$I:$I,"Female")=0,"",COUNTIFS('Candidate Tracker'!$E:$E,'Positions Tracker'!$B883,'Candidate Tracker'!$I:$I,"Female")),"")</f>
        <v/>
      </c>
      <c r="BB883" s="34" t="str">
        <f>IFERROR(IF(COUNTIFS('Candidate Tracker'!$E:$E,'Positions Tracker'!$B883,'Candidate Tracker'!$I:$I,"male")=0,"",COUNTIFS('Candidate Tracker'!$E:$E,'Positions Tracker'!$B883,'Candidate Tracker'!$I:$I,"male")),"")</f>
        <v/>
      </c>
      <c r="BC883" s="33" t="str">
        <f>IFERROR(IF(COUNTIFS('Candidate Tracker'!$E:$E,'Positions Tracker'!$B883,'Candidate Tracker'!$C:$C,"&lt;&gt;WIP",'Candidate Tracker'!$C:$C,"&lt;&gt;Hold",'Candidate Tracker'!$C:$C,"&lt;&gt;Cancelled",'Candidate Tracker'!$C:$C,"&lt;&gt;Closed")/COUNTIFS('Candidate Tracker'!$E:$E,'Positions Tracker'!$B883)=0,"",COUNTIFS('Candidate Tracker'!$E:$E,'Positions Tracker'!$B883,'Candidate Tracker'!$C:$C,"&lt;&gt;WIP",'Candidate Tracker'!$C:$C,"&lt;&gt;Hold",'Candidate Tracker'!$C:$C,"&lt;&gt;Cancelled",'Candidate Tracker'!$C:$C,"&lt;&gt;Closed")/COUNTIFS('Candidate Tracker'!$E:$E,'Positions Tracker'!$B883)),"")</f>
        <v/>
      </c>
      <c r="BD883" s="30" t="str">
        <f t="shared" si="93"/>
        <v/>
      </c>
      <c r="BE883" s="30" t="str">
        <f t="shared" si="94"/>
        <v/>
      </c>
      <c r="BF883" s="30" t="str">
        <f t="shared" si="95"/>
        <v/>
      </c>
      <c r="BG883" s="30" t="str">
        <f t="shared" si="96"/>
        <v/>
      </c>
    </row>
    <row r="884" spans="1:59">
      <c r="A884" s="39"/>
      <c r="B884" s="39"/>
      <c r="C884" s="39"/>
      <c r="D884" s="39"/>
      <c r="E884" s="39"/>
      <c r="F884" s="39"/>
      <c r="G884" s="39"/>
      <c r="H884" s="39"/>
      <c r="I884" s="40"/>
      <c r="J884" s="40"/>
      <c r="K884" s="35"/>
      <c r="L884" s="35"/>
      <c r="M884" s="35"/>
      <c r="N884" s="39"/>
      <c r="O884" s="39"/>
      <c r="P884" s="39"/>
      <c r="Q884" s="39"/>
      <c r="R884" s="39"/>
      <c r="S884" s="39"/>
      <c r="T884" s="39"/>
      <c r="U884" s="39"/>
      <c r="V884" s="39"/>
      <c r="W884" s="39"/>
      <c r="X884" s="39"/>
      <c r="Y884" s="39"/>
      <c r="Z884" s="39"/>
      <c r="AA884" s="39"/>
      <c r="AB884" s="39"/>
      <c r="AC884" s="39"/>
      <c r="AD884" s="39"/>
      <c r="AE884" s="39"/>
      <c r="AF884" s="39"/>
      <c r="AG884" s="39"/>
      <c r="AH884" s="39"/>
      <c r="AI884" s="35"/>
      <c r="AJ884" s="39"/>
      <c r="AK884" s="39"/>
      <c r="AL884" s="39"/>
      <c r="AM884" s="35"/>
      <c r="AN884" s="35"/>
      <c r="AO884" s="39"/>
      <c r="AP884" s="39"/>
      <c r="AQ884" s="35"/>
      <c r="AR884" s="35"/>
      <c r="AS884" s="35"/>
      <c r="AT884" s="30">
        <f t="shared" ca="1" si="92"/>
        <v>0</v>
      </c>
      <c r="AU884" s="32" t="str">
        <f t="shared" ca="1" si="91"/>
        <v/>
      </c>
      <c r="AV884" s="32" t="str" cm="1">
        <f t="array" aca="1" ref="AV884" ca="1">IFERROR(_xlfn.IFS($AU884="","",$AU884&lt;=15,"0-15",AND($AU884&gt;=16,$AU884&lt;=30),"16-30",AND($AU884&gt;=31,$AU884&lt;=45),"31-45",AND($AU884&gt;=46,$AU884&lt;=60),"46-60",AND($AU884&gt;=61,$AU884&lt;=90),"61-90",AND($AU884&gt;=91),"&gt; 90",AND($AU884&gt;=2000),""),"")</f>
        <v/>
      </c>
      <c r="AW884" s="32" t="str" cm="1">
        <f t="array" aca="1" ref="AW884" ca="1">IFERROR(_xlfn.IFS(OR($M884="",$AM884=""),"",OR($C884="Offered",$C884="Joined"),($AM884-$M884)-$AT884),"")</f>
        <v/>
      </c>
      <c r="AX884" s="32" t="str" cm="1">
        <f t="array" aca="1" ref="AX884" ca="1">IFERROR(_xlfn.IFS(OR($M884="",$AS884=""),"",$C884="Joined",($AS884-$M884)-$AT884),"")</f>
        <v/>
      </c>
      <c r="AY884" s="30" t="str">
        <f>IFERROR(IF(COUNTIFS('Candidate Tracker'!$E:$E,'Positions Tracker'!$B884,'Candidate Tracker'!$C:$C,"Offer Drop")=0,"",COUNTIFS('Candidate Tracker'!$E:$E,'Positions Tracker'!$B884,'Candidate Tracker'!$C:$C,"Offer Drop")),"")</f>
        <v/>
      </c>
      <c r="AZ8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4" s="34" t="str">
        <f>IFERROR(IF(COUNTIFS('Candidate Tracker'!$E:$E,'Positions Tracker'!$B884,'Candidate Tracker'!$I:$I,"Female")=0,"",COUNTIFS('Candidate Tracker'!$E:$E,'Positions Tracker'!$B884,'Candidate Tracker'!$I:$I,"Female")),"")</f>
        <v/>
      </c>
      <c r="BB884" s="34" t="str">
        <f>IFERROR(IF(COUNTIFS('Candidate Tracker'!$E:$E,'Positions Tracker'!$B884,'Candidate Tracker'!$I:$I,"male")=0,"",COUNTIFS('Candidate Tracker'!$E:$E,'Positions Tracker'!$B884,'Candidate Tracker'!$I:$I,"male")),"")</f>
        <v/>
      </c>
      <c r="BC884" s="33" t="str">
        <f>IFERROR(IF(COUNTIFS('Candidate Tracker'!$E:$E,'Positions Tracker'!$B884,'Candidate Tracker'!$C:$C,"&lt;&gt;WIP",'Candidate Tracker'!$C:$C,"&lt;&gt;Hold",'Candidate Tracker'!$C:$C,"&lt;&gt;Cancelled",'Candidate Tracker'!$C:$C,"&lt;&gt;Closed")/COUNTIFS('Candidate Tracker'!$E:$E,'Positions Tracker'!$B884)=0,"",COUNTIFS('Candidate Tracker'!$E:$E,'Positions Tracker'!$B884,'Candidate Tracker'!$C:$C,"&lt;&gt;WIP",'Candidate Tracker'!$C:$C,"&lt;&gt;Hold",'Candidate Tracker'!$C:$C,"&lt;&gt;Cancelled",'Candidate Tracker'!$C:$C,"&lt;&gt;Closed")/COUNTIFS('Candidate Tracker'!$E:$E,'Positions Tracker'!$B884)),"")</f>
        <v/>
      </c>
      <c r="BD884" s="30" t="str">
        <f t="shared" si="93"/>
        <v/>
      </c>
      <c r="BE884" s="30" t="str">
        <f t="shared" si="94"/>
        <v/>
      </c>
      <c r="BF884" s="30" t="str">
        <f t="shared" si="95"/>
        <v/>
      </c>
      <c r="BG884" s="30" t="str">
        <f t="shared" si="96"/>
        <v/>
      </c>
    </row>
    <row r="885" spans="1:59">
      <c r="A885" s="39"/>
      <c r="B885" s="39"/>
      <c r="C885" s="39"/>
      <c r="D885" s="39"/>
      <c r="E885" s="39"/>
      <c r="F885" s="39"/>
      <c r="G885" s="39"/>
      <c r="H885" s="39"/>
      <c r="I885" s="40"/>
      <c r="J885" s="40"/>
      <c r="K885" s="35"/>
      <c r="L885" s="35"/>
      <c r="M885" s="35"/>
      <c r="N885" s="39"/>
      <c r="O885" s="39"/>
      <c r="P885" s="39"/>
      <c r="Q885" s="39"/>
      <c r="R885" s="39"/>
      <c r="S885" s="39"/>
      <c r="T885" s="39"/>
      <c r="U885" s="39"/>
      <c r="V885" s="39"/>
      <c r="W885" s="39"/>
      <c r="X885" s="39"/>
      <c r="Y885" s="39"/>
      <c r="Z885" s="39"/>
      <c r="AA885" s="39"/>
      <c r="AB885" s="39"/>
      <c r="AC885" s="39"/>
      <c r="AD885" s="39"/>
      <c r="AE885" s="39"/>
      <c r="AF885" s="39"/>
      <c r="AG885" s="39"/>
      <c r="AH885" s="39"/>
      <c r="AI885" s="35"/>
      <c r="AJ885" s="39"/>
      <c r="AK885" s="39"/>
      <c r="AL885" s="39"/>
      <c r="AM885" s="35"/>
      <c r="AN885" s="35"/>
      <c r="AO885" s="39"/>
      <c r="AP885" s="39"/>
      <c r="AQ885" s="35"/>
      <c r="AR885" s="35"/>
      <c r="AS885" s="35"/>
      <c r="AT885" s="30">
        <f t="shared" ca="1" si="92"/>
        <v>0</v>
      </c>
      <c r="AU885" s="32" t="str">
        <f t="shared" ca="1" si="91"/>
        <v/>
      </c>
      <c r="AV885" s="32" t="str" cm="1">
        <f t="array" aca="1" ref="AV885" ca="1">IFERROR(_xlfn.IFS($AU885="","",$AU885&lt;=15,"0-15",AND($AU885&gt;=16,$AU885&lt;=30),"16-30",AND($AU885&gt;=31,$AU885&lt;=45),"31-45",AND($AU885&gt;=46,$AU885&lt;=60),"46-60",AND($AU885&gt;=61,$AU885&lt;=90),"61-90",AND($AU885&gt;=91),"&gt; 90",AND($AU885&gt;=2000),""),"")</f>
        <v/>
      </c>
      <c r="AW885" s="32" t="str" cm="1">
        <f t="array" aca="1" ref="AW885" ca="1">IFERROR(_xlfn.IFS(OR($M885="",$AM885=""),"",OR($C885="Offered",$C885="Joined"),($AM885-$M885)-$AT885),"")</f>
        <v/>
      </c>
      <c r="AX885" s="32" t="str" cm="1">
        <f t="array" aca="1" ref="AX885" ca="1">IFERROR(_xlfn.IFS(OR($M885="",$AS885=""),"",$C885="Joined",($AS885-$M885)-$AT885),"")</f>
        <v/>
      </c>
      <c r="AY885" s="30" t="str">
        <f>IFERROR(IF(COUNTIFS('Candidate Tracker'!$E:$E,'Positions Tracker'!$B885,'Candidate Tracker'!$C:$C,"Offer Drop")=0,"",COUNTIFS('Candidate Tracker'!$E:$E,'Positions Tracker'!$B885,'Candidate Tracker'!$C:$C,"Offer Drop")),"")</f>
        <v/>
      </c>
      <c r="AZ8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5" s="34" t="str">
        <f>IFERROR(IF(COUNTIFS('Candidate Tracker'!$E:$E,'Positions Tracker'!$B885,'Candidate Tracker'!$I:$I,"Female")=0,"",COUNTIFS('Candidate Tracker'!$E:$E,'Positions Tracker'!$B885,'Candidate Tracker'!$I:$I,"Female")),"")</f>
        <v/>
      </c>
      <c r="BB885" s="34" t="str">
        <f>IFERROR(IF(COUNTIFS('Candidate Tracker'!$E:$E,'Positions Tracker'!$B885,'Candidate Tracker'!$I:$I,"male")=0,"",COUNTIFS('Candidate Tracker'!$E:$E,'Positions Tracker'!$B885,'Candidate Tracker'!$I:$I,"male")),"")</f>
        <v/>
      </c>
      <c r="BC885" s="33" t="str">
        <f>IFERROR(IF(COUNTIFS('Candidate Tracker'!$E:$E,'Positions Tracker'!$B885,'Candidate Tracker'!$C:$C,"&lt;&gt;WIP",'Candidate Tracker'!$C:$C,"&lt;&gt;Hold",'Candidate Tracker'!$C:$C,"&lt;&gt;Cancelled",'Candidate Tracker'!$C:$C,"&lt;&gt;Closed")/COUNTIFS('Candidate Tracker'!$E:$E,'Positions Tracker'!$B885)=0,"",COUNTIFS('Candidate Tracker'!$E:$E,'Positions Tracker'!$B885,'Candidate Tracker'!$C:$C,"&lt;&gt;WIP",'Candidate Tracker'!$C:$C,"&lt;&gt;Hold",'Candidate Tracker'!$C:$C,"&lt;&gt;Cancelled",'Candidate Tracker'!$C:$C,"&lt;&gt;Closed")/COUNTIFS('Candidate Tracker'!$E:$E,'Positions Tracker'!$B885)),"")</f>
        <v/>
      </c>
      <c r="BD885" s="30" t="str">
        <f t="shared" si="93"/>
        <v/>
      </c>
      <c r="BE885" s="30" t="str">
        <f t="shared" si="94"/>
        <v/>
      </c>
      <c r="BF885" s="30" t="str">
        <f t="shared" si="95"/>
        <v/>
      </c>
      <c r="BG885" s="30" t="str">
        <f t="shared" si="96"/>
        <v/>
      </c>
    </row>
    <row r="886" spans="1:59">
      <c r="A886" s="39"/>
      <c r="B886" s="39"/>
      <c r="C886" s="39"/>
      <c r="D886" s="39"/>
      <c r="E886" s="39"/>
      <c r="F886" s="39"/>
      <c r="G886" s="39"/>
      <c r="H886" s="39"/>
      <c r="I886" s="40"/>
      <c r="J886" s="40"/>
      <c r="K886" s="35"/>
      <c r="L886" s="35"/>
      <c r="M886" s="35"/>
      <c r="N886" s="39"/>
      <c r="O886" s="39"/>
      <c r="P886" s="39"/>
      <c r="Q886" s="39"/>
      <c r="R886" s="39"/>
      <c r="S886" s="39"/>
      <c r="T886" s="39"/>
      <c r="U886" s="39"/>
      <c r="V886" s="39"/>
      <c r="W886" s="39"/>
      <c r="X886" s="39"/>
      <c r="Y886" s="39"/>
      <c r="Z886" s="39"/>
      <c r="AA886" s="39"/>
      <c r="AB886" s="39"/>
      <c r="AC886" s="39"/>
      <c r="AD886" s="39"/>
      <c r="AE886" s="39"/>
      <c r="AF886" s="39"/>
      <c r="AG886" s="39"/>
      <c r="AH886" s="39"/>
      <c r="AI886" s="35"/>
      <c r="AJ886" s="39"/>
      <c r="AK886" s="39"/>
      <c r="AL886" s="39"/>
      <c r="AM886" s="35"/>
      <c r="AN886" s="35"/>
      <c r="AO886" s="39"/>
      <c r="AP886" s="39"/>
      <c r="AQ886" s="35"/>
      <c r="AR886" s="35"/>
      <c r="AS886" s="35"/>
      <c r="AT886" s="30">
        <f t="shared" ca="1" si="92"/>
        <v>0</v>
      </c>
      <c r="AU886" s="32" t="str">
        <f t="shared" ca="1" si="91"/>
        <v/>
      </c>
      <c r="AV886" s="32" t="str" cm="1">
        <f t="array" aca="1" ref="AV886" ca="1">IFERROR(_xlfn.IFS($AU886="","",$AU886&lt;=15,"0-15",AND($AU886&gt;=16,$AU886&lt;=30),"16-30",AND($AU886&gt;=31,$AU886&lt;=45),"31-45",AND($AU886&gt;=46,$AU886&lt;=60),"46-60",AND($AU886&gt;=61,$AU886&lt;=90),"61-90",AND($AU886&gt;=91),"&gt; 90",AND($AU886&gt;=2000),""),"")</f>
        <v/>
      </c>
      <c r="AW886" s="32" t="str" cm="1">
        <f t="array" aca="1" ref="AW886" ca="1">IFERROR(_xlfn.IFS(OR($M886="",$AM886=""),"",OR($C886="Offered",$C886="Joined"),($AM886-$M886)-$AT886),"")</f>
        <v/>
      </c>
      <c r="AX886" s="32" t="str" cm="1">
        <f t="array" aca="1" ref="AX886" ca="1">IFERROR(_xlfn.IFS(OR($M886="",$AS886=""),"",$C886="Joined",($AS886-$M886)-$AT886),"")</f>
        <v/>
      </c>
      <c r="AY886" s="30" t="str">
        <f>IFERROR(IF(COUNTIFS('Candidate Tracker'!$E:$E,'Positions Tracker'!$B886,'Candidate Tracker'!$C:$C,"Offer Drop")=0,"",COUNTIFS('Candidate Tracker'!$E:$E,'Positions Tracker'!$B886,'Candidate Tracker'!$C:$C,"Offer Drop")),"")</f>
        <v/>
      </c>
      <c r="AZ88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6" s="34" t="str">
        <f>IFERROR(IF(COUNTIFS('Candidate Tracker'!$E:$E,'Positions Tracker'!$B886,'Candidate Tracker'!$I:$I,"Female")=0,"",COUNTIFS('Candidate Tracker'!$E:$E,'Positions Tracker'!$B886,'Candidate Tracker'!$I:$I,"Female")),"")</f>
        <v/>
      </c>
      <c r="BB886" s="34" t="str">
        <f>IFERROR(IF(COUNTIFS('Candidate Tracker'!$E:$E,'Positions Tracker'!$B886,'Candidate Tracker'!$I:$I,"male")=0,"",COUNTIFS('Candidate Tracker'!$E:$E,'Positions Tracker'!$B886,'Candidate Tracker'!$I:$I,"male")),"")</f>
        <v/>
      </c>
      <c r="BC886" s="33" t="str">
        <f>IFERROR(IF(COUNTIFS('Candidate Tracker'!$E:$E,'Positions Tracker'!$B886,'Candidate Tracker'!$C:$C,"&lt;&gt;WIP",'Candidate Tracker'!$C:$C,"&lt;&gt;Hold",'Candidate Tracker'!$C:$C,"&lt;&gt;Cancelled",'Candidate Tracker'!$C:$C,"&lt;&gt;Closed")/COUNTIFS('Candidate Tracker'!$E:$E,'Positions Tracker'!$B886)=0,"",COUNTIFS('Candidate Tracker'!$E:$E,'Positions Tracker'!$B886,'Candidate Tracker'!$C:$C,"&lt;&gt;WIP",'Candidate Tracker'!$C:$C,"&lt;&gt;Hold",'Candidate Tracker'!$C:$C,"&lt;&gt;Cancelled",'Candidate Tracker'!$C:$C,"&lt;&gt;Closed")/COUNTIFS('Candidate Tracker'!$E:$E,'Positions Tracker'!$B886)),"")</f>
        <v/>
      </c>
      <c r="BD886" s="30" t="str">
        <f t="shared" si="93"/>
        <v/>
      </c>
      <c r="BE886" s="30" t="str">
        <f t="shared" si="94"/>
        <v/>
      </c>
      <c r="BF886" s="30" t="str">
        <f t="shared" si="95"/>
        <v/>
      </c>
      <c r="BG886" s="30" t="str">
        <f t="shared" si="96"/>
        <v/>
      </c>
    </row>
    <row r="887" spans="1:59">
      <c r="A887" s="39"/>
      <c r="B887" s="39"/>
      <c r="C887" s="39"/>
      <c r="D887" s="39"/>
      <c r="E887" s="39"/>
      <c r="F887" s="39"/>
      <c r="G887" s="39"/>
      <c r="H887" s="39"/>
      <c r="I887" s="40"/>
      <c r="J887" s="40"/>
      <c r="K887" s="35"/>
      <c r="L887" s="35"/>
      <c r="M887" s="35"/>
      <c r="N887" s="39"/>
      <c r="O887" s="39"/>
      <c r="P887" s="39"/>
      <c r="Q887" s="39"/>
      <c r="R887" s="39"/>
      <c r="S887" s="39"/>
      <c r="T887" s="39"/>
      <c r="U887" s="39"/>
      <c r="V887" s="39"/>
      <c r="W887" s="39"/>
      <c r="X887" s="39"/>
      <c r="Y887" s="39"/>
      <c r="Z887" s="39"/>
      <c r="AA887" s="39"/>
      <c r="AB887" s="39"/>
      <c r="AC887" s="39"/>
      <c r="AD887" s="39"/>
      <c r="AE887" s="39"/>
      <c r="AF887" s="39"/>
      <c r="AG887" s="39"/>
      <c r="AH887" s="39"/>
      <c r="AI887" s="35"/>
      <c r="AJ887" s="39"/>
      <c r="AK887" s="39"/>
      <c r="AL887" s="39"/>
      <c r="AM887" s="35"/>
      <c r="AN887" s="35"/>
      <c r="AO887" s="39"/>
      <c r="AP887" s="39"/>
      <c r="AQ887" s="35"/>
      <c r="AR887" s="35"/>
      <c r="AS887" s="35"/>
      <c r="AT887" s="30">
        <f t="shared" ca="1" si="92"/>
        <v>0</v>
      </c>
      <c r="AU887" s="32" t="str">
        <f t="shared" ca="1" si="91"/>
        <v/>
      </c>
      <c r="AV887" s="32" t="str" cm="1">
        <f t="array" aca="1" ref="AV887" ca="1">IFERROR(_xlfn.IFS($AU887="","",$AU887&lt;=15,"0-15",AND($AU887&gt;=16,$AU887&lt;=30),"16-30",AND($AU887&gt;=31,$AU887&lt;=45),"31-45",AND($AU887&gt;=46,$AU887&lt;=60),"46-60",AND($AU887&gt;=61,$AU887&lt;=90),"61-90",AND($AU887&gt;=91),"&gt; 90",AND($AU887&gt;=2000),""),"")</f>
        <v/>
      </c>
      <c r="AW887" s="32" t="str" cm="1">
        <f t="array" aca="1" ref="AW887" ca="1">IFERROR(_xlfn.IFS(OR($M887="",$AM887=""),"",OR($C887="Offered",$C887="Joined"),($AM887-$M887)-$AT887),"")</f>
        <v/>
      </c>
      <c r="AX887" s="32" t="str" cm="1">
        <f t="array" aca="1" ref="AX887" ca="1">IFERROR(_xlfn.IFS(OR($M887="",$AS887=""),"",$C887="Joined",($AS887-$M887)-$AT887),"")</f>
        <v/>
      </c>
      <c r="AY887" s="30" t="str">
        <f>IFERROR(IF(COUNTIFS('Candidate Tracker'!$E:$E,'Positions Tracker'!$B887,'Candidate Tracker'!$C:$C,"Offer Drop")=0,"",COUNTIFS('Candidate Tracker'!$E:$E,'Positions Tracker'!$B887,'Candidate Tracker'!$C:$C,"Offer Drop")),"")</f>
        <v/>
      </c>
      <c r="AZ88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7" s="34" t="str">
        <f>IFERROR(IF(COUNTIFS('Candidate Tracker'!$E:$E,'Positions Tracker'!$B887,'Candidate Tracker'!$I:$I,"Female")=0,"",COUNTIFS('Candidate Tracker'!$E:$E,'Positions Tracker'!$B887,'Candidate Tracker'!$I:$I,"Female")),"")</f>
        <v/>
      </c>
      <c r="BB887" s="34" t="str">
        <f>IFERROR(IF(COUNTIFS('Candidate Tracker'!$E:$E,'Positions Tracker'!$B887,'Candidate Tracker'!$I:$I,"male")=0,"",COUNTIFS('Candidate Tracker'!$E:$E,'Positions Tracker'!$B887,'Candidate Tracker'!$I:$I,"male")),"")</f>
        <v/>
      </c>
      <c r="BC887" s="33" t="str">
        <f>IFERROR(IF(COUNTIFS('Candidate Tracker'!$E:$E,'Positions Tracker'!$B887,'Candidate Tracker'!$C:$C,"&lt;&gt;WIP",'Candidate Tracker'!$C:$C,"&lt;&gt;Hold",'Candidate Tracker'!$C:$C,"&lt;&gt;Cancelled",'Candidate Tracker'!$C:$C,"&lt;&gt;Closed")/COUNTIFS('Candidate Tracker'!$E:$E,'Positions Tracker'!$B887)=0,"",COUNTIFS('Candidate Tracker'!$E:$E,'Positions Tracker'!$B887,'Candidate Tracker'!$C:$C,"&lt;&gt;WIP",'Candidate Tracker'!$C:$C,"&lt;&gt;Hold",'Candidate Tracker'!$C:$C,"&lt;&gt;Cancelled",'Candidate Tracker'!$C:$C,"&lt;&gt;Closed")/COUNTIFS('Candidate Tracker'!$E:$E,'Positions Tracker'!$B887)),"")</f>
        <v/>
      </c>
      <c r="BD887" s="30" t="str">
        <f t="shared" si="93"/>
        <v/>
      </c>
      <c r="BE887" s="30" t="str">
        <f t="shared" si="94"/>
        <v/>
      </c>
      <c r="BF887" s="30" t="str">
        <f t="shared" si="95"/>
        <v/>
      </c>
      <c r="BG887" s="30" t="str">
        <f t="shared" si="96"/>
        <v/>
      </c>
    </row>
    <row r="888" spans="1:59">
      <c r="A888" s="39"/>
      <c r="B888" s="39"/>
      <c r="C888" s="39"/>
      <c r="D888" s="39"/>
      <c r="E888" s="39"/>
      <c r="F888" s="39"/>
      <c r="G888" s="39"/>
      <c r="H888" s="39"/>
      <c r="I888" s="40"/>
      <c r="J888" s="40"/>
      <c r="K888" s="35"/>
      <c r="L888" s="35"/>
      <c r="M888" s="35"/>
      <c r="N888" s="39"/>
      <c r="O888" s="39"/>
      <c r="P888" s="39"/>
      <c r="Q888" s="39"/>
      <c r="R888" s="39"/>
      <c r="S888" s="39"/>
      <c r="T888" s="39"/>
      <c r="U888" s="39"/>
      <c r="V888" s="39"/>
      <c r="W888" s="39"/>
      <c r="X888" s="39"/>
      <c r="Y888" s="39"/>
      <c r="Z888" s="39"/>
      <c r="AA888" s="39"/>
      <c r="AB888" s="39"/>
      <c r="AC888" s="39"/>
      <c r="AD888" s="39"/>
      <c r="AE888" s="39"/>
      <c r="AF888" s="39"/>
      <c r="AG888" s="39"/>
      <c r="AH888" s="39"/>
      <c r="AI888" s="35"/>
      <c r="AJ888" s="39"/>
      <c r="AK888" s="39"/>
      <c r="AL888" s="39"/>
      <c r="AM888" s="35"/>
      <c r="AN888" s="35"/>
      <c r="AO888" s="39"/>
      <c r="AP888" s="39"/>
      <c r="AQ888" s="35"/>
      <c r="AR888" s="35"/>
      <c r="AS888" s="35"/>
      <c r="AT888" s="30">
        <f t="shared" ca="1" si="92"/>
        <v>0</v>
      </c>
      <c r="AU888" s="32" t="str">
        <f t="shared" ca="1" si="91"/>
        <v/>
      </c>
      <c r="AV888" s="32" t="str" cm="1">
        <f t="array" aca="1" ref="AV888" ca="1">IFERROR(_xlfn.IFS($AU888="","",$AU888&lt;=15,"0-15",AND($AU888&gt;=16,$AU888&lt;=30),"16-30",AND($AU888&gt;=31,$AU888&lt;=45),"31-45",AND($AU888&gt;=46,$AU888&lt;=60),"46-60",AND($AU888&gt;=61,$AU888&lt;=90),"61-90",AND($AU888&gt;=91),"&gt; 90",AND($AU888&gt;=2000),""),"")</f>
        <v/>
      </c>
      <c r="AW888" s="32" t="str" cm="1">
        <f t="array" aca="1" ref="AW888" ca="1">IFERROR(_xlfn.IFS(OR($M888="",$AM888=""),"",OR($C888="Offered",$C888="Joined"),($AM888-$M888)-$AT888),"")</f>
        <v/>
      </c>
      <c r="AX888" s="32" t="str" cm="1">
        <f t="array" aca="1" ref="AX888" ca="1">IFERROR(_xlfn.IFS(OR($M888="",$AS888=""),"",$C888="Joined",($AS888-$M888)-$AT888),"")</f>
        <v/>
      </c>
      <c r="AY888" s="30" t="str">
        <f>IFERROR(IF(COUNTIFS('Candidate Tracker'!$E:$E,'Positions Tracker'!$B888,'Candidate Tracker'!$C:$C,"Offer Drop")=0,"",COUNTIFS('Candidate Tracker'!$E:$E,'Positions Tracker'!$B888,'Candidate Tracker'!$C:$C,"Offer Drop")),"")</f>
        <v/>
      </c>
      <c r="AZ88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8" s="34" t="str">
        <f>IFERROR(IF(COUNTIFS('Candidate Tracker'!$E:$E,'Positions Tracker'!$B888,'Candidate Tracker'!$I:$I,"Female")=0,"",COUNTIFS('Candidate Tracker'!$E:$E,'Positions Tracker'!$B888,'Candidate Tracker'!$I:$I,"Female")),"")</f>
        <v/>
      </c>
      <c r="BB888" s="34" t="str">
        <f>IFERROR(IF(COUNTIFS('Candidate Tracker'!$E:$E,'Positions Tracker'!$B888,'Candidate Tracker'!$I:$I,"male")=0,"",COUNTIFS('Candidate Tracker'!$E:$E,'Positions Tracker'!$B888,'Candidate Tracker'!$I:$I,"male")),"")</f>
        <v/>
      </c>
      <c r="BC888" s="33" t="str">
        <f>IFERROR(IF(COUNTIFS('Candidate Tracker'!$E:$E,'Positions Tracker'!$B888,'Candidate Tracker'!$C:$C,"&lt;&gt;WIP",'Candidate Tracker'!$C:$C,"&lt;&gt;Hold",'Candidate Tracker'!$C:$C,"&lt;&gt;Cancelled",'Candidate Tracker'!$C:$C,"&lt;&gt;Closed")/COUNTIFS('Candidate Tracker'!$E:$E,'Positions Tracker'!$B888)=0,"",COUNTIFS('Candidate Tracker'!$E:$E,'Positions Tracker'!$B888,'Candidate Tracker'!$C:$C,"&lt;&gt;WIP",'Candidate Tracker'!$C:$C,"&lt;&gt;Hold",'Candidate Tracker'!$C:$C,"&lt;&gt;Cancelled",'Candidate Tracker'!$C:$C,"&lt;&gt;Closed")/COUNTIFS('Candidate Tracker'!$E:$E,'Positions Tracker'!$B888)),"")</f>
        <v/>
      </c>
      <c r="BD888" s="30" t="str">
        <f t="shared" si="93"/>
        <v/>
      </c>
      <c r="BE888" s="30" t="str">
        <f t="shared" si="94"/>
        <v/>
      </c>
      <c r="BF888" s="30" t="str">
        <f t="shared" si="95"/>
        <v/>
      </c>
      <c r="BG888" s="30" t="str">
        <f t="shared" si="96"/>
        <v/>
      </c>
    </row>
    <row r="889" spans="1:59">
      <c r="A889" s="39"/>
      <c r="B889" s="39"/>
      <c r="C889" s="39"/>
      <c r="D889" s="39"/>
      <c r="E889" s="39"/>
      <c r="F889" s="39"/>
      <c r="G889" s="39"/>
      <c r="H889" s="39"/>
      <c r="I889" s="40"/>
      <c r="J889" s="40"/>
      <c r="K889" s="35"/>
      <c r="L889" s="35"/>
      <c r="M889" s="35"/>
      <c r="N889" s="39"/>
      <c r="O889" s="39"/>
      <c r="P889" s="39"/>
      <c r="Q889" s="39"/>
      <c r="R889" s="39"/>
      <c r="S889" s="39"/>
      <c r="T889" s="39"/>
      <c r="U889" s="39"/>
      <c r="V889" s="39"/>
      <c r="W889" s="39"/>
      <c r="X889" s="39"/>
      <c r="Y889" s="39"/>
      <c r="Z889" s="39"/>
      <c r="AA889" s="39"/>
      <c r="AB889" s="39"/>
      <c r="AC889" s="39"/>
      <c r="AD889" s="39"/>
      <c r="AE889" s="39"/>
      <c r="AF889" s="39"/>
      <c r="AG889" s="39"/>
      <c r="AH889" s="39"/>
      <c r="AI889" s="35"/>
      <c r="AJ889" s="39"/>
      <c r="AK889" s="39"/>
      <c r="AL889" s="39"/>
      <c r="AM889" s="35"/>
      <c r="AN889" s="35"/>
      <c r="AO889" s="39"/>
      <c r="AP889" s="39"/>
      <c r="AQ889" s="35"/>
      <c r="AR889" s="35"/>
      <c r="AS889" s="35"/>
      <c r="AT889" s="30">
        <f t="shared" ca="1" si="92"/>
        <v>0</v>
      </c>
      <c r="AU889" s="32" t="str">
        <f t="shared" ca="1" si="91"/>
        <v/>
      </c>
      <c r="AV889" s="32" t="str" cm="1">
        <f t="array" aca="1" ref="AV889" ca="1">IFERROR(_xlfn.IFS($AU889="","",$AU889&lt;=15,"0-15",AND($AU889&gt;=16,$AU889&lt;=30),"16-30",AND($AU889&gt;=31,$AU889&lt;=45),"31-45",AND($AU889&gt;=46,$AU889&lt;=60),"46-60",AND($AU889&gt;=61,$AU889&lt;=90),"61-90",AND($AU889&gt;=91),"&gt; 90",AND($AU889&gt;=2000),""),"")</f>
        <v/>
      </c>
      <c r="AW889" s="32" t="str" cm="1">
        <f t="array" aca="1" ref="AW889" ca="1">IFERROR(_xlfn.IFS(OR($M889="",$AM889=""),"",OR($C889="Offered",$C889="Joined"),($AM889-$M889)-$AT889),"")</f>
        <v/>
      </c>
      <c r="AX889" s="32" t="str" cm="1">
        <f t="array" aca="1" ref="AX889" ca="1">IFERROR(_xlfn.IFS(OR($M889="",$AS889=""),"",$C889="Joined",($AS889-$M889)-$AT889),"")</f>
        <v/>
      </c>
      <c r="AY889" s="30" t="str">
        <f>IFERROR(IF(COUNTIFS('Candidate Tracker'!$E:$E,'Positions Tracker'!$B889,'Candidate Tracker'!$C:$C,"Offer Drop")=0,"",COUNTIFS('Candidate Tracker'!$E:$E,'Positions Tracker'!$B889,'Candidate Tracker'!$C:$C,"Offer Drop")),"")</f>
        <v/>
      </c>
      <c r="AZ88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89" s="34" t="str">
        <f>IFERROR(IF(COUNTIFS('Candidate Tracker'!$E:$E,'Positions Tracker'!$B889,'Candidate Tracker'!$I:$I,"Female")=0,"",COUNTIFS('Candidate Tracker'!$E:$E,'Positions Tracker'!$B889,'Candidate Tracker'!$I:$I,"Female")),"")</f>
        <v/>
      </c>
      <c r="BB889" s="34" t="str">
        <f>IFERROR(IF(COUNTIFS('Candidate Tracker'!$E:$E,'Positions Tracker'!$B889,'Candidate Tracker'!$I:$I,"male")=0,"",COUNTIFS('Candidate Tracker'!$E:$E,'Positions Tracker'!$B889,'Candidate Tracker'!$I:$I,"male")),"")</f>
        <v/>
      </c>
      <c r="BC889" s="33" t="str">
        <f>IFERROR(IF(COUNTIFS('Candidate Tracker'!$E:$E,'Positions Tracker'!$B889,'Candidate Tracker'!$C:$C,"&lt;&gt;WIP",'Candidate Tracker'!$C:$C,"&lt;&gt;Hold",'Candidate Tracker'!$C:$C,"&lt;&gt;Cancelled",'Candidate Tracker'!$C:$C,"&lt;&gt;Closed")/COUNTIFS('Candidate Tracker'!$E:$E,'Positions Tracker'!$B889)=0,"",COUNTIFS('Candidate Tracker'!$E:$E,'Positions Tracker'!$B889,'Candidate Tracker'!$C:$C,"&lt;&gt;WIP",'Candidate Tracker'!$C:$C,"&lt;&gt;Hold",'Candidate Tracker'!$C:$C,"&lt;&gt;Cancelled",'Candidate Tracker'!$C:$C,"&lt;&gt;Closed")/COUNTIFS('Candidate Tracker'!$E:$E,'Positions Tracker'!$B889)),"")</f>
        <v/>
      </c>
      <c r="BD889" s="30" t="str">
        <f t="shared" si="93"/>
        <v/>
      </c>
      <c r="BE889" s="30" t="str">
        <f t="shared" si="94"/>
        <v/>
      </c>
      <c r="BF889" s="30" t="str">
        <f t="shared" si="95"/>
        <v/>
      </c>
      <c r="BG889" s="30" t="str">
        <f t="shared" si="96"/>
        <v/>
      </c>
    </row>
    <row r="890" spans="1:59">
      <c r="A890" s="39"/>
      <c r="B890" s="39"/>
      <c r="C890" s="39"/>
      <c r="D890" s="39"/>
      <c r="E890" s="39"/>
      <c r="F890" s="39"/>
      <c r="G890" s="39"/>
      <c r="H890" s="39"/>
      <c r="I890" s="40"/>
      <c r="J890" s="40"/>
      <c r="K890" s="35"/>
      <c r="L890" s="35"/>
      <c r="M890" s="35"/>
      <c r="N890" s="39"/>
      <c r="O890" s="39"/>
      <c r="P890" s="39"/>
      <c r="Q890" s="39"/>
      <c r="R890" s="39"/>
      <c r="S890" s="39"/>
      <c r="T890" s="39"/>
      <c r="U890" s="39"/>
      <c r="V890" s="39"/>
      <c r="W890" s="39"/>
      <c r="X890" s="39"/>
      <c r="Y890" s="39"/>
      <c r="Z890" s="39"/>
      <c r="AA890" s="39"/>
      <c r="AB890" s="39"/>
      <c r="AC890" s="39"/>
      <c r="AD890" s="39"/>
      <c r="AE890" s="39"/>
      <c r="AF890" s="39"/>
      <c r="AG890" s="39"/>
      <c r="AH890" s="39"/>
      <c r="AI890" s="35"/>
      <c r="AJ890" s="39"/>
      <c r="AK890" s="39"/>
      <c r="AL890" s="39"/>
      <c r="AM890" s="35"/>
      <c r="AN890" s="35"/>
      <c r="AO890" s="39"/>
      <c r="AP890" s="39"/>
      <c r="AQ890" s="35"/>
      <c r="AR890" s="35"/>
      <c r="AS890" s="35"/>
      <c r="AT890" s="30">
        <f t="shared" ca="1" si="92"/>
        <v>0</v>
      </c>
      <c r="AU890" s="32" t="str">
        <f t="shared" ca="1" si="91"/>
        <v/>
      </c>
      <c r="AV890" s="32" t="str" cm="1">
        <f t="array" aca="1" ref="AV890" ca="1">IFERROR(_xlfn.IFS($AU890="","",$AU890&lt;=15,"0-15",AND($AU890&gt;=16,$AU890&lt;=30),"16-30",AND($AU890&gt;=31,$AU890&lt;=45),"31-45",AND($AU890&gt;=46,$AU890&lt;=60),"46-60",AND($AU890&gt;=61,$AU890&lt;=90),"61-90",AND($AU890&gt;=91),"&gt; 90",AND($AU890&gt;=2000),""),"")</f>
        <v/>
      </c>
      <c r="AW890" s="32" t="str" cm="1">
        <f t="array" aca="1" ref="AW890" ca="1">IFERROR(_xlfn.IFS(OR($M890="",$AM890=""),"",OR($C890="Offered",$C890="Joined"),($AM890-$M890)-$AT890),"")</f>
        <v/>
      </c>
      <c r="AX890" s="32" t="str" cm="1">
        <f t="array" aca="1" ref="AX890" ca="1">IFERROR(_xlfn.IFS(OR($M890="",$AS890=""),"",$C890="Joined",($AS890-$M890)-$AT890),"")</f>
        <v/>
      </c>
      <c r="AY890" s="30" t="str">
        <f>IFERROR(IF(COUNTIFS('Candidate Tracker'!$E:$E,'Positions Tracker'!$B890,'Candidate Tracker'!$C:$C,"Offer Drop")=0,"",COUNTIFS('Candidate Tracker'!$E:$E,'Positions Tracker'!$B890,'Candidate Tracker'!$C:$C,"Offer Drop")),"")</f>
        <v/>
      </c>
      <c r="AZ89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0" s="34" t="str">
        <f>IFERROR(IF(COUNTIFS('Candidate Tracker'!$E:$E,'Positions Tracker'!$B890,'Candidate Tracker'!$I:$I,"Female")=0,"",COUNTIFS('Candidate Tracker'!$E:$E,'Positions Tracker'!$B890,'Candidate Tracker'!$I:$I,"Female")),"")</f>
        <v/>
      </c>
      <c r="BB890" s="34" t="str">
        <f>IFERROR(IF(COUNTIFS('Candidate Tracker'!$E:$E,'Positions Tracker'!$B890,'Candidate Tracker'!$I:$I,"male")=0,"",COUNTIFS('Candidate Tracker'!$E:$E,'Positions Tracker'!$B890,'Candidate Tracker'!$I:$I,"male")),"")</f>
        <v/>
      </c>
      <c r="BC890" s="33" t="str">
        <f>IFERROR(IF(COUNTIFS('Candidate Tracker'!$E:$E,'Positions Tracker'!$B890,'Candidate Tracker'!$C:$C,"&lt;&gt;WIP",'Candidate Tracker'!$C:$C,"&lt;&gt;Hold",'Candidate Tracker'!$C:$C,"&lt;&gt;Cancelled",'Candidate Tracker'!$C:$C,"&lt;&gt;Closed")/COUNTIFS('Candidate Tracker'!$E:$E,'Positions Tracker'!$B890)=0,"",COUNTIFS('Candidate Tracker'!$E:$E,'Positions Tracker'!$B890,'Candidate Tracker'!$C:$C,"&lt;&gt;WIP",'Candidate Tracker'!$C:$C,"&lt;&gt;Hold",'Candidate Tracker'!$C:$C,"&lt;&gt;Cancelled",'Candidate Tracker'!$C:$C,"&lt;&gt;Closed")/COUNTIFS('Candidate Tracker'!$E:$E,'Positions Tracker'!$B890)),"")</f>
        <v/>
      </c>
      <c r="BD890" s="30" t="str">
        <f t="shared" si="93"/>
        <v/>
      </c>
      <c r="BE890" s="30" t="str">
        <f t="shared" si="94"/>
        <v/>
      </c>
      <c r="BF890" s="30" t="str">
        <f t="shared" si="95"/>
        <v/>
      </c>
      <c r="BG890" s="30" t="str">
        <f t="shared" si="96"/>
        <v/>
      </c>
    </row>
    <row r="891" spans="1:59">
      <c r="A891" s="39"/>
      <c r="B891" s="39"/>
      <c r="C891" s="39"/>
      <c r="D891" s="39"/>
      <c r="E891" s="39"/>
      <c r="F891" s="39"/>
      <c r="G891" s="39"/>
      <c r="H891" s="39"/>
      <c r="I891" s="40"/>
      <c r="J891" s="40"/>
      <c r="K891" s="35"/>
      <c r="L891" s="35"/>
      <c r="M891" s="35"/>
      <c r="N891" s="39"/>
      <c r="O891" s="39"/>
      <c r="P891" s="39"/>
      <c r="Q891" s="39"/>
      <c r="R891" s="39"/>
      <c r="S891" s="39"/>
      <c r="T891" s="39"/>
      <c r="U891" s="39"/>
      <c r="V891" s="39"/>
      <c r="W891" s="39"/>
      <c r="X891" s="39"/>
      <c r="Y891" s="39"/>
      <c r="Z891" s="39"/>
      <c r="AA891" s="39"/>
      <c r="AB891" s="39"/>
      <c r="AC891" s="39"/>
      <c r="AD891" s="39"/>
      <c r="AE891" s="39"/>
      <c r="AF891" s="39"/>
      <c r="AG891" s="39"/>
      <c r="AH891" s="39"/>
      <c r="AI891" s="35"/>
      <c r="AJ891" s="39"/>
      <c r="AK891" s="39"/>
      <c r="AL891" s="39"/>
      <c r="AM891" s="35"/>
      <c r="AN891" s="35"/>
      <c r="AO891" s="39"/>
      <c r="AP891" s="39"/>
      <c r="AQ891" s="35"/>
      <c r="AR891" s="35"/>
      <c r="AS891" s="35"/>
      <c r="AT891" s="30">
        <f t="shared" ca="1" si="92"/>
        <v>0</v>
      </c>
      <c r="AU891" s="32" t="str">
        <f t="shared" ca="1" si="91"/>
        <v/>
      </c>
      <c r="AV891" s="32" t="str" cm="1">
        <f t="array" aca="1" ref="AV891" ca="1">IFERROR(_xlfn.IFS($AU891="","",$AU891&lt;=15,"0-15",AND($AU891&gt;=16,$AU891&lt;=30),"16-30",AND($AU891&gt;=31,$AU891&lt;=45),"31-45",AND($AU891&gt;=46,$AU891&lt;=60),"46-60",AND($AU891&gt;=61,$AU891&lt;=90),"61-90",AND($AU891&gt;=91),"&gt; 90",AND($AU891&gt;=2000),""),"")</f>
        <v/>
      </c>
      <c r="AW891" s="32" t="str" cm="1">
        <f t="array" aca="1" ref="AW891" ca="1">IFERROR(_xlfn.IFS(OR($M891="",$AM891=""),"",OR($C891="Offered",$C891="Joined"),($AM891-$M891)-$AT891),"")</f>
        <v/>
      </c>
      <c r="AX891" s="32" t="str" cm="1">
        <f t="array" aca="1" ref="AX891" ca="1">IFERROR(_xlfn.IFS(OR($M891="",$AS891=""),"",$C891="Joined",($AS891-$M891)-$AT891),"")</f>
        <v/>
      </c>
      <c r="AY891" s="30" t="str">
        <f>IFERROR(IF(COUNTIFS('Candidate Tracker'!$E:$E,'Positions Tracker'!$B891,'Candidate Tracker'!$C:$C,"Offer Drop")=0,"",COUNTIFS('Candidate Tracker'!$E:$E,'Positions Tracker'!$B891,'Candidate Tracker'!$C:$C,"Offer Drop")),"")</f>
        <v/>
      </c>
      <c r="AZ89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1" s="34" t="str">
        <f>IFERROR(IF(COUNTIFS('Candidate Tracker'!$E:$E,'Positions Tracker'!$B891,'Candidate Tracker'!$I:$I,"Female")=0,"",COUNTIFS('Candidate Tracker'!$E:$E,'Positions Tracker'!$B891,'Candidate Tracker'!$I:$I,"Female")),"")</f>
        <v/>
      </c>
      <c r="BB891" s="34" t="str">
        <f>IFERROR(IF(COUNTIFS('Candidate Tracker'!$E:$E,'Positions Tracker'!$B891,'Candidate Tracker'!$I:$I,"male")=0,"",COUNTIFS('Candidate Tracker'!$E:$E,'Positions Tracker'!$B891,'Candidate Tracker'!$I:$I,"male")),"")</f>
        <v/>
      </c>
      <c r="BC891" s="33" t="str">
        <f>IFERROR(IF(COUNTIFS('Candidate Tracker'!$E:$E,'Positions Tracker'!$B891,'Candidate Tracker'!$C:$C,"&lt;&gt;WIP",'Candidate Tracker'!$C:$C,"&lt;&gt;Hold",'Candidate Tracker'!$C:$C,"&lt;&gt;Cancelled",'Candidate Tracker'!$C:$C,"&lt;&gt;Closed")/COUNTIFS('Candidate Tracker'!$E:$E,'Positions Tracker'!$B891)=0,"",COUNTIFS('Candidate Tracker'!$E:$E,'Positions Tracker'!$B891,'Candidate Tracker'!$C:$C,"&lt;&gt;WIP",'Candidate Tracker'!$C:$C,"&lt;&gt;Hold",'Candidate Tracker'!$C:$C,"&lt;&gt;Cancelled",'Candidate Tracker'!$C:$C,"&lt;&gt;Closed")/COUNTIFS('Candidate Tracker'!$E:$E,'Positions Tracker'!$B891)),"")</f>
        <v/>
      </c>
      <c r="BD891" s="30" t="str">
        <f t="shared" si="93"/>
        <v/>
      </c>
      <c r="BE891" s="30" t="str">
        <f t="shared" si="94"/>
        <v/>
      </c>
      <c r="BF891" s="30" t="str">
        <f t="shared" si="95"/>
        <v/>
      </c>
      <c r="BG891" s="30" t="str">
        <f t="shared" si="96"/>
        <v/>
      </c>
    </row>
    <row r="892" spans="1:59">
      <c r="A892" s="39"/>
      <c r="B892" s="39"/>
      <c r="C892" s="39"/>
      <c r="D892" s="39"/>
      <c r="E892" s="39"/>
      <c r="F892" s="39"/>
      <c r="G892" s="39"/>
      <c r="H892" s="39"/>
      <c r="I892" s="40"/>
      <c r="J892" s="40"/>
      <c r="K892" s="35"/>
      <c r="L892" s="35"/>
      <c r="M892" s="35"/>
      <c r="N892" s="39"/>
      <c r="O892" s="39"/>
      <c r="P892" s="39"/>
      <c r="Q892" s="39"/>
      <c r="R892" s="39"/>
      <c r="S892" s="39"/>
      <c r="T892" s="39"/>
      <c r="U892" s="39"/>
      <c r="V892" s="39"/>
      <c r="W892" s="39"/>
      <c r="X892" s="39"/>
      <c r="Y892" s="39"/>
      <c r="Z892" s="39"/>
      <c r="AA892" s="39"/>
      <c r="AB892" s="39"/>
      <c r="AC892" s="39"/>
      <c r="AD892" s="39"/>
      <c r="AE892" s="39"/>
      <c r="AF892" s="39"/>
      <c r="AG892" s="39"/>
      <c r="AH892" s="39"/>
      <c r="AI892" s="35"/>
      <c r="AJ892" s="39"/>
      <c r="AK892" s="39"/>
      <c r="AL892" s="39"/>
      <c r="AM892" s="35"/>
      <c r="AN892" s="35"/>
      <c r="AO892" s="39"/>
      <c r="AP892" s="39"/>
      <c r="AQ892" s="35"/>
      <c r="AR892" s="35"/>
      <c r="AS892" s="35"/>
      <c r="AT892" s="30">
        <f t="shared" ca="1" si="92"/>
        <v>0</v>
      </c>
      <c r="AU892" s="32" t="str">
        <f t="shared" ca="1" si="91"/>
        <v/>
      </c>
      <c r="AV892" s="32" t="str" cm="1">
        <f t="array" aca="1" ref="AV892" ca="1">IFERROR(_xlfn.IFS($AU892="","",$AU892&lt;=15,"0-15",AND($AU892&gt;=16,$AU892&lt;=30),"16-30",AND($AU892&gt;=31,$AU892&lt;=45),"31-45",AND($AU892&gt;=46,$AU892&lt;=60),"46-60",AND($AU892&gt;=61,$AU892&lt;=90),"61-90",AND($AU892&gt;=91),"&gt; 90",AND($AU892&gt;=2000),""),"")</f>
        <v/>
      </c>
      <c r="AW892" s="32" t="str" cm="1">
        <f t="array" aca="1" ref="AW892" ca="1">IFERROR(_xlfn.IFS(OR($M892="",$AM892=""),"",OR($C892="Offered",$C892="Joined"),($AM892-$M892)-$AT892),"")</f>
        <v/>
      </c>
      <c r="AX892" s="32" t="str" cm="1">
        <f t="array" aca="1" ref="AX892" ca="1">IFERROR(_xlfn.IFS(OR($M892="",$AS892=""),"",$C892="Joined",($AS892-$M892)-$AT892),"")</f>
        <v/>
      </c>
      <c r="AY892" s="30" t="str">
        <f>IFERROR(IF(COUNTIFS('Candidate Tracker'!$E:$E,'Positions Tracker'!$B892,'Candidate Tracker'!$C:$C,"Offer Drop")=0,"",COUNTIFS('Candidate Tracker'!$E:$E,'Positions Tracker'!$B892,'Candidate Tracker'!$C:$C,"Offer Drop")),"")</f>
        <v/>
      </c>
      <c r="AZ89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2" s="34" t="str">
        <f>IFERROR(IF(COUNTIFS('Candidate Tracker'!$E:$E,'Positions Tracker'!$B892,'Candidate Tracker'!$I:$I,"Female")=0,"",COUNTIFS('Candidate Tracker'!$E:$E,'Positions Tracker'!$B892,'Candidate Tracker'!$I:$I,"Female")),"")</f>
        <v/>
      </c>
      <c r="BB892" s="34" t="str">
        <f>IFERROR(IF(COUNTIFS('Candidate Tracker'!$E:$E,'Positions Tracker'!$B892,'Candidate Tracker'!$I:$I,"male")=0,"",COUNTIFS('Candidate Tracker'!$E:$E,'Positions Tracker'!$B892,'Candidate Tracker'!$I:$I,"male")),"")</f>
        <v/>
      </c>
      <c r="BC892" s="33" t="str">
        <f>IFERROR(IF(COUNTIFS('Candidate Tracker'!$E:$E,'Positions Tracker'!$B892,'Candidate Tracker'!$C:$C,"&lt;&gt;WIP",'Candidate Tracker'!$C:$C,"&lt;&gt;Hold",'Candidate Tracker'!$C:$C,"&lt;&gt;Cancelled",'Candidate Tracker'!$C:$C,"&lt;&gt;Closed")/COUNTIFS('Candidate Tracker'!$E:$E,'Positions Tracker'!$B892)=0,"",COUNTIFS('Candidate Tracker'!$E:$E,'Positions Tracker'!$B892,'Candidate Tracker'!$C:$C,"&lt;&gt;WIP",'Candidate Tracker'!$C:$C,"&lt;&gt;Hold",'Candidate Tracker'!$C:$C,"&lt;&gt;Cancelled",'Candidate Tracker'!$C:$C,"&lt;&gt;Closed")/COUNTIFS('Candidate Tracker'!$E:$E,'Positions Tracker'!$B892)),"")</f>
        <v/>
      </c>
      <c r="BD892" s="30" t="str">
        <f t="shared" si="93"/>
        <v/>
      </c>
      <c r="BE892" s="30" t="str">
        <f t="shared" si="94"/>
        <v/>
      </c>
      <c r="BF892" s="30" t="str">
        <f t="shared" si="95"/>
        <v/>
      </c>
      <c r="BG892" s="30" t="str">
        <f t="shared" si="96"/>
        <v/>
      </c>
    </row>
    <row r="893" spans="1:59">
      <c r="A893" s="39"/>
      <c r="B893" s="39"/>
      <c r="C893" s="39"/>
      <c r="D893" s="39"/>
      <c r="E893" s="39"/>
      <c r="F893" s="39"/>
      <c r="G893" s="39"/>
      <c r="H893" s="39"/>
      <c r="I893" s="40"/>
      <c r="J893" s="40"/>
      <c r="K893" s="35"/>
      <c r="L893" s="35"/>
      <c r="M893" s="35"/>
      <c r="N893" s="39"/>
      <c r="O893" s="39"/>
      <c r="P893" s="39"/>
      <c r="Q893" s="39"/>
      <c r="R893" s="39"/>
      <c r="S893" s="39"/>
      <c r="T893" s="39"/>
      <c r="U893" s="39"/>
      <c r="V893" s="39"/>
      <c r="W893" s="39"/>
      <c r="X893" s="39"/>
      <c r="Y893" s="39"/>
      <c r="Z893" s="39"/>
      <c r="AA893" s="39"/>
      <c r="AB893" s="39"/>
      <c r="AC893" s="39"/>
      <c r="AD893" s="39"/>
      <c r="AE893" s="39"/>
      <c r="AF893" s="39"/>
      <c r="AG893" s="39"/>
      <c r="AH893" s="39"/>
      <c r="AI893" s="35"/>
      <c r="AJ893" s="39"/>
      <c r="AK893" s="39"/>
      <c r="AL893" s="39"/>
      <c r="AM893" s="35"/>
      <c r="AN893" s="35"/>
      <c r="AO893" s="39"/>
      <c r="AP893" s="39"/>
      <c r="AQ893" s="35"/>
      <c r="AR893" s="35"/>
      <c r="AS893" s="35"/>
      <c r="AT893" s="30">
        <f t="shared" ca="1" si="92"/>
        <v>0</v>
      </c>
      <c r="AU893" s="32" t="str">
        <f t="shared" ca="1" si="91"/>
        <v/>
      </c>
      <c r="AV893" s="32" t="str" cm="1">
        <f t="array" aca="1" ref="AV893" ca="1">IFERROR(_xlfn.IFS($AU893="","",$AU893&lt;=15,"0-15",AND($AU893&gt;=16,$AU893&lt;=30),"16-30",AND($AU893&gt;=31,$AU893&lt;=45),"31-45",AND($AU893&gt;=46,$AU893&lt;=60),"46-60",AND($AU893&gt;=61,$AU893&lt;=90),"61-90",AND($AU893&gt;=91),"&gt; 90",AND($AU893&gt;=2000),""),"")</f>
        <v/>
      </c>
      <c r="AW893" s="32" t="str" cm="1">
        <f t="array" aca="1" ref="AW893" ca="1">IFERROR(_xlfn.IFS(OR($M893="",$AM893=""),"",OR($C893="Offered",$C893="Joined"),($AM893-$M893)-$AT893),"")</f>
        <v/>
      </c>
      <c r="AX893" s="32" t="str" cm="1">
        <f t="array" aca="1" ref="AX893" ca="1">IFERROR(_xlfn.IFS(OR($M893="",$AS893=""),"",$C893="Joined",($AS893-$M893)-$AT893),"")</f>
        <v/>
      </c>
      <c r="AY893" s="30" t="str">
        <f>IFERROR(IF(COUNTIFS('Candidate Tracker'!$E:$E,'Positions Tracker'!$B893,'Candidate Tracker'!$C:$C,"Offer Drop")=0,"",COUNTIFS('Candidate Tracker'!$E:$E,'Positions Tracker'!$B893,'Candidate Tracker'!$C:$C,"Offer Drop")),"")</f>
        <v/>
      </c>
      <c r="AZ89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3" s="34" t="str">
        <f>IFERROR(IF(COUNTIFS('Candidate Tracker'!$E:$E,'Positions Tracker'!$B893,'Candidate Tracker'!$I:$I,"Female")=0,"",COUNTIFS('Candidate Tracker'!$E:$E,'Positions Tracker'!$B893,'Candidate Tracker'!$I:$I,"Female")),"")</f>
        <v/>
      </c>
      <c r="BB893" s="34" t="str">
        <f>IFERROR(IF(COUNTIFS('Candidate Tracker'!$E:$E,'Positions Tracker'!$B893,'Candidate Tracker'!$I:$I,"male")=0,"",COUNTIFS('Candidate Tracker'!$E:$E,'Positions Tracker'!$B893,'Candidate Tracker'!$I:$I,"male")),"")</f>
        <v/>
      </c>
      <c r="BC893" s="33" t="str">
        <f>IFERROR(IF(COUNTIFS('Candidate Tracker'!$E:$E,'Positions Tracker'!$B893,'Candidate Tracker'!$C:$C,"&lt;&gt;WIP",'Candidate Tracker'!$C:$C,"&lt;&gt;Hold",'Candidate Tracker'!$C:$C,"&lt;&gt;Cancelled",'Candidate Tracker'!$C:$C,"&lt;&gt;Closed")/COUNTIFS('Candidate Tracker'!$E:$E,'Positions Tracker'!$B893)=0,"",COUNTIFS('Candidate Tracker'!$E:$E,'Positions Tracker'!$B893,'Candidate Tracker'!$C:$C,"&lt;&gt;WIP",'Candidate Tracker'!$C:$C,"&lt;&gt;Hold",'Candidate Tracker'!$C:$C,"&lt;&gt;Cancelled",'Candidate Tracker'!$C:$C,"&lt;&gt;Closed")/COUNTIFS('Candidate Tracker'!$E:$E,'Positions Tracker'!$B893)),"")</f>
        <v/>
      </c>
      <c r="BD893" s="30" t="str">
        <f t="shared" si="93"/>
        <v/>
      </c>
      <c r="BE893" s="30" t="str">
        <f t="shared" si="94"/>
        <v/>
      </c>
      <c r="BF893" s="30" t="str">
        <f t="shared" si="95"/>
        <v/>
      </c>
      <c r="BG893" s="30" t="str">
        <f t="shared" si="96"/>
        <v/>
      </c>
    </row>
    <row r="894" spans="1:59">
      <c r="A894" s="39"/>
      <c r="B894" s="39"/>
      <c r="C894" s="39"/>
      <c r="D894" s="39"/>
      <c r="E894" s="39"/>
      <c r="F894" s="39"/>
      <c r="G894" s="39"/>
      <c r="H894" s="39"/>
      <c r="I894" s="40"/>
      <c r="J894" s="40"/>
      <c r="K894" s="35"/>
      <c r="L894" s="35"/>
      <c r="M894" s="35"/>
      <c r="N894" s="39"/>
      <c r="O894" s="39"/>
      <c r="P894" s="39"/>
      <c r="Q894" s="39"/>
      <c r="R894" s="39"/>
      <c r="S894" s="39"/>
      <c r="T894" s="39"/>
      <c r="U894" s="39"/>
      <c r="V894" s="39"/>
      <c r="W894" s="39"/>
      <c r="X894" s="39"/>
      <c r="Y894" s="39"/>
      <c r="Z894" s="39"/>
      <c r="AA894" s="39"/>
      <c r="AB894" s="39"/>
      <c r="AC894" s="39"/>
      <c r="AD894" s="39"/>
      <c r="AE894" s="39"/>
      <c r="AF894" s="39"/>
      <c r="AG894" s="39"/>
      <c r="AH894" s="39"/>
      <c r="AI894" s="35"/>
      <c r="AJ894" s="39"/>
      <c r="AK894" s="39"/>
      <c r="AL894" s="39"/>
      <c r="AM894" s="35"/>
      <c r="AN894" s="35"/>
      <c r="AO894" s="39"/>
      <c r="AP894" s="39"/>
      <c r="AQ894" s="35"/>
      <c r="AR894" s="35"/>
      <c r="AS894" s="35"/>
      <c r="AT894" s="30">
        <f t="shared" ca="1" si="92"/>
        <v>0</v>
      </c>
      <c r="AU894" s="32" t="str">
        <f t="shared" ca="1" si="91"/>
        <v/>
      </c>
      <c r="AV894" s="32" t="str" cm="1">
        <f t="array" aca="1" ref="AV894" ca="1">IFERROR(_xlfn.IFS($AU894="","",$AU894&lt;=15,"0-15",AND($AU894&gt;=16,$AU894&lt;=30),"16-30",AND($AU894&gt;=31,$AU894&lt;=45),"31-45",AND($AU894&gt;=46,$AU894&lt;=60),"46-60",AND($AU894&gt;=61,$AU894&lt;=90),"61-90",AND($AU894&gt;=91),"&gt; 90",AND($AU894&gt;=2000),""),"")</f>
        <v/>
      </c>
      <c r="AW894" s="32" t="str" cm="1">
        <f t="array" aca="1" ref="AW894" ca="1">IFERROR(_xlfn.IFS(OR($M894="",$AM894=""),"",OR($C894="Offered",$C894="Joined"),($AM894-$M894)-$AT894),"")</f>
        <v/>
      </c>
      <c r="AX894" s="32" t="str" cm="1">
        <f t="array" aca="1" ref="AX894" ca="1">IFERROR(_xlfn.IFS(OR($M894="",$AS894=""),"",$C894="Joined",($AS894-$M894)-$AT894),"")</f>
        <v/>
      </c>
      <c r="AY894" s="30" t="str">
        <f>IFERROR(IF(COUNTIFS('Candidate Tracker'!$E:$E,'Positions Tracker'!$B894,'Candidate Tracker'!$C:$C,"Offer Drop")=0,"",COUNTIFS('Candidate Tracker'!$E:$E,'Positions Tracker'!$B894,'Candidate Tracker'!$C:$C,"Offer Drop")),"")</f>
        <v/>
      </c>
      <c r="AZ89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4" s="34" t="str">
        <f>IFERROR(IF(COUNTIFS('Candidate Tracker'!$E:$E,'Positions Tracker'!$B894,'Candidate Tracker'!$I:$I,"Female")=0,"",COUNTIFS('Candidate Tracker'!$E:$E,'Positions Tracker'!$B894,'Candidate Tracker'!$I:$I,"Female")),"")</f>
        <v/>
      </c>
      <c r="BB894" s="34" t="str">
        <f>IFERROR(IF(COUNTIFS('Candidate Tracker'!$E:$E,'Positions Tracker'!$B894,'Candidate Tracker'!$I:$I,"male")=0,"",COUNTIFS('Candidate Tracker'!$E:$E,'Positions Tracker'!$B894,'Candidate Tracker'!$I:$I,"male")),"")</f>
        <v/>
      </c>
      <c r="BC894" s="33" t="str">
        <f>IFERROR(IF(COUNTIFS('Candidate Tracker'!$E:$E,'Positions Tracker'!$B894,'Candidate Tracker'!$C:$C,"&lt;&gt;WIP",'Candidate Tracker'!$C:$C,"&lt;&gt;Hold",'Candidate Tracker'!$C:$C,"&lt;&gt;Cancelled",'Candidate Tracker'!$C:$C,"&lt;&gt;Closed")/COUNTIFS('Candidate Tracker'!$E:$E,'Positions Tracker'!$B894)=0,"",COUNTIFS('Candidate Tracker'!$E:$E,'Positions Tracker'!$B894,'Candidate Tracker'!$C:$C,"&lt;&gt;WIP",'Candidate Tracker'!$C:$C,"&lt;&gt;Hold",'Candidate Tracker'!$C:$C,"&lt;&gt;Cancelled",'Candidate Tracker'!$C:$C,"&lt;&gt;Closed")/COUNTIFS('Candidate Tracker'!$E:$E,'Positions Tracker'!$B894)),"")</f>
        <v/>
      </c>
      <c r="BD894" s="30" t="str">
        <f t="shared" si="93"/>
        <v/>
      </c>
      <c r="BE894" s="30" t="str">
        <f t="shared" si="94"/>
        <v/>
      </c>
      <c r="BF894" s="30" t="str">
        <f t="shared" si="95"/>
        <v/>
      </c>
      <c r="BG894" s="30" t="str">
        <f t="shared" si="96"/>
        <v/>
      </c>
    </row>
    <row r="895" spans="1:59">
      <c r="A895" s="39"/>
      <c r="B895" s="39"/>
      <c r="C895" s="39"/>
      <c r="D895" s="39"/>
      <c r="E895" s="39"/>
      <c r="F895" s="39"/>
      <c r="G895" s="39"/>
      <c r="H895" s="39"/>
      <c r="I895" s="40"/>
      <c r="J895" s="40"/>
      <c r="K895" s="35"/>
      <c r="L895" s="35"/>
      <c r="M895" s="35"/>
      <c r="N895" s="39"/>
      <c r="O895" s="39"/>
      <c r="P895" s="39"/>
      <c r="Q895" s="39"/>
      <c r="R895" s="39"/>
      <c r="S895" s="39"/>
      <c r="T895" s="39"/>
      <c r="U895" s="39"/>
      <c r="V895" s="39"/>
      <c r="W895" s="39"/>
      <c r="X895" s="39"/>
      <c r="Y895" s="39"/>
      <c r="Z895" s="39"/>
      <c r="AA895" s="39"/>
      <c r="AB895" s="39"/>
      <c r="AC895" s="39"/>
      <c r="AD895" s="39"/>
      <c r="AE895" s="39"/>
      <c r="AF895" s="39"/>
      <c r="AG895" s="39"/>
      <c r="AH895" s="39"/>
      <c r="AI895" s="35"/>
      <c r="AJ895" s="39"/>
      <c r="AK895" s="39"/>
      <c r="AL895" s="39"/>
      <c r="AM895" s="35"/>
      <c r="AN895" s="35"/>
      <c r="AO895" s="39"/>
      <c r="AP895" s="39"/>
      <c r="AQ895" s="35"/>
      <c r="AR895" s="35"/>
      <c r="AS895" s="35"/>
      <c r="AT895" s="30">
        <f t="shared" ca="1" si="92"/>
        <v>0</v>
      </c>
      <c r="AU895" s="32" t="str">
        <f t="shared" ca="1" si="91"/>
        <v/>
      </c>
      <c r="AV895" s="32" t="str" cm="1">
        <f t="array" aca="1" ref="AV895" ca="1">IFERROR(_xlfn.IFS($AU895="","",$AU895&lt;=15,"0-15",AND($AU895&gt;=16,$AU895&lt;=30),"16-30",AND($AU895&gt;=31,$AU895&lt;=45),"31-45",AND($AU895&gt;=46,$AU895&lt;=60),"46-60",AND($AU895&gt;=61,$AU895&lt;=90),"61-90",AND($AU895&gt;=91),"&gt; 90",AND($AU895&gt;=2000),""),"")</f>
        <v/>
      </c>
      <c r="AW895" s="32" t="str" cm="1">
        <f t="array" aca="1" ref="AW895" ca="1">IFERROR(_xlfn.IFS(OR($M895="",$AM895=""),"",OR($C895="Offered",$C895="Joined"),($AM895-$M895)-$AT895),"")</f>
        <v/>
      </c>
      <c r="AX895" s="32" t="str" cm="1">
        <f t="array" aca="1" ref="AX895" ca="1">IFERROR(_xlfn.IFS(OR($M895="",$AS895=""),"",$C895="Joined",($AS895-$M895)-$AT895),"")</f>
        <v/>
      </c>
      <c r="AY895" s="30" t="str">
        <f>IFERROR(IF(COUNTIFS('Candidate Tracker'!$E:$E,'Positions Tracker'!$B895,'Candidate Tracker'!$C:$C,"Offer Drop")=0,"",COUNTIFS('Candidate Tracker'!$E:$E,'Positions Tracker'!$B895,'Candidate Tracker'!$C:$C,"Offer Drop")),"")</f>
        <v/>
      </c>
      <c r="AZ89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5" s="34" t="str">
        <f>IFERROR(IF(COUNTIFS('Candidate Tracker'!$E:$E,'Positions Tracker'!$B895,'Candidate Tracker'!$I:$I,"Female")=0,"",COUNTIFS('Candidate Tracker'!$E:$E,'Positions Tracker'!$B895,'Candidate Tracker'!$I:$I,"Female")),"")</f>
        <v/>
      </c>
      <c r="BB895" s="34" t="str">
        <f>IFERROR(IF(COUNTIFS('Candidate Tracker'!$E:$E,'Positions Tracker'!$B895,'Candidate Tracker'!$I:$I,"male")=0,"",COUNTIFS('Candidate Tracker'!$E:$E,'Positions Tracker'!$B895,'Candidate Tracker'!$I:$I,"male")),"")</f>
        <v/>
      </c>
      <c r="BC895" s="33" t="str">
        <f>IFERROR(IF(COUNTIFS('Candidate Tracker'!$E:$E,'Positions Tracker'!$B895,'Candidate Tracker'!$C:$C,"&lt;&gt;WIP",'Candidate Tracker'!$C:$C,"&lt;&gt;Hold",'Candidate Tracker'!$C:$C,"&lt;&gt;Cancelled",'Candidate Tracker'!$C:$C,"&lt;&gt;Closed")/COUNTIFS('Candidate Tracker'!$E:$E,'Positions Tracker'!$B895)=0,"",COUNTIFS('Candidate Tracker'!$E:$E,'Positions Tracker'!$B895,'Candidate Tracker'!$C:$C,"&lt;&gt;WIP",'Candidate Tracker'!$C:$C,"&lt;&gt;Hold",'Candidate Tracker'!$C:$C,"&lt;&gt;Cancelled",'Candidate Tracker'!$C:$C,"&lt;&gt;Closed")/COUNTIFS('Candidate Tracker'!$E:$E,'Positions Tracker'!$B895)),"")</f>
        <v/>
      </c>
      <c r="BD895" s="30" t="str">
        <f t="shared" si="93"/>
        <v/>
      </c>
      <c r="BE895" s="30" t="str">
        <f t="shared" si="94"/>
        <v/>
      </c>
      <c r="BF895" s="30" t="str">
        <f t="shared" si="95"/>
        <v/>
      </c>
      <c r="BG895" s="30" t="str">
        <f t="shared" si="96"/>
        <v/>
      </c>
    </row>
    <row r="896" spans="1:59">
      <c r="A896" s="39"/>
      <c r="B896" s="39"/>
      <c r="C896" s="39"/>
      <c r="D896" s="39"/>
      <c r="E896" s="39"/>
      <c r="F896" s="39"/>
      <c r="G896" s="39"/>
      <c r="H896" s="39"/>
      <c r="I896" s="40"/>
      <c r="J896" s="40"/>
      <c r="K896" s="35"/>
      <c r="L896" s="35"/>
      <c r="M896" s="35"/>
      <c r="N896" s="39"/>
      <c r="O896" s="39"/>
      <c r="P896" s="39"/>
      <c r="Q896" s="39"/>
      <c r="R896" s="39"/>
      <c r="S896" s="39"/>
      <c r="T896" s="39"/>
      <c r="U896" s="39"/>
      <c r="V896" s="39"/>
      <c r="W896" s="39"/>
      <c r="X896" s="39"/>
      <c r="Y896" s="39"/>
      <c r="Z896" s="39"/>
      <c r="AA896" s="39"/>
      <c r="AB896" s="39"/>
      <c r="AC896" s="39"/>
      <c r="AD896" s="39"/>
      <c r="AE896" s="39"/>
      <c r="AF896" s="39"/>
      <c r="AG896" s="39"/>
      <c r="AH896" s="39"/>
      <c r="AI896" s="35"/>
      <c r="AJ896" s="39"/>
      <c r="AK896" s="39"/>
      <c r="AL896" s="39"/>
      <c r="AM896" s="35"/>
      <c r="AN896" s="35"/>
      <c r="AO896" s="39"/>
      <c r="AP896" s="39"/>
      <c r="AQ896" s="35"/>
      <c r="AR896" s="35"/>
      <c r="AS896" s="35"/>
      <c r="AT896" s="30">
        <f t="shared" ca="1" si="92"/>
        <v>0</v>
      </c>
      <c r="AU896" s="32" t="str">
        <f t="shared" ref="AU896:AU959" ca="1" si="97">IFERROR(IF(($M896=""),"",IF(OR(,$C896="Offer in Progress",$C896="WIP",$C896="WIP/Drop",$C896="WIP/New",$C896="WIP/Hold"),(TODAY()-$M896)-$AT896,"")),"")</f>
        <v/>
      </c>
      <c r="AV896" s="32" t="str" cm="1">
        <f t="array" aca="1" ref="AV896" ca="1">IFERROR(_xlfn.IFS($AU896="","",$AU896&lt;=15,"0-15",AND($AU896&gt;=16,$AU896&lt;=30),"16-30",AND($AU896&gt;=31,$AU896&lt;=45),"31-45",AND($AU896&gt;=46,$AU896&lt;=60),"46-60",AND($AU896&gt;=61,$AU896&lt;=90),"61-90",AND($AU896&gt;=91),"&gt; 90",AND($AU896&gt;=2000),""),"")</f>
        <v/>
      </c>
      <c r="AW896" s="32" t="str" cm="1">
        <f t="array" aca="1" ref="AW896" ca="1">IFERROR(_xlfn.IFS(OR($M896="",$AM896=""),"",OR($C896="Offered",$C896="Joined"),($AM896-$M896)-$AT896),"")</f>
        <v/>
      </c>
      <c r="AX896" s="32" t="str" cm="1">
        <f t="array" aca="1" ref="AX896" ca="1">IFERROR(_xlfn.IFS(OR($M896="",$AS896=""),"",$C896="Joined",($AS896-$M896)-$AT896),"")</f>
        <v/>
      </c>
      <c r="AY896" s="30" t="str">
        <f>IFERROR(IF(COUNTIFS('Candidate Tracker'!$E:$E,'Positions Tracker'!$B896,'Candidate Tracker'!$C:$C,"Offer Drop")=0,"",COUNTIFS('Candidate Tracker'!$E:$E,'Positions Tracker'!$B896,'Candidate Tracker'!$C:$C,"Offer Drop")),"")</f>
        <v/>
      </c>
      <c r="AZ89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6" s="34" t="str">
        <f>IFERROR(IF(COUNTIFS('Candidate Tracker'!$E:$E,'Positions Tracker'!$B896,'Candidate Tracker'!$I:$I,"Female")=0,"",COUNTIFS('Candidate Tracker'!$E:$E,'Positions Tracker'!$B896,'Candidate Tracker'!$I:$I,"Female")),"")</f>
        <v/>
      </c>
      <c r="BB896" s="34" t="str">
        <f>IFERROR(IF(COUNTIFS('Candidate Tracker'!$E:$E,'Positions Tracker'!$B896,'Candidate Tracker'!$I:$I,"male")=0,"",COUNTIFS('Candidate Tracker'!$E:$E,'Positions Tracker'!$B896,'Candidate Tracker'!$I:$I,"male")),"")</f>
        <v/>
      </c>
      <c r="BC896" s="33" t="str">
        <f>IFERROR(IF(COUNTIFS('Candidate Tracker'!$E:$E,'Positions Tracker'!$B896,'Candidate Tracker'!$C:$C,"&lt;&gt;WIP",'Candidate Tracker'!$C:$C,"&lt;&gt;Hold",'Candidate Tracker'!$C:$C,"&lt;&gt;Cancelled",'Candidate Tracker'!$C:$C,"&lt;&gt;Closed")/COUNTIFS('Candidate Tracker'!$E:$E,'Positions Tracker'!$B896)=0,"",COUNTIFS('Candidate Tracker'!$E:$E,'Positions Tracker'!$B896,'Candidate Tracker'!$C:$C,"&lt;&gt;WIP",'Candidate Tracker'!$C:$C,"&lt;&gt;Hold",'Candidate Tracker'!$C:$C,"&lt;&gt;Cancelled",'Candidate Tracker'!$C:$C,"&lt;&gt;Closed")/COUNTIFS('Candidate Tracker'!$E:$E,'Positions Tracker'!$B896)),"")</f>
        <v/>
      </c>
      <c r="BD896" s="30" t="str">
        <f t="shared" si="93"/>
        <v/>
      </c>
      <c r="BE896" s="30" t="str">
        <f t="shared" si="94"/>
        <v/>
      </c>
      <c r="BF896" s="30" t="str">
        <f t="shared" si="95"/>
        <v/>
      </c>
      <c r="BG896" s="30" t="str">
        <f t="shared" si="96"/>
        <v/>
      </c>
    </row>
    <row r="897" spans="1:59">
      <c r="A897" s="39"/>
      <c r="B897" s="39"/>
      <c r="C897" s="39"/>
      <c r="D897" s="39"/>
      <c r="E897" s="39"/>
      <c r="F897" s="39"/>
      <c r="G897" s="39"/>
      <c r="H897" s="39"/>
      <c r="I897" s="40"/>
      <c r="J897" s="40"/>
      <c r="K897" s="35"/>
      <c r="L897" s="35"/>
      <c r="M897" s="35"/>
      <c r="N897" s="39"/>
      <c r="O897" s="39"/>
      <c r="P897" s="39"/>
      <c r="Q897" s="39"/>
      <c r="R897" s="39"/>
      <c r="S897" s="39"/>
      <c r="T897" s="39"/>
      <c r="U897" s="39"/>
      <c r="V897" s="39"/>
      <c r="W897" s="39"/>
      <c r="X897" s="39"/>
      <c r="Y897" s="39"/>
      <c r="Z897" s="39"/>
      <c r="AA897" s="39"/>
      <c r="AB897" s="39"/>
      <c r="AC897" s="39"/>
      <c r="AD897" s="39"/>
      <c r="AE897" s="39"/>
      <c r="AF897" s="39"/>
      <c r="AG897" s="39"/>
      <c r="AH897" s="39"/>
      <c r="AI897" s="35"/>
      <c r="AJ897" s="39"/>
      <c r="AK897" s="39"/>
      <c r="AL897" s="39"/>
      <c r="AM897" s="35"/>
      <c r="AN897" s="35"/>
      <c r="AO897" s="39"/>
      <c r="AP897" s="39"/>
      <c r="AQ897" s="35"/>
      <c r="AR897" s="35"/>
      <c r="AS897" s="35"/>
      <c r="AT897" s="30">
        <f t="shared" ref="AT897:AT960" ca="1" si="98">IFERROR(SUM(IF(AND(ISBLANK(T897),ISBLANK(Q897)),0,IF(T897="",TODAY()-Q897,T897-Q897))+IF(AND(ISBLANK(S897),ISBLANK(P897)),0,IF(S897="",TODAY()-P897,S897-P897))+IF(AND(ISBLANK(O897),ISBLANK(R897)),0,IF(R897="",TODAY()-O897,R897-O897))),"")</f>
        <v>0</v>
      </c>
      <c r="AU897" s="32" t="str">
        <f t="shared" ca="1" si="97"/>
        <v/>
      </c>
      <c r="AV897" s="32" t="str" cm="1">
        <f t="array" aca="1" ref="AV897" ca="1">IFERROR(_xlfn.IFS($AU897="","",$AU897&lt;=15,"0-15",AND($AU897&gt;=16,$AU897&lt;=30),"16-30",AND($AU897&gt;=31,$AU897&lt;=45),"31-45",AND($AU897&gt;=46,$AU897&lt;=60),"46-60",AND($AU897&gt;=61,$AU897&lt;=90),"61-90",AND($AU897&gt;=91),"&gt; 90",AND($AU897&gt;=2000),""),"")</f>
        <v/>
      </c>
      <c r="AW897" s="32" t="str" cm="1">
        <f t="array" aca="1" ref="AW897" ca="1">IFERROR(_xlfn.IFS(OR($M897="",$AM897=""),"",OR($C897="Offered",$C897="Joined"),($AM897-$M897)-$AT897),"")</f>
        <v/>
      </c>
      <c r="AX897" s="32" t="str" cm="1">
        <f t="array" aca="1" ref="AX897" ca="1">IFERROR(_xlfn.IFS(OR($M897="",$AS897=""),"",$C897="Joined",($AS897-$M897)-$AT897),"")</f>
        <v/>
      </c>
      <c r="AY897" s="30" t="str">
        <f>IFERROR(IF(COUNTIFS('Candidate Tracker'!$E:$E,'Positions Tracker'!$B897,'Candidate Tracker'!$C:$C,"Offer Drop")=0,"",COUNTIFS('Candidate Tracker'!$E:$E,'Positions Tracker'!$B897,'Candidate Tracker'!$C:$C,"Offer Drop")),"")</f>
        <v/>
      </c>
      <c r="AZ89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7" s="34" t="str">
        <f>IFERROR(IF(COUNTIFS('Candidate Tracker'!$E:$E,'Positions Tracker'!$B897,'Candidate Tracker'!$I:$I,"Female")=0,"",COUNTIFS('Candidate Tracker'!$E:$E,'Positions Tracker'!$B897,'Candidate Tracker'!$I:$I,"Female")),"")</f>
        <v/>
      </c>
      <c r="BB897" s="34" t="str">
        <f>IFERROR(IF(COUNTIFS('Candidate Tracker'!$E:$E,'Positions Tracker'!$B897,'Candidate Tracker'!$I:$I,"male")=0,"",COUNTIFS('Candidate Tracker'!$E:$E,'Positions Tracker'!$B897,'Candidate Tracker'!$I:$I,"male")),"")</f>
        <v/>
      </c>
      <c r="BC897" s="33" t="str">
        <f>IFERROR(IF(COUNTIFS('Candidate Tracker'!$E:$E,'Positions Tracker'!$B897,'Candidate Tracker'!$C:$C,"&lt;&gt;WIP",'Candidate Tracker'!$C:$C,"&lt;&gt;Hold",'Candidate Tracker'!$C:$C,"&lt;&gt;Cancelled",'Candidate Tracker'!$C:$C,"&lt;&gt;Closed")/COUNTIFS('Candidate Tracker'!$E:$E,'Positions Tracker'!$B897)=0,"",COUNTIFS('Candidate Tracker'!$E:$E,'Positions Tracker'!$B897,'Candidate Tracker'!$C:$C,"&lt;&gt;WIP",'Candidate Tracker'!$C:$C,"&lt;&gt;Hold",'Candidate Tracker'!$C:$C,"&lt;&gt;Cancelled",'Candidate Tracker'!$C:$C,"&lt;&gt;Closed")/COUNTIFS('Candidate Tracker'!$E:$E,'Positions Tracker'!$B897)),"")</f>
        <v/>
      </c>
      <c r="BD897" s="30" t="str">
        <f t="shared" ref="BD897:BD960" si="99">IFERROR(IF($M897="","",TEXT($M897,"MMM-YY")),"")</f>
        <v/>
      </c>
      <c r="BE897" s="30" t="str">
        <f t="shared" ref="BE897:BE960" si="100">IFERROR(IF($AI897="","",TEXT($AI897,"MMM-YY")),"")</f>
        <v/>
      </c>
      <c r="BF897" s="30" t="str">
        <f t="shared" ref="BF897:BF960" si="101">IFERROR(IF($AM897="","",TEXT($AM897,"MMM-YY")),"")</f>
        <v/>
      </c>
      <c r="BG897" s="30" t="str">
        <f t="shared" ref="BG897:BG960" si="102">IFERROR(IF($AS897="","",TEXT($AS897,"MMM-YY")),"")</f>
        <v/>
      </c>
    </row>
    <row r="898" spans="1:59">
      <c r="A898" s="39"/>
      <c r="B898" s="39"/>
      <c r="C898" s="39"/>
      <c r="D898" s="39"/>
      <c r="E898" s="39"/>
      <c r="F898" s="39"/>
      <c r="G898" s="39"/>
      <c r="H898" s="39"/>
      <c r="I898" s="40"/>
      <c r="J898" s="40"/>
      <c r="K898" s="35"/>
      <c r="L898" s="35"/>
      <c r="M898" s="35"/>
      <c r="N898" s="39"/>
      <c r="O898" s="39"/>
      <c r="P898" s="39"/>
      <c r="Q898" s="39"/>
      <c r="R898" s="39"/>
      <c r="S898" s="39"/>
      <c r="T898" s="39"/>
      <c r="U898" s="39"/>
      <c r="V898" s="39"/>
      <c r="W898" s="39"/>
      <c r="X898" s="39"/>
      <c r="Y898" s="39"/>
      <c r="Z898" s="39"/>
      <c r="AA898" s="39"/>
      <c r="AB898" s="39"/>
      <c r="AC898" s="39"/>
      <c r="AD898" s="39"/>
      <c r="AE898" s="39"/>
      <c r="AF898" s="39"/>
      <c r="AG898" s="39"/>
      <c r="AH898" s="39"/>
      <c r="AI898" s="35"/>
      <c r="AJ898" s="39"/>
      <c r="AK898" s="39"/>
      <c r="AL898" s="39"/>
      <c r="AM898" s="35"/>
      <c r="AN898" s="35"/>
      <c r="AO898" s="39"/>
      <c r="AP898" s="39"/>
      <c r="AQ898" s="35"/>
      <c r="AR898" s="35"/>
      <c r="AS898" s="35"/>
      <c r="AT898" s="30">
        <f t="shared" ca="1" si="98"/>
        <v>0</v>
      </c>
      <c r="AU898" s="32" t="str">
        <f t="shared" ca="1" si="97"/>
        <v/>
      </c>
      <c r="AV898" s="32" t="str" cm="1">
        <f t="array" aca="1" ref="AV898" ca="1">IFERROR(_xlfn.IFS($AU898="","",$AU898&lt;=15,"0-15",AND($AU898&gt;=16,$AU898&lt;=30),"16-30",AND($AU898&gt;=31,$AU898&lt;=45),"31-45",AND($AU898&gt;=46,$AU898&lt;=60),"46-60",AND($AU898&gt;=61,$AU898&lt;=90),"61-90",AND($AU898&gt;=91),"&gt; 90",AND($AU898&gt;=2000),""),"")</f>
        <v/>
      </c>
      <c r="AW898" s="32" t="str" cm="1">
        <f t="array" aca="1" ref="AW898" ca="1">IFERROR(_xlfn.IFS(OR($M898="",$AM898=""),"",OR($C898="Offered",$C898="Joined"),($AM898-$M898)-$AT898),"")</f>
        <v/>
      </c>
      <c r="AX898" s="32" t="str" cm="1">
        <f t="array" aca="1" ref="AX898" ca="1">IFERROR(_xlfn.IFS(OR($M898="",$AS898=""),"",$C898="Joined",($AS898-$M898)-$AT898),"")</f>
        <v/>
      </c>
      <c r="AY898" s="30" t="str">
        <f>IFERROR(IF(COUNTIFS('Candidate Tracker'!$E:$E,'Positions Tracker'!$B898,'Candidate Tracker'!$C:$C,"Offer Drop")=0,"",COUNTIFS('Candidate Tracker'!$E:$E,'Positions Tracker'!$B898,'Candidate Tracker'!$C:$C,"Offer Drop")),"")</f>
        <v/>
      </c>
      <c r="AZ89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8" s="34" t="str">
        <f>IFERROR(IF(COUNTIFS('Candidate Tracker'!$E:$E,'Positions Tracker'!$B898,'Candidate Tracker'!$I:$I,"Female")=0,"",COUNTIFS('Candidate Tracker'!$E:$E,'Positions Tracker'!$B898,'Candidate Tracker'!$I:$I,"Female")),"")</f>
        <v/>
      </c>
      <c r="BB898" s="34" t="str">
        <f>IFERROR(IF(COUNTIFS('Candidate Tracker'!$E:$E,'Positions Tracker'!$B898,'Candidate Tracker'!$I:$I,"male")=0,"",COUNTIFS('Candidate Tracker'!$E:$E,'Positions Tracker'!$B898,'Candidate Tracker'!$I:$I,"male")),"")</f>
        <v/>
      </c>
      <c r="BC898" s="33" t="str">
        <f>IFERROR(IF(COUNTIFS('Candidate Tracker'!$E:$E,'Positions Tracker'!$B898,'Candidate Tracker'!$C:$C,"&lt;&gt;WIP",'Candidate Tracker'!$C:$C,"&lt;&gt;Hold",'Candidate Tracker'!$C:$C,"&lt;&gt;Cancelled",'Candidate Tracker'!$C:$C,"&lt;&gt;Closed")/COUNTIFS('Candidate Tracker'!$E:$E,'Positions Tracker'!$B898)=0,"",COUNTIFS('Candidate Tracker'!$E:$E,'Positions Tracker'!$B898,'Candidate Tracker'!$C:$C,"&lt;&gt;WIP",'Candidate Tracker'!$C:$C,"&lt;&gt;Hold",'Candidate Tracker'!$C:$C,"&lt;&gt;Cancelled",'Candidate Tracker'!$C:$C,"&lt;&gt;Closed")/COUNTIFS('Candidate Tracker'!$E:$E,'Positions Tracker'!$B898)),"")</f>
        <v/>
      </c>
      <c r="BD898" s="30" t="str">
        <f t="shared" si="99"/>
        <v/>
      </c>
      <c r="BE898" s="30" t="str">
        <f t="shared" si="100"/>
        <v/>
      </c>
      <c r="BF898" s="30" t="str">
        <f t="shared" si="101"/>
        <v/>
      </c>
      <c r="BG898" s="30" t="str">
        <f t="shared" si="102"/>
        <v/>
      </c>
    </row>
    <row r="899" spans="1:59">
      <c r="A899" s="39"/>
      <c r="B899" s="39"/>
      <c r="C899" s="39"/>
      <c r="D899" s="39"/>
      <c r="E899" s="39"/>
      <c r="F899" s="39"/>
      <c r="G899" s="39"/>
      <c r="H899" s="39"/>
      <c r="I899" s="40"/>
      <c r="J899" s="40"/>
      <c r="K899" s="35"/>
      <c r="L899" s="35"/>
      <c r="M899" s="35"/>
      <c r="N899" s="39"/>
      <c r="O899" s="39"/>
      <c r="P899" s="39"/>
      <c r="Q899" s="39"/>
      <c r="R899" s="39"/>
      <c r="S899" s="39"/>
      <c r="T899" s="39"/>
      <c r="U899" s="39"/>
      <c r="V899" s="39"/>
      <c r="W899" s="39"/>
      <c r="X899" s="39"/>
      <c r="Y899" s="39"/>
      <c r="Z899" s="39"/>
      <c r="AA899" s="39"/>
      <c r="AB899" s="39"/>
      <c r="AC899" s="39"/>
      <c r="AD899" s="39"/>
      <c r="AE899" s="39"/>
      <c r="AF899" s="39"/>
      <c r="AG899" s="39"/>
      <c r="AH899" s="39"/>
      <c r="AI899" s="35"/>
      <c r="AJ899" s="39"/>
      <c r="AK899" s="39"/>
      <c r="AL899" s="39"/>
      <c r="AM899" s="35"/>
      <c r="AN899" s="35"/>
      <c r="AO899" s="39"/>
      <c r="AP899" s="39"/>
      <c r="AQ899" s="35"/>
      <c r="AR899" s="35"/>
      <c r="AS899" s="35"/>
      <c r="AT899" s="30">
        <f t="shared" ca="1" si="98"/>
        <v>0</v>
      </c>
      <c r="AU899" s="32" t="str">
        <f t="shared" ca="1" si="97"/>
        <v/>
      </c>
      <c r="AV899" s="32" t="str" cm="1">
        <f t="array" aca="1" ref="AV899" ca="1">IFERROR(_xlfn.IFS($AU899="","",$AU899&lt;=15,"0-15",AND($AU899&gt;=16,$AU899&lt;=30),"16-30",AND($AU899&gt;=31,$AU899&lt;=45),"31-45",AND($AU899&gt;=46,$AU899&lt;=60),"46-60",AND($AU899&gt;=61,$AU899&lt;=90),"61-90",AND($AU899&gt;=91),"&gt; 90",AND($AU899&gt;=2000),""),"")</f>
        <v/>
      </c>
      <c r="AW899" s="32" t="str" cm="1">
        <f t="array" aca="1" ref="AW899" ca="1">IFERROR(_xlfn.IFS(OR($M899="",$AM899=""),"",OR($C899="Offered",$C899="Joined"),($AM899-$M899)-$AT899),"")</f>
        <v/>
      </c>
      <c r="AX899" s="32" t="str" cm="1">
        <f t="array" aca="1" ref="AX899" ca="1">IFERROR(_xlfn.IFS(OR($M899="",$AS899=""),"",$C899="Joined",($AS899-$M899)-$AT899),"")</f>
        <v/>
      </c>
      <c r="AY899" s="30" t="str">
        <f>IFERROR(IF(COUNTIFS('Candidate Tracker'!$E:$E,'Positions Tracker'!$B899,'Candidate Tracker'!$C:$C,"Offer Drop")=0,"",COUNTIFS('Candidate Tracker'!$E:$E,'Positions Tracker'!$B899,'Candidate Tracker'!$C:$C,"Offer Drop")),"")</f>
        <v/>
      </c>
      <c r="AZ89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899" s="34" t="str">
        <f>IFERROR(IF(COUNTIFS('Candidate Tracker'!$E:$E,'Positions Tracker'!$B899,'Candidate Tracker'!$I:$I,"Female")=0,"",COUNTIFS('Candidate Tracker'!$E:$E,'Positions Tracker'!$B899,'Candidate Tracker'!$I:$I,"Female")),"")</f>
        <v/>
      </c>
      <c r="BB899" s="34" t="str">
        <f>IFERROR(IF(COUNTIFS('Candidate Tracker'!$E:$E,'Positions Tracker'!$B899,'Candidate Tracker'!$I:$I,"male")=0,"",COUNTIFS('Candidate Tracker'!$E:$E,'Positions Tracker'!$B899,'Candidate Tracker'!$I:$I,"male")),"")</f>
        <v/>
      </c>
      <c r="BC899" s="33" t="str">
        <f>IFERROR(IF(COUNTIFS('Candidate Tracker'!$E:$E,'Positions Tracker'!$B899,'Candidate Tracker'!$C:$C,"&lt;&gt;WIP",'Candidate Tracker'!$C:$C,"&lt;&gt;Hold",'Candidate Tracker'!$C:$C,"&lt;&gt;Cancelled",'Candidate Tracker'!$C:$C,"&lt;&gt;Closed")/COUNTIFS('Candidate Tracker'!$E:$E,'Positions Tracker'!$B899)=0,"",COUNTIFS('Candidate Tracker'!$E:$E,'Positions Tracker'!$B899,'Candidate Tracker'!$C:$C,"&lt;&gt;WIP",'Candidate Tracker'!$C:$C,"&lt;&gt;Hold",'Candidate Tracker'!$C:$C,"&lt;&gt;Cancelled",'Candidate Tracker'!$C:$C,"&lt;&gt;Closed")/COUNTIFS('Candidate Tracker'!$E:$E,'Positions Tracker'!$B899)),"")</f>
        <v/>
      </c>
      <c r="BD899" s="30" t="str">
        <f t="shared" si="99"/>
        <v/>
      </c>
      <c r="BE899" s="30" t="str">
        <f t="shared" si="100"/>
        <v/>
      </c>
      <c r="BF899" s="30" t="str">
        <f t="shared" si="101"/>
        <v/>
      </c>
      <c r="BG899" s="30" t="str">
        <f t="shared" si="102"/>
        <v/>
      </c>
    </row>
    <row r="900" spans="1:59">
      <c r="A900" s="39"/>
      <c r="B900" s="39"/>
      <c r="C900" s="39"/>
      <c r="D900" s="39"/>
      <c r="E900" s="39"/>
      <c r="F900" s="39"/>
      <c r="G900" s="39"/>
      <c r="H900" s="39"/>
      <c r="I900" s="40"/>
      <c r="J900" s="40"/>
      <c r="K900" s="35"/>
      <c r="L900" s="35"/>
      <c r="M900" s="35"/>
      <c r="N900" s="39"/>
      <c r="O900" s="39"/>
      <c r="P900" s="39"/>
      <c r="Q900" s="39"/>
      <c r="R900" s="39"/>
      <c r="S900" s="39"/>
      <c r="T900" s="39"/>
      <c r="U900" s="39"/>
      <c r="V900" s="39"/>
      <c r="W900" s="39"/>
      <c r="X900" s="39"/>
      <c r="Y900" s="39"/>
      <c r="Z900" s="39"/>
      <c r="AA900" s="39"/>
      <c r="AB900" s="39"/>
      <c r="AC900" s="39"/>
      <c r="AD900" s="39"/>
      <c r="AE900" s="39"/>
      <c r="AF900" s="39"/>
      <c r="AG900" s="39"/>
      <c r="AH900" s="39"/>
      <c r="AI900" s="35"/>
      <c r="AJ900" s="39"/>
      <c r="AK900" s="39"/>
      <c r="AL900" s="39"/>
      <c r="AM900" s="35"/>
      <c r="AN900" s="35"/>
      <c r="AO900" s="39"/>
      <c r="AP900" s="39"/>
      <c r="AQ900" s="35"/>
      <c r="AR900" s="35"/>
      <c r="AS900" s="35"/>
      <c r="AT900" s="30">
        <f t="shared" ca="1" si="98"/>
        <v>0</v>
      </c>
      <c r="AU900" s="32" t="str">
        <f t="shared" ca="1" si="97"/>
        <v/>
      </c>
      <c r="AV900" s="32" t="str" cm="1">
        <f t="array" aca="1" ref="AV900" ca="1">IFERROR(_xlfn.IFS($AU900="","",$AU900&lt;=15,"0-15",AND($AU900&gt;=16,$AU900&lt;=30),"16-30",AND($AU900&gt;=31,$AU900&lt;=45),"31-45",AND($AU900&gt;=46,$AU900&lt;=60),"46-60",AND($AU900&gt;=61,$AU900&lt;=90),"61-90",AND($AU900&gt;=91),"&gt; 90",AND($AU900&gt;=2000),""),"")</f>
        <v/>
      </c>
      <c r="AW900" s="32" t="str" cm="1">
        <f t="array" aca="1" ref="AW900" ca="1">IFERROR(_xlfn.IFS(OR($M900="",$AM900=""),"",OR($C900="Offered",$C900="Joined"),($AM900-$M900)-$AT900),"")</f>
        <v/>
      </c>
      <c r="AX900" s="32" t="str" cm="1">
        <f t="array" aca="1" ref="AX900" ca="1">IFERROR(_xlfn.IFS(OR($M900="",$AS900=""),"",$C900="Joined",($AS900-$M900)-$AT900),"")</f>
        <v/>
      </c>
      <c r="AY900" s="30" t="str">
        <f>IFERROR(IF(COUNTIFS('Candidate Tracker'!$E:$E,'Positions Tracker'!$B900,'Candidate Tracker'!$C:$C,"Offer Drop")=0,"",COUNTIFS('Candidate Tracker'!$E:$E,'Positions Tracker'!$B900,'Candidate Tracker'!$C:$C,"Offer Drop")),"")</f>
        <v/>
      </c>
      <c r="AZ90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0" s="34" t="str">
        <f>IFERROR(IF(COUNTIFS('Candidate Tracker'!$E:$E,'Positions Tracker'!$B900,'Candidate Tracker'!$I:$I,"Female")=0,"",COUNTIFS('Candidate Tracker'!$E:$E,'Positions Tracker'!$B900,'Candidate Tracker'!$I:$I,"Female")),"")</f>
        <v/>
      </c>
      <c r="BB900" s="34" t="str">
        <f>IFERROR(IF(COUNTIFS('Candidate Tracker'!$E:$E,'Positions Tracker'!$B900,'Candidate Tracker'!$I:$I,"male")=0,"",COUNTIFS('Candidate Tracker'!$E:$E,'Positions Tracker'!$B900,'Candidate Tracker'!$I:$I,"male")),"")</f>
        <v/>
      </c>
      <c r="BC900" s="33" t="str">
        <f>IFERROR(IF(COUNTIFS('Candidate Tracker'!$E:$E,'Positions Tracker'!$B900,'Candidate Tracker'!$C:$C,"&lt;&gt;WIP",'Candidate Tracker'!$C:$C,"&lt;&gt;Hold",'Candidate Tracker'!$C:$C,"&lt;&gt;Cancelled",'Candidate Tracker'!$C:$C,"&lt;&gt;Closed")/COUNTIFS('Candidate Tracker'!$E:$E,'Positions Tracker'!$B900)=0,"",COUNTIFS('Candidate Tracker'!$E:$E,'Positions Tracker'!$B900,'Candidate Tracker'!$C:$C,"&lt;&gt;WIP",'Candidate Tracker'!$C:$C,"&lt;&gt;Hold",'Candidate Tracker'!$C:$C,"&lt;&gt;Cancelled",'Candidate Tracker'!$C:$C,"&lt;&gt;Closed")/COUNTIFS('Candidate Tracker'!$E:$E,'Positions Tracker'!$B900)),"")</f>
        <v/>
      </c>
      <c r="BD900" s="30" t="str">
        <f t="shared" si="99"/>
        <v/>
      </c>
      <c r="BE900" s="30" t="str">
        <f t="shared" si="100"/>
        <v/>
      </c>
      <c r="BF900" s="30" t="str">
        <f t="shared" si="101"/>
        <v/>
      </c>
      <c r="BG900" s="30" t="str">
        <f t="shared" si="102"/>
        <v/>
      </c>
    </row>
    <row r="901" spans="1:59">
      <c r="A901" s="39"/>
      <c r="B901" s="39"/>
      <c r="C901" s="39"/>
      <c r="D901" s="39"/>
      <c r="E901" s="39"/>
      <c r="F901" s="39"/>
      <c r="G901" s="39"/>
      <c r="H901" s="39"/>
      <c r="I901" s="40"/>
      <c r="J901" s="40"/>
      <c r="K901" s="35"/>
      <c r="L901" s="35"/>
      <c r="M901" s="35"/>
      <c r="N901" s="39"/>
      <c r="O901" s="39"/>
      <c r="P901" s="39"/>
      <c r="Q901" s="39"/>
      <c r="R901" s="39"/>
      <c r="S901" s="39"/>
      <c r="T901" s="39"/>
      <c r="U901" s="39"/>
      <c r="V901" s="39"/>
      <c r="W901" s="39"/>
      <c r="X901" s="39"/>
      <c r="Y901" s="39"/>
      <c r="Z901" s="39"/>
      <c r="AA901" s="39"/>
      <c r="AB901" s="39"/>
      <c r="AC901" s="39"/>
      <c r="AD901" s="39"/>
      <c r="AE901" s="39"/>
      <c r="AF901" s="39"/>
      <c r="AG901" s="39"/>
      <c r="AH901" s="39"/>
      <c r="AI901" s="35"/>
      <c r="AJ901" s="39"/>
      <c r="AK901" s="39"/>
      <c r="AL901" s="39"/>
      <c r="AM901" s="35"/>
      <c r="AN901" s="35"/>
      <c r="AO901" s="39"/>
      <c r="AP901" s="39"/>
      <c r="AQ901" s="35"/>
      <c r="AR901" s="35"/>
      <c r="AS901" s="35"/>
      <c r="AT901" s="30">
        <f t="shared" ca="1" si="98"/>
        <v>0</v>
      </c>
      <c r="AU901" s="32" t="str">
        <f t="shared" ca="1" si="97"/>
        <v/>
      </c>
      <c r="AV901" s="32" t="str" cm="1">
        <f t="array" aca="1" ref="AV901" ca="1">IFERROR(_xlfn.IFS($AU901="","",$AU901&lt;=15,"0-15",AND($AU901&gt;=16,$AU901&lt;=30),"16-30",AND($AU901&gt;=31,$AU901&lt;=45),"31-45",AND($AU901&gt;=46,$AU901&lt;=60),"46-60",AND($AU901&gt;=61,$AU901&lt;=90),"61-90",AND($AU901&gt;=91),"&gt; 90",AND($AU901&gt;=2000),""),"")</f>
        <v/>
      </c>
      <c r="AW901" s="32" t="str" cm="1">
        <f t="array" aca="1" ref="AW901" ca="1">IFERROR(_xlfn.IFS(OR($M901="",$AM901=""),"",OR($C901="Offered",$C901="Joined"),($AM901-$M901)-$AT901),"")</f>
        <v/>
      </c>
      <c r="AX901" s="32" t="str" cm="1">
        <f t="array" aca="1" ref="AX901" ca="1">IFERROR(_xlfn.IFS(OR($M901="",$AS901=""),"",$C901="Joined",($AS901-$M901)-$AT901),"")</f>
        <v/>
      </c>
      <c r="AY901" s="30" t="str">
        <f>IFERROR(IF(COUNTIFS('Candidate Tracker'!$E:$E,'Positions Tracker'!$B901,'Candidate Tracker'!$C:$C,"Offer Drop")=0,"",COUNTIFS('Candidate Tracker'!$E:$E,'Positions Tracker'!$B901,'Candidate Tracker'!$C:$C,"Offer Drop")),"")</f>
        <v/>
      </c>
      <c r="AZ90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1" s="34" t="str">
        <f>IFERROR(IF(COUNTIFS('Candidate Tracker'!$E:$E,'Positions Tracker'!$B901,'Candidate Tracker'!$I:$I,"Female")=0,"",COUNTIFS('Candidate Tracker'!$E:$E,'Positions Tracker'!$B901,'Candidate Tracker'!$I:$I,"Female")),"")</f>
        <v/>
      </c>
      <c r="BB901" s="34" t="str">
        <f>IFERROR(IF(COUNTIFS('Candidate Tracker'!$E:$E,'Positions Tracker'!$B901,'Candidate Tracker'!$I:$I,"male")=0,"",COUNTIFS('Candidate Tracker'!$E:$E,'Positions Tracker'!$B901,'Candidate Tracker'!$I:$I,"male")),"")</f>
        <v/>
      </c>
      <c r="BC901" s="33" t="str">
        <f>IFERROR(IF(COUNTIFS('Candidate Tracker'!$E:$E,'Positions Tracker'!$B901,'Candidate Tracker'!$C:$C,"&lt;&gt;WIP",'Candidate Tracker'!$C:$C,"&lt;&gt;Hold",'Candidate Tracker'!$C:$C,"&lt;&gt;Cancelled",'Candidate Tracker'!$C:$C,"&lt;&gt;Closed")/COUNTIFS('Candidate Tracker'!$E:$E,'Positions Tracker'!$B901)=0,"",COUNTIFS('Candidate Tracker'!$E:$E,'Positions Tracker'!$B901,'Candidate Tracker'!$C:$C,"&lt;&gt;WIP",'Candidate Tracker'!$C:$C,"&lt;&gt;Hold",'Candidate Tracker'!$C:$C,"&lt;&gt;Cancelled",'Candidate Tracker'!$C:$C,"&lt;&gt;Closed")/COUNTIFS('Candidate Tracker'!$E:$E,'Positions Tracker'!$B901)),"")</f>
        <v/>
      </c>
      <c r="BD901" s="30" t="str">
        <f t="shared" si="99"/>
        <v/>
      </c>
      <c r="BE901" s="30" t="str">
        <f t="shared" si="100"/>
        <v/>
      </c>
      <c r="BF901" s="30" t="str">
        <f t="shared" si="101"/>
        <v/>
      </c>
      <c r="BG901" s="30" t="str">
        <f t="shared" si="102"/>
        <v/>
      </c>
    </row>
    <row r="902" spans="1:59">
      <c r="A902" s="39"/>
      <c r="B902" s="39"/>
      <c r="C902" s="39"/>
      <c r="D902" s="39"/>
      <c r="E902" s="39"/>
      <c r="F902" s="39"/>
      <c r="G902" s="39"/>
      <c r="H902" s="39"/>
      <c r="I902" s="40"/>
      <c r="J902" s="40"/>
      <c r="K902" s="35"/>
      <c r="L902" s="35"/>
      <c r="M902" s="35"/>
      <c r="N902" s="39"/>
      <c r="O902" s="39"/>
      <c r="P902" s="39"/>
      <c r="Q902" s="39"/>
      <c r="R902" s="39"/>
      <c r="S902" s="39"/>
      <c r="T902" s="39"/>
      <c r="U902" s="39"/>
      <c r="V902" s="39"/>
      <c r="W902" s="39"/>
      <c r="X902" s="39"/>
      <c r="Y902" s="39"/>
      <c r="Z902" s="39"/>
      <c r="AA902" s="39"/>
      <c r="AB902" s="39"/>
      <c r="AC902" s="39"/>
      <c r="AD902" s="39"/>
      <c r="AE902" s="39"/>
      <c r="AF902" s="39"/>
      <c r="AG902" s="39"/>
      <c r="AH902" s="39"/>
      <c r="AI902" s="35"/>
      <c r="AJ902" s="39"/>
      <c r="AK902" s="39"/>
      <c r="AL902" s="39"/>
      <c r="AM902" s="35"/>
      <c r="AN902" s="35"/>
      <c r="AO902" s="39"/>
      <c r="AP902" s="39"/>
      <c r="AQ902" s="35"/>
      <c r="AR902" s="35"/>
      <c r="AS902" s="35"/>
      <c r="AT902" s="30">
        <f t="shared" ca="1" si="98"/>
        <v>0</v>
      </c>
      <c r="AU902" s="32" t="str">
        <f t="shared" ca="1" si="97"/>
        <v/>
      </c>
      <c r="AV902" s="32" t="str" cm="1">
        <f t="array" aca="1" ref="AV902" ca="1">IFERROR(_xlfn.IFS($AU902="","",$AU902&lt;=15,"0-15",AND($AU902&gt;=16,$AU902&lt;=30),"16-30",AND($AU902&gt;=31,$AU902&lt;=45),"31-45",AND($AU902&gt;=46,$AU902&lt;=60),"46-60",AND($AU902&gt;=61,$AU902&lt;=90),"61-90",AND($AU902&gt;=91),"&gt; 90",AND($AU902&gt;=2000),""),"")</f>
        <v/>
      </c>
      <c r="AW902" s="32" t="str" cm="1">
        <f t="array" aca="1" ref="AW902" ca="1">IFERROR(_xlfn.IFS(OR($M902="",$AM902=""),"",OR($C902="Offered",$C902="Joined"),($AM902-$M902)-$AT902),"")</f>
        <v/>
      </c>
      <c r="AX902" s="32" t="str" cm="1">
        <f t="array" aca="1" ref="AX902" ca="1">IFERROR(_xlfn.IFS(OR($M902="",$AS902=""),"",$C902="Joined",($AS902-$M902)-$AT902),"")</f>
        <v/>
      </c>
      <c r="AY902" s="30" t="str">
        <f>IFERROR(IF(COUNTIFS('Candidate Tracker'!$E:$E,'Positions Tracker'!$B902,'Candidate Tracker'!$C:$C,"Offer Drop")=0,"",COUNTIFS('Candidate Tracker'!$E:$E,'Positions Tracker'!$B902,'Candidate Tracker'!$C:$C,"Offer Drop")),"")</f>
        <v/>
      </c>
      <c r="AZ90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2" s="34" t="str">
        <f>IFERROR(IF(COUNTIFS('Candidate Tracker'!$E:$E,'Positions Tracker'!$B902,'Candidate Tracker'!$I:$I,"Female")=0,"",COUNTIFS('Candidate Tracker'!$E:$E,'Positions Tracker'!$B902,'Candidate Tracker'!$I:$I,"Female")),"")</f>
        <v/>
      </c>
      <c r="BB902" s="34" t="str">
        <f>IFERROR(IF(COUNTIFS('Candidate Tracker'!$E:$E,'Positions Tracker'!$B902,'Candidate Tracker'!$I:$I,"male")=0,"",COUNTIFS('Candidate Tracker'!$E:$E,'Positions Tracker'!$B902,'Candidate Tracker'!$I:$I,"male")),"")</f>
        <v/>
      </c>
      <c r="BC902" s="33" t="str">
        <f>IFERROR(IF(COUNTIFS('Candidate Tracker'!$E:$E,'Positions Tracker'!$B902,'Candidate Tracker'!$C:$C,"&lt;&gt;WIP",'Candidate Tracker'!$C:$C,"&lt;&gt;Hold",'Candidate Tracker'!$C:$C,"&lt;&gt;Cancelled",'Candidate Tracker'!$C:$C,"&lt;&gt;Closed")/COUNTIFS('Candidate Tracker'!$E:$E,'Positions Tracker'!$B902)=0,"",COUNTIFS('Candidate Tracker'!$E:$E,'Positions Tracker'!$B902,'Candidate Tracker'!$C:$C,"&lt;&gt;WIP",'Candidate Tracker'!$C:$C,"&lt;&gt;Hold",'Candidate Tracker'!$C:$C,"&lt;&gt;Cancelled",'Candidate Tracker'!$C:$C,"&lt;&gt;Closed")/COUNTIFS('Candidate Tracker'!$E:$E,'Positions Tracker'!$B902)),"")</f>
        <v/>
      </c>
      <c r="BD902" s="30" t="str">
        <f t="shared" si="99"/>
        <v/>
      </c>
      <c r="BE902" s="30" t="str">
        <f t="shared" si="100"/>
        <v/>
      </c>
      <c r="BF902" s="30" t="str">
        <f t="shared" si="101"/>
        <v/>
      </c>
      <c r="BG902" s="30" t="str">
        <f t="shared" si="102"/>
        <v/>
      </c>
    </row>
    <row r="903" spans="1:59">
      <c r="A903" s="39"/>
      <c r="B903" s="39"/>
      <c r="C903" s="39"/>
      <c r="D903" s="39"/>
      <c r="E903" s="39"/>
      <c r="F903" s="39"/>
      <c r="G903" s="39"/>
      <c r="H903" s="39"/>
      <c r="I903" s="40"/>
      <c r="J903" s="40"/>
      <c r="K903" s="35"/>
      <c r="L903" s="35"/>
      <c r="M903" s="35"/>
      <c r="N903" s="39"/>
      <c r="O903" s="39"/>
      <c r="P903" s="39"/>
      <c r="Q903" s="39"/>
      <c r="R903" s="39"/>
      <c r="S903" s="39"/>
      <c r="T903" s="39"/>
      <c r="U903" s="39"/>
      <c r="V903" s="39"/>
      <c r="W903" s="39"/>
      <c r="X903" s="39"/>
      <c r="Y903" s="39"/>
      <c r="Z903" s="39"/>
      <c r="AA903" s="39"/>
      <c r="AB903" s="39"/>
      <c r="AC903" s="39"/>
      <c r="AD903" s="39"/>
      <c r="AE903" s="39"/>
      <c r="AF903" s="39"/>
      <c r="AG903" s="39"/>
      <c r="AH903" s="39"/>
      <c r="AI903" s="35"/>
      <c r="AJ903" s="39"/>
      <c r="AK903" s="39"/>
      <c r="AL903" s="39"/>
      <c r="AM903" s="35"/>
      <c r="AN903" s="35"/>
      <c r="AO903" s="39"/>
      <c r="AP903" s="39"/>
      <c r="AQ903" s="35"/>
      <c r="AR903" s="35"/>
      <c r="AS903" s="35"/>
      <c r="AT903" s="30">
        <f t="shared" ca="1" si="98"/>
        <v>0</v>
      </c>
      <c r="AU903" s="32" t="str">
        <f t="shared" ca="1" si="97"/>
        <v/>
      </c>
      <c r="AV903" s="32" t="str" cm="1">
        <f t="array" aca="1" ref="AV903" ca="1">IFERROR(_xlfn.IFS($AU903="","",$AU903&lt;=15,"0-15",AND($AU903&gt;=16,$AU903&lt;=30),"16-30",AND($AU903&gt;=31,$AU903&lt;=45),"31-45",AND($AU903&gt;=46,$AU903&lt;=60),"46-60",AND($AU903&gt;=61,$AU903&lt;=90),"61-90",AND($AU903&gt;=91),"&gt; 90",AND($AU903&gt;=2000),""),"")</f>
        <v/>
      </c>
      <c r="AW903" s="32" t="str" cm="1">
        <f t="array" aca="1" ref="AW903" ca="1">IFERROR(_xlfn.IFS(OR($M903="",$AM903=""),"",OR($C903="Offered",$C903="Joined"),($AM903-$M903)-$AT903),"")</f>
        <v/>
      </c>
      <c r="AX903" s="32" t="str" cm="1">
        <f t="array" aca="1" ref="AX903" ca="1">IFERROR(_xlfn.IFS(OR($M903="",$AS903=""),"",$C903="Joined",($AS903-$M903)-$AT903),"")</f>
        <v/>
      </c>
      <c r="AY903" s="30" t="str">
        <f>IFERROR(IF(COUNTIFS('Candidate Tracker'!$E:$E,'Positions Tracker'!$B903,'Candidate Tracker'!$C:$C,"Offer Drop")=0,"",COUNTIFS('Candidate Tracker'!$E:$E,'Positions Tracker'!$B903,'Candidate Tracker'!$C:$C,"Offer Drop")),"")</f>
        <v/>
      </c>
      <c r="AZ90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3" s="34" t="str">
        <f>IFERROR(IF(COUNTIFS('Candidate Tracker'!$E:$E,'Positions Tracker'!$B903,'Candidate Tracker'!$I:$I,"Female")=0,"",COUNTIFS('Candidate Tracker'!$E:$E,'Positions Tracker'!$B903,'Candidate Tracker'!$I:$I,"Female")),"")</f>
        <v/>
      </c>
      <c r="BB903" s="34" t="str">
        <f>IFERROR(IF(COUNTIFS('Candidate Tracker'!$E:$E,'Positions Tracker'!$B903,'Candidate Tracker'!$I:$I,"male")=0,"",COUNTIFS('Candidate Tracker'!$E:$E,'Positions Tracker'!$B903,'Candidate Tracker'!$I:$I,"male")),"")</f>
        <v/>
      </c>
      <c r="BC903" s="33" t="str">
        <f>IFERROR(IF(COUNTIFS('Candidate Tracker'!$E:$E,'Positions Tracker'!$B903,'Candidate Tracker'!$C:$C,"&lt;&gt;WIP",'Candidate Tracker'!$C:$C,"&lt;&gt;Hold",'Candidate Tracker'!$C:$C,"&lt;&gt;Cancelled",'Candidate Tracker'!$C:$C,"&lt;&gt;Closed")/COUNTIFS('Candidate Tracker'!$E:$E,'Positions Tracker'!$B903)=0,"",COUNTIFS('Candidate Tracker'!$E:$E,'Positions Tracker'!$B903,'Candidate Tracker'!$C:$C,"&lt;&gt;WIP",'Candidate Tracker'!$C:$C,"&lt;&gt;Hold",'Candidate Tracker'!$C:$C,"&lt;&gt;Cancelled",'Candidate Tracker'!$C:$C,"&lt;&gt;Closed")/COUNTIFS('Candidate Tracker'!$E:$E,'Positions Tracker'!$B903)),"")</f>
        <v/>
      </c>
      <c r="BD903" s="30" t="str">
        <f t="shared" si="99"/>
        <v/>
      </c>
      <c r="BE903" s="30" t="str">
        <f t="shared" si="100"/>
        <v/>
      </c>
      <c r="BF903" s="30" t="str">
        <f t="shared" si="101"/>
        <v/>
      </c>
      <c r="BG903" s="30" t="str">
        <f t="shared" si="102"/>
        <v/>
      </c>
    </row>
    <row r="904" spans="1:59">
      <c r="A904" s="39"/>
      <c r="B904" s="39"/>
      <c r="C904" s="39"/>
      <c r="D904" s="39"/>
      <c r="E904" s="39"/>
      <c r="F904" s="39"/>
      <c r="G904" s="39"/>
      <c r="H904" s="39"/>
      <c r="I904" s="40"/>
      <c r="J904" s="40"/>
      <c r="K904" s="35"/>
      <c r="L904" s="35"/>
      <c r="M904" s="35"/>
      <c r="N904" s="39"/>
      <c r="O904" s="39"/>
      <c r="P904" s="39"/>
      <c r="Q904" s="39"/>
      <c r="R904" s="39"/>
      <c r="S904" s="39"/>
      <c r="T904" s="39"/>
      <c r="U904" s="39"/>
      <c r="V904" s="39"/>
      <c r="W904" s="39"/>
      <c r="X904" s="39"/>
      <c r="Y904" s="39"/>
      <c r="Z904" s="39"/>
      <c r="AA904" s="39"/>
      <c r="AB904" s="39"/>
      <c r="AC904" s="39"/>
      <c r="AD904" s="39"/>
      <c r="AE904" s="39"/>
      <c r="AF904" s="39"/>
      <c r="AG904" s="39"/>
      <c r="AH904" s="39"/>
      <c r="AI904" s="35"/>
      <c r="AJ904" s="39"/>
      <c r="AK904" s="39"/>
      <c r="AL904" s="39"/>
      <c r="AM904" s="35"/>
      <c r="AN904" s="35"/>
      <c r="AO904" s="39"/>
      <c r="AP904" s="39"/>
      <c r="AQ904" s="35"/>
      <c r="AR904" s="35"/>
      <c r="AS904" s="35"/>
      <c r="AT904" s="30">
        <f t="shared" ca="1" si="98"/>
        <v>0</v>
      </c>
      <c r="AU904" s="32" t="str">
        <f t="shared" ca="1" si="97"/>
        <v/>
      </c>
      <c r="AV904" s="32" t="str" cm="1">
        <f t="array" aca="1" ref="AV904" ca="1">IFERROR(_xlfn.IFS($AU904="","",$AU904&lt;=15,"0-15",AND($AU904&gt;=16,$AU904&lt;=30),"16-30",AND($AU904&gt;=31,$AU904&lt;=45),"31-45",AND($AU904&gt;=46,$AU904&lt;=60),"46-60",AND($AU904&gt;=61,$AU904&lt;=90),"61-90",AND($AU904&gt;=91),"&gt; 90",AND($AU904&gt;=2000),""),"")</f>
        <v/>
      </c>
      <c r="AW904" s="32" t="str" cm="1">
        <f t="array" aca="1" ref="AW904" ca="1">IFERROR(_xlfn.IFS(OR($M904="",$AM904=""),"",OR($C904="Offered",$C904="Joined"),($AM904-$M904)-$AT904),"")</f>
        <v/>
      </c>
      <c r="AX904" s="32" t="str" cm="1">
        <f t="array" aca="1" ref="AX904" ca="1">IFERROR(_xlfn.IFS(OR($M904="",$AS904=""),"",$C904="Joined",($AS904-$M904)-$AT904),"")</f>
        <v/>
      </c>
      <c r="AY904" s="30" t="str">
        <f>IFERROR(IF(COUNTIFS('Candidate Tracker'!$E:$E,'Positions Tracker'!$B904,'Candidate Tracker'!$C:$C,"Offer Drop")=0,"",COUNTIFS('Candidate Tracker'!$E:$E,'Positions Tracker'!$B904,'Candidate Tracker'!$C:$C,"Offer Drop")),"")</f>
        <v/>
      </c>
      <c r="AZ90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4" s="34" t="str">
        <f>IFERROR(IF(COUNTIFS('Candidate Tracker'!$E:$E,'Positions Tracker'!$B904,'Candidate Tracker'!$I:$I,"Female")=0,"",COUNTIFS('Candidate Tracker'!$E:$E,'Positions Tracker'!$B904,'Candidate Tracker'!$I:$I,"Female")),"")</f>
        <v/>
      </c>
      <c r="BB904" s="34" t="str">
        <f>IFERROR(IF(COUNTIFS('Candidate Tracker'!$E:$E,'Positions Tracker'!$B904,'Candidate Tracker'!$I:$I,"male")=0,"",COUNTIFS('Candidate Tracker'!$E:$E,'Positions Tracker'!$B904,'Candidate Tracker'!$I:$I,"male")),"")</f>
        <v/>
      </c>
      <c r="BC904" s="33" t="str">
        <f>IFERROR(IF(COUNTIFS('Candidate Tracker'!$E:$E,'Positions Tracker'!$B904,'Candidate Tracker'!$C:$C,"&lt;&gt;WIP",'Candidate Tracker'!$C:$C,"&lt;&gt;Hold",'Candidate Tracker'!$C:$C,"&lt;&gt;Cancelled",'Candidate Tracker'!$C:$C,"&lt;&gt;Closed")/COUNTIFS('Candidate Tracker'!$E:$E,'Positions Tracker'!$B904)=0,"",COUNTIFS('Candidate Tracker'!$E:$E,'Positions Tracker'!$B904,'Candidate Tracker'!$C:$C,"&lt;&gt;WIP",'Candidate Tracker'!$C:$C,"&lt;&gt;Hold",'Candidate Tracker'!$C:$C,"&lt;&gt;Cancelled",'Candidate Tracker'!$C:$C,"&lt;&gt;Closed")/COUNTIFS('Candidate Tracker'!$E:$E,'Positions Tracker'!$B904)),"")</f>
        <v/>
      </c>
      <c r="BD904" s="30" t="str">
        <f t="shared" si="99"/>
        <v/>
      </c>
      <c r="BE904" s="30" t="str">
        <f t="shared" si="100"/>
        <v/>
      </c>
      <c r="BF904" s="30" t="str">
        <f t="shared" si="101"/>
        <v/>
      </c>
      <c r="BG904" s="30" t="str">
        <f t="shared" si="102"/>
        <v/>
      </c>
    </row>
    <row r="905" spans="1:59">
      <c r="A905" s="39"/>
      <c r="B905" s="39"/>
      <c r="C905" s="39"/>
      <c r="D905" s="39"/>
      <c r="E905" s="39"/>
      <c r="F905" s="39"/>
      <c r="G905" s="39"/>
      <c r="H905" s="39"/>
      <c r="I905" s="40"/>
      <c r="J905" s="40"/>
      <c r="K905" s="35"/>
      <c r="L905" s="35"/>
      <c r="M905" s="35"/>
      <c r="N905" s="39"/>
      <c r="O905" s="39"/>
      <c r="P905" s="39"/>
      <c r="Q905" s="39"/>
      <c r="R905" s="39"/>
      <c r="S905" s="39"/>
      <c r="T905" s="39"/>
      <c r="U905" s="39"/>
      <c r="V905" s="39"/>
      <c r="W905" s="39"/>
      <c r="X905" s="39"/>
      <c r="Y905" s="39"/>
      <c r="Z905" s="39"/>
      <c r="AA905" s="39"/>
      <c r="AB905" s="39"/>
      <c r="AC905" s="39"/>
      <c r="AD905" s="39"/>
      <c r="AE905" s="39"/>
      <c r="AF905" s="39"/>
      <c r="AG905" s="39"/>
      <c r="AH905" s="39"/>
      <c r="AI905" s="35"/>
      <c r="AJ905" s="39"/>
      <c r="AK905" s="39"/>
      <c r="AL905" s="39"/>
      <c r="AM905" s="35"/>
      <c r="AN905" s="35"/>
      <c r="AO905" s="39"/>
      <c r="AP905" s="39"/>
      <c r="AQ905" s="35"/>
      <c r="AR905" s="35"/>
      <c r="AS905" s="35"/>
      <c r="AT905" s="30">
        <f t="shared" ca="1" si="98"/>
        <v>0</v>
      </c>
      <c r="AU905" s="32" t="str">
        <f t="shared" ca="1" si="97"/>
        <v/>
      </c>
      <c r="AV905" s="32" t="str" cm="1">
        <f t="array" aca="1" ref="AV905" ca="1">IFERROR(_xlfn.IFS($AU905="","",$AU905&lt;=15,"0-15",AND($AU905&gt;=16,$AU905&lt;=30),"16-30",AND($AU905&gt;=31,$AU905&lt;=45),"31-45",AND($AU905&gt;=46,$AU905&lt;=60),"46-60",AND($AU905&gt;=61,$AU905&lt;=90),"61-90",AND($AU905&gt;=91),"&gt; 90",AND($AU905&gt;=2000),""),"")</f>
        <v/>
      </c>
      <c r="AW905" s="32" t="str" cm="1">
        <f t="array" aca="1" ref="AW905" ca="1">IFERROR(_xlfn.IFS(OR($M905="",$AM905=""),"",OR($C905="Offered",$C905="Joined"),($AM905-$M905)-$AT905),"")</f>
        <v/>
      </c>
      <c r="AX905" s="32" t="str" cm="1">
        <f t="array" aca="1" ref="AX905" ca="1">IFERROR(_xlfn.IFS(OR($M905="",$AS905=""),"",$C905="Joined",($AS905-$M905)-$AT905),"")</f>
        <v/>
      </c>
      <c r="AY905" s="30" t="str">
        <f>IFERROR(IF(COUNTIFS('Candidate Tracker'!$E:$E,'Positions Tracker'!$B905,'Candidate Tracker'!$C:$C,"Offer Drop")=0,"",COUNTIFS('Candidate Tracker'!$E:$E,'Positions Tracker'!$B905,'Candidate Tracker'!$C:$C,"Offer Drop")),"")</f>
        <v/>
      </c>
      <c r="AZ90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5" s="34" t="str">
        <f>IFERROR(IF(COUNTIFS('Candidate Tracker'!$E:$E,'Positions Tracker'!$B905,'Candidate Tracker'!$I:$I,"Female")=0,"",COUNTIFS('Candidate Tracker'!$E:$E,'Positions Tracker'!$B905,'Candidate Tracker'!$I:$I,"Female")),"")</f>
        <v/>
      </c>
      <c r="BB905" s="34" t="str">
        <f>IFERROR(IF(COUNTIFS('Candidate Tracker'!$E:$E,'Positions Tracker'!$B905,'Candidate Tracker'!$I:$I,"male")=0,"",COUNTIFS('Candidate Tracker'!$E:$E,'Positions Tracker'!$B905,'Candidate Tracker'!$I:$I,"male")),"")</f>
        <v/>
      </c>
      <c r="BC905" s="33" t="str">
        <f>IFERROR(IF(COUNTIFS('Candidate Tracker'!$E:$E,'Positions Tracker'!$B905,'Candidate Tracker'!$C:$C,"&lt;&gt;WIP",'Candidate Tracker'!$C:$C,"&lt;&gt;Hold",'Candidate Tracker'!$C:$C,"&lt;&gt;Cancelled",'Candidate Tracker'!$C:$C,"&lt;&gt;Closed")/COUNTIFS('Candidate Tracker'!$E:$E,'Positions Tracker'!$B905)=0,"",COUNTIFS('Candidate Tracker'!$E:$E,'Positions Tracker'!$B905,'Candidate Tracker'!$C:$C,"&lt;&gt;WIP",'Candidate Tracker'!$C:$C,"&lt;&gt;Hold",'Candidate Tracker'!$C:$C,"&lt;&gt;Cancelled",'Candidate Tracker'!$C:$C,"&lt;&gt;Closed")/COUNTIFS('Candidate Tracker'!$E:$E,'Positions Tracker'!$B905)),"")</f>
        <v/>
      </c>
      <c r="BD905" s="30" t="str">
        <f t="shared" si="99"/>
        <v/>
      </c>
      <c r="BE905" s="30" t="str">
        <f t="shared" si="100"/>
        <v/>
      </c>
      <c r="BF905" s="30" t="str">
        <f t="shared" si="101"/>
        <v/>
      </c>
      <c r="BG905" s="30" t="str">
        <f t="shared" si="102"/>
        <v/>
      </c>
    </row>
    <row r="906" spans="1:59">
      <c r="A906" s="39"/>
      <c r="B906" s="39"/>
      <c r="C906" s="39"/>
      <c r="D906" s="39"/>
      <c r="E906" s="39"/>
      <c r="F906" s="39"/>
      <c r="G906" s="39"/>
      <c r="H906" s="39"/>
      <c r="I906" s="40"/>
      <c r="J906" s="40"/>
      <c r="K906" s="35"/>
      <c r="L906" s="35"/>
      <c r="M906" s="35"/>
      <c r="N906" s="39"/>
      <c r="O906" s="39"/>
      <c r="P906" s="39"/>
      <c r="Q906" s="39"/>
      <c r="R906" s="39"/>
      <c r="S906" s="39"/>
      <c r="T906" s="39"/>
      <c r="U906" s="39"/>
      <c r="V906" s="39"/>
      <c r="W906" s="39"/>
      <c r="X906" s="39"/>
      <c r="Y906" s="39"/>
      <c r="Z906" s="39"/>
      <c r="AA906" s="39"/>
      <c r="AB906" s="39"/>
      <c r="AC906" s="39"/>
      <c r="AD906" s="39"/>
      <c r="AE906" s="39"/>
      <c r="AF906" s="39"/>
      <c r="AG906" s="39"/>
      <c r="AH906" s="39"/>
      <c r="AI906" s="35"/>
      <c r="AJ906" s="39"/>
      <c r="AK906" s="39"/>
      <c r="AL906" s="39"/>
      <c r="AM906" s="35"/>
      <c r="AN906" s="35"/>
      <c r="AO906" s="39"/>
      <c r="AP906" s="39"/>
      <c r="AQ906" s="35"/>
      <c r="AR906" s="35"/>
      <c r="AS906" s="35"/>
      <c r="AT906" s="30">
        <f t="shared" ca="1" si="98"/>
        <v>0</v>
      </c>
      <c r="AU906" s="32" t="str">
        <f t="shared" ca="1" si="97"/>
        <v/>
      </c>
      <c r="AV906" s="32" t="str" cm="1">
        <f t="array" aca="1" ref="AV906" ca="1">IFERROR(_xlfn.IFS($AU906="","",$AU906&lt;=15,"0-15",AND($AU906&gt;=16,$AU906&lt;=30),"16-30",AND($AU906&gt;=31,$AU906&lt;=45),"31-45",AND($AU906&gt;=46,$AU906&lt;=60),"46-60",AND($AU906&gt;=61,$AU906&lt;=90),"61-90",AND($AU906&gt;=91),"&gt; 90",AND($AU906&gt;=2000),""),"")</f>
        <v/>
      </c>
      <c r="AW906" s="32" t="str" cm="1">
        <f t="array" aca="1" ref="AW906" ca="1">IFERROR(_xlfn.IFS(OR($M906="",$AM906=""),"",OR($C906="Offered",$C906="Joined"),($AM906-$M906)-$AT906),"")</f>
        <v/>
      </c>
      <c r="AX906" s="32" t="str" cm="1">
        <f t="array" aca="1" ref="AX906" ca="1">IFERROR(_xlfn.IFS(OR($M906="",$AS906=""),"",$C906="Joined",($AS906-$M906)-$AT906),"")</f>
        <v/>
      </c>
      <c r="AY906" s="30" t="str">
        <f>IFERROR(IF(COUNTIFS('Candidate Tracker'!$E:$E,'Positions Tracker'!$B906,'Candidate Tracker'!$C:$C,"Offer Drop")=0,"",COUNTIFS('Candidate Tracker'!$E:$E,'Positions Tracker'!$B906,'Candidate Tracker'!$C:$C,"Offer Drop")),"")</f>
        <v/>
      </c>
      <c r="AZ90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6" s="34" t="str">
        <f>IFERROR(IF(COUNTIFS('Candidate Tracker'!$E:$E,'Positions Tracker'!$B906,'Candidate Tracker'!$I:$I,"Female")=0,"",COUNTIFS('Candidate Tracker'!$E:$E,'Positions Tracker'!$B906,'Candidate Tracker'!$I:$I,"Female")),"")</f>
        <v/>
      </c>
      <c r="BB906" s="34" t="str">
        <f>IFERROR(IF(COUNTIFS('Candidate Tracker'!$E:$E,'Positions Tracker'!$B906,'Candidate Tracker'!$I:$I,"male")=0,"",COUNTIFS('Candidate Tracker'!$E:$E,'Positions Tracker'!$B906,'Candidate Tracker'!$I:$I,"male")),"")</f>
        <v/>
      </c>
      <c r="BC906" s="33" t="str">
        <f>IFERROR(IF(COUNTIFS('Candidate Tracker'!$E:$E,'Positions Tracker'!$B906,'Candidate Tracker'!$C:$C,"&lt;&gt;WIP",'Candidate Tracker'!$C:$C,"&lt;&gt;Hold",'Candidate Tracker'!$C:$C,"&lt;&gt;Cancelled",'Candidate Tracker'!$C:$C,"&lt;&gt;Closed")/COUNTIFS('Candidate Tracker'!$E:$E,'Positions Tracker'!$B906)=0,"",COUNTIFS('Candidate Tracker'!$E:$E,'Positions Tracker'!$B906,'Candidate Tracker'!$C:$C,"&lt;&gt;WIP",'Candidate Tracker'!$C:$C,"&lt;&gt;Hold",'Candidate Tracker'!$C:$C,"&lt;&gt;Cancelled",'Candidate Tracker'!$C:$C,"&lt;&gt;Closed")/COUNTIFS('Candidate Tracker'!$E:$E,'Positions Tracker'!$B906)),"")</f>
        <v/>
      </c>
      <c r="BD906" s="30" t="str">
        <f t="shared" si="99"/>
        <v/>
      </c>
      <c r="BE906" s="30" t="str">
        <f t="shared" si="100"/>
        <v/>
      </c>
      <c r="BF906" s="30" t="str">
        <f t="shared" si="101"/>
        <v/>
      </c>
      <c r="BG906" s="30" t="str">
        <f t="shared" si="102"/>
        <v/>
      </c>
    </row>
    <row r="907" spans="1:59">
      <c r="A907" s="39"/>
      <c r="B907" s="39"/>
      <c r="C907" s="39"/>
      <c r="D907" s="39"/>
      <c r="E907" s="39"/>
      <c r="F907" s="39"/>
      <c r="G907" s="39"/>
      <c r="H907" s="39"/>
      <c r="I907" s="40"/>
      <c r="J907" s="40"/>
      <c r="K907" s="35"/>
      <c r="L907" s="35"/>
      <c r="M907" s="35"/>
      <c r="N907" s="39"/>
      <c r="O907" s="39"/>
      <c r="P907" s="39"/>
      <c r="Q907" s="39"/>
      <c r="R907" s="39"/>
      <c r="S907" s="39"/>
      <c r="T907" s="39"/>
      <c r="U907" s="39"/>
      <c r="V907" s="39"/>
      <c r="W907" s="39"/>
      <c r="X907" s="39"/>
      <c r="Y907" s="39"/>
      <c r="Z907" s="39"/>
      <c r="AA907" s="39"/>
      <c r="AB907" s="39"/>
      <c r="AC907" s="39"/>
      <c r="AD907" s="39"/>
      <c r="AE907" s="39"/>
      <c r="AF907" s="39"/>
      <c r="AG907" s="39"/>
      <c r="AH907" s="39"/>
      <c r="AI907" s="35"/>
      <c r="AJ907" s="39"/>
      <c r="AK907" s="39"/>
      <c r="AL907" s="39"/>
      <c r="AM907" s="35"/>
      <c r="AN907" s="35"/>
      <c r="AO907" s="39"/>
      <c r="AP907" s="39"/>
      <c r="AQ907" s="35"/>
      <c r="AR907" s="35"/>
      <c r="AS907" s="35"/>
      <c r="AT907" s="30">
        <f t="shared" ca="1" si="98"/>
        <v>0</v>
      </c>
      <c r="AU907" s="32" t="str">
        <f t="shared" ca="1" si="97"/>
        <v/>
      </c>
      <c r="AV907" s="32" t="str" cm="1">
        <f t="array" aca="1" ref="AV907" ca="1">IFERROR(_xlfn.IFS($AU907="","",$AU907&lt;=15,"0-15",AND($AU907&gt;=16,$AU907&lt;=30),"16-30",AND($AU907&gt;=31,$AU907&lt;=45),"31-45",AND($AU907&gt;=46,$AU907&lt;=60),"46-60",AND($AU907&gt;=61,$AU907&lt;=90),"61-90",AND($AU907&gt;=91),"&gt; 90",AND($AU907&gt;=2000),""),"")</f>
        <v/>
      </c>
      <c r="AW907" s="32" t="str" cm="1">
        <f t="array" aca="1" ref="AW907" ca="1">IFERROR(_xlfn.IFS(OR($M907="",$AM907=""),"",OR($C907="Offered",$C907="Joined"),($AM907-$M907)-$AT907),"")</f>
        <v/>
      </c>
      <c r="AX907" s="32" t="str" cm="1">
        <f t="array" aca="1" ref="AX907" ca="1">IFERROR(_xlfn.IFS(OR($M907="",$AS907=""),"",$C907="Joined",($AS907-$M907)-$AT907),"")</f>
        <v/>
      </c>
      <c r="AY907" s="30" t="str">
        <f>IFERROR(IF(COUNTIFS('Candidate Tracker'!$E:$E,'Positions Tracker'!$B907,'Candidate Tracker'!$C:$C,"Offer Drop")=0,"",COUNTIFS('Candidate Tracker'!$E:$E,'Positions Tracker'!$B907,'Candidate Tracker'!$C:$C,"Offer Drop")),"")</f>
        <v/>
      </c>
      <c r="AZ90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7" s="34" t="str">
        <f>IFERROR(IF(COUNTIFS('Candidate Tracker'!$E:$E,'Positions Tracker'!$B907,'Candidate Tracker'!$I:$I,"Female")=0,"",COUNTIFS('Candidate Tracker'!$E:$E,'Positions Tracker'!$B907,'Candidate Tracker'!$I:$I,"Female")),"")</f>
        <v/>
      </c>
      <c r="BB907" s="34" t="str">
        <f>IFERROR(IF(COUNTIFS('Candidate Tracker'!$E:$E,'Positions Tracker'!$B907,'Candidate Tracker'!$I:$I,"male")=0,"",COUNTIFS('Candidate Tracker'!$E:$E,'Positions Tracker'!$B907,'Candidate Tracker'!$I:$I,"male")),"")</f>
        <v/>
      </c>
      <c r="BC907" s="33" t="str">
        <f>IFERROR(IF(COUNTIFS('Candidate Tracker'!$E:$E,'Positions Tracker'!$B907,'Candidate Tracker'!$C:$C,"&lt;&gt;WIP",'Candidate Tracker'!$C:$C,"&lt;&gt;Hold",'Candidate Tracker'!$C:$C,"&lt;&gt;Cancelled",'Candidate Tracker'!$C:$C,"&lt;&gt;Closed")/COUNTIFS('Candidate Tracker'!$E:$E,'Positions Tracker'!$B907)=0,"",COUNTIFS('Candidate Tracker'!$E:$E,'Positions Tracker'!$B907,'Candidate Tracker'!$C:$C,"&lt;&gt;WIP",'Candidate Tracker'!$C:$C,"&lt;&gt;Hold",'Candidate Tracker'!$C:$C,"&lt;&gt;Cancelled",'Candidate Tracker'!$C:$C,"&lt;&gt;Closed")/COUNTIFS('Candidate Tracker'!$E:$E,'Positions Tracker'!$B907)),"")</f>
        <v/>
      </c>
      <c r="BD907" s="30" t="str">
        <f t="shared" si="99"/>
        <v/>
      </c>
      <c r="BE907" s="30" t="str">
        <f t="shared" si="100"/>
        <v/>
      </c>
      <c r="BF907" s="30" t="str">
        <f t="shared" si="101"/>
        <v/>
      </c>
      <c r="BG907" s="30" t="str">
        <f t="shared" si="102"/>
        <v/>
      </c>
    </row>
    <row r="908" spans="1:59">
      <c r="A908" s="39"/>
      <c r="B908" s="39"/>
      <c r="C908" s="39"/>
      <c r="D908" s="39"/>
      <c r="E908" s="39"/>
      <c r="F908" s="39"/>
      <c r="G908" s="39"/>
      <c r="H908" s="39"/>
      <c r="I908" s="40"/>
      <c r="J908" s="40"/>
      <c r="K908" s="35"/>
      <c r="L908" s="35"/>
      <c r="M908" s="35"/>
      <c r="N908" s="39"/>
      <c r="O908" s="39"/>
      <c r="P908" s="39"/>
      <c r="Q908" s="39"/>
      <c r="R908" s="39"/>
      <c r="S908" s="39"/>
      <c r="T908" s="39"/>
      <c r="U908" s="39"/>
      <c r="V908" s="39"/>
      <c r="W908" s="39"/>
      <c r="X908" s="39"/>
      <c r="Y908" s="39"/>
      <c r="Z908" s="39"/>
      <c r="AA908" s="39"/>
      <c r="AB908" s="39"/>
      <c r="AC908" s="39"/>
      <c r="AD908" s="39"/>
      <c r="AE908" s="39"/>
      <c r="AF908" s="39"/>
      <c r="AG908" s="39"/>
      <c r="AH908" s="39"/>
      <c r="AI908" s="35"/>
      <c r="AJ908" s="39"/>
      <c r="AK908" s="39"/>
      <c r="AL908" s="39"/>
      <c r="AM908" s="35"/>
      <c r="AN908" s="35"/>
      <c r="AO908" s="39"/>
      <c r="AP908" s="39"/>
      <c r="AQ908" s="35"/>
      <c r="AR908" s="35"/>
      <c r="AS908" s="35"/>
      <c r="AT908" s="30">
        <f t="shared" ca="1" si="98"/>
        <v>0</v>
      </c>
      <c r="AU908" s="32" t="str">
        <f t="shared" ca="1" si="97"/>
        <v/>
      </c>
      <c r="AV908" s="32" t="str" cm="1">
        <f t="array" aca="1" ref="AV908" ca="1">IFERROR(_xlfn.IFS($AU908="","",$AU908&lt;=15,"0-15",AND($AU908&gt;=16,$AU908&lt;=30),"16-30",AND($AU908&gt;=31,$AU908&lt;=45),"31-45",AND($AU908&gt;=46,$AU908&lt;=60),"46-60",AND($AU908&gt;=61,$AU908&lt;=90),"61-90",AND($AU908&gt;=91),"&gt; 90",AND($AU908&gt;=2000),""),"")</f>
        <v/>
      </c>
      <c r="AW908" s="32" t="str" cm="1">
        <f t="array" aca="1" ref="AW908" ca="1">IFERROR(_xlfn.IFS(OR($M908="",$AM908=""),"",OR($C908="Offered",$C908="Joined"),($AM908-$M908)-$AT908),"")</f>
        <v/>
      </c>
      <c r="AX908" s="32" t="str" cm="1">
        <f t="array" aca="1" ref="AX908" ca="1">IFERROR(_xlfn.IFS(OR($M908="",$AS908=""),"",$C908="Joined",($AS908-$M908)-$AT908),"")</f>
        <v/>
      </c>
      <c r="AY908" s="30" t="str">
        <f>IFERROR(IF(COUNTIFS('Candidate Tracker'!$E:$E,'Positions Tracker'!$B908,'Candidate Tracker'!$C:$C,"Offer Drop")=0,"",COUNTIFS('Candidate Tracker'!$E:$E,'Positions Tracker'!$B908,'Candidate Tracker'!$C:$C,"Offer Drop")),"")</f>
        <v/>
      </c>
      <c r="AZ90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8" s="34" t="str">
        <f>IFERROR(IF(COUNTIFS('Candidate Tracker'!$E:$E,'Positions Tracker'!$B908,'Candidate Tracker'!$I:$I,"Female")=0,"",COUNTIFS('Candidate Tracker'!$E:$E,'Positions Tracker'!$B908,'Candidate Tracker'!$I:$I,"Female")),"")</f>
        <v/>
      </c>
      <c r="BB908" s="34" t="str">
        <f>IFERROR(IF(COUNTIFS('Candidate Tracker'!$E:$E,'Positions Tracker'!$B908,'Candidate Tracker'!$I:$I,"male")=0,"",COUNTIFS('Candidate Tracker'!$E:$E,'Positions Tracker'!$B908,'Candidate Tracker'!$I:$I,"male")),"")</f>
        <v/>
      </c>
      <c r="BC908" s="33" t="str">
        <f>IFERROR(IF(COUNTIFS('Candidate Tracker'!$E:$E,'Positions Tracker'!$B908,'Candidate Tracker'!$C:$C,"&lt;&gt;WIP",'Candidate Tracker'!$C:$C,"&lt;&gt;Hold",'Candidate Tracker'!$C:$C,"&lt;&gt;Cancelled",'Candidate Tracker'!$C:$C,"&lt;&gt;Closed")/COUNTIFS('Candidate Tracker'!$E:$E,'Positions Tracker'!$B908)=0,"",COUNTIFS('Candidate Tracker'!$E:$E,'Positions Tracker'!$B908,'Candidate Tracker'!$C:$C,"&lt;&gt;WIP",'Candidate Tracker'!$C:$C,"&lt;&gt;Hold",'Candidate Tracker'!$C:$C,"&lt;&gt;Cancelled",'Candidate Tracker'!$C:$C,"&lt;&gt;Closed")/COUNTIFS('Candidate Tracker'!$E:$E,'Positions Tracker'!$B908)),"")</f>
        <v/>
      </c>
      <c r="BD908" s="30" t="str">
        <f t="shared" si="99"/>
        <v/>
      </c>
      <c r="BE908" s="30" t="str">
        <f t="shared" si="100"/>
        <v/>
      </c>
      <c r="BF908" s="30" t="str">
        <f t="shared" si="101"/>
        <v/>
      </c>
      <c r="BG908" s="30" t="str">
        <f t="shared" si="102"/>
        <v/>
      </c>
    </row>
    <row r="909" spans="1:59">
      <c r="A909" s="39"/>
      <c r="B909" s="39"/>
      <c r="C909" s="39"/>
      <c r="D909" s="39"/>
      <c r="E909" s="39"/>
      <c r="F909" s="39"/>
      <c r="G909" s="39"/>
      <c r="H909" s="39"/>
      <c r="I909" s="40"/>
      <c r="J909" s="40"/>
      <c r="K909" s="35"/>
      <c r="L909" s="35"/>
      <c r="M909" s="35"/>
      <c r="N909" s="39"/>
      <c r="O909" s="39"/>
      <c r="P909" s="39"/>
      <c r="Q909" s="39"/>
      <c r="R909" s="39"/>
      <c r="S909" s="39"/>
      <c r="T909" s="39"/>
      <c r="U909" s="39"/>
      <c r="V909" s="39"/>
      <c r="W909" s="39"/>
      <c r="X909" s="39"/>
      <c r="Y909" s="39"/>
      <c r="Z909" s="39"/>
      <c r="AA909" s="39"/>
      <c r="AB909" s="39"/>
      <c r="AC909" s="39"/>
      <c r="AD909" s="39"/>
      <c r="AE909" s="39"/>
      <c r="AF909" s="39"/>
      <c r="AG909" s="39"/>
      <c r="AH909" s="39"/>
      <c r="AI909" s="35"/>
      <c r="AJ909" s="39"/>
      <c r="AK909" s="39"/>
      <c r="AL909" s="39"/>
      <c r="AM909" s="35"/>
      <c r="AN909" s="35"/>
      <c r="AO909" s="39"/>
      <c r="AP909" s="39"/>
      <c r="AQ909" s="35"/>
      <c r="AR909" s="35"/>
      <c r="AS909" s="35"/>
      <c r="AT909" s="30">
        <f t="shared" ca="1" si="98"/>
        <v>0</v>
      </c>
      <c r="AU909" s="32" t="str">
        <f t="shared" ca="1" si="97"/>
        <v/>
      </c>
      <c r="AV909" s="32" t="str" cm="1">
        <f t="array" aca="1" ref="AV909" ca="1">IFERROR(_xlfn.IFS($AU909="","",$AU909&lt;=15,"0-15",AND($AU909&gt;=16,$AU909&lt;=30),"16-30",AND($AU909&gt;=31,$AU909&lt;=45),"31-45",AND($AU909&gt;=46,$AU909&lt;=60),"46-60",AND($AU909&gt;=61,$AU909&lt;=90),"61-90",AND($AU909&gt;=91),"&gt; 90",AND($AU909&gt;=2000),""),"")</f>
        <v/>
      </c>
      <c r="AW909" s="32" t="str" cm="1">
        <f t="array" aca="1" ref="AW909" ca="1">IFERROR(_xlfn.IFS(OR($M909="",$AM909=""),"",OR($C909="Offered",$C909="Joined"),($AM909-$M909)-$AT909),"")</f>
        <v/>
      </c>
      <c r="AX909" s="32" t="str" cm="1">
        <f t="array" aca="1" ref="AX909" ca="1">IFERROR(_xlfn.IFS(OR($M909="",$AS909=""),"",$C909="Joined",($AS909-$M909)-$AT909),"")</f>
        <v/>
      </c>
      <c r="AY909" s="30" t="str">
        <f>IFERROR(IF(COUNTIFS('Candidate Tracker'!$E:$E,'Positions Tracker'!$B909,'Candidate Tracker'!$C:$C,"Offer Drop")=0,"",COUNTIFS('Candidate Tracker'!$E:$E,'Positions Tracker'!$B909,'Candidate Tracker'!$C:$C,"Offer Drop")),"")</f>
        <v/>
      </c>
      <c r="AZ90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09" s="34" t="str">
        <f>IFERROR(IF(COUNTIFS('Candidate Tracker'!$E:$E,'Positions Tracker'!$B909,'Candidate Tracker'!$I:$I,"Female")=0,"",COUNTIFS('Candidate Tracker'!$E:$E,'Positions Tracker'!$B909,'Candidate Tracker'!$I:$I,"Female")),"")</f>
        <v/>
      </c>
      <c r="BB909" s="34" t="str">
        <f>IFERROR(IF(COUNTIFS('Candidate Tracker'!$E:$E,'Positions Tracker'!$B909,'Candidate Tracker'!$I:$I,"male")=0,"",COUNTIFS('Candidate Tracker'!$E:$E,'Positions Tracker'!$B909,'Candidate Tracker'!$I:$I,"male")),"")</f>
        <v/>
      </c>
      <c r="BC909" s="33" t="str">
        <f>IFERROR(IF(COUNTIFS('Candidate Tracker'!$E:$E,'Positions Tracker'!$B909,'Candidate Tracker'!$C:$C,"&lt;&gt;WIP",'Candidate Tracker'!$C:$C,"&lt;&gt;Hold",'Candidate Tracker'!$C:$C,"&lt;&gt;Cancelled",'Candidate Tracker'!$C:$C,"&lt;&gt;Closed")/COUNTIFS('Candidate Tracker'!$E:$E,'Positions Tracker'!$B909)=0,"",COUNTIFS('Candidate Tracker'!$E:$E,'Positions Tracker'!$B909,'Candidate Tracker'!$C:$C,"&lt;&gt;WIP",'Candidate Tracker'!$C:$C,"&lt;&gt;Hold",'Candidate Tracker'!$C:$C,"&lt;&gt;Cancelled",'Candidate Tracker'!$C:$C,"&lt;&gt;Closed")/COUNTIFS('Candidate Tracker'!$E:$E,'Positions Tracker'!$B909)),"")</f>
        <v/>
      </c>
      <c r="BD909" s="30" t="str">
        <f t="shared" si="99"/>
        <v/>
      </c>
      <c r="BE909" s="30" t="str">
        <f t="shared" si="100"/>
        <v/>
      </c>
      <c r="BF909" s="30" t="str">
        <f t="shared" si="101"/>
        <v/>
      </c>
      <c r="BG909" s="30" t="str">
        <f t="shared" si="102"/>
        <v/>
      </c>
    </row>
    <row r="910" spans="1:59">
      <c r="A910" s="39"/>
      <c r="B910" s="39"/>
      <c r="C910" s="39"/>
      <c r="D910" s="39"/>
      <c r="E910" s="39"/>
      <c r="F910" s="39"/>
      <c r="G910" s="39"/>
      <c r="H910" s="39"/>
      <c r="I910" s="40"/>
      <c r="J910" s="40"/>
      <c r="K910" s="35"/>
      <c r="L910" s="35"/>
      <c r="M910" s="35"/>
      <c r="N910" s="39"/>
      <c r="O910" s="39"/>
      <c r="P910" s="39"/>
      <c r="Q910" s="39"/>
      <c r="R910" s="39"/>
      <c r="S910" s="39"/>
      <c r="T910" s="39"/>
      <c r="U910" s="39"/>
      <c r="V910" s="39"/>
      <c r="W910" s="39"/>
      <c r="X910" s="39"/>
      <c r="Y910" s="39"/>
      <c r="Z910" s="39"/>
      <c r="AA910" s="39"/>
      <c r="AB910" s="39"/>
      <c r="AC910" s="39"/>
      <c r="AD910" s="39"/>
      <c r="AE910" s="39"/>
      <c r="AF910" s="39"/>
      <c r="AG910" s="39"/>
      <c r="AH910" s="39"/>
      <c r="AI910" s="35"/>
      <c r="AJ910" s="39"/>
      <c r="AK910" s="39"/>
      <c r="AL910" s="39"/>
      <c r="AM910" s="35"/>
      <c r="AN910" s="35"/>
      <c r="AO910" s="39"/>
      <c r="AP910" s="39"/>
      <c r="AQ910" s="35"/>
      <c r="AR910" s="35"/>
      <c r="AS910" s="35"/>
      <c r="AT910" s="30">
        <f t="shared" ca="1" si="98"/>
        <v>0</v>
      </c>
      <c r="AU910" s="32" t="str">
        <f t="shared" ca="1" si="97"/>
        <v/>
      </c>
      <c r="AV910" s="32" t="str" cm="1">
        <f t="array" aca="1" ref="AV910" ca="1">IFERROR(_xlfn.IFS($AU910="","",$AU910&lt;=15,"0-15",AND($AU910&gt;=16,$AU910&lt;=30),"16-30",AND($AU910&gt;=31,$AU910&lt;=45),"31-45",AND($AU910&gt;=46,$AU910&lt;=60),"46-60",AND($AU910&gt;=61,$AU910&lt;=90),"61-90",AND($AU910&gt;=91),"&gt; 90",AND($AU910&gt;=2000),""),"")</f>
        <v/>
      </c>
      <c r="AW910" s="32" t="str" cm="1">
        <f t="array" aca="1" ref="AW910" ca="1">IFERROR(_xlfn.IFS(OR($M910="",$AM910=""),"",OR($C910="Offered",$C910="Joined"),($AM910-$M910)-$AT910),"")</f>
        <v/>
      </c>
      <c r="AX910" s="32" t="str" cm="1">
        <f t="array" aca="1" ref="AX910" ca="1">IFERROR(_xlfn.IFS(OR($M910="",$AS910=""),"",$C910="Joined",($AS910-$M910)-$AT910),"")</f>
        <v/>
      </c>
      <c r="AY910" s="30" t="str">
        <f>IFERROR(IF(COUNTIFS('Candidate Tracker'!$E:$E,'Positions Tracker'!$B910,'Candidate Tracker'!$C:$C,"Offer Drop")=0,"",COUNTIFS('Candidate Tracker'!$E:$E,'Positions Tracker'!$B910,'Candidate Tracker'!$C:$C,"Offer Drop")),"")</f>
        <v/>
      </c>
      <c r="AZ91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0" s="34" t="str">
        <f>IFERROR(IF(COUNTIFS('Candidate Tracker'!$E:$E,'Positions Tracker'!$B910,'Candidate Tracker'!$I:$I,"Female")=0,"",COUNTIFS('Candidate Tracker'!$E:$E,'Positions Tracker'!$B910,'Candidate Tracker'!$I:$I,"Female")),"")</f>
        <v/>
      </c>
      <c r="BB910" s="34" t="str">
        <f>IFERROR(IF(COUNTIFS('Candidate Tracker'!$E:$E,'Positions Tracker'!$B910,'Candidate Tracker'!$I:$I,"male")=0,"",COUNTIFS('Candidate Tracker'!$E:$E,'Positions Tracker'!$B910,'Candidate Tracker'!$I:$I,"male")),"")</f>
        <v/>
      </c>
      <c r="BC910" s="33" t="str">
        <f>IFERROR(IF(COUNTIFS('Candidate Tracker'!$E:$E,'Positions Tracker'!$B910,'Candidate Tracker'!$C:$C,"&lt;&gt;WIP",'Candidate Tracker'!$C:$C,"&lt;&gt;Hold",'Candidate Tracker'!$C:$C,"&lt;&gt;Cancelled",'Candidate Tracker'!$C:$C,"&lt;&gt;Closed")/COUNTIFS('Candidate Tracker'!$E:$E,'Positions Tracker'!$B910)=0,"",COUNTIFS('Candidate Tracker'!$E:$E,'Positions Tracker'!$B910,'Candidate Tracker'!$C:$C,"&lt;&gt;WIP",'Candidate Tracker'!$C:$C,"&lt;&gt;Hold",'Candidate Tracker'!$C:$C,"&lt;&gt;Cancelled",'Candidate Tracker'!$C:$C,"&lt;&gt;Closed")/COUNTIFS('Candidate Tracker'!$E:$E,'Positions Tracker'!$B910)),"")</f>
        <v/>
      </c>
      <c r="BD910" s="30" t="str">
        <f t="shared" si="99"/>
        <v/>
      </c>
      <c r="BE910" s="30" t="str">
        <f t="shared" si="100"/>
        <v/>
      </c>
      <c r="BF910" s="30" t="str">
        <f t="shared" si="101"/>
        <v/>
      </c>
      <c r="BG910" s="30" t="str">
        <f t="shared" si="102"/>
        <v/>
      </c>
    </row>
    <row r="911" spans="1:59">
      <c r="A911" s="39"/>
      <c r="B911" s="39"/>
      <c r="C911" s="39"/>
      <c r="D911" s="39"/>
      <c r="E911" s="39"/>
      <c r="F911" s="39"/>
      <c r="G911" s="39"/>
      <c r="H911" s="39"/>
      <c r="I911" s="40"/>
      <c r="J911" s="40"/>
      <c r="K911" s="35"/>
      <c r="L911" s="35"/>
      <c r="M911" s="35"/>
      <c r="N911" s="39"/>
      <c r="O911" s="39"/>
      <c r="P911" s="39"/>
      <c r="Q911" s="39"/>
      <c r="R911" s="39"/>
      <c r="S911" s="39"/>
      <c r="T911" s="39"/>
      <c r="U911" s="39"/>
      <c r="V911" s="39"/>
      <c r="W911" s="39"/>
      <c r="X911" s="39"/>
      <c r="Y911" s="39"/>
      <c r="Z911" s="39"/>
      <c r="AA911" s="39"/>
      <c r="AB911" s="39"/>
      <c r="AC911" s="39"/>
      <c r="AD911" s="39"/>
      <c r="AE911" s="39"/>
      <c r="AF911" s="39"/>
      <c r="AG911" s="39"/>
      <c r="AH911" s="39"/>
      <c r="AI911" s="35"/>
      <c r="AJ911" s="39"/>
      <c r="AK911" s="39"/>
      <c r="AL911" s="39"/>
      <c r="AM911" s="35"/>
      <c r="AN911" s="35"/>
      <c r="AO911" s="39"/>
      <c r="AP911" s="39"/>
      <c r="AQ911" s="35"/>
      <c r="AR911" s="35"/>
      <c r="AS911" s="35"/>
      <c r="AT911" s="30">
        <f t="shared" ca="1" si="98"/>
        <v>0</v>
      </c>
      <c r="AU911" s="32" t="str">
        <f t="shared" ca="1" si="97"/>
        <v/>
      </c>
      <c r="AV911" s="32" t="str" cm="1">
        <f t="array" aca="1" ref="AV911" ca="1">IFERROR(_xlfn.IFS($AU911="","",$AU911&lt;=15,"0-15",AND($AU911&gt;=16,$AU911&lt;=30),"16-30",AND($AU911&gt;=31,$AU911&lt;=45),"31-45",AND($AU911&gt;=46,$AU911&lt;=60),"46-60",AND($AU911&gt;=61,$AU911&lt;=90),"61-90",AND($AU911&gt;=91),"&gt; 90",AND($AU911&gt;=2000),""),"")</f>
        <v/>
      </c>
      <c r="AW911" s="32" t="str" cm="1">
        <f t="array" aca="1" ref="AW911" ca="1">IFERROR(_xlfn.IFS(OR($M911="",$AM911=""),"",OR($C911="Offered",$C911="Joined"),($AM911-$M911)-$AT911),"")</f>
        <v/>
      </c>
      <c r="AX911" s="32" t="str" cm="1">
        <f t="array" aca="1" ref="AX911" ca="1">IFERROR(_xlfn.IFS(OR($M911="",$AS911=""),"",$C911="Joined",($AS911-$M911)-$AT911),"")</f>
        <v/>
      </c>
      <c r="AY911" s="30" t="str">
        <f>IFERROR(IF(COUNTIFS('Candidate Tracker'!$E:$E,'Positions Tracker'!$B911,'Candidate Tracker'!$C:$C,"Offer Drop")=0,"",COUNTIFS('Candidate Tracker'!$E:$E,'Positions Tracker'!$B911,'Candidate Tracker'!$C:$C,"Offer Drop")),"")</f>
        <v/>
      </c>
      <c r="AZ91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1" s="34" t="str">
        <f>IFERROR(IF(COUNTIFS('Candidate Tracker'!$E:$E,'Positions Tracker'!$B911,'Candidate Tracker'!$I:$I,"Female")=0,"",COUNTIFS('Candidate Tracker'!$E:$E,'Positions Tracker'!$B911,'Candidate Tracker'!$I:$I,"Female")),"")</f>
        <v/>
      </c>
      <c r="BB911" s="34" t="str">
        <f>IFERROR(IF(COUNTIFS('Candidate Tracker'!$E:$E,'Positions Tracker'!$B911,'Candidate Tracker'!$I:$I,"male")=0,"",COUNTIFS('Candidate Tracker'!$E:$E,'Positions Tracker'!$B911,'Candidate Tracker'!$I:$I,"male")),"")</f>
        <v/>
      </c>
      <c r="BC911" s="33" t="str">
        <f>IFERROR(IF(COUNTIFS('Candidate Tracker'!$E:$E,'Positions Tracker'!$B911,'Candidate Tracker'!$C:$C,"&lt;&gt;WIP",'Candidate Tracker'!$C:$C,"&lt;&gt;Hold",'Candidate Tracker'!$C:$C,"&lt;&gt;Cancelled",'Candidate Tracker'!$C:$C,"&lt;&gt;Closed")/COUNTIFS('Candidate Tracker'!$E:$E,'Positions Tracker'!$B911)=0,"",COUNTIFS('Candidate Tracker'!$E:$E,'Positions Tracker'!$B911,'Candidate Tracker'!$C:$C,"&lt;&gt;WIP",'Candidate Tracker'!$C:$C,"&lt;&gt;Hold",'Candidate Tracker'!$C:$C,"&lt;&gt;Cancelled",'Candidate Tracker'!$C:$C,"&lt;&gt;Closed")/COUNTIFS('Candidate Tracker'!$E:$E,'Positions Tracker'!$B911)),"")</f>
        <v/>
      </c>
      <c r="BD911" s="30" t="str">
        <f t="shared" si="99"/>
        <v/>
      </c>
      <c r="BE911" s="30" t="str">
        <f t="shared" si="100"/>
        <v/>
      </c>
      <c r="BF911" s="30" t="str">
        <f t="shared" si="101"/>
        <v/>
      </c>
      <c r="BG911" s="30" t="str">
        <f t="shared" si="102"/>
        <v/>
      </c>
    </row>
    <row r="912" spans="1:59">
      <c r="A912" s="39"/>
      <c r="B912" s="39"/>
      <c r="C912" s="39"/>
      <c r="D912" s="39"/>
      <c r="E912" s="39"/>
      <c r="F912" s="39"/>
      <c r="G912" s="39"/>
      <c r="H912" s="39"/>
      <c r="I912" s="40"/>
      <c r="J912" s="40"/>
      <c r="K912" s="35"/>
      <c r="L912" s="35"/>
      <c r="M912" s="35"/>
      <c r="N912" s="39"/>
      <c r="O912" s="39"/>
      <c r="P912" s="39"/>
      <c r="Q912" s="39"/>
      <c r="R912" s="39"/>
      <c r="S912" s="39"/>
      <c r="T912" s="39"/>
      <c r="U912" s="39"/>
      <c r="V912" s="39"/>
      <c r="W912" s="39"/>
      <c r="X912" s="39"/>
      <c r="Y912" s="39"/>
      <c r="Z912" s="39"/>
      <c r="AA912" s="39"/>
      <c r="AB912" s="39"/>
      <c r="AC912" s="39"/>
      <c r="AD912" s="39"/>
      <c r="AE912" s="39"/>
      <c r="AF912" s="39"/>
      <c r="AG912" s="39"/>
      <c r="AH912" s="39"/>
      <c r="AI912" s="35"/>
      <c r="AJ912" s="39"/>
      <c r="AK912" s="39"/>
      <c r="AL912" s="39"/>
      <c r="AM912" s="35"/>
      <c r="AN912" s="35"/>
      <c r="AO912" s="39"/>
      <c r="AP912" s="39"/>
      <c r="AQ912" s="35"/>
      <c r="AR912" s="35"/>
      <c r="AS912" s="35"/>
      <c r="AT912" s="30">
        <f t="shared" ca="1" si="98"/>
        <v>0</v>
      </c>
      <c r="AU912" s="32" t="str">
        <f t="shared" ca="1" si="97"/>
        <v/>
      </c>
      <c r="AV912" s="32" t="str" cm="1">
        <f t="array" aca="1" ref="AV912" ca="1">IFERROR(_xlfn.IFS($AU912="","",$AU912&lt;=15,"0-15",AND($AU912&gt;=16,$AU912&lt;=30),"16-30",AND($AU912&gt;=31,$AU912&lt;=45),"31-45",AND($AU912&gt;=46,$AU912&lt;=60),"46-60",AND($AU912&gt;=61,$AU912&lt;=90),"61-90",AND($AU912&gt;=91),"&gt; 90",AND($AU912&gt;=2000),""),"")</f>
        <v/>
      </c>
      <c r="AW912" s="32" t="str" cm="1">
        <f t="array" aca="1" ref="AW912" ca="1">IFERROR(_xlfn.IFS(OR($M912="",$AM912=""),"",OR($C912="Offered",$C912="Joined"),($AM912-$M912)-$AT912),"")</f>
        <v/>
      </c>
      <c r="AX912" s="32" t="str" cm="1">
        <f t="array" aca="1" ref="AX912" ca="1">IFERROR(_xlfn.IFS(OR($M912="",$AS912=""),"",$C912="Joined",($AS912-$M912)-$AT912),"")</f>
        <v/>
      </c>
      <c r="AY912" s="30" t="str">
        <f>IFERROR(IF(COUNTIFS('Candidate Tracker'!$E:$E,'Positions Tracker'!$B912,'Candidate Tracker'!$C:$C,"Offer Drop")=0,"",COUNTIFS('Candidate Tracker'!$E:$E,'Positions Tracker'!$B912,'Candidate Tracker'!$C:$C,"Offer Drop")),"")</f>
        <v/>
      </c>
      <c r="AZ91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2" s="34" t="str">
        <f>IFERROR(IF(COUNTIFS('Candidate Tracker'!$E:$E,'Positions Tracker'!$B912,'Candidate Tracker'!$I:$I,"Female")=0,"",COUNTIFS('Candidate Tracker'!$E:$E,'Positions Tracker'!$B912,'Candidate Tracker'!$I:$I,"Female")),"")</f>
        <v/>
      </c>
      <c r="BB912" s="34" t="str">
        <f>IFERROR(IF(COUNTIFS('Candidate Tracker'!$E:$E,'Positions Tracker'!$B912,'Candidate Tracker'!$I:$I,"male")=0,"",COUNTIFS('Candidate Tracker'!$E:$E,'Positions Tracker'!$B912,'Candidate Tracker'!$I:$I,"male")),"")</f>
        <v/>
      </c>
      <c r="BC912" s="33" t="str">
        <f>IFERROR(IF(COUNTIFS('Candidate Tracker'!$E:$E,'Positions Tracker'!$B912,'Candidate Tracker'!$C:$C,"&lt;&gt;WIP",'Candidate Tracker'!$C:$C,"&lt;&gt;Hold",'Candidate Tracker'!$C:$C,"&lt;&gt;Cancelled",'Candidate Tracker'!$C:$C,"&lt;&gt;Closed")/COUNTIFS('Candidate Tracker'!$E:$E,'Positions Tracker'!$B912)=0,"",COUNTIFS('Candidate Tracker'!$E:$E,'Positions Tracker'!$B912,'Candidate Tracker'!$C:$C,"&lt;&gt;WIP",'Candidate Tracker'!$C:$C,"&lt;&gt;Hold",'Candidate Tracker'!$C:$C,"&lt;&gt;Cancelled",'Candidate Tracker'!$C:$C,"&lt;&gt;Closed")/COUNTIFS('Candidate Tracker'!$E:$E,'Positions Tracker'!$B912)),"")</f>
        <v/>
      </c>
      <c r="BD912" s="30" t="str">
        <f t="shared" si="99"/>
        <v/>
      </c>
      <c r="BE912" s="30" t="str">
        <f t="shared" si="100"/>
        <v/>
      </c>
      <c r="BF912" s="30" t="str">
        <f t="shared" si="101"/>
        <v/>
      </c>
      <c r="BG912" s="30" t="str">
        <f t="shared" si="102"/>
        <v/>
      </c>
    </row>
    <row r="913" spans="1:59">
      <c r="A913" s="39"/>
      <c r="B913" s="39"/>
      <c r="C913" s="39"/>
      <c r="D913" s="39"/>
      <c r="E913" s="39"/>
      <c r="F913" s="39"/>
      <c r="G913" s="39"/>
      <c r="H913" s="39"/>
      <c r="I913" s="40"/>
      <c r="J913" s="40"/>
      <c r="K913" s="35"/>
      <c r="L913" s="35"/>
      <c r="M913" s="35"/>
      <c r="N913" s="39"/>
      <c r="O913" s="39"/>
      <c r="P913" s="39"/>
      <c r="Q913" s="39"/>
      <c r="R913" s="39"/>
      <c r="S913" s="39"/>
      <c r="T913" s="39"/>
      <c r="U913" s="39"/>
      <c r="V913" s="39"/>
      <c r="W913" s="39"/>
      <c r="X913" s="39"/>
      <c r="Y913" s="39"/>
      <c r="Z913" s="39"/>
      <c r="AA913" s="39"/>
      <c r="AB913" s="39"/>
      <c r="AC913" s="39"/>
      <c r="AD913" s="39"/>
      <c r="AE913" s="39"/>
      <c r="AF913" s="39"/>
      <c r="AG913" s="39"/>
      <c r="AH913" s="39"/>
      <c r="AI913" s="35"/>
      <c r="AJ913" s="39"/>
      <c r="AK913" s="39"/>
      <c r="AL913" s="39"/>
      <c r="AM913" s="35"/>
      <c r="AN913" s="35"/>
      <c r="AO913" s="39"/>
      <c r="AP913" s="39"/>
      <c r="AQ913" s="35"/>
      <c r="AR913" s="35"/>
      <c r="AS913" s="35"/>
      <c r="AT913" s="30">
        <f t="shared" ca="1" si="98"/>
        <v>0</v>
      </c>
      <c r="AU913" s="32" t="str">
        <f t="shared" ca="1" si="97"/>
        <v/>
      </c>
      <c r="AV913" s="32" t="str" cm="1">
        <f t="array" aca="1" ref="AV913" ca="1">IFERROR(_xlfn.IFS($AU913="","",$AU913&lt;=15,"0-15",AND($AU913&gt;=16,$AU913&lt;=30),"16-30",AND($AU913&gt;=31,$AU913&lt;=45),"31-45",AND($AU913&gt;=46,$AU913&lt;=60),"46-60",AND($AU913&gt;=61,$AU913&lt;=90),"61-90",AND($AU913&gt;=91),"&gt; 90",AND($AU913&gt;=2000),""),"")</f>
        <v/>
      </c>
      <c r="AW913" s="32" t="str" cm="1">
        <f t="array" aca="1" ref="AW913" ca="1">IFERROR(_xlfn.IFS(OR($M913="",$AM913=""),"",OR($C913="Offered",$C913="Joined"),($AM913-$M913)-$AT913),"")</f>
        <v/>
      </c>
      <c r="AX913" s="32" t="str" cm="1">
        <f t="array" aca="1" ref="AX913" ca="1">IFERROR(_xlfn.IFS(OR($M913="",$AS913=""),"",$C913="Joined",($AS913-$M913)-$AT913),"")</f>
        <v/>
      </c>
      <c r="AY913" s="30" t="str">
        <f>IFERROR(IF(COUNTIFS('Candidate Tracker'!$E:$E,'Positions Tracker'!$B913,'Candidate Tracker'!$C:$C,"Offer Drop")=0,"",COUNTIFS('Candidate Tracker'!$E:$E,'Positions Tracker'!$B913,'Candidate Tracker'!$C:$C,"Offer Drop")),"")</f>
        <v/>
      </c>
      <c r="AZ91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3" s="34" t="str">
        <f>IFERROR(IF(COUNTIFS('Candidate Tracker'!$E:$E,'Positions Tracker'!$B913,'Candidate Tracker'!$I:$I,"Female")=0,"",COUNTIFS('Candidate Tracker'!$E:$E,'Positions Tracker'!$B913,'Candidate Tracker'!$I:$I,"Female")),"")</f>
        <v/>
      </c>
      <c r="BB913" s="34" t="str">
        <f>IFERROR(IF(COUNTIFS('Candidate Tracker'!$E:$E,'Positions Tracker'!$B913,'Candidate Tracker'!$I:$I,"male")=0,"",COUNTIFS('Candidate Tracker'!$E:$E,'Positions Tracker'!$B913,'Candidate Tracker'!$I:$I,"male")),"")</f>
        <v/>
      </c>
      <c r="BC913" s="33" t="str">
        <f>IFERROR(IF(COUNTIFS('Candidate Tracker'!$E:$E,'Positions Tracker'!$B913,'Candidate Tracker'!$C:$C,"&lt;&gt;WIP",'Candidate Tracker'!$C:$C,"&lt;&gt;Hold",'Candidate Tracker'!$C:$C,"&lt;&gt;Cancelled",'Candidate Tracker'!$C:$C,"&lt;&gt;Closed")/COUNTIFS('Candidate Tracker'!$E:$E,'Positions Tracker'!$B913)=0,"",COUNTIFS('Candidate Tracker'!$E:$E,'Positions Tracker'!$B913,'Candidate Tracker'!$C:$C,"&lt;&gt;WIP",'Candidate Tracker'!$C:$C,"&lt;&gt;Hold",'Candidate Tracker'!$C:$C,"&lt;&gt;Cancelled",'Candidate Tracker'!$C:$C,"&lt;&gt;Closed")/COUNTIFS('Candidate Tracker'!$E:$E,'Positions Tracker'!$B913)),"")</f>
        <v/>
      </c>
      <c r="BD913" s="30" t="str">
        <f t="shared" si="99"/>
        <v/>
      </c>
      <c r="BE913" s="30" t="str">
        <f t="shared" si="100"/>
        <v/>
      </c>
      <c r="BF913" s="30" t="str">
        <f t="shared" si="101"/>
        <v/>
      </c>
      <c r="BG913" s="30" t="str">
        <f t="shared" si="102"/>
        <v/>
      </c>
    </row>
    <row r="914" spans="1:59">
      <c r="A914" s="39"/>
      <c r="B914" s="39"/>
      <c r="C914" s="39"/>
      <c r="D914" s="39"/>
      <c r="E914" s="39"/>
      <c r="F914" s="39"/>
      <c r="G914" s="39"/>
      <c r="H914" s="39"/>
      <c r="I914" s="40"/>
      <c r="J914" s="40"/>
      <c r="K914" s="35"/>
      <c r="L914" s="35"/>
      <c r="M914" s="35"/>
      <c r="N914" s="39"/>
      <c r="O914" s="39"/>
      <c r="P914" s="39"/>
      <c r="Q914" s="39"/>
      <c r="R914" s="39"/>
      <c r="S914" s="39"/>
      <c r="T914" s="39"/>
      <c r="U914" s="39"/>
      <c r="V914" s="39"/>
      <c r="W914" s="39"/>
      <c r="X914" s="39"/>
      <c r="Y914" s="39"/>
      <c r="Z914" s="39"/>
      <c r="AA914" s="39"/>
      <c r="AB914" s="39"/>
      <c r="AC914" s="39"/>
      <c r="AD914" s="39"/>
      <c r="AE914" s="39"/>
      <c r="AF914" s="39"/>
      <c r="AG914" s="39"/>
      <c r="AH914" s="39"/>
      <c r="AI914" s="35"/>
      <c r="AJ914" s="39"/>
      <c r="AK914" s="39"/>
      <c r="AL914" s="39"/>
      <c r="AM914" s="35"/>
      <c r="AN914" s="35"/>
      <c r="AO914" s="39"/>
      <c r="AP914" s="39"/>
      <c r="AQ914" s="35"/>
      <c r="AR914" s="35"/>
      <c r="AS914" s="35"/>
      <c r="AT914" s="30">
        <f t="shared" ca="1" si="98"/>
        <v>0</v>
      </c>
      <c r="AU914" s="32" t="str">
        <f t="shared" ca="1" si="97"/>
        <v/>
      </c>
      <c r="AV914" s="32" t="str" cm="1">
        <f t="array" aca="1" ref="AV914" ca="1">IFERROR(_xlfn.IFS($AU914="","",$AU914&lt;=15,"0-15",AND($AU914&gt;=16,$AU914&lt;=30),"16-30",AND($AU914&gt;=31,$AU914&lt;=45),"31-45",AND($AU914&gt;=46,$AU914&lt;=60),"46-60",AND($AU914&gt;=61,$AU914&lt;=90),"61-90",AND($AU914&gt;=91),"&gt; 90",AND($AU914&gt;=2000),""),"")</f>
        <v/>
      </c>
      <c r="AW914" s="32" t="str" cm="1">
        <f t="array" aca="1" ref="AW914" ca="1">IFERROR(_xlfn.IFS(OR($M914="",$AM914=""),"",OR($C914="Offered",$C914="Joined"),($AM914-$M914)-$AT914),"")</f>
        <v/>
      </c>
      <c r="AX914" s="32" t="str" cm="1">
        <f t="array" aca="1" ref="AX914" ca="1">IFERROR(_xlfn.IFS(OR($M914="",$AS914=""),"",$C914="Joined",($AS914-$M914)-$AT914),"")</f>
        <v/>
      </c>
      <c r="AY914" s="30" t="str">
        <f>IFERROR(IF(COUNTIFS('Candidate Tracker'!$E:$E,'Positions Tracker'!$B914,'Candidate Tracker'!$C:$C,"Offer Drop")=0,"",COUNTIFS('Candidate Tracker'!$E:$E,'Positions Tracker'!$B914,'Candidate Tracker'!$C:$C,"Offer Drop")),"")</f>
        <v/>
      </c>
      <c r="AZ91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4" s="34" t="str">
        <f>IFERROR(IF(COUNTIFS('Candidate Tracker'!$E:$E,'Positions Tracker'!$B914,'Candidate Tracker'!$I:$I,"Female")=0,"",COUNTIFS('Candidate Tracker'!$E:$E,'Positions Tracker'!$B914,'Candidate Tracker'!$I:$I,"Female")),"")</f>
        <v/>
      </c>
      <c r="BB914" s="34" t="str">
        <f>IFERROR(IF(COUNTIFS('Candidate Tracker'!$E:$E,'Positions Tracker'!$B914,'Candidate Tracker'!$I:$I,"male")=0,"",COUNTIFS('Candidate Tracker'!$E:$E,'Positions Tracker'!$B914,'Candidate Tracker'!$I:$I,"male")),"")</f>
        <v/>
      </c>
      <c r="BC914" s="33" t="str">
        <f>IFERROR(IF(COUNTIFS('Candidate Tracker'!$E:$E,'Positions Tracker'!$B914,'Candidate Tracker'!$C:$C,"&lt;&gt;WIP",'Candidate Tracker'!$C:$C,"&lt;&gt;Hold",'Candidate Tracker'!$C:$C,"&lt;&gt;Cancelled",'Candidate Tracker'!$C:$C,"&lt;&gt;Closed")/COUNTIFS('Candidate Tracker'!$E:$E,'Positions Tracker'!$B914)=0,"",COUNTIFS('Candidate Tracker'!$E:$E,'Positions Tracker'!$B914,'Candidate Tracker'!$C:$C,"&lt;&gt;WIP",'Candidate Tracker'!$C:$C,"&lt;&gt;Hold",'Candidate Tracker'!$C:$C,"&lt;&gt;Cancelled",'Candidate Tracker'!$C:$C,"&lt;&gt;Closed")/COUNTIFS('Candidate Tracker'!$E:$E,'Positions Tracker'!$B914)),"")</f>
        <v/>
      </c>
      <c r="BD914" s="30" t="str">
        <f t="shared" si="99"/>
        <v/>
      </c>
      <c r="BE914" s="30" t="str">
        <f t="shared" si="100"/>
        <v/>
      </c>
      <c r="BF914" s="30" t="str">
        <f t="shared" si="101"/>
        <v/>
      </c>
      <c r="BG914" s="30" t="str">
        <f t="shared" si="102"/>
        <v/>
      </c>
    </row>
    <row r="915" spans="1:59">
      <c r="A915" s="39"/>
      <c r="B915" s="39"/>
      <c r="C915" s="39"/>
      <c r="D915" s="39"/>
      <c r="E915" s="39"/>
      <c r="F915" s="39"/>
      <c r="G915" s="39"/>
      <c r="H915" s="39"/>
      <c r="I915" s="40"/>
      <c r="J915" s="40"/>
      <c r="K915" s="35"/>
      <c r="L915" s="35"/>
      <c r="M915" s="35"/>
      <c r="N915" s="39"/>
      <c r="O915" s="39"/>
      <c r="P915" s="39"/>
      <c r="Q915" s="39"/>
      <c r="R915" s="39"/>
      <c r="S915" s="39"/>
      <c r="T915" s="39"/>
      <c r="U915" s="39"/>
      <c r="V915" s="39"/>
      <c r="W915" s="39"/>
      <c r="X915" s="39"/>
      <c r="Y915" s="39"/>
      <c r="Z915" s="39"/>
      <c r="AA915" s="39"/>
      <c r="AB915" s="39"/>
      <c r="AC915" s="39"/>
      <c r="AD915" s="39"/>
      <c r="AE915" s="39"/>
      <c r="AF915" s="39"/>
      <c r="AG915" s="39"/>
      <c r="AH915" s="39"/>
      <c r="AI915" s="35"/>
      <c r="AJ915" s="39"/>
      <c r="AK915" s="39"/>
      <c r="AL915" s="39"/>
      <c r="AM915" s="35"/>
      <c r="AN915" s="35"/>
      <c r="AO915" s="39"/>
      <c r="AP915" s="39"/>
      <c r="AQ915" s="35"/>
      <c r="AR915" s="35"/>
      <c r="AS915" s="35"/>
      <c r="AT915" s="30">
        <f t="shared" ca="1" si="98"/>
        <v>0</v>
      </c>
      <c r="AU915" s="32" t="str">
        <f t="shared" ca="1" si="97"/>
        <v/>
      </c>
      <c r="AV915" s="32" t="str" cm="1">
        <f t="array" aca="1" ref="AV915" ca="1">IFERROR(_xlfn.IFS($AU915="","",$AU915&lt;=15,"0-15",AND($AU915&gt;=16,$AU915&lt;=30),"16-30",AND($AU915&gt;=31,$AU915&lt;=45),"31-45",AND($AU915&gt;=46,$AU915&lt;=60),"46-60",AND($AU915&gt;=61,$AU915&lt;=90),"61-90",AND($AU915&gt;=91),"&gt; 90",AND($AU915&gt;=2000),""),"")</f>
        <v/>
      </c>
      <c r="AW915" s="32" t="str" cm="1">
        <f t="array" aca="1" ref="AW915" ca="1">IFERROR(_xlfn.IFS(OR($M915="",$AM915=""),"",OR($C915="Offered",$C915="Joined"),($AM915-$M915)-$AT915),"")</f>
        <v/>
      </c>
      <c r="AX915" s="32" t="str" cm="1">
        <f t="array" aca="1" ref="AX915" ca="1">IFERROR(_xlfn.IFS(OR($M915="",$AS915=""),"",$C915="Joined",($AS915-$M915)-$AT915),"")</f>
        <v/>
      </c>
      <c r="AY915" s="30" t="str">
        <f>IFERROR(IF(COUNTIFS('Candidate Tracker'!$E:$E,'Positions Tracker'!$B915,'Candidate Tracker'!$C:$C,"Offer Drop")=0,"",COUNTIFS('Candidate Tracker'!$E:$E,'Positions Tracker'!$B915,'Candidate Tracker'!$C:$C,"Offer Drop")),"")</f>
        <v/>
      </c>
      <c r="AZ91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5" s="34" t="str">
        <f>IFERROR(IF(COUNTIFS('Candidate Tracker'!$E:$E,'Positions Tracker'!$B915,'Candidate Tracker'!$I:$I,"Female")=0,"",COUNTIFS('Candidate Tracker'!$E:$E,'Positions Tracker'!$B915,'Candidate Tracker'!$I:$I,"Female")),"")</f>
        <v/>
      </c>
      <c r="BB915" s="34" t="str">
        <f>IFERROR(IF(COUNTIFS('Candidate Tracker'!$E:$E,'Positions Tracker'!$B915,'Candidate Tracker'!$I:$I,"male")=0,"",COUNTIFS('Candidate Tracker'!$E:$E,'Positions Tracker'!$B915,'Candidate Tracker'!$I:$I,"male")),"")</f>
        <v/>
      </c>
      <c r="BC915" s="33" t="str">
        <f>IFERROR(IF(COUNTIFS('Candidate Tracker'!$E:$E,'Positions Tracker'!$B915,'Candidate Tracker'!$C:$C,"&lt;&gt;WIP",'Candidate Tracker'!$C:$C,"&lt;&gt;Hold",'Candidate Tracker'!$C:$C,"&lt;&gt;Cancelled",'Candidate Tracker'!$C:$C,"&lt;&gt;Closed")/COUNTIFS('Candidate Tracker'!$E:$E,'Positions Tracker'!$B915)=0,"",COUNTIFS('Candidate Tracker'!$E:$E,'Positions Tracker'!$B915,'Candidate Tracker'!$C:$C,"&lt;&gt;WIP",'Candidate Tracker'!$C:$C,"&lt;&gt;Hold",'Candidate Tracker'!$C:$C,"&lt;&gt;Cancelled",'Candidate Tracker'!$C:$C,"&lt;&gt;Closed")/COUNTIFS('Candidate Tracker'!$E:$E,'Positions Tracker'!$B915)),"")</f>
        <v/>
      </c>
      <c r="BD915" s="30" t="str">
        <f t="shared" si="99"/>
        <v/>
      </c>
      <c r="BE915" s="30" t="str">
        <f t="shared" si="100"/>
        <v/>
      </c>
      <c r="BF915" s="30" t="str">
        <f t="shared" si="101"/>
        <v/>
      </c>
      <c r="BG915" s="30" t="str">
        <f t="shared" si="102"/>
        <v/>
      </c>
    </row>
    <row r="916" spans="1:59">
      <c r="A916" s="39"/>
      <c r="B916" s="39"/>
      <c r="C916" s="39"/>
      <c r="D916" s="39"/>
      <c r="E916" s="39"/>
      <c r="F916" s="39"/>
      <c r="G916" s="39"/>
      <c r="H916" s="39"/>
      <c r="I916" s="40"/>
      <c r="J916" s="40"/>
      <c r="K916" s="35"/>
      <c r="L916" s="35"/>
      <c r="M916" s="35"/>
      <c r="N916" s="39"/>
      <c r="O916" s="39"/>
      <c r="P916" s="39"/>
      <c r="Q916" s="39"/>
      <c r="R916" s="39"/>
      <c r="S916" s="39"/>
      <c r="T916" s="39"/>
      <c r="U916" s="39"/>
      <c r="V916" s="39"/>
      <c r="W916" s="39"/>
      <c r="X916" s="39"/>
      <c r="Y916" s="39"/>
      <c r="Z916" s="39"/>
      <c r="AA916" s="39"/>
      <c r="AB916" s="39"/>
      <c r="AC916" s="39"/>
      <c r="AD916" s="39"/>
      <c r="AE916" s="39"/>
      <c r="AF916" s="39"/>
      <c r="AG916" s="39"/>
      <c r="AH916" s="39"/>
      <c r="AI916" s="35"/>
      <c r="AJ916" s="39"/>
      <c r="AK916" s="39"/>
      <c r="AL916" s="39"/>
      <c r="AM916" s="35"/>
      <c r="AN916" s="35"/>
      <c r="AO916" s="39"/>
      <c r="AP916" s="39"/>
      <c r="AQ916" s="35"/>
      <c r="AR916" s="35"/>
      <c r="AS916" s="35"/>
      <c r="AT916" s="30">
        <f t="shared" ca="1" si="98"/>
        <v>0</v>
      </c>
      <c r="AU916" s="32" t="str">
        <f t="shared" ca="1" si="97"/>
        <v/>
      </c>
      <c r="AV916" s="32" t="str" cm="1">
        <f t="array" aca="1" ref="AV916" ca="1">IFERROR(_xlfn.IFS($AU916="","",$AU916&lt;=15,"0-15",AND($AU916&gt;=16,$AU916&lt;=30),"16-30",AND($AU916&gt;=31,$AU916&lt;=45),"31-45",AND($AU916&gt;=46,$AU916&lt;=60),"46-60",AND($AU916&gt;=61,$AU916&lt;=90),"61-90",AND($AU916&gt;=91),"&gt; 90",AND($AU916&gt;=2000),""),"")</f>
        <v/>
      </c>
      <c r="AW916" s="32" t="str" cm="1">
        <f t="array" aca="1" ref="AW916" ca="1">IFERROR(_xlfn.IFS(OR($M916="",$AM916=""),"",OR($C916="Offered",$C916="Joined"),($AM916-$M916)-$AT916),"")</f>
        <v/>
      </c>
      <c r="AX916" s="32" t="str" cm="1">
        <f t="array" aca="1" ref="AX916" ca="1">IFERROR(_xlfn.IFS(OR($M916="",$AS916=""),"",$C916="Joined",($AS916-$M916)-$AT916),"")</f>
        <v/>
      </c>
      <c r="AY916" s="30" t="str">
        <f>IFERROR(IF(COUNTIFS('Candidate Tracker'!$E:$E,'Positions Tracker'!$B916,'Candidate Tracker'!$C:$C,"Offer Drop")=0,"",COUNTIFS('Candidate Tracker'!$E:$E,'Positions Tracker'!$B916,'Candidate Tracker'!$C:$C,"Offer Drop")),"")</f>
        <v/>
      </c>
      <c r="AZ91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6" s="34" t="str">
        <f>IFERROR(IF(COUNTIFS('Candidate Tracker'!$E:$E,'Positions Tracker'!$B916,'Candidate Tracker'!$I:$I,"Female")=0,"",COUNTIFS('Candidate Tracker'!$E:$E,'Positions Tracker'!$B916,'Candidate Tracker'!$I:$I,"Female")),"")</f>
        <v/>
      </c>
      <c r="BB916" s="34" t="str">
        <f>IFERROR(IF(COUNTIFS('Candidate Tracker'!$E:$E,'Positions Tracker'!$B916,'Candidate Tracker'!$I:$I,"male")=0,"",COUNTIFS('Candidate Tracker'!$E:$E,'Positions Tracker'!$B916,'Candidate Tracker'!$I:$I,"male")),"")</f>
        <v/>
      </c>
      <c r="BC916" s="33" t="str">
        <f>IFERROR(IF(COUNTIFS('Candidate Tracker'!$E:$E,'Positions Tracker'!$B916,'Candidate Tracker'!$C:$C,"&lt;&gt;WIP",'Candidate Tracker'!$C:$C,"&lt;&gt;Hold",'Candidate Tracker'!$C:$C,"&lt;&gt;Cancelled",'Candidate Tracker'!$C:$C,"&lt;&gt;Closed")/COUNTIFS('Candidate Tracker'!$E:$E,'Positions Tracker'!$B916)=0,"",COUNTIFS('Candidate Tracker'!$E:$E,'Positions Tracker'!$B916,'Candidate Tracker'!$C:$C,"&lt;&gt;WIP",'Candidate Tracker'!$C:$C,"&lt;&gt;Hold",'Candidate Tracker'!$C:$C,"&lt;&gt;Cancelled",'Candidate Tracker'!$C:$C,"&lt;&gt;Closed")/COUNTIFS('Candidate Tracker'!$E:$E,'Positions Tracker'!$B916)),"")</f>
        <v/>
      </c>
      <c r="BD916" s="30" t="str">
        <f t="shared" si="99"/>
        <v/>
      </c>
      <c r="BE916" s="30" t="str">
        <f t="shared" si="100"/>
        <v/>
      </c>
      <c r="BF916" s="30" t="str">
        <f t="shared" si="101"/>
        <v/>
      </c>
      <c r="BG916" s="30" t="str">
        <f t="shared" si="102"/>
        <v/>
      </c>
    </row>
    <row r="917" spans="1:59">
      <c r="A917" s="39"/>
      <c r="B917" s="39"/>
      <c r="C917" s="39"/>
      <c r="D917" s="39"/>
      <c r="E917" s="39"/>
      <c r="F917" s="39"/>
      <c r="G917" s="39"/>
      <c r="H917" s="39"/>
      <c r="I917" s="40"/>
      <c r="J917" s="40"/>
      <c r="K917" s="35"/>
      <c r="L917" s="35"/>
      <c r="M917" s="35"/>
      <c r="N917" s="39"/>
      <c r="O917" s="39"/>
      <c r="P917" s="39"/>
      <c r="Q917" s="39"/>
      <c r="R917" s="39"/>
      <c r="S917" s="39"/>
      <c r="T917" s="39"/>
      <c r="U917" s="39"/>
      <c r="V917" s="39"/>
      <c r="W917" s="39"/>
      <c r="X917" s="39"/>
      <c r="Y917" s="39"/>
      <c r="Z917" s="39"/>
      <c r="AA917" s="39"/>
      <c r="AB917" s="39"/>
      <c r="AC917" s="39"/>
      <c r="AD917" s="39"/>
      <c r="AE917" s="39"/>
      <c r="AF917" s="39"/>
      <c r="AG917" s="39"/>
      <c r="AH917" s="39"/>
      <c r="AI917" s="35"/>
      <c r="AJ917" s="39"/>
      <c r="AK917" s="39"/>
      <c r="AL917" s="39"/>
      <c r="AM917" s="35"/>
      <c r="AN917" s="35"/>
      <c r="AO917" s="39"/>
      <c r="AP917" s="39"/>
      <c r="AQ917" s="35"/>
      <c r="AR917" s="35"/>
      <c r="AS917" s="35"/>
      <c r="AT917" s="30">
        <f t="shared" ca="1" si="98"/>
        <v>0</v>
      </c>
      <c r="AU917" s="32" t="str">
        <f t="shared" ca="1" si="97"/>
        <v/>
      </c>
      <c r="AV917" s="32" t="str" cm="1">
        <f t="array" aca="1" ref="AV917" ca="1">IFERROR(_xlfn.IFS($AU917="","",$AU917&lt;=15,"0-15",AND($AU917&gt;=16,$AU917&lt;=30),"16-30",AND($AU917&gt;=31,$AU917&lt;=45),"31-45",AND($AU917&gt;=46,$AU917&lt;=60),"46-60",AND($AU917&gt;=61,$AU917&lt;=90),"61-90",AND($AU917&gt;=91),"&gt; 90",AND($AU917&gt;=2000),""),"")</f>
        <v/>
      </c>
      <c r="AW917" s="32" t="str" cm="1">
        <f t="array" aca="1" ref="AW917" ca="1">IFERROR(_xlfn.IFS(OR($M917="",$AM917=""),"",OR($C917="Offered",$C917="Joined"),($AM917-$M917)-$AT917),"")</f>
        <v/>
      </c>
      <c r="AX917" s="32" t="str" cm="1">
        <f t="array" aca="1" ref="AX917" ca="1">IFERROR(_xlfn.IFS(OR($M917="",$AS917=""),"",$C917="Joined",($AS917-$M917)-$AT917),"")</f>
        <v/>
      </c>
      <c r="AY917" s="30" t="str">
        <f>IFERROR(IF(COUNTIFS('Candidate Tracker'!$E:$E,'Positions Tracker'!$B917,'Candidate Tracker'!$C:$C,"Offer Drop")=0,"",COUNTIFS('Candidate Tracker'!$E:$E,'Positions Tracker'!$B917,'Candidate Tracker'!$C:$C,"Offer Drop")),"")</f>
        <v/>
      </c>
      <c r="AZ91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7" s="34" t="str">
        <f>IFERROR(IF(COUNTIFS('Candidate Tracker'!$E:$E,'Positions Tracker'!$B917,'Candidate Tracker'!$I:$I,"Female")=0,"",COUNTIFS('Candidate Tracker'!$E:$E,'Positions Tracker'!$B917,'Candidate Tracker'!$I:$I,"Female")),"")</f>
        <v/>
      </c>
      <c r="BB917" s="34" t="str">
        <f>IFERROR(IF(COUNTIFS('Candidate Tracker'!$E:$E,'Positions Tracker'!$B917,'Candidate Tracker'!$I:$I,"male")=0,"",COUNTIFS('Candidate Tracker'!$E:$E,'Positions Tracker'!$B917,'Candidate Tracker'!$I:$I,"male")),"")</f>
        <v/>
      </c>
      <c r="BC917" s="33" t="str">
        <f>IFERROR(IF(COUNTIFS('Candidate Tracker'!$E:$E,'Positions Tracker'!$B917,'Candidate Tracker'!$C:$C,"&lt;&gt;WIP",'Candidate Tracker'!$C:$C,"&lt;&gt;Hold",'Candidate Tracker'!$C:$C,"&lt;&gt;Cancelled",'Candidate Tracker'!$C:$C,"&lt;&gt;Closed")/COUNTIFS('Candidate Tracker'!$E:$E,'Positions Tracker'!$B917)=0,"",COUNTIFS('Candidate Tracker'!$E:$E,'Positions Tracker'!$B917,'Candidate Tracker'!$C:$C,"&lt;&gt;WIP",'Candidate Tracker'!$C:$C,"&lt;&gt;Hold",'Candidate Tracker'!$C:$C,"&lt;&gt;Cancelled",'Candidate Tracker'!$C:$C,"&lt;&gt;Closed")/COUNTIFS('Candidate Tracker'!$E:$E,'Positions Tracker'!$B917)),"")</f>
        <v/>
      </c>
      <c r="BD917" s="30" t="str">
        <f t="shared" si="99"/>
        <v/>
      </c>
      <c r="BE917" s="30" t="str">
        <f t="shared" si="100"/>
        <v/>
      </c>
      <c r="BF917" s="30" t="str">
        <f t="shared" si="101"/>
        <v/>
      </c>
      <c r="BG917" s="30" t="str">
        <f t="shared" si="102"/>
        <v/>
      </c>
    </row>
    <row r="918" spans="1:59">
      <c r="A918" s="39"/>
      <c r="B918" s="39"/>
      <c r="C918" s="39"/>
      <c r="D918" s="39"/>
      <c r="E918" s="39"/>
      <c r="F918" s="39"/>
      <c r="G918" s="39"/>
      <c r="H918" s="39"/>
      <c r="I918" s="40"/>
      <c r="J918" s="40"/>
      <c r="K918" s="35"/>
      <c r="L918" s="35"/>
      <c r="M918" s="35"/>
      <c r="N918" s="39"/>
      <c r="O918" s="39"/>
      <c r="P918" s="39"/>
      <c r="Q918" s="39"/>
      <c r="R918" s="39"/>
      <c r="S918" s="39"/>
      <c r="T918" s="39"/>
      <c r="U918" s="39"/>
      <c r="V918" s="39"/>
      <c r="W918" s="39"/>
      <c r="X918" s="39"/>
      <c r="Y918" s="39"/>
      <c r="Z918" s="39"/>
      <c r="AA918" s="39"/>
      <c r="AB918" s="39"/>
      <c r="AC918" s="39"/>
      <c r="AD918" s="39"/>
      <c r="AE918" s="39"/>
      <c r="AF918" s="39"/>
      <c r="AG918" s="39"/>
      <c r="AH918" s="39"/>
      <c r="AI918" s="35"/>
      <c r="AJ918" s="39"/>
      <c r="AK918" s="39"/>
      <c r="AL918" s="39"/>
      <c r="AM918" s="35"/>
      <c r="AN918" s="35"/>
      <c r="AO918" s="39"/>
      <c r="AP918" s="39"/>
      <c r="AQ918" s="35"/>
      <c r="AR918" s="35"/>
      <c r="AS918" s="35"/>
      <c r="AT918" s="30">
        <f t="shared" ca="1" si="98"/>
        <v>0</v>
      </c>
      <c r="AU918" s="32" t="str">
        <f t="shared" ca="1" si="97"/>
        <v/>
      </c>
      <c r="AV918" s="32" t="str" cm="1">
        <f t="array" aca="1" ref="AV918" ca="1">IFERROR(_xlfn.IFS($AU918="","",$AU918&lt;=15,"0-15",AND($AU918&gt;=16,$AU918&lt;=30),"16-30",AND($AU918&gt;=31,$AU918&lt;=45),"31-45",AND($AU918&gt;=46,$AU918&lt;=60),"46-60",AND($AU918&gt;=61,$AU918&lt;=90),"61-90",AND($AU918&gt;=91),"&gt; 90",AND($AU918&gt;=2000),""),"")</f>
        <v/>
      </c>
      <c r="AW918" s="32" t="str" cm="1">
        <f t="array" aca="1" ref="AW918" ca="1">IFERROR(_xlfn.IFS(OR($M918="",$AM918=""),"",OR($C918="Offered",$C918="Joined"),($AM918-$M918)-$AT918),"")</f>
        <v/>
      </c>
      <c r="AX918" s="32" t="str" cm="1">
        <f t="array" aca="1" ref="AX918" ca="1">IFERROR(_xlfn.IFS(OR($M918="",$AS918=""),"",$C918="Joined",($AS918-$M918)-$AT918),"")</f>
        <v/>
      </c>
      <c r="AY918" s="30" t="str">
        <f>IFERROR(IF(COUNTIFS('Candidate Tracker'!$E:$E,'Positions Tracker'!$B918,'Candidate Tracker'!$C:$C,"Offer Drop")=0,"",COUNTIFS('Candidate Tracker'!$E:$E,'Positions Tracker'!$B918,'Candidate Tracker'!$C:$C,"Offer Drop")),"")</f>
        <v/>
      </c>
      <c r="AZ91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8" s="34" t="str">
        <f>IFERROR(IF(COUNTIFS('Candidate Tracker'!$E:$E,'Positions Tracker'!$B918,'Candidate Tracker'!$I:$I,"Female")=0,"",COUNTIFS('Candidate Tracker'!$E:$E,'Positions Tracker'!$B918,'Candidate Tracker'!$I:$I,"Female")),"")</f>
        <v/>
      </c>
      <c r="BB918" s="34" t="str">
        <f>IFERROR(IF(COUNTIFS('Candidate Tracker'!$E:$E,'Positions Tracker'!$B918,'Candidate Tracker'!$I:$I,"male")=0,"",COUNTIFS('Candidate Tracker'!$E:$E,'Positions Tracker'!$B918,'Candidate Tracker'!$I:$I,"male")),"")</f>
        <v/>
      </c>
      <c r="BC918" s="33" t="str">
        <f>IFERROR(IF(COUNTIFS('Candidate Tracker'!$E:$E,'Positions Tracker'!$B918,'Candidate Tracker'!$C:$C,"&lt;&gt;WIP",'Candidate Tracker'!$C:$C,"&lt;&gt;Hold",'Candidate Tracker'!$C:$C,"&lt;&gt;Cancelled",'Candidate Tracker'!$C:$C,"&lt;&gt;Closed")/COUNTIFS('Candidate Tracker'!$E:$E,'Positions Tracker'!$B918)=0,"",COUNTIFS('Candidate Tracker'!$E:$E,'Positions Tracker'!$B918,'Candidate Tracker'!$C:$C,"&lt;&gt;WIP",'Candidate Tracker'!$C:$C,"&lt;&gt;Hold",'Candidate Tracker'!$C:$C,"&lt;&gt;Cancelled",'Candidate Tracker'!$C:$C,"&lt;&gt;Closed")/COUNTIFS('Candidate Tracker'!$E:$E,'Positions Tracker'!$B918)),"")</f>
        <v/>
      </c>
      <c r="BD918" s="30" t="str">
        <f t="shared" si="99"/>
        <v/>
      </c>
      <c r="BE918" s="30" t="str">
        <f t="shared" si="100"/>
        <v/>
      </c>
      <c r="BF918" s="30" t="str">
        <f t="shared" si="101"/>
        <v/>
      </c>
      <c r="BG918" s="30" t="str">
        <f t="shared" si="102"/>
        <v/>
      </c>
    </row>
    <row r="919" spans="1:59">
      <c r="A919" s="39"/>
      <c r="B919" s="39"/>
      <c r="C919" s="39"/>
      <c r="D919" s="39"/>
      <c r="E919" s="39"/>
      <c r="F919" s="39"/>
      <c r="G919" s="39"/>
      <c r="H919" s="39"/>
      <c r="I919" s="40"/>
      <c r="J919" s="40"/>
      <c r="K919" s="35"/>
      <c r="L919" s="35"/>
      <c r="M919" s="35"/>
      <c r="N919" s="39"/>
      <c r="O919" s="39"/>
      <c r="P919" s="39"/>
      <c r="Q919" s="39"/>
      <c r="R919" s="39"/>
      <c r="S919" s="39"/>
      <c r="T919" s="39"/>
      <c r="U919" s="39"/>
      <c r="V919" s="39"/>
      <c r="W919" s="39"/>
      <c r="X919" s="39"/>
      <c r="Y919" s="39"/>
      <c r="Z919" s="39"/>
      <c r="AA919" s="39"/>
      <c r="AB919" s="39"/>
      <c r="AC919" s="39"/>
      <c r="AD919" s="39"/>
      <c r="AE919" s="39"/>
      <c r="AF919" s="39"/>
      <c r="AG919" s="39"/>
      <c r="AH919" s="39"/>
      <c r="AI919" s="35"/>
      <c r="AJ919" s="39"/>
      <c r="AK919" s="39"/>
      <c r="AL919" s="39"/>
      <c r="AM919" s="35"/>
      <c r="AN919" s="35"/>
      <c r="AO919" s="39"/>
      <c r="AP919" s="39"/>
      <c r="AQ919" s="35"/>
      <c r="AR919" s="35"/>
      <c r="AS919" s="35"/>
      <c r="AT919" s="30">
        <f t="shared" ca="1" si="98"/>
        <v>0</v>
      </c>
      <c r="AU919" s="32" t="str">
        <f t="shared" ca="1" si="97"/>
        <v/>
      </c>
      <c r="AV919" s="32" t="str" cm="1">
        <f t="array" aca="1" ref="AV919" ca="1">IFERROR(_xlfn.IFS($AU919="","",$AU919&lt;=15,"0-15",AND($AU919&gt;=16,$AU919&lt;=30),"16-30",AND($AU919&gt;=31,$AU919&lt;=45),"31-45",AND($AU919&gt;=46,$AU919&lt;=60),"46-60",AND($AU919&gt;=61,$AU919&lt;=90),"61-90",AND($AU919&gt;=91),"&gt; 90",AND($AU919&gt;=2000),""),"")</f>
        <v/>
      </c>
      <c r="AW919" s="32" t="str" cm="1">
        <f t="array" aca="1" ref="AW919" ca="1">IFERROR(_xlfn.IFS(OR($M919="",$AM919=""),"",OR($C919="Offered",$C919="Joined"),($AM919-$M919)-$AT919),"")</f>
        <v/>
      </c>
      <c r="AX919" s="32" t="str" cm="1">
        <f t="array" aca="1" ref="AX919" ca="1">IFERROR(_xlfn.IFS(OR($M919="",$AS919=""),"",$C919="Joined",($AS919-$M919)-$AT919),"")</f>
        <v/>
      </c>
      <c r="AY919" s="30" t="str">
        <f>IFERROR(IF(COUNTIFS('Candidate Tracker'!$E:$E,'Positions Tracker'!$B919,'Candidate Tracker'!$C:$C,"Offer Drop")=0,"",COUNTIFS('Candidate Tracker'!$E:$E,'Positions Tracker'!$B919,'Candidate Tracker'!$C:$C,"Offer Drop")),"")</f>
        <v/>
      </c>
      <c r="AZ91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19" s="34" t="str">
        <f>IFERROR(IF(COUNTIFS('Candidate Tracker'!$E:$E,'Positions Tracker'!$B919,'Candidate Tracker'!$I:$I,"Female")=0,"",COUNTIFS('Candidate Tracker'!$E:$E,'Positions Tracker'!$B919,'Candidate Tracker'!$I:$I,"Female")),"")</f>
        <v/>
      </c>
      <c r="BB919" s="34" t="str">
        <f>IFERROR(IF(COUNTIFS('Candidate Tracker'!$E:$E,'Positions Tracker'!$B919,'Candidate Tracker'!$I:$I,"male")=0,"",COUNTIFS('Candidate Tracker'!$E:$E,'Positions Tracker'!$B919,'Candidate Tracker'!$I:$I,"male")),"")</f>
        <v/>
      </c>
      <c r="BC919" s="33" t="str">
        <f>IFERROR(IF(COUNTIFS('Candidate Tracker'!$E:$E,'Positions Tracker'!$B919,'Candidate Tracker'!$C:$C,"&lt;&gt;WIP",'Candidate Tracker'!$C:$C,"&lt;&gt;Hold",'Candidate Tracker'!$C:$C,"&lt;&gt;Cancelled",'Candidate Tracker'!$C:$C,"&lt;&gt;Closed")/COUNTIFS('Candidate Tracker'!$E:$E,'Positions Tracker'!$B919)=0,"",COUNTIFS('Candidate Tracker'!$E:$E,'Positions Tracker'!$B919,'Candidate Tracker'!$C:$C,"&lt;&gt;WIP",'Candidate Tracker'!$C:$C,"&lt;&gt;Hold",'Candidate Tracker'!$C:$C,"&lt;&gt;Cancelled",'Candidate Tracker'!$C:$C,"&lt;&gt;Closed")/COUNTIFS('Candidate Tracker'!$E:$E,'Positions Tracker'!$B919)),"")</f>
        <v/>
      </c>
      <c r="BD919" s="30" t="str">
        <f t="shared" si="99"/>
        <v/>
      </c>
      <c r="BE919" s="30" t="str">
        <f t="shared" si="100"/>
        <v/>
      </c>
      <c r="BF919" s="30" t="str">
        <f t="shared" si="101"/>
        <v/>
      </c>
      <c r="BG919" s="30" t="str">
        <f t="shared" si="102"/>
        <v/>
      </c>
    </row>
    <row r="920" spans="1:59">
      <c r="A920" s="39"/>
      <c r="B920" s="39"/>
      <c r="C920" s="39"/>
      <c r="D920" s="39"/>
      <c r="E920" s="39"/>
      <c r="F920" s="39"/>
      <c r="G920" s="39"/>
      <c r="H920" s="39"/>
      <c r="I920" s="40"/>
      <c r="J920" s="40"/>
      <c r="K920" s="35"/>
      <c r="L920" s="35"/>
      <c r="M920" s="35"/>
      <c r="N920" s="39"/>
      <c r="O920" s="39"/>
      <c r="P920" s="39"/>
      <c r="Q920" s="39"/>
      <c r="R920" s="39"/>
      <c r="S920" s="39"/>
      <c r="T920" s="39"/>
      <c r="U920" s="39"/>
      <c r="V920" s="39"/>
      <c r="W920" s="39"/>
      <c r="X920" s="39"/>
      <c r="Y920" s="39"/>
      <c r="Z920" s="39"/>
      <c r="AA920" s="39"/>
      <c r="AB920" s="39"/>
      <c r="AC920" s="39"/>
      <c r="AD920" s="39"/>
      <c r="AE920" s="39"/>
      <c r="AF920" s="39"/>
      <c r="AG920" s="39"/>
      <c r="AH920" s="39"/>
      <c r="AI920" s="35"/>
      <c r="AJ920" s="39"/>
      <c r="AK920" s="39"/>
      <c r="AL920" s="39"/>
      <c r="AM920" s="35"/>
      <c r="AN920" s="35"/>
      <c r="AO920" s="39"/>
      <c r="AP920" s="39"/>
      <c r="AQ920" s="35"/>
      <c r="AR920" s="35"/>
      <c r="AS920" s="35"/>
      <c r="AT920" s="30">
        <f t="shared" ca="1" si="98"/>
        <v>0</v>
      </c>
      <c r="AU920" s="32" t="str">
        <f t="shared" ca="1" si="97"/>
        <v/>
      </c>
      <c r="AV920" s="32" t="str" cm="1">
        <f t="array" aca="1" ref="AV920" ca="1">IFERROR(_xlfn.IFS($AU920="","",$AU920&lt;=15,"0-15",AND($AU920&gt;=16,$AU920&lt;=30),"16-30",AND($AU920&gt;=31,$AU920&lt;=45),"31-45",AND($AU920&gt;=46,$AU920&lt;=60),"46-60",AND($AU920&gt;=61,$AU920&lt;=90),"61-90",AND($AU920&gt;=91),"&gt; 90",AND($AU920&gt;=2000),""),"")</f>
        <v/>
      </c>
      <c r="AW920" s="32" t="str" cm="1">
        <f t="array" aca="1" ref="AW920" ca="1">IFERROR(_xlfn.IFS(OR($M920="",$AM920=""),"",OR($C920="Offered",$C920="Joined"),($AM920-$M920)-$AT920),"")</f>
        <v/>
      </c>
      <c r="AX920" s="32" t="str" cm="1">
        <f t="array" aca="1" ref="AX920" ca="1">IFERROR(_xlfn.IFS(OR($M920="",$AS920=""),"",$C920="Joined",($AS920-$M920)-$AT920),"")</f>
        <v/>
      </c>
      <c r="AY920" s="30" t="str">
        <f>IFERROR(IF(COUNTIFS('Candidate Tracker'!$E:$E,'Positions Tracker'!$B920,'Candidate Tracker'!$C:$C,"Offer Drop")=0,"",COUNTIFS('Candidate Tracker'!$E:$E,'Positions Tracker'!$B920,'Candidate Tracker'!$C:$C,"Offer Drop")),"")</f>
        <v/>
      </c>
      <c r="AZ92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0" s="34" t="str">
        <f>IFERROR(IF(COUNTIFS('Candidate Tracker'!$E:$E,'Positions Tracker'!$B920,'Candidate Tracker'!$I:$I,"Female")=0,"",COUNTIFS('Candidate Tracker'!$E:$E,'Positions Tracker'!$B920,'Candidate Tracker'!$I:$I,"Female")),"")</f>
        <v/>
      </c>
      <c r="BB920" s="34" t="str">
        <f>IFERROR(IF(COUNTIFS('Candidate Tracker'!$E:$E,'Positions Tracker'!$B920,'Candidate Tracker'!$I:$I,"male")=0,"",COUNTIFS('Candidate Tracker'!$E:$E,'Positions Tracker'!$B920,'Candidate Tracker'!$I:$I,"male")),"")</f>
        <v/>
      </c>
      <c r="BC920" s="33" t="str">
        <f>IFERROR(IF(COUNTIFS('Candidate Tracker'!$E:$E,'Positions Tracker'!$B920,'Candidate Tracker'!$C:$C,"&lt;&gt;WIP",'Candidate Tracker'!$C:$C,"&lt;&gt;Hold",'Candidate Tracker'!$C:$C,"&lt;&gt;Cancelled",'Candidate Tracker'!$C:$C,"&lt;&gt;Closed")/COUNTIFS('Candidate Tracker'!$E:$E,'Positions Tracker'!$B920)=0,"",COUNTIFS('Candidate Tracker'!$E:$E,'Positions Tracker'!$B920,'Candidate Tracker'!$C:$C,"&lt;&gt;WIP",'Candidate Tracker'!$C:$C,"&lt;&gt;Hold",'Candidate Tracker'!$C:$C,"&lt;&gt;Cancelled",'Candidate Tracker'!$C:$C,"&lt;&gt;Closed")/COUNTIFS('Candidate Tracker'!$E:$E,'Positions Tracker'!$B920)),"")</f>
        <v/>
      </c>
      <c r="BD920" s="30" t="str">
        <f t="shared" si="99"/>
        <v/>
      </c>
      <c r="BE920" s="30" t="str">
        <f t="shared" si="100"/>
        <v/>
      </c>
      <c r="BF920" s="30" t="str">
        <f t="shared" si="101"/>
        <v/>
      </c>
      <c r="BG920" s="30" t="str">
        <f t="shared" si="102"/>
        <v/>
      </c>
    </row>
    <row r="921" spans="1:59">
      <c r="A921" s="39"/>
      <c r="B921" s="39"/>
      <c r="C921" s="39"/>
      <c r="D921" s="39"/>
      <c r="E921" s="39"/>
      <c r="F921" s="39"/>
      <c r="G921" s="39"/>
      <c r="H921" s="39"/>
      <c r="I921" s="40"/>
      <c r="J921" s="40"/>
      <c r="K921" s="35"/>
      <c r="L921" s="35"/>
      <c r="M921" s="35"/>
      <c r="N921" s="39"/>
      <c r="O921" s="39"/>
      <c r="P921" s="39"/>
      <c r="Q921" s="39"/>
      <c r="R921" s="39"/>
      <c r="S921" s="39"/>
      <c r="T921" s="39"/>
      <c r="U921" s="39"/>
      <c r="V921" s="39"/>
      <c r="W921" s="39"/>
      <c r="X921" s="39"/>
      <c r="Y921" s="39"/>
      <c r="Z921" s="39"/>
      <c r="AA921" s="39"/>
      <c r="AB921" s="39"/>
      <c r="AC921" s="39"/>
      <c r="AD921" s="39"/>
      <c r="AE921" s="39"/>
      <c r="AF921" s="39"/>
      <c r="AG921" s="39"/>
      <c r="AH921" s="39"/>
      <c r="AI921" s="35"/>
      <c r="AJ921" s="39"/>
      <c r="AK921" s="39"/>
      <c r="AL921" s="39"/>
      <c r="AM921" s="35"/>
      <c r="AN921" s="35"/>
      <c r="AO921" s="39"/>
      <c r="AP921" s="39"/>
      <c r="AQ921" s="35"/>
      <c r="AR921" s="35"/>
      <c r="AS921" s="35"/>
      <c r="AT921" s="30">
        <f t="shared" ca="1" si="98"/>
        <v>0</v>
      </c>
      <c r="AU921" s="32" t="str">
        <f t="shared" ca="1" si="97"/>
        <v/>
      </c>
      <c r="AV921" s="32" t="str" cm="1">
        <f t="array" aca="1" ref="AV921" ca="1">IFERROR(_xlfn.IFS($AU921="","",$AU921&lt;=15,"0-15",AND($AU921&gt;=16,$AU921&lt;=30),"16-30",AND($AU921&gt;=31,$AU921&lt;=45),"31-45",AND($AU921&gt;=46,$AU921&lt;=60),"46-60",AND($AU921&gt;=61,$AU921&lt;=90),"61-90",AND($AU921&gt;=91),"&gt; 90",AND($AU921&gt;=2000),""),"")</f>
        <v/>
      </c>
      <c r="AW921" s="32" t="str" cm="1">
        <f t="array" aca="1" ref="AW921" ca="1">IFERROR(_xlfn.IFS(OR($M921="",$AM921=""),"",OR($C921="Offered",$C921="Joined"),($AM921-$M921)-$AT921),"")</f>
        <v/>
      </c>
      <c r="AX921" s="32" t="str" cm="1">
        <f t="array" aca="1" ref="AX921" ca="1">IFERROR(_xlfn.IFS(OR($M921="",$AS921=""),"",$C921="Joined",($AS921-$M921)-$AT921),"")</f>
        <v/>
      </c>
      <c r="AY921" s="30" t="str">
        <f>IFERROR(IF(COUNTIFS('Candidate Tracker'!$E:$E,'Positions Tracker'!$B921,'Candidate Tracker'!$C:$C,"Offer Drop")=0,"",COUNTIFS('Candidate Tracker'!$E:$E,'Positions Tracker'!$B921,'Candidate Tracker'!$C:$C,"Offer Drop")),"")</f>
        <v/>
      </c>
      <c r="AZ92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1" s="34" t="str">
        <f>IFERROR(IF(COUNTIFS('Candidate Tracker'!$E:$E,'Positions Tracker'!$B921,'Candidate Tracker'!$I:$I,"Female")=0,"",COUNTIFS('Candidate Tracker'!$E:$E,'Positions Tracker'!$B921,'Candidate Tracker'!$I:$I,"Female")),"")</f>
        <v/>
      </c>
      <c r="BB921" s="34" t="str">
        <f>IFERROR(IF(COUNTIFS('Candidate Tracker'!$E:$E,'Positions Tracker'!$B921,'Candidate Tracker'!$I:$I,"male")=0,"",COUNTIFS('Candidate Tracker'!$E:$E,'Positions Tracker'!$B921,'Candidate Tracker'!$I:$I,"male")),"")</f>
        <v/>
      </c>
      <c r="BC921" s="33" t="str">
        <f>IFERROR(IF(COUNTIFS('Candidate Tracker'!$E:$E,'Positions Tracker'!$B921,'Candidate Tracker'!$C:$C,"&lt;&gt;WIP",'Candidate Tracker'!$C:$C,"&lt;&gt;Hold",'Candidate Tracker'!$C:$C,"&lt;&gt;Cancelled",'Candidate Tracker'!$C:$C,"&lt;&gt;Closed")/COUNTIFS('Candidate Tracker'!$E:$E,'Positions Tracker'!$B921)=0,"",COUNTIFS('Candidate Tracker'!$E:$E,'Positions Tracker'!$B921,'Candidate Tracker'!$C:$C,"&lt;&gt;WIP",'Candidate Tracker'!$C:$C,"&lt;&gt;Hold",'Candidate Tracker'!$C:$C,"&lt;&gt;Cancelled",'Candidate Tracker'!$C:$C,"&lt;&gt;Closed")/COUNTIFS('Candidate Tracker'!$E:$E,'Positions Tracker'!$B921)),"")</f>
        <v/>
      </c>
      <c r="BD921" s="30" t="str">
        <f t="shared" si="99"/>
        <v/>
      </c>
      <c r="BE921" s="30" t="str">
        <f t="shared" si="100"/>
        <v/>
      </c>
      <c r="BF921" s="30" t="str">
        <f t="shared" si="101"/>
        <v/>
      </c>
      <c r="BG921" s="30" t="str">
        <f t="shared" si="102"/>
        <v/>
      </c>
    </row>
    <row r="922" spans="1:59">
      <c r="A922" s="39"/>
      <c r="B922" s="39"/>
      <c r="C922" s="39"/>
      <c r="D922" s="39"/>
      <c r="E922" s="39"/>
      <c r="F922" s="39"/>
      <c r="G922" s="39"/>
      <c r="H922" s="39"/>
      <c r="I922" s="40"/>
      <c r="J922" s="40"/>
      <c r="K922" s="35"/>
      <c r="L922" s="35"/>
      <c r="M922" s="35"/>
      <c r="N922" s="39"/>
      <c r="O922" s="39"/>
      <c r="P922" s="39"/>
      <c r="Q922" s="39"/>
      <c r="R922" s="39"/>
      <c r="S922" s="39"/>
      <c r="T922" s="39"/>
      <c r="U922" s="39"/>
      <c r="V922" s="39"/>
      <c r="W922" s="39"/>
      <c r="X922" s="39"/>
      <c r="Y922" s="39"/>
      <c r="Z922" s="39"/>
      <c r="AA922" s="39"/>
      <c r="AB922" s="39"/>
      <c r="AC922" s="39"/>
      <c r="AD922" s="39"/>
      <c r="AE922" s="39"/>
      <c r="AF922" s="39"/>
      <c r="AG922" s="39"/>
      <c r="AH922" s="39"/>
      <c r="AI922" s="35"/>
      <c r="AJ922" s="39"/>
      <c r="AK922" s="39"/>
      <c r="AL922" s="39"/>
      <c r="AM922" s="35"/>
      <c r="AN922" s="35"/>
      <c r="AO922" s="39"/>
      <c r="AP922" s="39"/>
      <c r="AQ922" s="35"/>
      <c r="AR922" s="35"/>
      <c r="AS922" s="35"/>
      <c r="AT922" s="30">
        <f t="shared" ca="1" si="98"/>
        <v>0</v>
      </c>
      <c r="AU922" s="32" t="str">
        <f t="shared" ca="1" si="97"/>
        <v/>
      </c>
      <c r="AV922" s="32" t="str" cm="1">
        <f t="array" aca="1" ref="AV922" ca="1">IFERROR(_xlfn.IFS($AU922="","",$AU922&lt;=15,"0-15",AND($AU922&gt;=16,$AU922&lt;=30),"16-30",AND($AU922&gt;=31,$AU922&lt;=45),"31-45",AND($AU922&gt;=46,$AU922&lt;=60),"46-60",AND($AU922&gt;=61,$AU922&lt;=90),"61-90",AND($AU922&gt;=91),"&gt; 90",AND($AU922&gt;=2000),""),"")</f>
        <v/>
      </c>
      <c r="AW922" s="32" t="str" cm="1">
        <f t="array" aca="1" ref="AW922" ca="1">IFERROR(_xlfn.IFS(OR($M922="",$AM922=""),"",OR($C922="Offered",$C922="Joined"),($AM922-$M922)-$AT922),"")</f>
        <v/>
      </c>
      <c r="AX922" s="32" t="str" cm="1">
        <f t="array" aca="1" ref="AX922" ca="1">IFERROR(_xlfn.IFS(OR($M922="",$AS922=""),"",$C922="Joined",($AS922-$M922)-$AT922),"")</f>
        <v/>
      </c>
      <c r="AY922" s="30" t="str">
        <f>IFERROR(IF(COUNTIFS('Candidate Tracker'!$E:$E,'Positions Tracker'!$B922,'Candidate Tracker'!$C:$C,"Offer Drop")=0,"",COUNTIFS('Candidate Tracker'!$E:$E,'Positions Tracker'!$B922,'Candidate Tracker'!$C:$C,"Offer Drop")),"")</f>
        <v/>
      </c>
      <c r="AZ92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2" s="34" t="str">
        <f>IFERROR(IF(COUNTIFS('Candidate Tracker'!$E:$E,'Positions Tracker'!$B922,'Candidate Tracker'!$I:$I,"Female")=0,"",COUNTIFS('Candidate Tracker'!$E:$E,'Positions Tracker'!$B922,'Candidate Tracker'!$I:$I,"Female")),"")</f>
        <v/>
      </c>
      <c r="BB922" s="34" t="str">
        <f>IFERROR(IF(COUNTIFS('Candidate Tracker'!$E:$E,'Positions Tracker'!$B922,'Candidate Tracker'!$I:$I,"male")=0,"",COUNTIFS('Candidate Tracker'!$E:$E,'Positions Tracker'!$B922,'Candidate Tracker'!$I:$I,"male")),"")</f>
        <v/>
      </c>
      <c r="BC922" s="33" t="str">
        <f>IFERROR(IF(COUNTIFS('Candidate Tracker'!$E:$E,'Positions Tracker'!$B922,'Candidate Tracker'!$C:$C,"&lt;&gt;WIP",'Candidate Tracker'!$C:$C,"&lt;&gt;Hold",'Candidate Tracker'!$C:$C,"&lt;&gt;Cancelled",'Candidate Tracker'!$C:$C,"&lt;&gt;Closed")/COUNTIFS('Candidate Tracker'!$E:$E,'Positions Tracker'!$B922)=0,"",COUNTIFS('Candidate Tracker'!$E:$E,'Positions Tracker'!$B922,'Candidate Tracker'!$C:$C,"&lt;&gt;WIP",'Candidate Tracker'!$C:$C,"&lt;&gt;Hold",'Candidate Tracker'!$C:$C,"&lt;&gt;Cancelled",'Candidate Tracker'!$C:$C,"&lt;&gt;Closed")/COUNTIFS('Candidate Tracker'!$E:$E,'Positions Tracker'!$B922)),"")</f>
        <v/>
      </c>
      <c r="BD922" s="30" t="str">
        <f t="shared" si="99"/>
        <v/>
      </c>
      <c r="BE922" s="30" t="str">
        <f t="shared" si="100"/>
        <v/>
      </c>
      <c r="BF922" s="30" t="str">
        <f t="shared" si="101"/>
        <v/>
      </c>
      <c r="BG922" s="30" t="str">
        <f t="shared" si="102"/>
        <v/>
      </c>
    </row>
    <row r="923" spans="1:59">
      <c r="A923" s="39"/>
      <c r="B923" s="39"/>
      <c r="C923" s="39"/>
      <c r="D923" s="39"/>
      <c r="E923" s="39"/>
      <c r="F923" s="39"/>
      <c r="G923" s="39"/>
      <c r="H923" s="39"/>
      <c r="I923" s="40"/>
      <c r="J923" s="40"/>
      <c r="K923" s="35"/>
      <c r="L923" s="35"/>
      <c r="M923" s="35"/>
      <c r="N923" s="39"/>
      <c r="O923" s="39"/>
      <c r="P923" s="39"/>
      <c r="Q923" s="39"/>
      <c r="R923" s="39"/>
      <c r="S923" s="39"/>
      <c r="T923" s="39"/>
      <c r="U923" s="39"/>
      <c r="V923" s="39"/>
      <c r="W923" s="39"/>
      <c r="X923" s="39"/>
      <c r="Y923" s="39"/>
      <c r="Z923" s="39"/>
      <c r="AA923" s="39"/>
      <c r="AB923" s="39"/>
      <c r="AC923" s="39"/>
      <c r="AD923" s="39"/>
      <c r="AE923" s="39"/>
      <c r="AF923" s="39"/>
      <c r="AG923" s="39"/>
      <c r="AH923" s="39"/>
      <c r="AI923" s="35"/>
      <c r="AJ923" s="39"/>
      <c r="AK923" s="39"/>
      <c r="AL923" s="39"/>
      <c r="AM923" s="35"/>
      <c r="AN923" s="35"/>
      <c r="AO923" s="39"/>
      <c r="AP923" s="39"/>
      <c r="AQ923" s="35"/>
      <c r="AR923" s="35"/>
      <c r="AS923" s="35"/>
      <c r="AT923" s="30">
        <f t="shared" ca="1" si="98"/>
        <v>0</v>
      </c>
      <c r="AU923" s="32" t="str">
        <f t="shared" ca="1" si="97"/>
        <v/>
      </c>
      <c r="AV923" s="32" t="str" cm="1">
        <f t="array" aca="1" ref="AV923" ca="1">IFERROR(_xlfn.IFS($AU923="","",$AU923&lt;=15,"0-15",AND($AU923&gt;=16,$AU923&lt;=30),"16-30",AND($AU923&gt;=31,$AU923&lt;=45),"31-45",AND($AU923&gt;=46,$AU923&lt;=60),"46-60",AND($AU923&gt;=61,$AU923&lt;=90),"61-90",AND($AU923&gt;=91),"&gt; 90",AND($AU923&gt;=2000),""),"")</f>
        <v/>
      </c>
      <c r="AW923" s="32" t="str" cm="1">
        <f t="array" aca="1" ref="AW923" ca="1">IFERROR(_xlfn.IFS(OR($M923="",$AM923=""),"",OR($C923="Offered",$C923="Joined"),($AM923-$M923)-$AT923),"")</f>
        <v/>
      </c>
      <c r="AX923" s="32" t="str" cm="1">
        <f t="array" aca="1" ref="AX923" ca="1">IFERROR(_xlfn.IFS(OR($M923="",$AS923=""),"",$C923="Joined",($AS923-$M923)-$AT923),"")</f>
        <v/>
      </c>
      <c r="AY923" s="30" t="str">
        <f>IFERROR(IF(COUNTIFS('Candidate Tracker'!$E:$E,'Positions Tracker'!$B923,'Candidate Tracker'!$C:$C,"Offer Drop")=0,"",COUNTIFS('Candidate Tracker'!$E:$E,'Positions Tracker'!$B923,'Candidate Tracker'!$C:$C,"Offer Drop")),"")</f>
        <v/>
      </c>
      <c r="AZ92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3" s="34" t="str">
        <f>IFERROR(IF(COUNTIFS('Candidate Tracker'!$E:$E,'Positions Tracker'!$B923,'Candidate Tracker'!$I:$I,"Female")=0,"",COUNTIFS('Candidate Tracker'!$E:$E,'Positions Tracker'!$B923,'Candidate Tracker'!$I:$I,"Female")),"")</f>
        <v/>
      </c>
      <c r="BB923" s="34" t="str">
        <f>IFERROR(IF(COUNTIFS('Candidate Tracker'!$E:$E,'Positions Tracker'!$B923,'Candidate Tracker'!$I:$I,"male")=0,"",COUNTIFS('Candidate Tracker'!$E:$E,'Positions Tracker'!$B923,'Candidate Tracker'!$I:$I,"male")),"")</f>
        <v/>
      </c>
      <c r="BC923" s="33" t="str">
        <f>IFERROR(IF(COUNTIFS('Candidate Tracker'!$E:$E,'Positions Tracker'!$B923,'Candidate Tracker'!$C:$C,"&lt;&gt;WIP",'Candidate Tracker'!$C:$C,"&lt;&gt;Hold",'Candidate Tracker'!$C:$C,"&lt;&gt;Cancelled",'Candidate Tracker'!$C:$C,"&lt;&gt;Closed")/COUNTIFS('Candidate Tracker'!$E:$E,'Positions Tracker'!$B923)=0,"",COUNTIFS('Candidate Tracker'!$E:$E,'Positions Tracker'!$B923,'Candidate Tracker'!$C:$C,"&lt;&gt;WIP",'Candidate Tracker'!$C:$C,"&lt;&gt;Hold",'Candidate Tracker'!$C:$C,"&lt;&gt;Cancelled",'Candidate Tracker'!$C:$C,"&lt;&gt;Closed")/COUNTIFS('Candidate Tracker'!$E:$E,'Positions Tracker'!$B923)),"")</f>
        <v/>
      </c>
      <c r="BD923" s="30" t="str">
        <f t="shared" si="99"/>
        <v/>
      </c>
      <c r="BE923" s="30" t="str">
        <f t="shared" si="100"/>
        <v/>
      </c>
      <c r="BF923" s="30" t="str">
        <f t="shared" si="101"/>
        <v/>
      </c>
      <c r="BG923" s="30" t="str">
        <f t="shared" si="102"/>
        <v/>
      </c>
    </row>
    <row r="924" spans="1:59">
      <c r="A924" s="39"/>
      <c r="B924" s="39"/>
      <c r="C924" s="39"/>
      <c r="D924" s="39"/>
      <c r="E924" s="39"/>
      <c r="F924" s="39"/>
      <c r="G924" s="39"/>
      <c r="H924" s="39"/>
      <c r="I924" s="40"/>
      <c r="J924" s="40"/>
      <c r="K924" s="35"/>
      <c r="L924" s="35"/>
      <c r="M924" s="35"/>
      <c r="N924" s="39"/>
      <c r="O924" s="39"/>
      <c r="P924" s="39"/>
      <c r="Q924" s="39"/>
      <c r="R924" s="39"/>
      <c r="S924" s="39"/>
      <c r="T924" s="39"/>
      <c r="U924" s="39"/>
      <c r="V924" s="39"/>
      <c r="W924" s="39"/>
      <c r="X924" s="39"/>
      <c r="Y924" s="39"/>
      <c r="Z924" s="39"/>
      <c r="AA924" s="39"/>
      <c r="AB924" s="39"/>
      <c r="AC924" s="39"/>
      <c r="AD924" s="39"/>
      <c r="AE924" s="39"/>
      <c r="AF924" s="39"/>
      <c r="AG924" s="39"/>
      <c r="AH924" s="39"/>
      <c r="AI924" s="35"/>
      <c r="AJ924" s="39"/>
      <c r="AK924" s="39"/>
      <c r="AL924" s="39"/>
      <c r="AM924" s="35"/>
      <c r="AN924" s="35"/>
      <c r="AO924" s="39"/>
      <c r="AP924" s="39"/>
      <c r="AQ924" s="35"/>
      <c r="AR924" s="35"/>
      <c r="AS924" s="35"/>
      <c r="AT924" s="30">
        <f t="shared" ca="1" si="98"/>
        <v>0</v>
      </c>
      <c r="AU924" s="32" t="str">
        <f t="shared" ca="1" si="97"/>
        <v/>
      </c>
      <c r="AV924" s="32" t="str" cm="1">
        <f t="array" aca="1" ref="AV924" ca="1">IFERROR(_xlfn.IFS($AU924="","",$AU924&lt;=15,"0-15",AND($AU924&gt;=16,$AU924&lt;=30),"16-30",AND($AU924&gt;=31,$AU924&lt;=45),"31-45",AND($AU924&gt;=46,$AU924&lt;=60),"46-60",AND($AU924&gt;=61,$AU924&lt;=90),"61-90",AND($AU924&gt;=91),"&gt; 90",AND($AU924&gt;=2000),""),"")</f>
        <v/>
      </c>
      <c r="AW924" s="32" t="str" cm="1">
        <f t="array" aca="1" ref="AW924" ca="1">IFERROR(_xlfn.IFS(OR($M924="",$AM924=""),"",OR($C924="Offered",$C924="Joined"),($AM924-$M924)-$AT924),"")</f>
        <v/>
      </c>
      <c r="AX924" s="32" t="str" cm="1">
        <f t="array" aca="1" ref="AX924" ca="1">IFERROR(_xlfn.IFS(OR($M924="",$AS924=""),"",$C924="Joined",($AS924-$M924)-$AT924),"")</f>
        <v/>
      </c>
      <c r="AY924" s="30" t="str">
        <f>IFERROR(IF(COUNTIFS('Candidate Tracker'!$E:$E,'Positions Tracker'!$B924,'Candidate Tracker'!$C:$C,"Offer Drop")=0,"",COUNTIFS('Candidate Tracker'!$E:$E,'Positions Tracker'!$B924,'Candidate Tracker'!$C:$C,"Offer Drop")),"")</f>
        <v/>
      </c>
      <c r="AZ92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4" s="34" t="str">
        <f>IFERROR(IF(COUNTIFS('Candidate Tracker'!$E:$E,'Positions Tracker'!$B924,'Candidate Tracker'!$I:$I,"Female")=0,"",COUNTIFS('Candidate Tracker'!$E:$E,'Positions Tracker'!$B924,'Candidate Tracker'!$I:$I,"Female")),"")</f>
        <v/>
      </c>
      <c r="BB924" s="34" t="str">
        <f>IFERROR(IF(COUNTIFS('Candidate Tracker'!$E:$E,'Positions Tracker'!$B924,'Candidate Tracker'!$I:$I,"male")=0,"",COUNTIFS('Candidate Tracker'!$E:$E,'Positions Tracker'!$B924,'Candidate Tracker'!$I:$I,"male")),"")</f>
        <v/>
      </c>
      <c r="BC924" s="33" t="str">
        <f>IFERROR(IF(COUNTIFS('Candidate Tracker'!$E:$E,'Positions Tracker'!$B924,'Candidate Tracker'!$C:$C,"&lt;&gt;WIP",'Candidate Tracker'!$C:$C,"&lt;&gt;Hold",'Candidate Tracker'!$C:$C,"&lt;&gt;Cancelled",'Candidate Tracker'!$C:$C,"&lt;&gt;Closed")/COUNTIFS('Candidate Tracker'!$E:$E,'Positions Tracker'!$B924)=0,"",COUNTIFS('Candidate Tracker'!$E:$E,'Positions Tracker'!$B924,'Candidate Tracker'!$C:$C,"&lt;&gt;WIP",'Candidate Tracker'!$C:$C,"&lt;&gt;Hold",'Candidate Tracker'!$C:$C,"&lt;&gt;Cancelled",'Candidate Tracker'!$C:$C,"&lt;&gt;Closed")/COUNTIFS('Candidate Tracker'!$E:$E,'Positions Tracker'!$B924)),"")</f>
        <v/>
      </c>
      <c r="BD924" s="30" t="str">
        <f t="shared" si="99"/>
        <v/>
      </c>
      <c r="BE924" s="30" t="str">
        <f t="shared" si="100"/>
        <v/>
      </c>
      <c r="BF924" s="30" t="str">
        <f t="shared" si="101"/>
        <v/>
      </c>
      <c r="BG924" s="30" t="str">
        <f t="shared" si="102"/>
        <v/>
      </c>
    </row>
    <row r="925" spans="1:59">
      <c r="A925" s="39"/>
      <c r="B925" s="39"/>
      <c r="C925" s="39"/>
      <c r="D925" s="39"/>
      <c r="E925" s="39"/>
      <c r="F925" s="39"/>
      <c r="G925" s="39"/>
      <c r="H925" s="39"/>
      <c r="I925" s="40"/>
      <c r="J925" s="40"/>
      <c r="K925" s="35"/>
      <c r="L925" s="35"/>
      <c r="M925" s="35"/>
      <c r="N925" s="39"/>
      <c r="O925" s="39"/>
      <c r="P925" s="39"/>
      <c r="Q925" s="39"/>
      <c r="R925" s="39"/>
      <c r="S925" s="39"/>
      <c r="T925" s="39"/>
      <c r="U925" s="39"/>
      <c r="V925" s="39"/>
      <c r="W925" s="39"/>
      <c r="X925" s="39"/>
      <c r="Y925" s="39"/>
      <c r="Z925" s="39"/>
      <c r="AA925" s="39"/>
      <c r="AB925" s="39"/>
      <c r="AC925" s="39"/>
      <c r="AD925" s="39"/>
      <c r="AE925" s="39"/>
      <c r="AF925" s="39"/>
      <c r="AG925" s="39"/>
      <c r="AH925" s="39"/>
      <c r="AI925" s="35"/>
      <c r="AJ925" s="39"/>
      <c r="AK925" s="39"/>
      <c r="AL925" s="39"/>
      <c r="AM925" s="35"/>
      <c r="AN925" s="35"/>
      <c r="AO925" s="39"/>
      <c r="AP925" s="39"/>
      <c r="AQ925" s="35"/>
      <c r="AR925" s="35"/>
      <c r="AS925" s="35"/>
      <c r="AT925" s="30">
        <f t="shared" ca="1" si="98"/>
        <v>0</v>
      </c>
      <c r="AU925" s="32" t="str">
        <f t="shared" ca="1" si="97"/>
        <v/>
      </c>
      <c r="AV925" s="32" t="str" cm="1">
        <f t="array" aca="1" ref="AV925" ca="1">IFERROR(_xlfn.IFS($AU925="","",$AU925&lt;=15,"0-15",AND($AU925&gt;=16,$AU925&lt;=30),"16-30",AND($AU925&gt;=31,$AU925&lt;=45),"31-45",AND($AU925&gt;=46,$AU925&lt;=60),"46-60",AND($AU925&gt;=61,$AU925&lt;=90),"61-90",AND($AU925&gt;=91),"&gt; 90",AND($AU925&gt;=2000),""),"")</f>
        <v/>
      </c>
      <c r="AW925" s="32" t="str" cm="1">
        <f t="array" aca="1" ref="AW925" ca="1">IFERROR(_xlfn.IFS(OR($M925="",$AM925=""),"",OR($C925="Offered",$C925="Joined"),($AM925-$M925)-$AT925),"")</f>
        <v/>
      </c>
      <c r="AX925" s="32" t="str" cm="1">
        <f t="array" aca="1" ref="AX925" ca="1">IFERROR(_xlfn.IFS(OR($M925="",$AS925=""),"",$C925="Joined",($AS925-$M925)-$AT925),"")</f>
        <v/>
      </c>
      <c r="AY925" s="30" t="str">
        <f>IFERROR(IF(COUNTIFS('Candidate Tracker'!$E:$E,'Positions Tracker'!$B925,'Candidate Tracker'!$C:$C,"Offer Drop")=0,"",COUNTIFS('Candidate Tracker'!$E:$E,'Positions Tracker'!$B925,'Candidate Tracker'!$C:$C,"Offer Drop")),"")</f>
        <v/>
      </c>
      <c r="AZ92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5" s="34" t="str">
        <f>IFERROR(IF(COUNTIFS('Candidate Tracker'!$E:$E,'Positions Tracker'!$B925,'Candidate Tracker'!$I:$I,"Female")=0,"",COUNTIFS('Candidate Tracker'!$E:$E,'Positions Tracker'!$B925,'Candidate Tracker'!$I:$I,"Female")),"")</f>
        <v/>
      </c>
      <c r="BB925" s="34" t="str">
        <f>IFERROR(IF(COUNTIFS('Candidate Tracker'!$E:$E,'Positions Tracker'!$B925,'Candidate Tracker'!$I:$I,"male")=0,"",COUNTIFS('Candidate Tracker'!$E:$E,'Positions Tracker'!$B925,'Candidate Tracker'!$I:$I,"male")),"")</f>
        <v/>
      </c>
      <c r="BC925" s="33" t="str">
        <f>IFERROR(IF(COUNTIFS('Candidate Tracker'!$E:$E,'Positions Tracker'!$B925,'Candidate Tracker'!$C:$C,"&lt;&gt;WIP",'Candidate Tracker'!$C:$C,"&lt;&gt;Hold",'Candidate Tracker'!$C:$C,"&lt;&gt;Cancelled",'Candidate Tracker'!$C:$C,"&lt;&gt;Closed")/COUNTIFS('Candidate Tracker'!$E:$E,'Positions Tracker'!$B925)=0,"",COUNTIFS('Candidate Tracker'!$E:$E,'Positions Tracker'!$B925,'Candidate Tracker'!$C:$C,"&lt;&gt;WIP",'Candidate Tracker'!$C:$C,"&lt;&gt;Hold",'Candidate Tracker'!$C:$C,"&lt;&gt;Cancelled",'Candidate Tracker'!$C:$C,"&lt;&gt;Closed")/COUNTIFS('Candidate Tracker'!$E:$E,'Positions Tracker'!$B925)),"")</f>
        <v/>
      </c>
      <c r="BD925" s="30" t="str">
        <f t="shared" si="99"/>
        <v/>
      </c>
      <c r="BE925" s="30" t="str">
        <f t="shared" si="100"/>
        <v/>
      </c>
      <c r="BF925" s="30" t="str">
        <f t="shared" si="101"/>
        <v/>
      </c>
      <c r="BG925" s="30" t="str">
        <f t="shared" si="102"/>
        <v/>
      </c>
    </row>
    <row r="926" spans="1:59">
      <c r="A926" s="39"/>
      <c r="B926" s="39"/>
      <c r="C926" s="39"/>
      <c r="D926" s="39"/>
      <c r="E926" s="39"/>
      <c r="F926" s="39"/>
      <c r="G926" s="39"/>
      <c r="H926" s="39"/>
      <c r="I926" s="40"/>
      <c r="J926" s="40"/>
      <c r="K926" s="35"/>
      <c r="L926" s="35"/>
      <c r="M926" s="35"/>
      <c r="N926" s="39"/>
      <c r="O926" s="39"/>
      <c r="P926" s="39"/>
      <c r="Q926" s="39"/>
      <c r="R926" s="39"/>
      <c r="S926" s="39"/>
      <c r="T926" s="39"/>
      <c r="U926" s="39"/>
      <c r="V926" s="39"/>
      <c r="W926" s="39"/>
      <c r="X926" s="39"/>
      <c r="Y926" s="39"/>
      <c r="Z926" s="39"/>
      <c r="AA926" s="39"/>
      <c r="AB926" s="39"/>
      <c r="AC926" s="39"/>
      <c r="AD926" s="39"/>
      <c r="AE926" s="39"/>
      <c r="AF926" s="39"/>
      <c r="AG926" s="39"/>
      <c r="AH926" s="39"/>
      <c r="AI926" s="35"/>
      <c r="AJ926" s="39"/>
      <c r="AK926" s="39"/>
      <c r="AL926" s="39"/>
      <c r="AM926" s="35"/>
      <c r="AN926" s="35"/>
      <c r="AO926" s="39"/>
      <c r="AP926" s="39"/>
      <c r="AQ926" s="35"/>
      <c r="AR926" s="35"/>
      <c r="AS926" s="35"/>
      <c r="AT926" s="30">
        <f t="shared" ca="1" si="98"/>
        <v>0</v>
      </c>
      <c r="AU926" s="32" t="str">
        <f t="shared" ca="1" si="97"/>
        <v/>
      </c>
      <c r="AV926" s="32" t="str" cm="1">
        <f t="array" aca="1" ref="AV926" ca="1">IFERROR(_xlfn.IFS($AU926="","",$AU926&lt;=15,"0-15",AND($AU926&gt;=16,$AU926&lt;=30),"16-30",AND($AU926&gt;=31,$AU926&lt;=45),"31-45",AND($AU926&gt;=46,$AU926&lt;=60),"46-60",AND($AU926&gt;=61,$AU926&lt;=90),"61-90",AND($AU926&gt;=91),"&gt; 90",AND($AU926&gt;=2000),""),"")</f>
        <v/>
      </c>
      <c r="AW926" s="32" t="str" cm="1">
        <f t="array" aca="1" ref="AW926" ca="1">IFERROR(_xlfn.IFS(OR($M926="",$AM926=""),"",OR($C926="Offered",$C926="Joined"),($AM926-$M926)-$AT926),"")</f>
        <v/>
      </c>
      <c r="AX926" s="32" t="str" cm="1">
        <f t="array" aca="1" ref="AX926" ca="1">IFERROR(_xlfn.IFS(OR($M926="",$AS926=""),"",$C926="Joined",($AS926-$M926)-$AT926),"")</f>
        <v/>
      </c>
      <c r="AY926" s="30" t="str">
        <f>IFERROR(IF(COUNTIFS('Candidate Tracker'!$E:$E,'Positions Tracker'!$B926,'Candidate Tracker'!$C:$C,"Offer Drop")=0,"",COUNTIFS('Candidate Tracker'!$E:$E,'Positions Tracker'!$B926,'Candidate Tracker'!$C:$C,"Offer Drop")),"")</f>
        <v/>
      </c>
      <c r="AZ92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6" s="34" t="str">
        <f>IFERROR(IF(COUNTIFS('Candidate Tracker'!$E:$E,'Positions Tracker'!$B926,'Candidate Tracker'!$I:$I,"Female")=0,"",COUNTIFS('Candidate Tracker'!$E:$E,'Positions Tracker'!$B926,'Candidate Tracker'!$I:$I,"Female")),"")</f>
        <v/>
      </c>
      <c r="BB926" s="34" t="str">
        <f>IFERROR(IF(COUNTIFS('Candidate Tracker'!$E:$E,'Positions Tracker'!$B926,'Candidate Tracker'!$I:$I,"male")=0,"",COUNTIFS('Candidate Tracker'!$E:$E,'Positions Tracker'!$B926,'Candidate Tracker'!$I:$I,"male")),"")</f>
        <v/>
      </c>
      <c r="BC926" s="33" t="str">
        <f>IFERROR(IF(COUNTIFS('Candidate Tracker'!$E:$E,'Positions Tracker'!$B926,'Candidate Tracker'!$C:$C,"&lt;&gt;WIP",'Candidate Tracker'!$C:$C,"&lt;&gt;Hold",'Candidate Tracker'!$C:$C,"&lt;&gt;Cancelled",'Candidate Tracker'!$C:$C,"&lt;&gt;Closed")/COUNTIFS('Candidate Tracker'!$E:$E,'Positions Tracker'!$B926)=0,"",COUNTIFS('Candidate Tracker'!$E:$E,'Positions Tracker'!$B926,'Candidate Tracker'!$C:$C,"&lt;&gt;WIP",'Candidate Tracker'!$C:$C,"&lt;&gt;Hold",'Candidate Tracker'!$C:$C,"&lt;&gt;Cancelled",'Candidate Tracker'!$C:$C,"&lt;&gt;Closed")/COUNTIFS('Candidate Tracker'!$E:$E,'Positions Tracker'!$B926)),"")</f>
        <v/>
      </c>
      <c r="BD926" s="30" t="str">
        <f t="shared" si="99"/>
        <v/>
      </c>
      <c r="BE926" s="30" t="str">
        <f t="shared" si="100"/>
        <v/>
      </c>
      <c r="BF926" s="30" t="str">
        <f t="shared" si="101"/>
        <v/>
      </c>
      <c r="BG926" s="30" t="str">
        <f t="shared" si="102"/>
        <v/>
      </c>
    </row>
    <row r="927" spans="1:59">
      <c r="A927" s="39"/>
      <c r="B927" s="39"/>
      <c r="C927" s="39"/>
      <c r="D927" s="39"/>
      <c r="E927" s="39"/>
      <c r="F927" s="39"/>
      <c r="G927" s="39"/>
      <c r="H927" s="39"/>
      <c r="I927" s="40"/>
      <c r="J927" s="40"/>
      <c r="K927" s="35"/>
      <c r="L927" s="35"/>
      <c r="M927" s="35"/>
      <c r="N927" s="39"/>
      <c r="O927" s="39"/>
      <c r="P927" s="39"/>
      <c r="Q927" s="39"/>
      <c r="R927" s="39"/>
      <c r="S927" s="39"/>
      <c r="T927" s="39"/>
      <c r="U927" s="39"/>
      <c r="V927" s="39"/>
      <c r="W927" s="39"/>
      <c r="X927" s="39"/>
      <c r="Y927" s="39"/>
      <c r="Z927" s="39"/>
      <c r="AA927" s="39"/>
      <c r="AB927" s="39"/>
      <c r="AC927" s="39"/>
      <c r="AD927" s="39"/>
      <c r="AE927" s="39"/>
      <c r="AF927" s="39"/>
      <c r="AG927" s="39"/>
      <c r="AH927" s="39"/>
      <c r="AI927" s="35"/>
      <c r="AJ927" s="39"/>
      <c r="AK927" s="39"/>
      <c r="AL927" s="39"/>
      <c r="AM927" s="35"/>
      <c r="AN927" s="35"/>
      <c r="AO927" s="39"/>
      <c r="AP927" s="39"/>
      <c r="AQ927" s="35"/>
      <c r="AR927" s="35"/>
      <c r="AS927" s="35"/>
      <c r="AT927" s="30">
        <f t="shared" ca="1" si="98"/>
        <v>0</v>
      </c>
      <c r="AU927" s="32" t="str">
        <f t="shared" ca="1" si="97"/>
        <v/>
      </c>
      <c r="AV927" s="32" t="str" cm="1">
        <f t="array" aca="1" ref="AV927" ca="1">IFERROR(_xlfn.IFS($AU927="","",$AU927&lt;=15,"0-15",AND($AU927&gt;=16,$AU927&lt;=30),"16-30",AND($AU927&gt;=31,$AU927&lt;=45),"31-45",AND($AU927&gt;=46,$AU927&lt;=60),"46-60",AND($AU927&gt;=61,$AU927&lt;=90),"61-90",AND($AU927&gt;=91),"&gt; 90",AND($AU927&gt;=2000),""),"")</f>
        <v/>
      </c>
      <c r="AW927" s="32" t="str" cm="1">
        <f t="array" aca="1" ref="AW927" ca="1">IFERROR(_xlfn.IFS(OR($M927="",$AM927=""),"",OR($C927="Offered",$C927="Joined"),($AM927-$M927)-$AT927),"")</f>
        <v/>
      </c>
      <c r="AX927" s="32" t="str" cm="1">
        <f t="array" aca="1" ref="AX927" ca="1">IFERROR(_xlfn.IFS(OR($M927="",$AS927=""),"",$C927="Joined",($AS927-$M927)-$AT927),"")</f>
        <v/>
      </c>
      <c r="AY927" s="30" t="str">
        <f>IFERROR(IF(COUNTIFS('Candidate Tracker'!$E:$E,'Positions Tracker'!$B927,'Candidate Tracker'!$C:$C,"Offer Drop")=0,"",COUNTIFS('Candidate Tracker'!$E:$E,'Positions Tracker'!$B927,'Candidate Tracker'!$C:$C,"Offer Drop")),"")</f>
        <v/>
      </c>
      <c r="AZ92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7" s="34" t="str">
        <f>IFERROR(IF(COUNTIFS('Candidate Tracker'!$E:$E,'Positions Tracker'!$B927,'Candidate Tracker'!$I:$I,"Female")=0,"",COUNTIFS('Candidate Tracker'!$E:$E,'Positions Tracker'!$B927,'Candidate Tracker'!$I:$I,"Female")),"")</f>
        <v/>
      </c>
      <c r="BB927" s="34" t="str">
        <f>IFERROR(IF(COUNTIFS('Candidate Tracker'!$E:$E,'Positions Tracker'!$B927,'Candidate Tracker'!$I:$I,"male")=0,"",COUNTIFS('Candidate Tracker'!$E:$E,'Positions Tracker'!$B927,'Candidate Tracker'!$I:$I,"male")),"")</f>
        <v/>
      </c>
      <c r="BC927" s="33" t="str">
        <f>IFERROR(IF(COUNTIFS('Candidate Tracker'!$E:$E,'Positions Tracker'!$B927,'Candidate Tracker'!$C:$C,"&lt;&gt;WIP",'Candidate Tracker'!$C:$C,"&lt;&gt;Hold",'Candidate Tracker'!$C:$C,"&lt;&gt;Cancelled",'Candidate Tracker'!$C:$C,"&lt;&gt;Closed")/COUNTIFS('Candidate Tracker'!$E:$E,'Positions Tracker'!$B927)=0,"",COUNTIFS('Candidate Tracker'!$E:$E,'Positions Tracker'!$B927,'Candidate Tracker'!$C:$C,"&lt;&gt;WIP",'Candidate Tracker'!$C:$C,"&lt;&gt;Hold",'Candidate Tracker'!$C:$C,"&lt;&gt;Cancelled",'Candidate Tracker'!$C:$C,"&lt;&gt;Closed")/COUNTIFS('Candidate Tracker'!$E:$E,'Positions Tracker'!$B927)),"")</f>
        <v/>
      </c>
      <c r="BD927" s="30" t="str">
        <f t="shared" si="99"/>
        <v/>
      </c>
      <c r="BE927" s="30" t="str">
        <f t="shared" si="100"/>
        <v/>
      </c>
      <c r="BF927" s="30" t="str">
        <f t="shared" si="101"/>
        <v/>
      </c>
      <c r="BG927" s="30" t="str">
        <f t="shared" si="102"/>
        <v/>
      </c>
    </row>
    <row r="928" spans="1:59">
      <c r="A928" s="39"/>
      <c r="B928" s="39"/>
      <c r="C928" s="39"/>
      <c r="D928" s="39"/>
      <c r="E928" s="39"/>
      <c r="F928" s="39"/>
      <c r="G928" s="39"/>
      <c r="H928" s="39"/>
      <c r="I928" s="40"/>
      <c r="J928" s="40"/>
      <c r="K928" s="35"/>
      <c r="L928" s="35"/>
      <c r="M928" s="35"/>
      <c r="N928" s="39"/>
      <c r="O928" s="39"/>
      <c r="P928" s="39"/>
      <c r="Q928" s="39"/>
      <c r="R928" s="39"/>
      <c r="S928" s="39"/>
      <c r="T928" s="39"/>
      <c r="U928" s="39"/>
      <c r="V928" s="39"/>
      <c r="W928" s="39"/>
      <c r="X928" s="39"/>
      <c r="Y928" s="39"/>
      <c r="Z928" s="39"/>
      <c r="AA928" s="39"/>
      <c r="AB928" s="39"/>
      <c r="AC928" s="39"/>
      <c r="AD928" s="39"/>
      <c r="AE928" s="39"/>
      <c r="AF928" s="39"/>
      <c r="AG928" s="39"/>
      <c r="AH928" s="39"/>
      <c r="AI928" s="35"/>
      <c r="AJ928" s="39"/>
      <c r="AK928" s="39"/>
      <c r="AL928" s="39"/>
      <c r="AM928" s="35"/>
      <c r="AN928" s="35"/>
      <c r="AO928" s="39"/>
      <c r="AP928" s="39"/>
      <c r="AQ928" s="35"/>
      <c r="AR928" s="35"/>
      <c r="AS928" s="35"/>
      <c r="AT928" s="30">
        <f t="shared" ca="1" si="98"/>
        <v>0</v>
      </c>
      <c r="AU928" s="32" t="str">
        <f t="shared" ca="1" si="97"/>
        <v/>
      </c>
      <c r="AV928" s="32" t="str" cm="1">
        <f t="array" aca="1" ref="AV928" ca="1">IFERROR(_xlfn.IFS($AU928="","",$AU928&lt;=15,"0-15",AND($AU928&gt;=16,$AU928&lt;=30),"16-30",AND($AU928&gt;=31,$AU928&lt;=45),"31-45",AND($AU928&gt;=46,$AU928&lt;=60),"46-60",AND($AU928&gt;=61,$AU928&lt;=90),"61-90",AND($AU928&gt;=91),"&gt; 90",AND($AU928&gt;=2000),""),"")</f>
        <v/>
      </c>
      <c r="AW928" s="32" t="str" cm="1">
        <f t="array" aca="1" ref="AW928" ca="1">IFERROR(_xlfn.IFS(OR($M928="",$AM928=""),"",OR($C928="Offered",$C928="Joined"),($AM928-$M928)-$AT928),"")</f>
        <v/>
      </c>
      <c r="AX928" s="32" t="str" cm="1">
        <f t="array" aca="1" ref="AX928" ca="1">IFERROR(_xlfn.IFS(OR($M928="",$AS928=""),"",$C928="Joined",($AS928-$M928)-$AT928),"")</f>
        <v/>
      </c>
      <c r="AY928" s="30" t="str">
        <f>IFERROR(IF(COUNTIFS('Candidate Tracker'!$E:$E,'Positions Tracker'!$B928,'Candidate Tracker'!$C:$C,"Offer Drop")=0,"",COUNTIFS('Candidate Tracker'!$E:$E,'Positions Tracker'!$B928,'Candidate Tracker'!$C:$C,"Offer Drop")),"")</f>
        <v/>
      </c>
      <c r="AZ92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8" s="34" t="str">
        <f>IFERROR(IF(COUNTIFS('Candidate Tracker'!$E:$E,'Positions Tracker'!$B928,'Candidate Tracker'!$I:$I,"Female")=0,"",COUNTIFS('Candidate Tracker'!$E:$E,'Positions Tracker'!$B928,'Candidate Tracker'!$I:$I,"Female")),"")</f>
        <v/>
      </c>
      <c r="BB928" s="34" t="str">
        <f>IFERROR(IF(COUNTIFS('Candidate Tracker'!$E:$E,'Positions Tracker'!$B928,'Candidate Tracker'!$I:$I,"male")=0,"",COUNTIFS('Candidate Tracker'!$E:$E,'Positions Tracker'!$B928,'Candidate Tracker'!$I:$I,"male")),"")</f>
        <v/>
      </c>
      <c r="BC928" s="33" t="str">
        <f>IFERROR(IF(COUNTIFS('Candidate Tracker'!$E:$E,'Positions Tracker'!$B928,'Candidate Tracker'!$C:$C,"&lt;&gt;WIP",'Candidate Tracker'!$C:$C,"&lt;&gt;Hold",'Candidate Tracker'!$C:$C,"&lt;&gt;Cancelled",'Candidate Tracker'!$C:$C,"&lt;&gt;Closed")/COUNTIFS('Candidate Tracker'!$E:$E,'Positions Tracker'!$B928)=0,"",COUNTIFS('Candidate Tracker'!$E:$E,'Positions Tracker'!$B928,'Candidate Tracker'!$C:$C,"&lt;&gt;WIP",'Candidate Tracker'!$C:$C,"&lt;&gt;Hold",'Candidate Tracker'!$C:$C,"&lt;&gt;Cancelled",'Candidate Tracker'!$C:$C,"&lt;&gt;Closed")/COUNTIFS('Candidate Tracker'!$E:$E,'Positions Tracker'!$B928)),"")</f>
        <v/>
      </c>
      <c r="BD928" s="30" t="str">
        <f t="shared" si="99"/>
        <v/>
      </c>
      <c r="BE928" s="30" t="str">
        <f t="shared" si="100"/>
        <v/>
      </c>
      <c r="BF928" s="30" t="str">
        <f t="shared" si="101"/>
        <v/>
      </c>
      <c r="BG928" s="30" t="str">
        <f t="shared" si="102"/>
        <v/>
      </c>
    </row>
    <row r="929" spans="1:59">
      <c r="A929" s="39"/>
      <c r="B929" s="39"/>
      <c r="C929" s="39"/>
      <c r="D929" s="39"/>
      <c r="E929" s="39"/>
      <c r="F929" s="39"/>
      <c r="G929" s="39"/>
      <c r="H929" s="39"/>
      <c r="I929" s="40"/>
      <c r="J929" s="40"/>
      <c r="K929" s="35"/>
      <c r="L929" s="35"/>
      <c r="M929" s="35"/>
      <c r="N929" s="39"/>
      <c r="O929" s="39"/>
      <c r="P929" s="39"/>
      <c r="Q929" s="39"/>
      <c r="R929" s="39"/>
      <c r="S929" s="39"/>
      <c r="T929" s="39"/>
      <c r="U929" s="39"/>
      <c r="V929" s="39"/>
      <c r="W929" s="39"/>
      <c r="X929" s="39"/>
      <c r="Y929" s="39"/>
      <c r="Z929" s="39"/>
      <c r="AA929" s="39"/>
      <c r="AB929" s="39"/>
      <c r="AC929" s="39"/>
      <c r="AD929" s="39"/>
      <c r="AE929" s="39"/>
      <c r="AF929" s="39"/>
      <c r="AG929" s="39"/>
      <c r="AH929" s="39"/>
      <c r="AI929" s="35"/>
      <c r="AJ929" s="39"/>
      <c r="AK929" s="39"/>
      <c r="AL929" s="39"/>
      <c r="AM929" s="35"/>
      <c r="AN929" s="35"/>
      <c r="AO929" s="39"/>
      <c r="AP929" s="39"/>
      <c r="AQ929" s="35"/>
      <c r="AR929" s="35"/>
      <c r="AS929" s="35"/>
      <c r="AT929" s="30">
        <f t="shared" ca="1" si="98"/>
        <v>0</v>
      </c>
      <c r="AU929" s="32" t="str">
        <f t="shared" ca="1" si="97"/>
        <v/>
      </c>
      <c r="AV929" s="32" t="str" cm="1">
        <f t="array" aca="1" ref="AV929" ca="1">IFERROR(_xlfn.IFS($AU929="","",$AU929&lt;=15,"0-15",AND($AU929&gt;=16,$AU929&lt;=30),"16-30",AND($AU929&gt;=31,$AU929&lt;=45),"31-45",AND($AU929&gt;=46,$AU929&lt;=60),"46-60",AND($AU929&gt;=61,$AU929&lt;=90),"61-90",AND($AU929&gt;=91),"&gt; 90",AND($AU929&gt;=2000),""),"")</f>
        <v/>
      </c>
      <c r="AW929" s="32" t="str" cm="1">
        <f t="array" aca="1" ref="AW929" ca="1">IFERROR(_xlfn.IFS(OR($M929="",$AM929=""),"",OR($C929="Offered",$C929="Joined"),($AM929-$M929)-$AT929),"")</f>
        <v/>
      </c>
      <c r="AX929" s="32" t="str" cm="1">
        <f t="array" aca="1" ref="AX929" ca="1">IFERROR(_xlfn.IFS(OR($M929="",$AS929=""),"",$C929="Joined",($AS929-$M929)-$AT929),"")</f>
        <v/>
      </c>
      <c r="AY929" s="30" t="str">
        <f>IFERROR(IF(COUNTIFS('Candidate Tracker'!$E:$E,'Positions Tracker'!$B929,'Candidate Tracker'!$C:$C,"Offer Drop")=0,"",COUNTIFS('Candidate Tracker'!$E:$E,'Positions Tracker'!$B929,'Candidate Tracker'!$C:$C,"Offer Drop")),"")</f>
        <v/>
      </c>
      <c r="AZ92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29" s="34" t="str">
        <f>IFERROR(IF(COUNTIFS('Candidate Tracker'!$E:$E,'Positions Tracker'!$B929,'Candidate Tracker'!$I:$I,"Female")=0,"",COUNTIFS('Candidate Tracker'!$E:$E,'Positions Tracker'!$B929,'Candidate Tracker'!$I:$I,"Female")),"")</f>
        <v/>
      </c>
      <c r="BB929" s="34" t="str">
        <f>IFERROR(IF(COUNTIFS('Candidate Tracker'!$E:$E,'Positions Tracker'!$B929,'Candidate Tracker'!$I:$I,"male")=0,"",COUNTIFS('Candidate Tracker'!$E:$E,'Positions Tracker'!$B929,'Candidate Tracker'!$I:$I,"male")),"")</f>
        <v/>
      </c>
      <c r="BC929" s="33" t="str">
        <f>IFERROR(IF(COUNTIFS('Candidate Tracker'!$E:$E,'Positions Tracker'!$B929,'Candidate Tracker'!$C:$C,"&lt;&gt;WIP",'Candidate Tracker'!$C:$C,"&lt;&gt;Hold",'Candidate Tracker'!$C:$C,"&lt;&gt;Cancelled",'Candidate Tracker'!$C:$C,"&lt;&gt;Closed")/COUNTIFS('Candidate Tracker'!$E:$E,'Positions Tracker'!$B929)=0,"",COUNTIFS('Candidate Tracker'!$E:$E,'Positions Tracker'!$B929,'Candidate Tracker'!$C:$C,"&lt;&gt;WIP",'Candidate Tracker'!$C:$C,"&lt;&gt;Hold",'Candidate Tracker'!$C:$C,"&lt;&gt;Cancelled",'Candidate Tracker'!$C:$C,"&lt;&gt;Closed")/COUNTIFS('Candidate Tracker'!$E:$E,'Positions Tracker'!$B929)),"")</f>
        <v/>
      </c>
      <c r="BD929" s="30" t="str">
        <f t="shared" si="99"/>
        <v/>
      </c>
      <c r="BE929" s="30" t="str">
        <f t="shared" si="100"/>
        <v/>
      </c>
      <c r="BF929" s="30" t="str">
        <f t="shared" si="101"/>
        <v/>
      </c>
      <c r="BG929" s="30" t="str">
        <f t="shared" si="102"/>
        <v/>
      </c>
    </row>
    <row r="930" spans="1:59">
      <c r="A930" s="39"/>
      <c r="B930" s="39"/>
      <c r="C930" s="39"/>
      <c r="D930" s="39"/>
      <c r="E930" s="39"/>
      <c r="F930" s="39"/>
      <c r="G930" s="39"/>
      <c r="H930" s="39"/>
      <c r="I930" s="40"/>
      <c r="J930" s="40"/>
      <c r="K930" s="35"/>
      <c r="L930" s="35"/>
      <c r="M930" s="35"/>
      <c r="N930" s="39"/>
      <c r="O930" s="39"/>
      <c r="P930" s="39"/>
      <c r="Q930" s="39"/>
      <c r="R930" s="39"/>
      <c r="S930" s="39"/>
      <c r="T930" s="39"/>
      <c r="U930" s="39"/>
      <c r="V930" s="39"/>
      <c r="W930" s="39"/>
      <c r="X930" s="39"/>
      <c r="Y930" s="39"/>
      <c r="Z930" s="39"/>
      <c r="AA930" s="39"/>
      <c r="AB930" s="39"/>
      <c r="AC930" s="39"/>
      <c r="AD930" s="39"/>
      <c r="AE930" s="39"/>
      <c r="AF930" s="39"/>
      <c r="AG930" s="39"/>
      <c r="AH930" s="39"/>
      <c r="AI930" s="35"/>
      <c r="AJ930" s="39"/>
      <c r="AK930" s="39"/>
      <c r="AL930" s="39"/>
      <c r="AM930" s="35"/>
      <c r="AN930" s="35"/>
      <c r="AO930" s="39"/>
      <c r="AP930" s="39"/>
      <c r="AQ930" s="35"/>
      <c r="AR930" s="35"/>
      <c r="AS930" s="35"/>
      <c r="AT930" s="30">
        <f t="shared" ca="1" si="98"/>
        <v>0</v>
      </c>
      <c r="AU930" s="32" t="str">
        <f t="shared" ca="1" si="97"/>
        <v/>
      </c>
      <c r="AV930" s="32" t="str" cm="1">
        <f t="array" aca="1" ref="AV930" ca="1">IFERROR(_xlfn.IFS($AU930="","",$AU930&lt;=15,"0-15",AND($AU930&gt;=16,$AU930&lt;=30),"16-30",AND($AU930&gt;=31,$AU930&lt;=45),"31-45",AND($AU930&gt;=46,$AU930&lt;=60),"46-60",AND($AU930&gt;=61,$AU930&lt;=90),"61-90",AND($AU930&gt;=91),"&gt; 90",AND($AU930&gt;=2000),""),"")</f>
        <v/>
      </c>
      <c r="AW930" s="32" t="str" cm="1">
        <f t="array" aca="1" ref="AW930" ca="1">IFERROR(_xlfn.IFS(OR($M930="",$AM930=""),"",OR($C930="Offered",$C930="Joined"),($AM930-$M930)-$AT930),"")</f>
        <v/>
      </c>
      <c r="AX930" s="32" t="str" cm="1">
        <f t="array" aca="1" ref="AX930" ca="1">IFERROR(_xlfn.IFS(OR($M930="",$AS930=""),"",$C930="Joined",($AS930-$M930)-$AT930),"")</f>
        <v/>
      </c>
      <c r="AY930" s="30" t="str">
        <f>IFERROR(IF(COUNTIFS('Candidate Tracker'!$E:$E,'Positions Tracker'!$B930,'Candidate Tracker'!$C:$C,"Offer Drop")=0,"",COUNTIFS('Candidate Tracker'!$E:$E,'Positions Tracker'!$B930,'Candidate Tracker'!$C:$C,"Offer Drop")),"")</f>
        <v/>
      </c>
      <c r="AZ93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0" s="34" t="str">
        <f>IFERROR(IF(COUNTIFS('Candidate Tracker'!$E:$E,'Positions Tracker'!$B930,'Candidate Tracker'!$I:$I,"Female")=0,"",COUNTIFS('Candidate Tracker'!$E:$E,'Positions Tracker'!$B930,'Candidate Tracker'!$I:$I,"Female")),"")</f>
        <v/>
      </c>
      <c r="BB930" s="34" t="str">
        <f>IFERROR(IF(COUNTIFS('Candidate Tracker'!$E:$E,'Positions Tracker'!$B930,'Candidate Tracker'!$I:$I,"male")=0,"",COUNTIFS('Candidate Tracker'!$E:$E,'Positions Tracker'!$B930,'Candidate Tracker'!$I:$I,"male")),"")</f>
        <v/>
      </c>
      <c r="BC930" s="33" t="str">
        <f>IFERROR(IF(COUNTIFS('Candidate Tracker'!$E:$E,'Positions Tracker'!$B930,'Candidate Tracker'!$C:$C,"&lt;&gt;WIP",'Candidate Tracker'!$C:$C,"&lt;&gt;Hold",'Candidate Tracker'!$C:$C,"&lt;&gt;Cancelled",'Candidate Tracker'!$C:$C,"&lt;&gt;Closed")/COUNTIFS('Candidate Tracker'!$E:$E,'Positions Tracker'!$B930)=0,"",COUNTIFS('Candidate Tracker'!$E:$E,'Positions Tracker'!$B930,'Candidate Tracker'!$C:$C,"&lt;&gt;WIP",'Candidate Tracker'!$C:$C,"&lt;&gt;Hold",'Candidate Tracker'!$C:$C,"&lt;&gt;Cancelled",'Candidate Tracker'!$C:$C,"&lt;&gt;Closed")/COUNTIFS('Candidate Tracker'!$E:$E,'Positions Tracker'!$B930)),"")</f>
        <v/>
      </c>
      <c r="BD930" s="30" t="str">
        <f t="shared" si="99"/>
        <v/>
      </c>
      <c r="BE930" s="30" t="str">
        <f t="shared" si="100"/>
        <v/>
      </c>
      <c r="BF930" s="30" t="str">
        <f t="shared" si="101"/>
        <v/>
      </c>
      <c r="BG930" s="30" t="str">
        <f t="shared" si="102"/>
        <v/>
      </c>
    </row>
    <row r="931" spans="1:59">
      <c r="A931" s="39"/>
      <c r="B931" s="39"/>
      <c r="C931" s="39"/>
      <c r="D931" s="39"/>
      <c r="E931" s="39"/>
      <c r="F931" s="39"/>
      <c r="G931" s="39"/>
      <c r="H931" s="39"/>
      <c r="I931" s="40"/>
      <c r="J931" s="40"/>
      <c r="K931" s="35"/>
      <c r="L931" s="35"/>
      <c r="M931" s="35"/>
      <c r="N931" s="39"/>
      <c r="O931" s="39"/>
      <c r="P931" s="39"/>
      <c r="Q931" s="39"/>
      <c r="R931" s="39"/>
      <c r="S931" s="39"/>
      <c r="T931" s="39"/>
      <c r="U931" s="39"/>
      <c r="V931" s="39"/>
      <c r="W931" s="39"/>
      <c r="X931" s="39"/>
      <c r="Y931" s="39"/>
      <c r="Z931" s="39"/>
      <c r="AA931" s="39"/>
      <c r="AB931" s="39"/>
      <c r="AC931" s="39"/>
      <c r="AD931" s="39"/>
      <c r="AE931" s="39"/>
      <c r="AF931" s="39"/>
      <c r="AG931" s="39"/>
      <c r="AH931" s="39"/>
      <c r="AI931" s="35"/>
      <c r="AJ931" s="39"/>
      <c r="AK931" s="39"/>
      <c r="AL931" s="39"/>
      <c r="AM931" s="35"/>
      <c r="AN931" s="35"/>
      <c r="AO931" s="39"/>
      <c r="AP931" s="39"/>
      <c r="AQ931" s="35"/>
      <c r="AR931" s="35"/>
      <c r="AS931" s="35"/>
      <c r="AT931" s="30">
        <f t="shared" ca="1" si="98"/>
        <v>0</v>
      </c>
      <c r="AU931" s="32" t="str">
        <f t="shared" ca="1" si="97"/>
        <v/>
      </c>
      <c r="AV931" s="32" t="str" cm="1">
        <f t="array" aca="1" ref="AV931" ca="1">IFERROR(_xlfn.IFS($AU931="","",$AU931&lt;=15,"0-15",AND($AU931&gt;=16,$AU931&lt;=30),"16-30",AND($AU931&gt;=31,$AU931&lt;=45),"31-45",AND($AU931&gt;=46,$AU931&lt;=60),"46-60",AND($AU931&gt;=61,$AU931&lt;=90),"61-90",AND($AU931&gt;=91),"&gt; 90",AND($AU931&gt;=2000),""),"")</f>
        <v/>
      </c>
      <c r="AW931" s="32" t="str" cm="1">
        <f t="array" aca="1" ref="AW931" ca="1">IFERROR(_xlfn.IFS(OR($M931="",$AM931=""),"",OR($C931="Offered",$C931="Joined"),($AM931-$M931)-$AT931),"")</f>
        <v/>
      </c>
      <c r="AX931" s="32" t="str" cm="1">
        <f t="array" aca="1" ref="AX931" ca="1">IFERROR(_xlfn.IFS(OR($M931="",$AS931=""),"",$C931="Joined",($AS931-$M931)-$AT931),"")</f>
        <v/>
      </c>
      <c r="AY931" s="30" t="str">
        <f>IFERROR(IF(COUNTIFS('Candidate Tracker'!$E:$E,'Positions Tracker'!$B931,'Candidate Tracker'!$C:$C,"Offer Drop")=0,"",COUNTIFS('Candidate Tracker'!$E:$E,'Positions Tracker'!$B931,'Candidate Tracker'!$C:$C,"Offer Drop")),"")</f>
        <v/>
      </c>
      <c r="AZ93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1" s="34" t="str">
        <f>IFERROR(IF(COUNTIFS('Candidate Tracker'!$E:$E,'Positions Tracker'!$B931,'Candidate Tracker'!$I:$I,"Female")=0,"",COUNTIFS('Candidate Tracker'!$E:$E,'Positions Tracker'!$B931,'Candidate Tracker'!$I:$I,"Female")),"")</f>
        <v/>
      </c>
      <c r="BB931" s="34" t="str">
        <f>IFERROR(IF(COUNTIFS('Candidate Tracker'!$E:$E,'Positions Tracker'!$B931,'Candidate Tracker'!$I:$I,"male")=0,"",COUNTIFS('Candidate Tracker'!$E:$E,'Positions Tracker'!$B931,'Candidate Tracker'!$I:$I,"male")),"")</f>
        <v/>
      </c>
      <c r="BC931" s="33" t="str">
        <f>IFERROR(IF(COUNTIFS('Candidate Tracker'!$E:$E,'Positions Tracker'!$B931,'Candidate Tracker'!$C:$C,"&lt;&gt;WIP",'Candidate Tracker'!$C:$C,"&lt;&gt;Hold",'Candidate Tracker'!$C:$C,"&lt;&gt;Cancelled",'Candidate Tracker'!$C:$C,"&lt;&gt;Closed")/COUNTIFS('Candidate Tracker'!$E:$E,'Positions Tracker'!$B931)=0,"",COUNTIFS('Candidate Tracker'!$E:$E,'Positions Tracker'!$B931,'Candidate Tracker'!$C:$C,"&lt;&gt;WIP",'Candidate Tracker'!$C:$C,"&lt;&gt;Hold",'Candidate Tracker'!$C:$C,"&lt;&gt;Cancelled",'Candidate Tracker'!$C:$C,"&lt;&gt;Closed")/COUNTIFS('Candidate Tracker'!$E:$E,'Positions Tracker'!$B931)),"")</f>
        <v/>
      </c>
      <c r="BD931" s="30" t="str">
        <f t="shared" si="99"/>
        <v/>
      </c>
      <c r="BE931" s="30" t="str">
        <f t="shared" si="100"/>
        <v/>
      </c>
      <c r="BF931" s="30" t="str">
        <f t="shared" si="101"/>
        <v/>
      </c>
      <c r="BG931" s="30" t="str">
        <f t="shared" si="102"/>
        <v/>
      </c>
    </row>
    <row r="932" spans="1:59">
      <c r="A932" s="39"/>
      <c r="B932" s="39"/>
      <c r="C932" s="39"/>
      <c r="D932" s="39"/>
      <c r="E932" s="39"/>
      <c r="F932" s="39"/>
      <c r="G932" s="39"/>
      <c r="H932" s="39"/>
      <c r="I932" s="40"/>
      <c r="J932" s="40"/>
      <c r="K932" s="35"/>
      <c r="L932" s="35"/>
      <c r="M932" s="35"/>
      <c r="N932" s="39"/>
      <c r="O932" s="39"/>
      <c r="P932" s="39"/>
      <c r="Q932" s="39"/>
      <c r="R932" s="39"/>
      <c r="S932" s="39"/>
      <c r="T932" s="39"/>
      <c r="U932" s="39"/>
      <c r="V932" s="39"/>
      <c r="W932" s="39"/>
      <c r="X932" s="39"/>
      <c r="Y932" s="39"/>
      <c r="Z932" s="39"/>
      <c r="AA932" s="39"/>
      <c r="AB932" s="39"/>
      <c r="AC932" s="39"/>
      <c r="AD932" s="39"/>
      <c r="AE932" s="39"/>
      <c r="AF932" s="39"/>
      <c r="AG932" s="39"/>
      <c r="AH932" s="39"/>
      <c r="AI932" s="35"/>
      <c r="AJ932" s="39"/>
      <c r="AK932" s="39"/>
      <c r="AL932" s="39"/>
      <c r="AM932" s="35"/>
      <c r="AN932" s="35"/>
      <c r="AO932" s="39"/>
      <c r="AP932" s="39"/>
      <c r="AQ932" s="35"/>
      <c r="AR932" s="35"/>
      <c r="AS932" s="35"/>
      <c r="AT932" s="30">
        <f t="shared" ca="1" si="98"/>
        <v>0</v>
      </c>
      <c r="AU932" s="32" t="str">
        <f t="shared" ca="1" si="97"/>
        <v/>
      </c>
      <c r="AV932" s="32" t="str" cm="1">
        <f t="array" aca="1" ref="AV932" ca="1">IFERROR(_xlfn.IFS($AU932="","",$AU932&lt;=15,"0-15",AND($AU932&gt;=16,$AU932&lt;=30),"16-30",AND($AU932&gt;=31,$AU932&lt;=45),"31-45",AND($AU932&gt;=46,$AU932&lt;=60),"46-60",AND($AU932&gt;=61,$AU932&lt;=90),"61-90",AND($AU932&gt;=91),"&gt; 90",AND($AU932&gt;=2000),""),"")</f>
        <v/>
      </c>
      <c r="AW932" s="32" t="str" cm="1">
        <f t="array" aca="1" ref="AW932" ca="1">IFERROR(_xlfn.IFS(OR($M932="",$AM932=""),"",OR($C932="Offered",$C932="Joined"),($AM932-$M932)-$AT932),"")</f>
        <v/>
      </c>
      <c r="AX932" s="32" t="str" cm="1">
        <f t="array" aca="1" ref="AX932" ca="1">IFERROR(_xlfn.IFS(OR($M932="",$AS932=""),"",$C932="Joined",($AS932-$M932)-$AT932),"")</f>
        <v/>
      </c>
      <c r="AY932" s="30" t="str">
        <f>IFERROR(IF(COUNTIFS('Candidate Tracker'!$E:$E,'Positions Tracker'!$B932,'Candidate Tracker'!$C:$C,"Offer Drop")=0,"",COUNTIFS('Candidate Tracker'!$E:$E,'Positions Tracker'!$B932,'Candidate Tracker'!$C:$C,"Offer Drop")),"")</f>
        <v/>
      </c>
      <c r="AZ93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2" s="34" t="str">
        <f>IFERROR(IF(COUNTIFS('Candidate Tracker'!$E:$E,'Positions Tracker'!$B932,'Candidate Tracker'!$I:$I,"Female")=0,"",COUNTIFS('Candidate Tracker'!$E:$E,'Positions Tracker'!$B932,'Candidate Tracker'!$I:$I,"Female")),"")</f>
        <v/>
      </c>
      <c r="BB932" s="34" t="str">
        <f>IFERROR(IF(COUNTIFS('Candidate Tracker'!$E:$E,'Positions Tracker'!$B932,'Candidate Tracker'!$I:$I,"male")=0,"",COUNTIFS('Candidate Tracker'!$E:$E,'Positions Tracker'!$B932,'Candidate Tracker'!$I:$I,"male")),"")</f>
        <v/>
      </c>
      <c r="BC932" s="33" t="str">
        <f>IFERROR(IF(COUNTIFS('Candidate Tracker'!$E:$E,'Positions Tracker'!$B932,'Candidate Tracker'!$C:$C,"&lt;&gt;WIP",'Candidate Tracker'!$C:$C,"&lt;&gt;Hold",'Candidate Tracker'!$C:$C,"&lt;&gt;Cancelled",'Candidate Tracker'!$C:$C,"&lt;&gt;Closed")/COUNTIFS('Candidate Tracker'!$E:$E,'Positions Tracker'!$B932)=0,"",COUNTIFS('Candidate Tracker'!$E:$E,'Positions Tracker'!$B932,'Candidate Tracker'!$C:$C,"&lt;&gt;WIP",'Candidate Tracker'!$C:$C,"&lt;&gt;Hold",'Candidate Tracker'!$C:$C,"&lt;&gt;Cancelled",'Candidate Tracker'!$C:$C,"&lt;&gt;Closed")/COUNTIFS('Candidate Tracker'!$E:$E,'Positions Tracker'!$B932)),"")</f>
        <v/>
      </c>
      <c r="BD932" s="30" t="str">
        <f t="shared" si="99"/>
        <v/>
      </c>
      <c r="BE932" s="30" t="str">
        <f t="shared" si="100"/>
        <v/>
      </c>
      <c r="BF932" s="30" t="str">
        <f t="shared" si="101"/>
        <v/>
      </c>
      <c r="BG932" s="30" t="str">
        <f t="shared" si="102"/>
        <v/>
      </c>
    </row>
    <row r="933" spans="1:59">
      <c r="A933" s="39"/>
      <c r="B933" s="39"/>
      <c r="C933" s="39"/>
      <c r="D933" s="39"/>
      <c r="E933" s="39"/>
      <c r="F933" s="39"/>
      <c r="G933" s="39"/>
      <c r="H933" s="39"/>
      <c r="I933" s="40"/>
      <c r="J933" s="40"/>
      <c r="K933" s="35"/>
      <c r="L933" s="35"/>
      <c r="M933" s="35"/>
      <c r="N933" s="39"/>
      <c r="O933" s="39"/>
      <c r="P933" s="39"/>
      <c r="Q933" s="39"/>
      <c r="R933" s="39"/>
      <c r="S933" s="39"/>
      <c r="T933" s="39"/>
      <c r="U933" s="39"/>
      <c r="V933" s="39"/>
      <c r="W933" s="39"/>
      <c r="X933" s="39"/>
      <c r="Y933" s="39"/>
      <c r="Z933" s="39"/>
      <c r="AA933" s="39"/>
      <c r="AB933" s="39"/>
      <c r="AC933" s="39"/>
      <c r="AD933" s="39"/>
      <c r="AE933" s="39"/>
      <c r="AF933" s="39"/>
      <c r="AG933" s="39"/>
      <c r="AH933" s="39"/>
      <c r="AI933" s="35"/>
      <c r="AJ933" s="39"/>
      <c r="AK933" s="39"/>
      <c r="AL933" s="39"/>
      <c r="AM933" s="35"/>
      <c r="AN933" s="35"/>
      <c r="AO933" s="39"/>
      <c r="AP933" s="39"/>
      <c r="AQ933" s="35"/>
      <c r="AR933" s="35"/>
      <c r="AS933" s="35"/>
      <c r="AT933" s="30">
        <f t="shared" ca="1" si="98"/>
        <v>0</v>
      </c>
      <c r="AU933" s="32" t="str">
        <f t="shared" ca="1" si="97"/>
        <v/>
      </c>
      <c r="AV933" s="32" t="str" cm="1">
        <f t="array" aca="1" ref="AV933" ca="1">IFERROR(_xlfn.IFS($AU933="","",$AU933&lt;=15,"0-15",AND($AU933&gt;=16,$AU933&lt;=30),"16-30",AND($AU933&gt;=31,$AU933&lt;=45),"31-45",AND($AU933&gt;=46,$AU933&lt;=60),"46-60",AND($AU933&gt;=61,$AU933&lt;=90),"61-90",AND($AU933&gt;=91),"&gt; 90",AND($AU933&gt;=2000),""),"")</f>
        <v/>
      </c>
      <c r="AW933" s="32" t="str" cm="1">
        <f t="array" aca="1" ref="AW933" ca="1">IFERROR(_xlfn.IFS(OR($M933="",$AM933=""),"",OR($C933="Offered",$C933="Joined"),($AM933-$M933)-$AT933),"")</f>
        <v/>
      </c>
      <c r="AX933" s="32" t="str" cm="1">
        <f t="array" aca="1" ref="AX933" ca="1">IFERROR(_xlfn.IFS(OR($M933="",$AS933=""),"",$C933="Joined",($AS933-$M933)-$AT933),"")</f>
        <v/>
      </c>
      <c r="AY933" s="30" t="str">
        <f>IFERROR(IF(COUNTIFS('Candidate Tracker'!$E:$E,'Positions Tracker'!$B933,'Candidate Tracker'!$C:$C,"Offer Drop")=0,"",COUNTIFS('Candidate Tracker'!$E:$E,'Positions Tracker'!$B933,'Candidate Tracker'!$C:$C,"Offer Drop")),"")</f>
        <v/>
      </c>
      <c r="AZ93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3" s="34" t="str">
        <f>IFERROR(IF(COUNTIFS('Candidate Tracker'!$E:$E,'Positions Tracker'!$B933,'Candidate Tracker'!$I:$I,"Female")=0,"",COUNTIFS('Candidate Tracker'!$E:$E,'Positions Tracker'!$B933,'Candidate Tracker'!$I:$I,"Female")),"")</f>
        <v/>
      </c>
      <c r="BB933" s="34" t="str">
        <f>IFERROR(IF(COUNTIFS('Candidate Tracker'!$E:$E,'Positions Tracker'!$B933,'Candidate Tracker'!$I:$I,"male")=0,"",COUNTIFS('Candidate Tracker'!$E:$E,'Positions Tracker'!$B933,'Candidate Tracker'!$I:$I,"male")),"")</f>
        <v/>
      </c>
      <c r="BC933" s="33" t="str">
        <f>IFERROR(IF(COUNTIFS('Candidate Tracker'!$E:$E,'Positions Tracker'!$B933,'Candidate Tracker'!$C:$C,"&lt;&gt;WIP",'Candidate Tracker'!$C:$C,"&lt;&gt;Hold",'Candidate Tracker'!$C:$C,"&lt;&gt;Cancelled",'Candidate Tracker'!$C:$C,"&lt;&gt;Closed")/COUNTIFS('Candidate Tracker'!$E:$E,'Positions Tracker'!$B933)=0,"",COUNTIFS('Candidate Tracker'!$E:$E,'Positions Tracker'!$B933,'Candidate Tracker'!$C:$C,"&lt;&gt;WIP",'Candidate Tracker'!$C:$C,"&lt;&gt;Hold",'Candidate Tracker'!$C:$C,"&lt;&gt;Cancelled",'Candidate Tracker'!$C:$C,"&lt;&gt;Closed")/COUNTIFS('Candidate Tracker'!$E:$E,'Positions Tracker'!$B933)),"")</f>
        <v/>
      </c>
      <c r="BD933" s="30" t="str">
        <f t="shared" si="99"/>
        <v/>
      </c>
      <c r="BE933" s="30" t="str">
        <f t="shared" si="100"/>
        <v/>
      </c>
      <c r="BF933" s="30" t="str">
        <f t="shared" si="101"/>
        <v/>
      </c>
      <c r="BG933" s="30" t="str">
        <f t="shared" si="102"/>
        <v/>
      </c>
    </row>
    <row r="934" spans="1:59">
      <c r="A934" s="39"/>
      <c r="B934" s="39"/>
      <c r="C934" s="39"/>
      <c r="D934" s="39"/>
      <c r="E934" s="39"/>
      <c r="F934" s="39"/>
      <c r="G934" s="39"/>
      <c r="H934" s="39"/>
      <c r="I934" s="40"/>
      <c r="J934" s="40"/>
      <c r="K934" s="35"/>
      <c r="L934" s="35"/>
      <c r="M934" s="35"/>
      <c r="N934" s="39"/>
      <c r="O934" s="39"/>
      <c r="P934" s="39"/>
      <c r="Q934" s="39"/>
      <c r="R934" s="39"/>
      <c r="S934" s="39"/>
      <c r="T934" s="39"/>
      <c r="U934" s="39"/>
      <c r="V934" s="39"/>
      <c r="W934" s="39"/>
      <c r="X934" s="39"/>
      <c r="Y934" s="39"/>
      <c r="Z934" s="39"/>
      <c r="AA934" s="39"/>
      <c r="AB934" s="39"/>
      <c r="AC934" s="39"/>
      <c r="AD934" s="39"/>
      <c r="AE934" s="39"/>
      <c r="AF934" s="39"/>
      <c r="AG934" s="39"/>
      <c r="AH934" s="39"/>
      <c r="AI934" s="35"/>
      <c r="AJ934" s="39"/>
      <c r="AK934" s="39"/>
      <c r="AL934" s="39"/>
      <c r="AM934" s="35"/>
      <c r="AN934" s="35"/>
      <c r="AO934" s="39"/>
      <c r="AP934" s="39"/>
      <c r="AQ934" s="35"/>
      <c r="AR934" s="35"/>
      <c r="AS934" s="35"/>
      <c r="AT934" s="30">
        <f t="shared" ca="1" si="98"/>
        <v>0</v>
      </c>
      <c r="AU934" s="32" t="str">
        <f t="shared" ca="1" si="97"/>
        <v/>
      </c>
      <c r="AV934" s="32" t="str" cm="1">
        <f t="array" aca="1" ref="AV934" ca="1">IFERROR(_xlfn.IFS($AU934="","",$AU934&lt;=15,"0-15",AND($AU934&gt;=16,$AU934&lt;=30),"16-30",AND($AU934&gt;=31,$AU934&lt;=45),"31-45",AND($AU934&gt;=46,$AU934&lt;=60),"46-60",AND($AU934&gt;=61,$AU934&lt;=90),"61-90",AND($AU934&gt;=91),"&gt; 90",AND($AU934&gt;=2000),""),"")</f>
        <v/>
      </c>
      <c r="AW934" s="32" t="str" cm="1">
        <f t="array" aca="1" ref="AW934" ca="1">IFERROR(_xlfn.IFS(OR($M934="",$AM934=""),"",OR($C934="Offered",$C934="Joined"),($AM934-$M934)-$AT934),"")</f>
        <v/>
      </c>
      <c r="AX934" s="32" t="str" cm="1">
        <f t="array" aca="1" ref="AX934" ca="1">IFERROR(_xlfn.IFS(OR($M934="",$AS934=""),"",$C934="Joined",($AS934-$M934)-$AT934),"")</f>
        <v/>
      </c>
      <c r="AY934" s="30" t="str">
        <f>IFERROR(IF(COUNTIFS('Candidate Tracker'!$E:$E,'Positions Tracker'!$B934,'Candidate Tracker'!$C:$C,"Offer Drop")=0,"",COUNTIFS('Candidate Tracker'!$E:$E,'Positions Tracker'!$B934,'Candidate Tracker'!$C:$C,"Offer Drop")),"")</f>
        <v/>
      </c>
      <c r="AZ93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4" s="34" t="str">
        <f>IFERROR(IF(COUNTIFS('Candidate Tracker'!$E:$E,'Positions Tracker'!$B934,'Candidate Tracker'!$I:$I,"Female")=0,"",COUNTIFS('Candidate Tracker'!$E:$E,'Positions Tracker'!$B934,'Candidate Tracker'!$I:$I,"Female")),"")</f>
        <v/>
      </c>
      <c r="BB934" s="34" t="str">
        <f>IFERROR(IF(COUNTIFS('Candidate Tracker'!$E:$E,'Positions Tracker'!$B934,'Candidate Tracker'!$I:$I,"male")=0,"",COUNTIFS('Candidate Tracker'!$E:$E,'Positions Tracker'!$B934,'Candidate Tracker'!$I:$I,"male")),"")</f>
        <v/>
      </c>
      <c r="BC934" s="33" t="str">
        <f>IFERROR(IF(COUNTIFS('Candidate Tracker'!$E:$E,'Positions Tracker'!$B934,'Candidate Tracker'!$C:$C,"&lt;&gt;WIP",'Candidate Tracker'!$C:$C,"&lt;&gt;Hold",'Candidate Tracker'!$C:$C,"&lt;&gt;Cancelled",'Candidate Tracker'!$C:$C,"&lt;&gt;Closed")/COUNTIFS('Candidate Tracker'!$E:$E,'Positions Tracker'!$B934)=0,"",COUNTIFS('Candidate Tracker'!$E:$E,'Positions Tracker'!$B934,'Candidate Tracker'!$C:$C,"&lt;&gt;WIP",'Candidate Tracker'!$C:$C,"&lt;&gt;Hold",'Candidate Tracker'!$C:$C,"&lt;&gt;Cancelled",'Candidate Tracker'!$C:$C,"&lt;&gt;Closed")/COUNTIFS('Candidate Tracker'!$E:$E,'Positions Tracker'!$B934)),"")</f>
        <v/>
      </c>
      <c r="BD934" s="30" t="str">
        <f t="shared" si="99"/>
        <v/>
      </c>
      <c r="BE934" s="30" t="str">
        <f t="shared" si="100"/>
        <v/>
      </c>
      <c r="BF934" s="30" t="str">
        <f t="shared" si="101"/>
        <v/>
      </c>
      <c r="BG934" s="30" t="str">
        <f t="shared" si="102"/>
        <v/>
      </c>
    </row>
    <row r="935" spans="1:59">
      <c r="A935" s="39"/>
      <c r="B935" s="39"/>
      <c r="C935" s="39"/>
      <c r="D935" s="39"/>
      <c r="E935" s="39"/>
      <c r="F935" s="39"/>
      <c r="G935" s="39"/>
      <c r="H935" s="39"/>
      <c r="I935" s="40"/>
      <c r="J935" s="40"/>
      <c r="K935" s="35"/>
      <c r="L935" s="35"/>
      <c r="M935" s="35"/>
      <c r="N935" s="39"/>
      <c r="O935" s="39"/>
      <c r="P935" s="39"/>
      <c r="Q935" s="39"/>
      <c r="R935" s="39"/>
      <c r="S935" s="39"/>
      <c r="T935" s="39"/>
      <c r="U935" s="39"/>
      <c r="V935" s="39"/>
      <c r="W935" s="39"/>
      <c r="X935" s="39"/>
      <c r="Y935" s="39"/>
      <c r="Z935" s="39"/>
      <c r="AA935" s="39"/>
      <c r="AB935" s="39"/>
      <c r="AC935" s="39"/>
      <c r="AD935" s="39"/>
      <c r="AE935" s="39"/>
      <c r="AF935" s="39"/>
      <c r="AG935" s="39"/>
      <c r="AH935" s="39"/>
      <c r="AI935" s="35"/>
      <c r="AJ935" s="39"/>
      <c r="AK935" s="39"/>
      <c r="AL935" s="39"/>
      <c r="AM935" s="35"/>
      <c r="AN935" s="35"/>
      <c r="AO935" s="39"/>
      <c r="AP935" s="39"/>
      <c r="AQ935" s="35"/>
      <c r="AR935" s="35"/>
      <c r="AS935" s="35"/>
      <c r="AT935" s="30">
        <f t="shared" ca="1" si="98"/>
        <v>0</v>
      </c>
      <c r="AU935" s="32" t="str">
        <f t="shared" ca="1" si="97"/>
        <v/>
      </c>
      <c r="AV935" s="32" t="str" cm="1">
        <f t="array" aca="1" ref="AV935" ca="1">IFERROR(_xlfn.IFS($AU935="","",$AU935&lt;=15,"0-15",AND($AU935&gt;=16,$AU935&lt;=30),"16-30",AND($AU935&gt;=31,$AU935&lt;=45),"31-45",AND($AU935&gt;=46,$AU935&lt;=60),"46-60",AND($AU935&gt;=61,$AU935&lt;=90),"61-90",AND($AU935&gt;=91),"&gt; 90",AND($AU935&gt;=2000),""),"")</f>
        <v/>
      </c>
      <c r="AW935" s="32" t="str" cm="1">
        <f t="array" aca="1" ref="AW935" ca="1">IFERROR(_xlfn.IFS(OR($M935="",$AM935=""),"",OR($C935="Offered",$C935="Joined"),($AM935-$M935)-$AT935),"")</f>
        <v/>
      </c>
      <c r="AX935" s="32" t="str" cm="1">
        <f t="array" aca="1" ref="AX935" ca="1">IFERROR(_xlfn.IFS(OR($M935="",$AS935=""),"",$C935="Joined",($AS935-$M935)-$AT935),"")</f>
        <v/>
      </c>
      <c r="AY935" s="30" t="str">
        <f>IFERROR(IF(COUNTIFS('Candidate Tracker'!$E:$E,'Positions Tracker'!$B935,'Candidate Tracker'!$C:$C,"Offer Drop")=0,"",COUNTIFS('Candidate Tracker'!$E:$E,'Positions Tracker'!$B935,'Candidate Tracker'!$C:$C,"Offer Drop")),"")</f>
        <v/>
      </c>
      <c r="AZ93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5" s="34" t="str">
        <f>IFERROR(IF(COUNTIFS('Candidate Tracker'!$E:$E,'Positions Tracker'!$B935,'Candidate Tracker'!$I:$I,"Female")=0,"",COUNTIFS('Candidate Tracker'!$E:$E,'Positions Tracker'!$B935,'Candidate Tracker'!$I:$I,"Female")),"")</f>
        <v/>
      </c>
      <c r="BB935" s="34" t="str">
        <f>IFERROR(IF(COUNTIFS('Candidate Tracker'!$E:$E,'Positions Tracker'!$B935,'Candidate Tracker'!$I:$I,"male")=0,"",COUNTIFS('Candidate Tracker'!$E:$E,'Positions Tracker'!$B935,'Candidate Tracker'!$I:$I,"male")),"")</f>
        <v/>
      </c>
      <c r="BC935" s="33" t="str">
        <f>IFERROR(IF(COUNTIFS('Candidate Tracker'!$E:$E,'Positions Tracker'!$B935,'Candidate Tracker'!$C:$C,"&lt;&gt;WIP",'Candidate Tracker'!$C:$C,"&lt;&gt;Hold",'Candidate Tracker'!$C:$C,"&lt;&gt;Cancelled",'Candidate Tracker'!$C:$C,"&lt;&gt;Closed")/COUNTIFS('Candidate Tracker'!$E:$E,'Positions Tracker'!$B935)=0,"",COUNTIFS('Candidate Tracker'!$E:$E,'Positions Tracker'!$B935,'Candidate Tracker'!$C:$C,"&lt;&gt;WIP",'Candidate Tracker'!$C:$C,"&lt;&gt;Hold",'Candidate Tracker'!$C:$C,"&lt;&gt;Cancelled",'Candidate Tracker'!$C:$C,"&lt;&gt;Closed")/COUNTIFS('Candidate Tracker'!$E:$E,'Positions Tracker'!$B935)),"")</f>
        <v/>
      </c>
      <c r="BD935" s="30" t="str">
        <f t="shared" si="99"/>
        <v/>
      </c>
      <c r="BE935" s="30" t="str">
        <f t="shared" si="100"/>
        <v/>
      </c>
      <c r="BF935" s="30" t="str">
        <f t="shared" si="101"/>
        <v/>
      </c>
      <c r="BG935" s="30" t="str">
        <f t="shared" si="102"/>
        <v/>
      </c>
    </row>
    <row r="936" spans="1:59">
      <c r="A936" s="39"/>
      <c r="B936" s="39"/>
      <c r="C936" s="39"/>
      <c r="D936" s="39"/>
      <c r="E936" s="39"/>
      <c r="F936" s="39"/>
      <c r="G936" s="39"/>
      <c r="H936" s="39"/>
      <c r="I936" s="40"/>
      <c r="J936" s="40"/>
      <c r="K936" s="35"/>
      <c r="L936" s="35"/>
      <c r="M936" s="35"/>
      <c r="N936" s="39"/>
      <c r="O936" s="39"/>
      <c r="P936" s="39"/>
      <c r="Q936" s="39"/>
      <c r="R936" s="39"/>
      <c r="S936" s="39"/>
      <c r="T936" s="39"/>
      <c r="U936" s="39"/>
      <c r="V936" s="39"/>
      <c r="W936" s="39"/>
      <c r="X936" s="39"/>
      <c r="Y936" s="39"/>
      <c r="Z936" s="39"/>
      <c r="AA936" s="39"/>
      <c r="AB936" s="39"/>
      <c r="AC936" s="39"/>
      <c r="AD936" s="39"/>
      <c r="AE936" s="39"/>
      <c r="AF936" s="39"/>
      <c r="AG936" s="39"/>
      <c r="AH936" s="39"/>
      <c r="AI936" s="35"/>
      <c r="AJ936" s="39"/>
      <c r="AK936" s="39"/>
      <c r="AL936" s="39"/>
      <c r="AM936" s="35"/>
      <c r="AN936" s="35"/>
      <c r="AO936" s="39"/>
      <c r="AP936" s="39"/>
      <c r="AQ936" s="35"/>
      <c r="AR936" s="35"/>
      <c r="AS936" s="35"/>
      <c r="AT936" s="30">
        <f t="shared" ca="1" si="98"/>
        <v>0</v>
      </c>
      <c r="AU936" s="32" t="str">
        <f t="shared" ca="1" si="97"/>
        <v/>
      </c>
      <c r="AV936" s="32" t="str" cm="1">
        <f t="array" aca="1" ref="AV936" ca="1">IFERROR(_xlfn.IFS($AU936="","",$AU936&lt;=15,"0-15",AND($AU936&gt;=16,$AU936&lt;=30),"16-30",AND($AU936&gt;=31,$AU936&lt;=45),"31-45",AND($AU936&gt;=46,$AU936&lt;=60),"46-60",AND($AU936&gt;=61,$AU936&lt;=90),"61-90",AND($AU936&gt;=91),"&gt; 90",AND($AU936&gt;=2000),""),"")</f>
        <v/>
      </c>
      <c r="AW936" s="32" t="str" cm="1">
        <f t="array" aca="1" ref="AW936" ca="1">IFERROR(_xlfn.IFS(OR($M936="",$AM936=""),"",OR($C936="Offered",$C936="Joined"),($AM936-$M936)-$AT936),"")</f>
        <v/>
      </c>
      <c r="AX936" s="32" t="str" cm="1">
        <f t="array" aca="1" ref="AX936" ca="1">IFERROR(_xlfn.IFS(OR($M936="",$AS936=""),"",$C936="Joined",($AS936-$M936)-$AT936),"")</f>
        <v/>
      </c>
      <c r="AY936" s="30" t="str">
        <f>IFERROR(IF(COUNTIFS('Candidate Tracker'!$E:$E,'Positions Tracker'!$B936,'Candidate Tracker'!$C:$C,"Offer Drop")=0,"",COUNTIFS('Candidate Tracker'!$E:$E,'Positions Tracker'!$B936,'Candidate Tracker'!$C:$C,"Offer Drop")),"")</f>
        <v/>
      </c>
      <c r="AZ93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6" s="34" t="str">
        <f>IFERROR(IF(COUNTIFS('Candidate Tracker'!$E:$E,'Positions Tracker'!$B936,'Candidate Tracker'!$I:$I,"Female")=0,"",COUNTIFS('Candidate Tracker'!$E:$E,'Positions Tracker'!$B936,'Candidate Tracker'!$I:$I,"Female")),"")</f>
        <v/>
      </c>
      <c r="BB936" s="34" t="str">
        <f>IFERROR(IF(COUNTIFS('Candidate Tracker'!$E:$E,'Positions Tracker'!$B936,'Candidate Tracker'!$I:$I,"male")=0,"",COUNTIFS('Candidate Tracker'!$E:$E,'Positions Tracker'!$B936,'Candidate Tracker'!$I:$I,"male")),"")</f>
        <v/>
      </c>
      <c r="BC936" s="33" t="str">
        <f>IFERROR(IF(COUNTIFS('Candidate Tracker'!$E:$E,'Positions Tracker'!$B936,'Candidate Tracker'!$C:$C,"&lt;&gt;WIP",'Candidate Tracker'!$C:$C,"&lt;&gt;Hold",'Candidate Tracker'!$C:$C,"&lt;&gt;Cancelled",'Candidate Tracker'!$C:$C,"&lt;&gt;Closed")/COUNTIFS('Candidate Tracker'!$E:$E,'Positions Tracker'!$B936)=0,"",COUNTIFS('Candidate Tracker'!$E:$E,'Positions Tracker'!$B936,'Candidate Tracker'!$C:$C,"&lt;&gt;WIP",'Candidate Tracker'!$C:$C,"&lt;&gt;Hold",'Candidate Tracker'!$C:$C,"&lt;&gt;Cancelled",'Candidate Tracker'!$C:$C,"&lt;&gt;Closed")/COUNTIFS('Candidate Tracker'!$E:$E,'Positions Tracker'!$B936)),"")</f>
        <v/>
      </c>
      <c r="BD936" s="30" t="str">
        <f t="shared" si="99"/>
        <v/>
      </c>
      <c r="BE936" s="30" t="str">
        <f t="shared" si="100"/>
        <v/>
      </c>
      <c r="BF936" s="30" t="str">
        <f t="shared" si="101"/>
        <v/>
      </c>
      <c r="BG936" s="30" t="str">
        <f t="shared" si="102"/>
        <v/>
      </c>
    </row>
    <row r="937" spans="1:59">
      <c r="A937" s="39"/>
      <c r="B937" s="39"/>
      <c r="C937" s="39"/>
      <c r="D937" s="39"/>
      <c r="E937" s="39"/>
      <c r="F937" s="39"/>
      <c r="G937" s="39"/>
      <c r="H937" s="39"/>
      <c r="I937" s="40"/>
      <c r="J937" s="40"/>
      <c r="K937" s="35"/>
      <c r="L937" s="35"/>
      <c r="M937" s="35"/>
      <c r="N937" s="39"/>
      <c r="O937" s="39"/>
      <c r="P937" s="39"/>
      <c r="Q937" s="39"/>
      <c r="R937" s="39"/>
      <c r="S937" s="39"/>
      <c r="T937" s="39"/>
      <c r="U937" s="39"/>
      <c r="V937" s="39"/>
      <c r="W937" s="39"/>
      <c r="X937" s="39"/>
      <c r="Y937" s="39"/>
      <c r="Z937" s="39"/>
      <c r="AA937" s="39"/>
      <c r="AB937" s="39"/>
      <c r="AC937" s="39"/>
      <c r="AD937" s="39"/>
      <c r="AE937" s="39"/>
      <c r="AF937" s="39"/>
      <c r="AG937" s="39"/>
      <c r="AH937" s="39"/>
      <c r="AI937" s="35"/>
      <c r="AJ937" s="39"/>
      <c r="AK937" s="39"/>
      <c r="AL937" s="39"/>
      <c r="AM937" s="35"/>
      <c r="AN937" s="35"/>
      <c r="AO937" s="39"/>
      <c r="AP937" s="39"/>
      <c r="AQ937" s="35"/>
      <c r="AR937" s="35"/>
      <c r="AS937" s="35"/>
      <c r="AT937" s="30">
        <f t="shared" ca="1" si="98"/>
        <v>0</v>
      </c>
      <c r="AU937" s="32" t="str">
        <f t="shared" ca="1" si="97"/>
        <v/>
      </c>
      <c r="AV937" s="32" t="str" cm="1">
        <f t="array" aca="1" ref="AV937" ca="1">IFERROR(_xlfn.IFS($AU937="","",$AU937&lt;=15,"0-15",AND($AU937&gt;=16,$AU937&lt;=30),"16-30",AND($AU937&gt;=31,$AU937&lt;=45),"31-45",AND($AU937&gt;=46,$AU937&lt;=60),"46-60",AND($AU937&gt;=61,$AU937&lt;=90),"61-90",AND($AU937&gt;=91),"&gt; 90",AND($AU937&gt;=2000),""),"")</f>
        <v/>
      </c>
      <c r="AW937" s="32" t="str" cm="1">
        <f t="array" aca="1" ref="AW937" ca="1">IFERROR(_xlfn.IFS(OR($M937="",$AM937=""),"",OR($C937="Offered",$C937="Joined"),($AM937-$M937)-$AT937),"")</f>
        <v/>
      </c>
      <c r="AX937" s="32" t="str" cm="1">
        <f t="array" aca="1" ref="AX937" ca="1">IFERROR(_xlfn.IFS(OR($M937="",$AS937=""),"",$C937="Joined",($AS937-$M937)-$AT937),"")</f>
        <v/>
      </c>
      <c r="AY937" s="30" t="str">
        <f>IFERROR(IF(COUNTIFS('Candidate Tracker'!$E:$E,'Positions Tracker'!$B937,'Candidate Tracker'!$C:$C,"Offer Drop")=0,"",COUNTIFS('Candidate Tracker'!$E:$E,'Positions Tracker'!$B937,'Candidate Tracker'!$C:$C,"Offer Drop")),"")</f>
        <v/>
      </c>
      <c r="AZ93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7" s="34" t="str">
        <f>IFERROR(IF(COUNTIFS('Candidate Tracker'!$E:$E,'Positions Tracker'!$B937,'Candidate Tracker'!$I:$I,"Female")=0,"",COUNTIFS('Candidate Tracker'!$E:$E,'Positions Tracker'!$B937,'Candidate Tracker'!$I:$I,"Female")),"")</f>
        <v/>
      </c>
      <c r="BB937" s="34" t="str">
        <f>IFERROR(IF(COUNTIFS('Candidate Tracker'!$E:$E,'Positions Tracker'!$B937,'Candidate Tracker'!$I:$I,"male")=0,"",COUNTIFS('Candidate Tracker'!$E:$E,'Positions Tracker'!$B937,'Candidate Tracker'!$I:$I,"male")),"")</f>
        <v/>
      </c>
      <c r="BC937" s="33" t="str">
        <f>IFERROR(IF(COUNTIFS('Candidate Tracker'!$E:$E,'Positions Tracker'!$B937,'Candidate Tracker'!$C:$C,"&lt;&gt;WIP",'Candidate Tracker'!$C:$C,"&lt;&gt;Hold",'Candidate Tracker'!$C:$C,"&lt;&gt;Cancelled",'Candidate Tracker'!$C:$C,"&lt;&gt;Closed")/COUNTIFS('Candidate Tracker'!$E:$E,'Positions Tracker'!$B937)=0,"",COUNTIFS('Candidate Tracker'!$E:$E,'Positions Tracker'!$B937,'Candidate Tracker'!$C:$C,"&lt;&gt;WIP",'Candidate Tracker'!$C:$C,"&lt;&gt;Hold",'Candidate Tracker'!$C:$C,"&lt;&gt;Cancelled",'Candidate Tracker'!$C:$C,"&lt;&gt;Closed")/COUNTIFS('Candidate Tracker'!$E:$E,'Positions Tracker'!$B937)),"")</f>
        <v/>
      </c>
      <c r="BD937" s="30" t="str">
        <f t="shared" si="99"/>
        <v/>
      </c>
      <c r="BE937" s="30" t="str">
        <f t="shared" si="100"/>
        <v/>
      </c>
      <c r="BF937" s="30" t="str">
        <f t="shared" si="101"/>
        <v/>
      </c>
      <c r="BG937" s="30" t="str">
        <f t="shared" si="102"/>
        <v/>
      </c>
    </row>
    <row r="938" spans="1:59">
      <c r="A938" s="39"/>
      <c r="B938" s="39"/>
      <c r="C938" s="39"/>
      <c r="D938" s="39"/>
      <c r="E938" s="39"/>
      <c r="F938" s="39"/>
      <c r="G938" s="39"/>
      <c r="H938" s="39"/>
      <c r="I938" s="40"/>
      <c r="J938" s="40"/>
      <c r="K938" s="35"/>
      <c r="L938" s="35"/>
      <c r="M938" s="35"/>
      <c r="N938" s="39"/>
      <c r="O938" s="39"/>
      <c r="P938" s="39"/>
      <c r="Q938" s="39"/>
      <c r="R938" s="39"/>
      <c r="S938" s="39"/>
      <c r="T938" s="39"/>
      <c r="U938" s="39"/>
      <c r="V938" s="39"/>
      <c r="W938" s="39"/>
      <c r="X938" s="39"/>
      <c r="Y938" s="39"/>
      <c r="Z938" s="39"/>
      <c r="AA938" s="39"/>
      <c r="AB938" s="39"/>
      <c r="AC938" s="39"/>
      <c r="AD938" s="39"/>
      <c r="AE938" s="39"/>
      <c r="AF938" s="39"/>
      <c r="AG938" s="39"/>
      <c r="AH938" s="39"/>
      <c r="AI938" s="35"/>
      <c r="AJ938" s="39"/>
      <c r="AK938" s="39"/>
      <c r="AL938" s="39"/>
      <c r="AM938" s="35"/>
      <c r="AN938" s="35"/>
      <c r="AO938" s="39"/>
      <c r="AP938" s="39"/>
      <c r="AQ938" s="35"/>
      <c r="AR938" s="35"/>
      <c r="AS938" s="35"/>
      <c r="AT938" s="30">
        <f t="shared" ca="1" si="98"/>
        <v>0</v>
      </c>
      <c r="AU938" s="32" t="str">
        <f t="shared" ca="1" si="97"/>
        <v/>
      </c>
      <c r="AV938" s="32" t="str" cm="1">
        <f t="array" aca="1" ref="AV938" ca="1">IFERROR(_xlfn.IFS($AU938="","",$AU938&lt;=15,"0-15",AND($AU938&gt;=16,$AU938&lt;=30),"16-30",AND($AU938&gt;=31,$AU938&lt;=45),"31-45",AND($AU938&gt;=46,$AU938&lt;=60),"46-60",AND($AU938&gt;=61,$AU938&lt;=90),"61-90",AND($AU938&gt;=91),"&gt; 90",AND($AU938&gt;=2000),""),"")</f>
        <v/>
      </c>
      <c r="AW938" s="32" t="str" cm="1">
        <f t="array" aca="1" ref="AW938" ca="1">IFERROR(_xlfn.IFS(OR($M938="",$AM938=""),"",OR($C938="Offered",$C938="Joined"),($AM938-$M938)-$AT938),"")</f>
        <v/>
      </c>
      <c r="AX938" s="32" t="str" cm="1">
        <f t="array" aca="1" ref="AX938" ca="1">IFERROR(_xlfn.IFS(OR($M938="",$AS938=""),"",$C938="Joined",($AS938-$M938)-$AT938),"")</f>
        <v/>
      </c>
      <c r="AY938" s="30" t="str">
        <f>IFERROR(IF(COUNTIFS('Candidate Tracker'!$E:$E,'Positions Tracker'!$B938,'Candidate Tracker'!$C:$C,"Offer Drop")=0,"",COUNTIFS('Candidate Tracker'!$E:$E,'Positions Tracker'!$B938,'Candidate Tracker'!$C:$C,"Offer Drop")),"")</f>
        <v/>
      </c>
      <c r="AZ93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8" s="34" t="str">
        <f>IFERROR(IF(COUNTIFS('Candidate Tracker'!$E:$E,'Positions Tracker'!$B938,'Candidate Tracker'!$I:$I,"Female")=0,"",COUNTIFS('Candidate Tracker'!$E:$E,'Positions Tracker'!$B938,'Candidate Tracker'!$I:$I,"Female")),"")</f>
        <v/>
      </c>
      <c r="BB938" s="34" t="str">
        <f>IFERROR(IF(COUNTIFS('Candidate Tracker'!$E:$E,'Positions Tracker'!$B938,'Candidate Tracker'!$I:$I,"male")=0,"",COUNTIFS('Candidate Tracker'!$E:$E,'Positions Tracker'!$B938,'Candidate Tracker'!$I:$I,"male")),"")</f>
        <v/>
      </c>
      <c r="BC938" s="33" t="str">
        <f>IFERROR(IF(COUNTIFS('Candidate Tracker'!$E:$E,'Positions Tracker'!$B938,'Candidate Tracker'!$C:$C,"&lt;&gt;WIP",'Candidate Tracker'!$C:$C,"&lt;&gt;Hold",'Candidate Tracker'!$C:$C,"&lt;&gt;Cancelled",'Candidate Tracker'!$C:$C,"&lt;&gt;Closed")/COUNTIFS('Candidate Tracker'!$E:$E,'Positions Tracker'!$B938)=0,"",COUNTIFS('Candidate Tracker'!$E:$E,'Positions Tracker'!$B938,'Candidate Tracker'!$C:$C,"&lt;&gt;WIP",'Candidate Tracker'!$C:$C,"&lt;&gt;Hold",'Candidate Tracker'!$C:$C,"&lt;&gt;Cancelled",'Candidate Tracker'!$C:$C,"&lt;&gt;Closed")/COUNTIFS('Candidate Tracker'!$E:$E,'Positions Tracker'!$B938)),"")</f>
        <v/>
      </c>
      <c r="BD938" s="30" t="str">
        <f t="shared" si="99"/>
        <v/>
      </c>
      <c r="BE938" s="30" t="str">
        <f t="shared" si="100"/>
        <v/>
      </c>
      <c r="BF938" s="30" t="str">
        <f t="shared" si="101"/>
        <v/>
      </c>
      <c r="BG938" s="30" t="str">
        <f t="shared" si="102"/>
        <v/>
      </c>
    </row>
    <row r="939" spans="1:59">
      <c r="A939" s="39"/>
      <c r="B939" s="39"/>
      <c r="C939" s="39"/>
      <c r="D939" s="39"/>
      <c r="E939" s="39"/>
      <c r="F939" s="39"/>
      <c r="G939" s="39"/>
      <c r="H939" s="39"/>
      <c r="I939" s="40"/>
      <c r="J939" s="40"/>
      <c r="K939" s="35"/>
      <c r="L939" s="35"/>
      <c r="M939" s="35"/>
      <c r="N939" s="39"/>
      <c r="O939" s="39"/>
      <c r="P939" s="39"/>
      <c r="Q939" s="39"/>
      <c r="R939" s="39"/>
      <c r="S939" s="39"/>
      <c r="T939" s="39"/>
      <c r="U939" s="39"/>
      <c r="V939" s="39"/>
      <c r="W939" s="39"/>
      <c r="X939" s="39"/>
      <c r="Y939" s="39"/>
      <c r="Z939" s="39"/>
      <c r="AA939" s="39"/>
      <c r="AB939" s="39"/>
      <c r="AC939" s="39"/>
      <c r="AD939" s="39"/>
      <c r="AE939" s="39"/>
      <c r="AF939" s="39"/>
      <c r="AG939" s="39"/>
      <c r="AH939" s="39"/>
      <c r="AI939" s="35"/>
      <c r="AJ939" s="39"/>
      <c r="AK939" s="39"/>
      <c r="AL939" s="39"/>
      <c r="AM939" s="35"/>
      <c r="AN939" s="35"/>
      <c r="AO939" s="39"/>
      <c r="AP939" s="39"/>
      <c r="AQ939" s="35"/>
      <c r="AR939" s="35"/>
      <c r="AS939" s="35"/>
      <c r="AT939" s="30">
        <f t="shared" ca="1" si="98"/>
        <v>0</v>
      </c>
      <c r="AU939" s="32" t="str">
        <f t="shared" ca="1" si="97"/>
        <v/>
      </c>
      <c r="AV939" s="32" t="str" cm="1">
        <f t="array" aca="1" ref="AV939" ca="1">IFERROR(_xlfn.IFS($AU939="","",$AU939&lt;=15,"0-15",AND($AU939&gt;=16,$AU939&lt;=30),"16-30",AND($AU939&gt;=31,$AU939&lt;=45),"31-45",AND($AU939&gt;=46,$AU939&lt;=60),"46-60",AND($AU939&gt;=61,$AU939&lt;=90),"61-90",AND($AU939&gt;=91),"&gt; 90",AND($AU939&gt;=2000),""),"")</f>
        <v/>
      </c>
      <c r="AW939" s="32" t="str" cm="1">
        <f t="array" aca="1" ref="AW939" ca="1">IFERROR(_xlfn.IFS(OR($M939="",$AM939=""),"",OR($C939="Offered",$C939="Joined"),($AM939-$M939)-$AT939),"")</f>
        <v/>
      </c>
      <c r="AX939" s="32" t="str" cm="1">
        <f t="array" aca="1" ref="AX939" ca="1">IFERROR(_xlfn.IFS(OR($M939="",$AS939=""),"",$C939="Joined",($AS939-$M939)-$AT939),"")</f>
        <v/>
      </c>
      <c r="AY939" s="30" t="str">
        <f>IFERROR(IF(COUNTIFS('Candidate Tracker'!$E:$E,'Positions Tracker'!$B939,'Candidate Tracker'!$C:$C,"Offer Drop")=0,"",COUNTIFS('Candidate Tracker'!$E:$E,'Positions Tracker'!$B939,'Candidate Tracker'!$C:$C,"Offer Drop")),"")</f>
        <v/>
      </c>
      <c r="AZ93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39" s="34" t="str">
        <f>IFERROR(IF(COUNTIFS('Candidate Tracker'!$E:$E,'Positions Tracker'!$B939,'Candidate Tracker'!$I:$I,"Female")=0,"",COUNTIFS('Candidate Tracker'!$E:$E,'Positions Tracker'!$B939,'Candidate Tracker'!$I:$I,"Female")),"")</f>
        <v/>
      </c>
      <c r="BB939" s="34" t="str">
        <f>IFERROR(IF(COUNTIFS('Candidate Tracker'!$E:$E,'Positions Tracker'!$B939,'Candidate Tracker'!$I:$I,"male")=0,"",COUNTIFS('Candidate Tracker'!$E:$E,'Positions Tracker'!$B939,'Candidate Tracker'!$I:$I,"male")),"")</f>
        <v/>
      </c>
      <c r="BC939" s="33" t="str">
        <f>IFERROR(IF(COUNTIFS('Candidate Tracker'!$E:$E,'Positions Tracker'!$B939,'Candidate Tracker'!$C:$C,"&lt;&gt;WIP",'Candidate Tracker'!$C:$C,"&lt;&gt;Hold",'Candidate Tracker'!$C:$C,"&lt;&gt;Cancelled",'Candidate Tracker'!$C:$C,"&lt;&gt;Closed")/COUNTIFS('Candidate Tracker'!$E:$E,'Positions Tracker'!$B939)=0,"",COUNTIFS('Candidate Tracker'!$E:$E,'Positions Tracker'!$B939,'Candidate Tracker'!$C:$C,"&lt;&gt;WIP",'Candidate Tracker'!$C:$C,"&lt;&gt;Hold",'Candidate Tracker'!$C:$C,"&lt;&gt;Cancelled",'Candidate Tracker'!$C:$C,"&lt;&gt;Closed")/COUNTIFS('Candidate Tracker'!$E:$E,'Positions Tracker'!$B939)),"")</f>
        <v/>
      </c>
      <c r="BD939" s="30" t="str">
        <f t="shared" si="99"/>
        <v/>
      </c>
      <c r="BE939" s="30" t="str">
        <f t="shared" si="100"/>
        <v/>
      </c>
      <c r="BF939" s="30" t="str">
        <f t="shared" si="101"/>
        <v/>
      </c>
      <c r="BG939" s="30" t="str">
        <f t="shared" si="102"/>
        <v/>
      </c>
    </row>
    <row r="940" spans="1:59">
      <c r="A940" s="39"/>
      <c r="B940" s="39"/>
      <c r="C940" s="39"/>
      <c r="D940" s="39"/>
      <c r="E940" s="39"/>
      <c r="F940" s="39"/>
      <c r="G940" s="39"/>
      <c r="H940" s="39"/>
      <c r="I940" s="40"/>
      <c r="J940" s="40"/>
      <c r="K940" s="35"/>
      <c r="L940" s="35"/>
      <c r="M940" s="35"/>
      <c r="N940" s="39"/>
      <c r="O940" s="39"/>
      <c r="P940" s="39"/>
      <c r="Q940" s="39"/>
      <c r="R940" s="39"/>
      <c r="S940" s="39"/>
      <c r="T940" s="39"/>
      <c r="U940" s="39"/>
      <c r="V940" s="39"/>
      <c r="W940" s="39"/>
      <c r="X940" s="39"/>
      <c r="Y940" s="39"/>
      <c r="Z940" s="39"/>
      <c r="AA940" s="39"/>
      <c r="AB940" s="39"/>
      <c r="AC940" s="39"/>
      <c r="AD940" s="39"/>
      <c r="AE940" s="39"/>
      <c r="AF940" s="39"/>
      <c r="AG940" s="39"/>
      <c r="AH940" s="39"/>
      <c r="AI940" s="35"/>
      <c r="AJ940" s="39"/>
      <c r="AK940" s="39"/>
      <c r="AL940" s="39"/>
      <c r="AM940" s="35"/>
      <c r="AN940" s="35"/>
      <c r="AO940" s="39"/>
      <c r="AP940" s="39"/>
      <c r="AQ940" s="35"/>
      <c r="AR940" s="35"/>
      <c r="AS940" s="35"/>
      <c r="AT940" s="30">
        <f t="shared" ca="1" si="98"/>
        <v>0</v>
      </c>
      <c r="AU940" s="32" t="str">
        <f t="shared" ca="1" si="97"/>
        <v/>
      </c>
      <c r="AV940" s="32" t="str" cm="1">
        <f t="array" aca="1" ref="AV940" ca="1">IFERROR(_xlfn.IFS($AU940="","",$AU940&lt;=15,"0-15",AND($AU940&gt;=16,$AU940&lt;=30),"16-30",AND($AU940&gt;=31,$AU940&lt;=45),"31-45",AND($AU940&gt;=46,$AU940&lt;=60),"46-60",AND($AU940&gt;=61,$AU940&lt;=90),"61-90",AND($AU940&gt;=91),"&gt; 90",AND($AU940&gt;=2000),""),"")</f>
        <v/>
      </c>
      <c r="AW940" s="32" t="str" cm="1">
        <f t="array" aca="1" ref="AW940" ca="1">IFERROR(_xlfn.IFS(OR($M940="",$AM940=""),"",OR($C940="Offered",$C940="Joined"),($AM940-$M940)-$AT940),"")</f>
        <v/>
      </c>
      <c r="AX940" s="32" t="str" cm="1">
        <f t="array" aca="1" ref="AX940" ca="1">IFERROR(_xlfn.IFS(OR($M940="",$AS940=""),"",$C940="Joined",($AS940-$M940)-$AT940),"")</f>
        <v/>
      </c>
      <c r="AY940" s="30" t="str">
        <f>IFERROR(IF(COUNTIFS('Candidate Tracker'!$E:$E,'Positions Tracker'!$B940,'Candidate Tracker'!$C:$C,"Offer Drop")=0,"",COUNTIFS('Candidate Tracker'!$E:$E,'Positions Tracker'!$B940,'Candidate Tracker'!$C:$C,"Offer Drop")),"")</f>
        <v/>
      </c>
      <c r="AZ94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0" s="34" t="str">
        <f>IFERROR(IF(COUNTIFS('Candidate Tracker'!$E:$E,'Positions Tracker'!$B940,'Candidate Tracker'!$I:$I,"Female")=0,"",COUNTIFS('Candidate Tracker'!$E:$E,'Positions Tracker'!$B940,'Candidate Tracker'!$I:$I,"Female")),"")</f>
        <v/>
      </c>
      <c r="BB940" s="34" t="str">
        <f>IFERROR(IF(COUNTIFS('Candidate Tracker'!$E:$E,'Positions Tracker'!$B940,'Candidate Tracker'!$I:$I,"male")=0,"",COUNTIFS('Candidate Tracker'!$E:$E,'Positions Tracker'!$B940,'Candidate Tracker'!$I:$I,"male")),"")</f>
        <v/>
      </c>
      <c r="BC940" s="33" t="str">
        <f>IFERROR(IF(COUNTIFS('Candidate Tracker'!$E:$E,'Positions Tracker'!$B940,'Candidate Tracker'!$C:$C,"&lt;&gt;WIP",'Candidate Tracker'!$C:$C,"&lt;&gt;Hold",'Candidate Tracker'!$C:$C,"&lt;&gt;Cancelled",'Candidate Tracker'!$C:$C,"&lt;&gt;Closed")/COUNTIFS('Candidate Tracker'!$E:$E,'Positions Tracker'!$B940)=0,"",COUNTIFS('Candidate Tracker'!$E:$E,'Positions Tracker'!$B940,'Candidate Tracker'!$C:$C,"&lt;&gt;WIP",'Candidate Tracker'!$C:$C,"&lt;&gt;Hold",'Candidate Tracker'!$C:$C,"&lt;&gt;Cancelled",'Candidate Tracker'!$C:$C,"&lt;&gt;Closed")/COUNTIFS('Candidate Tracker'!$E:$E,'Positions Tracker'!$B940)),"")</f>
        <v/>
      </c>
      <c r="BD940" s="30" t="str">
        <f t="shared" si="99"/>
        <v/>
      </c>
      <c r="BE940" s="30" t="str">
        <f t="shared" si="100"/>
        <v/>
      </c>
      <c r="BF940" s="30" t="str">
        <f t="shared" si="101"/>
        <v/>
      </c>
      <c r="BG940" s="30" t="str">
        <f t="shared" si="102"/>
        <v/>
      </c>
    </row>
    <row r="941" spans="1:59">
      <c r="A941" s="39"/>
      <c r="B941" s="39"/>
      <c r="C941" s="39"/>
      <c r="D941" s="39"/>
      <c r="E941" s="39"/>
      <c r="F941" s="39"/>
      <c r="G941" s="39"/>
      <c r="H941" s="39"/>
      <c r="I941" s="40"/>
      <c r="J941" s="40"/>
      <c r="K941" s="35"/>
      <c r="L941" s="35"/>
      <c r="M941" s="35"/>
      <c r="N941" s="39"/>
      <c r="O941" s="39"/>
      <c r="P941" s="39"/>
      <c r="Q941" s="39"/>
      <c r="R941" s="39"/>
      <c r="S941" s="39"/>
      <c r="T941" s="39"/>
      <c r="U941" s="39"/>
      <c r="V941" s="39"/>
      <c r="W941" s="39"/>
      <c r="X941" s="39"/>
      <c r="Y941" s="39"/>
      <c r="Z941" s="39"/>
      <c r="AA941" s="39"/>
      <c r="AB941" s="39"/>
      <c r="AC941" s="39"/>
      <c r="AD941" s="39"/>
      <c r="AE941" s="39"/>
      <c r="AF941" s="39"/>
      <c r="AG941" s="39"/>
      <c r="AH941" s="39"/>
      <c r="AI941" s="35"/>
      <c r="AJ941" s="39"/>
      <c r="AK941" s="39"/>
      <c r="AL941" s="39"/>
      <c r="AM941" s="35"/>
      <c r="AN941" s="35"/>
      <c r="AO941" s="39"/>
      <c r="AP941" s="39"/>
      <c r="AQ941" s="35"/>
      <c r="AR941" s="35"/>
      <c r="AS941" s="35"/>
      <c r="AT941" s="30">
        <f t="shared" ca="1" si="98"/>
        <v>0</v>
      </c>
      <c r="AU941" s="32" t="str">
        <f t="shared" ca="1" si="97"/>
        <v/>
      </c>
      <c r="AV941" s="32" t="str" cm="1">
        <f t="array" aca="1" ref="AV941" ca="1">IFERROR(_xlfn.IFS($AU941="","",$AU941&lt;=15,"0-15",AND($AU941&gt;=16,$AU941&lt;=30),"16-30",AND($AU941&gt;=31,$AU941&lt;=45),"31-45",AND($AU941&gt;=46,$AU941&lt;=60),"46-60",AND($AU941&gt;=61,$AU941&lt;=90),"61-90",AND($AU941&gt;=91),"&gt; 90",AND($AU941&gt;=2000),""),"")</f>
        <v/>
      </c>
      <c r="AW941" s="32" t="str" cm="1">
        <f t="array" aca="1" ref="AW941" ca="1">IFERROR(_xlfn.IFS(OR($M941="",$AM941=""),"",OR($C941="Offered",$C941="Joined"),($AM941-$M941)-$AT941),"")</f>
        <v/>
      </c>
      <c r="AX941" s="32" t="str" cm="1">
        <f t="array" aca="1" ref="AX941" ca="1">IFERROR(_xlfn.IFS(OR($M941="",$AS941=""),"",$C941="Joined",($AS941-$M941)-$AT941),"")</f>
        <v/>
      </c>
      <c r="AY941" s="30" t="str">
        <f>IFERROR(IF(COUNTIFS('Candidate Tracker'!$E:$E,'Positions Tracker'!$B941,'Candidate Tracker'!$C:$C,"Offer Drop")=0,"",COUNTIFS('Candidate Tracker'!$E:$E,'Positions Tracker'!$B941,'Candidate Tracker'!$C:$C,"Offer Drop")),"")</f>
        <v/>
      </c>
      <c r="AZ94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1" s="34" t="str">
        <f>IFERROR(IF(COUNTIFS('Candidate Tracker'!$E:$E,'Positions Tracker'!$B941,'Candidate Tracker'!$I:$I,"Female")=0,"",COUNTIFS('Candidate Tracker'!$E:$E,'Positions Tracker'!$B941,'Candidate Tracker'!$I:$I,"Female")),"")</f>
        <v/>
      </c>
      <c r="BB941" s="34" t="str">
        <f>IFERROR(IF(COUNTIFS('Candidate Tracker'!$E:$E,'Positions Tracker'!$B941,'Candidate Tracker'!$I:$I,"male")=0,"",COUNTIFS('Candidate Tracker'!$E:$E,'Positions Tracker'!$B941,'Candidate Tracker'!$I:$I,"male")),"")</f>
        <v/>
      </c>
      <c r="BC941" s="33" t="str">
        <f>IFERROR(IF(COUNTIFS('Candidate Tracker'!$E:$E,'Positions Tracker'!$B941,'Candidate Tracker'!$C:$C,"&lt;&gt;WIP",'Candidate Tracker'!$C:$C,"&lt;&gt;Hold",'Candidate Tracker'!$C:$C,"&lt;&gt;Cancelled",'Candidate Tracker'!$C:$C,"&lt;&gt;Closed")/COUNTIFS('Candidate Tracker'!$E:$E,'Positions Tracker'!$B941)=0,"",COUNTIFS('Candidate Tracker'!$E:$E,'Positions Tracker'!$B941,'Candidate Tracker'!$C:$C,"&lt;&gt;WIP",'Candidate Tracker'!$C:$C,"&lt;&gt;Hold",'Candidate Tracker'!$C:$C,"&lt;&gt;Cancelled",'Candidate Tracker'!$C:$C,"&lt;&gt;Closed")/COUNTIFS('Candidate Tracker'!$E:$E,'Positions Tracker'!$B941)),"")</f>
        <v/>
      </c>
      <c r="BD941" s="30" t="str">
        <f t="shared" si="99"/>
        <v/>
      </c>
      <c r="BE941" s="30" t="str">
        <f t="shared" si="100"/>
        <v/>
      </c>
      <c r="BF941" s="30" t="str">
        <f t="shared" si="101"/>
        <v/>
      </c>
      <c r="BG941" s="30" t="str">
        <f t="shared" si="102"/>
        <v/>
      </c>
    </row>
    <row r="942" spans="1:59">
      <c r="A942" s="39"/>
      <c r="B942" s="39"/>
      <c r="C942" s="39"/>
      <c r="D942" s="39"/>
      <c r="E942" s="39"/>
      <c r="F942" s="39"/>
      <c r="G942" s="39"/>
      <c r="H942" s="39"/>
      <c r="I942" s="40"/>
      <c r="J942" s="40"/>
      <c r="K942" s="35"/>
      <c r="L942" s="35"/>
      <c r="M942" s="35"/>
      <c r="N942" s="39"/>
      <c r="O942" s="39"/>
      <c r="P942" s="39"/>
      <c r="Q942" s="39"/>
      <c r="R942" s="39"/>
      <c r="S942" s="39"/>
      <c r="T942" s="39"/>
      <c r="U942" s="39"/>
      <c r="V942" s="39"/>
      <c r="W942" s="39"/>
      <c r="X942" s="39"/>
      <c r="Y942" s="39"/>
      <c r="Z942" s="39"/>
      <c r="AA942" s="39"/>
      <c r="AB942" s="39"/>
      <c r="AC942" s="39"/>
      <c r="AD942" s="39"/>
      <c r="AE942" s="39"/>
      <c r="AF942" s="39"/>
      <c r="AG942" s="39"/>
      <c r="AH942" s="39"/>
      <c r="AI942" s="35"/>
      <c r="AJ942" s="39"/>
      <c r="AK942" s="39"/>
      <c r="AL942" s="39"/>
      <c r="AM942" s="35"/>
      <c r="AN942" s="35"/>
      <c r="AO942" s="39"/>
      <c r="AP942" s="39"/>
      <c r="AQ942" s="35"/>
      <c r="AR942" s="35"/>
      <c r="AS942" s="35"/>
      <c r="AT942" s="30">
        <f t="shared" ca="1" si="98"/>
        <v>0</v>
      </c>
      <c r="AU942" s="32" t="str">
        <f t="shared" ca="1" si="97"/>
        <v/>
      </c>
      <c r="AV942" s="32" t="str" cm="1">
        <f t="array" aca="1" ref="AV942" ca="1">IFERROR(_xlfn.IFS($AU942="","",$AU942&lt;=15,"0-15",AND($AU942&gt;=16,$AU942&lt;=30),"16-30",AND($AU942&gt;=31,$AU942&lt;=45),"31-45",AND($AU942&gt;=46,$AU942&lt;=60),"46-60",AND($AU942&gt;=61,$AU942&lt;=90),"61-90",AND($AU942&gt;=91),"&gt; 90",AND($AU942&gt;=2000),""),"")</f>
        <v/>
      </c>
      <c r="AW942" s="32" t="str" cm="1">
        <f t="array" aca="1" ref="AW942" ca="1">IFERROR(_xlfn.IFS(OR($M942="",$AM942=""),"",OR($C942="Offered",$C942="Joined"),($AM942-$M942)-$AT942),"")</f>
        <v/>
      </c>
      <c r="AX942" s="32" t="str" cm="1">
        <f t="array" aca="1" ref="AX942" ca="1">IFERROR(_xlfn.IFS(OR($M942="",$AS942=""),"",$C942="Joined",($AS942-$M942)-$AT942),"")</f>
        <v/>
      </c>
      <c r="AY942" s="30" t="str">
        <f>IFERROR(IF(COUNTIFS('Candidate Tracker'!$E:$E,'Positions Tracker'!$B942,'Candidate Tracker'!$C:$C,"Offer Drop")=0,"",COUNTIFS('Candidate Tracker'!$E:$E,'Positions Tracker'!$B942,'Candidate Tracker'!$C:$C,"Offer Drop")),"")</f>
        <v/>
      </c>
      <c r="AZ94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2" s="34" t="str">
        <f>IFERROR(IF(COUNTIFS('Candidate Tracker'!$E:$E,'Positions Tracker'!$B942,'Candidate Tracker'!$I:$I,"Female")=0,"",COUNTIFS('Candidate Tracker'!$E:$E,'Positions Tracker'!$B942,'Candidate Tracker'!$I:$I,"Female")),"")</f>
        <v/>
      </c>
      <c r="BB942" s="34" t="str">
        <f>IFERROR(IF(COUNTIFS('Candidate Tracker'!$E:$E,'Positions Tracker'!$B942,'Candidate Tracker'!$I:$I,"male")=0,"",COUNTIFS('Candidate Tracker'!$E:$E,'Positions Tracker'!$B942,'Candidate Tracker'!$I:$I,"male")),"")</f>
        <v/>
      </c>
      <c r="BC942" s="33" t="str">
        <f>IFERROR(IF(COUNTIFS('Candidate Tracker'!$E:$E,'Positions Tracker'!$B942,'Candidate Tracker'!$C:$C,"&lt;&gt;WIP",'Candidate Tracker'!$C:$C,"&lt;&gt;Hold",'Candidate Tracker'!$C:$C,"&lt;&gt;Cancelled",'Candidate Tracker'!$C:$C,"&lt;&gt;Closed")/COUNTIFS('Candidate Tracker'!$E:$E,'Positions Tracker'!$B942)=0,"",COUNTIFS('Candidate Tracker'!$E:$E,'Positions Tracker'!$B942,'Candidate Tracker'!$C:$C,"&lt;&gt;WIP",'Candidate Tracker'!$C:$C,"&lt;&gt;Hold",'Candidate Tracker'!$C:$C,"&lt;&gt;Cancelled",'Candidate Tracker'!$C:$C,"&lt;&gt;Closed")/COUNTIFS('Candidate Tracker'!$E:$E,'Positions Tracker'!$B942)),"")</f>
        <v/>
      </c>
      <c r="BD942" s="30" t="str">
        <f t="shared" si="99"/>
        <v/>
      </c>
      <c r="BE942" s="30" t="str">
        <f t="shared" si="100"/>
        <v/>
      </c>
      <c r="BF942" s="30" t="str">
        <f t="shared" si="101"/>
        <v/>
      </c>
      <c r="BG942" s="30" t="str">
        <f t="shared" si="102"/>
        <v/>
      </c>
    </row>
    <row r="943" spans="1:59">
      <c r="A943" s="39"/>
      <c r="B943" s="39"/>
      <c r="C943" s="39"/>
      <c r="D943" s="39"/>
      <c r="E943" s="39"/>
      <c r="F943" s="39"/>
      <c r="G943" s="39"/>
      <c r="H943" s="39"/>
      <c r="I943" s="40"/>
      <c r="J943" s="40"/>
      <c r="K943" s="35"/>
      <c r="L943" s="35"/>
      <c r="M943" s="35"/>
      <c r="N943" s="39"/>
      <c r="O943" s="39"/>
      <c r="P943" s="39"/>
      <c r="Q943" s="39"/>
      <c r="R943" s="39"/>
      <c r="S943" s="39"/>
      <c r="T943" s="39"/>
      <c r="U943" s="39"/>
      <c r="V943" s="39"/>
      <c r="W943" s="39"/>
      <c r="X943" s="39"/>
      <c r="Y943" s="39"/>
      <c r="Z943" s="39"/>
      <c r="AA943" s="39"/>
      <c r="AB943" s="39"/>
      <c r="AC943" s="39"/>
      <c r="AD943" s="39"/>
      <c r="AE943" s="39"/>
      <c r="AF943" s="39"/>
      <c r="AG943" s="39"/>
      <c r="AH943" s="39"/>
      <c r="AI943" s="35"/>
      <c r="AJ943" s="39"/>
      <c r="AK943" s="39"/>
      <c r="AL943" s="39"/>
      <c r="AM943" s="35"/>
      <c r="AN943" s="35"/>
      <c r="AO943" s="39"/>
      <c r="AP943" s="39"/>
      <c r="AQ943" s="35"/>
      <c r="AR943" s="35"/>
      <c r="AS943" s="35"/>
      <c r="AT943" s="30">
        <f t="shared" ca="1" si="98"/>
        <v>0</v>
      </c>
      <c r="AU943" s="32" t="str">
        <f t="shared" ca="1" si="97"/>
        <v/>
      </c>
      <c r="AV943" s="32" t="str" cm="1">
        <f t="array" aca="1" ref="AV943" ca="1">IFERROR(_xlfn.IFS($AU943="","",$AU943&lt;=15,"0-15",AND($AU943&gt;=16,$AU943&lt;=30),"16-30",AND($AU943&gt;=31,$AU943&lt;=45),"31-45",AND($AU943&gt;=46,$AU943&lt;=60),"46-60",AND($AU943&gt;=61,$AU943&lt;=90),"61-90",AND($AU943&gt;=91),"&gt; 90",AND($AU943&gt;=2000),""),"")</f>
        <v/>
      </c>
      <c r="AW943" s="32" t="str" cm="1">
        <f t="array" aca="1" ref="AW943" ca="1">IFERROR(_xlfn.IFS(OR($M943="",$AM943=""),"",OR($C943="Offered",$C943="Joined"),($AM943-$M943)-$AT943),"")</f>
        <v/>
      </c>
      <c r="AX943" s="32" t="str" cm="1">
        <f t="array" aca="1" ref="AX943" ca="1">IFERROR(_xlfn.IFS(OR($M943="",$AS943=""),"",$C943="Joined",($AS943-$M943)-$AT943),"")</f>
        <v/>
      </c>
      <c r="AY943" s="30" t="str">
        <f>IFERROR(IF(COUNTIFS('Candidate Tracker'!$E:$E,'Positions Tracker'!$B943,'Candidate Tracker'!$C:$C,"Offer Drop")=0,"",COUNTIFS('Candidate Tracker'!$E:$E,'Positions Tracker'!$B943,'Candidate Tracker'!$C:$C,"Offer Drop")),"")</f>
        <v/>
      </c>
      <c r="AZ94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3" s="34" t="str">
        <f>IFERROR(IF(COUNTIFS('Candidate Tracker'!$E:$E,'Positions Tracker'!$B943,'Candidate Tracker'!$I:$I,"Female")=0,"",COUNTIFS('Candidate Tracker'!$E:$E,'Positions Tracker'!$B943,'Candidate Tracker'!$I:$I,"Female")),"")</f>
        <v/>
      </c>
      <c r="BB943" s="34" t="str">
        <f>IFERROR(IF(COUNTIFS('Candidate Tracker'!$E:$E,'Positions Tracker'!$B943,'Candidate Tracker'!$I:$I,"male")=0,"",COUNTIFS('Candidate Tracker'!$E:$E,'Positions Tracker'!$B943,'Candidate Tracker'!$I:$I,"male")),"")</f>
        <v/>
      </c>
      <c r="BC943" s="33" t="str">
        <f>IFERROR(IF(COUNTIFS('Candidate Tracker'!$E:$E,'Positions Tracker'!$B943,'Candidate Tracker'!$C:$C,"&lt;&gt;WIP",'Candidate Tracker'!$C:$C,"&lt;&gt;Hold",'Candidate Tracker'!$C:$C,"&lt;&gt;Cancelled",'Candidate Tracker'!$C:$C,"&lt;&gt;Closed")/COUNTIFS('Candidate Tracker'!$E:$E,'Positions Tracker'!$B943)=0,"",COUNTIFS('Candidate Tracker'!$E:$E,'Positions Tracker'!$B943,'Candidate Tracker'!$C:$C,"&lt;&gt;WIP",'Candidate Tracker'!$C:$C,"&lt;&gt;Hold",'Candidate Tracker'!$C:$C,"&lt;&gt;Cancelled",'Candidate Tracker'!$C:$C,"&lt;&gt;Closed")/COUNTIFS('Candidate Tracker'!$E:$E,'Positions Tracker'!$B943)),"")</f>
        <v/>
      </c>
      <c r="BD943" s="30" t="str">
        <f t="shared" si="99"/>
        <v/>
      </c>
      <c r="BE943" s="30" t="str">
        <f t="shared" si="100"/>
        <v/>
      </c>
      <c r="BF943" s="30" t="str">
        <f t="shared" si="101"/>
        <v/>
      </c>
      <c r="BG943" s="30" t="str">
        <f t="shared" si="102"/>
        <v/>
      </c>
    </row>
    <row r="944" spans="1:59">
      <c r="A944" s="39"/>
      <c r="B944" s="39"/>
      <c r="C944" s="39"/>
      <c r="D944" s="39"/>
      <c r="E944" s="39"/>
      <c r="F944" s="39"/>
      <c r="G944" s="39"/>
      <c r="H944" s="39"/>
      <c r="I944" s="40"/>
      <c r="J944" s="40"/>
      <c r="K944" s="35"/>
      <c r="L944" s="35"/>
      <c r="M944" s="35"/>
      <c r="N944" s="39"/>
      <c r="O944" s="39"/>
      <c r="P944" s="39"/>
      <c r="Q944" s="39"/>
      <c r="R944" s="39"/>
      <c r="S944" s="39"/>
      <c r="T944" s="39"/>
      <c r="U944" s="39"/>
      <c r="V944" s="39"/>
      <c r="W944" s="39"/>
      <c r="X944" s="39"/>
      <c r="Y944" s="39"/>
      <c r="Z944" s="39"/>
      <c r="AA944" s="39"/>
      <c r="AB944" s="39"/>
      <c r="AC944" s="39"/>
      <c r="AD944" s="39"/>
      <c r="AE944" s="39"/>
      <c r="AF944" s="39"/>
      <c r="AG944" s="39"/>
      <c r="AH944" s="39"/>
      <c r="AI944" s="35"/>
      <c r="AJ944" s="39"/>
      <c r="AK944" s="39"/>
      <c r="AL944" s="39"/>
      <c r="AM944" s="35"/>
      <c r="AN944" s="35"/>
      <c r="AO944" s="39"/>
      <c r="AP944" s="39"/>
      <c r="AQ944" s="35"/>
      <c r="AR944" s="35"/>
      <c r="AS944" s="35"/>
      <c r="AT944" s="30">
        <f t="shared" ca="1" si="98"/>
        <v>0</v>
      </c>
      <c r="AU944" s="32" t="str">
        <f t="shared" ca="1" si="97"/>
        <v/>
      </c>
      <c r="AV944" s="32" t="str" cm="1">
        <f t="array" aca="1" ref="AV944" ca="1">IFERROR(_xlfn.IFS($AU944="","",$AU944&lt;=15,"0-15",AND($AU944&gt;=16,$AU944&lt;=30),"16-30",AND($AU944&gt;=31,$AU944&lt;=45),"31-45",AND($AU944&gt;=46,$AU944&lt;=60),"46-60",AND($AU944&gt;=61,$AU944&lt;=90),"61-90",AND($AU944&gt;=91),"&gt; 90",AND($AU944&gt;=2000),""),"")</f>
        <v/>
      </c>
      <c r="AW944" s="32" t="str" cm="1">
        <f t="array" aca="1" ref="AW944" ca="1">IFERROR(_xlfn.IFS(OR($M944="",$AM944=""),"",OR($C944="Offered",$C944="Joined"),($AM944-$M944)-$AT944),"")</f>
        <v/>
      </c>
      <c r="AX944" s="32" t="str" cm="1">
        <f t="array" aca="1" ref="AX944" ca="1">IFERROR(_xlfn.IFS(OR($M944="",$AS944=""),"",$C944="Joined",($AS944-$M944)-$AT944),"")</f>
        <v/>
      </c>
      <c r="AY944" s="30" t="str">
        <f>IFERROR(IF(COUNTIFS('Candidate Tracker'!$E:$E,'Positions Tracker'!$B944,'Candidate Tracker'!$C:$C,"Offer Drop")=0,"",COUNTIFS('Candidate Tracker'!$E:$E,'Positions Tracker'!$B944,'Candidate Tracker'!$C:$C,"Offer Drop")),"")</f>
        <v/>
      </c>
      <c r="AZ94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4" s="34" t="str">
        <f>IFERROR(IF(COUNTIFS('Candidate Tracker'!$E:$E,'Positions Tracker'!$B944,'Candidate Tracker'!$I:$I,"Female")=0,"",COUNTIFS('Candidate Tracker'!$E:$E,'Positions Tracker'!$B944,'Candidate Tracker'!$I:$I,"Female")),"")</f>
        <v/>
      </c>
      <c r="BB944" s="34" t="str">
        <f>IFERROR(IF(COUNTIFS('Candidate Tracker'!$E:$E,'Positions Tracker'!$B944,'Candidate Tracker'!$I:$I,"male")=0,"",COUNTIFS('Candidate Tracker'!$E:$E,'Positions Tracker'!$B944,'Candidate Tracker'!$I:$I,"male")),"")</f>
        <v/>
      </c>
      <c r="BC944" s="33" t="str">
        <f>IFERROR(IF(COUNTIFS('Candidate Tracker'!$E:$E,'Positions Tracker'!$B944,'Candidate Tracker'!$C:$C,"&lt;&gt;WIP",'Candidate Tracker'!$C:$C,"&lt;&gt;Hold",'Candidate Tracker'!$C:$C,"&lt;&gt;Cancelled",'Candidate Tracker'!$C:$C,"&lt;&gt;Closed")/COUNTIFS('Candidate Tracker'!$E:$E,'Positions Tracker'!$B944)=0,"",COUNTIFS('Candidate Tracker'!$E:$E,'Positions Tracker'!$B944,'Candidate Tracker'!$C:$C,"&lt;&gt;WIP",'Candidate Tracker'!$C:$C,"&lt;&gt;Hold",'Candidate Tracker'!$C:$C,"&lt;&gt;Cancelled",'Candidate Tracker'!$C:$C,"&lt;&gt;Closed")/COUNTIFS('Candidate Tracker'!$E:$E,'Positions Tracker'!$B944)),"")</f>
        <v/>
      </c>
      <c r="BD944" s="30" t="str">
        <f t="shared" si="99"/>
        <v/>
      </c>
      <c r="BE944" s="30" t="str">
        <f t="shared" si="100"/>
        <v/>
      </c>
      <c r="BF944" s="30" t="str">
        <f t="shared" si="101"/>
        <v/>
      </c>
      <c r="BG944" s="30" t="str">
        <f t="shared" si="102"/>
        <v/>
      </c>
    </row>
    <row r="945" spans="1:59">
      <c r="A945" s="39"/>
      <c r="B945" s="39"/>
      <c r="C945" s="39"/>
      <c r="D945" s="39"/>
      <c r="E945" s="39"/>
      <c r="F945" s="39"/>
      <c r="G945" s="39"/>
      <c r="H945" s="39"/>
      <c r="I945" s="40"/>
      <c r="J945" s="40"/>
      <c r="K945" s="35"/>
      <c r="L945" s="35"/>
      <c r="M945" s="35"/>
      <c r="N945" s="39"/>
      <c r="O945" s="39"/>
      <c r="P945" s="39"/>
      <c r="Q945" s="39"/>
      <c r="R945" s="39"/>
      <c r="S945" s="39"/>
      <c r="T945" s="39"/>
      <c r="U945" s="39"/>
      <c r="V945" s="39"/>
      <c r="W945" s="39"/>
      <c r="X945" s="39"/>
      <c r="Y945" s="39"/>
      <c r="Z945" s="39"/>
      <c r="AA945" s="39"/>
      <c r="AB945" s="39"/>
      <c r="AC945" s="39"/>
      <c r="AD945" s="39"/>
      <c r="AE945" s="39"/>
      <c r="AF945" s="39"/>
      <c r="AG945" s="39"/>
      <c r="AH945" s="39"/>
      <c r="AI945" s="35"/>
      <c r="AJ945" s="39"/>
      <c r="AK945" s="39"/>
      <c r="AL945" s="39"/>
      <c r="AM945" s="35"/>
      <c r="AN945" s="35"/>
      <c r="AO945" s="39"/>
      <c r="AP945" s="39"/>
      <c r="AQ945" s="35"/>
      <c r="AR945" s="35"/>
      <c r="AS945" s="35"/>
      <c r="AT945" s="30">
        <f t="shared" ca="1" si="98"/>
        <v>0</v>
      </c>
      <c r="AU945" s="32" t="str">
        <f t="shared" ca="1" si="97"/>
        <v/>
      </c>
      <c r="AV945" s="32" t="str" cm="1">
        <f t="array" aca="1" ref="AV945" ca="1">IFERROR(_xlfn.IFS($AU945="","",$AU945&lt;=15,"0-15",AND($AU945&gt;=16,$AU945&lt;=30),"16-30",AND($AU945&gt;=31,$AU945&lt;=45),"31-45",AND($AU945&gt;=46,$AU945&lt;=60),"46-60",AND($AU945&gt;=61,$AU945&lt;=90),"61-90",AND($AU945&gt;=91),"&gt; 90",AND($AU945&gt;=2000),""),"")</f>
        <v/>
      </c>
      <c r="AW945" s="32" t="str" cm="1">
        <f t="array" aca="1" ref="AW945" ca="1">IFERROR(_xlfn.IFS(OR($M945="",$AM945=""),"",OR($C945="Offered",$C945="Joined"),($AM945-$M945)-$AT945),"")</f>
        <v/>
      </c>
      <c r="AX945" s="32" t="str" cm="1">
        <f t="array" aca="1" ref="AX945" ca="1">IFERROR(_xlfn.IFS(OR($M945="",$AS945=""),"",$C945="Joined",($AS945-$M945)-$AT945),"")</f>
        <v/>
      </c>
      <c r="AY945" s="30" t="str">
        <f>IFERROR(IF(COUNTIFS('Candidate Tracker'!$E:$E,'Positions Tracker'!$B945,'Candidate Tracker'!$C:$C,"Offer Drop")=0,"",COUNTIFS('Candidate Tracker'!$E:$E,'Positions Tracker'!$B945,'Candidate Tracker'!$C:$C,"Offer Drop")),"")</f>
        <v/>
      </c>
      <c r="AZ94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5" s="34" t="str">
        <f>IFERROR(IF(COUNTIFS('Candidate Tracker'!$E:$E,'Positions Tracker'!$B945,'Candidate Tracker'!$I:$I,"Female")=0,"",COUNTIFS('Candidate Tracker'!$E:$E,'Positions Tracker'!$B945,'Candidate Tracker'!$I:$I,"Female")),"")</f>
        <v/>
      </c>
      <c r="BB945" s="34" t="str">
        <f>IFERROR(IF(COUNTIFS('Candidate Tracker'!$E:$E,'Positions Tracker'!$B945,'Candidate Tracker'!$I:$I,"male")=0,"",COUNTIFS('Candidate Tracker'!$E:$E,'Positions Tracker'!$B945,'Candidate Tracker'!$I:$I,"male")),"")</f>
        <v/>
      </c>
      <c r="BC945" s="33" t="str">
        <f>IFERROR(IF(COUNTIFS('Candidate Tracker'!$E:$E,'Positions Tracker'!$B945,'Candidate Tracker'!$C:$C,"&lt;&gt;WIP",'Candidate Tracker'!$C:$C,"&lt;&gt;Hold",'Candidate Tracker'!$C:$C,"&lt;&gt;Cancelled",'Candidate Tracker'!$C:$C,"&lt;&gt;Closed")/COUNTIFS('Candidate Tracker'!$E:$E,'Positions Tracker'!$B945)=0,"",COUNTIFS('Candidate Tracker'!$E:$E,'Positions Tracker'!$B945,'Candidate Tracker'!$C:$C,"&lt;&gt;WIP",'Candidate Tracker'!$C:$C,"&lt;&gt;Hold",'Candidate Tracker'!$C:$C,"&lt;&gt;Cancelled",'Candidate Tracker'!$C:$C,"&lt;&gt;Closed")/COUNTIFS('Candidate Tracker'!$E:$E,'Positions Tracker'!$B945)),"")</f>
        <v/>
      </c>
      <c r="BD945" s="30" t="str">
        <f t="shared" si="99"/>
        <v/>
      </c>
      <c r="BE945" s="30" t="str">
        <f t="shared" si="100"/>
        <v/>
      </c>
      <c r="BF945" s="30" t="str">
        <f t="shared" si="101"/>
        <v/>
      </c>
      <c r="BG945" s="30" t="str">
        <f t="shared" si="102"/>
        <v/>
      </c>
    </row>
    <row r="946" spans="1:59">
      <c r="A946" s="39"/>
      <c r="B946" s="39"/>
      <c r="C946" s="39"/>
      <c r="D946" s="39"/>
      <c r="E946" s="39"/>
      <c r="F946" s="39"/>
      <c r="G946" s="39"/>
      <c r="H946" s="39"/>
      <c r="I946" s="40"/>
      <c r="J946" s="40"/>
      <c r="K946" s="35"/>
      <c r="L946" s="35"/>
      <c r="M946" s="35"/>
      <c r="N946" s="39"/>
      <c r="O946" s="39"/>
      <c r="P946" s="39"/>
      <c r="Q946" s="39"/>
      <c r="R946" s="39"/>
      <c r="S946" s="39"/>
      <c r="T946" s="39"/>
      <c r="U946" s="39"/>
      <c r="V946" s="39"/>
      <c r="W946" s="39"/>
      <c r="X946" s="39"/>
      <c r="Y946" s="39"/>
      <c r="Z946" s="39"/>
      <c r="AA946" s="39"/>
      <c r="AB946" s="39"/>
      <c r="AC946" s="39"/>
      <c r="AD946" s="39"/>
      <c r="AE946" s="39"/>
      <c r="AF946" s="39"/>
      <c r="AG946" s="39"/>
      <c r="AH946" s="39"/>
      <c r="AI946" s="35"/>
      <c r="AJ946" s="39"/>
      <c r="AK946" s="39"/>
      <c r="AL946" s="39"/>
      <c r="AM946" s="35"/>
      <c r="AN946" s="35"/>
      <c r="AO946" s="39"/>
      <c r="AP946" s="39"/>
      <c r="AQ946" s="35"/>
      <c r="AR946" s="35"/>
      <c r="AS946" s="35"/>
      <c r="AT946" s="30">
        <f t="shared" ca="1" si="98"/>
        <v>0</v>
      </c>
      <c r="AU946" s="32" t="str">
        <f t="shared" ca="1" si="97"/>
        <v/>
      </c>
      <c r="AV946" s="32" t="str" cm="1">
        <f t="array" aca="1" ref="AV946" ca="1">IFERROR(_xlfn.IFS($AU946="","",$AU946&lt;=15,"0-15",AND($AU946&gt;=16,$AU946&lt;=30),"16-30",AND($AU946&gt;=31,$AU946&lt;=45),"31-45",AND($AU946&gt;=46,$AU946&lt;=60),"46-60",AND($AU946&gt;=61,$AU946&lt;=90),"61-90",AND($AU946&gt;=91),"&gt; 90",AND($AU946&gt;=2000),""),"")</f>
        <v/>
      </c>
      <c r="AW946" s="32" t="str" cm="1">
        <f t="array" aca="1" ref="AW946" ca="1">IFERROR(_xlfn.IFS(OR($M946="",$AM946=""),"",OR($C946="Offered",$C946="Joined"),($AM946-$M946)-$AT946),"")</f>
        <v/>
      </c>
      <c r="AX946" s="32" t="str" cm="1">
        <f t="array" aca="1" ref="AX946" ca="1">IFERROR(_xlfn.IFS(OR($M946="",$AS946=""),"",$C946="Joined",($AS946-$M946)-$AT946),"")</f>
        <v/>
      </c>
      <c r="AY946" s="30" t="str">
        <f>IFERROR(IF(COUNTIFS('Candidate Tracker'!$E:$E,'Positions Tracker'!$B946,'Candidate Tracker'!$C:$C,"Offer Drop")=0,"",COUNTIFS('Candidate Tracker'!$E:$E,'Positions Tracker'!$B946,'Candidate Tracker'!$C:$C,"Offer Drop")),"")</f>
        <v/>
      </c>
      <c r="AZ94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6" s="34" t="str">
        <f>IFERROR(IF(COUNTIFS('Candidate Tracker'!$E:$E,'Positions Tracker'!$B946,'Candidate Tracker'!$I:$I,"Female")=0,"",COUNTIFS('Candidate Tracker'!$E:$E,'Positions Tracker'!$B946,'Candidate Tracker'!$I:$I,"Female")),"")</f>
        <v/>
      </c>
      <c r="BB946" s="34" t="str">
        <f>IFERROR(IF(COUNTIFS('Candidate Tracker'!$E:$E,'Positions Tracker'!$B946,'Candidate Tracker'!$I:$I,"male")=0,"",COUNTIFS('Candidate Tracker'!$E:$E,'Positions Tracker'!$B946,'Candidate Tracker'!$I:$I,"male")),"")</f>
        <v/>
      </c>
      <c r="BC946" s="33" t="str">
        <f>IFERROR(IF(COUNTIFS('Candidate Tracker'!$E:$E,'Positions Tracker'!$B946,'Candidate Tracker'!$C:$C,"&lt;&gt;WIP",'Candidate Tracker'!$C:$C,"&lt;&gt;Hold",'Candidate Tracker'!$C:$C,"&lt;&gt;Cancelled",'Candidate Tracker'!$C:$C,"&lt;&gt;Closed")/COUNTIFS('Candidate Tracker'!$E:$E,'Positions Tracker'!$B946)=0,"",COUNTIFS('Candidate Tracker'!$E:$E,'Positions Tracker'!$B946,'Candidate Tracker'!$C:$C,"&lt;&gt;WIP",'Candidate Tracker'!$C:$C,"&lt;&gt;Hold",'Candidate Tracker'!$C:$C,"&lt;&gt;Cancelled",'Candidate Tracker'!$C:$C,"&lt;&gt;Closed")/COUNTIFS('Candidate Tracker'!$E:$E,'Positions Tracker'!$B946)),"")</f>
        <v/>
      </c>
      <c r="BD946" s="30" t="str">
        <f t="shared" si="99"/>
        <v/>
      </c>
      <c r="BE946" s="30" t="str">
        <f t="shared" si="100"/>
        <v/>
      </c>
      <c r="BF946" s="30" t="str">
        <f t="shared" si="101"/>
        <v/>
      </c>
      <c r="BG946" s="30" t="str">
        <f t="shared" si="102"/>
        <v/>
      </c>
    </row>
    <row r="947" spans="1:59">
      <c r="A947" s="39"/>
      <c r="B947" s="39"/>
      <c r="C947" s="39"/>
      <c r="D947" s="39"/>
      <c r="E947" s="39"/>
      <c r="F947" s="39"/>
      <c r="G947" s="39"/>
      <c r="H947" s="39"/>
      <c r="I947" s="40"/>
      <c r="J947" s="40"/>
      <c r="K947" s="35"/>
      <c r="L947" s="35"/>
      <c r="M947" s="35"/>
      <c r="N947" s="39"/>
      <c r="O947" s="39"/>
      <c r="P947" s="39"/>
      <c r="Q947" s="39"/>
      <c r="R947" s="39"/>
      <c r="S947" s="39"/>
      <c r="T947" s="39"/>
      <c r="U947" s="39"/>
      <c r="V947" s="39"/>
      <c r="W947" s="39"/>
      <c r="X947" s="39"/>
      <c r="Y947" s="39"/>
      <c r="Z947" s="39"/>
      <c r="AA947" s="39"/>
      <c r="AB947" s="39"/>
      <c r="AC947" s="39"/>
      <c r="AD947" s="39"/>
      <c r="AE947" s="39"/>
      <c r="AF947" s="39"/>
      <c r="AG947" s="39"/>
      <c r="AH947" s="39"/>
      <c r="AI947" s="35"/>
      <c r="AJ947" s="39"/>
      <c r="AK947" s="39"/>
      <c r="AL947" s="39"/>
      <c r="AM947" s="35"/>
      <c r="AN947" s="35"/>
      <c r="AO947" s="39"/>
      <c r="AP947" s="39"/>
      <c r="AQ947" s="35"/>
      <c r="AR947" s="35"/>
      <c r="AS947" s="35"/>
      <c r="AT947" s="30">
        <f t="shared" ca="1" si="98"/>
        <v>0</v>
      </c>
      <c r="AU947" s="32" t="str">
        <f t="shared" ca="1" si="97"/>
        <v/>
      </c>
      <c r="AV947" s="32" t="str" cm="1">
        <f t="array" aca="1" ref="AV947" ca="1">IFERROR(_xlfn.IFS($AU947="","",$AU947&lt;=15,"0-15",AND($AU947&gt;=16,$AU947&lt;=30),"16-30",AND($AU947&gt;=31,$AU947&lt;=45),"31-45",AND($AU947&gt;=46,$AU947&lt;=60),"46-60",AND($AU947&gt;=61,$AU947&lt;=90),"61-90",AND($AU947&gt;=91),"&gt; 90",AND($AU947&gt;=2000),""),"")</f>
        <v/>
      </c>
      <c r="AW947" s="32" t="str" cm="1">
        <f t="array" aca="1" ref="AW947" ca="1">IFERROR(_xlfn.IFS(OR($M947="",$AM947=""),"",OR($C947="Offered",$C947="Joined"),($AM947-$M947)-$AT947),"")</f>
        <v/>
      </c>
      <c r="AX947" s="32" t="str" cm="1">
        <f t="array" aca="1" ref="AX947" ca="1">IFERROR(_xlfn.IFS(OR($M947="",$AS947=""),"",$C947="Joined",($AS947-$M947)-$AT947),"")</f>
        <v/>
      </c>
      <c r="AY947" s="30" t="str">
        <f>IFERROR(IF(COUNTIFS('Candidate Tracker'!$E:$E,'Positions Tracker'!$B947,'Candidate Tracker'!$C:$C,"Offer Drop")=0,"",COUNTIFS('Candidate Tracker'!$E:$E,'Positions Tracker'!$B947,'Candidate Tracker'!$C:$C,"Offer Drop")),"")</f>
        <v/>
      </c>
      <c r="AZ94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7" s="34" t="str">
        <f>IFERROR(IF(COUNTIFS('Candidate Tracker'!$E:$E,'Positions Tracker'!$B947,'Candidate Tracker'!$I:$I,"Female")=0,"",COUNTIFS('Candidate Tracker'!$E:$E,'Positions Tracker'!$B947,'Candidate Tracker'!$I:$I,"Female")),"")</f>
        <v/>
      </c>
      <c r="BB947" s="34" t="str">
        <f>IFERROR(IF(COUNTIFS('Candidate Tracker'!$E:$E,'Positions Tracker'!$B947,'Candidate Tracker'!$I:$I,"male")=0,"",COUNTIFS('Candidate Tracker'!$E:$E,'Positions Tracker'!$B947,'Candidate Tracker'!$I:$I,"male")),"")</f>
        <v/>
      </c>
      <c r="BC947" s="33" t="str">
        <f>IFERROR(IF(COUNTIFS('Candidate Tracker'!$E:$E,'Positions Tracker'!$B947,'Candidate Tracker'!$C:$C,"&lt;&gt;WIP",'Candidate Tracker'!$C:$C,"&lt;&gt;Hold",'Candidate Tracker'!$C:$C,"&lt;&gt;Cancelled",'Candidate Tracker'!$C:$C,"&lt;&gt;Closed")/COUNTIFS('Candidate Tracker'!$E:$E,'Positions Tracker'!$B947)=0,"",COUNTIFS('Candidate Tracker'!$E:$E,'Positions Tracker'!$B947,'Candidate Tracker'!$C:$C,"&lt;&gt;WIP",'Candidate Tracker'!$C:$C,"&lt;&gt;Hold",'Candidate Tracker'!$C:$C,"&lt;&gt;Cancelled",'Candidate Tracker'!$C:$C,"&lt;&gt;Closed")/COUNTIFS('Candidate Tracker'!$E:$E,'Positions Tracker'!$B947)),"")</f>
        <v/>
      </c>
      <c r="BD947" s="30" t="str">
        <f t="shared" si="99"/>
        <v/>
      </c>
      <c r="BE947" s="30" t="str">
        <f t="shared" si="100"/>
        <v/>
      </c>
      <c r="BF947" s="30" t="str">
        <f t="shared" si="101"/>
        <v/>
      </c>
      <c r="BG947" s="30" t="str">
        <f t="shared" si="102"/>
        <v/>
      </c>
    </row>
    <row r="948" spans="1:59">
      <c r="A948" s="39"/>
      <c r="B948" s="39"/>
      <c r="C948" s="39"/>
      <c r="D948" s="39"/>
      <c r="E948" s="39"/>
      <c r="F948" s="39"/>
      <c r="G948" s="39"/>
      <c r="H948" s="39"/>
      <c r="I948" s="40"/>
      <c r="J948" s="40"/>
      <c r="K948" s="35"/>
      <c r="L948" s="35"/>
      <c r="M948" s="35"/>
      <c r="N948" s="39"/>
      <c r="O948" s="39"/>
      <c r="P948" s="39"/>
      <c r="Q948" s="39"/>
      <c r="R948" s="39"/>
      <c r="S948" s="39"/>
      <c r="T948" s="39"/>
      <c r="U948" s="39"/>
      <c r="V948" s="39"/>
      <c r="W948" s="39"/>
      <c r="X948" s="39"/>
      <c r="Y948" s="39"/>
      <c r="Z948" s="39"/>
      <c r="AA948" s="39"/>
      <c r="AB948" s="39"/>
      <c r="AC948" s="39"/>
      <c r="AD948" s="39"/>
      <c r="AE948" s="39"/>
      <c r="AF948" s="39"/>
      <c r="AG948" s="39"/>
      <c r="AH948" s="39"/>
      <c r="AI948" s="35"/>
      <c r="AJ948" s="39"/>
      <c r="AK948" s="39"/>
      <c r="AL948" s="39"/>
      <c r="AM948" s="35"/>
      <c r="AN948" s="35"/>
      <c r="AO948" s="39"/>
      <c r="AP948" s="39"/>
      <c r="AQ948" s="35"/>
      <c r="AR948" s="35"/>
      <c r="AS948" s="35"/>
      <c r="AT948" s="30">
        <f t="shared" ca="1" si="98"/>
        <v>0</v>
      </c>
      <c r="AU948" s="32" t="str">
        <f t="shared" ca="1" si="97"/>
        <v/>
      </c>
      <c r="AV948" s="32" t="str" cm="1">
        <f t="array" aca="1" ref="AV948" ca="1">IFERROR(_xlfn.IFS($AU948="","",$AU948&lt;=15,"0-15",AND($AU948&gt;=16,$AU948&lt;=30),"16-30",AND($AU948&gt;=31,$AU948&lt;=45),"31-45",AND($AU948&gt;=46,$AU948&lt;=60),"46-60",AND($AU948&gt;=61,$AU948&lt;=90),"61-90",AND($AU948&gt;=91),"&gt; 90",AND($AU948&gt;=2000),""),"")</f>
        <v/>
      </c>
      <c r="AW948" s="32" t="str" cm="1">
        <f t="array" aca="1" ref="AW948" ca="1">IFERROR(_xlfn.IFS(OR($M948="",$AM948=""),"",OR($C948="Offered",$C948="Joined"),($AM948-$M948)-$AT948),"")</f>
        <v/>
      </c>
      <c r="AX948" s="32" t="str" cm="1">
        <f t="array" aca="1" ref="AX948" ca="1">IFERROR(_xlfn.IFS(OR($M948="",$AS948=""),"",$C948="Joined",($AS948-$M948)-$AT948),"")</f>
        <v/>
      </c>
      <c r="AY948" s="30" t="str">
        <f>IFERROR(IF(COUNTIFS('Candidate Tracker'!$E:$E,'Positions Tracker'!$B948,'Candidate Tracker'!$C:$C,"Offer Drop")=0,"",COUNTIFS('Candidate Tracker'!$E:$E,'Positions Tracker'!$B948,'Candidate Tracker'!$C:$C,"Offer Drop")),"")</f>
        <v/>
      </c>
      <c r="AZ94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8" s="34" t="str">
        <f>IFERROR(IF(COUNTIFS('Candidate Tracker'!$E:$E,'Positions Tracker'!$B948,'Candidate Tracker'!$I:$I,"Female")=0,"",COUNTIFS('Candidate Tracker'!$E:$E,'Positions Tracker'!$B948,'Candidate Tracker'!$I:$I,"Female")),"")</f>
        <v/>
      </c>
      <c r="BB948" s="34" t="str">
        <f>IFERROR(IF(COUNTIFS('Candidate Tracker'!$E:$E,'Positions Tracker'!$B948,'Candidate Tracker'!$I:$I,"male")=0,"",COUNTIFS('Candidate Tracker'!$E:$E,'Positions Tracker'!$B948,'Candidate Tracker'!$I:$I,"male")),"")</f>
        <v/>
      </c>
      <c r="BC948" s="33" t="str">
        <f>IFERROR(IF(COUNTIFS('Candidate Tracker'!$E:$E,'Positions Tracker'!$B948,'Candidate Tracker'!$C:$C,"&lt;&gt;WIP",'Candidate Tracker'!$C:$C,"&lt;&gt;Hold",'Candidate Tracker'!$C:$C,"&lt;&gt;Cancelled",'Candidate Tracker'!$C:$C,"&lt;&gt;Closed")/COUNTIFS('Candidate Tracker'!$E:$E,'Positions Tracker'!$B948)=0,"",COUNTIFS('Candidate Tracker'!$E:$E,'Positions Tracker'!$B948,'Candidate Tracker'!$C:$C,"&lt;&gt;WIP",'Candidate Tracker'!$C:$C,"&lt;&gt;Hold",'Candidate Tracker'!$C:$C,"&lt;&gt;Cancelled",'Candidate Tracker'!$C:$C,"&lt;&gt;Closed")/COUNTIFS('Candidate Tracker'!$E:$E,'Positions Tracker'!$B948)),"")</f>
        <v/>
      </c>
      <c r="BD948" s="30" t="str">
        <f t="shared" si="99"/>
        <v/>
      </c>
      <c r="BE948" s="30" t="str">
        <f t="shared" si="100"/>
        <v/>
      </c>
      <c r="BF948" s="30" t="str">
        <f t="shared" si="101"/>
        <v/>
      </c>
      <c r="BG948" s="30" t="str">
        <f t="shared" si="102"/>
        <v/>
      </c>
    </row>
    <row r="949" spans="1:59">
      <c r="A949" s="39"/>
      <c r="B949" s="39"/>
      <c r="C949" s="39"/>
      <c r="D949" s="39"/>
      <c r="E949" s="39"/>
      <c r="F949" s="39"/>
      <c r="G949" s="39"/>
      <c r="H949" s="39"/>
      <c r="I949" s="40"/>
      <c r="J949" s="40"/>
      <c r="K949" s="35"/>
      <c r="L949" s="35"/>
      <c r="M949" s="35"/>
      <c r="N949" s="39"/>
      <c r="O949" s="39"/>
      <c r="P949" s="39"/>
      <c r="Q949" s="39"/>
      <c r="R949" s="39"/>
      <c r="S949" s="39"/>
      <c r="T949" s="39"/>
      <c r="U949" s="39"/>
      <c r="V949" s="39"/>
      <c r="W949" s="39"/>
      <c r="X949" s="39"/>
      <c r="Y949" s="39"/>
      <c r="Z949" s="39"/>
      <c r="AA949" s="39"/>
      <c r="AB949" s="39"/>
      <c r="AC949" s="39"/>
      <c r="AD949" s="39"/>
      <c r="AE949" s="39"/>
      <c r="AF949" s="39"/>
      <c r="AG949" s="39"/>
      <c r="AH949" s="39"/>
      <c r="AI949" s="35"/>
      <c r="AJ949" s="39"/>
      <c r="AK949" s="39"/>
      <c r="AL949" s="39"/>
      <c r="AM949" s="35"/>
      <c r="AN949" s="35"/>
      <c r="AO949" s="39"/>
      <c r="AP949" s="39"/>
      <c r="AQ949" s="35"/>
      <c r="AR949" s="35"/>
      <c r="AS949" s="35"/>
      <c r="AT949" s="30">
        <f t="shared" ca="1" si="98"/>
        <v>0</v>
      </c>
      <c r="AU949" s="32" t="str">
        <f t="shared" ca="1" si="97"/>
        <v/>
      </c>
      <c r="AV949" s="32" t="str" cm="1">
        <f t="array" aca="1" ref="AV949" ca="1">IFERROR(_xlfn.IFS($AU949="","",$AU949&lt;=15,"0-15",AND($AU949&gt;=16,$AU949&lt;=30),"16-30",AND($AU949&gt;=31,$AU949&lt;=45),"31-45",AND($AU949&gt;=46,$AU949&lt;=60),"46-60",AND($AU949&gt;=61,$AU949&lt;=90),"61-90",AND($AU949&gt;=91),"&gt; 90",AND($AU949&gt;=2000),""),"")</f>
        <v/>
      </c>
      <c r="AW949" s="32" t="str" cm="1">
        <f t="array" aca="1" ref="AW949" ca="1">IFERROR(_xlfn.IFS(OR($M949="",$AM949=""),"",OR($C949="Offered",$C949="Joined"),($AM949-$M949)-$AT949),"")</f>
        <v/>
      </c>
      <c r="AX949" s="32" t="str" cm="1">
        <f t="array" aca="1" ref="AX949" ca="1">IFERROR(_xlfn.IFS(OR($M949="",$AS949=""),"",$C949="Joined",($AS949-$M949)-$AT949),"")</f>
        <v/>
      </c>
      <c r="AY949" s="30" t="str">
        <f>IFERROR(IF(COUNTIFS('Candidate Tracker'!$E:$E,'Positions Tracker'!$B949,'Candidate Tracker'!$C:$C,"Offer Drop")=0,"",COUNTIFS('Candidate Tracker'!$E:$E,'Positions Tracker'!$B949,'Candidate Tracker'!$C:$C,"Offer Drop")),"")</f>
        <v/>
      </c>
      <c r="AZ94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49" s="34" t="str">
        <f>IFERROR(IF(COUNTIFS('Candidate Tracker'!$E:$E,'Positions Tracker'!$B949,'Candidate Tracker'!$I:$I,"Female")=0,"",COUNTIFS('Candidate Tracker'!$E:$E,'Positions Tracker'!$B949,'Candidate Tracker'!$I:$I,"Female")),"")</f>
        <v/>
      </c>
      <c r="BB949" s="34" t="str">
        <f>IFERROR(IF(COUNTIFS('Candidate Tracker'!$E:$E,'Positions Tracker'!$B949,'Candidate Tracker'!$I:$I,"male")=0,"",COUNTIFS('Candidate Tracker'!$E:$E,'Positions Tracker'!$B949,'Candidate Tracker'!$I:$I,"male")),"")</f>
        <v/>
      </c>
      <c r="BC949" s="33" t="str">
        <f>IFERROR(IF(COUNTIFS('Candidate Tracker'!$E:$E,'Positions Tracker'!$B949,'Candidate Tracker'!$C:$C,"&lt;&gt;WIP",'Candidate Tracker'!$C:$C,"&lt;&gt;Hold",'Candidate Tracker'!$C:$C,"&lt;&gt;Cancelled",'Candidate Tracker'!$C:$C,"&lt;&gt;Closed")/COUNTIFS('Candidate Tracker'!$E:$E,'Positions Tracker'!$B949)=0,"",COUNTIFS('Candidate Tracker'!$E:$E,'Positions Tracker'!$B949,'Candidate Tracker'!$C:$C,"&lt;&gt;WIP",'Candidate Tracker'!$C:$C,"&lt;&gt;Hold",'Candidate Tracker'!$C:$C,"&lt;&gt;Cancelled",'Candidate Tracker'!$C:$C,"&lt;&gt;Closed")/COUNTIFS('Candidate Tracker'!$E:$E,'Positions Tracker'!$B949)),"")</f>
        <v/>
      </c>
      <c r="BD949" s="30" t="str">
        <f t="shared" si="99"/>
        <v/>
      </c>
      <c r="BE949" s="30" t="str">
        <f t="shared" si="100"/>
        <v/>
      </c>
      <c r="BF949" s="30" t="str">
        <f t="shared" si="101"/>
        <v/>
      </c>
      <c r="BG949" s="30" t="str">
        <f t="shared" si="102"/>
        <v/>
      </c>
    </row>
    <row r="950" spans="1:59">
      <c r="A950" s="39"/>
      <c r="B950" s="39"/>
      <c r="C950" s="39"/>
      <c r="D950" s="39"/>
      <c r="E950" s="39"/>
      <c r="F950" s="39"/>
      <c r="G950" s="39"/>
      <c r="H950" s="39"/>
      <c r="I950" s="40"/>
      <c r="J950" s="40"/>
      <c r="K950" s="35"/>
      <c r="L950" s="35"/>
      <c r="M950" s="35"/>
      <c r="N950" s="39"/>
      <c r="O950" s="39"/>
      <c r="P950" s="39"/>
      <c r="Q950" s="39"/>
      <c r="R950" s="39"/>
      <c r="S950" s="39"/>
      <c r="T950" s="39"/>
      <c r="U950" s="39"/>
      <c r="V950" s="39"/>
      <c r="W950" s="39"/>
      <c r="X950" s="39"/>
      <c r="Y950" s="39"/>
      <c r="Z950" s="39"/>
      <c r="AA950" s="39"/>
      <c r="AB950" s="39"/>
      <c r="AC950" s="39"/>
      <c r="AD950" s="39"/>
      <c r="AE950" s="39"/>
      <c r="AF950" s="39"/>
      <c r="AG950" s="39"/>
      <c r="AH950" s="39"/>
      <c r="AI950" s="35"/>
      <c r="AJ950" s="39"/>
      <c r="AK950" s="39"/>
      <c r="AL950" s="39"/>
      <c r="AM950" s="35"/>
      <c r="AN950" s="35"/>
      <c r="AO950" s="39"/>
      <c r="AP950" s="39"/>
      <c r="AQ950" s="35"/>
      <c r="AR950" s="35"/>
      <c r="AS950" s="35"/>
      <c r="AT950" s="30">
        <f t="shared" ca="1" si="98"/>
        <v>0</v>
      </c>
      <c r="AU950" s="32" t="str">
        <f t="shared" ca="1" si="97"/>
        <v/>
      </c>
      <c r="AV950" s="32" t="str" cm="1">
        <f t="array" aca="1" ref="AV950" ca="1">IFERROR(_xlfn.IFS($AU950="","",$AU950&lt;=15,"0-15",AND($AU950&gt;=16,$AU950&lt;=30),"16-30",AND($AU950&gt;=31,$AU950&lt;=45),"31-45",AND($AU950&gt;=46,$AU950&lt;=60),"46-60",AND($AU950&gt;=61,$AU950&lt;=90),"61-90",AND($AU950&gt;=91),"&gt; 90",AND($AU950&gt;=2000),""),"")</f>
        <v/>
      </c>
      <c r="AW950" s="32" t="str" cm="1">
        <f t="array" aca="1" ref="AW950" ca="1">IFERROR(_xlfn.IFS(OR($M950="",$AM950=""),"",OR($C950="Offered",$C950="Joined"),($AM950-$M950)-$AT950),"")</f>
        <v/>
      </c>
      <c r="AX950" s="32" t="str" cm="1">
        <f t="array" aca="1" ref="AX950" ca="1">IFERROR(_xlfn.IFS(OR($M950="",$AS950=""),"",$C950="Joined",($AS950-$M950)-$AT950),"")</f>
        <v/>
      </c>
      <c r="AY950" s="30" t="str">
        <f>IFERROR(IF(COUNTIFS('Candidate Tracker'!$E:$E,'Positions Tracker'!$B950,'Candidate Tracker'!$C:$C,"Offer Drop")=0,"",COUNTIFS('Candidate Tracker'!$E:$E,'Positions Tracker'!$B950,'Candidate Tracker'!$C:$C,"Offer Drop")),"")</f>
        <v/>
      </c>
      <c r="AZ95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0" s="34" t="str">
        <f>IFERROR(IF(COUNTIFS('Candidate Tracker'!$E:$E,'Positions Tracker'!$B950,'Candidate Tracker'!$I:$I,"Female")=0,"",COUNTIFS('Candidate Tracker'!$E:$E,'Positions Tracker'!$B950,'Candidate Tracker'!$I:$I,"Female")),"")</f>
        <v/>
      </c>
      <c r="BB950" s="34" t="str">
        <f>IFERROR(IF(COUNTIFS('Candidate Tracker'!$E:$E,'Positions Tracker'!$B950,'Candidate Tracker'!$I:$I,"male")=0,"",COUNTIFS('Candidate Tracker'!$E:$E,'Positions Tracker'!$B950,'Candidate Tracker'!$I:$I,"male")),"")</f>
        <v/>
      </c>
      <c r="BC950" s="33" t="str">
        <f>IFERROR(IF(COUNTIFS('Candidate Tracker'!$E:$E,'Positions Tracker'!$B950,'Candidate Tracker'!$C:$C,"&lt;&gt;WIP",'Candidate Tracker'!$C:$C,"&lt;&gt;Hold",'Candidate Tracker'!$C:$C,"&lt;&gt;Cancelled",'Candidate Tracker'!$C:$C,"&lt;&gt;Closed")/COUNTIFS('Candidate Tracker'!$E:$E,'Positions Tracker'!$B950)=0,"",COUNTIFS('Candidate Tracker'!$E:$E,'Positions Tracker'!$B950,'Candidate Tracker'!$C:$C,"&lt;&gt;WIP",'Candidate Tracker'!$C:$C,"&lt;&gt;Hold",'Candidate Tracker'!$C:$C,"&lt;&gt;Cancelled",'Candidate Tracker'!$C:$C,"&lt;&gt;Closed")/COUNTIFS('Candidate Tracker'!$E:$E,'Positions Tracker'!$B950)),"")</f>
        <v/>
      </c>
      <c r="BD950" s="30" t="str">
        <f t="shared" si="99"/>
        <v/>
      </c>
      <c r="BE950" s="30" t="str">
        <f t="shared" si="100"/>
        <v/>
      </c>
      <c r="BF950" s="30" t="str">
        <f t="shared" si="101"/>
        <v/>
      </c>
      <c r="BG950" s="30" t="str">
        <f t="shared" si="102"/>
        <v/>
      </c>
    </row>
    <row r="951" spans="1:59">
      <c r="A951" s="39"/>
      <c r="B951" s="39"/>
      <c r="C951" s="39"/>
      <c r="D951" s="39"/>
      <c r="E951" s="39"/>
      <c r="F951" s="39"/>
      <c r="G951" s="39"/>
      <c r="H951" s="39"/>
      <c r="I951" s="40"/>
      <c r="J951" s="40"/>
      <c r="K951" s="35"/>
      <c r="L951" s="35"/>
      <c r="M951" s="35"/>
      <c r="N951" s="39"/>
      <c r="O951" s="39"/>
      <c r="P951" s="39"/>
      <c r="Q951" s="39"/>
      <c r="R951" s="39"/>
      <c r="S951" s="39"/>
      <c r="T951" s="39"/>
      <c r="U951" s="39"/>
      <c r="V951" s="39"/>
      <c r="W951" s="39"/>
      <c r="X951" s="39"/>
      <c r="Y951" s="39"/>
      <c r="Z951" s="39"/>
      <c r="AA951" s="39"/>
      <c r="AB951" s="39"/>
      <c r="AC951" s="39"/>
      <c r="AD951" s="39"/>
      <c r="AE951" s="39"/>
      <c r="AF951" s="39"/>
      <c r="AG951" s="39"/>
      <c r="AH951" s="39"/>
      <c r="AI951" s="35"/>
      <c r="AJ951" s="39"/>
      <c r="AK951" s="39"/>
      <c r="AL951" s="39"/>
      <c r="AM951" s="35"/>
      <c r="AN951" s="35"/>
      <c r="AO951" s="39"/>
      <c r="AP951" s="39"/>
      <c r="AQ951" s="35"/>
      <c r="AR951" s="35"/>
      <c r="AS951" s="35"/>
      <c r="AT951" s="30">
        <f t="shared" ca="1" si="98"/>
        <v>0</v>
      </c>
      <c r="AU951" s="32" t="str">
        <f t="shared" ca="1" si="97"/>
        <v/>
      </c>
      <c r="AV951" s="32" t="str" cm="1">
        <f t="array" aca="1" ref="AV951" ca="1">IFERROR(_xlfn.IFS($AU951="","",$AU951&lt;=15,"0-15",AND($AU951&gt;=16,$AU951&lt;=30),"16-30",AND($AU951&gt;=31,$AU951&lt;=45),"31-45",AND($AU951&gt;=46,$AU951&lt;=60),"46-60",AND($AU951&gt;=61,$AU951&lt;=90),"61-90",AND($AU951&gt;=91),"&gt; 90",AND($AU951&gt;=2000),""),"")</f>
        <v/>
      </c>
      <c r="AW951" s="32" t="str" cm="1">
        <f t="array" aca="1" ref="AW951" ca="1">IFERROR(_xlfn.IFS(OR($M951="",$AM951=""),"",OR($C951="Offered",$C951="Joined"),($AM951-$M951)-$AT951),"")</f>
        <v/>
      </c>
      <c r="AX951" s="32" t="str" cm="1">
        <f t="array" aca="1" ref="AX951" ca="1">IFERROR(_xlfn.IFS(OR($M951="",$AS951=""),"",$C951="Joined",($AS951-$M951)-$AT951),"")</f>
        <v/>
      </c>
      <c r="AY951" s="30" t="str">
        <f>IFERROR(IF(COUNTIFS('Candidate Tracker'!$E:$E,'Positions Tracker'!$B951,'Candidate Tracker'!$C:$C,"Offer Drop")=0,"",COUNTIFS('Candidate Tracker'!$E:$E,'Positions Tracker'!$B951,'Candidate Tracker'!$C:$C,"Offer Drop")),"")</f>
        <v/>
      </c>
      <c r="AZ95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1" s="34" t="str">
        <f>IFERROR(IF(COUNTIFS('Candidate Tracker'!$E:$E,'Positions Tracker'!$B951,'Candidate Tracker'!$I:$I,"Female")=0,"",COUNTIFS('Candidate Tracker'!$E:$E,'Positions Tracker'!$B951,'Candidate Tracker'!$I:$I,"Female")),"")</f>
        <v/>
      </c>
      <c r="BB951" s="34" t="str">
        <f>IFERROR(IF(COUNTIFS('Candidate Tracker'!$E:$E,'Positions Tracker'!$B951,'Candidate Tracker'!$I:$I,"male")=0,"",COUNTIFS('Candidate Tracker'!$E:$E,'Positions Tracker'!$B951,'Candidate Tracker'!$I:$I,"male")),"")</f>
        <v/>
      </c>
      <c r="BC951" s="33" t="str">
        <f>IFERROR(IF(COUNTIFS('Candidate Tracker'!$E:$E,'Positions Tracker'!$B951,'Candidate Tracker'!$C:$C,"&lt;&gt;WIP",'Candidate Tracker'!$C:$C,"&lt;&gt;Hold",'Candidate Tracker'!$C:$C,"&lt;&gt;Cancelled",'Candidate Tracker'!$C:$C,"&lt;&gt;Closed")/COUNTIFS('Candidate Tracker'!$E:$E,'Positions Tracker'!$B951)=0,"",COUNTIFS('Candidate Tracker'!$E:$E,'Positions Tracker'!$B951,'Candidate Tracker'!$C:$C,"&lt;&gt;WIP",'Candidate Tracker'!$C:$C,"&lt;&gt;Hold",'Candidate Tracker'!$C:$C,"&lt;&gt;Cancelled",'Candidate Tracker'!$C:$C,"&lt;&gt;Closed")/COUNTIFS('Candidate Tracker'!$E:$E,'Positions Tracker'!$B951)),"")</f>
        <v/>
      </c>
      <c r="BD951" s="30" t="str">
        <f t="shared" si="99"/>
        <v/>
      </c>
      <c r="BE951" s="30" t="str">
        <f t="shared" si="100"/>
        <v/>
      </c>
      <c r="BF951" s="30" t="str">
        <f t="shared" si="101"/>
        <v/>
      </c>
      <c r="BG951" s="30" t="str">
        <f t="shared" si="102"/>
        <v/>
      </c>
    </row>
    <row r="952" spans="1:59">
      <c r="A952" s="39"/>
      <c r="B952" s="39"/>
      <c r="C952" s="39"/>
      <c r="D952" s="39"/>
      <c r="E952" s="39"/>
      <c r="F952" s="39"/>
      <c r="G952" s="39"/>
      <c r="H952" s="39"/>
      <c r="I952" s="40"/>
      <c r="J952" s="40"/>
      <c r="K952" s="35"/>
      <c r="L952" s="35"/>
      <c r="M952" s="35"/>
      <c r="N952" s="39"/>
      <c r="O952" s="39"/>
      <c r="P952" s="39"/>
      <c r="Q952" s="39"/>
      <c r="R952" s="39"/>
      <c r="S952" s="39"/>
      <c r="T952" s="39"/>
      <c r="U952" s="39"/>
      <c r="V952" s="39"/>
      <c r="W952" s="39"/>
      <c r="X952" s="39"/>
      <c r="Y952" s="39"/>
      <c r="Z952" s="39"/>
      <c r="AA952" s="39"/>
      <c r="AB952" s="39"/>
      <c r="AC952" s="39"/>
      <c r="AD952" s="39"/>
      <c r="AE952" s="39"/>
      <c r="AF952" s="39"/>
      <c r="AG952" s="39"/>
      <c r="AH952" s="39"/>
      <c r="AI952" s="35"/>
      <c r="AJ952" s="39"/>
      <c r="AK952" s="39"/>
      <c r="AL952" s="39"/>
      <c r="AM952" s="35"/>
      <c r="AN952" s="35"/>
      <c r="AO952" s="39"/>
      <c r="AP952" s="39"/>
      <c r="AQ952" s="35"/>
      <c r="AR952" s="35"/>
      <c r="AS952" s="35"/>
      <c r="AT952" s="30">
        <f t="shared" ca="1" si="98"/>
        <v>0</v>
      </c>
      <c r="AU952" s="32" t="str">
        <f t="shared" ca="1" si="97"/>
        <v/>
      </c>
      <c r="AV952" s="32" t="str" cm="1">
        <f t="array" aca="1" ref="AV952" ca="1">IFERROR(_xlfn.IFS($AU952="","",$AU952&lt;=15,"0-15",AND($AU952&gt;=16,$AU952&lt;=30),"16-30",AND($AU952&gt;=31,$AU952&lt;=45),"31-45",AND($AU952&gt;=46,$AU952&lt;=60),"46-60",AND($AU952&gt;=61,$AU952&lt;=90),"61-90",AND($AU952&gt;=91),"&gt; 90",AND($AU952&gt;=2000),""),"")</f>
        <v/>
      </c>
      <c r="AW952" s="32" t="str" cm="1">
        <f t="array" aca="1" ref="AW952" ca="1">IFERROR(_xlfn.IFS(OR($M952="",$AM952=""),"",OR($C952="Offered",$C952="Joined"),($AM952-$M952)-$AT952),"")</f>
        <v/>
      </c>
      <c r="AX952" s="32" t="str" cm="1">
        <f t="array" aca="1" ref="AX952" ca="1">IFERROR(_xlfn.IFS(OR($M952="",$AS952=""),"",$C952="Joined",($AS952-$M952)-$AT952),"")</f>
        <v/>
      </c>
      <c r="AY952" s="30" t="str">
        <f>IFERROR(IF(COUNTIFS('Candidate Tracker'!$E:$E,'Positions Tracker'!$B952,'Candidate Tracker'!$C:$C,"Offer Drop")=0,"",COUNTIFS('Candidate Tracker'!$E:$E,'Positions Tracker'!$B952,'Candidate Tracker'!$C:$C,"Offer Drop")),"")</f>
        <v/>
      </c>
      <c r="AZ95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2" s="34" t="str">
        <f>IFERROR(IF(COUNTIFS('Candidate Tracker'!$E:$E,'Positions Tracker'!$B952,'Candidate Tracker'!$I:$I,"Female")=0,"",COUNTIFS('Candidate Tracker'!$E:$E,'Positions Tracker'!$B952,'Candidate Tracker'!$I:$I,"Female")),"")</f>
        <v/>
      </c>
      <c r="BB952" s="34" t="str">
        <f>IFERROR(IF(COUNTIFS('Candidate Tracker'!$E:$E,'Positions Tracker'!$B952,'Candidate Tracker'!$I:$I,"male")=0,"",COUNTIFS('Candidate Tracker'!$E:$E,'Positions Tracker'!$B952,'Candidate Tracker'!$I:$I,"male")),"")</f>
        <v/>
      </c>
      <c r="BC952" s="33" t="str">
        <f>IFERROR(IF(COUNTIFS('Candidate Tracker'!$E:$E,'Positions Tracker'!$B952,'Candidate Tracker'!$C:$C,"&lt;&gt;WIP",'Candidate Tracker'!$C:$C,"&lt;&gt;Hold",'Candidate Tracker'!$C:$C,"&lt;&gt;Cancelled",'Candidate Tracker'!$C:$C,"&lt;&gt;Closed")/COUNTIFS('Candidate Tracker'!$E:$E,'Positions Tracker'!$B952)=0,"",COUNTIFS('Candidate Tracker'!$E:$E,'Positions Tracker'!$B952,'Candidate Tracker'!$C:$C,"&lt;&gt;WIP",'Candidate Tracker'!$C:$C,"&lt;&gt;Hold",'Candidate Tracker'!$C:$C,"&lt;&gt;Cancelled",'Candidate Tracker'!$C:$C,"&lt;&gt;Closed")/COUNTIFS('Candidate Tracker'!$E:$E,'Positions Tracker'!$B952)),"")</f>
        <v/>
      </c>
      <c r="BD952" s="30" t="str">
        <f t="shared" si="99"/>
        <v/>
      </c>
      <c r="BE952" s="30" t="str">
        <f t="shared" si="100"/>
        <v/>
      </c>
      <c r="BF952" s="30" t="str">
        <f t="shared" si="101"/>
        <v/>
      </c>
      <c r="BG952" s="30" t="str">
        <f t="shared" si="102"/>
        <v/>
      </c>
    </row>
    <row r="953" spans="1:59">
      <c r="A953" s="39"/>
      <c r="B953" s="39"/>
      <c r="C953" s="39"/>
      <c r="D953" s="39"/>
      <c r="E953" s="39"/>
      <c r="F953" s="39"/>
      <c r="G953" s="39"/>
      <c r="H953" s="39"/>
      <c r="I953" s="40"/>
      <c r="J953" s="40"/>
      <c r="K953" s="35"/>
      <c r="L953" s="35"/>
      <c r="M953" s="35"/>
      <c r="N953" s="39"/>
      <c r="O953" s="39"/>
      <c r="P953" s="39"/>
      <c r="Q953" s="39"/>
      <c r="R953" s="39"/>
      <c r="S953" s="39"/>
      <c r="T953" s="39"/>
      <c r="U953" s="39"/>
      <c r="V953" s="39"/>
      <c r="W953" s="39"/>
      <c r="X953" s="39"/>
      <c r="Y953" s="39"/>
      <c r="Z953" s="39"/>
      <c r="AA953" s="39"/>
      <c r="AB953" s="39"/>
      <c r="AC953" s="39"/>
      <c r="AD953" s="39"/>
      <c r="AE953" s="39"/>
      <c r="AF953" s="39"/>
      <c r="AG953" s="39"/>
      <c r="AH953" s="39"/>
      <c r="AI953" s="35"/>
      <c r="AJ953" s="39"/>
      <c r="AK953" s="39"/>
      <c r="AL953" s="39"/>
      <c r="AM953" s="35"/>
      <c r="AN953" s="35"/>
      <c r="AO953" s="39"/>
      <c r="AP953" s="39"/>
      <c r="AQ953" s="35"/>
      <c r="AR953" s="35"/>
      <c r="AS953" s="35"/>
      <c r="AT953" s="30">
        <f t="shared" ca="1" si="98"/>
        <v>0</v>
      </c>
      <c r="AU953" s="32" t="str">
        <f t="shared" ca="1" si="97"/>
        <v/>
      </c>
      <c r="AV953" s="32" t="str" cm="1">
        <f t="array" aca="1" ref="AV953" ca="1">IFERROR(_xlfn.IFS($AU953="","",$AU953&lt;=15,"0-15",AND($AU953&gt;=16,$AU953&lt;=30),"16-30",AND($AU953&gt;=31,$AU953&lt;=45),"31-45",AND($AU953&gt;=46,$AU953&lt;=60),"46-60",AND($AU953&gt;=61,$AU953&lt;=90),"61-90",AND($AU953&gt;=91),"&gt; 90",AND($AU953&gt;=2000),""),"")</f>
        <v/>
      </c>
      <c r="AW953" s="32" t="str" cm="1">
        <f t="array" aca="1" ref="AW953" ca="1">IFERROR(_xlfn.IFS(OR($M953="",$AM953=""),"",OR($C953="Offered",$C953="Joined"),($AM953-$M953)-$AT953),"")</f>
        <v/>
      </c>
      <c r="AX953" s="32" t="str" cm="1">
        <f t="array" aca="1" ref="AX953" ca="1">IFERROR(_xlfn.IFS(OR($M953="",$AS953=""),"",$C953="Joined",($AS953-$M953)-$AT953),"")</f>
        <v/>
      </c>
      <c r="AY953" s="30" t="str">
        <f>IFERROR(IF(COUNTIFS('Candidate Tracker'!$E:$E,'Positions Tracker'!$B953,'Candidate Tracker'!$C:$C,"Offer Drop")=0,"",COUNTIFS('Candidate Tracker'!$E:$E,'Positions Tracker'!$B953,'Candidate Tracker'!$C:$C,"Offer Drop")),"")</f>
        <v/>
      </c>
      <c r="AZ95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3" s="34" t="str">
        <f>IFERROR(IF(COUNTIFS('Candidate Tracker'!$E:$E,'Positions Tracker'!$B953,'Candidate Tracker'!$I:$I,"Female")=0,"",COUNTIFS('Candidate Tracker'!$E:$E,'Positions Tracker'!$B953,'Candidate Tracker'!$I:$I,"Female")),"")</f>
        <v/>
      </c>
      <c r="BB953" s="34" t="str">
        <f>IFERROR(IF(COUNTIFS('Candidate Tracker'!$E:$E,'Positions Tracker'!$B953,'Candidate Tracker'!$I:$I,"male")=0,"",COUNTIFS('Candidate Tracker'!$E:$E,'Positions Tracker'!$B953,'Candidate Tracker'!$I:$I,"male")),"")</f>
        <v/>
      </c>
      <c r="BC953" s="33" t="str">
        <f>IFERROR(IF(COUNTIFS('Candidate Tracker'!$E:$E,'Positions Tracker'!$B953,'Candidate Tracker'!$C:$C,"&lt;&gt;WIP",'Candidate Tracker'!$C:$C,"&lt;&gt;Hold",'Candidate Tracker'!$C:$C,"&lt;&gt;Cancelled",'Candidate Tracker'!$C:$C,"&lt;&gt;Closed")/COUNTIFS('Candidate Tracker'!$E:$E,'Positions Tracker'!$B953)=0,"",COUNTIFS('Candidate Tracker'!$E:$E,'Positions Tracker'!$B953,'Candidate Tracker'!$C:$C,"&lt;&gt;WIP",'Candidate Tracker'!$C:$C,"&lt;&gt;Hold",'Candidate Tracker'!$C:$C,"&lt;&gt;Cancelled",'Candidate Tracker'!$C:$C,"&lt;&gt;Closed")/COUNTIFS('Candidate Tracker'!$E:$E,'Positions Tracker'!$B953)),"")</f>
        <v/>
      </c>
      <c r="BD953" s="30" t="str">
        <f t="shared" si="99"/>
        <v/>
      </c>
      <c r="BE953" s="30" t="str">
        <f t="shared" si="100"/>
        <v/>
      </c>
      <c r="BF953" s="30" t="str">
        <f t="shared" si="101"/>
        <v/>
      </c>
      <c r="BG953" s="30" t="str">
        <f t="shared" si="102"/>
        <v/>
      </c>
    </row>
    <row r="954" spans="1:59">
      <c r="A954" s="39"/>
      <c r="B954" s="39"/>
      <c r="C954" s="39"/>
      <c r="D954" s="39"/>
      <c r="E954" s="39"/>
      <c r="F954" s="39"/>
      <c r="G954" s="39"/>
      <c r="H954" s="39"/>
      <c r="I954" s="40"/>
      <c r="J954" s="40"/>
      <c r="K954" s="35"/>
      <c r="L954" s="35"/>
      <c r="M954" s="35"/>
      <c r="N954" s="39"/>
      <c r="O954" s="39"/>
      <c r="P954" s="39"/>
      <c r="Q954" s="39"/>
      <c r="R954" s="39"/>
      <c r="S954" s="39"/>
      <c r="T954" s="39"/>
      <c r="U954" s="39"/>
      <c r="V954" s="39"/>
      <c r="W954" s="39"/>
      <c r="X954" s="39"/>
      <c r="Y954" s="39"/>
      <c r="Z954" s="39"/>
      <c r="AA954" s="39"/>
      <c r="AB954" s="39"/>
      <c r="AC954" s="39"/>
      <c r="AD954" s="39"/>
      <c r="AE954" s="39"/>
      <c r="AF954" s="39"/>
      <c r="AG954" s="39"/>
      <c r="AH954" s="39"/>
      <c r="AI954" s="35"/>
      <c r="AJ954" s="39"/>
      <c r="AK954" s="39"/>
      <c r="AL954" s="39"/>
      <c r="AM954" s="35"/>
      <c r="AN954" s="35"/>
      <c r="AO954" s="39"/>
      <c r="AP954" s="39"/>
      <c r="AQ954" s="35"/>
      <c r="AR954" s="35"/>
      <c r="AS954" s="35"/>
      <c r="AT954" s="30">
        <f t="shared" ca="1" si="98"/>
        <v>0</v>
      </c>
      <c r="AU954" s="32" t="str">
        <f t="shared" ca="1" si="97"/>
        <v/>
      </c>
      <c r="AV954" s="32" t="str" cm="1">
        <f t="array" aca="1" ref="AV954" ca="1">IFERROR(_xlfn.IFS($AU954="","",$AU954&lt;=15,"0-15",AND($AU954&gt;=16,$AU954&lt;=30),"16-30",AND($AU954&gt;=31,$AU954&lt;=45),"31-45",AND($AU954&gt;=46,$AU954&lt;=60),"46-60",AND($AU954&gt;=61,$AU954&lt;=90),"61-90",AND($AU954&gt;=91),"&gt; 90",AND($AU954&gt;=2000),""),"")</f>
        <v/>
      </c>
      <c r="AW954" s="32" t="str" cm="1">
        <f t="array" aca="1" ref="AW954" ca="1">IFERROR(_xlfn.IFS(OR($M954="",$AM954=""),"",OR($C954="Offered",$C954="Joined"),($AM954-$M954)-$AT954),"")</f>
        <v/>
      </c>
      <c r="AX954" s="32" t="str" cm="1">
        <f t="array" aca="1" ref="AX954" ca="1">IFERROR(_xlfn.IFS(OR($M954="",$AS954=""),"",$C954="Joined",($AS954-$M954)-$AT954),"")</f>
        <v/>
      </c>
      <c r="AY954" s="30" t="str">
        <f>IFERROR(IF(COUNTIFS('Candidate Tracker'!$E:$E,'Positions Tracker'!$B954,'Candidate Tracker'!$C:$C,"Offer Drop")=0,"",COUNTIFS('Candidate Tracker'!$E:$E,'Positions Tracker'!$B954,'Candidate Tracker'!$C:$C,"Offer Drop")),"")</f>
        <v/>
      </c>
      <c r="AZ95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4" s="34" t="str">
        <f>IFERROR(IF(COUNTIFS('Candidate Tracker'!$E:$E,'Positions Tracker'!$B954,'Candidate Tracker'!$I:$I,"Female")=0,"",COUNTIFS('Candidate Tracker'!$E:$E,'Positions Tracker'!$B954,'Candidate Tracker'!$I:$I,"Female")),"")</f>
        <v/>
      </c>
      <c r="BB954" s="34" t="str">
        <f>IFERROR(IF(COUNTIFS('Candidate Tracker'!$E:$E,'Positions Tracker'!$B954,'Candidate Tracker'!$I:$I,"male")=0,"",COUNTIFS('Candidate Tracker'!$E:$E,'Positions Tracker'!$B954,'Candidate Tracker'!$I:$I,"male")),"")</f>
        <v/>
      </c>
      <c r="BC954" s="33" t="str">
        <f>IFERROR(IF(COUNTIFS('Candidate Tracker'!$E:$E,'Positions Tracker'!$B954,'Candidate Tracker'!$C:$C,"&lt;&gt;WIP",'Candidate Tracker'!$C:$C,"&lt;&gt;Hold",'Candidate Tracker'!$C:$C,"&lt;&gt;Cancelled",'Candidate Tracker'!$C:$C,"&lt;&gt;Closed")/COUNTIFS('Candidate Tracker'!$E:$E,'Positions Tracker'!$B954)=0,"",COUNTIFS('Candidate Tracker'!$E:$E,'Positions Tracker'!$B954,'Candidate Tracker'!$C:$C,"&lt;&gt;WIP",'Candidate Tracker'!$C:$C,"&lt;&gt;Hold",'Candidate Tracker'!$C:$C,"&lt;&gt;Cancelled",'Candidate Tracker'!$C:$C,"&lt;&gt;Closed")/COUNTIFS('Candidate Tracker'!$E:$E,'Positions Tracker'!$B954)),"")</f>
        <v/>
      </c>
      <c r="BD954" s="30" t="str">
        <f t="shared" si="99"/>
        <v/>
      </c>
      <c r="BE954" s="30" t="str">
        <f t="shared" si="100"/>
        <v/>
      </c>
      <c r="BF954" s="30" t="str">
        <f t="shared" si="101"/>
        <v/>
      </c>
      <c r="BG954" s="30" t="str">
        <f t="shared" si="102"/>
        <v/>
      </c>
    </row>
    <row r="955" spans="1:59">
      <c r="A955" s="39"/>
      <c r="B955" s="39"/>
      <c r="C955" s="39"/>
      <c r="D955" s="39"/>
      <c r="E955" s="39"/>
      <c r="F955" s="39"/>
      <c r="G955" s="39"/>
      <c r="H955" s="39"/>
      <c r="I955" s="40"/>
      <c r="J955" s="40"/>
      <c r="K955" s="35"/>
      <c r="L955" s="35"/>
      <c r="M955" s="35"/>
      <c r="N955" s="39"/>
      <c r="O955" s="39"/>
      <c r="P955" s="39"/>
      <c r="Q955" s="39"/>
      <c r="R955" s="39"/>
      <c r="S955" s="39"/>
      <c r="T955" s="39"/>
      <c r="U955" s="39"/>
      <c r="V955" s="39"/>
      <c r="W955" s="39"/>
      <c r="X955" s="39"/>
      <c r="Y955" s="39"/>
      <c r="Z955" s="39"/>
      <c r="AA955" s="39"/>
      <c r="AB955" s="39"/>
      <c r="AC955" s="39"/>
      <c r="AD955" s="39"/>
      <c r="AE955" s="39"/>
      <c r="AF955" s="39"/>
      <c r="AG955" s="39"/>
      <c r="AH955" s="39"/>
      <c r="AI955" s="35"/>
      <c r="AJ955" s="39"/>
      <c r="AK955" s="39"/>
      <c r="AL955" s="39"/>
      <c r="AM955" s="35"/>
      <c r="AN955" s="35"/>
      <c r="AO955" s="39"/>
      <c r="AP955" s="39"/>
      <c r="AQ955" s="35"/>
      <c r="AR955" s="35"/>
      <c r="AS955" s="35"/>
      <c r="AT955" s="30">
        <f t="shared" ca="1" si="98"/>
        <v>0</v>
      </c>
      <c r="AU955" s="32" t="str">
        <f t="shared" ca="1" si="97"/>
        <v/>
      </c>
      <c r="AV955" s="32" t="str" cm="1">
        <f t="array" aca="1" ref="AV955" ca="1">IFERROR(_xlfn.IFS($AU955="","",$AU955&lt;=15,"0-15",AND($AU955&gt;=16,$AU955&lt;=30),"16-30",AND($AU955&gt;=31,$AU955&lt;=45),"31-45",AND($AU955&gt;=46,$AU955&lt;=60),"46-60",AND($AU955&gt;=61,$AU955&lt;=90),"61-90",AND($AU955&gt;=91),"&gt; 90",AND($AU955&gt;=2000),""),"")</f>
        <v/>
      </c>
      <c r="AW955" s="32" t="str" cm="1">
        <f t="array" aca="1" ref="AW955" ca="1">IFERROR(_xlfn.IFS(OR($M955="",$AM955=""),"",OR($C955="Offered",$C955="Joined"),($AM955-$M955)-$AT955),"")</f>
        <v/>
      </c>
      <c r="AX955" s="32" t="str" cm="1">
        <f t="array" aca="1" ref="AX955" ca="1">IFERROR(_xlfn.IFS(OR($M955="",$AS955=""),"",$C955="Joined",($AS955-$M955)-$AT955),"")</f>
        <v/>
      </c>
      <c r="AY955" s="30" t="str">
        <f>IFERROR(IF(COUNTIFS('Candidate Tracker'!$E:$E,'Positions Tracker'!$B955,'Candidate Tracker'!$C:$C,"Offer Drop")=0,"",COUNTIFS('Candidate Tracker'!$E:$E,'Positions Tracker'!$B955,'Candidate Tracker'!$C:$C,"Offer Drop")),"")</f>
        <v/>
      </c>
      <c r="AZ95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5" s="34" t="str">
        <f>IFERROR(IF(COUNTIFS('Candidate Tracker'!$E:$E,'Positions Tracker'!$B955,'Candidate Tracker'!$I:$I,"Female")=0,"",COUNTIFS('Candidate Tracker'!$E:$E,'Positions Tracker'!$B955,'Candidate Tracker'!$I:$I,"Female")),"")</f>
        <v/>
      </c>
      <c r="BB955" s="34" t="str">
        <f>IFERROR(IF(COUNTIFS('Candidate Tracker'!$E:$E,'Positions Tracker'!$B955,'Candidate Tracker'!$I:$I,"male")=0,"",COUNTIFS('Candidate Tracker'!$E:$E,'Positions Tracker'!$B955,'Candidate Tracker'!$I:$I,"male")),"")</f>
        <v/>
      </c>
      <c r="BC955" s="33" t="str">
        <f>IFERROR(IF(COUNTIFS('Candidate Tracker'!$E:$E,'Positions Tracker'!$B955,'Candidate Tracker'!$C:$C,"&lt;&gt;WIP",'Candidate Tracker'!$C:$C,"&lt;&gt;Hold",'Candidate Tracker'!$C:$C,"&lt;&gt;Cancelled",'Candidate Tracker'!$C:$C,"&lt;&gt;Closed")/COUNTIFS('Candidate Tracker'!$E:$E,'Positions Tracker'!$B955)=0,"",COUNTIFS('Candidate Tracker'!$E:$E,'Positions Tracker'!$B955,'Candidate Tracker'!$C:$C,"&lt;&gt;WIP",'Candidate Tracker'!$C:$C,"&lt;&gt;Hold",'Candidate Tracker'!$C:$C,"&lt;&gt;Cancelled",'Candidate Tracker'!$C:$C,"&lt;&gt;Closed")/COUNTIFS('Candidate Tracker'!$E:$E,'Positions Tracker'!$B955)),"")</f>
        <v/>
      </c>
      <c r="BD955" s="30" t="str">
        <f t="shared" si="99"/>
        <v/>
      </c>
      <c r="BE955" s="30" t="str">
        <f t="shared" si="100"/>
        <v/>
      </c>
      <c r="BF955" s="30" t="str">
        <f t="shared" si="101"/>
        <v/>
      </c>
      <c r="BG955" s="30" t="str">
        <f t="shared" si="102"/>
        <v/>
      </c>
    </row>
    <row r="956" spans="1:59">
      <c r="A956" s="39"/>
      <c r="B956" s="39"/>
      <c r="C956" s="39"/>
      <c r="D956" s="39"/>
      <c r="E956" s="39"/>
      <c r="F956" s="39"/>
      <c r="G956" s="39"/>
      <c r="H956" s="39"/>
      <c r="I956" s="40"/>
      <c r="J956" s="40"/>
      <c r="K956" s="35"/>
      <c r="L956" s="35"/>
      <c r="M956" s="35"/>
      <c r="N956" s="39"/>
      <c r="O956" s="39"/>
      <c r="P956" s="39"/>
      <c r="Q956" s="39"/>
      <c r="R956" s="39"/>
      <c r="S956" s="39"/>
      <c r="T956" s="39"/>
      <c r="U956" s="39"/>
      <c r="V956" s="39"/>
      <c r="W956" s="39"/>
      <c r="X956" s="39"/>
      <c r="Y956" s="39"/>
      <c r="Z956" s="39"/>
      <c r="AA956" s="39"/>
      <c r="AB956" s="39"/>
      <c r="AC956" s="39"/>
      <c r="AD956" s="39"/>
      <c r="AE956" s="39"/>
      <c r="AF956" s="39"/>
      <c r="AG956" s="39"/>
      <c r="AH956" s="39"/>
      <c r="AI956" s="35"/>
      <c r="AJ956" s="39"/>
      <c r="AK956" s="39"/>
      <c r="AL956" s="39"/>
      <c r="AM956" s="35"/>
      <c r="AN956" s="35"/>
      <c r="AO956" s="39"/>
      <c r="AP956" s="39"/>
      <c r="AQ956" s="35"/>
      <c r="AR956" s="35"/>
      <c r="AS956" s="35"/>
      <c r="AT956" s="30">
        <f t="shared" ca="1" si="98"/>
        <v>0</v>
      </c>
      <c r="AU956" s="32" t="str">
        <f t="shared" ca="1" si="97"/>
        <v/>
      </c>
      <c r="AV956" s="32" t="str" cm="1">
        <f t="array" aca="1" ref="AV956" ca="1">IFERROR(_xlfn.IFS($AU956="","",$AU956&lt;=15,"0-15",AND($AU956&gt;=16,$AU956&lt;=30),"16-30",AND($AU956&gt;=31,$AU956&lt;=45),"31-45",AND($AU956&gt;=46,$AU956&lt;=60),"46-60",AND($AU956&gt;=61,$AU956&lt;=90),"61-90",AND($AU956&gt;=91),"&gt; 90",AND($AU956&gt;=2000),""),"")</f>
        <v/>
      </c>
      <c r="AW956" s="32" t="str" cm="1">
        <f t="array" aca="1" ref="AW956" ca="1">IFERROR(_xlfn.IFS(OR($M956="",$AM956=""),"",OR($C956="Offered",$C956="Joined"),($AM956-$M956)-$AT956),"")</f>
        <v/>
      </c>
      <c r="AX956" s="32" t="str" cm="1">
        <f t="array" aca="1" ref="AX956" ca="1">IFERROR(_xlfn.IFS(OR($M956="",$AS956=""),"",$C956="Joined",($AS956-$M956)-$AT956),"")</f>
        <v/>
      </c>
      <c r="AY956" s="30" t="str">
        <f>IFERROR(IF(COUNTIFS('Candidate Tracker'!$E:$E,'Positions Tracker'!$B956,'Candidate Tracker'!$C:$C,"Offer Drop")=0,"",COUNTIFS('Candidate Tracker'!$E:$E,'Positions Tracker'!$B956,'Candidate Tracker'!$C:$C,"Offer Drop")),"")</f>
        <v/>
      </c>
      <c r="AZ95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6" s="34" t="str">
        <f>IFERROR(IF(COUNTIFS('Candidate Tracker'!$E:$E,'Positions Tracker'!$B956,'Candidate Tracker'!$I:$I,"Female")=0,"",COUNTIFS('Candidate Tracker'!$E:$E,'Positions Tracker'!$B956,'Candidate Tracker'!$I:$I,"Female")),"")</f>
        <v/>
      </c>
      <c r="BB956" s="34" t="str">
        <f>IFERROR(IF(COUNTIFS('Candidate Tracker'!$E:$E,'Positions Tracker'!$B956,'Candidate Tracker'!$I:$I,"male")=0,"",COUNTIFS('Candidate Tracker'!$E:$E,'Positions Tracker'!$B956,'Candidate Tracker'!$I:$I,"male")),"")</f>
        <v/>
      </c>
      <c r="BC956" s="33" t="str">
        <f>IFERROR(IF(COUNTIFS('Candidate Tracker'!$E:$E,'Positions Tracker'!$B956,'Candidate Tracker'!$C:$C,"&lt;&gt;WIP",'Candidate Tracker'!$C:$C,"&lt;&gt;Hold",'Candidate Tracker'!$C:$C,"&lt;&gt;Cancelled",'Candidate Tracker'!$C:$C,"&lt;&gt;Closed")/COUNTIFS('Candidate Tracker'!$E:$E,'Positions Tracker'!$B956)=0,"",COUNTIFS('Candidate Tracker'!$E:$E,'Positions Tracker'!$B956,'Candidate Tracker'!$C:$C,"&lt;&gt;WIP",'Candidate Tracker'!$C:$C,"&lt;&gt;Hold",'Candidate Tracker'!$C:$C,"&lt;&gt;Cancelled",'Candidate Tracker'!$C:$C,"&lt;&gt;Closed")/COUNTIFS('Candidate Tracker'!$E:$E,'Positions Tracker'!$B956)),"")</f>
        <v/>
      </c>
      <c r="BD956" s="30" t="str">
        <f t="shared" si="99"/>
        <v/>
      </c>
      <c r="BE956" s="30" t="str">
        <f t="shared" si="100"/>
        <v/>
      </c>
      <c r="BF956" s="30" t="str">
        <f t="shared" si="101"/>
        <v/>
      </c>
      <c r="BG956" s="30" t="str">
        <f t="shared" si="102"/>
        <v/>
      </c>
    </row>
    <row r="957" spans="1:59">
      <c r="A957" s="39"/>
      <c r="B957" s="39"/>
      <c r="C957" s="39"/>
      <c r="D957" s="39"/>
      <c r="E957" s="39"/>
      <c r="F957" s="39"/>
      <c r="G957" s="39"/>
      <c r="H957" s="39"/>
      <c r="I957" s="40"/>
      <c r="J957" s="40"/>
      <c r="K957" s="35"/>
      <c r="L957" s="35"/>
      <c r="M957" s="35"/>
      <c r="N957" s="39"/>
      <c r="O957" s="39"/>
      <c r="P957" s="39"/>
      <c r="Q957" s="39"/>
      <c r="R957" s="39"/>
      <c r="S957" s="39"/>
      <c r="T957" s="39"/>
      <c r="U957" s="39"/>
      <c r="V957" s="39"/>
      <c r="W957" s="39"/>
      <c r="X957" s="39"/>
      <c r="Y957" s="39"/>
      <c r="Z957" s="39"/>
      <c r="AA957" s="39"/>
      <c r="AB957" s="39"/>
      <c r="AC957" s="39"/>
      <c r="AD957" s="39"/>
      <c r="AE957" s="39"/>
      <c r="AF957" s="39"/>
      <c r="AG957" s="39"/>
      <c r="AH957" s="39"/>
      <c r="AI957" s="35"/>
      <c r="AJ957" s="39"/>
      <c r="AK957" s="39"/>
      <c r="AL957" s="39"/>
      <c r="AM957" s="35"/>
      <c r="AN957" s="35"/>
      <c r="AO957" s="39"/>
      <c r="AP957" s="39"/>
      <c r="AQ957" s="35"/>
      <c r="AR957" s="35"/>
      <c r="AS957" s="35"/>
      <c r="AT957" s="30">
        <f t="shared" ca="1" si="98"/>
        <v>0</v>
      </c>
      <c r="AU957" s="32" t="str">
        <f t="shared" ca="1" si="97"/>
        <v/>
      </c>
      <c r="AV957" s="32" t="str" cm="1">
        <f t="array" aca="1" ref="AV957" ca="1">IFERROR(_xlfn.IFS($AU957="","",$AU957&lt;=15,"0-15",AND($AU957&gt;=16,$AU957&lt;=30),"16-30",AND($AU957&gt;=31,$AU957&lt;=45),"31-45",AND($AU957&gt;=46,$AU957&lt;=60),"46-60",AND($AU957&gt;=61,$AU957&lt;=90),"61-90",AND($AU957&gt;=91),"&gt; 90",AND($AU957&gt;=2000),""),"")</f>
        <v/>
      </c>
      <c r="AW957" s="32" t="str" cm="1">
        <f t="array" aca="1" ref="AW957" ca="1">IFERROR(_xlfn.IFS(OR($M957="",$AM957=""),"",OR($C957="Offered",$C957="Joined"),($AM957-$M957)-$AT957),"")</f>
        <v/>
      </c>
      <c r="AX957" s="32" t="str" cm="1">
        <f t="array" aca="1" ref="AX957" ca="1">IFERROR(_xlfn.IFS(OR($M957="",$AS957=""),"",$C957="Joined",($AS957-$M957)-$AT957),"")</f>
        <v/>
      </c>
      <c r="AY957" s="30" t="str">
        <f>IFERROR(IF(COUNTIFS('Candidate Tracker'!$E:$E,'Positions Tracker'!$B957,'Candidate Tracker'!$C:$C,"Offer Drop")=0,"",COUNTIFS('Candidate Tracker'!$E:$E,'Positions Tracker'!$B957,'Candidate Tracker'!$C:$C,"Offer Drop")),"")</f>
        <v/>
      </c>
      <c r="AZ95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7" s="34" t="str">
        <f>IFERROR(IF(COUNTIFS('Candidate Tracker'!$E:$E,'Positions Tracker'!$B957,'Candidate Tracker'!$I:$I,"Female")=0,"",COUNTIFS('Candidate Tracker'!$E:$E,'Positions Tracker'!$B957,'Candidate Tracker'!$I:$I,"Female")),"")</f>
        <v/>
      </c>
      <c r="BB957" s="34" t="str">
        <f>IFERROR(IF(COUNTIFS('Candidate Tracker'!$E:$E,'Positions Tracker'!$B957,'Candidate Tracker'!$I:$I,"male")=0,"",COUNTIFS('Candidate Tracker'!$E:$E,'Positions Tracker'!$B957,'Candidate Tracker'!$I:$I,"male")),"")</f>
        <v/>
      </c>
      <c r="BC957" s="33" t="str">
        <f>IFERROR(IF(COUNTIFS('Candidate Tracker'!$E:$E,'Positions Tracker'!$B957,'Candidate Tracker'!$C:$C,"&lt;&gt;WIP",'Candidate Tracker'!$C:$C,"&lt;&gt;Hold",'Candidate Tracker'!$C:$C,"&lt;&gt;Cancelled",'Candidate Tracker'!$C:$C,"&lt;&gt;Closed")/COUNTIFS('Candidate Tracker'!$E:$E,'Positions Tracker'!$B957)=0,"",COUNTIFS('Candidate Tracker'!$E:$E,'Positions Tracker'!$B957,'Candidate Tracker'!$C:$C,"&lt;&gt;WIP",'Candidate Tracker'!$C:$C,"&lt;&gt;Hold",'Candidate Tracker'!$C:$C,"&lt;&gt;Cancelled",'Candidate Tracker'!$C:$C,"&lt;&gt;Closed")/COUNTIFS('Candidate Tracker'!$E:$E,'Positions Tracker'!$B957)),"")</f>
        <v/>
      </c>
      <c r="BD957" s="30" t="str">
        <f t="shared" si="99"/>
        <v/>
      </c>
      <c r="BE957" s="30" t="str">
        <f t="shared" si="100"/>
        <v/>
      </c>
      <c r="BF957" s="30" t="str">
        <f t="shared" si="101"/>
        <v/>
      </c>
      <c r="BG957" s="30" t="str">
        <f t="shared" si="102"/>
        <v/>
      </c>
    </row>
    <row r="958" spans="1:59">
      <c r="A958" s="39"/>
      <c r="B958" s="39"/>
      <c r="C958" s="39"/>
      <c r="D958" s="39"/>
      <c r="E958" s="39"/>
      <c r="F958" s="39"/>
      <c r="G958" s="39"/>
      <c r="H958" s="39"/>
      <c r="I958" s="40"/>
      <c r="J958" s="40"/>
      <c r="K958" s="35"/>
      <c r="L958" s="35"/>
      <c r="M958" s="35"/>
      <c r="N958" s="39"/>
      <c r="O958" s="39"/>
      <c r="P958" s="39"/>
      <c r="Q958" s="39"/>
      <c r="R958" s="39"/>
      <c r="S958" s="39"/>
      <c r="T958" s="39"/>
      <c r="U958" s="39"/>
      <c r="V958" s="39"/>
      <c r="W958" s="39"/>
      <c r="X958" s="39"/>
      <c r="Y958" s="39"/>
      <c r="Z958" s="39"/>
      <c r="AA958" s="39"/>
      <c r="AB958" s="39"/>
      <c r="AC958" s="39"/>
      <c r="AD958" s="39"/>
      <c r="AE958" s="39"/>
      <c r="AF958" s="39"/>
      <c r="AG958" s="39"/>
      <c r="AH958" s="39"/>
      <c r="AI958" s="35"/>
      <c r="AJ958" s="39"/>
      <c r="AK958" s="39"/>
      <c r="AL958" s="39"/>
      <c r="AM958" s="35"/>
      <c r="AN958" s="35"/>
      <c r="AO958" s="39"/>
      <c r="AP958" s="39"/>
      <c r="AQ958" s="35"/>
      <c r="AR958" s="35"/>
      <c r="AS958" s="35"/>
      <c r="AT958" s="30">
        <f t="shared" ca="1" si="98"/>
        <v>0</v>
      </c>
      <c r="AU958" s="32" t="str">
        <f t="shared" ca="1" si="97"/>
        <v/>
      </c>
      <c r="AV958" s="32" t="str" cm="1">
        <f t="array" aca="1" ref="AV958" ca="1">IFERROR(_xlfn.IFS($AU958="","",$AU958&lt;=15,"0-15",AND($AU958&gt;=16,$AU958&lt;=30),"16-30",AND($AU958&gt;=31,$AU958&lt;=45),"31-45",AND($AU958&gt;=46,$AU958&lt;=60),"46-60",AND($AU958&gt;=61,$AU958&lt;=90),"61-90",AND($AU958&gt;=91),"&gt; 90",AND($AU958&gt;=2000),""),"")</f>
        <v/>
      </c>
      <c r="AW958" s="32" t="str" cm="1">
        <f t="array" aca="1" ref="AW958" ca="1">IFERROR(_xlfn.IFS(OR($M958="",$AM958=""),"",OR($C958="Offered",$C958="Joined"),($AM958-$M958)-$AT958),"")</f>
        <v/>
      </c>
      <c r="AX958" s="32" t="str" cm="1">
        <f t="array" aca="1" ref="AX958" ca="1">IFERROR(_xlfn.IFS(OR($M958="",$AS958=""),"",$C958="Joined",($AS958-$M958)-$AT958),"")</f>
        <v/>
      </c>
      <c r="AY958" s="30" t="str">
        <f>IFERROR(IF(COUNTIFS('Candidate Tracker'!$E:$E,'Positions Tracker'!$B958,'Candidate Tracker'!$C:$C,"Offer Drop")=0,"",COUNTIFS('Candidate Tracker'!$E:$E,'Positions Tracker'!$B958,'Candidate Tracker'!$C:$C,"Offer Drop")),"")</f>
        <v/>
      </c>
      <c r="AZ95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8" s="34" t="str">
        <f>IFERROR(IF(COUNTIFS('Candidate Tracker'!$E:$E,'Positions Tracker'!$B958,'Candidate Tracker'!$I:$I,"Female")=0,"",COUNTIFS('Candidate Tracker'!$E:$E,'Positions Tracker'!$B958,'Candidate Tracker'!$I:$I,"Female")),"")</f>
        <v/>
      </c>
      <c r="BB958" s="34" t="str">
        <f>IFERROR(IF(COUNTIFS('Candidate Tracker'!$E:$E,'Positions Tracker'!$B958,'Candidate Tracker'!$I:$I,"male")=0,"",COUNTIFS('Candidate Tracker'!$E:$E,'Positions Tracker'!$B958,'Candidate Tracker'!$I:$I,"male")),"")</f>
        <v/>
      </c>
      <c r="BC958" s="33" t="str">
        <f>IFERROR(IF(COUNTIFS('Candidate Tracker'!$E:$E,'Positions Tracker'!$B958,'Candidate Tracker'!$C:$C,"&lt;&gt;WIP",'Candidate Tracker'!$C:$C,"&lt;&gt;Hold",'Candidate Tracker'!$C:$C,"&lt;&gt;Cancelled",'Candidate Tracker'!$C:$C,"&lt;&gt;Closed")/COUNTIFS('Candidate Tracker'!$E:$E,'Positions Tracker'!$B958)=0,"",COUNTIFS('Candidate Tracker'!$E:$E,'Positions Tracker'!$B958,'Candidate Tracker'!$C:$C,"&lt;&gt;WIP",'Candidate Tracker'!$C:$C,"&lt;&gt;Hold",'Candidate Tracker'!$C:$C,"&lt;&gt;Cancelled",'Candidate Tracker'!$C:$C,"&lt;&gt;Closed")/COUNTIFS('Candidate Tracker'!$E:$E,'Positions Tracker'!$B958)),"")</f>
        <v/>
      </c>
      <c r="BD958" s="30" t="str">
        <f t="shared" si="99"/>
        <v/>
      </c>
      <c r="BE958" s="30" t="str">
        <f t="shared" si="100"/>
        <v/>
      </c>
      <c r="BF958" s="30" t="str">
        <f t="shared" si="101"/>
        <v/>
      </c>
      <c r="BG958" s="30" t="str">
        <f t="shared" si="102"/>
        <v/>
      </c>
    </row>
    <row r="959" spans="1:59">
      <c r="A959" s="39"/>
      <c r="B959" s="39"/>
      <c r="C959" s="39"/>
      <c r="D959" s="39"/>
      <c r="E959" s="39"/>
      <c r="F959" s="39"/>
      <c r="G959" s="39"/>
      <c r="H959" s="39"/>
      <c r="I959" s="40"/>
      <c r="J959" s="40"/>
      <c r="K959" s="35"/>
      <c r="L959" s="35"/>
      <c r="M959" s="35"/>
      <c r="N959" s="39"/>
      <c r="O959" s="39"/>
      <c r="P959" s="39"/>
      <c r="Q959" s="39"/>
      <c r="R959" s="39"/>
      <c r="S959" s="39"/>
      <c r="T959" s="39"/>
      <c r="U959" s="39"/>
      <c r="V959" s="39"/>
      <c r="W959" s="39"/>
      <c r="X959" s="39"/>
      <c r="Y959" s="39"/>
      <c r="Z959" s="39"/>
      <c r="AA959" s="39"/>
      <c r="AB959" s="39"/>
      <c r="AC959" s="39"/>
      <c r="AD959" s="39"/>
      <c r="AE959" s="39"/>
      <c r="AF959" s="39"/>
      <c r="AG959" s="39"/>
      <c r="AH959" s="39"/>
      <c r="AI959" s="35"/>
      <c r="AJ959" s="39"/>
      <c r="AK959" s="39"/>
      <c r="AL959" s="39"/>
      <c r="AM959" s="35"/>
      <c r="AN959" s="35"/>
      <c r="AO959" s="39"/>
      <c r="AP959" s="39"/>
      <c r="AQ959" s="35"/>
      <c r="AR959" s="35"/>
      <c r="AS959" s="35"/>
      <c r="AT959" s="30">
        <f t="shared" ca="1" si="98"/>
        <v>0</v>
      </c>
      <c r="AU959" s="32" t="str">
        <f t="shared" ca="1" si="97"/>
        <v/>
      </c>
      <c r="AV959" s="32" t="str" cm="1">
        <f t="array" aca="1" ref="AV959" ca="1">IFERROR(_xlfn.IFS($AU959="","",$AU959&lt;=15,"0-15",AND($AU959&gt;=16,$AU959&lt;=30),"16-30",AND($AU959&gt;=31,$AU959&lt;=45),"31-45",AND($AU959&gt;=46,$AU959&lt;=60),"46-60",AND($AU959&gt;=61,$AU959&lt;=90),"61-90",AND($AU959&gt;=91),"&gt; 90",AND($AU959&gt;=2000),""),"")</f>
        <v/>
      </c>
      <c r="AW959" s="32" t="str" cm="1">
        <f t="array" aca="1" ref="AW959" ca="1">IFERROR(_xlfn.IFS(OR($M959="",$AM959=""),"",OR($C959="Offered",$C959="Joined"),($AM959-$M959)-$AT959),"")</f>
        <v/>
      </c>
      <c r="AX959" s="32" t="str" cm="1">
        <f t="array" aca="1" ref="AX959" ca="1">IFERROR(_xlfn.IFS(OR($M959="",$AS959=""),"",$C959="Joined",($AS959-$M959)-$AT959),"")</f>
        <v/>
      </c>
      <c r="AY959" s="30" t="str">
        <f>IFERROR(IF(COUNTIFS('Candidate Tracker'!$E:$E,'Positions Tracker'!$B959,'Candidate Tracker'!$C:$C,"Offer Drop")=0,"",COUNTIFS('Candidate Tracker'!$E:$E,'Positions Tracker'!$B959,'Candidate Tracker'!$C:$C,"Offer Drop")),"")</f>
        <v/>
      </c>
      <c r="AZ95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59" s="34" t="str">
        <f>IFERROR(IF(COUNTIFS('Candidate Tracker'!$E:$E,'Positions Tracker'!$B959,'Candidate Tracker'!$I:$I,"Female")=0,"",COUNTIFS('Candidate Tracker'!$E:$E,'Positions Tracker'!$B959,'Candidate Tracker'!$I:$I,"Female")),"")</f>
        <v/>
      </c>
      <c r="BB959" s="34" t="str">
        <f>IFERROR(IF(COUNTIFS('Candidate Tracker'!$E:$E,'Positions Tracker'!$B959,'Candidate Tracker'!$I:$I,"male")=0,"",COUNTIFS('Candidate Tracker'!$E:$E,'Positions Tracker'!$B959,'Candidate Tracker'!$I:$I,"male")),"")</f>
        <v/>
      </c>
      <c r="BC959" s="33" t="str">
        <f>IFERROR(IF(COUNTIFS('Candidate Tracker'!$E:$E,'Positions Tracker'!$B959,'Candidate Tracker'!$C:$C,"&lt;&gt;WIP",'Candidate Tracker'!$C:$C,"&lt;&gt;Hold",'Candidate Tracker'!$C:$C,"&lt;&gt;Cancelled",'Candidate Tracker'!$C:$C,"&lt;&gt;Closed")/COUNTIFS('Candidate Tracker'!$E:$E,'Positions Tracker'!$B959)=0,"",COUNTIFS('Candidate Tracker'!$E:$E,'Positions Tracker'!$B959,'Candidate Tracker'!$C:$C,"&lt;&gt;WIP",'Candidate Tracker'!$C:$C,"&lt;&gt;Hold",'Candidate Tracker'!$C:$C,"&lt;&gt;Cancelled",'Candidate Tracker'!$C:$C,"&lt;&gt;Closed")/COUNTIFS('Candidate Tracker'!$E:$E,'Positions Tracker'!$B959)),"")</f>
        <v/>
      </c>
      <c r="BD959" s="30" t="str">
        <f t="shared" si="99"/>
        <v/>
      </c>
      <c r="BE959" s="30" t="str">
        <f t="shared" si="100"/>
        <v/>
      </c>
      <c r="BF959" s="30" t="str">
        <f t="shared" si="101"/>
        <v/>
      </c>
      <c r="BG959" s="30" t="str">
        <f t="shared" si="102"/>
        <v/>
      </c>
    </row>
    <row r="960" spans="1:59">
      <c r="A960" s="39"/>
      <c r="B960" s="39"/>
      <c r="C960" s="39"/>
      <c r="D960" s="39"/>
      <c r="E960" s="39"/>
      <c r="F960" s="39"/>
      <c r="G960" s="39"/>
      <c r="H960" s="39"/>
      <c r="I960" s="40"/>
      <c r="J960" s="40"/>
      <c r="K960" s="35"/>
      <c r="L960" s="35"/>
      <c r="M960" s="35"/>
      <c r="N960" s="39"/>
      <c r="O960" s="39"/>
      <c r="P960" s="39"/>
      <c r="Q960" s="39"/>
      <c r="R960" s="39"/>
      <c r="S960" s="39"/>
      <c r="T960" s="39"/>
      <c r="U960" s="39"/>
      <c r="V960" s="39"/>
      <c r="W960" s="39"/>
      <c r="X960" s="39"/>
      <c r="Y960" s="39"/>
      <c r="Z960" s="39"/>
      <c r="AA960" s="39"/>
      <c r="AB960" s="39"/>
      <c r="AC960" s="39"/>
      <c r="AD960" s="39"/>
      <c r="AE960" s="39"/>
      <c r="AF960" s="39"/>
      <c r="AG960" s="39"/>
      <c r="AH960" s="39"/>
      <c r="AI960" s="35"/>
      <c r="AJ960" s="39"/>
      <c r="AK960" s="39"/>
      <c r="AL960" s="39"/>
      <c r="AM960" s="35"/>
      <c r="AN960" s="35"/>
      <c r="AO960" s="39"/>
      <c r="AP960" s="39"/>
      <c r="AQ960" s="35"/>
      <c r="AR960" s="35"/>
      <c r="AS960" s="35"/>
      <c r="AT960" s="30">
        <f t="shared" ca="1" si="98"/>
        <v>0</v>
      </c>
      <c r="AU960" s="32" t="str">
        <f t="shared" ref="AU960:AU985" ca="1" si="103">IFERROR(IF(($M960=""),"",IF(OR(,$C960="Offer in Progress",$C960="WIP",$C960="WIP/Drop",$C960="WIP/New",$C960="WIP/Hold"),(TODAY()-$M960)-$AT960,"")),"")</f>
        <v/>
      </c>
      <c r="AV960" s="32" t="str" cm="1">
        <f t="array" aca="1" ref="AV960" ca="1">IFERROR(_xlfn.IFS($AU960="","",$AU960&lt;=15,"0-15",AND($AU960&gt;=16,$AU960&lt;=30),"16-30",AND($AU960&gt;=31,$AU960&lt;=45),"31-45",AND($AU960&gt;=46,$AU960&lt;=60),"46-60",AND($AU960&gt;=61,$AU960&lt;=90),"61-90",AND($AU960&gt;=91),"&gt; 90",AND($AU960&gt;=2000),""),"")</f>
        <v/>
      </c>
      <c r="AW960" s="32" t="str" cm="1">
        <f t="array" aca="1" ref="AW960" ca="1">IFERROR(_xlfn.IFS(OR($M960="",$AM960=""),"",OR($C960="Offered",$C960="Joined"),($AM960-$M960)-$AT960),"")</f>
        <v/>
      </c>
      <c r="AX960" s="32" t="str" cm="1">
        <f t="array" aca="1" ref="AX960" ca="1">IFERROR(_xlfn.IFS(OR($M960="",$AS960=""),"",$C960="Joined",($AS960-$M960)-$AT960),"")</f>
        <v/>
      </c>
      <c r="AY960" s="30" t="str">
        <f>IFERROR(IF(COUNTIFS('Candidate Tracker'!$E:$E,'Positions Tracker'!$B960,'Candidate Tracker'!$C:$C,"Offer Drop")=0,"",COUNTIFS('Candidate Tracker'!$E:$E,'Positions Tracker'!$B960,'Candidate Tracker'!$C:$C,"Offer Drop")),"")</f>
        <v/>
      </c>
      <c r="AZ96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0" s="34" t="str">
        <f>IFERROR(IF(COUNTIFS('Candidate Tracker'!$E:$E,'Positions Tracker'!$B960,'Candidate Tracker'!$I:$I,"Female")=0,"",COUNTIFS('Candidate Tracker'!$E:$E,'Positions Tracker'!$B960,'Candidate Tracker'!$I:$I,"Female")),"")</f>
        <v/>
      </c>
      <c r="BB960" s="34" t="str">
        <f>IFERROR(IF(COUNTIFS('Candidate Tracker'!$E:$E,'Positions Tracker'!$B960,'Candidate Tracker'!$I:$I,"male")=0,"",COUNTIFS('Candidate Tracker'!$E:$E,'Positions Tracker'!$B960,'Candidate Tracker'!$I:$I,"male")),"")</f>
        <v/>
      </c>
      <c r="BC960" s="33" t="str">
        <f>IFERROR(IF(COUNTIFS('Candidate Tracker'!$E:$E,'Positions Tracker'!$B960,'Candidate Tracker'!$C:$C,"&lt;&gt;WIP",'Candidate Tracker'!$C:$C,"&lt;&gt;Hold",'Candidate Tracker'!$C:$C,"&lt;&gt;Cancelled",'Candidate Tracker'!$C:$C,"&lt;&gt;Closed")/COUNTIFS('Candidate Tracker'!$E:$E,'Positions Tracker'!$B960)=0,"",COUNTIFS('Candidate Tracker'!$E:$E,'Positions Tracker'!$B960,'Candidate Tracker'!$C:$C,"&lt;&gt;WIP",'Candidate Tracker'!$C:$C,"&lt;&gt;Hold",'Candidate Tracker'!$C:$C,"&lt;&gt;Cancelled",'Candidate Tracker'!$C:$C,"&lt;&gt;Closed")/COUNTIFS('Candidate Tracker'!$E:$E,'Positions Tracker'!$B960)),"")</f>
        <v/>
      </c>
      <c r="BD960" s="30" t="str">
        <f t="shared" si="99"/>
        <v/>
      </c>
      <c r="BE960" s="30" t="str">
        <f t="shared" si="100"/>
        <v/>
      </c>
      <c r="BF960" s="30" t="str">
        <f t="shared" si="101"/>
        <v/>
      </c>
      <c r="BG960" s="30" t="str">
        <f t="shared" si="102"/>
        <v/>
      </c>
    </row>
    <row r="961" spans="1:59">
      <c r="A961" s="39"/>
      <c r="B961" s="39"/>
      <c r="C961" s="39"/>
      <c r="D961" s="39"/>
      <c r="E961" s="39"/>
      <c r="F961" s="39"/>
      <c r="G961" s="39"/>
      <c r="H961" s="39"/>
      <c r="I961" s="40"/>
      <c r="J961" s="40"/>
      <c r="K961" s="35"/>
      <c r="L961" s="35"/>
      <c r="M961" s="35"/>
      <c r="N961" s="39"/>
      <c r="O961" s="39"/>
      <c r="P961" s="39"/>
      <c r="Q961" s="39"/>
      <c r="R961" s="39"/>
      <c r="S961" s="39"/>
      <c r="T961" s="39"/>
      <c r="U961" s="39"/>
      <c r="V961" s="39"/>
      <c r="W961" s="39"/>
      <c r="X961" s="39"/>
      <c r="Y961" s="39"/>
      <c r="Z961" s="39"/>
      <c r="AA961" s="39"/>
      <c r="AB961" s="39"/>
      <c r="AC961" s="39"/>
      <c r="AD961" s="39"/>
      <c r="AE961" s="39"/>
      <c r="AF961" s="39"/>
      <c r="AG961" s="39"/>
      <c r="AH961" s="39"/>
      <c r="AI961" s="35"/>
      <c r="AJ961" s="39"/>
      <c r="AK961" s="39"/>
      <c r="AL961" s="39"/>
      <c r="AM961" s="35"/>
      <c r="AN961" s="35"/>
      <c r="AO961" s="39"/>
      <c r="AP961" s="39"/>
      <c r="AQ961" s="35"/>
      <c r="AR961" s="35"/>
      <c r="AS961" s="35"/>
      <c r="AT961" s="30">
        <f t="shared" ref="AT961:AT985" ca="1" si="104">IFERROR(SUM(IF(AND(ISBLANK(T961),ISBLANK(Q961)),0,IF(T961="",TODAY()-Q961,T961-Q961))+IF(AND(ISBLANK(S961),ISBLANK(P961)),0,IF(S961="",TODAY()-P961,S961-P961))+IF(AND(ISBLANK(O961),ISBLANK(R961)),0,IF(R961="",TODAY()-O961,R961-O961))),"")</f>
        <v>0</v>
      </c>
      <c r="AU961" s="32" t="str">
        <f t="shared" ca="1" si="103"/>
        <v/>
      </c>
      <c r="AV961" s="32" t="str" cm="1">
        <f t="array" aca="1" ref="AV961" ca="1">IFERROR(_xlfn.IFS($AU961="","",$AU961&lt;=15,"0-15",AND($AU961&gt;=16,$AU961&lt;=30),"16-30",AND($AU961&gt;=31,$AU961&lt;=45),"31-45",AND($AU961&gt;=46,$AU961&lt;=60),"46-60",AND($AU961&gt;=61,$AU961&lt;=90),"61-90",AND($AU961&gt;=91),"&gt; 90",AND($AU961&gt;=2000),""),"")</f>
        <v/>
      </c>
      <c r="AW961" s="32" t="str" cm="1">
        <f t="array" aca="1" ref="AW961" ca="1">IFERROR(_xlfn.IFS(OR($M961="",$AM961=""),"",OR($C961="Offered",$C961="Joined"),($AM961-$M961)-$AT961),"")</f>
        <v/>
      </c>
      <c r="AX961" s="32" t="str" cm="1">
        <f t="array" aca="1" ref="AX961" ca="1">IFERROR(_xlfn.IFS(OR($M961="",$AS961=""),"",$C961="Joined",($AS961-$M961)-$AT961),"")</f>
        <v/>
      </c>
      <c r="AY961" s="30" t="str">
        <f>IFERROR(IF(COUNTIFS('Candidate Tracker'!$E:$E,'Positions Tracker'!$B961,'Candidate Tracker'!$C:$C,"Offer Drop")=0,"",COUNTIFS('Candidate Tracker'!$E:$E,'Positions Tracker'!$B961,'Candidate Tracker'!$C:$C,"Offer Drop")),"")</f>
        <v/>
      </c>
      <c r="AZ96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1" s="34" t="str">
        <f>IFERROR(IF(COUNTIFS('Candidate Tracker'!$E:$E,'Positions Tracker'!$B961,'Candidate Tracker'!$I:$I,"Female")=0,"",COUNTIFS('Candidate Tracker'!$E:$E,'Positions Tracker'!$B961,'Candidate Tracker'!$I:$I,"Female")),"")</f>
        <v/>
      </c>
      <c r="BB961" s="34" t="str">
        <f>IFERROR(IF(COUNTIFS('Candidate Tracker'!$E:$E,'Positions Tracker'!$B961,'Candidate Tracker'!$I:$I,"male")=0,"",COUNTIFS('Candidate Tracker'!$E:$E,'Positions Tracker'!$B961,'Candidate Tracker'!$I:$I,"male")),"")</f>
        <v/>
      </c>
      <c r="BC961" s="33" t="str">
        <f>IFERROR(IF(COUNTIFS('Candidate Tracker'!$E:$E,'Positions Tracker'!$B961,'Candidate Tracker'!$C:$C,"&lt;&gt;WIP",'Candidate Tracker'!$C:$C,"&lt;&gt;Hold",'Candidate Tracker'!$C:$C,"&lt;&gt;Cancelled",'Candidate Tracker'!$C:$C,"&lt;&gt;Closed")/COUNTIFS('Candidate Tracker'!$E:$E,'Positions Tracker'!$B961)=0,"",COUNTIFS('Candidate Tracker'!$E:$E,'Positions Tracker'!$B961,'Candidate Tracker'!$C:$C,"&lt;&gt;WIP",'Candidate Tracker'!$C:$C,"&lt;&gt;Hold",'Candidate Tracker'!$C:$C,"&lt;&gt;Cancelled",'Candidate Tracker'!$C:$C,"&lt;&gt;Closed")/COUNTIFS('Candidate Tracker'!$E:$E,'Positions Tracker'!$B961)),"")</f>
        <v/>
      </c>
      <c r="BD961" s="30" t="str">
        <f t="shared" ref="BD961:BD985" si="105">IFERROR(IF($M961="","",TEXT($M961,"MMM-YY")),"")</f>
        <v/>
      </c>
      <c r="BE961" s="30" t="str">
        <f t="shared" ref="BE961:BE985" si="106">IFERROR(IF($AI961="","",TEXT($AI961,"MMM-YY")),"")</f>
        <v/>
      </c>
      <c r="BF961" s="30" t="str">
        <f t="shared" ref="BF961:BF985" si="107">IFERROR(IF($AM961="","",TEXT($AM961,"MMM-YY")),"")</f>
        <v/>
      </c>
      <c r="BG961" s="30" t="str">
        <f t="shared" ref="BG961:BG985" si="108">IFERROR(IF($AS961="","",TEXT($AS961,"MMM-YY")),"")</f>
        <v/>
      </c>
    </row>
    <row r="962" spans="1:59">
      <c r="A962" s="39"/>
      <c r="B962" s="39"/>
      <c r="C962" s="39"/>
      <c r="D962" s="39"/>
      <c r="E962" s="39"/>
      <c r="F962" s="39"/>
      <c r="G962" s="39"/>
      <c r="H962" s="39"/>
      <c r="I962" s="40"/>
      <c r="J962" s="40"/>
      <c r="K962" s="35"/>
      <c r="L962" s="35"/>
      <c r="M962" s="35"/>
      <c r="N962" s="39"/>
      <c r="O962" s="39"/>
      <c r="P962" s="39"/>
      <c r="Q962" s="39"/>
      <c r="R962" s="39"/>
      <c r="S962" s="39"/>
      <c r="T962" s="39"/>
      <c r="U962" s="39"/>
      <c r="V962" s="39"/>
      <c r="W962" s="39"/>
      <c r="X962" s="39"/>
      <c r="Y962" s="39"/>
      <c r="Z962" s="39"/>
      <c r="AA962" s="39"/>
      <c r="AB962" s="39"/>
      <c r="AC962" s="39"/>
      <c r="AD962" s="39"/>
      <c r="AE962" s="39"/>
      <c r="AF962" s="39"/>
      <c r="AG962" s="39"/>
      <c r="AH962" s="39"/>
      <c r="AI962" s="35"/>
      <c r="AJ962" s="39"/>
      <c r="AK962" s="39"/>
      <c r="AL962" s="39"/>
      <c r="AM962" s="35"/>
      <c r="AN962" s="35"/>
      <c r="AO962" s="39"/>
      <c r="AP962" s="39"/>
      <c r="AQ962" s="35"/>
      <c r="AR962" s="35"/>
      <c r="AS962" s="35"/>
      <c r="AT962" s="30">
        <f t="shared" ca="1" si="104"/>
        <v>0</v>
      </c>
      <c r="AU962" s="32" t="str">
        <f t="shared" ca="1" si="103"/>
        <v/>
      </c>
      <c r="AV962" s="32" t="str" cm="1">
        <f t="array" aca="1" ref="AV962" ca="1">IFERROR(_xlfn.IFS($AU962="","",$AU962&lt;=15,"0-15",AND($AU962&gt;=16,$AU962&lt;=30),"16-30",AND($AU962&gt;=31,$AU962&lt;=45),"31-45",AND($AU962&gt;=46,$AU962&lt;=60),"46-60",AND($AU962&gt;=61,$AU962&lt;=90),"61-90",AND($AU962&gt;=91),"&gt; 90",AND($AU962&gt;=2000),""),"")</f>
        <v/>
      </c>
      <c r="AW962" s="32" t="str" cm="1">
        <f t="array" aca="1" ref="AW962" ca="1">IFERROR(_xlfn.IFS(OR($M962="",$AM962=""),"",OR($C962="Offered",$C962="Joined"),($AM962-$M962)-$AT962),"")</f>
        <v/>
      </c>
      <c r="AX962" s="32" t="str" cm="1">
        <f t="array" aca="1" ref="AX962" ca="1">IFERROR(_xlfn.IFS(OR($M962="",$AS962=""),"",$C962="Joined",($AS962-$M962)-$AT962),"")</f>
        <v/>
      </c>
      <c r="AY962" s="30" t="str">
        <f>IFERROR(IF(COUNTIFS('Candidate Tracker'!$E:$E,'Positions Tracker'!$B962,'Candidate Tracker'!$C:$C,"Offer Drop")=0,"",COUNTIFS('Candidate Tracker'!$E:$E,'Positions Tracker'!$B962,'Candidate Tracker'!$C:$C,"Offer Drop")),"")</f>
        <v/>
      </c>
      <c r="AZ96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2" s="34" t="str">
        <f>IFERROR(IF(COUNTIFS('Candidate Tracker'!$E:$E,'Positions Tracker'!$B962,'Candidate Tracker'!$I:$I,"Female")=0,"",COUNTIFS('Candidate Tracker'!$E:$E,'Positions Tracker'!$B962,'Candidate Tracker'!$I:$I,"Female")),"")</f>
        <v/>
      </c>
      <c r="BB962" s="34" t="str">
        <f>IFERROR(IF(COUNTIFS('Candidate Tracker'!$E:$E,'Positions Tracker'!$B962,'Candidate Tracker'!$I:$I,"male")=0,"",COUNTIFS('Candidate Tracker'!$E:$E,'Positions Tracker'!$B962,'Candidate Tracker'!$I:$I,"male")),"")</f>
        <v/>
      </c>
      <c r="BC962" s="33" t="str">
        <f>IFERROR(IF(COUNTIFS('Candidate Tracker'!$E:$E,'Positions Tracker'!$B962,'Candidate Tracker'!$C:$C,"&lt;&gt;WIP",'Candidate Tracker'!$C:$C,"&lt;&gt;Hold",'Candidate Tracker'!$C:$C,"&lt;&gt;Cancelled",'Candidate Tracker'!$C:$C,"&lt;&gt;Closed")/COUNTIFS('Candidate Tracker'!$E:$E,'Positions Tracker'!$B962)=0,"",COUNTIFS('Candidate Tracker'!$E:$E,'Positions Tracker'!$B962,'Candidate Tracker'!$C:$C,"&lt;&gt;WIP",'Candidate Tracker'!$C:$C,"&lt;&gt;Hold",'Candidate Tracker'!$C:$C,"&lt;&gt;Cancelled",'Candidate Tracker'!$C:$C,"&lt;&gt;Closed")/COUNTIFS('Candidate Tracker'!$E:$E,'Positions Tracker'!$B962)),"")</f>
        <v/>
      </c>
      <c r="BD962" s="30" t="str">
        <f t="shared" si="105"/>
        <v/>
      </c>
      <c r="BE962" s="30" t="str">
        <f t="shared" si="106"/>
        <v/>
      </c>
      <c r="BF962" s="30" t="str">
        <f t="shared" si="107"/>
        <v/>
      </c>
      <c r="BG962" s="30" t="str">
        <f t="shared" si="108"/>
        <v/>
      </c>
    </row>
    <row r="963" spans="1:59">
      <c r="A963" s="39"/>
      <c r="B963" s="39"/>
      <c r="C963" s="39"/>
      <c r="D963" s="39"/>
      <c r="E963" s="39"/>
      <c r="F963" s="39"/>
      <c r="G963" s="39"/>
      <c r="H963" s="39"/>
      <c r="I963" s="40"/>
      <c r="J963" s="40"/>
      <c r="K963" s="35"/>
      <c r="L963" s="35"/>
      <c r="M963" s="35"/>
      <c r="N963" s="39"/>
      <c r="O963" s="39"/>
      <c r="P963" s="39"/>
      <c r="Q963" s="39"/>
      <c r="R963" s="39"/>
      <c r="S963" s="39"/>
      <c r="T963" s="39"/>
      <c r="U963" s="39"/>
      <c r="V963" s="39"/>
      <c r="W963" s="39"/>
      <c r="X963" s="39"/>
      <c r="Y963" s="39"/>
      <c r="Z963" s="39"/>
      <c r="AA963" s="39"/>
      <c r="AB963" s="39"/>
      <c r="AC963" s="39"/>
      <c r="AD963" s="39"/>
      <c r="AE963" s="39"/>
      <c r="AF963" s="39"/>
      <c r="AG963" s="39"/>
      <c r="AH963" s="39"/>
      <c r="AI963" s="35"/>
      <c r="AJ963" s="39"/>
      <c r="AK963" s="39"/>
      <c r="AL963" s="39"/>
      <c r="AM963" s="35"/>
      <c r="AN963" s="35"/>
      <c r="AO963" s="39"/>
      <c r="AP963" s="39"/>
      <c r="AQ963" s="35"/>
      <c r="AR963" s="35"/>
      <c r="AS963" s="35"/>
      <c r="AT963" s="30">
        <f t="shared" ca="1" si="104"/>
        <v>0</v>
      </c>
      <c r="AU963" s="32" t="str">
        <f t="shared" ca="1" si="103"/>
        <v/>
      </c>
      <c r="AV963" s="32" t="str" cm="1">
        <f t="array" aca="1" ref="AV963" ca="1">IFERROR(_xlfn.IFS($AU963="","",$AU963&lt;=15,"0-15",AND($AU963&gt;=16,$AU963&lt;=30),"16-30",AND($AU963&gt;=31,$AU963&lt;=45),"31-45",AND($AU963&gt;=46,$AU963&lt;=60),"46-60",AND($AU963&gt;=61,$AU963&lt;=90),"61-90",AND($AU963&gt;=91),"&gt; 90",AND($AU963&gt;=2000),""),"")</f>
        <v/>
      </c>
      <c r="AW963" s="32" t="str" cm="1">
        <f t="array" aca="1" ref="AW963" ca="1">IFERROR(_xlfn.IFS(OR($M963="",$AM963=""),"",OR($C963="Offered",$C963="Joined"),($AM963-$M963)-$AT963),"")</f>
        <v/>
      </c>
      <c r="AX963" s="32" t="str" cm="1">
        <f t="array" aca="1" ref="AX963" ca="1">IFERROR(_xlfn.IFS(OR($M963="",$AS963=""),"",$C963="Joined",($AS963-$M963)-$AT963),"")</f>
        <v/>
      </c>
      <c r="AY963" s="30" t="str">
        <f>IFERROR(IF(COUNTIFS('Candidate Tracker'!$E:$E,'Positions Tracker'!$B963,'Candidate Tracker'!$C:$C,"Offer Drop")=0,"",COUNTIFS('Candidate Tracker'!$E:$E,'Positions Tracker'!$B963,'Candidate Tracker'!$C:$C,"Offer Drop")),"")</f>
        <v/>
      </c>
      <c r="AZ96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3" s="34" t="str">
        <f>IFERROR(IF(COUNTIFS('Candidate Tracker'!$E:$E,'Positions Tracker'!$B963,'Candidate Tracker'!$I:$I,"Female")=0,"",COUNTIFS('Candidate Tracker'!$E:$E,'Positions Tracker'!$B963,'Candidate Tracker'!$I:$I,"Female")),"")</f>
        <v/>
      </c>
      <c r="BB963" s="34" t="str">
        <f>IFERROR(IF(COUNTIFS('Candidate Tracker'!$E:$E,'Positions Tracker'!$B963,'Candidate Tracker'!$I:$I,"male")=0,"",COUNTIFS('Candidate Tracker'!$E:$E,'Positions Tracker'!$B963,'Candidate Tracker'!$I:$I,"male")),"")</f>
        <v/>
      </c>
      <c r="BC963" s="33" t="str">
        <f>IFERROR(IF(COUNTIFS('Candidate Tracker'!$E:$E,'Positions Tracker'!$B963,'Candidate Tracker'!$C:$C,"&lt;&gt;WIP",'Candidate Tracker'!$C:$C,"&lt;&gt;Hold",'Candidate Tracker'!$C:$C,"&lt;&gt;Cancelled",'Candidate Tracker'!$C:$C,"&lt;&gt;Closed")/COUNTIFS('Candidate Tracker'!$E:$E,'Positions Tracker'!$B963)=0,"",COUNTIFS('Candidate Tracker'!$E:$E,'Positions Tracker'!$B963,'Candidate Tracker'!$C:$C,"&lt;&gt;WIP",'Candidate Tracker'!$C:$C,"&lt;&gt;Hold",'Candidate Tracker'!$C:$C,"&lt;&gt;Cancelled",'Candidate Tracker'!$C:$C,"&lt;&gt;Closed")/COUNTIFS('Candidate Tracker'!$E:$E,'Positions Tracker'!$B963)),"")</f>
        <v/>
      </c>
      <c r="BD963" s="30" t="str">
        <f t="shared" si="105"/>
        <v/>
      </c>
      <c r="BE963" s="30" t="str">
        <f t="shared" si="106"/>
        <v/>
      </c>
      <c r="BF963" s="30" t="str">
        <f t="shared" si="107"/>
        <v/>
      </c>
      <c r="BG963" s="30" t="str">
        <f t="shared" si="108"/>
        <v/>
      </c>
    </row>
    <row r="964" spans="1:59">
      <c r="A964" s="39"/>
      <c r="B964" s="39"/>
      <c r="C964" s="39"/>
      <c r="D964" s="39"/>
      <c r="E964" s="39"/>
      <c r="F964" s="39"/>
      <c r="G964" s="39"/>
      <c r="H964" s="39"/>
      <c r="I964" s="40"/>
      <c r="J964" s="40"/>
      <c r="K964" s="35"/>
      <c r="L964" s="35"/>
      <c r="M964" s="35"/>
      <c r="N964" s="39"/>
      <c r="O964" s="39"/>
      <c r="P964" s="39"/>
      <c r="Q964" s="39"/>
      <c r="R964" s="39"/>
      <c r="S964" s="39"/>
      <c r="T964" s="39"/>
      <c r="U964" s="39"/>
      <c r="V964" s="39"/>
      <c r="W964" s="39"/>
      <c r="X964" s="39"/>
      <c r="Y964" s="39"/>
      <c r="Z964" s="39"/>
      <c r="AA964" s="39"/>
      <c r="AB964" s="39"/>
      <c r="AC964" s="39"/>
      <c r="AD964" s="39"/>
      <c r="AE964" s="39"/>
      <c r="AF964" s="39"/>
      <c r="AG964" s="39"/>
      <c r="AH964" s="39"/>
      <c r="AI964" s="35"/>
      <c r="AJ964" s="39"/>
      <c r="AK964" s="39"/>
      <c r="AL964" s="39"/>
      <c r="AM964" s="35"/>
      <c r="AN964" s="35"/>
      <c r="AO964" s="39"/>
      <c r="AP964" s="39"/>
      <c r="AQ964" s="35"/>
      <c r="AR964" s="35"/>
      <c r="AS964" s="35"/>
      <c r="AT964" s="30">
        <f t="shared" ca="1" si="104"/>
        <v>0</v>
      </c>
      <c r="AU964" s="32" t="str">
        <f t="shared" ca="1" si="103"/>
        <v/>
      </c>
      <c r="AV964" s="32" t="str" cm="1">
        <f t="array" aca="1" ref="AV964" ca="1">IFERROR(_xlfn.IFS($AU964="","",$AU964&lt;=15,"0-15",AND($AU964&gt;=16,$AU964&lt;=30),"16-30",AND($AU964&gt;=31,$AU964&lt;=45),"31-45",AND($AU964&gt;=46,$AU964&lt;=60),"46-60",AND($AU964&gt;=61,$AU964&lt;=90),"61-90",AND($AU964&gt;=91),"&gt; 90",AND($AU964&gt;=2000),""),"")</f>
        <v/>
      </c>
      <c r="AW964" s="32" t="str" cm="1">
        <f t="array" aca="1" ref="AW964" ca="1">IFERROR(_xlfn.IFS(OR($M964="",$AM964=""),"",OR($C964="Offered",$C964="Joined"),($AM964-$M964)-$AT964),"")</f>
        <v/>
      </c>
      <c r="AX964" s="32" t="str" cm="1">
        <f t="array" aca="1" ref="AX964" ca="1">IFERROR(_xlfn.IFS(OR($M964="",$AS964=""),"",$C964="Joined",($AS964-$M964)-$AT964),"")</f>
        <v/>
      </c>
      <c r="AY964" s="30" t="str">
        <f>IFERROR(IF(COUNTIFS('Candidate Tracker'!$E:$E,'Positions Tracker'!$B964,'Candidate Tracker'!$C:$C,"Offer Drop")=0,"",COUNTIFS('Candidate Tracker'!$E:$E,'Positions Tracker'!$B964,'Candidate Tracker'!$C:$C,"Offer Drop")),"")</f>
        <v/>
      </c>
      <c r="AZ96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4" s="34" t="str">
        <f>IFERROR(IF(COUNTIFS('Candidate Tracker'!$E:$E,'Positions Tracker'!$B964,'Candidate Tracker'!$I:$I,"Female")=0,"",COUNTIFS('Candidate Tracker'!$E:$E,'Positions Tracker'!$B964,'Candidate Tracker'!$I:$I,"Female")),"")</f>
        <v/>
      </c>
      <c r="BB964" s="34" t="str">
        <f>IFERROR(IF(COUNTIFS('Candidate Tracker'!$E:$E,'Positions Tracker'!$B964,'Candidate Tracker'!$I:$I,"male")=0,"",COUNTIFS('Candidate Tracker'!$E:$E,'Positions Tracker'!$B964,'Candidate Tracker'!$I:$I,"male")),"")</f>
        <v/>
      </c>
      <c r="BC964" s="33" t="str">
        <f>IFERROR(IF(COUNTIFS('Candidate Tracker'!$E:$E,'Positions Tracker'!$B964,'Candidate Tracker'!$C:$C,"&lt;&gt;WIP",'Candidate Tracker'!$C:$C,"&lt;&gt;Hold",'Candidate Tracker'!$C:$C,"&lt;&gt;Cancelled",'Candidate Tracker'!$C:$C,"&lt;&gt;Closed")/COUNTIFS('Candidate Tracker'!$E:$E,'Positions Tracker'!$B964)=0,"",COUNTIFS('Candidate Tracker'!$E:$E,'Positions Tracker'!$B964,'Candidate Tracker'!$C:$C,"&lt;&gt;WIP",'Candidate Tracker'!$C:$C,"&lt;&gt;Hold",'Candidate Tracker'!$C:$C,"&lt;&gt;Cancelled",'Candidate Tracker'!$C:$C,"&lt;&gt;Closed")/COUNTIFS('Candidate Tracker'!$E:$E,'Positions Tracker'!$B964)),"")</f>
        <v/>
      </c>
      <c r="BD964" s="30" t="str">
        <f t="shared" si="105"/>
        <v/>
      </c>
      <c r="BE964" s="30" t="str">
        <f t="shared" si="106"/>
        <v/>
      </c>
      <c r="BF964" s="30" t="str">
        <f t="shared" si="107"/>
        <v/>
      </c>
      <c r="BG964" s="30" t="str">
        <f t="shared" si="108"/>
        <v/>
      </c>
    </row>
    <row r="965" spans="1:59">
      <c r="A965" s="39"/>
      <c r="B965" s="39"/>
      <c r="C965" s="39"/>
      <c r="D965" s="39"/>
      <c r="E965" s="39"/>
      <c r="F965" s="39"/>
      <c r="G965" s="39"/>
      <c r="H965" s="39"/>
      <c r="I965" s="40"/>
      <c r="J965" s="40"/>
      <c r="K965" s="35"/>
      <c r="L965" s="35"/>
      <c r="M965" s="35"/>
      <c r="N965" s="39"/>
      <c r="O965" s="39"/>
      <c r="P965" s="39"/>
      <c r="Q965" s="39"/>
      <c r="R965" s="39"/>
      <c r="S965" s="39"/>
      <c r="T965" s="39"/>
      <c r="U965" s="39"/>
      <c r="V965" s="39"/>
      <c r="W965" s="39"/>
      <c r="X965" s="39"/>
      <c r="Y965" s="39"/>
      <c r="Z965" s="39"/>
      <c r="AA965" s="39"/>
      <c r="AB965" s="39"/>
      <c r="AC965" s="39"/>
      <c r="AD965" s="39"/>
      <c r="AE965" s="39"/>
      <c r="AF965" s="39"/>
      <c r="AG965" s="39"/>
      <c r="AH965" s="39"/>
      <c r="AI965" s="35"/>
      <c r="AJ965" s="39"/>
      <c r="AK965" s="39"/>
      <c r="AL965" s="39"/>
      <c r="AM965" s="35"/>
      <c r="AN965" s="35"/>
      <c r="AO965" s="39"/>
      <c r="AP965" s="39"/>
      <c r="AQ965" s="35"/>
      <c r="AR965" s="35"/>
      <c r="AS965" s="35"/>
      <c r="AT965" s="30">
        <f t="shared" ca="1" si="104"/>
        <v>0</v>
      </c>
      <c r="AU965" s="32" t="str">
        <f t="shared" ca="1" si="103"/>
        <v/>
      </c>
      <c r="AV965" s="32" t="str" cm="1">
        <f t="array" aca="1" ref="AV965" ca="1">IFERROR(_xlfn.IFS($AU965="","",$AU965&lt;=15,"0-15",AND($AU965&gt;=16,$AU965&lt;=30),"16-30",AND($AU965&gt;=31,$AU965&lt;=45),"31-45",AND($AU965&gt;=46,$AU965&lt;=60),"46-60",AND($AU965&gt;=61,$AU965&lt;=90),"61-90",AND($AU965&gt;=91),"&gt; 90",AND($AU965&gt;=2000),""),"")</f>
        <v/>
      </c>
      <c r="AW965" s="32" t="str" cm="1">
        <f t="array" aca="1" ref="AW965" ca="1">IFERROR(_xlfn.IFS(OR($M965="",$AM965=""),"",OR($C965="Offered",$C965="Joined"),($AM965-$M965)-$AT965),"")</f>
        <v/>
      </c>
      <c r="AX965" s="32" t="str" cm="1">
        <f t="array" aca="1" ref="AX965" ca="1">IFERROR(_xlfn.IFS(OR($M965="",$AS965=""),"",$C965="Joined",($AS965-$M965)-$AT965),"")</f>
        <v/>
      </c>
      <c r="AY965" s="30" t="str">
        <f>IFERROR(IF(COUNTIFS('Candidate Tracker'!$E:$E,'Positions Tracker'!$B965,'Candidate Tracker'!$C:$C,"Offer Drop")=0,"",COUNTIFS('Candidate Tracker'!$E:$E,'Positions Tracker'!$B965,'Candidate Tracker'!$C:$C,"Offer Drop")),"")</f>
        <v/>
      </c>
      <c r="AZ96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5" s="34" t="str">
        <f>IFERROR(IF(COUNTIFS('Candidate Tracker'!$E:$E,'Positions Tracker'!$B965,'Candidate Tracker'!$I:$I,"Female")=0,"",COUNTIFS('Candidate Tracker'!$E:$E,'Positions Tracker'!$B965,'Candidate Tracker'!$I:$I,"Female")),"")</f>
        <v/>
      </c>
      <c r="BB965" s="34" t="str">
        <f>IFERROR(IF(COUNTIFS('Candidate Tracker'!$E:$E,'Positions Tracker'!$B965,'Candidate Tracker'!$I:$I,"male")=0,"",COUNTIFS('Candidate Tracker'!$E:$E,'Positions Tracker'!$B965,'Candidate Tracker'!$I:$I,"male")),"")</f>
        <v/>
      </c>
      <c r="BC965" s="33" t="str">
        <f>IFERROR(IF(COUNTIFS('Candidate Tracker'!$E:$E,'Positions Tracker'!$B965,'Candidate Tracker'!$C:$C,"&lt;&gt;WIP",'Candidate Tracker'!$C:$C,"&lt;&gt;Hold",'Candidate Tracker'!$C:$C,"&lt;&gt;Cancelled",'Candidate Tracker'!$C:$C,"&lt;&gt;Closed")/COUNTIFS('Candidate Tracker'!$E:$E,'Positions Tracker'!$B965)=0,"",COUNTIFS('Candidate Tracker'!$E:$E,'Positions Tracker'!$B965,'Candidate Tracker'!$C:$C,"&lt;&gt;WIP",'Candidate Tracker'!$C:$C,"&lt;&gt;Hold",'Candidate Tracker'!$C:$C,"&lt;&gt;Cancelled",'Candidate Tracker'!$C:$C,"&lt;&gt;Closed")/COUNTIFS('Candidate Tracker'!$E:$E,'Positions Tracker'!$B965)),"")</f>
        <v/>
      </c>
      <c r="BD965" s="30" t="str">
        <f t="shared" si="105"/>
        <v/>
      </c>
      <c r="BE965" s="30" t="str">
        <f t="shared" si="106"/>
        <v/>
      </c>
      <c r="BF965" s="30" t="str">
        <f t="shared" si="107"/>
        <v/>
      </c>
      <c r="BG965" s="30" t="str">
        <f t="shared" si="108"/>
        <v/>
      </c>
    </row>
    <row r="966" spans="1:59">
      <c r="A966" s="39"/>
      <c r="B966" s="39"/>
      <c r="C966" s="39"/>
      <c r="D966" s="39"/>
      <c r="E966" s="39"/>
      <c r="F966" s="39"/>
      <c r="G966" s="39"/>
      <c r="H966" s="39"/>
      <c r="I966" s="40"/>
      <c r="J966" s="40"/>
      <c r="K966" s="35"/>
      <c r="L966" s="35"/>
      <c r="M966" s="35"/>
      <c r="N966" s="39"/>
      <c r="O966" s="39"/>
      <c r="P966" s="39"/>
      <c r="Q966" s="39"/>
      <c r="R966" s="39"/>
      <c r="S966" s="39"/>
      <c r="T966" s="39"/>
      <c r="U966" s="39"/>
      <c r="V966" s="39"/>
      <c r="W966" s="39"/>
      <c r="X966" s="39"/>
      <c r="Y966" s="39"/>
      <c r="Z966" s="39"/>
      <c r="AA966" s="39"/>
      <c r="AB966" s="39"/>
      <c r="AC966" s="39"/>
      <c r="AD966" s="39"/>
      <c r="AE966" s="39"/>
      <c r="AF966" s="39"/>
      <c r="AG966" s="39"/>
      <c r="AH966" s="39"/>
      <c r="AI966" s="35"/>
      <c r="AJ966" s="39"/>
      <c r="AK966" s="39"/>
      <c r="AL966" s="39"/>
      <c r="AM966" s="35"/>
      <c r="AN966" s="35"/>
      <c r="AO966" s="39"/>
      <c r="AP966" s="39"/>
      <c r="AQ966" s="35"/>
      <c r="AR966" s="35"/>
      <c r="AS966" s="35"/>
      <c r="AT966" s="30">
        <f t="shared" ca="1" si="104"/>
        <v>0</v>
      </c>
      <c r="AU966" s="32" t="str">
        <f t="shared" ca="1" si="103"/>
        <v/>
      </c>
      <c r="AV966" s="32" t="str" cm="1">
        <f t="array" aca="1" ref="AV966" ca="1">IFERROR(_xlfn.IFS($AU966="","",$AU966&lt;=15,"0-15",AND($AU966&gt;=16,$AU966&lt;=30),"16-30",AND($AU966&gt;=31,$AU966&lt;=45),"31-45",AND($AU966&gt;=46,$AU966&lt;=60),"46-60",AND($AU966&gt;=61,$AU966&lt;=90),"61-90",AND($AU966&gt;=91),"&gt; 90",AND($AU966&gt;=2000),""),"")</f>
        <v/>
      </c>
      <c r="AW966" s="32" t="str" cm="1">
        <f t="array" aca="1" ref="AW966" ca="1">IFERROR(_xlfn.IFS(OR($M966="",$AM966=""),"",OR($C966="Offered",$C966="Joined"),($AM966-$M966)-$AT966),"")</f>
        <v/>
      </c>
      <c r="AX966" s="32" t="str" cm="1">
        <f t="array" aca="1" ref="AX966" ca="1">IFERROR(_xlfn.IFS(OR($M966="",$AS966=""),"",$C966="Joined",($AS966-$M966)-$AT966),"")</f>
        <v/>
      </c>
      <c r="AY966" s="30" t="str">
        <f>IFERROR(IF(COUNTIFS('Candidate Tracker'!$E:$E,'Positions Tracker'!$B966,'Candidate Tracker'!$C:$C,"Offer Drop")=0,"",COUNTIFS('Candidate Tracker'!$E:$E,'Positions Tracker'!$B966,'Candidate Tracker'!$C:$C,"Offer Drop")),"")</f>
        <v/>
      </c>
      <c r="AZ96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6" s="34" t="str">
        <f>IFERROR(IF(COUNTIFS('Candidate Tracker'!$E:$E,'Positions Tracker'!$B966,'Candidate Tracker'!$I:$I,"Female")=0,"",COUNTIFS('Candidate Tracker'!$E:$E,'Positions Tracker'!$B966,'Candidate Tracker'!$I:$I,"Female")),"")</f>
        <v/>
      </c>
      <c r="BB966" s="34" t="str">
        <f>IFERROR(IF(COUNTIFS('Candidate Tracker'!$E:$E,'Positions Tracker'!$B966,'Candidate Tracker'!$I:$I,"male")=0,"",COUNTIFS('Candidate Tracker'!$E:$E,'Positions Tracker'!$B966,'Candidate Tracker'!$I:$I,"male")),"")</f>
        <v/>
      </c>
      <c r="BC966" s="33" t="str">
        <f>IFERROR(IF(COUNTIFS('Candidate Tracker'!$E:$E,'Positions Tracker'!$B966,'Candidate Tracker'!$C:$C,"&lt;&gt;WIP",'Candidate Tracker'!$C:$C,"&lt;&gt;Hold",'Candidate Tracker'!$C:$C,"&lt;&gt;Cancelled",'Candidate Tracker'!$C:$C,"&lt;&gt;Closed")/COUNTIFS('Candidate Tracker'!$E:$E,'Positions Tracker'!$B966)=0,"",COUNTIFS('Candidate Tracker'!$E:$E,'Positions Tracker'!$B966,'Candidate Tracker'!$C:$C,"&lt;&gt;WIP",'Candidate Tracker'!$C:$C,"&lt;&gt;Hold",'Candidate Tracker'!$C:$C,"&lt;&gt;Cancelled",'Candidate Tracker'!$C:$C,"&lt;&gt;Closed")/COUNTIFS('Candidate Tracker'!$E:$E,'Positions Tracker'!$B966)),"")</f>
        <v/>
      </c>
      <c r="BD966" s="30" t="str">
        <f t="shared" si="105"/>
        <v/>
      </c>
      <c r="BE966" s="30" t="str">
        <f t="shared" si="106"/>
        <v/>
      </c>
      <c r="BF966" s="30" t="str">
        <f t="shared" si="107"/>
        <v/>
      </c>
      <c r="BG966" s="30" t="str">
        <f t="shared" si="108"/>
        <v/>
      </c>
    </row>
    <row r="967" spans="1:59">
      <c r="A967" s="39"/>
      <c r="B967" s="39"/>
      <c r="C967" s="39"/>
      <c r="D967" s="39"/>
      <c r="E967" s="39"/>
      <c r="F967" s="39"/>
      <c r="G967" s="39"/>
      <c r="H967" s="39"/>
      <c r="I967" s="40"/>
      <c r="J967" s="40"/>
      <c r="K967" s="35"/>
      <c r="L967" s="35"/>
      <c r="M967" s="35"/>
      <c r="N967" s="39"/>
      <c r="O967" s="39"/>
      <c r="P967" s="39"/>
      <c r="Q967" s="39"/>
      <c r="R967" s="39"/>
      <c r="S967" s="39"/>
      <c r="T967" s="39"/>
      <c r="U967" s="39"/>
      <c r="V967" s="39"/>
      <c r="W967" s="39"/>
      <c r="X967" s="39"/>
      <c r="Y967" s="39"/>
      <c r="Z967" s="39"/>
      <c r="AA967" s="39"/>
      <c r="AB967" s="39"/>
      <c r="AC967" s="39"/>
      <c r="AD967" s="39"/>
      <c r="AE967" s="39"/>
      <c r="AF967" s="39"/>
      <c r="AG967" s="39"/>
      <c r="AH967" s="39"/>
      <c r="AI967" s="35"/>
      <c r="AJ967" s="39"/>
      <c r="AK967" s="39"/>
      <c r="AL967" s="39"/>
      <c r="AM967" s="35"/>
      <c r="AN967" s="35"/>
      <c r="AO967" s="39"/>
      <c r="AP967" s="39"/>
      <c r="AQ967" s="35"/>
      <c r="AR967" s="35"/>
      <c r="AS967" s="35"/>
      <c r="AT967" s="30">
        <f t="shared" ca="1" si="104"/>
        <v>0</v>
      </c>
      <c r="AU967" s="32" t="str">
        <f t="shared" ca="1" si="103"/>
        <v/>
      </c>
      <c r="AV967" s="32" t="str" cm="1">
        <f t="array" aca="1" ref="AV967" ca="1">IFERROR(_xlfn.IFS($AU967="","",$AU967&lt;=15,"0-15",AND($AU967&gt;=16,$AU967&lt;=30),"16-30",AND($AU967&gt;=31,$AU967&lt;=45),"31-45",AND($AU967&gt;=46,$AU967&lt;=60),"46-60",AND($AU967&gt;=61,$AU967&lt;=90),"61-90",AND($AU967&gt;=91),"&gt; 90",AND($AU967&gt;=2000),""),"")</f>
        <v/>
      </c>
      <c r="AW967" s="32" t="str" cm="1">
        <f t="array" aca="1" ref="AW967" ca="1">IFERROR(_xlfn.IFS(OR($M967="",$AM967=""),"",OR($C967="Offered",$C967="Joined"),($AM967-$M967)-$AT967),"")</f>
        <v/>
      </c>
      <c r="AX967" s="32" t="str" cm="1">
        <f t="array" aca="1" ref="AX967" ca="1">IFERROR(_xlfn.IFS(OR($M967="",$AS967=""),"",$C967="Joined",($AS967-$M967)-$AT967),"")</f>
        <v/>
      </c>
      <c r="AY967" s="30" t="str">
        <f>IFERROR(IF(COUNTIFS('Candidate Tracker'!$E:$E,'Positions Tracker'!$B967,'Candidate Tracker'!$C:$C,"Offer Drop")=0,"",COUNTIFS('Candidate Tracker'!$E:$E,'Positions Tracker'!$B967,'Candidate Tracker'!$C:$C,"Offer Drop")),"")</f>
        <v/>
      </c>
      <c r="AZ96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7" s="34" t="str">
        <f>IFERROR(IF(COUNTIFS('Candidate Tracker'!$E:$E,'Positions Tracker'!$B967,'Candidate Tracker'!$I:$I,"Female")=0,"",COUNTIFS('Candidate Tracker'!$E:$E,'Positions Tracker'!$B967,'Candidate Tracker'!$I:$I,"Female")),"")</f>
        <v/>
      </c>
      <c r="BB967" s="34" t="str">
        <f>IFERROR(IF(COUNTIFS('Candidate Tracker'!$E:$E,'Positions Tracker'!$B967,'Candidate Tracker'!$I:$I,"male")=0,"",COUNTIFS('Candidate Tracker'!$E:$E,'Positions Tracker'!$B967,'Candidate Tracker'!$I:$I,"male")),"")</f>
        <v/>
      </c>
      <c r="BC967" s="33" t="str">
        <f>IFERROR(IF(COUNTIFS('Candidate Tracker'!$E:$E,'Positions Tracker'!$B967,'Candidate Tracker'!$C:$C,"&lt;&gt;WIP",'Candidate Tracker'!$C:$C,"&lt;&gt;Hold",'Candidate Tracker'!$C:$C,"&lt;&gt;Cancelled",'Candidate Tracker'!$C:$C,"&lt;&gt;Closed")/COUNTIFS('Candidate Tracker'!$E:$E,'Positions Tracker'!$B967)=0,"",COUNTIFS('Candidate Tracker'!$E:$E,'Positions Tracker'!$B967,'Candidate Tracker'!$C:$C,"&lt;&gt;WIP",'Candidate Tracker'!$C:$C,"&lt;&gt;Hold",'Candidate Tracker'!$C:$C,"&lt;&gt;Cancelled",'Candidate Tracker'!$C:$C,"&lt;&gt;Closed")/COUNTIFS('Candidate Tracker'!$E:$E,'Positions Tracker'!$B967)),"")</f>
        <v/>
      </c>
      <c r="BD967" s="30" t="str">
        <f t="shared" si="105"/>
        <v/>
      </c>
      <c r="BE967" s="30" t="str">
        <f t="shared" si="106"/>
        <v/>
      </c>
      <c r="BF967" s="30" t="str">
        <f t="shared" si="107"/>
        <v/>
      </c>
      <c r="BG967" s="30" t="str">
        <f t="shared" si="108"/>
        <v/>
      </c>
    </row>
    <row r="968" spans="1:59">
      <c r="A968" s="39"/>
      <c r="B968" s="39"/>
      <c r="C968" s="39"/>
      <c r="D968" s="39"/>
      <c r="E968" s="39"/>
      <c r="F968" s="39"/>
      <c r="G968" s="39"/>
      <c r="H968" s="39"/>
      <c r="I968" s="40"/>
      <c r="J968" s="40"/>
      <c r="K968" s="35"/>
      <c r="L968" s="35"/>
      <c r="M968" s="35"/>
      <c r="N968" s="39"/>
      <c r="O968" s="39"/>
      <c r="P968" s="39"/>
      <c r="Q968" s="39"/>
      <c r="R968" s="39"/>
      <c r="S968" s="39"/>
      <c r="T968" s="39"/>
      <c r="U968" s="39"/>
      <c r="V968" s="39"/>
      <c r="W968" s="39"/>
      <c r="X968" s="39"/>
      <c r="Y968" s="39"/>
      <c r="Z968" s="39"/>
      <c r="AA968" s="39"/>
      <c r="AB968" s="39"/>
      <c r="AC968" s="39"/>
      <c r="AD968" s="39"/>
      <c r="AE968" s="39"/>
      <c r="AF968" s="39"/>
      <c r="AG968" s="39"/>
      <c r="AH968" s="39"/>
      <c r="AI968" s="35"/>
      <c r="AJ968" s="39"/>
      <c r="AK968" s="39"/>
      <c r="AL968" s="39"/>
      <c r="AM968" s="35"/>
      <c r="AN968" s="35"/>
      <c r="AO968" s="39"/>
      <c r="AP968" s="39"/>
      <c r="AQ968" s="35"/>
      <c r="AR968" s="35"/>
      <c r="AS968" s="35"/>
      <c r="AT968" s="30">
        <f t="shared" ca="1" si="104"/>
        <v>0</v>
      </c>
      <c r="AU968" s="32" t="str">
        <f t="shared" ca="1" si="103"/>
        <v/>
      </c>
      <c r="AV968" s="32" t="str" cm="1">
        <f t="array" aca="1" ref="AV968" ca="1">IFERROR(_xlfn.IFS($AU968="","",$AU968&lt;=15,"0-15",AND($AU968&gt;=16,$AU968&lt;=30),"16-30",AND($AU968&gt;=31,$AU968&lt;=45),"31-45",AND($AU968&gt;=46,$AU968&lt;=60),"46-60",AND($AU968&gt;=61,$AU968&lt;=90),"61-90",AND($AU968&gt;=91),"&gt; 90",AND($AU968&gt;=2000),""),"")</f>
        <v/>
      </c>
      <c r="AW968" s="32" t="str" cm="1">
        <f t="array" aca="1" ref="AW968" ca="1">IFERROR(_xlfn.IFS(OR($M968="",$AM968=""),"",OR($C968="Offered",$C968="Joined"),($AM968-$M968)-$AT968),"")</f>
        <v/>
      </c>
      <c r="AX968" s="32" t="str" cm="1">
        <f t="array" aca="1" ref="AX968" ca="1">IFERROR(_xlfn.IFS(OR($M968="",$AS968=""),"",$C968="Joined",($AS968-$M968)-$AT968),"")</f>
        <v/>
      </c>
      <c r="AY968" s="30" t="str">
        <f>IFERROR(IF(COUNTIFS('Candidate Tracker'!$E:$E,'Positions Tracker'!$B968,'Candidate Tracker'!$C:$C,"Offer Drop")=0,"",COUNTIFS('Candidate Tracker'!$E:$E,'Positions Tracker'!$B968,'Candidate Tracker'!$C:$C,"Offer Drop")),"")</f>
        <v/>
      </c>
      <c r="AZ96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8" s="34" t="str">
        <f>IFERROR(IF(COUNTIFS('Candidate Tracker'!$E:$E,'Positions Tracker'!$B968,'Candidate Tracker'!$I:$I,"Female")=0,"",COUNTIFS('Candidate Tracker'!$E:$E,'Positions Tracker'!$B968,'Candidate Tracker'!$I:$I,"Female")),"")</f>
        <v/>
      </c>
      <c r="BB968" s="34" t="str">
        <f>IFERROR(IF(COUNTIFS('Candidate Tracker'!$E:$E,'Positions Tracker'!$B968,'Candidate Tracker'!$I:$I,"male")=0,"",COUNTIFS('Candidate Tracker'!$E:$E,'Positions Tracker'!$B968,'Candidate Tracker'!$I:$I,"male")),"")</f>
        <v/>
      </c>
      <c r="BC968" s="33" t="str">
        <f>IFERROR(IF(COUNTIFS('Candidate Tracker'!$E:$E,'Positions Tracker'!$B968,'Candidate Tracker'!$C:$C,"&lt;&gt;WIP",'Candidate Tracker'!$C:$C,"&lt;&gt;Hold",'Candidate Tracker'!$C:$C,"&lt;&gt;Cancelled",'Candidate Tracker'!$C:$C,"&lt;&gt;Closed")/COUNTIFS('Candidate Tracker'!$E:$E,'Positions Tracker'!$B968)=0,"",COUNTIFS('Candidate Tracker'!$E:$E,'Positions Tracker'!$B968,'Candidate Tracker'!$C:$C,"&lt;&gt;WIP",'Candidate Tracker'!$C:$C,"&lt;&gt;Hold",'Candidate Tracker'!$C:$C,"&lt;&gt;Cancelled",'Candidate Tracker'!$C:$C,"&lt;&gt;Closed")/COUNTIFS('Candidate Tracker'!$E:$E,'Positions Tracker'!$B968)),"")</f>
        <v/>
      </c>
      <c r="BD968" s="30" t="str">
        <f t="shared" si="105"/>
        <v/>
      </c>
      <c r="BE968" s="30" t="str">
        <f t="shared" si="106"/>
        <v/>
      </c>
      <c r="BF968" s="30" t="str">
        <f t="shared" si="107"/>
        <v/>
      </c>
      <c r="BG968" s="30" t="str">
        <f t="shared" si="108"/>
        <v/>
      </c>
    </row>
    <row r="969" spans="1:59">
      <c r="A969" s="39"/>
      <c r="B969" s="39"/>
      <c r="C969" s="39"/>
      <c r="D969" s="39"/>
      <c r="E969" s="39"/>
      <c r="F969" s="39"/>
      <c r="G969" s="39"/>
      <c r="H969" s="39"/>
      <c r="I969" s="40"/>
      <c r="J969" s="40"/>
      <c r="K969" s="35"/>
      <c r="L969" s="35"/>
      <c r="M969" s="35"/>
      <c r="N969" s="39"/>
      <c r="O969" s="39"/>
      <c r="P969" s="39"/>
      <c r="Q969" s="39"/>
      <c r="R969" s="39"/>
      <c r="S969" s="39"/>
      <c r="T969" s="39"/>
      <c r="U969" s="39"/>
      <c r="V969" s="39"/>
      <c r="W969" s="39"/>
      <c r="X969" s="39"/>
      <c r="Y969" s="39"/>
      <c r="Z969" s="39"/>
      <c r="AA969" s="39"/>
      <c r="AB969" s="39"/>
      <c r="AC969" s="39"/>
      <c r="AD969" s="39"/>
      <c r="AE969" s="39"/>
      <c r="AF969" s="39"/>
      <c r="AG969" s="39"/>
      <c r="AH969" s="39"/>
      <c r="AI969" s="35"/>
      <c r="AJ969" s="39"/>
      <c r="AK969" s="39"/>
      <c r="AL969" s="39"/>
      <c r="AM969" s="35"/>
      <c r="AN969" s="35"/>
      <c r="AO969" s="39"/>
      <c r="AP969" s="39"/>
      <c r="AQ969" s="35"/>
      <c r="AR969" s="35"/>
      <c r="AS969" s="35"/>
      <c r="AT969" s="30">
        <f t="shared" ca="1" si="104"/>
        <v>0</v>
      </c>
      <c r="AU969" s="32" t="str">
        <f t="shared" ca="1" si="103"/>
        <v/>
      </c>
      <c r="AV969" s="32" t="str" cm="1">
        <f t="array" aca="1" ref="AV969" ca="1">IFERROR(_xlfn.IFS($AU969="","",$AU969&lt;=15,"0-15",AND($AU969&gt;=16,$AU969&lt;=30),"16-30",AND($AU969&gt;=31,$AU969&lt;=45),"31-45",AND($AU969&gt;=46,$AU969&lt;=60),"46-60",AND($AU969&gt;=61,$AU969&lt;=90),"61-90",AND($AU969&gt;=91),"&gt; 90",AND($AU969&gt;=2000),""),"")</f>
        <v/>
      </c>
      <c r="AW969" s="32" t="str" cm="1">
        <f t="array" aca="1" ref="AW969" ca="1">IFERROR(_xlfn.IFS(OR($M969="",$AM969=""),"",OR($C969="Offered",$C969="Joined"),($AM969-$M969)-$AT969),"")</f>
        <v/>
      </c>
      <c r="AX969" s="32" t="str" cm="1">
        <f t="array" aca="1" ref="AX969" ca="1">IFERROR(_xlfn.IFS(OR($M969="",$AS969=""),"",$C969="Joined",($AS969-$M969)-$AT969),"")</f>
        <v/>
      </c>
      <c r="AY969" s="30" t="str">
        <f>IFERROR(IF(COUNTIFS('Candidate Tracker'!$E:$E,'Positions Tracker'!$B969,'Candidate Tracker'!$C:$C,"Offer Drop")=0,"",COUNTIFS('Candidate Tracker'!$E:$E,'Positions Tracker'!$B969,'Candidate Tracker'!$C:$C,"Offer Drop")),"")</f>
        <v/>
      </c>
      <c r="AZ96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69" s="34" t="str">
        <f>IFERROR(IF(COUNTIFS('Candidate Tracker'!$E:$E,'Positions Tracker'!$B969,'Candidate Tracker'!$I:$I,"Female")=0,"",COUNTIFS('Candidate Tracker'!$E:$E,'Positions Tracker'!$B969,'Candidate Tracker'!$I:$I,"Female")),"")</f>
        <v/>
      </c>
      <c r="BB969" s="34" t="str">
        <f>IFERROR(IF(COUNTIFS('Candidate Tracker'!$E:$E,'Positions Tracker'!$B969,'Candidate Tracker'!$I:$I,"male")=0,"",COUNTIFS('Candidate Tracker'!$E:$E,'Positions Tracker'!$B969,'Candidate Tracker'!$I:$I,"male")),"")</f>
        <v/>
      </c>
      <c r="BC969" s="33" t="str">
        <f>IFERROR(IF(COUNTIFS('Candidate Tracker'!$E:$E,'Positions Tracker'!$B969,'Candidate Tracker'!$C:$C,"&lt;&gt;WIP",'Candidate Tracker'!$C:$C,"&lt;&gt;Hold",'Candidate Tracker'!$C:$C,"&lt;&gt;Cancelled",'Candidate Tracker'!$C:$C,"&lt;&gt;Closed")/COUNTIFS('Candidate Tracker'!$E:$E,'Positions Tracker'!$B969)=0,"",COUNTIFS('Candidate Tracker'!$E:$E,'Positions Tracker'!$B969,'Candidate Tracker'!$C:$C,"&lt;&gt;WIP",'Candidate Tracker'!$C:$C,"&lt;&gt;Hold",'Candidate Tracker'!$C:$C,"&lt;&gt;Cancelled",'Candidate Tracker'!$C:$C,"&lt;&gt;Closed")/COUNTIFS('Candidate Tracker'!$E:$E,'Positions Tracker'!$B969)),"")</f>
        <v/>
      </c>
      <c r="BD969" s="30" t="str">
        <f t="shared" si="105"/>
        <v/>
      </c>
      <c r="BE969" s="30" t="str">
        <f t="shared" si="106"/>
        <v/>
      </c>
      <c r="BF969" s="30" t="str">
        <f t="shared" si="107"/>
        <v/>
      </c>
      <c r="BG969" s="30" t="str">
        <f t="shared" si="108"/>
        <v/>
      </c>
    </row>
    <row r="970" spans="1:59">
      <c r="A970" s="39"/>
      <c r="B970" s="39"/>
      <c r="C970" s="39"/>
      <c r="D970" s="39"/>
      <c r="E970" s="39"/>
      <c r="F970" s="39"/>
      <c r="G970" s="39"/>
      <c r="H970" s="39"/>
      <c r="I970" s="40"/>
      <c r="J970" s="40"/>
      <c r="K970" s="35"/>
      <c r="L970" s="35"/>
      <c r="M970" s="35"/>
      <c r="N970" s="39"/>
      <c r="O970" s="39"/>
      <c r="P970" s="39"/>
      <c r="Q970" s="39"/>
      <c r="R970" s="39"/>
      <c r="S970" s="39"/>
      <c r="T970" s="39"/>
      <c r="U970" s="39"/>
      <c r="V970" s="39"/>
      <c r="W970" s="39"/>
      <c r="X970" s="39"/>
      <c r="Y970" s="39"/>
      <c r="Z970" s="39"/>
      <c r="AA970" s="39"/>
      <c r="AB970" s="39"/>
      <c r="AC970" s="39"/>
      <c r="AD970" s="39"/>
      <c r="AE970" s="39"/>
      <c r="AF970" s="39"/>
      <c r="AG970" s="39"/>
      <c r="AH970" s="39"/>
      <c r="AI970" s="35"/>
      <c r="AJ970" s="39"/>
      <c r="AK970" s="39"/>
      <c r="AL970" s="39"/>
      <c r="AM970" s="35"/>
      <c r="AN970" s="35"/>
      <c r="AO970" s="39"/>
      <c r="AP970" s="39"/>
      <c r="AQ970" s="35"/>
      <c r="AR970" s="35"/>
      <c r="AS970" s="35"/>
      <c r="AT970" s="30">
        <f t="shared" ca="1" si="104"/>
        <v>0</v>
      </c>
      <c r="AU970" s="32" t="str">
        <f t="shared" ca="1" si="103"/>
        <v/>
      </c>
      <c r="AV970" s="32" t="str" cm="1">
        <f t="array" aca="1" ref="AV970" ca="1">IFERROR(_xlfn.IFS($AU970="","",$AU970&lt;=15,"0-15",AND($AU970&gt;=16,$AU970&lt;=30),"16-30",AND($AU970&gt;=31,$AU970&lt;=45),"31-45",AND($AU970&gt;=46,$AU970&lt;=60),"46-60",AND($AU970&gt;=61,$AU970&lt;=90),"61-90",AND($AU970&gt;=91),"&gt; 90",AND($AU970&gt;=2000),""),"")</f>
        <v/>
      </c>
      <c r="AW970" s="32" t="str" cm="1">
        <f t="array" aca="1" ref="AW970" ca="1">IFERROR(_xlfn.IFS(OR($M970="",$AM970=""),"",OR($C970="Offered",$C970="Joined"),($AM970-$M970)-$AT970),"")</f>
        <v/>
      </c>
      <c r="AX970" s="32" t="str" cm="1">
        <f t="array" aca="1" ref="AX970" ca="1">IFERROR(_xlfn.IFS(OR($M970="",$AS970=""),"",$C970="Joined",($AS970-$M970)-$AT970),"")</f>
        <v/>
      </c>
      <c r="AY970" s="30" t="str">
        <f>IFERROR(IF(COUNTIFS('Candidate Tracker'!$E:$E,'Positions Tracker'!$B970,'Candidate Tracker'!$C:$C,"Offer Drop")=0,"",COUNTIFS('Candidate Tracker'!$E:$E,'Positions Tracker'!$B970,'Candidate Tracker'!$C:$C,"Offer Drop")),"")</f>
        <v/>
      </c>
      <c r="AZ97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0" s="34" t="str">
        <f>IFERROR(IF(COUNTIFS('Candidate Tracker'!$E:$E,'Positions Tracker'!$B970,'Candidate Tracker'!$I:$I,"Female")=0,"",COUNTIFS('Candidate Tracker'!$E:$E,'Positions Tracker'!$B970,'Candidate Tracker'!$I:$I,"Female")),"")</f>
        <v/>
      </c>
      <c r="BB970" s="34" t="str">
        <f>IFERROR(IF(COUNTIFS('Candidate Tracker'!$E:$E,'Positions Tracker'!$B970,'Candidate Tracker'!$I:$I,"male")=0,"",COUNTIFS('Candidate Tracker'!$E:$E,'Positions Tracker'!$B970,'Candidate Tracker'!$I:$I,"male")),"")</f>
        <v/>
      </c>
      <c r="BC970" s="33" t="str">
        <f>IFERROR(IF(COUNTIFS('Candidate Tracker'!$E:$E,'Positions Tracker'!$B970,'Candidate Tracker'!$C:$C,"&lt;&gt;WIP",'Candidate Tracker'!$C:$C,"&lt;&gt;Hold",'Candidate Tracker'!$C:$C,"&lt;&gt;Cancelled",'Candidate Tracker'!$C:$C,"&lt;&gt;Closed")/COUNTIFS('Candidate Tracker'!$E:$E,'Positions Tracker'!$B970)=0,"",COUNTIFS('Candidate Tracker'!$E:$E,'Positions Tracker'!$B970,'Candidate Tracker'!$C:$C,"&lt;&gt;WIP",'Candidate Tracker'!$C:$C,"&lt;&gt;Hold",'Candidate Tracker'!$C:$C,"&lt;&gt;Cancelled",'Candidate Tracker'!$C:$C,"&lt;&gt;Closed")/COUNTIFS('Candidate Tracker'!$E:$E,'Positions Tracker'!$B970)),"")</f>
        <v/>
      </c>
      <c r="BD970" s="30" t="str">
        <f t="shared" si="105"/>
        <v/>
      </c>
      <c r="BE970" s="30" t="str">
        <f t="shared" si="106"/>
        <v/>
      </c>
      <c r="BF970" s="30" t="str">
        <f t="shared" si="107"/>
        <v/>
      </c>
      <c r="BG970" s="30" t="str">
        <f t="shared" si="108"/>
        <v/>
      </c>
    </row>
    <row r="971" spans="1:59">
      <c r="A971" s="39"/>
      <c r="B971" s="39"/>
      <c r="C971" s="39"/>
      <c r="D971" s="39"/>
      <c r="E971" s="39"/>
      <c r="F971" s="39"/>
      <c r="G971" s="39"/>
      <c r="H971" s="39"/>
      <c r="I971" s="40"/>
      <c r="J971" s="40"/>
      <c r="K971" s="35"/>
      <c r="L971" s="35"/>
      <c r="M971" s="35"/>
      <c r="N971" s="39"/>
      <c r="O971" s="39"/>
      <c r="P971" s="39"/>
      <c r="Q971" s="39"/>
      <c r="R971" s="39"/>
      <c r="S971" s="39"/>
      <c r="T971" s="39"/>
      <c r="U971" s="39"/>
      <c r="V971" s="39"/>
      <c r="W971" s="39"/>
      <c r="X971" s="39"/>
      <c r="Y971" s="39"/>
      <c r="Z971" s="39"/>
      <c r="AA971" s="39"/>
      <c r="AB971" s="39"/>
      <c r="AC971" s="39"/>
      <c r="AD971" s="39"/>
      <c r="AE971" s="39"/>
      <c r="AF971" s="39"/>
      <c r="AG971" s="39"/>
      <c r="AH971" s="39"/>
      <c r="AI971" s="35"/>
      <c r="AJ971" s="39"/>
      <c r="AK971" s="39"/>
      <c r="AL971" s="39"/>
      <c r="AM971" s="35"/>
      <c r="AN971" s="35"/>
      <c r="AO971" s="39"/>
      <c r="AP971" s="39"/>
      <c r="AQ971" s="35"/>
      <c r="AR971" s="35"/>
      <c r="AS971" s="35"/>
      <c r="AT971" s="30">
        <f t="shared" ca="1" si="104"/>
        <v>0</v>
      </c>
      <c r="AU971" s="32" t="str">
        <f t="shared" ca="1" si="103"/>
        <v/>
      </c>
      <c r="AV971" s="32" t="str" cm="1">
        <f t="array" aca="1" ref="AV971" ca="1">IFERROR(_xlfn.IFS($AU971="","",$AU971&lt;=15,"0-15",AND($AU971&gt;=16,$AU971&lt;=30),"16-30",AND($AU971&gt;=31,$AU971&lt;=45),"31-45",AND($AU971&gt;=46,$AU971&lt;=60),"46-60",AND($AU971&gt;=61,$AU971&lt;=90),"61-90",AND($AU971&gt;=91),"&gt; 90",AND($AU971&gt;=2000),""),"")</f>
        <v/>
      </c>
      <c r="AW971" s="32" t="str" cm="1">
        <f t="array" aca="1" ref="AW971" ca="1">IFERROR(_xlfn.IFS(OR($M971="",$AM971=""),"",OR($C971="Offered",$C971="Joined"),($AM971-$M971)-$AT971),"")</f>
        <v/>
      </c>
      <c r="AX971" s="32" t="str" cm="1">
        <f t="array" aca="1" ref="AX971" ca="1">IFERROR(_xlfn.IFS(OR($M971="",$AS971=""),"",$C971="Joined",($AS971-$M971)-$AT971),"")</f>
        <v/>
      </c>
      <c r="AY971" s="30" t="str">
        <f>IFERROR(IF(COUNTIFS('Candidate Tracker'!$E:$E,'Positions Tracker'!$B971,'Candidate Tracker'!$C:$C,"Offer Drop")=0,"",COUNTIFS('Candidate Tracker'!$E:$E,'Positions Tracker'!$B971,'Candidate Tracker'!$C:$C,"Offer Drop")),"")</f>
        <v/>
      </c>
      <c r="AZ97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1" s="34" t="str">
        <f>IFERROR(IF(COUNTIFS('Candidate Tracker'!$E:$E,'Positions Tracker'!$B971,'Candidate Tracker'!$I:$I,"Female")=0,"",COUNTIFS('Candidate Tracker'!$E:$E,'Positions Tracker'!$B971,'Candidate Tracker'!$I:$I,"Female")),"")</f>
        <v/>
      </c>
      <c r="BB971" s="34" t="str">
        <f>IFERROR(IF(COUNTIFS('Candidate Tracker'!$E:$E,'Positions Tracker'!$B971,'Candidate Tracker'!$I:$I,"male")=0,"",COUNTIFS('Candidate Tracker'!$E:$E,'Positions Tracker'!$B971,'Candidate Tracker'!$I:$I,"male")),"")</f>
        <v/>
      </c>
      <c r="BC971" s="33" t="str">
        <f>IFERROR(IF(COUNTIFS('Candidate Tracker'!$E:$E,'Positions Tracker'!$B971,'Candidate Tracker'!$C:$C,"&lt;&gt;WIP",'Candidate Tracker'!$C:$C,"&lt;&gt;Hold",'Candidate Tracker'!$C:$C,"&lt;&gt;Cancelled",'Candidate Tracker'!$C:$C,"&lt;&gt;Closed")/COUNTIFS('Candidate Tracker'!$E:$E,'Positions Tracker'!$B971)=0,"",COUNTIFS('Candidate Tracker'!$E:$E,'Positions Tracker'!$B971,'Candidate Tracker'!$C:$C,"&lt;&gt;WIP",'Candidate Tracker'!$C:$C,"&lt;&gt;Hold",'Candidate Tracker'!$C:$C,"&lt;&gt;Cancelled",'Candidate Tracker'!$C:$C,"&lt;&gt;Closed")/COUNTIFS('Candidate Tracker'!$E:$E,'Positions Tracker'!$B971)),"")</f>
        <v/>
      </c>
      <c r="BD971" s="30" t="str">
        <f t="shared" si="105"/>
        <v/>
      </c>
      <c r="BE971" s="30" t="str">
        <f t="shared" si="106"/>
        <v/>
      </c>
      <c r="BF971" s="30" t="str">
        <f t="shared" si="107"/>
        <v/>
      </c>
      <c r="BG971" s="30" t="str">
        <f t="shared" si="108"/>
        <v/>
      </c>
    </row>
    <row r="972" spans="1:59">
      <c r="A972" s="39"/>
      <c r="B972" s="39"/>
      <c r="C972" s="39"/>
      <c r="D972" s="39"/>
      <c r="E972" s="39"/>
      <c r="F972" s="39"/>
      <c r="G972" s="39"/>
      <c r="H972" s="39"/>
      <c r="I972" s="40"/>
      <c r="J972" s="40"/>
      <c r="K972" s="35"/>
      <c r="L972" s="35"/>
      <c r="M972" s="35"/>
      <c r="N972" s="39"/>
      <c r="O972" s="39"/>
      <c r="P972" s="39"/>
      <c r="Q972" s="39"/>
      <c r="R972" s="39"/>
      <c r="S972" s="39"/>
      <c r="T972" s="39"/>
      <c r="U972" s="39"/>
      <c r="V972" s="39"/>
      <c r="W972" s="39"/>
      <c r="X972" s="39"/>
      <c r="Y972" s="39"/>
      <c r="Z972" s="39"/>
      <c r="AA972" s="39"/>
      <c r="AB972" s="39"/>
      <c r="AC972" s="39"/>
      <c r="AD972" s="39"/>
      <c r="AE972" s="39"/>
      <c r="AF972" s="39"/>
      <c r="AG972" s="39"/>
      <c r="AH972" s="39"/>
      <c r="AI972" s="35"/>
      <c r="AJ972" s="39"/>
      <c r="AK972" s="39"/>
      <c r="AL972" s="39"/>
      <c r="AM972" s="35"/>
      <c r="AN972" s="35"/>
      <c r="AO972" s="39"/>
      <c r="AP972" s="39"/>
      <c r="AQ972" s="35"/>
      <c r="AR972" s="35"/>
      <c r="AS972" s="35"/>
      <c r="AT972" s="30">
        <f t="shared" ca="1" si="104"/>
        <v>0</v>
      </c>
      <c r="AU972" s="32" t="str">
        <f t="shared" ca="1" si="103"/>
        <v/>
      </c>
      <c r="AV972" s="32" t="str" cm="1">
        <f t="array" aca="1" ref="AV972" ca="1">IFERROR(_xlfn.IFS($AU972="","",$AU972&lt;=15,"0-15",AND($AU972&gt;=16,$AU972&lt;=30),"16-30",AND($AU972&gt;=31,$AU972&lt;=45),"31-45",AND($AU972&gt;=46,$AU972&lt;=60),"46-60",AND($AU972&gt;=61,$AU972&lt;=90),"61-90",AND($AU972&gt;=91),"&gt; 90",AND($AU972&gt;=2000),""),"")</f>
        <v/>
      </c>
      <c r="AW972" s="32" t="str" cm="1">
        <f t="array" aca="1" ref="AW972" ca="1">IFERROR(_xlfn.IFS(OR($M972="",$AM972=""),"",OR($C972="Offered",$C972="Joined"),($AM972-$M972)-$AT972),"")</f>
        <v/>
      </c>
      <c r="AX972" s="32" t="str" cm="1">
        <f t="array" aca="1" ref="AX972" ca="1">IFERROR(_xlfn.IFS(OR($M972="",$AS972=""),"",$C972="Joined",($AS972-$M972)-$AT972),"")</f>
        <v/>
      </c>
      <c r="AY972" s="30" t="str">
        <f>IFERROR(IF(COUNTIFS('Candidate Tracker'!$E:$E,'Positions Tracker'!$B972,'Candidate Tracker'!$C:$C,"Offer Drop")=0,"",COUNTIFS('Candidate Tracker'!$E:$E,'Positions Tracker'!$B972,'Candidate Tracker'!$C:$C,"Offer Drop")),"")</f>
        <v/>
      </c>
      <c r="AZ97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2" s="34" t="str">
        <f>IFERROR(IF(COUNTIFS('Candidate Tracker'!$E:$E,'Positions Tracker'!$B972,'Candidate Tracker'!$I:$I,"Female")=0,"",COUNTIFS('Candidate Tracker'!$E:$E,'Positions Tracker'!$B972,'Candidate Tracker'!$I:$I,"Female")),"")</f>
        <v/>
      </c>
      <c r="BB972" s="34" t="str">
        <f>IFERROR(IF(COUNTIFS('Candidate Tracker'!$E:$E,'Positions Tracker'!$B972,'Candidate Tracker'!$I:$I,"male")=0,"",COUNTIFS('Candidate Tracker'!$E:$E,'Positions Tracker'!$B972,'Candidate Tracker'!$I:$I,"male")),"")</f>
        <v/>
      </c>
      <c r="BC972" s="33" t="str">
        <f>IFERROR(IF(COUNTIFS('Candidate Tracker'!$E:$E,'Positions Tracker'!$B972,'Candidate Tracker'!$C:$C,"&lt;&gt;WIP",'Candidate Tracker'!$C:$C,"&lt;&gt;Hold",'Candidate Tracker'!$C:$C,"&lt;&gt;Cancelled",'Candidate Tracker'!$C:$C,"&lt;&gt;Closed")/COUNTIFS('Candidate Tracker'!$E:$E,'Positions Tracker'!$B972)=0,"",COUNTIFS('Candidate Tracker'!$E:$E,'Positions Tracker'!$B972,'Candidate Tracker'!$C:$C,"&lt;&gt;WIP",'Candidate Tracker'!$C:$C,"&lt;&gt;Hold",'Candidate Tracker'!$C:$C,"&lt;&gt;Cancelled",'Candidate Tracker'!$C:$C,"&lt;&gt;Closed")/COUNTIFS('Candidate Tracker'!$E:$E,'Positions Tracker'!$B972)),"")</f>
        <v/>
      </c>
      <c r="BD972" s="30" t="str">
        <f t="shared" si="105"/>
        <v/>
      </c>
      <c r="BE972" s="30" t="str">
        <f t="shared" si="106"/>
        <v/>
      </c>
      <c r="BF972" s="30" t="str">
        <f t="shared" si="107"/>
        <v/>
      </c>
      <c r="BG972" s="30" t="str">
        <f t="shared" si="108"/>
        <v/>
      </c>
    </row>
    <row r="973" spans="1:59">
      <c r="A973" s="39"/>
      <c r="B973" s="39"/>
      <c r="C973" s="39"/>
      <c r="D973" s="39"/>
      <c r="E973" s="39"/>
      <c r="F973" s="39"/>
      <c r="G973" s="39"/>
      <c r="H973" s="39"/>
      <c r="I973" s="40"/>
      <c r="J973" s="40"/>
      <c r="K973" s="35"/>
      <c r="L973" s="35"/>
      <c r="M973" s="35"/>
      <c r="N973" s="39"/>
      <c r="O973" s="39"/>
      <c r="P973" s="39"/>
      <c r="Q973" s="39"/>
      <c r="R973" s="39"/>
      <c r="S973" s="39"/>
      <c r="T973" s="39"/>
      <c r="U973" s="39"/>
      <c r="V973" s="39"/>
      <c r="W973" s="39"/>
      <c r="X973" s="39"/>
      <c r="Y973" s="39"/>
      <c r="Z973" s="39"/>
      <c r="AA973" s="39"/>
      <c r="AB973" s="39"/>
      <c r="AC973" s="39"/>
      <c r="AD973" s="39"/>
      <c r="AE973" s="39"/>
      <c r="AF973" s="39"/>
      <c r="AG973" s="39"/>
      <c r="AH973" s="39"/>
      <c r="AI973" s="35"/>
      <c r="AJ973" s="39"/>
      <c r="AK973" s="39"/>
      <c r="AL973" s="39"/>
      <c r="AM973" s="35"/>
      <c r="AN973" s="35"/>
      <c r="AO973" s="39"/>
      <c r="AP973" s="39"/>
      <c r="AQ973" s="35"/>
      <c r="AR973" s="35"/>
      <c r="AS973" s="35"/>
      <c r="AT973" s="30">
        <f t="shared" ca="1" si="104"/>
        <v>0</v>
      </c>
      <c r="AU973" s="32" t="str">
        <f t="shared" ca="1" si="103"/>
        <v/>
      </c>
      <c r="AV973" s="32" t="str" cm="1">
        <f t="array" aca="1" ref="AV973" ca="1">IFERROR(_xlfn.IFS($AU973="","",$AU973&lt;=15,"0-15",AND($AU973&gt;=16,$AU973&lt;=30),"16-30",AND($AU973&gt;=31,$AU973&lt;=45),"31-45",AND($AU973&gt;=46,$AU973&lt;=60),"46-60",AND($AU973&gt;=61,$AU973&lt;=90),"61-90",AND($AU973&gt;=91),"&gt; 90",AND($AU973&gt;=2000),""),"")</f>
        <v/>
      </c>
      <c r="AW973" s="32" t="str" cm="1">
        <f t="array" aca="1" ref="AW973" ca="1">IFERROR(_xlfn.IFS(OR($M973="",$AM973=""),"",OR($C973="Offered",$C973="Joined"),($AM973-$M973)-$AT973),"")</f>
        <v/>
      </c>
      <c r="AX973" s="32" t="str" cm="1">
        <f t="array" aca="1" ref="AX973" ca="1">IFERROR(_xlfn.IFS(OR($M973="",$AS973=""),"",$C973="Joined",($AS973-$M973)-$AT973),"")</f>
        <v/>
      </c>
      <c r="AY973" s="30" t="str">
        <f>IFERROR(IF(COUNTIFS('Candidate Tracker'!$E:$E,'Positions Tracker'!$B973,'Candidate Tracker'!$C:$C,"Offer Drop")=0,"",COUNTIFS('Candidate Tracker'!$E:$E,'Positions Tracker'!$B973,'Candidate Tracker'!$C:$C,"Offer Drop")),"")</f>
        <v/>
      </c>
      <c r="AZ97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3" s="34" t="str">
        <f>IFERROR(IF(COUNTIFS('Candidate Tracker'!$E:$E,'Positions Tracker'!$B973,'Candidate Tracker'!$I:$I,"Female")=0,"",COUNTIFS('Candidate Tracker'!$E:$E,'Positions Tracker'!$B973,'Candidate Tracker'!$I:$I,"Female")),"")</f>
        <v/>
      </c>
      <c r="BB973" s="34" t="str">
        <f>IFERROR(IF(COUNTIFS('Candidate Tracker'!$E:$E,'Positions Tracker'!$B973,'Candidate Tracker'!$I:$I,"male")=0,"",COUNTIFS('Candidate Tracker'!$E:$E,'Positions Tracker'!$B973,'Candidate Tracker'!$I:$I,"male")),"")</f>
        <v/>
      </c>
      <c r="BC973" s="33" t="str">
        <f>IFERROR(IF(COUNTIFS('Candidate Tracker'!$E:$E,'Positions Tracker'!$B973,'Candidate Tracker'!$C:$C,"&lt;&gt;WIP",'Candidate Tracker'!$C:$C,"&lt;&gt;Hold",'Candidate Tracker'!$C:$C,"&lt;&gt;Cancelled",'Candidate Tracker'!$C:$C,"&lt;&gt;Closed")/COUNTIFS('Candidate Tracker'!$E:$E,'Positions Tracker'!$B973)=0,"",COUNTIFS('Candidate Tracker'!$E:$E,'Positions Tracker'!$B973,'Candidate Tracker'!$C:$C,"&lt;&gt;WIP",'Candidate Tracker'!$C:$C,"&lt;&gt;Hold",'Candidate Tracker'!$C:$C,"&lt;&gt;Cancelled",'Candidate Tracker'!$C:$C,"&lt;&gt;Closed")/COUNTIFS('Candidate Tracker'!$E:$E,'Positions Tracker'!$B973)),"")</f>
        <v/>
      </c>
      <c r="BD973" s="30" t="str">
        <f t="shared" si="105"/>
        <v/>
      </c>
      <c r="BE973" s="30" t="str">
        <f t="shared" si="106"/>
        <v/>
      </c>
      <c r="BF973" s="30" t="str">
        <f t="shared" si="107"/>
        <v/>
      </c>
      <c r="BG973" s="30" t="str">
        <f t="shared" si="108"/>
        <v/>
      </c>
    </row>
    <row r="974" spans="1:59">
      <c r="A974" s="39"/>
      <c r="B974" s="39"/>
      <c r="C974" s="39"/>
      <c r="D974" s="39"/>
      <c r="E974" s="39"/>
      <c r="F974" s="39"/>
      <c r="G974" s="39"/>
      <c r="H974" s="39"/>
      <c r="I974" s="40"/>
      <c r="J974" s="40"/>
      <c r="K974" s="35"/>
      <c r="L974" s="35"/>
      <c r="M974" s="35"/>
      <c r="N974" s="39"/>
      <c r="O974" s="39"/>
      <c r="P974" s="39"/>
      <c r="Q974" s="39"/>
      <c r="R974" s="39"/>
      <c r="S974" s="39"/>
      <c r="T974" s="39"/>
      <c r="U974" s="39"/>
      <c r="V974" s="39"/>
      <c r="W974" s="39"/>
      <c r="X974" s="39"/>
      <c r="Y974" s="39"/>
      <c r="Z974" s="39"/>
      <c r="AA974" s="39"/>
      <c r="AB974" s="39"/>
      <c r="AC974" s="39"/>
      <c r="AD974" s="39"/>
      <c r="AE974" s="39"/>
      <c r="AF974" s="39"/>
      <c r="AG974" s="39"/>
      <c r="AH974" s="39"/>
      <c r="AI974" s="35"/>
      <c r="AJ974" s="39"/>
      <c r="AK974" s="39"/>
      <c r="AL974" s="39"/>
      <c r="AM974" s="35"/>
      <c r="AN974" s="35"/>
      <c r="AO974" s="39"/>
      <c r="AP974" s="39"/>
      <c r="AQ974" s="35"/>
      <c r="AR974" s="35"/>
      <c r="AS974" s="35"/>
      <c r="AT974" s="30">
        <f t="shared" ca="1" si="104"/>
        <v>0</v>
      </c>
      <c r="AU974" s="32" t="str">
        <f t="shared" ca="1" si="103"/>
        <v/>
      </c>
      <c r="AV974" s="32" t="str" cm="1">
        <f t="array" aca="1" ref="AV974" ca="1">IFERROR(_xlfn.IFS($AU974="","",$AU974&lt;=15,"0-15",AND($AU974&gt;=16,$AU974&lt;=30),"16-30",AND($AU974&gt;=31,$AU974&lt;=45),"31-45",AND($AU974&gt;=46,$AU974&lt;=60),"46-60",AND($AU974&gt;=61,$AU974&lt;=90),"61-90",AND($AU974&gt;=91),"&gt; 90",AND($AU974&gt;=2000),""),"")</f>
        <v/>
      </c>
      <c r="AW974" s="32" t="str" cm="1">
        <f t="array" aca="1" ref="AW974" ca="1">IFERROR(_xlfn.IFS(OR($M974="",$AM974=""),"",OR($C974="Offered",$C974="Joined"),($AM974-$M974)-$AT974),"")</f>
        <v/>
      </c>
      <c r="AX974" s="32" t="str" cm="1">
        <f t="array" aca="1" ref="AX974" ca="1">IFERROR(_xlfn.IFS(OR($M974="",$AS974=""),"",$C974="Joined",($AS974-$M974)-$AT974),"")</f>
        <v/>
      </c>
      <c r="AY974" s="30" t="str">
        <f>IFERROR(IF(COUNTIFS('Candidate Tracker'!$E:$E,'Positions Tracker'!$B974,'Candidate Tracker'!$C:$C,"Offer Drop")=0,"",COUNTIFS('Candidate Tracker'!$E:$E,'Positions Tracker'!$B974,'Candidate Tracker'!$C:$C,"Offer Drop")),"")</f>
        <v/>
      </c>
      <c r="AZ97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4" s="34" t="str">
        <f>IFERROR(IF(COUNTIFS('Candidate Tracker'!$E:$E,'Positions Tracker'!$B974,'Candidate Tracker'!$I:$I,"Female")=0,"",COUNTIFS('Candidate Tracker'!$E:$E,'Positions Tracker'!$B974,'Candidate Tracker'!$I:$I,"Female")),"")</f>
        <v/>
      </c>
      <c r="BB974" s="34" t="str">
        <f>IFERROR(IF(COUNTIFS('Candidate Tracker'!$E:$E,'Positions Tracker'!$B974,'Candidate Tracker'!$I:$I,"male")=0,"",COUNTIFS('Candidate Tracker'!$E:$E,'Positions Tracker'!$B974,'Candidate Tracker'!$I:$I,"male")),"")</f>
        <v/>
      </c>
      <c r="BC974" s="33" t="str">
        <f>IFERROR(IF(COUNTIFS('Candidate Tracker'!$E:$E,'Positions Tracker'!$B974,'Candidate Tracker'!$C:$C,"&lt;&gt;WIP",'Candidate Tracker'!$C:$C,"&lt;&gt;Hold",'Candidate Tracker'!$C:$C,"&lt;&gt;Cancelled",'Candidate Tracker'!$C:$C,"&lt;&gt;Closed")/COUNTIFS('Candidate Tracker'!$E:$E,'Positions Tracker'!$B974)=0,"",COUNTIFS('Candidate Tracker'!$E:$E,'Positions Tracker'!$B974,'Candidate Tracker'!$C:$C,"&lt;&gt;WIP",'Candidate Tracker'!$C:$C,"&lt;&gt;Hold",'Candidate Tracker'!$C:$C,"&lt;&gt;Cancelled",'Candidate Tracker'!$C:$C,"&lt;&gt;Closed")/COUNTIFS('Candidate Tracker'!$E:$E,'Positions Tracker'!$B974)),"")</f>
        <v/>
      </c>
      <c r="BD974" s="30" t="str">
        <f t="shared" si="105"/>
        <v/>
      </c>
      <c r="BE974" s="30" t="str">
        <f t="shared" si="106"/>
        <v/>
      </c>
      <c r="BF974" s="30" t="str">
        <f t="shared" si="107"/>
        <v/>
      </c>
      <c r="BG974" s="30" t="str">
        <f t="shared" si="108"/>
        <v/>
      </c>
    </row>
    <row r="975" spans="1:59">
      <c r="A975" s="39"/>
      <c r="B975" s="39"/>
      <c r="C975" s="39"/>
      <c r="D975" s="39"/>
      <c r="E975" s="39"/>
      <c r="F975" s="39"/>
      <c r="G975" s="39"/>
      <c r="H975" s="39"/>
      <c r="I975" s="40"/>
      <c r="J975" s="40"/>
      <c r="K975" s="35"/>
      <c r="L975" s="35"/>
      <c r="M975" s="35"/>
      <c r="N975" s="39"/>
      <c r="O975" s="39"/>
      <c r="P975" s="39"/>
      <c r="Q975" s="39"/>
      <c r="R975" s="39"/>
      <c r="S975" s="39"/>
      <c r="T975" s="39"/>
      <c r="U975" s="39"/>
      <c r="V975" s="39"/>
      <c r="W975" s="39"/>
      <c r="X975" s="39"/>
      <c r="Y975" s="39"/>
      <c r="Z975" s="39"/>
      <c r="AA975" s="39"/>
      <c r="AB975" s="39"/>
      <c r="AC975" s="39"/>
      <c r="AD975" s="39"/>
      <c r="AE975" s="39"/>
      <c r="AF975" s="39"/>
      <c r="AG975" s="39"/>
      <c r="AH975" s="39"/>
      <c r="AI975" s="35"/>
      <c r="AJ975" s="39"/>
      <c r="AK975" s="39"/>
      <c r="AL975" s="39"/>
      <c r="AM975" s="35"/>
      <c r="AN975" s="35"/>
      <c r="AO975" s="39"/>
      <c r="AP975" s="39"/>
      <c r="AQ975" s="35"/>
      <c r="AR975" s="35"/>
      <c r="AS975" s="35"/>
      <c r="AT975" s="30">
        <f t="shared" ca="1" si="104"/>
        <v>0</v>
      </c>
      <c r="AU975" s="32" t="str">
        <f t="shared" ca="1" si="103"/>
        <v/>
      </c>
      <c r="AV975" s="32" t="str" cm="1">
        <f t="array" aca="1" ref="AV975" ca="1">IFERROR(_xlfn.IFS($AU975="","",$AU975&lt;=15,"0-15",AND($AU975&gt;=16,$AU975&lt;=30),"16-30",AND($AU975&gt;=31,$AU975&lt;=45),"31-45",AND($AU975&gt;=46,$AU975&lt;=60),"46-60",AND($AU975&gt;=61,$AU975&lt;=90),"61-90",AND($AU975&gt;=91),"&gt; 90",AND($AU975&gt;=2000),""),"")</f>
        <v/>
      </c>
      <c r="AW975" s="32" t="str" cm="1">
        <f t="array" aca="1" ref="AW975" ca="1">IFERROR(_xlfn.IFS(OR($M975="",$AM975=""),"",OR($C975="Offered",$C975="Joined"),($AM975-$M975)-$AT975),"")</f>
        <v/>
      </c>
      <c r="AX975" s="32" t="str" cm="1">
        <f t="array" aca="1" ref="AX975" ca="1">IFERROR(_xlfn.IFS(OR($M975="",$AS975=""),"",$C975="Joined",($AS975-$M975)-$AT975),"")</f>
        <v/>
      </c>
      <c r="AY975" s="30" t="str">
        <f>IFERROR(IF(COUNTIFS('Candidate Tracker'!$E:$E,'Positions Tracker'!$B975,'Candidate Tracker'!$C:$C,"Offer Drop")=0,"",COUNTIFS('Candidate Tracker'!$E:$E,'Positions Tracker'!$B975,'Candidate Tracker'!$C:$C,"Offer Drop")),"")</f>
        <v/>
      </c>
      <c r="AZ97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5" s="34" t="str">
        <f>IFERROR(IF(COUNTIFS('Candidate Tracker'!$E:$E,'Positions Tracker'!$B975,'Candidate Tracker'!$I:$I,"Female")=0,"",COUNTIFS('Candidate Tracker'!$E:$E,'Positions Tracker'!$B975,'Candidate Tracker'!$I:$I,"Female")),"")</f>
        <v/>
      </c>
      <c r="BB975" s="34" t="str">
        <f>IFERROR(IF(COUNTIFS('Candidate Tracker'!$E:$E,'Positions Tracker'!$B975,'Candidate Tracker'!$I:$I,"male")=0,"",COUNTIFS('Candidate Tracker'!$E:$E,'Positions Tracker'!$B975,'Candidate Tracker'!$I:$I,"male")),"")</f>
        <v/>
      </c>
      <c r="BC975" s="33" t="str">
        <f>IFERROR(IF(COUNTIFS('Candidate Tracker'!$E:$E,'Positions Tracker'!$B975,'Candidate Tracker'!$C:$C,"&lt;&gt;WIP",'Candidate Tracker'!$C:$C,"&lt;&gt;Hold",'Candidate Tracker'!$C:$C,"&lt;&gt;Cancelled",'Candidate Tracker'!$C:$C,"&lt;&gt;Closed")/COUNTIFS('Candidate Tracker'!$E:$E,'Positions Tracker'!$B975)=0,"",COUNTIFS('Candidate Tracker'!$E:$E,'Positions Tracker'!$B975,'Candidate Tracker'!$C:$C,"&lt;&gt;WIP",'Candidate Tracker'!$C:$C,"&lt;&gt;Hold",'Candidate Tracker'!$C:$C,"&lt;&gt;Cancelled",'Candidate Tracker'!$C:$C,"&lt;&gt;Closed")/COUNTIFS('Candidate Tracker'!$E:$E,'Positions Tracker'!$B975)),"")</f>
        <v/>
      </c>
      <c r="BD975" s="30" t="str">
        <f t="shared" si="105"/>
        <v/>
      </c>
      <c r="BE975" s="30" t="str">
        <f t="shared" si="106"/>
        <v/>
      </c>
      <c r="BF975" s="30" t="str">
        <f t="shared" si="107"/>
        <v/>
      </c>
      <c r="BG975" s="30" t="str">
        <f t="shared" si="108"/>
        <v/>
      </c>
    </row>
    <row r="976" spans="1:59">
      <c r="A976" s="39"/>
      <c r="B976" s="39"/>
      <c r="C976" s="39"/>
      <c r="D976" s="39"/>
      <c r="E976" s="39"/>
      <c r="F976" s="39"/>
      <c r="G976" s="39"/>
      <c r="H976" s="39"/>
      <c r="I976" s="40"/>
      <c r="J976" s="40"/>
      <c r="K976" s="35"/>
      <c r="L976" s="35"/>
      <c r="M976" s="35"/>
      <c r="N976" s="39"/>
      <c r="O976" s="39"/>
      <c r="P976" s="39"/>
      <c r="Q976" s="39"/>
      <c r="R976" s="39"/>
      <c r="S976" s="39"/>
      <c r="T976" s="39"/>
      <c r="U976" s="39"/>
      <c r="V976" s="39"/>
      <c r="W976" s="39"/>
      <c r="X976" s="39"/>
      <c r="Y976" s="39"/>
      <c r="Z976" s="39"/>
      <c r="AA976" s="39"/>
      <c r="AB976" s="39"/>
      <c r="AC976" s="39"/>
      <c r="AD976" s="39"/>
      <c r="AE976" s="39"/>
      <c r="AF976" s="39"/>
      <c r="AG976" s="39"/>
      <c r="AH976" s="39"/>
      <c r="AI976" s="35"/>
      <c r="AJ976" s="39"/>
      <c r="AK976" s="39"/>
      <c r="AL976" s="39"/>
      <c r="AM976" s="35"/>
      <c r="AN976" s="35"/>
      <c r="AO976" s="39"/>
      <c r="AP976" s="39"/>
      <c r="AQ976" s="35"/>
      <c r="AR976" s="35"/>
      <c r="AS976" s="35"/>
      <c r="AT976" s="30">
        <f t="shared" ca="1" si="104"/>
        <v>0</v>
      </c>
      <c r="AU976" s="32" t="str">
        <f t="shared" ca="1" si="103"/>
        <v/>
      </c>
      <c r="AV976" s="32" t="str" cm="1">
        <f t="array" aca="1" ref="AV976" ca="1">IFERROR(_xlfn.IFS($AU976="","",$AU976&lt;=15,"0-15",AND($AU976&gt;=16,$AU976&lt;=30),"16-30",AND($AU976&gt;=31,$AU976&lt;=45),"31-45",AND($AU976&gt;=46,$AU976&lt;=60),"46-60",AND($AU976&gt;=61,$AU976&lt;=90),"61-90",AND($AU976&gt;=91),"&gt; 90",AND($AU976&gt;=2000),""),"")</f>
        <v/>
      </c>
      <c r="AW976" s="32" t="str" cm="1">
        <f t="array" aca="1" ref="AW976" ca="1">IFERROR(_xlfn.IFS(OR($M976="",$AM976=""),"",OR($C976="Offered",$C976="Joined"),($AM976-$M976)-$AT976),"")</f>
        <v/>
      </c>
      <c r="AX976" s="32" t="str" cm="1">
        <f t="array" aca="1" ref="AX976" ca="1">IFERROR(_xlfn.IFS(OR($M976="",$AS976=""),"",$C976="Joined",($AS976-$M976)-$AT976),"")</f>
        <v/>
      </c>
      <c r="AY976" s="30" t="str">
        <f>IFERROR(IF(COUNTIFS('Candidate Tracker'!$E:$E,'Positions Tracker'!$B976,'Candidate Tracker'!$C:$C,"Offer Drop")=0,"",COUNTIFS('Candidate Tracker'!$E:$E,'Positions Tracker'!$B976,'Candidate Tracker'!$C:$C,"Offer Drop")),"")</f>
        <v/>
      </c>
      <c r="AZ976"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6" s="34" t="str">
        <f>IFERROR(IF(COUNTIFS('Candidate Tracker'!$E:$E,'Positions Tracker'!$B976,'Candidate Tracker'!$I:$I,"Female")=0,"",COUNTIFS('Candidate Tracker'!$E:$E,'Positions Tracker'!$B976,'Candidate Tracker'!$I:$I,"Female")),"")</f>
        <v/>
      </c>
      <c r="BB976" s="34" t="str">
        <f>IFERROR(IF(COUNTIFS('Candidate Tracker'!$E:$E,'Positions Tracker'!$B976,'Candidate Tracker'!$I:$I,"male")=0,"",COUNTIFS('Candidate Tracker'!$E:$E,'Positions Tracker'!$B976,'Candidate Tracker'!$I:$I,"male")),"")</f>
        <v/>
      </c>
      <c r="BC976" s="33" t="str">
        <f>IFERROR(IF(COUNTIFS('Candidate Tracker'!$E:$E,'Positions Tracker'!$B976,'Candidate Tracker'!$C:$C,"&lt;&gt;WIP",'Candidate Tracker'!$C:$C,"&lt;&gt;Hold",'Candidate Tracker'!$C:$C,"&lt;&gt;Cancelled",'Candidate Tracker'!$C:$C,"&lt;&gt;Closed")/COUNTIFS('Candidate Tracker'!$E:$E,'Positions Tracker'!$B976)=0,"",COUNTIFS('Candidate Tracker'!$E:$E,'Positions Tracker'!$B976,'Candidate Tracker'!$C:$C,"&lt;&gt;WIP",'Candidate Tracker'!$C:$C,"&lt;&gt;Hold",'Candidate Tracker'!$C:$C,"&lt;&gt;Cancelled",'Candidate Tracker'!$C:$C,"&lt;&gt;Closed")/COUNTIFS('Candidate Tracker'!$E:$E,'Positions Tracker'!$B976)),"")</f>
        <v/>
      </c>
      <c r="BD976" s="30" t="str">
        <f t="shared" si="105"/>
        <v/>
      </c>
      <c r="BE976" s="30" t="str">
        <f t="shared" si="106"/>
        <v/>
      </c>
      <c r="BF976" s="30" t="str">
        <f t="shared" si="107"/>
        <v/>
      </c>
      <c r="BG976" s="30" t="str">
        <f t="shared" si="108"/>
        <v/>
      </c>
    </row>
    <row r="977" spans="1:59">
      <c r="A977" s="39"/>
      <c r="B977" s="39"/>
      <c r="C977" s="39"/>
      <c r="D977" s="39"/>
      <c r="E977" s="39"/>
      <c r="F977" s="39"/>
      <c r="G977" s="39"/>
      <c r="H977" s="39"/>
      <c r="I977" s="40"/>
      <c r="J977" s="40"/>
      <c r="K977" s="35"/>
      <c r="L977" s="35"/>
      <c r="M977" s="35"/>
      <c r="N977" s="39"/>
      <c r="O977" s="39"/>
      <c r="P977" s="39"/>
      <c r="Q977" s="39"/>
      <c r="R977" s="39"/>
      <c r="S977" s="39"/>
      <c r="T977" s="39"/>
      <c r="U977" s="39"/>
      <c r="V977" s="39"/>
      <c r="W977" s="39"/>
      <c r="X977" s="39"/>
      <c r="Y977" s="39"/>
      <c r="Z977" s="39"/>
      <c r="AA977" s="39"/>
      <c r="AB977" s="39"/>
      <c r="AC977" s="39"/>
      <c r="AD977" s="39"/>
      <c r="AE977" s="39"/>
      <c r="AF977" s="39"/>
      <c r="AG977" s="39"/>
      <c r="AH977" s="39"/>
      <c r="AI977" s="35"/>
      <c r="AJ977" s="39"/>
      <c r="AK977" s="39"/>
      <c r="AL977" s="39"/>
      <c r="AM977" s="35"/>
      <c r="AN977" s="35"/>
      <c r="AO977" s="39"/>
      <c r="AP977" s="39"/>
      <c r="AQ977" s="35"/>
      <c r="AR977" s="35"/>
      <c r="AS977" s="35"/>
      <c r="AT977" s="30">
        <f t="shared" ca="1" si="104"/>
        <v>0</v>
      </c>
      <c r="AU977" s="32" t="str">
        <f t="shared" ca="1" si="103"/>
        <v/>
      </c>
      <c r="AV977" s="32" t="str" cm="1">
        <f t="array" aca="1" ref="AV977" ca="1">IFERROR(_xlfn.IFS($AU977="","",$AU977&lt;=15,"0-15",AND($AU977&gt;=16,$AU977&lt;=30),"16-30",AND($AU977&gt;=31,$AU977&lt;=45),"31-45",AND($AU977&gt;=46,$AU977&lt;=60),"46-60",AND($AU977&gt;=61,$AU977&lt;=90),"61-90",AND($AU977&gt;=91),"&gt; 90",AND($AU977&gt;=2000),""),"")</f>
        <v/>
      </c>
      <c r="AW977" s="32" t="str" cm="1">
        <f t="array" aca="1" ref="AW977" ca="1">IFERROR(_xlfn.IFS(OR($M977="",$AM977=""),"",OR($C977="Offered",$C977="Joined"),($AM977-$M977)-$AT977),"")</f>
        <v/>
      </c>
      <c r="AX977" s="32" t="str" cm="1">
        <f t="array" aca="1" ref="AX977" ca="1">IFERROR(_xlfn.IFS(OR($M977="",$AS977=""),"",$C977="Joined",($AS977-$M977)-$AT977),"")</f>
        <v/>
      </c>
      <c r="AY977" s="30" t="str">
        <f>IFERROR(IF(COUNTIFS('Candidate Tracker'!$E:$E,'Positions Tracker'!$B977,'Candidate Tracker'!$C:$C,"Offer Drop")=0,"",COUNTIFS('Candidate Tracker'!$E:$E,'Positions Tracker'!$B977,'Candidate Tracker'!$C:$C,"Offer Drop")),"")</f>
        <v/>
      </c>
      <c r="AZ977"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7" s="34" t="str">
        <f>IFERROR(IF(COUNTIFS('Candidate Tracker'!$E:$E,'Positions Tracker'!$B977,'Candidate Tracker'!$I:$I,"Female")=0,"",COUNTIFS('Candidate Tracker'!$E:$E,'Positions Tracker'!$B977,'Candidate Tracker'!$I:$I,"Female")),"")</f>
        <v/>
      </c>
      <c r="BB977" s="34" t="str">
        <f>IFERROR(IF(COUNTIFS('Candidate Tracker'!$E:$E,'Positions Tracker'!$B977,'Candidate Tracker'!$I:$I,"male")=0,"",COUNTIFS('Candidate Tracker'!$E:$E,'Positions Tracker'!$B977,'Candidate Tracker'!$I:$I,"male")),"")</f>
        <v/>
      </c>
      <c r="BC977" s="33" t="str">
        <f>IFERROR(IF(COUNTIFS('Candidate Tracker'!$E:$E,'Positions Tracker'!$B977,'Candidate Tracker'!$C:$C,"&lt;&gt;WIP",'Candidate Tracker'!$C:$C,"&lt;&gt;Hold",'Candidate Tracker'!$C:$C,"&lt;&gt;Cancelled",'Candidate Tracker'!$C:$C,"&lt;&gt;Closed")/COUNTIFS('Candidate Tracker'!$E:$E,'Positions Tracker'!$B977)=0,"",COUNTIFS('Candidate Tracker'!$E:$E,'Positions Tracker'!$B977,'Candidate Tracker'!$C:$C,"&lt;&gt;WIP",'Candidate Tracker'!$C:$C,"&lt;&gt;Hold",'Candidate Tracker'!$C:$C,"&lt;&gt;Cancelled",'Candidate Tracker'!$C:$C,"&lt;&gt;Closed")/COUNTIFS('Candidate Tracker'!$E:$E,'Positions Tracker'!$B977)),"")</f>
        <v/>
      </c>
      <c r="BD977" s="30" t="str">
        <f t="shared" si="105"/>
        <v/>
      </c>
      <c r="BE977" s="30" t="str">
        <f t="shared" si="106"/>
        <v/>
      </c>
      <c r="BF977" s="30" t="str">
        <f t="shared" si="107"/>
        <v/>
      </c>
      <c r="BG977" s="30" t="str">
        <f t="shared" si="108"/>
        <v/>
      </c>
    </row>
    <row r="978" spans="1:59">
      <c r="A978" s="39"/>
      <c r="B978" s="39"/>
      <c r="C978" s="39"/>
      <c r="D978" s="39"/>
      <c r="E978" s="39"/>
      <c r="F978" s="39"/>
      <c r="G978" s="39"/>
      <c r="H978" s="39"/>
      <c r="I978" s="40"/>
      <c r="J978" s="40"/>
      <c r="K978" s="35"/>
      <c r="L978" s="35"/>
      <c r="M978" s="35"/>
      <c r="N978" s="39"/>
      <c r="O978" s="39"/>
      <c r="P978" s="39"/>
      <c r="Q978" s="39"/>
      <c r="R978" s="39"/>
      <c r="S978" s="39"/>
      <c r="T978" s="39"/>
      <c r="U978" s="39"/>
      <c r="V978" s="39"/>
      <c r="W978" s="39"/>
      <c r="X978" s="39"/>
      <c r="Y978" s="39"/>
      <c r="Z978" s="39"/>
      <c r="AA978" s="39"/>
      <c r="AB978" s="39"/>
      <c r="AC978" s="39"/>
      <c r="AD978" s="39"/>
      <c r="AE978" s="39"/>
      <c r="AF978" s="39"/>
      <c r="AG978" s="39"/>
      <c r="AH978" s="39"/>
      <c r="AI978" s="35"/>
      <c r="AJ978" s="39"/>
      <c r="AK978" s="39"/>
      <c r="AL978" s="39"/>
      <c r="AM978" s="35"/>
      <c r="AN978" s="35"/>
      <c r="AO978" s="39"/>
      <c r="AP978" s="39"/>
      <c r="AQ978" s="35"/>
      <c r="AR978" s="35"/>
      <c r="AS978" s="35"/>
      <c r="AT978" s="30">
        <f t="shared" ca="1" si="104"/>
        <v>0</v>
      </c>
      <c r="AU978" s="32" t="str">
        <f t="shared" ca="1" si="103"/>
        <v/>
      </c>
      <c r="AV978" s="32" t="str" cm="1">
        <f t="array" aca="1" ref="AV978" ca="1">IFERROR(_xlfn.IFS($AU978="","",$AU978&lt;=15,"0-15",AND($AU978&gt;=16,$AU978&lt;=30),"16-30",AND($AU978&gt;=31,$AU978&lt;=45),"31-45",AND($AU978&gt;=46,$AU978&lt;=60),"46-60",AND($AU978&gt;=61,$AU978&lt;=90),"61-90",AND($AU978&gt;=91),"&gt; 90",AND($AU978&gt;=2000),""),"")</f>
        <v/>
      </c>
      <c r="AW978" s="32" t="str" cm="1">
        <f t="array" aca="1" ref="AW978" ca="1">IFERROR(_xlfn.IFS(OR($M978="",$AM978=""),"",OR($C978="Offered",$C978="Joined"),($AM978-$M978)-$AT978),"")</f>
        <v/>
      </c>
      <c r="AX978" s="32" t="str" cm="1">
        <f t="array" aca="1" ref="AX978" ca="1">IFERROR(_xlfn.IFS(OR($M978="",$AS978=""),"",$C978="Joined",($AS978-$M978)-$AT978),"")</f>
        <v/>
      </c>
      <c r="AY978" s="30" t="str">
        <f>IFERROR(IF(COUNTIFS('Candidate Tracker'!$E:$E,'Positions Tracker'!$B978,'Candidate Tracker'!$C:$C,"Offer Drop")=0,"",COUNTIFS('Candidate Tracker'!$E:$E,'Positions Tracker'!$B978,'Candidate Tracker'!$C:$C,"Offer Drop")),"")</f>
        <v/>
      </c>
      <c r="AZ978"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8" s="34" t="str">
        <f>IFERROR(IF(COUNTIFS('Candidate Tracker'!$E:$E,'Positions Tracker'!$B978,'Candidate Tracker'!$I:$I,"Female")=0,"",COUNTIFS('Candidate Tracker'!$E:$E,'Positions Tracker'!$B978,'Candidate Tracker'!$I:$I,"Female")),"")</f>
        <v/>
      </c>
      <c r="BB978" s="34" t="str">
        <f>IFERROR(IF(COUNTIFS('Candidate Tracker'!$E:$E,'Positions Tracker'!$B978,'Candidate Tracker'!$I:$I,"male")=0,"",COUNTIFS('Candidate Tracker'!$E:$E,'Positions Tracker'!$B978,'Candidate Tracker'!$I:$I,"male")),"")</f>
        <v/>
      </c>
      <c r="BC978" s="33" t="str">
        <f>IFERROR(IF(COUNTIFS('Candidate Tracker'!$E:$E,'Positions Tracker'!$B978,'Candidate Tracker'!$C:$C,"&lt;&gt;WIP",'Candidate Tracker'!$C:$C,"&lt;&gt;Hold",'Candidate Tracker'!$C:$C,"&lt;&gt;Cancelled",'Candidate Tracker'!$C:$C,"&lt;&gt;Closed")/COUNTIFS('Candidate Tracker'!$E:$E,'Positions Tracker'!$B978)=0,"",COUNTIFS('Candidate Tracker'!$E:$E,'Positions Tracker'!$B978,'Candidate Tracker'!$C:$C,"&lt;&gt;WIP",'Candidate Tracker'!$C:$C,"&lt;&gt;Hold",'Candidate Tracker'!$C:$C,"&lt;&gt;Cancelled",'Candidate Tracker'!$C:$C,"&lt;&gt;Closed")/COUNTIFS('Candidate Tracker'!$E:$E,'Positions Tracker'!$B978)),"")</f>
        <v/>
      </c>
      <c r="BD978" s="30" t="str">
        <f t="shared" si="105"/>
        <v/>
      </c>
      <c r="BE978" s="30" t="str">
        <f t="shared" si="106"/>
        <v/>
      </c>
      <c r="BF978" s="30" t="str">
        <f t="shared" si="107"/>
        <v/>
      </c>
      <c r="BG978" s="30" t="str">
        <f t="shared" si="108"/>
        <v/>
      </c>
    </row>
    <row r="979" spans="1:59">
      <c r="A979" s="39"/>
      <c r="B979" s="39"/>
      <c r="C979" s="39"/>
      <c r="D979" s="39"/>
      <c r="E979" s="39"/>
      <c r="F979" s="39"/>
      <c r="G979" s="39"/>
      <c r="H979" s="39"/>
      <c r="I979" s="40"/>
      <c r="J979" s="40"/>
      <c r="K979" s="35"/>
      <c r="L979" s="35"/>
      <c r="M979" s="35"/>
      <c r="N979" s="39"/>
      <c r="O979" s="39"/>
      <c r="P979" s="39"/>
      <c r="Q979" s="39"/>
      <c r="R979" s="39"/>
      <c r="S979" s="39"/>
      <c r="T979" s="39"/>
      <c r="U979" s="39"/>
      <c r="V979" s="39"/>
      <c r="W979" s="39"/>
      <c r="X979" s="39"/>
      <c r="Y979" s="39"/>
      <c r="Z979" s="39"/>
      <c r="AA979" s="39"/>
      <c r="AB979" s="39"/>
      <c r="AC979" s="39"/>
      <c r="AD979" s="39"/>
      <c r="AE979" s="39"/>
      <c r="AF979" s="39"/>
      <c r="AG979" s="39"/>
      <c r="AH979" s="39"/>
      <c r="AI979" s="35"/>
      <c r="AJ979" s="39"/>
      <c r="AK979" s="39"/>
      <c r="AL979" s="39"/>
      <c r="AM979" s="35"/>
      <c r="AN979" s="35"/>
      <c r="AO979" s="39"/>
      <c r="AP979" s="39"/>
      <c r="AQ979" s="35"/>
      <c r="AR979" s="35"/>
      <c r="AS979" s="35"/>
      <c r="AT979" s="30">
        <f t="shared" ca="1" si="104"/>
        <v>0</v>
      </c>
      <c r="AU979" s="32" t="str">
        <f t="shared" ca="1" si="103"/>
        <v/>
      </c>
      <c r="AV979" s="32" t="str" cm="1">
        <f t="array" aca="1" ref="AV979" ca="1">IFERROR(_xlfn.IFS($AU979="","",$AU979&lt;=15,"0-15",AND($AU979&gt;=16,$AU979&lt;=30),"16-30",AND($AU979&gt;=31,$AU979&lt;=45),"31-45",AND($AU979&gt;=46,$AU979&lt;=60),"46-60",AND($AU979&gt;=61,$AU979&lt;=90),"61-90",AND($AU979&gt;=91),"&gt; 90",AND($AU979&gt;=2000),""),"")</f>
        <v/>
      </c>
      <c r="AW979" s="32" t="str" cm="1">
        <f t="array" aca="1" ref="AW979" ca="1">IFERROR(_xlfn.IFS(OR($M979="",$AM979=""),"",OR($C979="Offered",$C979="Joined"),($AM979-$M979)-$AT979),"")</f>
        <v/>
      </c>
      <c r="AX979" s="32" t="str" cm="1">
        <f t="array" aca="1" ref="AX979" ca="1">IFERROR(_xlfn.IFS(OR($M979="",$AS979=""),"",$C979="Joined",($AS979-$M979)-$AT979),"")</f>
        <v/>
      </c>
      <c r="AY979" s="30" t="str">
        <f>IFERROR(IF(COUNTIFS('Candidate Tracker'!$E:$E,'Positions Tracker'!$B979,'Candidate Tracker'!$C:$C,"Offer Drop")=0,"",COUNTIFS('Candidate Tracker'!$E:$E,'Positions Tracker'!$B979,'Candidate Tracker'!$C:$C,"Offer Drop")),"")</f>
        <v/>
      </c>
      <c r="AZ979"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79" s="34" t="str">
        <f>IFERROR(IF(COUNTIFS('Candidate Tracker'!$E:$E,'Positions Tracker'!$B979,'Candidate Tracker'!$I:$I,"Female")=0,"",COUNTIFS('Candidate Tracker'!$E:$E,'Positions Tracker'!$B979,'Candidate Tracker'!$I:$I,"Female")),"")</f>
        <v/>
      </c>
      <c r="BB979" s="34" t="str">
        <f>IFERROR(IF(COUNTIFS('Candidate Tracker'!$E:$E,'Positions Tracker'!$B979,'Candidate Tracker'!$I:$I,"male")=0,"",COUNTIFS('Candidate Tracker'!$E:$E,'Positions Tracker'!$B979,'Candidate Tracker'!$I:$I,"male")),"")</f>
        <v/>
      </c>
      <c r="BC979" s="33" t="str">
        <f>IFERROR(IF(COUNTIFS('Candidate Tracker'!$E:$E,'Positions Tracker'!$B979,'Candidate Tracker'!$C:$C,"&lt;&gt;WIP",'Candidate Tracker'!$C:$C,"&lt;&gt;Hold",'Candidate Tracker'!$C:$C,"&lt;&gt;Cancelled",'Candidate Tracker'!$C:$C,"&lt;&gt;Closed")/COUNTIFS('Candidate Tracker'!$E:$E,'Positions Tracker'!$B979)=0,"",COUNTIFS('Candidate Tracker'!$E:$E,'Positions Tracker'!$B979,'Candidate Tracker'!$C:$C,"&lt;&gt;WIP",'Candidate Tracker'!$C:$C,"&lt;&gt;Hold",'Candidate Tracker'!$C:$C,"&lt;&gt;Cancelled",'Candidate Tracker'!$C:$C,"&lt;&gt;Closed")/COUNTIFS('Candidate Tracker'!$E:$E,'Positions Tracker'!$B979)),"")</f>
        <v/>
      </c>
      <c r="BD979" s="30" t="str">
        <f t="shared" si="105"/>
        <v/>
      </c>
      <c r="BE979" s="30" t="str">
        <f t="shared" si="106"/>
        <v/>
      </c>
      <c r="BF979" s="30" t="str">
        <f t="shared" si="107"/>
        <v/>
      </c>
      <c r="BG979" s="30" t="str">
        <f t="shared" si="108"/>
        <v/>
      </c>
    </row>
    <row r="980" spans="1:59">
      <c r="A980" s="39"/>
      <c r="B980" s="39"/>
      <c r="C980" s="39"/>
      <c r="D980" s="39"/>
      <c r="E980" s="39"/>
      <c r="F980" s="39"/>
      <c r="G980" s="39"/>
      <c r="H980" s="39"/>
      <c r="I980" s="40"/>
      <c r="J980" s="40"/>
      <c r="K980" s="35"/>
      <c r="L980" s="35"/>
      <c r="M980" s="35"/>
      <c r="N980" s="39"/>
      <c r="O980" s="39"/>
      <c r="P980" s="39"/>
      <c r="Q980" s="39"/>
      <c r="R980" s="39"/>
      <c r="S980" s="39"/>
      <c r="T980" s="39"/>
      <c r="U980" s="39"/>
      <c r="V980" s="39"/>
      <c r="W980" s="39"/>
      <c r="X980" s="39"/>
      <c r="Y980" s="39"/>
      <c r="Z980" s="39"/>
      <c r="AA980" s="39"/>
      <c r="AB980" s="39"/>
      <c r="AC980" s="39"/>
      <c r="AD980" s="39"/>
      <c r="AE980" s="39"/>
      <c r="AF980" s="39"/>
      <c r="AG980" s="39"/>
      <c r="AH980" s="39"/>
      <c r="AI980" s="35"/>
      <c r="AJ980" s="39"/>
      <c r="AK980" s="39"/>
      <c r="AL980" s="39"/>
      <c r="AM980" s="35"/>
      <c r="AN980" s="35"/>
      <c r="AO980" s="39"/>
      <c r="AP980" s="39"/>
      <c r="AQ980" s="35"/>
      <c r="AR980" s="35"/>
      <c r="AS980" s="35"/>
      <c r="AT980" s="30">
        <f t="shared" ca="1" si="104"/>
        <v>0</v>
      </c>
      <c r="AU980" s="32" t="str">
        <f t="shared" ca="1" si="103"/>
        <v/>
      </c>
      <c r="AV980" s="32" t="str" cm="1">
        <f t="array" aca="1" ref="AV980" ca="1">IFERROR(_xlfn.IFS($AU980="","",$AU980&lt;=15,"0-15",AND($AU980&gt;=16,$AU980&lt;=30),"16-30",AND($AU980&gt;=31,$AU980&lt;=45),"31-45",AND($AU980&gt;=46,$AU980&lt;=60),"46-60",AND($AU980&gt;=61,$AU980&lt;=90),"61-90",AND($AU980&gt;=91),"&gt; 90",AND($AU980&gt;=2000),""),"")</f>
        <v/>
      </c>
      <c r="AW980" s="32" t="str" cm="1">
        <f t="array" aca="1" ref="AW980" ca="1">IFERROR(_xlfn.IFS(OR($M980="",$AM980=""),"",OR($C980="Offered",$C980="Joined"),($AM980-$M980)-$AT980),"")</f>
        <v/>
      </c>
      <c r="AX980" s="32" t="str" cm="1">
        <f t="array" aca="1" ref="AX980" ca="1">IFERROR(_xlfn.IFS(OR($M980="",$AS980=""),"",$C980="Joined",($AS980-$M980)-$AT980),"")</f>
        <v/>
      </c>
      <c r="AY980" s="30" t="str">
        <f>IFERROR(IF(COUNTIFS('Candidate Tracker'!$E:$E,'Positions Tracker'!$B980,'Candidate Tracker'!$C:$C,"Offer Drop")=0,"",COUNTIFS('Candidate Tracker'!$E:$E,'Positions Tracker'!$B980,'Candidate Tracker'!$C:$C,"Offer Drop")),"")</f>
        <v/>
      </c>
      <c r="AZ980"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80" s="34" t="str">
        <f>IFERROR(IF(COUNTIFS('Candidate Tracker'!$E:$E,'Positions Tracker'!$B980,'Candidate Tracker'!$I:$I,"Female")=0,"",COUNTIFS('Candidate Tracker'!$E:$E,'Positions Tracker'!$B980,'Candidate Tracker'!$I:$I,"Female")),"")</f>
        <v/>
      </c>
      <c r="BB980" s="34" t="str">
        <f>IFERROR(IF(COUNTIFS('Candidate Tracker'!$E:$E,'Positions Tracker'!$B980,'Candidate Tracker'!$I:$I,"male")=0,"",COUNTIFS('Candidate Tracker'!$E:$E,'Positions Tracker'!$B980,'Candidate Tracker'!$I:$I,"male")),"")</f>
        <v/>
      </c>
      <c r="BC980" s="33" t="str">
        <f>IFERROR(IF(COUNTIFS('Candidate Tracker'!$E:$E,'Positions Tracker'!$B980,'Candidate Tracker'!$C:$C,"&lt;&gt;WIP",'Candidate Tracker'!$C:$C,"&lt;&gt;Hold",'Candidate Tracker'!$C:$C,"&lt;&gt;Cancelled",'Candidate Tracker'!$C:$C,"&lt;&gt;Closed")/COUNTIFS('Candidate Tracker'!$E:$E,'Positions Tracker'!$B980)=0,"",COUNTIFS('Candidate Tracker'!$E:$E,'Positions Tracker'!$B980,'Candidate Tracker'!$C:$C,"&lt;&gt;WIP",'Candidate Tracker'!$C:$C,"&lt;&gt;Hold",'Candidate Tracker'!$C:$C,"&lt;&gt;Cancelled",'Candidate Tracker'!$C:$C,"&lt;&gt;Closed")/COUNTIFS('Candidate Tracker'!$E:$E,'Positions Tracker'!$B980)),"")</f>
        <v/>
      </c>
      <c r="BD980" s="30" t="str">
        <f t="shared" si="105"/>
        <v/>
      </c>
      <c r="BE980" s="30" t="str">
        <f t="shared" si="106"/>
        <v/>
      </c>
      <c r="BF980" s="30" t="str">
        <f t="shared" si="107"/>
        <v/>
      </c>
      <c r="BG980" s="30" t="str">
        <f t="shared" si="108"/>
        <v/>
      </c>
    </row>
    <row r="981" spans="1:59">
      <c r="A981" s="39"/>
      <c r="B981" s="39"/>
      <c r="C981" s="39"/>
      <c r="D981" s="39"/>
      <c r="E981" s="39"/>
      <c r="F981" s="39"/>
      <c r="G981" s="39"/>
      <c r="H981" s="39"/>
      <c r="I981" s="40"/>
      <c r="J981" s="40"/>
      <c r="K981" s="35"/>
      <c r="L981" s="35"/>
      <c r="M981" s="35"/>
      <c r="N981" s="39"/>
      <c r="O981" s="39"/>
      <c r="P981" s="39"/>
      <c r="Q981" s="39"/>
      <c r="R981" s="39"/>
      <c r="S981" s="39"/>
      <c r="T981" s="39"/>
      <c r="U981" s="39"/>
      <c r="V981" s="39"/>
      <c r="W981" s="39"/>
      <c r="X981" s="39"/>
      <c r="Y981" s="39"/>
      <c r="Z981" s="39"/>
      <c r="AA981" s="39"/>
      <c r="AB981" s="39"/>
      <c r="AC981" s="39"/>
      <c r="AD981" s="39"/>
      <c r="AE981" s="39"/>
      <c r="AF981" s="39"/>
      <c r="AG981" s="39"/>
      <c r="AH981" s="39"/>
      <c r="AI981" s="35" t="s">
        <v>6</v>
      </c>
      <c r="AJ981" s="39"/>
      <c r="AK981" s="39"/>
      <c r="AL981" s="39"/>
      <c r="AM981" s="35"/>
      <c r="AN981" s="35"/>
      <c r="AO981" s="39"/>
      <c r="AP981" s="39"/>
      <c r="AQ981" s="35"/>
      <c r="AR981" s="35"/>
      <c r="AS981" s="35"/>
      <c r="AT981" s="30">
        <f t="shared" ca="1" si="104"/>
        <v>0</v>
      </c>
      <c r="AU981" s="32" t="str">
        <f t="shared" ca="1" si="103"/>
        <v/>
      </c>
      <c r="AV981" s="32" t="str" cm="1">
        <f t="array" aca="1" ref="AV981" ca="1">IFERROR(_xlfn.IFS($AU981="","",$AU981&lt;=15,"0-15",AND($AU981&gt;=16,$AU981&lt;=30),"16-30",AND($AU981&gt;=31,$AU981&lt;=45),"31-45",AND($AU981&gt;=46,$AU981&lt;=60),"46-60",AND($AU981&gt;=61,$AU981&lt;=90),"61-90",AND($AU981&gt;=91),"&gt; 90",AND($AU981&gt;=2000),""),"")</f>
        <v/>
      </c>
      <c r="AW981" s="32" t="str" cm="1">
        <f t="array" aca="1" ref="AW981" ca="1">IFERROR(_xlfn.IFS(OR($M981="",$AM981=""),"",OR($C981="Offered",$C981="Joined"),($AM981-$M981)-$AT981),"")</f>
        <v/>
      </c>
      <c r="AX981" s="32" t="str" cm="1">
        <f t="array" aca="1" ref="AX981" ca="1">IFERROR(_xlfn.IFS(OR($M981="",$AS981=""),"",$C981="Joined",($AS981-$M981)-$AT981),"")</f>
        <v/>
      </c>
      <c r="AY981" s="30" t="str">
        <f>IFERROR(IF(COUNTIFS('Candidate Tracker'!$E:$E,'Positions Tracker'!$B981,'Candidate Tracker'!$C:$C,"Offer Drop")=0,"",COUNTIFS('Candidate Tracker'!$E:$E,'Positions Tracker'!$B981,'Candidate Tracker'!$C:$C,"Offer Drop")),"")</f>
        <v/>
      </c>
      <c r="AZ981"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81" s="34" t="str">
        <f>IFERROR(IF(COUNTIFS('Candidate Tracker'!$E:$E,'Positions Tracker'!$B981,'Candidate Tracker'!$I:$I,"Female")=0,"",COUNTIFS('Candidate Tracker'!$E:$E,'Positions Tracker'!$B981,'Candidate Tracker'!$I:$I,"Female")),"")</f>
        <v/>
      </c>
      <c r="BB981" s="34" t="str">
        <f>IFERROR(IF(COUNTIFS('Candidate Tracker'!$E:$E,'Positions Tracker'!$B981,'Candidate Tracker'!$I:$I,"male")=0,"",COUNTIFS('Candidate Tracker'!$E:$E,'Positions Tracker'!$B981,'Candidate Tracker'!$I:$I,"male")),"")</f>
        <v/>
      </c>
      <c r="BC981" s="33" t="str">
        <f>IFERROR(IF(COUNTIFS('Candidate Tracker'!$E:$E,'Positions Tracker'!$B981,'Candidate Tracker'!$C:$C,"&lt;&gt;WIP",'Candidate Tracker'!$C:$C,"&lt;&gt;Hold",'Candidate Tracker'!$C:$C,"&lt;&gt;Cancelled",'Candidate Tracker'!$C:$C,"&lt;&gt;Closed")/COUNTIFS('Candidate Tracker'!$E:$E,'Positions Tracker'!$B981)=0,"",COUNTIFS('Candidate Tracker'!$E:$E,'Positions Tracker'!$B981,'Candidate Tracker'!$C:$C,"&lt;&gt;WIP",'Candidate Tracker'!$C:$C,"&lt;&gt;Hold",'Candidate Tracker'!$C:$C,"&lt;&gt;Cancelled",'Candidate Tracker'!$C:$C,"&lt;&gt;Closed")/COUNTIFS('Candidate Tracker'!$E:$E,'Positions Tracker'!$B981)),"")</f>
        <v/>
      </c>
      <c r="BD981" s="30" t="str">
        <f t="shared" si="105"/>
        <v/>
      </c>
      <c r="BE981" s="30" t="str">
        <f t="shared" si="106"/>
        <v xml:space="preserve"> </v>
      </c>
      <c r="BF981" s="30" t="str">
        <f t="shared" si="107"/>
        <v/>
      </c>
      <c r="BG981" s="30" t="str">
        <f t="shared" si="108"/>
        <v/>
      </c>
    </row>
    <row r="982" spans="1:59">
      <c r="A982" s="39"/>
      <c r="B982" s="39"/>
      <c r="C982" s="39"/>
      <c r="D982" s="39"/>
      <c r="E982" s="39"/>
      <c r="F982" s="39"/>
      <c r="G982" s="39"/>
      <c r="H982" s="39"/>
      <c r="I982" s="40"/>
      <c r="J982" s="40"/>
      <c r="K982" s="35"/>
      <c r="L982" s="35"/>
      <c r="M982" s="35"/>
      <c r="N982" s="39"/>
      <c r="O982" s="39"/>
      <c r="P982" s="39"/>
      <c r="Q982" s="39"/>
      <c r="R982" s="39"/>
      <c r="S982" s="39"/>
      <c r="T982" s="39"/>
      <c r="U982" s="39"/>
      <c r="V982" s="39"/>
      <c r="W982" s="39"/>
      <c r="X982" s="39"/>
      <c r="Y982" s="39"/>
      <c r="Z982" s="39"/>
      <c r="AA982" s="39"/>
      <c r="AB982" s="39"/>
      <c r="AC982" s="39"/>
      <c r="AD982" s="39"/>
      <c r="AE982" s="39"/>
      <c r="AF982" s="39"/>
      <c r="AG982" s="39"/>
      <c r="AH982" s="39"/>
      <c r="AI982" s="35"/>
      <c r="AJ982" s="39"/>
      <c r="AK982" s="39"/>
      <c r="AL982" s="39"/>
      <c r="AM982" s="35"/>
      <c r="AN982" s="35"/>
      <c r="AO982" s="39"/>
      <c r="AP982" s="39"/>
      <c r="AQ982" s="35"/>
      <c r="AR982" s="35"/>
      <c r="AS982" s="35"/>
      <c r="AT982" s="30">
        <f t="shared" ca="1" si="104"/>
        <v>0</v>
      </c>
      <c r="AU982" s="32" t="str">
        <f t="shared" ca="1" si="103"/>
        <v/>
      </c>
      <c r="AV982" s="32" t="str" cm="1">
        <f t="array" aca="1" ref="AV982" ca="1">IFERROR(_xlfn.IFS($AU982="","",$AU982&lt;=15,"0-15",AND($AU982&gt;=16,$AU982&lt;=30),"16-30",AND($AU982&gt;=31,$AU982&lt;=45),"31-45",AND($AU982&gt;=46,$AU982&lt;=60),"46-60",AND($AU982&gt;=61,$AU982&lt;=90),"61-90",AND($AU982&gt;=91),"&gt; 90",AND($AU982&gt;=2000),""),"")</f>
        <v/>
      </c>
      <c r="AW982" s="32" t="str" cm="1">
        <f t="array" aca="1" ref="AW982" ca="1">IFERROR(_xlfn.IFS(OR($M982="",$AM982=""),"",OR($C982="Offered",$C982="Joined"),($AM982-$M982)-$AT982),"")</f>
        <v/>
      </c>
      <c r="AX982" s="32" t="str" cm="1">
        <f t="array" aca="1" ref="AX982" ca="1">IFERROR(_xlfn.IFS(OR($M982="",$AS982=""),"",$C982="Joined",($AS982-$M982)-$AT982),"")</f>
        <v/>
      </c>
      <c r="AY982" s="30" t="str">
        <f>IFERROR(IF(COUNTIFS('Candidate Tracker'!$E:$E,'Positions Tracker'!$B982,'Candidate Tracker'!$C:$C,"Offer Drop")=0,"",COUNTIFS('Candidate Tracker'!$E:$E,'Positions Tracker'!$B982,'Candidate Tracker'!$C:$C,"Offer Drop")),"")</f>
        <v/>
      </c>
      <c r="AZ982"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82" s="34" t="str">
        <f>IFERROR(IF(COUNTIFS('Candidate Tracker'!$E:$E,'Positions Tracker'!$B982,'Candidate Tracker'!$I:$I,"Female")=0,"",COUNTIFS('Candidate Tracker'!$E:$E,'Positions Tracker'!$B982,'Candidate Tracker'!$I:$I,"Female")),"")</f>
        <v/>
      </c>
      <c r="BB982" s="34" t="str">
        <f>IFERROR(IF(COUNTIFS('Candidate Tracker'!$E:$E,'Positions Tracker'!$B982,'Candidate Tracker'!$I:$I,"male")=0,"",COUNTIFS('Candidate Tracker'!$E:$E,'Positions Tracker'!$B982,'Candidate Tracker'!$I:$I,"male")),"")</f>
        <v/>
      </c>
      <c r="BC982" s="33" t="str">
        <f>IFERROR(IF(COUNTIFS('Candidate Tracker'!$E:$E,'Positions Tracker'!$B982,'Candidate Tracker'!$C:$C,"&lt;&gt;WIP",'Candidate Tracker'!$C:$C,"&lt;&gt;Hold",'Candidate Tracker'!$C:$C,"&lt;&gt;Cancelled",'Candidate Tracker'!$C:$C,"&lt;&gt;Closed")/COUNTIFS('Candidate Tracker'!$E:$E,'Positions Tracker'!$B982)=0,"",COUNTIFS('Candidate Tracker'!$E:$E,'Positions Tracker'!$B982,'Candidate Tracker'!$C:$C,"&lt;&gt;WIP",'Candidate Tracker'!$C:$C,"&lt;&gt;Hold",'Candidate Tracker'!$C:$C,"&lt;&gt;Cancelled",'Candidate Tracker'!$C:$C,"&lt;&gt;Closed")/COUNTIFS('Candidate Tracker'!$E:$E,'Positions Tracker'!$B982)),"")</f>
        <v/>
      </c>
      <c r="BD982" s="30" t="str">
        <f t="shared" si="105"/>
        <v/>
      </c>
      <c r="BE982" s="30" t="str">
        <f t="shared" si="106"/>
        <v/>
      </c>
      <c r="BF982" s="30" t="str">
        <f t="shared" si="107"/>
        <v/>
      </c>
      <c r="BG982" s="30" t="str">
        <f t="shared" si="108"/>
        <v/>
      </c>
    </row>
    <row r="983" spans="1:59">
      <c r="A983" s="39"/>
      <c r="B983" s="39"/>
      <c r="C983" s="39"/>
      <c r="D983" s="39"/>
      <c r="E983" s="39"/>
      <c r="F983" s="39"/>
      <c r="G983" s="39"/>
      <c r="H983" s="39"/>
      <c r="I983" s="40"/>
      <c r="J983" s="40"/>
      <c r="K983" s="35"/>
      <c r="L983" s="35"/>
      <c r="M983" s="35"/>
      <c r="N983" s="39"/>
      <c r="O983" s="39"/>
      <c r="P983" s="39"/>
      <c r="Q983" s="39"/>
      <c r="R983" s="39"/>
      <c r="S983" s="39"/>
      <c r="T983" s="39"/>
      <c r="U983" s="39"/>
      <c r="V983" s="39"/>
      <c r="W983" s="39"/>
      <c r="X983" s="39"/>
      <c r="Y983" s="39"/>
      <c r="Z983" s="39"/>
      <c r="AA983" s="39"/>
      <c r="AB983" s="39"/>
      <c r="AC983" s="39"/>
      <c r="AD983" s="39"/>
      <c r="AE983" s="39"/>
      <c r="AF983" s="39"/>
      <c r="AG983" s="39"/>
      <c r="AH983" s="39"/>
      <c r="AI983" s="35"/>
      <c r="AJ983" s="39"/>
      <c r="AK983" s="39"/>
      <c r="AL983" s="39"/>
      <c r="AM983" s="35"/>
      <c r="AN983" s="35"/>
      <c r="AO983" s="39"/>
      <c r="AP983" s="39"/>
      <c r="AQ983" s="35"/>
      <c r="AR983" s="35"/>
      <c r="AS983" s="35"/>
      <c r="AT983" s="30">
        <f t="shared" ca="1" si="104"/>
        <v>0</v>
      </c>
      <c r="AU983" s="32" t="str">
        <f t="shared" ca="1" si="103"/>
        <v/>
      </c>
      <c r="AV983" s="32" t="str" cm="1">
        <f t="array" aca="1" ref="AV983" ca="1">IFERROR(_xlfn.IFS($AU983="","",$AU983&lt;=15,"0-15",AND($AU983&gt;=16,$AU983&lt;=30),"16-30",AND($AU983&gt;=31,$AU983&lt;=45),"31-45",AND($AU983&gt;=46,$AU983&lt;=60),"46-60",AND($AU983&gt;=61,$AU983&lt;=90),"61-90",AND($AU983&gt;=91),"&gt; 90",AND($AU983&gt;=2000),""),"")</f>
        <v/>
      </c>
      <c r="AW983" s="32" t="str" cm="1">
        <f t="array" aca="1" ref="AW983" ca="1">IFERROR(_xlfn.IFS(OR($M983="",$AM983=""),"",OR($C983="Offered",$C983="Joined"),($AM983-$M983)-$AT983),"")</f>
        <v/>
      </c>
      <c r="AX983" s="32" t="str" cm="1">
        <f t="array" aca="1" ref="AX983" ca="1">IFERROR(_xlfn.IFS(OR($M983="",$AS983=""),"",$C983="Joined",($AS983-$M983)-$AT983),"")</f>
        <v/>
      </c>
      <c r="AY983" s="30" t="str">
        <f>IFERROR(IF(COUNTIFS('Candidate Tracker'!$E:$E,'Positions Tracker'!$B983,'Candidate Tracker'!$C:$C,"Offer Drop")=0,"",COUNTIFS('Candidate Tracker'!$E:$E,'Positions Tracker'!$B983,'Candidate Tracker'!$C:$C,"Offer Drop")),"")</f>
        <v/>
      </c>
      <c r="AZ983"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83" s="34" t="str">
        <f>IFERROR(IF(COUNTIFS('Candidate Tracker'!$E:$E,'Positions Tracker'!$B983,'Candidate Tracker'!$I:$I,"Female")=0,"",COUNTIFS('Candidate Tracker'!$E:$E,'Positions Tracker'!$B983,'Candidate Tracker'!$I:$I,"Female")),"")</f>
        <v/>
      </c>
      <c r="BB983" s="34" t="str">
        <f>IFERROR(IF(COUNTIFS('Candidate Tracker'!$E:$E,'Positions Tracker'!$B983,'Candidate Tracker'!$I:$I,"male")=0,"",COUNTIFS('Candidate Tracker'!$E:$E,'Positions Tracker'!$B983,'Candidate Tracker'!$I:$I,"male")),"")</f>
        <v/>
      </c>
      <c r="BC983" s="33" t="str">
        <f>IFERROR(IF(COUNTIFS('Candidate Tracker'!$E:$E,'Positions Tracker'!$B983,'Candidate Tracker'!$C:$C,"&lt;&gt;WIP",'Candidate Tracker'!$C:$C,"&lt;&gt;Hold",'Candidate Tracker'!$C:$C,"&lt;&gt;Cancelled",'Candidate Tracker'!$C:$C,"&lt;&gt;Closed")/COUNTIFS('Candidate Tracker'!$E:$E,'Positions Tracker'!$B983)=0,"",COUNTIFS('Candidate Tracker'!$E:$E,'Positions Tracker'!$B983,'Candidate Tracker'!$C:$C,"&lt;&gt;WIP",'Candidate Tracker'!$C:$C,"&lt;&gt;Hold",'Candidate Tracker'!$C:$C,"&lt;&gt;Cancelled",'Candidate Tracker'!$C:$C,"&lt;&gt;Closed")/COUNTIFS('Candidate Tracker'!$E:$E,'Positions Tracker'!$B983)),"")</f>
        <v/>
      </c>
      <c r="BD983" s="30" t="str">
        <f t="shared" si="105"/>
        <v/>
      </c>
      <c r="BE983" s="30" t="str">
        <f t="shared" si="106"/>
        <v/>
      </c>
      <c r="BF983" s="30" t="str">
        <f t="shared" si="107"/>
        <v/>
      </c>
      <c r="BG983" s="30" t="str">
        <f t="shared" si="108"/>
        <v/>
      </c>
    </row>
    <row r="984" spans="1:59">
      <c r="A984" s="39"/>
      <c r="B984" s="39"/>
      <c r="C984" s="39"/>
      <c r="D984" s="39"/>
      <c r="E984" s="39"/>
      <c r="F984" s="39"/>
      <c r="G984" s="39"/>
      <c r="H984" s="39"/>
      <c r="I984" s="40"/>
      <c r="J984" s="40"/>
      <c r="K984" s="35"/>
      <c r="L984" s="35"/>
      <c r="M984" s="35"/>
      <c r="N984" s="39"/>
      <c r="O984" s="39"/>
      <c r="P984" s="39"/>
      <c r="Q984" s="39"/>
      <c r="R984" s="39"/>
      <c r="S984" s="39"/>
      <c r="T984" s="39"/>
      <c r="U984" s="39"/>
      <c r="V984" s="39"/>
      <c r="W984" s="39"/>
      <c r="X984" s="39"/>
      <c r="Y984" s="39"/>
      <c r="Z984" s="39"/>
      <c r="AA984" s="39"/>
      <c r="AB984" s="39"/>
      <c r="AC984" s="39"/>
      <c r="AD984" s="39"/>
      <c r="AE984" s="39"/>
      <c r="AF984" s="39"/>
      <c r="AG984" s="39"/>
      <c r="AH984" s="39"/>
      <c r="AI984" s="35"/>
      <c r="AJ984" s="39"/>
      <c r="AK984" s="39"/>
      <c r="AL984" s="39"/>
      <c r="AM984" s="35"/>
      <c r="AN984" s="35"/>
      <c r="AO984" s="39"/>
      <c r="AP984" s="39"/>
      <c r="AQ984" s="35"/>
      <c r="AR984" s="35"/>
      <c r="AS984" s="35"/>
      <c r="AT984" s="30">
        <f t="shared" ca="1" si="104"/>
        <v>0</v>
      </c>
      <c r="AU984" s="32" t="str">
        <f t="shared" ca="1" si="103"/>
        <v/>
      </c>
      <c r="AV984" s="32" t="str" cm="1">
        <f t="array" aca="1" ref="AV984" ca="1">IFERROR(_xlfn.IFS($AU984="","",$AU984&lt;=15,"0-15",AND($AU984&gt;=16,$AU984&lt;=30),"16-30",AND($AU984&gt;=31,$AU984&lt;=45),"31-45",AND($AU984&gt;=46,$AU984&lt;=60),"46-60",AND($AU984&gt;=61,$AU984&lt;=90),"61-90",AND($AU984&gt;=91),"&gt; 90",AND($AU984&gt;=2000),""),"")</f>
        <v/>
      </c>
      <c r="AW984" s="32" t="str" cm="1">
        <f t="array" aca="1" ref="AW984" ca="1">IFERROR(_xlfn.IFS(OR($M984="",$AM984=""),"",OR($C984="Offered",$C984="Joined"),($AM984-$M984)-$AT984),"")</f>
        <v/>
      </c>
      <c r="AX984" s="32" t="str" cm="1">
        <f t="array" aca="1" ref="AX984" ca="1">IFERROR(_xlfn.IFS(OR($M984="",$AS984=""),"",$C984="Joined",($AS984-$M984)-$AT984),"")</f>
        <v/>
      </c>
      <c r="AY984" s="30" t="str">
        <f>IFERROR(IF(COUNTIFS('Candidate Tracker'!$E:$E,'Positions Tracker'!$B984,'Candidate Tracker'!$C:$C,"Offer Drop")=0,"",COUNTIFS('Candidate Tracker'!$E:$E,'Positions Tracker'!$B984,'Candidate Tracker'!$C:$C,"Offer Drop")),"")</f>
        <v/>
      </c>
      <c r="AZ984"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84" s="34" t="str">
        <f>IFERROR(IF(COUNTIFS('Candidate Tracker'!$E:$E,'Positions Tracker'!$B984,'Candidate Tracker'!$I:$I,"Female")=0,"",COUNTIFS('Candidate Tracker'!$E:$E,'Positions Tracker'!$B984,'Candidate Tracker'!$I:$I,"Female")),"")</f>
        <v/>
      </c>
      <c r="BB984" s="34" t="str">
        <f>IFERROR(IF(COUNTIFS('Candidate Tracker'!$E:$E,'Positions Tracker'!$B984,'Candidate Tracker'!$I:$I,"male")=0,"",COUNTIFS('Candidate Tracker'!$E:$E,'Positions Tracker'!$B984,'Candidate Tracker'!$I:$I,"male")),"")</f>
        <v/>
      </c>
      <c r="BC984" s="33" t="str">
        <f>IFERROR(IF(COUNTIFS('Candidate Tracker'!$E:$E,'Positions Tracker'!$B984,'Candidate Tracker'!$C:$C,"&lt;&gt;WIP",'Candidate Tracker'!$C:$C,"&lt;&gt;Hold",'Candidate Tracker'!$C:$C,"&lt;&gt;Cancelled",'Candidate Tracker'!$C:$C,"&lt;&gt;Closed")/COUNTIFS('Candidate Tracker'!$E:$E,'Positions Tracker'!$B984)=0,"",COUNTIFS('Candidate Tracker'!$E:$E,'Positions Tracker'!$B984,'Candidate Tracker'!$C:$C,"&lt;&gt;WIP",'Candidate Tracker'!$C:$C,"&lt;&gt;Hold",'Candidate Tracker'!$C:$C,"&lt;&gt;Cancelled",'Candidate Tracker'!$C:$C,"&lt;&gt;Closed")/COUNTIFS('Candidate Tracker'!$E:$E,'Positions Tracker'!$B984)),"")</f>
        <v/>
      </c>
      <c r="BD984" s="30" t="str">
        <f t="shared" si="105"/>
        <v/>
      </c>
      <c r="BE984" s="30" t="str">
        <f t="shared" si="106"/>
        <v/>
      </c>
      <c r="BF984" s="30" t="str">
        <f t="shared" si="107"/>
        <v/>
      </c>
      <c r="BG984" s="30" t="str">
        <f t="shared" si="108"/>
        <v/>
      </c>
    </row>
    <row r="985" spans="1:59">
      <c r="A985" s="39">
        <v>1</v>
      </c>
      <c r="B985" s="39"/>
      <c r="C985" s="39"/>
      <c r="D985" s="39"/>
      <c r="E985" s="39"/>
      <c r="F985" s="39"/>
      <c r="G985" s="39"/>
      <c r="H985" s="39"/>
      <c r="I985" s="40"/>
      <c r="J985" s="40"/>
      <c r="K985" s="35"/>
      <c r="L985" s="35"/>
      <c r="M985" s="35"/>
      <c r="N985" s="39"/>
      <c r="O985" s="39"/>
      <c r="P985" s="39"/>
      <c r="Q985" s="39"/>
      <c r="R985" s="39"/>
      <c r="S985" s="39"/>
      <c r="T985" s="39"/>
      <c r="U985" s="39"/>
      <c r="V985" s="39"/>
      <c r="W985" s="39"/>
      <c r="X985" s="39"/>
      <c r="Y985" s="39"/>
      <c r="Z985" s="39"/>
      <c r="AA985" s="39"/>
      <c r="AB985" s="39"/>
      <c r="AC985" s="39"/>
      <c r="AD985" s="39"/>
      <c r="AE985" s="39"/>
      <c r="AF985" s="39"/>
      <c r="AG985" s="39"/>
      <c r="AH985" s="39"/>
      <c r="AI985" s="35"/>
      <c r="AJ985" s="39"/>
      <c r="AK985" s="39"/>
      <c r="AL985" s="39"/>
      <c r="AM985" s="35"/>
      <c r="AN985" s="35"/>
      <c r="AO985" s="39"/>
      <c r="AP985" s="39"/>
      <c r="AQ985" s="35"/>
      <c r="AR985" s="35"/>
      <c r="AS985" s="35"/>
      <c r="AT985" s="30">
        <f t="shared" ca="1" si="104"/>
        <v>0</v>
      </c>
      <c r="AU985" s="32" t="str">
        <f t="shared" ca="1" si="103"/>
        <v/>
      </c>
      <c r="AV985" s="32" t="str" cm="1">
        <f t="array" aca="1" ref="AV985" ca="1">IFERROR(_xlfn.IFS($AU985="","",$AU985&lt;=15,"0-15",AND($AU985&gt;=16,$AU985&lt;=30),"16-30",AND($AU985&gt;=31,$AU985&lt;=45),"31-45",AND($AU985&gt;=46,$AU985&lt;=60),"46-60",AND($AU985&gt;=61,$AU985&lt;=90),"61-90",AND($AU985&gt;=91),"&gt; 90",AND($AU985&gt;=2000),""),"")</f>
        <v/>
      </c>
      <c r="AW985" s="32" t="str" cm="1">
        <f t="array" aca="1" ref="AW985" ca="1">IFERROR(_xlfn.IFS(OR($M985="",$AM985=""),"",OR($C985="Offered",$C985="Joined"),($AM985-$M985)-$AT985),"")</f>
        <v/>
      </c>
      <c r="AX985" s="32" t="str" cm="1">
        <f t="array" aca="1" ref="AX985" ca="1">IFERROR(_xlfn.IFS(OR($M985="",$AS985=""),"",$C985="Joined",($AS985-$M985)-$AT985),"")</f>
        <v/>
      </c>
      <c r="AY985" s="30" t="str">
        <f>IFERROR(IF(COUNTIFS('Candidate Tracker'!$E:$E,'Positions Tracker'!$B985,'Candidate Tracker'!$C:$C,"Offer Drop")=0,"",COUNTIFS('Candidate Tracker'!$E:$E,'Positions Tracker'!$B985,'Candidate Tracker'!$C:$C,"Offer Drop")),"")</f>
        <v/>
      </c>
      <c r="AZ985" s="33">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0.92950654582074521</v>
      </c>
      <c r="BA985" s="34" t="str">
        <f>IFERROR(IF(COUNTIFS('Candidate Tracker'!$E:$E,'Positions Tracker'!$B985,'Candidate Tracker'!$I:$I,"Female")=0,"",COUNTIFS('Candidate Tracker'!$E:$E,'Positions Tracker'!$B985,'Candidate Tracker'!$I:$I,"Female")),"")</f>
        <v/>
      </c>
      <c r="BB985" s="34" t="str">
        <f>IFERROR(IF(COUNTIFS('Candidate Tracker'!$E:$E,'Positions Tracker'!$B985,'Candidate Tracker'!$I:$I,"male")=0,"",COUNTIFS('Candidate Tracker'!$E:$E,'Positions Tracker'!$B985,'Candidate Tracker'!$I:$I,"male")),"")</f>
        <v/>
      </c>
      <c r="BC985" s="33" t="str">
        <f>IFERROR(IF(COUNTIFS('Candidate Tracker'!$E:$E,'Positions Tracker'!$B985,'Candidate Tracker'!$C:$C,"&lt;&gt;WIP",'Candidate Tracker'!$C:$C,"&lt;&gt;Hold",'Candidate Tracker'!$C:$C,"&lt;&gt;Cancelled",'Candidate Tracker'!$C:$C,"&lt;&gt;Closed")/COUNTIFS('Candidate Tracker'!$E:$E,'Positions Tracker'!$B985)=0,"",COUNTIFS('Candidate Tracker'!$E:$E,'Positions Tracker'!$B985,'Candidate Tracker'!$C:$C,"&lt;&gt;WIP",'Candidate Tracker'!$C:$C,"&lt;&gt;Hold",'Candidate Tracker'!$C:$C,"&lt;&gt;Cancelled",'Candidate Tracker'!$C:$C,"&lt;&gt;Closed")/COUNTIFS('Candidate Tracker'!$E:$E,'Positions Tracker'!$B985)),"")</f>
        <v/>
      </c>
      <c r="BD985" s="30" t="str">
        <f t="shared" si="105"/>
        <v/>
      </c>
      <c r="BE985" s="30" t="str">
        <f t="shared" si="106"/>
        <v/>
      </c>
      <c r="BF985" s="30" t="str">
        <f t="shared" si="107"/>
        <v/>
      </c>
      <c r="BG985" s="30" t="str">
        <f t="shared" si="108"/>
        <v/>
      </c>
    </row>
    <row r="986" spans="1:59">
      <c r="A986" s="27">
        <v>267</v>
      </c>
    </row>
    <row r="987" spans="1:59">
      <c r="A987" s="39">
        <v>267</v>
      </c>
      <c r="B987" s="12">
        <v>20259619</v>
      </c>
      <c r="C987" s="160" t="s">
        <v>2</v>
      </c>
      <c r="D987" s="39" t="s">
        <v>2511</v>
      </c>
      <c r="E987" s="30" t="s">
        <v>3256</v>
      </c>
      <c r="F987" s="39" t="s">
        <v>4525</v>
      </c>
      <c r="G987" s="39" t="s">
        <v>1</v>
      </c>
      <c r="H987" s="39" t="s">
        <v>2409</v>
      </c>
      <c r="I987" s="228" t="s">
        <v>4444</v>
      </c>
      <c r="J987" s="39" t="s">
        <v>135</v>
      </c>
      <c r="K987" s="35"/>
      <c r="L987" s="35"/>
      <c r="M987" s="35"/>
      <c r="N987" s="39" t="s">
        <v>4289</v>
      </c>
      <c r="O987" s="39"/>
      <c r="P987" s="39"/>
      <c r="Q987" s="39"/>
      <c r="R987" s="39"/>
      <c r="S987" s="39"/>
      <c r="T987" s="39"/>
      <c r="U987" s="39"/>
      <c r="V987" s="39"/>
      <c r="W987" s="39"/>
      <c r="X987" s="39" t="s">
        <v>3115</v>
      </c>
      <c r="Y987" s="39" t="s">
        <v>2408</v>
      </c>
      <c r="Z987" s="39" t="s">
        <v>2679</v>
      </c>
      <c r="AA987" s="186" t="s">
        <v>4526</v>
      </c>
      <c r="AB987" s="39"/>
      <c r="AC987" s="39"/>
      <c r="AD987" s="39"/>
      <c r="AE987" s="39"/>
      <c r="AF987" s="39"/>
      <c r="AG987" s="39"/>
      <c r="AH987" s="39"/>
      <c r="AI987" s="227"/>
      <c r="AJ987" s="227"/>
      <c r="AK987" s="39"/>
      <c r="AL987" s="39"/>
      <c r="AM987" s="35"/>
      <c r="AN987" s="35"/>
      <c r="AO987" s="39"/>
      <c r="AP987" s="39"/>
      <c r="AQ987" s="35"/>
      <c r="AR987" s="35"/>
      <c r="AS987" s="35"/>
      <c r="AT987" s="35"/>
      <c r="AU987" s="35"/>
      <c r="AV987" s="35"/>
      <c r="AW987" s="35"/>
      <c r="AX987" s="39"/>
      <c r="AY987" s="39"/>
      <c r="AZ987" s="39"/>
      <c r="BA987" s="39"/>
      <c r="BB987" s="39"/>
      <c r="BC987" s="39"/>
      <c r="BD987" s="39"/>
      <c r="BE987" s="39"/>
      <c r="BF987" s="39"/>
      <c r="BG987" s="39"/>
    </row>
    <row r="988" spans="1:59">
      <c r="A988" s="170">
        <v>268</v>
      </c>
      <c r="B988" s="235">
        <v>20264550</v>
      </c>
      <c r="C988" s="236" t="s">
        <v>2</v>
      </c>
      <c r="D988" s="170" t="s">
        <v>1056</v>
      </c>
      <c r="E988" s="169" t="s">
        <v>4527</v>
      </c>
      <c r="F988" s="170" t="s">
        <v>4528</v>
      </c>
      <c r="G988" s="170" t="s">
        <v>1</v>
      </c>
      <c r="H988" s="170" t="s">
        <v>2409</v>
      </c>
      <c r="I988" s="242" t="s">
        <v>4507</v>
      </c>
      <c r="J988" s="170" t="s">
        <v>135</v>
      </c>
      <c r="K988" s="175">
        <v>46020</v>
      </c>
      <c r="L988" s="175">
        <v>46020</v>
      </c>
      <c r="M988" s="175">
        <v>46020</v>
      </c>
      <c r="N988" s="170" t="s">
        <v>4289</v>
      </c>
      <c r="O988" s="170"/>
      <c r="P988" s="170"/>
      <c r="Q988" s="170"/>
      <c r="R988" s="170"/>
      <c r="S988" s="170"/>
      <c r="T988" s="170"/>
      <c r="U988" s="170"/>
      <c r="V988" s="170"/>
      <c r="W988" s="170"/>
      <c r="X988" s="210" t="s">
        <v>3115</v>
      </c>
      <c r="Y988" s="170" t="s">
        <v>2408</v>
      </c>
      <c r="Z988" s="170" t="s">
        <v>2408</v>
      </c>
      <c r="AA988" s="39"/>
      <c r="AB988" s="39"/>
      <c r="AC988" s="39"/>
      <c r="AD988" s="39"/>
      <c r="AE988" s="39"/>
      <c r="AF988" s="39"/>
      <c r="AG988" s="39"/>
      <c r="AH988" s="39"/>
      <c r="AI988" s="227"/>
      <c r="AJ988" s="227"/>
      <c r="AK988" s="39"/>
      <c r="AL988" s="39"/>
      <c r="AM988" s="35"/>
      <c r="AN988" s="35"/>
      <c r="AO988" s="39"/>
      <c r="AP988" s="39"/>
      <c r="AQ988" s="35"/>
      <c r="AR988" s="35"/>
      <c r="AS988" s="35"/>
      <c r="AT988" s="35"/>
      <c r="AU988" s="35"/>
      <c r="AV988" s="35"/>
      <c r="AW988" s="35"/>
      <c r="AX988" s="39"/>
      <c r="AY988" s="39"/>
      <c r="AZ988" s="39"/>
      <c r="BA988" s="39"/>
      <c r="BB988" s="39"/>
      <c r="BC988" s="39"/>
      <c r="BD988" s="39"/>
      <c r="BE988" s="39"/>
      <c r="BF988" s="39"/>
      <c r="BG988" s="39"/>
    </row>
    <row r="989" spans="1:59">
      <c r="A989" s="39"/>
      <c r="B989" s="39"/>
      <c r="C989" s="39"/>
      <c r="D989" s="30"/>
      <c r="E989" s="39"/>
      <c r="F989" s="39"/>
      <c r="G989" s="39"/>
      <c r="H989" s="39"/>
      <c r="I989" s="39"/>
      <c r="J989" s="39"/>
      <c r="K989" s="35"/>
      <c r="L989" s="35"/>
      <c r="M989" s="35"/>
      <c r="N989" s="39"/>
      <c r="O989" s="39"/>
      <c r="P989" s="39"/>
      <c r="Q989" s="39"/>
      <c r="R989" s="39"/>
      <c r="S989" s="39"/>
      <c r="T989" s="39"/>
      <c r="U989" s="39"/>
      <c r="V989" s="39"/>
      <c r="W989" s="39"/>
      <c r="X989" s="48"/>
      <c r="Y989" s="39"/>
      <c r="Z989" s="39"/>
      <c r="AA989" s="39"/>
      <c r="AB989" s="39"/>
      <c r="AC989" s="39"/>
      <c r="AD989" s="39"/>
      <c r="AE989" s="39"/>
      <c r="AF989" s="39"/>
      <c r="AG989" s="39"/>
      <c r="AH989" s="39"/>
      <c r="AI989" s="227"/>
      <c r="AJ989" s="227"/>
      <c r="AK989" s="39"/>
      <c r="AL989" s="39"/>
      <c r="AM989" s="35"/>
      <c r="AN989" s="35"/>
      <c r="AO989" s="39"/>
      <c r="AP989" s="39"/>
      <c r="AQ989" s="35"/>
      <c r="AR989" s="35"/>
      <c r="AS989" s="35"/>
      <c r="AT989" s="35"/>
      <c r="AU989" s="35"/>
      <c r="AV989" s="35"/>
      <c r="AW989" s="35"/>
      <c r="AX989" s="39"/>
      <c r="AY989" s="39"/>
      <c r="AZ989" s="39"/>
      <c r="BA989" s="39"/>
      <c r="BB989" s="39"/>
      <c r="BC989" s="39"/>
      <c r="BD989" s="39"/>
      <c r="BE989" s="39"/>
      <c r="BF989" s="39"/>
      <c r="BG989" s="39"/>
    </row>
    <row r="990" spans="1:59">
      <c r="A990" s="39"/>
      <c r="B990" s="39"/>
      <c r="C990" s="39"/>
      <c r="D990" s="39"/>
      <c r="E990" s="39"/>
      <c r="F990" s="39"/>
      <c r="G990" s="39"/>
      <c r="H990" s="39"/>
      <c r="I990" s="39"/>
      <c r="J990" s="39"/>
      <c r="K990" s="35"/>
      <c r="L990" s="35"/>
      <c r="M990" s="35"/>
      <c r="N990" s="39"/>
      <c r="O990" s="39"/>
      <c r="P990" s="39"/>
      <c r="Q990" s="39"/>
      <c r="R990" s="39"/>
      <c r="S990" s="39"/>
      <c r="T990" s="39"/>
      <c r="U990" s="39"/>
      <c r="V990" s="39"/>
      <c r="W990" s="39"/>
      <c r="X990" s="39"/>
      <c r="Y990" s="39"/>
      <c r="Z990" s="39"/>
      <c r="AA990" s="39"/>
      <c r="AB990" s="39"/>
      <c r="AC990" s="39"/>
      <c r="AD990" s="39"/>
      <c r="AE990" s="39"/>
      <c r="AF990" s="39"/>
      <c r="AG990" s="39"/>
      <c r="AH990" s="39"/>
      <c r="AI990" s="227"/>
      <c r="AJ990" s="227"/>
      <c r="AK990" s="39"/>
      <c r="AL990" s="39"/>
      <c r="AM990" s="35"/>
      <c r="AN990" s="35"/>
      <c r="AO990" s="39"/>
      <c r="AP990" s="39"/>
      <c r="AQ990" s="35"/>
      <c r="AR990" s="35"/>
      <c r="AS990" s="35"/>
      <c r="AT990" s="35"/>
      <c r="AU990" s="35"/>
      <c r="AV990" s="35"/>
      <c r="AW990" s="35"/>
      <c r="AX990" s="39"/>
      <c r="AY990" s="39"/>
      <c r="AZ990" s="39"/>
      <c r="BA990" s="39"/>
      <c r="BB990" s="39"/>
      <c r="BC990" s="39"/>
      <c r="BD990" s="39"/>
      <c r="BE990" s="39"/>
      <c r="BF990" s="39"/>
      <c r="BG990" s="39"/>
    </row>
    <row r="991" spans="1:59">
      <c r="A991" s="39"/>
      <c r="B991" s="39"/>
      <c r="C991" s="39"/>
      <c r="D991" s="39"/>
      <c r="E991" s="39"/>
      <c r="F991" s="39"/>
      <c r="G991" s="39"/>
      <c r="H991" s="39"/>
      <c r="I991" s="39"/>
      <c r="J991" s="39"/>
      <c r="K991" s="35"/>
      <c r="L991" s="35"/>
      <c r="M991" s="35"/>
      <c r="N991" s="39"/>
      <c r="O991" s="39"/>
      <c r="P991" s="39"/>
      <c r="Q991" s="39"/>
      <c r="R991" s="39"/>
      <c r="S991" s="39"/>
      <c r="T991" s="39"/>
      <c r="U991" s="39"/>
      <c r="V991" s="39"/>
      <c r="W991" s="39"/>
      <c r="X991" s="39"/>
      <c r="Y991" s="39"/>
      <c r="Z991" s="39"/>
      <c r="AA991" s="39"/>
      <c r="AB991" s="39"/>
      <c r="AC991" s="39"/>
      <c r="AD991" s="39"/>
      <c r="AE991" s="39"/>
      <c r="AF991" s="39"/>
      <c r="AG991" s="39"/>
      <c r="AH991" s="39"/>
      <c r="AI991" s="227"/>
      <c r="AJ991" s="227"/>
      <c r="AK991" s="39"/>
      <c r="AL991" s="39"/>
      <c r="AM991" s="35"/>
      <c r="AN991" s="35"/>
      <c r="AO991" s="39"/>
      <c r="AP991" s="39"/>
      <c r="AQ991" s="35"/>
      <c r="AR991" s="35"/>
      <c r="AS991" s="35"/>
      <c r="AT991" s="35"/>
      <c r="AU991" s="35"/>
      <c r="AV991" s="35"/>
      <c r="AW991" s="35"/>
      <c r="AX991" s="39"/>
      <c r="AY991" s="39"/>
      <c r="AZ991" s="39"/>
      <c r="BA991" s="39"/>
      <c r="BB991" s="39"/>
      <c r="BC991" s="39"/>
      <c r="BD991" s="39"/>
      <c r="BE991" s="39"/>
      <c r="BF991" s="39"/>
      <c r="BG991" s="39"/>
    </row>
    <row r="992" spans="1:59">
      <c r="A992" s="39"/>
      <c r="B992" s="39"/>
      <c r="C992" s="39"/>
      <c r="D992" s="39"/>
      <c r="E992" s="39"/>
      <c r="F992" s="39"/>
      <c r="G992" s="39"/>
      <c r="H992" s="39"/>
      <c r="I992" s="39"/>
      <c r="J992" s="39"/>
      <c r="K992" s="35"/>
      <c r="L992" s="35"/>
      <c r="M992" s="35"/>
      <c r="N992" s="39"/>
      <c r="O992" s="39"/>
      <c r="P992" s="39"/>
      <c r="Q992" s="39"/>
      <c r="R992" s="39"/>
      <c r="S992" s="39"/>
      <c r="T992" s="39"/>
      <c r="U992" s="39"/>
      <c r="V992" s="39"/>
      <c r="W992" s="39"/>
      <c r="X992" s="39"/>
      <c r="Y992" s="39"/>
      <c r="Z992" s="39"/>
      <c r="AA992" s="39"/>
      <c r="AB992" s="39"/>
      <c r="AC992" s="39"/>
      <c r="AD992" s="39"/>
      <c r="AE992" s="39"/>
      <c r="AF992" s="39"/>
      <c r="AG992" s="39"/>
      <c r="AH992" s="39"/>
      <c r="AI992" s="227"/>
      <c r="AJ992" s="227"/>
      <c r="AK992" s="39"/>
      <c r="AL992" s="39"/>
      <c r="AM992" s="35"/>
      <c r="AN992" s="35"/>
      <c r="AO992" s="39"/>
      <c r="AP992" s="39"/>
      <c r="AQ992" s="35"/>
      <c r="AR992" s="35"/>
      <c r="AS992" s="35"/>
      <c r="AT992" s="35"/>
      <c r="AU992" s="35"/>
      <c r="AV992" s="35"/>
      <c r="AW992" s="35"/>
      <c r="AX992" s="39"/>
      <c r="AY992" s="39"/>
      <c r="AZ992" s="39"/>
      <c r="BA992" s="39"/>
      <c r="BB992" s="39"/>
      <c r="BC992" s="39"/>
      <c r="BD992" s="39"/>
      <c r="BE992" s="39"/>
      <c r="BF992" s="39"/>
      <c r="BG992" s="39"/>
    </row>
    <row r="993" spans="1:59">
      <c r="A993" s="39"/>
      <c r="B993" s="39"/>
      <c r="C993" s="39"/>
      <c r="D993" s="39"/>
      <c r="E993" s="39"/>
      <c r="F993" s="39"/>
      <c r="G993" s="39"/>
      <c r="H993" s="39"/>
      <c r="I993" s="39"/>
      <c r="J993" s="39"/>
      <c r="K993" s="35"/>
      <c r="L993" s="35"/>
      <c r="M993" s="35"/>
      <c r="N993" s="39"/>
      <c r="O993" s="39"/>
      <c r="P993" s="39"/>
      <c r="Q993" s="39"/>
      <c r="R993" s="39"/>
      <c r="S993" s="39"/>
      <c r="T993" s="39"/>
      <c r="U993" s="39"/>
      <c r="V993" s="39"/>
      <c r="W993" s="39"/>
      <c r="X993" s="39"/>
      <c r="Y993" s="39"/>
      <c r="Z993" s="39"/>
      <c r="AA993" s="39"/>
      <c r="AB993" s="39"/>
      <c r="AC993" s="39"/>
      <c r="AD993" s="39"/>
      <c r="AE993" s="39"/>
      <c r="AF993" s="39"/>
      <c r="AG993" s="39"/>
      <c r="AH993" s="39"/>
      <c r="AI993" s="227"/>
      <c r="AJ993" s="227"/>
      <c r="AK993" s="39"/>
      <c r="AL993" s="39"/>
      <c r="AM993" s="35"/>
      <c r="AN993" s="35"/>
      <c r="AO993" s="39"/>
      <c r="AP993" s="39"/>
      <c r="AQ993" s="35"/>
      <c r="AR993" s="35"/>
      <c r="AS993" s="35"/>
      <c r="AT993" s="35"/>
      <c r="AU993" s="35"/>
      <c r="AV993" s="35"/>
      <c r="AW993" s="35"/>
      <c r="AX993" s="39"/>
      <c r="AY993" s="39"/>
      <c r="AZ993" s="39"/>
      <c r="BA993" s="39"/>
      <c r="BB993" s="39"/>
      <c r="BC993" s="39"/>
      <c r="BD993" s="39"/>
      <c r="BE993" s="39"/>
      <c r="BF993" s="39"/>
      <c r="BG993" s="39"/>
    </row>
    <row r="994" spans="1:59">
      <c r="A994" s="39"/>
      <c r="B994" s="39"/>
      <c r="C994" s="39"/>
      <c r="D994" s="39"/>
      <c r="E994" s="39"/>
      <c r="F994" s="39"/>
      <c r="G994" s="39"/>
      <c r="H994" s="39"/>
      <c r="I994" s="39"/>
      <c r="J994" s="39"/>
      <c r="K994" s="35"/>
      <c r="L994" s="35"/>
      <c r="M994" s="35"/>
      <c r="N994" s="39"/>
      <c r="O994" s="39"/>
      <c r="P994" s="39"/>
      <c r="Q994" s="39"/>
      <c r="R994" s="39"/>
      <c r="S994" s="39"/>
      <c r="T994" s="39"/>
      <c r="U994" s="39"/>
      <c r="V994" s="39"/>
      <c r="W994" s="39"/>
      <c r="X994" s="39"/>
      <c r="Y994" s="39"/>
      <c r="Z994" s="39"/>
      <c r="AA994" s="39"/>
      <c r="AB994" s="39"/>
      <c r="AC994" s="39"/>
      <c r="AD994" s="39"/>
      <c r="AE994" s="39"/>
      <c r="AF994" s="39"/>
      <c r="AG994" s="39"/>
      <c r="AH994" s="39"/>
      <c r="AI994" s="227"/>
      <c r="AJ994" s="227"/>
      <c r="AK994" s="39"/>
      <c r="AL994" s="39"/>
      <c r="AM994" s="35"/>
      <c r="AN994" s="35"/>
      <c r="AO994" s="39"/>
      <c r="AP994" s="39"/>
      <c r="AQ994" s="35"/>
      <c r="AR994" s="35"/>
      <c r="AS994" s="35"/>
      <c r="AT994" s="35"/>
      <c r="AU994" s="35"/>
      <c r="AV994" s="35"/>
      <c r="AW994" s="35"/>
      <c r="AX994" s="39"/>
      <c r="AY994" s="39"/>
      <c r="AZ994" s="39"/>
      <c r="BA994" s="39"/>
      <c r="BB994" s="39"/>
      <c r="BC994" s="39"/>
      <c r="BD994" s="39"/>
      <c r="BE994" s="39"/>
      <c r="BF994" s="39"/>
      <c r="BG994" s="39"/>
    </row>
    <row r="995" spans="1:59">
      <c r="A995" s="39"/>
      <c r="B995" s="39"/>
      <c r="C995" s="39"/>
      <c r="D995" s="39"/>
      <c r="E995" s="39"/>
      <c r="F995" s="39"/>
      <c r="G995" s="39"/>
      <c r="H995" s="39"/>
      <c r="I995" s="39"/>
      <c r="J995" s="39"/>
      <c r="K995" s="35"/>
      <c r="L995" s="35"/>
      <c r="M995" s="35"/>
      <c r="N995" s="39"/>
      <c r="O995" s="39"/>
      <c r="P995" s="39"/>
      <c r="Q995" s="39"/>
      <c r="R995" s="39"/>
      <c r="S995" s="39"/>
      <c r="T995" s="39"/>
      <c r="U995" s="39"/>
      <c r="V995" s="39"/>
      <c r="W995" s="39"/>
      <c r="X995" s="39"/>
      <c r="Y995" s="39"/>
      <c r="Z995" s="39"/>
      <c r="AA995" s="39"/>
      <c r="AB995" s="39"/>
      <c r="AC995" s="39"/>
      <c r="AD995" s="39"/>
      <c r="AE995" s="39"/>
      <c r="AF995" s="39"/>
      <c r="AG995" s="39"/>
      <c r="AH995" s="39"/>
      <c r="AI995" s="227"/>
      <c r="AJ995" s="227"/>
      <c r="AK995" s="39"/>
      <c r="AL995" s="39"/>
      <c r="AM995" s="35"/>
      <c r="AN995" s="35"/>
      <c r="AO995" s="39"/>
      <c r="AP995" s="39"/>
      <c r="AQ995" s="35"/>
      <c r="AR995" s="35"/>
      <c r="AS995" s="35"/>
      <c r="AT995" s="35"/>
      <c r="AU995" s="35"/>
      <c r="AV995" s="35"/>
      <c r="AW995" s="35"/>
      <c r="AX995" s="39"/>
      <c r="AY995" s="39"/>
      <c r="AZ995" s="39"/>
      <c r="BA995" s="39"/>
      <c r="BB995" s="39"/>
      <c r="BC995" s="39"/>
      <c r="BD995" s="39"/>
      <c r="BE995" s="39"/>
      <c r="BF995" s="39"/>
      <c r="BG995" s="39"/>
    </row>
  </sheetData>
  <phoneticPr fontId="12" type="noConversion"/>
  <conditionalFormatting sqref="AE177:AE181">
    <cfRule type="duplicateValues" dxfId="14" priority="13"/>
  </conditionalFormatting>
  <conditionalFormatting sqref="AE180:AE181 AE177">
    <cfRule type="duplicateValues" dxfId="13" priority="14"/>
  </conditionalFormatting>
  <conditionalFormatting sqref="AE253">
    <cfRule type="duplicateValues" dxfId="12" priority="1"/>
  </conditionalFormatting>
  <conditionalFormatting sqref="AF132">
    <cfRule type="duplicateValues" dxfId="11" priority="17"/>
    <cfRule type="duplicateValues" dxfId="10" priority="18"/>
  </conditionalFormatting>
  <conditionalFormatting sqref="AF133">
    <cfRule type="duplicateValues" dxfId="9" priority="15"/>
    <cfRule type="duplicateValues" dxfId="8" priority="16"/>
  </conditionalFormatting>
  <conditionalFormatting sqref="AF1:AG1">
    <cfRule type="duplicateValues" dxfId="7" priority="3"/>
  </conditionalFormatting>
  <conditionalFormatting sqref="AF16:AG16">
    <cfRule type="duplicateValues" dxfId="6" priority="7"/>
  </conditionalFormatting>
  <conditionalFormatting sqref="AF45:AG50">
    <cfRule type="duplicateValues" dxfId="5" priority="4"/>
  </conditionalFormatting>
  <conditionalFormatting sqref="AF123:AG123 AG76">
    <cfRule type="duplicateValues" dxfId="4" priority="6"/>
  </conditionalFormatting>
  <conditionalFormatting sqref="AF193:AG194">
    <cfRule type="duplicateValues" dxfId="3" priority="5"/>
  </conditionalFormatting>
  <conditionalFormatting sqref="AF254:AG255 AJ215:AK215 AJ217:AK219 AK216 AJ221:AK222 AK220 AJ225:AK984 AK223 AF2:AG201 AF203:AG235 AG202 AF247:AG249 AG246 AF251:AG252 AG250 AG253 AF237:AG245 AG236">
    <cfRule type="duplicateValues" dxfId="2" priority="33"/>
  </conditionalFormatting>
  <conditionalFormatting sqref="AG129">
    <cfRule type="duplicateValues" dxfId="1" priority="8"/>
  </conditionalFormatting>
  <conditionalFormatting sqref="AJ985:AK985">
    <cfRule type="duplicateValues" dxfId="0" priority="2"/>
  </conditionalFormatting>
  <hyperlinks>
    <hyperlink ref="AG243" r:id="rId1" xr:uid="{6784657C-B104-43AD-9CD5-FEC7FB77E476}"/>
    <hyperlink ref="AG215" r:id="rId2" xr:uid="{5BC98543-9B36-48E7-810C-F4FBD171E4D1}"/>
    <hyperlink ref="AG202" r:id="rId3" xr:uid="{5D62C2C5-947B-40A7-9503-7CB75CD2E2B1}"/>
    <hyperlink ref="AG246" r:id="rId4" xr:uid="{3A89B4AB-7CFF-4CD2-95C6-292620F67C27}"/>
    <hyperlink ref="AG250" r:id="rId5" xr:uid="{8B60F2F2-4BE9-4800-A1C5-A6C4EED3E372}"/>
    <hyperlink ref="AG253" r:id="rId6" xr:uid="{B8995977-A8F6-42A7-94C8-FED9AF324F09}"/>
    <hyperlink ref="AG254" r:id="rId7" xr:uid="{A8BDB437-5563-4979-9FEA-881A0E17B28F}"/>
    <hyperlink ref="AG266" r:id="rId8" xr:uid="{02798F4F-D558-4E7E-ACCD-696C56476808}"/>
  </hyperlinks>
  <pageMargins left="0.7" right="0.7" top="0.75" bottom="0.75" header="0.3" footer="0.3"/>
  <pageSetup orientation="portrait" r:id="rId9"/>
  <extLst>
    <ext xmlns:x14="http://schemas.microsoft.com/office/spreadsheetml/2009/9/main" uri="{CCE6A557-97BC-4b89-ADB6-D9C93CAAB3DF}">
      <x14:dataValidations xmlns:xm="http://schemas.microsoft.com/office/excel/2006/main" disablePrompts="1" count="8">
        <x14:dataValidation type="list" allowBlank="1" showInputMessage="1" showErrorMessage="1" xr:uid="{A94222F3-7AE7-431E-8074-57B2CB2B6D8D}">
          <x14:formula1>
            <xm:f>'Drop downs'!$D$19:$D$20</xm:f>
          </x14:formula1>
          <xm:sqref>G2:G232 G234:G984</xm:sqref>
        </x14:dataValidation>
        <x14:dataValidation type="list" allowBlank="1" showInputMessage="1" showErrorMessage="1" xr:uid="{5F4BC4CA-1849-4F50-8BAE-3BA6B7366C09}">
          <x14:formula1>
            <xm:f>'Drop downs'!$A$34:$A$36</xm:f>
          </x14:formula1>
          <xm:sqref>J2:J232 J234:J984</xm:sqref>
        </x14:dataValidation>
        <x14:dataValidation type="list" allowBlank="1" showInputMessage="1" showErrorMessage="1" xr:uid="{7950CE2E-49F1-493D-B6D0-C6B8A8725C3B}">
          <x14:formula1>
            <xm:f>'Drop downs'!$K$3:$K$33</xm:f>
          </x14:formula1>
          <xm:sqref>H2:H232 H234:H984 H987:H988</xm:sqref>
        </x14:dataValidation>
        <x14:dataValidation type="list" allowBlank="1" showInputMessage="1" showErrorMessage="1" xr:uid="{97CA6A4D-C61A-4315-836F-2763BDDAF2A5}">
          <x14:formula1>
            <xm:f>'Drop downs'!$D$3:$D$7</xm:f>
          </x14:formula1>
          <xm:sqref>Z263:Z264 Y2:Y984 Y987:Z988</xm:sqref>
        </x14:dataValidation>
        <x14:dataValidation type="list" allowBlank="1" showInputMessage="1" showErrorMessage="1" xr:uid="{41D715B7-3635-4CA9-9226-28BDA31504E9}">
          <x14:formula1>
            <xm:f>'Drop downs'!$E$3:$E$8</xm:f>
          </x14:formula1>
          <xm:sqref>Z265:Z984 Z2:Z262</xm:sqref>
        </x14:dataValidation>
        <x14:dataValidation type="list" allowBlank="1" showInputMessage="1" showErrorMessage="1" xr:uid="{2ECD49C2-6F24-4CD8-BDD0-AD9DC0ABB58B}">
          <x14:formula1>
            <xm:f>'Drop downs'!$D$14:$D$15</xm:f>
          </x14:formula1>
          <xm:sqref>AH257:AH984 AH2:AH255</xm:sqref>
        </x14:dataValidation>
        <x14:dataValidation type="list" allowBlank="1" showInputMessage="1" showErrorMessage="1" xr:uid="{F3980D8A-CB65-450C-85F5-3FE6A5459FE4}">
          <x14:formula1>
            <xm:f>'Drop downs'!$G$3:$G$13</xm:f>
          </x14:formula1>
          <xm:sqref>C2:C985 C987:C988</xm:sqref>
        </x14:dataValidation>
        <x14:dataValidation type="list" allowBlank="1" showInputMessage="1" showErrorMessage="1" xr:uid="{78B34B10-7CA9-48EC-8EC2-01A347558544}">
          <x14:formula1>
            <xm:f>'Drop downs'!$B$3:$B$23</xm:f>
          </x14:formula1>
          <xm:sqref>D2:D984 D987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3031-6221-47AA-B2BE-F60EA3EB940D}">
  <dimension ref="A1:AS4967"/>
  <sheetViews>
    <sheetView workbookViewId="0">
      <pane ySplit="1" topLeftCell="A465" activePane="bottomLeft" state="frozen"/>
      <selection pane="bottomLeft" activeCell="A465" sqref="A465"/>
    </sheetView>
  </sheetViews>
  <sheetFormatPr defaultColWidth="9.1796875" defaultRowHeight="14.5"/>
  <cols>
    <col min="1" max="1" width="7" style="48" bestFit="1" customWidth="1"/>
    <col min="2" max="2" width="23" style="54" customWidth="1"/>
    <col min="3" max="3" width="23.7265625" style="48" bestFit="1" customWidth="1"/>
    <col min="4" max="4" width="35.26953125" style="48" customWidth="1"/>
    <col min="5" max="5" width="23" style="48" customWidth="1"/>
    <col min="6" max="6" width="34.1796875" style="48" bestFit="1" customWidth="1"/>
    <col min="7" max="7" width="40.7265625" style="48" customWidth="1"/>
    <col min="8" max="8" width="39.81640625" style="48" customWidth="1"/>
    <col min="9" max="9" width="27.54296875" style="48" customWidth="1"/>
    <col min="10" max="10" width="44.7265625" style="48" bestFit="1" customWidth="1"/>
    <col min="11" max="11" width="20.26953125" style="48" customWidth="1"/>
    <col min="12" max="12" width="15.453125" style="48" customWidth="1"/>
    <col min="13" max="13" width="49.1796875" style="48" customWidth="1"/>
    <col min="14" max="14" width="26" style="48" customWidth="1"/>
    <col min="15" max="15" width="12.54296875" style="48" customWidth="1"/>
    <col min="16" max="16" width="21.54296875" style="48" customWidth="1"/>
    <col min="17" max="17" width="20.81640625" style="48" customWidth="1"/>
    <col min="18" max="18" width="25" style="48" customWidth="1"/>
    <col min="19" max="19" width="41.26953125" style="48" customWidth="1"/>
    <col min="20" max="22" width="24.26953125" style="48" customWidth="1"/>
    <col min="23" max="24" width="17.54296875" style="48" bestFit="1" customWidth="1"/>
    <col min="25" max="25" width="12" style="48" bestFit="1" customWidth="1"/>
    <col min="26" max="26" width="28.26953125" style="48" customWidth="1"/>
    <col min="27" max="27" width="12.54296875" style="48" bestFit="1" customWidth="1"/>
    <col min="28" max="28" width="10.54296875" style="48" bestFit="1" customWidth="1"/>
    <col min="29" max="29" width="10.26953125" style="48" bestFit="1" customWidth="1"/>
    <col min="30" max="30" width="44.54296875" style="48" bestFit="1" customWidth="1"/>
    <col min="31" max="31" width="11.54296875" style="48" bestFit="1" customWidth="1"/>
    <col min="32" max="32" width="12.1796875" style="48" customWidth="1"/>
    <col min="33" max="33" width="10.1796875" style="48" bestFit="1" customWidth="1"/>
    <col min="34" max="34" width="11.54296875" style="48" bestFit="1" customWidth="1"/>
    <col min="35" max="35" width="10.26953125" style="48" bestFit="1" customWidth="1"/>
    <col min="36" max="36" width="9.453125" style="48" bestFit="1" customWidth="1"/>
    <col min="37" max="37" width="9.1796875" style="48"/>
    <col min="38" max="38" width="10" style="48" bestFit="1" customWidth="1"/>
    <col min="39" max="39" width="11.54296875" style="48" bestFit="1" customWidth="1"/>
    <col min="40" max="40" width="9.26953125" style="48" bestFit="1" customWidth="1"/>
    <col min="41" max="41" width="9.1796875" style="48"/>
    <col min="42" max="43" width="9.453125" style="48" bestFit="1" customWidth="1"/>
    <col min="44" max="44" width="11.54296875" style="48" bestFit="1" customWidth="1"/>
    <col min="45" max="45" width="10.26953125" style="56" bestFit="1" customWidth="1"/>
    <col min="46" max="16384" width="9.1796875" style="48"/>
  </cols>
  <sheetData>
    <row r="1" spans="1:45" s="53" customFormat="1" ht="31.5" customHeight="1">
      <c r="A1" s="152" t="s">
        <v>7</v>
      </c>
      <c r="B1" s="153" t="s">
        <v>8</v>
      </c>
      <c r="C1" s="152" t="s">
        <v>9</v>
      </c>
      <c r="D1" s="152" t="s">
        <v>10</v>
      </c>
      <c r="E1" s="153" t="s">
        <v>11</v>
      </c>
      <c r="F1" s="152" t="s">
        <v>12</v>
      </c>
      <c r="G1" s="152" t="s">
        <v>13</v>
      </c>
      <c r="H1" s="152" t="s">
        <v>14</v>
      </c>
      <c r="I1" s="152" t="s">
        <v>15</v>
      </c>
      <c r="J1" s="153" t="s">
        <v>16</v>
      </c>
      <c r="K1" s="152" t="s">
        <v>17</v>
      </c>
      <c r="L1" s="152" t="s">
        <v>18</v>
      </c>
      <c r="M1" s="152" t="s">
        <v>19</v>
      </c>
      <c r="N1" s="152" t="s">
        <v>20</v>
      </c>
      <c r="O1" s="152" t="s">
        <v>21</v>
      </c>
      <c r="P1" s="152" t="s">
        <v>22</v>
      </c>
      <c r="Q1" s="152" t="s">
        <v>23</v>
      </c>
      <c r="R1" s="152" t="s">
        <v>24</v>
      </c>
      <c r="S1" s="152" t="s">
        <v>25</v>
      </c>
      <c r="T1" s="152" t="s">
        <v>26</v>
      </c>
      <c r="U1" s="154" t="s">
        <v>27</v>
      </c>
      <c r="V1" s="152" t="s">
        <v>28</v>
      </c>
      <c r="W1" s="152" t="s">
        <v>29</v>
      </c>
      <c r="X1" s="152" t="s">
        <v>30</v>
      </c>
      <c r="Y1" s="152" t="s">
        <v>31</v>
      </c>
      <c r="Z1" s="152" t="s">
        <v>32</v>
      </c>
      <c r="AA1" s="155" t="s">
        <v>33</v>
      </c>
      <c r="AB1" s="156" t="s">
        <v>34</v>
      </c>
      <c r="AC1" s="156" t="s">
        <v>35</v>
      </c>
      <c r="AD1" s="156" t="s">
        <v>36</v>
      </c>
      <c r="AE1" s="156" t="s">
        <v>37</v>
      </c>
      <c r="AF1" s="156" t="s">
        <v>38</v>
      </c>
      <c r="AG1" s="156" t="s">
        <v>39</v>
      </c>
      <c r="AH1" s="157" t="s">
        <v>40</v>
      </c>
      <c r="AI1" s="157" t="s">
        <v>41</v>
      </c>
      <c r="AJ1" s="157" t="s">
        <v>42</v>
      </c>
      <c r="AK1" s="158" t="s">
        <v>43</v>
      </c>
      <c r="AL1" s="158" t="s">
        <v>44</v>
      </c>
      <c r="AM1" s="158" t="s">
        <v>45</v>
      </c>
      <c r="AN1" s="158" t="s">
        <v>46</v>
      </c>
      <c r="AO1" s="159" t="s">
        <v>47</v>
      </c>
      <c r="AP1" s="159" t="s">
        <v>48</v>
      </c>
      <c r="AQ1" s="159" t="s">
        <v>49</v>
      </c>
      <c r="AR1" s="159" t="s">
        <v>50</v>
      </c>
      <c r="AS1" s="157" t="s">
        <v>27</v>
      </c>
    </row>
    <row r="2" spans="1:45" s="1" customFormat="1">
      <c r="A2" s="44">
        <v>1</v>
      </c>
      <c r="B2" s="50">
        <v>45117</v>
      </c>
      <c r="C2" s="44" t="s">
        <v>51</v>
      </c>
      <c r="D2" s="44" t="s">
        <v>51</v>
      </c>
      <c r="E2" s="44" t="s">
        <v>52</v>
      </c>
      <c r="F2" s="44" t="s">
        <v>53</v>
      </c>
      <c r="G2" s="44">
        <v>9082352201</v>
      </c>
      <c r="H2" s="44" t="s">
        <v>54</v>
      </c>
      <c r="I2" s="44" t="s">
        <v>55</v>
      </c>
      <c r="J2" s="44" t="s">
        <v>56</v>
      </c>
      <c r="K2" s="44" t="s">
        <v>57</v>
      </c>
      <c r="L2" s="44" t="s">
        <v>58</v>
      </c>
      <c r="M2" s="44" t="s">
        <v>59</v>
      </c>
      <c r="N2" s="44" t="s">
        <v>60</v>
      </c>
      <c r="O2" s="44" t="s">
        <v>61</v>
      </c>
      <c r="P2" s="44" t="s">
        <v>62</v>
      </c>
      <c r="Q2" s="44" t="s">
        <v>63</v>
      </c>
      <c r="R2" s="44" t="s">
        <v>63</v>
      </c>
      <c r="S2" s="44" t="s">
        <v>64</v>
      </c>
      <c r="T2" s="44"/>
      <c r="U2" s="51">
        <v>45138</v>
      </c>
      <c r="V2" s="44"/>
      <c r="W2" s="44" t="s">
        <v>65</v>
      </c>
      <c r="X2" s="44" t="s">
        <v>65</v>
      </c>
      <c r="Y2" s="44"/>
      <c r="Z2" s="44" t="s">
        <v>66</v>
      </c>
      <c r="AA2" s="44"/>
      <c r="AB2" s="44"/>
      <c r="AC2" s="44"/>
      <c r="AD2" s="44"/>
      <c r="AE2" s="44"/>
      <c r="AF2" s="44"/>
      <c r="AG2" s="44"/>
      <c r="AH2" s="44"/>
      <c r="AI2" s="44"/>
      <c r="AJ2" s="44"/>
      <c r="AK2" s="44"/>
      <c r="AL2" s="44"/>
      <c r="AM2" s="44"/>
      <c r="AN2" s="44"/>
      <c r="AO2" s="44"/>
      <c r="AP2" s="44"/>
      <c r="AQ2" s="44"/>
      <c r="AR2" s="44"/>
      <c r="AS2" s="52"/>
    </row>
    <row r="3" spans="1:45" s="1" customFormat="1">
      <c r="A3" s="22">
        <f t="shared" ref="A3:A66" si="0">A2+1</f>
        <v>2</v>
      </c>
      <c r="B3" s="23">
        <v>45167</v>
      </c>
      <c r="C3" s="22" t="s">
        <v>51</v>
      </c>
      <c r="D3" s="22" t="s">
        <v>51</v>
      </c>
      <c r="E3" s="22" t="s">
        <v>67</v>
      </c>
      <c r="F3" s="22" t="s">
        <v>68</v>
      </c>
      <c r="G3" s="22">
        <v>8237231584</v>
      </c>
      <c r="H3" s="22" t="s">
        <v>69</v>
      </c>
      <c r="I3" s="22" t="s">
        <v>55</v>
      </c>
      <c r="J3" s="22" t="s">
        <v>70</v>
      </c>
      <c r="K3" s="22" t="s">
        <v>71</v>
      </c>
      <c r="L3" s="22"/>
      <c r="M3" s="22"/>
      <c r="N3" s="22"/>
      <c r="O3" s="22"/>
      <c r="P3" s="22">
        <v>900000</v>
      </c>
      <c r="Q3" s="22" t="e" vm="1">
        <v>#VALUE!</v>
      </c>
      <c r="R3" s="22" t="s">
        <v>63</v>
      </c>
      <c r="S3" s="22"/>
      <c r="T3" s="22"/>
      <c r="U3" s="24">
        <v>45208</v>
      </c>
      <c r="V3" s="22"/>
      <c r="W3" s="22" t="s">
        <v>65</v>
      </c>
      <c r="X3" s="22" t="s">
        <v>65</v>
      </c>
      <c r="Y3" s="22"/>
      <c r="Z3" s="22" t="s">
        <v>66</v>
      </c>
      <c r="AA3" s="22"/>
      <c r="AB3" s="22"/>
      <c r="AC3" s="22"/>
      <c r="AD3" s="22"/>
      <c r="AE3" s="22"/>
      <c r="AF3" s="22"/>
      <c r="AG3" s="22"/>
      <c r="AH3" s="22"/>
      <c r="AI3" s="22"/>
      <c r="AJ3" s="22"/>
      <c r="AK3" s="22"/>
      <c r="AL3" s="22"/>
      <c r="AM3" s="22"/>
      <c r="AN3" s="22"/>
      <c r="AO3" s="22"/>
      <c r="AP3" s="22"/>
      <c r="AQ3" s="22"/>
      <c r="AR3" s="22"/>
      <c r="AS3" s="25"/>
    </row>
    <row r="4" spans="1:45" s="1" customFormat="1">
      <c r="A4" s="22">
        <f t="shared" si="0"/>
        <v>3</v>
      </c>
      <c r="B4" s="23">
        <v>45182</v>
      </c>
      <c r="C4" s="22" t="s">
        <v>51</v>
      </c>
      <c r="D4" s="22" t="s">
        <v>51</v>
      </c>
      <c r="E4" s="22" t="s">
        <v>72</v>
      </c>
      <c r="F4" s="22" t="s">
        <v>73</v>
      </c>
      <c r="G4" s="22">
        <v>7050402981</v>
      </c>
      <c r="H4" s="22" t="s">
        <v>74</v>
      </c>
      <c r="I4" s="22" t="s">
        <v>55</v>
      </c>
      <c r="J4" s="22" t="s">
        <v>75</v>
      </c>
      <c r="K4" s="22" t="s">
        <v>57</v>
      </c>
      <c r="L4" s="22"/>
      <c r="M4" s="22"/>
      <c r="N4" s="22"/>
      <c r="O4" s="22"/>
      <c r="P4" s="22">
        <v>900000</v>
      </c>
      <c r="Q4" s="22" t="e" vm="1">
        <v>#VALUE!</v>
      </c>
      <c r="R4" s="22" t="s">
        <v>63</v>
      </c>
      <c r="S4" s="22"/>
      <c r="T4" s="22"/>
      <c r="U4" s="24">
        <v>45293</v>
      </c>
      <c r="V4" s="22"/>
      <c r="W4" s="22" t="s">
        <v>65</v>
      </c>
      <c r="X4" s="22" t="s">
        <v>65</v>
      </c>
      <c r="Y4" s="22"/>
      <c r="Z4" s="22" t="s">
        <v>76</v>
      </c>
      <c r="AA4" s="22"/>
      <c r="AB4" s="22"/>
      <c r="AC4" s="22"/>
      <c r="AD4" s="22"/>
      <c r="AE4" s="22"/>
      <c r="AF4" s="22"/>
      <c r="AG4" s="22"/>
      <c r="AH4" s="22"/>
      <c r="AI4" s="22"/>
      <c r="AJ4" s="22"/>
      <c r="AK4" s="22"/>
      <c r="AL4" s="22"/>
      <c r="AM4" s="22"/>
      <c r="AN4" s="22"/>
      <c r="AO4" s="22"/>
      <c r="AP4" s="22"/>
      <c r="AQ4" s="22"/>
      <c r="AR4" s="22"/>
      <c r="AS4" s="25"/>
    </row>
    <row r="5" spans="1:45" s="1" customFormat="1">
      <c r="A5" s="22">
        <f t="shared" si="0"/>
        <v>4</v>
      </c>
      <c r="B5" s="23">
        <v>45194</v>
      </c>
      <c r="C5" s="22" t="s">
        <v>51</v>
      </c>
      <c r="D5" s="22" t="s">
        <v>51</v>
      </c>
      <c r="E5" s="22" t="s">
        <v>77</v>
      </c>
      <c r="F5" s="22" t="s">
        <v>78</v>
      </c>
      <c r="G5" s="22">
        <v>7620790404</v>
      </c>
      <c r="H5" s="22" t="s">
        <v>79</v>
      </c>
      <c r="I5" s="22" t="s">
        <v>55</v>
      </c>
      <c r="J5" s="22" t="s">
        <v>80</v>
      </c>
      <c r="K5" s="22" t="s">
        <v>81</v>
      </c>
      <c r="L5" s="22"/>
      <c r="M5" s="22"/>
      <c r="N5" s="22"/>
      <c r="O5" s="22"/>
      <c r="P5" s="22">
        <v>1500000</v>
      </c>
      <c r="Q5" s="22" t="e" vm="1">
        <v>#VALUE!</v>
      </c>
      <c r="R5" s="22" t="s">
        <v>63</v>
      </c>
      <c r="S5" s="22"/>
      <c r="T5" s="22"/>
      <c r="U5" s="24">
        <v>45271</v>
      </c>
      <c r="V5" s="22"/>
      <c r="W5" s="22" t="s">
        <v>65</v>
      </c>
      <c r="X5" s="22" t="s">
        <v>65</v>
      </c>
      <c r="Y5" s="22"/>
      <c r="Z5" s="22" t="s">
        <v>66</v>
      </c>
      <c r="AA5" s="22"/>
      <c r="AB5" s="22"/>
      <c r="AC5" s="22"/>
      <c r="AD5" s="22"/>
      <c r="AE5" s="22"/>
      <c r="AF5" s="22"/>
      <c r="AG5" s="22"/>
      <c r="AH5" s="22"/>
      <c r="AI5" s="22"/>
      <c r="AJ5" s="22"/>
      <c r="AK5" s="22"/>
      <c r="AL5" s="22"/>
      <c r="AM5" s="22"/>
      <c r="AN5" s="22"/>
      <c r="AO5" s="22"/>
      <c r="AP5" s="22"/>
      <c r="AQ5" s="22"/>
      <c r="AR5" s="22"/>
      <c r="AS5" s="25"/>
    </row>
    <row r="6" spans="1:45" s="1" customFormat="1">
      <c r="A6" s="22">
        <f t="shared" si="0"/>
        <v>5</v>
      </c>
      <c r="B6" s="23">
        <v>45212</v>
      </c>
      <c r="C6" s="22" t="s">
        <v>51</v>
      </c>
      <c r="D6" s="22" t="s">
        <v>51</v>
      </c>
      <c r="E6" s="22" t="s">
        <v>82</v>
      </c>
      <c r="F6" s="22" t="s">
        <v>83</v>
      </c>
      <c r="G6" s="22">
        <v>8839262451</v>
      </c>
      <c r="H6" s="22" t="s">
        <v>84</v>
      </c>
      <c r="I6" s="22" t="s">
        <v>55</v>
      </c>
      <c r="J6" s="22" t="s">
        <v>85</v>
      </c>
      <c r="K6" s="22" t="s">
        <v>81</v>
      </c>
      <c r="L6" s="22"/>
      <c r="M6" s="22"/>
      <c r="N6" s="22"/>
      <c r="O6" s="22"/>
      <c r="P6" s="22">
        <v>600000</v>
      </c>
      <c r="Q6" s="22" t="e" vm="1">
        <v>#VALUE!</v>
      </c>
      <c r="R6" s="22" t="s">
        <v>63</v>
      </c>
      <c r="S6" s="22"/>
      <c r="T6" s="22"/>
      <c r="U6" s="24">
        <v>45250</v>
      </c>
      <c r="V6" s="22"/>
      <c r="W6" s="22" t="s">
        <v>65</v>
      </c>
      <c r="X6" s="22" t="s">
        <v>65</v>
      </c>
      <c r="Y6" s="22"/>
      <c r="Z6" s="22" t="s">
        <v>66</v>
      </c>
      <c r="AA6" s="22"/>
      <c r="AB6" s="22"/>
      <c r="AC6" s="22"/>
      <c r="AD6" s="22"/>
      <c r="AE6" s="22"/>
      <c r="AF6" s="22"/>
      <c r="AG6" s="22"/>
      <c r="AH6" s="22"/>
      <c r="AI6" s="22"/>
      <c r="AJ6" s="22"/>
      <c r="AK6" s="22"/>
      <c r="AL6" s="22"/>
      <c r="AM6" s="22"/>
      <c r="AN6" s="22"/>
      <c r="AO6" s="22"/>
      <c r="AP6" s="22"/>
      <c r="AQ6" s="22"/>
      <c r="AR6" s="22"/>
      <c r="AS6" s="25"/>
    </row>
    <row r="7" spans="1:45" s="1" customFormat="1">
      <c r="A7" s="22">
        <f t="shared" si="0"/>
        <v>6</v>
      </c>
      <c r="B7" s="23">
        <v>45215</v>
      </c>
      <c r="C7" s="22" t="s">
        <v>51</v>
      </c>
      <c r="D7" s="22" t="s">
        <v>51</v>
      </c>
      <c r="E7" s="22" t="s">
        <v>86</v>
      </c>
      <c r="F7" s="22" t="s">
        <v>87</v>
      </c>
      <c r="G7" s="22">
        <v>9449880713</v>
      </c>
      <c r="H7" s="22" t="s">
        <v>88</v>
      </c>
      <c r="I7" s="22" t="s">
        <v>55</v>
      </c>
      <c r="J7" s="22" t="s">
        <v>89</v>
      </c>
      <c r="K7" s="22" t="s">
        <v>81</v>
      </c>
      <c r="L7" s="22"/>
      <c r="M7" s="22"/>
      <c r="N7" s="22"/>
      <c r="O7" s="22"/>
      <c r="P7" s="22">
        <v>850000</v>
      </c>
      <c r="Q7" s="22" t="e" vm="1">
        <v>#VALUE!</v>
      </c>
      <c r="R7" s="22" t="s">
        <v>63</v>
      </c>
      <c r="S7" s="22"/>
      <c r="T7" s="22"/>
      <c r="U7" s="24">
        <v>45299</v>
      </c>
      <c r="V7" s="22"/>
      <c r="W7" s="22" t="s">
        <v>65</v>
      </c>
      <c r="X7" s="22" t="s">
        <v>65</v>
      </c>
      <c r="Y7" s="22"/>
      <c r="Z7" s="22" t="s">
        <v>66</v>
      </c>
      <c r="AA7" s="22"/>
      <c r="AB7" s="22"/>
      <c r="AC7" s="22"/>
      <c r="AD7" s="22"/>
      <c r="AE7" s="22"/>
      <c r="AF7" s="22"/>
      <c r="AG7" s="22"/>
      <c r="AH7" s="22"/>
      <c r="AI7" s="22"/>
      <c r="AJ7" s="22"/>
      <c r="AK7" s="22"/>
      <c r="AL7" s="22"/>
      <c r="AM7" s="22"/>
      <c r="AN7" s="22"/>
      <c r="AO7" s="22"/>
      <c r="AP7" s="22"/>
      <c r="AQ7" s="22"/>
      <c r="AR7" s="22"/>
      <c r="AS7" s="25"/>
    </row>
    <row r="8" spans="1:45" s="1" customFormat="1">
      <c r="A8" s="22">
        <f t="shared" si="0"/>
        <v>7</v>
      </c>
      <c r="B8" s="23">
        <v>45224</v>
      </c>
      <c r="C8" s="22" t="s">
        <v>51</v>
      </c>
      <c r="D8" s="22" t="s">
        <v>51</v>
      </c>
      <c r="E8" s="22" t="s">
        <v>90</v>
      </c>
      <c r="F8" s="22" t="s">
        <v>91</v>
      </c>
      <c r="G8" s="22">
        <v>8805040144</v>
      </c>
      <c r="H8" s="22" t="s">
        <v>92</v>
      </c>
      <c r="I8" s="22" t="s">
        <v>55</v>
      </c>
      <c r="J8" s="22" t="s">
        <v>89</v>
      </c>
      <c r="K8" s="22" t="s">
        <v>81</v>
      </c>
      <c r="L8" s="22"/>
      <c r="M8" s="22"/>
      <c r="N8" s="22"/>
      <c r="O8" s="22"/>
      <c r="P8" s="22">
        <v>950000</v>
      </c>
      <c r="Q8" s="22" t="e" vm="1">
        <v>#VALUE!</v>
      </c>
      <c r="R8" s="22" t="s">
        <v>63</v>
      </c>
      <c r="S8" s="22"/>
      <c r="T8" s="22"/>
      <c r="U8" s="24">
        <v>45327</v>
      </c>
      <c r="V8" s="22"/>
      <c r="W8" s="22" t="s">
        <v>65</v>
      </c>
      <c r="X8" s="22" t="s">
        <v>93</v>
      </c>
      <c r="Y8" s="22"/>
      <c r="Z8" s="22" t="s">
        <v>66</v>
      </c>
      <c r="AA8" s="22"/>
      <c r="AB8" s="22"/>
      <c r="AC8" s="22"/>
      <c r="AD8" s="22"/>
      <c r="AE8" s="22"/>
      <c r="AF8" s="22"/>
      <c r="AG8" s="22"/>
      <c r="AH8" s="22"/>
      <c r="AI8" s="22"/>
      <c r="AJ8" s="22"/>
      <c r="AK8" s="22"/>
      <c r="AL8" s="22"/>
      <c r="AM8" s="22"/>
      <c r="AN8" s="22"/>
      <c r="AO8" s="22"/>
      <c r="AP8" s="22"/>
      <c r="AQ8" s="22"/>
      <c r="AR8" s="22"/>
      <c r="AS8" s="25"/>
    </row>
    <row r="9" spans="1:45" s="1" customFormat="1">
      <c r="A9" s="22">
        <f t="shared" si="0"/>
        <v>8</v>
      </c>
      <c r="B9" s="23">
        <v>45231</v>
      </c>
      <c r="C9" s="22" t="s">
        <v>51</v>
      </c>
      <c r="D9" s="22" t="s">
        <v>51</v>
      </c>
      <c r="E9" s="22" t="s">
        <v>94</v>
      </c>
      <c r="F9" s="22" t="s">
        <v>95</v>
      </c>
      <c r="G9" s="22">
        <v>8805766463</v>
      </c>
      <c r="H9" s="22" t="s">
        <v>96</v>
      </c>
      <c r="I9" s="22" t="s">
        <v>55</v>
      </c>
      <c r="J9" s="22" t="s">
        <v>97</v>
      </c>
      <c r="K9" s="22" t="s">
        <v>71</v>
      </c>
      <c r="L9" s="22"/>
      <c r="M9" s="22"/>
      <c r="N9" s="22"/>
      <c r="O9" s="22"/>
      <c r="P9" s="22">
        <v>800000</v>
      </c>
      <c r="Q9" s="22" t="e" vm="1">
        <v>#VALUE!</v>
      </c>
      <c r="R9" s="22" t="s">
        <v>63</v>
      </c>
      <c r="S9" s="22"/>
      <c r="T9" s="22"/>
      <c r="U9" s="24">
        <v>45327</v>
      </c>
      <c r="V9" s="22"/>
      <c r="W9" s="22" t="s">
        <v>65</v>
      </c>
      <c r="X9" s="22" t="s">
        <v>65</v>
      </c>
      <c r="Y9" s="22"/>
      <c r="Z9" s="22" t="s">
        <v>66</v>
      </c>
      <c r="AA9" s="22"/>
      <c r="AB9" s="22"/>
      <c r="AC9" s="22"/>
      <c r="AD9" s="22"/>
      <c r="AE9" s="22"/>
      <c r="AF9" s="22"/>
      <c r="AG9" s="22"/>
      <c r="AH9" s="22"/>
      <c r="AI9" s="22"/>
      <c r="AJ9" s="22"/>
      <c r="AK9" s="22"/>
      <c r="AL9" s="22"/>
      <c r="AM9" s="22"/>
      <c r="AN9" s="22"/>
      <c r="AO9" s="22"/>
      <c r="AP9" s="22"/>
      <c r="AQ9" s="22"/>
      <c r="AR9" s="22"/>
      <c r="AS9" s="25"/>
    </row>
    <row r="10" spans="1:45" s="1" customFormat="1">
      <c r="A10" s="22">
        <f t="shared" si="0"/>
        <v>9</v>
      </c>
      <c r="B10" s="23">
        <v>45231</v>
      </c>
      <c r="C10" s="22" t="s">
        <v>51</v>
      </c>
      <c r="D10" s="22" t="s">
        <v>51</v>
      </c>
      <c r="E10" s="22" t="s">
        <v>98</v>
      </c>
      <c r="F10" s="22" t="s">
        <v>99</v>
      </c>
      <c r="G10" s="22">
        <v>9637167353</v>
      </c>
      <c r="H10" s="22" t="s">
        <v>100</v>
      </c>
      <c r="I10" s="22" t="s">
        <v>101</v>
      </c>
      <c r="J10" s="22" t="s">
        <v>102</v>
      </c>
      <c r="K10" s="22" t="s">
        <v>71</v>
      </c>
      <c r="L10" s="22"/>
      <c r="M10" s="22"/>
      <c r="N10" s="22"/>
      <c r="O10" s="22"/>
      <c r="P10" s="22">
        <v>1200000</v>
      </c>
      <c r="Q10" s="22" t="e" vm="1">
        <v>#VALUE!</v>
      </c>
      <c r="R10" s="22" t="s">
        <v>63</v>
      </c>
      <c r="S10" s="22"/>
      <c r="T10" s="22"/>
      <c r="U10" s="24">
        <v>45351</v>
      </c>
      <c r="V10" s="22"/>
      <c r="W10" s="22" t="s">
        <v>65</v>
      </c>
      <c r="X10" s="22" t="s">
        <v>65</v>
      </c>
      <c r="Y10" s="22"/>
      <c r="Z10" s="22" t="s">
        <v>66</v>
      </c>
      <c r="AA10" s="22"/>
      <c r="AB10" s="22"/>
      <c r="AC10" s="22"/>
      <c r="AD10" s="22"/>
      <c r="AE10" s="22"/>
      <c r="AF10" s="22"/>
      <c r="AG10" s="22"/>
      <c r="AH10" s="22"/>
      <c r="AI10" s="22"/>
      <c r="AJ10" s="22"/>
      <c r="AK10" s="22"/>
      <c r="AL10" s="22"/>
      <c r="AM10" s="22"/>
      <c r="AN10" s="22"/>
      <c r="AO10" s="22"/>
      <c r="AP10" s="22"/>
      <c r="AQ10" s="22"/>
      <c r="AR10" s="22"/>
      <c r="AS10" s="25"/>
    </row>
    <row r="11" spans="1:45" s="1" customFormat="1">
      <c r="A11" s="22">
        <f t="shared" si="0"/>
        <v>10</v>
      </c>
      <c r="B11" s="23">
        <v>45231</v>
      </c>
      <c r="C11" s="22" t="s">
        <v>51</v>
      </c>
      <c r="D11" s="22" t="s">
        <v>51</v>
      </c>
      <c r="E11" s="22" t="s">
        <v>103</v>
      </c>
      <c r="F11" s="22" t="s">
        <v>104</v>
      </c>
      <c r="G11" s="22">
        <v>9130333075</v>
      </c>
      <c r="H11" s="22" t="s">
        <v>105</v>
      </c>
      <c r="I11" s="22" t="s">
        <v>55</v>
      </c>
      <c r="J11" s="22" t="s">
        <v>89</v>
      </c>
      <c r="K11" s="22" t="s">
        <v>81</v>
      </c>
      <c r="L11" s="22"/>
      <c r="M11" s="22"/>
      <c r="N11" s="22"/>
      <c r="O11" s="22"/>
      <c r="P11" s="22">
        <v>850000</v>
      </c>
      <c r="Q11" s="22" t="e" vm="1">
        <v>#VALUE!</v>
      </c>
      <c r="R11" s="22" t="s">
        <v>63</v>
      </c>
      <c r="S11" s="22"/>
      <c r="T11" s="22"/>
      <c r="U11" s="24">
        <v>45250</v>
      </c>
      <c r="V11" s="22"/>
      <c r="W11" s="22" t="s">
        <v>65</v>
      </c>
      <c r="X11" s="22" t="s">
        <v>65</v>
      </c>
      <c r="Y11" s="22"/>
      <c r="Z11" s="22" t="s">
        <v>66</v>
      </c>
      <c r="AA11" s="22"/>
      <c r="AB11" s="22"/>
      <c r="AC11" s="22"/>
      <c r="AD11" s="22"/>
      <c r="AE11" s="22"/>
      <c r="AF11" s="22"/>
      <c r="AG11" s="22"/>
      <c r="AH11" s="22"/>
      <c r="AI11" s="22"/>
      <c r="AJ11" s="22"/>
      <c r="AK11" s="22"/>
      <c r="AL11" s="22"/>
      <c r="AM11" s="22"/>
      <c r="AN11" s="22"/>
      <c r="AO11" s="22"/>
      <c r="AP11" s="22"/>
      <c r="AQ11" s="22"/>
      <c r="AR11" s="22"/>
      <c r="AS11" s="25"/>
    </row>
    <row r="12" spans="1:45" s="1" customFormat="1">
      <c r="A12" s="22">
        <f t="shared" si="0"/>
        <v>11</v>
      </c>
      <c r="B12" s="23">
        <v>45231</v>
      </c>
      <c r="C12" s="22" t="s">
        <v>51</v>
      </c>
      <c r="D12" s="22" t="s">
        <v>51</v>
      </c>
      <c r="E12" s="22" t="s">
        <v>106</v>
      </c>
      <c r="F12" s="22" t="s">
        <v>107</v>
      </c>
      <c r="G12" s="22">
        <v>9850674952</v>
      </c>
      <c r="H12" s="22" t="s">
        <v>108</v>
      </c>
      <c r="I12" s="22" t="s">
        <v>55</v>
      </c>
      <c r="J12" s="22" t="s">
        <v>89</v>
      </c>
      <c r="K12" s="22" t="s">
        <v>81</v>
      </c>
      <c r="L12" s="22"/>
      <c r="M12" s="22"/>
      <c r="N12" s="22"/>
      <c r="O12" s="22"/>
      <c r="P12" s="22">
        <v>790000</v>
      </c>
      <c r="Q12" s="22" t="e" vm="1">
        <v>#VALUE!</v>
      </c>
      <c r="R12" s="22" t="s">
        <v>63</v>
      </c>
      <c r="S12" s="22"/>
      <c r="T12" s="22"/>
      <c r="U12" s="24">
        <v>45327</v>
      </c>
      <c r="V12" s="22"/>
      <c r="W12" s="22" t="s">
        <v>65</v>
      </c>
      <c r="X12" s="22" t="s">
        <v>93</v>
      </c>
      <c r="Y12" s="22"/>
      <c r="Z12" s="22" t="s">
        <v>66</v>
      </c>
      <c r="AA12" s="22"/>
      <c r="AB12" s="22"/>
      <c r="AC12" s="22"/>
      <c r="AD12" s="22"/>
      <c r="AE12" s="22"/>
      <c r="AF12" s="22"/>
      <c r="AG12" s="22"/>
      <c r="AH12" s="22"/>
      <c r="AI12" s="22"/>
      <c r="AJ12" s="22"/>
      <c r="AK12" s="22"/>
      <c r="AL12" s="22"/>
      <c r="AM12" s="22"/>
      <c r="AN12" s="22"/>
      <c r="AO12" s="22"/>
      <c r="AP12" s="22"/>
      <c r="AQ12" s="22"/>
      <c r="AR12" s="22"/>
      <c r="AS12" s="25"/>
    </row>
    <row r="13" spans="1:45" s="1" customFormat="1">
      <c r="A13" s="22">
        <f t="shared" si="0"/>
        <v>12</v>
      </c>
      <c r="B13" s="23">
        <v>45257</v>
      </c>
      <c r="C13" s="22" t="s">
        <v>51</v>
      </c>
      <c r="D13" s="22" t="s">
        <v>51</v>
      </c>
      <c r="E13" s="22" t="s">
        <v>109</v>
      </c>
      <c r="F13" s="22" t="s">
        <v>110</v>
      </c>
      <c r="G13" s="22">
        <v>9041199799</v>
      </c>
      <c r="H13" s="22" t="s">
        <v>111</v>
      </c>
      <c r="I13" s="22" t="s">
        <v>55</v>
      </c>
      <c r="J13" s="22" t="s">
        <v>112</v>
      </c>
      <c r="K13" s="22" t="s">
        <v>81</v>
      </c>
      <c r="L13" s="22"/>
      <c r="M13" s="22"/>
      <c r="N13" s="22"/>
      <c r="O13" s="22"/>
      <c r="P13" s="22">
        <v>2550000</v>
      </c>
      <c r="Q13" s="22" t="e" vm="1">
        <v>#VALUE!</v>
      </c>
      <c r="R13" s="22" t="s">
        <v>63</v>
      </c>
      <c r="S13" s="22"/>
      <c r="T13" s="22"/>
      <c r="U13" s="24">
        <v>45306</v>
      </c>
      <c r="V13" s="22"/>
      <c r="W13" s="22" t="s">
        <v>65</v>
      </c>
      <c r="X13" s="22" t="s">
        <v>65</v>
      </c>
      <c r="Y13" s="22"/>
      <c r="Z13" s="22" t="s">
        <v>66</v>
      </c>
      <c r="AA13" s="22"/>
      <c r="AB13" s="22"/>
      <c r="AC13" s="22"/>
      <c r="AD13" s="22"/>
      <c r="AE13" s="22"/>
      <c r="AF13" s="22"/>
      <c r="AG13" s="22"/>
      <c r="AH13" s="22"/>
      <c r="AI13" s="22"/>
      <c r="AJ13" s="22"/>
      <c r="AK13" s="22"/>
      <c r="AL13" s="22"/>
      <c r="AM13" s="22"/>
      <c r="AN13" s="22"/>
      <c r="AO13" s="22"/>
      <c r="AP13" s="22"/>
      <c r="AQ13" s="22"/>
      <c r="AR13" s="22"/>
      <c r="AS13" s="25"/>
    </row>
    <row r="14" spans="1:45" s="1" customFormat="1">
      <c r="A14" s="22">
        <f t="shared" si="0"/>
        <v>13</v>
      </c>
      <c r="B14" s="23">
        <v>45266</v>
      </c>
      <c r="C14" s="22" t="s">
        <v>51</v>
      </c>
      <c r="D14" s="22" t="s">
        <v>51</v>
      </c>
      <c r="E14" s="22" t="s">
        <v>113</v>
      </c>
      <c r="F14" s="22" t="s">
        <v>114</v>
      </c>
      <c r="G14" s="22">
        <v>8796289621</v>
      </c>
      <c r="H14" s="22"/>
      <c r="I14" s="22" t="s">
        <v>55</v>
      </c>
      <c r="J14" s="22" t="s">
        <v>115</v>
      </c>
      <c r="K14" s="22" t="s">
        <v>116</v>
      </c>
      <c r="L14" s="22"/>
      <c r="M14" s="22"/>
      <c r="N14" s="22"/>
      <c r="O14" s="22"/>
      <c r="P14" s="22" t="s">
        <v>117</v>
      </c>
      <c r="Q14" s="22" t="e" vm="1">
        <v>#VALUE!</v>
      </c>
      <c r="R14" s="22" t="s">
        <v>63</v>
      </c>
      <c r="S14" s="22"/>
      <c r="T14" s="22"/>
      <c r="U14" s="24">
        <v>45293</v>
      </c>
      <c r="V14" s="22"/>
      <c r="W14" s="22" t="s">
        <v>65</v>
      </c>
      <c r="X14" s="22" t="s">
        <v>65</v>
      </c>
      <c r="Y14" s="22"/>
      <c r="Z14" s="22" t="s">
        <v>118</v>
      </c>
      <c r="AA14" s="22"/>
      <c r="AB14" s="22"/>
      <c r="AC14" s="22"/>
      <c r="AD14" s="22"/>
      <c r="AE14" s="22"/>
      <c r="AF14" s="22"/>
      <c r="AG14" s="22"/>
      <c r="AH14" s="22"/>
      <c r="AI14" s="22"/>
      <c r="AJ14" s="22"/>
      <c r="AK14" s="22"/>
      <c r="AL14" s="22"/>
      <c r="AM14" s="22"/>
      <c r="AN14" s="22"/>
      <c r="AO14" s="22"/>
      <c r="AP14" s="22"/>
      <c r="AQ14" s="22"/>
      <c r="AR14" s="22"/>
      <c r="AS14" s="25"/>
    </row>
    <row r="15" spans="1:45" s="1" customFormat="1">
      <c r="A15" s="22">
        <f t="shared" si="0"/>
        <v>14</v>
      </c>
      <c r="B15" s="23">
        <v>45289</v>
      </c>
      <c r="C15" s="22" t="s">
        <v>51</v>
      </c>
      <c r="D15" s="22" t="s">
        <v>51</v>
      </c>
      <c r="E15" s="22" t="s">
        <v>119</v>
      </c>
      <c r="F15" s="22" t="s">
        <v>120</v>
      </c>
      <c r="G15" s="22">
        <v>9595590095</v>
      </c>
      <c r="H15" s="22" t="s">
        <v>121</v>
      </c>
      <c r="I15" s="22" t="s">
        <v>55</v>
      </c>
      <c r="J15" s="22" t="s">
        <v>122</v>
      </c>
      <c r="K15" s="22" t="s">
        <v>116</v>
      </c>
      <c r="L15" s="22"/>
      <c r="M15" s="22"/>
      <c r="N15" s="22"/>
      <c r="O15" s="22"/>
      <c r="P15" s="22">
        <v>2200000</v>
      </c>
      <c r="Q15" s="22" t="e" vm="1">
        <v>#VALUE!</v>
      </c>
      <c r="R15" s="22" t="s">
        <v>63</v>
      </c>
      <c r="S15" s="22"/>
      <c r="T15" s="22"/>
      <c r="U15" s="24">
        <v>45357</v>
      </c>
      <c r="V15" s="22"/>
      <c r="W15" s="22" t="s">
        <v>65</v>
      </c>
      <c r="X15" s="22" t="s">
        <v>123</v>
      </c>
      <c r="Y15" s="22"/>
      <c r="Z15" s="22" t="s">
        <v>118</v>
      </c>
      <c r="AA15" s="22"/>
      <c r="AB15" s="22"/>
      <c r="AC15" s="22"/>
      <c r="AD15" s="22"/>
      <c r="AE15" s="22"/>
      <c r="AF15" s="22"/>
      <c r="AG15" s="22"/>
      <c r="AH15" s="22"/>
      <c r="AI15" s="22"/>
      <c r="AJ15" s="22"/>
      <c r="AK15" s="22"/>
      <c r="AL15" s="22"/>
      <c r="AM15" s="22"/>
      <c r="AN15" s="22"/>
      <c r="AO15" s="22"/>
      <c r="AP15" s="22"/>
      <c r="AQ15" s="22"/>
      <c r="AR15" s="22"/>
      <c r="AS15" s="25"/>
    </row>
    <row r="16" spans="1:45" s="1" customFormat="1">
      <c r="A16" s="22">
        <f t="shared" si="0"/>
        <v>15</v>
      </c>
      <c r="B16" s="23">
        <v>45301</v>
      </c>
      <c r="C16" s="22" t="s">
        <v>51</v>
      </c>
      <c r="D16" s="22" t="s">
        <v>51</v>
      </c>
      <c r="E16" s="22" t="s">
        <v>124</v>
      </c>
      <c r="F16" s="22" t="s">
        <v>125</v>
      </c>
      <c r="G16" s="22">
        <v>8793916009</v>
      </c>
      <c r="H16" s="22" t="s">
        <v>126</v>
      </c>
      <c r="I16" s="22" t="s">
        <v>55</v>
      </c>
      <c r="J16" s="22" t="s">
        <v>127</v>
      </c>
      <c r="K16" s="22" t="s">
        <v>128</v>
      </c>
      <c r="L16" s="22" t="s">
        <v>129</v>
      </c>
      <c r="M16" s="22" t="s">
        <v>130</v>
      </c>
      <c r="N16" s="22" t="s">
        <v>131</v>
      </c>
      <c r="O16" s="22"/>
      <c r="P16" s="22" t="s">
        <v>132</v>
      </c>
      <c r="Q16" s="22" t="e" vm="1">
        <v>#VALUE!</v>
      </c>
      <c r="R16" s="22" t="s">
        <v>63</v>
      </c>
      <c r="S16" s="22" t="s">
        <v>133</v>
      </c>
      <c r="T16" s="22" t="s">
        <v>134</v>
      </c>
      <c r="U16" s="24">
        <v>45362</v>
      </c>
      <c r="V16" s="22"/>
      <c r="W16" s="22" t="s">
        <v>93</v>
      </c>
      <c r="X16" s="22" t="s">
        <v>93</v>
      </c>
      <c r="Y16" s="22" t="s">
        <v>135</v>
      </c>
      <c r="Z16" s="22" t="s">
        <v>66</v>
      </c>
      <c r="AA16" s="22"/>
      <c r="AB16" s="22"/>
      <c r="AC16" s="22"/>
      <c r="AD16" s="22"/>
      <c r="AE16" s="22"/>
      <c r="AF16" s="22"/>
      <c r="AG16" s="22"/>
      <c r="AH16" s="22"/>
      <c r="AI16" s="22"/>
      <c r="AJ16" s="22"/>
      <c r="AK16" s="22"/>
      <c r="AL16" s="22"/>
      <c r="AM16" s="22"/>
      <c r="AN16" s="22"/>
      <c r="AO16" s="22"/>
      <c r="AP16" s="22"/>
      <c r="AQ16" s="22"/>
      <c r="AR16" s="22"/>
      <c r="AS16" s="25"/>
    </row>
    <row r="17" spans="1:45" s="1" customFormat="1">
      <c r="A17" s="22">
        <f t="shared" si="0"/>
        <v>16</v>
      </c>
      <c r="B17" s="23">
        <v>45301</v>
      </c>
      <c r="C17" s="22" t="s">
        <v>51</v>
      </c>
      <c r="D17" s="22" t="s">
        <v>51</v>
      </c>
      <c r="E17" s="22" t="s">
        <v>136</v>
      </c>
      <c r="F17" s="22" t="s">
        <v>137</v>
      </c>
      <c r="G17" s="22">
        <v>8668520481</v>
      </c>
      <c r="H17" s="22" t="s">
        <v>138</v>
      </c>
      <c r="I17" s="22" t="s">
        <v>101</v>
      </c>
      <c r="J17" s="22" t="s">
        <v>139</v>
      </c>
      <c r="K17" s="22" t="s">
        <v>140</v>
      </c>
      <c r="L17" s="22" t="s">
        <v>141</v>
      </c>
      <c r="M17" s="22" t="s">
        <v>142</v>
      </c>
      <c r="N17" s="22" t="s">
        <v>143</v>
      </c>
      <c r="O17" s="22"/>
      <c r="P17" s="22" t="s">
        <v>144</v>
      </c>
      <c r="Q17" s="22" t="s">
        <v>63</v>
      </c>
      <c r="R17" s="22" t="s">
        <v>63</v>
      </c>
      <c r="S17" s="22" t="s">
        <v>145</v>
      </c>
      <c r="T17" s="22" t="s">
        <v>146</v>
      </c>
      <c r="U17" s="24">
        <v>45271</v>
      </c>
      <c r="V17" s="22"/>
      <c r="W17" s="22" t="s">
        <v>93</v>
      </c>
      <c r="X17" s="22" t="s">
        <v>93</v>
      </c>
      <c r="Y17" s="22" t="s">
        <v>135</v>
      </c>
      <c r="Z17" s="22" t="s">
        <v>147</v>
      </c>
      <c r="AA17" s="22"/>
      <c r="AB17" s="22"/>
      <c r="AC17" s="22"/>
      <c r="AD17" s="22"/>
      <c r="AE17" s="22"/>
      <c r="AF17" s="22"/>
      <c r="AG17" s="22"/>
      <c r="AH17" s="22"/>
      <c r="AI17" s="22"/>
      <c r="AJ17" s="22"/>
      <c r="AK17" s="22"/>
      <c r="AL17" s="22"/>
      <c r="AM17" s="22"/>
      <c r="AN17" s="22"/>
      <c r="AO17" s="22"/>
      <c r="AP17" s="22"/>
      <c r="AQ17" s="22"/>
      <c r="AR17" s="22"/>
      <c r="AS17" s="25"/>
    </row>
    <row r="18" spans="1:45" s="1" customFormat="1">
      <c r="A18" s="22">
        <f t="shared" si="0"/>
        <v>17</v>
      </c>
      <c r="B18" s="23">
        <v>45301</v>
      </c>
      <c r="C18" s="22" t="s">
        <v>51</v>
      </c>
      <c r="D18" s="22" t="s">
        <v>51</v>
      </c>
      <c r="E18" s="22" t="s">
        <v>148</v>
      </c>
      <c r="F18" s="22" t="s">
        <v>149</v>
      </c>
      <c r="G18" s="22">
        <v>9850569538</v>
      </c>
      <c r="H18" s="22" t="s">
        <v>150</v>
      </c>
      <c r="I18" s="22" t="s">
        <v>55</v>
      </c>
      <c r="J18" s="22" t="s">
        <v>139</v>
      </c>
      <c r="K18" s="22" t="s">
        <v>140</v>
      </c>
      <c r="L18" s="22" t="s">
        <v>151</v>
      </c>
      <c r="M18" s="22" t="s">
        <v>152</v>
      </c>
      <c r="N18" s="22" t="s">
        <v>153</v>
      </c>
      <c r="O18" s="22"/>
      <c r="P18" s="22" t="s">
        <v>154</v>
      </c>
      <c r="Q18" s="22" t="s">
        <v>63</v>
      </c>
      <c r="R18" s="22" t="s">
        <v>63</v>
      </c>
      <c r="S18" s="22" t="s">
        <v>155</v>
      </c>
      <c r="T18" s="22" t="s">
        <v>134</v>
      </c>
      <c r="U18" s="24">
        <v>45271</v>
      </c>
      <c r="V18" s="22"/>
      <c r="W18" s="22" t="s">
        <v>93</v>
      </c>
      <c r="X18" s="22" t="s">
        <v>93</v>
      </c>
      <c r="Y18" s="22" t="s">
        <v>135</v>
      </c>
      <c r="Z18" s="22" t="s">
        <v>147</v>
      </c>
      <c r="AA18" s="22"/>
      <c r="AB18" s="22"/>
      <c r="AC18" s="22"/>
      <c r="AD18" s="22"/>
      <c r="AE18" s="22"/>
      <c r="AF18" s="22"/>
      <c r="AG18" s="22"/>
      <c r="AH18" s="22"/>
      <c r="AI18" s="22"/>
      <c r="AJ18" s="22"/>
      <c r="AK18" s="22"/>
      <c r="AL18" s="22"/>
      <c r="AM18" s="22"/>
      <c r="AN18" s="22"/>
      <c r="AO18" s="22"/>
      <c r="AP18" s="22"/>
      <c r="AQ18" s="22"/>
      <c r="AR18" s="22"/>
      <c r="AS18" s="25"/>
    </row>
    <row r="19" spans="1:45" s="1" customFormat="1">
      <c r="A19" s="22">
        <f t="shared" si="0"/>
        <v>18</v>
      </c>
      <c r="B19" s="23">
        <v>45301</v>
      </c>
      <c r="C19" s="22" t="s">
        <v>51</v>
      </c>
      <c r="D19" s="22" t="s">
        <v>51</v>
      </c>
      <c r="E19" s="22" t="s">
        <v>156</v>
      </c>
      <c r="F19" s="22" t="s">
        <v>157</v>
      </c>
      <c r="G19" s="22">
        <v>8097756156</v>
      </c>
      <c r="H19" s="22" t="s">
        <v>158</v>
      </c>
      <c r="I19" s="22" t="s">
        <v>55</v>
      </c>
      <c r="J19" s="22" t="s">
        <v>159</v>
      </c>
      <c r="K19" s="22" t="s">
        <v>160</v>
      </c>
      <c r="L19" s="22" t="s">
        <v>161</v>
      </c>
      <c r="M19" s="22" t="s">
        <v>162</v>
      </c>
      <c r="N19" s="22" t="s">
        <v>163</v>
      </c>
      <c r="O19" s="22"/>
      <c r="P19" s="22" t="s">
        <v>164</v>
      </c>
      <c r="Q19" s="22" t="s">
        <v>165</v>
      </c>
      <c r="R19" s="22" t="s">
        <v>63</v>
      </c>
      <c r="S19" s="22" t="s">
        <v>133</v>
      </c>
      <c r="T19" s="22" t="s">
        <v>134</v>
      </c>
      <c r="U19" s="24">
        <v>45348</v>
      </c>
      <c r="V19" s="22"/>
      <c r="W19" s="22" t="s">
        <v>93</v>
      </c>
      <c r="X19" s="22" t="s">
        <v>93</v>
      </c>
      <c r="Y19" s="22" t="s">
        <v>135</v>
      </c>
      <c r="Z19" s="22" t="s">
        <v>166</v>
      </c>
      <c r="AA19" s="22"/>
      <c r="AB19" s="22"/>
      <c r="AC19" s="22"/>
      <c r="AD19" s="22"/>
      <c r="AE19" s="22"/>
      <c r="AF19" s="22"/>
      <c r="AG19" s="22"/>
      <c r="AH19" s="22"/>
      <c r="AI19" s="22"/>
      <c r="AJ19" s="22"/>
      <c r="AK19" s="22"/>
      <c r="AL19" s="22"/>
      <c r="AM19" s="22"/>
      <c r="AN19" s="22"/>
      <c r="AO19" s="22"/>
      <c r="AP19" s="22"/>
      <c r="AQ19" s="22"/>
      <c r="AR19" s="22"/>
      <c r="AS19" s="25"/>
    </row>
    <row r="20" spans="1:45" s="1" customFormat="1">
      <c r="A20" s="22">
        <f t="shared" si="0"/>
        <v>19</v>
      </c>
      <c r="B20" s="23">
        <v>45301</v>
      </c>
      <c r="C20" s="22" t="s">
        <v>51</v>
      </c>
      <c r="D20" s="22" t="s">
        <v>51</v>
      </c>
      <c r="E20" s="22" t="s">
        <v>167</v>
      </c>
      <c r="F20" s="22" t="s">
        <v>168</v>
      </c>
      <c r="G20" s="22">
        <v>7709985010</v>
      </c>
      <c r="H20" s="22" t="s">
        <v>169</v>
      </c>
      <c r="I20" s="22" t="s">
        <v>55</v>
      </c>
      <c r="J20" s="22" t="s">
        <v>159</v>
      </c>
      <c r="K20" s="22" t="s">
        <v>160</v>
      </c>
      <c r="L20" s="22" t="s">
        <v>170</v>
      </c>
      <c r="M20" s="22" t="s">
        <v>171</v>
      </c>
      <c r="N20" s="22" t="s">
        <v>172</v>
      </c>
      <c r="O20" s="22"/>
      <c r="P20" s="22" t="s">
        <v>173</v>
      </c>
      <c r="Q20" s="22" t="s">
        <v>174</v>
      </c>
      <c r="R20" s="22" t="s">
        <v>63</v>
      </c>
      <c r="S20" s="22" t="s">
        <v>175</v>
      </c>
      <c r="T20" s="22" t="s">
        <v>134</v>
      </c>
      <c r="U20" s="24">
        <v>45362</v>
      </c>
      <c r="V20" s="22"/>
      <c r="W20" s="22" t="s">
        <v>93</v>
      </c>
      <c r="X20" s="22" t="s">
        <v>93</v>
      </c>
      <c r="Y20" s="22" t="s">
        <v>135</v>
      </c>
      <c r="Z20" s="22" t="s">
        <v>166</v>
      </c>
      <c r="AA20" s="22"/>
      <c r="AB20" s="22"/>
      <c r="AC20" s="22"/>
      <c r="AD20" s="22"/>
      <c r="AE20" s="22"/>
      <c r="AF20" s="22"/>
      <c r="AG20" s="22"/>
      <c r="AH20" s="22"/>
      <c r="AI20" s="22"/>
      <c r="AJ20" s="22"/>
      <c r="AK20" s="22"/>
      <c r="AL20" s="22"/>
      <c r="AM20" s="22"/>
      <c r="AN20" s="22"/>
      <c r="AO20" s="22"/>
      <c r="AP20" s="22"/>
      <c r="AQ20" s="22"/>
      <c r="AR20" s="22"/>
      <c r="AS20" s="25"/>
    </row>
    <row r="21" spans="1:45" s="1" customFormat="1">
      <c r="A21" s="22">
        <f t="shared" si="0"/>
        <v>20</v>
      </c>
      <c r="B21" s="23">
        <v>45301</v>
      </c>
      <c r="C21" s="22" t="s">
        <v>51</v>
      </c>
      <c r="D21" s="22" t="s">
        <v>51</v>
      </c>
      <c r="E21" s="22" t="s">
        <v>176</v>
      </c>
      <c r="F21" s="22" t="s">
        <v>177</v>
      </c>
      <c r="G21" s="22">
        <v>7989696428</v>
      </c>
      <c r="H21" s="22" t="s">
        <v>178</v>
      </c>
      <c r="I21" s="22" t="s">
        <v>55</v>
      </c>
      <c r="J21" s="22" t="s">
        <v>179</v>
      </c>
      <c r="K21" s="22" t="s">
        <v>128</v>
      </c>
      <c r="L21" s="22" t="s">
        <v>180</v>
      </c>
      <c r="M21" s="22" t="s">
        <v>181</v>
      </c>
      <c r="N21" s="22" t="s">
        <v>173</v>
      </c>
      <c r="O21" s="22"/>
      <c r="P21" s="22" t="s">
        <v>182</v>
      </c>
      <c r="Q21" s="22" t="s">
        <v>63</v>
      </c>
      <c r="R21" s="22" t="s">
        <v>63</v>
      </c>
      <c r="S21" s="22" t="s">
        <v>183</v>
      </c>
      <c r="T21" s="22" t="s">
        <v>184</v>
      </c>
      <c r="U21" s="24">
        <v>45390</v>
      </c>
      <c r="V21" s="22"/>
      <c r="W21" s="22" t="s">
        <v>93</v>
      </c>
      <c r="X21" s="22" t="s">
        <v>93</v>
      </c>
      <c r="Y21" s="22" t="s">
        <v>135</v>
      </c>
      <c r="Z21" s="22" t="s">
        <v>185</v>
      </c>
      <c r="AA21" s="22"/>
      <c r="AB21" s="22"/>
      <c r="AC21" s="22"/>
      <c r="AD21" s="22"/>
      <c r="AE21" s="22"/>
      <c r="AF21" s="22"/>
      <c r="AG21" s="22"/>
      <c r="AH21" s="22"/>
      <c r="AI21" s="22"/>
      <c r="AJ21" s="22"/>
      <c r="AK21" s="22"/>
      <c r="AL21" s="22"/>
      <c r="AM21" s="22"/>
      <c r="AN21" s="22"/>
      <c r="AO21" s="22"/>
      <c r="AP21" s="22"/>
      <c r="AQ21" s="22"/>
      <c r="AR21" s="22"/>
      <c r="AS21" s="25"/>
    </row>
    <row r="22" spans="1:45" s="1" customFormat="1">
      <c r="A22" s="22">
        <f t="shared" si="0"/>
        <v>21</v>
      </c>
      <c r="B22" s="23">
        <v>45303</v>
      </c>
      <c r="C22" s="22" t="s">
        <v>51</v>
      </c>
      <c r="D22" s="22" t="s">
        <v>51</v>
      </c>
      <c r="E22" s="22" t="s">
        <v>186</v>
      </c>
      <c r="F22" s="22" t="s">
        <v>187</v>
      </c>
      <c r="G22" s="22">
        <v>8237253283</v>
      </c>
      <c r="H22" s="22" t="s">
        <v>188</v>
      </c>
      <c r="I22" s="22" t="s">
        <v>55</v>
      </c>
      <c r="J22" s="22" t="s">
        <v>189</v>
      </c>
      <c r="K22" s="22" t="s">
        <v>190</v>
      </c>
      <c r="L22" s="22"/>
      <c r="M22" s="22"/>
      <c r="N22" s="22"/>
      <c r="O22" s="22"/>
      <c r="P22" s="22">
        <v>2300000</v>
      </c>
      <c r="Q22" s="22" t="e" vm="1">
        <v>#VALUE!</v>
      </c>
      <c r="R22" s="22" t="s">
        <v>63</v>
      </c>
      <c r="S22" s="22"/>
      <c r="T22" s="22"/>
      <c r="U22" s="24">
        <v>45418</v>
      </c>
      <c r="V22" s="22"/>
      <c r="W22" s="22" t="s">
        <v>65</v>
      </c>
      <c r="X22" s="22" t="s">
        <v>65</v>
      </c>
      <c r="Y22" s="22"/>
      <c r="Z22" s="22" t="s">
        <v>66</v>
      </c>
      <c r="AA22" s="22"/>
      <c r="AB22" s="22"/>
      <c r="AC22" s="22"/>
      <c r="AD22" s="22"/>
      <c r="AE22" s="22"/>
      <c r="AF22" s="22"/>
      <c r="AG22" s="22"/>
      <c r="AH22" s="22"/>
      <c r="AI22" s="22"/>
      <c r="AJ22" s="22"/>
      <c r="AK22" s="22"/>
      <c r="AL22" s="22"/>
      <c r="AM22" s="22"/>
      <c r="AN22" s="22"/>
      <c r="AO22" s="22"/>
      <c r="AP22" s="22"/>
      <c r="AQ22" s="22"/>
      <c r="AR22" s="22"/>
      <c r="AS22" s="25"/>
    </row>
    <row r="23" spans="1:45" s="1" customFormat="1">
      <c r="A23" s="22">
        <f t="shared" si="0"/>
        <v>22</v>
      </c>
      <c r="B23" s="23">
        <v>45306</v>
      </c>
      <c r="C23" s="22" t="s">
        <v>51</v>
      </c>
      <c r="D23" s="22" t="s">
        <v>51</v>
      </c>
      <c r="E23" s="22" t="s">
        <v>191</v>
      </c>
      <c r="F23" s="22" t="s">
        <v>192</v>
      </c>
      <c r="G23" s="22">
        <v>9561479035</v>
      </c>
      <c r="H23" s="22" t="s">
        <v>193</v>
      </c>
      <c r="I23" s="22" t="s">
        <v>55</v>
      </c>
      <c r="J23" s="22" t="s">
        <v>89</v>
      </c>
      <c r="K23" s="22" t="s">
        <v>81</v>
      </c>
      <c r="L23" s="22"/>
      <c r="M23" s="22"/>
      <c r="N23" s="22"/>
      <c r="O23" s="22"/>
      <c r="P23" s="22">
        <v>1000000</v>
      </c>
      <c r="Q23" s="22" t="e" vm="1">
        <v>#VALUE!</v>
      </c>
      <c r="R23" s="22" t="s">
        <v>63</v>
      </c>
      <c r="S23" s="22"/>
      <c r="T23" s="22"/>
      <c r="U23" s="24">
        <v>45397</v>
      </c>
      <c r="V23" s="22"/>
      <c r="W23" s="22" t="s">
        <v>65</v>
      </c>
      <c r="X23" s="22" t="s">
        <v>65</v>
      </c>
      <c r="Y23" s="22"/>
      <c r="Z23" s="22" t="s">
        <v>66</v>
      </c>
      <c r="AA23" s="22"/>
      <c r="AB23" s="22"/>
      <c r="AC23" s="22"/>
      <c r="AD23" s="22"/>
      <c r="AE23" s="22"/>
      <c r="AF23" s="22"/>
      <c r="AG23" s="22"/>
      <c r="AH23" s="22"/>
      <c r="AI23" s="22"/>
      <c r="AJ23" s="22"/>
      <c r="AK23" s="22"/>
      <c r="AL23" s="22"/>
      <c r="AM23" s="22"/>
      <c r="AN23" s="22"/>
      <c r="AO23" s="22"/>
      <c r="AP23" s="22"/>
      <c r="AQ23" s="22"/>
      <c r="AR23" s="22"/>
      <c r="AS23" s="25"/>
    </row>
    <row r="24" spans="1:45" s="1" customFormat="1">
      <c r="A24" s="22">
        <f t="shared" si="0"/>
        <v>23</v>
      </c>
      <c r="B24" s="23">
        <v>45321</v>
      </c>
      <c r="C24" s="22" t="s">
        <v>51</v>
      </c>
      <c r="D24" s="22" t="s">
        <v>51</v>
      </c>
      <c r="E24" s="22" t="s">
        <v>194</v>
      </c>
      <c r="F24" s="22" t="s">
        <v>195</v>
      </c>
      <c r="G24" s="22">
        <v>9657766648</v>
      </c>
      <c r="H24" s="22" t="s">
        <v>196</v>
      </c>
      <c r="I24" s="22" t="s">
        <v>55</v>
      </c>
      <c r="J24" s="22" t="s">
        <v>89</v>
      </c>
      <c r="K24" s="22" t="s">
        <v>81</v>
      </c>
      <c r="L24" s="22"/>
      <c r="M24" s="22"/>
      <c r="N24" s="22"/>
      <c r="O24" s="22"/>
      <c r="P24" s="22">
        <v>1150000</v>
      </c>
      <c r="Q24" s="22" t="e" vm="1">
        <v>#VALUE!</v>
      </c>
      <c r="R24" s="22" t="s">
        <v>63</v>
      </c>
      <c r="S24" s="22"/>
      <c r="T24" s="22"/>
      <c r="U24" s="24">
        <v>45334</v>
      </c>
      <c r="V24" s="22"/>
      <c r="W24" s="22" t="s">
        <v>65</v>
      </c>
      <c r="X24" s="22" t="s">
        <v>65</v>
      </c>
      <c r="Y24" s="22"/>
      <c r="Z24" s="22" t="s">
        <v>66</v>
      </c>
      <c r="AA24" s="22"/>
      <c r="AB24" s="22"/>
      <c r="AC24" s="22"/>
      <c r="AD24" s="22"/>
      <c r="AE24" s="22"/>
      <c r="AF24" s="22"/>
      <c r="AG24" s="22"/>
      <c r="AH24" s="22"/>
      <c r="AI24" s="22"/>
      <c r="AJ24" s="22"/>
      <c r="AK24" s="22"/>
      <c r="AL24" s="22"/>
      <c r="AM24" s="22"/>
      <c r="AN24" s="22"/>
      <c r="AO24" s="22"/>
      <c r="AP24" s="22"/>
      <c r="AQ24" s="22"/>
      <c r="AR24" s="22"/>
      <c r="AS24" s="25"/>
    </row>
    <row r="25" spans="1:45" s="1" customFormat="1">
      <c r="A25" s="22">
        <f t="shared" si="0"/>
        <v>24</v>
      </c>
      <c r="B25" s="23">
        <v>45329</v>
      </c>
      <c r="C25" s="22" t="s">
        <v>51</v>
      </c>
      <c r="D25" s="22" t="s">
        <v>51</v>
      </c>
      <c r="E25" s="22" t="s">
        <v>197</v>
      </c>
      <c r="F25" s="22" t="s">
        <v>198</v>
      </c>
      <c r="G25" s="22">
        <v>9720572067</v>
      </c>
      <c r="H25" s="22" t="s">
        <v>199</v>
      </c>
      <c r="I25" s="22" t="s">
        <v>101</v>
      </c>
      <c r="J25" s="22" t="s">
        <v>85</v>
      </c>
      <c r="K25" s="22" t="s">
        <v>81</v>
      </c>
      <c r="L25" s="22"/>
      <c r="M25" s="22"/>
      <c r="N25" s="22"/>
      <c r="O25" s="22"/>
      <c r="P25" s="22">
        <v>700000</v>
      </c>
      <c r="Q25" s="22" t="e" vm="1">
        <v>#VALUE!</v>
      </c>
      <c r="R25" s="22" t="s">
        <v>63</v>
      </c>
      <c r="S25" s="22"/>
      <c r="T25" s="22"/>
      <c r="U25" s="24">
        <v>45378</v>
      </c>
      <c r="V25" s="22"/>
      <c r="W25" s="22" t="s">
        <v>65</v>
      </c>
      <c r="X25" s="22" t="s">
        <v>65</v>
      </c>
      <c r="Y25" s="22"/>
      <c r="Z25" s="22" t="s">
        <v>66</v>
      </c>
      <c r="AA25" s="22"/>
      <c r="AB25" s="22"/>
      <c r="AC25" s="22"/>
      <c r="AD25" s="22"/>
      <c r="AE25" s="22"/>
      <c r="AF25" s="22"/>
      <c r="AG25" s="22"/>
      <c r="AH25" s="22"/>
      <c r="AI25" s="22"/>
      <c r="AJ25" s="22"/>
      <c r="AK25" s="22"/>
      <c r="AL25" s="22"/>
      <c r="AM25" s="22"/>
      <c r="AN25" s="22"/>
      <c r="AO25" s="22"/>
      <c r="AP25" s="22"/>
      <c r="AQ25" s="22"/>
      <c r="AR25" s="22"/>
      <c r="AS25" s="25"/>
    </row>
    <row r="26" spans="1:45" s="1" customFormat="1">
      <c r="A26" s="22">
        <f t="shared" si="0"/>
        <v>25</v>
      </c>
      <c r="B26" s="23">
        <v>45348</v>
      </c>
      <c r="C26" s="22" t="s">
        <v>51</v>
      </c>
      <c r="D26" s="22" t="s">
        <v>51</v>
      </c>
      <c r="E26" s="22" t="s">
        <v>200</v>
      </c>
      <c r="F26" s="22" t="s">
        <v>201</v>
      </c>
      <c r="G26" s="22">
        <v>8983603275</v>
      </c>
      <c r="H26" s="22"/>
      <c r="I26" s="22" t="s">
        <v>55</v>
      </c>
      <c r="J26" s="22" t="s">
        <v>202</v>
      </c>
      <c r="K26" s="22" t="s">
        <v>116</v>
      </c>
      <c r="L26" s="22"/>
      <c r="M26" s="22"/>
      <c r="N26" s="22"/>
      <c r="O26" s="22"/>
      <c r="P26" s="22" t="s">
        <v>203</v>
      </c>
      <c r="Q26" s="22" t="e" vm="1">
        <v>#VALUE!</v>
      </c>
      <c r="R26" s="22" t="s">
        <v>63</v>
      </c>
      <c r="S26" s="22"/>
      <c r="T26" s="22"/>
      <c r="U26" s="24">
        <v>45397</v>
      </c>
      <c r="V26" s="22"/>
      <c r="W26" s="22" t="s">
        <v>65</v>
      </c>
      <c r="X26" s="22" t="s">
        <v>123</v>
      </c>
      <c r="Y26" s="22"/>
      <c r="Z26" s="22" t="s">
        <v>118</v>
      </c>
      <c r="AA26" s="22"/>
      <c r="AB26" s="22"/>
      <c r="AC26" s="22"/>
      <c r="AD26" s="22"/>
      <c r="AE26" s="22"/>
      <c r="AF26" s="22"/>
      <c r="AG26" s="22"/>
      <c r="AH26" s="22"/>
      <c r="AI26" s="22"/>
      <c r="AJ26" s="22"/>
      <c r="AK26" s="22"/>
      <c r="AL26" s="22"/>
      <c r="AM26" s="22"/>
      <c r="AN26" s="22"/>
      <c r="AO26" s="22"/>
      <c r="AP26" s="22"/>
      <c r="AQ26" s="22"/>
      <c r="AR26" s="22"/>
      <c r="AS26" s="25"/>
    </row>
    <row r="27" spans="1:45" s="1" customFormat="1">
      <c r="A27" s="22">
        <f t="shared" si="0"/>
        <v>26</v>
      </c>
      <c r="B27" s="23">
        <v>45357</v>
      </c>
      <c r="C27" s="22" t="s">
        <v>51</v>
      </c>
      <c r="D27" s="22" t="s">
        <v>51</v>
      </c>
      <c r="E27" s="22" t="s">
        <v>204</v>
      </c>
      <c r="F27" s="22" t="s">
        <v>205</v>
      </c>
      <c r="G27" s="22">
        <v>9096014822</v>
      </c>
      <c r="H27" s="22" t="s">
        <v>206</v>
      </c>
      <c r="I27" s="22" t="s">
        <v>55</v>
      </c>
      <c r="J27" s="22" t="s">
        <v>207</v>
      </c>
      <c r="K27" s="22" t="s">
        <v>140</v>
      </c>
      <c r="L27" s="22"/>
      <c r="M27" s="22"/>
      <c r="N27" s="22"/>
      <c r="O27" s="22"/>
      <c r="P27" s="22">
        <v>2400000</v>
      </c>
      <c r="Q27" s="22" t="e" vm="1">
        <v>#VALUE!</v>
      </c>
      <c r="R27" s="22" t="s">
        <v>63</v>
      </c>
      <c r="S27" s="22"/>
      <c r="T27" s="22"/>
      <c r="U27" s="24">
        <v>45433</v>
      </c>
      <c r="V27" s="22"/>
      <c r="W27" s="22" t="s">
        <v>65</v>
      </c>
      <c r="X27" s="22" t="s">
        <v>65</v>
      </c>
      <c r="Y27" s="22"/>
      <c r="Z27" s="22" t="s">
        <v>147</v>
      </c>
      <c r="AA27" s="22"/>
      <c r="AB27" s="22"/>
      <c r="AC27" s="22"/>
      <c r="AD27" s="22"/>
      <c r="AE27" s="22"/>
      <c r="AF27" s="22"/>
      <c r="AG27" s="22"/>
      <c r="AH27" s="22"/>
      <c r="AI27" s="22"/>
      <c r="AJ27" s="22"/>
      <c r="AK27" s="22"/>
      <c r="AL27" s="22"/>
      <c r="AM27" s="22"/>
      <c r="AN27" s="22"/>
      <c r="AO27" s="22"/>
      <c r="AP27" s="22"/>
      <c r="AQ27" s="22"/>
      <c r="AR27" s="22"/>
      <c r="AS27" s="25"/>
    </row>
    <row r="28" spans="1:45" s="1" customFormat="1">
      <c r="A28" s="22">
        <f t="shared" si="0"/>
        <v>27</v>
      </c>
      <c r="B28" s="23">
        <v>45361</v>
      </c>
      <c r="C28" s="22" t="s">
        <v>208</v>
      </c>
      <c r="D28" s="22" t="s">
        <v>209</v>
      </c>
      <c r="E28" s="22">
        <v>20242803</v>
      </c>
      <c r="F28" s="22" t="s">
        <v>210</v>
      </c>
      <c r="G28" s="22">
        <v>7020711585</v>
      </c>
      <c r="H28" s="22" t="s">
        <v>211</v>
      </c>
      <c r="I28" s="22" t="s">
        <v>101</v>
      </c>
      <c r="J28" s="22" t="s">
        <v>212</v>
      </c>
      <c r="K28" s="22" t="s">
        <v>213</v>
      </c>
      <c r="L28" s="22">
        <v>2.8</v>
      </c>
      <c r="M28" s="22" t="s">
        <v>214</v>
      </c>
      <c r="N28" s="22">
        <v>4.25</v>
      </c>
      <c r="O28" s="22">
        <v>0</v>
      </c>
      <c r="P28" s="22">
        <v>6</v>
      </c>
      <c r="Q28" s="22" t="s">
        <v>215</v>
      </c>
      <c r="R28" s="22" t="s">
        <v>63</v>
      </c>
      <c r="S28" s="22" t="s">
        <v>216</v>
      </c>
      <c r="T28" s="22" t="s">
        <v>217</v>
      </c>
      <c r="U28" s="24"/>
      <c r="V28" s="22"/>
      <c r="W28" s="22" t="s">
        <v>218</v>
      </c>
      <c r="X28" s="22" t="s">
        <v>218</v>
      </c>
      <c r="Y28" s="22" t="s">
        <v>135</v>
      </c>
      <c r="Z28" s="22" t="s">
        <v>66</v>
      </c>
      <c r="AA28" s="22">
        <v>45361</v>
      </c>
      <c r="AB28" s="22">
        <v>45362</v>
      </c>
      <c r="AC28" s="22">
        <v>45362</v>
      </c>
      <c r="AD28" s="22"/>
      <c r="AE28" s="22"/>
      <c r="AF28" s="22"/>
      <c r="AG28" s="22"/>
      <c r="AH28" s="22"/>
      <c r="AI28" s="22"/>
      <c r="AJ28" s="22"/>
      <c r="AK28" s="22"/>
      <c r="AL28" s="22"/>
      <c r="AM28" s="22"/>
      <c r="AN28" s="22"/>
      <c r="AO28" s="22"/>
      <c r="AP28" s="22"/>
      <c r="AQ28" s="22"/>
      <c r="AR28" s="22"/>
      <c r="AS28" s="25"/>
    </row>
    <row r="29" spans="1:45" s="1" customFormat="1">
      <c r="A29" s="22">
        <f t="shared" si="0"/>
        <v>28</v>
      </c>
      <c r="B29" s="23">
        <v>45361</v>
      </c>
      <c r="C29" s="22" t="s">
        <v>208</v>
      </c>
      <c r="D29" s="22" t="s">
        <v>209</v>
      </c>
      <c r="E29" s="22">
        <v>20242803</v>
      </c>
      <c r="F29" s="22" t="s">
        <v>219</v>
      </c>
      <c r="G29" s="22">
        <v>7972057896</v>
      </c>
      <c r="H29" s="22" t="s">
        <v>220</v>
      </c>
      <c r="I29" s="22" t="s">
        <v>55</v>
      </c>
      <c r="J29" s="22" t="s">
        <v>212</v>
      </c>
      <c r="K29" s="22" t="s">
        <v>213</v>
      </c>
      <c r="L29" s="22">
        <v>2.2000000000000002</v>
      </c>
      <c r="M29" s="22" t="s">
        <v>221</v>
      </c>
      <c r="N29" s="22">
        <v>5</v>
      </c>
      <c r="O29" s="22">
        <v>0</v>
      </c>
      <c r="P29" s="22" t="s">
        <v>222</v>
      </c>
      <c r="Q29" s="22" t="s">
        <v>223</v>
      </c>
      <c r="R29" s="22" t="s">
        <v>63</v>
      </c>
      <c r="S29" s="22" t="s">
        <v>224</v>
      </c>
      <c r="T29" s="22" t="s">
        <v>225</v>
      </c>
      <c r="U29" s="24"/>
      <c r="V29" s="22"/>
      <c r="W29" s="22" t="s">
        <v>218</v>
      </c>
      <c r="X29" s="22" t="s">
        <v>218</v>
      </c>
      <c r="Y29" s="22" t="s">
        <v>135</v>
      </c>
      <c r="Z29" s="22" t="s">
        <v>66</v>
      </c>
      <c r="AA29" s="22">
        <v>45361</v>
      </c>
      <c r="AB29" s="22">
        <v>45363</v>
      </c>
      <c r="AC29" s="22">
        <v>45363</v>
      </c>
      <c r="AD29" s="22"/>
      <c r="AE29" s="22"/>
      <c r="AF29" s="22"/>
      <c r="AG29" s="22"/>
      <c r="AH29" s="22"/>
      <c r="AI29" s="22"/>
      <c r="AJ29" s="22"/>
      <c r="AK29" s="22"/>
      <c r="AL29" s="22"/>
      <c r="AM29" s="22"/>
      <c r="AN29" s="22"/>
      <c r="AO29" s="22"/>
      <c r="AP29" s="22"/>
      <c r="AQ29" s="22"/>
      <c r="AR29" s="22"/>
      <c r="AS29" s="25"/>
    </row>
    <row r="30" spans="1:45" s="1" customFormat="1">
      <c r="A30" s="22">
        <f t="shared" si="0"/>
        <v>29</v>
      </c>
      <c r="B30" s="23">
        <v>45361</v>
      </c>
      <c r="C30" s="22" t="s">
        <v>208</v>
      </c>
      <c r="D30" s="22" t="s">
        <v>209</v>
      </c>
      <c r="E30" s="22">
        <v>20242803</v>
      </c>
      <c r="F30" s="22" t="s">
        <v>226</v>
      </c>
      <c r="G30" s="22">
        <v>918699000000</v>
      </c>
      <c r="H30" s="22" t="s">
        <v>227</v>
      </c>
      <c r="I30" s="22" t="s">
        <v>101</v>
      </c>
      <c r="J30" s="22" t="s">
        <v>212</v>
      </c>
      <c r="K30" s="22" t="s">
        <v>213</v>
      </c>
      <c r="L30" s="22">
        <v>2.2000000000000002</v>
      </c>
      <c r="M30" s="22" t="s">
        <v>228</v>
      </c>
      <c r="N30" s="22">
        <v>3.5</v>
      </c>
      <c r="O30" s="22">
        <v>0</v>
      </c>
      <c r="P30" s="22">
        <v>7</v>
      </c>
      <c r="Q30" s="22" t="s">
        <v>229</v>
      </c>
      <c r="R30" s="22" t="s">
        <v>63</v>
      </c>
      <c r="S30" s="22" t="s">
        <v>230</v>
      </c>
      <c r="T30" s="22" t="s">
        <v>134</v>
      </c>
      <c r="U30" s="24"/>
      <c r="V30" s="22"/>
      <c r="W30" s="22" t="s">
        <v>218</v>
      </c>
      <c r="X30" s="22" t="s">
        <v>218</v>
      </c>
      <c r="Y30" s="22" t="s">
        <v>135</v>
      </c>
      <c r="Z30" s="22" t="s">
        <v>66</v>
      </c>
      <c r="AA30" s="22">
        <v>45361</v>
      </c>
      <c r="AB30" s="22">
        <v>45364</v>
      </c>
      <c r="AC30" s="22">
        <v>45364</v>
      </c>
      <c r="AD30" s="22"/>
      <c r="AE30" s="22"/>
      <c r="AF30" s="22"/>
      <c r="AG30" s="22"/>
      <c r="AH30" s="22"/>
      <c r="AI30" s="22"/>
      <c r="AJ30" s="22"/>
      <c r="AK30" s="22"/>
      <c r="AL30" s="22"/>
      <c r="AM30" s="22"/>
      <c r="AN30" s="22"/>
      <c r="AO30" s="22"/>
      <c r="AP30" s="22"/>
      <c r="AQ30" s="22"/>
      <c r="AR30" s="22"/>
      <c r="AS30" s="25"/>
    </row>
    <row r="31" spans="1:45" s="1" customFormat="1">
      <c r="A31" s="22">
        <f t="shared" si="0"/>
        <v>30</v>
      </c>
      <c r="B31" s="23">
        <v>45361</v>
      </c>
      <c r="C31" s="22" t="s">
        <v>208</v>
      </c>
      <c r="D31" s="22" t="s">
        <v>231</v>
      </c>
      <c r="E31" s="22">
        <v>20242803</v>
      </c>
      <c r="F31" s="22" t="s">
        <v>232</v>
      </c>
      <c r="G31" s="22">
        <v>9762079442</v>
      </c>
      <c r="H31" s="22" t="s">
        <v>233</v>
      </c>
      <c r="I31" s="22" t="s">
        <v>55</v>
      </c>
      <c r="J31" s="22" t="s">
        <v>212</v>
      </c>
      <c r="K31" s="22" t="s">
        <v>213</v>
      </c>
      <c r="L31" s="22">
        <v>3</v>
      </c>
      <c r="M31" s="22" t="s">
        <v>234</v>
      </c>
      <c r="N31" s="22">
        <v>8</v>
      </c>
      <c r="O31" s="22">
        <v>0</v>
      </c>
      <c r="P31" s="22" t="s">
        <v>235</v>
      </c>
      <c r="Q31" s="22" t="s">
        <v>236</v>
      </c>
      <c r="R31" s="22" t="s">
        <v>63</v>
      </c>
      <c r="S31" s="22" t="s">
        <v>237</v>
      </c>
      <c r="T31" s="22" t="s">
        <v>238</v>
      </c>
      <c r="U31" s="24"/>
      <c r="V31" s="22"/>
      <c r="W31" s="22" t="s">
        <v>218</v>
      </c>
      <c r="X31" s="22" t="s">
        <v>218</v>
      </c>
      <c r="Y31" s="22" t="s">
        <v>135</v>
      </c>
      <c r="Z31" s="22" t="s">
        <v>66</v>
      </c>
      <c r="AA31" s="22">
        <v>45363</v>
      </c>
      <c r="AB31" s="22">
        <v>45364</v>
      </c>
      <c r="AC31" s="22">
        <v>45364</v>
      </c>
      <c r="AD31" s="22"/>
      <c r="AE31" s="22"/>
      <c r="AF31" s="22"/>
      <c r="AG31" s="22"/>
      <c r="AH31" s="22"/>
      <c r="AI31" s="22"/>
      <c r="AJ31" s="22"/>
      <c r="AK31" s="22"/>
      <c r="AL31" s="22"/>
      <c r="AM31" s="22"/>
      <c r="AN31" s="22"/>
      <c r="AO31" s="22"/>
      <c r="AP31" s="22"/>
      <c r="AQ31" s="22"/>
      <c r="AR31" s="22"/>
      <c r="AS31" s="25"/>
    </row>
    <row r="32" spans="1:45" s="1" customFormat="1">
      <c r="A32" s="22">
        <f t="shared" si="0"/>
        <v>31</v>
      </c>
      <c r="B32" s="23">
        <v>45361</v>
      </c>
      <c r="C32" s="22" t="s">
        <v>51</v>
      </c>
      <c r="D32" s="22" t="s">
        <v>51</v>
      </c>
      <c r="E32" s="22" t="s">
        <v>239</v>
      </c>
      <c r="F32" s="22" t="s">
        <v>240</v>
      </c>
      <c r="G32" s="22">
        <v>9833314105</v>
      </c>
      <c r="H32" s="22" t="s">
        <v>241</v>
      </c>
      <c r="I32" s="22" t="s">
        <v>55</v>
      </c>
      <c r="J32" s="22" t="s">
        <v>242</v>
      </c>
      <c r="K32" s="22" t="s">
        <v>243</v>
      </c>
      <c r="L32" s="22"/>
      <c r="M32" s="22"/>
      <c r="N32" s="22"/>
      <c r="O32" s="22"/>
      <c r="P32" s="22">
        <v>1000000</v>
      </c>
      <c r="Q32" s="22" t="e" vm="1">
        <v>#VALUE!</v>
      </c>
      <c r="R32" s="22" t="s">
        <v>63</v>
      </c>
      <c r="S32" s="22"/>
      <c r="T32" s="22"/>
      <c r="U32" s="24">
        <v>45460</v>
      </c>
      <c r="V32" s="22"/>
      <c r="W32" s="22" t="s">
        <v>65</v>
      </c>
      <c r="X32" s="22" t="s">
        <v>65</v>
      </c>
      <c r="Y32" s="22"/>
      <c r="Z32" s="22" t="s">
        <v>66</v>
      </c>
      <c r="AA32" s="22">
        <v>45577</v>
      </c>
      <c r="AB32" s="22">
        <v>45714</v>
      </c>
      <c r="AC32" s="22"/>
      <c r="AD32" s="22"/>
      <c r="AE32" s="22"/>
      <c r="AF32" s="22"/>
      <c r="AG32" s="22"/>
      <c r="AH32" s="22"/>
      <c r="AI32" s="22"/>
      <c r="AJ32" s="22"/>
      <c r="AK32" s="22"/>
      <c r="AL32" s="22"/>
      <c r="AM32" s="22"/>
      <c r="AN32" s="22"/>
      <c r="AO32" s="22"/>
      <c r="AP32" s="22"/>
      <c r="AQ32" s="22"/>
      <c r="AR32" s="22"/>
      <c r="AS32" s="25"/>
    </row>
    <row r="33" spans="1:45" s="1" customFormat="1">
      <c r="A33" s="22">
        <f t="shared" si="0"/>
        <v>32</v>
      </c>
      <c r="B33" s="23">
        <v>45363</v>
      </c>
      <c r="C33" s="22" t="s">
        <v>208</v>
      </c>
      <c r="D33" s="22" t="s">
        <v>209</v>
      </c>
      <c r="E33" s="22">
        <v>20242803</v>
      </c>
      <c r="F33" s="22" t="s">
        <v>244</v>
      </c>
      <c r="G33" s="22">
        <v>6301110995</v>
      </c>
      <c r="H33" s="22" t="s">
        <v>245</v>
      </c>
      <c r="I33" s="22" t="s">
        <v>55</v>
      </c>
      <c r="J33" s="22" t="s">
        <v>212</v>
      </c>
      <c r="K33" s="22" t="s">
        <v>213</v>
      </c>
      <c r="L33" s="22">
        <v>2.2999999999999998</v>
      </c>
      <c r="M33" s="22" t="s">
        <v>246</v>
      </c>
      <c r="N33" s="22">
        <v>4.8600000000000003</v>
      </c>
      <c r="O33" s="22">
        <v>0</v>
      </c>
      <c r="P33" s="22">
        <v>7.5</v>
      </c>
      <c r="Q33" s="22" t="s">
        <v>247</v>
      </c>
      <c r="R33" s="22" t="s">
        <v>63</v>
      </c>
      <c r="S33" s="22" t="s">
        <v>248</v>
      </c>
      <c r="T33" s="22" t="s">
        <v>61</v>
      </c>
      <c r="U33" s="24"/>
      <c r="V33" s="22"/>
      <c r="W33" s="22" t="s">
        <v>218</v>
      </c>
      <c r="X33" s="22" t="s">
        <v>218</v>
      </c>
      <c r="Y33" s="22" t="s">
        <v>135</v>
      </c>
      <c r="Z33" s="22" t="s">
        <v>66</v>
      </c>
      <c r="AA33" s="22">
        <v>45577</v>
      </c>
      <c r="AB33" s="22">
        <v>45932</v>
      </c>
      <c r="AC33" s="22">
        <v>45579</v>
      </c>
      <c r="AD33" s="22"/>
      <c r="AE33" s="22"/>
      <c r="AF33" s="22"/>
      <c r="AG33" s="22"/>
      <c r="AH33" s="22"/>
      <c r="AI33" s="22"/>
      <c r="AJ33" s="22"/>
      <c r="AK33" s="22"/>
      <c r="AL33" s="22"/>
      <c r="AM33" s="22"/>
      <c r="AN33" s="22"/>
      <c r="AO33" s="22"/>
      <c r="AP33" s="22"/>
      <c r="AQ33" s="22"/>
      <c r="AR33" s="22"/>
      <c r="AS33" s="25"/>
    </row>
    <row r="34" spans="1:45" s="1" customFormat="1">
      <c r="A34" s="22">
        <f t="shared" si="0"/>
        <v>33</v>
      </c>
      <c r="B34" s="23">
        <v>45363</v>
      </c>
      <c r="C34" s="22" t="s">
        <v>208</v>
      </c>
      <c r="D34" s="22" t="s">
        <v>209</v>
      </c>
      <c r="E34" s="22">
        <v>20250696</v>
      </c>
      <c r="F34" s="22" t="s">
        <v>249</v>
      </c>
      <c r="G34" s="22">
        <v>8055522687</v>
      </c>
      <c r="H34" s="22" t="s">
        <v>250</v>
      </c>
      <c r="I34" s="22" t="s">
        <v>55</v>
      </c>
      <c r="J34" s="22" t="s">
        <v>251</v>
      </c>
      <c r="K34" s="22" t="s">
        <v>252</v>
      </c>
      <c r="L34" s="22">
        <v>7.5</v>
      </c>
      <c r="M34" s="22" t="s">
        <v>253</v>
      </c>
      <c r="N34" s="22">
        <v>7.5</v>
      </c>
      <c r="O34" s="22">
        <v>0</v>
      </c>
      <c r="P34" s="22">
        <v>10</v>
      </c>
      <c r="Q34" s="22" t="s">
        <v>254</v>
      </c>
      <c r="R34" s="22" t="s">
        <v>63</v>
      </c>
      <c r="S34" s="22" t="s">
        <v>255</v>
      </c>
      <c r="T34" s="22"/>
      <c r="U34" s="24"/>
      <c r="V34" s="22"/>
      <c r="W34" s="22" t="s">
        <v>218</v>
      </c>
      <c r="X34" s="22" t="s">
        <v>218</v>
      </c>
      <c r="Y34" s="22" t="s">
        <v>135</v>
      </c>
      <c r="Z34" s="22" t="s">
        <v>66</v>
      </c>
      <c r="AA34" s="22">
        <v>45577</v>
      </c>
      <c r="AB34" s="22">
        <v>45577</v>
      </c>
      <c r="AC34" s="22">
        <v>45580</v>
      </c>
      <c r="AD34" s="22"/>
      <c r="AE34" s="22"/>
      <c r="AF34" s="22"/>
      <c r="AG34" s="22"/>
      <c r="AH34" s="22"/>
      <c r="AI34" s="22"/>
      <c r="AJ34" s="22"/>
      <c r="AK34" s="22"/>
      <c r="AL34" s="22"/>
      <c r="AM34" s="22"/>
      <c r="AN34" s="22"/>
      <c r="AO34" s="22"/>
      <c r="AP34" s="22"/>
      <c r="AQ34" s="22"/>
      <c r="AR34" s="22"/>
      <c r="AS34" s="25"/>
    </row>
    <row r="35" spans="1:45" s="1" customFormat="1">
      <c r="A35" s="22">
        <f t="shared" si="0"/>
        <v>34</v>
      </c>
      <c r="B35" s="23">
        <v>45363</v>
      </c>
      <c r="C35" s="22" t="s">
        <v>208</v>
      </c>
      <c r="D35" s="22" t="s">
        <v>256</v>
      </c>
      <c r="E35" s="22">
        <v>20250696</v>
      </c>
      <c r="F35" s="22" t="s">
        <v>257</v>
      </c>
      <c r="G35" s="22">
        <v>9356518487</v>
      </c>
      <c r="H35" s="22" t="s">
        <v>258</v>
      </c>
      <c r="I35" s="22" t="s">
        <v>55</v>
      </c>
      <c r="J35" s="22" t="s">
        <v>251</v>
      </c>
      <c r="K35" s="22" t="s">
        <v>252</v>
      </c>
      <c r="L35" s="22">
        <v>5</v>
      </c>
      <c r="M35" s="22" t="s">
        <v>259</v>
      </c>
      <c r="N35" s="22">
        <v>4.8</v>
      </c>
      <c r="O35" s="22">
        <v>0</v>
      </c>
      <c r="P35" s="22">
        <v>7</v>
      </c>
      <c r="Q35" s="22" t="s">
        <v>260</v>
      </c>
      <c r="R35" s="22" t="s">
        <v>63</v>
      </c>
      <c r="S35" s="22" t="s">
        <v>255</v>
      </c>
      <c r="T35" s="22"/>
      <c r="U35" s="24"/>
      <c r="V35" s="22"/>
      <c r="W35" s="22" t="s">
        <v>218</v>
      </c>
      <c r="X35" s="22" t="s">
        <v>218</v>
      </c>
      <c r="Y35" s="22" t="s">
        <v>135</v>
      </c>
      <c r="Z35" s="22" t="s">
        <v>66</v>
      </c>
      <c r="AA35" s="22">
        <v>45577</v>
      </c>
      <c r="AB35" s="22">
        <v>45577</v>
      </c>
      <c r="AC35" s="22">
        <v>45581</v>
      </c>
      <c r="AD35" s="22"/>
      <c r="AE35" s="22"/>
      <c r="AF35" s="22"/>
      <c r="AG35" s="22"/>
      <c r="AH35" s="22"/>
      <c r="AI35" s="22"/>
      <c r="AJ35" s="22"/>
      <c r="AK35" s="22"/>
      <c r="AL35" s="22"/>
      <c r="AM35" s="22"/>
      <c r="AN35" s="22"/>
      <c r="AO35" s="22"/>
      <c r="AP35" s="22"/>
      <c r="AQ35" s="22"/>
      <c r="AR35" s="22"/>
      <c r="AS35" s="25"/>
    </row>
    <row r="36" spans="1:45" s="1" customFormat="1">
      <c r="A36" s="22">
        <f t="shared" si="0"/>
        <v>35</v>
      </c>
      <c r="B36" s="23">
        <v>45363</v>
      </c>
      <c r="C36" s="22" t="s">
        <v>208</v>
      </c>
      <c r="D36" s="22" t="s">
        <v>256</v>
      </c>
      <c r="E36" s="22">
        <v>20250697</v>
      </c>
      <c r="F36" s="22" t="s">
        <v>261</v>
      </c>
      <c r="G36" s="22" t="s">
        <v>262</v>
      </c>
      <c r="H36" s="22" t="s">
        <v>263</v>
      </c>
      <c r="I36" s="22" t="s">
        <v>101</v>
      </c>
      <c r="J36" s="22" t="s">
        <v>264</v>
      </c>
      <c r="K36" s="22" t="s">
        <v>252</v>
      </c>
      <c r="L36" s="22">
        <v>4</v>
      </c>
      <c r="M36" s="22" t="s">
        <v>265</v>
      </c>
      <c r="N36" s="22">
        <v>4.5</v>
      </c>
      <c r="O36" s="22">
        <v>0</v>
      </c>
      <c r="P36" s="22">
        <v>6</v>
      </c>
      <c r="Q36" s="22" t="s">
        <v>266</v>
      </c>
      <c r="R36" s="22" t="s">
        <v>63</v>
      </c>
      <c r="S36" s="22">
        <v>0</v>
      </c>
      <c r="T36" s="22"/>
      <c r="U36" s="24"/>
      <c r="V36" s="22"/>
      <c r="W36" s="22" t="s">
        <v>218</v>
      </c>
      <c r="X36" s="22" t="s">
        <v>218</v>
      </c>
      <c r="Y36" s="22" t="s">
        <v>135</v>
      </c>
      <c r="Z36" s="22" t="s">
        <v>66</v>
      </c>
      <c r="AA36" s="22">
        <v>45586</v>
      </c>
      <c r="AB36" s="22"/>
      <c r="AC36" s="22"/>
      <c r="AD36" s="22"/>
      <c r="AE36" s="22"/>
      <c r="AF36" s="22"/>
      <c r="AG36" s="22"/>
      <c r="AH36" s="22"/>
      <c r="AI36" s="22"/>
      <c r="AJ36" s="22"/>
      <c r="AK36" s="22"/>
      <c r="AL36" s="22"/>
      <c r="AM36" s="22"/>
      <c r="AN36" s="22"/>
      <c r="AO36" s="22"/>
      <c r="AP36" s="22"/>
      <c r="AQ36" s="22"/>
      <c r="AR36" s="22"/>
      <c r="AS36" s="25"/>
    </row>
    <row r="37" spans="1:45" s="1" customFormat="1">
      <c r="A37" s="22">
        <f t="shared" si="0"/>
        <v>36</v>
      </c>
      <c r="B37" s="23">
        <v>45363</v>
      </c>
      <c r="C37" s="22" t="s">
        <v>208</v>
      </c>
      <c r="D37" s="22" t="s">
        <v>256</v>
      </c>
      <c r="E37" s="22">
        <v>20250697</v>
      </c>
      <c r="F37" s="22" t="s">
        <v>267</v>
      </c>
      <c r="G37" s="22">
        <v>7875297267</v>
      </c>
      <c r="H37" s="22" t="s">
        <v>268</v>
      </c>
      <c r="I37" s="22" t="s">
        <v>55</v>
      </c>
      <c r="J37" s="22" t="s">
        <v>264</v>
      </c>
      <c r="K37" s="22" t="s">
        <v>252</v>
      </c>
      <c r="L37" s="22">
        <v>4</v>
      </c>
      <c r="M37" s="22" t="s">
        <v>269</v>
      </c>
      <c r="N37" s="22">
        <v>4.8</v>
      </c>
      <c r="O37" s="22">
        <v>0</v>
      </c>
      <c r="P37" s="22">
        <v>6</v>
      </c>
      <c r="Q37" s="22" t="s">
        <v>270</v>
      </c>
      <c r="R37" s="22" t="s">
        <v>63</v>
      </c>
      <c r="S37" s="22" t="s">
        <v>255</v>
      </c>
      <c r="T37" s="22"/>
      <c r="U37" s="24"/>
      <c r="V37" s="22"/>
      <c r="W37" s="22" t="s">
        <v>218</v>
      </c>
      <c r="X37" s="22" t="s">
        <v>218</v>
      </c>
      <c r="Y37" s="22" t="s">
        <v>135</v>
      </c>
      <c r="Z37" s="22" t="s">
        <v>66</v>
      </c>
      <c r="AA37" s="22">
        <v>45586</v>
      </c>
      <c r="AB37" s="22"/>
      <c r="AC37" s="22"/>
      <c r="AD37" s="22"/>
      <c r="AE37" s="22"/>
      <c r="AF37" s="22"/>
      <c r="AG37" s="22"/>
      <c r="AH37" s="22"/>
      <c r="AI37" s="22"/>
      <c r="AJ37" s="22"/>
      <c r="AK37" s="22"/>
      <c r="AL37" s="22"/>
      <c r="AM37" s="22"/>
      <c r="AN37" s="22"/>
      <c r="AO37" s="22"/>
      <c r="AP37" s="22"/>
      <c r="AQ37" s="22"/>
      <c r="AR37" s="22"/>
      <c r="AS37" s="25"/>
    </row>
    <row r="38" spans="1:45" s="1" customFormat="1">
      <c r="A38" s="22">
        <f t="shared" si="0"/>
        <v>37</v>
      </c>
      <c r="B38" s="23">
        <v>45364</v>
      </c>
      <c r="C38" s="22" t="s">
        <v>51</v>
      </c>
      <c r="D38" s="22" t="s">
        <v>51</v>
      </c>
      <c r="E38" s="22" t="s">
        <v>271</v>
      </c>
      <c r="F38" s="22" t="s">
        <v>272</v>
      </c>
      <c r="G38" s="22">
        <v>9374432607</v>
      </c>
      <c r="H38" s="22" t="s">
        <v>273</v>
      </c>
      <c r="I38" s="22" t="s">
        <v>55</v>
      </c>
      <c r="J38" s="22" t="s">
        <v>274</v>
      </c>
      <c r="K38" s="22" t="s">
        <v>57</v>
      </c>
      <c r="L38" s="22"/>
      <c r="M38" s="22"/>
      <c r="N38" s="22"/>
      <c r="O38" s="22"/>
      <c r="P38" s="22">
        <v>800000</v>
      </c>
      <c r="Q38" s="22" t="e" vm="1">
        <v>#VALUE!</v>
      </c>
      <c r="R38" s="22" t="s">
        <v>63</v>
      </c>
      <c r="S38" s="22"/>
      <c r="T38" s="22"/>
      <c r="U38" s="24">
        <v>45453</v>
      </c>
      <c r="V38" s="22"/>
      <c r="W38" s="22" t="s">
        <v>65</v>
      </c>
      <c r="X38" s="22" t="s">
        <v>65</v>
      </c>
      <c r="Y38" s="22"/>
      <c r="Z38" s="22" t="s">
        <v>66</v>
      </c>
      <c r="AA38" s="22"/>
      <c r="AB38" s="22"/>
      <c r="AC38" s="22"/>
      <c r="AD38" s="22"/>
      <c r="AE38" s="22"/>
      <c r="AF38" s="22"/>
      <c r="AG38" s="22"/>
      <c r="AH38" s="22"/>
      <c r="AI38" s="22"/>
      <c r="AJ38" s="22"/>
      <c r="AK38" s="22"/>
      <c r="AL38" s="22"/>
      <c r="AM38" s="22"/>
      <c r="AN38" s="22"/>
      <c r="AO38" s="22"/>
      <c r="AP38" s="22"/>
      <c r="AQ38" s="22"/>
      <c r="AR38" s="22"/>
      <c r="AS38" s="25"/>
    </row>
    <row r="39" spans="1:45" s="1" customFormat="1">
      <c r="A39" s="22">
        <f t="shared" si="0"/>
        <v>38</v>
      </c>
      <c r="B39" s="23">
        <v>45371</v>
      </c>
      <c r="C39" s="22" t="s">
        <v>51</v>
      </c>
      <c r="D39" s="22" t="s">
        <v>51</v>
      </c>
      <c r="E39" s="22" t="s">
        <v>275</v>
      </c>
      <c r="F39" s="22" t="s">
        <v>276</v>
      </c>
      <c r="G39" s="22">
        <v>9096041070</v>
      </c>
      <c r="H39" s="22" t="s">
        <v>277</v>
      </c>
      <c r="I39" s="22" t="s">
        <v>55</v>
      </c>
      <c r="J39" s="22" t="s">
        <v>278</v>
      </c>
      <c r="K39" s="22" t="s">
        <v>279</v>
      </c>
      <c r="L39" s="22" t="s">
        <v>280</v>
      </c>
      <c r="M39" s="22" t="s">
        <v>281</v>
      </c>
      <c r="N39" s="22" t="s">
        <v>173</v>
      </c>
      <c r="O39" s="22"/>
      <c r="P39" s="22" t="s">
        <v>282</v>
      </c>
      <c r="Q39" s="22" t="s">
        <v>283</v>
      </c>
      <c r="R39" s="22" t="s">
        <v>63</v>
      </c>
      <c r="S39" s="22" t="s">
        <v>284</v>
      </c>
      <c r="T39" s="22" t="s">
        <v>134</v>
      </c>
      <c r="U39" s="24">
        <v>45488</v>
      </c>
      <c r="V39" s="22"/>
      <c r="W39" s="22" t="s">
        <v>93</v>
      </c>
      <c r="X39" s="22" t="s">
        <v>93</v>
      </c>
      <c r="Y39" s="22" t="s">
        <v>135</v>
      </c>
      <c r="Z39" s="22" t="s">
        <v>66</v>
      </c>
      <c r="AA39" s="22"/>
      <c r="AB39" s="22"/>
      <c r="AC39" s="22"/>
      <c r="AD39" s="22"/>
      <c r="AE39" s="22"/>
      <c r="AF39" s="22"/>
      <c r="AG39" s="22"/>
      <c r="AH39" s="22"/>
      <c r="AI39" s="22"/>
      <c r="AJ39" s="22"/>
      <c r="AK39" s="22"/>
      <c r="AL39" s="22"/>
      <c r="AM39" s="22"/>
      <c r="AN39" s="22"/>
      <c r="AO39" s="22"/>
      <c r="AP39" s="22"/>
      <c r="AQ39" s="22"/>
      <c r="AR39" s="22"/>
      <c r="AS39" s="25"/>
    </row>
    <row r="40" spans="1:45" s="1" customFormat="1">
      <c r="A40" s="22">
        <f t="shared" si="0"/>
        <v>39</v>
      </c>
      <c r="B40" s="23">
        <v>45373</v>
      </c>
      <c r="C40" s="22" t="s">
        <v>51</v>
      </c>
      <c r="D40" s="22" t="s">
        <v>51</v>
      </c>
      <c r="E40" s="22" t="s">
        <v>285</v>
      </c>
      <c r="F40" s="22" t="s">
        <v>286</v>
      </c>
      <c r="G40" s="22">
        <v>9510446790</v>
      </c>
      <c r="H40" s="22" t="s">
        <v>287</v>
      </c>
      <c r="I40" s="22" t="s">
        <v>55</v>
      </c>
      <c r="J40" s="22" t="s">
        <v>288</v>
      </c>
      <c r="K40" s="22" t="s">
        <v>57</v>
      </c>
      <c r="L40" s="22"/>
      <c r="M40" s="22"/>
      <c r="N40" s="22"/>
      <c r="O40" s="22"/>
      <c r="P40" s="22">
        <v>900000</v>
      </c>
      <c r="Q40" s="22" t="e" vm="2">
        <v>#VALUE!</v>
      </c>
      <c r="R40" s="22" t="s">
        <v>63</v>
      </c>
      <c r="S40" s="22"/>
      <c r="T40" s="22"/>
      <c r="U40" s="24">
        <v>45432</v>
      </c>
      <c r="V40" s="22"/>
      <c r="W40" s="22" t="s">
        <v>65</v>
      </c>
      <c r="X40" s="22" t="s">
        <v>65</v>
      </c>
      <c r="Y40" s="22"/>
      <c r="Z40" s="22" t="s">
        <v>66</v>
      </c>
      <c r="AA40" s="22"/>
      <c r="AB40" s="22"/>
      <c r="AC40" s="22"/>
      <c r="AD40" s="22"/>
      <c r="AE40" s="22"/>
      <c r="AF40" s="22"/>
      <c r="AG40" s="22"/>
      <c r="AH40" s="22"/>
      <c r="AI40" s="22"/>
      <c r="AJ40" s="22"/>
      <c r="AK40" s="22"/>
      <c r="AL40" s="22"/>
      <c r="AM40" s="22"/>
      <c r="AN40" s="22"/>
      <c r="AO40" s="22"/>
      <c r="AP40" s="22"/>
      <c r="AQ40" s="22"/>
      <c r="AR40" s="22"/>
      <c r="AS40" s="25"/>
    </row>
    <row r="41" spans="1:45" s="1" customFormat="1">
      <c r="A41" s="22">
        <f t="shared" si="0"/>
        <v>40</v>
      </c>
      <c r="B41" s="23">
        <v>45373</v>
      </c>
      <c r="C41" s="22" t="s">
        <v>51</v>
      </c>
      <c r="D41" s="22" t="s">
        <v>51</v>
      </c>
      <c r="E41" s="22" t="s">
        <v>289</v>
      </c>
      <c r="F41" s="22" t="s">
        <v>290</v>
      </c>
      <c r="G41" s="22">
        <v>9405771202</v>
      </c>
      <c r="H41" s="22" t="s">
        <v>291</v>
      </c>
      <c r="I41" s="22" t="s">
        <v>55</v>
      </c>
      <c r="J41" s="22" t="s">
        <v>292</v>
      </c>
      <c r="K41" s="22" t="s">
        <v>116</v>
      </c>
      <c r="L41" s="22"/>
      <c r="M41" s="22"/>
      <c r="N41" s="22"/>
      <c r="O41" s="22"/>
      <c r="P41" s="22">
        <v>2575000</v>
      </c>
      <c r="Q41" s="22" t="e" vm="1">
        <v>#VALUE!</v>
      </c>
      <c r="R41" s="22" t="s">
        <v>63</v>
      </c>
      <c r="S41" s="22"/>
      <c r="T41" s="22"/>
      <c r="U41" s="24">
        <v>45460</v>
      </c>
      <c r="V41" s="22"/>
      <c r="W41" s="22" t="s">
        <v>65</v>
      </c>
      <c r="X41" s="22" t="s">
        <v>65</v>
      </c>
      <c r="Y41" s="22"/>
      <c r="Z41" s="22" t="s">
        <v>76</v>
      </c>
      <c r="AA41" s="22"/>
      <c r="AB41" s="22"/>
      <c r="AC41" s="22"/>
      <c r="AD41" s="22"/>
      <c r="AE41" s="22"/>
      <c r="AF41" s="22"/>
      <c r="AG41" s="22"/>
      <c r="AH41" s="22"/>
      <c r="AI41" s="22"/>
      <c r="AJ41" s="22"/>
      <c r="AK41" s="22"/>
      <c r="AL41" s="22"/>
      <c r="AM41" s="22"/>
      <c r="AN41" s="22"/>
      <c r="AO41" s="22"/>
      <c r="AP41" s="22"/>
      <c r="AQ41" s="22"/>
      <c r="AR41" s="22"/>
      <c r="AS41" s="25"/>
    </row>
    <row r="42" spans="1:45" s="1" customFormat="1">
      <c r="A42" s="22">
        <f t="shared" si="0"/>
        <v>41</v>
      </c>
      <c r="B42" s="23">
        <v>45392</v>
      </c>
      <c r="C42" s="22" t="s">
        <v>208</v>
      </c>
      <c r="D42" s="22" t="s">
        <v>293</v>
      </c>
      <c r="E42" s="22">
        <v>20245321</v>
      </c>
      <c r="F42" s="22" t="s">
        <v>294</v>
      </c>
      <c r="G42" s="22">
        <v>8007253664</v>
      </c>
      <c r="H42" s="22" t="s">
        <v>295</v>
      </c>
      <c r="I42" s="22" t="s">
        <v>55</v>
      </c>
      <c r="J42" s="22" t="s">
        <v>296</v>
      </c>
      <c r="K42" s="22" t="s">
        <v>213</v>
      </c>
      <c r="L42" s="22">
        <v>5.0999999999999996</v>
      </c>
      <c r="M42" s="22" t="s">
        <v>297</v>
      </c>
      <c r="N42" s="22">
        <v>14</v>
      </c>
      <c r="O42" s="22">
        <v>0</v>
      </c>
      <c r="P42" s="22">
        <v>17</v>
      </c>
      <c r="Q42" s="22" t="s">
        <v>223</v>
      </c>
      <c r="R42" s="22" t="s">
        <v>63</v>
      </c>
      <c r="S42" s="22" t="s">
        <v>298</v>
      </c>
      <c r="T42" s="22" t="s">
        <v>217</v>
      </c>
      <c r="U42" s="24"/>
      <c r="V42" s="22"/>
      <c r="W42" s="22" t="s">
        <v>218</v>
      </c>
      <c r="X42" s="22" t="s">
        <v>218</v>
      </c>
      <c r="Y42" s="22" t="s">
        <v>135</v>
      </c>
      <c r="Z42" s="22" t="s">
        <v>66</v>
      </c>
      <c r="AA42" s="22">
        <v>45392</v>
      </c>
      <c r="AB42" s="22">
        <v>45400</v>
      </c>
      <c r="AC42" s="22">
        <v>45400</v>
      </c>
      <c r="AD42" s="22"/>
      <c r="AE42" s="22"/>
      <c r="AF42" s="22"/>
      <c r="AG42" s="22"/>
      <c r="AH42" s="22"/>
      <c r="AI42" s="22"/>
      <c r="AJ42" s="22"/>
      <c r="AK42" s="22"/>
      <c r="AL42" s="22"/>
      <c r="AM42" s="22"/>
      <c r="AN42" s="22"/>
      <c r="AO42" s="22"/>
      <c r="AP42" s="22"/>
      <c r="AQ42" s="22"/>
      <c r="AR42" s="22"/>
      <c r="AS42" s="25"/>
    </row>
    <row r="43" spans="1:45" s="1" customFormat="1">
      <c r="A43" s="22">
        <f t="shared" si="0"/>
        <v>42</v>
      </c>
      <c r="B43" s="23">
        <v>45392</v>
      </c>
      <c r="C43" s="22" t="s">
        <v>208</v>
      </c>
      <c r="D43" s="22" t="s">
        <v>209</v>
      </c>
      <c r="E43" s="22">
        <v>20245321</v>
      </c>
      <c r="F43" s="22" t="s">
        <v>299</v>
      </c>
      <c r="G43" s="22">
        <v>8830850521</v>
      </c>
      <c r="H43" s="22" t="s">
        <v>300</v>
      </c>
      <c r="I43" s="22" t="s">
        <v>55</v>
      </c>
      <c r="J43" s="22" t="s">
        <v>296</v>
      </c>
      <c r="K43" s="22" t="s">
        <v>213</v>
      </c>
      <c r="L43" s="22" t="s">
        <v>301</v>
      </c>
      <c r="M43" s="22" t="s">
        <v>302</v>
      </c>
      <c r="N43" s="22">
        <v>10</v>
      </c>
      <c r="O43" s="22">
        <v>0</v>
      </c>
      <c r="P43" s="22" t="s">
        <v>303</v>
      </c>
      <c r="Q43" s="22" t="s">
        <v>304</v>
      </c>
      <c r="R43" s="22" t="s">
        <v>63</v>
      </c>
      <c r="S43" s="22" t="s">
        <v>305</v>
      </c>
      <c r="T43" s="22" t="s">
        <v>306</v>
      </c>
      <c r="U43" s="24"/>
      <c r="V43" s="22"/>
      <c r="W43" s="22" t="s">
        <v>218</v>
      </c>
      <c r="X43" s="22" t="s">
        <v>218</v>
      </c>
      <c r="Y43" s="22" t="s">
        <v>135</v>
      </c>
      <c r="Z43" s="22" t="s">
        <v>66</v>
      </c>
      <c r="AA43" s="22">
        <v>45392</v>
      </c>
      <c r="AB43" s="22">
        <v>45399</v>
      </c>
      <c r="AC43" s="22">
        <v>45399</v>
      </c>
      <c r="AD43" s="22"/>
      <c r="AE43" s="22"/>
      <c r="AF43" s="22"/>
      <c r="AG43" s="22"/>
      <c r="AH43" s="22"/>
      <c r="AI43" s="22"/>
      <c r="AJ43" s="22"/>
      <c r="AK43" s="22"/>
      <c r="AL43" s="22"/>
      <c r="AM43" s="22"/>
      <c r="AN43" s="22"/>
      <c r="AO43" s="22"/>
      <c r="AP43" s="22"/>
      <c r="AQ43" s="22"/>
      <c r="AR43" s="22"/>
      <c r="AS43" s="25"/>
    </row>
    <row r="44" spans="1:45" s="1" customFormat="1">
      <c r="A44" s="22">
        <f t="shared" si="0"/>
        <v>43</v>
      </c>
      <c r="B44" s="23">
        <v>45392</v>
      </c>
      <c r="C44" s="22" t="s">
        <v>208</v>
      </c>
      <c r="D44" s="22" t="s">
        <v>209</v>
      </c>
      <c r="E44" s="22">
        <v>20245321</v>
      </c>
      <c r="F44" s="22" t="s">
        <v>307</v>
      </c>
      <c r="G44" s="22">
        <v>9766347642</v>
      </c>
      <c r="H44" s="22" t="s">
        <v>308</v>
      </c>
      <c r="I44" s="22" t="s">
        <v>55</v>
      </c>
      <c r="J44" s="22" t="s">
        <v>296</v>
      </c>
      <c r="K44" s="22" t="s">
        <v>213</v>
      </c>
      <c r="L44" s="22">
        <v>5.5</v>
      </c>
      <c r="M44" s="22" t="s">
        <v>309</v>
      </c>
      <c r="N44" s="22">
        <v>16.5</v>
      </c>
      <c r="O44" s="22">
        <v>0</v>
      </c>
      <c r="P44" s="22">
        <v>18</v>
      </c>
      <c r="Q44" s="22" t="s">
        <v>304</v>
      </c>
      <c r="R44" s="22" t="s">
        <v>63</v>
      </c>
      <c r="S44" s="22" t="s">
        <v>255</v>
      </c>
      <c r="T44" s="22" t="s">
        <v>217</v>
      </c>
      <c r="U44" s="24"/>
      <c r="V44" s="22"/>
      <c r="W44" s="22" t="s">
        <v>218</v>
      </c>
      <c r="X44" s="22" t="s">
        <v>218</v>
      </c>
      <c r="Y44" s="22" t="s">
        <v>135</v>
      </c>
      <c r="Z44" s="22" t="s">
        <v>66</v>
      </c>
      <c r="AA44" s="22">
        <v>45392</v>
      </c>
      <c r="AB44" s="22">
        <v>45398</v>
      </c>
      <c r="AC44" s="22">
        <v>45398</v>
      </c>
      <c r="AD44" s="22"/>
      <c r="AE44" s="22"/>
      <c r="AF44" s="22"/>
      <c r="AG44" s="22"/>
      <c r="AH44" s="22"/>
      <c r="AI44" s="22"/>
      <c r="AJ44" s="22"/>
      <c r="AK44" s="22"/>
      <c r="AL44" s="22"/>
      <c r="AM44" s="22"/>
      <c r="AN44" s="22"/>
      <c r="AO44" s="22"/>
      <c r="AP44" s="22"/>
      <c r="AQ44" s="22"/>
      <c r="AR44" s="22"/>
      <c r="AS44" s="25"/>
    </row>
    <row r="45" spans="1:45" s="1" customFormat="1">
      <c r="A45" s="22">
        <f t="shared" si="0"/>
        <v>44</v>
      </c>
      <c r="B45" s="23">
        <v>45392</v>
      </c>
      <c r="C45" s="22" t="s">
        <v>208</v>
      </c>
      <c r="D45" s="22" t="s">
        <v>209</v>
      </c>
      <c r="E45" s="22">
        <v>20245321</v>
      </c>
      <c r="F45" s="22" t="s">
        <v>310</v>
      </c>
      <c r="G45" s="22">
        <v>7038685984</v>
      </c>
      <c r="H45" s="22" t="s">
        <v>311</v>
      </c>
      <c r="I45" s="22" t="s">
        <v>55</v>
      </c>
      <c r="J45" s="22" t="s">
        <v>296</v>
      </c>
      <c r="K45" s="22" t="s">
        <v>213</v>
      </c>
      <c r="L45" s="22">
        <v>5</v>
      </c>
      <c r="M45" s="22" t="s">
        <v>312</v>
      </c>
      <c r="N45" s="22">
        <v>7.65</v>
      </c>
      <c r="O45" s="22">
        <v>0</v>
      </c>
      <c r="P45" s="22">
        <v>14</v>
      </c>
      <c r="Q45" s="22" t="s">
        <v>313</v>
      </c>
      <c r="R45" s="22" t="s">
        <v>63</v>
      </c>
      <c r="S45" s="22" t="s">
        <v>314</v>
      </c>
      <c r="T45" s="22" t="s">
        <v>315</v>
      </c>
      <c r="U45" s="24"/>
      <c r="V45" s="22"/>
      <c r="W45" s="22" t="s">
        <v>218</v>
      </c>
      <c r="X45" s="22" t="s">
        <v>218</v>
      </c>
      <c r="Y45" s="22" t="s">
        <v>135</v>
      </c>
      <c r="Z45" s="22" t="s">
        <v>66</v>
      </c>
      <c r="AA45" s="22">
        <v>45392</v>
      </c>
      <c r="AB45" s="22">
        <v>45397</v>
      </c>
      <c r="AC45" s="22">
        <v>45397</v>
      </c>
      <c r="AD45" s="22"/>
      <c r="AE45" s="22"/>
      <c r="AF45" s="22"/>
      <c r="AG45" s="22"/>
      <c r="AH45" s="22"/>
      <c r="AI45" s="22"/>
      <c r="AJ45" s="22"/>
      <c r="AK45" s="22"/>
      <c r="AL45" s="22"/>
      <c r="AM45" s="22"/>
      <c r="AN45" s="22"/>
      <c r="AO45" s="22"/>
      <c r="AP45" s="22"/>
      <c r="AQ45" s="22"/>
      <c r="AR45" s="22"/>
      <c r="AS45" s="25"/>
    </row>
    <row r="46" spans="1:45" s="1" customFormat="1">
      <c r="A46" s="22">
        <f t="shared" si="0"/>
        <v>45</v>
      </c>
      <c r="B46" s="23">
        <v>45398</v>
      </c>
      <c r="C46" s="22" t="s">
        <v>51</v>
      </c>
      <c r="D46" s="22" t="s">
        <v>51</v>
      </c>
      <c r="E46" s="22" t="s">
        <v>316</v>
      </c>
      <c r="F46" s="22" t="s">
        <v>317</v>
      </c>
      <c r="G46" s="22">
        <v>9813929007</v>
      </c>
      <c r="H46" s="22" t="s">
        <v>318</v>
      </c>
      <c r="I46" s="22" t="s">
        <v>55</v>
      </c>
      <c r="J46" s="22" t="s">
        <v>319</v>
      </c>
      <c r="K46" s="22" t="s">
        <v>140</v>
      </c>
      <c r="L46" s="22"/>
      <c r="M46" s="22"/>
      <c r="N46" s="22"/>
      <c r="O46" s="22"/>
      <c r="P46" s="22">
        <v>2000000</v>
      </c>
      <c r="Q46" s="22" t="e" vm="3">
        <v>#VALUE!</v>
      </c>
      <c r="R46" s="22" t="s">
        <v>63</v>
      </c>
      <c r="S46" s="22"/>
      <c r="T46" s="22"/>
      <c r="U46" s="24">
        <v>45427</v>
      </c>
      <c r="V46" s="22"/>
      <c r="W46" s="22" t="s">
        <v>65</v>
      </c>
      <c r="X46" s="22" t="s">
        <v>65</v>
      </c>
      <c r="Y46" s="22"/>
      <c r="Z46" s="22" t="s">
        <v>147</v>
      </c>
      <c r="AA46" s="22">
        <v>45423</v>
      </c>
      <c r="AB46" s="22">
        <v>45423</v>
      </c>
      <c r="AC46" s="22">
        <v>45423</v>
      </c>
      <c r="AD46" s="22"/>
      <c r="AE46" s="22"/>
      <c r="AF46" s="22"/>
      <c r="AG46" s="22"/>
      <c r="AH46" s="22"/>
      <c r="AI46" s="22"/>
      <c r="AJ46" s="22"/>
      <c r="AK46" s="22"/>
      <c r="AL46" s="22"/>
      <c r="AM46" s="22"/>
      <c r="AN46" s="22"/>
      <c r="AO46" s="22"/>
      <c r="AP46" s="22"/>
      <c r="AQ46" s="22"/>
      <c r="AR46" s="22"/>
      <c r="AS46" s="25"/>
    </row>
    <row r="47" spans="1:45" s="1" customFormat="1">
      <c r="A47" s="22">
        <f t="shared" si="0"/>
        <v>46</v>
      </c>
      <c r="B47" s="23">
        <v>45399</v>
      </c>
      <c r="C47" s="22" t="s">
        <v>208</v>
      </c>
      <c r="D47" s="22" t="s">
        <v>320</v>
      </c>
      <c r="E47" s="22" t="s">
        <v>321</v>
      </c>
      <c r="F47" s="22" t="s">
        <v>322</v>
      </c>
      <c r="G47" s="22">
        <v>7018665972</v>
      </c>
      <c r="H47" s="22" t="s">
        <v>323</v>
      </c>
      <c r="I47" s="22" t="s">
        <v>55</v>
      </c>
      <c r="J47" s="22" t="s">
        <v>85</v>
      </c>
      <c r="K47" s="22" t="s">
        <v>81</v>
      </c>
      <c r="L47" s="22">
        <v>1</v>
      </c>
      <c r="M47" s="22" t="s">
        <v>324</v>
      </c>
      <c r="N47" s="22" t="s">
        <v>325</v>
      </c>
      <c r="O47" s="22">
        <v>0</v>
      </c>
      <c r="P47" s="22" t="s">
        <v>326</v>
      </c>
      <c r="Q47" s="22" t="s">
        <v>63</v>
      </c>
      <c r="R47" s="22" t="s">
        <v>63</v>
      </c>
      <c r="S47" s="22" t="s">
        <v>255</v>
      </c>
      <c r="T47" s="22"/>
      <c r="U47" s="24"/>
      <c r="V47" s="22"/>
      <c r="W47" s="22" t="s">
        <v>65</v>
      </c>
      <c r="X47" s="22" t="s">
        <v>65</v>
      </c>
      <c r="Y47" s="22" t="s">
        <v>135</v>
      </c>
      <c r="Z47" s="22" t="s">
        <v>66</v>
      </c>
      <c r="AA47" s="22"/>
      <c r="AB47" s="22">
        <v>45644</v>
      </c>
      <c r="AC47" s="22"/>
      <c r="AD47" s="22"/>
      <c r="AE47" s="22"/>
      <c r="AF47" s="22"/>
      <c r="AG47" s="22"/>
      <c r="AH47" s="22"/>
      <c r="AI47" s="22"/>
      <c r="AJ47" s="22"/>
      <c r="AK47" s="22"/>
      <c r="AL47" s="22"/>
      <c r="AM47" s="22"/>
      <c r="AN47" s="22"/>
      <c r="AO47" s="22"/>
      <c r="AP47" s="22"/>
      <c r="AQ47" s="22"/>
      <c r="AR47" s="22"/>
      <c r="AS47" s="25"/>
    </row>
    <row r="48" spans="1:45" s="1" customFormat="1">
      <c r="A48" s="22">
        <f t="shared" si="0"/>
        <v>47</v>
      </c>
      <c r="B48" s="23">
        <v>45414</v>
      </c>
      <c r="C48" s="22" t="s">
        <v>51</v>
      </c>
      <c r="D48" s="22" t="s">
        <v>51</v>
      </c>
      <c r="E48" s="22" t="s">
        <v>327</v>
      </c>
      <c r="F48" s="22" t="s">
        <v>328</v>
      </c>
      <c r="G48" s="22">
        <v>7767934337</v>
      </c>
      <c r="H48" s="22" t="s">
        <v>329</v>
      </c>
      <c r="I48" s="22" t="s">
        <v>101</v>
      </c>
      <c r="J48" s="22" t="s">
        <v>127</v>
      </c>
      <c r="K48" s="22" t="s">
        <v>279</v>
      </c>
      <c r="L48" s="22" t="s">
        <v>330</v>
      </c>
      <c r="M48" s="22" t="s">
        <v>331</v>
      </c>
      <c r="N48" s="22" t="s">
        <v>332</v>
      </c>
      <c r="O48" s="22"/>
      <c r="P48" s="22" t="s">
        <v>333</v>
      </c>
      <c r="Q48" s="22" t="s">
        <v>63</v>
      </c>
      <c r="R48" s="22" t="s">
        <v>63</v>
      </c>
      <c r="S48" s="22" t="s">
        <v>284</v>
      </c>
      <c r="T48" s="22" t="s">
        <v>134</v>
      </c>
      <c r="U48" s="24">
        <v>45432</v>
      </c>
      <c r="V48" s="22"/>
      <c r="W48" s="22" t="s">
        <v>93</v>
      </c>
      <c r="X48" s="22" t="s">
        <v>93</v>
      </c>
      <c r="Y48" s="22" t="s">
        <v>135</v>
      </c>
      <c r="Z48" s="22" t="s">
        <v>66</v>
      </c>
      <c r="AA48" s="22"/>
      <c r="AB48" s="22"/>
      <c r="AC48" s="22"/>
      <c r="AD48" s="22"/>
      <c r="AE48" s="22"/>
      <c r="AF48" s="22"/>
      <c r="AG48" s="22"/>
      <c r="AH48" s="22"/>
      <c r="AI48" s="22"/>
      <c r="AJ48" s="22"/>
      <c r="AK48" s="22"/>
      <c r="AL48" s="22"/>
      <c r="AM48" s="22"/>
      <c r="AN48" s="22"/>
      <c r="AO48" s="22"/>
      <c r="AP48" s="22"/>
      <c r="AQ48" s="22"/>
      <c r="AR48" s="22"/>
      <c r="AS48" s="25"/>
    </row>
    <row r="49" spans="1:45" s="1" customFormat="1">
      <c r="A49" s="22">
        <f t="shared" si="0"/>
        <v>48</v>
      </c>
      <c r="B49" s="23">
        <v>45420</v>
      </c>
      <c r="C49" s="22" t="s">
        <v>51</v>
      </c>
      <c r="D49" s="22" t="s">
        <v>51</v>
      </c>
      <c r="E49" s="22">
        <v>20243791</v>
      </c>
      <c r="F49" s="22" t="s">
        <v>334</v>
      </c>
      <c r="G49" s="22">
        <v>8097346716</v>
      </c>
      <c r="H49" s="22" t="s">
        <v>335</v>
      </c>
      <c r="I49" s="22" t="s">
        <v>55</v>
      </c>
      <c r="J49" s="22" t="s">
        <v>336</v>
      </c>
      <c r="K49" s="22" t="s">
        <v>337</v>
      </c>
      <c r="L49" s="22" t="s">
        <v>338</v>
      </c>
      <c r="M49" s="22" t="s">
        <v>339</v>
      </c>
      <c r="N49" s="22" t="s">
        <v>340</v>
      </c>
      <c r="O49" s="22"/>
      <c r="P49" s="22" t="s">
        <v>341</v>
      </c>
      <c r="Q49" s="22" t="s">
        <v>63</v>
      </c>
      <c r="R49" s="22" t="s">
        <v>63</v>
      </c>
      <c r="S49" s="22" t="s">
        <v>342</v>
      </c>
      <c r="T49" s="22" t="s">
        <v>134</v>
      </c>
      <c r="U49" s="24">
        <v>45559</v>
      </c>
      <c r="V49" s="22"/>
      <c r="W49" s="22" t="s">
        <v>93</v>
      </c>
      <c r="X49" s="22" t="s">
        <v>93</v>
      </c>
      <c r="Y49" s="22" t="s">
        <v>135</v>
      </c>
      <c r="Z49" s="22" t="s">
        <v>66</v>
      </c>
      <c r="AA49" s="22"/>
      <c r="AB49" s="22"/>
      <c r="AC49" s="22"/>
      <c r="AD49" s="22"/>
      <c r="AE49" s="22"/>
      <c r="AF49" s="22"/>
      <c r="AG49" s="22"/>
      <c r="AH49" s="22"/>
      <c r="AI49" s="22"/>
      <c r="AJ49" s="22"/>
      <c r="AK49" s="22"/>
      <c r="AL49" s="22"/>
      <c r="AM49" s="22"/>
      <c r="AN49" s="22"/>
      <c r="AO49" s="22"/>
      <c r="AP49" s="22"/>
      <c r="AQ49" s="22"/>
      <c r="AR49" s="22"/>
      <c r="AS49" s="25"/>
    </row>
    <row r="50" spans="1:45" s="1" customFormat="1">
      <c r="A50" s="22">
        <f t="shared" si="0"/>
        <v>49</v>
      </c>
      <c r="B50" s="23">
        <v>45421</v>
      </c>
      <c r="C50" s="22" t="s">
        <v>51</v>
      </c>
      <c r="D50" s="22" t="s">
        <v>51</v>
      </c>
      <c r="E50" s="22">
        <v>20246912</v>
      </c>
      <c r="F50" s="22" t="s">
        <v>343</v>
      </c>
      <c r="G50" s="22" t="s">
        <v>344</v>
      </c>
      <c r="H50" s="22" t="s">
        <v>345</v>
      </c>
      <c r="I50" s="22" t="s">
        <v>101</v>
      </c>
      <c r="J50" s="22" t="s">
        <v>346</v>
      </c>
      <c r="K50" s="22" t="s">
        <v>140</v>
      </c>
      <c r="L50" s="22" t="s">
        <v>347</v>
      </c>
      <c r="M50" s="22" t="s">
        <v>348</v>
      </c>
      <c r="N50" s="22" t="s">
        <v>349</v>
      </c>
      <c r="O50" s="22"/>
      <c r="P50" s="22" t="s">
        <v>350</v>
      </c>
      <c r="Q50" s="22" t="s">
        <v>63</v>
      </c>
      <c r="R50" s="22" t="s">
        <v>63</v>
      </c>
      <c r="S50" s="22" t="s">
        <v>284</v>
      </c>
      <c r="T50" s="22" t="s">
        <v>134</v>
      </c>
      <c r="U50" s="24">
        <v>45635</v>
      </c>
      <c r="V50" s="22"/>
      <c r="W50" s="22" t="s">
        <v>93</v>
      </c>
      <c r="X50" s="22" t="s">
        <v>93</v>
      </c>
      <c r="Y50" s="22" t="s">
        <v>351</v>
      </c>
      <c r="Z50" s="22" t="s">
        <v>66</v>
      </c>
      <c r="AA50" s="22"/>
      <c r="AB50" s="22"/>
      <c r="AC50" s="22"/>
      <c r="AD50" s="22"/>
      <c r="AE50" s="22"/>
      <c r="AF50" s="22"/>
      <c r="AG50" s="22"/>
      <c r="AH50" s="22"/>
      <c r="AI50" s="22"/>
      <c r="AJ50" s="22"/>
      <c r="AK50" s="22"/>
      <c r="AL50" s="22"/>
      <c r="AM50" s="22"/>
      <c r="AN50" s="22"/>
      <c r="AO50" s="22"/>
      <c r="AP50" s="22"/>
      <c r="AQ50" s="22"/>
      <c r="AR50" s="22"/>
      <c r="AS50" s="25"/>
    </row>
    <row r="51" spans="1:45" s="1" customFormat="1">
      <c r="A51" s="22">
        <f t="shared" si="0"/>
        <v>50</v>
      </c>
      <c r="B51" s="23">
        <v>45421</v>
      </c>
      <c r="C51" s="22" t="s">
        <v>51</v>
      </c>
      <c r="D51" s="22" t="s">
        <v>51</v>
      </c>
      <c r="E51" s="22" t="s">
        <v>352</v>
      </c>
      <c r="F51" s="22" t="s">
        <v>353</v>
      </c>
      <c r="G51" s="22">
        <v>9657208855</v>
      </c>
      <c r="H51" s="22" t="s">
        <v>354</v>
      </c>
      <c r="I51" s="22" t="s">
        <v>55</v>
      </c>
      <c r="J51" s="22" t="s">
        <v>355</v>
      </c>
      <c r="K51" s="22" t="s">
        <v>116</v>
      </c>
      <c r="L51" s="22"/>
      <c r="M51" s="22"/>
      <c r="N51" s="22"/>
      <c r="O51" s="22"/>
      <c r="P51" s="22">
        <v>2500000</v>
      </c>
      <c r="Q51" s="22" t="e" vm="1">
        <v>#VALUE!</v>
      </c>
      <c r="R51" s="22" t="s">
        <v>63</v>
      </c>
      <c r="S51" s="22"/>
      <c r="T51" s="22"/>
      <c r="U51" s="24">
        <v>45433</v>
      </c>
      <c r="V51" s="22"/>
      <c r="W51" s="22" t="s">
        <v>65</v>
      </c>
      <c r="X51" s="22" t="s">
        <v>65</v>
      </c>
      <c r="Y51" s="22"/>
      <c r="Z51" s="22" t="s">
        <v>118</v>
      </c>
      <c r="AA51" s="22"/>
      <c r="AB51" s="22"/>
      <c r="AC51" s="22"/>
      <c r="AD51" s="22"/>
      <c r="AE51" s="22"/>
      <c r="AF51" s="22"/>
      <c r="AG51" s="22"/>
      <c r="AH51" s="22"/>
      <c r="AI51" s="22"/>
      <c r="AJ51" s="22"/>
      <c r="AK51" s="22"/>
      <c r="AL51" s="22"/>
      <c r="AM51" s="22"/>
      <c r="AN51" s="22"/>
      <c r="AO51" s="22"/>
      <c r="AP51" s="22"/>
      <c r="AQ51" s="22"/>
      <c r="AR51" s="22"/>
      <c r="AS51" s="25"/>
    </row>
    <row r="52" spans="1:45" s="1" customFormat="1">
      <c r="A52" s="22">
        <f t="shared" si="0"/>
        <v>51</v>
      </c>
      <c r="B52" s="23">
        <v>45392</v>
      </c>
      <c r="C52" s="22" t="s">
        <v>208</v>
      </c>
      <c r="D52" s="22" t="s">
        <v>209</v>
      </c>
      <c r="E52" s="22">
        <v>20245321</v>
      </c>
      <c r="F52" s="22" t="s">
        <v>356</v>
      </c>
      <c r="G52" s="22">
        <v>7875261955</v>
      </c>
      <c r="H52" s="22" t="s">
        <v>357</v>
      </c>
      <c r="I52" s="22" t="s">
        <v>101</v>
      </c>
      <c r="J52" s="22" t="s">
        <v>296</v>
      </c>
      <c r="K52" s="22" t="s">
        <v>213</v>
      </c>
      <c r="L52" s="22">
        <v>5.5</v>
      </c>
      <c r="M52" s="22" t="s">
        <v>358</v>
      </c>
      <c r="N52" s="22">
        <v>13.2</v>
      </c>
      <c r="O52" s="22">
        <v>0</v>
      </c>
      <c r="P52" s="22" t="s">
        <v>359</v>
      </c>
      <c r="Q52" s="22" t="s">
        <v>360</v>
      </c>
      <c r="R52" s="22" t="s">
        <v>63</v>
      </c>
      <c r="S52" s="22" t="s">
        <v>361</v>
      </c>
      <c r="T52" s="22" t="s">
        <v>362</v>
      </c>
      <c r="U52" s="24"/>
      <c r="V52" s="22"/>
      <c r="W52" s="22" t="s">
        <v>218</v>
      </c>
      <c r="X52" s="22" t="s">
        <v>218</v>
      </c>
      <c r="Y52" s="22" t="s">
        <v>135</v>
      </c>
      <c r="Z52" s="22" t="s">
        <v>66</v>
      </c>
      <c r="AA52" s="22">
        <v>45392</v>
      </c>
      <c r="AB52" s="22">
        <v>45398</v>
      </c>
      <c r="AC52" s="22">
        <v>45398</v>
      </c>
      <c r="AD52" s="22"/>
      <c r="AE52" s="22"/>
      <c r="AF52" s="22"/>
      <c r="AG52" s="22"/>
      <c r="AH52" s="22"/>
      <c r="AI52" s="22"/>
      <c r="AJ52" s="22"/>
      <c r="AK52" s="22"/>
      <c r="AL52" s="22"/>
      <c r="AM52" s="22"/>
      <c r="AN52" s="22"/>
      <c r="AO52" s="22"/>
      <c r="AP52" s="22"/>
      <c r="AQ52" s="22"/>
      <c r="AR52" s="22"/>
      <c r="AS52" s="25"/>
    </row>
    <row r="53" spans="1:45" s="1" customFormat="1">
      <c r="A53" s="22">
        <f t="shared" si="0"/>
        <v>52</v>
      </c>
      <c r="B53" s="23">
        <v>45424</v>
      </c>
      <c r="C53" s="22" t="s">
        <v>208</v>
      </c>
      <c r="D53" s="22" t="s">
        <v>256</v>
      </c>
      <c r="E53" s="22">
        <v>20250696</v>
      </c>
      <c r="F53" s="22" t="s">
        <v>363</v>
      </c>
      <c r="G53" s="22">
        <v>8421962854</v>
      </c>
      <c r="H53" s="22" t="s">
        <v>364</v>
      </c>
      <c r="I53" s="22" t="s">
        <v>55</v>
      </c>
      <c r="J53" s="22" t="s">
        <v>251</v>
      </c>
      <c r="K53" s="22" t="s">
        <v>252</v>
      </c>
      <c r="L53" s="22">
        <v>6</v>
      </c>
      <c r="M53" s="22" t="s">
        <v>365</v>
      </c>
      <c r="N53" s="22">
        <v>7</v>
      </c>
      <c r="O53" s="22">
        <v>0</v>
      </c>
      <c r="P53" s="22">
        <v>10</v>
      </c>
      <c r="Q53" s="22" t="s">
        <v>260</v>
      </c>
      <c r="R53" s="22" t="s">
        <v>63</v>
      </c>
      <c r="S53" s="22" t="s">
        <v>366</v>
      </c>
      <c r="T53" s="22"/>
      <c r="U53" s="24"/>
      <c r="V53" s="22"/>
      <c r="W53" s="22" t="s">
        <v>218</v>
      </c>
      <c r="X53" s="22" t="s">
        <v>218</v>
      </c>
      <c r="Y53" s="22" t="s">
        <v>135</v>
      </c>
      <c r="Z53" s="22" t="s">
        <v>66</v>
      </c>
      <c r="AA53" s="22"/>
      <c r="AB53" s="22">
        <v>45644</v>
      </c>
      <c r="AC53" s="22"/>
      <c r="AD53" s="22"/>
      <c r="AE53" s="22"/>
      <c r="AF53" s="22"/>
      <c r="AG53" s="22"/>
      <c r="AH53" s="22"/>
      <c r="AI53" s="22"/>
      <c r="AJ53" s="22"/>
      <c r="AK53" s="22"/>
      <c r="AL53" s="22"/>
      <c r="AM53" s="22"/>
      <c r="AN53" s="22"/>
      <c r="AO53" s="22"/>
      <c r="AP53" s="22"/>
      <c r="AQ53" s="22"/>
      <c r="AR53" s="22"/>
      <c r="AS53" s="25"/>
    </row>
    <row r="54" spans="1:45" s="1" customFormat="1">
      <c r="A54" s="22">
        <f t="shared" si="0"/>
        <v>53</v>
      </c>
      <c r="B54" s="23">
        <v>45424</v>
      </c>
      <c r="C54" s="22" t="s">
        <v>208</v>
      </c>
      <c r="D54" s="22" t="s">
        <v>367</v>
      </c>
      <c r="E54" s="22">
        <v>20250696</v>
      </c>
      <c r="F54" s="22" t="s">
        <v>368</v>
      </c>
      <c r="G54" s="22">
        <v>7350560768</v>
      </c>
      <c r="H54" s="22" t="s">
        <v>369</v>
      </c>
      <c r="I54" s="22" t="s">
        <v>55</v>
      </c>
      <c r="J54" s="22" t="s">
        <v>251</v>
      </c>
      <c r="K54" s="22" t="s">
        <v>252</v>
      </c>
      <c r="L54" s="22">
        <v>7</v>
      </c>
      <c r="M54" s="22" t="s">
        <v>370</v>
      </c>
      <c r="N54" s="22">
        <v>12</v>
      </c>
      <c r="O54" s="22">
        <v>0</v>
      </c>
      <c r="P54" s="22">
        <v>14</v>
      </c>
      <c r="Q54" s="22" t="s">
        <v>371</v>
      </c>
      <c r="R54" s="22" t="s">
        <v>63</v>
      </c>
      <c r="S54" s="22" t="s">
        <v>372</v>
      </c>
      <c r="T54" s="22"/>
      <c r="U54" s="24"/>
      <c r="V54" s="22"/>
      <c r="W54" s="22" t="s">
        <v>218</v>
      </c>
      <c r="X54" s="22" t="s">
        <v>218</v>
      </c>
      <c r="Y54" s="22" t="s">
        <v>135</v>
      </c>
      <c r="Z54" s="22" t="s">
        <v>66</v>
      </c>
      <c r="AA54" s="22"/>
      <c r="AB54" s="22"/>
      <c r="AC54" s="22"/>
      <c r="AD54" s="22"/>
      <c r="AE54" s="22"/>
      <c r="AF54" s="22"/>
      <c r="AG54" s="22"/>
      <c r="AH54" s="22"/>
      <c r="AI54" s="22"/>
      <c r="AJ54" s="22"/>
      <c r="AK54" s="22"/>
      <c r="AL54" s="22"/>
      <c r="AM54" s="22"/>
      <c r="AN54" s="22"/>
      <c r="AO54" s="22"/>
      <c r="AP54" s="22"/>
      <c r="AQ54" s="22"/>
      <c r="AR54" s="22"/>
      <c r="AS54" s="25"/>
    </row>
    <row r="55" spans="1:45" s="1" customFormat="1">
      <c r="A55" s="22">
        <f t="shared" si="0"/>
        <v>54</v>
      </c>
      <c r="B55" s="23">
        <v>45424</v>
      </c>
      <c r="C55" s="22" t="s">
        <v>208</v>
      </c>
      <c r="D55" s="22" t="s">
        <v>256</v>
      </c>
      <c r="E55" s="22">
        <v>20250696</v>
      </c>
      <c r="F55" s="22" t="s">
        <v>373</v>
      </c>
      <c r="G55" s="22">
        <v>9773208771</v>
      </c>
      <c r="H55" s="22" t="s">
        <v>374</v>
      </c>
      <c r="I55" s="22" t="s">
        <v>55</v>
      </c>
      <c r="J55" s="22" t="s">
        <v>251</v>
      </c>
      <c r="K55" s="22" t="s">
        <v>252</v>
      </c>
      <c r="L55" s="22">
        <v>15</v>
      </c>
      <c r="M55" s="22" t="s">
        <v>375</v>
      </c>
      <c r="N55" s="22">
        <v>12</v>
      </c>
      <c r="O55" s="22">
        <v>0</v>
      </c>
      <c r="P55" s="22">
        <v>13</v>
      </c>
      <c r="Q55" s="22" t="s">
        <v>376</v>
      </c>
      <c r="R55" s="22" t="s">
        <v>63</v>
      </c>
      <c r="S55" s="22">
        <v>30</v>
      </c>
      <c r="T55" s="22"/>
      <c r="U55" s="24"/>
      <c r="V55" s="22"/>
      <c r="W55" s="22" t="s">
        <v>218</v>
      </c>
      <c r="X55" s="22" t="s">
        <v>218</v>
      </c>
      <c r="Y55" s="22" t="s">
        <v>135</v>
      </c>
      <c r="Z55" s="22" t="s">
        <v>66</v>
      </c>
      <c r="AA55" s="22"/>
      <c r="AB55" s="22"/>
      <c r="AC55" s="22"/>
      <c r="AD55" s="22"/>
      <c r="AE55" s="22"/>
      <c r="AF55" s="22"/>
      <c r="AG55" s="22"/>
      <c r="AH55" s="22"/>
      <c r="AI55" s="22"/>
      <c r="AJ55" s="22"/>
      <c r="AK55" s="22"/>
      <c r="AL55" s="22"/>
      <c r="AM55" s="22"/>
      <c r="AN55" s="22"/>
      <c r="AO55" s="22"/>
      <c r="AP55" s="22"/>
      <c r="AQ55" s="22"/>
      <c r="AR55" s="22"/>
      <c r="AS55" s="25"/>
    </row>
    <row r="56" spans="1:45" s="1" customFormat="1">
      <c r="A56" s="22">
        <f t="shared" si="0"/>
        <v>55</v>
      </c>
      <c r="B56" s="23">
        <v>45424</v>
      </c>
      <c r="C56" s="22" t="s">
        <v>208</v>
      </c>
      <c r="D56" s="22" t="s">
        <v>209</v>
      </c>
      <c r="E56" s="22">
        <v>20250717</v>
      </c>
      <c r="F56" s="22" t="s">
        <v>377</v>
      </c>
      <c r="G56" s="22">
        <v>9975856427</v>
      </c>
      <c r="H56" s="22" t="s">
        <v>378</v>
      </c>
      <c r="I56" s="22" t="s">
        <v>55</v>
      </c>
      <c r="J56" s="22" t="s">
        <v>379</v>
      </c>
      <c r="K56" s="22" t="s">
        <v>380</v>
      </c>
      <c r="L56" s="22">
        <v>8.5</v>
      </c>
      <c r="M56" s="22" t="s">
        <v>381</v>
      </c>
      <c r="N56" s="22">
        <v>11.73</v>
      </c>
      <c r="O56" s="22">
        <v>0</v>
      </c>
      <c r="P56" s="22">
        <v>16</v>
      </c>
      <c r="Q56" s="22" t="s">
        <v>63</v>
      </c>
      <c r="R56" s="22" t="s">
        <v>63</v>
      </c>
      <c r="S56" s="22" t="s">
        <v>284</v>
      </c>
      <c r="T56" s="22"/>
      <c r="U56" s="24"/>
      <c r="V56" s="22"/>
      <c r="W56" s="22" t="s">
        <v>218</v>
      </c>
      <c r="X56" s="22" t="s">
        <v>218</v>
      </c>
      <c r="Y56" s="22" t="s">
        <v>135</v>
      </c>
      <c r="Z56" s="22" t="s">
        <v>66</v>
      </c>
      <c r="AA56" s="22"/>
      <c r="AB56" s="22"/>
      <c r="AC56" s="22"/>
      <c r="AD56" s="22"/>
      <c r="AE56" s="22"/>
      <c r="AF56" s="22"/>
      <c r="AG56" s="22"/>
      <c r="AH56" s="22"/>
      <c r="AI56" s="22"/>
      <c r="AJ56" s="22"/>
      <c r="AK56" s="22"/>
      <c r="AL56" s="22"/>
      <c r="AM56" s="22"/>
      <c r="AN56" s="22"/>
      <c r="AO56" s="22"/>
      <c r="AP56" s="22"/>
      <c r="AQ56" s="22"/>
      <c r="AR56" s="22"/>
      <c r="AS56" s="25"/>
    </row>
    <row r="57" spans="1:45" s="1" customFormat="1">
      <c r="A57" s="22">
        <f t="shared" si="0"/>
        <v>56</v>
      </c>
      <c r="B57" s="23">
        <v>45427</v>
      </c>
      <c r="C57" s="22" t="s">
        <v>51</v>
      </c>
      <c r="D57" s="22" t="s">
        <v>51</v>
      </c>
      <c r="E57" s="22" t="s">
        <v>382</v>
      </c>
      <c r="F57" s="22" t="s">
        <v>383</v>
      </c>
      <c r="G57" s="22">
        <v>9096115118</v>
      </c>
      <c r="H57" s="22" t="s">
        <v>384</v>
      </c>
      <c r="I57" s="22" t="s">
        <v>55</v>
      </c>
      <c r="J57" s="22" t="s">
        <v>278</v>
      </c>
      <c r="K57" s="22" t="s">
        <v>279</v>
      </c>
      <c r="L57" s="22" t="s">
        <v>385</v>
      </c>
      <c r="M57" s="22" t="s">
        <v>386</v>
      </c>
      <c r="N57" s="22" t="s">
        <v>387</v>
      </c>
      <c r="O57" s="22"/>
      <c r="P57" s="22" t="s">
        <v>388</v>
      </c>
      <c r="Q57" s="22" t="s">
        <v>389</v>
      </c>
      <c r="R57" s="22" t="s">
        <v>63</v>
      </c>
      <c r="S57" s="22" t="s">
        <v>133</v>
      </c>
      <c r="T57" s="22" t="s">
        <v>134</v>
      </c>
      <c r="U57" s="24">
        <v>45502</v>
      </c>
      <c r="V57" s="22"/>
      <c r="W57" s="22" t="s">
        <v>93</v>
      </c>
      <c r="X57" s="22" t="s">
        <v>93</v>
      </c>
      <c r="Y57" s="22" t="s">
        <v>135</v>
      </c>
      <c r="Z57" s="22" t="s">
        <v>66</v>
      </c>
      <c r="AA57" s="22"/>
      <c r="AB57" s="22"/>
      <c r="AC57" s="22"/>
      <c r="AD57" s="22"/>
      <c r="AE57" s="22"/>
      <c r="AF57" s="22"/>
      <c r="AG57" s="22"/>
      <c r="AH57" s="22"/>
      <c r="AI57" s="22"/>
      <c r="AJ57" s="22"/>
      <c r="AK57" s="22"/>
      <c r="AL57" s="22"/>
      <c r="AM57" s="22"/>
      <c r="AN57" s="22"/>
      <c r="AO57" s="22"/>
      <c r="AP57" s="22"/>
      <c r="AQ57" s="22"/>
      <c r="AR57" s="22"/>
      <c r="AS57" s="25"/>
    </row>
    <row r="58" spans="1:45" s="1" customFormat="1">
      <c r="A58" s="22">
        <f t="shared" si="0"/>
        <v>57</v>
      </c>
      <c r="B58" s="23">
        <v>45427</v>
      </c>
      <c r="C58" s="22" t="s">
        <v>51</v>
      </c>
      <c r="D58" s="22" t="s">
        <v>51</v>
      </c>
      <c r="E58" s="22" t="s">
        <v>390</v>
      </c>
      <c r="F58" s="22" t="s">
        <v>391</v>
      </c>
      <c r="G58" s="22">
        <v>9960004432</v>
      </c>
      <c r="H58" s="22" t="s">
        <v>392</v>
      </c>
      <c r="I58" s="22" t="s">
        <v>55</v>
      </c>
      <c r="J58" s="22" t="s">
        <v>278</v>
      </c>
      <c r="K58" s="22" t="s">
        <v>279</v>
      </c>
      <c r="L58" s="22" t="s">
        <v>393</v>
      </c>
      <c r="M58" s="22" t="s">
        <v>394</v>
      </c>
      <c r="N58" s="22" t="s">
        <v>395</v>
      </c>
      <c r="O58" s="22"/>
      <c r="P58" s="22" t="s">
        <v>396</v>
      </c>
      <c r="Q58" s="22" t="s">
        <v>63</v>
      </c>
      <c r="R58" s="22" t="s">
        <v>63</v>
      </c>
      <c r="S58" s="22" t="s">
        <v>397</v>
      </c>
      <c r="T58" s="22" t="s">
        <v>134</v>
      </c>
      <c r="U58" s="24">
        <v>45495</v>
      </c>
      <c r="V58" s="22"/>
      <c r="W58" s="22" t="s">
        <v>93</v>
      </c>
      <c r="X58" s="22" t="s">
        <v>93</v>
      </c>
      <c r="Y58" s="22" t="s">
        <v>135</v>
      </c>
      <c r="Z58" s="22" t="s">
        <v>66</v>
      </c>
      <c r="AA58" s="22"/>
      <c r="AB58" s="22"/>
      <c r="AC58" s="22"/>
      <c r="AD58" s="22"/>
      <c r="AE58" s="22"/>
      <c r="AF58" s="22"/>
      <c r="AG58" s="22"/>
      <c r="AH58" s="22"/>
      <c r="AI58" s="22"/>
      <c r="AJ58" s="22"/>
      <c r="AK58" s="22"/>
      <c r="AL58" s="22"/>
      <c r="AM58" s="22"/>
      <c r="AN58" s="22"/>
      <c r="AO58" s="22"/>
      <c r="AP58" s="22"/>
      <c r="AQ58" s="22"/>
      <c r="AR58" s="22"/>
      <c r="AS58" s="25"/>
    </row>
    <row r="59" spans="1:45" s="1" customFormat="1">
      <c r="A59" s="22">
        <f t="shared" si="0"/>
        <v>58</v>
      </c>
      <c r="B59" s="23">
        <v>45433</v>
      </c>
      <c r="C59" s="22" t="s">
        <v>51</v>
      </c>
      <c r="D59" s="22" t="s">
        <v>51</v>
      </c>
      <c r="E59" s="22">
        <v>20235907</v>
      </c>
      <c r="F59" s="22" t="s">
        <v>398</v>
      </c>
      <c r="G59" s="22">
        <v>8421691758</v>
      </c>
      <c r="H59" s="22" t="s">
        <v>399</v>
      </c>
      <c r="I59" s="22" t="s">
        <v>101</v>
      </c>
      <c r="J59" s="22" t="s">
        <v>400</v>
      </c>
      <c r="K59" s="22" t="s">
        <v>140</v>
      </c>
      <c r="L59" s="22" t="s">
        <v>401</v>
      </c>
      <c r="M59" s="22" t="s">
        <v>402</v>
      </c>
      <c r="N59" s="22" t="s">
        <v>403</v>
      </c>
      <c r="O59" s="22"/>
      <c r="P59" s="22" t="s">
        <v>164</v>
      </c>
      <c r="Q59" s="22" t="s">
        <v>63</v>
      </c>
      <c r="R59" s="22" t="s">
        <v>63</v>
      </c>
      <c r="S59" s="22" t="s">
        <v>404</v>
      </c>
      <c r="T59" s="22" t="s">
        <v>134</v>
      </c>
      <c r="U59" s="24">
        <v>45449</v>
      </c>
      <c r="V59" s="22"/>
      <c r="W59" s="22" t="s">
        <v>93</v>
      </c>
      <c r="X59" s="22" t="s">
        <v>93</v>
      </c>
      <c r="Y59" s="22" t="s">
        <v>135</v>
      </c>
      <c r="Z59" s="22" t="s">
        <v>66</v>
      </c>
      <c r="AA59" s="22"/>
      <c r="AB59" s="22"/>
      <c r="AC59" s="22"/>
      <c r="AD59" s="22"/>
      <c r="AE59" s="22"/>
      <c r="AF59" s="22"/>
      <c r="AG59" s="22"/>
      <c r="AH59" s="22"/>
      <c r="AI59" s="22"/>
      <c r="AJ59" s="22"/>
      <c r="AK59" s="22"/>
      <c r="AL59" s="22"/>
      <c r="AM59" s="22"/>
      <c r="AN59" s="22"/>
      <c r="AO59" s="22"/>
      <c r="AP59" s="22"/>
      <c r="AQ59" s="22"/>
      <c r="AR59" s="22"/>
      <c r="AS59" s="25"/>
    </row>
    <row r="60" spans="1:45" s="1" customFormat="1">
      <c r="A60" s="22">
        <f t="shared" si="0"/>
        <v>59</v>
      </c>
      <c r="B60" s="23">
        <v>45436</v>
      </c>
      <c r="C60" s="22" t="s">
        <v>51</v>
      </c>
      <c r="D60" s="22" t="s">
        <v>51</v>
      </c>
      <c r="E60" s="22" t="s">
        <v>405</v>
      </c>
      <c r="F60" s="22" t="s">
        <v>406</v>
      </c>
      <c r="G60" s="22">
        <v>9960435181</v>
      </c>
      <c r="H60" s="22" t="s">
        <v>407</v>
      </c>
      <c r="I60" s="22" t="s">
        <v>55</v>
      </c>
      <c r="J60" s="22" t="s">
        <v>408</v>
      </c>
      <c r="K60" s="22" t="s">
        <v>116</v>
      </c>
      <c r="L60" s="22"/>
      <c r="M60" s="22"/>
      <c r="N60" s="22"/>
      <c r="O60" s="22"/>
      <c r="P60" s="22">
        <v>2425000</v>
      </c>
      <c r="Q60" s="22" t="e" vm="1">
        <v>#VALUE!</v>
      </c>
      <c r="R60" s="22" t="s">
        <v>63</v>
      </c>
      <c r="S60" s="22"/>
      <c r="T60" s="22"/>
      <c r="U60" s="24">
        <v>45468</v>
      </c>
      <c r="V60" s="22"/>
      <c r="W60" s="22" t="s">
        <v>65</v>
      </c>
      <c r="X60" s="22" t="s">
        <v>65</v>
      </c>
      <c r="Y60" s="22"/>
      <c r="Z60" s="22" t="s">
        <v>118</v>
      </c>
      <c r="AA60" s="22"/>
      <c r="AB60" s="22"/>
      <c r="AC60" s="22"/>
      <c r="AD60" s="22"/>
      <c r="AE60" s="22"/>
      <c r="AF60" s="22"/>
      <c r="AG60" s="22"/>
      <c r="AH60" s="22"/>
      <c r="AI60" s="22"/>
      <c r="AJ60" s="22"/>
      <c r="AK60" s="22"/>
      <c r="AL60" s="22"/>
      <c r="AM60" s="22"/>
      <c r="AN60" s="22"/>
      <c r="AO60" s="22"/>
      <c r="AP60" s="22"/>
      <c r="AQ60" s="22"/>
      <c r="AR60" s="22"/>
      <c r="AS60" s="25"/>
    </row>
    <row r="61" spans="1:45" s="1" customFormat="1">
      <c r="A61" s="22">
        <f t="shared" si="0"/>
        <v>60</v>
      </c>
      <c r="B61" s="23">
        <v>45447</v>
      </c>
      <c r="C61" s="22" t="s">
        <v>51</v>
      </c>
      <c r="D61" s="22" t="s">
        <v>51</v>
      </c>
      <c r="E61" s="22" t="s">
        <v>409</v>
      </c>
      <c r="F61" s="22" t="s">
        <v>410</v>
      </c>
      <c r="G61" s="22">
        <v>9953374213</v>
      </c>
      <c r="H61" s="22" t="s">
        <v>411</v>
      </c>
      <c r="I61" s="22" t="s">
        <v>55</v>
      </c>
      <c r="J61" s="22" t="s">
        <v>412</v>
      </c>
      <c r="K61" s="22" t="s">
        <v>116</v>
      </c>
      <c r="L61" s="22"/>
      <c r="M61" s="22"/>
      <c r="N61" s="22"/>
      <c r="O61" s="22"/>
      <c r="P61" s="22">
        <v>757000</v>
      </c>
      <c r="Q61" s="22" t="e" vm="4">
        <v>#VALUE!</v>
      </c>
      <c r="R61" s="22" t="s">
        <v>63</v>
      </c>
      <c r="S61" s="22"/>
      <c r="T61" s="22"/>
      <c r="U61" s="24">
        <v>45460</v>
      </c>
      <c r="V61" s="22"/>
      <c r="W61" s="22" t="s">
        <v>65</v>
      </c>
      <c r="X61" s="22" t="s">
        <v>65</v>
      </c>
      <c r="Y61" s="22"/>
      <c r="Z61" s="22" t="s">
        <v>118</v>
      </c>
      <c r="AA61" s="22"/>
      <c r="AB61" s="22"/>
      <c r="AC61" s="22"/>
      <c r="AD61" s="22"/>
      <c r="AE61" s="22"/>
      <c r="AF61" s="22"/>
      <c r="AG61" s="22"/>
      <c r="AH61" s="22"/>
      <c r="AI61" s="22"/>
      <c r="AJ61" s="22"/>
      <c r="AK61" s="22"/>
      <c r="AL61" s="22"/>
      <c r="AM61" s="22"/>
      <c r="AN61" s="22"/>
      <c r="AO61" s="22"/>
      <c r="AP61" s="22"/>
      <c r="AQ61" s="22"/>
      <c r="AR61" s="22"/>
      <c r="AS61" s="25"/>
    </row>
    <row r="62" spans="1:45" s="1" customFormat="1">
      <c r="A62" s="22">
        <f t="shared" si="0"/>
        <v>61</v>
      </c>
      <c r="B62" s="23">
        <v>45463</v>
      </c>
      <c r="C62" s="22" t="s">
        <v>51</v>
      </c>
      <c r="D62" s="22" t="s">
        <v>51</v>
      </c>
      <c r="E62" s="22" t="s">
        <v>413</v>
      </c>
      <c r="F62" s="22" t="s">
        <v>414</v>
      </c>
      <c r="G62" s="22">
        <v>9922091330</v>
      </c>
      <c r="H62" s="22" t="s">
        <v>415</v>
      </c>
      <c r="I62" s="22" t="s">
        <v>55</v>
      </c>
      <c r="J62" s="22" t="s">
        <v>416</v>
      </c>
      <c r="K62" s="22" t="s">
        <v>417</v>
      </c>
      <c r="L62" s="22"/>
      <c r="M62" s="22"/>
      <c r="N62" s="22"/>
      <c r="O62" s="22"/>
      <c r="P62" s="22">
        <v>2800000</v>
      </c>
      <c r="Q62" s="22" t="e" vm="1">
        <v>#VALUE!</v>
      </c>
      <c r="R62" s="22" t="s">
        <v>63</v>
      </c>
      <c r="S62" s="22"/>
      <c r="T62" s="22"/>
      <c r="U62" s="24">
        <v>45516</v>
      </c>
      <c r="V62" s="22"/>
      <c r="W62" s="22" t="s">
        <v>65</v>
      </c>
      <c r="X62" s="22" t="s">
        <v>65</v>
      </c>
      <c r="Y62" s="22"/>
      <c r="Z62" s="22" t="s">
        <v>147</v>
      </c>
      <c r="AA62" s="22"/>
      <c r="AB62" s="22"/>
      <c r="AC62" s="22"/>
      <c r="AD62" s="22"/>
      <c r="AE62" s="22"/>
      <c r="AF62" s="22"/>
      <c r="AG62" s="22"/>
      <c r="AH62" s="22"/>
      <c r="AI62" s="22"/>
      <c r="AJ62" s="22"/>
      <c r="AK62" s="22"/>
      <c r="AL62" s="22"/>
      <c r="AM62" s="22"/>
      <c r="AN62" s="22"/>
      <c r="AO62" s="22"/>
      <c r="AP62" s="22"/>
      <c r="AQ62" s="22"/>
      <c r="AR62" s="22"/>
      <c r="AS62" s="25"/>
    </row>
    <row r="63" spans="1:45" s="1" customFormat="1">
      <c r="A63" s="22">
        <f t="shared" si="0"/>
        <v>62</v>
      </c>
      <c r="B63" s="23">
        <v>45476</v>
      </c>
      <c r="C63" s="22" t="s">
        <v>51</v>
      </c>
      <c r="D63" s="22" t="s">
        <v>51</v>
      </c>
      <c r="E63" s="22" t="s">
        <v>418</v>
      </c>
      <c r="F63" s="22" t="s">
        <v>419</v>
      </c>
      <c r="G63" s="22">
        <v>8238422816</v>
      </c>
      <c r="H63" s="22" t="s">
        <v>420</v>
      </c>
      <c r="I63" s="22" t="s">
        <v>55</v>
      </c>
      <c r="J63" s="22" t="s">
        <v>127</v>
      </c>
      <c r="K63" s="22" t="s">
        <v>279</v>
      </c>
      <c r="L63" s="22" t="s">
        <v>421</v>
      </c>
      <c r="M63" s="22" t="s">
        <v>422</v>
      </c>
      <c r="N63" s="22" t="s">
        <v>326</v>
      </c>
      <c r="O63" s="22"/>
      <c r="P63" s="22" t="s">
        <v>182</v>
      </c>
      <c r="Q63" s="22" t="s">
        <v>423</v>
      </c>
      <c r="R63" s="22" t="s">
        <v>63</v>
      </c>
      <c r="S63" s="22" t="s">
        <v>175</v>
      </c>
      <c r="T63" s="22" t="s">
        <v>134</v>
      </c>
      <c r="U63" s="24">
        <v>45446</v>
      </c>
      <c r="V63" s="22"/>
      <c r="W63" s="22" t="s">
        <v>93</v>
      </c>
      <c r="X63" s="22" t="s">
        <v>93</v>
      </c>
      <c r="Y63" s="22" t="s">
        <v>135</v>
      </c>
      <c r="Z63" s="22" t="s">
        <v>66</v>
      </c>
      <c r="AA63" s="22"/>
      <c r="AB63" s="22"/>
      <c r="AC63" s="22"/>
      <c r="AD63" s="22"/>
      <c r="AE63" s="22"/>
      <c r="AF63" s="22"/>
      <c r="AG63" s="22"/>
      <c r="AH63" s="22"/>
      <c r="AI63" s="22"/>
      <c r="AJ63" s="22"/>
      <c r="AK63" s="22"/>
      <c r="AL63" s="22"/>
      <c r="AM63" s="22"/>
      <c r="AN63" s="22"/>
      <c r="AO63" s="22"/>
      <c r="AP63" s="22"/>
      <c r="AQ63" s="22"/>
      <c r="AR63" s="22"/>
      <c r="AS63" s="25"/>
    </row>
    <row r="64" spans="1:45" s="1" customFormat="1">
      <c r="A64" s="22">
        <f t="shared" si="0"/>
        <v>63</v>
      </c>
      <c r="B64" s="23">
        <v>45491</v>
      </c>
      <c r="C64" s="22" t="s">
        <v>51</v>
      </c>
      <c r="D64" s="22" t="s">
        <v>51</v>
      </c>
      <c r="E64" s="22" t="s">
        <v>424</v>
      </c>
      <c r="F64" s="22" t="s">
        <v>425</v>
      </c>
      <c r="G64" s="22">
        <v>8200390283</v>
      </c>
      <c r="H64" s="22" t="s">
        <v>426</v>
      </c>
      <c r="I64" s="22" t="s">
        <v>55</v>
      </c>
      <c r="J64" s="22" t="s">
        <v>427</v>
      </c>
      <c r="K64" s="22" t="s">
        <v>428</v>
      </c>
      <c r="L64" s="22"/>
      <c r="M64" s="22"/>
      <c r="N64" s="22"/>
      <c r="O64" s="22"/>
      <c r="P64" s="22">
        <v>950000</v>
      </c>
      <c r="Q64" s="22" t="s">
        <v>429</v>
      </c>
      <c r="R64" s="22" t="s">
        <v>63</v>
      </c>
      <c r="S64" s="22"/>
      <c r="T64" s="22"/>
      <c r="U64" s="24">
        <v>45516</v>
      </c>
      <c r="V64" s="22"/>
      <c r="W64" s="22" t="s">
        <v>65</v>
      </c>
      <c r="X64" s="22" t="s">
        <v>65</v>
      </c>
      <c r="Y64" s="22" t="s">
        <v>351</v>
      </c>
      <c r="Z64" s="22" t="s">
        <v>66</v>
      </c>
      <c r="AA64" s="22"/>
      <c r="AB64" s="22"/>
      <c r="AC64" s="22"/>
      <c r="AD64" s="22"/>
      <c r="AE64" s="22"/>
      <c r="AF64" s="22"/>
      <c r="AG64" s="22"/>
      <c r="AH64" s="22"/>
      <c r="AI64" s="22"/>
      <c r="AJ64" s="22"/>
      <c r="AK64" s="22"/>
      <c r="AL64" s="22"/>
      <c r="AM64" s="22"/>
      <c r="AN64" s="22"/>
      <c r="AO64" s="22"/>
      <c r="AP64" s="22"/>
      <c r="AQ64" s="22"/>
      <c r="AR64" s="22"/>
      <c r="AS64" s="25"/>
    </row>
    <row r="65" spans="1:45" s="1" customFormat="1">
      <c r="A65" s="22">
        <f t="shared" si="0"/>
        <v>64</v>
      </c>
      <c r="B65" s="23">
        <v>45491</v>
      </c>
      <c r="C65" s="22" t="s">
        <v>51</v>
      </c>
      <c r="D65" s="22" t="s">
        <v>51</v>
      </c>
      <c r="E65" s="22">
        <v>20246740</v>
      </c>
      <c r="F65" s="22" t="s">
        <v>430</v>
      </c>
      <c r="G65" s="22">
        <v>8013201104</v>
      </c>
      <c r="H65" s="22" t="s">
        <v>431</v>
      </c>
      <c r="I65" s="22" t="s">
        <v>55</v>
      </c>
      <c r="J65" s="22" t="s">
        <v>432</v>
      </c>
      <c r="K65" s="22" t="s">
        <v>433</v>
      </c>
      <c r="L65" s="22"/>
      <c r="M65" s="22"/>
      <c r="N65" s="22"/>
      <c r="O65" s="22"/>
      <c r="P65" s="22">
        <v>1700000</v>
      </c>
      <c r="Q65" s="22" t="e" vm="5">
        <v>#VALUE!</v>
      </c>
      <c r="R65" s="22" t="s">
        <v>63</v>
      </c>
      <c r="S65" s="22"/>
      <c r="T65" s="22"/>
      <c r="U65" s="24">
        <v>45537</v>
      </c>
      <c r="V65" s="22"/>
      <c r="W65" s="22" t="s">
        <v>65</v>
      </c>
      <c r="X65" s="22" t="s">
        <v>65</v>
      </c>
      <c r="Y65" s="22"/>
      <c r="Z65" s="22" t="s">
        <v>66</v>
      </c>
      <c r="AA65" s="22"/>
      <c r="AB65" s="22"/>
      <c r="AC65" s="22"/>
      <c r="AD65" s="22"/>
      <c r="AE65" s="22"/>
      <c r="AF65" s="22"/>
      <c r="AG65" s="22"/>
      <c r="AH65" s="22"/>
      <c r="AI65" s="22"/>
      <c r="AJ65" s="22"/>
      <c r="AK65" s="22"/>
      <c r="AL65" s="22"/>
      <c r="AM65" s="22"/>
      <c r="AN65" s="22"/>
      <c r="AO65" s="22"/>
      <c r="AP65" s="22"/>
      <c r="AQ65" s="22"/>
      <c r="AR65" s="22"/>
      <c r="AS65" s="25"/>
    </row>
    <row r="66" spans="1:45" s="1" customFormat="1">
      <c r="A66" s="22">
        <f t="shared" si="0"/>
        <v>65</v>
      </c>
      <c r="B66" s="23">
        <v>45497</v>
      </c>
      <c r="C66" s="22" t="s">
        <v>51</v>
      </c>
      <c r="D66" s="22" t="s">
        <v>51</v>
      </c>
      <c r="E66" s="22" t="s">
        <v>434</v>
      </c>
      <c r="F66" s="22" t="s">
        <v>380</v>
      </c>
      <c r="G66" s="22" t="s">
        <v>435</v>
      </c>
      <c r="H66" s="22" t="s">
        <v>436</v>
      </c>
      <c r="I66" s="22" t="s">
        <v>55</v>
      </c>
      <c r="J66" s="22" t="s">
        <v>437</v>
      </c>
      <c r="K66" s="22" t="s">
        <v>438</v>
      </c>
      <c r="L66" s="22"/>
      <c r="M66" s="22"/>
      <c r="N66" s="22"/>
      <c r="O66" s="22"/>
      <c r="P66" s="22">
        <v>3050000</v>
      </c>
      <c r="Q66" s="22" t="e" vm="1">
        <v>#VALUE!</v>
      </c>
      <c r="R66" s="22" t="s">
        <v>63</v>
      </c>
      <c r="S66" s="22"/>
      <c r="T66" s="22"/>
      <c r="U66" s="24">
        <v>45607</v>
      </c>
      <c r="V66" s="22"/>
      <c r="W66" s="22" t="s">
        <v>65</v>
      </c>
      <c r="X66" s="22" t="s">
        <v>65</v>
      </c>
      <c r="Y66" s="22" t="s">
        <v>351</v>
      </c>
      <c r="Z66" s="22" t="s">
        <v>66</v>
      </c>
      <c r="AA66" s="22"/>
      <c r="AB66" s="22"/>
      <c r="AC66" s="22"/>
      <c r="AD66" s="22"/>
      <c r="AE66" s="22"/>
      <c r="AF66" s="22"/>
      <c r="AG66" s="22"/>
      <c r="AH66" s="22"/>
      <c r="AI66" s="22"/>
      <c r="AJ66" s="22"/>
      <c r="AK66" s="22"/>
      <c r="AL66" s="22"/>
      <c r="AM66" s="22"/>
      <c r="AN66" s="22"/>
      <c r="AO66" s="22"/>
      <c r="AP66" s="22"/>
      <c r="AQ66" s="22"/>
      <c r="AR66" s="22"/>
      <c r="AS66" s="25"/>
    </row>
    <row r="67" spans="1:45" s="1" customFormat="1">
      <c r="A67" s="22">
        <f t="shared" ref="A67:A130" si="1">A66+1</f>
        <v>66</v>
      </c>
      <c r="B67" s="23">
        <v>45498</v>
      </c>
      <c r="C67" s="22" t="s">
        <v>51</v>
      </c>
      <c r="D67" s="22" t="s">
        <v>51</v>
      </c>
      <c r="E67" s="22" t="s">
        <v>439</v>
      </c>
      <c r="F67" s="22" t="s">
        <v>440</v>
      </c>
      <c r="G67" s="22">
        <v>8004906910</v>
      </c>
      <c r="H67" s="22" t="s">
        <v>441</v>
      </c>
      <c r="I67" s="22" t="s">
        <v>55</v>
      </c>
      <c r="J67" s="22" t="s">
        <v>85</v>
      </c>
      <c r="K67" s="22" t="s">
        <v>81</v>
      </c>
      <c r="L67" s="22"/>
      <c r="M67" s="22"/>
      <c r="N67" s="22"/>
      <c r="O67" s="22"/>
      <c r="P67" s="22">
        <v>756077</v>
      </c>
      <c r="Q67" s="22" t="e" vm="4">
        <v>#VALUE!</v>
      </c>
      <c r="R67" s="22" t="s">
        <v>63</v>
      </c>
      <c r="S67" s="22"/>
      <c r="T67" s="22"/>
      <c r="U67" s="24">
        <v>45551</v>
      </c>
      <c r="V67" s="22"/>
      <c r="W67" s="22" t="s">
        <v>65</v>
      </c>
      <c r="X67" s="22" t="s">
        <v>65</v>
      </c>
      <c r="Y67" s="22"/>
      <c r="Z67" s="22" t="s">
        <v>66</v>
      </c>
      <c r="AA67" s="22"/>
      <c r="AB67" s="22"/>
      <c r="AC67" s="22"/>
      <c r="AD67" s="22"/>
      <c r="AE67" s="22"/>
      <c r="AF67" s="22"/>
      <c r="AG67" s="22"/>
      <c r="AH67" s="22"/>
      <c r="AI67" s="22"/>
      <c r="AJ67" s="22"/>
      <c r="AK67" s="22"/>
      <c r="AL67" s="22"/>
      <c r="AM67" s="22"/>
      <c r="AN67" s="22"/>
      <c r="AO67" s="22"/>
      <c r="AP67" s="22"/>
      <c r="AQ67" s="22"/>
      <c r="AR67" s="22"/>
      <c r="AS67" s="25"/>
    </row>
    <row r="68" spans="1:45" s="1" customFormat="1">
      <c r="A68" s="22">
        <f t="shared" si="1"/>
        <v>67</v>
      </c>
      <c r="B68" s="23">
        <v>45518</v>
      </c>
      <c r="C68" s="22" t="s">
        <v>51</v>
      </c>
      <c r="D68" s="22" t="s">
        <v>51</v>
      </c>
      <c r="E68" s="22" t="s">
        <v>442</v>
      </c>
      <c r="F68" s="22" t="s">
        <v>443</v>
      </c>
      <c r="G68" s="22">
        <v>6383231342</v>
      </c>
      <c r="H68" s="22" t="s">
        <v>444</v>
      </c>
      <c r="I68" s="22" t="s">
        <v>55</v>
      </c>
      <c r="J68" s="22" t="s">
        <v>445</v>
      </c>
      <c r="K68" s="22" t="s">
        <v>438</v>
      </c>
      <c r="L68" s="22"/>
      <c r="M68" s="22"/>
      <c r="N68" s="22"/>
      <c r="O68" s="22"/>
      <c r="P68" s="22">
        <v>1250000</v>
      </c>
      <c r="Q68" s="22" t="e" vm="1">
        <v>#VALUE!</v>
      </c>
      <c r="R68" s="22" t="s">
        <v>63</v>
      </c>
      <c r="S68" s="22"/>
      <c r="T68" s="22"/>
      <c r="U68" s="24">
        <v>45593</v>
      </c>
      <c r="V68" s="22"/>
      <c r="W68" s="22" t="s">
        <v>65</v>
      </c>
      <c r="X68" s="22" t="s">
        <v>65</v>
      </c>
      <c r="Y68" s="22" t="s">
        <v>351</v>
      </c>
      <c r="Z68" s="22" t="s">
        <v>66</v>
      </c>
      <c r="AA68" s="22"/>
      <c r="AB68" s="22"/>
      <c r="AC68" s="22"/>
      <c r="AD68" s="22"/>
      <c r="AE68" s="22"/>
      <c r="AF68" s="22"/>
      <c r="AG68" s="22"/>
      <c r="AH68" s="22"/>
      <c r="AI68" s="22"/>
      <c r="AJ68" s="22"/>
      <c r="AK68" s="22"/>
      <c r="AL68" s="22"/>
      <c r="AM68" s="22"/>
      <c r="AN68" s="22"/>
      <c r="AO68" s="22"/>
      <c r="AP68" s="22"/>
      <c r="AQ68" s="22"/>
      <c r="AR68" s="22"/>
      <c r="AS68" s="25"/>
    </row>
    <row r="69" spans="1:45" s="1" customFormat="1">
      <c r="A69" s="22">
        <f t="shared" si="1"/>
        <v>68</v>
      </c>
      <c r="B69" s="23">
        <v>45525</v>
      </c>
      <c r="C69" s="22" t="s">
        <v>51</v>
      </c>
      <c r="D69" s="22" t="s">
        <v>51</v>
      </c>
      <c r="E69" s="22" t="s">
        <v>446</v>
      </c>
      <c r="F69" s="22" t="s">
        <v>447</v>
      </c>
      <c r="G69" s="22">
        <v>9552498454</v>
      </c>
      <c r="H69" s="22" t="s">
        <v>448</v>
      </c>
      <c r="I69" s="22" t="s">
        <v>101</v>
      </c>
      <c r="J69" s="22" t="s">
        <v>449</v>
      </c>
      <c r="K69" s="22" t="s">
        <v>438</v>
      </c>
      <c r="L69" s="22"/>
      <c r="M69" s="22"/>
      <c r="N69" s="22"/>
      <c r="O69" s="22"/>
      <c r="P69" s="22">
        <v>650000</v>
      </c>
      <c r="Q69" s="22" t="e" vm="1">
        <v>#VALUE!</v>
      </c>
      <c r="R69" s="22" t="s">
        <v>63</v>
      </c>
      <c r="S69" s="22"/>
      <c r="T69" s="22"/>
      <c r="U69" s="24">
        <v>45586</v>
      </c>
      <c r="V69" s="22"/>
      <c r="W69" s="22" t="s">
        <v>65</v>
      </c>
      <c r="X69" s="22" t="s">
        <v>65</v>
      </c>
      <c r="Y69" s="22"/>
      <c r="Z69" s="22" t="s">
        <v>66</v>
      </c>
      <c r="AA69" s="22"/>
      <c r="AB69" s="22"/>
      <c r="AC69" s="22"/>
      <c r="AD69" s="22"/>
      <c r="AE69" s="22"/>
      <c r="AF69" s="22"/>
      <c r="AG69" s="22"/>
      <c r="AH69" s="22"/>
      <c r="AI69" s="22"/>
      <c r="AJ69" s="22"/>
      <c r="AK69" s="22"/>
      <c r="AL69" s="22"/>
      <c r="AM69" s="22"/>
      <c r="AN69" s="22"/>
      <c r="AO69" s="22"/>
      <c r="AP69" s="22"/>
      <c r="AQ69" s="22"/>
      <c r="AR69" s="22"/>
      <c r="AS69" s="25"/>
    </row>
    <row r="70" spans="1:45" s="1" customFormat="1">
      <c r="A70" s="22">
        <f t="shared" si="1"/>
        <v>69</v>
      </c>
      <c r="B70" s="23">
        <v>45533</v>
      </c>
      <c r="C70" s="22" t="s">
        <v>51</v>
      </c>
      <c r="D70" s="22" t="s">
        <v>51</v>
      </c>
      <c r="E70" s="22" t="s">
        <v>450</v>
      </c>
      <c r="F70" s="22" t="s">
        <v>451</v>
      </c>
      <c r="G70" s="22">
        <v>7666280966</v>
      </c>
      <c r="H70" s="22" t="s">
        <v>452</v>
      </c>
      <c r="I70" s="22" t="s">
        <v>55</v>
      </c>
      <c r="J70" s="22" t="s">
        <v>453</v>
      </c>
      <c r="K70" s="22" t="s">
        <v>116</v>
      </c>
      <c r="L70" s="22"/>
      <c r="M70" s="22"/>
      <c r="N70" s="22"/>
      <c r="O70" s="22"/>
      <c r="P70" s="22">
        <v>1600000</v>
      </c>
      <c r="Q70" s="22" t="e" vm="1">
        <v>#VALUE!</v>
      </c>
      <c r="R70" s="22" t="s">
        <v>63</v>
      </c>
      <c r="S70" s="22"/>
      <c r="T70" s="22"/>
      <c r="U70" s="24">
        <v>45544</v>
      </c>
      <c r="V70" s="22"/>
      <c r="W70" s="22" t="s">
        <v>65</v>
      </c>
      <c r="X70" s="22" t="s">
        <v>65</v>
      </c>
      <c r="Y70" s="22"/>
      <c r="Z70" s="22" t="s">
        <v>118</v>
      </c>
      <c r="AA70" s="22"/>
      <c r="AB70" s="22"/>
      <c r="AC70" s="22"/>
      <c r="AD70" s="22"/>
      <c r="AE70" s="22"/>
      <c r="AF70" s="22"/>
      <c r="AG70" s="22"/>
      <c r="AH70" s="22"/>
      <c r="AI70" s="22"/>
      <c r="AJ70" s="22"/>
      <c r="AK70" s="22"/>
      <c r="AL70" s="22"/>
      <c r="AM70" s="22"/>
      <c r="AN70" s="22"/>
      <c r="AO70" s="22"/>
      <c r="AP70" s="22"/>
      <c r="AQ70" s="22"/>
      <c r="AR70" s="22"/>
      <c r="AS70" s="25"/>
    </row>
    <row r="71" spans="1:45" s="1" customFormat="1">
      <c r="A71" s="22">
        <f t="shared" si="1"/>
        <v>70</v>
      </c>
      <c r="B71" s="23">
        <v>45546</v>
      </c>
      <c r="C71" s="22" t="s">
        <v>51</v>
      </c>
      <c r="D71" s="22" t="s">
        <v>51</v>
      </c>
      <c r="E71" s="22" t="s">
        <v>454</v>
      </c>
      <c r="F71" s="22" t="s">
        <v>455</v>
      </c>
      <c r="G71" s="22">
        <v>8333002363</v>
      </c>
      <c r="H71" s="22" t="s">
        <v>456</v>
      </c>
      <c r="I71" s="22" t="s">
        <v>55</v>
      </c>
      <c r="J71" s="22" t="s">
        <v>457</v>
      </c>
      <c r="K71" s="22" t="s">
        <v>458</v>
      </c>
      <c r="L71" s="22"/>
      <c r="M71" s="22"/>
      <c r="N71" s="22"/>
      <c r="O71" s="22"/>
      <c r="P71" s="22">
        <v>750000</v>
      </c>
      <c r="Q71" s="22" t="s">
        <v>459</v>
      </c>
      <c r="R71" s="22" t="s">
        <v>63</v>
      </c>
      <c r="S71" s="22"/>
      <c r="T71" s="22"/>
      <c r="U71" s="24">
        <v>45614</v>
      </c>
      <c r="V71" s="22"/>
      <c r="W71" s="22" t="s">
        <v>65</v>
      </c>
      <c r="X71" s="22" t="s">
        <v>65</v>
      </c>
      <c r="Y71" s="22"/>
      <c r="Z71" s="22" t="s">
        <v>76</v>
      </c>
      <c r="AA71" s="22"/>
      <c r="AB71" s="22"/>
      <c r="AC71" s="22"/>
      <c r="AD71" s="22"/>
      <c r="AE71" s="22"/>
      <c r="AF71" s="22"/>
      <c r="AG71" s="22"/>
      <c r="AH71" s="22"/>
      <c r="AI71" s="22"/>
      <c r="AJ71" s="22"/>
      <c r="AK71" s="22"/>
      <c r="AL71" s="22"/>
      <c r="AM71" s="22"/>
      <c r="AN71" s="22"/>
      <c r="AO71" s="22"/>
      <c r="AP71" s="22"/>
      <c r="AQ71" s="22"/>
      <c r="AR71" s="22"/>
      <c r="AS71" s="25"/>
    </row>
    <row r="72" spans="1:45" s="1" customFormat="1">
      <c r="A72" s="22">
        <f t="shared" si="1"/>
        <v>71</v>
      </c>
      <c r="B72" s="23">
        <v>45547</v>
      </c>
      <c r="C72" s="22" t="s">
        <v>208</v>
      </c>
      <c r="D72" s="22" t="s">
        <v>367</v>
      </c>
      <c r="E72" s="22">
        <v>20250697</v>
      </c>
      <c r="F72" s="22" t="s">
        <v>460</v>
      </c>
      <c r="G72" s="22">
        <v>7875001257</v>
      </c>
      <c r="H72" s="22" t="s">
        <v>461</v>
      </c>
      <c r="I72" s="22" t="s">
        <v>55</v>
      </c>
      <c r="J72" s="22" t="s">
        <v>264</v>
      </c>
      <c r="K72" s="22" t="s">
        <v>252</v>
      </c>
      <c r="L72" s="22">
        <v>2.5</v>
      </c>
      <c r="M72" s="22" t="s">
        <v>462</v>
      </c>
      <c r="N72" s="22">
        <v>4.3</v>
      </c>
      <c r="O72" s="22">
        <v>0</v>
      </c>
      <c r="P72" s="22">
        <v>6</v>
      </c>
      <c r="Q72" s="22" t="s">
        <v>463</v>
      </c>
      <c r="R72" s="22" t="s">
        <v>63</v>
      </c>
      <c r="S72" s="22" t="s">
        <v>255</v>
      </c>
      <c r="T72" s="22"/>
      <c r="U72" s="24"/>
      <c r="V72" s="22"/>
      <c r="W72" s="22" t="s">
        <v>218</v>
      </c>
      <c r="X72" s="22" t="s">
        <v>218</v>
      </c>
      <c r="Y72" s="22" t="s">
        <v>135</v>
      </c>
      <c r="Z72" s="22" t="s">
        <v>66</v>
      </c>
      <c r="AA72" s="22"/>
      <c r="AB72" s="22"/>
      <c r="AC72" s="22"/>
      <c r="AD72" s="22"/>
      <c r="AE72" s="22"/>
      <c r="AF72" s="22"/>
      <c r="AG72" s="22"/>
      <c r="AH72" s="22"/>
      <c r="AI72" s="22"/>
      <c r="AJ72" s="22"/>
      <c r="AK72" s="22"/>
      <c r="AL72" s="22"/>
      <c r="AM72" s="22"/>
      <c r="AN72" s="22"/>
      <c r="AO72" s="22"/>
      <c r="AP72" s="22"/>
      <c r="AQ72" s="22"/>
      <c r="AR72" s="22"/>
      <c r="AS72" s="25"/>
    </row>
    <row r="73" spans="1:45" s="1" customFormat="1">
      <c r="A73" s="22">
        <f t="shared" si="1"/>
        <v>72</v>
      </c>
      <c r="B73" s="23">
        <v>45547</v>
      </c>
      <c r="C73" s="22" t="s">
        <v>208</v>
      </c>
      <c r="D73" s="22" t="s">
        <v>256</v>
      </c>
      <c r="E73" s="22">
        <v>20250697</v>
      </c>
      <c r="F73" s="22" t="s">
        <v>464</v>
      </c>
      <c r="G73" s="22">
        <v>9067048222</v>
      </c>
      <c r="H73" s="22" t="s">
        <v>465</v>
      </c>
      <c r="I73" s="22" t="s">
        <v>55</v>
      </c>
      <c r="J73" s="22" t="s">
        <v>264</v>
      </c>
      <c r="K73" s="22" t="s">
        <v>252</v>
      </c>
      <c r="L73" s="22">
        <v>4</v>
      </c>
      <c r="M73" s="22" t="s">
        <v>466</v>
      </c>
      <c r="N73" s="22">
        <v>5.8</v>
      </c>
      <c r="O73" s="22">
        <v>0</v>
      </c>
      <c r="P73" s="22" t="s">
        <v>467</v>
      </c>
      <c r="Q73" s="22" t="s">
        <v>63</v>
      </c>
      <c r="R73" s="22" t="s">
        <v>63</v>
      </c>
      <c r="S73" s="22" t="s">
        <v>468</v>
      </c>
      <c r="T73" s="22"/>
      <c r="U73" s="24"/>
      <c r="V73" s="22"/>
      <c r="W73" s="22" t="s">
        <v>218</v>
      </c>
      <c r="X73" s="22" t="s">
        <v>218</v>
      </c>
      <c r="Y73" s="22" t="s">
        <v>135</v>
      </c>
      <c r="Z73" s="22" t="s">
        <v>66</v>
      </c>
      <c r="AA73" s="22"/>
      <c r="AB73" s="22"/>
      <c r="AC73" s="22"/>
      <c r="AD73" s="22"/>
      <c r="AE73" s="22"/>
      <c r="AF73" s="22"/>
      <c r="AG73" s="22"/>
      <c r="AH73" s="22"/>
      <c r="AI73" s="22"/>
      <c r="AJ73" s="22"/>
      <c r="AK73" s="22"/>
      <c r="AL73" s="22"/>
      <c r="AM73" s="22"/>
      <c r="AN73" s="22"/>
      <c r="AO73" s="22"/>
      <c r="AP73" s="22"/>
      <c r="AQ73" s="22"/>
      <c r="AR73" s="22"/>
      <c r="AS73" s="25"/>
    </row>
    <row r="74" spans="1:45" s="1" customFormat="1">
      <c r="A74" s="22">
        <f t="shared" si="1"/>
        <v>73</v>
      </c>
      <c r="B74" s="23">
        <v>45547</v>
      </c>
      <c r="C74" s="22" t="s">
        <v>208</v>
      </c>
      <c r="D74" s="22" t="s">
        <v>209</v>
      </c>
      <c r="E74" s="22">
        <v>20250697</v>
      </c>
      <c r="F74" s="22" t="s">
        <v>469</v>
      </c>
      <c r="G74" s="22">
        <v>7987253651</v>
      </c>
      <c r="H74" s="22" t="s">
        <v>470</v>
      </c>
      <c r="I74" s="22" t="s">
        <v>55</v>
      </c>
      <c r="J74" s="22" t="s">
        <v>264</v>
      </c>
      <c r="K74" s="22" t="s">
        <v>252</v>
      </c>
      <c r="L74" s="22">
        <v>3</v>
      </c>
      <c r="M74" s="22" t="s">
        <v>471</v>
      </c>
      <c r="N74" s="22">
        <v>6</v>
      </c>
      <c r="O74" s="22">
        <v>0</v>
      </c>
      <c r="P74" s="22">
        <v>9</v>
      </c>
      <c r="Q74" s="22" t="s">
        <v>472</v>
      </c>
      <c r="R74" s="22" t="s">
        <v>63</v>
      </c>
      <c r="S74" s="22" t="s">
        <v>255</v>
      </c>
      <c r="T74" s="22"/>
      <c r="U74" s="24"/>
      <c r="V74" s="22"/>
      <c r="W74" s="22" t="s">
        <v>218</v>
      </c>
      <c r="X74" s="22" t="s">
        <v>218</v>
      </c>
      <c r="Y74" s="22" t="s">
        <v>135</v>
      </c>
      <c r="Z74" s="22" t="s">
        <v>66</v>
      </c>
      <c r="AA74" s="22"/>
      <c r="AB74" s="22"/>
      <c r="AC74" s="22"/>
      <c r="AD74" s="22"/>
      <c r="AE74" s="22"/>
      <c r="AF74" s="22"/>
      <c r="AG74" s="22"/>
      <c r="AH74" s="22"/>
      <c r="AI74" s="22"/>
      <c r="AJ74" s="22"/>
      <c r="AK74" s="22"/>
      <c r="AL74" s="22"/>
      <c r="AM74" s="22"/>
      <c r="AN74" s="22"/>
      <c r="AO74" s="22"/>
      <c r="AP74" s="22"/>
      <c r="AQ74" s="22"/>
      <c r="AR74" s="22"/>
      <c r="AS74" s="25"/>
    </row>
    <row r="75" spans="1:45" s="1" customFormat="1">
      <c r="A75" s="22">
        <f t="shared" si="1"/>
        <v>74</v>
      </c>
      <c r="B75" s="23">
        <v>45547</v>
      </c>
      <c r="C75" s="22" t="s">
        <v>208</v>
      </c>
      <c r="D75" s="22" t="s">
        <v>209</v>
      </c>
      <c r="E75" s="22">
        <v>20250717</v>
      </c>
      <c r="F75" s="22" t="s">
        <v>473</v>
      </c>
      <c r="G75" s="22">
        <v>9404457405</v>
      </c>
      <c r="H75" s="22" t="s">
        <v>474</v>
      </c>
      <c r="I75" s="22" t="s">
        <v>55</v>
      </c>
      <c r="J75" s="22" t="s">
        <v>379</v>
      </c>
      <c r="K75" s="22" t="s">
        <v>380</v>
      </c>
      <c r="L75" s="22">
        <v>10</v>
      </c>
      <c r="M75" s="22" t="s">
        <v>475</v>
      </c>
      <c r="N75" s="22">
        <v>10</v>
      </c>
      <c r="O75" s="22">
        <v>0</v>
      </c>
      <c r="P75" s="22">
        <v>15</v>
      </c>
      <c r="Q75" s="22" t="s">
        <v>63</v>
      </c>
      <c r="R75" s="22" t="s">
        <v>63</v>
      </c>
      <c r="S75" s="22" t="s">
        <v>476</v>
      </c>
      <c r="T75" s="22"/>
      <c r="U75" s="24"/>
      <c r="V75" s="22"/>
      <c r="W75" s="22" t="s">
        <v>218</v>
      </c>
      <c r="X75" s="22" t="s">
        <v>218</v>
      </c>
      <c r="Y75" s="22" t="s">
        <v>135</v>
      </c>
      <c r="Z75" s="22" t="s">
        <v>66</v>
      </c>
      <c r="AA75" s="22"/>
      <c r="AB75" s="22"/>
      <c r="AC75" s="22"/>
      <c r="AD75" s="22"/>
      <c r="AE75" s="22"/>
      <c r="AF75" s="22"/>
      <c r="AG75" s="22"/>
      <c r="AH75" s="22"/>
      <c r="AI75" s="22"/>
      <c r="AJ75" s="22"/>
      <c r="AK75" s="22"/>
      <c r="AL75" s="22"/>
      <c r="AM75" s="22"/>
      <c r="AN75" s="22"/>
      <c r="AO75" s="22"/>
      <c r="AP75" s="22"/>
      <c r="AQ75" s="22"/>
      <c r="AR75" s="22"/>
      <c r="AS75" s="25"/>
    </row>
    <row r="76" spans="1:45" s="1" customFormat="1">
      <c r="A76" s="22">
        <f t="shared" si="1"/>
        <v>75</v>
      </c>
      <c r="B76" s="23">
        <v>45547</v>
      </c>
      <c r="C76" s="22" t="s">
        <v>208</v>
      </c>
      <c r="D76" s="22" t="s">
        <v>209</v>
      </c>
      <c r="E76" s="22">
        <v>20250717</v>
      </c>
      <c r="F76" s="22" t="s">
        <v>477</v>
      </c>
      <c r="G76" s="22" t="s">
        <v>478</v>
      </c>
      <c r="H76" s="22" t="s">
        <v>479</v>
      </c>
      <c r="I76" s="22" t="s">
        <v>55</v>
      </c>
      <c r="J76" s="22" t="s">
        <v>379</v>
      </c>
      <c r="K76" s="22" t="s">
        <v>380</v>
      </c>
      <c r="L76" s="22">
        <v>10</v>
      </c>
      <c r="M76" s="22" t="s">
        <v>480</v>
      </c>
      <c r="N76" s="22">
        <v>20</v>
      </c>
      <c r="O76" s="22">
        <v>0</v>
      </c>
      <c r="P76" s="22">
        <v>25</v>
      </c>
      <c r="Q76" s="22" t="s">
        <v>63</v>
      </c>
      <c r="R76" s="22" t="s">
        <v>63</v>
      </c>
      <c r="S76" s="22" t="s">
        <v>481</v>
      </c>
      <c r="T76" s="22"/>
      <c r="U76" s="24"/>
      <c r="V76" s="22"/>
      <c r="W76" s="22" t="s">
        <v>218</v>
      </c>
      <c r="X76" s="22" t="s">
        <v>218</v>
      </c>
      <c r="Y76" s="22" t="s">
        <v>135</v>
      </c>
      <c r="Z76" s="22" t="s">
        <v>66</v>
      </c>
      <c r="AA76" s="22"/>
      <c r="AB76" s="22"/>
      <c r="AC76" s="22"/>
      <c r="AD76" s="22"/>
      <c r="AE76" s="22"/>
      <c r="AF76" s="22"/>
      <c r="AG76" s="22"/>
      <c r="AH76" s="22"/>
      <c r="AI76" s="22"/>
      <c r="AJ76" s="22"/>
      <c r="AK76" s="22"/>
      <c r="AL76" s="22"/>
      <c r="AM76" s="22"/>
      <c r="AN76" s="22"/>
      <c r="AO76" s="22"/>
      <c r="AP76" s="22"/>
      <c r="AQ76" s="22"/>
      <c r="AR76" s="22"/>
      <c r="AS76" s="25"/>
    </row>
    <row r="77" spans="1:45" s="1" customFormat="1">
      <c r="A77" s="22">
        <f t="shared" si="1"/>
        <v>76</v>
      </c>
      <c r="B77" s="23">
        <v>45547</v>
      </c>
      <c r="C77" s="22" t="s">
        <v>208</v>
      </c>
      <c r="D77" s="22" t="s">
        <v>209</v>
      </c>
      <c r="E77" s="22">
        <v>20250717</v>
      </c>
      <c r="F77" s="22" t="s">
        <v>482</v>
      </c>
      <c r="G77" s="22">
        <v>8793480138</v>
      </c>
      <c r="H77" s="22" t="s">
        <v>483</v>
      </c>
      <c r="I77" s="22" t="s">
        <v>55</v>
      </c>
      <c r="J77" s="22" t="s">
        <v>379</v>
      </c>
      <c r="K77" s="22" t="s">
        <v>380</v>
      </c>
      <c r="L77" s="22">
        <v>8.9</v>
      </c>
      <c r="M77" s="22" t="s">
        <v>475</v>
      </c>
      <c r="N77" s="22">
        <v>12</v>
      </c>
      <c r="O77" s="22">
        <v>0</v>
      </c>
      <c r="P77" s="22">
        <v>18</v>
      </c>
      <c r="Q77" s="22" t="s">
        <v>484</v>
      </c>
      <c r="R77" s="22" t="s">
        <v>63</v>
      </c>
      <c r="S77" s="22" t="s">
        <v>485</v>
      </c>
      <c r="T77" s="22"/>
      <c r="U77" s="24"/>
      <c r="V77" s="22"/>
      <c r="W77" s="22" t="s">
        <v>218</v>
      </c>
      <c r="X77" s="22" t="s">
        <v>218</v>
      </c>
      <c r="Y77" s="22" t="s">
        <v>135</v>
      </c>
      <c r="Z77" s="22" t="s">
        <v>66</v>
      </c>
      <c r="AA77" s="22"/>
      <c r="AB77" s="22"/>
      <c r="AC77" s="22"/>
      <c r="AD77" s="22"/>
      <c r="AE77" s="22"/>
      <c r="AF77" s="22"/>
      <c r="AG77" s="22"/>
      <c r="AH77" s="22"/>
      <c r="AI77" s="22"/>
      <c r="AJ77" s="22"/>
      <c r="AK77" s="22"/>
      <c r="AL77" s="22"/>
      <c r="AM77" s="22"/>
      <c r="AN77" s="22"/>
      <c r="AO77" s="22"/>
      <c r="AP77" s="22"/>
      <c r="AQ77" s="22"/>
      <c r="AR77" s="22"/>
      <c r="AS77" s="25"/>
    </row>
    <row r="78" spans="1:45" s="1" customFormat="1">
      <c r="A78" s="22">
        <f t="shared" si="1"/>
        <v>77</v>
      </c>
      <c r="B78" s="23">
        <v>45547</v>
      </c>
      <c r="C78" s="22" t="s">
        <v>208</v>
      </c>
      <c r="D78" s="22" t="s">
        <v>486</v>
      </c>
      <c r="E78" s="22">
        <v>20250717</v>
      </c>
      <c r="F78" s="22" t="s">
        <v>487</v>
      </c>
      <c r="G78" s="22">
        <v>7387653807</v>
      </c>
      <c r="H78" s="22" t="s">
        <v>488</v>
      </c>
      <c r="I78" s="22" t="s">
        <v>55</v>
      </c>
      <c r="J78" s="22" t="s">
        <v>379</v>
      </c>
      <c r="K78" s="22" t="s">
        <v>380</v>
      </c>
      <c r="L78" s="22">
        <v>5.0999999999999996</v>
      </c>
      <c r="M78" s="22" t="s">
        <v>489</v>
      </c>
      <c r="N78" s="22">
        <v>10</v>
      </c>
      <c r="O78" s="22">
        <v>0</v>
      </c>
      <c r="P78" s="22">
        <v>15</v>
      </c>
      <c r="Q78" s="22" t="s">
        <v>490</v>
      </c>
      <c r="R78" s="22" t="s">
        <v>63</v>
      </c>
      <c r="S78" s="22" t="s">
        <v>476</v>
      </c>
      <c r="T78" s="22"/>
      <c r="U78" s="24"/>
      <c r="V78" s="22"/>
      <c r="W78" s="22" t="s">
        <v>218</v>
      </c>
      <c r="X78" s="22" t="s">
        <v>218</v>
      </c>
      <c r="Y78" s="22" t="s">
        <v>135</v>
      </c>
      <c r="Z78" s="22" t="s">
        <v>66</v>
      </c>
      <c r="AA78" s="22"/>
      <c r="AB78" s="22"/>
      <c r="AC78" s="22"/>
      <c r="AD78" s="22"/>
      <c r="AE78" s="22"/>
      <c r="AF78" s="22"/>
      <c r="AG78" s="22"/>
      <c r="AH78" s="22"/>
      <c r="AI78" s="22"/>
      <c r="AJ78" s="22"/>
      <c r="AK78" s="22"/>
      <c r="AL78" s="22"/>
      <c r="AM78" s="22"/>
      <c r="AN78" s="22"/>
      <c r="AO78" s="22"/>
      <c r="AP78" s="22"/>
      <c r="AQ78" s="22"/>
      <c r="AR78" s="22"/>
      <c r="AS78" s="25"/>
    </row>
    <row r="79" spans="1:45" s="1" customFormat="1">
      <c r="A79" s="22">
        <f t="shared" si="1"/>
        <v>78</v>
      </c>
      <c r="B79" s="23">
        <v>45548</v>
      </c>
      <c r="C79" s="22" t="s">
        <v>51</v>
      </c>
      <c r="D79" s="22" t="s">
        <v>51</v>
      </c>
      <c r="E79" s="22">
        <v>20245072</v>
      </c>
      <c r="F79" s="22" t="s">
        <v>491</v>
      </c>
      <c r="G79" s="22">
        <v>9823065456</v>
      </c>
      <c r="H79" s="22" t="s">
        <v>492</v>
      </c>
      <c r="I79" s="22" t="s">
        <v>55</v>
      </c>
      <c r="J79" s="22" t="s">
        <v>127</v>
      </c>
      <c r="K79" s="22" t="s">
        <v>433</v>
      </c>
      <c r="L79" s="22" t="s">
        <v>330</v>
      </c>
      <c r="M79" s="22" t="s">
        <v>493</v>
      </c>
      <c r="N79" s="22" t="s">
        <v>132</v>
      </c>
      <c r="O79" s="22"/>
      <c r="P79" s="22" t="s">
        <v>494</v>
      </c>
      <c r="Q79" s="22" t="s">
        <v>63</v>
      </c>
      <c r="R79" s="22" t="s">
        <v>63</v>
      </c>
      <c r="S79" s="22" t="s">
        <v>133</v>
      </c>
      <c r="T79" s="22" t="s">
        <v>134</v>
      </c>
      <c r="U79" s="24">
        <v>45642</v>
      </c>
      <c r="V79" s="22"/>
      <c r="W79" s="22" t="s">
        <v>93</v>
      </c>
      <c r="X79" s="22" t="s">
        <v>93</v>
      </c>
      <c r="Y79" s="22" t="s">
        <v>135</v>
      </c>
      <c r="Z79" s="22" t="s">
        <v>66</v>
      </c>
      <c r="AA79" s="22"/>
      <c r="AB79" s="22"/>
      <c r="AC79" s="22"/>
      <c r="AD79" s="22"/>
      <c r="AE79" s="22"/>
      <c r="AF79" s="22"/>
      <c r="AG79" s="22"/>
      <c r="AH79" s="22"/>
      <c r="AI79" s="22"/>
      <c r="AJ79" s="22"/>
      <c r="AK79" s="22"/>
      <c r="AL79" s="22"/>
      <c r="AM79" s="22"/>
      <c r="AN79" s="22"/>
      <c r="AO79" s="22"/>
      <c r="AP79" s="22"/>
      <c r="AQ79" s="22"/>
      <c r="AR79" s="22"/>
      <c r="AS79" s="25"/>
    </row>
    <row r="80" spans="1:45" s="1" customFormat="1">
      <c r="A80" s="22">
        <f t="shared" si="1"/>
        <v>79</v>
      </c>
      <c r="B80" s="23">
        <v>45559</v>
      </c>
      <c r="C80" s="22" t="s">
        <v>51</v>
      </c>
      <c r="D80" s="22" t="s">
        <v>51</v>
      </c>
      <c r="E80" s="22">
        <v>20241946</v>
      </c>
      <c r="F80" s="22" t="s">
        <v>495</v>
      </c>
      <c r="G80" s="22">
        <v>9657633373</v>
      </c>
      <c r="H80" s="22" t="s">
        <v>496</v>
      </c>
      <c r="I80" s="22" t="s">
        <v>55</v>
      </c>
      <c r="J80" s="22" t="s">
        <v>497</v>
      </c>
      <c r="K80" s="22" t="s">
        <v>116</v>
      </c>
      <c r="L80" s="22"/>
      <c r="M80" s="22"/>
      <c r="N80" s="22"/>
      <c r="O80" s="22"/>
      <c r="P80" s="22">
        <v>2100000</v>
      </c>
      <c r="Q80" s="22" t="s">
        <v>63</v>
      </c>
      <c r="R80" s="22" t="s">
        <v>63</v>
      </c>
      <c r="S80" s="22"/>
      <c r="T80" s="22"/>
      <c r="U80" s="24">
        <v>45624</v>
      </c>
      <c r="V80" s="22"/>
      <c r="W80" s="22" t="s">
        <v>65</v>
      </c>
      <c r="X80" s="22" t="s">
        <v>65</v>
      </c>
      <c r="Y80" s="22"/>
      <c r="Z80" s="22" t="s">
        <v>118</v>
      </c>
      <c r="AA80" s="22"/>
      <c r="AB80" s="22"/>
      <c r="AC80" s="22"/>
      <c r="AD80" s="22"/>
      <c r="AE80" s="22"/>
      <c r="AF80" s="22"/>
      <c r="AG80" s="22"/>
      <c r="AH80" s="22"/>
      <c r="AI80" s="22"/>
      <c r="AJ80" s="22"/>
      <c r="AK80" s="22"/>
      <c r="AL80" s="22"/>
      <c r="AM80" s="22"/>
      <c r="AN80" s="22"/>
      <c r="AO80" s="22"/>
      <c r="AP80" s="22"/>
      <c r="AQ80" s="22"/>
      <c r="AR80" s="22"/>
      <c r="AS80" s="25"/>
    </row>
    <row r="81" spans="1:45" s="1" customFormat="1">
      <c r="A81" s="22">
        <f t="shared" si="1"/>
        <v>80</v>
      </c>
      <c r="B81" s="23">
        <v>45577</v>
      </c>
      <c r="C81" s="22" t="s">
        <v>208</v>
      </c>
      <c r="D81" s="22" t="s">
        <v>209</v>
      </c>
      <c r="E81" s="22">
        <v>20242803</v>
      </c>
      <c r="F81" s="22" t="s">
        <v>498</v>
      </c>
      <c r="G81" s="22">
        <v>8530707848</v>
      </c>
      <c r="H81" s="22" t="s">
        <v>499</v>
      </c>
      <c r="I81" s="22" t="s">
        <v>55</v>
      </c>
      <c r="J81" s="22" t="s">
        <v>212</v>
      </c>
      <c r="K81" s="22" t="s">
        <v>213</v>
      </c>
      <c r="L81" s="22">
        <v>3.3</v>
      </c>
      <c r="M81" s="22" t="s">
        <v>500</v>
      </c>
      <c r="N81" s="22">
        <v>13.39</v>
      </c>
      <c r="O81" s="22">
        <v>0</v>
      </c>
      <c r="P81" s="22">
        <v>0.5</v>
      </c>
      <c r="Q81" s="22" t="s">
        <v>63</v>
      </c>
      <c r="R81" s="22" t="s">
        <v>63</v>
      </c>
      <c r="S81" s="22" t="s">
        <v>501</v>
      </c>
      <c r="T81" s="22" t="s">
        <v>502</v>
      </c>
      <c r="U81" s="24"/>
      <c r="V81" s="22"/>
      <c r="W81" s="22" t="s">
        <v>218</v>
      </c>
      <c r="X81" s="22" t="s">
        <v>218</v>
      </c>
      <c r="Y81" s="22" t="s">
        <v>135</v>
      </c>
      <c r="Z81" s="22" t="s">
        <v>66</v>
      </c>
      <c r="AA81" s="22">
        <v>45577</v>
      </c>
      <c r="AB81" s="22">
        <v>45580</v>
      </c>
      <c r="AC81" s="22">
        <v>45580</v>
      </c>
      <c r="AD81" s="22"/>
      <c r="AE81" s="22"/>
      <c r="AF81" s="22"/>
      <c r="AG81" s="22"/>
      <c r="AH81" s="22"/>
      <c r="AI81" s="22"/>
      <c r="AJ81" s="22"/>
      <c r="AK81" s="22"/>
      <c r="AL81" s="22"/>
      <c r="AM81" s="22"/>
      <c r="AN81" s="22"/>
      <c r="AO81" s="22"/>
      <c r="AP81" s="22"/>
      <c r="AQ81" s="22"/>
      <c r="AR81" s="22"/>
      <c r="AS81" s="25"/>
    </row>
    <row r="82" spans="1:45" s="1" customFormat="1">
      <c r="A82" s="22">
        <f t="shared" si="1"/>
        <v>81</v>
      </c>
      <c r="B82" s="23">
        <v>45577</v>
      </c>
      <c r="C82" s="22" t="s">
        <v>208</v>
      </c>
      <c r="D82" s="22" t="s">
        <v>209</v>
      </c>
      <c r="E82" s="22">
        <v>20242803</v>
      </c>
      <c r="F82" s="22" t="s">
        <v>503</v>
      </c>
      <c r="G82" s="22">
        <v>7792099405</v>
      </c>
      <c r="H82" s="22" t="s">
        <v>504</v>
      </c>
      <c r="I82" s="22" t="s">
        <v>55</v>
      </c>
      <c r="J82" s="22" t="s">
        <v>212</v>
      </c>
      <c r="K82" s="22" t="s">
        <v>213</v>
      </c>
      <c r="L82" s="22">
        <v>10.4</v>
      </c>
      <c r="M82" s="22" t="s">
        <v>505</v>
      </c>
      <c r="N82" s="22">
        <v>14</v>
      </c>
      <c r="O82" s="22">
        <v>0</v>
      </c>
      <c r="P82" s="22">
        <v>19</v>
      </c>
      <c r="Q82" s="22" t="s">
        <v>63</v>
      </c>
      <c r="R82" s="22" t="s">
        <v>63</v>
      </c>
      <c r="S82" s="22" t="s">
        <v>506</v>
      </c>
      <c r="T82" s="22" t="s">
        <v>61</v>
      </c>
      <c r="U82" s="24"/>
      <c r="V82" s="22"/>
      <c r="W82" s="22" t="s">
        <v>218</v>
      </c>
      <c r="X82" s="22" t="s">
        <v>218</v>
      </c>
      <c r="Y82" s="22" t="s">
        <v>135</v>
      </c>
      <c r="Z82" s="22" t="s">
        <v>66</v>
      </c>
      <c r="AA82" s="22">
        <v>45577</v>
      </c>
      <c r="AB82" s="22">
        <v>45581</v>
      </c>
      <c r="AC82" s="22">
        <v>45581</v>
      </c>
      <c r="AD82" s="22"/>
      <c r="AE82" s="22"/>
      <c r="AF82" s="22"/>
      <c r="AG82" s="22"/>
      <c r="AH82" s="22"/>
      <c r="AI82" s="22"/>
      <c r="AJ82" s="22"/>
      <c r="AK82" s="22"/>
      <c r="AL82" s="22"/>
      <c r="AM82" s="22"/>
      <c r="AN82" s="22"/>
      <c r="AO82" s="22"/>
      <c r="AP82" s="22"/>
      <c r="AQ82" s="22"/>
      <c r="AR82" s="22"/>
      <c r="AS82" s="25"/>
    </row>
    <row r="83" spans="1:45" s="1" customFormat="1">
      <c r="A83" s="22">
        <f t="shared" si="1"/>
        <v>82</v>
      </c>
      <c r="B83" s="23">
        <v>45577</v>
      </c>
      <c r="C83" s="22" t="s">
        <v>208</v>
      </c>
      <c r="D83" s="22" t="s">
        <v>209</v>
      </c>
      <c r="E83" s="22">
        <v>20242803</v>
      </c>
      <c r="F83" s="22" t="s">
        <v>507</v>
      </c>
      <c r="G83" s="22">
        <v>9704515902</v>
      </c>
      <c r="H83" s="22" t="s">
        <v>508</v>
      </c>
      <c r="I83" s="22" t="s">
        <v>55</v>
      </c>
      <c r="J83" s="22" t="s">
        <v>212</v>
      </c>
      <c r="K83" s="22" t="s">
        <v>213</v>
      </c>
      <c r="L83" s="22">
        <v>5.5</v>
      </c>
      <c r="M83" s="22" t="s">
        <v>509</v>
      </c>
      <c r="N83" s="22">
        <v>11.3</v>
      </c>
      <c r="O83" s="22">
        <v>0</v>
      </c>
      <c r="P83" s="22">
        <v>16</v>
      </c>
      <c r="Q83" s="22" t="s">
        <v>510</v>
      </c>
      <c r="R83" s="22" t="s">
        <v>63</v>
      </c>
      <c r="S83" s="22" t="s">
        <v>511</v>
      </c>
      <c r="T83" s="22" t="s">
        <v>61</v>
      </c>
      <c r="U83" s="24"/>
      <c r="V83" s="22"/>
      <c r="W83" s="22" t="s">
        <v>218</v>
      </c>
      <c r="X83" s="22" t="s">
        <v>218</v>
      </c>
      <c r="Y83" s="22" t="s">
        <v>135</v>
      </c>
      <c r="Z83" s="22" t="s">
        <v>66</v>
      </c>
      <c r="AA83" s="22">
        <v>45577</v>
      </c>
      <c r="AB83" s="22">
        <v>45581</v>
      </c>
      <c r="AC83" s="22">
        <v>45581</v>
      </c>
      <c r="AD83" s="22"/>
      <c r="AE83" s="22"/>
      <c r="AF83" s="22"/>
      <c r="AG83" s="22"/>
      <c r="AH83" s="22"/>
      <c r="AI83" s="22"/>
      <c r="AJ83" s="22"/>
      <c r="AK83" s="22"/>
      <c r="AL83" s="22"/>
      <c r="AM83" s="22"/>
      <c r="AN83" s="22"/>
      <c r="AO83" s="22"/>
      <c r="AP83" s="22"/>
      <c r="AQ83" s="22"/>
      <c r="AR83" s="22"/>
      <c r="AS83" s="25"/>
    </row>
    <row r="84" spans="1:45" s="1" customFormat="1">
      <c r="A84" s="22">
        <f t="shared" si="1"/>
        <v>83</v>
      </c>
      <c r="B84" s="23">
        <v>45577</v>
      </c>
      <c r="C84" s="22" t="s">
        <v>208</v>
      </c>
      <c r="D84" s="22" t="s">
        <v>209</v>
      </c>
      <c r="E84" s="22">
        <v>20242803</v>
      </c>
      <c r="F84" s="22" t="s">
        <v>512</v>
      </c>
      <c r="G84" s="22">
        <v>7776072588</v>
      </c>
      <c r="H84" s="22" t="s">
        <v>513</v>
      </c>
      <c r="I84" s="22" t="s">
        <v>101</v>
      </c>
      <c r="J84" s="22" t="s">
        <v>212</v>
      </c>
      <c r="K84" s="22" t="s">
        <v>213</v>
      </c>
      <c r="L84" s="22">
        <v>3.4</v>
      </c>
      <c r="M84" s="22" t="s">
        <v>365</v>
      </c>
      <c r="N84" s="22">
        <v>4.0999999999999996</v>
      </c>
      <c r="O84" s="22">
        <v>0</v>
      </c>
      <c r="P84" s="22">
        <v>9</v>
      </c>
      <c r="Q84" s="22" t="s">
        <v>215</v>
      </c>
      <c r="R84" s="22" t="s">
        <v>63</v>
      </c>
      <c r="S84" s="22" t="s">
        <v>514</v>
      </c>
      <c r="T84" s="22" t="s">
        <v>61</v>
      </c>
      <c r="U84" s="24"/>
      <c r="V84" s="22"/>
      <c r="W84" s="22" t="s">
        <v>218</v>
      </c>
      <c r="X84" s="22" t="s">
        <v>218</v>
      </c>
      <c r="Y84" s="22" t="s">
        <v>135</v>
      </c>
      <c r="Z84" s="22" t="s">
        <v>66</v>
      </c>
      <c r="AA84" s="22">
        <v>45586</v>
      </c>
      <c r="AB84" s="22">
        <v>45589</v>
      </c>
      <c r="AC84" s="22">
        <v>45589</v>
      </c>
      <c r="AD84" s="22"/>
      <c r="AE84" s="22"/>
      <c r="AF84" s="22"/>
      <c r="AG84" s="22"/>
      <c r="AH84" s="22"/>
      <c r="AI84" s="22"/>
      <c r="AJ84" s="22"/>
      <c r="AK84" s="22"/>
      <c r="AL84" s="22"/>
      <c r="AM84" s="22"/>
      <c r="AN84" s="22"/>
      <c r="AO84" s="22"/>
      <c r="AP84" s="22"/>
      <c r="AQ84" s="22"/>
      <c r="AR84" s="22"/>
      <c r="AS84" s="25"/>
    </row>
    <row r="85" spans="1:45" s="1" customFormat="1">
      <c r="A85" s="22">
        <f t="shared" si="1"/>
        <v>84</v>
      </c>
      <c r="B85" s="23">
        <v>45577</v>
      </c>
      <c r="C85" s="22" t="s">
        <v>208</v>
      </c>
      <c r="D85" s="22" t="s">
        <v>209</v>
      </c>
      <c r="E85" s="22">
        <v>20241431</v>
      </c>
      <c r="F85" s="22" t="s">
        <v>515</v>
      </c>
      <c r="G85" s="22" t="s">
        <v>516</v>
      </c>
      <c r="H85" s="22" t="s">
        <v>517</v>
      </c>
      <c r="I85" s="22" t="s">
        <v>55</v>
      </c>
      <c r="J85" s="22" t="s">
        <v>518</v>
      </c>
      <c r="K85" s="22" t="s">
        <v>116</v>
      </c>
      <c r="L85" s="22">
        <v>3</v>
      </c>
      <c r="M85" s="22" t="s">
        <v>519</v>
      </c>
      <c r="N85" s="22">
        <v>5</v>
      </c>
      <c r="O85" s="22">
        <v>0</v>
      </c>
      <c r="P85" s="22">
        <v>9</v>
      </c>
      <c r="Q85" s="22" t="s">
        <v>520</v>
      </c>
      <c r="R85" s="22" t="s">
        <v>63</v>
      </c>
      <c r="S85" s="22" t="s">
        <v>521</v>
      </c>
      <c r="T85" s="22" t="s">
        <v>61</v>
      </c>
      <c r="U85" s="24"/>
      <c r="V85" s="22"/>
      <c r="W85" s="22" t="s">
        <v>218</v>
      </c>
      <c r="X85" s="22" t="s">
        <v>218</v>
      </c>
      <c r="Y85" s="22" t="s">
        <v>135</v>
      </c>
      <c r="Z85" s="22" t="s">
        <v>66</v>
      </c>
      <c r="AA85" s="22">
        <v>45586</v>
      </c>
      <c r="AB85" s="22">
        <v>45580</v>
      </c>
      <c r="AC85" s="22">
        <v>45580</v>
      </c>
      <c r="AD85" s="22"/>
      <c r="AE85" s="22"/>
      <c r="AF85" s="22"/>
      <c r="AG85" s="22"/>
      <c r="AH85" s="22"/>
      <c r="AI85" s="22"/>
      <c r="AJ85" s="22"/>
      <c r="AK85" s="22"/>
      <c r="AL85" s="22"/>
      <c r="AM85" s="22"/>
      <c r="AN85" s="22"/>
      <c r="AO85" s="22"/>
      <c r="AP85" s="22"/>
      <c r="AQ85" s="22"/>
      <c r="AR85" s="22"/>
      <c r="AS85" s="25"/>
    </row>
    <row r="86" spans="1:45" s="1" customFormat="1">
      <c r="A86" s="22">
        <f t="shared" si="1"/>
        <v>85</v>
      </c>
      <c r="B86" s="23">
        <v>45577</v>
      </c>
      <c r="C86" s="22" t="s">
        <v>208</v>
      </c>
      <c r="D86" s="22" t="s">
        <v>320</v>
      </c>
      <c r="E86" s="22">
        <v>20241431</v>
      </c>
      <c r="F86" s="22" t="s">
        <v>522</v>
      </c>
      <c r="G86" s="22">
        <v>9604794548</v>
      </c>
      <c r="H86" s="22" t="s">
        <v>523</v>
      </c>
      <c r="I86" s="22" t="s">
        <v>55</v>
      </c>
      <c r="J86" s="22" t="s">
        <v>518</v>
      </c>
      <c r="K86" s="22" t="s">
        <v>116</v>
      </c>
      <c r="L86" s="22">
        <v>3.8</v>
      </c>
      <c r="M86" s="22" t="s">
        <v>524</v>
      </c>
      <c r="N86" s="22">
        <v>11</v>
      </c>
      <c r="O86" s="22">
        <v>0</v>
      </c>
      <c r="P86" s="22">
        <v>16</v>
      </c>
      <c r="Q86" s="22" t="s">
        <v>525</v>
      </c>
      <c r="R86" s="22" t="s">
        <v>63</v>
      </c>
      <c r="S86" s="22" t="s">
        <v>255</v>
      </c>
      <c r="T86" s="22" t="s">
        <v>526</v>
      </c>
      <c r="U86" s="24">
        <v>45712</v>
      </c>
      <c r="V86" s="22">
        <v>45712</v>
      </c>
      <c r="W86" s="22" t="s">
        <v>218</v>
      </c>
      <c r="X86" s="22" t="s">
        <v>218</v>
      </c>
      <c r="Y86" s="22" t="s">
        <v>135</v>
      </c>
      <c r="Z86" s="22" t="s">
        <v>66</v>
      </c>
      <c r="AA86" s="22">
        <v>45577</v>
      </c>
      <c r="AB86" s="22">
        <v>45580</v>
      </c>
      <c r="AC86" s="22">
        <v>45580</v>
      </c>
      <c r="AD86" s="22"/>
      <c r="AE86" s="22"/>
      <c r="AF86" s="22"/>
      <c r="AG86" s="22"/>
      <c r="AH86" s="22">
        <v>45615</v>
      </c>
      <c r="AI86" s="22">
        <v>45663</v>
      </c>
      <c r="AJ86" s="22">
        <v>45663</v>
      </c>
      <c r="AK86" s="22" t="s">
        <v>63</v>
      </c>
      <c r="AL86" s="22">
        <v>1500000</v>
      </c>
      <c r="AM86" s="22">
        <v>45664</v>
      </c>
      <c r="AN86" s="22">
        <v>45664</v>
      </c>
      <c r="AO86" s="22">
        <v>45708</v>
      </c>
      <c r="AP86" s="22">
        <v>45664</v>
      </c>
      <c r="AQ86" s="22">
        <v>45666</v>
      </c>
      <c r="AR86" s="22">
        <v>45694</v>
      </c>
      <c r="AS86" s="25">
        <v>45698</v>
      </c>
    </row>
    <row r="87" spans="1:45" s="1" customFormat="1">
      <c r="A87" s="22">
        <f t="shared" si="1"/>
        <v>86</v>
      </c>
      <c r="B87" s="23">
        <v>45577</v>
      </c>
      <c r="C87" s="22" t="s">
        <v>208</v>
      </c>
      <c r="D87" s="22" t="s">
        <v>209</v>
      </c>
      <c r="E87" s="22">
        <v>20241431</v>
      </c>
      <c r="F87" s="22" t="s">
        <v>527</v>
      </c>
      <c r="G87" s="22">
        <v>9028944857</v>
      </c>
      <c r="H87" s="22" t="s">
        <v>528</v>
      </c>
      <c r="I87" s="22" t="s">
        <v>101</v>
      </c>
      <c r="J87" s="22" t="s">
        <v>518</v>
      </c>
      <c r="K87" s="22" t="s">
        <v>116</v>
      </c>
      <c r="L87" s="22">
        <v>3</v>
      </c>
      <c r="M87" s="22" t="s">
        <v>529</v>
      </c>
      <c r="N87" s="22">
        <v>4.4800000000000004</v>
      </c>
      <c r="O87" s="22">
        <v>0</v>
      </c>
      <c r="P87" s="22">
        <v>10</v>
      </c>
      <c r="Q87" s="22" t="s">
        <v>530</v>
      </c>
      <c r="R87" s="22" t="s">
        <v>63</v>
      </c>
      <c r="S87" s="22" t="s">
        <v>531</v>
      </c>
      <c r="T87" s="22" t="s">
        <v>501</v>
      </c>
      <c r="U87" s="24"/>
      <c r="V87" s="22"/>
      <c r="W87" s="22" t="s">
        <v>218</v>
      </c>
      <c r="X87" s="22" t="s">
        <v>218</v>
      </c>
      <c r="Y87" s="22" t="s">
        <v>135</v>
      </c>
      <c r="Z87" s="22" t="s">
        <v>66</v>
      </c>
      <c r="AA87" s="22">
        <v>45577</v>
      </c>
      <c r="AB87" s="22">
        <v>45579</v>
      </c>
      <c r="AC87" s="22">
        <v>45579</v>
      </c>
      <c r="AD87" s="22"/>
      <c r="AE87" s="22"/>
      <c r="AF87" s="22"/>
      <c r="AG87" s="22"/>
      <c r="AH87" s="22"/>
      <c r="AI87" s="22"/>
      <c r="AJ87" s="22"/>
      <c r="AK87" s="22"/>
      <c r="AL87" s="22"/>
      <c r="AM87" s="22"/>
      <c r="AN87" s="22"/>
      <c r="AO87" s="22"/>
      <c r="AP87" s="22"/>
      <c r="AQ87" s="22"/>
      <c r="AR87" s="22"/>
      <c r="AS87" s="25"/>
    </row>
    <row r="88" spans="1:45" s="1" customFormat="1">
      <c r="A88" s="22">
        <f t="shared" si="1"/>
        <v>87</v>
      </c>
      <c r="B88" s="23">
        <v>45579</v>
      </c>
      <c r="C88" s="22" t="s">
        <v>208</v>
      </c>
      <c r="D88" s="22" t="s">
        <v>209</v>
      </c>
      <c r="E88" s="22">
        <v>20245321</v>
      </c>
      <c r="F88" s="22" t="s">
        <v>532</v>
      </c>
      <c r="G88" s="22">
        <v>7097059593</v>
      </c>
      <c r="H88" s="22" t="s">
        <v>533</v>
      </c>
      <c r="I88" s="22" t="s">
        <v>101</v>
      </c>
      <c r="J88" s="22" t="s">
        <v>296</v>
      </c>
      <c r="K88" s="22" t="s">
        <v>213</v>
      </c>
      <c r="L88" s="22">
        <v>5</v>
      </c>
      <c r="M88" s="22" t="s">
        <v>534</v>
      </c>
      <c r="N88" s="22">
        <v>9</v>
      </c>
      <c r="O88" s="22">
        <v>0</v>
      </c>
      <c r="P88" s="22">
        <v>16</v>
      </c>
      <c r="Q88" s="22" t="s">
        <v>459</v>
      </c>
      <c r="R88" s="22" t="s">
        <v>63</v>
      </c>
      <c r="S88" s="22" t="s">
        <v>284</v>
      </c>
      <c r="T88" s="22" t="s">
        <v>217</v>
      </c>
      <c r="U88" s="24"/>
      <c r="V88" s="22"/>
      <c r="W88" s="22" t="s">
        <v>218</v>
      </c>
      <c r="X88" s="22" t="s">
        <v>218</v>
      </c>
      <c r="Y88" s="22" t="s">
        <v>135</v>
      </c>
      <c r="Z88" s="22" t="s">
        <v>66</v>
      </c>
      <c r="AA88" s="22">
        <v>45644</v>
      </c>
      <c r="AB88" s="22">
        <v>45644</v>
      </c>
      <c r="AC88" s="22">
        <v>45645</v>
      </c>
      <c r="AD88" s="22"/>
      <c r="AE88" s="22"/>
      <c r="AF88" s="22"/>
      <c r="AG88" s="22"/>
      <c r="AH88" s="22"/>
      <c r="AI88" s="22"/>
      <c r="AJ88" s="22"/>
      <c r="AK88" s="22"/>
      <c r="AL88" s="22"/>
      <c r="AM88" s="22"/>
      <c r="AN88" s="22"/>
      <c r="AO88" s="22"/>
      <c r="AP88" s="22"/>
      <c r="AQ88" s="22"/>
      <c r="AR88" s="22"/>
      <c r="AS88" s="25"/>
    </row>
    <row r="89" spans="1:45" s="1" customFormat="1">
      <c r="A89" s="22">
        <f t="shared" si="1"/>
        <v>88</v>
      </c>
      <c r="B89" s="23">
        <v>45579</v>
      </c>
      <c r="C89" s="22" t="s">
        <v>51</v>
      </c>
      <c r="D89" s="22" t="s">
        <v>51</v>
      </c>
      <c r="E89" s="22">
        <v>20246589</v>
      </c>
      <c r="F89" s="22" t="s">
        <v>535</v>
      </c>
      <c r="G89" s="22">
        <v>7875200079</v>
      </c>
      <c r="H89" s="22" t="s">
        <v>536</v>
      </c>
      <c r="I89" s="22" t="s">
        <v>101</v>
      </c>
      <c r="J89" s="22" t="s">
        <v>537</v>
      </c>
      <c r="K89" s="22" t="s">
        <v>337</v>
      </c>
      <c r="L89" s="22" t="s">
        <v>538</v>
      </c>
      <c r="M89" s="22" t="s">
        <v>539</v>
      </c>
      <c r="N89" s="22" t="s">
        <v>540</v>
      </c>
      <c r="O89" s="22"/>
      <c r="P89" s="22" t="s">
        <v>541</v>
      </c>
      <c r="Q89" s="22" t="s">
        <v>63</v>
      </c>
      <c r="R89" s="22" t="s">
        <v>63</v>
      </c>
      <c r="S89" s="22" t="s">
        <v>133</v>
      </c>
      <c r="T89" s="22" t="s">
        <v>134</v>
      </c>
      <c r="U89" s="24">
        <v>45712</v>
      </c>
      <c r="V89" s="22"/>
      <c r="W89" s="22" t="s">
        <v>93</v>
      </c>
      <c r="X89" s="22" t="s">
        <v>93</v>
      </c>
      <c r="Y89" s="22" t="s">
        <v>135</v>
      </c>
      <c r="Z89" s="22" t="s">
        <v>66</v>
      </c>
      <c r="AA89" s="22">
        <v>45644</v>
      </c>
      <c r="AB89" s="22"/>
      <c r="AC89" s="22">
        <v>45714</v>
      </c>
      <c r="AD89" s="22"/>
      <c r="AE89" s="22"/>
      <c r="AF89" s="22"/>
      <c r="AG89" s="22"/>
      <c r="AH89" s="22"/>
      <c r="AI89" s="22"/>
      <c r="AJ89" s="22"/>
      <c r="AK89" s="22"/>
      <c r="AL89" s="22"/>
      <c r="AM89" s="22"/>
      <c r="AN89" s="22"/>
      <c r="AO89" s="22"/>
      <c r="AP89" s="22"/>
      <c r="AQ89" s="22"/>
      <c r="AR89" s="22"/>
      <c r="AS89" s="25"/>
    </row>
    <row r="90" spans="1:45" s="1" customFormat="1">
      <c r="A90" s="22">
        <f t="shared" si="1"/>
        <v>89</v>
      </c>
      <c r="B90" s="23">
        <v>45579</v>
      </c>
      <c r="C90" s="22" t="s">
        <v>51</v>
      </c>
      <c r="D90" s="22" t="s">
        <v>51</v>
      </c>
      <c r="E90" s="22">
        <v>20246613</v>
      </c>
      <c r="F90" s="22" t="s">
        <v>542</v>
      </c>
      <c r="G90" s="22" t="s">
        <v>543</v>
      </c>
      <c r="H90" s="22" t="s">
        <v>544</v>
      </c>
      <c r="I90" s="22" t="s">
        <v>55</v>
      </c>
      <c r="J90" s="22" t="s">
        <v>127</v>
      </c>
      <c r="K90" s="22" t="s">
        <v>337</v>
      </c>
      <c r="L90" s="22" t="s">
        <v>545</v>
      </c>
      <c r="M90" s="22" t="s">
        <v>546</v>
      </c>
      <c r="N90" s="22" t="s">
        <v>547</v>
      </c>
      <c r="O90" s="22"/>
      <c r="P90" s="22" t="s">
        <v>548</v>
      </c>
      <c r="Q90" s="22" t="s">
        <v>63</v>
      </c>
      <c r="R90" s="22" t="s">
        <v>63</v>
      </c>
      <c r="S90" s="22" t="s">
        <v>284</v>
      </c>
      <c r="T90" s="22" t="s">
        <v>134</v>
      </c>
      <c r="U90" s="24">
        <v>45677</v>
      </c>
      <c r="V90" s="22"/>
      <c r="W90" s="22" t="s">
        <v>93</v>
      </c>
      <c r="X90" s="22" t="s">
        <v>93</v>
      </c>
      <c r="Y90" s="22" t="s">
        <v>135</v>
      </c>
      <c r="Z90" s="22" t="s">
        <v>66</v>
      </c>
      <c r="AA90" s="22">
        <v>45644</v>
      </c>
      <c r="AB90" s="22"/>
      <c r="AC90" s="22">
        <v>45705</v>
      </c>
      <c r="AD90" s="22"/>
      <c r="AE90" s="22"/>
      <c r="AF90" s="22"/>
      <c r="AG90" s="22"/>
      <c r="AH90" s="22"/>
      <c r="AI90" s="22"/>
      <c r="AJ90" s="22"/>
      <c r="AK90" s="22"/>
      <c r="AL90" s="22"/>
      <c r="AM90" s="22"/>
      <c r="AN90" s="22"/>
      <c r="AO90" s="22"/>
      <c r="AP90" s="22"/>
      <c r="AQ90" s="22"/>
      <c r="AR90" s="22"/>
      <c r="AS90" s="25"/>
    </row>
    <row r="91" spans="1:45" s="1" customFormat="1">
      <c r="A91" s="22">
        <f t="shared" si="1"/>
        <v>90</v>
      </c>
      <c r="B91" s="23">
        <v>45580</v>
      </c>
      <c r="C91" s="22" t="s">
        <v>208</v>
      </c>
      <c r="D91" s="22" t="s">
        <v>209</v>
      </c>
      <c r="E91" s="22">
        <v>20245321</v>
      </c>
      <c r="F91" s="22" t="s">
        <v>549</v>
      </c>
      <c r="G91" s="22">
        <v>8500490190</v>
      </c>
      <c r="H91" s="22" t="s">
        <v>550</v>
      </c>
      <c r="I91" s="22" t="s">
        <v>55</v>
      </c>
      <c r="J91" s="22" t="s">
        <v>296</v>
      </c>
      <c r="K91" s="22" t="s">
        <v>213</v>
      </c>
      <c r="L91" s="22">
        <v>6.9</v>
      </c>
      <c r="M91" s="22" t="s">
        <v>551</v>
      </c>
      <c r="N91" s="22">
        <v>10</v>
      </c>
      <c r="O91" s="22">
        <v>0</v>
      </c>
      <c r="P91" s="22">
        <v>15</v>
      </c>
      <c r="Q91" s="22" t="s">
        <v>552</v>
      </c>
      <c r="R91" s="22" t="s">
        <v>63</v>
      </c>
      <c r="S91" s="22" t="s">
        <v>255</v>
      </c>
      <c r="T91" s="22" t="s">
        <v>553</v>
      </c>
      <c r="U91" s="24"/>
      <c r="V91" s="22"/>
      <c r="W91" s="22" t="s">
        <v>218</v>
      </c>
      <c r="X91" s="22" t="s">
        <v>218</v>
      </c>
      <c r="Y91" s="22" t="s">
        <v>135</v>
      </c>
      <c r="Z91" s="22" t="s">
        <v>66</v>
      </c>
      <c r="AA91" s="22">
        <v>45644</v>
      </c>
      <c r="AB91" s="22">
        <v>45707</v>
      </c>
      <c r="AC91" s="22">
        <v>45707</v>
      </c>
      <c r="AD91" s="22"/>
      <c r="AE91" s="22"/>
      <c r="AF91" s="22"/>
      <c r="AG91" s="22"/>
      <c r="AH91" s="22"/>
      <c r="AI91" s="22"/>
      <c r="AJ91" s="22"/>
      <c r="AK91" s="22"/>
      <c r="AL91" s="22"/>
      <c r="AM91" s="22"/>
      <c r="AN91" s="22"/>
      <c r="AO91" s="22"/>
      <c r="AP91" s="22"/>
      <c r="AQ91" s="22"/>
      <c r="AR91" s="22"/>
      <c r="AS91" s="25"/>
    </row>
    <row r="92" spans="1:45" s="1" customFormat="1">
      <c r="A92" s="22">
        <f t="shared" si="1"/>
        <v>91</v>
      </c>
      <c r="B92" s="23">
        <v>45580</v>
      </c>
      <c r="C92" s="22" t="s">
        <v>208</v>
      </c>
      <c r="D92" s="22" t="s">
        <v>209</v>
      </c>
      <c r="E92" s="22">
        <v>20245321</v>
      </c>
      <c r="F92" s="22" t="s">
        <v>554</v>
      </c>
      <c r="G92" s="22">
        <v>9555329730</v>
      </c>
      <c r="H92" s="22" t="s">
        <v>555</v>
      </c>
      <c r="I92" s="22" t="s">
        <v>55</v>
      </c>
      <c r="J92" s="22" t="s">
        <v>296</v>
      </c>
      <c r="K92" s="22" t="s">
        <v>213</v>
      </c>
      <c r="L92" s="22" t="s">
        <v>556</v>
      </c>
      <c r="M92" s="22" t="s">
        <v>557</v>
      </c>
      <c r="N92" s="22">
        <v>9</v>
      </c>
      <c r="O92" s="22">
        <v>0</v>
      </c>
      <c r="P92" s="22">
        <v>13</v>
      </c>
      <c r="Q92" s="22" t="s">
        <v>558</v>
      </c>
      <c r="R92" s="22" t="s">
        <v>63</v>
      </c>
      <c r="S92" s="22" t="s">
        <v>559</v>
      </c>
      <c r="T92" s="22" t="s">
        <v>553</v>
      </c>
      <c r="U92" s="24"/>
      <c r="V92" s="22"/>
      <c r="W92" s="22" t="s">
        <v>218</v>
      </c>
      <c r="X92" s="22" t="s">
        <v>218</v>
      </c>
      <c r="Y92" s="22" t="s">
        <v>135</v>
      </c>
      <c r="Z92" s="22" t="s">
        <v>66</v>
      </c>
      <c r="AA92" s="22">
        <v>45703</v>
      </c>
      <c r="AB92" s="22">
        <v>45709</v>
      </c>
      <c r="AC92" s="22">
        <v>45709</v>
      </c>
      <c r="AD92" s="22"/>
      <c r="AE92" s="22"/>
      <c r="AF92" s="22"/>
      <c r="AG92" s="22"/>
      <c r="AH92" s="22"/>
      <c r="AI92" s="22"/>
      <c r="AJ92" s="22"/>
      <c r="AK92" s="22"/>
      <c r="AL92" s="22"/>
      <c r="AM92" s="22"/>
      <c r="AN92" s="22"/>
      <c r="AO92" s="22"/>
      <c r="AP92" s="22"/>
      <c r="AQ92" s="22"/>
      <c r="AR92" s="22"/>
      <c r="AS92" s="25"/>
    </row>
    <row r="93" spans="1:45" s="1" customFormat="1">
      <c r="A93" s="22">
        <f t="shared" si="1"/>
        <v>92</v>
      </c>
      <c r="B93" s="23">
        <v>45580</v>
      </c>
      <c r="C93" s="22" t="s">
        <v>51</v>
      </c>
      <c r="D93" s="22" t="s">
        <v>51</v>
      </c>
      <c r="E93" s="22">
        <v>20243901</v>
      </c>
      <c r="F93" s="22" t="s">
        <v>560</v>
      </c>
      <c r="G93" s="22">
        <v>7030678844</v>
      </c>
      <c r="H93" s="22" t="s">
        <v>561</v>
      </c>
      <c r="I93" s="22" t="s">
        <v>55</v>
      </c>
      <c r="J93" s="22" t="s">
        <v>562</v>
      </c>
      <c r="K93" s="22" t="s">
        <v>563</v>
      </c>
      <c r="L93" s="22" t="s">
        <v>564</v>
      </c>
      <c r="M93" s="22" t="s">
        <v>565</v>
      </c>
      <c r="N93" s="22" t="s">
        <v>494</v>
      </c>
      <c r="O93" s="22"/>
      <c r="P93" s="22" t="s">
        <v>566</v>
      </c>
      <c r="Q93" s="22" t="s">
        <v>63</v>
      </c>
      <c r="R93" s="22" t="s">
        <v>63</v>
      </c>
      <c r="S93" s="22" t="s">
        <v>284</v>
      </c>
      <c r="T93" s="22" t="s">
        <v>134</v>
      </c>
      <c r="U93" s="24">
        <v>45628</v>
      </c>
      <c r="V93" s="22"/>
      <c r="W93" s="22" t="s">
        <v>93</v>
      </c>
      <c r="X93" s="22" t="s">
        <v>93</v>
      </c>
      <c r="Y93" s="22" t="s">
        <v>135</v>
      </c>
      <c r="Z93" s="22" t="s">
        <v>567</v>
      </c>
      <c r="AA93" s="22">
        <v>45703</v>
      </c>
      <c r="AB93" s="22"/>
      <c r="AC93" s="22">
        <v>45709</v>
      </c>
      <c r="AD93" s="22"/>
      <c r="AE93" s="22"/>
      <c r="AF93" s="22"/>
      <c r="AG93" s="22"/>
      <c r="AH93" s="22"/>
      <c r="AI93" s="22"/>
      <c r="AJ93" s="22"/>
      <c r="AK93" s="22"/>
      <c r="AL93" s="22"/>
      <c r="AM93" s="22"/>
      <c r="AN93" s="22"/>
      <c r="AO93" s="22"/>
      <c r="AP93" s="22"/>
      <c r="AQ93" s="22"/>
      <c r="AR93" s="22"/>
      <c r="AS93" s="25"/>
    </row>
    <row r="94" spans="1:45" s="1" customFormat="1">
      <c r="A94" s="22">
        <f t="shared" si="1"/>
        <v>93</v>
      </c>
      <c r="B94" s="23">
        <v>45586</v>
      </c>
      <c r="C94" s="22" t="s">
        <v>208</v>
      </c>
      <c r="D94" s="22" t="s">
        <v>209</v>
      </c>
      <c r="E94" s="22">
        <v>20242803</v>
      </c>
      <c r="F94" s="22" t="s">
        <v>568</v>
      </c>
      <c r="G94" s="22">
        <v>7276907852</v>
      </c>
      <c r="H94" s="22" t="s">
        <v>569</v>
      </c>
      <c r="I94" s="22" t="s">
        <v>55</v>
      </c>
      <c r="J94" s="22" t="s">
        <v>212</v>
      </c>
      <c r="K94" s="22" t="s">
        <v>213</v>
      </c>
      <c r="L94" s="22">
        <v>2.2999999999999998</v>
      </c>
      <c r="M94" s="22" t="s">
        <v>570</v>
      </c>
      <c r="N94" s="22">
        <v>5.5</v>
      </c>
      <c r="O94" s="22">
        <v>0</v>
      </c>
      <c r="P94" s="22">
        <v>10</v>
      </c>
      <c r="Q94" s="22" t="s">
        <v>571</v>
      </c>
      <c r="R94" s="22" t="s">
        <v>63</v>
      </c>
      <c r="S94" s="22" t="s">
        <v>572</v>
      </c>
      <c r="T94" s="22" t="s">
        <v>573</v>
      </c>
      <c r="U94" s="24"/>
      <c r="V94" s="22"/>
      <c r="W94" s="22" t="s">
        <v>218</v>
      </c>
      <c r="X94" s="22" t="s">
        <v>218</v>
      </c>
      <c r="Y94" s="22" t="s">
        <v>135</v>
      </c>
      <c r="Z94" s="22" t="s">
        <v>66</v>
      </c>
      <c r="AA94" s="22">
        <v>45703</v>
      </c>
      <c r="AB94" s="22">
        <v>45705</v>
      </c>
      <c r="AC94" s="22">
        <v>45709</v>
      </c>
      <c r="AD94" s="22"/>
      <c r="AE94" s="22"/>
      <c r="AF94" s="22"/>
      <c r="AG94" s="22"/>
      <c r="AH94" s="22"/>
      <c r="AI94" s="22"/>
      <c r="AJ94" s="22"/>
      <c r="AK94" s="22"/>
      <c r="AL94" s="22"/>
      <c r="AM94" s="22"/>
      <c r="AN94" s="22"/>
      <c r="AO94" s="22"/>
      <c r="AP94" s="22"/>
      <c r="AQ94" s="22"/>
      <c r="AR94" s="22"/>
      <c r="AS94" s="25"/>
    </row>
    <row r="95" spans="1:45" s="1" customFormat="1">
      <c r="A95" s="22">
        <f t="shared" si="1"/>
        <v>94</v>
      </c>
      <c r="B95" s="23">
        <v>45586</v>
      </c>
      <c r="C95" s="22" t="s">
        <v>208</v>
      </c>
      <c r="D95" s="22" t="s">
        <v>209</v>
      </c>
      <c r="E95" s="22">
        <v>20242803</v>
      </c>
      <c r="F95" s="22" t="s">
        <v>574</v>
      </c>
      <c r="G95" s="22">
        <v>7972593174</v>
      </c>
      <c r="H95" s="22" t="s">
        <v>575</v>
      </c>
      <c r="I95" s="22" t="s">
        <v>101</v>
      </c>
      <c r="J95" s="22" t="s">
        <v>212</v>
      </c>
      <c r="K95" s="22" t="s">
        <v>213</v>
      </c>
      <c r="L95" s="22">
        <v>3.5</v>
      </c>
      <c r="M95" s="22" t="s">
        <v>576</v>
      </c>
      <c r="N95" s="22">
        <v>7.8</v>
      </c>
      <c r="O95" s="22">
        <v>0</v>
      </c>
      <c r="P95" s="22" t="s">
        <v>577</v>
      </c>
      <c r="Q95" s="22" t="s">
        <v>236</v>
      </c>
      <c r="R95" s="22" t="s">
        <v>63</v>
      </c>
      <c r="S95" s="22" t="s">
        <v>578</v>
      </c>
      <c r="T95" s="22" t="s">
        <v>579</v>
      </c>
      <c r="U95" s="24"/>
      <c r="V95" s="22"/>
      <c r="W95" s="22" t="s">
        <v>218</v>
      </c>
      <c r="X95" s="22" t="s">
        <v>218</v>
      </c>
      <c r="Y95" s="22" t="s">
        <v>135</v>
      </c>
      <c r="Z95" s="22" t="s">
        <v>66</v>
      </c>
      <c r="AA95" s="22">
        <v>45703</v>
      </c>
      <c r="AB95" s="22">
        <v>45706</v>
      </c>
      <c r="AC95" s="22">
        <v>45706</v>
      </c>
      <c r="AD95" s="22"/>
      <c r="AE95" s="22"/>
      <c r="AF95" s="22"/>
      <c r="AG95" s="22"/>
      <c r="AH95" s="22"/>
      <c r="AI95" s="22"/>
      <c r="AJ95" s="22"/>
      <c r="AK95" s="22"/>
      <c r="AL95" s="22"/>
      <c r="AM95" s="22"/>
      <c r="AN95" s="22"/>
      <c r="AO95" s="22"/>
      <c r="AP95" s="22"/>
      <c r="AQ95" s="22"/>
      <c r="AR95" s="22"/>
      <c r="AS95" s="25"/>
    </row>
    <row r="96" spans="1:45" s="1" customFormat="1">
      <c r="A96" s="22">
        <f t="shared" si="1"/>
        <v>95</v>
      </c>
      <c r="B96" s="23">
        <v>45586</v>
      </c>
      <c r="C96" s="22" t="s">
        <v>208</v>
      </c>
      <c r="D96" s="22" t="s">
        <v>209</v>
      </c>
      <c r="E96" s="22">
        <v>20242803</v>
      </c>
      <c r="F96" s="22" t="s">
        <v>580</v>
      </c>
      <c r="G96" s="22">
        <v>918530000000</v>
      </c>
      <c r="H96" s="22" t="s">
        <v>581</v>
      </c>
      <c r="I96" s="22" t="s">
        <v>101</v>
      </c>
      <c r="J96" s="22" t="s">
        <v>212</v>
      </c>
      <c r="K96" s="22" t="s">
        <v>213</v>
      </c>
      <c r="L96" s="22">
        <v>2.8</v>
      </c>
      <c r="M96" s="22" t="s">
        <v>582</v>
      </c>
      <c r="N96" s="22">
        <v>4.8</v>
      </c>
      <c r="O96" s="22">
        <v>0</v>
      </c>
      <c r="P96" s="22">
        <v>9</v>
      </c>
      <c r="Q96" s="22" t="s">
        <v>583</v>
      </c>
      <c r="R96" s="22" t="s">
        <v>63</v>
      </c>
      <c r="S96" s="22" t="s">
        <v>584</v>
      </c>
      <c r="T96" s="22" t="s">
        <v>61</v>
      </c>
      <c r="U96" s="24"/>
      <c r="V96" s="22"/>
      <c r="W96" s="22" t="s">
        <v>218</v>
      </c>
      <c r="X96" s="22" t="s">
        <v>218</v>
      </c>
      <c r="Y96" s="22" t="s">
        <v>135</v>
      </c>
      <c r="Z96" s="22" t="s">
        <v>66</v>
      </c>
      <c r="AA96" s="22">
        <v>45703</v>
      </c>
      <c r="AB96" s="22">
        <v>45707</v>
      </c>
      <c r="AC96" s="22">
        <v>45707</v>
      </c>
      <c r="AD96" s="22"/>
      <c r="AE96" s="22"/>
      <c r="AF96" s="22"/>
      <c r="AG96" s="22"/>
      <c r="AH96" s="22"/>
      <c r="AI96" s="22"/>
      <c r="AJ96" s="22"/>
      <c r="AK96" s="22"/>
      <c r="AL96" s="22"/>
      <c r="AM96" s="22"/>
      <c r="AN96" s="22"/>
      <c r="AO96" s="22"/>
      <c r="AP96" s="22"/>
      <c r="AQ96" s="22"/>
      <c r="AR96" s="22"/>
      <c r="AS96" s="25"/>
    </row>
    <row r="97" spans="1:45" s="1" customFormat="1">
      <c r="A97" s="22">
        <f t="shared" si="1"/>
        <v>96</v>
      </c>
      <c r="B97" s="23">
        <v>45586</v>
      </c>
      <c r="C97" s="22" t="s">
        <v>208</v>
      </c>
      <c r="D97" s="22" t="s">
        <v>209</v>
      </c>
      <c r="E97" s="22">
        <v>20242803</v>
      </c>
      <c r="F97" s="22" t="s">
        <v>585</v>
      </c>
      <c r="G97" s="22">
        <v>7755918360</v>
      </c>
      <c r="H97" s="22" t="s">
        <v>586</v>
      </c>
      <c r="I97" s="22" t="s">
        <v>101</v>
      </c>
      <c r="J97" s="22" t="s">
        <v>212</v>
      </c>
      <c r="K97" s="22" t="s">
        <v>213</v>
      </c>
      <c r="L97" s="22" t="s">
        <v>587</v>
      </c>
      <c r="M97" s="22" t="s">
        <v>588</v>
      </c>
      <c r="N97" s="22">
        <v>4.7</v>
      </c>
      <c r="O97" s="22">
        <v>0</v>
      </c>
      <c r="P97" s="22">
        <v>10</v>
      </c>
      <c r="Q97" s="22" t="s">
        <v>304</v>
      </c>
      <c r="R97" s="22" t="s">
        <v>63</v>
      </c>
      <c r="S97" s="22" t="s">
        <v>589</v>
      </c>
      <c r="T97" s="22" t="s">
        <v>573</v>
      </c>
      <c r="U97" s="24"/>
      <c r="V97" s="22"/>
      <c r="W97" s="22" t="s">
        <v>218</v>
      </c>
      <c r="X97" s="22" t="s">
        <v>218</v>
      </c>
      <c r="Y97" s="22" t="s">
        <v>135</v>
      </c>
      <c r="Z97" s="22" t="s">
        <v>66</v>
      </c>
      <c r="AA97" s="22">
        <v>45707</v>
      </c>
      <c r="AB97" s="22">
        <v>45708</v>
      </c>
      <c r="AC97" s="22">
        <v>45708</v>
      </c>
      <c r="AD97" s="22"/>
      <c r="AE97" s="22"/>
      <c r="AF97" s="22"/>
      <c r="AG97" s="22"/>
      <c r="AH97" s="22"/>
      <c r="AI97" s="22"/>
      <c r="AJ97" s="22"/>
      <c r="AK97" s="22"/>
      <c r="AL97" s="22"/>
      <c r="AM97" s="22"/>
      <c r="AN97" s="22"/>
      <c r="AO97" s="22"/>
      <c r="AP97" s="22"/>
      <c r="AQ97" s="22"/>
      <c r="AR97" s="22"/>
      <c r="AS97" s="25"/>
    </row>
    <row r="98" spans="1:45" s="1" customFormat="1">
      <c r="A98" s="22">
        <f t="shared" si="1"/>
        <v>97</v>
      </c>
      <c r="B98" s="23">
        <v>45587</v>
      </c>
      <c r="C98" s="22" t="s">
        <v>51</v>
      </c>
      <c r="D98" s="22" t="s">
        <v>51</v>
      </c>
      <c r="E98" s="22">
        <v>20248963</v>
      </c>
      <c r="F98" s="22" t="s">
        <v>590</v>
      </c>
      <c r="G98" s="22" t="s">
        <v>591</v>
      </c>
      <c r="H98" s="22" t="s">
        <v>592</v>
      </c>
      <c r="I98" s="22" t="s">
        <v>101</v>
      </c>
      <c r="J98" s="22" t="s">
        <v>127</v>
      </c>
      <c r="K98" s="22" t="s">
        <v>337</v>
      </c>
      <c r="L98" s="22" t="s">
        <v>593</v>
      </c>
      <c r="M98" s="22" t="s">
        <v>594</v>
      </c>
      <c r="N98" s="22" t="s">
        <v>595</v>
      </c>
      <c r="O98" s="22"/>
      <c r="P98" s="22" t="s">
        <v>596</v>
      </c>
      <c r="Q98" s="22" t="s">
        <v>63</v>
      </c>
      <c r="R98" s="22" t="s">
        <v>63</v>
      </c>
      <c r="S98" s="22" t="s">
        <v>175</v>
      </c>
      <c r="T98" s="22" t="s">
        <v>134</v>
      </c>
      <c r="U98" s="24">
        <v>45642</v>
      </c>
      <c r="V98" s="22"/>
      <c r="W98" s="22" t="s">
        <v>93</v>
      </c>
      <c r="X98" s="22" t="s">
        <v>93</v>
      </c>
      <c r="Y98" s="22" t="s">
        <v>135</v>
      </c>
      <c r="Z98" s="22" t="s">
        <v>66</v>
      </c>
      <c r="AA98" s="22">
        <v>45714</v>
      </c>
      <c r="AB98" s="22"/>
      <c r="AC98" s="22">
        <v>45709</v>
      </c>
      <c r="AD98" s="22"/>
      <c r="AE98" s="22"/>
      <c r="AF98" s="22"/>
      <c r="AG98" s="22"/>
      <c r="AH98" s="22"/>
      <c r="AI98" s="22"/>
      <c r="AJ98" s="22"/>
      <c r="AK98" s="22"/>
      <c r="AL98" s="22"/>
      <c r="AM98" s="22"/>
      <c r="AN98" s="22"/>
      <c r="AO98" s="22"/>
      <c r="AP98" s="22"/>
      <c r="AQ98" s="22"/>
      <c r="AR98" s="22"/>
      <c r="AS98" s="25"/>
    </row>
    <row r="99" spans="1:45" s="1" customFormat="1">
      <c r="A99" s="22">
        <f t="shared" si="1"/>
        <v>98</v>
      </c>
      <c r="B99" s="23">
        <v>45600</v>
      </c>
      <c r="C99" s="22" t="s">
        <v>51</v>
      </c>
      <c r="D99" s="22" t="s">
        <v>51</v>
      </c>
      <c r="E99" s="22" t="s">
        <v>321</v>
      </c>
      <c r="F99" s="22" t="s">
        <v>597</v>
      </c>
      <c r="G99" s="22">
        <v>9766899143</v>
      </c>
      <c r="H99" s="22" t="s">
        <v>598</v>
      </c>
      <c r="I99" s="22" t="s">
        <v>101</v>
      </c>
      <c r="J99" s="22" t="s">
        <v>599</v>
      </c>
      <c r="K99" s="22" t="s">
        <v>116</v>
      </c>
      <c r="L99" s="22"/>
      <c r="M99" s="22"/>
      <c r="N99" s="22"/>
      <c r="O99" s="22"/>
      <c r="P99" s="22">
        <v>800000</v>
      </c>
      <c r="Q99" s="22" t="e" vm="1">
        <v>#VALUE!</v>
      </c>
      <c r="R99" s="22" t="s">
        <v>63</v>
      </c>
      <c r="S99" s="22"/>
      <c r="T99" s="22"/>
      <c r="U99" s="24">
        <v>45628</v>
      </c>
      <c r="V99" s="22"/>
      <c r="W99" s="22" t="s">
        <v>65</v>
      </c>
      <c r="X99" s="22" t="s">
        <v>65</v>
      </c>
      <c r="Y99" s="22"/>
      <c r="Z99" s="22" t="s">
        <v>118</v>
      </c>
      <c r="AA99" s="22">
        <v>45714</v>
      </c>
      <c r="AB99" s="22"/>
      <c r="AC99" s="22"/>
      <c r="AD99" s="22"/>
      <c r="AE99" s="22"/>
      <c r="AF99" s="22"/>
      <c r="AG99" s="22"/>
      <c r="AH99" s="22"/>
      <c r="AI99" s="22"/>
      <c r="AJ99" s="22"/>
      <c r="AK99" s="22"/>
      <c r="AL99" s="22"/>
      <c r="AM99" s="22"/>
      <c r="AN99" s="22"/>
      <c r="AO99" s="22"/>
      <c r="AP99" s="22"/>
      <c r="AQ99" s="22"/>
      <c r="AR99" s="22"/>
      <c r="AS99" s="25"/>
    </row>
    <row r="100" spans="1:45" s="1" customFormat="1">
      <c r="A100" s="22">
        <f t="shared" si="1"/>
        <v>99</v>
      </c>
      <c r="B100" s="23">
        <v>45607</v>
      </c>
      <c r="C100" s="22" t="s">
        <v>208</v>
      </c>
      <c r="D100" s="22" t="s">
        <v>209</v>
      </c>
      <c r="E100" s="22">
        <v>20242803</v>
      </c>
      <c r="F100" s="22" t="s">
        <v>600</v>
      </c>
      <c r="G100" s="22">
        <v>7499820906</v>
      </c>
      <c r="H100" s="22" t="s">
        <v>601</v>
      </c>
      <c r="I100" s="22" t="s">
        <v>101</v>
      </c>
      <c r="J100" s="22" t="s">
        <v>212</v>
      </c>
      <c r="K100" s="22" t="s">
        <v>213</v>
      </c>
      <c r="L100" s="22">
        <v>3.4</v>
      </c>
      <c r="M100" s="22" t="s">
        <v>602</v>
      </c>
      <c r="N100" s="22">
        <v>6</v>
      </c>
      <c r="O100" s="22">
        <v>0</v>
      </c>
      <c r="P100" s="22">
        <v>9</v>
      </c>
      <c r="Q100" s="22" t="s">
        <v>603</v>
      </c>
      <c r="R100" s="22" t="s">
        <v>63</v>
      </c>
      <c r="S100" s="22" t="s">
        <v>230</v>
      </c>
      <c r="T100" s="22" t="s">
        <v>61</v>
      </c>
      <c r="U100" s="24"/>
      <c r="V100" s="22"/>
      <c r="W100" s="22" t="s">
        <v>218</v>
      </c>
      <c r="X100" s="22" t="s">
        <v>218</v>
      </c>
      <c r="Y100" s="22" t="s">
        <v>135</v>
      </c>
      <c r="Z100" s="22" t="s">
        <v>66</v>
      </c>
      <c r="AA100" s="22">
        <v>45714</v>
      </c>
      <c r="AB100" s="22">
        <v>45709</v>
      </c>
      <c r="AC100" s="22">
        <v>45709</v>
      </c>
      <c r="AD100" s="22"/>
      <c r="AE100" s="22"/>
      <c r="AF100" s="22"/>
      <c r="AG100" s="22"/>
      <c r="AH100" s="22"/>
      <c r="AI100" s="22"/>
      <c r="AJ100" s="22"/>
      <c r="AK100" s="22"/>
      <c r="AL100" s="22"/>
      <c r="AM100" s="22"/>
      <c r="AN100" s="22"/>
      <c r="AO100" s="22"/>
      <c r="AP100" s="22"/>
      <c r="AQ100" s="22"/>
      <c r="AR100" s="22"/>
      <c r="AS100" s="25"/>
    </row>
    <row r="101" spans="1:45" s="1" customFormat="1">
      <c r="A101" s="22">
        <f t="shared" si="1"/>
        <v>100</v>
      </c>
      <c r="B101" s="23">
        <v>45607</v>
      </c>
      <c r="C101" s="22" t="s">
        <v>208</v>
      </c>
      <c r="D101" s="22" t="s">
        <v>209</v>
      </c>
      <c r="E101" s="22">
        <v>20242803</v>
      </c>
      <c r="F101" s="22" t="s">
        <v>604</v>
      </c>
      <c r="G101" s="22">
        <v>8983557456</v>
      </c>
      <c r="H101" s="22" t="s">
        <v>605</v>
      </c>
      <c r="I101" s="22" t="s">
        <v>55</v>
      </c>
      <c r="J101" s="22" t="s">
        <v>212</v>
      </c>
      <c r="K101" s="22" t="s">
        <v>213</v>
      </c>
      <c r="L101" s="22">
        <v>3</v>
      </c>
      <c r="M101" s="22" t="s">
        <v>505</v>
      </c>
      <c r="N101" s="22">
        <v>4</v>
      </c>
      <c r="O101" s="22">
        <v>0</v>
      </c>
      <c r="P101" s="22" t="s">
        <v>606</v>
      </c>
      <c r="Q101" s="22" t="s">
        <v>530</v>
      </c>
      <c r="R101" s="22" t="s">
        <v>63</v>
      </c>
      <c r="S101" s="22" t="s">
        <v>607</v>
      </c>
      <c r="T101" s="22" t="s">
        <v>608</v>
      </c>
      <c r="U101" s="24"/>
      <c r="V101" s="22"/>
      <c r="W101" s="22" t="s">
        <v>218</v>
      </c>
      <c r="X101" s="22" t="s">
        <v>218</v>
      </c>
      <c r="Y101" s="22" t="s">
        <v>135</v>
      </c>
      <c r="Z101" s="22" t="s">
        <v>66</v>
      </c>
      <c r="AA101" s="22">
        <v>45714</v>
      </c>
      <c r="AB101" s="22">
        <v>45715</v>
      </c>
      <c r="AC101" s="22">
        <v>45715</v>
      </c>
      <c r="AD101" s="22"/>
      <c r="AE101" s="22"/>
      <c r="AF101" s="22"/>
      <c r="AG101" s="22"/>
      <c r="AH101" s="22"/>
      <c r="AI101" s="22"/>
      <c r="AJ101" s="22"/>
      <c r="AK101" s="22"/>
      <c r="AL101" s="22"/>
      <c r="AM101" s="22"/>
      <c r="AN101" s="22"/>
      <c r="AO101" s="22"/>
      <c r="AP101" s="22"/>
      <c r="AQ101" s="22"/>
      <c r="AR101" s="22"/>
      <c r="AS101" s="25"/>
    </row>
    <row r="102" spans="1:45" s="1" customFormat="1">
      <c r="A102" s="22">
        <f t="shared" si="1"/>
        <v>101</v>
      </c>
      <c r="B102" s="23">
        <v>45607</v>
      </c>
      <c r="C102" s="22" t="s">
        <v>208</v>
      </c>
      <c r="D102" s="22" t="s">
        <v>209</v>
      </c>
      <c r="E102" s="22">
        <v>20242803</v>
      </c>
      <c r="F102" s="22" t="s">
        <v>609</v>
      </c>
      <c r="G102" s="22">
        <v>8669422630</v>
      </c>
      <c r="H102" s="22" t="s">
        <v>610</v>
      </c>
      <c r="I102" s="22" t="s">
        <v>101</v>
      </c>
      <c r="J102" s="22" t="s">
        <v>212</v>
      </c>
      <c r="K102" s="22" t="s">
        <v>213</v>
      </c>
      <c r="L102" s="22">
        <v>2</v>
      </c>
      <c r="M102" s="22" t="s">
        <v>611</v>
      </c>
      <c r="N102" s="22">
        <v>7</v>
      </c>
      <c r="O102" s="22">
        <v>0</v>
      </c>
      <c r="P102" s="22">
        <v>10</v>
      </c>
      <c r="Q102" s="22" t="s">
        <v>63</v>
      </c>
      <c r="R102" s="22" t="s">
        <v>63</v>
      </c>
      <c r="S102" s="22" t="s">
        <v>298</v>
      </c>
      <c r="T102" s="22" t="s">
        <v>61</v>
      </c>
      <c r="U102" s="24"/>
      <c r="V102" s="22"/>
      <c r="W102" s="22" t="s">
        <v>218</v>
      </c>
      <c r="X102" s="22" t="s">
        <v>218</v>
      </c>
      <c r="Y102" s="22" t="s">
        <v>135</v>
      </c>
      <c r="Z102" s="22" t="s">
        <v>66</v>
      </c>
      <c r="AA102" s="22">
        <v>45714</v>
      </c>
      <c r="AB102" s="22">
        <v>45716</v>
      </c>
      <c r="AC102" s="22">
        <v>45716</v>
      </c>
      <c r="AD102" s="22"/>
      <c r="AE102" s="22"/>
      <c r="AF102" s="22"/>
      <c r="AG102" s="22"/>
      <c r="AH102" s="22"/>
      <c r="AI102" s="22"/>
      <c r="AJ102" s="22"/>
      <c r="AK102" s="22"/>
      <c r="AL102" s="22"/>
      <c r="AM102" s="22"/>
      <c r="AN102" s="22"/>
      <c r="AO102" s="22"/>
      <c r="AP102" s="22"/>
      <c r="AQ102" s="22"/>
      <c r="AR102" s="22"/>
      <c r="AS102" s="25"/>
    </row>
    <row r="103" spans="1:45" s="1" customFormat="1">
      <c r="A103" s="22">
        <f t="shared" si="1"/>
        <v>102</v>
      </c>
      <c r="B103" s="23">
        <v>45607</v>
      </c>
      <c r="C103" s="22" t="s">
        <v>208</v>
      </c>
      <c r="D103" s="22" t="s">
        <v>209</v>
      </c>
      <c r="E103" s="22">
        <v>20242803</v>
      </c>
      <c r="F103" s="22" t="s">
        <v>612</v>
      </c>
      <c r="G103" s="22">
        <v>9503497103</v>
      </c>
      <c r="H103" s="22" t="s">
        <v>613</v>
      </c>
      <c r="I103" s="22" t="s">
        <v>55</v>
      </c>
      <c r="J103" s="22" t="s">
        <v>212</v>
      </c>
      <c r="K103" s="22" t="s">
        <v>213</v>
      </c>
      <c r="L103" s="22">
        <v>2.2999999999999998</v>
      </c>
      <c r="M103" s="22" t="s">
        <v>614</v>
      </c>
      <c r="N103" s="22">
        <v>5.6</v>
      </c>
      <c r="O103" s="22">
        <v>0</v>
      </c>
      <c r="P103" s="22">
        <v>8.5</v>
      </c>
      <c r="Q103" s="22" t="s">
        <v>615</v>
      </c>
      <c r="R103" s="22" t="s">
        <v>63</v>
      </c>
      <c r="S103" s="22" t="s">
        <v>584</v>
      </c>
      <c r="T103" s="22" t="s">
        <v>61</v>
      </c>
      <c r="U103" s="24"/>
      <c r="V103" s="22"/>
      <c r="W103" s="22" t="s">
        <v>218</v>
      </c>
      <c r="X103" s="22" t="s">
        <v>218</v>
      </c>
      <c r="Y103" s="22" t="s">
        <v>135</v>
      </c>
      <c r="Z103" s="22" t="s">
        <v>66</v>
      </c>
      <c r="AA103" s="22">
        <v>45714</v>
      </c>
      <c r="AB103" s="22">
        <v>45719</v>
      </c>
      <c r="AC103" s="22">
        <v>45719</v>
      </c>
      <c r="AD103" s="22"/>
      <c r="AE103" s="22"/>
      <c r="AF103" s="22"/>
      <c r="AG103" s="22"/>
      <c r="AH103" s="22"/>
      <c r="AI103" s="22"/>
      <c r="AJ103" s="22"/>
      <c r="AK103" s="22"/>
      <c r="AL103" s="22"/>
      <c r="AM103" s="22"/>
      <c r="AN103" s="22"/>
      <c r="AO103" s="22"/>
      <c r="AP103" s="22"/>
      <c r="AQ103" s="22"/>
      <c r="AR103" s="22"/>
      <c r="AS103" s="25"/>
    </row>
    <row r="104" spans="1:45" s="1" customFormat="1">
      <c r="A104" s="22">
        <f t="shared" si="1"/>
        <v>103</v>
      </c>
      <c r="B104" s="23">
        <v>45610</v>
      </c>
      <c r="C104" s="22" t="s">
        <v>51</v>
      </c>
      <c r="D104" s="22" t="s">
        <v>51</v>
      </c>
      <c r="E104" s="22">
        <v>20245964</v>
      </c>
      <c r="F104" s="22" t="s">
        <v>616</v>
      </c>
      <c r="G104" s="22">
        <v>9975965098</v>
      </c>
      <c r="H104" s="22" t="s">
        <v>617</v>
      </c>
      <c r="I104" s="22" t="s">
        <v>55</v>
      </c>
      <c r="J104" s="22" t="s">
        <v>618</v>
      </c>
      <c r="K104" s="22" t="s">
        <v>619</v>
      </c>
      <c r="L104" s="22" t="s">
        <v>620</v>
      </c>
      <c r="M104" s="22" t="s">
        <v>621</v>
      </c>
      <c r="N104" s="22" t="s">
        <v>403</v>
      </c>
      <c r="O104" s="22"/>
      <c r="P104" s="22" t="s">
        <v>622</v>
      </c>
      <c r="Q104" s="22" t="s">
        <v>63</v>
      </c>
      <c r="R104" s="22" t="s">
        <v>63</v>
      </c>
      <c r="S104" s="22" t="s">
        <v>623</v>
      </c>
      <c r="T104" s="22" t="s">
        <v>134</v>
      </c>
      <c r="U104" s="24">
        <v>45684</v>
      </c>
      <c r="V104" s="22"/>
      <c r="W104" s="22" t="s">
        <v>93</v>
      </c>
      <c r="X104" s="22" t="s">
        <v>93</v>
      </c>
      <c r="Y104" s="22" t="s">
        <v>351</v>
      </c>
      <c r="Z104" s="22" t="s">
        <v>66</v>
      </c>
      <c r="AA104" s="22">
        <v>45714</v>
      </c>
      <c r="AB104" s="22">
        <v>45714</v>
      </c>
      <c r="AC104" s="22">
        <v>45720</v>
      </c>
      <c r="AD104" s="22"/>
      <c r="AE104" s="22"/>
      <c r="AF104" s="22"/>
      <c r="AG104" s="22"/>
      <c r="AH104" s="22"/>
      <c r="AI104" s="22"/>
      <c r="AJ104" s="22"/>
      <c r="AK104" s="22"/>
      <c r="AL104" s="22"/>
      <c r="AM104" s="22"/>
      <c r="AN104" s="22"/>
      <c r="AO104" s="22"/>
      <c r="AP104" s="22"/>
      <c r="AQ104" s="22"/>
      <c r="AR104" s="22"/>
      <c r="AS104" s="25"/>
    </row>
    <row r="105" spans="1:45" s="1" customFormat="1">
      <c r="A105" s="22">
        <f t="shared" si="1"/>
        <v>104</v>
      </c>
      <c r="B105" s="23">
        <v>45615</v>
      </c>
      <c r="C105" s="22" t="s">
        <v>208</v>
      </c>
      <c r="D105" s="22" t="s">
        <v>624</v>
      </c>
      <c r="E105" s="22">
        <v>20242803</v>
      </c>
      <c r="F105" s="22" t="s">
        <v>625</v>
      </c>
      <c r="G105" s="22">
        <v>7057627488</v>
      </c>
      <c r="H105" s="22" t="s">
        <v>626</v>
      </c>
      <c r="I105" s="22" t="s">
        <v>55</v>
      </c>
      <c r="J105" s="22" t="s">
        <v>212</v>
      </c>
      <c r="K105" s="22" t="s">
        <v>213</v>
      </c>
      <c r="L105" s="22">
        <v>3.5</v>
      </c>
      <c r="M105" s="22" t="s">
        <v>505</v>
      </c>
      <c r="N105" s="22">
        <v>8.5</v>
      </c>
      <c r="O105" s="22">
        <v>0</v>
      </c>
      <c r="P105" s="22">
        <v>13</v>
      </c>
      <c r="Q105" s="22" t="s">
        <v>627</v>
      </c>
      <c r="R105" s="22" t="s">
        <v>63</v>
      </c>
      <c r="S105" s="22" t="s">
        <v>628</v>
      </c>
      <c r="T105" s="22" t="s">
        <v>61</v>
      </c>
      <c r="U105" s="24"/>
      <c r="V105" s="22"/>
      <c r="W105" s="22" t="s">
        <v>218</v>
      </c>
      <c r="X105" s="22" t="s">
        <v>218</v>
      </c>
      <c r="Y105" s="22" t="s">
        <v>135</v>
      </c>
      <c r="Z105" s="22" t="s">
        <v>66</v>
      </c>
      <c r="AA105" s="22">
        <v>45714</v>
      </c>
      <c r="AB105" s="22">
        <v>45719</v>
      </c>
      <c r="AC105" s="22">
        <v>45719</v>
      </c>
      <c r="AD105" s="22"/>
      <c r="AE105" s="22"/>
      <c r="AF105" s="22"/>
      <c r="AG105" s="22"/>
      <c r="AH105" s="22"/>
      <c r="AI105" s="22"/>
      <c r="AJ105" s="22"/>
      <c r="AK105" s="22"/>
      <c r="AL105" s="22"/>
      <c r="AM105" s="22"/>
      <c r="AN105" s="22"/>
      <c r="AO105" s="22"/>
      <c r="AP105" s="22"/>
      <c r="AQ105" s="22"/>
      <c r="AR105" s="22"/>
      <c r="AS105" s="25"/>
    </row>
    <row r="106" spans="1:45" s="1" customFormat="1">
      <c r="A106" s="22">
        <f t="shared" si="1"/>
        <v>105</v>
      </c>
      <c r="B106" s="23">
        <v>45615</v>
      </c>
      <c r="C106" s="22" t="s">
        <v>208</v>
      </c>
      <c r="D106" s="22" t="s">
        <v>209</v>
      </c>
      <c r="E106" s="22">
        <v>20242803</v>
      </c>
      <c r="F106" s="22" t="s">
        <v>629</v>
      </c>
      <c r="G106" s="22">
        <v>8823894525</v>
      </c>
      <c r="H106" s="22" t="s">
        <v>630</v>
      </c>
      <c r="I106" s="22" t="s">
        <v>101</v>
      </c>
      <c r="J106" s="22" t="s">
        <v>212</v>
      </c>
      <c r="K106" s="22" t="s">
        <v>213</v>
      </c>
      <c r="L106" s="22">
        <v>3</v>
      </c>
      <c r="M106" s="22" t="s">
        <v>246</v>
      </c>
      <c r="N106" s="22">
        <v>7</v>
      </c>
      <c r="O106" s="22">
        <v>0</v>
      </c>
      <c r="P106" s="22" t="s">
        <v>631</v>
      </c>
      <c r="Q106" s="22" t="s">
        <v>632</v>
      </c>
      <c r="R106" s="22" t="s">
        <v>63</v>
      </c>
      <c r="S106" s="22" t="s">
        <v>633</v>
      </c>
      <c r="T106" s="22" t="s">
        <v>61</v>
      </c>
      <c r="U106" s="24"/>
      <c r="V106" s="22"/>
      <c r="W106" s="22" t="s">
        <v>218</v>
      </c>
      <c r="X106" s="22" t="s">
        <v>218</v>
      </c>
      <c r="Y106" s="22" t="s">
        <v>135</v>
      </c>
      <c r="Z106" s="22" t="s">
        <v>66</v>
      </c>
      <c r="AA106" s="22">
        <v>45714</v>
      </c>
      <c r="AB106" s="22">
        <v>45932</v>
      </c>
      <c r="AC106" s="22">
        <v>45720</v>
      </c>
      <c r="AD106" s="22"/>
      <c r="AE106" s="22"/>
      <c r="AF106" s="22"/>
      <c r="AG106" s="22"/>
      <c r="AH106" s="22"/>
      <c r="AI106" s="22"/>
      <c r="AJ106" s="22"/>
      <c r="AK106" s="22"/>
      <c r="AL106" s="22"/>
      <c r="AM106" s="22"/>
      <c r="AN106" s="22"/>
      <c r="AO106" s="22"/>
      <c r="AP106" s="22"/>
      <c r="AQ106" s="22"/>
      <c r="AR106" s="22"/>
      <c r="AS106" s="25"/>
    </row>
    <row r="107" spans="1:45" s="1" customFormat="1">
      <c r="A107" s="22">
        <f t="shared" si="1"/>
        <v>106</v>
      </c>
      <c r="B107" s="23">
        <v>45615</v>
      </c>
      <c r="C107" s="22" t="s">
        <v>208</v>
      </c>
      <c r="D107" s="22" t="s">
        <v>209</v>
      </c>
      <c r="E107" s="22">
        <v>20242803</v>
      </c>
      <c r="F107" s="22" t="s">
        <v>634</v>
      </c>
      <c r="G107" s="22">
        <v>9621678367</v>
      </c>
      <c r="H107" s="22" t="s">
        <v>635</v>
      </c>
      <c r="I107" s="22" t="s">
        <v>55</v>
      </c>
      <c r="J107" s="22" t="s">
        <v>212</v>
      </c>
      <c r="K107" s="22" t="s">
        <v>213</v>
      </c>
      <c r="L107" s="22">
        <v>3.4</v>
      </c>
      <c r="M107" s="22" t="s">
        <v>505</v>
      </c>
      <c r="N107" s="22">
        <v>10.35</v>
      </c>
      <c r="O107" s="22">
        <v>0</v>
      </c>
      <c r="P107" s="22">
        <v>18</v>
      </c>
      <c r="Q107" s="22" t="s">
        <v>636</v>
      </c>
      <c r="R107" s="22" t="s">
        <v>63</v>
      </c>
      <c r="S107" s="22" t="s">
        <v>637</v>
      </c>
      <c r="T107" s="22" t="s">
        <v>61</v>
      </c>
      <c r="U107" s="24"/>
      <c r="V107" s="22"/>
      <c r="W107" s="22" t="s">
        <v>218</v>
      </c>
      <c r="X107" s="22" t="s">
        <v>218</v>
      </c>
      <c r="Y107" s="22" t="s">
        <v>135</v>
      </c>
      <c r="Z107" s="22" t="s">
        <v>66</v>
      </c>
      <c r="AA107" s="22">
        <v>45993</v>
      </c>
      <c r="AB107" s="22">
        <v>45995</v>
      </c>
      <c r="AC107" s="22">
        <v>45995</v>
      </c>
      <c r="AD107" s="22"/>
      <c r="AE107" s="22"/>
      <c r="AF107" s="22"/>
      <c r="AG107" s="22"/>
      <c r="AH107" s="22"/>
      <c r="AI107" s="22"/>
      <c r="AJ107" s="22"/>
      <c r="AK107" s="22"/>
      <c r="AL107" s="22"/>
      <c r="AM107" s="22"/>
      <c r="AN107" s="22"/>
      <c r="AO107" s="22"/>
      <c r="AP107" s="22"/>
      <c r="AQ107" s="22"/>
      <c r="AR107" s="22"/>
      <c r="AS107" s="25"/>
    </row>
    <row r="108" spans="1:45" s="1" customFormat="1">
      <c r="A108" s="22">
        <f t="shared" si="1"/>
        <v>107</v>
      </c>
      <c r="B108" s="23">
        <v>45615</v>
      </c>
      <c r="C108" s="22" t="s">
        <v>208</v>
      </c>
      <c r="D108" s="22" t="s">
        <v>209</v>
      </c>
      <c r="E108" s="22">
        <v>20245321</v>
      </c>
      <c r="F108" s="22" t="s">
        <v>638</v>
      </c>
      <c r="G108" s="22">
        <v>8340380177</v>
      </c>
      <c r="H108" s="22" t="s">
        <v>639</v>
      </c>
      <c r="I108" s="22" t="s">
        <v>55</v>
      </c>
      <c r="J108" s="22" t="s">
        <v>296</v>
      </c>
      <c r="K108" s="22" t="s">
        <v>213</v>
      </c>
      <c r="L108" s="22">
        <v>5</v>
      </c>
      <c r="M108" s="22" t="s">
        <v>640</v>
      </c>
      <c r="N108" s="22">
        <v>6</v>
      </c>
      <c r="O108" s="22">
        <v>0</v>
      </c>
      <c r="P108" s="22">
        <v>11</v>
      </c>
      <c r="Q108" s="22" t="s">
        <v>641</v>
      </c>
      <c r="R108" s="22" t="s">
        <v>63</v>
      </c>
      <c r="S108" s="22" t="s">
        <v>642</v>
      </c>
      <c r="T108" s="22" t="s">
        <v>643</v>
      </c>
      <c r="U108" s="24"/>
      <c r="V108" s="22"/>
      <c r="W108" s="22" t="s">
        <v>218</v>
      </c>
      <c r="X108" s="22" t="s">
        <v>218</v>
      </c>
      <c r="Y108" s="22" t="s">
        <v>135</v>
      </c>
      <c r="Z108" s="22" t="s">
        <v>66</v>
      </c>
      <c r="AA108" s="22">
        <v>45993</v>
      </c>
      <c r="AB108" s="22">
        <v>45996</v>
      </c>
      <c r="AC108" s="22">
        <v>45996</v>
      </c>
      <c r="AD108" s="22"/>
      <c r="AE108" s="22"/>
      <c r="AF108" s="22"/>
      <c r="AG108" s="22"/>
      <c r="AH108" s="22"/>
      <c r="AI108" s="22"/>
      <c r="AJ108" s="22"/>
      <c r="AK108" s="22"/>
      <c r="AL108" s="22"/>
      <c r="AM108" s="22"/>
      <c r="AN108" s="22"/>
      <c r="AO108" s="22"/>
      <c r="AP108" s="22"/>
      <c r="AQ108" s="22"/>
      <c r="AR108" s="22"/>
      <c r="AS108" s="25"/>
    </row>
    <row r="109" spans="1:45" s="1" customFormat="1">
      <c r="A109" s="22">
        <f t="shared" si="1"/>
        <v>108</v>
      </c>
      <c r="B109" s="23">
        <v>45615</v>
      </c>
      <c r="C109" s="22" t="s">
        <v>208</v>
      </c>
      <c r="D109" s="22" t="s">
        <v>209</v>
      </c>
      <c r="E109" s="22">
        <v>20245321</v>
      </c>
      <c r="F109" s="22" t="s">
        <v>644</v>
      </c>
      <c r="G109" s="22">
        <v>9730067575</v>
      </c>
      <c r="H109" s="22" t="s">
        <v>645</v>
      </c>
      <c r="I109" s="22" t="s">
        <v>101</v>
      </c>
      <c r="J109" s="22" t="s">
        <v>296</v>
      </c>
      <c r="K109" s="22" t="s">
        <v>213</v>
      </c>
      <c r="L109" s="22">
        <v>7</v>
      </c>
      <c r="M109" s="22" t="s">
        <v>646</v>
      </c>
      <c r="N109" s="22">
        <v>12.5</v>
      </c>
      <c r="O109" s="22">
        <v>0</v>
      </c>
      <c r="P109" s="22" t="s">
        <v>647</v>
      </c>
      <c r="Q109" s="22" t="s">
        <v>63</v>
      </c>
      <c r="R109" s="22" t="s">
        <v>63</v>
      </c>
      <c r="S109" s="22" t="s">
        <v>255</v>
      </c>
      <c r="T109" s="22" t="s">
        <v>61</v>
      </c>
      <c r="U109" s="24"/>
      <c r="V109" s="22"/>
      <c r="W109" s="22" t="s">
        <v>218</v>
      </c>
      <c r="X109" s="22" t="s">
        <v>218</v>
      </c>
      <c r="Y109" s="22" t="s">
        <v>135</v>
      </c>
      <c r="Z109" s="22" t="s">
        <v>66</v>
      </c>
      <c r="AA109" s="22">
        <v>45993</v>
      </c>
      <c r="AB109" s="22">
        <v>45999</v>
      </c>
      <c r="AC109" s="22">
        <v>45999</v>
      </c>
      <c r="AD109" s="22"/>
      <c r="AE109" s="22"/>
      <c r="AF109" s="22"/>
      <c r="AG109" s="22"/>
      <c r="AH109" s="22"/>
      <c r="AI109" s="22"/>
      <c r="AJ109" s="22"/>
      <c r="AK109" s="22"/>
      <c r="AL109" s="22"/>
      <c r="AM109" s="22"/>
      <c r="AN109" s="22"/>
      <c r="AO109" s="22"/>
      <c r="AP109" s="22"/>
      <c r="AQ109" s="22"/>
      <c r="AR109" s="22"/>
      <c r="AS109" s="25"/>
    </row>
    <row r="110" spans="1:45" s="1" customFormat="1">
      <c r="A110" s="22">
        <f t="shared" si="1"/>
        <v>109</v>
      </c>
      <c r="B110" s="23">
        <v>45618</v>
      </c>
      <c r="C110" s="22" t="s">
        <v>51</v>
      </c>
      <c r="D110" s="22" t="s">
        <v>51</v>
      </c>
      <c r="E110" s="22" t="s">
        <v>648</v>
      </c>
      <c r="F110" s="22" t="s">
        <v>649</v>
      </c>
      <c r="G110" s="22">
        <v>7992308690</v>
      </c>
      <c r="H110" s="22" t="s">
        <v>650</v>
      </c>
      <c r="I110" s="22" t="s">
        <v>55</v>
      </c>
      <c r="J110" s="22" t="s">
        <v>651</v>
      </c>
      <c r="K110" s="22" t="s">
        <v>252</v>
      </c>
      <c r="L110" s="22"/>
      <c r="M110" s="22"/>
      <c r="N110" s="22"/>
      <c r="O110" s="22"/>
      <c r="P110" s="22">
        <v>850000</v>
      </c>
      <c r="Q110" s="22" t="s">
        <v>63</v>
      </c>
      <c r="R110" s="22" t="s">
        <v>63</v>
      </c>
      <c r="S110" s="22"/>
      <c r="T110" s="22"/>
      <c r="U110" s="24">
        <v>45649</v>
      </c>
      <c r="V110" s="22"/>
      <c r="W110" s="22" t="s">
        <v>65</v>
      </c>
      <c r="X110" s="22" t="s">
        <v>65</v>
      </c>
      <c r="Y110" s="22"/>
      <c r="Z110" s="22" t="s">
        <v>76</v>
      </c>
      <c r="AA110" s="22">
        <v>45993</v>
      </c>
      <c r="AB110" s="22"/>
      <c r="AC110" s="22"/>
      <c r="AD110" s="22"/>
      <c r="AE110" s="22"/>
      <c r="AF110" s="22"/>
      <c r="AG110" s="22"/>
      <c r="AH110" s="22"/>
      <c r="AI110" s="22"/>
      <c r="AJ110" s="22"/>
      <c r="AK110" s="22"/>
      <c r="AL110" s="22"/>
      <c r="AM110" s="22"/>
      <c r="AN110" s="22"/>
      <c r="AO110" s="22"/>
      <c r="AP110" s="22"/>
      <c r="AQ110" s="22"/>
      <c r="AR110" s="22"/>
      <c r="AS110" s="25"/>
    </row>
    <row r="111" spans="1:45" s="1" customFormat="1">
      <c r="A111" s="22">
        <f t="shared" si="1"/>
        <v>110</v>
      </c>
      <c r="B111" s="23">
        <v>45618</v>
      </c>
      <c r="C111" s="22" t="s">
        <v>208</v>
      </c>
      <c r="D111" s="22" t="s">
        <v>320</v>
      </c>
      <c r="E111" s="22" t="s">
        <v>652</v>
      </c>
      <c r="F111" s="22" t="s">
        <v>653</v>
      </c>
      <c r="G111" s="22">
        <v>9096150394</v>
      </c>
      <c r="H111" s="22" t="s">
        <v>654</v>
      </c>
      <c r="I111" s="22" t="s">
        <v>55</v>
      </c>
      <c r="J111" s="22" t="s">
        <v>655</v>
      </c>
      <c r="K111" s="22" t="s">
        <v>428</v>
      </c>
      <c r="L111" s="22" t="s">
        <v>656</v>
      </c>
      <c r="M111" s="22"/>
      <c r="N111" s="22">
        <v>14.5</v>
      </c>
      <c r="O111" s="22"/>
      <c r="P111" s="22">
        <v>21</v>
      </c>
      <c r="Q111" s="22" t="s">
        <v>657</v>
      </c>
      <c r="R111" s="22" t="s">
        <v>657</v>
      </c>
      <c r="S111" s="22" t="s">
        <v>658</v>
      </c>
      <c r="T111" s="22" t="s">
        <v>659</v>
      </c>
      <c r="U111" s="24"/>
      <c r="V111" s="22"/>
      <c r="W111" s="22" t="s">
        <v>65</v>
      </c>
      <c r="X111" s="22" t="s">
        <v>65</v>
      </c>
      <c r="Y111" s="22" t="s">
        <v>135</v>
      </c>
      <c r="Z111" s="22" t="s">
        <v>66</v>
      </c>
      <c r="AA111" s="22"/>
      <c r="AB111" s="22"/>
      <c r="AC111" s="22"/>
      <c r="AD111" s="22"/>
      <c r="AE111" s="22"/>
      <c r="AF111" s="22"/>
      <c r="AG111" s="22"/>
      <c r="AH111" s="22"/>
      <c r="AI111" s="22"/>
      <c r="AJ111" s="22"/>
      <c r="AK111" s="22"/>
      <c r="AL111" s="22"/>
      <c r="AM111" s="22"/>
      <c r="AN111" s="22"/>
      <c r="AO111" s="22"/>
      <c r="AP111" s="22"/>
      <c r="AQ111" s="22"/>
      <c r="AR111" s="22"/>
      <c r="AS111" s="25"/>
    </row>
    <row r="112" spans="1:45" s="1" customFormat="1">
      <c r="A112" s="22">
        <f t="shared" si="1"/>
        <v>111</v>
      </c>
      <c r="B112" s="23">
        <v>45625</v>
      </c>
      <c r="C112" s="22" t="s">
        <v>208</v>
      </c>
      <c r="D112" s="22" t="s">
        <v>209</v>
      </c>
      <c r="E112" s="22">
        <v>20242803</v>
      </c>
      <c r="F112" s="22" t="s">
        <v>660</v>
      </c>
      <c r="G112" s="22">
        <v>6300312621</v>
      </c>
      <c r="H112" s="22" t="s">
        <v>661</v>
      </c>
      <c r="I112" s="22" t="s">
        <v>55</v>
      </c>
      <c r="J112" s="22" t="s">
        <v>212</v>
      </c>
      <c r="K112" s="22" t="s">
        <v>213</v>
      </c>
      <c r="L112" s="22">
        <v>3</v>
      </c>
      <c r="M112" s="22" t="s">
        <v>611</v>
      </c>
      <c r="N112" s="22">
        <v>5</v>
      </c>
      <c r="O112" s="22">
        <v>0</v>
      </c>
      <c r="P112" s="22">
        <v>9</v>
      </c>
      <c r="Q112" s="22" t="s">
        <v>459</v>
      </c>
      <c r="R112" s="22" t="s">
        <v>63</v>
      </c>
      <c r="S112" s="22" t="s">
        <v>501</v>
      </c>
      <c r="T112" s="22" t="s">
        <v>61</v>
      </c>
      <c r="U112" s="24"/>
      <c r="V112" s="22"/>
      <c r="W112" s="22" t="s">
        <v>218</v>
      </c>
      <c r="X112" s="22" t="s">
        <v>218</v>
      </c>
      <c r="Y112" s="22" t="s">
        <v>135</v>
      </c>
      <c r="Z112" s="22" t="s">
        <v>66</v>
      </c>
      <c r="AA112" s="22">
        <v>45625</v>
      </c>
      <c r="AB112" s="22">
        <v>45628</v>
      </c>
      <c r="AC112" s="22">
        <v>45628</v>
      </c>
      <c r="AD112" s="22"/>
      <c r="AE112" s="22"/>
      <c r="AF112" s="22"/>
      <c r="AG112" s="22"/>
      <c r="AH112" s="22"/>
      <c r="AI112" s="22"/>
      <c r="AJ112" s="22"/>
      <c r="AK112" s="22"/>
      <c r="AL112" s="22"/>
      <c r="AM112" s="22"/>
      <c r="AN112" s="22"/>
      <c r="AO112" s="22"/>
      <c r="AP112" s="22"/>
      <c r="AQ112" s="22"/>
      <c r="AR112" s="22"/>
      <c r="AS112" s="25"/>
    </row>
    <row r="113" spans="1:45" s="1" customFormat="1">
      <c r="A113" s="22">
        <f t="shared" si="1"/>
        <v>112</v>
      </c>
      <c r="B113" s="23">
        <v>45625</v>
      </c>
      <c r="C113" s="22" t="s">
        <v>208</v>
      </c>
      <c r="D113" s="22" t="s">
        <v>320</v>
      </c>
      <c r="E113" s="22">
        <v>20242803</v>
      </c>
      <c r="F113" s="22" t="s">
        <v>662</v>
      </c>
      <c r="G113" s="22">
        <v>8466889501</v>
      </c>
      <c r="H113" s="22" t="s">
        <v>663</v>
      </c>
      <c r="I113" s="22" t="s">
        <v>55</v>
      </c>
      <c r="J113" s="22" t="s">
        <v>212</v>
      </c>
      <c r="K113" s="22" t="s">
        <v>213</v>
      </c>
      <c r="L113" s="22">
        <v>3</v>
      </c>
      <c r="M113" s="22" t="s">
        <v>664</v>
      </c>
      <c r="N113" s="22">
        <v>9.1999999999999993</v>
      </c>
      <c r="O113" s="22">
        <v>0</v>
      </c>
      <c r="P113" s="22" t="s">
        <v>665</v>
      </c>
      <c r="Q113" s="22" t="s">
        <v>459</v>
      </c>
      <c r="R113" s="22" t="s">
        <v>63</v>
      </c>
      <c r="S113" s="22" t="s">
        <v>230</v>
      </c>
      <c r="T113" s="22" t="s">
        <v>666</v>
      </c>
      <c r="U113" s="24">
        <v>45719</v>
      </c>
      <c r="V113" s="22">
        <v>45703</v>
      </c>
      <c r="W113" s="22" t="s">
        <v>218</v>
      </c>
      <c r="X113" s="22" t="s">
        <v>218</v>
      </c>
      <c r="Y113" s="22" t="s">
        <v>135</v>
      </c>
      <c r="Z113" s="22" t="s">
        <v>66</v>
      </c>
      <c r="AA113" s="22">
        <v>45625</v>
      </c>
      <c r="AB113" s="22">
        <v>45628</v>
      </c>
      <c r="AC113" s="22">
        <v>45628</v>
      </c>
      <c r="AD113" s="22"/>
      <c r="AE113" s="22"/>
      <c r="AF113" s="22"/>
      <c r="AG113" s="22"/>
      <c r="AH113" s="22"/>
      <c r="AI113" s="22"/>
      <c r="AJ113" s="22"/>
      <c r="AK113" s="22"/>
      <c r="AL113" s="22"/>
      <c r="AM113" s="22"/>
      <c r="AN113" s="22"/>
      <c r="AO113" s="22"/>
      <c r="AP113" s="22"/>
      <c r="AQ113" s="22"/>
      <c r="AR113" s="22"/>
      <c r="AS113" s="25"/>
    </row>
    <row r="114" spans="1:45" s="1" customFormat="1">
      <c r="A114" s="22">
        <f t="shared" si="1"/>
        <v>113</v>
      </c>
      <c r="B114" s="23">
        <v>45625</v>
      </c>
      <c r="C114" s="22" t="s">
        <v>208</v>
      </c>
      <c r="D114" s="22" t="s">
        <v>667</v>
      </c>
      <c r="E114" s="22">
        <v>20252855</v>
      </c>
      <c r="F114" s="22" t="s">
        <v>668</v>
      </c>
      <c r="G114" s="22">
        <v>8975381915</v>
      </c>
      <c r="H114" s="22" t="s">
        <v>669</v>
      </c>
      <c r="I114" s="22" t="s">
        <v>55</v>
      </c>
      <c r="J114" s="22" t="s">
        <v>670</v>
      </c>
      <c r="K114" s="22" t="s">
        <v>116</v>
      </c>
      <c r="L114" s="22" t="s">
        <v>671</v>
      </c>
      <c r="M114" s="22" t="s">
        <v>672</v>
      </c>
      <c r="N114" s="22" t="s">
        <v>154</v>
      </c>
      <c r="O114" s="22"/>
      <c r="P114" s="22" t="s">
        <v>396</v>
      </c>
      <c r="Q114" s="22" t="s">
        <v>63</v>
      </c>
      <c r="R114" s="22" t="s">
        <v>63</v>
      </c>
      <c r="S114" s="22" t="s">
        <v>673</v>
      </c>
      <c r="T114" s="22" t="s">
        <v>674</v>
      </c>
      <c r="U114" s="24"/>
      <c r="V114" s="22"/>
      <c r="W114" s="22" t="s">
        <v>93</v>
      </c>
      <c r="X114" s="22" t="s">
        <v>93</v>
      </c>
      <c r="Y114" s="22"/>
      <c r="Z114" s="22" t="s">
        <v>66</v>
      </c>
      <c r="AA114" s="22">
        <v>45932</v>
      </c>
      <c r="AB114" s="22"/>
      <c r="AC114" s="22"/>
      <c r="AD114" s="22"/>
      <c r="AE114" s="22"/>
      <c r="AF114" s="22"/>
      <c r="AG114" s="22"/>
      <c r="AH114" s="22"/>
      <c r="AI114" s="22"/>
      <c r="AJ114" s="22"/>
      <c r="AK114" s="22"/>
      <c r="AL114" s="22"/>
      <c r="AM114" s="22"/>
      <c r="AN114" s="22"/>
      <c r="AO114" s="22"/>
      <c r="AP114" s="22"/>
      <c r="AQ114" s="22"/>
      <c r="AR114" s="22"/>
      <c r="AS114" s="25"/>
    </row>
    <row r="115" spans="1:45" s="1" customFormat="1">
      <c r="A115" s="22">
        <f t="shared" si="1"/>
        <v>114</v>
      </c>
      <c r="B115" s="23">
        <v>45625</v>
      </c>
      <c r="C115" s="22" t="s">
        <v>208</v>
      </c>
      <c r="D115" s="22" t="s">
        <v>209</v>
      </c>
      <c r="E115" s="22">
        <v>20252855</v>
      </c>
      <c r="F115" s="22" t="s">
        <v>675</v>
      </c>
      <c r="G115" s="22">
        <v>9156477977</v>
      </c>
      <c r="H115" s="22" t="s">
        <v>676</v>
      </c>
      <c r="I115" s="22" t="s">
        <v>55</v>
      </c>
      <c r="J115" s="22" t="s">
        <v>670</v>
      </c>
      <c r="K115" s="22" t="s">
        <v>116</v>
      </c>
      <c r="L115" s="22" t="s">
        <v>421</v>
      </c>
      <c r="M115" s="22" t="s">
        <v>142</v>
      </c>
      <c r="N115" s="22" t="s">
        <v>677</v>
      </c>
      <c r="O115" s="22"/>
      <c r="P115" s="22" t="s">
        <v>340</v>
      </c>
      <c r="Q115" s="22" t="s">
        <v>63</v>
      </c>
      <c r="R115" s="22" t="s">
        <v>63</v>
      </c>
      <c r="S115" s="22" t="s">
        <v>678</v>
      </c>
      <c r="T115" s="22" t="s">
        <v>679</v>
      </c>
      <c r="U115" s="24"/>
      <c r="V115" s="22"/>
      <c r="W115" s="22" t="s">
        <v>93</v>
      </c>
      <c r="X115" s="22" t="s">
        <v>93</v>
      </c>
      <c r="Y115" s="22"/>
      <c r="Z115" s="22" t="s">
        <v>66</v>
      </c>
      <c r="AA115" s="22">
        <v>45932</v>
      </c>
      <c r="AB115" s="22"/>
      <c r="AC115" s="22"/>
      <c r="AD115" s="22"/>
      <c r="AE115" s="22"/>
      <c r="AF115" s="22"/>
      <c r="AG115" s="22"/>
      <c r="AH115" s="22"/>
      <c r="AI115" s="22"/>
      <c r="AJ115" s="22"/>
      <c r="AK115" s="22"/>
      <c r="AL115" s="22"/>
      <c r="AM115" s="22"/>
      <c r="AN115" s="22"/>
      <c r="AO115" s="22"/>
      <c r="AP115" s="22"/>
      <c r="AQ115" s="22"/>
      <c r="AR115" s="22"/>
      <c r="AS115" s="25"/>
    </row>
    <row r="116" spans="1:45" s="1" customFormat="1">
      <c r="A116" s="22">
        <f t="shared" si="1"/>
        <v>115</v>
      </c>
      <c r="B116" s="23">
        <v>45625</v>
      </c>
      <c r="C116" s="22" t="s">
        <v>208</v>
      </c>
      <c r="D116" s="22" t="s">
        <v>667</v>
      </c>
      <c r="E116" s="22">
        <v>20252855</v>
      </c>
      <c r="F116" s="22" t="s">
        <v>680</v>
      </c>
      <c r="G116" s="22">
        <v>8087736260</v>
      </c>
      <c r="H116" s="22" t="s">
        <v>681</v>
      </c>
      <c r="I116" s="22" t="s">
        <v>55</v>
      </c>
      <c r="J116" s="22" t="s">
        <v>670</v>
      </c>
      <c r="K116" s="22" t="s">
        <v>116</v>
      </c>
      <c r="L116" s="22" t="s">
        <v>682</v>
      </c>
      <c r="M116" s="22" t="s">
        <v>683</v>
      </c>
      <c r="N116" s="22" t="s">
        <v>684</v>
      </c>
      <c r="O116" s="22"/>
      <c r="P116" s="22" t="s">
        <v>164</v>
      </c>
      <c r="Q116" s="22" t="s">
        <v>63</v>
      </c>
      <c r="R116" s="22" t="s">
        <v>63</v>
      </c>
      <c r="S116" s="22" t="s">
        <v>133</v>
      </c>
      <c r="T116" s="22" t="s">
        <v>134</v>
      </c>
      <c r="U116" s="24"/>
      <c r="V116" s="22"/>
      <c r="W116" s="22" t="s">
        <v>93</v>
      </c>
      <c r="X116" s="22" t="s">
        <v>93</v>
      </c>
      <c r="Y116" s="22"/>
      <c r="Z116" s="22" t="s">
        <v>66</v>
      </c>
      <c r="AA116" s="22"/>
      <c r="AB116" s="22"/>
      <c r="AC116" s="22"/>
      <c r="AD116" s="22"/>
      <c r="AE116" s="22"/>
      <c r="AF116" s="22"/>
      <c r="AG116" s="22"/>
      <c r="AH116" s="22"/>
      <c r="AI116" s="22"/>
      <c r="AJ116" s="22"/>
      <c r="AK116" s="22"/>
      <c r="AL116" s="22"/>
      <c r="AM116" s="22"/>
      <c r="AN116" s="22"/>
      <c r="AO116" s="22"/>
      <c r="AP116" s="22"/>
      <c r="AQ116" s="22"/>
      <c r="AR116" s="22"/>
      <c r="AS116" s="25"/>
    </row>
    <row r="117" spans="1:45" s="1" customFormat="1">
      <c r="A117" s="22">
        <f t="shared" si="1"/>
        <v>116</v>
      </c>
      <c r="B117" s="23">
        <v>45625</v>
      </c>
      <c r="C117" s="22" t="s">
        <v>208</v>
      </c>
      <c r="D117" s="22" t="s">
        <v>667</v>
      </c>
      <c r="E117" s="22">
        <v>20252855</v>
      </c>
      <c r="F117" s="22" t="s">
        <v>685</v>
      </c>
      <c r="G117" s="22" t="s">
        <v>686</v>
      </c>
      <c r="H117" s="22" t="s">
        <v>687</v>
      </c>
      <c r="I117" s="22" t="s">
        <v>55</v>
      </c>
      <c r="J117" s="22" t="s">
        <v>670</v>
      </c>
      <c r="K117" s="22" t="s">
        <v>116</v>
      </c>
      <c r="L117" s="22" t="s">
        <v>688</v>
      </c>
      <c r="M117" s="22" t="s">
        <v>689</v>
      </c>
      <c r="N117" s="22" t="s">
        <v>690</v>
      </c>
      <c r="O117" s="22"/>
      <c r="P117" s="22" t="s">
        <v>340</v>
      </c>
      <c r="Q117" s="22" t="s">
        <v>63</v>
      </c>
      <c r="R117" s="22" t="s">
        <v>63</v>
      </c>
      <c r="S117" s="22" t="s">
        <v>691</v>
      </c>
      <c r="T117" s="22" t="s">
        <v>134</v>
      </c>
      <c r="U117" s="24"/>
      <c r="V117" s="22"/>
      <c r="W117" s="22" t="s">
        <v>93</v>
      </c>
      <c r="X117" s="22" t="s">
        <v>93</v>
      </c>
      <c r="Y117" s="22"/>
      <c r="Z117" s="22" t="s">
        <v>66</v>
      </c>
      <c r="AA117" s="22"/>
      <c r="AB117" s="22"/>
      <c r="AC117" s="22"/>
      <c r="AD117" s="22"/>
      <c r="AE117" s="22"/>
      <c r="AF117" s="22"/>
      <c r="AG117" s="22"/>
      <c r="AH117" s="22"/>
      <c r="AI117" s="22"/>
      <c r="AJ117" s="22"/>
      <c r="AK117" s="22"/>
      <c r="AL117" s="22"/>
      <c r="AM117" s="22"/>
      <c r="AN117" s="22"/>
      <c r="AO117" s="22"/>
      <c r="AP117" s="22"/>
      <c r="AQ117" s="22"/>
      <c r="AR117" s="22"/>
      <c r="AS117" s="25"/>
    </row>
    <row r="118" spans="1:45" s="1" customFormat="1">
      <c r="A118" s="22">
        <f t="shared" si="1"/>
        <v>117</v>
      </c>
      <c r="B118" s="23">
        <v>45625</v>
      </c>
      <c r="C118" s="22" t="s">
        <v>208</v>
      </c>
      <c r="D118" s="22" t="s">
        <v>667</v>
      </c>
      <c r="E118" s="22">
        <v>20252855</v>
      </c>
      <c r="F118" s="22" t="s">
        <v>692</v>
      </c>
      <c r="G118" s="22">
        <v>7972853353</v>
      </c>
      <c r="H118" s="22" t="s">
        <v>693</v>
      </c>
      <c r="I118" s="22" t="s">
        <v>55</v>
      </c>
      <c r="J118" s="22" t="s">
        <v>670</v>
      </c>
      <c r="K118" s="22" t="s">
        <v>116</v>
      </c>
      <c r="L118" s="22" t="s">
        <v>694</v>
      </c>
      <c r="M118" s="22" t="s">
        <v>695</v>
      </c>
      <c r="N118" s="22" t="s">
        <v>326</v>
      </c>
      <c r="O118" s="22"/>
      <c r="P118" s="22" t="s">
        <v>684</v>
      </c>
      <c r="Q118" s="22" t="s">
        <v>63</v>
      </c>
      <c r="R118" s="22" t="s">
        <v>63</v>
      </c>
      <c r="S118" s="22" t="s">
        <v>133</v>
      </c>
      <c r="T118" s="22" t="s">
        <v>134</v>
      </c>
      <c r="U118" s="24"/>
      <c r="V118" s="22"/>
      <c r="W118" s="22" t="s">
        <v>93</v>
      </c>
      <c r="X118" s="22" t="s">
        <v>93</v>
      </c>
      <c r="Y118" s="22"/>
      <c r="Z118" s="22" t="s">
        <v>66</v>
      </c>
      <c r="AA118" s="22"/>
      <c r="AB118" s="22"/>
      <c r="AC118" s="22"/>
      <c r="AD118" s="22"/>
      <c r="AE118" s="22"/>
      <c r="AF118" s="22"/>
      <c r="AG118" s="22"/>
      <c r="AH118" s="22"/>
      <c r="AI118" s="22"/>
      <c r="AJ118" s="22"/>
      <c r="AK118" s="22"/>
      <c r="AL118" s="22"/>
      <c r="AM118" s="22"/>
      <c r="AN118" s="22"/>
      <c r="AO118" s="22"/>
      <c r="AP118" s="22"/>
      <c r="AQ118" s="22"/>
      <c r="AR118" s="22"/>
      <c r="AS118" s="25"/>
    </row>
    <row r="119" spans="1:45" s="1" customFormat="1">
      <c r="A119" s="22">
        <f t="shared" si="1"/>
        <v>118</v>
      </c>
      <c r="B119" s="23">
        <v>45625</v>
      </c>
      <c r="C119" s="22" t="s">
        <v>208</v>
      </c>
      <c r="D119" s="22" t="s">
        <v>667</v>
      </c>
      <c r="E119" s="22">
        <v>20252855</v>
      </c>
      <c r="F119" s="22" t="s">
        <v>696</v>
      </c>
      <c r="G119" s="22" t="s">
        <v>697</v>
      </c>
      <c r="H119" s="22" t="s">
        <v>698</v>
      </c>
      <c r="I119" s="22" t="s">
        <v>55</v>
      </c>
      <c r="J119" s="22" t="s">
        <v>670</v>
      </c>
      <c r="K119" s="22" t="s">
        <v>116</v>
      </c>
      <c r="L119" s="22" t="s">
        <v>129</v>
      </c>
      <c r="M119" s="22" t="s">
        <v>142</v>
      </c>
      <c r="N119" s="22" t="s">
        <v>326</v>
      </c>
      <c r="O119" s="22"/>
      <c r="P119" s="22" t="s">
        <v>154</v>
      </c>
      <c r="Q119" s="22" t="s">
        <v>63</v>
      </c>
      <c r="R119" s="22" t="s">
        <v>63</v>
      </c>
      <c r="S119" s="22" t="s">
        <v>133</v>
      </c>
      <c r="T119" s="22" t="s">
        <v>134</v>
      </c>
      <c r="U119" s="24"/>
      <c r="V119" s="22"/>
      <c r="W119" s="22" t="s">
        <v>93</v>
      </c>
      <c r="X119" s="22" t="s">
        <v>93</v>
      </c>
      <c r="Y119" s="22"/>
      <c r="Z119" s="22" t="s">
        <v>66</v>
      </c>
      <c r="AA119" s="22"/>
      <c r="AB119" s="22"/>
      <c r="AC119" s="22"/>
      <c r="AD119" s="22"/>
      <c r="AE119" s="22"/>
      <c r="AF119" s="22"/>
      <c r="AG119" s="22"/>
      <c r="AH119" s="22"/>
      <c r="AI119" s="22"/>
      <c r="AJ119" s="22"/>
      <c r="AK119" s="22"/>
      <c r="AL119" s="22"/>
      <c r="AM119" s="22"/>
      <c r="AN119" s="22"/>
      <c r="AO119" s="22"/>
      <c r="AP119" s="22"/>
      <c r="AQ119" s="22"/>
      <c r="AR119" s="22"/>
      <c r="AS119" s="25"/>
    </row>
    <row r="120" spans="1:45" s="1" customFormat="1">
      <c r="A120" s="22">
        <f t="shared" si="1"/>
        <v>119</v>
      </c>
      <c r="B120" s="23">
        <v>45637</v>
      </c>
      <c r="C120" s="22" t="s">
        <v>208</v>
      </c>
      <c r="D120" s="22" t="s">
        <v>209</v>
      </c>
      <c r="E120" s="22">
        <v>20247804</v>
      </c>
      <c r="F120" s="22" t="s">
        <v>699</v>
      </c>
      <c r="G120" s="22">
        <v>9673642319</v>
      </c>
      <c r="H120" s="22" t="s">
        <v>700</v>
      </c>
      <c r="I120" s="22" t="s">
        <v>55</v>
      </c>
      <c r="J120" s="22" t="s">
        <v>701</v>
      </c>
      <c r="K120" s="22" t="s">
        <v>702</v>
      </c>
      <c r="L120" s="22" t="s">
        <v>703</v>
      </c>
      <c r="M120" s="22" t="s">
        <v>704</v>
      </c>
      <c r="N120" s="22" t="s">
        <v>350</v>
      </c>
      <c r="O120" s="22"/>
      <c r="P120" s="22" t="s">
        <v>333</v>
      </c>
      <c r="Q120" s="22" t="s">
        <v>63</v>
      </c>
      <c r="R120" s="22" t="s">
        <v>63</v>
      </c>
      <c r="S120" s="22" t="s">
        <v>175</v>
      </c>
      <c r="T120" s="22" t="s">
        <v>134</v>
      </c>
      <c r="U120" s="24"/>
      <c r="V120" s="22"/>
      <c r="W120" s="22" t="s">
        <v>93</v>
      </c>
      <c r="X120" s="22" t="s">
        <v>93</v>
      </c>
      <c r="Y120" s="22"/>
      <c r="Z120" s="22" t="s">
        <v>66</v>
      </c>
      <c r="AA120" s="22"/>
      <c r="AB120" s="22"/>
      <c r="AC120" s="22"/>
      <c r="AD120" s="22"/>
      <c r="AE120" s="22"/>
      <c r="AF120" s="22"/>
      <c r="AG120" s="22"/>
      <c r="AH120" s="22"/>
      <c r="AI120" s="22"/>
      <c r="AJ120" s="22"/>
      <c r="AK120" s="22"/>
      <c r="AL120" s="22"/>
      <c r="AM120" s="22"/>
      <c r="AN120" s="22"/>
      <c r="AO120" s="22"/>
      <c r="AP120" s="22"/>
      <c r="AQ120" s="22"/>
      <c r="AR120" s="22"/>
      <c r="AS120" s="25"/>
    </row>
    <row r="121" spans="1:45" s="1" customFormat="1">
      <c r="A121" s="22">
        <f t="shared" si="1"/>
        <v>120</v>
      </c>
      <c r="B121" s="23">
        <v>45637</v>
      </c>
      <c r="C121" s="22" t="s">
        <v>208</v>
      </c>
      <c r="D121" s="22" t="s">
        <v>209</v>
      </c>
      <c r="E121" s="22">
        <v>20247804</v>
      </c>
      <c r="F121" s="22" t="s">
        <v>705</v>
      </c>
      <c r="G121" s="22" t="s">
        <v>706</v>
      </c>
      <c r="H121" s="22" t="s">
        <v>707</v>
      </c>
      <c r="I121" s="22" t="s">
        <v>55</v>
      </c>
      <c r="J121" s="22" t="s">
        <v>701</v>
      </c>
      <c r="K121" s="22" t="s">
        <v>702</v>
      </c>
      <c r="L121" s="22" t="s">
        <v>421</v>
      </c>
      <c r="M121" s="22" t="s">
        <v>708</v>
      </c>
      <c r="N121" s="22" t="s">
        <v>709</v>
      </c>
      <c r="O121" s="22"/>
      <c r="P121" s="22" t="s">
        <v>144</v>
      </c>
      <c r="Q121" s="22" t="s">
        <v>710</v>
      </c>
      <c r="R121" s="22" t="s">
        <v>63</v>
      </c>
      <c r="S121" s="22" t="s">
        <v>133</v>
      </c>
      <c r="T121" s="22" t="s">
        <v>134</v>
      </c>
      <c r="U121" s="24"/>
      <c r="V121" s="22"/>
      <c r="W121" s="22" t="s">
        <v>93</v>
      </c>
      <c r="X121" s="22" t="s">
        <v>93</v>
      </c>
      <c r="Y121" s="22"/>
      <c r="Z121" s="22" t="s">
        <v>66</v>
      </c>
      <c r="AA121" s="22"/>
      <c r="AB121" s="22"/>
      <c r="AC121" s="22"/>
      <c r="AD121" s="22"/>
      <c r="AE121" s="22"/>
      <c r="AF121" s="22"/>
      <c r="AG121" s="22"/>
      <c r="AH121" s="22"/>
      <c r="AI121" s="22"/>
      <c r="AJ121" s="22"/>
      <c r="AK121" s="22"/>
      <c r="AL121" s="22"/>
      <c r="AM121" s="22"/>
      <c r="AN121" s="22"/>
      <c r="AO121" s="22"/>
      <c r="AP121" s="22"/>
      <c r="AQ121" s="22"/>
      <c r="AR121" s="22"/>
      <c r="AS121" s="25"/>
    </row>
    <row r="122" spans="1:45" s="1" customFormat="1">
      <c r="A122" s="22">
        <f t="shared" si="1"/>
        <v>121</v>
      </c>
      <c r="B122" s="23">
        <v>45637</v>
      </c>
      <c r="C122" s="22" t="s">
        <v>208</v>
      </c>
      <c r="D122" s="22" t="s">
        <v>667</v>
      </c>
      <c r="E122" s="22">
        <v>20247804</v>
      </c>
      <c r="F122" s="22" t="s">
        <v>711</v>
      </c>
      <c r="G122" s="22" t="s">
        <v>712</v>
      </c>
      <c r="H122" s="22" t="s">
        <v>713</v>
      </c>
      <c r="I122" s="22" t="s">
        <v>55</v>
      </c>
      <c r="J122" s="22" t="s">
        <v>701</v>
      </c>
      <c r="K122" s="22" t="s">
        <v>702</v>
      </c>
      <c r="L122" s="22" t="s">
        <v>671</v>
      </c>
      <c r="M122" s="22" t="s">
        <v>714</v>
      </c>
      <c r="N122" s="22" t="s">
        <v>326</v>
      </c>
      <c r="O122" s="22"/>
      <c r="P122" s="22" t="s">
        <v>715</v>
      </c>
      <c r="Q122" s="22" t="s">
        <v>615</v>
      </c>
      <c r="R122" s="22" t="s">
        <v>63</v>
      </c>
      <c r="S122" s="22" t="s">
        <v>175</v>
      </c>
      <c r="T122" s="22" t="s">
        <v>134</v>
      </c>
      <c r="U122" s="24"/>
      <c r="V122" s="22"/>
      <c r="W122" s="22" t="s">
        <v>93</v>
      </c>
      <c r="X122" s="22" t="s">
        <v>93</v>
      </c>
      <c r="Y122" s="22"/>
      <c r="Z122" s="22" t="s">
        <v>66</v>
      </c>
      <c r="AA122" s="22"/>
      <c r="AB122" s="22"/>
      <c r="AC122" s="22"/>
      <c r="AD122" s="22"/>
      <c r="AE122" s="22"/>
      <c r="AF122" s="22"/>
      <c r="AG122" s="22"/>
      <c r="AH122" s="22"/>
      <c r="AI122" s="22"/>
      <c r="AJ122" s="22"/>
      <c r="AK122" s="22"/>
      <c r="AL122" s="22"/>
      <c r="AM122" s="22"/>
      <c r="AN122" s="22"/>
      <c r="AO122" s="22"/>
      <c r="AP122" s="22"/>
      <c r="AQ122" s="22"/>
      <c r="AR122" s="22"/>
      <c r="AS122" s="25"/>
    </row>
    <row r="123" spans="1:45" s="1" customFormat="1">
      <c r="A123" s="22">
        <f t="shared" si="1"/>
        <v>122</v>
      </c>
      <c r="B123" s="23">
        <v>45637</v>
      </c>
      <c r="C123" s="22" t="s">
        <v>208</v>
      </c>
      <c r="D123" s="22" t="s">
        <v>667</v>
      </c>
      <c r="E123" s="22">
        <v>20247973</v>
      </c>
      <c r="F123" s="22" t="s">
        <v>716</v>
      </c>
      <c r="G123" s="22">
        <v>8411016671</v>
      </c>
      <c r="H123" s="22" t="s">
        <v>717</v>
      </c>
      <c r="I123" s="22" t="s">
        <v>55</v>
      </c>
      <c r="J123" s="22" t="s">
        <v>701</v>
      </c>
      <c r="K123" s="22" t="s">
        <v>702</v>
      </c>
      <c r="L123" s="22" t="s">
        <v>718</v>
      </c>
      <c r="M123" s="22" t="s">
        <v>719</v>
      </c>
      <c r="N123" s="22" t="s">
        <v>720</v>
      </c>
      <c r="O123" s="22"/>
      <c r="P123" s="22" t="s">
        <v>715</v>
      </c>
      <c r="Q123" s="22" t="s">
        <v>63</v>
      </c>
      <c r="R123" s="22" t="s">
        <v>63</v>
      </c>
      <c r="S123" s="22" t="s">
        <v>175</v>
      </c>
      <c r="T123" s="22" t="s">
        <v>134</v>
      </c>
      <c r="U123" s="24"/>
      <c r="V123" s="22"/>
      <c r="W123" s="22" t="s">
        <v>93</v>
      </c>
      <c r="X123" s="22" t="s">
        <v>93</v>
      </c>
      <c r="Y123" s="22"/>
      <c r="Z123" s="22" t="s">
        <v>66</v>
      </c>
      <c r="AA123" s="22"/>
      <c r="AB123" s="22"/>
      <c r="AC123" s="22"/>
      <c r="AD123" s="22"/>
      <c r="AE123" s="22"/>
      <c r="AF123" s="22"/>
      <c r="AG123" s="22"/>
      <c r="AH123" s="22"/>
      <c r="AI123" s="22"/>
      <c r="AJ123" s="22"/>
      <c r="AK123" s="22"/>
      <c r="AL123" s="22"/>
      <c r="AM123" s="22"/>
      <c r="AN123" s="22"/>
      <c r="AO123" s="22"/>
      <c r="AP123" s="22"/>
      <c r="AQ123" s="22"/>
      <c r="AR123" s="22"/>
      <c r="AS123" s="25"/>
    </row>
    <row r="124" spans="1:45" s="1" customFormat="1">
      <c r="A124" s="22">
        <f t="shared" si="1"/>
        <v>123</v>
      </c>
      <c r="B124" s="23">
        <v>45638</v>
      </c>
      <c r="C124" s="22" t="s">
        <v>208</v>
      </c>
      <c r="D124" s="22" t="s">
        <v>209</v>
      </c>
      <c r="E124" s="22">
        <v>20249317</v>
      </c>
      <c r="F124" s="22" t="s">
        <v>721</v>
      </c>
      <c r="G124" s="22">
        <v>9766036879</v>
      </c>
      <c r="H124" s="22" t="s">
        <v>722</v>
      </c>
      <c r="I124" s="22" t="s">
        <v>55</v>
      </c>
      <c r="J124" s="22" t="s">
        <v>723</v>
      </c>
      <c r="K124" s="22" t="s">
        <v>160</v>
      </c>
      <c r="L124" s="22" t="s">
        <v>724</v>
      </c>
      <c r="M124" s="22" t="s">
        <v>725</v>
      </c>
      <c r="N124" s="22" t="s">
        <v>726</v>
      </c>
      <c r="O124" s="22"/>
      <c r="P124" s="22" t="s">
        <v>727</v>
      </c>
      <c r="Q124" s="22" t="s">
        <v>63</v>
      </c>
      <c r="R124" s="22" t="s">
        <v>63</v>
      </c>
      <c r="S124" s="22" t="s">
        <v>728</v>
      </c>
      <c r="T124" s="22" t="s">
        <v>134</v>
      </c>
      <c r="U124" s="24"/>
      <c r="V124" s="22"/>
      <c r="W124" s="22" t="s">
        <v>93</v>
      </c>
      <c r="X124" s="22" t="s">
        <v>93</v>
      </c>
      <c r="Y124" s="22"/>
      <c r="Z124" s="22" t="s">
        <v>66</v>
      </c>
      <c r="AA124" s="22"/>
      <c r="AB124" s="22"/>
      <c r="AC124" s="22"/>
      <c r="AD124" s="22"/>
      <c r="AE124" s="22"/>
      <c r="AF124" s="22"/>
      <c r="AG124" s="22"/>
      <c r="AH124" s="22"/>
      <c r="AI124" s="22"/>
      <c r="AJ124" s="22"/>
      <c r="AK124" s="22"/>
      <c r="AL124" s="22"/>
      <c r="AM124" s="22"/>
      <c r="AN124" s="22"/>
      <c r="AO124" s="22"/>
      <c r="AP124" s="22"/>
      <c r="AQ124" s="22"/>
      <c r="AR124" s="22"/>
      <c r="AS124" s="25"/>
    </row>
    <row r="125" spans="1:45" s="1" customFormat="1">
      <c r="A125" s="22">
        <f t="shared" si="1"/>
        <v>124</v>
      </c>
      <c r="B125" s="23">
        <v>45638</v>
      </c>
      <c r="C125" s="22" t="s">
        <v>208</v>
      </c>
      <c r="D125" s="22" t="s">
        <v>667</v>
      </c>
      <c r="E125" s="22">
        <v>20249317</v>
      </c>
      <c r="F125" s="22" t="s">
        <v>729</v>
      </c>
      <c r="G125" s="22">
        <v>9573850673</v>
      </c>
      <c r="H125" s="22" t="s">
        <v>730</v>
      </c>
      <c r="I125" s="22" t="s">
        <v>55</v>
      </c>
      <c r="J125" s="22" t="s">
        <v>723</v>
      </c>
      <c r="K125" s="22" t="s">
        <v>160</v>
      </c>
      <c r="L125" s="22" t="s">
        <v>731</v>
      </c>
      <c r="M125" s="22" t="s">
        <v>732</v>
      </c>
      <c r="N125" s="22" t="s">
        <v>733</v>
      </c>
      <c r="O125" s="22"/>
      <c r="P125" s="22" t="s">
        <v>734</v>
      </c>
      <c r="Q125" s="22" t="s">
        <v>63</v>
      </c>
      <c r="R125" s="22" t="s">
        <v>63</v>
      </c>
      <c r="S125" s="22" t="s">
        <v>133</v>
      </c>
      <c r="T125" s="22" t="s">
        <v>134</v>
      </c>
      <c r="U125" s="24"/>
      <c r="V125" s="22"/>
      <c r="W125" s="22" t="s">
        <v>93</v>
      </c>
      <c r="X125" s="22" t="s">
        <v>93</v>
      </c>
      <c r="Y125" s="22"/>
      <c r="Z125" s="22" t="s">
        <v>66</v>
      </c>
      <c r="AA125" s="22"/>
      <c r="AB125" s="22"/>
      <c r="AC125" s="22"/>
      <c r="AD125" s="22"/>
      <c r="AE125" s="22"/>
      <c r="AF125" s="22"/>
      <c r="AG125" s="22"/>
      <c r="AH125" s="22"/>
      <c r="AI125" s="22"/>
      <c r="AJ125" s="22"/>
      <c r="AK125" s="22"/>
      <c r="AL125" s="22"/>
      <c r="AM125" s="22"/>
      <c r="AN125" s="22"/>
      <c r="AO125" s="22"/>
      <c r="AP125" s="22"/>
      <c r="AQ125" s="22"/>
      <c r="AR125" s="22"/>
      <c r="AS125" s="25"/>
    </row>
    <row r="126" spans="1:45" s="1" customFormat="1">
      <c r="A126" s="22">
        <f t="shared" si="1"/>
        <v>125</v>
      </c>
      <c r="B126" s="23">
        <v>45638</v>
      </c>
      <c r="C126" s="22" t="s">
        <v>208</v>
      </c>
      <c r="D126" s="22" t="s">
        <v>667</v>
      </c>
      <c r="E126" s="22">
        <v>20249317</v>
      </c>
      <c r="F126" s="22" t="s">
        <v>735</v>
      </c>
      <c r="G126" s="22">
        <v>9739591177</v>
      </c>
      <c r="H126" s="22" t="s">
        <v>736</v>
      </c>
      <c r="I126" s="22" t="s">
        <v>55</v>
      </c>
      <c r="J126" s="22" t="s">
        <v>723</v>
      </c>
      <c r="K126" s="22" t="s">
        <v>160</v>
      </c>
      <c r="L126" s="22" t="s">
        <v>737</v>
      </c>
      <c r="M126" s="22" t="s">
        <v>738</v>
      </c>
      <c r="N126" s="22" t="s">
        <v>739</v>
      </c>
      <c r="O126" s="22"/>
      <c r="P126" s="22" t="s">
        <v>740</v>
      </c>
      <c r="Q126" s="22" t="s">
        <v>615</v>
      </c>
      <c r="R126" s="22" t="s">
        <v>63</v>
      </c>
      <c r="S126" s="22" t="s">
        <v>284</v>
      </c>
      <c r="T126" s="22" t="s">
        <v>134</v>
      </c>
      <c r="U126" s="24"/>
      <c r="V126" s="22"/>
      <c r="W126" s="22" t="s">
        <v>93</v>
      </c>
      <c r="X126" s="22" t="s">
        <v>93</v>
      </c>
      <c r="Y126" s="22"/>
      <c r="Z126" s="22" t="s">
        <v>66</v>
      </c>
      <c r="AA126" s="22"/>
      <c r="AB126" s="22"/>
      <c r="AC126" s="22"/>
      <c r="AD126" s="22"/>
      <c r="AE126" s="22"/>
      <c r="AF126" s="22"/>
      <c r="AG126" s="22"/>
      <c r="AH126" s="22"/>
      <c r="AI126" s="22"/>
      <c r="AJ126" s="22"/>
      <c r="AK126" s="22"/>
      <c r="AL126" s="22"/>
      <c r="AM126" s="22"/>
      <c r="AN126" s="22"/>
      <c r="AO126" s="22"/>
      <c r="AP126" s="22"/>
      <c r="AQ126" s="22"/>
      <c r="AR126" s="22"/>
      <c r="AS126" s="25"/>
    </row>
    <row r="127" spans="1:45" s="1" customFormat="1">
      <c r="A127" s="22">
        <f t="shared" si="1"/>
        <v>126</v>
      </c>
      <c r="B127" s="23">
        <v>45638</v>
      </c>
      <c r="C127" s="22" t="s">
        <v>208</v>
      </c>
      <c r="D127" s="22" t="s">
        <v>209</v>
      </c>
      <c r="E127" s="22">
        <v>20249317</v>
      </c>
      <c r="F127" s="22" t="s">
        <v>741</v>
      </c>
      <c r="G127" s="22">
        <v>9840651280</v>
      </c>
      <c r="H127" s="22" t="s">
        <v>742</v>
      </c>
      <c r="I127" s="22" t="s">
        <v>55</v>
      </c>
      <c r="J127" s="22" t="s">
        <v>723</v>
      </c>
      <c r="K127" s="22" t="s">
        <v>160</v>
      </c>
      <c r="L127" s="22" t="s">
        <v>743</v>
      </c>
      <c r="M127" s="22" t="s">
        <v>744</v>
      </c>
      <c r="N127" s="22" t="s">
        <v>739</v>
      </c>
      <c r="O127" s="22"/>
      <c r="P127" s="22" t="s">
        <v>740</v>
      </c>
      <c r="Q127" s="22" t="s">
        <v>615</v>
      </c>
      <c r="R127" s="22" t="s">
        <v>63</v>
      </c>
      <c r="S127" s="22" t="s">
        <v>175</v>
      </c>
      <c r="T127" s="22" t="s">
        <v>134</v>
      </c>
      <c r="U127" s="24"/>
      <c r="V127" s="22"/>
      <c r="W127" s="22" t="s">
        <v>93</v>
      </c>
      <c r="X127" s="22" t="s">
        <v>93</v>
      </c>
      <c r="Y127" s="22"/>
      <c r="Z127" s="22" t="s">
        <v>66</v>
      </c>
      <c r="AA127" s="22"/>
      <c r="AB127" s="22"/>
      <c r="AC127" s="22"/>
      <c r="AD127" s="22"/>
      <c r="AE127" s="22"/>
      <c r="AF127" s="22"/>
      <c r="AG127" s="22"/>
      <c r="AH127" s="22"/>
      <c r="AI127" s="22"/>
      <c r="AJ127" s="22"/>
      <c r="AK127" s="22"/>
      <c r="AL127" s="22"/>
      <c r="AM127" s="22"/>
      <c r="AN127" s="22"/>
      <c r="AO127" s="22"/>
      <c r="AP127" s="22"/>
      <c r="AQ127" s="22"/>
      <c r="AR127" s="22"/>
      <c r="AS127" s="25"/>
    </row>
    <row r="128" spans="1:45" s="1" customFormat="1">
      <c r="A128" s="22">
        <f t="shared" si="1"/>
        <v>127</v>
      </c>
      <c r="B128" s="23">
        <v>45638</v>
      </c>
      <c r="C128" s="22" t="s">
        <v>208</v>
      </c>
      <c r="D128" s="22" t="s">
        <v>667</v>
      </c>
      <c r="E128" s="22">
        <v>20249317</v>
      </c>
      <c r="F128" s="22" t="s">
        <v>745</v>
      </c>
      <c r="G128" s="22">
        <v>9910155703</v>
      </c>
      <c r="H128" s="22" t="s">
        <v>746</v>
      </c>
      <c r="I128" s="22" t="s">
        <v>55</v>
      </c>
      <c r="J128" s="22" t="s">
        <v>723</v>
      </c>
      <c r="K128" s="22" t="s">
        <v>160</v>
      </c>
      <c r="L128" s="22" t="s">
        <v>747</v>
      </c>
      <c r="M128" s="22" t="s">
        <v>748</v>
      </c>
      <c r="N128" s="22" t="s">
        <v>749</v>
      </c>
      <c r="O128" s="22"/>
      <c r="P128" s="22">
        <v>0.4</v>
      </c>
      <c r="Q128" s="22" t="s">
        <v>750</v>
      </c>
      <c r="R128" s="22" t="s">
        <v>63</v>
      </c>
      <c r="S128" s="22" t="s">
        <v>284</v>
      </c>
      <c r="T128" s="22" t="s">
        <v>134</v>
      </c>
      <c r="U128" s="24"/>
      <c r="V128" s="22"/>
      <c r="W128" s="22" t="s">
        <v>93</v>
      </c>
      <c r="X128" s="22" t="s">
        <v>93</v>
      </c>
      <c r="Y128" s="22"/>
      <c r="Z128" s="22" t="s">
        <v>66</v>
      </c>
      <c r="AA128" s="22"/>
      <c r="AB128" s="22"/>
      <c r="AC128" s="22"/>
      <c r="AD128" s="22"/>
      <c r="AE128" s="22"/>
      <c r="AF128" s="22"/>
      <c r="AG128" s="22"/>
      <c r="AH128" s="22"/>
      <c r="AI128" s="22"/>
      <c r="AJ128" s="22"/>
      <c r="AK128" s="22"/>
      <c r="AL128" s="22"/>
      <c r="AM128" s="22"/>
      <c r="AN128" s="22"/>
      <c r="AO128" s="22"/>
      <c r="AP128" s="22"/>
      <c r="AQ128" s="22"/>
      <c r="AR128" s="22"/>
      <c r="AS128" s="25"/>
    </row>
    <row r="129" spans="1:45" s="1" customFormat="1">
      <c r="A129" s="22">
        <f t="shared" si="1"/>
        <v>128</v>
      </c>
      <c r="B129" s="23">
        <v>45638</v>
      </c>
      <c r="C129" s="22" t="s">
        <v>208</v>
      </c>
      <c r="D129" s="22" t="s">
        <v>209</v>
      </c>
      <c r="E129" s="22">
        <v>20249317</v>
      </c>
      <c r="F129" s="22" t="s">
        <v>751</v>
      </c>
      <c r="G129" s="22">
        <v>9948785571</v>
      </c>
      <c r="H129" s="22" t="s">
        <v>752</v>
      </c>
      <c r="I129" s="22" t="s">
        <v>55</v>
      </c>
      <c r="J129" s="22" t="s">
        <v>723</v>
      </c>
      <c r="K129" s="22" t="s">
        <v>160</v>
      </c>
      <c r="L129" s="22" t="s">
        <v>753</v>
      </c>
      <c r="M129" s="22" t="s">
        <v>754</v>
      </c>
      <c r="N129" s="22" t="s">
        <v>755</v>
      </c>
      <c r="O129" s="22"/>
      <c r="P129" s="22" t="s">
        <v>756</v>
      </c>
      <c r="Q129" s="22" t="s">
        <v>459</v>
      </c>
      <c r="R129" s="22" t="s">
        <v>63</v>
      </c>
      <c r="S129" s="22" t="s">
        <v>284</v>
      </c>
      <c r="T129" s="22" t="s">
        <v>134</v>
      </c>
      <c r="U129" s="24"/>
      <c r="V129" s="22"/>
      <c r="W129" s="22" t="s">
        <v>93</v>
      </c>
      <c r="X129" s="22" t="s">
        <v>93</v>
      </c>
      <c r="Y129" s="22"/>
      <c r="Z129" s="22" t="s">
        <v>66</v>
      </c>
      <c r="AA129" s="22"/>
      <c r="AB129" s="22"/>
      <c r="AC129" s="22"/>
      <c r="AD129" s="22"/>
      <c r="AE129" s="22"/>
      <c r="AF129" s="22"/>
      <c r="AG129" s="22"/>
      <c r="AH129" s="22"/>
      <c r="AI129" s="22"/>
      <c r="AJ129" s="22"/>
      <c r="AK129" s="22"/>
      <c r="AL129" s="22"/>
      <c r="AM129" s="22"/>
      <c r="AN129" s="22"/>
      <c r="AO129" s="22"/>
      <c r="AP129" s="22"/>
      <c r="AQ129" s="22"/>
      <c r="AR129" s="22"/>
      <c r="AS129" s="25"/>
    </row>
    <row r="130" spans="1:45" s="1" customFormat="1">
      <c r="A130" s="22">
        <f t="shared" si="1"/>
        <v>129</v>
      </c>
      <c r="B130" s="23">
        <v>45638</v>
      </c>
      <c r="C130" s="22" t="s">
        <v>208</v>
      </c>
      <c r="D130" s="22" t="s">
        <v>667</v>
      </c>
      <c r="E130" s="22">
        <v>20249317</v>
      </c>
      <c r="F130" s="22" t="s">
        <v>757</v>
      </c>
      <c r="G130" s="22">
        <v>7022156289</v>
      </c>
      <c r="H130" s="22" t="s">
        <v>758</v>
      </c>
      <c r="I130" s="22" t="s">
        <v>55</v>
      </c>
      <c r="J130" s="22" t="s">
        <v>723</v>
      </c>
      <c r="K130" s="22" t="s">
        <v>160</v>
      </c>
      <c r="L130" s="22" t="s">
        <v>724</v>
      </c>
      <c r="M130" s="22" t="s">
        <v>759</v>
      </c>
      <c r="N130" s="22" t="s">
        <v>341</v>
      </c>
      <c r="O130" s="22"/>
      <c r="P130" s="22" t="s">
        <v>760</v>
      </c>
      <c r="Q130" s="22" t="s">
        <v>615</v>
      </c>
      <c r="R130" s="22" t="s">
        <v>63</v>
      </c>
      <c r="S130" s="22" t="s">
        <v>133</v>
      </c>
      <c r="T130" s="22" t="s">
        <v>134</v>
      </c>
      <c r="U130" s="24"/>
      <c r="V130" s="22"/>
      <c r="W130" s="22" t="s">
        <v>93</v>
      </c>
      <c r="X130" s="22" t="s">
        <v>93</v>
      </c>
      <c r="Y130" s="22"/>
      <c r="Z130" s="22" t="s">
        <v>66</v>
      </c>
      <c r="AA130" s="22"/>
      <c r="AB130" s="22"/>
      <c r="AC130" s="22"/>
      <c r="AD130" s="22"/>
      <c r="AE130" s="22"/>
      <c r="AF130" s="22"/>
      <c r="AG130" s="22"/>
      <c r="AH130" s="22"/>
      <c r="AI130" s="22"/>
      <c r="AJ130" s="22"/>
      <c r="AK130" s="22"/>
      <c r="AL130" s="22"/>
      <c r="AM130" s="22"/>
      <c r="AN130" s="22"/>
      <c r="AO130" s="22"/>
      <c r="AP130" s="22"/>
      <c r="AQ130" s="22"/>
      <c r="AR130" s="22"/>
      <c r="AS130" s="25"/>
    </row>
    <row r="131" spans="1:45" s="1" customFormat="1">
      <c r="A131" s="22">
        <f t="shared" ref="A131:A194" si="2">A130+1</f>
        <v>130</v>
      </c>
      <c r="B131" s="23">
        <v>45638</v>
      </c>
      <c r="C131" s="22" t="s">
        <v>208</v>
      </c>
      <c r="D131" s="22" t="s">
        <v>209</v>
      </c>
      <c r="E131" s="22">
        <v>20249317</v>
      </c>
      <c r="F131" s="22" t="s">
        <v>761</v>
      </c>
      <c r="G131" s="22">
        <v>8087862543</v>
      </c>
      <c r="H131" s="22" t="s">
        <v>762</v>
      </c>
      <c r="I131" s="22" t="s">
        <v>55</v>
      </c>
      <c r="J131" s="22" t="s">
        <v>723</v>
      </c>
      <c r="K131" s="22" t="s">
        <v>160</v>
      </c>
      <c r="L131" s="22" t="s">
        <v>763</v>
      </c>
      <c r="M131" s="22" t="s">
        <v>725</v>
      </c>
      <c r="N131" s="22" t="s">
        <v>764</v>
      </c>
      <c r="O131" s="22"/>
      <c r="P131" s="22" t="s">
        <v>765</v>
      </c>
      <c r="Q131" s="22" t="s">
        <v>63</v>
      </c>
      <c r="R131" s="22" t="s">
        <v>63</v>
      </c>
      <c r="S131" s="22" t="s">
        <v>284</v>
      </c>
      <c r="T131" s="22" t="s">
        <v>134</v>
      </c>
      <c r="U131" s="24"/>
      <c r="V131" s="22"/>
      <c r="W131" s="22" t="s">
        <v>93</v>
      </c>
      <c r="X131" s="22" t="s">
        <v>93</v>
      </c>
      <c r="Y131" s="22"/>
      <c r="Z131" s="22" t="s">
        <v>66</v>
      </c>
      <c r="AA131" s="22"/>
      <c r="AB131" s="22"/>
      <c r="AC131" s="22"/>
      <c r="AD131" s="22"/>
      <c r="AE131" s="22"/>
      <c r="AF131" s="22"/>
      <c r="AG131" s="22"/>
      <c r="AH131" s="22"/>
      <c r="AI131" s="22"/>
      <c r="AJ131" s="22"/>
      <c r="AK131" s="22"/>
      <c r="AL131" s="22"/>
      <c r="AM131" s="22"/>
      <c r="AN131" s="22"/>
      <c r="AO131" s="22"/>
      <c r="AP131" s="22"/>
      <c r="AQ131" s="22"/>
      <c r="AR131" s="22"/>
      <c r="AS131" s="25"/>
    </row>
    <row r="132" spans="1:45" s="1" customFormat="1">
      <c r="A132" s="22">
        <f t="shared" si="2"/>
        <v>131</v>
      </c>
      <c r="B132" s="23">
        <v>45638</v>
      </c>
      <c r="C132" s="22" t="s">
        <v>208</v>
      </c>
      <c r="D132" s="22" t="s">
        <v>667</v>
      </c>
      <c r="E132" s="22">
        <v>20251843</v>
      </c>
      <c r="F132" s="22" t="s">
        <v>766</v>
      </c>
      <c r="G132" s="22">
        <v>8550911181</v>
      </c>
      <c r="H132" s="22" t="s">
        <v>767</v>
      </c>
      <c r="I132" s="22" t="s">
        <v>55</v>
      </c>
      <c r="J132" s="22" t="s">
        <v>768</v>
      </c>
      <c r="K132" s="22" t="s">
        <v>769</v>
      </c>
      <c r="L132" s="22" t="s">
        <v>385</v>
      </c>
      <c r="M132" s="22" t="s">
        <v>130</v>
      </c>
      <c r="N132" s="22" t="s">
        <v>173</v>
      </c>
      <c r="O132" s="22"/>
      <c r="P132" s="22" t="s">
        <v>146</v>
      </c>
      <c r="Q132" s="22" t="s">
        <v>63</v>
      </c>
      <c r="R132" s="22" t="s">
        <v>63</v>
      </c>
      <c r="S132" s="22" t="s">
        <v>770</v>
      </c>
      <c r="T132" s="22" t="s">
        <v>134</v>
      </c>
      <c r="U132" s="24"/>
      <c r="V132" s="22"/>
      <c r="W132" s="22" t="s">
        <v>93</v>
      </c>
      <c r="X132" s="22" t="s">
        <v>93</v>
      </c>
      <c r="Y132" s="22"/>
      <c r="Z132" s="22" t="s">
        <v>66</v>
      </c>
      <c r="AA132" s="22"/>
      <c r="AB132" s="22"/>
      <c r="AC132" s="22"/>
      <c r="AD132" s="22"/>
      <c r="AE132" s="22"/>
      <c r="AF132" s="22"/>
      <c r="AG132" s="22"/>
      <c r="AH132" s="22"/>
      <c r="AI132" s="22"/>
      <c r="AJ132" s="22"/>
      <c r="AK132" s="22"/>
      <c r="AL132" s="22"/>
      <c r="AM132" s="22"/>
      <c r="AN132" s="22"/>
      <c r="AO132" s="22"/>
      <c r="AP132" s="22"/>
      <c r="AQ132" s="22"/>
      <c r="AR132" s="22"/>
      <c r="AS132" s="25"/>
    </row>
    <row r="133" spans="1:45" s="1" customFormat="1">
      <c r="A133" s="22">
        <f t="shared" si="2"/>
        <v>132</v>
      </c>
      <c r="B133" s="23">
        <v>45638</v>
      </c>
      <c r="C133" s="22" t="s">
        <v>208</v>
      </c>
      <c r="D133" s="22" t="s">
        <v>209</v>
      </c>
      <c r="E133" s="22">
        <v>20251843</v>
      </c>
      <c r="F133" s="22" t="s">
        <v>771</v>
      </c>
      <c r="G133" s="22">
        <v>9823538454</v>
      </c>
      <c r="H133" s="22" t="s">
        <v>772</v>
      </c>
      <c r="I133" s="22" t="s">
        <v>55</v>
      </c>
      <c r="J133" s="22" t="s">
        <v>768</v>
      </c>
      <c r="K133" s="22" t="s">
        <v>769</v>
      </c>
      <c r="L133" s="22" t="s">
        <v>421</v>
      </c>
      <c r="M133" s="22" t="s">
        <v>773</v>
      </c>
      <c r="N133" s="22" t="s">
        <v>333</v>
      </c>
      <c r="O133" s="22"/>
      <c r="P133" s="22" t="s">
        <v>494</v>
      </c>
      <c r="Q133" s="22" t="s">
        <v>63</v>
      </c>
      <c r="R133" s="22" t="s">
        <v>63</v>
      </c>
      <c r="S133" s="22" t="s">
        <v>133</v>
      </c>
      <c r="T133" s="22" t="s">
        <v>134</v>
      </c>
      <c r="U133" s="24"/>
      <c r="V133" s="22"/>
      <c r="W133" s="22" t="s">
        <v>93</v>
      </c>
      <c r="X133" s="22" t="s">
        <v>93</v>
      </c>
      <c r="Y133" s="22"/>
      <c r="Z133" s="22" t="s">
        <v>66</v>
      </c>
      <c r="AA133" s="22"/>
      <c r="AB133" s="22"/>
      <c r="AC133" s="22"/>
      <c r="AD133" s="22"/>
      <c r="AE133" s="22"/>
      <c r="AF133" s="22"/>
      <c r="AG133" s="22"/>
      <c r="AH133" s="22"/>
      <c r="AI133" s="22"/>
      <c r="AJ133" s="22"/>
      <c r="AK133" s="22"/>
      <c r="AL133" s="22"/>
      <c r="AM133" s="22"/>
      <c r="AN133" s="22"/>
      <c r="AO133" s="22"/>
      <c r="AP133" s="22"/>
      <c r="AQ133" s="22"/>
      <c r="AR133" s="22"/>
      <c r="AS133" s="25"/>
    </row>
    <row r="134" spans="1:45" s="1" customFormat="1">
      <c r="A134" s="22">
        <f t="shared" si="2"/>
        <v>133</v>
      </c>
      <c r="B134" s="23">
        <v>45638</v>
      </c>
      <c r="C134" s="22" t="s">
        <v>208</v>
      </c>
      <c r="D134" s="22" t="s">
        <v>209</v>
      </c>
      <c r="E134" s="22">
        <v>20251843</v>
      </c>
      <c r="F134" s="22" t="s">
        <v>774</v>
      </c>
      <c r="G134" s="22">
        <v>8007662271</v>
      </c>
      <c r="H134" s="22" t="s">
        <v>775</v>
      </c>
      <c r="I134" s="22" t="s">
        <v>55</v>
      </c>
      <c r="J134" s="22" t="s">
        <v>768</v>
      </c>
      <c r="K134" s="22" t="s">
        <v>769</v>
      </c>
      <c r="L134" s="22" t="s">
        <v>421</v>
      </c>
      <c r="M134" s="22" t="s">
        <v>776</v>
      </c>
      <c r="N134" s="22" t="s">
        <v>132</v>
      </c>
      <c r="O134" s="22"/>
      <c r="P134" s="22" t="s">
        <v>684</v>
      </c>
      <c r="Q134" s="22" t="s">
        <v>63</v>
      </c>
      <c r="R134" s="22" t="s">
        <v>63</v>
      </c>
      <c r="S134" s="22" t="s">
        <v>133</v>
      </c>
      <c r="T134" s="22" t="s">
        <v>134</v>
      </c>
      <c r="U134" s="24"/>
      <c r="V134" s="22"/>
      <c r="W134" s="22" t="s">
        <v>93</v>
      </c>
      <c r="X134" s="22" t="s">
        <v>93</v>
      </c>
      <c r="Y134" s="22"/>
      <c r="Z134" s="22" t="s">
        <v>66</v>
      </c>
      <c r="AA134" s="22"/>
      <c r="AB134" s="22"/>
      <c r="AC134" s="22"/>
      <c r="AD134" s="22"/>
      <c r="AE134" s="22"/>
      <c r="AF134" s="22"/>
      <c r="AG134" s="22"/>
      <c r="AH134" s="22"/>
      <c r="AI134" s="22"/>
      <c r="AJ134" s="22"/>
      <c r="AK134" s="22"/>
      <c r="AL134" s="22"/>
      <c r="AM134" s="22"/>
      <c r="AN134" s="22"/>
      <c r="AO134" s="22"/>
      <c r="AP134" s="22"/>
      <c r="AQ134" s="22"/>
      <c r="AR134" s="22"/>
      <c r="AS134" s="25"/>
    </row>
    <row r="135" spans="1:45" s="1" customFormat="1">
      <c r="A135" s="22">
        <f t="shared" si="2"/>
        <v>134</v>
      </c>
      <c r="B135" s="23">
        <v>45638</v>
      </c>
      <c r="C135" s="22" t="s">
        <v>208</v>
      </c>
      <c r="D135" s="22" t="s">
        <v>209</v>
      </c>
      <c r="E135" s="22">
        <v>20251843</v>
      </c>
      <c r="F135" s="22" t="s">
        <v>777</v>
      </c>
      <c r="G135" s="22">
        <v>9665093131</v>
      </c>
      <c r="H135" s="22" t="s">
        <v>778</v>
      </c>
      <c r="I135" s="22" t="s">
        <v>55</v>
      </c>
      <c r="J135" s="22" t="s">
        <v>768</v>
      </c>
      <c r="K135" s="22" t="s">
        <v>769</v>
      </c>
      <c r="L135" s="22" t="s">
        <v>151</v>
      </c>
      <c r="M135" s="22" t="s">
        <v>779</v>
      </c>
      <c r="N135" s="22" t="s">
        <v>154</v>
      </c>
      <c r="O135" s="22"/>
      <c r="P135" s="22" t="s">
        <v>780</v>
      </c>
      <c r="Q135" s="22" t="s">
        <v>63</v>
      </c>
      <c r="R135" s="22" t="s">
        <v>63</v>
      </c>
      <c r="S135" s="22" t="s">
        <v>770</v>
      </c>
      <c r="T135" s="22" t="s">
        <v>134</v>
      </c>
      <c r="U135" s="24"/>
      <c r="V135" s="22"/>
      <c r="W135" s="22" t="s">
        <v>93</v>
      </c>
      <c r="X135" s="22" t="s">
        <v>93</v>
      </c>
      <c r="Y135" s="22"/>
      <c r="Z135" s="22" t="s">
        <v>66</v>
      </c>
      <c r="AA135" s="22"/>
      <c r="AB135" s="22"/>
      <c r="AC135" s="22"/>
      <c r="AD135" s="22"/>
      <c r="AE135" s="22"/>
      <c r="AF135" s="22"/>
      <c r="AG135" s="22"/>
      <c r="AH135" s="22"/>
      <c r="AI135" s="22"/>
      <c r="AJ135" s="22"/>
      <c r="AK135" s="22"/>
      <c r="AL135" s="22"/>
      <c r="AM135" s="22"/>
      <c r="AN135" s="22"/>
      <c r="AO135" s="22"/>
      <c r="AP135" s="22"/>
      <c r="AQ135" s="22"/>
      <c r="AR135" s="22"/>
      <c r="AS135" s="25"/>
    </row>
    <row r="136" spans="1:45" s="1" customFormat="1">
      <c r="A136" s="22">
        <f t="shared" si="2"/>
        <v>135</v>
      </c>
      <c r="B136" s="23">
        <v>45638</v>
      </c>
      <c r="C136" s="22" t="s">
        <v>208</v>
      </c>
      <c r="D136" s="22" t="s">
        <v>293</v>
      </c>
      <c r="E136" s="22">
        <v>20251843</v>
      </c>
      <c r="F136" s="22" t="s">
        <v>781</v>
      </c>
      <c r="G136" s="22">
        <v>9921133883</v>
      </c>
      <c r="H136" s="22" t="s">
        <v>782</v>
      </c>
      <c r="I136" s="22" t="s">
        <v>55</v>
      </c>
      <c r="J136" s="22" t="s">
        <v>768</v>
      </c>
      <c r="K136" s="22" t="s">
        <v>769</v>
      </c>
      <c r="L136" s="22" t="s">
        <v>694</v>
      </c>
      <c r="M136" s="22" t="s">
        <v>783</v>
      </c>
      <c r="N136" s="22" t="s">
        <v>784</v>
      </c>
      <c r="O136" s="22"/>
      <c r="P136" s="22">
        <v>0.3</v>
      </c>
      <c r="Q136" s="22" t="s">
        <v>63</v>
      </c>
      <c r="R136" s="22" t="s">
        <v>63</v>
      </c>
      <c r="S136" s="22" t="s">
        <v>133</v>
      </c>
      <c r="T136" s="22" t="s">
        <v>134</v>
      </c>
      <c r="U136" s="24"/>
      <c r="V136" s="22"/>
      <c r="W136" s="22" t="s">
        <v>93</v>
      </c>
      <c r="X136" s="22" t="s">
        <v>93</v>
      </c>
      <c r="Y136" s="22"/>
      <c r="Z136" s="22" t="s">
        <v>66</v>
      </c>
      <c r="AA136" s="22"/>
      <c r="AB136" s="22"/>
      <c r="AC136" s="22"/>
      <c r="AD136" s="22"/>
      <c r="AE136" s="22"/>
      <c r="AF136" s="22"/>
      <c r="AG136" s="22"/>
      <c r="AH136" s="22"/>
      <c r="AI136" s="22"/>
      <c r="AJ136" s="22"/>
      <c r="AK136" s="22"/>
      <c r="AL136" s="22"/>
      <c r="AM136" s="22"/>
      <c r="AN136" s="22"/>
      <c r="AO136" s="22"/>
      <c r="AP136" s="22"/>
      <c r="AQ136" s="22"/>
      <c r="AR136" s="22"/>
      <c r="AS136" s="25"/>
    </row>
    <row r="137" spans="1:45" s="1" customFormat="1">
      <c r="A137" s="22">
        <f t="shared" si="2"/>
        <v>136</v>
      </c>
      <c r="B137" s="23">
        <v>45638</v>
      </c>
      <c r="C137" s="22" t="s">
        <v>208</v>
      </c>
      <c r="D137" s="22" t="s">
        <v>209</v>
      </c>
      <c r="E137" s="22">
        <v>20251843</v>
      </c>
      <c r="F137" s="22" t="s">
        <v>785</v>
      </c>
      <c r="G137" s="22" t="s">
        <v>786</v>
      </c>
      <c r="H137" s="22" t="s">
        <v>787</v>
      </c>
      <c r="I137" s="22" t="s">
        <v>55</v>
      </c>
      <c r="J137" s="22" t="s">
        <v>768</v>
      </c>
      <c r="K137" s="22" t="s">
        <v>769</v>
      </c>
      <c r="L137" s="22" t="s">
        <v>545</v>
      </c>
      <c r="M137" s="22" t="s">
        <v>788</v>
      </c>
      <c r="N137" s="22" t="s">
        <v>396</v>
      </c>
      <c r="O137" s="22"/>
      <c r="P137" s="22" t="s">
        <v>340</v>
      </c>
      <c r="Q137" s="22" t="s">
        <v>63</v>
      </c>
      <c r="R137" s="22" t="s">
        <v>63</v>
      </c>
      <c r="S137" s="22" t="s">
        <v>133</v>
      </c>
      <c r="T137" s="22" t="s">
        <v>134</v>
      </c>
      <c r="U137" s="24"/>
      <c r="V137" s="22"/>
      <c r="W137" s="22" t="s">
        <v>93</v>
      </c>
      <c r="X137" s="22" t="s">
        <v>93</v>
      </c>
      <c r="Y137" s="22"/>
      <c r="Z137" s="22" t="s">
        <v>66</v>
      </c>
      <c r="AA137" s="22"/>
      <c r="AB137" s="22"/>
      <c r="AC137" s="22"/>
      <c r="AD137" s="22"/>
      <c r="AE137" s="22"/>
      <c r="AF137" s="22"/>
      <c r="AG137" s="22"/>
      <c r="AH137" s="22"/>
      <c r="AI137" s="22"/>
      <c r="AJ137" s="22"/>
      <c r="AK137" s="22"/>
      <c r="AL137" s="22"/>
      <c r="AM137" s="22"/>
      <c r="AN137" s="22"/>
      <c r="AO137" s="22"/>
      <c r="AP137" s="22"/>
      <c r="AQ137" s="22"/>
      <c r="AR137" s="22"/>
      <c r="AS137" s="25"/>
    </row>
    <row r="138" spans="1:45" s="1" customFormat="1">
      <c r="A138" s="22">
        <f t="shared" si="2"/>
        <v>137</v>
      </c>
      <c r="B138" s="23">
        <v>45642</v>
      </c>
      <c r="C138" s="22" t="s">
        <v>208</v>
      </c>
      <c r="D138" s="22" t="s">
        <v>209</v>
      </c>
      <c r="E138" s="22">
        <v>20245321</v>
      </c>
      <c r="F138" s="22" t="s">
        <v>789</v>
      </c>
      <c r="G138" s="22">
        <v>7066510038</v>
      </c>
      <c r="H138" s="22" t="s">
        <v>790</v>
      </c>
      <c r="I138" s="22" t="s">
        <v>101</v>
      </c>
      <c r="J138" s="22" t="s">
        <v>296</v>
      </c>
      <c r="K138" s="22" t="s">
        <v>213</v>
      </c>
      <c r="L138" s="22">
        <v>12</v>
      </c>
      <c r="M138" s="22" t="s">
        <v>791</v>
      </c>
      <c r="N138" s="22">
        <v>6</v>
      </c>
      <c r="O138" s="22">
        <v>0</v>
      </c>
      <c r="P138" s="22">
        <v>12</v>
      </c>
      <c r="Q138" s="22" t="s">
        <v>792</v>
      </c>
      <c r="R138" s="22" t="s">
        <v>63</v>
      </c>
      <c r="S138" s="22" t="s">
        <v>230</v>
      </c>
      <c r="T138" s="22" t="s">
        <v>61</v>
      </c>
      <c r="U138" s="24"/>
      <c r="V138" s="22"/>
      <c r="W138" s="22" t="s">
        <v>218</v>
      </c>
      <c r="X138" s="22" t="s">
        <v>218</v>
      </c>
      <c r="Y138" s="22" t="s">
        <v>135</v>
      </c>
      <c r="Z138" s="22" t="s">
        <v>66</v>
      </c>
      <c r="AA138" s="22">
        <v>45642</v>
      </c>
      <c r="AB138" s="22">
        <v>45643</v>
      </c>
      <c r="AC138" s="22">
        <v>45643</v>
      </c>
      <c r="AD138" s="22"/>
      <c r="AE138" s="22"/>
      <c r="AF138" s="22"/>
      <c r="AG138" s="22"/>
      <c r="AH138" s="22"/>
      <c r="AI138" s="22"/>
      <c r="AJ138" s="22"/>
      <c r="AK138" s="22"/>
      <c r="AL138" s="22"/>
      <c r="AM138" s="22"/>
      <c r="AN138" s="22"/>
      <c r="AO138" s="22"/>
      <c r="AP138" s="22"/>
      <c r="AQ138" s="22"/>
      <c r="AR138" s="22"/>
      <c r="AS138" s="25"/>
    </row>
    <row r="139" spans="1:45" s="1" customFormat="1">
      <c r="A139" s="22">
        <f t="shared" si="2"/>
        <v>138</v>
      </c>
      <c r="B139" s="23">
        <v>45642</v>
      </c>
      <c r="C139" s="22" t="s">
        <v>208</v>
      </c>
      <c r="D139" s="22" t="s">
        <v>231</v>
      </c>
      <c r="E139" s="22">
        <v>20250717</v>
      </c>
      <c r="F139" s="22" t="s">
        <v>793</v>
      </c>
      <c r="G139" s="22">
        <v>7875100364</v>
      </c>
      <c r="H139" s="22" t="s">
        <v>794</v>
      </c>
      <c r="I139" s="22" t="s">
        <v>101</v>
      </c>
      <c r="J139" s="22" t="s">
        <v>379</v>
      </c>
      <c r="K139" s="22" t="s">
        <v>380</v>
      </c>
      <c r="L139" s="22" t="s">
        <v>795</v>
      </c>
      <c r="M139" s="22" t="s">
        <v>489</v>
      </c>
      <c r="N139" s="22">
        <v>11.5</v>
      </c>
      <c r="O139" s="22">
        <v>0.06</v>
      </c>
      <c r="P139" s="22">
        <v>15</v>
      </c>
      <c r="Q139" s="22" t="s">
        <v>796</v>
      </c>
      <c r="R139" s="22" t="s">
        <v>63</v>
      </c>
      <c r="S139" s="22" t="s">
        <v>797</v>
      </c>
      <c r="T139" s="22"/>
      <c r="U139" s="24"/>
      <c r="V139" s="22"/>
      <c r="W139" s="22" t="s">
        <v>218</v>
      </c>
      <c r="X139" s="22" t="s">
        <v>218</v>
      </c>
      <c r="Y139" s="22" t="s">
        <v>135</v>
      </c>
      <c r="Z139" s="22" t="s">
        <v>66</v>
      </c>
      <c r="AA139" s="22">
        <v>45686</v>
      </c>
      <c r="AB139" s="22"/>
      <c r="AC139" s="22"/>
      <c r="AD139" s="22"/>
      <c r="AE139" s="22"/>
      <c r="AF139" s="22"/>
      <c r="AG139" s="22"/>
      <c r="AH139" s="22"/>
      <c r="AI139" s="22"/>
      <c r="AJ139" s="22"/>
      <c r="AK139" s="22"/>
      <c r="AL139" s="22"/>
      <c r="AM139" s="22"/>
      <c r="AN139" s="22"/>
      <c r="AO139" s="22"/>
      <c r="AP139" s="22"/>
      <c r="AQ139" s="22"/>
      <c r="AR139" s="22"/>
      <c r="AS139" s="25"/>
    </row>
    <row r="140" spans="1:45" s="1" customFormat="1">
      <c r="A140" s="22">
        <f t="shared" si="2"/>
        <v>139</v>
      </c>
      <c r="B140" s="23">
        <v>45642</v>
      </c>
      <c r="C140" s="22" t="s">
        <v>208</v>
      </c>
      <c r="D140" s="22" t="s">
        <v>624</v>
      </c>
      <c r="E140" s="22">
        <v>20250717</v>
      </c>
      <c r="F140" s="22" t="s">
        <v>798</v>
      </c>
      <c r="G140" s="22">
        <v>9994598106</v>
      </c>
      <c r="H140" s="22" t="s">
        <v>799</v>
      </c>
      <c r="I140" s="22" t="s">
        <v>55</v>
      </c>
      <c r="J140" s="22" t="s">
        <v>379</v>
      </c>
      <c r="K140" s="22" t="s">
        <v>380</v>
      </c>
      <c r="L140" s="22">
        <v>7</v>
      </c>
      <c r="M140" s="22" t="s">
        <v>214</v>
      </c>
      <c r="N140" s="22">
        <v>14</v>
      </c>
      <c r="O140" s="22">
        <v>0.1</v>
      </c>
      <c r="P140" s="22">
        <v>18</v>
      </c>
      <c r="Q140" s="22" t="s">
        <v>63</v>
      </c>
      <c r="R140" s="22" t="s">
        <v>63</v>
      </c>
      <c r="S140" s="22" t="s">
        <v>255</v>
      </c>
      <c r="T140" s="22"/>
      <c r="U140" s="24"/>
      <c r="V140" s="22"/>
      <c r="W140" s="22" t="s">
        <v>218</v>
      </c>
      <c r="X140" s="22" t="s">
        <v>218</v>
      </c>
      <c r="Y140" s="22" t="s">
        <v>135</v>
      </c>
      <c r="Z140" s="22" t="s">
        <v>66</v>
      </c>
      <c r="AA140" s="22">
        <v>45686</v>
      </c>
      <c r="AB140" s="22"/>
      <c r="AC140" s="22"/>
      <c r="AD140" s="22"/>
      <c r="AE140" s="22"/>
      <c r="AF140" s="22"/>
      <c r="AG140" s="22"/>
      <c r="AH140" s="22"/>
      <c r="AI140" s="22"/>
      <c r="AJ140" s="22"/>
      <c r="AK140" s="22"/>
      <c r="AL140" s="22"/>
      <c r="AM140" s="22"/>
      <c r="AN140" s="22"/>
      <c r="AO140" s="22"/>
      <c r="AP140" s="22"/>
      <c r="AQ140" s="22"/>
      <c r="AR140" s="22"/>
      <c r="AS140" s="25"/>
    </row>
    <row r="141" spans="1:45" s="1" customFormat="1">
      <c r="A141" s="22">
        <f t="shared" si="2"/>
        <v>140</v>
      </c>
      <c r="B141" s="23">
        <v>45642</v>
      </c>
      <c r="C141" s="22" t="s">
        <v>208</v>
      </c>
      <c r="D141" s="22" t="s">
        <v>209</v>
      </c>
      <c r="E141" s="22">
        <v>20250717</v>
      </c>
      <c r="F141" s="22" t="s">
        <v>800</v>
      </c>
      <c r="G141" s="22">
        <v>8233622080</v>
      </c>
      <c r="H141" s="22" t="s">
        <v>801</v>
      </c>
      <c r="I141" s="22" t="s">
        <v>55</v>
      </c>
      <c r="J141" s="22" t="s">
        <v>379</v>
      </c>
      <c r="K141" s="22" t="s">
        <v>380</v>
      </c>
      <c r="L141" s="22">
        <v>6</v>
      </c>
      <c r="M141" s="22" t="s">
        <v>791</v>
      </c>
      <c r="N141" s="22">
        <v>18</v>
      </c>
      <c r="O141" s="22">
        <v>0</v>
      </c>
      <c r="P141" s="22">
        <v>0.35</v>
      </c>
      <c r="Q141" s="22" t="s">
        <v>802</v>
      </c>
      <c r="R141" s="22" t="s">
        <v>63</v>
      </c>
      <c r="S141" s="22" t="s">
        <v>797</v>
      </c>
      <c r="T141" s="22"/>
      <c r="U141" s="24"/>
      <c r="V141" s="22"/>
      <c r="W141" s="22" t="s">
        <v>218</v>
      </c>
      <c r="X141" s="22" t="s">
        <v>218</v>
      </c>
      <c r="Y141" s="22" t="s">
        <v>135</v>
      </c>
      <c r="Z141" s="22" t="s">
        <v>66</v>
      </c>
      <c r="AA141" s="22">
        <v>45686</v>
      </c>
      <c r="AB141" s="22"/>
      <c r="AC141" s="22"/>
      <c r="AD141" s="22"/>
      <c r="AE141" s="22"/>
      <c r="AF141" s="22"/>
      <c r="AG141" s="22"/>
      <c r="AH141" s="22"/>
      <c r="AI141" s="22"/>
      <c r="AJ141" s="22"/>
      <c r="AK141" s="22"/>
      <c r="AL141" s="22"/>
      <c r="AM141" s="22"/>
      <c r="AN141" s="22"/>
      <c r="AO141" s="22"/>
      <c r="AP141" s="22"/>
      <c r="AQ141" s="22"/>
      <c r="AR141" s="22"/>
      <c r="AS141" s="25"/>
    </row>
    <row r="142" spans="1:45" s="1" customFormat="1">
      <c r="A142" s="22">
        <f t="shared" si="2"/>
        <v>141</v>
      </c>
      <c r="B142" s="23">
        <v>45642</v>
      </c>
      <c r="C142" s="22" t="s">
        <v>208</v>
      </c>
      <c r="D142" s="22" t="s">
        <v>486</v>
      </c>
      <c r="E142" s="22">
        <v>20250717</v>
      </c>
      <c r="F142" s="22" t="s">
        <v>803</v>
      </c>
      <c r="G142" s="22">
        <v>8766094018</v>
      </c>
      <c r="H142" s="22" t="s">
        <v>804</v>
      </c>
      <c r="I142" s="22" t="s">
        <v>55</v>
      </c>
      <c r="J142" s="22" t="s">
        <v>379</v>
      </c>
      <c r="K142" s="22" t="s">
        <v>380</v>
      </c>
      <c r="L142" s="22">
        <v>1.5</v>
      </c>
      <c r="M142" s="22" t="s">
        <v>805</v>
      </c>
      <c r="N142" s="22">
        <v>3</v>
      </c>
      <c r="O142" s="22">
        <v>0</v>
      </c>
      <c r="P142" s="22">
        <v>5</v>
      </c>
      <c r="Q142" s="22" t="s">
        <v>802</v>
      </c>
      <c r="R142" s="22" t="s">
        <v>63</v>
      </c>
      <c r="S142" s="22" t="s">
        <v>806</v>
      </c>
      <c r="T142" s="22"/>
      <c r="U142" s="24"/>
      <c r="V142" s="22"/>
      <c r="W142" s="22" t="s">
        <v>218</v>
      </c>
      <c r="X142" s="22" t="s">
        <v>218</v>
      </c>
      <c r="Y142" s="22" t="s">
        <v>135</v>
      </c>
      <c r="Z142" s="22" t="s">
        <v>66</v>
      </c>
      <c r="AA142" s="22">
        <v>45686</v>
      </c>
      <c r="AB142" s="22"/>
      <c r="AC142" s="22"/>
      <c r="AD142" s="22"/>
      <c r="AE142" s="22"/>
      <c r="AF142" s="22"/>
      <c r="AG142" s="22"/>
      <c r="AH142" s="22"/>
      <c r="AI142" s="22"/>
      <c r="AJ142" s="22"/>
      <c r="AK142" s="22"/>
      <c r="AL142" s="22"/>
      <c r="AM142" s="22"/>
      <c r="AN142" s="22"/>
      <c r="AO142" s="22"/>
      <c r="AP142" s="22"/>
      <c r="AQ142" s="22"/>
      <c r="AR142" s="22"/>
      <c r="AS142" s="25"/>
    </row>
    <row r="143" spans="1:45" s="1" customFormat="1">
      <c r="A143" s="22">
        <f t="shared" si="2"/>
        <v>142</v>
      </c>
      <c r="B143" s="23">
        <v>45642</v>
      </c>
      <c r="C143" s="22" t="s">
        <v>208</v>
      </c>
      <c r="D143" s="22" t="s">
        <v>486</v>
      </c>
      <c r="E143" s="22">
        <v>20250717</v>
      </c>
      <c r="F143" s="22" t="s">
        <v>807</v>
      </c>
      <c r="G143" s="22">
        <v>9960172359</v>
      </c>
      <c r="H143" s="22" t="s">
        <v>808</v>
      </c>
      <c r="I143" s="22" t="s">
        <v>55</v>
      </c>
      <c r="J143" s="22" t="s">
        <v>379</v>
      </c>
      <c r="K143" s="22" t="s">
        <v>380</v>
      </c>
      <c r="L143" s="22">
        <v>10</v>
      </c>
      <c r="M143" s="22" t="s">
        <v>809</v>
      </c>
      <c r="N143" s="22">
        <v>9</v>
      </c>
      <c r="O143" s="22">
        <v>0</v>
      </c>
      <c r="P143" s="22">
        <v>0.13</v>
      </c>
      <c r="Q143" s="22" t="s">
        <v>490</v>
      </c>
      <c r="R143" s="22" t="s">
        <v>63</v>
      </c>
      <c r="S143" s="22" t="s">
        <v>255</v>
      </c>
      <c r="T143" s="22"/>
      <c r="U143" s="24"/>
      <c r="V143" s="22"/>
      <c r="W143" s="22" t="s">
        <v>218</v>
      </c>
      <c r="X143" s="22" t="s">
        <v>218</v>
      </c>
      <c r="Y143" s="22" t="s">
        <v>135</v>
      </c>
      <c r="Z143" s="22" t="s">
        <v>66</v>
      </c>
      <c r="AA143" s="22">
        <v>45932</v>
      </c>
      <c r="AB143" s="22"/>
      <c r="AC143" s="22"/>
      <c r="AD143" s="22"/>
      <c r="AE143" s="22"/>
      <c r="AF143" s="22"/>
      <c r="AG143" s="22"/>
      <c r="AH143" s="22"/>
      <c r="AI143" s="22"/>
      <c r="AJ143" s="22"/>
      <c r="AK143" s="22"/>
      <c r="AL143" s="22"/>
      <c r="AM143" s="22"/>
      <c r="AN143" s="22"/>
      <c r="AO143" s="22"/>
      <c r="AP143" s="22"/>
      <c r="AQ143" s="22"/>
      <c r="AR143" s="22"/>
      <c r="AS143" s="25"/>
    </row>
    <row r="144" spans="1:45" s="1" customFormat="1">
      <c r="A144" s="22">
        <f t="shared" si="2"/>
        <v>143</v>
      </c>
      <c r="B144" s="23">
        <v>45644</v>
      </c>
      <c r="C144" s="22" t="s">
        <v>208</v>
      </c>
      <c r="D144" s="22" t="s">
        <v>209</v>
      </c>
      <c r="E144" s="22">
        <v>20241431</v>
      </c>
      <c r="F144" s="22" t="s">
        <v>810</v>
      </c>
      <c r="G144" s="22">
        <v>8446807024</v>
      </c>
      <c r="H144" s="22" t="s">
        <v>811</v>
      </c>
      <c r="I144" s="22" t="s">
        <v>55</v>
      </c>
      <c r="J144" s="22" t="s">
        <v>518</v>
      </c>
      <c r="K144" s="22" t="s">
        <v>116</v>
      </c>
      <c r="L144" s="22">
        <v>4.5999999999999996</v>
      </c>
      <c r="M144" s="22" t="s">
        <v>812</v>
      </c>
      <c r="N144" s="22">
        <v>7.5</v>
      </c>
      <c r="O144" s="22">
        <v>0</v>
      </c>
      <c r="P144" s="22">
        <v>12</v>
      </c>
      <c r="Q144" s="22" t="s">
        <v>813</v>
      </c>
      <c r="R144" s="22" t="s">
        <v>63</v>
      </c>
      <c r="S144" s="22" t="s">
        <v>814</v>
      </c>
      <c r="T144" s="22" t="s">
        <v>815</v>
      </c>
      <c r="U144" s="24"/>
      <c r="V144" s="22"/>
      <c r="W144" s="22" t="s">
        <v>218</v>
      </c>
      <c r="X144" s="22" t="s">
        <v>218</v>
      </c>
      <c r="Y144" s="22" t="s">
        <v>135</v>
      </c>
      <c r="Z144" s="22" t="s">
        <v>66</v>
      </c>
      <c r="AA144" s="22">
        <v>45644</v>
      </c>
      <c r="AB144" s="22">
        <v>45645</v>
      </c>
      <c r="AC144" s="22">
        <v>45645</v>
      </c>
      <c r="AD144" s="22"/>
      <c r="AE144" s="22"/>
      <c r="AF144" s="22"/>
      <c r="AG144" s="22"/>
      <c r="AH144" s="22"/>
      <c r="AI144" s="22"/>
      <c r="AJ144" s="22"/>
      <c r="AK144" s="22"/>
      <c r="AL144" s="22"/>
      <c r="AM144" s="22"/>
      <c r="AN144" s="22"/>
      <c r="AO144" s="22"/>
      <c r="AP144" s="22"/>
      <c r="AQ144" s="22"/>
      <c r="AR144" s="22"/>
      <c r="AS144" s="25"/>
    </row>
    <row r="145" spans="1:45" s="1" customFormat="1">
      <c r="A145" s="22">
        <f t="shared" si="2"/>
        <v>144</v>
      </c>
      <c r="B145" s="23">
        <v>45644</v>
      </c>
      <c r="C145" s="22" t="s">
        <v>208</v>
      </c>
      <c r="D145" s="22" t="s">
        <v>209</v>
      </c>
      <c r="E145" s="22">
        <v>20241431</v>
      </c>
      <c r="F145" s="22" t="s">
        <v>816</v>
      </c>
      <c r="G145" s="22">
        <v>9699088357</v>
      </c>
      <c r="H145" s="22" t="s">
        <v>817</v>
      </c>
      <c r="I145" s="22" t="s">
        <v>101</v>
      </c>
      <c r="J145" s="22" t="s">
        <v>518</v>
      </c>
      <c r="K145" s="22" t="s">
        <v>116</v>
      </c>
      <c r="L145" s="22">
        <v>5.5</v>
      </c>
      <c r="M145" s="22" t="s">
        <v>365</v>
      </c>
      <c r="N145" s="22">
        <v>7.5</v>
      </c>
      <c r="O145" s="22" t="s">
        <v>818</v>
      </c>
      <c r="P145" s="22">
        <v>16</v>
      </c>
      <c r="Q145" s="22" t="s">
        <v>819</v>
      </c>
      <c r="R145" s="22" t="s">
        <v>63</v>
      </c>
      <c r="S145" s="22" t="s">
        <v>820</v>
      </c>
      <c r="T145" s="22" t="s">
        <v>61</v>
      </c>
      <c r="U145" s="24"/>
      <c r="V145" s="22"/>
      <c r="W145" s="22" t="s">
        <v>218</v>
      </c>
      <c r="X145" s="22" t="s">
        <v>218</v>
      </c>
      <c r="Y145" s="22" t="s">
        <v>135</v>
      </c>
      <c r="Z145" s="22" t="s">
        <v>66</v>
      </c>
      <c r="AA145" s="22">
        <v>45644</v>
      </c>
      <c r="AB145" s="22">
        <v>45645</v>
      </c>
      <c r="AC145" s="22">
        <v>45714</v>
      </c>
      <c r="AD145" s="22"/>
      <c r="AE145" s="22"/>
      <c r="AF145" s="22"/>
      <c r="AG145" s="22"/>
      <c r="AH145" s="22"/>
      <c r="AI145" s="22"/>
      <c r="AJ145" s="22"/>
      <c r="AK145" s="22"/>
      <c r="AL145" s="22"/>
      <c r="AM145" s="22"/>
      <c r="AN145" s="22"/>
      <c r="AO145" s="22"/>
      <c r="AP145" s="22"/>
      <c r="AQ145" s="22"/>
      <c r="AR145" s="22"/>
      <c r="AS145" s="25"/>
    </row>
    <row r="146" spans="1:45" s="1" customFormat="1">
      <c r="A146" s="22">
        <f t="shared" si="2"/>
        <v>145</v>
      </c>
      <c r="B146" s="23">
        <v>45644</v>
      </c>
      <c r="C146" s="22" t="s">
        <v>208</v>
      </c>
      <c r="D146" s="22" t="s">
        <v>209</v>
      </c>
      <c r="E146" s="22">
        <v>20241431</v>
      </c>
      <c r="F146" s="22" t="s">
        <v>821</v>
      </c>
      <c r="G146" s="22">
        <v>7276075617</v>
      </c>
      <c r="H146" s="22" t="s">
        <v>822</v>
      </c>
      <c r="I146" s="22" t="s">
        <v>55</v>
      </c>
      <c r="J146" s="22" t="s">
        <v>518</v>
      </c>
      <c r="K146" s="22" t="s">
        <v>116</v>
      </c>
      <c r="L146" s="22">
        <v>3.3</v>
      </c>
      <c r="M146" s="22" t="s">
        <v>823</v>
      </c>
      <c r="N146" s="22">
        <v>6.75</v>
      </c>
      <c r="O146" s="22">
        <v>0.1</v>
      </c>
      <c r="P146" s="22">
        <v>11</v>
      </c>
      <c r="Q146" s="22" t="s">
        <v>824</v>
      </c>
      <c r="R146" s="22" t="s">
        <v>63</v>
      </c>
      <c r="S146" s="22" t="s">
        <v>820</v>
      </c>
      <c r="T146" s="22" t="s">
        <v>61</v>
      </c>
      <c r="U146" s="24"/>
      <c r="V146" s="22"/>
      <c r="W146" s="22" t="s">
        <v>218</v>
      </c>
      <c r="X146" s="22" t="s">
        <v>218</v>
      </c>
      <c r="Y146" s="22" t="s">
        <v>135</v>
      </c>
      <c r="Z146" s="22" t="s">
        <v>66</v>
      </c>
      <c r="AA146" s="22">
        <v>45644</v>
      </c>
      <c r="AB146" s="22">
        <v>45645</v>
      </c>
      <c r="AC146" s="22">
        <v>45705</v>
      </c>
      <c r="AD146" s="22"/>
      <c r="AE146" s="22"/>
      <c r="AF146" s="22"/>
      <c r="AG146" s="22"/>
      <c r="AH146" s="22"/>
      <c r="AI146" s="22"/>
      <c r="AJ146" s="22"/>
      <c r="AK146" s="22"/>
      <c r="AL146" s="22"/>
      <c r="AM146" s="22"/>
      <c r="AN146" s="22"/>
      <c r="AO146" s="22"/>
      <c r="AP146" s="22"/>
      <c r="AQ146" s="22"/>
      <c r="AR146" s="22"/>
      <c r="AS146" s="25"/>
    </row>
    <row r="147" spans="1:45" s="1" customFormat="1">
      <c r="A147" s="22">
        <f t="shared" si="2"/>
        <v>146</v>
      </c>
      <c r="B147" s="23">
        <v>45644</v>
      </c>
      <c r="C147" s="22" t="s">
        <v>208</v>
      </c>
      <c r="D147" s="22" t="s">
        <v>209</v>
      </c>
      <c r="E147" s="22">
        <v>20241431</v>
      </c>
      <c r="F147" s="22" t="s">
        <v>825</v>
      </c>
      <c r="G147" s="22" t="s">
        <v>826</v>
      </c>
      <c r="H147" s="22" t="s">
        <v>827</v>
      </c>
      <c r="I147" s="22" t="s">
        <v>55</v>
      </c>
      <c r="J147" s="22" t="s">
        <v>518</v>
      </c>
      <c r="K147" s="22" t="s">
        <v>116</v>
      </c>
      <c r="L147" s="22">
        <v>3</v>
      </c>
      <c r="M147" s="22" t="s">
        <v>828</v>
      </c>
      <c r="N147" s="22">
        <v>4.8</v>
      </c>
      <c r="O147" s="22">
        <v>0</v>
      </c>
      <c r="P147" s="22">
        <v>8</v>
      </c>
      <c r="Q147" s="22" t="s">
        <v>829</v>
      </c>
      <c r="R147" s="22" t="s">
        <v>63</v>
      </c>
      <c r="S147" s="22" t="s">
        <v>830</v>
      </c>
      <c r="T147" s="22" t="s">
        <v>61</v>
      </c>
      <c r="U147" s="24"/>
      <c r="V147" s="22"/>
      <c r="W147" s="22" t="s">
        <v>218</v>
      </c>
      <c r="X147" s="22" t="s">
        <v>218</v>
      </c>
      <c r="Y147" s="22" t="s">
        <v>135</v>
      </c>
      <c r="Z147" s="22" t="s">
        <v>66</v>
      </c>
      <c r="AA147" s="22">
        <v>45644</v>
      </c>
      <c r="AB147" s="22">
        <v>45645</v>
      </c>
      <c r="AC147" s="22">
        <v>45645</v>
      </c>
      <c r="AD147" s="22"/>
      <c r="AE147" s="22"/>
      <c r="AF147" s="22"/>
      <c r="AG147" s="22"/>
      <c r="AH147" s="22"/>
      <c r="AI147" s="22"/>
      <c r="AJ147" s="22"/>
      <c r="AK147" s="22"/>
      <c r="AL147" s="22"/>
      <c r="AM147" s="22"/>
      <c r="AN147" s="22"/>
      <c r="AO147" s="22"/>
      <c r="AP147" s="22"/>
      <c r="AQ147" s="22"/>
      <c r="AR147" s="22"/>
      <c r="AS147" s="25"/>
    </row>
    <row r="148" spans="1:45" s="1" customFormat="1">
      <c r="A148" s="22">
        <f t="shared" si="2"/>
        <v>147</v>
      </c>
      <c r="B148" s="23">
        <v>45644</v>
      </c>
      <c r="C148" s="22" t="s">
        <v>208</v>
      </c>
      <c r="D148" s="22" t="s">
        <v>293</v>
      </c>
      <c r="E148" s="22">
        <v>20249317</v>
      </c>
      <c r="F148" s="22" t="s">
        <v>831</v>
      </c>
      <c r="G148" s="22" t="s">
        <v>832</v>
      </c>
      <c r="H148" s="22" t="s">
        <v>833</v>
      </c>
      <c r="I148" s="22" t="s">
        <v>55</v>
      </c>
      <c r="J148" s="22" t="s">
        <v>723</v>
      </c>
      <c r="K148" s="22" t="s">
        <v>160</v>
      </c>
      <c r="L148" s="22" t="s">
        <v>161</v>
      </c>
      <c r="M148" s="22" t="s">
        <v>834</v>
      </c>
      <c r="N148" s="22" t="s">
        <v>684</v>
      </c>
      <c r="O148" s="22"/>
      <c r="P148" s="22" t="s">
        <v>760</v>
      </c>
      <c r="Q148" s="22" t="s">
        <v>835</v>
      </c>
      <c r="R148" s="22" t="s">
        <v>63</v>
      </c>
      <c r="S148" s="22" t="s">
        <v>133</v>
      </c>
      <c r="T148" s="22" t="s">
        <v>134</v>
      </c>
      <c r="U148" s="24"/>
      <c r="V148" s="22"/>
      <c r="W148" s="22" t="s">
        <v>93</v>
      </c>
      <c r="X148" s="22" t="s">
        <v>93</v>
      </c>
      <c r="Y148" s="22"/>
      <c r="Z148" s="22" t="s">
        <v>66</v>
      </c>
      <c r="AA148" s="22"/>
      <c r="AB148" s="22"/>
      <c r="AC148" s="22">
        <v>45705</v>
      </c>
      <c r="AD148" s="22"/>
      <c r="AE148" s="22"/>
      <c r="AF148" s="22"/>
      <c r="AG148" s="22"/>
      <c r="AH148" s="22"/>
      <c r="AI148" s="22"/>
      <c r="AJ148" s="22"/>
      <c r="AK148" s="22"/>
      <c r="AL148" s="22"/>
      <c r="AM148" s="22"/>
      <c r="AN148" s="22"/>
      <c r="AO148" s="22"/>
      <c r="AP148" s="22"/>
      <c r="AQ148" s="22"/>
      <c r="AR148" s="22"/>
      <c r="AS148" s="25"/>
    </row>
    <row r="149" spans="1:45" s="1" customFormat="1">
      <c r="A149" s="22">
        <f t="shared" si="2"/>
        <v>148</v>
      </c>
      <c r="B149" s="23">
        <v>45644</v>
      </c>
      <c r="C149" s="22" t="s">
        <v>208</v>
      </c>
      <c r="D149" s="22" t="s">
        <v>667</v>
      </c>
      <c r="E149" s="22">
        <v>20249317</v>
      </c>
      <c r="F149" s="22" t="s">
        <v>836</v>
      </c>
      <c r="G149" s="22">
        <v>9763162499</v>
      </c>
      <c r="H149" s="22" t="s">
        <v>837</v>
      </c>
      <c r="I149" s="22" t="s">
        <v>55</v>
      </c>
      <c r="J149" s="22" t="s">
        <v>723</v>
      </c>
      <c r="K149" s="22" t="s">
        <v>160</v>
      </c>
      <c r="L149" s="22" t="s">
        <v>338</v>
      </c>
      <c r="M149" s="22" t="s">
        <v>838</v>
      </c>
      <c r="N149" s="22" t="s">
        <v>839</v>
      </c>
      <c r="O149" s="22"/>
      <c r="P149" s="22">
        <v>0.3</v>
      </c>
      <c r="Q149" s="22" t="s">
        <v>636</v>
      </c>
      <c r="R149" s="22" t="s">
        <v>63</v>
      </c>
      <c r="S149" s="22" t="s">
        <v>133</v>
      </c>
      <c r="T149" s="22" t="s">
        <v>134</v>
      </c>
      <c r="U149" s="24"/>
      <c r="V149" s="22"/>
      <c r="W149" s="22" t="s">
        <v>93</v>
      </c>
      <c r="X149" s="22" t="s">
        <v>93</v>
      </c>
      <c r="Y149" s="22"/>
      <c r="Z149" s="22" t="s">
        <v>66</v>
      </c>
      <c r="AA149" s="22"/>
      <c r="AB149" s="22"/>
      <c r="AC149" s="22"/>
      <c r="AD149" s="22"/>
      <c r="AE149" s="22"/>
      <c r="AF149" s="22"/>
      <c r="AG149" s="22"/>
      <c r="AH149" s="22"/>
      <c r="AI149" s="22"/>
      <c r="AJ149" s="22"/>
      <c r="AK149" s="22"/>
      <c r="AL149" s="22"/>
      <c r="AM149" s="22"/>
      <c r="AN149" s="22"/>
      <c r="AO149" s="22"/>
      <c r="AP149" s="22"/>
      <c r="AQ149" s="22"/>
      <c r="AR149" s="22"/>
      <c r="AS149" s="25"/>
    </row>
    <row r="150" spans="1:45" s="1" customFormat="1">
      <c r="A150" s="22">
        <f t="shared" si="2"/>
        <v>149</v>
      </c>
      <c r="B150" s="23">
        <v>45644</v>
      </c>
      <c r="C150" s="22" t="s">
        <v>840</v>
      </c>
      <c r="D150" s="22" t="s">
        <v>841</v>
      </c>
      <c r="E150" s="22">
        <v>20249317</v>
      </c>
      <c r="F150" s="22" t="s">
        <v>842</v>
      </c>
      <c r="G150" s="22">
        <v>9291588656</v>
      </c>
      <c r="H150" s="22" t="s">
        <v>843</v>
      </c>
      <c r="I150" s="22" t="s">
        <v>55</v>
      </c>
      <c r="J150" s="22" t="s">
        <v>723</v>
      </c>
      <c r="K150" s="22" t="s">
        <v>160</v>
      </c>
      <c r="L150" s="22" t="s">
        <v>538</v>
      </c>
      <c r="M150" s="22" t="s">
        <v>844</v>
      </c>
      <c r="N150" s="22" t="s">
        <v>845</v>
      </c>
      <c r="O150" s="22"/>
      <c r="P150" s="22" t="s">
        <v>760</v>
      </c>
      <c r="Q150" s="22" t="s">
        <v>846</v>
      </c>
      <c r="R150" s="22" t="s">
        <v>63</v>
      </c>
      <c r="S150" s="22" t="s">
        <v>133</v>
      </c>
      <c r="T150" s="22" t="s">
        <v>134</v>
      </c>
      <c r="U150" s="24"/>
      <c r="V150" s="22"/>
      <c r="W150" s="22" t="s">
        <v>93</v>
      </c>
      <c r="X150" s="22" t="s">
        <v>93</v>
      </c>
      <c r="Y150" s="22" t="s">
        <v>135</v>
      </c>
      <c r="Z150" s="22" t="s">
        <v>66</v>
      </c>
      <c r="AA150" s="22"/>
      <c r="AB150" s="22"/>
      <c r="AC150" s="22"/>
      <c r="AD150" s="22"/>
      <c r="AE150" s="22"/>
      <c r="AF150" s="22"/>
      <c r="AG150" s="22"/>
      <c r="AH150" s="22"/>
      <c r="AI150" s="22"/>
      <c r="AJ150" s="22"/>
      <c r="AK150" s="22"/>
      <c r="AL150" s="22"/>
      <c r="AM150" s="22"/>
      <c r="AN150" s="22"/>
      <c r="AO150" s="22"/>
      <c r="AP150" s="22"/>
      <c r="AQ150" s="22"/>
      <c r="AR150" s="22"/>
      <c r="AS150" s="25"/>
    </row>
    <row r="151" spans="1:45" s="1" customFormat="1">
      <c r="A151" s="22">
        <f t="shared" si="2"/>
        <v>150</v>
      </c>
      <c r="B151" s="23">
        <v>45644</v>
      </c>
      <c r="C151" s="22" t="s">
        <v>208</v>
      </c>
      <c r="D151" s="22" t="s">
        <v>667</v>
      </c>
      <c r="E151" s="22">
        <v>20249317</v>
      </c>
      <c r="F151" s="22" t="s">
        <v>847</v>
      </c>
      <c r="G151" s="22">
        <v>9814725588</v>
      </c>
      <c r="H151" s="22" t="s">
        <v>848</v>
      </c>
      <c r="I151" s="22" t="s">
        <v>55</v>
      </c>
      <c r="J151" s="22" t="s">
        <v>723</v>
      </c>
      <c r="K151" s="22" t="s">
        <v>160</v>
      </c>
      <c r="L151" s="22" t="s">
        <v>849</v>
      </c>
      <c r="M151" s="22" t="s">
        <v>850</v>
      </c>
      <c r="N151" s="22" t="s">
        <v>340</v>
      </c>
      <c r="O151" s="22"/>
      <c r="P151" s="22" t="s">
        <v>760</v>
      </c>
      <c r="Q151" s="22" t="s">
        <v>846</v>
      </c>
      <c r="R151" s="22" t="s">
        <v>63</v>
      </c>
      <c r="S151" s="22" t="s">
        <v>851</v>
      </c>
      <c r="T151" s="22" t="s">
        <v>852</v>
      </c>
      <c r="U151" s="24"/>
      <c r="V151" s="22"/>
      <c r="W151" s="22" t="s">
        <v>93</v>
      </c>
      <c r="X151" s="22" t="s">
        <v>93</v>
      </c>
      <c r="Y151" s="22"/>
      <c r="Z151" s="22" t="s">
        <v>66</v>
      </c>
      <c r="AA151" s="22"/>
      <c r="AB151" s="22"/>
      <c r="AC151" s="22"/>
      <c r="AD151" s="22"/>
      <c r="AE151" s="22"/>
      <c r="AF151" s="22"/>
      <c r="AG151" s="22"/>
      <c r="AH151" s="22"/>
      <c r="AI151" s="22"/>
      <c r="AJ151" s="22"/>
      <c r="AK151" s="22"/>
      <c r="AL151" s="22"/>
      <c r="AM151" s="22"/>
      <c r="AN151" s="22"/>
      <c r="AO151" s="22"/>
      <c r="AP151" s="22"/>
      <c r="AQ151" s="22"/>
      <c r="AR151" s="22"/>
      <c r="AS151" s="25"/>
    </row>
    <row r="152" spans="1:45" s="1" customFormat="1">
      <c r="A152" s="22">
        <f t="shared" si="2"/>
        <v>151</v>
      </c>
      <c r="B152" s="23">
        <v>45644</v>
      </c>
      <c r="C152" s="22" t="s">
        <v>208</v>
      </c>
      <c r="D152" s="22" t="s">
        <v>209</v>
      </c>
      <c r="E152" s="22">
        <v>20249317</v>
      </c>
      <c r="F152" s="22" t="s">
        <v>853</v>
      </c>
      <c r="G152" s="22">
        <v>8018319807</v>
      </c>
      <c r="H152" s="22" t="s">
        <v>854</v>
      </c>
      <c r="I152" s="22" t="s">
        <v>55</v>
      </c>
      <c r="J152" s="22" t="s">
        <v>723</v>
      </c>
      <c r="K152" s="22" t="s">
        <v>160</v>
      </c>
      <c r="L152" s="22" t="s">
        <v>494</v>
      </c>
      <c r="M152" s="22" t="s">
        <v>855</v>
      </c>
      <c r="N152" s="22" t="s">
        <v>164</v>
      </c>
      <c r="O152" s="22"/>
      <c r="P152" s="22" t="s">
        <v>388</v>
      </c>
      <c r="Q152" s="22" t="s">
        <v>615</v>
      </c>
      <c r="R152" s="22" t="s">
        <v>63</v>
      </c>
      <c r="S152" s="22" t="s">
        <v>133</v>
      </c>
      <c r="T152" s="22" t="s">
        <v>134</v>
      </c>
      <c r="U152" s="24"/>
      <c r="V152" s="22"/>
      <c r="W152" s="22" t="s">
        <v>93</v>
      </c>
      <c r="X152" s="22" t="s">
        <v>93</v>
      </c>
      <c r="Y152" s="22"/>
      <c r="Z152" s="22" t="s">
        <v>66</v>
      </c>
      <c r="AA152" s="22"/>
      <c r="AB152" s="22"/>
      <c r="AC152" s="22"/>
      <c r="AD152" s="22"/>
      <c r="AE152" s="22"/>
      <c r="AF152" s="22"/>
      <c r="AG152" s="22"/>
      <c r="AH152" s="22"/>
      <c r="AI152" s="22"/>
      <c r="AJ152" s="22"/>
      <c r="AK152" s="22"/>
      <c r="AL152" s="22"/>
      <c r="AM152" s="22"/>
      <c r="AN152" s="22"/>
      <c r="AO152" s="22"/>
      <c r="AP152" s="22"/>
      <c r="AQ152" s="22"/>
      <c r="AR152" s="22"/>
      <c r="AS152" s="25"/>
    </row>
    <row r="153" spans="1:45" s="1" customFormat="1">
      <c r="A153" s="22">
        <f t="shared" si="2"/>
        <v>152</v>
      </c>
      <c r="B153" s="23">
        <v>45644</v>
      </c>
      <c r="C153" s="22" t="s">
        <v>208</v>
      </c>
      <c r="D153" s="22" t="s">
        <v>667</v>
      </c>
      <c r="E153" s="22">
        <v>20249317</v>
      </c>
      <c r="F153" s="22" t="s">
        <v>856</v>
      </c>
      <c r="G153" s="22">
        <v>8796655354</v>
      </c>
      <c r="H153" s="22" t="s">
        <v>857</v>
      </c>
      <c r="I153" s="22" t="s">
        <v>55</v>
      </c>
      <c r="J153" s="22" t="s">
        <v>723</v>
      </c>
      <c r="K153" s="22" t="s">
        <v>160</v>
      </c>
      <c r="L153" s="22" t="s">
        <v>688</v>
      </c>
      <c r="M153" s="22" t="s">
        <v>725</v>
      </c>
      <c r="N153" s="22" t="s">
        <v>858</v>
      </c>
      <c r="O153" s="22"/>
      <c r="P153" s="22" t="s">
        <v>760</v>
      </c>
      <c r="Q153" s="22" t="s">
        <v>63</v>
      </c>
      <c r="R153" s="22" t="s">
        <v>63</v>
      </c>
      <c r="S153" s="22" t="s">
        <v>284</v>
      </c>
      <c r="T153" s="22" t="s">
        <v>134</v>
      </c>
      <c r="U153" s="24"/>
      <c r="V153" s="22"/>
      <c r="W153" s="22" t="s">
        <v>93</v>
      </c>
      <c r="X153" s="22" t="s">
        <v>93</v>
      </c>
      <c r="Y153" s="22"/>
      <c r="Z153" s="22" t="s">
        <v>66</v>
      </c>
      <c r="AA153" s="22"/>
      <c r="AB153" s="22"/>
      <c r="AC153" s="22"/>
      <c r="AD153" s="22"/>
      <c r="AE153" s="22"/>
      <c r="AF153" s="22"/>
      <c r="AG153" s="22"/>
      <c r="AH153" s="22"/>
      <c r="AI153" s="22"/>
      <c r="AJ153" s="22"/>
      <c r="AK153" s="22"/>
      <c r="AL153" s="22"/>
      <c r="AM153" s="22"/>
      <c r="AN153" s="22"/>
      <c r="AO153" s="22"/>
      <c r="AP153" s="22"/>
      <c r="AQ153" s="22"/>
      <c r="AR153" s="22"/>
      <c r="AS153" s="25"/>
    </row>
    <row r="154" spans="1:45" s="1" customFormat="1">
      <c r="A154" s="22">
        <f t="shared" si="2"/>
        <v>153</v>
      </c>
      <c r="B154" s="23">
        <v>45736</v>
      </c>
      <c r="C154" s="22" t="s">
        <v>208</v>
      </c>
      <c r="D154" s="22" t="s">
        <v>256</v>
      </c>
      <c r="E154" s="22">
        <v>20252855</v>
      </c>
      <c r="F154" s="22" t="s">
        <v>859</v>
      </c>
      <c r="G154" s="22">
        <v>9421641725</v>
      </c>
      <c r="H154" s="22" t="s">
        <v>860</v>
      </c>
      <c r="I154" s="22" t="s">
        <v>55</v>
      </c>
      <c r="J154" s="22" t="s">
        <v>670</v>
      </c>
      <c r="K154" s="22" t="s">
        <v>116</v>
      </c>
      <c r="L154" s="22" t="s">
        <v>393</v>
      </c>
      <c r="M154" s="22" t="s">
        <v>861</v>
      </c>
      <c r="N154" s="22" t="s">
        <v>780</v>
      </c>
      <c r="O154" s="22"/>
      <c r="P154" s="22" t="s">
        <v>340</v>
      </c>
      <c r="Q154" s="22" t="s">
        <v>63</v>
      </c>
      <c r="R154" s="22" t="s">
        <v>63</v>
      </c>
      <c r="S154" s="22" t="s">
        <v>133</v>
      </c>
      <c r="T154" s="22" t="s">
        <v>134</v>
      </c>
      <c r="U154" s="24"/>
      <c r="V154" s="22"/>
      <c r="W154" s="22" t="s">
        <v>93</v>
      </c>
      <c r="X154" s="22" t="s">
        <v>93</v>
      </c>
      <c r="Y154" s="22"/>
      <c r="Z154" s="22" t="s">
        <v>66</v>
      </c>
      <c r="AA154" s="22"/>
      <c r="AB154" s="22"/>
      <c r="AC154" s="22"/>
      <c r="AD154" s="22"/>
      <c r="AE154" s="22"/>
      <c r="AF154" s="22"/>
      <c r="AG154" s="22"/>
      <c r="AH154" s="22"/>
      <c r="AI154" s="22"/>
      <c r="AJ154" s="22"/>
      <c r="AK154" s="22"/>
      <c r="AL154" s="22"/>
      <c r="AM154" s="22"/>
      <c r="AN154" s="22"/>
      <c r="AO154" s="22"/>
      <c r="AP154" s="22"/>
      <c r="AQ154" s="22"/>
      <c r="AR154" s="22"/>
      <c r="AS154" s="25"/>
    </row>
    <row r="155" spans="1:45" s="1" customFormat="1">
      <c r="A155" s="22">
        <f t="shared" si="2"/>
        <v>154</v>
      </c>
      <c r="B155" s="23">
        <v>45645</v>
      </c>
      <c r="C155" s="22" t="s">
        <v>208</v>
      </c>
      <c r="D155" s="22" t="s">
        <v>209</v>
      </c>
      <c r="E155" s="22">
        <v>20252855</v>
      </c>
      <c r="F155" s="22" t="s">
        <v>862</v>
      </c>
      <c r="G155" s="22">
        <v>9819498037</v>
      </c>
      <c r="H155" s="22" t="s">
        <v>863</v>
      </c>
      <c r="I155" s="22" t="s">
        <v>55</v>
      </c>
      <c r="J155" s="22" t="s">
        <v>670</v>
      </c>
      <c r="K155" s="22" t="s">
        <v>116</v>
      </c>
      <c r="L155" s="22" t="s">
        <v>688</v>
      </c>
      <c r="M155" s="22" t="s">
        <v>864</v>
      </c>
      <c r="N155" s="22" t="s">
        <v>684</v>
      </c>
      <c r="O155" s="22"/>
      <c r="P155" s="22" t="s">
        <v>164</v>
      </c>
      <c r="Q155" s="22" t="s">
        <v>63</v>
      </c>
      <c r="R155" s="22" t="s">
        <v>63</v>
      </c>
      <c r="S155" s="22" t="s">
        <v>133</v>
      </c>
      <c r="T155" s="22" t="s">
        <v>134</v>
      </c>
      <c r="U155" s="24"/>
      <c r="V155" s="22"/>
      <c r="W155" s="22" t="s">
        <v>93</v>
      </c>
      <c r="X155" s="22" t="s">
        <v>93</v>
      </c>
      <c r="Y155" s="22"/>
      <c r="Z155" s="22" t="s">
        <v>66</v>
      </c>
      <c r="AA155" s="22"/>
      <c r="AB155" s="22"/>
      <c r="AC155" s="22"/>
      <c r="AD155" s="22"/>
      <c r="AE155" s="22"/>
      <c r="AF155" s="22"/>
      <c r="AG155" s="22"/>
      <c r="AH155" s="22"/>
      <c r="AI155" s="22"/>
      <c r="AJ155" s="22"/>
      <c r="AK155" s="22"/>
      <c r="AL155" s="22"/>
      <c r="AM155" s="22"/>
      <c r="AN155" s="22"/>
      <c r="AO155" s="22"/>
      <c r="AP155" s="22"/>
      <c r="AQ155" s="22"/>
      <c r="AR155" s="22"/>
      <c r="AS155" s="25"/>
    </row>
    <row r="156" spans="1:45" s="1" customFormat="1">
      <c r="A156" s="22">
        <f t="shared" si="2"/>
        <v>155</v>
      </c>
      <c r="B156" s="23">
        <v>45646</v>
      </c>
      <c r="C156" s="22" t="s">
        <v>840</v>
      </c>
      <c r="D156" s="22" t="s">
        <v>841</v>
      </c>
      <c r="E156" s="22">
        <v>20243108</v>
      </c>
      <c r="F156" s="22" t="s">
        <v>865</v>
      </c>
      <c r="G156" s="22">
        <v>9871282834</v>
      </c>
      <c r="H156" s="22" t="s">
        <v>866</v>
      </c>
      <c r="I156" s="22" t="s">
        <v>55</v>
      </c>
      <c r="J156" s="22" t="s">
        <v>867</v>
      </c>
      <c r="K156" s="22" t="s">
        <v>201</v>
      </c>
      <c r="L156" s="22" t="s">
        <v>868</v>
      </c>
      <c r="M156" s="22" t="s">
        <v>869</v>
      </c>
      <c r="N156" s="22">
        <v>36.5</v>
      </c>
      <c r="O156" s="22"/>
      <c r="P156" s="22" t="s">
        <v>870</v>
      </c>
      <c r="Q156" s="22" t="s">
        <v>657</v>
      </c>
      <c r="R156" s="22" t="s">
        <v>657</v>
      </c>
      <c r="S156" s="22" t="s">
        <v>871</v>
      </c>
      <c r="T156" s="22"/>
      <c r="U156" s="24">
        <v>45754</v>
      </c>
      <c r="V156" s="22"/>
      <c r="W156" s="22" t="s">
        <v>65</v>
      </c>
      <c r="X156" s="22" t="s">
        <v>65</v>
      </c>
      <c r="Y156" s="22" t="s">
        <v>135</v>
      </c>
      <c r="Z156" s="22" t="s">
        <v>66</v>
      </c>
      <c r="AA156" s="22"/>
      <c r="AB156" s="22"/>
      <c r="AC156" s="22"/>
      <c r="AD156" s="22"/>
      <c r="AE156" s="22"/>
      <c r="AF156" s="22"/>
      <c r="AG156" s="22"/>
      <c r="AH156" s="22"/>
      <c r="AI156" s="22"/>
      <c r="AJ156" s="22"/>
      <c r="AK156" s="22"/>
      <c r="AL156" s="22"/>
      <c r="AM156" s="22"/>
      <c r="AN156" s="22"/>
      <c r="AO156" s="22"/>
      <c r="AP156" s="22"/>
      <c r="AQ156" s="22"/>
      <c r="AR156" s="22"/>
      <c r="AS156" s="25"/>
    </row>
    <row r="157" spans="1:45" s="1" customFormat="1">
      <c r="A157" s="22">
        <f t="shared" si="2"/>
        <v>156</v>
      </c>
      <c r="B157" s="23">
        <v>45651</v>
      </c>
      <c r="C157" s="22" t="s">
        <v>840</v>
      </c>
      <c r="D157" s="22" t="s">
        <v>841</v>
      </c>
      <c r="E157" s="22">
        <v>20243903</v>
      </c>
      <c r="F157" s="22" t="s">
        <v>872</v>
      </c>
      <c r="G157" s="22">
        <v>8862086872</v>
      </c>
      <c r="H157" s="22" t="s">
        <v>873</v>
      </c>
      <c r="I157" s="22" t="s">
        <v>101</v>
      </c>
      <c r="J157" s="22" t="s">
        <v>874</v>
      </c>
      <c r="K157" s="22" t="s">
        <v>875</v>
      </c>
      <c r="L157" s="22" t="s">
        <v>876</v>
      </c>
      <c r="M157" s="22" t="s">
        <v>877</v>
      </c>
      <c r="N157" s="22">
        <v>6.3</v>
      </c>
      <c r="O157" s="22"/>
      <c r="P157" s="22">
        <v>8</v>
      </c>
      <c r="Q157" s="22" t="s">
        <v>657</v>
      </c>
      <c r="R157" s="22" t="s">
        <v>657</v>
      </c>
      <c r="S157" s="22" t="s">
        <v>878</v>
      </c>
      <c r="T157" s="22" t="s">
        <v>879</v>
      </c>
      <c r="U157" s="24">
        <v>45740</v>
      </c>
      <c r="V157" s="22"/>
      <c r="W157" s="22" t="s">
        <v>65</v>
      </c>
      <c r="X157" s="22" t="s">
        <v>65</v>
      </c>
      <c r="Y157" s="22" t="s">
        <v>135</v>
      </c>
      <c r="Z157" s="22" t="s">
        <v>66</v>
      </c>
      <c r="AA157" s="22"/>
      <c r="AB157" s="22"/>
      <c r="AC157" s="22"/>
      <c r="AD157" s="22"/>
      <c r="AE157" s="22"/>
      <c r="AF157" s="22"/>
      <c r="AG157" s="22"/>
      <c r="AH157" s="22"/>
      <c r="AI157" s="22"/>
      <c r="AJ157" s="22"/>
      <c r="AK157" s="22"/>
      <c r="AL157" s="22"/>
      <c r="AM157" s="22"/>
      <c r="AN157" s="22"/>
      <c r="AO157" s="22"/>
      <c r="AP157" s="22"/>
      <c r="AQ157" s="22"/>
      <c r="AR157" s="22"/>
      <c r="AS157" s="25">
        <v>45747</v>
      </c>
    </row>
    <row r="158" spans="1:45" s="1" customFormat="1">
      <c r="A158" s="22">
        <f t="shared" si="2"/>
        <v>157</v>
      </c>
      <c r="B158" s="23">
        <v>45658</v>
      </c>
      <c r="C158" s="22" t="s">
        <v>208</v>
      </c>
      <c r="D158" s="22" t="s">
        <v>667</v>
      </c>
      <c r="E158" s="22">
        <v>20252855</v>
      </c>
      <c r="F158" s="22" t="s">
        <v>880</v>
      </c>
      <c r="G158" s="22">
        <v>9029320216</v>
      </c>
      <c r="H158" s="22" t="s">
        <v>881</v>
      </c>
      <c r="I158" s="22" t="s">
        <v>55</v>
      </c>
      <c r="J158" s="22" t="s">
        <v>670</v>
      </c>
      <c r="K158" s="22" t="s">
        <v>116</v>
      </c>
      <c r="L158" s="22" t="s">
        <v>421</v>
      </c>
      <c r="M158" s="22" t="s">
        <v>882</v>
      </c>
      <c r="N158" s="22" t="s">
        <v>780</v>
      </c>
      <c r="O158" s="22"/>
      <c r="P158" s="22" t="s">
        <v>282</v>
      </c>
      <c r="Q158" s="22" t="s">
        <v>63</v>
      </c>
      <c r="R158" s="22" t="s">
        <v>63</v>
      </c>
      <c r="S158" s="22" t="s">
        <v>883</v>
      </c>
      <c r="T158" s="22" t="s">
        <v>884</v>
      </c>
      <c r="U158" s="24"/>
      <c r="V158" s="22"/>
      <c r="W158" s="22" t="s">
        <v>93</v>
      </c>
      <c r="X158" s="22" t="s">
        <v>93</v>
      </c>
      <c r="Y158" s="22"/>
      <c r="Z158" s="22" t="s">
        <v>66</v>
      </c>
      <c r="AA158" s="22"/>
      <c r="AB158" s="22"/>
      <c r="AC158" s="22"/>
      <c r="AD158" s="22"/>
      <c r="AE158" s="22"/>
      <c r="AF158" s="22"/>
      <c r="AG158" s="22"/>
      <c r="AH158" s="22"/>
      <c r="AI158" s="22"/>
      <c r="AJ158" s="22"/>
      <c r="AK158" s="22"/>
      <c r="AL158" s="22"/>
      <c r="AM158" s="22"/>
      <c r="AN158" s="22"/>
      <c r="AO158" s="22"/>
      <c r="AP158" s="22"/>
      <c r="AQ158" s="22"/>
      <c r="AR158" s="22"/>
      <c r="AS158" s="25"/>
    </row>
    <row r="159" spans="1:45" s="1" customFormat="1">
      <c r="A159" s="22">
        <f t="shared" si="2"/>
        <v>158</v>
      </c>
      <c r="B159" s="23">
        <v>45658</v>
      </c>
      <c r="C159" s="22" t="s">
        <v>208</v>
      </c>
      <c r="D159" s="22" t="s">
        <v>667</v>
      </c>
      <c r="E159" s="22">
        <v>20252855</v>
      </c>
      <c r="F159" s="22" t="s">
        <v>885</v>
      </c>
      <c r="G159" s="22">
        <v>9664795492</v>
      </c>
      <c r="H159" s="22" t="s">
        <v>886</v>
      </c>
      <c r="I159" s="22" t="s">
        <v>55</v>
      </c>
      <c r="J159" s="22" t="s">
        <v>670</v>
      </c>
      <c r="K159" s="22" t="s">
        <v>116</v>
      </c>
      <c r="L159" s="22" t="s">
        <v>671</v>
      </c>
      <c r="M159" s="22" t="s">
        <v>887</v>
      </c>
      <c r="N159" s="22" t="s">
        <v>888</v>
      </c>
      <c r="O159" s="22"/>
      <c r="P159" s="22" t="s">
        <v>889</v>
      </c>
      <c r="Q159" s="22" t="s">
        <v>890</v>
      </c>
      <c r="R159" s="22" t="s">
        <v>63</v>
      </c>
      <c r="S159" s="22" t="s">
        <v>133</v>
      </c>
      <c r="T159" s="22" t="s">
        <v>134</v>
      </c>
      <c r="U159" s="24"/>
      <c r="V159" s="22"/>
      <c r="W159" s="22" t="s">
        <v>93</v>
      </c>
      <c r="X159" s="22" t="s">
        <v>93</v>
      </c>
      <c r="Y159" s="22"/>
      <c r="Z159" s="22" t="s">
        <v>66</v>
      </c>
      <c r="AA159" s="22"/>
      <c r="AB159" s="22"/>
      <c r="AC159" s="22"/>
      <c r="AD159" s="22"/>
      <c r="AE159" s="22"/>
      <c r="AF159" s="22"/>
      <c r="AG159" s="22"/>
      <c r="AH159" s="22"/>
      <c r="AI159" s="22"/>
      <c r="AJ159" s="22"/>
      <c r="AK159" s="22"/>
      <c r="AL159" s="22"/>
      <c r="AM159" s="22"/>
      <c r="AN159" s="22"/>
      <c r="AO159" s="22"/>
      <c r="AP159" s="22"/>
      <c r="AQ159" s="22"/>
      <c r="AR159" s="22"/>
      <c r="AS159" s="25"/>
    </row>
    <row r="160" spans="1:45" s="1" customFormat="1">
      <c r="A160" s="22">
        <f t="shared" si="2"/>
        <v>159</v>
      </c>
      <c r="B160" s="23">
        <v>45658</v>
      </c>
      <c r="C160" s="22" t="s">
        <v>208</v>
      </c>
      <c r="D160" s="22" t="s">
        <v>667</v>
      </c>
      <c r="E160" s="22">
        <v>20252855</v>
      </c>
      <c r="F160" s="22" t="s">
        <v>891</v>
      </c>
      <c r="G160" s="22">
        <v>8380835781</v>
      </c>
      <c r="H160" s="22" t="s">
        <v>892</v>
      </c>
      <c r="I160" s="22" t="s">
        <v>55</v>
      </c>
      <c r="J160" s="22" t="s">
        <v>670</v>
      </c>
      <c r="K160" s="22" t="s">
        <v>116</v>
      </c>
      <c r="L160" s="22" t="s">
        <v>893</v>
      </c>
      <c r="M160" s="22" t="s">
        <v>894</v>
      </c>
      <c r="N160" s="22" t="s">
        <v>403</v>
      </c>
      <c r="O160" s="22"/>
      <c r="P160" s="22" t="s">
        <v>282</v>
      </c>
      <c r="Q160" s="22" t="s">
        <v>895</v>
      </c>
      <c r="R160" s="22" t="s">
        <v>63</v>
      </c>
      <c r="S160" s="22" t="s">
        <v>175</v>
      </c>
      <c r="T160" s="22" t="s">
        <v>134</v>
      </c>
      <c r="U160" s="24"/>
      <c r="V160" s="22"/>
      <c r="W160" s="22" t="s">
        <v>93</v>
      </c>
      <c r="X160" s="22" t="s">
        <v>93</v>
      </c>
      <c r="Y160" s="22"/>
      <c r="Z160" s="22" t="s">
        <v>66</v>
      </c>
      <c r="AA160" s="22"/>
      <c r="AB160" s="22"/>
      <c r="AC160" s="22"/>
      <c r="AD160" s="22"/>
      <c r="AE160" s="22"/>
      <c r="AF160" s="22"/>
      <c r="AG160" s="22"/>
      <c r="AH160" s="22"/>
      <c r="AI160" s="22"/>
      <c r="AJ160" s="22"/>
      <c r="AK160" s="22"/>
      <c r="AL160" s="22"/>
      <c r="AM160" s="22"/>
      <c r="AN160" s="22"/>
      <c r="AO160" s="22"/>
      <c r="AP160" s="22"/>
      <c r="AQ160" s="22"/>
      <c r="AR160" s="22"/>
      <c r="AS160" s="25"/>
    </row>
    <row r="161" spans="1:45" s="1" customFormat="1">
      <c r="A161" s="22">
        <f t="shared" si="2"/>
        <v>160</v>
      </c>
      <c r="B161" s="23">
        <v>45659</v>
      </c>
      <c r="C161" s="22" t="s">
        <v>208</v>
      </c>
      <c r="D161" s="22" t="s">
        <v>667</v>
      </c>
      <c r="E161" s="22">
        <v>20247973</v>
      </c>
      <c r="F161" s="22" t="s">
        <v>896</v>
      </c>
      <c r="G161" s="22">
        <v>9150369654</v>
      </c>
      <c r="H161" s="22" t="s">
        <v>897</v>
      </c>
      <c r="I161" s="22" t="s">
        <v>55</v>
      </c>
      <c r="J161" s="22" t="s">
        <v>701</v>
      </c>
      <c r="K161" s="22" t="s">
        <v>702</v>
      </c>
      <c r="L161" s="22" t="s">
        <v>180</v>
      </c>
      <c r="M161" s="22" t="s">
        <v>898</v>
      </c>
      <c r="N161" s="22" t="s">
        <v>332</v>
      </c>
      <c r="O161" s="22"/>
      <c r="P161" s="22" t="s">
        <v>60</v>
      </c>
      <c r="Q161" s="22" t="s">
        <v>846</v>
      </c>
      <c r="R161" s="22" t="s">
        <v>63</v>
      </c>
      <c r="S161" s="22" t="s">
        <v>899</v>
      </c>
      <c r="T161" s="22" t="s">
        <v>134</v>
      </c>
      <c r="U161" s="24"/>
      <c r="V161" s="22"/>
      <c r="W161" s="22" t="s">
        <v>93</v>
      </c>
      <c r="X161" s="22" t="s">
        <v>93</v>
      </c>
      <c r="Y161" s="22"/>
      <c r="Z161" s="22" t="s">
        <v>66</v>
      </c>
      <c r="AA161" s="22"/>
      <c r="AB161" s="22"/>
      <c r="AC161" s="22"/>
      <c r="AD161" s="22"/>
      <c r="AE161" s="22"/>
      <c r="AF161" s="22"/>
      <c r="AG161" s="22"/>
      <c r="AH161" s="22"/>
      <c r="AI161" s="22"/>
      <c r="AJ161" s="22"/>
      <c r="AK161" s="22"/>
      <c r="AL161" s="22"/>
      <c r="AM161" s="22"/>
      <c r="AN161" s="22"/>
      <c r="AO161" s="22"/>
      <c r="AP161" s="22"/>
      <c r="AQ161" s="22"/>
      <c r="AR161" s="22"/>
      <c r="AS161" s="25"/>
    </row>
    <row r="162" spans="1:45" s="1" customFormat="1">
      <c r="A162" s="22">
        <f t="shared" si="2"/>
        <v>161</v>
      </c>
      <c r="B162" s="23">
        <v>45659</v>
      </c>
      <c r="C162" s="22" t="s">
        <v>840</v>
      </c>
      <c r="D162" s="22" t="s">
        <v>841</v>
      </c>
      <c r="E162" s="22">
        <v>20247804</v>
      </c>
      <c r="F162" s="22" t="s">
        <v>900</v>
      </c>
      <c r="G162" s="22">
        <v>7000553986</v>
      </c>
      <c r="H162" s="22" t="s">
        <v>901</v>
      </c>
      <c r="I162" s="22" t="s">
        <v>55</v>
      </c>
      <c r="J162" s="22" t="s">
        <v>701</v>
      </c>
      <c r="K162" s="22" t="s">
        <v>702</v>
      </c>
      <c r="L162" s="22" t="s">
        <v>902</v>
      </c>
      <c r="M162" s="22" t="s">
        <v>903</v>
      </c>
      <c r="N162" s="22" t="s">
        <v>904</v>
      </c>
      <c r="O162" s="22"/>
      <c r="P162" s="22" t="s">
        <v>396</v>
      </c>
      <c r="Q162" s="22" t="s">
        <v>63</v>
      </c>
      <c r="R162" s="22" t="s">
        <v>63</v>
      </c>
      <c r="S162" s="22" t="s">
        <v>133</v>
      </c>
      <c r="T162" s="22" t="s">
        <v>134</v>
      </c>
      <c r="U162" s="24">
        <v>45782</v>
      </c>
      <c r="V162" s="22"/>
      <c r="W162" s="22" t="s">
        <v>93</v>
      </c>
      <c r="X162" s="22" t="s">
        <v>93</v>
      </c>
      <c r="Y162" s="22" t="s">
        <v>135</v>
      </c>
      <c r="Z162" s="22" t="s">
        <v>66</v>
      </c>
      <c r="AA162" s="22"/>
      <c r="AB162" s="22"/>
      <c r="AC162" s="22"/>
      <c r="AD162" s="22"/>
      <c r="AE162" s="22"/>
      <c r="AF162" s="22"/>
      <c r="AG162" s="22"/>
      <c r="AH162" s="22"/>
      <c r="AI162" s="22"/>
      <c r="AJ162" s="22"/>
      <c r="AK162" s="22"/>
      <c r="AL162" s="22"/>
      <c r="AM162" s="22"/>
      <c r="AN162" s="22"/>
      <c r="AO162" s="22"/>
      <c r="AP162" s="22"/>
      <c r="AQ162" s="22"/>
      <c r="AR162" s="22"/>
      <c r="AS162" s="25"/>
    </row>
    <row r="163" spans="1:45" s="1" customFormat="1">
      <c r="A163" s="22">
        <f t="shared" si="2"/>
        <v>162</v>
      </c>
      <c r="B163" s="23">
        <v>45659</v>
      </c>
      <c r="C163" s="22" t="s">
        <v>208</v>
      </c>
      <c r="D163" s="22" t="s">
        <v>667</v>
      </c>
      <c r="E163" s="22">
        <v>20247973</v>
      </c>
      <c r="F163" s="22" t="s">
        <v>905</v>
      </c>
      <c r="G163" s="22">
        <v>7020939862</v>
      </c>
      <c r="H163" s="22" t="s">
        <v>906</v>
      </c>
      <c r="I163" s="22" t="s">
        <v>55</v>
      </c>
      <c r="J163" s="22" t="s">
        <v>701</v>
      </c>
      <c r="K163" s="22" t="s">
        <v>702</v>
      </c>
      <c r="L163" s="22" t="s">
        <v>393</v>
      </c>
      <c r="M163" s="22" t="s">
        <v>907</v>
      </c>
      <c r="N163" s="22" t="s">
        <v>60</v>
      </c>
      <c r="O163" s="22"/>
      <c r="P163" s="22" t="s">
        <v>173</v>
      </c>
      <c r="Q163" s="22" t="s">
        <v>63</v>
      </c>
      <c r="R163" s="22" t="s">
        <v>63</v>
      </c>
      <c r="S163" s="22" t="s">
        <v>284</v>
      </c>
      <c r="T163" s="22" t="s">
        <v>134</v>
      </c>
      <c r="U163" s="24"/>
      <c r="V163" s="22"/>
      <c r="W163" s="22" t="s">
        <v>93</v>
      </c>
      <c r="X163" s="22" t="s">
        <v>93</v>
      </c>
      <c r="Y163" s="22"/>
      <c r="Z163" s="22" t="s">
        <v>66</v>
      </c>
      <c r="AA163" s="22"/>
      <c r="AB163" s="22"/>
      <c r="AC163" s="22"/>
      <c r="AD163" s="22"/>
      <c r="AE163" s="22"/>
      <c r="AF163" s="22"/>
      <c r="AG163" s="22"/>
      <c r="AH163" s="22"/>
      <c r="AI163" s="22"/>
      <c r="AJ163" s="22"/>
      <c r="AK163" s="22"/>
      <c r="AL163" s="22"/>
      <c r="AM163" s="22"/>
      <c r="AN163" s="22"/>
      <c r="AO163" s="22"/>
      <c r="AP163" s="22"/>
      <c r="AQ163" s="22"/>
      <c r="AR163" s="22"/>
      <c r="AS163" s="25"/>
    </row>
    <row r="164" spans="1:45" s="1" customFormat="1">
      <c r="A164" s="22">
        <f t="shared" si="2"/>
        <v>163</v>
      </c>
      <c r="B164" s="23">
        <v>45662</v>
      </c>
      <c r="C164" s="22" t="s">
        <v>208</v>
      </c>
      <c r="D164" s="22" t="s">
        <v>667</v>
      </c>
      <c r="E164" s="22">
        <v>20249317</v>
      </c>
      <c r="F164" s="22" t="s">
        <v>908</v>
      </c>
      <c r="G164" s="22">
        <v>9004892575</v>
      </c>
      <c r="H164" s="22" t="s">
        <v>909</v>
      </c>
      <c r="I164" s="22" t="s">
        <v>55</v>
      </c>
      <c r="J164" s="22" t="s">
        <v>723</v>
      </c>
      <c r="K164" s="22" t="s">
        <v>160</v>
      </c>
      <c r="L164" s="22" t="s">
        <v>910</v>
      </c>
      <c r="M164" s="22" t="s">
        <v>855</v>
      </c>
      <c r="N164" s="22" t="s">
        <v>911</v>
      </c>
      <c r="O164" s="22"/>
      <c r="P164" s="22" t="s">
        <v>760</v>
      </c>
      <c r="Q164" s="22" t="s">
        <v>63</v>
      </c>
      <c r="R164" s="22" t="s">
        <v>63</v>
      </c>
      <c r="S164" s="22" t="s">
        <v>284</v>
      </c>
      <c r="T164" s="22" t="s">
        <v>134</v>
      </c>
      <c r="U164" s="24"/>
      <c r="V164" s="22"/>
      <c r="W164" s="22" t="s">
        <v>93</v>
      </c>
      <c r="X164" s="22" t="s">
        <v>93</v>
      </c>
      <c r="Y164" s="22"/>
      <c r="Z164" s="22" t="s">
        <v>66</v>
      </c>
      <c r="AA164" s="22"/>
      <c r="AB164" s="22"/>
      <c r="AC164" s="22"/>
      <c r="AD164" s="22"/>
      <c r="AE164" s="22"/>
      <c r="AF164" s="22"/>
      <c r="AG164" s="22"/>
      <c r="AH164" s="22"/>
      <c r="AI164" s="22"/>
      <c r="AJ164" s="22"/>
      <c r="AK164" s="22"/>
      <c r="AL164" s="22"/>
      <c r="AM164" s="22"/>
      <c r="AN164" s="22"/>
      <c r="AO164" s="22"/>
      <c r="AP164" s="22"/>
      <c r="AQ164" s="22"/>
      <c r="AR164" s="22"/>
      <c r="AS164" s="25"/>
    </row>
    <row r="165" spans="1:45" s="1" customFormat="1">
      <c r="A165" s="22">
        <f t="shared" si="2"/>
        <v>164</v>
      </c>
      <c r="B165" s="23">
        <v>45662</v>
      </c>
      <c r="C165" s="22" t="s">
        <v>208</v>
      </c>
      <c r="D165" s="22" t="s">
        <v>667</v>
      </c>
      <c r="E165" s="22">
        <v>20249317</v>
      </c>
      <c r="F165" s="22" t="s">
        <v>912</v>
      </c>
      <c r="G165" s="22">
        <v>9912762761</v>
      </c>
      <c r="H165" s="22" t="s">
        <v>913</v>
      </c>
      <c r="I165" s="22" t="s">
        <v>55</v>
      </c>
      <c r="J165" s="22" t="s">
        <v>723</v>
      </c>
      <c r="K165" s="22" t="s">
        <v>160</v>
      </c>
      <c r="L165" s="22" t="s">
        <v>914</v>
      </c>
      <c r="M165" s="22" t="s">
        <v>915</v>
      </c>
      <c r="N165" s="22" t="s">
        <v>182</v>
      </c>
      <c r="O165" s="22"/>
      <c r="P165" s="22" t="s">
        <v>760</v>
      </c>
      <c r="Q165" s="22" t="s">
        <v>63</v>
      </c>
      <c r="R165" s="22" t="s">
        <v>63</v>
      </c>
      <c r="S165" s="22" t="s">
        <v>284</v>
      </c>
      <c r="T165" s="22" t="s">
        <v>134</v>
      </c>
      <c r="U165" s="24"/>
      <c r="V165" s="22"/>
      <c r="W165" s="22" t="s">
        <v>93</v>
      </c>
      <c r="X165" s="22" t="s">
        <v>93</v>
      </c>
      <c r="Y165" s="22"/>
      <c r="Z165" s="22" t="s">
        <v>66</v>
      </c>
      <c r="AA165" s="22"/>
      <c r="AB165" s="22"/>
      <c r="AC165" s="22"/>
      <c r="AD165" s="22"/>
      <c r="AE165" s="22"/>
      <c r="AF165" s="22"/>
      <c r="AG165" s="22"/>
      <c r="AH165" s="22"/>
      <c r="AI165" s="22"/>
      <c r="AJ165" s="22"/>
      <c r="AK165" s="22"/>
      <c r="AL165" s="22"/>
      <c r="AM165" s="22"/>
      <c r="AN165" s="22"/>
      <c r="AO165" s="22"/>
      <c r="AP165" s="22"/>
      <c r="AQ165" s="22"/>
      <c r="AR165" s="22"/>
      <c r="AS165" s="25"/>
    </row>
    <row r="166" spans="1:45" s="1" customFormat="1">
      <c r="A166" s="22">
        <f t="shared" si="2"/>
        <v>165</v>
      </c>
      <c r="B166" s="23">
        <v>45663</v>
      </c>
      <c r="C166" s="22" t="s">
        <v>208</v>
      </c>
      <c r="D166" s="22" t="s">
        <v>293</v>
      </c>
      <c r="E166" s="22">
        <v>20251843</v>
      </c>
      <c r="F166" s="22" t="s">
        <v>916</v>
      </c>
      <c r="G166" s="22">
        <v>9049049053</v>
      </c>
      <c r="H166" s="22" t="s">
        <v>917</v>
      </c>
      <c r="I166" s="22" t="s">
        <v>55</v>
      </c>
      <c r="J166" s="22" t="s">
        <v>768</v>
      </c>
      <c r="K166" s="22" t="s">
        <v>769</v>
      </c>
      <c r="L166" s="22" t="s">
        <v>170</v>
      </c>
      <c r="M166" s="22" t="s">
        <v>918</v>
      </c>
      <c r="N166" s="22" t="s">
        <v>132</v>
      </c>
      <c r="O166" s="22"/>
      <c r="P166" s="22" t="s">
        <v>919</v>
      </c>
      <c r="Q166" s="22" t="s">
        <v>63</v>
      </c>
      <c r="R166" s="22" t="s">
        <v>63</v>
      </c>
      <c r="S166" s="22" t="s">
        <v>133</v>
      </c>
      <c r="T166" s="22" t="s">
        <v>134</v>
      </c>
      <c r="U166" s="24"/>
      <c r="V166" s="22"/>
      <c r="W166" s="22" t="s">
        <v>93</v>
      </c>
      <c r="X166" s="22" t="s">
        <v>93</v>
      </c>
      <c r="Y166" s="22"/>
      <c r="Z166" s="22" t="s">
        <v>66</v>
      </c>
      <c r="AA166" s="22"/>
      <c r="AB166" s="22"/>
      <c r="AC166" s="22"/>
      <c r="AD166" s="22"/>
      <c r="AE166" s="22"/>
      <c r="AF166" s="22"/>
      <c r="AG166" s="22"/>
      <c r="AH166" s="22"/>
      <c r="AI166" s="22"/>
      <c r="AJ166" s="22"/>
      <c r="AK166" s="22"/>
      <c r="AL166" s="22"/>
      <c r="AM166" s="22"/>
      <c r="AN166" s="22"/>
      <c r="AO166" s="22"/>
      <c r="AP166" s="22"/>
      <c r="AQ166" s="22"/>
      <c r="AR166" s="22"/>
      <c r="AS166" s="25"/>
    </row>
    <row r="167" spans="1:45" s="1" customFormat="1">
      <c r="A167" s="22">
        <f t="shared" si="2"/>
        <v>166</v>
      </c>
      <c r="B167" s="23">
        <v>45663</v>
      </c>
      <c r="C167" s="22" t="s">
        <v>840</v>
      </c>
      <c r="D167" s="22" t="s">
        <v>841</v>
      </c>
      <c r="E167" s="22">
        <v>20251843</v>
      </c>
      <c r="F167" s="22" t="s">
        <v>920</v>
      </c>
      <c r="G167" s="22">
        <v>8669030508</v>
      </c>
      <c r="H167" s="22" t="s">
        <v>921</v>
      </c>
      <c r="I167" s="22" t="s">
        <v>55</v>
      </c>
      <c r="J167" s="22" t="s">
        <v>768</v>
      </c>
      <c r="K167" s="22" t="s">
        <v>769</v>
      </c>
      <c r="L167" s="22" t="s">
        <v>421</v>
      </c>
      <c r="M167" s="22" t="s">
        <v>922</v>
      </c>
      <c r="N167" s="22" t="s">
        <v>333</v>
      </c>
      <c r="O167" s="22"/>
      <c r="P167" s="22" t="s">
        <v>494</v>
      </c>
      <c r="Q167" s="22" t="s">
        <v>63</v>
      </c>
      <c r="R167" s="22" t="s">
        <v>63</v>
      </c>
      <c r="S167" s="22" t="s">
        <v>133</v>
      </c>
      <c r="T167" s="22" t="s">
        <v>134</v>
      </c>
      <c r="U167" s="24">
        <v>45740</v>
      </c>
      <c r="V167" s="22"/>
      <c r="W167" s="22" t="s">
        <v>93</v>
      </c>
      <c r="X167" s="22" t="s">
        <v>93</v>
      </c>
      <c r="Y167" s="22" t="s">
        <v>135</v>
      </c>
      <c r="Z167" s="22" t="s">
        <v>66</v>
      </c>
      <c r="AA167" s="22"/>
      <c r="AB167" s="22"/>
      <c r="AC167" s="22"/>
      <c r="AD167" s="22"/>
      <c r="AE167" s="22"/>
      <c r="AF167" s="22"/>
      <c r="AG167" s="22"/>
      <c r="AH167" s="22"/>
      <c r="AI167" s="22"/>
      <c r="AJ167" s="22"/>
      <c r="AK167" s="22"/>
      <c r="AL167" s="22"/>
      <c r="AM167" s="22"/>
      <c r="AN167" s="22"/>
      <c r="AO167" s="22"/>
      <c r="AP167" s="22"/>
      <c r="AQ167" s="22"/>
      <c r="AR167" s="22"/>
      <c r="AS167" s="25"/>
    </row>
    <row r="168" spans="1:45" s="1" customFormat="1">
      <c r="A168" s="22">
        <f t="shared" si="2"/>
        <v>167</v>
      </c>
      <c r="B168" s="23">
        <v>45663</v>
      </c>
      <c r="C168" s="22" t="s">
        <v>51</v>
      </c>
      <c r="D168" s="22" t="s">
        <v>51</v>
      </c>
      <c r="E168" s="22" t="s">
        <v>52</v>
      </c>
      <c r="F168" s="22" t="s">
        <v>923</v>
      </c>
      <c r="G168" s="22">
        <v>8197463496</v>
      </c>
      <c r="H168" s="22" t="s">
        <v>924</v>
      </c>
      <c r="I168" s="22" t="s">
        <v>55</v>
      </c>
      <c r="J168" s="22" t="s">
        <v>651</v>
      </c>
      <c r="K168" s="22" t="s">
        <v>252</v>
      </c>
      <c r="L168" s="22"/>
      <c r="M168" s="22"/>
      <c r="N168" s="22"/>
      <c r="O168" s="22"/>
      <c r="P168" s="22">
        <v>850000</v>
      </c>
      <c r="Q168" s="22" t="e" vm="1">
        <v>#VALUE!</v>
      </c>
      <c r="R168" s="22" t="s">
        <v>63</v>
      </c>
      <c r="S168" s="22"/>
      <c r="T168" s="22"/>
      <c r="U168" s="24">
        <v>45684</v>
      </c>
      <c r="V168" s="22"/>
      <c r="W168" s="22" t="s">
        <v>65</v>
      </c>
      <c r="X168" s="22" t="s">
        <v>65</v>
      </c>
      <c r="Y168" s="22"/>
      <c r="Z168" s="22" t="s">
        <v>76</v>
      </c>
      <c r="AA168" s="22"/>
      <c r="AB168" s="22"/>
      <c r="AC168" s="22"/>
      <c r="AD168" s="22"/>
      <c r="AE168" s="22"/>
      <c r="AF168" s="22"/>
      <c r="AG168" s="22"/>
      <c r="AH168" s="22"/>
      <c r="AI168" s="22"/>
      <c r="AJ168" s="22"/>
      <c r="AK168" s="22"/>
      <c r="AL168" s="22"/>
      <c r="AM168" s="22"/>
      <c r="AN168" s="22"/>
      <c r="AO168" s="22"/>
      <c r="AP168" s="22"/>
      <c r="AQ168" s="22"/>
      <c r="AR168" s="22"/>
      <c r="AS168" s="25"/>
    </row>
    <row r="169" spans="1:45" s="1" customFormat="1">
      <c r="A169" s="22">
        <f t="shared" si="2"/>
        <v>168</v>
      </c>
      <c r="B169" s="23">
        <v>45663</v>
      </c>
      <c r="C169" s="22" t="s">
        <v>840</v>
      </c>
      <c r="D169" s="22" t="s">
        <v>51</v>
      </c>
      <c r="E169" s="22">
        <v>20244851</v>
      </c>
      <c r="F169" s="22" t="s">
        <v>925</v>
      </c>
      <c r="G169" s="22">
        <v>8668428223</v>
      </c>
      <c r="H169" s="22" t="s">
        <v>926</v>
      </c>
      <c r="I169" s="22" t="s">
        <v>55</v>
      </c>
      <c r="J169" s="22" t="s">
        <v>927</v>
      </c>
      <c r="K169" s="22" t="s">
        <v>428</v>
      </c>
      <c r="L169" s="22" t="s">
        <v>928</v>
      </c>
      <c r="M169" s="22" t="s">
        <v>929</v>
      </c>
      <c r="N169" s="22" t="s">
        <v>930</v>
      </c>
      <c r="O169" s="22"/>
      <c r="P169" s="22" t="s">
        <v>931</v>
      </c>
      <c r="Q169" s="22" t="s">
        <v>710</v>
      </c>
      <c r="R169" s="22" t="s">
        <v>657</v>
      </c>
      <c r="S169" s="22" t="s">
        <v>932</v>
      </c>
      <c r="T169" s="22" t="s">
        <v>933</v>
      </c>
      <c r="U169" s="24">
        <v>45726</v>
      </c>
      <c r="V169" s="22"/>
      <c r="W169" s="22" t="s">
        <v>65</v>
      </c>
      <c r="X169" s="22" t="s">
        <v>65</v>
      </c>
      <c r="Y169" s="22" t="s">
        <v>351</v>
      </c>
      <c r="Z169" s="22" t="s">
        <v>66</v>
      </c>
      <c r="AA169" s="22"/>
      <c r="AB169" s="22"/>
      <c r="AC169" s="22"/>
      <c r="AD169" s="22"/>
      <c r="AE169" s="22"/>
      <c r="AF169" s="22"/>
      <c r="AG169" s="22"/>
      <c r="AH169" s="22"/>
      <c r="AI169" s="22"/>
      <c r="AJ169" s="22"/>
      <c r="AK169" s="22"/>
      <c r="AL169" s="22"/>
      <c r="AM169" s="22"/>
      <c r="AN169" s="22"/>
      <c r="AO169" s="22"/>
      <c r="AP169" s="22"/>
      <c r="AQ169" s="22"/>
      <c r="AR169" s="22"/>
      <c r="AS169" s="25"/>
    </row>
    <row r="170" spans="1:45" s="1" customFormat="1">
      <c r="A170" s="22">
        <f t="shared" si="2"/>
        <v>169</v>
      </c>
      <c r="B170" s="23">
        <v>45664</v>
      </c>
      <c r="C170" s="22" t="s">
        <v>208</v>
      </c>
      <c r="D170" s="22" t="s">
        <v>293</v>
      </c>
      <c r="E170" s="22">
        <v>20242406</v>
      </c>
      <c r="F170" s="22" t="s">
        <v>934</v>
      </c>
      <c r="G170" s="22">
        <v>8605757480</v>
      </c>
      <c r="H170" s="22" t="s">
        <v>935</v>
      </c>
      <c r="I170" s="22" t="s">
        <v>55</v>
      </c>
      <c r="J170" s="22" t="s">
        <v>936</v>
      </c>
      <c r="K170" s="22" t="s">
        <v>937</v>
      </c>
      <c r="L170" s="22" t="s">
        <v>938</v>
      </c>
      <c r="M170" s="22" t="s">
        <v>939</v>
      </c>
      <c r="N170" s="22">
        <v>14</v>
      </c>
      <c r="O170" s="22" t="s">
        <v>61</v>
      </c>
      <c r="P170" s="22" t="s">
        <v>940</v>
      </c>
      <c r="Q170" s="22" t="s">
        <v>657</v>
      </c>
      <c r="R170" s="22" t="s">
        <v>657</v>
      </c>
      <c r="S170" s="22" t="s">
        <v>941</v>
      </c>
      <c r="T170" s="22" t="s">
        <v>61</v>
      </c>
      <c r="U170" s="24"/>
      <c r="V170" s="22"/>
      <c r="W170" s="22" t="s">
        <v>65</v>
      </c>
      <c r="X170" s="22" t="s">
        <v>65</v>
      </c>
      <c r="Y170" s="22"/>
      <c r="Z170" s="22" t="s">
        <v>66</v>
      </c>
      <c r="AA170" s="22"/>
      <c r="AB170" s="22">
        <v>45685</v>
      </c>
      <c r="AC170" s="22"/>
      <c r="AD170" s="22"/>
      <c r="AE170" s="22"/>
      <c r="AF170" s="22"/>
      <c r="AG170" s="22"/>
      <c r="AH170" s="22"/>
      <c r="AI170" s="22"/>
      <c r="AJ170" s="22"/>
      <c r="AK170" s="22"/>
      <c r="AL170" s="22"/>
      <c r="AM170" s="22"/>
      <c r="AN170" s="22"/>
      <c r="AO170" s="22"/>
      <c r="AP170" s="22"/>
      <c r="AQ170" s="22"/>
      <c r="AR170" s="22"/>
      <c r="AS170" s="25"/>
    </row>
    <row r="171" spans="1:45" s="1" customFormat="1">
      <c r="A171" s="22">
        <f t="shared" si="2"/>
        <v>170</v>
      </c>
      <c r="B171" s="23">
        <v>45664</v>
      </c>
      <c r="C171" s="22" t="s">
        <v>208</v>
      </c>
      <c r="D171" s="22" t="s">
        <v>209</v>
      </c>
      <c r="E171" s="22">
        <v>20242406</v>
      </c>
      <c r="F171" s="22" t="s">
        <v>942</v>
      </c>
      <c r="G171" s="22">
        <v>8106594053</v>
      </c>
      <c r="H171" s="22" t="s">
        <v>943</v>
      </c>
      <c r="I171" s="22" t="s">
        <v>55</v>
      </c>
      <c r="J171" s="22" t="s">
        <v>936</v>
      </c>
      <c r="K171" s="22" t="s">
        <v>937</v>
      </c>
      <c r="L171" s="22" t="s">
        <v>58</v>
      </c>
      <c r="M171" s="22" t="s">
        <v>944</v>
      </c>
      <c r="N171" s="22">
        <v>9.3000000000000007</v>
      </c>
      <c r="O171" s="22" t="s">
        <v>61</v>
      </c>
      <c r="P171" s="22">
        <v>13</v>
      </c>
      <c r="Q171" s="22" t="s">
        <v>615</v>
      </c>
      <c r="R171" s="22" t="s">
        <v>657</v>
      </c>
      <c r="S171" s="22" t="s">
        <v>945</v>
      </c>
      <c r="T171" s="22" t="s">
        <v>946</v>
      </c>
      <c r="U171" s="24"/>
      <c r="V171" s="22"/>
      <c r="W171" s="22" t="s">
        <v>65</v>
      </c>
      <c r="X171" s="22" t="s">
        <v>65</v>
      </c>
      <c r="Y171" s="22"/>
      <c r="Z171" s="22" t="s">
        <v>66</v>
      </c>
      <c r="AA171" s="22"/>
      <c r="AB171" s="22">
        <v>45693</v>
      </c>
      <c r="AC171" s="22"/>
      <c r="AD171" s="22"/>
      <c r="AE171" s="22"/>
      <c r="AF171" s="22"/>
      <c r="AG171" s="22"/>
      <c r="AH171" s="22"/>
      <c r="AI171" s="22"/>
      <c r="AJ171" s="22"/>
      <c r="AK171" s="22"/>
      <c r="AL171" s="22"/>
      <c r="AM171" s="22"/>
      <c r="AN171" s="22"/>
      <c r="AO171" s="22"/>
      <c r="AP171" s="22"/>
      <c r="AQ171" s="22"/>
      <c r="AR171" s="22"/>
      <c r="AS171" s="25"/>
    </row>
    <row r="172" spans="1:45" s="1" customFormat="1">
      <c r="A172" s="22">
        <f t="shared" si="2"/>
        <v>171</v>
      </c>
      <c r="B172" s="23">
        <v>45664</v>
      </c>
      <c r="C172" s="22" t="s">
        <v>208</v>
      </c>
      <c r="D172" s="22" t="s">
        <v>209</v>
      </c>
      <c r="E172" s="22">
        <v>20242406</v>
      </c>
      <c r="F172" s="22" t="s">
        <v>947</v>
      </c>
      <c r="G172" s="22">
        <v>9022940954</v>
      </c>
      <c r="H172" s="22" t="s">
        <v>948</v>
      </c>
      <c r="I172" s="22" t="s">
        <v>101</v>
      </c>
      <c r="J172" s="22" t="s">
        <v>936</v>
      </c>
      <c r="K172" s="22" t="s">
        <v>937</v>
      </c>
      <c r="L172" s="22" t="s">
        <v>938</v>
      </c>
      <c r="M172" s="22" t="s">
        <v>944</v>
      </c>
      <c r="N172" s="22">
        <v>9.3000000000000007</v>
      </c>
      <c r="O172" s="22" t="s">
        <v>61</v>
      </c>
      <c r="P172" s="22">
        <v>13</v>
      </c>
      <c r="Q172" s="22" t="s">
        <v>657</v>
      </c>
      <c r="R172" s="22" t="s">
        <v>657</v>
      </c>
      <c r="S172" s="22" t="s">
        <v>949</v>
      </c>
      <c r="T172" s="22" t="s">
        <v>61</v>
      </c>
      <c r="U172" s="24"/>
      <c r="V172" s="22"/>
      <c r="W172" s="22" t="s">
        <v>65</v>
      </c>
      <c r="X172" s="22" t="s">
        <v>65</v>
      </c>
      <c r="Y172" s="22"/>
      <c r="Z172" s="22" t="s">
        <v>66</v>
      </c>
      <c r="AA172" s="22"/>
      <c r="AB172" s="22">
        <v>45686</v>
      </c>
      <c r="AC172" s="22"/>
      <c r="AD172" s="22"/>
      <c r="AE172" s="22"/>
      <c r="AF172" s="22"/>
      <c r="AG172" s="22"/>
      <c r="AH172" s="22"/>
      <c r="AI172" s="22"/>
      <c r="AJ172" s="22"/>
      <c r="AK172" s="22"/>
      <c r="AL172" s="22"/>
      <c r="AM172" s="22"/>
      <c r="AN172" s="22"/>
      <c r="AO172" s="22"/>
      <c r="AP172" s="22"/>
      <c r="AQ172" s="22"/>
      <c r="AR172" s="22"/>
      <c r="AS172" s="25"/>
    </row>
    <row r="173" spans="1:45" s="1" customFormat="1">
      <c r="A173" s="22">
        <f t="shared" si="2"/>
        <v>172</v>
      </c>
      <c r="B173" s="23">
        <v>45664</v>
      </c>
      <c r="C173" s="22" t="s">
        <v>208</v>
      </c>
      <c r="D173" s="22" t="s">
        <v>209</v>
      </c>
      <c r="E173" s="22">
        <v>20242406</v>
      </c>
      <c r="F173" s="22" t="s">
        <v>950</v>
      </c>
      <c r="G173" s="22">
        <v>9503649636</v>
      </c>
      <c r="H173" s="22" t="s">
        <v>951</v>
      </c>
      <c r="I173" s="22" t="s">
        <v>55</v>
      </c>
      <c r="J173" s="22" t="s">
        <v>936</v>
      </c>
      <c r="K173" s="22" t="s">
        <v>937</v>
      </c>
      <c r="L173" s="22" t="s">
        <v>58</v>
      </c>
      <c r="M173" s="22" t="s">
        <v>952</v>
      </c>
      <c r="N173" s="22">
        <v>9.5</v>
      </c>
      <c r="O173" s="22" t="s">
        <v>61</v>
      </c>
      <c r="P173" s="22">
        <v>14</v>
      </c>
      <c r="Q173" s="22" t="s">
        <v>657</v>
      </c>
      <c r="R173" s="22" t="s">
        <v>657</v>
      </c>
      <c r="S173" s="22" t="s">
        <v>953</v>
      </c>
      <c r="T173" s="22" t="s">
        <v>61</v>
      </c>
      <c r="U173" s="24"/>
      <c r="V173" s="22"/>
      <c r="W173" s="22" t="s">
        <v>65</v>
      </c>
      <c r="X173" s="22" t="s">
        <v>65</v>
      </c>
      <c r="Y173" s="22"/>
      <c r="Z173" s="22" t="s">
        <v>66</v>
      </c>
      <c r="AA173" s="22"/>
      <c r="AB173" s="22">
        <v>45668</v>
      </c>
      <c r="AC173" s="22"/>
      <c r="AD173" s="22"/>
      <c r="AE173" s="22"/>
      <c r="AF173" s="22"/>
      <c r="AG173" s="22"/>
      <c r="AH173" s="22"/>
      <c r="AI173" s="22"/>
      <c r="AJ173" s="22"/>
      <c r="AK173" s="22"/>
      <c r="AL173" s="22"/>
      <c r="AM173" s="22"/>
      <c r="AN173" s="22"/>
      <c r="AO173" s="22"/>
      <c r="AP173" s="22"/>
      <c r="AQ173" s="22"/>
      <c r="AR173" s="22"/>
      <c r="AS173" s="25"/>
    </row>
    <row r="174" spans="1:45" s="1" customFormat="1">
      <c r="A174" s="22">
        <f t="shared" si="2"/>
        <v>173</v>
      </c>
      <c r="B174" s="23">
        <v>45665</v>
      </c>
      <c r="C174" s="22" t="s">
        <v>208</v>
      </c>
      <c r="D174" s="22" t="s">
        <v>954</v>
      </c>
      <c r="E174" s="22">
        <v>20251172</v>
      </c>
      <c r="F174" s="22" t="s">
        <v>955</v>
      </c>
      <c r="G174" s="22">
        <v>8178947522</v>
      </c>
      <c r="H174" s="22" t="s">
        <v>956</v>
      </c>
      <c r="I174" s="22" t="s">
        <v>101</v>
      </c>
      <c r="J174" s="22" t="s">
        <v>957</v>
      </c>
      <c r="K174" s="22" t="s">
        <v>428</v>
      </c>
      <c r="L174" s="22" t="s">
        <v>958</v>
      </c>
      <c r="M174" s="22" t="s">
        <v>959</v>
      </c>
      <c r="N174" s="22">
        <v>5.5</v>
      </c>
      <c r="O174" s="22" t="s">
        <v>61</v>
      </c>
      <c r="P174" s="22" t="s">
        <v>960</v>
      </c>
      <c r="Q174" s="22" t="s">
        <v>657</v>
      </c>
      <c r="R174" s="22" t="s">
        <v>657</v>
      </c>
      <c r="S174" s="22" t="s">
        <v>961</v>
      </c>
      <c r="T174" s="22" t="s">
        <v>962</v>
      </c>
      <c r="U174" s="24"/>
      <c r="V174" s="22"/>
      <c r="W174" s="22" t="s">
        <v>65</v>
      </c>
      <c r="X174" s="22" t="s">
        <v>65</v>
      </c>
      <c r="Y174" s="22"/>
      <c r="Z174" s="22" t="s">
        <v>66</v>
      </c>
      <c r="AA174" s="22"/>
      <c r="AB174" s="22"/>
      <c r="AC174" s="22"/>
      <c r="AD174" s="22"/>
      <c r="AE174" s="22"/>
      <c r="AF174" s="22"/>
      <c r="AG174" s="22"/>
      <c r="AH174" s="22"/>
      <c r="AI174" s="22"/>
      <c r="AJ174" s="22"/>
      <c r="AK174" s="22"/>
      <c r="AL174" s="22"/>
      <c r="AM174" s="22"/>
      <c r="AN174" s="22"/>
      <c r="AO174" s="22"/>
      <c r="AP174" s="22"/>
      <c r="AQ174" s="22"/>
      <c r="AR174" s="22"/>
      <c r="AS174" s="25"/>
    </row>
    <row r="175" spans="1:45" s="1" customFormat="1">
      <c r="A175" s="22">
        <f t="shared" si="2"/>
        <v>174</v>
      </c>
      <c r="B175" s="23">
        <v>45665</v>
      </c>
      <c r="C175" s="22" t="s">
        <v>208</v>
      </c>
      <c r="D175" s="22" t="s">
        <v>963</v>
      </c>
      <c r="E175" s="22" t="s">
        <v>964</v>
      </c>
      <c r="F175" s="22" t="s">
        <v>965</v>
      </c>
      <c r="G175" s="22">
        <v>9769142587</v>
      </c>
      <c r="H175" s="22" t="s">
        <v>966</v>
      </c>
      <c r="I175" s="22" t="s">
        <v>55</v>
      </c>
      <c r="J175" s="22" t="s">
        <v>967</v>
      </c>
      <c r="K175" s="22" t="s">
        <v>428</v>
      </c>
      <c r="L175" s="22" t="s">
        <v>968</v>
      </c>
      <c r="M175" s="22" t="s">
        <v>969</v>
      </c>
      <c r="N175" s="22">
        <v>24</v>
      </c>
      <c r="O175" s="22" t="s">
        <v>61</v>
      </c>
      <c r="P175" s="22" t="s">
        <v>970</v>
      </c>
      <c r="Q175" s="22" t="s">
        <v>636</v>
      </c>
      <c r="R175" s="22" t="s">
        <v>657</v>
      </c>
      <c r="S175" s="22" t="s">
        <v>961</v>
      </c>
      <c r="T175" s="22" t="s">
        <v>971</v>
      </c>
      <c r="U175" s="24"/>
      <c r="V175" s="22"/>
      <c r="W175" s="22" t="s">
        <v>65</v>
      </c>
      <c r="X175" s="22" t="s">
        <v>65</v>
      </c>
      <c r="Y175" s="22"/>
      <c r="Z175" s="22" t="s">
        <v>66</v>
      </c>
      <c r="AA175" s="22"/>
      <c r="AB175" s="22"/>
      <c r="AC175" s="22"/>
      <c r="AD175" s="22"/>
      <c r="AE175" s="22"/>
      <c r="AF175" s="22"/>
      <c r="AG175" s="22"/>
      <c r="AH175" s="22"/>
      <c r="AI175" s="22"/>
      <c r="AJ175" s="22"/>
      <c r="AK175" s="22"/>
      <c r="AL175" s="22"/>
      <c r="AM175" s="22"/>
      <c r="AN175" s="22"/>
      <c r="AO175" s="22"/>
      <c r="AP175" s="22"/>
      <c r="AQ175" s="22"/>
      <c r="AR175" s="22"/>
      <c r="AS175" s="25"/>
    </row>
    <row r="176" spans="1:45" s="1" customFormat="1">
      <c r="A176" s="22">
        <f t="shared" si="2"/>
        <v>175</v>
      </c>
      <c r="B176" s="23">
        <v>45665</v>
      </c>
      <c r="C176" s="22" t="s">
        <v>208</v>
      </c>
      <c r="D176" s="22" t="s">
        <v>972</v>
      </c>
      <c r="E176" s="22">
        <v>20251172</v>
      </c>
      <c r="F176" s="22" t="s">
        <v>973</v>
      </c>
      <c r="G176" s="22">
        <v>8500178304</v>
      </c>
      <c r="H176" s="22" t="s">
        <v>974</v>
      </c>
      <c r="I176" s="22" t="s">
        <v>101</v>
      </c>
      <c r="J176" s="22" t="s">
        <v>957</v>
      </c>
      <c r="K176" s="22" t="s">
        <v>428</v>
      </c>
      <c r="L176" s="22" t="s">
        <v>975</v>
      </c>
      <c r="M176" s="22" t="s">
        <v>976</v>
      </c>
      <c r="N176" s="22">
        <v>6.5</v>
      </c>
      <c r="O176" s="22" t="s">
        <v>61</v>
      </c>
      <c r="P176" s="22" t="s">
        <v>977</v>
      </c>
      <c r="Q176" s="22" t="s">
        <v>978</v>
      </c>
      <c r="R176" s="22" t="s">
        <v>657</v>
      </c>
      <c r="S176" s="22" t="s">
        <v>64</v>
      </c>
      <c r="T176" s="22" t="s">
        <v>979</v>
      </c>
      <c r="U176" s="24"/>
      <c r="V176" s="22"/>
      <c r="W176" s="22" t="s">
        <v>65</v>
      </c>
      <c r="X176" s="22" t="s">
        <v>65</v>
      </c>
      <c r="Y176" s="22"/>
      <c r="Z176" s="22" t="s">
        <v>66</v>
      </c>
      <c r="AA176" s="22"/>
      <c r="AB176" s="22">
        <v>45672</v>
      </c>
      <c r="AC176" s="22"/>
      <c r="AD176" s="22"/>
      <c r="AE176" s="22"/>
      <c r="AF176" s="22"/>
      <c r="AG176" s="22"/>
      <c r="AH176" s="22"/>
      <c r="AI176" s="22"/>
      <c r="AJ176" s="22"/>
      <c r="AK176" s="22"/>
      <c r="AL176" s="22"/>
      <c r="AM176" s="22"/>
      <c r="AN176" s="22"/>
      <c r="AO176" s="22"/>
      <c r="AP176" s="22"/>
      <c r="AQ176" s="22"/>
      <c r="AR176" s="22"/>
      <c r="AS176" s="25"/>
    </row>
    <row r="177" spans="1:45" s="1" customFormat="1">
      <c r="A177" s="22">
        <f t="shared" si="2"/>
        <v>176</v>
      </c>
      <c r="B177" s="23">
        <v>45665</v>
      </c>
      <c r="C177" s="22" t="s">
        <v>208</v>
      </c>
      <c r="D177" s="22" t="s">
        <v>963</v>
      </c>
      <c r="E177" s="22" t="s">
        <v>964</v>
      </c>
      <c r="F177" s="22" t="s">
        <v>980</v>
      </c>
      <c r="G177" s="22">
        <v>8600339399</v>
      </c>
      <c r="H177" s="22" t="s">
        <v>981</v>
      </c>
      <c r="I177" s="22" t="s">
        <v>55</v>
      </c>
      <c r="J177" s="22" t="s">
        <v>967</v>
      </c>
      <c r="K177" s="22" t="s">
        <v>428</v>
      </c>
      <c r="L177" s="22" t="s">
        <v>656</v>
      </c>
      <c r="M177" s="22" t="s">
        <v>982</v>
      </c>
      <c r="N177" s="22">
        <v>12.5</v>
      </c>
      <c r="O177" s="22" t="s">
        <v>61</v>
      </c>
      <c r="P177" s="22">
        <v>15</v>
      </c>
      <c r="Q177" s="22" t="s">
        <v>657</v>
      </c>
      <c r="R177" s="22" t="s">
        <v>657</v>
      </c>
      <c r="S177" s="22" t="s">
        <v>961</v>
      </c>
      <c r="T177" s="22" t="s">
        <v>983</v>
      </c>
      <c r="U177" s="24"/>
      <c r="V177" s="22"/>
      <c r="W177" s="22" t="s">
        <v>65</v>
      </c>
      <c r="X177" s="22" t="s">
        <v>65</v>
      </c>
      <c r="Y177" s="22"/>
      <c r="Z177" s="22" t="s">
        <v>66</v>
      </c>
      <c r="AA177" s="22"/>
      <c r="AB177" s="22"/>
      <c r="AC177" s="22"/>
      <c r="AD177" s="22"/>
      <c r="AE177" s="22"/>
      <c r="AF177" s="22"/>
      <c r="AG177" s="22"/>
      <c r="AH177" s="22"/>
      <c r="AI177" s="22"/>
      <c r="AJ177" s="22"/>
      <c r="AK177" s="22"/>
      <c r="AL177" s="22"/>
      <c r="AM177" s="22"/>
      <c r="AN177" s="22"/>
      <c r="AO177" s="22"/>
      <c r="AP177" s="22"/>
      <c r="AQ177" s="22"/>
      <c r="AR177" s="22"/>
      <c r="AS177" s="25"/>
    </row>
    <row r="178" spans="1:45" s="1" customFormat="1">
      <c r="A178" s="22">
        <f t="shared" si="2"/>
        <v>177</v>
      </c>
      <c r="B178" s="23">
        <v>45665</v>
      </c>
      <c r="C178" s="22" t="s">
        <v>208</v>
      </c>
      <c r="D178" s="22" t="s">
        <v>963</v>
      </c>
      <c r="E178" s="22">
        <v>20251172</v>
      </c>
      <c r="F178" s="22" t="s">
        <v>984</v>
      </c>
      <c r="G178" s="22">
        <v>9158583655</v>
      </c>
      <c r="H178" s="22" t="s">
        <v>985</v>
      </c>
      <c r="I178" s="22" t="s">
        <v>55</v>
      </c>
      <c r="J178" s="22" t="s">
        <v>957</v>
      </c>
      <c r="K178" s="22" t="s">
        <v>428</v>
      </c>
      <c r="L178" s="22" t="s">
        <v>938</v>
      </c>
      <c r="M178" s="22" t="s">
        <v>982</v>
      </c>
      <c r="N178" s="22">
        <v>14.32</v>
      </c>
      <c r="O178" s="22" t="s">
        <v>61</v>
      </c>
      <c r="P178" s="22" t="s">
        <v>960</v>
      </c>
      <c r="Q178" s="22" t="s">
        <v>657</v>
      </c>
      <c r="R178" s="22" t="s">
        <v>657</v>
      </c>
      <c r="S178" s="22" t="s">
        <v>986</v>
      </c>
      <c r="T178" s="22" t="s">
        <v>971</v>
      </c>
      <c r="U178" s="24"/>
      <c r="V178" s="22"/>
      <c r="W178" s="22" t="s">
        <v>65</v>
      </c>
      <c r="X178" s="22" t="s">
        <v>65</v>
      </c>
      <c r="Y178" s="22"/>
      <c r="Z178" s="22" t="s">
        <v>66</v>
      </c>
      <c r="AA178" s="22"/>
      <c r="AB178" s="22"/>
      <c r="AC178" s="22"/>
      <c r="AD178" s="22"/>
      <c r="AE178" s="22"/>
      <c r="AF178" s="22"/>
      <c r="AG178" s="22"/>
      <c r="AH178" s="22"/>
      <c r="AI178" s="22"/>
      <c r="AJ178" s="22"/>
      <c r="AK178" s="22"/>
      <c r="AL178" s="22"/>
      <c r="AM178" s="22"/>
      <c r="AN178" s="22"/>
      <c r="AO178" s="22"/>
      <c r="AP178" s="22"/>
      <c r="AQ178" s="22"/>
      <c r="AR178" s="22"/>
      <c r="AS178" s="25"/>
    </row>
    <row r="179" spans="1:45" s="1" customFormat="1">
      <c r="A179" s="22">
        <f t="shared" si="2"/>
        <v>178</v>
      </c>
      <c r="B179" s="23">
        <v>45665</v>
      </c>
      <c r="C179" s="22" t="s">
        <v>208</v>
      </c>
      <c r="D179" s="22" t="s">
        <v>963</v>
      </c>
      <c r="E179" s="22" t="s">
        <v>964</v>
      </c>
      <c r="F179" s="22" t="s">
        <v>987</v>
      </c>
      <c r="G179" s="22">
        <v>8310265670</v>
      </c>
      <c r="H179" s="22" t="s">
        <v>988</v>
      </c>
      <c r="I179" s="22" t="s">
        <v>55</v>
      </c>
      <c r="J179" s="22" t="s">
        <v>967</v>
      </c>
      <c r="K179" s="22" t="s">
        <v>428</v>
      </c>
      <c r="L179" s="22" t="s">
        <v>989</v>
      </c>
      <c r="M179" s="22" t="s">
        <v>990</v>
      </c>
      <c r="N179" s="22">
        <v>35</v>
      </c>
      <c r="O179" s="22">
        <v>7</v>
      </c>
      <c r="P179" s="22" t="s">
        <v>61</v>
      </c>
      <c r="Q179" s="22" t="s">
        <v>61</v>
      </c>
      <c r="R179" s="22" t="s">
        <v>61</v>
      </c>
      <c r="S179" s="22" t="s">
        <v>991</v>
      </c>
      <c r="T179" s="22" t="s">
        <v>992</v>
      </c>
      <c r="U179" s="24"/>
      <c r="V179" s="22"/>
      <c r="W179" s="22" t="s">
        <v>65</v>
      </c>
      <c r="X179" s="22" t="s">
        <v>65</v>
      </c>
      <c r="Y179" s="22"/>
      <c r="Z179" s="22" t="s">
        <v>66</v>
      </c>
      <c r="AA179" s="22"/>
      <c r="AB179" s="22"/>
      <c r="AC179" s="22"/>
      <c r="AD179" s="22"/>
      <c r="AE179" s="22"/>
      <c r="AF179" s="22"/>
      <c r="AG179" s="22"/>
      <c r="AH179" s="22"/>
      <c r="AI179" s="22"/>
      <c r="AJ179" s="22"/>
      <c r="AK179" s="22"/>
      <c r="AL179" s="22"/>
      <c r="AM179" s="22"/>
      <c r="AN179" s="22"/>
      <c r="AO179" s="22"/>
      <c r="AP179" s="22"/>
      <c r="AQ179" s="22"/>
      <c r="AR179" s="22"/>
      <c r="AS179" s="25"/>
    </row>
    <row r="180" spans="1:45" s="1" customFormat="1">
      <c r="A180" s="22">
        <f t="shared" si="2"/>
        <v>179</v>
      </c>
      <c r="B180" s="23">
        <v>45665</v>
      </c>
      <c r="C180" s="22" t="s">
        <v>840</v>
      </c>
      <c r="D180" s="22" t="s">
        <v>841</v>
      </c>
      <c r="E180" s="22">
        <v>20247973</v>
      </c>
      <c r="F180" s="22" t="s">
        <v>993</v>
      </c>
      <c r="G180" s="22">
        <v>8488997632</v>
      </c>
      <c r="H180" s="22" t="s">
        <v>994</v>
      </c>
      <c r="I180" s="22" t="s">
        <v>55</v>
      </c>
      <c r="J180" s="22" t="s">
        <v>701</v>
      </c>
      <c r="K180" s="22" t="s">
        <v>702</v>
      </c>
      <c r="L180" s="22" t="s">
        <v>564</v>
      </c>
      <c r="M180" s="22" t="s">
        <v>995</v>
      </c>
      <c r="N180" s="22" t="s">
        <v>996</v>
      </c>
      <c r="O180" s="22"/>
      <c r="P180" s="22" t="s">
        <v>749</v>
      </c>
      <c r="Q180" s="22" t="s">
        <v>63</v>
      </c>
      <c r="R180" s="22" t="s">
        <v>63</v>
      </c>
      <c r="S180" s="22" t="s">
        <v>133</v>
      </c>
      <c r="T180" s="22" t="s">
        <v>134</v>
      </c>
      <c r="U180" s="24">
        <v>45782</v>
      </c>
      <c r="V180" s="22"/>
      <c r="W180" s="22" t="s">
        <v>93</v>
      </c>
      <c r="X180" s="22" t="s">
        <v>93</v>
      </c>
      <c r="Y180" s="22" t="s">
        <v>135</v>
      </c>
      <c r="Z180" s="22" t="s">
        <v>66</v>
      </c>
      <c r="AA180" s="22"/>
      <c r="AB180" s="22"/>
      <c r="AC180" s="22"/>
      <c r="AD180" s="22"/>
      <c r="AE180" s="22"/>
      <c r="AF180" s="22"/>
      <c r="AG180" s="22"/>
      <c r="AH180" s="22"/>
      <c r="AI180" s="22"/>
      <c r="AJ180" s="22"/>
      <c r="AK180" s="22"/>
      <c r="AL180" s="22"/>
      <c r="AM180" s="22"/>
      <c r="AN180" s="22"/>
      <c r="AO180" s="22"/>
      <c r="AP180" s="22"/>
      <c r="AQ180" s="22"/>
      <c r="AR180" s="22"/>
      <c r="AS180" s="25"/>
    </row>
    <row r="181" spans="1:45" s="1" customFormat="1">
      <c r="A181" s="22">
        <f t="shared" si="2"/>
        <v>180</v>
      </c>
      <c r="B181" s="23">
        <v>45665</v>
      </c>
      <c r="C181" s="22" t="s">
        <v>840</v>
      </c>
      <c r="D181" s="22" t="s">
        <v>841</v>
      </c>
      <c r="E181" s="22">
        <v>20247894</v>
      </c>
      <c r="F181" s="22" t="s">
        <v>997</v>
      </c>
      <c r="G181" s="22" t="s">
        <v>998</v>
      </c>
      <c r="H181" s="22" t="s">
        <v>999</v>
      </c>
      <c r="I181" s="22" t="s">
        <v>55</v>
      </c>
      <c r="J181" s="22" t="s">
        <v>701</v>
      </c>
      <c r="K181" s="22" t="s">
        <v>702</v>
      </c>
      <c r="L181" s="22" t="s">
        <v>671</v>
      </c>
      <c r="M181" s="22" t="s">
        <v>1000</v>
      </c>
      <c r="N181" s="22" t="s">
        <v>1001</v>
      </c>
      <c r="O181" s="22"/>
      <c r="P181" s="22" t="s">
        <v>566</v>
      </c>
      <c r="Q181" s="22" t="s">
        <v>63</v>
      </c>
      <c r="R181" s="22" t="s">
        <v>63</v>
      </c>
      <c r="S181" s="22" t="s">
        <v>133</v>
      </c>
      <c r="T181" s="22" t="s">
        <v>134</v>
      </c>
      <c r="U181" s="24">
        <v>45782</v>
      </c>
      <c r="V181" s="22"/>
      <c r="W181" s="22" t="s">
        <v>93</v>
      </c>
      <c r="X181" s="22" t="s">
        <v>93</v>
      </c>
      <c r="Y181" s="22" t="s">
        <v>135</v>
      </c>
      <c r="Z181" s="22" t="s">
        <v>66</v>
      </c>
      <c r="AA181" s="22"/>
      <c r="AB181" s="22"/>
      <c r="AC181" s="22"/>
      <c r="AD181" s="22"/>
      <c r="AE181" s="22"/>
      <c r="AF181" s="22"/>
      <c r="AG181" s="22"/>
      <c r="AH181" s="22"/>
      <c r="AI181" s="22"/>
      <c r="AJ181" s="22"/>
      <c r="AK181" s="22"/>
      <c r="AL181" s="22"/>
      <c r="AM181" s="22"/>
      <c r="AN181" s="22"/>
      <c r="AO181" s="22"/>
      <c r="AP181" s="22"/>
      <c r="AQ181" s="22"/>
      <c r="AR181" s="22"/>
      <c r="AS181" s="25"/>
    </row>
    <row r="182" spans="1:45" s="1" customFormat="1">
      <c r="A182" s="22">
        <f t="shared" si="2"/>
        <v>181</v>
      </c>
      <c r="B182" s="23">
        <v>45665</v>
      </c>
      <c r="C182" s="22" t="s">
        <v>840</v>
      </c>
      <c r="D182" s="22" t="s">
        <v>841</v>
      </c>
      <c r="E182" s="22">
        <v>20251172</v>
      </c>
      <c r="F182" s="22" t="s">
        <v>1002</v>
      </c>
      <c r="G182" s="22">
        <v>8446493765</v>
      </c>
      <c r="H182" s="22" t="s">
        <v>1003</v>
      </c>
      <c r="I182" s="22" t="s">
        <v>55</v>
      </c>
      <c r="J182" s="22" t="s">
        <v>957</v>
      </c>
      <c r="K182" s="22" t="s">
        <v>428</v>
      </c>
      <c r="L182" s="22" t="s">
        <v>1004</v>
      </c>
      <c r="M182" s="22" t="s">
        <v>1005</v>
      </c>
      <c r="N182" s="22">
        <v>5.5</v>
      </c>
      <c r="O182" s="22"/>
      <c r="P182" s="22" t="s">
        <v>1006</v>
      </c>
      <c r="Q182" s="22" t="s">
        <v>459</v>
      </c>
      <c r="R182" s="22" t="s">
        <v>657</v>
      </c>
      <c r="S182" s="22" t="s">
        <v>961</v>
      </c>
      <c r="T182" s="22" t="s">
        <v>962</v>
      </c>
      <c r="U182" s="24">
        <v>45775</v>
      </c>
      <c r="V182" s="22"/>
      <c r="W182" s="22" t="s">
        <v>65</v>
      </c>
      <c r="X182" s="22" t="s">
        <v>65</v>
      </c>
      <c r="Y182" s="22" t="s">
        <v>135</v>
      </c>
      <c r="Z182" s="22" t="s">
        <v>66</v>
      </c>
      <c r="AA182" s="22"/>
      <c r="AB182" s="22"/>
      <c r="AC182" s="22"/>
      <c r="AD182" s="22"/>
      <c r="AE182" s="22"/>
      <c r="AF182" s="22"/>
      <c r="AG182" s="22"/>
      <c r="AH182" s="22"/>
      <c r="AI182" s="22"/>
      <c r="AJ182" s="22"/>
      <c r="AK182" s="22"/>
      <c r="AL182" s="22"/>
      <c r="AM182" s="22"/>
      <c r="AN182" s="22"/>
      <c r="AO182" s="22"/>
      <c r="AP182" s="22"/>
      <c r="AQ182" s="22"/>
      <c r="AR182" s="22"/>
      <c r="AS182" s="25"/>
    </row>
    <row r="183" spans="1:45" s="1" customFormat="1">
      <c r="A183" s="22">
        <f t="shared" si="2"/>
        <v>182</v>
      </c>
      <c r="B183" s="23">
        <v>45666</v>
      </c>
      <c r="C183" s="22" t="s">
        <v>208</v>
      </c>
      <c r="D183" s="22" t="s">
        <v>209</v>
      </c>
      <c r="E183" s="22" t="s">
        <v>964</v>
      </c>
      <c r="F183" s="22" t="s">
        <v>1007</v>
      </c>
      <c r="G183" s="22">
        <v>9503989834</v>
      </c>
      <c r="H183" s="22" t="s">
        <v>1008</v>
      </c>
      <c r="I183" s="22" t="s">
        <v>55</v>
      </c>
      <c r="J183" s="22" t="s">
        <v>1009</v>
      </c>
      <c r="K183" s="22" t="s">
        <v>428</v>
      </c>
      <c r="L183" s="22" t="s">
        <v>1010</v>
      </c>
      <c r="M183" s="22" t="s">
        <v>1011</v>
      </c>
      <c r="N183" s="22" t="s">
        <v>1012</v>
      </c>
      <c r="O183" s="22" t="s">
        <v>61</v>
      </c>
      <c r="P183" s="22">
        <v>18</v>
      </c>
      <c r="Q183" s="22" t="s">
        <v>657</v>
      </c>
      <c r="R183" s="22" t="s">
        <v>657</v>
      </c>
      <c r="S183" s="22" t="s">
        <v>1013</v>
      </c>
      <c r="T183" s="22" t="s">
        <v>1014</v>
      </c>
      <c r="U183" s="24"/>
      <c r="V183" s="22"/>
      <c r="W183" s="22" t="s">
        <v>65</v>
      </c>
      <c r="X183" s="22" t="s">
        <v>65</v>
      </c>
      <c r="Y183" s="22"/>
      <c r="Z183" s="22" t="s">
        <v>66</v>
      </c>
      <c r="AA183" s="22"/>
      <c r="AB183" s="22">
        <v>45667</v>
      </c>
      <c r="AC183" s="22"/>
      <c r="AD183" s="22"/>
      <c r="AE183" s="22"/>
      <c r="AF183" s="22"/>
      <c r="AG183" s="22"/>
      <c r="AH183" s="22"/>
      <c r="AI183" s="22"/>
      <c r="AJ183" s="22"/>
      <c r="AK183" s="22"/>
      <c r="AL183" s="22"/>
      <c r="AM183" s="22"/>
      <c r="AN183" s="22"/>
      <c r="AO183" s="22"/>
      <c r="AP183" s="22"/>
      <c r="AQ183" s="22"/>
      <c r="AR183" s="22"/>
      <c r="AS183" s="25"/>
    </row>
    <row r="184" spans="1:45" s="1" customFormat="1">
      <c r="A184" s="22">
        <f t="shared" si="2"/>
        <v>183</v>
      </c>
      <c r="B184" s="23">
        <v>45666</v>
      </c>
      <c r="C184" s="22" t="s">
        <v>208</v>
      </c>
      <c r="D184" s="22" t="s">
        <v>209</v>
      </c>
      <c r="E184" s="22">
        <v>20251977</v>
      </c>
      <c r="F184" s="22" t="s">
        <v>1015</v>
      </c>
      <c r="G184" s="22">
        <v>9930508939</v>
      </c>
      <c r="H184" s="22" t="s">
        <v>1016</v>
      </c>
      <c r="I184" s="22" t="s">
        <v>55</v>
      </c>
      <c r="J184" s="22" t="s">
        <v>1017</v>
      </c>
      <c r="K184" s="22" t="s">
        <v>201</v>
      </c>
      <c r="L184" s="22" t="s">
        <v>1018</v>
      </c>
      <c r="M184" s="22" t="s">
        <v>1019</v>
      </c>
      <c r="N184" s="22">
        <v>30</v>
      </c>
      <c r="O184" s="22">
        <v>3</v>
      </c>
      <c r="P184" s="22" t="s">
        <v>1006</v>
      </c>
      <c r="Q184" s="22" t="s">
        <v>657</v>
      </c>
      <c r="R184" s="22" t="s">
        <v>657</v>
      </c>
      <c r="S184" s="22" t="s">
        <v>1020</v>
      </c>
      <c r="T184" s="22" t="s">
        <v>61</v>
      </c>
      <c r="U184" s="24"/>
      <c r="V184" s="22"/>
      <c r="W184" s="22" t="s">
        <v>65</v>
      </c>
      <c r="X184" s="22" t="s">
        <v>65</v>
      </c>
      <c r="Y184" s="22"/>
      <c r="Z184" s="22" t="s">
        <v>66</v>
      </c>
      <c r="AA184" s="22"/>
      <c r="AB184" s="22">
        <v>45670</v>
      </c>
      <c r="AC184" s="22"/>
      <c r="AD184" s="22"/>
      <c r="AE184" s="22"/>
      <c r="AF184" s="22"/>
      <c r="AG184" s="22"/>
      <c r="AH184" s="22"/>
      <c r="AI184" s="22"/>
      <c r="AJ184" s="22"/>
      <c r="AK184" s="22"/>
      <c r="AL184" s="22"/>
      <c r="AM184" s="22"/>
      <c r="AN184" s="22"/>
      <c r="AO184" s="22"/>
      <c r="AP184" s="22"/>
      <c r="AQ184" s="22"/>
      <c r="AR184" s="22"/>
      <c r="AS184" s="25"/>
    </row>
    <row r="185" spans="1:45" s="1" customFormat="1">
      <c r="A185" s="22">
        <f t="shared" si="2"/>
        <v>184</v>
      </c>
      <c r="B185" s="23">
        <v>45666</v>
      </c>
      <c r="C185" s="22" t="s">
        <v>208</v>
      </c>
      <c r="D185" s="22" t="s">
        <v>209</v>
      </c>
      <c r="E185" s="22">
        <v>20251977</v>
      </c>
      <c r="F185" s="22" t="s">
        <v>1021</v>
      </c>
      <c r="G185" s="22">
        <v>7506195858</v>
      </c>
      <c r="H185" s="22" t="s">
        <v>1022</v>
      </c>
      <c r="I185" s="22" t="s">
        <v>55</v>
      </c>
      <c r="J185" s="22" t="s">
        <v>1017</v>
      </c>
      <c r="K185" s="22" t="s">
        <v>201</v>
      </c>
      <c r="L185" s="22" t="s">
        <v>1023</v>
      </c>
      <c r="M185" s="22" t="s">
        <v>1024</v>
      </c>
      <c r="N185" s="22">
        <v>26.28</v>
      </c>
      <c r="O185" s="22" t="s">
        <v>61</v>
      </c>
      <c r="P185" s="22">
        <v>33</v>
      </c>
      <c r="Q185" s="22" t="s">
        <v>165</v>
      </c>
      <c r="R185" s="22" t="s">
        <v>657</v>
      </c>
      <c r="S185" s="22" t="s">
        <v>1025</v>
      </c>
      <c r="T185" s="22" t="s">
        <v>1026</v>
      </c>
      <c r="U185" s="24"/>
      <c r="V185" s="22"/>
      <c r="W185" s="22" t="s">
        <v>65</v>
      </c>
      <c r="X185" s="22" t="s">
        <v>65</v>
      </c>
      <c r="Y185" s="22"/>
      <c r="Z185" s="22" t="s">
        <v>66</v>
      </c>
      <c r="AA185" s="22"/>
      <c r="AB185" s="22"/>
      <c r="AC185" s="22"/>
      <c r="AD185" s="22"/>
      <c r="AE185" s="22"/>
      <c r="AF185" s="22"/>
      <c r="AG185" s="22"/>
      <c r="AH185" s="22"/>
      <c r="AI185" s="22"/>
      <c r="AJ185" s="22"/>
      <c r="AK185" s="22"/>
      <c r="AL185" s="22"/>
      <c r="AM185" s="22"/>
      <c r="AN185" s="22"/>
      <c r="AO185" s="22"/>
      <c r="AP185" s="22"/>
      <c r="AQ185" s="22"/>
      <c r="AR185" s="22"/>
      <c r="AS185" s="25"/>
    </row>
    <row r="186" spans="1:45" s="1" customFormat="1">
      <c r="A186" s="22">
        <f t="shared" si="2"/>
        <v>185</v>
      </c>
      <c r="B186" s="23">
        <v>45666</v>
      </c>
      <c r="C186" s="22" t="s">
        <v>208</v>
      </c>
      <c r="D186" s="22" t="s">
        <v>667</v>
      </c>
      <c r="E186" s="22">
        <v>20251210</v>
      </c>
      <c r="F186" s="22" t="s">
        <v>1027</v>
      </c>
      <c r="G186" s="22">
        <v>7028193515</v>
      </c>
      <c r="H186" s="22" t="s">
        <v>1028</v>
      </c>
      <c r="I186" s="22" t="s">
        <v>55</v>
      </c>
      <c r="J186" s="22" t="s">
        <v>1029</v>
      </c>
      <c r="K186" s="22" t="s">
        <v>1030</v>
      </c>
      <c r="L186" s="22" t="s">
        <v>688</v>
      </c>
      <c r="M186" s="22" t="s">
        <v>1031</v>
      </c>
      <c r="N186" s="22" t="s">
        <v>780</v>
      </c>
      <c r="O186" s="22"/>
      <c r="P186" s="22" t="s">
        <v>340</v>
      </c>
      <c r="Q186" s="22" t="s">
        <v>63</v>
      </c>
      <c r="R186" s="22" t="s">
        <v>63</v>
      </c>
      <c r="S186" s="22" t="s">
        <v>1032</v>
      </c>
      <c r="T186" s="22" t="s">
        <v>134</v>
      </c>
      <c r="U186" s="24"/>
      <c r="V186" s="22"/>
      <c r="W186" s="22" t="s">
        <v>93</v>
      </c>
      <c r="X186" s="22" t="s">
        <v>93</v>
      </c>
      <c r="Y186" s="22"/>
      <c r="Z186" s="22" t="s">
        <v>66</v>
      </c>
      <c r="AA186" s="22"/>
      <c r="AB186" s="22"/>
      <c r="AC186" s="22"/>
      <c r="AD186" s="22"/>
      <c r="AE186" s="22"/>
      <c r="AF186" s="22"/>
      <c r="AG186" s="22"/>
      <c r="AH186" s="22"/>
      <c r="AI186" s="22"/>
      <c r="AJ186" s="22"/>
      <c r="AK186" s="22"/>
      <c r="AL186" s="22"/>
      <c r="AM186" s="22"/>
      <c r="AN186" s="22"/>
      <c r="AO186" s="22"/>
      <c r="AP186" s="22"/>
      <c r="AQ186" s="22"/>
      <c r="AR186" s="22"/>
      <c r="AS186" s="25"/>
    </row>
    <row r="187" spans="1:45" s="1" customFormat="1">
      <c r="A187" s="22">
        <f t="shared" si="2"/>
        <v>186</v>
      </c>
      <c r="B187" s="23">
        <v>45666</v>
      </c>
      <c r="C187" s="22" t="s">
        <v>208</v>
      </c>
      <c r="D187" s="22" t="s">
        <v>209</v>
      </c>
      <c r="E187" s="22">
        <v>20251210</v>
      </c>
      <c r="F187" s="22" t="s">
        <v>1033</v>
      </c>
      <c r="G187" s="22" t="s">
        <v>1034</v>
      </c>
      <c r="H187" s="22" t="s">
        <v>1035</v>
      </c>
      <c r="I187" s="22" t="s">
        <v>55</v>
      </c>
      <c r="J187" s="22" t="s">
        <v>1036</v>
      </c>
      <c r="K187" s="22" t="s">
        <v>1030</v>
      </c>
      <c r="L187" s="22" t="s">
        <v>1037</v>
      </c>
      <c r="M187" s="22" t="s">
        <v>1038</v>
      </c>
      <c r="N187" s="22" t="s">
        <v>1039</v>
      </c>
      <c r="O187" s="22"/>
      <c r="P187" s="22" t="s">
        <v>333</v>
      </c>
      <c r="Q187" s="22" t="s">
        <v>63</v>
      </c>
      <c r="R187" s="22" t="s">
        <v>63</v>
      </c>
      <c r="S187" s="22" t="s">
        <v>1032</v>
      </c>
      <c r="T187" s="22" t="s">
        <v>134</v>
      </c>
      <c r="U187" s="24"/>
      <c r="V187" s="22"/>
      <c r="W187" s="22" t="s">
        <v>93</v>
      </c>
      <c r="X187" s="22" t="s">
        <v>93</v>
      </c>
      <c r="Y187" s="22"/>
      <c r="Z187" s="22" t="s">
        <v>66</v>
      </c>
      <c r="AA187" s="22"/>
      <c r="AB187" s="22"/>
      <c r="AC187" s="22"/>
      <c r="AD187" s="22"/>
      <c r="AE187" s="22"/>
      <c r="AF187" s="22"/>
      <c r="AG187" s="22"/>
      <c r="AH187" s="22"/>
      <c r="AI187" s="22"/>
      <c r="AJ187" s="22"/>
      <c r="AK187" s="22"/>
      <c r="AL187" s="22"/>
      <c r="AM187" s="22"/>
      <c r="AN187" s="22"/>
      <c r="AO187" s="22"/>
      <c r="AP187" s="22"/>
      <c r="AQ187" s="22"/>
      <c r="AR187" s="22"/>
      <c r="AS187" s="25"/>
    </row>
    <row r="188" spans="1:45" s="1" customFormat="1">
      <c r="A188" s="22">
        <f t="shared" si="2"/>
        <v>187</v>
      </c>
      <c r="B188" s="23">
        <v>45666</v>
      </c>
      <c r="C188" s="22" t="s">
        <v>208</v>
      </c>
      <c r="D188" s="22" t="s">
        <v>209</v>
      </c>
      <c r="E188" s="22">
        <v>20251210</v>
      </c>
      <c r="F188" s="22" t="s">
        <v>1040</v>
      </c>
      <c r="G188" s="22" t="s">
        <v>1041</v>
      </c>
      <c r="H188" s="22" t="s">
        <v>1042</v>
      </c>
      <c r="I188" s="22" t="s">
        <v>55</v>
      </c>
      <c r="J188" s="22" t="s">
        <v>1029</v>
      </c>
      <c r="K188" s="22" t="s">
        <v>1030</v>
      </c>
      <c r="L188" s="22" t="s">
        <v>180</v>
      </c>
      <c r="M188" s="22" t="s">
        <v>1043</v>
      </c>
      <c r="N188" s="22" t="s">
        <v>622</v>
      </c>
      <c r="O188" s="22"/>
      <c r="P188" s="22" t="s">
        <v>282</v>
      </c>
      <c r="Q188" s="22" t="s">
        <v>615</v>
      </c>
      <c r="R188" s="22" t="s">
        <v>63</v>
      </c>
      <c r="S188" s="22" t="s">
        <v>284</v>
      </c>
      <c r="T188" s="22" t="s">
        <v>134</v>
      </c>
      <c r="U188" s="24"/>
      <c r="V188" s="22"/>
      <c r="W188" s="22" t="s">
        <v>93</v>
      </c>
      <c r="X188" s="22" t="s">
        <v>93</v>
      </c>
      <c r="Y188" s="22"/>
      <c r="Z188" s="22" t="s">
        <v>66</v>
      </c>
      <c r="AA188" s="22"/>
      <c r="AB188" s="22"/>
      <c r="AC188" s="22"/>
      <c r="AD188" s="22"/>
      <c r="AE188" s="22"/>
      <c r="AF188" s="22"/>
      <c r="AG188" s="22"/>
      <c r="AH188" s="22"/>
      <c r="AI188" s="22"/>
      <c r="AJ188" s="22"/>
      <c r="AK188" s="22"/>
      <c r="AL188" s="22"/>
      <c r="AM188" s="22"/>
      <c r="AN188" s="22"/>
      <c r="AO188" s="22"/>
      <c r="AP188" s="22"/>
      <c r="AQ188" s="22"/>
      <c r="AR188" s="22"/>
      <c r="AS188" s="25"/>
    </row>
    <row r="189" spans="1:45" s="1" customFormat="1">
      <c r="A189" s="22">
        <f t="shared" si="2"/>
        <v>188</v>
      </c>
      <c r="B189" s="23">
        <v>45666</v>
      </c>
      <c r="C189" s="22" t="s">
        <v>1044</v>
      </c>
      <c r="D189" s="22" t="s">
        <v>320</v>
      </c>
      <c r="E189" s="22">
        <v>20251210</v>
      </c>
      <c r="F189" s="22" t="s">
        <v>1045</v>
      </c>
      <c r="G189" s="22">
        <v>7406747353</v>
      </c>
      <c r="H189" s="22" t="s">
        <v>1046</v>
      </c>
      <c r="I189" s="22" t="s">
        <v>55</v>
      </c>
      <c r="J189" s="22" t="s">
        <v>1036</v>
      </c>
      <c r="K189" s="22" t="s">
        <v>1030</v>
      </c>
      <c r="L189" s="22" t="s">
        <v>170</v>
      </c>
      <c r="M189" s="22" t="s">
        <v>1047</v>
      </c>
      <c r="N189" s="22" t="s">
        <v>333</v>
      </c>
      <c r="O189" s="22"/>
      <c r="P189" s="22" t="s">
        <v>173</v>
      </c>
      <c r="Q189" s="22" t="s">
        <v>615</v>
      </c>
      <c r="R189" s="22" t="s">
        <v>63</v>
      </c>
      <c r="S189" s="22" t="s">
        <v>1048</v>
      </c>
      <c r="T189" s="22" t="s">
        <v>134</v>
      </c>
      <c r="U189" s="24">
        <v>45782</v>
      </c>
      <c r="V189" s="22"/>
      <c r="W189" s="22" t="s">
        <v>93</v>
      </c>
      <c r="X189" s="22" t="s">
        <v>93</v>
      </c>
      <c r="Y189" s="22" t="s">
        <v>135</v>
      </c>
      <c r="Z189" s="22" t="s">
        <v>66</v>
      </c>
      <c r="AA189" s="22"/>
      <c r="AB189" s="22"/>
      <c r="AC189" s="22"/>
      <c r="AD189" s="22"/>
      <c r="AE189" s="22"/>
      <c r="AF189" s="22"/>
      <c r="AG189" s="22"/>
      <c r="AH189" s="22"/>
      <c r="AI189" s="22"/>
      <c r="AJ189" s="22"/>
      <c r="AK189" s="22"/>
      <c r="AL189" s="22"/>
      <c r="AM189" s="22"/>
      <c r="AN189" s="22"/>
      <c r="AO189" s="22"/>
      <c r="AP189" s="22"/>
      <c r="AQ189" s="22"/>
      <c r="AR189" s="22"/>
      <c r="AS189" s="25"/>
    </row>
    <row r="190" spans="1:45" s="1" customFormat="1">
      <c r="A190" s="22">
        <f t="shared" si="2"/>
        <v>189</v>
      </c>
      <c r="B190" s="23">
        <v>45667</v>
      </c>
      <c r="C190" s="22" t="s">
        <v>208</v>
      </c>
      <c r="D190" s="22" t="s">
        <v>963</v>
      </c>
      <c r="E190" s="22">
        <v>20245965</v>
      </c>
      <c r="F190" s="22" t="s">
        <v>1049</v>
      </c>
      <c r="G190" s="22">
        <v>9871464099</v>
      </c>
      <c r="H190" s="22" t="s">
        <v>1050</v>
      </c>
      <c r="I190" s="22" t="s">
        <v>55</v>
      </c>
      <c r="J190" s="22" t="s">
        <v>1051</v>
      </c>
      <c r="K190" s="22" t="s">
        <v>1052</v>
      </c>
      <c r="L190" s="22" t="s">
        <v>1053</v>
      </c>
      <c r="M190" s="22" t="s">
        <v>1054</v>
      </c>
      <c r="N190" s="22">
        <v>15.5</v>
      </c>
      <c r="O190" s="22" t="s">
        <v>61</v>
      </c>
      <c r="P190" s="22">
        <v>20</v>
      </c>
      <c r="Q190" s="22" t="s">
        <v>615</v>
      </c>
      <c r="R190" s="22" t="s">
        <v>657</v>
      </c>
      <c r="S190" s="22" t="s">
        <v>1055</v>
      </c>
      <c r="T190" s="22" t="s">
        <v>61</v>
      </c>
      <c r="U190" s="24"/>
      <c r="V190" s="22"/>
      <c r="W190" s="22" t="s">
        <v>65</v>
      </c>
      <c r="X190" s="22" t="s">
        <v>65</v>
      </c>
      <c r="Y190" s="22"/>
      <c r="Z190" s="22" t="s">
        <v>66</v>
      </c>
      <c r="AA190" s="22"/>
      <c r="AB190" s="22"/>
      <c r="AC190" s="22"/>
      <c r="AD190" s="22"/>
      <c r="AE190" s="22"/>
      <c r="AF190" s="22"/>
      <c r="AG190" s="22"/>
      <c r="AH190" s="22"/>
      <c r="AI190" s="22"/>
      <c r="AJ190" s="22"/>
      <c r="AK190" s="22"/>
      <c r="AL190" s="22"/>
      <c r="AM190" s="22"/>
      <c r="AN190" s="22"/>
      <c r="AO190" s="22"/>
      <c r="AP190" s="22"/>
      <c r="AQ190" s="22"/>
      <c r="AR190" s="22"/>
      <c r="AS190" s="25"/>
    </row>
    <row r="191" spans="1:45" s="1" customFormat="1">
      <c r="A191" s="22">
        <f t="shared" si="2"/>
        <v>190</v>
      </c>
      <c r="B191" s="23">
        <v>45667</v>
      </c>
      <c r="C191" s="22" t="s">
        <v>208</v>
      </c>
      <c r="D191" s="22" t="s">
        <v>1056</v>
      </c>
      <c r="E191" s="22">
        <v>20245965</v>
      </c>
      <c r="F191" s="22" t="s">
        <v>1057</v>
      </c>
      <c r="G191" s="22">
        <v>7299800436</v>
      </c>
      <c r="H191" s="22" t="s">
        <v>1058</v>
      </c>
      <c r="I191" s="22" t="s">
        <v>55</v>
      </c>
      <c r="J191" s="22" t="s">
        <v>1059</v>
      </c>
      <c r="K191" s="22" t="s">
        <v>1052</v>
      </c>
      <c r="L191" s="22" t="s">
        <v>1060</v>
      </c>
      <c r="M191" s="22" t="s">
        <v>1054</v>
      </c>
      <c r="N191" s="22">
        <v>17</v>
      </c>
      <c r="O191" s="22" t="s">
        <v>61</v>
      </c>
      <c r="P191" s="22" t="s">
        <v>1061</v>
      </c>
      <c r="Q191" s="22" t="s">
        <v>846</v>
      </c>
      <c r="R191" s="22" t="s">
        <v>657</v>
      </c>
      <c r="S191" s="22" t="s">
        <v>1062</v>
      </c>
      <c r="T191" s="22" t="s">
        <v>1063</v>
      </c>
      <c r="U191" s="24"/>
      <c r="V191" s="22"/>
      <c r="W191" s="22" t="s">
        <v>65</v>
      </c>
      <c r="X191" s="22" t="s">
        <v>65</v>
      </c>
      <c r="Y191" s="22"/>
      <c r="Z191" s="22" t="s">
        <v>66</v>
      </c>
      <c r="AA191" s="22"/>
      <c r="AB191" s="22"/>
      <c r="AC191" s="22"/>
      <c r="AD191" s="22"/>
      <c r="AE191" s="22"/>
      <c r="AF191" s="22"/>
      <c r="AG191" s="22"/>
      <c r="AH191" s="22"/>
      <c r="AI191" s="22"/>
      <c r="AJ191" s="22"/>
      <c r="AK191" s="22"/>
      <c r="AL191" s="22"/>
      <c r="AM191" s="22"/>
      <c r="AN191" s="22"/>
      <c r="AO191" s="22"/>
      <c r="AP191" s="22"/>
      <c r="AQ191" s="22"/>
      <c r="AR191" s="22"/>
      <c r="AS191" s="25"/>
    </row>
    <row r="192" spans="1:45" s="1" customFormat="1">
      <c r="A192" s="22">
        <f t="shared" si="2"/>
        <v>191</v>
      </c>
      <c r="B192" s="23">
        <v>45667</v>
      </c>
      <c r="C192" s="22" t="s">
        <v>208</v>
      </c>
      <c r="D192" s="22" t="s">
        <v>209</v>
      </c>
      <c r="E192" s="22">
        <v>20245965</v>
      </c>
      <c r="F192" s="22" t="s">
        <v>1064</v>
      </c>
      <c r="G192" s="22">
        <v>8074256930</v>
      </c>
      <c r="H192" s="22" t="s">
        <v>1065</v>
      </c>
      <c r="I192" s="22" t="s">
        <v>55</v>
      </c>
      <c r="J192" s="22" t="s">
        <v>1059</v>
      </c>
      <c r="K192" s="22" t="s">
        <v>1052</v>
      </c>
      <c r="L192" s="22" t="s">
        <v>1010</v>
      </c>
      <c r="M192" s="22" t="s">
        <v>1066</v>
      </c>
      <c r="N192" s="22">
        <v>16</v>
      </c>
      <c r="O192" s="22" t="s">
        <v>61</v>
      </c>
      <c r="P192" s="22">
        <v>23</v>
      </c>
      <c r="Q192" s="22" t="s">
        <v>61</v>
      </c>
      <c r="R192" s="22" t="s">
        <v>657</v>
      </c>
      <c r="S192" s="22" t="s">
        <v>1067</v>
      </c>
      <c r="T192" s="22" t="s">
        <v>1068</v>
      </c>
      <c r="U192" s="24"/>
      <c r="V192" s="22"/>
      <c r="W192" s="22" t="s">
        <v>65</v>
      </c>
      <c r="X192" s="22" t="s">
        <v>65</v>
      </c>
      <c r="Y192" s="22"/>
      <c r="Z192" s="22" t="s">
        <v>66</v>
      </c>
      <c r="AA192" s="22"/>
      <c r="AB192" s="22"/>
      <c r="AC192" s="22"/>
      <c r="AD192" s="22"/>
      <c r="AE192" s="22"/>
      <c r="AF192" s="22"/>
      <c r="AG192" s="22"/>
      <c r="AH192" s="22"/>
      <c r="AI192" s="22"/>
      <c r="AJ192" s="22"/>
      <c r="AK192" s="22"/>
      <c r="AL192" s="22"/>
      <c r="AM192" s="22"/>
      <c r="AN192" s="22"/>
      <c r="AO192" s="22"/>
      <c r="AP192" s="22"/>
      <c r="AQ192" s="22"/>
      <c r="AR192" s="22"/>
      <c r="AS192" s="25"/>
    </row>
    <row r="193" spans="1:45" s="1" customFormat="1">
      <c r="A193" s="22">
        <f t="shared" si="2"/>
        <v>192</v>
      </c>
      <c r="B193" s="23">
        <v>45667</v>
      </c>
      <c r="C193" s="22" t="s">
        <v>208</v>
      </c>
      <c r="D193" s="22" t="s">
        <v>209</v>
      </c>
      <c r="E193" s="22">
        <v>20245965</v>
      </c>
      <c r="F193" s="22" t="s">
        <v>1069</v>
      </c>
      <c r="G193" s="22">
        <v>9429959185</v>
      </c>
      <c r="H193" s="22" t="s">
        <v>1070</v>
      </c>
      <c r="I193" s="22" t="s">
        <v>55</v>
      </c>
      <c r="J193" s="22" t="s">
        <v>1059</v>
      </c>
      <c r="K193" s="22" t="s">
        <v>1052</v>
      </c>
      <c r="L193" s="22" t="s">
        <v>1071</v>
      </c>
      <c r="M193" s="22" t="s">
        <v>1072</v>
      </c>
      <c r="N193" s="22">
        <v>16</v>
      </c>
      <c r="O193" s="22" t="s">
        <v>61</v>
      </c>
      <c r="P193" s="22">
        <v>25</v>
      </c>
      <c r="Q193" s="22" t="s">
        <v>657</v>
      </c>
      <c r="R193" s="22" t="s">
        <v>657</v>
      </c>
      <c r="S193" s="22" t="s">
        <v>1020</v>
      </c>
      <c r="T193" s="22" t="s">
        <v>61</v>
      </c>
      <c r="U193" s="24"/>
      <c r="V193" s="22"/>
      <c r="W193" s="22" t="s">
        <v>65</v>
      </c>
      <c r="X193" s="22" t="s">
        <v>65</v>
      </c>
      <c r="Y193" s="22"/>
      <c r="Z193" s="22" t="s">
        <v>66</v>
      </c>
      <c r="AA193" s="22"/>
      <c r="AB193" s="22">
        <v>45679</v>
      </c>
      <c r="AC193" s="22"/>
      <c r="AD193" s="22"/>
      <c r="AE193" s="22"/>
      <c r="AF193" s="22"/>
      <c r="AG193" s="22"/>
      <c r="AH193" s="22"/>
      <c r="AI193" s="22"/>
      <c r="AJ193" s="22"/>
      <c r="AK193" s="22"/>
      <c r="AL193" s="22"/>
      <c r="AM193" s="22"/>
      <c r="AN193" s="22"/>
      <c r="AO193" s="22"/>
      <c r="AP193" s="22"/>
      <c r="AQ193" s="22"/>
      <c r="AR193" s="22"/>
      <c r="AS193" s="25"/>
    </row>
    <row r="194" spans="1:45" s="1" customFormat="1">
      <c r="A194" s="22">
        <f t="shared" si="2"/>
        <v>193</v>
      </c>
      <c r="B194" s="23">
        <v>45667</v>
      </c>
      <c r="C194" s="22" t="s">
        <v>208</v>
      </c>
      <c r="D194" s="22" t="s">
        <v>963</v>
      </c>
      <c r="E194" s="22">
        <v>20245965</v>
      </c>
      <c r="F194" s="22" t="s">
        <v>1073</v>
      </c>
      <c r="G194" s="22">
        <v>9033213942</v>
      </c>
      <c r="H194" s="22" t="s">
        <v>1074</v>
      </c>
      <c r="I194" s="22" t="s">
        <v>55</v>
      </c>
      <c r="J194" s="22" t="s">
        <v>1051</v>
      </c>
      <c r="K194" s="22" t="s">
        <v>1052</v>
      </c>
      <c r="L194" s="22" t="s">
        <v>1075</v>
      </c>
      <c r="M194" s="22" t="s">
        <v>1076</v>
      </c>
      <c r="N194" s="22">
        <v>20.5</v>
      </c>
      <c r="O194" s="22" t="s">
        <v>61</v>
      </c>
      <c r="P194" s="22">
        <v>35</v>
      </c>
      <c r="Q194" s="22" t="s">
        <v>1077</v>
      </c>
      <c r="R194" s="22" t="s">
        <v>657</v>
      </c>
      <c r="S194" s="22" t="s">
        <v>1078</v>
      </c>
      <c r="T194" s="22" t="s">
        <v>1079</v>
      </c>
      <c r="U194" s="24"/>
      <c r="V194" s="22"/>
      <c r="W194" s="22" t="s">
        <v>65</v>
      </c>
      <c r="X194" s="22" t="s">
        <v>65</v>
      </c>
      <c r="Y194" s="22"/>
      <c r="Z194" s="22" t="s">
        <v>66</v>
      </c>
      <c r="AA194" s="22"/>
      <c r="AB194" s="22"/>
      <c r="AC194" s="22"/>
      <c r="AD194" s="22"/>
      <c r="AE194" s="22"/>
      <c r="AF194" s="22"/>
      <c r="AG194" s="22"/>
      <c r="AH194" s="22"/>
      <c r="AI194" s="22"/>
      <c r="AJ194" s="22"/>
      <c r="AK194" s="22"/>
      <c r="AL194" s="22"/>
      <c r="AM194" s="22"/>
      <c r="AN194" s="22"/>
      <c r="AO194" s="22"/>
      <c r="AP194" s="22"/>
      <c r="AQ194" s="22"/>
      <c r="AR194" s="22"/>
      <c r="AS194" s="25"/>
    </row>
    <row r="195" spans="1:45" s="1" customFormat="1">
      <c r="A195" s="22">
        <f t="shared" ref="A195:A258" si="3">A194+1</f>
        <v>194</v>
      </c>
      <c r="B195" s="23">
        <v>45670</v>
      </c>
      <c r="C195" s="22" t="s">
        <v>208</v>
      </c>
      <c r="D195" s="22" t="s">
        <v>293</v>
      </c>
      <c r="E195" s="22">
        <v>20252407</v>
      </c>
      <c r="F195" s="22" t="s">
        <v>934</v>
      </c>
      <c r="G195" s="22">
        <v>8605757480</v>
      </c>
      <c r="H195" s="22" t="s">
        <v>935</v>
      </c>
      <c r="I195" s="22" t="s">
        <v>55</v>
      </c>
      <c r="J195" s="22" t="s">
        <v>319</v>
      </c>
      <c r="K195" s="22" t="s">
        <v>1080</v>
      </c>
      <c r="L195" s="22" t="s">
        <v>938</v>
      </c>
      <c r="M195" s="22" t="s">
        <v>939</v>
      </c>
      <c r="N195" s="22">
        <v>14</v>
      </c>
      <c r="O195" s="22" t="s">
        <v>61</v>
      </c>
      <c r="P195" s="22" t="s">
        <v>940</v>
      </c>
      <c r="Q195" s="22" t="s">
        <v>657</v>
      </c>
      <c r="R195" s="22" t="s">
        <v>657</v>
      </c>
      <c r="S195" s="22" t="s">
        <v>941</v>
      </c>
      <c r="T195" s="22" t="s">
        <v>61</v>
      </c>
      <c r="U195" s="24"/>
      <c r="V195" s="22"/>
      <c r="W195" s="22" t="s">
        <v>65</v>
      </c>
      <c r="X195" s="22" t="s">
        <v>65</v>
      </c>
      <c r="Y195" s="22"/>
      <c r="Z195" s="22" t="s">
        <v>66</v>
      </c>
      <c r="AA195" s="22"/>
      <c r="AB195" s="22">
        <v>45668</v>
      </c>
      <c r="AC195" s="22"/>
      <c r="AD195" s="22"/>
      <c r="AE195" s="22"/>
      <c r="AF195" s="22"/>
      <c r="AG195" s="22"/>
      <c r="AH195" s="22"/>
      <c r="AI195" s="22"/>
      <c r="AJ195" s="22"/>
      <c r="AK195" s="22"/>
      <c r="AL195" s="22"/>
      <c r="AM195" s="22"/>
      <c r="AN195" s="22"/>
      <c r="AO195" s="22"/>
      <c r="AP195" s="22"/>
      <c r="AQ195" s="22"/>
      <c r="AR195" s="22"/>
      <c r="AS195" s="25"/>
    </row>
    <row r="196" spans="1:45" s="1" customFormat="1">
      <c r="A196" s="22">
        <f t="shared" si="3"/>
        <v>195</v>
      </c>
      <c r="B196" s="23">
        <v>45670</v>
      </c>
      <c r="C196" s="22" t="s">
        <v>208</v>
      </c>
      <c r="D196" s="22" t="s">
        <v>209</v>
      </c>
      <c r="E196" s="22">
        <v>20252407</v>
      </c>
      <c r="F196" s="22" t="s">
        <v>942</v>
      </c>
      <c r="G196" s="22">
        <v>8106594053</v>
      </c>
      <c r="H196" s="22" t="s">
        <v>943</v>
      </c>
      <c r="I196" s="22" t="s">
        <v>55</v>
      </c>
      <c r="J196" s="22" t="s">
        <v>319</v>
      </c>
      <c r="K196" s="22" t="s">
        <v>1080</v>
      </c>
      <c r="L196" s="22" t="s">
        <v>58</v>
      </c>
      <c r="M196" s="22" t="s">
        <v>944</v>
      </c>
      <c r="N196" s="22">
        <v>9.3000000000000007</v>
      </c>
      <c r="O196" s="22" t="s">
        <v>61</v>
      </c>
      <c r="P196" s="22">
        <v>13</v>
      </c>
      <c r="Q196" s="22" t="s">
        <v>615</v>
      </c>
      <c r="R196" s="22" t="s">
        <v>657</v>
      </c>
      <c r="S196" s="22" t="s">
        <v>945</v>
      </c>
      <c r="T196" s="22" t="s">
        <v>946</v>
      </c>
      <c r="U196" s="24"/>
      <c r="V196" s="22"/>
      <c r="W196" s="22" t="s">
        <v>65</v>
      </c>
      <c r="X196" s="22" t="s">
        <v>65</v>
      </c>
      <c r="Y196" s="22"/>
      <c r="Z196" s="22" t="s">
        <v>66</v>
      </c>
      <c r="AA196" s="22"/>
      <c r="AB196" s="22"/>
      <c r="AC196" s="22"/>
      <c r="AD196" s="22"/>
      <c r="AE196" s="22"/>
      <c r="AF196" s="22"/>
      <c r="AG196" s="22"/>
      <c r="AH196" s="22"/>
      <c r="AI196" s="22"/>
      <c r="AJ196" s="22"/>
      <c r="AK196" s="22"/>
      <c r="AL196" s="22"/>
      <c r="AM196" s="22"/>
      <c r="AN196" s="22"/>
      <c r="AO196" s="22"/>
      <c r="AP196" s="22"/>
      <c r="AQ196" s="22"/>
      <c r="AR196" s="22"/>
      <c r="AS196" s="25"/>
    </row>
    <row r="197" spans="1:45" s="1" customFormat="1">
      <c r="A197" s="22">
        <f t="shared" si="3"/>
        <v>196</v>
      </c>
      <c r="B197" s="23">
        <v>45670</v>
      </c>
      <c r="C197" s="22" t="s">
        <v>208</v>
      </c>
      <c r="D197" s="22" t="s">
        <v>293</v>
      </c>
      <c r="E197" s="22">
        <v>20252407</v>
      </c>
      <c r="F197" s="22" t="s">
        <v>947</v>
      </c>
      <c r="G197" s="22">
        <v>9022940954</v>
      </c>
      <c r="H197" s="22" t="s">
        <v>948</v>
      </c>
      <c r="I197" s="22" t="s">
        <v>101</v>
      </c>
      <c r="J197" s="22" t="s">
        <v>319</v>
      </c>
      <c r="K197" s="22" t="s">
        <v>1080</v>
      </c>
      <c r="L197" s="22" t="s">
        <v>938</v>
      </c>
      <c r="M197" s="22" t="s">
        <v>944</v>
      </c>
      <c r="N197" s="22">
        <v>9.3000000000000007</v>
      </c>
      <c r="O197" s="22" t="s">
        <v>61</v>
      </c>
      <c r="P197" s="22">
        <v>13</v>
      </c>
      <c r="Q197" s="22" t="s">
        <v>657</v>
      </c>
      <c r="R197" s="22" t="s">
        <v>657</v>
      </c>
      <c r="S197" s="22" t="s">
        <v>949</v>
      </c>
      <c r="T197" s="22" t="s">
        <v>61</v>
      </c>
      <c r="U197" s="24"/>
      <c r="V197" s="22"/>
      <c r="W197" s="22" t="s">
        <v>65</v>
      </c>
      <c r="X197" s="22" t="s">
        <v>65</v>
      </c>
      <c r="Y197" s="22"/>
      <c r="Z197" s="22" t="s">
        <v>66</v>
      </c>
      <c r="AA197" s="22"/>
      <c r="AB197" s="22">
        <v>45670</v>
      </c>
      <c r="AC197" s="22"/>
      <c r="AD197" s="22"/>
      <c r="AE197" s="22"/>
      <c r="AF197" s="22"/>
      <c r="AG197" s="22"/>
      <c r="AH197" s="22"/>
      <c r="AI197" s="22"/>
      <c r="AJ197" s="22"/>
      <c r="AK197" s="22"/>
      <c r="AL197" s="22"/>
      <c r="AM197" s="22"/>
      <c r="AN197" s="22"/>
      <c r="AO197" s="22"/>
      <c r="AP197" s="22"/>
      <c r="AQ197" s="22"/>
      <c r="AR197" s="22"/>
      <c r="AS197" s="25"/>
    </row>
    <row r="198" spans="1:45" s="1" customFormat="1">
      <c r="A198" s="22">
        <f t="shared" si="3"/>
        <v>197</v>
      </c>
      <c r="B198" s="23">
        <v>45670</v>
      </c>
      <c r="C198" s="22" t="s">
        <v>208</v>
      </c>
      <c r="D198" s="22" t="s">
        <v>209</v>
      </c>
      <c r="E198" s="22">
        <v>20252407</v>
      </c>
      <c r="F198" s="22" t="s">
        <v>950</v>
      </c>
      <c r="G198" s="22">
        <v>9503649636</v>
      </c>
      <c r="H198" s="22" t="s">
        <v>951</v>
      </c>
      <c r="I198" s="22" t="s">
        <v>55</v>
      </c>
      <c r="J198" s="22" t="s">
        <v>319</v>
      </c>
      <c r="K198" s="22" t="s">
        <v>1080</v>
      </c>
      <c r="L198" s="22" t="s">
        <v>58</v>
      </c>
      <c r="M198" s="22" t="s">
        <v>952</v>
      </c>
      <c r="N198" s="22">
        <v>9.5</v>
      </c>
      <c r="O198" s="22" t="s">
        <v>61</v>
      </c>
      <c r="P198" s="22">
        <v>14</v>
      </c>
      <c r="Q198" s="22" t="s">
        <v>657</v>
      </c>
      <c r="R198" s="22" t="s">
        <v>657</v>
      </c>
      <c r="S198" s="22" t="s">
        <v>953</v>
      </c>
      <c r="T198" s="22" t="s">
        <v>61</v>
      </c>
      <c r="U198" s="24"/>
      <c r="V198" s="22"/>
      <c r="W198" s="22" t="s">
        <v>65</v>
      </c>
      <c r="X198" s="22" t="s">
        <v>65</v>
      </c>
      <c r="Y198" s="22"/>
      <c r="Z198" s="22" t="s">
        <v>66</v>
      </c>
      <c r="AA198" s="22"/>
      <c r="AB198" s="22">
        <v>45667</v>
      </c>
      <c r="AC198" s="22"/>
      <c r="AD198" s="22"/>
      <c r="AE198" s="22"/>
      <c r="AF198" s="22"/>
      <c r="AG198" s="22"/>
      <c r="AH198" s="22"/>
      <c r="AI198" s="22"/>
      <c r="AJ198" s="22"/>
      <c r="AK198" s="22"/>
      <c r="AL198" s="22"/>
      <c r="AM198" s="22"/>
      <c r="AN198" s="22"/>
      <c r="AO198" s="22"/>
      <c r="AP198" s="22"/>
      <c r="AQ198" s="22"/>
      <c r="AR198" s="22"/>
      <c r="AS198" s="25"/>
    </row>
    <row r="199" spans="1:45" s="1" customFormat="1">
      <c r="A199" s="22">
        <f t="shared" si="3"/>
        <v>198</v>
      </c>
      <c r="B199" s="23">
        <v>45672</v>
      </c>
      <c r="C199" s="22" t="s">
        <v>208</v>
      </c>
      <c r="D199" s="22" t="s">
        <v>1081</v>
      </c>
      <c r="E199" s="22">
        <v>20242406</v>
      </c>
      <c r="F199" s="22" t="s">
        <v>1082</v>
      </c>
      <c r="G199" s="22">
        <v>7263955564</v>
      </c>
      <c r="H199" s="22" t="s">
        <v>1083</v>
      </c>
      <c r="I199" s="22" t="s">
        <v>55</v>
      </c>
      <c r="J199" s="22" t="s">
        <v>936</v>
      </c>
      <c r="K199" s="22" t="s">
        <v>937</v>
      </c>
      <c r="L199" s="22" t="s">
        <v>1084</v>
      </c>
      <c r="M199" s="22" t="s">
        <v>61</v>
      </c>
      <c r="N199" s="22">
        <v>9</v>
      </c>
      <c r="O199" s="22" t="s">
        <v>61</v>
      </c>
      <c r="P199" s="22" t="s">
        <v>1085</v>
      </c>
      <c r="Q199" s="22" t="s">
        <v>63</v>
      </c>
      <c r="R199" s="22" t="s">
        <v>63</v>
      </c>
      <c r="S199" s="22" t="s">
        <v>1086</v>
      </c>
      <c r="T199" s="22" t="s">
        <v>1087</v>
      </c>
      <c r="U199" s="24"/>
      <c r="V199" s="22"/>
      <c r="W199" s="22" t="s">
        <v>65</v>
      </c>
      <c r="X199" s="22" t="s">
        <v>65</v>
      </c>
      <c r="Y199" s="22"/>
      <c r="Z199" s="22" t="s">
        <v>66</v>
      </c>
      <c r="AA199" s="22"/>
      <c r="AB199" s="22"/>
      <c r="AC199" s="22"/>
      <c r="AD199" s="22"/>
      <c r="AE199" s="22"/>
      <c r="AF199" s="22"/>
      <c r="AG199" s="22"/>
      <c r="AH199" s="22"/>
      <c r="AI199" s="22"/>
      <c r="AJ199" s="22"/>
      <c r="AK199" s="22"/>
      <c r="AL199" s="22"/>
      <c r="AM199" s="22"/>
      <c r="AN199" s="22"/>
      <c r="AO199" s="22"/>
      <c r="AP199" s="22"/>
      <c r="AQ199" s="22"/>
      <c r="AR199" s="22"/>
      <c r="AS199" s="25"/>
    </row>
    <row r="200" spans="1:45" s="1" customFormat="1">
      <c r="A200" s="22">
        <f t="shared" si="3"/>
        <v>199</v>
      </c>
      <c r="B200" s="23">
        <v>45672</v>
      </c>
      <c r="C200" s="22" t="s">
        <v>208</v>
      </c>
      <c r="D200" s="22" t="s">
        <v>963</v>
      </c>
      <c r="E200" s="22">
        <v>20242406</v>
      </c>
      <c r="F200" s="22" t="s">
        <v>1088</v>
      </c>
      <c r="G200" s="22">
        <v>8341150783</v>
      </c>
      <c r="H200" s="22" t="s">
        <v>1089</v>
      </c>
      <c r="I200" s="22" t="s">
        <v>55</v>
      </c>
      <c r="J200" s="22" t="s">
        <v>936</v>
      </c>
      <c r="K200" s="22" t="s">
        <v>937</v>
      </c>
      <c r="L200" s="22" t="s">
        <v>1090</v>
      </c>
      <c r="M200" s="22" t="s">
        <v>576</v>
      </c>
      <c r="N200" s="22">
        <v>7</v>
      </c>
      <c r="O200" s="22" t="s">
        <v>61</v>
      </c>
      <c r="P200" s="22" t="s">
        <v>1085</v>
      </c>
      <c r="Q200" s="22" t="s">
        <v>1091</v>
      </c>
      <c r="R200" s="22" t="s">
        <v>657</v>
      </c>
      <c r="S200" s="22" t="s">
        <v>1092</v>
      </c>
      <c r="T200" s="22" t="s">
        <v>1093</v>
      </c>
      <c r="U200" s="24"/>
      <c r="V200" s="22"/>
      <c r="W200" s="22" t="s">
        <v>65</v>
      </c>
      <c r="X200" s="22" t="s">
        <v>65</v>
      </c>
      <c r="Y200" s="22"/>
      <c r="Z200" s="22" t="s">
        <v>66</v>
      </c>
      <c r="AA200" s="22"/>
      <c r="AB200" s="22"/>
      <c r="AC200" s="22"/>
      <c r="AD200" s="22"/>
      <c r="AE200" s="22"/>
      <c r="AF200" s="22"/>
      <c r="AG200" s="22"/>
      <c r="AH200" s="22"/>
      <c r="AI200" s="22"/>
      <c r="AJ200" s="22"/>
      <c r="AK200" s="22"/>
      <c r="AL200" s="22"/>
      <c r="AM200" s="22"/>
      <c r="AN200" s="22"/>
      <c r="AO200" s="22"/>
      <c r="AP200" s="22"/>
      <c r="AQ200" s="22"/>
      <c r="AR200" s="22"/>
      <c r="AS200" s="25"/>
    </row>
    <row r="201" spans="1:45" s="1" customFormat="1">
      <c r="A201" s="22">
        <f t="shared" si="3"/>
        <v>200</v>
      </c>
      <c r="B201" s="23">
        <v>45672</v>
      </c>
      <c r="C201" s="22" t="s">
        <v>208</v>
      </c>
      <c r="D201" s="22" t="s">
        <v>963</v>
      </c>
      <c r="E201" s="22">
        <v>20242406</v>
      </c>
      <c r="F201" s="22" t="s">
        <v>1094</v>
      </c>
      <c r="G201" s="22">
        <v>7841070382</v>
      </c>
      <c r="H201" s="22" t="s">
        <v>1095</v>
      </c>
      <c r="I201" s="22" t="s">
        <v>101</v>
      </c>
      <c r="J201" s="22" t="s">
        <v>936</v>
      </c>
      <c r="K201" s="22" t="s">
        <v>937</v>
      </c>
      <c r="L201" s="22" t="s">
        <v>58</v>
      </c>
      <c r="M201" s="22" t="s">
        <v>791</v>
      </c>
      <c r="N201" s="22">
        <v>4.3</v>
      </c>
      <c r="O201" s="22" t="s">
        <v>61</v>
      </c>
      <c r="P201" s="22">
        <v>7.5</v>
      </c>
      <c r="Q201" s="22" t="s">
        <v>174</v>
      </c>
      <c r="R201" s="22" t="s">
        <v>657</v>
      </c>
      <c r="S201" s="22" t="s">
        <v>633</v>
      </c>
      <c r="T201" s="22" t="s">
        <v>61</v>
      </c>
      <c r="U201" s="24"/>
      <c r="V201" s="22"/>
      <c r="W201" s="22" t="s">
        <v>65</v>
      </c>
      <c r="X201" s="22" t="s">
        <v>65</v>
      </c>
      <c r="Y201" s="22"/>
      <c r="Z201" s="22" t="s">
        <v>66</v>
      </c>
      <c r="AA201" s="22"/>
      <c r="AB201" s="22"/>
      <c r="AC201" s="22"/>
      <c r="AD201" s="22"/>
      <c r="AE201" s="22"/>
      <c r="AF201" s="22"/>
      <c r="AG201" s="22"/>
      <c r="AH201" s="22"/>
      <c r="AI201" s="22"/>
      <c r="AJ201" s="22"/>
      <c r="AK201" s="22"/>
      <c r="AL201" s="22"/>
      <c r="AM201" s="22"/>
      <c r="AN201" s="22"/>
      <c r="AO201" s="22"/>
      <c r="AP201" s="22"/>
      <c r="AQ201" s="22"/>
      <c r="AR201" s="22"/>
      <c r="AS201" s="25"/>
    </row>
    <row r="202" spans="1:45" s="1" customFormat="1">
      <c r="A202" s="22">
        <f t="shared" si="3"/>
        <v>201</v>
      </c>
      <c r="B202" s="23">
        <v>45672</v>
      </c>
      <c r="C202" s="22" t="s">
        <v>208</v>
      </c>
      <c r="D202" s="22" t="s">
        <v>963</v>
      </c>
      <c r="E202" s="22">
        <v>20242406</v>
      </c>
      <c r="F202" s="22" t="s">
        <v>1096</v>
      </c>
      <c r="G202" s="22">
        <v>9529132520</v>
      </c>
      <c r="H202" s="22" t="s">
        <v>1097</v>
      </c>
      <c r="I202" s="22" t="s">
        <v>55</v>
      </c>
      <c r="J202" s="22" t="s">
        <v>936</v>
      </c>
      <c r="K202" s="22" t="s">
        <v>937</v>
      </c>
      <c r="L202" s="22" t="s">
        <v>1098</v>
      </c>
      <c r="M202" s="22" t="s">
        <v>1099</v>
      </c>
      <c r="N202" s="22">
        <v>7.7</v>
      </c>
      <c r="O202" s="22" t="s">
        <v>61</v>
      </c>
      <c r="P202" s="22" t="s">
        <v>1006</v>
      </c>
      <c r="Q202" s="22" t="s">
        <v>657</v>
      </c>
      <c r="R202" s="22" t="s">
        <v>657</v>
      </c>
      <c r="S202" s="22" t="s">
        <v>1100</v>
      </c>
      <c r="T202" s="22" t="s">
        <v>1101</v>
      </c>
      <c r="U202" s="24"/>
      <c r="V202" s="22"/>
      <c r="W202" s="22" t="s">
        <v>65</v>
      </c>
      <c r="X202" s="22" t="s">
        <v>65</v>
      </c>
      <c r="Y202" s="22"/>
      <c r="Z202" s="22" t="s">
        <v>66</v>
      </c>
      <c r="AA202" s="22"/>
      <c r="AB202" s="22"/>
      <c r="AC202" s="22"/>
      <c r="AD202" s="22"/>
      <c r="AE202" s="22"/>
      <c r="AF202" s="22"/>
      <c r="AG202" s="22"/>
      <c r="AH202" s="22"/>
      <c r="AI202" s="22"/>
      <c r="AJ202" s="22"/>
      <c r="AK202" s="22"/>
      <c r="AL202" s="22"/>
      <c r="AM202" s="22"/>
      <c r="AN202" s="22"/>
      <c r="AO202" s="22"/>
      <c r="AP202" s="22"/>
      <c r="AQ202" s="22"/>
      <c r="AR202" s="22"/>
      <c r="AS202" s="25"/>
    </row>
    <row r="203" spans="1:45" s="1" customFormat="1">
      <c r="A203" s="22">
        <f t="shared" si="3"/>
        <v>202</v>
      </c>
      <c r="B203" s="23">
        <v>45672</v>
      </c>
      <c r="C203" s="22" t="s">
        <v>208</v>
      </c>
      <c r="D203" s="22" t="s">
        <v>963</v>
      </c>
      <c r="E203" s="22">
        <v>20242406</v>
      </c>
      <c r="F203" s="22" t="s">
        <v>1102</v>
      </c>
      <c r="G203" s="22">
        <v>9096776137</v>
      </c>
      <c r="H203" s="22" t="s">
        <v>1103</v>
      </c>
      <c r="I203" s="22" t="s">
        <v>55</v>
      </c>
      <c r="J203" s="22" t="s">
        <v>936</v>
      </c>
      <c r="K203" s="22" t="s">
        <v>937</v>
      </c>
      <c r="L203" s="22" t="s">
        <v>1104</v>
      </c>
      <c r="M203" s="22" t="s">
        <v>365</v>
      </c>
      <c r="N203" s="22">
        <v>9</v>
      </c>
      <c r="O203" s="22" t="s">
        <v>61</v>
      </c>
      <c r="P203" s="22">
        <v>16</v>
      </c>
      <c r="Q203" s="22" t="s">
        <v>657</v>
      </c>
      <c r="R203" s="22" t="s">
        <v>657</v>
      </c>
      <c r="S203" s="22" t="s">
        <v>1105</v>
      </c>
      <c r="T203" s="22" t="s">
        <v>1101</v>
      </c>
      <c r="U203" s="24"/>
      <c r="V203" s="22"/>
      <c r="W203" s="22" t="s">
        <v>65</v>
      </c>
      <c r="X203" s="22" t="s">
        <v>65</v>
      </c>
      <c r="Y203" s="22"/>
      <c r="Z203" s="22" t="s">
        <v>66</v>
      </c>
      <c r="AA203" s="22"/>
      <c r="AB203" s="22"/>
      <c r="AC203" s="22"/>
      <c r="AD203" s="22"/>
      <c r="AE203" s="22"/>
      <c r="AF203" s="22"/>
      <c r="AG203" s="22"/>
      <c r="AH203" s="22"/>
      <c r="AI203" s="22"/>
      <c r="AJ203" s="22"/>
      <c r="AK203" s="22"/>
      <c r="AL203" s="22"/>
      <c r="AM203" s="22"/>
      <c r="AN203" s="22"/>
      <c r="AO203" s="22"/>
      <c r="AP203" s="22"/>
      <c r="AQ203" s="22"/>
      <c r="AR203" s="22"/>
      <c r="AS203" s="25"/>
    </row>
    <row r="204" spans="1:45" s="1" customFormat="1">
      <c r="A204" s="22">
        <f t="shared" si="3"/>
        <v>203</v>
      </c>
      <c r="B204" s="23">
        <v>45672</v>
      </c>
      <c r="C204" s="22" t="s">
        <v>208</v>
      </c>
      <c r="D204" s="22" t="s">
        <v>963</v>
      </c>
      <c r="E204" s="22">
        <v>20242406</v>
      </c>
      <c r="F204" s="22" t="s">
        <v>1106</v>
      </c>
      <c r="G204" s="22">
        <v>9130933643</v>
      </c>
      <c r="H204" s="22" t="s">
        <v>1107</v>
      </c>
      <c r="I204" s="22" t="s">
        <v>101</v>
      </c>
      <c r="J204" s="22" t="s">
        <v>936</v>
      </c>
      <c r="K204" s="22" t="s">
        <v>937</v>
      </c>
      <c r="L204" s="22" t="s">
        <v>938</v>
      </c>
      <c r="M204" s="22" t="s">
        <v>1108</v>
      </c>
      <c r="N204" s="22">
        <v>7.2</v>
      </c>
      <c r="O204" s="22" t="s">
        <v>61</v>
      </c>
      <c r="P204" s="22">
        <v>13</v>
      </c>
      <c r="Q204" s="22" t="s">
        <v>657</v>
      </c>
      <c r="R204" s="22" t="s">
        <v>657</v>
      </c>
      <c r="S204" s="22" t="s">
        <v>1109</v>
      </c>
      <c r="T204" s="22" t="s">
        <v>1101</v>
      </c>
      <c r="U204" s="24"/>
      <c r="V204" s="22"/>
      <c r="W204" s="22" t="s">
        <v>65</v>
      </c>
      <c r="X204" s="22" t="s">
        <v>65</v>
      </c>
      <c r="Y204" s="22"/>
      <c r="Z204" s="22" t="s">
        <v>66</v>
      </c>
      <c r="AA204" s="22"/>
      <c r="AB204" s="22"/>
      <c r="AC204" s="22"/>
      <c r="AD204" s="22"/>
      <c r="AE204" s="22"/>
      <c r="AF204" s="22"/>
      <c r="AG204" s="22"/>
      <c r="AH204" s="22"/>
      <c r="AI204" s="22"/>
      <c r="AJ204" s="22"/>
      <c r="AK204" s="22"/>
      <c r="AL204" s="22"/>
      <c r="AM204" s="22"/>
      <c r="AN204" s="22"/>
      <c r="AO204" s="22"/>
      <c r="AP204" s="22"/>
      <c r="AQ204" s="22"/>
      <c r="AR204" s="22"/>
      <c r="AS204" s="25"/>
    </row>
    <row r="205" spans="1:45" s="1" customFormat="1">
      <c r="A205" s="22">
        <f t="shared" si="3"/>
        <v>204</v>
      </c>
      <c r="B205" s="23">
        <v>45672</v>
      </c>
      <c r="C205" s="22" t="s">
        <v>208</v>
      </c>
      <c r="D205" s="22" t="s">
        <v>293</v>
      </c>
      <c r="E205" s="22">
        <v>20245965</v>
      </c>
      <c r="F205" s="22" t="s">
        <v>1110</v>
      </c>
      <c r="G205" s="22">
        <v>8669160895</v>
      </c>
      <c r="H205" s="22" t="s">
        <v>1111</v>
      </c>
      <c r="I205" s="22" t="s">
        <v>55</v>
      </c>
      <c r="J205" s="22" t="s">
        <v>1051</v>
      </c>
      <c r="K205" s="22" t="s">
        <v>1052</v>
      </c>
      <c r="L205" s="22" t="s">
        <v>1053</v>
      </c>
      <c r="M205" s="22" t="s">
        <v>1112</v>
      </c>
      <c r="N205" s="22">
        <v>10</v>
      </c>
      <c r="O205" s="22" t="s">
        <v>61</v>
      </c>
      <c r="P205" s="22" t="s">
        <v>1113</v>
      </c>
      <c r="Q205" s="22" t="s">
        <v>657</v>
      </c>
      <c r="R205" s="22" t="s">
        <v>657</v>
      </c>
      <c r="S205" s="22" t="s">
        <v>1114</v>
      </c>
      <c r="T205" s="22" t="s">
        <v>1115</v>
      </c>
      <c r="U205" s="24"/>
      <c r="V205" s="22"/>
      <c r="W205" s="22" t="s">
        <v>65</v>
      </c>
      <c r="X205" s="22" t="s">
        <v>65</v>
      </c>
      <c r="Y205" s="22"/>
      <c r="Z205" s="22" t="s">
        <v>66</v>
      </c>
      <c r="AA205" s="22"/>
      <c r="AB205" s="22">
        <v>45679</v>
      </c>
      <c r="AC205" s="22"/>
      <c r="AD205" s="22"/>
      <c r="AE205" s="22"/>
      <c r="AF205" s="22"/>
      <c r="AG205" s="22"/>
      <c r="AH205" s="22"/>
      <c r="AI205" s="22"/>
      <c r="AJ205" s="22"/>
      <c r="AK205" s="22"/>
      <c r="AL205" s="22"/>
      <c r="AM205" s="22"/>
      <c r="AN205" s="22"/>
      <c r="AO205" s="22"/>
      <c r="AP205" s="22"/>
      <c r="AQ205" s="22"/>
      <c r="AR205" s="22"/>
      <c r="AS205" s="25"/>
    </row>
    <row r="206" spans="1:45" s="1" customFormat="1">
      <c r="A206" s="22">
        <f t="shared" si="3"/>
        <v>205</v>
      </c>
      <c r="B206" s="23">
        <v>45674</v>
      </c>
      <c r="C206" s="22" t="s">
        <v>208</v>
      </c>
      <c r="D206" s="22" t="s">
        <v>486</v>
      </c>
      <c r="E206" s="22">
        <v>20250717</v>
      </c>
      <c r="F206" s="22" t="s">
        <v>1116</v>
      </c>
      <c r="G206" s="22">
        <v>8446583580</v>
      </c>
      <c r="H206" s="22" t="s">
        <v>1117</v>
      </c>
      <c r="I206" s="22" t="s">
        <v>55</v>
      </c>
      <c r="J206" s="22" t="s">
        <v>379</v>
      </c>
      <c r="K206" s="22" t="s">
        <v>380</v>
      </c>
      <c r="L206" s="22">
        <v>7</v>
      </c>
      <c r="M206" s="22" t="s">
        <v>1118</v>
      </c>
      <c r="N206" s="22">
        <v>15</v>
      </c>
      <c r="O206" s="22" t="s">
        <v>1119</v>
      </c>
      <c r="P206" s="22" t="s">
        <v>1120</v>
      </c>
      <c r="Q206" s="22" t="s">
        <v>802</v>
      </c>
      <c r="R206" s="22" t="s">
        <v>63</v>
      </c>
      <c r="S206" s="22" t="s">
        <v>230</v>
      </c>
      <c r="T206" s="22" t="s">
        <v>61</v>
      </c>
      <c r="U206" s="24"/>
      <c r="V206" s="22"/>
      <c r="W206" s="22" t="s">
        <v>218</v>
      </c>
      <c r="X206" s="22" t="s">
        <v>218</v>
      </c>
      <c r="Y206" s="22" t="s">
        <v>135</v>
      </c>
      <c r="Z206" s="22" t="s">
        <v>66</v>
      </c>
      <c r="AA206" s="22"/>
      <c r="AB206" s="22"/>
      <c r="AC206" s="22"/>
      <c r="AD206" s="22"/>
      <c r="AE206" s="22"/>
      <c r="AF206" s="22"/>
      <c r="AG206" s="22"/>
      <c r="AH206" s="22"/>
      <c r="AI206" s="22"/>
      <c r="AJ206" s="22"/>
      <c r="AK206" s="22"/>
      <c r="AL206" s="22"/>
      <c r="AM206" s="22"/>
      <c r="AN206" s="22"/>
      <c r="AO206" s="22"/>
      <c r="AP206" s="22"/>
      <c r="AQ206" s="22"/>
      <c r="AR206" s="22"/>
      <c r="AS206" s="25"/>
    </row>
    <row r="207" spans="1:45" s="1" customFormat="1">
      <c r="A207" s="22">
        <f t="shared" si="3"/>
        <v>206</v>
      </c>
      <c r="B207" s="23">
        <v>45674</v>
      </c>
      <c r="C207" s="22" t="s">
        <v>208</v>
      </c>
      <c r="D207" s="22" t="s">
        <v>1056</v>
      </c>
      <c r="E207" s="22">
        <v>20250719</v>
      </c>
      <c r="F207" s="22" t="s">
        <v>1121</v>
      </c>
      <c r="G207" s="22">
        <v>9922146797</v>
      </c>
      <c r="H207" s="22" t="s">
        <v>1122</v>
      </c>
      <c r="I207" s="22" t="s">
        <v>55</v>
      </c>
      <c r="J207" s="22" t="s">
        <v>1123</v>
      </c>
      <c r="K207" s="22" t="s">
        <v>380</v>
      </c>
      <c r="L207" s="22">
        <v>5</v>
      </c>
      <c r="M207" s="22" t="s">
        <v>1124</v>
      </c>
      <c r="N207" s="22">
        <v>6.5</v>
      </c>
      <c r="O207" s="22" t="s">
        <v>1125</v>
      </c>
      <c r="P207" s="22">
        <v>9</v>
      </c>
      <c r="Q207" s="22" t="s">
        <v>1126</v>
      </c>
      <c r="R207" s="22" t="s">
        <v>63</v>
      </c>
      <c r="S207" s="22" t="s">
        <v>1127</v>
      </c>
      <c r="T207" s="22"/>
      <c r="U207" s="24"/>
      <c r="V207" s="22"/>
      <c r="W207" s="22" t="s">
        <v>218</v>
      </c>
      <c r="X207" s="22" t="s">
        <v>218</v>
      </c>
      <c r="Y207" s="22" t="s">
        <v>135</v>
      </c>
      <c r="Z207" s="22" t="s">
        <v>66</v>
      </c>
      <c r="AA207" s="22"/>
      <c r="AB207" s="22"/>
      <c r="AC207" s="22"/>
      <c r="AD207" s="22"/>
      <c r="AE207" s="22"/>
      <c r="AF207" s="22"/>
      <c r="AG207" s="22"/>
      <c r="AH207" s="22"/>
      <c r="AI207" s="22"/>
      <c r="AJ207" s="22"/>
      <c r="AK207" s="22"/>
      <c r="AL207" s="22"/>
      <c r="AM207" s="22"/>
      <c r="AN207" s="22"/>
      <c r="AO207" s="22"/>
      <c r="AP207" s="22"/>
      <c r="AQ207" s="22"/>
      <c r="AR207" s="22"/>
      <c r="AS207" s="25"/>
    </row>
    <row r="208" spans="1:45" s="1" customFormat="1">
      <c r="A208" s="22">
        <f t="shared" si="3"/>
        <v>207</v>
      </c>
      <c r="B208" s="23">
        <v>45674</v>
      </c>
      <c r="C208" s="22" t="s">
        <v>208</v>
      </c>
      <c r="D208" s="22" t="s">
        <v>1128</v>
      </c>
      <c r="E208" s="22">
        <v>20245469</v>
      </c>
      <c r="F208" s="22" t="s">
        <v>1129</v>
      </c>
      <c r="G208" s="22">
        <v>8806429919</v>
      </c>
      <c r="H208" s="22" t="s">
        <v>1130</v>
      </c>
      <c r="I208" s="22" t="s">
        <v>101</v>
      </c>
      <c r="J208" s="22" t="s">
        <v>1131</v>
      </c>
      <c r="K208" s="22" t="s">
        <v>1132</v>
      </c>
      <c r="L208" s="22" t="s">
        <v>1133</v>
      </c>
      <c r="M208" s="22" t="s">
        <v>1134</v>
      </c>
      <c r="N208" s="22">
        <v>21</v>
      </c>
      <c r="O208" s="22" t="s">
        <v>61</v>
      </c>
      <c r="P208" s="22" t="s">
        <v>1135</v>
      </c>
      <c r="Q208" s="22" t="s">
        <v>657</v>
      </c>
      <c r="R208" s="22" t="s">
        <v>657</v>
      </c>
      <c r="S208" s="22" t="s">
        <v>1136</v>
      </c>
      <c r="T208" s="22" t="s">
        <v>61</v>
      </c>
      <c r="U208" s="24"/>
      <c r="V208" s="22"/>
      <c r="W208" s="22" t="s">
        <v>65</v>
      </c>
      <c r="X208" s="22" t="s">
        <v>65</v>
      </c>
      <c r="Y208" s="22"/>
      <c r="Z208" s="22" t="s">
        <v>66</v>
      </c>
      <c r="AA208" s="22"/>
      <c r="AB208" s="22"/>
      <c r="AC208" s="22"/>
      <c r="AD208" s="22"/>
      <c r="AE208" s="22"/>
      <c r="AF208" s="22"/>
      <c r="AG208" s="22"/>
      <c r="AH208" s="22"/>
      <c r="AI208" s="22"/>
      <c r="AJ208" s="22"/>
      <c r="AK208" s="22"/>
      <c r="AL208" s="22"/>
      <c r="AM208" s="22"/>
      <c r="AN208" s="22"/>
      <c r="AO208" s="22"/>
      <c r="AP208" s="22"/>
      <c r="AQ208" s="22"/>
      <c r="AR208" s="22"/>
      <c r="AS208" s="25"/>
    </row>
    <row r="209" spans="1:45" s="1" customFormat="1">
      <c r="A209" s="22">
        <f t="shared" si="3"/>
        <v>208</v>
      </c>
      <c r="B209" s="23">
        <v>45674</v>
      </c>
      <c r="C209" s="22" t="s">
        <v>208</v>
      </c>
      <c r="D209" s="22" t="s">
        <v>954</v>
      </c>
      <c r="E209" s="22">
        <v>20242178</v>
      </c>
      <c r="F209" s="22" t="s">
        <v>1137</v>
      </c>
      <c r="G209" s="22">
        <v>9373166256</v>
      </c>
      <c r="H209" s="22" t="s">
        <v>1138</v>
      </c>
      <c r="I209" s="22" t="s">
        <v>55</v>
      </c>
      <c r="J209" s="22" t="s">
        <v>1139</v>
      </c>
      <c r="K209" s="22" t="s">
        <v>1132</v>
      </c>
      <c r="L209" s="22" t="s">
        <v>1140</v>
      </c>
      <c r="M209" s="22" t="s">
        <v>1141</v>
      </c>
      <c r="N209" s="22">
        <v>17.8</v>
      </c>
      <c r="O209" s="22" t="s">
        <v>61</v>
      </c>
      <c r="P209" s="22" t="s">
        <v>1142</v>
      </c>
      <c r="Q209" s="22" t="s">
        <v>657</v>
      </c>
      <c r="R209" s="22" t="s">
        <v>657</v>
      </c>
      <c r="S209" s="22" t="s">
        <v>1143</v>
      </c>
      <c r="T209" s="22" t="s">
        <v>1144</v>
      </c>
      <c r="U209" s="24"/>
      <c r="V209" s="22"/>
      <c r="W209" s="22" t="s">
        <v>65</v>
      </c>
      <c r="X209" s="22" t="s">
        <v>65</v>
      </c>
      <c r="Y209" s="22"/>
      <c r="Z209" s="22" t="s">
        <v>66</v>
      </c>
      <c r="AA209" s="22"/>
      <c r="AB209" s="22"/>
      <c r="AC209" s="22"/>
      <c r="AD209" s="22"/>
      <c r="AE209" s="22"/>
      <c r="AF209" s="22"/>
      <c r="AG209" s="22"/>
      <c r="AH209" s="22"/>
      <c r="AI209" s="22"/>
      <c r="AJ209" s="22"/>
      <c r="AK209" s="22"/>
      <c r="AL209" s="22"/>
      <c r="AM209" s="22"/>
      <c r="AN209" s="22"/>
      <c r="AO209" s="22"/>
      <c r="AP209" s="22"/>
      <c r="AQ209" s="22"/>
      <c r="AR209" s="22"/>
      <c r="AS209" s="25"/>
    </row>
    <row r="210" spans="1:45" s="1" customFormat="1">
      <c r="A210" s="22">
        <f t="shared" si="3"/>
        <v>209</v>
      </c>
      <c r="B210" s="23">
        <v>45674</v>
      </c>
      <c r="C210" s="22" t="s">
        <v>208</v>
      </c>
      <c r="D210" s="22" t="s">
        <v>954</v>
      </c>
      <c r="E210" s="22">
        <v>20242178</v>
      </c>
      <c r="F210" s="22" t="s">
        <v>1145</v>
      </c>
      <c r="G210" s="22">
        <v>9970692874</v>
      </c>
      <c r="H210" s="22" t="s">
        <v>1146</v>
      </c>
      <c r="I210" s="22" t="s">
        <v>55</v>
      </c>
      <c r="J210" s="22" t="s">
        <v>1139</v>
      </c>
      <c r="K210" s="22" t="s">
        <v>1132</v>
      </c>
      <c r="L210" s="22" t="s">
        <v>1140</v>
      </c>
      <c r="M210" s="22" t="s">
        <v>1134</v>
      </c>
      <c r="N210" s="22">
        <v>18</v>
      </c>
      <c r="O210" s="22" t="s">
        <v>61</v>
      </c>
      <c r="P210" s="22">
        <v>22</v>
      </c>
      <c r="Q210" s="22" t="s">
        <v>657</v>
      </c>
      <c r="R210" s="22" t="s">
        <v>657</v>
      </c>
      <c r="S210" s="22" t="s">
        <v>1147</v>
      </c>
      <c r="T210" s="22" t="s">
        <v>1148</v>
      </c>
      <c r="U210" s="24"/>
      <c r="V210" s="22"/>
      <c r="W210" s="22" t="s">
        <v>65</v>
      </c>
      <c r="X210" s="22" t="s">
        <v>65</v>
      </c>
      <c r="Y210" s="22"/>
      <c r="Z210" s="22" t="s">
        <v>66</v>
      </c>
      <c r="AA210" s="22"/>
      <c r="AB210" s="22"/>
      <c r="AC210" s="22"/>
      <c r="AD210" s="22"/>
      <c r="AE210" s="22"/>
      <c r="AF210" s="22"/>
      <c r="AG210" s="22"/>
      <c r="AH210" s="22"/>
      <c r="AI210" s="22"/>
      <c r="AJ210" s="22"/>
      <c r="AK210" s="22"/>
      <c r="AL210" s="22"/>
      <c r="AM210" s="22"/>
      <c r="AN210" s="22"/>
      <c r="AO210" s="22"/>
      <c r="AP210" s="22"/>
      <c r="AQ210" s="22"/>
      <c r="AR210" s="22"/>
      <c r="AS210" s="25"/>
    </row>
    <row r="211" spans="1:45" s="1" customFormat="1">
      <c r="A211" s="22">
        <f t="shared" si="3"/>
        <v>210</v>
      </c>
      <c r="B211" s="23">
        <v>45674</v>
      </c>
      <c r="C211" s="22" t="s">
        <v>208</v>
      </c>
      <c r="D211" s="22" t="s">
        <v>954</v>
      </c>
      <c r="E211" s="22">
        <v>20242178</v>
      </c>
      <c r="F211" s="22" t="s">
        <v>1149</v>
      </c>
      <c r="G211" s="22">
        <v>9156024979</v>
      </c>
      <c r="H211" s="22" t="s">
        <v>1150</v>
      </c>
      <c r="I211" s="22" t="s">
        <v>101</v>
      </c>
      <c r="J211" s="22" t="s">
        <v>1139</v>
      </c>
      <c r="K211" s="22" t="s">
        <v>1132</v>
      </c>
      <c r="L211" s="22" t="s">
        <v>1151</v>
      </c>
      <c r="M211" s="22" t="s">
        <v>1152</v>
      </c>
      <c r="N211" s="22">
        <v>21</v>
      </c>
      <c r="O211" s="22" t="s">
        <v>61</v>
      </c>
      <c r="P211" s="22" t="s">
        <v>1142</v>
      </c>
      <c r="Q211" s="22" t="s">
        <v>657</v>
      </c>
      <c r="R211" s="22" t="s">
        <v>657</v>
      </c>
      <c r="S211" s="22" t="s">
        <v>1153</v>
      </c>
      <c r="T211" s="22" t="s">
        <v>1154</v>
      </c>
      <c r="U211" s="24"/>
      <c r="V211" s="22"/>
      <c r="W211" s="22" t="s">
        <v>65</v>
      </c>
      <c r="X211" s="22" t="s">
        <v>65</v>
      </c>
      <c r="Y211" s="22"/>
      <c r="Z211" s="22" t="s">
        <v>66</v>
      </c>
      <c r="AA211" s="22"/>
      <c r="AB211" s="22"/>
      <c r="AC211" s="22"/>
      <c r="AD211" s="22"/>
      <c r="AE211" s="22"/>
      <c r="AF211" s="22"/>
      <c r="AG211" s="22"/>
      <c r="AH211" s="22"/>
      <c r="AI211" s="22"/>
      <c r="AJ211" s="22"/>
      <c r="AK211" s="22"/>
      <c r="AL211" s="22"/>
      <c r="AM211" s="22"/>
      <c r="AN211" s="22"/>
      <c r="AO211" s="22"/>
      <c r="AP211" s="22"/>
      <c r="AQ211" s="22"/>
      <c r="AR211" s="22"/>
      <c r="AS211" s="25"/>
    </row>
    <row r="212" spans="1:45" s="1" customFormat="1">
      <c r="A212" s="22">
        <f t="shared" si="3"/>
        <v>211</v>
      </c>
      <c r="B212" s="23">
        <v>45674</v>
      </c>
      <c r="C212" s="22" t="s">
        <v>208</v>
      </c>
      <c r="D212" s="22" t="s">
        <v>667</v>
      </c>
      <c r="E212" s="22">
        <v>20245469</v>
      </c>
      <c r="F212" s="22" t="s">
        <v>1155</v>
      </c>
      <c r="G212" s="22">
        <v>7039861451</v>
      </c>
      <c r="H212" s="22" t="s">
        <v>1156</v>
      </c>
      <c r="I212" s="22" t="s">
        <v>55</v>
      </c>
      <c r="J212" s="22" t="s">
        <v>1131</v>
      </c>
      <c r="K212" s="22" t="s">
        <v>1132</v>
      </c>
      <c r="L212" s="22" t="s">
        <v>1157</v>
      </c>
      <c r="M212" s="22" t="s">
        <v>1152</v>
      </c>
      <c r="N212" s="22">
        <v>30</v>
      </c>
      <c r="O212" s="22" t="s">
        <v>61</v>
      </c>
      <c r="P212" s="22">
        <v>0.4</v>
      </c>
      <c r="Q212" s="22" t="s">
        <v>657</v>
      </c>
      <c r="R212" s="22" t="s">
        <v>657</v>
      </c>
      <c r="S212" s="22" t="s">
        <v>941</v>
      </c>
      <c r="T212" s="22" t="s">
        <v>1158</v>
      </c>
      <c r="U212" s="24"/>
      <c r="V212" s="22"/>
      <c r="W212" s="22" t="s">
        <v>65</v>
      </c>
      <c r="X212" s="22" t="s">
        <v>65</v>
      </c>
      <c r="Y212" s="22"/>
      <c r="Z212" s="22" t="s">
        <v>66</v>
      </c>
      <c r="AA212" s="22"/>
      <c r="AB212" s="22"/>
      <c r="AC212" s="22"/>
      <c r="AD212" s="22"/>
      <c r="AE212" s="22"/>
      <c r="AF212" s="22"/>
      <c r="AG212" s="22"/>
      <c r="AH212" s="22"/>
      <c r="AI212" s="22"/>
      <c r="AJ212" s="22"/>
      <c r="AK212" s="22"/>
      <c r="AL212" s="22"/>
      <c r="AM212" s="22"/>
      <c r="AN212" s="22"/>
      <c r="AO212" s="22"/>
      <c r="AP212" s="22"/>
      <c r="AQ212" s="22"/>
      <c r="AR212" s="22"/>
      <c r="AS212" s="25"/>
    </row>
    <row r="213" spans="1:45" s="1" customFormat="1">
      <c r="A213" s="22">
        <f t="shared" si="3"/>
        <v>212</v>
      </c>
      <c r="B213" s="23">
        <v>45674</v>
      </c>
      <c r="C213" s="22" t="s">
        <v>208</v>
      </c>
      <c r="D213" s="22" t="s">
        <v>954</v>
      </c>
      <c r="E213" s="22">
        <v>20242178</v>
      </c>
      <c r="F213" s="22" t="s">
        <v>1159</v>
      </c>
      <c r="G213" s="22">
        <v>9561485554</v>
      </c>
      <c r="H213" s="22" t="s">
        <v>1160</v>
      </c>
      <c r="I213" s="22" t="s">
        <v>55</v>
      </c>
      <c r="J213" s="22" t="s">
        <v>1139</v>
      </c>
      <c r="K213" s="22" t="s">
        <v>1132</v>
      </c>
      <c r="L213" s="22" t="s">
        <v>1053</v>
      </c>
      <c r="M213" s="22" t="s">
        <v>1161</v>
      </c>
      <c r="N213" s="22">
        <v>16</v>
      </c>
      <c r="O213" s="22" t="s">
        <v>61</v>
      </c>
      <c r="P213" s="22">
        <v>20</v>
      </c>
      <c r="Q213" s="22" t="s">
        <v>657</v>
      </c>
      <c r="R213" s="22" t="s">
        <v>657</v>
      </c>
      <c r="S213" s="22" t="s">
        <v>1162</v>
      </c>
      <c r="T213" s="22" t="s">
        <v>61</v>
      </c>
      <c r="U213" s="24"/>
      <c r="V213" s="22"/>
      <c r="W213" s="22" t="s">
        <v>65</v>
      </c>
      <c r="X213" s="22" t="s">
        <v>65</v>
      </c>
      <c r="Y213" s="22"/>
      <c r="Z213" s="22" t="s">
        <v>66</v>
      </c>
      <c r="AA213" s="22"/>
      <c r="AB213" s="22"/>
      <c r="AC213" s="22"/>
      <c r="AD213" s="22"/>
      <c r="AE213" s="22"/>
      <c r="AF213" s="22"/>
      <c r="AG213" s="22"/>
      <c r="AH213" s="22"/>
      <c r="AI213" s="22"/>
      <c r="AJ213" s="22"/>
      <c r="AK213" s="22"/>
      <c r="AL213" s="22"/>
      <c r="AM213" s="22"/>
      <c r="AN213" s="22"/>
      <c r="AO213" s="22"/>
      <c r="AP213" s="22"/>
      <c r="AQ213" s="22"/>
      <c r="AR213" s="22"/>
      <c r="AS213" s="25"/>
    </row>
    <row r="214" spans="1:45" s="1" customFormat="1">
      <c r="A214" s="22">
        <f t="shared" si="3"/>
        <v>213</v>
      </c>
      <c r="B214" s="23">
        <v>45674</v>
      </c>
      <c r="C214" s="22" t="s">
        <v>208</v>
      </c>
      <c r="D214" s="22" t="s">
        <v>954</v>
      </c>
      <c r="E214" s="22">
        <v>20245469</v>
      </c>
      <c r="F214" s="22" t="s">
        <v>1163</v>
      </c>
      <c r="G214" s="22">
        <v>8484052555</v>
      </c>
      <c r="H214" s="22" t="s">
        <v>1164</v>
      </c>
      <c r="I214" s="22" t="s">
        <v>55</v>
      </c>
      <c r="J214" s="22" t="s">
        <v>1131</v>
      </c>
      <c r="K214" s="22" t="s">
        <v>1132</v>
      </c>
      <c r="L214" s="22" t="s">
        <v>1165</v>
      </c>
      <c r="M214" s="22" t="s">
        <v>1152</v>
      </c>
      <c r="N214" s="22">
        <v>16</v>
      </c>
      <c r="O214" s="22" t="s">
        <v>61</v>
      </c>
      <c r="P214" s="22">
        <v>25</v>
      </c>
      <c r="Q214" s="22" t="s">
        <v>657</v>
      </c>
      <c r="R214" s="22" t="s">
        <v>657</v>
      </c>
      <c r="S214" s="22" t="s">
        <v>1105</v>
      </c>
      <c r="T214" s="22" t="s">
        <v>1166</v>
      </c>
      <c r="U214" s="24"/>
      <c r="V214" s="22"/>
      <c r="W214" s="22" t="s">
        <v>65</v>
      </c>
      <c r="X214" s="22" t="s">
        <v>65</v>
      </c>
      <c r="Y214" s="22"/>
      <c r="Z214" s="22" t="s">
        <v>66</v>
      </c>
      <c r="AA214" s="22"/>
      <c r="AB214" s="22"/>
      <c r="AC214" s="22"/>
      <c r="AD214" s="22"/>
      <c r="AE214" s="22"/>
      <c r="AF214" s="22"/>
      <c r="AG214" s="22"/>
      <c r="AH214" s="22"/>
      <c r="AI214" s="22"/>
      <c r="AJ214" s="22"/>
      <c r="AK214" s="22"/>
      <c r="AL214" s="22"/>
      <c r="AM214" s="22"/>
      <c r="AN214" s="22"/>
      <c r="AO214" s="22"/>
      <c r="AP214" s="22"/>
      <c r="AQ214" s="22"/>
      <c r="AR214" s="22"/>
      <c r="AS214" s="25"/>
    </row>
    <row r="215" spans="1:45" s="1" customFormat="1">
      <c r="A215" s="22">
        <f t="shared" si="3"/>
        <v>214</v>
      </c>
      <c r="B215" s="23">
        <v>45674</v>
      </c>
      <c r="C215" s="22" t="s">
        <v>840</v>
      </c>
      <c r="D215" s="22" t="s">
        <v>841</v>
      </c>
      <c r="E215" s="22">
        <v>20251212</v>
      </c>
      <c r="F215" s="22" t="s">
        <v>1167</v>
      </c>
      <c r="G215" s="22">
        <v>7972959010</v>
      </c>
      <c r="H215" s="22" t="s">
        <v>1168</v>
      </c>
      <c r="I215" s="22" t="s">
        <v>55</v>
      </c>
      <c r="J215" s="22" t="s">
        <v>1036</v>
      </c>
      <c r="K215" s="22" t="s">
        <v>1030</v>
      </c>
      <c r="L215" s="22" t="s">
        <v>564</v>
      </c>
      <c r="M215" s="22" t="s">
        <v>1169</v>
      </c>
      <c r="N215" s="22" t="s">
        <v>333</v>
      </c>
      <c r="O215" s="22"/>
      <c r="P215" s="22" t="s">
        <v>494</v>
      </c>
      <c r="Q215" s="22" t="s">
        <v>63</v>
      </c>
      <c r="R215" s="22" t="s">
        <v>63</v>
      </c>
      <c r="S215" s="22" t="s">
        <v>284</v>
      </c>
      <c r="T215" s="22" t="s">
        <v>134</v>
      </c>
      <c r="U215" s="24">
        <v>45768</v>
      </c>
      <c r="V215" s="22"/>
      <c r="W215" s="22" t="s">
        <v>93</v>
      </c>
      <c r="X215" s="22" t="s">
        <v>93</v>
      </c>
      <c r="Y215" s="22" t="s">
        <v>135</v>
      </c>
      <c r="Z215" s="22" t="s">
        <v>66</v>
      </c>
      <c r="AA215" s="22"/>
      <c r="AB215" s="22"/>
      <c r="AC215" s="22"/>
      <c r="AD215" s="22"/>
      <c r="AE215" s="22"/>
      <c r="AF215" s="22"/>
      <c r="AG215" s="22"/>
      <c r="AH215" s="22"/>
      <c r="AI215" s="22"/>
      <c r="AJ215" s="22"/>
      <c r="AK215" s="22"/>
      <c r="AL215" s="22"/>
      <c r="AM215" s="22"/>
      <c r="AN215" s="22"/>
      <c r="AO215" s="22"/>
      <c r="AP215" s="22"/>
      <c r="AQ215" s="22"/>
      <c r="AR215" s="22"/>
      <c r="AS215" s="25"/>
    </row>
    <row r="216" spans="1:45" s="1" customFormat="1">
      <c r="A216" s="22">
        <f t="shared" si="3"/>
        <v>215</v>
      </c>
      <c r="B216" s="23">
        <v>45674</v>
      </c>
      <c r="C216" s="22" t="s">
        <v>208</v>
      </c>
      <c r="D216" s="22" t="s">
        <v>667</v>
      </c>
      <c r="E216" s="22">
        <v>20251212</v>
      </c>
      <c r="F216" s="22" t="s">
        <v>1170</v>
      </c>
      <c r="G216" s="22">
        <v>9119545858</v>
      </c>
      <c r="H216" s="22" t="s">
        <v>1171</v>
      </c>
      <c r="I216" s="22" t="s">
        <v>55</v>
      </c>
      <c r="J216" s="22" t="s">
        <v>1172</v>
      </c>
      <c r="K216" s="22" t="s">
        <v>1030</v>
      </c>
      <c r="L216" s="22" t="s">
        <v>1173</v>
      </c>
      <c r="M216" s="22" t="s">
        <v>1174</v>
      </c>
      <c r="N216" s="22" t="s">
        <v>1175</v>
      </c>
      <c r="O216" s="22"/>
      <c r="P216" s="22" t="s">
        <v>60</v>
      </c>
      <c r="Q216" s="22" t="s">
        <v>63</v>
      </c>
      <c r="R216" s="22" t="s">
        <v>63</v>
      </c>
      <c r="S216" s="22" t="s">
        <v>1032</v>
      </c>
      <c r="T216" s="22" t="s">
        <v>134</v>
      </c>
      <c r="U216" s="24">
        <v>45789</v>
      </c>
      <c r="V216" s="22"/>
      <c r="W216" s="22" t="s">
        <v>93</v>
      </c>
      <c r="X216" s="22" t="s">
        <v>93</v>
      </c>
      <c r="Y216" s="22"/>
      <c r="Z216" s="22" t="s">
        <v>66</v>
      </c>
      <c r="AA216" s="22"/>
      <c r="AB216" s="22"/>
      <c r="AC216" s="22"/>
      <c r="AD216" s="22"/>
      <c r="AE216" s="22"/>
      <c r="AF216" s="22"/>
      <c r="AG216" s="22"/>
      <c r="AH216" s="22"/>
      <c r="AI216" s="22"/>
      <c r="AJ216" s="22"/>
      <c r="AK216" s="22"/>
      <c r="AL216" s="22"/>
      <c r="AM216" s="22"/>
      <c r="AN216" s="22"/>
      <c r="AO216" s="22"/>
      <c r="AP216" s="22"/>
      <c r="AQ216" s="22"/>
      <c r="AR216" s="22"/>
      <c r="AS216" s="25"/>
    </row>
    <row r="217" spans="1:45" s="1" customFormat="1">
      <c r="A217" s="22">
        <f t="shared" si="3"/>
        <v>216</v>
      </c>
      <c r="B217" s="23">
        <v>45674</v>
      </c>
      <c r="C217" s="22" t="s">
        <v>208</v>
      </c>
      <c r="D217" s="22" t="s">
        <v>293</v>
      </c>
      <c r="E217" s="22">
        <v>20251212</v>
      </c>
      <c r="F217" s="22" t="s">
        <v>1176</v>
      </c>
      <c r="G217" s="22">
        <v>8010535335</v>
      </c>
      <c r="H217" s="22" t="s">
        <v>1177</v>
      </c>
      <c r="I217" s="22" t="s">
        <v>55</v>
      </c>
      <c r="J217" s="22" t="s">
        <v>1172</v>
      </c>
      <c r="K217" s="22" t="s">
        <v>1030</v>
      </c>
      <c r="L217" s="22" t="s">
        <v>1178</v>
      </c>
      <c r="M217" s="22" t="s">
        <v>1179</v>
      </c>
      <c r="N217" s="22" t="s">
        <v>715</v>
      </c>
      <c r="O217" s="22"/>
      <c r="P217" s="22" t="s">
        <v>919</v>
      </c>
      <c r="Q217" s="22" t="s">
        <v>63</v>
      </c>
      <c r="R217" s="22" t="s">
        <v>63</v>
      </c>
      <c r="S217" s="22" t="s">
        <v>175</v>
      </c>
      <c r="T217" s="22" t="s">
        <v>134</v>
      </c>
      <c r="U217" s="24"/>
      <c r="V217" s="22"/>
      <c r="W217" s="22" t="s">
        <v>93</v>
      </c>
      <c r="X217" s="22" t="s">
        <v>93</v>
      </c>
      <c r="Y217" s="22"/>
      <c r="Z217" s="22" t="s">
        <v>66</v>
      </c>
      <c r="AA217" s="22"/>
      <c r="AB217" s="22"/>
      <c r="AC217" s="22"/>
      <c r="AD217" s="22"/>
      <c r="AE217" s="22"/>
      <c r="AF217" s="22"/>
      <c r="AG217" s="22"/>
      <c r="AH217" s="22"/>
      <c r="AI217" s="22"/>
      <c r="AJ217" s="22"/>
      <c r="AK217" s="22"/>
      <c r="AL217" s="22"/>
      <c r="AM217" s="22"/>
      <c r="AN217" s="22"/>
      <c r="AO217" s="22"/>
      <c r="AP217" s="22"/>
      <c r="AQ217" s="22"/>
      <c r="AR217" s="22"/>
      <c r="AS217" s="25"/>
    </row>
    <row r="218" spans="1:45" s="1" customFormat="1">
      <c r="A218" s="22">
        <f t="shared" si="3"/>
        <v>217</v>
      </c>
      <c r="B218" s="23">
        <v>45674</v>
      </c>
      <c r="C218" s="22" t="s">
        <v>208</v>
      </c>
      <c r="D218" s="22" t="s">
        <v>293</v>
      </c>
      <c r="E218" s="22">
        <v>20251212</v>
      </c>
      <c r="F218" s="22" t="s">
        <v>1180</v>
      </c>
      <c r="G218" s="22" t="s">
        <v>1181</v>
      </c>
      <c r="H218" s="22" t="s">
        <v>1182</v>
      </c>
      <c r="I218" s="22" t="s">
        <v>55</v>
      </c>
      <c r="J218" s="22" t="s">
        <v>1029</v>
      </c>
      <c r="K218" s="22" t="s">
        <v>1030</v>
      </c>
      <c r="L218" s="22" t="s">
        <v>1183</v>
      </c>
      <c r="M218" s="22" t="s">
        <v>1184</v>
      </c>
      <c r="N218" s="22" t="s">
        <v>1185</v>
      </c>
      <c r="O218" s="22"/>
      <c r="P218" s="22" t="s">
        <v>919</v>
      </c>
      <c r="Q218" s="22" t="s">
        <v>63</v>
      </c>
      <c r="R218" s="22" t="s">
        <v>63</v>
      </c>
      <c r="S218" s="22" t="s">
        <v>1186</v>
      </c>
      <c r="T218" s="22" t="s">
        <v>1187</v>
      </c>
      <c r="U218" s="24"/>
      <c r="V218" s="22"/>
      <c r="W218" s="22" t="s">
        <v>93</v>
      </c>
      <c r="X218" s="22" t="s">
        <v>93</v>
      </c>
      <c r="Y218" s="22"/>
      <c r="Z218" s="22" t="s">
        <v>66</v>
      </c>
      <c r="AA218" s="22"/>
      <c r="AB218" s="22"/>
      <c r="AC218" s="22"/>
      <c r="AD218" s="22"/>
      <c r="AE218" s="22"/>
      <c r="AF218" s="22"/>
      <c r="AG218" s="22"/>
      <c r="AH218" s="22"/>
      <c r="AI218" s="22"/>
      <c r="AJ218" s="22"/>
      <c r="AK218" s="22"/>
      <c r="AL218" s="22"/>
      <c r="AM218" s="22"/>
      <c r="AN218" s="22"/>
      <c r="AO218" s="22"/>
      <c r="AP218" s="22"/>
      <c r="AQ218" s="22"/>
      <c r="AR218" s="22"/>
      <c r="AS218" s="25"/>
    </row>
    <row r="219" spans="1:45" s="1" customFormat="1">
      <c r="A219" s="22">
        <f t="shared" si="3"/>
        <v>218</v>
      </c>
      <c r="B219" s="23">
        <v>45674</v>
      </c>
      <c r="C219" s="22" t="s">
        <v>840</v>
      </c>
      <c r="D219" s="22" t="s">
        <v>841</v>
      </c>
      <c r="E219" s="22">
        <v>20251215</v>
      </c>
      <c r="F219" s="22" t="s">
        <v>1188</v>
      </c>
      <c r="G219" s="22" t="s">
        <v>1189</v>
      </c>
      <c r="H219" s="22" t="s">
        <v>1190</v>
      </c>
      <c r="I219" s="22" t="s">
        <v>55</v>
      </c>
      <c r="J219" s="22" t="s">
        <v>1172</v>
      </c>
      <c r="K219" s="22" t="s">
        <v>1030</v>
      </c>
      <c r="L219" s="22" t="s">
        <v>1191</v>
      </c>
      <c r="M219" s="22" t="s">
        <v>1192</v>
      </c>
      <c r="N219" s="22" t="s">
        <v>131</v>
      </c>
      <c r="O219" s="22"/>
      <c r="P219" s="22" t="s">
        <v>1193</v>
      </c>
      <c r="Q219" s="22" t="s">
        <v>63</v>
      </c>
      <c r="R219" s="22" t="s">
        <v>63</v>
      </c>
      <c r="S219" s="22" t="s">
        <v>1032</v>
      </c>
      <c r="T219" s="22" t="s">
        <v>134</v>
      </c>
      <c r="U219" s="24">
        <v>45789</v>
      </c>
      <c r="V219" s="22"/>
      <c r="W219" s="22" t="s">
        <v>93</v>
      </c>
      <c r="X219" s="22" t="s">
        <v>93</v>
      </c>
      <c r="Y219" s="22" t="s">
        <v>135</v>
      </c>
      <c r="Z219" s="22" t="s">
        <v>66</v>
      </c>
      <c r="AA219" s="22"/>
      <c r="AB219" s="22"/>
      <c r="AC219" s="22"/>
      <c r="AD219" s="22"/>
      <c r="AE219" s="22"/>
      <c r="AF219" s="22"/>
      <c r="AG219" s="22"/>
      <c r="AH219" s="22"/>
      <c r="AI219" s="22"/>
      <c r="AJ219" s="22"/>
      <c r="AK219" s="22"/>
      <c r="AL219" s="22"/>
      <c r="AM219" s="22"/>
      <c r="AN219" s="22"/>
      <c r="AO219" s="22"/>
      <c r="AP219" s="22"/>
      <c r="AQ219" s="22"/>
      <c r="AR219" s="22"/>
      <c r="AS219" s="25"/>
    </row>
    <row r="220" spans="1:45" s="1" customFormat="1">
      <c r="A220" s="22">
        <f t="shared" si="3"/>
        <v>219</v>
      </c>
      <c r="B220" s="23">
        <v>45678</v>
      </c>
      <c r="C220" s="22" t="s">
        <v>208</v>
      </c>
      <c r="D220" s="22" t="s">
        <v>1056</v>
      </c>
      <c r="E220" s="22">
        <v>20249156</v>
      </c>
      <c r="F220" s="22" t="s">
        <v>1194</v>
      </c>
      <c r="G220" s="22">
        <v>8390921379</v>
      </c>
      <c r="H220" s="22" t="s">
        <v>1195</v>
      </c>
      <c r="I220" s="22" t="s">
        <v>55</v>
      </c>
      <c r="J220" s="22" t="s">
        <v>1196</v>
      </c>
      <c r="K220" s="22" t="s">
        <v>1197</v>
      </c>
      <c r="L220" s="22">
        <v>6.5</v>
      </c>
      <c r="M220" s="22" t="s">
        <v>1198</v>
      </c>
      <c r="N220" s="22">
        <v>12</v>
      </c>
      <c r="O220" s="22">
        <v>7.0000000000000007E-2</v>
      </c>
      <c r="P220" s="22">
        <v>18</v>
      </c>
      <c r="Q220" s="22" t="s">
        <v>1199</v>
      </c>
      <c r="R220" s="22" t="s">
        <v>63</v>
      </c>
      <c r="S220" s="22" t="s">
        <v>255</v>
      </c>
      <c r="T220" s="22"/>
      <c r="U220" s="24"/>
      <c r="V220" s="22"/>
      <c r="W220" s="22" t="s">
        <v>218</v>
      </c>
      <c r="X220" s="22" t="s">
        <v>218</v>
      </c>
      <c r="Y220" s="22" t="s">
        <v>135</v>
      </c>
      <c r="Z220" s="22" t="s">
        <v>66</v>
      </c>
      <c r="AA220" s="22"/>
      <c r="AB220" s="22"/>
      <c r="AC220" s="22"/>
      <c r="AD220" s="22"/>
      <c r="AE220" s="22"/>
      <c r="AF220" s="22"/>
      <c r="AG220" s="22"/>
      <c r="AH220" s="22"/>
      <c r="AI220" s="22"/>
      <c r="AJ220" s="22"/>
      <c r="AK220" s="22"/>
      <c r="AL220" s="22"/>
      <c r="AM220" s="22"/>
      <c r="AN220" s="22"/>
      <c r="AO220" s="22"/>
      <c r="AP220" s="22"/>
      <c r="AQ220" s="22"/>
      <c r="AR220" s="22"/>
      <c r="AS220" s="25"/>
    </row>
    <row r="221" spans="1:45" s="1" customFormat="1">
      <c r="A221" s="22">
        <f t="shared" si="3"/>
        <v>220</v>
      </c>
      <c r="B221" s="23">
        <v>45680</v>
      </c>
      <c r="C221" s="22" t="s">
        <v>51</v>
      </c>
      <c r="D221" s="22" t="s">
        <v>51</v>
      </c>
      <c r="E221" s="22">
        <v>20248561</v>
      </c>
      <c r="F221" s="22" t="s">
        <v>1200</v>
      </c>
      <c r="G221" s="22">
        <v>6301261188</v>
      </c>
      <c r="H221" s="22" t="s">
        <v>1201</v>
      </c>
      <c r="I221" s="22" t="s">
        <v>55</v>
      </c>
      <c r="J221" s="22" t="s">
        <v>1202</v>
      </c>
      <c r="K221" s="22" t="s">
        <v>116</v>
      </c>
      <c r="L221" s="22"/>
      <c r="M221" s="22"/>
      <c r="N221" s="22"/>
      <c r="O221" s="22"/>
      <c r="P221" s="22">
        <v>825000</v>
      </c>
      <c r="Q221" s="22" t="e" vm="3">
        <v>#VALUE!</v>
      </c>
      <c r="R221" s="22" t="s">
        <v>63</v>
      </c>
      <c r="S221" s="22"/>
      <c r="T221" s="22"/>
      <c r="U221" s="24">
        <v>45698</v>
      </c>
      <c r="V221" s="22"/>
      <c r="W221" s="22" t="s">
        <v>65</v>
      </c>
      <c r="X221" s="22" t="s">
        <v>65</v>
      </c>
      <c r="Y221" s="22"/>
      <c r="Z221" s="22" t="s">
        <v>118</v>
      </c>
      <c r="AA221" s="22"/>
      <c r="AB221" s="22"/>
      <c r="AC221" s="22"/>
      <c r="AD221" s="22"/>
      <c r="AE221" s="22"/>
      <c r="AF221" s="22"/>
      <c r="AG221" s="22"/>
      <c r="AH221" s="22"/>
      <c r="AI221" s="22"/>
      <c r="AJ221" s="22"/>
      <c r="AK221" s="22"/>
      <c r="AL221" s="22"/>
      <c r="AM221" s="22"/>
      <c r="AN221" s="22"/>
      <c r="AO221" s="22"/>
      <c r="AP221" s="22"/>
      <c r="AQ221" s="22"/>
      <c r="AR221" s="22"/>
      <c r="AS221" s="25"/>
    </row>
    <row r="222" spans="1:45" s="1" customFormat="1">
      <c r="A222" s="22">
        <f t="shared" si="3"/>
        <v>221</v>
      </c>
      <c r="B222" s="23">
        <v>45681</v>
      </c>
      <c r="C222" s="22" t="s">
        <v>208</v>
      </c>
      <c r="D222" s="22" t="s">
        <v>963</v>
      </c>
      <c r="E222" s="22">
        <v>20251977</v>
      </c>
      <c r="F222" s="22" t="s">
        <v>1203</v>
      </c>
      <c r="G222" s="22">
        <v>9886803249</v>
      </c>
      <c r="H222" s="22" t="s">
        <v>1204</v>
      </c>
      <c r="I222" s="22" t="s">
        <v>55</v>
      </c>
      <c r="J222" s="22" t="s">
        <v>1017</v>
      </c>
      <c r="K222" s="22" t="s">
        <v>201</v>
      </c>
      <c r="L222" s="22" t="s">
        <v>1205</v>
      </c>
      <c r="M222" s="22" t="s">
        <v>1206</v>
      </c>
      <c r="N222" s="22">
        <v>32</v>
      </c>
      <c r="O222" s="22" t="s">
        <v>61</v>
      </c>
      <c r="P222" s="22">
        <v>38</v>
      </c>
      <c r="Q222" s="22" t="s">
        <v>615</v>
      </c>
      <c r="R222" s="22" t="s">
        <v>657</v>
      </c>
      <c r="S222" s="22" t="s">
        <v>1143</v>
      </c>
      <c r="T222" s="22" t="s">
        <v>1207</v>
      </c>
      <c r="U222" s="24"/>
      <c r="V222" s="22"/>
      <c r="W222" s="22" t="s">
        <v>65</v>
      </c>
      <c r="X222" s="22" t="s">
        <v>65</v>
      </c>
      <c r="Y222" s="22"/>
      <c r="Z222" s="22" t="s">
        <v>66</v>
      </c>
      <c r="AA222" s="22"/>
      <c r="AB222" s="22"/>
      <c r="AC222" s="22"/>
      <c r="AD222" s="22"/>
      <c r="AE222" s="22"/>
      <c r="AF222" s="22"/>
      <c r="AG222" s="22"/>
      <c r="AH222" s="22"/>
      <c r="AI222" s="22"/>
      <c r="AJ222" s="22"/>
      <c r="AK222" s="22"/>
      <c r="AL222" s="22"/>
      <c r="AM222" s="22"/>
      <c r="AN222" s="22"/>
      <c r="AO222" s="22"/>
      <c r="AP222" s="22"/>
      <c r="AQ222" s="22"/>
      <c r="AR222" s="22"/>
      <c r="AS222" s="25"/>
    </row>
    <row r="223" spans="1:45" s="1" customFormat="1">
      <c r="A223" s="22">
        <f t="shared" si="3"/>
        <v>222</v>
      </c>
      <c r="B223" s="23">
        <v>45681</v>
      </c>
      <c r="C223" s="22" t="s">
        <v>208</v>
      </c>
      <c r="D223" s="22" t="s">
        <v>1208</v>
      </c>
      <c r="E223" s="22">
        <v>20251977</v>
      </c>
      <c r="F223" s="22" t="s">
        <v>1209</v>
      </c>
      <c r="G223" s="22">
        <v>8080449954</v>
      </c>
      <c r="H223" s="22" t="s">
        <v>1210</v>
      </c>
      <c r="I223" s="22" t="s">
        <v>55</v>
      </c>
      <c r="J223" s="22" t="s">
        <v>1017</v>
      </c>
      <c r="K223" s="22" t="s">
        <v>201</v>
      </c>
      <c r="L223" s="22" t="s">
        <v>656</v>
      </c>
      <c r="M223" s="22" t="s">
        <v>1211</v>
      </c>
      <c r="N223" s="22">
        <v>39</v>
      </c>
      <c r="O223" s="22" t="s">
        <v>61</v>
      </c>
      <c r="P223" s="22" t="s">
        <v>1212</v>
      </c>
      <c r="Q223" s="22" t="s">
        <v>657</v>
      </c>
      <c r="R223" s="22" t="s">
        <v>657</v>
      </c>
      <c r="S223" s="22" t="s">
        <v>1100</v>
      </c>
      <c r="T223" s="22" t="s">
        <v>61</v>
      </c>
      <c r="U223" s="24"/>
      <c r="V223" s="22"/>
      <c r="W223" s="22" t="s">
        <v>65</v>
      </c>
      <c r="X223" s="22" t="s">
        <v>65</v>
      </c>
      <c r="Y223" s="22"/>
      <c r="Z223" s="22" t="s">
        <v>66</v>
      </c>
      <c r="AA223" s="22"/>
      <c r="AB223" s="22"/>
      <c r="AC223" s="22"/>
      <c r="AD223" s="22"/>
      <c r="AE223" s="22"/>
      <c r="AF223" s="22"/>
      <c r="AG223" s="22"/>
      <c r="AH223" s="22"/>
      <c r="AI223" s="22"/>
      <c r="AJ223" s="22"/>
      <c r="AK223" s="22"/>
      <c r="AL223" s="22"/>
      <c r="AM223" s="22"/>
      <c r="AN223" s="22"/>
      <c r="AO223" s="22"/>
      <c r="AP223" s="22"/>
      <c r="AQ223" s="22"/>
      <c r="AR223" s="22"/>
      <c r="AS223" s="25"/>
    </row>
    <row r="224" spans="1:45" s="1" customFormat="1">
      <c r="A224" s="22">
        <f t="shared" si="3"/>
        <v>223</v>
      </c>
      <c r="B224" s="23">
        <v>45681</v>
      </c>
      <c r="C224" s="22" t="s">
        <v>208</v>
      </c>
      <c r="D224" s="22" t="s">
        <v>209</v>
      </c>
      <c r="E224" s="22">
        <v>20251977</v>
      </c>
      <c r="F224" s="22" t="s">
        <v>1213</v>
      </c>
      <c r="G224" s="22">
        <v>9987804679</v>
      </c>
      <c r="H224" s="22" t="s">
        <v>1214</v>
      </c>
      <c r="I224" s="22" t="s">
        <v>55</v>
      </c>
      <c r="J224" s="22" t="s">
        <v>1017</v>
      </c>
      <c r="K224" s="22" t="s">
        <v>201</v>
      </c>
      <c r="L224" s="22" t="s">
        <v>1215</v>
      </c>
      <c r="M224" s="22" t="s">
        <v>1216</v>
      </c>
      <c r="N224" s="22">
        <v>24</v>
      </c>
      <c r="O224" s="22" t="s">
        <v>61</v>
      </c>
      <c r="P224" s="22">
        <v>33</v>
      </c>
      <c r="Q224" s="22" t="s">
        <v>615</v>
      </c>
      <c r="R224" s="22" t="s">
        <v>657</v>
      </c>
      <c r="S224" s="22" t="s">
        <v>1217</v>
      </c>
      <c r="T224" s="22" t="s">
        <v>1218</v>
      </c>
      <c r="U224" s="24"/>
      <c r="V224" s="22"/>
      <c r="W224" s="22" t="s">
        <v>65</v>
      </c>
      <c r="X224" s="22" t="s">
        <v>65</v>
      </c>
      <c r="Y224" s="22"/>
      <c r="Z224" s="22" t="s">
        <v>66</v>
      </c>
      <c r="AA224" s="22"/>
      <c r="AB224" s="22">
        <v>45692</v>
      </c>
      <c r="AC224" s="22"/>
      <c r="AD224" s="22"/>
      <c r="AE224" s="22"/>
      <c r="AF224" s="22"/>
      <c r="AG224" s="22"/>
      <c r="AH224" s="22"/>
      <c r="AI224" s="22"/>
      <c r="AJ224" s="22"/>
      <c r="AK224" s="22"/>
      <c r="AL224" s="22"/>
      <c r="AM224" s="22"/>
      <c r="AN224" s="22"/>
      <c r="AO224" s="22"/>
      <c r="AP224" s="22"/>
      <c r="AQ224" s="22"/>
      <c r="AR224" s="22"/>
      <c r="AS224" s="25"/>
    </row>
    <row r="225" spans="1:45" s="1" customFormat="1">
      <c r="A225" s="22">
        <f t="shared" si="3"/>
        <v>224</v>
      </c>
      <c r="B225" s="23">
        <v>45681</v>
      </c>
      <c r="C225" s="22" t="s">
        <v>208</v>
      </c>
      <c r="D225" s="22" t="s">
        <v>1056</v>
      </c>
      <c r="E225" s="22">
        <v>20251977</v>
      </c>
      <c r="F225" s="22" t="s">
        <v>1219</v>
      </c>
      <c r="G225" s="22">
        <v>9881988262</v>
      </c>
      <c r="H225" s="22" t="s">
        <v>1220</v>
      </c>
      <c r="I225" s="22" t="s">
        <v>55</v>
      </c>
      <c r="J225" s="22" t="s">
        <v>1017</v>
      </c>
      <c r="K225" s="22" t="s">
        <v>201</v>
      </c>
      <c r="L225" s="22" t="s">
        <v>61</v>
      </c>
      <c r="M225" s="22" t="s">
        <v>1221</v>
      </c>
      <c r="N225" s="22" t="s">
        <v>61</v>
      </c>
      <c r="O225" s="22" t="s">
        <v>61</v>
      </c>
      <c r="P225" s="22" t="s">
        <v>61</v>
      </c>
      <c r="Q225" s="22" t="s">
        <v>61</v>
      </c>
      <c r="R225" s="22" t="s">
        <v>61</v>
      </c>
      <c r="S225" s="22" t="s">
        <v>61</v>
      </c>
      <c r="T225" s="22" t="s">
        <v>61</v>
      </c>
      <c r="U225" s="24"/>
      <c r="V225" s="22"/>
      <c r="W225" s="22" t="s">
        <v>65</v>
      </c>
      <c r="X225" s="22" t="s">
        <v>65</v>
      </c>
      <c r="Y225" s="22"/>
      <c r="Z225" s="22" t="s">
        <v>66</v>
      </c>
      <c r="AA225" s="22"/>
      <c r="AB225" s="22"/>
      <c r="AC225" s="22"/>
      <c r="AD225" s="22"/>
      <c r="AE225" s="22"/>
      <c r="AF225" s="22"/>
      <c r="AG225" s="22"/>
      <c r="AH225" s="22"/>
      <c r="AI225" s="22"/>
      <c r="AJ225" s="22"/>
      <c r="AK225" s="22"/>
      <c r="AL225" s="22"/>
      <c r="AM225" s="22"/>
      <c r="AN225" s="22"/>
      <c r="AO225" s="22"/>
      <c r="AP225" s="22"/>
      <c r="AQ225" s="22"/>
      <c r="AR225" s="22"/>
      <c r="AS225" s="25"/>
    </row>
    <row r="226" spans="1:45" s="1" customFormat="1">
      <c r="A226" s="22">
        <f t="shared" si="3"/>
        <v>225</v>
      </c>
      <c r="B226" s="23">
        <v>45681</v>
      </c>
      <c r="C226" s="22" t="s">
        <v>208</v>
      </c>
      <c r="D226" s="22" t="s">
        <v>209</v>
      </c>
      <c r="E226" s="22">
        <v>20251977</v>
      </c>
      <c r="F226" s="22" t="s">
        <v>1222</v>
      </c>
      <c r="G226" s="22">
        <v>8000619173</v>
      </c>
      <c r="H226" s="22" t="s">
        <v>1223</v>
      </c>
      <c r="I226" s="22" t="s">
        <v>55</v>
      </c>
      <c r="J226" s="22" t="s">
        <v>1017</v>
      </c>
      <c r="K226" s="22" t="s">
        <v>201</v>
      </c>
      <c r="L226" s="22" t="s">
        <v>1224</v>
      </c>
      <c r="M226" s="22" t="s">
        <v>1225</v>
      </c>
      <c r="N226" s="22" t="s">
        <v>61</v>
      </c>
      <c r="O226" s="22" t="s">
        <v>61</v>
      </c>
      <c r="P226" s="22" t="s">
        <v>61</v>
      </c>
      <c r="Q226" s="22" t="s">
        <v>61</v>
      </c>
      <c r="R226" s="22" t="s">
        <v>61</v>
      </c>
      <c r="S226" s="22" t="s">
        <v>61</v>
      </c>
      <c r="T226" s="22" t="s">
        <v>61</v>
      </c>
      <c r="U226" s="24"/>
      <c r="V226" s="22"/>
      <c r="W226" s="22" t="s">
        <v>65</v>
      </c>
      <c r="X226" s="22" t="s">
        <v>65</v>
      </c>
      <c r="Y226" s="22"/>
      <c r="Z226" s="22" t="s">
        <v>66</v>
      </c>
      <c r="AA226" s="22"/>
      <c r="AB226" s="22">
        <v>45686</v>
      </c>
      <c r="AC226" s="22"/>
      <c r="AD226" s="22"/>
      <c r="AE226" s="22"/>
      <c r="AF226" s="22"/>
      <c r="AG226" s="22"/>
      <c r="AH226" s="22"/>
      <c r="AI226" s="22"/>
      <c r="AJ226" s="22"/>
      <c r="AK226" s="22"/>
      <c r="AL226" s="22"/>
      <c r="AM226" s="22"/>
      <c r="AN226" s="22"/>
      <c r="AO226" s="22"/>
      <c r="AP226" s="22"/>
      <c r="AQ226" s="22"/>
      <c r="AR226" s="22"/>
      <c r="AS226" s="25"/>
    </row>
    <row r="227" spans="1:45" s="1" customFormat="1">
      <c r="A227" s="22">
        <f t="shared" si="3"/>
        <v>226</v>
      </c>
      <c r="B227" s="23">
        <v>45684</v>
      </c>
      <c r="C227" s="22" t="s">
        <v>208</v>
      </c>
      <c r="D227" s="22" t="s">
        <v>209</v>
      </c>
      <c r="E227" s="22">
        <v>20250718</v>
      </c>
      <c r="F227" s="22" t="s">
        <v>1226</v>
      </c>
      <c r="G227" s="22" t="s">
        <v>1227</v>
      </c>
      <c r="H227" s="22" t="s">
        <v>1228</v>
      </c>
      <c r="I227" s="22" t="s">
        <v>101</v>
      </c>
      <c r="J227" s="22" t="s">
        <v>1229</v>
      </c>
      <c r="K227" s="22" t="s">
        <v>380</v>
      </c>
      <c r="L227" s="22">
        <v>7</v>
      </c>
      <c r="M227" s="22" t="s">
        <v>1230</v>
      </c>
      <c r="N227" s="22">
        <v>10.5</v>
      </c>
      <c r="O227" s="22">
        <v>0</v>
      </c>
      <c r="P227" s="22">
        <v>14</v>
      </c>
      <c r="Q227" s="22" t="s">
        <v>890</v>
      </c>
      <c r="R227" s="22" t="s">
        <v>63</v>
      </c>
      <c r="S227" s="22" t="s">
        <v>361</v>
      </c>
      <c r="T227" s="22" t="s">
        <v>61</v>
      </c>
      <c r="U227" s="24"/>
      <c r="V227" s="22"/>
      <c r="W227" s="22" t="s">
        <v>218</v>
      </c>
      <c r="X227" s="22" t="s">
        <v>218</v>
      </c>
      <c r="Y227" s="22" t="s">
        <v>135</v>
      </c>
      <c r="Z227" s="22" t="s">
        <v>66</v>
      </c>
      <c r="AA227" s="22"/>
      <c r="AB227" s="22"/>
      <c r="AC227" s="22"/>
      <c r="AD227" s="22"/>
      <c r="AE227" s="22"/>
      <c r="AF227" s="22"/>
      <c r="AG227" s="22"/>
      <c r="AH227" s="22"/>
      <c r="AI227" s="22"/>
      <c r="AJ227" s="22"/>
      <c r="AK227" s="22"/>
      <c r="AL227" s="22"/>
      <c r="AM227" s="22"/>
      <c r="AN227" s="22"/>
      <c r="AO227" s="22"/>
      <c r="AP227" s="22"/>
      <c r="AQ227" s="22"/>
      <c r="AR227" s="22"/>
      <c r="AS227" s="25"/>
    </row>
    <row r="228" spans="1:45" s="1" customFormat="1">
      <c r="A228" s="22">
        <f t="shared" si="3"/>
        <v>227</v>
      </c>
      <c r="B228" s="23">
        <v>45684</v>
      </c>
      <c r="C228" s="22" t="s">
        <v>208</v>
      </c>
      <c r="D228" s="22" t="s">
        <v>209</v>
      </c>
      <c r="E228" s="22">
        <v>20250720</v>
      </c>
      <c r="F228" s="22" t="s">
        <v>1231</v>
      </c>
      <c r="G228" s="22">
        <v>7709067670</v>
      </c>
      <c r="H228" s="22" t="s">
        <v>1232</v>
      </c>
      <c r="I228" s="22" t="s">
        <v>101</v>
      </c>
      <c r="J228" s="22" t="s">
        <v>1233</v>
      </c>
      <c r="K228" s="22" t="s">
        <v>380</v>
      </c>
      <c r="L228" s="22">
        <v>10</v>
      </c>
      <c r="M228" s="22" t="s">
        <v>1234</v>
      </c>
      <c r="N228" s="22">
        <v>10.9</v>
      </c>
      <c r="O228" s="22">
        <v>0</v>
      </c>
      <c r="P228" s="22" t="s">
        <v>1235</v>
      </c>
      <c r="Q228" s="22" t="s">
        <v>63</v>
      </c>
      <c r="R228" s="22" t="s">
        <v>63</v>
      </c>
      <c r="S228" s="22" t="s">
        <v>1236</v>
      </c>
      <c r="T228" s="22" t="s">
        <v>1237</v>
      </c>
      <c r="U228" s="24"/>
      <c r="V228" s="22"/>
      <c r="W228" s="22" t="s">
        <v>218</v>
      </c>
      <c r="X228" s="22" t="s">
        <v>218</v>
      </c>
      <c r="Y228" s="22" t="s">
        <v>135</v>
      </c>
      <c r="Z228" s="22" t="s">
        <v>66</v>
      </c>
      <c r="AA228" s="22"/>
      <c r="AB228" s="22"/>
      <c r="AC228" s="22"/>
      <c r="AD228" s="22"/>
      <c r="AE228" s="22"/>
      <c r="AF228" s="22"/>
      <c r="AG228" s="22"/>
      <c r="AH228" s="22"/>
      <c r="AI228" s="22"/>
      <c r="AJ228" s="22"/>
      <c r="AK228" s="22"/>
      <c r="AL228" s="22"/>
      <c r="AM228" s="22"/>
      <c r="AN228" s="22"/>
      <c r="AO228" s="22"/>
      <c r="AP228" s="22"/>
      <c r="AQ228" s="22"/>
      <c r="AR228" s="22"/>
      <c r="AS228" s="25"/>
    </row>
    <row r="229" spans="1:45" s="1" customFormat="1">
      <c r="A229" s="22">
        <f t="shared" si="3"/>
        <v>228</v>
      </c>
      <c r="B229" s="23">
        <v>45684</v>
      </c>
      <c r="C229" s="22" t="s">
        <v>840</v>
      </c>
      <c r="D229" s="22" t="s">
        <v>841</v>
      </c>
      <c r="E229" s="22">
        <v>20250720</v>
      </c>
      <c r="F229" s="22" t="s">
        <v>1238</v>
      </c>
      <c r="G229" s="22" t="s">
        <v>1239</v>
      </c>
      <c r="H229" s="22" t="s">
        <v>1240</v>
      </c>
      <c r="I229" s="22" t="s">
        <v>101</v>
      </c>
      <c r="J229" s="22" t="s">
        <v>1233</v>
      </c>
      <c r="K229" s="22" t="s">
        <v>380</v>
      </c>
      <c r="L229" s="22">
        <v>5.8</v>
      </c>
      <c r="M229" s="22" t="s">
        <v>1241</v>
      </c>
      <c r="N229" s="22" t="s">
        <v>1242</v>
      </c>
      <c r="O229" s="22" t="s">
        <v>1243</v>
      </c>
      <c r="P229" s="22">
        <v>1100000</v>
      </c>
      <c r="Q229" s="22" t="s">
        <v>63</v>
      </c>
      <c r="R229" s="22" t="s">
        <v>657</v>
      </c>
      <c r="S229" s="22" t="s">
        <v>255</v>
      </c>
      <c r="T229" s="22" t="s">
        <v>1244</v>
      </c>
      <c r="U229" s="24">
        <v>45761</v>
      </c>
      <c r="V229" s="22"/>
      <c r="W229" s="22" t="s">
        <v>218</v>
      </c>
      <c r="X229" s="22" t="s">
        <v>218</v>
      </c>
      <c r="Y229" s="22" t="s">
        <v>351</v>
      </c>
      <c r="Z229" s="22" t="s">
        <v>66</v>
      </c>
      <c r="AA229" s="22">
        <v>45688</v>
      </c>
      <c r="AB229" s="22">
        <v>45691</v>
      </c>
      <c r="AC229" s="22">
        <v>45691</v>
      </c>
      <c r="AD229" s="22">
        <v>45693</v>
      </c>
      <c r="AE229" s="22">
        <v>45693</v>
      </c>
      <c r="AF229" s="22">
        <v>45695</v>
      </c>
      <c r="AG229" s="22">
        <v>45695</v>
      </c>
      <c r="AH229" s="22">
        <v>45625</v>
      </c>
      <c r="AI229" s="22">
        <v>45695</v>
      </c>
      <c r="AJ229" s="22">
        <v>45693</v>
      </c>
      <c r="AK229" s="22" t="s">
        <v>63</v>
      </c>
      <c r="AL229" s="22">
        <v>1000000</v>
      </c>
      <c r="AM229" s="22">
        <v>45693</v>
      </c>
      <c r="AN229" s="22">
        <v>45693</v>
      </c>
      <c r="AO229" s="22"/>
      <c r="AP229" s="22">
        <v>45698</v>
      </c>
      <c r="AQ229" s="22">
        <v>45698</v>
      </c>
      <c r="AR229" s="22">
        <v>45757</v>
      </c>
      <c r="AS229" s="25">
        <v>45761</v>
      </c>
    </row>
    <row r="230" spans="1:45" s="1" customFormat="1">
      <c r="A230" s="22">
        <f t="shared" si="3"/>
        <v>229</v>
      </c>
      <c r="B230" s="23">
        <v>45684</v>
      </c>
      <c r="C230" s="22" t="s">
        <v>208</v>
      </c>
      <c r="D230" s="22" t="s">
        <v>231</v>
      </c>
      <c r="E230" s="22">
        <v>20250718</v>
      </c>
      <c r="F230" s="22" t="s">
        <v>1245</v>
      </c>
      <c r="G230" s="22">
        <v>8796945958</v>
      </c>
      <c r="H230" s="22" t="s">
        <v>1246</v>
      </c>
      <c r="I230" s="22" t="s">
        <v>55</v>
      </c>
      <c r="J230" s="22" t="s">
        <v>1229</v>
      </c>
      <c r="K230" s="22" t="s">
        <v>380</v>
      </c>
      <c r="L230" s="22">
        <v>5</v>
      </c>
      <c r="M230" s="22" t="s">
        <v>1247</v>
      </c>
      <c r="N230" s="22">
        <v>13.5</v>
      </c>
      <c r="O230" s="22" t="s">
        <v>1119</v>
      </c>
      <c r="P230" s="22" t="s">
        <v>1248</v>
      </c>
      <c r="Q230" s="22" t="s">
        <v>63</v>
      </c>
      <c r="R230" s="22" t="s">
        <v>63</v>
      </c>
      <c r="S230" s="22">
        <v>60</v>
      </c>
      <c r="T230" s="22" t="s">
        <v>1237</v>
      </c>
      <c r="U230" s="24"/>
      <c r="V230" s="22"/>
      <c r="W230" s="22" t="s">
        <v>218</v>
      </c>
      <c r="X230" s="22" t="s">
        <v>218</v>
      </c>
      <c r="Y230" s="22" t="s">
        <v>135</v>
      </c>
      <c r="Z230" s="22" t="s">
        <v>66</v>
      </c>
      <c r="AA230" s="22"/>
      <c r="AB230" s="22"/>
      <c r="AC230" s="22"/>
      <c r="AD230" s="22"/>
      <c r="AE230" s="22"/>
      <c r="AF230" s="22"/>
      <c r="AG230" s="22"/>
      <c r="AH230" s="22"/>
      <c r="AI230" s="22"/>
      <c r="AJ230" s="22"/>
      <c r="AK230" s="22"/>
      <c r="AL230" s="22">
        <v>700000</v>
      </c>
      <c r="AM230" s="22">
        <v>45699</v>
      </c>
      <c r="AN230" s="22">
        <v>45702</v>
      </c>
      <c r="AO230" s="22"/>
      <c r="AP230" s="22">
        <v>45706</v>
      </c>
      <c r="AQ230" s="22">
        <v>45706</v>
      </c>
      <c r="AR230" s="22"/>
      <c r="AS230" s="25">
        <v>45740</v>
      </c>
    </row>
    <row r="231" spans="1:45" s="1" customFormat="1">
      <c r="A231" s="22">
        <f t="shared" si="3"/>
        <v>230</v>
      </c>
      <c r="B231" s="23">
        <v>45684</v>
      </c>
      <c r="C231" s="22" t="s">
        <v>208</v>
      </c>
      <c r="D231" s="22" t="s">
        <v>209</v>
      </c>
      <c r="E231" s="22">
        <v>20250721</v>
      </c>
      <c r="F231" s="22" t="s">
        <v>1249</v>
      </c>
      <c r="G231" s="22">
        <v>9478006155</v>
      </c>
      <c r="H231" s="22" t="s">
        <v>1250</v>
      </c>
      <c r="I231" s="22" t="s">
        <v>55</v>
      </c>
      <c r="J231" s="22" t="s">
        <v>1229</v>
      </c>
      <c r="K231" s="22" t="s">
        <v>380</v>
      </c>
      <c r="L231" s="22">
        <v>3.5</v>
      </c>
      <c r="M231" s="22" t="s">
        <v>1251</v>
      </c>
      <c r="N231" s="22">
        <v>8.5</v>
      </c>
      <c r="O231" s="22" t="s">
        <v>1252</v>
      </c>
      <c r="P231" s="22">
        <v>12.5</v>
      </c>
      <c r="Q231" s="22" t="s">
        <v>459</v>
      </c>
      <c r="R231" s="22" t="s">
        <v>63</v>
      </c>
      <c r="S231" s="22" t="s">
        <v>255</v>
      </c>
      <c r="T231" s="22" t="s">
        <v>1237</v>
      </c>
      <c r="U231" s="24"/>
      <c r="V231" s="22"/>
      <c r="W231" s="22" t="s">
        <v>218</v>
      </c>
      <c r="X231" s="22" t="s">
        <v>218</v>
      </c>
      <c r="Y231" s="22" t="s">
        <v>135</v>
      </c>
      <c r="Z231" s="22" t="s">
        <v>66</v>
      </c>
      <c r="AA231" s="22"/>
      <c r="AB231" s="22"/>
      <c r="AC231" s="22"/>
      <c r="AD231" s="22"/>
      <c r="AE231" s="22"/>
      <c r="AF231" s="22"/>
      <c r="AG231" s="22"/>
      <c r="AH231" s="22"/>
      <c r="AI231" s="22"/>
      <c r="AJ231" s="22"/>
      <c r="AK231" s="22"/>
      <c r="AL231" s="22">
        <v>1050000</v>
      </c>
      <c r="AM231" s="22">
        <v>45709</v>
      </c>
      <c r="AN231" s="22">
        <v>45712</v>
      </c>
      <c r="AO231" s="22"/>
      <c r="AP231" s="22"/>
      <c r="AQ231" s="22"/>
      <c r="AR231" s="22"/>
      <c r="AS231" s="25"/>
    </row>
    <row r="232" spans="1:45" s="1" customFormat="1">
      <c r="A232" s="22">
        <f t="shared" si="3"/>
        <v>231</v>
      </c>
      <c r="B232" s="23">
        <v>45684</v>
      </c>
      <c r="C232" s="22" t="s">
        <v>208</v>
      </c>
      <c r="D232" s="22" t="s">
        <v>1056</v>
      </c>
      <c r="E232" s="22">
        <v>20250719</v>
      </c>
      <c r="F232" s="22" t="s">
        <v>1253</v>
      </c>
      <c r="G232" s="22">
        <v>7261976694</v>
      </c>
      <c r="H232" s="22" t="s">
        <v>1254</v>
      </c>
      <c r="I232" s="22" t="s">
        <v>101</v>
      </c>
      <c r="J232" s="22" t="s">
        <v>1123</v>
      </c>
      <c r="K232" s="22" t="s">
        <v>380</v>
      </c>
      <c r="L232" s="22">
        <v>7</v>
      </c>
      <c r="M232" s="22" t="s">
        <v>1255</v>
      </c>
      <c r="N232" s="22">
        <v>13.5</v>
      </c>
      <c r="O232" s="22">
        <v>0.1</v>
      </c>
      <c r="P232" s="22" t="s">
        <v>1256</v>
      </c>
      <c r="Q232" s="22" t="s">
        <v>1257</v>
      </c>
      <c r="R232" s="22" t="s">
        <v>63</v>
      </c>
      <c r="S232" s="22" t="s">
        <v>1127</v>
      </c>
      <c r="T232" s="22"/>
      <c r="U232" s="24"/>
      <c r="V232" s="22"/>
      <c r="W232" s="22" t="s">
        <v>218</v>
      </c>
      <c r="X232" s="22" t="s">
        <v>218</v>
      </c>
      <c r="Y232" s="22" t="s">
        <v>135</v>
      </c>
      <c r="Z232" s="22" t="s">
        <v>66</v>
      </c>
      <c r="AA232" s="22"/>
      <c r="AB232" s="22"/>
      <c r="AC232" s="22"/>
      <c r="AD232" s="22"/>
      <c r="AE232" s="22"/>
      <c r="AF232" s="22"/>
      <c r="AG232" s="22"/>
      <c r="AH232" s="22"/>
      <c r="AI232" s="22"/>
      <c r="AJ232" s="22"/>
      <c r="AK232" s="22"/>
      <c r="AL232" s="22" t="s">
        <v>1258</v>
      </c>
      <c r="AM232" s="22">
        <v>45734</v>
      </c>
      <c r="AN232" s="22">
        <v>45736</v>
      </c>
      <c r="AO232" s="22"/>
      <c r="AP232" s="22"/>
      <c r="AQ232" s="22"/>
      <c r="AR232" s="22"/>
      <c r="AS232" s="25"/>
    </row>
    <row r="233" spans="1:45" s="1" customFormat="1">
      <c r="A233" s="22">
        <f t="shared" si="3"/>
        <v>232</v>
      </c>
      <c r="B233" s="23">
        <v>45684</v>
      </c>
      <c r="C233" s="22" t="s">
        <v>208</v>
      </c>
      <c r="D233" s="22" t="s">
        <v>209</v>
      </c>
      <c r="E233" s="22">
        <v>20251977</v>
      </c>
      <c r="F233" s="22" t="s">
        <v>1259</v>
      </c>
      <c r="G233" s="22">
        <v>9654389027</v>
      </c>
      <c r="H233" s="22" t="s">
        <v>1260</v>
      </c>
      <c r="I233" s="22" t="s">
        <v>101</v>
      </c>
      <c r="J233" s="22" t="s">
        <v>1017</v>
      </c>
      <c r="K233" s="22" t="s">
        <v>201</v>
      </c>
      <c r="L233" s="22" t="s">
        <v>968</v>
      </c>
      <c r="M233" s="22" t="s">
        <v>1261</v>
      </c>
      <c r="N233" s="22">
        <v>27</v>
      </c>
      <c r="O233" s="22" t="s">
        <v>61</v>
      </c>
      <c r="P233" s="22">
        <v>35</v>
      </c>
      <c r="Q233" s="22" t="s">
        <v>615</v>
      </c>
      <c r="R233" s="22" t="s">
        <v>657</v>
      </c>
      <c r="S233" s="22" t="s">
        <v>941</v>
      </c>
      <c r="T233" s="22"/>
      <c r="U233" s="24"/>
      <c r="V233" s="22"/>
      <c r="W233" s="22" t="s">
        <v>65</v>
      </c>
      <c r="X233" s="22" t="s">
        <v>65</v>
      </c>
      <c r="Y233" s="22"/>
      <c r="Z233" s="22" t="s">
        <v>66</v>
      </c>
      <c r="AA233" s="22"/>
      <c r="AB233" s="22">
        <v>45688</v>
      </c>
      <c r="AC233" s="22"/>
      <c r="AD233" s="22"/>
      <c r="AE233" s="22"/>
      <c r="AF233" s="22"/>
      <c r="AG233" s="22"/>
      <c r="AH233" s="22"/>
      <c r="AI233" s="22"/>
      <c r="AJ233" s="22"/>
      <c r="AK233" s="22"/>
      <c r="AL233" s="22"/>
      <c r="AM233" s="22"/>
      <c r="AN233" s="22"/>
      <c r="AO233" s="22"/>
      <c r="AP233" s="22"/>
      <c r="AQ233" s="22"/>
      <c r="AR233" s="22"/>
      <c r="AS233" s="25"/>
    </row>
    <row r="234" spans="1:45" s="1" customFormat="1">
      <c r="A234" s="22">
        <f t="shared" si="3"/>
        <v>233</v>
      </c>
      <c r="B234" s="23">
        <v>45684</v>
      </c>
      <c r="C234" s="22" t="s">
        <v>208</v>
      </c>
      <c r="D234" s="22" t="s">
        <v>963</v>
      </c>
      <c r="E234" s="22">
        <v>20251977</v>
      </c>
      <c r="F234" s="22" t="s">
        <v>1262</v>
      </c>
      <c r="G234" s="22">
        <v>9673997217</v>
      </c>
      <c r="H234" s="22" t="s">
        <v>1263</v>
      </c>
      <c r="I234" s="22" t="s">
        <v>55</v>
      </c>
      <c r="J234" s="22" t="s">
        <v>1017</v>
      </c>
      <c r="K234" s="22" t="s">
        <v>201</v>
      </c>
      <c r="L234" s="22" t="s">
        <v>1264</v>
      </c>
      <c r="M234" s="22" t="s">
        <v>1265</v>
      </c>
      <c r="N234" s="22">
        <v>28</v>
      </c>
      <c r="O234" s="22" t="s">
        <v>61</v>
      </c>
      <c r="P234" s="22">
        <v>32</v>
      </c>
      <c r="Q234" s="22" t="s">
        <v>657</v>
      </c>
      <c r="R234" s="22" t="s">
        <v>657</v>
      </c>
      <c r="S234" s="22" t="s">
        <v>871</v>
      </c>
      <c r="T234" s="22"/>
      <c r="U234" s="24"/>
      <c r="V234" s="22"/>
      <c r="W234" s="22" t="s">
        <v>65</v>
      </c>
      <c r="X234" s="22" t="s">
        <v>65</v>
      </c>
      <c r="Y234" s="22"/>
      <c r="Z234" s="22" t="s">
        <v>66</v>
      </c>
      <c r="AA234" s="22"/>
      <c r="AB234" s="22"/>
      <c r="AC234" s="22"/>
      <c r="AD234" s="22"/>
      <c r="AE234" s="22"/>
      <c r="AF234" s="22"/>
      <c r="AG234" s="22"/>
      <c r="AH234" s="22"/>
      <c r="AI234" s="22"/>
      <c r="AJ234" s="22"/>
      <c r="AK234" s="22"/>
      <c r="AL234" s="22"/>
      <c r="AM234" s="22"/>
      <c r="AN234" s="22"/>
      <c r="AO234" s="22"/>
      <c r="AP234" s="22"/>
      <c r="AQ234" s="22"/>
      <c r="AR234" s="22"/>
      <c r="AS234" s="25"/>
    </row>
    <row r="235" spans="1:45" s="1" customFormat="1">
      <c r="A235" s="22">
        <f t="shared" si="3"/>
        <v>234</v>
      </c>
      <c r="B235" s="23">
        <v>45684</v>
      </c>
      <c r="C235" s="22" t="s">
        <v>208</v>
      </c>
      <c r="D235" s="22" t="s">
        <v>963</v>
      </c>
      <c r="E235" s="22">
        <v>20251977</v>
      </c>
      <c r="F235" s="22" t="s">
        <v>1266</v>
      </c>
      <c r="G235" s="22">
        <v>9916863943</v>
      </c>
      <c r="H235" s="22" t="s">
        <v>1267</v>
      </c>
      <c r="I235" s="22" t="s">
        <v>55</v>
      </c>
      <c r="J235" s="22" t="s">
        <v>1017</v>
      </c>
      <c r="K235" s="22" t="s">
        <v>201</v>
      </c>
      <c r="L235" s="22" t="s">
        <v>1268</v>
      </c>
      <c r="M235" s="22" t="s">
        <v>1269</v>
      </c>
      <c r="N235" s="22">
        <v>70</v>
      </c>
      <c r="O235" s="22" t="s">
        <v>61</v>
      </c>
      <c r="P235" s="22" t="s">
        <v>1085</v>
      </c>
      <c r="Q235" s="22" t="s">
        <v>657</v>
      </c>
      <c r="R235" s="22" t="s">
        <v>657</v>
      </c>
      <c r="S235" s="22" t="s">
        <v>255</v>
      </c>
      <c r="T235" s="22"/>
      <c r="U235" s="24"/>
      <c r="V235" s="22"/>
      <c r="W235" s="22" t="s">
        <v>65</v>
      </c>
      <c r="X235" s="22" t="s">
        <v>65</v>
      </c>
      <c r="Y235" s="22"/>
      <c r="Z235" s="22" t="s">
        <v>66</v>
      </c>
      <c r="AA235" s="22"/>
      <c r="AB235" s="22"/>
      <c r="AC235" s="22"/>
      <c r="AD235" s="22"/>
      <c r="AE235" s="22"/>
      <c r="AF235" s="22"/>
      <c r="AG235" s="22"/>
      <c r="AH235" s="22"/>
      <c r="AI235" s="22"/>
      <c r="AJ235" s="22"/>
      <c r="AK235" s="22"/>
      <c r="AL235" s="22"/>
      <c r="AM235" s="22"/>
      <c r="AN235" s="22"/>
      <c r="AO235" s="22"/>
      <c r="AP235" s="22"/>
      <c r="AQ235" s="22"/>
      <c r="AR235" s="22"/>
      <c r="AS235" s="25"/>
    </row>
    <row r="236" spans="1:45" s="1" customFormat="1">
      <c r="A236" s="22">
        <f t="shared" si="3"/>
        <v>235</v>
      </c>
      <c r="B236" s="23">
        <v>45684</v>
      </c>
      <c r="C236" s="22" t="s">
        <v>208</v>
      </c>
      <c r="D236" s="22" t="s">
        <v>963</v>
      </c>
      <c r="E236" s="22">
        <v>20251977</v>
      </c>
      <c r="F236" s="22" t="s">
        <v>1270</v>
      </c>
      <c r="G236" s="22">
        <v>9406953191</v>
      </c>
      <c r="H236" s="22" t="s">
        <v>1271</v>
      </c>
      <c r="I236" s="22" t="s">
        <v>55</v>
      </c>
      <c r="J236" s="22" t="s">
        <v>1017</v>
      </c>
      <c r="K236" s="22" t="s">
        <v>201</v>
      </c>
      <c r="L236" s="22" t="s">
        <v>1084</v>
      </c>
      <c r="M236" s="22" t="s">
        <v>864</v>
      </c>
      <c r="N236" s="22">
        <v>11</v>
      </c>
      <c r="O236" s="22" t="s">
        <v>61</v>
      </c>
      <c r="P236" s="22">
        <v>24</v>
      </c>
      <c r="Q236" s="22" t="s">
        <v>657</v>
      </c>
      <c r="R236" s="22" t="s">
        <v>657</v>
      </c>
      <c r="S236" s="22" t="s">
        <v>878</v>
      </c>
      <c r="T236" s="22"/>
      <c r="U236" s="24"/>
      <c r="V236" s="22"/>
      <c r="W236" s="22" t="s">
        <v>65</v>
      </c>
      <c r="X236" s="22" t="s">
        <v>65</v>
      </c>
      <c r="Y236" s="22"/>
      <c r="Z236" s="22" t="s">
        <v>66</v>
      </c>
      <c r="AA236" s="22"/>
      <c r="AB236" s="22"/>
      <c r="AC236" s="22"/>
      <c r="AD236" s="22"/>
      <c r="AE236" s="22"/>
      <c r="AF236" s="22"/>
      <c r="AG236" s="22"/>
      <c r="AH236" s="22"/>
      <c r="AI236" s="22"/>
      <c r="AJ236" s="22"/>
      <c r="AK236" s="22"/>
      <c r="AL236" s="22"/>
      <c r="AM236" s="22"/>
      <c r="AN236" s="22"/>
      <c r="AO236" s="22"/>
      <c r="AP236" s="22"/>
      <c r="AQ236" s="22"/>
      <c r="AR236" s="22"/>
      <c r="AS236" s="25"/>
    </row>
    <row r="237" spans="1:45" s="1" customFormat="1">
      <c r="A237" s="22">
        <f t="shared" si="3"/>
        <v>236</v>
      </c>
      <c r="B237" s="23">
        <v>45684</v>
      </c>
      <c r="C237" s="22" t="s">
        <v>208</v>
      </c>
      <c r="D237" s="22" t="s">
        <v>963</v>
      </c>
      <c r="E237" s="22">
        <v>20251977</v>
      </c>
      <c r="F237" s="22" t="s">
        <v>1272</v>
      </c>
      <c r="G237" s="22">
        <v>9167511938</v>
      </c>
      <c r="H237" s="22" t="s">
        <v>1273</v>
      </c>
      <c r="I237" s="22" t="s">
        <v>55</v>
      </c>
      <c r="J237" s="22" t="s">
        <v>1017</v>
      </c>
      <c r="K237" s="22" t="s">
        <v>201</v>
      </c>
      <c r="L237" s="22" t="s">
        <v>1224</v>
      </c>
      <c r="M237" s="22" t="s">
        <v>1274</v>
      </c>
      <c r="N237" s="22">
        <v>26.5</v>
      </c>
      <c r="O237" s="22" t="s">
        <v>61</v>
      </c>
      <c r="P237" s="22">
        <v>34</v>
      </c>
      <c r="Q237" s="22" t="s">
        <v>615</v>
      </c>
      <c r="R237" s="22" t="s">
        <v>657</v>
      </c>
      <c r="S237" s="22" t="s">
        <v>871</v>
      </c>
      <c r="T237" s="22"/>
      <c r="U237" s="24"/>
      <c r="V237" s="22"/>
      <c r="W237" s="22" t="s">
        <v>65</v>
      </c>
      <c r="X237" s="22" t="s">
        <v>65</v>
      </c>
      <c r="Y237" s="22"/>
      <c r="Z237" s="22" t="s">
        <v>66</v>
      </c>
      <c r="AA237" s="22"/>
      <c r="AB237" s="22"/>
      <c r="AC237" s="22"/>
      <c r="AD237" s="22"/>
      <c r="AE237" s="22"/>
      <c r="AF237" s="22"/>
      <c r="AG237" s="22"/>
      <c r="AH237" s="22"/>
      <c r="AI237" s="22"/>
      <c r="AJ237" s="22"/>
      <c r="AK237" s="22"/>
      <c r="AL237" s="22"/>
      <c r="AM237" s="22"/>
      <c r="AN237" s="22"/>
      <c r="AO237" s="22"/>
      <c r="AP237" s="22"/>
      <c r="AQ237" s="22"/>
      <c r="AR237" s="22"/>
      <c r="AS237" s="25"/>
    </row>
    <row r="238" spans="1:45" s="1" customFormat="1">
      <c r="A238" s="22">
        <f t="shared" si="3"/>
        <v>237</v>
      </c>
      <c r="B238" s="23">
        <v>45684</v>
      </c>
      <c r="C238" s="22" t="s">
        <v>208</v>
      </c>
      <c r="D238" s="22" t="s">
        <v>963</v>
      </c>
      <c r="E238" s="22">
        <v>20251977</v>
      </c>
      <c r="F238" s="22" t="s">
        <v>1275</v>
      </c>
      <c r="G238" s="22">
        <v>7498852193</v>
      </c>
      <c r="H238" s="22" t="s">
        <v>1276</v>
      </c>
      <c r="I238" s="22" t="s">
        <v>55</v>
      </c>
      <c r="J238" s="22" t="s">
        <v>1017</v>
      </c>
      <c r="K238" s="22" t="s">
        <v>201</v>
      </c>
      <c r="L238" s="22" t="s">
        <v>1277</v>
      </c>
      <c r="M238" s="22" t="s">
        <v>791</v>
      </c>
      <c r="N238" s="22">
        <v>4.5</v>
      </c>
      <c r="O238" s="22" t="s">
        <v>61</v>
      </c>
      <c r="P238" s="22" t="s">
        <v>1278</v>
      </c>
      <c r="Q238" s="22" t="s">
        <v>657</v>
      </c>
      <c r="R238" s="22" t="s">
        <v>657</v>
      </c>
      <c r="S238" s="22" t="s">
        <v>941</v>
      </c>
      <c r="T238" s="22"/>
      <c r="U238" s="24"/>
      <c r="V238" s="22"/>
      <c r="W238" s="22" t="s">
        <v>65</v>
      </c>
      <c r="X238" s="22" t="s">
        <v>65</v>
      </c>
      <c r="Y238" s="22"/>
      <c r="Z238" s="22" t="s">
        <v>66</v>
      </c>
      <c r="AA238" s="22"/>
      <c r="AB238" s="22"/>
      <c r="AC238" s="22"/>
      <c r="AD238" s="22"/>
      <c r="AE238" s="22"/>
      <c r="AF238" s="22"/>
      <c r="AG238" s="22"/>
      <c r="AH238" s="22"/>
      <c r="AI238" s="22"/>
      <c r="AJ238" s="22"/>
      <c r="AK238" s="22"/>
      <c r="AL238" s="22"/>
      <c r="AM238" s="22"/>
      <c r="AN238" s="22"/>
      <c r="AO238" s="22"/>
      <c r="AP238" s="22"/>
      <c r="AQ238" s="22"/>
      <c r="AR238" s="22"/>
      <c r="AS238" s="25"/>
    </row>
    <row r="239" spans="1:45" s="1" customFormat="1">
      <c r="A239" s="22">
        <f t="shared" si="3"/>
        <v>238</v>
      </c>
      <c r="B239" s="23">
        <v>45684</v>
      </c>
      <c r="C239" s="22" t="s">
        <v>208</v>
      </c>
      <c r="D239" s="22" t="s">
        <v>954</v>
      </c>
      <c r="E239" s="22">
        <v>20243793</v>
      </c>
      <c r="F239" s="22" t="s">
        <v>1279</v>
      </c>
      <c r="G239" s="22">
        <v>7989536989</v>
      </c>
      <c r="H239" s="22" t="s">
        <v>1280</v>
      </c>
      <c r="I239" s="22" t="s">
        <v>55</v>
      </c>
      <c r="J239" s="22" t="s">
        <v>278</v>
      </c>
      <c r="K239" s="22" t="s">
        <v>1052</v>
      </c>
      <c r="L239" s="22" t="s">
        <v>989</v>
      </c>
      <c r="M239" s="22" t="s">
        <v>1281</v>
      </c>
      <c r="N239" s="22">
        <v>19</v>
      </c>
      <c r="O239" s="22" t="s">
        <v>61</v>
      </c>
      <c r="P239" s="22">
        <v>26</v>
      </c>
      <c r="Q239" s="22" t="s">
        <v>459</v>
      </c>
      <c r="R239" s="22" t="s">
        <v>657</v>
      </c>
      <c r="S239" s="22" t="s">
        <v>1136</v>
      </c>
      <c r="T239" s="22" t="s">
        <v>1101</v>
      </c>
      <c r="U239" s="24"/>
      <c r="V239" s="22"/>
      <c r="W239" s="22" t="s">
        <v>65</v>
      </c>
      <c r="X239" s="22" t="s">
        <v>65</v>
      </c>
      <c r="Y239" s="22"/>
      <c r="Z239" s="22" t="s">
        <v>66</v>
      </c>
      <c r="AA239" s="22"/>
      <c r="AB239" s="22"/>
      <c r="AC239" s="22"/>
      <c r="AD239" s="22"/>
      <c r="AE239" s="22"/>
      <c r="AF239" s="22"/>
      <c r="AG239" s="22"/>
      <c r="AH239" s="22"/>
      <c r="AI239" s="22"/>
      <c r="AJ239" s="22"/>
      <c r="AK239" s="22"/>
      <c r="AL239" s="22"/>
      <c r="AM239" s="22"/>
      <c r="AN239" s="22"/>
      <c r="AO239" s="22"/>
      <c r="AP239" s="22"/>
      <c r="AQ239" s="22"/>
      <c r="AR239" s="22"/>
      <c r="AS239" s="25"/>
    </row>
    <row r="240" spans="1:45" s="1" customFormat="1">
      <c r="A240" s="22">
        <f t="shared" si="3"/>
        <v>239</v>
      </c>
      <c r="B240" s="23">
        <v>45684</v>
      </c>
      <c r="C240" s="22" t="s">
        <v>208</v>
      </c>
      <c r="D240" s="22" t="s">
        <v>954</v>
      </c>
      <c r="E240" s="22">
        <v>20243793</v>
      </c>
      <c r="F240" s="22" t="s">
        <v>1282</v>
      </c>
      <c r="G240" s="22">
        <v>9028353200</v>
      </c>
      <c r="H240" s="22" t="s">
        <v>1283</v>
      </c>
      <c r="I240" s="22" t="s">
        <v>55</v>
      </c>
      <c r="J240" s="22" t="s">
        <v>278</v>
      </c>
      <c r="K240" s="22" t="s">
        <v>1052</v>
      </c>
      <c r="L240" s="22" t="s">
        <v>1053</v>
      </c>
      <c r="M240" s="22" t="s">
        <v>1284</v>
      </c>
      <c r="N240" s="22">
        <v>19</v>
      </c>
      <c r="O240" s="22" t="s">
        <v>61</v>
      </c>
      <c r="P240" s="22">
        <v>26</v>
      </c>
      <c r="Q240" s="22" t="s">
        <v>657</v>
      </c>
      <c r="R240" s="22" t="s">
        <v>657</v>
      </c>
      <c r="S240" s="22" t="s">
        <v>941</v>
      </c>
      <c r="T240" s="22" t="s">
        <v>61</v>
      </c>
      <c r="U240" s="24"/>
      <c r="V240" s="22"/>
      <c r="W240" s="22" t="s">
        <v>65</v>
      </c>
      <c r="X240" s="22" t="s">
        <v>65</v>
      </c>
      <c r="Y240" s="22"/>
      <c r="Z240" s="22" t="s">
        <v>66</v>
      </c>
      <c r="AA240" s="22"/>
      <c r="AB240" s="22"/>
      <c r="AC240" s="22"/>
      <c r="AD240" s="22"/>
      <c r="AE240" s="22"/>
      <c r="AF240" s="22"/>
      <c r="AG240" s="22"/>
      <c r="AH240" s="22"/>
      <c r="AI240" s="22"/>
      <c r="AJ240" s="22"/>
      <c r="AK240" s="22"/>
      <c r="AL240" s="22"/>
      <c r="AM240" s="22"/>
      <c r="AN240" s="22"/>
      <c r="AO240" s="22"/>
      <c r="AP240" s="22"/>
      <c r="AQ240" s="22"/>
      <c r="AR240" s="22"/>
      <c r="AS240" s="25"/>
    </row>
    <row r="241" spans="1:45" s="1" customFormat="1">
      <c r="A241" s="22">
        <f t="shared" si="3"/>
        <v>240</v>
      </c>
      <c r="B241" s="23">
        <v>45684</v>
      </c>
      <c r="C241" s="22" t="s">
        <v>208</v>
      </c>
      <c r="D241" s="22" t="s">
        <v>209</v>
      </c>
      <c r="E241" s="22">
        <v>20245965</v>
      </c>
      <c r="F241" s="22" t="s">
        <v>1285</v>
      </c>
      <c r="G241" s="22">
        <v>8425930006</v>
      </c>
      <c r="H241" s="22" t="s">
        <v>1286</v>
      </c>
      <c r="I241" s="22" t="s">
        <v>55</v>
      </c>
      <c r="J241" s="22" t="s">
        <v>1051</v>
      </c>
      <c r="K241" s="22" t="s">
        <v>1052</v>
      </c>
      <c r="L241" s="22" t="s">
        <v>1287</v>
      </c>
      <c r="M241" s="22" t="s">
        <v>1288</v>
      </c>
      <c r="N241" s="22">
        <v>19</v>
      </c>
      <c r="O241" s="22" t="s">
        <v>61</v>
      </c>
      <c r="P241" s="22">
        <v>25</v>
      </c>
      <c r="Q241" s="22" t="s">
        <v>890</v>
      </c>
      <c r="R241" s="22" t="s">
        <v>657</v>
      </c>
      <c r="S241" s="22" t="s">
        <v>1289</v>
      </c>
      <c r="T241" s="22" t="s">
        <v>1290</v>
      </c>
      <c r="U241" s="24"/>
      <c r="V241" s="22"/>
      <c r="W241" s="22" t="s">
        <v>65</v>
      </c>
      <c r="X241" s="22" t="s">
        <v>65</v>
      </c>
      <c r="Y241" s="22"/>
      <c r="Z241" s="22" t="s">
        <v>66</v>
      </c>
      <c r="AA241" s="22"/>
      <c r="AB241" s="22">
        <v>45688</v>
      </c>
      <c r="AC241" s="22"/>
      <c r="AD241" s="22"/>
      <c r="AE241" s="22"/>
      <c r="AF241" s="22"/>
      <c r="AG241" s="22"/>
      <c r="AH241" s="22"/>
      <c r="AI241" s="22"/>
      <c r="AJ241" s="22"/>
      <c r="AK241" s="22"/>
      <c r="AL241" s="22"/>
      <c r="AM241" s="22"/>
      <c r="AN241" s="22"/>
      <c r="AO241" s="22"/>
      <c r="AP241" s="22"/>
      <c r="AQ241" s="22"/>
      <c r="AR241" s="22"/>
      <c r="AS241" s="25"/>
    </row>
    <row r="242" spans="1:45" s="1" customFormat="1">
      <c r="A242" s="22">
        <f t="shared" si="3"/>
        <v>241</v>
      </c>
      <c r="B242" s="23">
        <v>45684</v>
      </c>
      <c r="C242" s="22" t="s">
        <v>208</v>
      </c>
      <c r="D242" s="22" t="s">
        <v>841</v>
      </c>
      <c r="E242" s="22">
        <v>20245965</v>
      </c>
      <c r="F242" s="22" t="s">
        <v>1291</v>
      </c>
      <c r="G242" s="22" t="s">
        <v>1292</v>
      </c>
      <c r="H242" s="22" t="s">
        <v>1293</v>
      </c>
      <c r="I242" s="22" t="s">
        <v>55</v>
      </c>
      <c r="J242" s="22" t="s">
        <v>1051</v>
      </c>
      <c r="K242" s="22" t="s">
        <v>1052</v>
      </c>
      <c r="L242" s="22" t="s">
        <v>1294</v>
      </c>
      <c r="M242" s="22" t="s">
        <v>1295</v>
      </c>
      <c r="N242" s="22">
        <v>23.5</v>
      </c>
      <c r="O242" s="22" t="s">
        <v>61</v>
      </c>
      <c r="P242" s="22" t="s">
        <v>1296</v>
      </c>
      <c r="Q242" s="22" t="s">
        <v>657</v>
      </c>
      <c r="R242" s="22" t="s">
        <v>657</v>
      </c>
      <c r="S242" s="22" t="s">
        <v>230</v>
      </c>
      <c r="T242" s="22" t="s">
        <v>61</v>
      </c>
      <c r="U242" s="24"/>
      <c r="V242" s="22"/>
      <c r="W242" s="22" t="s">
        <v>65</v>
      </c>
      <c r="X242" s="22" t="s">
        <v>65</v>
      </c>
      <c r="Y242" s="22"/>
      <c r="Z242" s="22" t="s">
        <v>66</v>
      </c>
      <c r="AA242" s="22"/>
      <c r="AB242" s="22"/>
      <c r="AC242" s="22"/>
      <c r="AD242" s="22"/>
      <c r="AE242" s="22"/>
      <c r="AF242" s="22"/>
      <c r="AG242" s="22"/>
      <c r="AH242" s="22"/>
      <c r="AI242" s="22"/>
      <c r="AJ242" s="22"/>
      <c r="AK242" s="22"/>
      <c r="AL242" s="22"/>
      <c r="AM242" s="22"/>
      <c r="AN242" s="22"/>
      <c r="AO242" s="22"/>
      <c r="AP242" s="22"/>
      <c r="AQ242" s="22"/>
      <c r="AR242" s="22"/>
      <c r="AS242" s="25"/>
    </row>
    <row r="243" spans="1:45" s="1" customFormat="1">
      <c r="A243" s="22">
        <f t="shared" si="3"/>
        <v>242</v>
      </c>
      <c r="B243" s="23">
        <v>45685</v>
      </c>
      <c r="C243" s="22" t="s">
        <v>208</v>
      </c>
      <c r="D243" s="22" t="s">
        <v>624</v>
      </c>
      <c r="E243" s="22">
        <v>20243902</v>
      </c>
      <c r="F243" s="22" t="s">
        <v>1297</v>
      </c>
      <c r="G243" s="22">
        <v>8888556609</v>
      </c>
      <c r="H243" s="22" t="s">
        <v>1298</v>
      </c>
      <c r="I243" s="22" t="s">
        <v>55</v>
      </c>
      <c r="J243" s="22" t="s">
        <v>1299</v>
      </c>
      <c r="K243" s="22" t="s">
        <v>563</v>
      </c>
      <c r="L243" s="22">
        <v>5.8</v>
      </c>
      <c r="M243" s="22" t="s">
        <v>1300</v>
      </c>
      <c r="N243" s="22">
        <v>6.25</v>
      </c>
      <c r="O243" s="22">
        <v>0</v>
      </c>
      <c r="P243" s="22">
        <v>8.5</v>
      </c>
      <c r="Q243" s="22" t="s">
        <v>236</v>
      </c>
      <c r="R243" s="22" t="s">
        <v>63</v>
      </c>
      <c r="S243" s="22" t="s">
        <v>255</v>
      </c>
      <c r="T243" s="22"/>
      <c r="U243" s="24"/>
      <c r="V243" s="22"/>
      <c r="W243" s="22" t="s">
        <v>218</v>
      </c>
      <c r="X243" s="22" t="s">
        <v>218</v>
      </c>
      <c r="Y243" s="22" t="s">
        <v>135</v>
      </c>
      <c r="Z243" s="22" t="s">
        <v>66</v>
      </c>
      <c r="AA243" s="22"/>
      <c r="AB243" s="22"/>
      <c r="AC243" s="22"/>
      <c r="AD243" s="22"/>
      <c r="AE243" s="22"/>
      <c r="AF243" s="22"/>
      <c r="AG243" s="22"/>
      <c r="AH243" s="22"/>
      <c r="AI243" s="22"/>
      <c r="AJ243" s="22"/>
      <c r="AK243" s="22"/>
      <c r="AL243" s="22"/>
      <c r="AM243" s="22"/>
      <c r="AN243" s="22"/>
      <c r="AO243" s="22"/>
      <c r="AP243" s="22"/>
      <c r="AQ243" s="22"/>
      <c r="AR243" s="22"/>
      <c r="AS243" s="25"/>
    </row>
    <row r="244" spans="1:45" s="1" customFormat="1">
      <c r="A244" s="22">
        <f t="shared" si="3"/>
        <v>243</v>
      </c>
      <c r="B244" s="23">
        <v>45685</v>
      </c>
      <c r="C244" s="22" t="s">
        <v>208</v>
      </c>
      <c r="D244" s="22" t="s">
        <v>209</v>
      </c>
      <c r="E244" s="22">
        <v>20243902</v>
      </c>
      <c r="F244" s="22" t="s">
        <v>1301</v>
      </c>
      <c r="G244" s="22">
        <v>9881821571</v>
      </c>
      <c r="H244" s="22" t="s">
        <v>1302</v>
      </c>
      <c r="I244" s="22" t="s">
        <v>55</v>
      </c>
      <c r="J244" s="22" t="s">
        <v>1299</v>
      </c>
      <c r="K244" s="22" t="s">
        <v>563</v>
      </c>
      <c r="L244" s="22">
        <v>3</v>
      </c>
      <c r="M244" s="22" t="s">
        <v>1303</v>
      </c>
      <c r="N244" s="22">
        <v>3.7</v>
      </c>
      <c r="O244" s="22">
        <v>0</v>
      </c>
      <c r="P244" s="22">
        <v>6</v>
      </c>
      <c r="Q244" s="22" t="s">
        <v>1304</v>
      </c>
      <c r="R244" s="22" t="s">
        <v>63</v>
      </c>
      <c r="S244" s="22" t="s">
        <v>1305</v>
      </c>
      <c r="T244" s="22"/>
      <c r="U244" s="24"/>
      <c r="V244" s="22"/>
      <c r="W244" s="22" t="s">
        <v>218</v>
      </c>
      <c r="X244" s="22" t="s">
        <v>218</v>
      </c>
      <c r="Y244" s="22" t="s">
        <v>135</v>
      </c>
      <c r="Z244" s="22" t="s">
        <v>66</v>
      </c>
      <c r="AA244" s="22"/>
      <c r="AB244" s="22"/>
      <c r="AC244" s="22"/>
      <c r="AD244" s="22"/>
      <c r="AE244" s="22"/>
      <c r="AF244" s="22"/>
      <c r="AG244" s="22"/>
      <c r="AH244" s="22"/>
      <c r="AI244" s="22"/>
      <c r="AJ244" s="22"/>
      <c r="AK244" s="22"/>
      <c r="AL244" s="22"/>
      <c r="AM244" s="22"/>
      <c r="AN244" s="22"/>
      <c r="AO244" s="22"/>
      <c r="AP244" s="22"/>
      <c r="AQ244" s="22"/>
      <c r="AR244" s="22"/>
      <c r="AS244" s="25"/>
    </row>
    <row r="245" spans="1:45" s="1" customFormat="1">
      <c r="A245" s="22">
        <f t="shared" si="3"/>
        <v>244</v>
      </c>
      <c r="B245" s="23">
        <v>45685</v>
      </c>
      <c r="C245" s="22" t="s">
        <v>208</v>
      </c>
      <c r="D245" s="22" t="s">
        <v>209</v>
      </c>
      <c r="E245" s="22">
        <v>20242406</v>
      </c>
      <c r="F245" s="22" t="s">
        <v>1306</v>
      </c>
      <c r="G245" s="22">
        <v>8555963471</v>
      </c>
      <c r="H245" s="22" t="s">
        <v>1307</v>
      </c>
      <c r="I245" s="22" t="s">
        <v>55</v>
      </c>
      <c r="J245" s="22" t="s">
        <v>936</v>
      </c>
      <c r="K245" s="22" t="s">
        <v>937</v>
      </c>
      <c r="L245" s="22" t="s">
        <v>938</v>
      </c>
      <c r="M245" s="22" t="s">
        <v>1308</v>
      </c>
      <c r="N245" s="22">
        <v>9.5</v>
      </c>
      <c r="O245" s="22" t="s">
        <v>61</v>
      </c>
      <c r="P245" s="22">
        <v>14</v>
      </c>
      <c r="Q245" s="22" t="s">
        <v>615</v>
      </c>
      <c r="R245" s="22" t="s">
        <v>657</v>
      </c>
      <c r="S245" s="22" t="s">
        <v>1309</v>
      </c>
      <c r="T245" s="22" t="s">
        <v>1310</v>
      </c>
      <c r="U245" s="24"/>
      <c r="V245" s="22"/>
      <c r="W245" s="22" t="s">
        <v>65</v>
      </c>
      <c r="X245" s="22" t="s">
        <v>65</v>
      </c>
      <c r="Y245" s="22"/>
      <c r="Z245" s="22" t="s">
        <v>66</v>
      </c>
      <c r="AA245" s="22"/>
      <c r="AB245" s="22">
        <v>45692</v>
      </c>
      <c r="AC245" s="22"/>
      <c r="AD245" s="22"/>
      <c r="AE245" s="22"/>
      <c r="AF245" s="22"/>
      <c r="AG245" s="22"/>
      <c r="AH245" s="22"/>
      <c r="AI245" s="22"/>
      <c r="AJ245" s="22"/>
      <c r="AK245" s="22"/>
      <c r="AL245" s="22"/>
      <c r="AM245" s="22"/>
      <c r="AN245" s="22"/>
      <c r="AO245" s="22"/>
      <c r="AP245" s="22"/>
      <c r="AQ245" s="22"/>
      <c r="AR245" s="22"/>
      <c r="AS245" s="25"/>
    </row>
    <row r="246" spans="1:45" s="1" customFormat="1">
      <c r="A246" s="22">
        <f t="shared" si="3"/>
        <v>245</v>
      </c>
      <c r="B246" s="23">
        <v>45685</v>
      </c>
      <c r="C246" s="22" t="s">
        <v>208</v>
      </c>
      <c r="D246" s="22" t="s">
        <v>209</v>
      </c>
      <c r="E246" s="22">
        <v>20242406</v>
      </c>
      <c r="F246" s="22" t="s">
        <v>1311</v>
      </c>
      <c r="G246" s="22">
        <v>9834597156</v>
      </c>
      <c r="H246" s="22" t="s">
        <v>1312</v>
      </c>
      <c r="I246" s="22" t="s">
        <v>55</v>
      </c>
      <c r="J246" s="22" t="s">
        <v>936</v>
      </c>
      <c r="K246" s="22" t="s">
        <v>937</v>
      </c>
      <c r="L246" s="22" t="s">
        <v>938</v>
      </c>
      <c r="M246" s="22" t="s">
        <v>1313</v>
      </c>
      <c r="N246" s="22">
        <v>7.3</v>
      </c>
      <c r="O246" s="22" t="s">
        <v>61</v>
      </c>
      <c r="P246" s="22">
        <v>12</v>
      </c>
      <c r="Q246" s="22" t="s">
        <v>615</v>
      </c>
      <c r="R246" s="22" t="s">
        <v>657</v>
      </c>
      <c r="S246" s="22" t="s">
        <v>255</v>
      </c>
      <c r="T246" s="22" t="s">
        <v>1314</v>
      </c>
      <c r="U246" s="24"/>
      <c r="V246" s="22"/>
      <c r="W246" s="22" t="s">
        <v>65</v>
      </c>
      <c r="X246" s="22" t="s">
        <v>65</v>
      </c>
      <c r="Y246" s="22"/>
      <c r="Z246" s="22" t="s">
        <v>66</v>
      </c>
      <c r="AA246" s="22"/>
      <c r="AB246" s="22">
        <v>45687</v>
      </c>
      <c r="AC246" s="22"/>
      <c r="AD246" s="22"/>
      <c r="AE246" s="22"/>
      <c r="AF246" s="22"/>
      <c r="AG246" s="22"/>
      <c r="AH246" s="22"/>
      <c r="AI246" s="22"/>
      <c r="AJ246" s="22"/>
      <c r="AK246" s="22"/>
      <c r="AL246" s="22"/>
      <c r="AM246" s="22"/>
      <c r="AN246" s="22"/>
      <c r="AO246" s="22"/>
      <c r="AP246" s="22"/>
      <c r="AQ246" s="22"/>
      <c r="AR246" s="22"/>
      <c r="AS246" s="25"/>
    </row>
    <row r="247" spans="1:45" s="1" customFormat="1">
      <c r="A247" s="22">
        <f t="shared" si="3"/>
        <v>246</v>
      </c>
      <c r="B247" s="23">
        <v>45685</v>
      </c>
      <c r="C247" s="22" t="s">
        <v>208</v>
      </c>
      <c r="D247" s="22" t="s">
        <v>209</v>
      </c>
      <c r="E247" s="22">
        <v>20242406</v>
      </c>
      <c r="F247" s="22" t="s">
        <v>1315</v>
      </c>
      <c r="G247" s="22">
        <v>9514512162</v>
      </c>
      <c r="H247" s="22" t="s">
        <v>1316</v>
      </c>
      <c r="I247" s="22" t="s">
        <v>55</v>
      </c>
      <c r="J247" s="22" t="s">
        <v>936</v>
      </c>
      <c r="K247" s="22" t="s">
        <v>937</v>
      </c>
      <c r="L247" s="22" t="s">
        <v>1317</v>
      </c>
      <c r="M247" s="22" t="s">
        <v>1318</v>
      </c>
      <c r="N247" s="22">
        <v>10</v>
      </c>
      <c r="O247" s="22" t="s">
        <v>61</v>
      </c>
      <c r="P247" s="22" t="s">
        <v>1319</v>
      </c>
      <c r="Q247" s="22" t="s">
        <v>657</v>
      </c>
      <c r="R247" s="22" t="s">
        <v>657</v>
      </c>
      <c r="S247" s="22" t="s">
        <v>230</v>
      </c>
      <c r="T247" s="22" t="s">
        <v>61</v>
      </c>
      <c r="U247" s="24"/>
      <c r="V247" s="22"/>
      <c r="W247" s="22" t="s">
        <v>65</v>
      </c>
      <c r="X247" s="22" t="s">
        <v>65</v>
      </c>
      <c r="Y247" s="22"/>
      <c r="Z247" s="22" t="s">
        <v>66</v>
      </c>
      <c r="AA247" s="22"/>
      <c r="AB247" s="22">
        <v>45688</v>
      </c>
      <c r="AC247" s="22"/>
      <c r="AD247" s="22"/>
      <c r="AE247" s="22"/>
      <c r="AF247" s="22"/>
      <c r="AG247" s="22"/>
      <c r="AH247" s="22"/>
      <c r="AI247" s="22"/>
      <c r="AJ247" s="22"/>
      <c r="AK247" s="22"/>
      <c r="AL247" s="22"/>
      <c r="AM247" s="22"/>
      <c r="AN247" s="22"/>
      <c r="AO247" s="22"/>
      <c r="AP247" s="22"/>
      <c r="AQ247" s="22"/>
      <c r="AR247" s="22"/>
      <c r="AS247" s="25"/>
    </row>
    <row r="248" spans="1:45" s="1" customFormat="1">
      <c r="A248" s="22">
        <f t="shared" si="3"/>
        <v>247</v>
      </c>
      <c r="B248" s="23">
        <v>45685</v>
      </c>
      <c r="C248" s="22" t="s">
        <v>208</v>
      </c>
      <c r="D248" s="22" t="s">
        <v>367</v>
      </c>
      <c r="E248" s="22">
        <v>20242406</v>
      </c>
      <c r="F248" s="22" t="s">
        <v>1320</v>
      </c>
      <c r="G248" s="22">
        <v>7879196479</v>
      </c>
      <c r="H248" s="22" t="s">
        <v>1321</v>
      </c>
      <c r="I248" s="22" t="s">
        <v>55</v>
      </c>
      <c r="J248" s="22" t="s">
        <v>936</v>
      </c>
      <c r="K248" s="22" t="s">
        <v>937</v>
      </c>
      <c r="L248" s="22" t="s">
        <v>1075</v>
      </c>
      <c r="M248" s="22" t="s">
        <v>1322</v>
      </c>
      <c r="N248" s="22">
        <v>15.5</v>
      </c>
      <c r="O248" s="22" t="s">
        <v>61</v>
      </c>
      <c r="P248" s="22" t="s">
        <v>1323</v>
      </c>
      <c r="Q248" s="22" t="s">
        <v>657</v>
      </c>
      <c r="R248" s="22" t="s">
        <v>657</v>
      </c>
      <c r="S248" s="22" t="s">
        <v>361</v>
      </c>
      <c r="T248" s="22" t="s">
        <v>61</v>
      </c>
      <c r="U248" s="24"/>
      <c r="V248" s="22"/>
      <c r="W248" s="22" t="s">
        <v>65</v>
      </c>
      <c r="X248" s="22" t="s">
        <v>65</v>
      </c>
      <c r="Y248" s="22"/>
      <c r="Z248" s="22" t="s">
        <v>66</v>
      </c>
      <c r="AA248" s="22"/>
      <c r="AB248" s="22"/>
      <c r="AC248" s="22"/>
      <c r="AD248" s="22"/>
      <c r="AE248" s="22"/>
      <c r="AF248" s="22"/>
      <c r="AG248" s="22"/>
      <c r="AH248" s="22"/>
      <c r="AI248" s="22"/>
      <c r="AJ248" s="22"/>
      <c r="AK248" s="22"/>
      <c r="AL248" s="22"/>
      <c r="AM248" s="22"/>
      <c r="AN248" s="22"/>
      <c r="AO248" s="22"/>
      <c r="AP248" s="22"/>
      <c r="AQ248" s="22"/>
      <c r="AR248" s="22"/>
      <c r="AS248" s="25"/>
    </row>
    <row r="249" spans="1:45" s="1" customFormat="1">
      <c r="A249" s="22">
        <f t="shared" si="3"/>
        <v>248</v>
      </c>
      <c r="B249" s="23">
        <v>45685</v>
      </c>
      <c r="C249" s="22" t="s">
        <v>208</v>
      </c>
      <c r="D249" s="22" t="s">
        <v>1081</v>
      </c>
      <c r="E249" s="22">
        <v>20242406</v>
      </c>
      <c r="F249" s="22" t="s">
        <v>1324</v>
      </c>
      <c r="G249" s="22">
        <v>9100546536</v>
      </c>
      <c r="H249" s="22" t="s">
        <v>1325</v>
      </c>
      <c r="I249" s="22" t="s">
        <v>55</v>
      </c>
      <c r="J249" s="22" t="s">
        <v>936</v>
      </c>
      <c r="K249" s="22" t="s">
        <v>937</v>
      </c>
      <c r="L249" s="22" t="s">
        <v>1317</v>
      </c>
      <c r="M249" s="22" t="s">
        <v>1326</v>
      </c>
      <c r="N249" s="22">
        <v>16</v>
      </c>
      <c r="O249" s="22" t="s">
        <v>61</v>
      </c>
      <c r="P249" s="22" t="s">
        <v>1085</v>
      </c>
      <c r="Q249" s="22" t="s">
        <v>615</v>
      </c>
      <c r="R249" s="22" t="s">
        <v>657</v>
      </c>
      <c r="S249" s="22" t="s">
        <v>1327</v>
      </c>
      <c r="T249" s="22" t="s">
        <v>1328</v>
      </c>
      <c r="U249" s="24"/>
      <c r="V249" s="22"/>
      <c r="W249" s="22" t="s">
        <v>65</v>
      </c>
      <c r="X249" s="22" t="s">
        <v>65</v>
      </c>
      <c r="Y249" s="22"/>
      <c r="Z249" s="22" t="s">
        <v>66</v>
      </c>
      <c r="AA249" s="22"/>
      <c r="AB249" s="22"/>
      <c r="AC249" s="22"/>
      <c r="AD249" s="22"/>
      <c r="AE249" s="22"/>
      <c r="AF249" s="22"/>
      <c r="AG249" s="22"/>
      <c r="AH249" s="22"/>
      <c r="AI249" s="22"/>
      <c r="AJ249" s="22"/>
      <c r="AK249" s="22"/>
      <c r="AL249" s="22"/>
      <c r="AM249" s="22"/>
      <c r="AN249" s="22"/>
      <c r="AO249" s="22"/>
      <c r="AP249" s="22"/>
      <c r="AQ249" s="22"/>
      <c r="AR249" s="22"/>
      <c r="AS249" s="25"/>
    </row>
    <row r="250" spans="1:45" s="1" customFormat="1">
      <c r="A250" s="22">
        <f t="shared" si="3"/>
        <v>249</v>
      </c>
      <c r="B250" s="23">
        <v>45685</v>
      </c>
      <c r="C250" s="22" t="s">
        <v>208</v>
      </c>
      <c r="D250" s="22" t="s">
        <v>963</v>
      </c>
      <c r="E250" s="22">
        <v>20251977</v>
      </c>
      <c r="F250" s="22" t="s">
        <v>1329</v>
      </c>
      <c r="G250" s="22">
        <v>8237684862</v>
      </c>
      <c r="H250" s="22" t="s">
        <v>1330</v>
      </c>
      <c r="I250" s="22" t="s">
        <v>55</v>
      </c>
      <c r="J250" s="22" t="s">
        <v>1017</v>
      </c>
      <c r="K250" s="22" t="s">
        <v>201</v>
      </c>
      <c r="L250" s="22" t="s">
        <v>938</v>
      </c>
      <c r="M250" s="22" t="s">
        <v>1331</v>
      </c>
      <c r="N250" s="22">
        <v>23</v>
      </c>
      <c r="O250" s="22" t="s">
        <v>61</v>
      </c>
      <c r="P250" s="22" t="s">
        <v>1085</v>
      </c>
      <c r="Q250" s="22" t="s">
        <v>657</v>
      </c>
      <c r="R250" s="22" t="s">
        <v>657</v>
      </c>
      <c r="S250" s="22" t="s">
        <v>1305</v>
      </c>
      <c r="T250" s="22" t="s">
        <v>1332</v>
      </c>
      <c r="U250" s="24"/>
      <c r="V250" s="22"/>
      <c r="W250" s="22" t="s">
        <v>65</v>
      </c>
      <c r="X250" s="22" t="s">
        <v>65</v>
      </c>
      <c r="Y250" s="22"/>
      <c r="Z250" s="22" t="s">
        <v>66</v>
      </c>
      <c r="AA250" s="22"/>
      <c r="AB250" s="22"/>
      <c r="AC250" s="22"/>
      <c r="AD250" s="22"/>
      <c r="AE250" s="22"/>
      <c r="AF250" s="22"/>
      <c r="AG250" s="22"/>
      <c r="AH250" s="22"/>
      <c r="AI250" s="22"/>
      <c r="AJ250" s="22"/>
      <c r="AK250" s="22"/>
      <c r="AL250" s="22"/>
      <c r="AM250" s="22"/>
      <c r="AN250" s="22"/>
      <c r="AO250" s="22"/>
      <c r="AP250" s="22"/>
      <c r="AQ250" s="22"/>
      <c r="AR250" s="22"/>
      <c r="AS250" s="25"/>
    </row>
    <row r="251" spans="1:45" s="1" customFormat="1">
      <c r="A251" s="22">
        <f t="shared" si="3"/>
        <v>250</v>
      </c>
      <c r="B251" s="23">
        <v>45685</v>
      </c>
      <c r="C251" s="22" t="s">
        <v>208</v>
      </c>
      <c r="D251" s="22" t="s">
        <v>209</v>
      </c>
      <c r="E251" s="22">
        <v>20251215</v>
      </c>
      <c r="F251" s="22" t="s">
        <v>1333</v>
      </c>
      <c r="G251" s="22">
        <v>9980882123</v>
      </c>
      <c r="H251" s="22" t="s">
        <v>1334</v>
      </c>
      <c r="I251" s="22" t="s">
        <v>55</v>
      </c>
      <c r="J251" s="22" t="s">
        <v>1029</v>
      </c>
      <c r="K251" s="22" t="s">
        <v>1030</v>
      </c>
      <c r="L251" s="22" t="s">
        <v>338</v>
      </c>
      <c r="M251" s="22" t="s">
        <v>1335</v>
      </c>
      <c r="N251" s="22" t="s">
        <v>1336</v>
      </c>
      <c r="O251" s="22"/>
      <c r="P251" s="22" t="s">
        <v>755</v>
      </c>
      <c r="Q251" s="22" t="s">
        <v>63</v>
      </c>
      <c r="R251" s="22" t="s">
        <v>63</v>
      </c>
      <c r="S251" s="22" t="s">
        <v>133</v>
      </c>
      <c r="T251" s="22" t="s">
        <v>134</v>
      </c>
      <c r="U251" s="24">
        <v>45804</v>
      </c>
      <c r="V251" s="22"/>
      <c r="W251" s="22" t="s">
        <v>93</v>
      </c>
      <c r="X251" s="22" t="s">
        <v>93</v>
      </c>
      <c r="Y251" s="22"/>
      <c r="Z251" s="22" t="s">
        <v>66</v>
      </c>
      <c r="AA251" s="22"/>
      <c r="AB251" s="22"/>
      <c r="AC251" s="22"/>
      <c r="AD251" s="22"/>
      <c r="AE251" s="22"/>
      <c r="AF251" s="22"/>
      <c r="AG251" s="22"/>
      <c r="AH251" s="22"/>
      <c r="AI251" s="22"/>
      <c r="AJ251" s="22"/>
      <c r="AK251" s="22"/>
      <c r="AL251" s="22"/>
      <c r="AM251" s="22"/>
      <c r="AN251" s="22"/>
      <c r="AO251" s="22"/>
      <c r="AP251" s="22"/>
      <c r="AQ251" s="22"/>
      <c r="AR251" s="22"/>
      <c r="AS251" s="25"/>
    </row>
    <row r="252" spans="1:45" s="1" customFormat="1">
      <c r="A252" s="22">
        <f t="shared" si="3"/>
        <v>251</v>
      </c>
      <c r="B252" s="23">
        <v>45685</v>
      </c>
      <c r="C252" s="22" t="s">
        <v>208</v>
      </c>
      <c r="D252" s="22" t="s">
        <v>209</v>
      </c>
      <c r="E252" s="22">
        <v>20251215</v>
      </c>
      <c r="F252" s="22" t="s">
        <v>1337</v>
      </c>
      <c r="G252" s="22">
        <v>8019473689</v>
      </c>
      <c r="H252" s="22" t="s">
        <v>1338</v>
      </c>
      <c r="I252" s="22" t="s">
        <v>55</v>
      </c>
      <c r="J252" s="22" t="s">
        <v>1029</v>
      </c>
      <c r="K252" s="22" t="s">
        <v>1030</v>
      </c>
      <c r="L252" s="22" t="s">
        <v>180</v>
      </c>
      <c r="M252" s="22" t="s">
        <v>1339</v>
      </c>
      <c r="N252" s="22" t="s">
        <v>1340</v>
      </c>
      <c r="O252" s="22"/>
      <c r="P252" s="22" t="s">
        <v>282</v>
      </c>
      <c r="Q252" s="22" t="s">
        <v>459</v>
      </c>
      <c r="R252" s="22" t="s">
        <v>63</v>
      </c>
      <c r="S252" s="22" t="s">
        <v>64</v>
      </c>
      <c r="T252" s="22" t="s">
        <v>134</v>
      </c>
      <c r="U252" s="24">
        <v>45740</v>
      </c>
      <c r="V252" s="22"/>
      <c r="W252" s="22" t="s">
        <v>93</v>
      </c>
      <c r="X252" s="22" t="s">
        <v>93</v>
      </c>
      <c r="Y252" s="22"/>
      <c r="Z252" s="22" t="s">
        <v>66</v>
      </c>
      <c r="AA252" s="22"/>
      <c r="AB252" s="22"/>
      <c r="AC252" s="22"/>
      <c r="AD252" s="22"/>
      <c r="AE252" s="22"/>
      <c r="AF252" s="22"/>
      <c r="AG252" s="22"/>
      <c r="AH252" s="22"/>
      <c r="AI252" s="22"/>
      <c r="AJ252" s="22"/>
      <c r="AK252" s="22"/>
      <c r="AL252" s="22"/>
      <c r="AM252" s="22"/>
      <c r="AN252" s="22"/>
      <c r="AO252" s="22"/>
      <c r="AP252" s="22"/>
      <c r="AQ252" s="22"/>
      <c r="AR252" s="22"/>
      <c r="AS252" s="25"/>
    </row>
    <row r="253" spans="1:45" s="1" customFormat="1">
      <c r="A253" s="22">
        <f t="shared" si="3"/>
        <v>252</v>
      </c>
      <c r="B253" s="23">
        <v>45685</v>
      </c>
      <c r="C253" s="22" t="s">
        <v>208</v>
      </c>
      <c r="D253" s="22" t="s">
        <v>209</v>
      </c>
      <c r="E253" s="22">
        <v>20251215</v>
      </c>
      <c r="F253" s="22" t="s">
        <v>1341</v>
      </c>
      <c r="G253" s="22">
        <v>7420803760</v>
      </c>
      <c r="H253" s="22" t="s">
        <v>1342</v>
      </c>
      <c r="I253" s="22" t="s">
        <v>55</v>
      </c>
      <c r="J253" s="22" t="s">
        <v>1029</v>
      </c>
      <c r="K253" s="22" t="s">
        <v>1030</v>
      </c>
      <c r="L253" s="22" t="s">
        <v>1343</v>
      </c>
      <c r="M253" s="22" t="s">
        <v>1344</v>
      </c>
      <c r="N253" s="22" t="s">
        <v>1345</v>
      </c>
      <c r="O253" s="22"/>
      <c r="P253" s="22" t="s">
        <v>144</v>
      </c>
      <c r="Q253" s="22" t="s">
        <v>63</v>
      </c>
      <c r="R253" s="22" t="s">
        <v>63</v>
      </c>
      <c r="S253" s="22" t="s">
        <v>1032</v>
      </c>
      <c r="T253" s="22" t="s">
        <v>134</v>
      </c>
      <c r="U253" s="24"/>
      <c r="V253" s="22"/>
      <c r="W253" s="22" t="s">
        <v>93</v>
      </c>
      <c r="X253" s="22" t="s">
        <v>93</v>
      </c>
      <c r="Y253" s="22"/>
      <c r="Z253" s="22" t="s">
        <v>66</v>
      </c>
      <c r="AA253" s="22"/>
      <c r="AB253" s="22"/>
      <c r="AC253" s="22"/>
      <c r="AD253" s="22"/>
      <c r="AE253" s="22"/>
      <c r="AF253" s="22"/>
      <c r="AG253" s="22"/>
      <c r="AH253" s="22"/>
      <c r="AI253" s="22"/>
      <c r="AJ253" s="22"/>
      <c r="AK253" s="22"/>
      <c r="AL253" s="22"/>
      <c r="AM253" s="22"/>
      <c r="AN253" s="22"/>
      <c r="AO253" s="22"/>
      <c r="AP253" s="22"/>
      <c r="AQ253" s="22"/>
      <c r="AR253" s="22"/>
      <c r="AS253" s="25"/>
    </row>
    <row r="254" spans="1:45" s="1" customFormat="1">
      <c r="A254" s="22">
        <f t="shared" si="3"/>
        <v>253</v>
      </c>
      <c r="B254" s="23">
        <v>45685</v>
      </c>
      <c r="C254" s="22" t="s">
        <v>208</v>
      </c>
      <c r="D254" s="22" t="s">
        <v>209</v>
      </c>
      <c r="E254" s="22">
        <v>20251215</v>
      </c>
      <c r="F254" s="22" t="s">
        <v>1346</v>
      </c>
      <c r="G254" s="22" t="s">
        <v>1347</v>
      </c>
      <c r="H254" s="22" t="s">
        <v>1348</v>
      </c>
      <c r="I254" s="22" t="s">
        <v>55</v>
      </c>
      <c r="J254" s="22" t="s">
        <v>1029</v>
      </c>
      <c r="K254" s="22" t="s">
        <v>1030</v>
      </c>
      <c r="L254" s="22" t="s">
        <v>1349</v>
      </c>
      <c r="M254" s="22" t="s">
        <v>1350</v>
      </c>
      <c r="N254" s="22" t="s">
        <v>1351</v>
      </c>
      <c r="O254" s="22"/>
      <c r="P254" s="22" t="s">
        <v>396</v>
      </c>
      <c r="Q254" s="22" t="s">
        <v>63</v>
      </c>
      <c r="R254" s="22" t="s">
        <v>63</v>
      </c>
      <c r="S254" s="22" t="s">
        <v>1032</v>
      </c>
      <c r="T254" s="22" t="s">
        <v>134</v>
      </c>
      <c r="U254" s="24"/>
      <c r="V254" s="22"/>
      <c r="W254" s="22" t="s">
        <v>93</v>
      </c>
      <c r="X254" s="22" t="s">
        <v>93</v>
      </c>
      <c r="Y254" s="22"/>
      <c r="Z254" s="22" t="s">
        <v>66</v>
      </c>
      <c r="AA254" s="22"/>
      <c r="AB254" s="22"/>
      <c r="AC254" s="22"/>
      <c r="AD254" s="22"/>
      <c r="AE254" s="22"/>
      <c r="AF254" s="22"/>
      <c r="AG254" s="22"/>
      <c r="AH254" s="22"/>
      <c r="AI254" s="22"/>
      <c r="AJ254" s="22"/>
      <c r="AK254" s="22"/>
      <c r="AL254" s="22"/>
      <c r="AM254" s="22"/>
      <c r="AN254" s="22"/>
      <c r="AO254" s="22"/>
      <c r="AP254" s="22"/>
      <c r="AQ254" s="22"/>
      <c r="AR254" s="22"/>
      <c r="AS254" s="25"/>
    </row>
    <row r="255" spans="1:45" s="1" customFormat="1">
      <c r="A255" s="22">
        <f t="shared" si="3"/>
        <v>254</v>
      </c>
      <c r="B255" s="23">
        <v>45685</v>
      </c>
      <c r="C255" s="22" t="s">
        <v>208</v>
      </c>
      <c r="D255" s="22" t="s">
        <v>293</v>
      </c>
      <c r="E255" s="22">
        <v>20251215</v>
      </c>
      <c r="F255" s="22" t="s">
        <v>1352</v>
      </c>
      <c r="G255" s="22">
        <v>9890386580</v>
      </c>
      <c r="H255" s="22" t="s">
        <v>1353</v>
      </c>
      <c r="I255" s="22" t="s">
        <v>55</v>
      </c>
      <c r="J255" s="22" t="s">
        <v>1029</v>
      </c>
      <c r="K255" s="22" t="s">
        <v>1030</v>
      </c>
      <c r="L255" s="22" t="s">
        <v>914</v>
      </c>
      <c r="M255" s="22" t="s">
        <v>1354</v>
      </c>
      <c r="N255" s="22" t="s">
        <v>333</v>
      </c>
      <c r="O255" s="22"/>
      <c r="P255" s="22" t="s">
        <v>173</v>
      </c>
      <c r="Q255" s="22" t="s">
        <v>63</v>
      </c>
      <c r="R255" s="22" t="s">
        <v>63</v>
      </c>
      <c r="S255" s="22" t="s">
        <v>1032</v>
      </c>
      <c r="T255" s="22" t="s">
        <v>134</v>
      </c>
      <c r="U255" s="24"/>
      <c r="V255" s="22"/>
      <c r="W255" s="22" t="s">
        <v>93</v>
      </c>
      <c r="X255" s="22" t="s">
        <v>93</v>
      </c>
      <c r="Y255" s="22"/>
      <c r="Z255" s="22" t="s">
        <v>66</v>
      </c>
      <c r="AA255" s="22"/>
      <c r="AB255" s="22"/>
      <c r="AC255" s="22"/>
      <c r="AD255" s="22"/>
      <c r="AE255" s="22"/>
      <c r="AF255" s="22"/>
      <c r="AG255" s="22"/>
      <c r="AH255" s="22"/>
      <c r="AI255" s="22"/>
      <c r="AJ255" s="22"/>
      <c r="AK255" s="22"/>
      <c r="AL255" s="22"/>
      <c r="AM255" s="22"/>
      <c r="AN255" s="22"/>
      <c r="AO255" s="22"/>
      <c r="AP255" s="22"/>
      <c r="AQ255" s="22"/>
      <c r="AR255" s="22"/>
      <c r="AS255" s="25"/>
    </row>
    <row r="256" spans="1:45" s="1" customFormat="1">
      <c r="A256" s="22">
        <f t="shared" si="3"/>
        <v>255</v>
      </c>
      <c r="B256" s="23">
        <v>45685</v>
      </c>
      <c r="C256" s="22" t="s">
        <v>208</v>
      </c>
      <c r="D256" s="22" t="s">
        <v>293</v>
      </c>
      <c r="E256" s="22">
        <v>20251215</v>
      </c>
      <c r="F256" s="22" t="s">
        <v>1355</v>
      </c>
      <c r="G256" s="22">
        <v>9604554277</v>
      </c>
      <c r="H256" s="22" t="s">
        <v>1356</v>
      </c>
      <c r="I256" s="22" t="s">
        <v>55</v>
      </c>
      <c r="J256" s="22" t="s">
        <v>1029</v>
      </c>
      <c r="K256" s="22" t="s">
        <v>1030</v>
      </c>
      <c r="L256" s="22" t="s">
        <v>914</v>
      </c>
      <c r="M256" s="22" t="s">
        <v>1357</v>
      </c>
      <c r="N256" s="22">
        <v>10.25</v>
      </c>
      <c r="O256" s="22"/>
      <c r="P256" s="22" t="s">
        <v>780</v>
      </c>
      <c r="Q256" s="22" t="s">
        <v>63</v>
      </c>
      <c r="R256" s="22" t="s">
        <v>63</v>
      </c>
      <c r="S256" s="22" t="s">
        <v>1048</v>
      </c>
      <c r="T256" s="22" t="s">
        <v>134</v>
      </c>
      <c r="U256" s="24"/>
      <c r="V256" s="22"/>
      <c r="W256" s="22" t="s">
        <v>93</v>
      </c>
      <c r="X256" s="22" t="s">
        <v>93</v>
      </c>
      <c r="Y256" s="22"/>
      <c r="Z256" s="22" t="s">
        <v>66</v>
      </c>
      <c r="AA256" s="22"/>
      <c r="AB256" s="22"/>
      <c r="AC256" s="22"/>
      <c r="AD256" s="22"/>
      <c r="AE256" s="22"/>
      <c r="AF256" s="22"/>
      <c r="AG256" s="22"/>
      <c r="AH256" s="22"/>
      <c r="AI256" s="22"/>
      <c r="AJ256" s="22"/>
      <c r="AK256" s="22"/>
      <c r="AL256" s="22"/>
      <c r="AM256" s="22"/>
      <c r="AN256" s="22"/>
      <c r="AO256" s="22"/>
      <c r="AP256" s="22"/>
      <c r="AQ256" s="22"/>
      <c r="AR256" s="22"/>
      <c r="AS256" s="25"/>
    </row>
    <row r="257" spans="1:45" s="1" customFormat="1">
      <c r="A257" s="22">
        <f t="shared" si="3"/>
        <v>256</v>
      </c>
      <c r="B257" s="23">
        <v>45685</v>
      </c>
      <c r="C257" s="22" t="s">
        <v>208</v>
      </c>
      <c r="D257" s="22" t="s">
        <v>667</v>
      </c>
      <c r="E257" s="22">
        <v>20252855</v>
      </c>
      <c r="F257" s="22" t="s">
        <v>1358</v>
      </c>
      <c r="G257" s="22">
        <v>7083399241</v>
      </c>
      <c r="H257" s="22" t="s">
        <v>1359</v>
      </c>
      <c r="I257" s="22" t="s">
        <v>55</v>
      </c>
      <c r="J257" s="22" t="s">
        <v>670</v>
      </c>
      <c r="K257" s="22" t="s">
        <v>116</v>
      </c>
      <c r="L257" s="22" t="s">
        <v>545</v>
      </c>
      <c r="M257" s="22" t="s">
        <v>1360</v>
      </c>
      <c r="N257" s="22" t="s">
        <v>1361</v>
      </c>
      <c r="O257" s="22"/>
      <c r="P257" s="22" t="s">
        <v>494</v>
      </c>
      <c r="Q257" s="22" t="s">
        <v>63</v>
      </c>
      <c r="R257" s="22" t="s">
        <v>63</v>
      </c>
      <c r="S257" s="22" t="s">
        <v>175</v>
      </c>
      <c r="T257" s="22" t="s">
        <v>134</v>
      </c>
      <c r="U257" s="24"/>
      <c r="V257" s="22"/>
      <c r="W257" s="22" t="s">
        <v>93</v>
      </c>
      <c r="X257" s="22" t="s">
        <v>93</v>
      </c>
      <c r="Y257" s="22"/>
      <c r="Z257" s="22" t="s">
        <v>66</v>
      </c>
      <c r="AA257" s="22"/>
      <c r="AB257" s="22"/>
      <c r="AC257" s="22"/>
      <c r="AD257" s="22"/>
      <c r="AE257" s="22"/>
      <c r="AF257" s="22"/>
      <c r="AG257" s="22"/>
      <c r="AH257" s="22"/>
      <c r="AI257" s="22"/>
      <c r="AJ257" s="22"/>
      <c r="AK257" s="22"/>
      <c r="AL257" s="22"/>
      <c r="AM257" s="22"/>
      <c r="AN257" s="22"/>
      <c r="AO257" s="22"/>
      <c r="AP257" s="22"/>
      <c r="AQ257" s="22"/>
      <c r="AR257" s="22"/>
      <c r="AS257" s="25"/>
    </row>
    <row r="258" spans="1:45" s="1" customFormat="1">
      <c r="A258" s="22">
        <f t="shared" si="3"/>
        <v>257</v>
      </c>
      <c r="B258" s="23">
        <v>45685</v>
      </c>
      <c r="C258" s="22" t="s">
        <v>208</v>
      </c>
      <c r="D258" s="22" t="s">
        <v>667</v>
      </c>
      <c r="E258" s="22">
        <v>20252855</v>
      </c>
      <c r="F258" s="22" t="s">
        <v>1362</v>
      </c>
      <c r="G258" s="22">
        <v>9781039139</v>
      </c>
      <c r="H258" s="22" t="s">
        <v>1363</v>
      </c>
      <c r="I258" s="22" t="s">
        <v>55</v>
      </c>
      <c r="J258" s="22" t="s">
        <v>670</v>
      </c>
      <c r="K258" s="22" t="s">
        <v>116</v>
      </c>
      <c r="L258" s="22" t="s">
        <v>703</v>
      </c>
      <c r="M258" s="22" t="s">
        <v>1364</v>
      </c>
      <c r="N258" s="22" t="s">
        <v>1365</v>
      </c>
      <c r="O258" s="22"/>
      <c r="P258" s="22" t="s">
        <v>1366</v>
      </c>
      <c r="Q258" s="22" t="s">
        <v>63</v>
      </c>
      <c r="R258" s="22" t="s">
        <v>63</v>
      </c>
      <c r="S258" s="22" t="s">
        <v>1367</v>
      </c>
      <c r="T258" s="22" t="s">
        <v>134</v>
      </c>
      <c r="U258" s="24"/>
      <c r="V258" s="22"/>
      <c r="W258" s="22" t="s">
        <v>93</v>
      </c>
      <c r="X258" s="22" t="s">
        <v>93</v>
      </c>
      <c r="Y258" s="22"/>
      <c r="Z258" s="22" t="s">
        <v>66</v>
      </c>
      <c r="AA258" s="22"/>
      <c r="AB258" s="22"/>
      <c r="AC258" s="22"/>
      <c r="AD258" s="22"/>
      <c r="AE258" s="22"/>
      <c r="AF258" s="22"/>
      <c r="AG258" s="22"/>
      <c r="AH258" s="22"/>
      <c r="AI258" s="22"/>
      <c r="AJ258" s="22"/>
      <c r="AK258" s="22"/>
      <c r="AL258" s="22"/>
      <c r="AM258" s="22"/>
      <c r="AN258" s="22"/>
      <c r="AO258" s="22"/>
      <c r="AP258" s="22"/>
      <c r="AQ258" s="22"/>
      <c r="AR258" s="22"/>
      <c r="AS258" s="25"/>
    </row>
    <row r="259" spans="1:45" s="1" customFormat="1">
      <c r="A259" s="22">
        <f t="shared" ref="A259:A322" si="4">A258+1</f>
        <v>258</v>
      </c>
      <c r="B259" s="23">
        <v>45685</v>
      </c>
      <c r="C259" s="22" t="s">
        <v>208</v>
      </c>
      <c r="D259" s="22" t="s">
        <v>209</v>
      </c>
      <c r="E259" s="22">
        <v>20252855</v>
      </c>
      <c r="F259" s="22" t="s">
        <v>1368</v>
      </c>
      <c r="G259" s="22" t="s">
        <v>1369</v>
      </c>
      <c r="H259" s="22" t="s">
        <v>1370</v>
      </c>
      <c r="I259" s="22" t="s">
        <v>55</v>
      </c>
      <c r="J259" s="22" t="s">
        <v>670</v>
      </c>
      <c r="K259" s="22" t="s">
        <v>116</v>
      </c>
      <c r="L259" s="22" t="s">
        <v>129</v>
      </c>
      <c r="M259" s="22" t="s">
        <v>1371</v>
      </c>
      <c r="N259" s="22" t="s">
        <v>1372</v>
      </c>
      <c r="O259" s="22"/>
      <c r="P259" s="22" t="s">
        <v>173</v>
      </c>
      <c r="Q259" s="22" t="s">
        <v>1373</v>
      </c>
      <c r="R259" s="22" t="s">
        <v>63</v>
      </c>
      <c r="S259" s="22" t="s">
        <v>1032</v>
      </c>
      <c r="T259" s="22" t="s">
        <v>134</v>
      </c>
      <c r="U259" s="24"/>
      <c r="V259" s="22"/>
      <c r="W259" s="22" t="s">
        <v>93</v>
      </c>
      <c r="X259" s="22" t="s">
        <v>93</v>
      </c>
      <c r="Y259" s="22"/>
      <c r="Z259" s="22" t="s">
        <v>66</v>
      </c>
      <c r="AA259" s="22"/>
      <c r="AB259" s="22"/>
      <c r="AC259" s="22"/>
      <c r="AD259" s="22"/>
      <c r="AE259" s="22"/>
      <c r="AF259" s="22"/>
      <c r="AG259" s="22"/>
      <c r="AH259" s="22"/>
      <c r="AI259" s="22"/>
      <c r="AJ259" s="22"/>
      <c r="AK259" s="22"/>
      <c r="AL259" s="22"/>
      <c r="AM259" s="22"/>
      <c r="AN259" s="22"/>
      <c r="AO259" s="22"/>
      <c r="AP259" s="22"/>
      <c r="AQ259" s="22"/>
      <c r="AR259" s="22"/>
      <c r="AS259" s="25"/>
    </row>
    <row r="260" spans="1:45" s="1" customFormat="1">
      <c r="A260" s="22">
        <f t="shared" si="4"/>
        <v>259</v>
      </c>
      <c r="B260" s="23">
        <v>45685</v>
      </c>
      <c r="C260" s="22" t="s">
        <v>208</v>
      </c>
      <c r="D260" s="22" t="s">
        <v>667</v>
      </c>
      <c r="E260" s="22">
        <v>20252855</v>
      </c>
      <c r="F260" s="22" t="s">
        <v>1374</v>
      </c>
      <c r="G260" s="22">
        <v>9650445756</v>
      </c>
      <c r="H260" s="22" t="s">
        <v>1375</v>
      </c>
      <c r="I260" s="22" t="s">
        <v>55</v>
      </c>
      <c r="J260" s="22" t="s">
        <v>670</v>
      </c>
      <c r="K260" s="22" t="s">
        <v>116</v>
      </c>
      <c r="L260" s="22" t="s">
        <v>1376</v>
      </c>
      <c r="M260" s="22" t="s">
        <v>1377</v>
      </c>
      <c r="N260" s="22" t="s">
        <v>1378</v>
      </c>
      <c r="O260" s="22"/>
      <c r="P260" s="22" t="s">
        <v>164</v>
      </c>
      <c r="Q260" s="22" t="s">
        <v>750</v>
      </c>
      <c r="R260" s="22" t="s">
        <v>63</v>
      </c>
      <c r="S260" s="22" t="s">
        <v>175</v>
      </c>
      <c r="T260" s="22" t="s">
        <v>134</v>
      </c>
      <c r="U260" s="24"/>
      <c r="V260" s="22"/>
      <c r="W260" s="22" t="s">
        <v>93</v>
      </c>
      <c r="X260" s="22" t="s">
        <v>93</v>
      </c>
      <c r="Y260" s="22"/>
      <c r="Z260" s="22" t="s">
        <v>66</v>
      </c>
      <c r="AA260" s="22"/>
      <c r="AB260" s="22"/>
      <c r="AC260" s="22"/>
      <c r="AD260" s="22"/>
      <c r="AE260" s="22"/>
      <c r="AF260" s="22"/>
      <c r="AG260" s="22"/>
      <c r="AH260" s="22"/>
      <c r="AI260" s="22"/>
      <c r="AJ260" s="22"/>
      <c r="AK260" s="22"/>
      <c r="AL260" s="22"/>
      <c r="AM260" s="22"/>
      <c r="AN260" s="22"/>
      <c r="AO260" s="22"/>
      <c r="AP260" s="22"/>
      <c r="AQ260" s="22"/>
      <c r="AR260" s="22"/>
      <c r="AS260" s="25"/>
    </row>
    <row r="261" spans="1:45" s="1" customFormat="1">
      <c r="A261" s="22">
        <f t="shared" si="4"/>
        <v>260</v>
      </c>
      <c r="B261" s="23">
        <v>45685</v>
      </c>
      <c r="C261" s="22" t="s">
        <v>208</v>
      </c>
      <c r="D261" s="22" t="s">
        <v>209</v>
      </c>
      <c r="E261" s="22">
        <v>20252855</v>
      </c>
      <c r="F261" s="22" t="s">
        <v>1379</v>
      </c>
      <c r="G261" s="22">
        <v>7276606590</v>
      </c>
      <c r="H261" s="22" t="s">
        <v>1380</v>
      </c>
      <c r="I261" s="22" t="s">
        <v>55</v>
      </c>
      <c r="J261" s="22" t="s">
        <v>670</v>
      </c>
      <c r="K261" s="22" t="s">
        <v>116</v>
      </c>
      <c r="L261" s="22" t="s">
        <v>1381</v>
      </c>
      <c r="M261" s="22" t="s">
        <v>1382</v>
      </c>
      <c r="N261" s="22" t="s">
        <v>1383</v>
      </c>
      <c r="O261" s="22"/>
      <c r="P261" s="22" t="s">
        <v>173</v>
      </c>
      <c r="Q261" s="22" t="s">
        <v>63</v>
      </c>
      <c r="R261" s="22" t="s">
        <v>63</v>
      </c>
      <c r="S261" s="22" t="s">
        <v>1384</v>
      </c>
      <c r="T261" s="22" t="s">
        <v>134</v>
      </c>
      <c r="U261" s="24"/>
      <c r="V261" s="22"/>
      <c r="W261" s="22" t="s">
        <v>93</v>
      </c>
      <c r="X261" s="22" t="s">
        <v>93</v>
      </c>
      <c r="Y261" s="22"/>
      <c r="Z261" s="22" t="s">
        <v>66</v>
      </c>
      <c r="AA261" s="22"/>
      <c r="AB261" s="22"/>
      <c r="AC261" s="22"/>
      <c r="AD261" s="22"/>
      <c r="AE261" s="22"/>
      <c r="AF261" s="22"/>
      <c r="AG261" s="22"/>
      <c r="AH261" s="22"/>
      <c r="AI261" s="22"/>
      <c r="AJ261" s="22"/>
      <c r="AK261" s="22"/>
      <c r="AL261" s="22"/>
      <c r="AM261" s="22"/>
      <c r="AN261" s="22"/>
      <c r="AO261" s="22"/>
      <c r="AP261" s="22"/>
      <c r="AQ261" s="22"/>
      <c r="AR261" s="22"/>
      <c r="AS261" s="25"/>
    </row>
    <row r="262" spans="1:45" s="1" customFormat="1">
      <c r="A262" s="22">
        <f t="shared" si="4"/>
        <v>261</v>
      </c>
      <c r="B262" s="23">
        <v>45686</v>
      </c>
      <c r="C262" s="22" t="s">
        <v>208</v>
      </c>
      <c r="D262" s="22" t="s">
        <v>367</v>
      </c>
      <c r="E262" s="22">
        <v>20245321</v>
      </c>
      <c r="F262" s="22" t="s">
        <v>1385</v>
      </c>
      <c r="G262" s="22">
        <v>7972675890</v>
      </c>
      <c r="H262" s="22" t="s">
        <v>1386</v>
      </c>
      <c r="I262" s="22" t="s">
        <v>101</v>
      </c>
      <c r="J262" s="22" t="s">
        <v>296</v>
      </c>
      <c r="K262" s="22" t="s">
        <v>213</v>
      </c>
      <c r="L262" s="22">
        <v>10</v>
      </c>
      <c r="M262" s="22" t="s">
        <v>1387</v>
      </c>
      <c r="N262" s="22">
        <v>18</v>
      </c>
      <c r="O262" s="22">
        <v>0</v>
      </c>
      <c r="P262" s="22">
        <v>23</v>
      </c>
      <c r="Q262" s="22" t="s">
        <v>1388</v>
      </c>
      <c r="R262" s="22" t="s">
        <v>63</v>
      </c>
      <c r="S262" s="22" t="s">
        <v>255</v>
      </c>
      <c r="T262" s="22" t="s">
        <v>61</v>
      </c>
      <c r="U262" s="24"/>
      <c r="V262" s="22"/>
      <c r="W262" s="22" t="s">
        <v>218</v>
      </c>
      <c r="X262" s="22" t="s">
        <v>218</v>
      </c>
      <c r="Y262" s="22" t="s">
        <v>135</v>
      </c>
      <c r="Z262" s="22" t="s">
        <v>66</v>
      </c>
      <c r="AA262" s="22">
        <v>45686</v>
      </c>
      <c r="AB262" s="22">
        <v>45686</v>
      </c>
      <c r="AC262" s="22">
        <v>45686</v>
      </c>
      <c r="AD262" s="22"/>
      <c r="AE262" s="22"/>
      <c r="AF262" s="22"/>
      <c r="AG262" s="22"/>
      <c r="AH262" s="22"/>
      <c r="AI262" s="22"/>
      <c r="AJ262" s="22"/>
      <c r="AK262" s="22"/>
      <c r="AL262" s="22"/>
      <c r="AM262" s="22"/>
      <c r="AN262" s="22"/>
      <c r="AO262" s="22"/>
      <c r="AP262" s="22"/>
      <c r="AQ262" s="22"/>
      <c r="AR262" s="22"/>
      <c r="AS262" s="25"/>
    </row>
    <row r="263" spans="1:45" s="1" customFormat="1">
      <c r="A263" s="22">
        <f t="shared" si="4"/>
        <v>262</v>
      </c>
      <c r="B263" s="23">
        <v>45686</v>
      </c>
      <c r="C263" s="22" t="s">
        <v>208</v>
      </c>
      <c r="D263" s="22" t="s">
        <v>209</v>
      </c>
      <c r="E263" s="22">
        <v>20245321</v>
      </c>
      <c r="F263" s="22" t="s">
        <v>1389</v>
      </c>
      <c r="G263" s="22">
        <v>9370313151</v>
      </c>
      <c r="H263" s="22" t="s">
        <v>1390</v>
      </c>
      <c r="I263" s="22" t="s">
        <v>55</v>
      </c>
      <c r="J263" s="22" t="s">
        <v>296</v>
      </c>
      <c r="K263" s="22" t="s">
        <v>213</v>
      </c>
      <c r="L263" s="22">
        <v>9</v>
      </c>
      <c r="M263" s="22" t="s">
        <v>1391</v>
      </c>
      <c r="N263" s="22">
        <v>10.199999999999999</v>
      </c>
      <c r="O263" s="22">
        <v>0</v>
      </c>
      <c r="P263" s="22">
        <v>16</v>
      </c>
      <c r="Q263" s="22" t="s">
        <v>174</v>
      </c>
      <c r="R263" s="22" t="s">
        <v>63</v>
      </c>
      <c r="S263" s="22" t="s">
        <v>1392</v>
      </c>
      <c r="T263" s="22" t="s">
        <v>61</v>
      </c>
      <c r="U263" s="24"/>
      <c r="V263" s="22"/>
      <c r="W263" s="22" t="s">
        <v>218</v>
      </c>
      <c r="X263" s="22" t="s">
        <v>218</v>
      </c>
      <c r="Y263" s="22" t="s">
        <v>135</v>
      </c>
      <c r="Z263" s="22" t="s">
        <v>66</v>
      </c>
      <c r="AA263" s="22">
        <v>45686</v>
      </c>
      <c r="AB263" s="22">
        <v>45688</v>
      </c>
      <c r="AC263" s="22">
        <v>45688</v>
      </c>
      <c r="AD263" s="22"/>
      <c r="AE263" s="22"/>
      <c r="AF263" s="22"/>
      <c r="AG263" s="22"/>
      <c r="AH263" s="22"/>
      <c r="AI263" s="22"/>
      <c r="AJ263" s="22"/>
      <c r="AK263" s="22"/>
      <c r="AL263" s="22"/>
      <c r="AM263" s="22"/>
      <c r="AN263" s="22"/>
      <c r="AO263" s="22"/>
      <c r="AP263" s="22"/>
      <c r="AQ263" s="22"/>
      <c r="AR263" s="22"/>
      <c r="AS263" s="25"/>
    </row>
    <row r="264" spans="1:45" s="1" customFormat="1">
      <c r="A264" s="22">
        <f t="shared" si="4"/>
        <v>263</v>
      </c>
      <c r="B264" s="23">
        <v>45686</v>
      </c>
      <c r="C264" s="22" t="s">
        <v>208</v>
      </c>
      <c r="D264" s="22" t="s">
        <v>209</v>
      </c>
      <c r="E264" s="22">
        <v>20245321</v>
      </c>
      <c r="F264" s="22" t="s">
        <v>1393</v>
      </c>
      <c r="G264" s="22">
        <v>7008856452</v>
      </c>
      <c r="H264" s="22" t="s">
        <v>1394</v>
      </c>
      <c r="I264" s="22" t="s">
        <v>55</v>
      </c>
      <c r="J264" s="22" t="s">
        <v>296</v>
      </c>
      <c r="K264" s="22" t="s">
        <v>213</v>
      </c>
      <c r="L264" s="22">
        <v>5.2</v>
      </c>
      <c r="M264" s="22" t="s">
        <v>1395</v>
      </c>
      <c r="N264" s="22">
        <v>8</v>
      </c>
      <c r="O264" s="22">
        <v>0</v>
      </c>
      <c r="P264" s="22">
        <v>14</v>
      </c>
      <c r="Q264" s="22" t="s">
        <v>1396</v>
      </c>
      <c r="R264" s="22" t="s">
        <v>63</v>
      </c>
      <c r="S264" s="22" t="s">
        <v>1397</v>
      </c>
      <c r="T264" s="22" t="s">
        <v>61</v>
      </c>
      <c r="U264" s="24"/>
      <c r="V264" s="22"/>
      <c r="W264" s="22" t="s">
        <v>218</v>
      </c>
      <c r="X264" s="22" t="s">
        <v>218</v>
      </c>
      <c r="Y264" s="22" t="s">
        <v>135</v>
      </c>
      <c r="Z264" s="22" t="s">
        <v>66</v>
      </c>
      <c r="AA264" s="22">
        <v>45686</v>
      </c>
      <c r="AB264" s="22">
        <v>45691</v>
      </c>
      <c r="AC264" s="22">
        <v>45691</v>
      </c>
      <c r="AD264" s="22"/>
      <c r="AE264" s="22"/>
      <c r="AF264" s="22"/>
      <c r="AG264" s="22"/>
      <c r="AH264" s="22"/>
      <c r="AI264" s="22"/>
      <c r="AJ264" s="22"/>
      <c r="AK264" s="22"/>
      <c r="AL264" s="22"/>
      <c r="AM264" s="22"/>
      <c r="AN264" s="22"/>
      <c r="AO264" s="22"/>
      <c r="AP264" s="22"/>
      <c r="AQ264" s="22"/>
      <c r="AR264" s="22"/>
      <c r="AS264" s="25"/>
    </row>
    <row r="265" spans="1:45" s="1" customFormat="1">
      <c r="A265" s="22">
        <f t="shared" si="4"/>
        <v>264</v>
      </c>
      <c r="B265" s="23">
        <v>45686</v>
      </c>
      <c r="C265" s="22" t="s">
        <v>208</v>
      </c>
      <c r="D265" s="22" t="s">
        <v>209</v>
      </c>
      <c r="E265" s="22">
        <v>20245321</v>
      </c>
      <c r="F265" s="22" t="s">
        <v>1398</v>
      </c>
      <c r="G265" s="22" t="s">
        <v>1399</v>
      </c>
      <c r="H265" s="22" t="s">
        <v>1400</v>
      </c>
      <c r="I265" s="22" t="s">
        <v>101</v>
      </c>
      <c r="J265" s="22" t="s">
        <v>296</v>
      </c>
      <c r="K265" s="22" t="s">
        <v>213</v>
      </c>
      <c r="L265" s="22">
        <v>9.1</v>
      </c>
      <c r="M265" s="22" t="s">
        <v>1401</v>
      </c>
      <c r="N265" s="22">
        <v>24</v>
      </c>
      <c r="O265" s="22">
        <v>0</v>
      </c>
      <c r="P265" s="22">
        <v>0.3</v>
      </c>
      <c r="Q265" s="22" t="s">
        <v>63</v>
      </c>
      <c r="R265" s="22" t="s">
        <v>63</v>
      </c>
      <c r="S265" s="22" t="s">
        <v>1402</v>
      </c>
      <c r="T265" s="22" t="s">
        <v>61</v>
      </c>
      <c r="U265" s="24"/>
      <c r="V265" s="22"/>
      <c r="W265" s="22" t="s">
        <v>218</v>
      </c>
      <c r="X265" s="22" t="s">
        <v>218</v>
      </c>
      <c r="Y265" s="22" t="s">
        <v>135</v>
      </c>
      <c r="Z265" s="22" t="s">
        <v>66</v>
      </c>
      <c r="AA265" s="22">
        <v>45686</v>
      </c>
      <c r="AB265" s="22">
        <v>45692</v>
      </c>
      <c r="AC265" s="22">
        <v>45692</v>
      </c>
      <c r="AD265" s="22"/>
      <c r="AE265" s="22"/>
      <c r="AF265" s="22"/>
      <c r="AG265" s="22"/>
      <c r="AH265" s="22"/>
      <c r="AI265" s="22"/>
      <c r="AJ265" s="22"/>
      <c r="AK265" s="22"/>
      <c r="AL265" s="22"/>
      <c r="AM265" s="22"/>
      <c r="AN265" s="22"/>
      <c r="AO265" s="22"/>
      <c r="AP265" s="22"/>
      <c r="AQ265" s="22"/>
      <c r="AR265" s="22"/>
      <c r="AS265" s="25"/>
    </row>
    <row r="266" spans="1:45" s="1" customFormat="1">
      <c r="A266" s="22">
        <f t="shared" si="4"/>
        <v>265</v>
      </c>
      <c r="B266" s="23">
        <v>45686</v>
      </c>
      <c r="C266" s="22" t="s">
        <v>208</v>
      </c>
      <c r="D266" s="22" t="s">
        <v>367</v>
      </c>
      <c r="E266" s="22" t="s">
        <v>964</v>
      </c>
      <c r="F266" s="22" t="s">
        <v>1403</v>
      </c>
      <c r="G266" s="22">
        <v>9921994025</v>
      </c>
      <c r="H266" s="22" t="s">
        <v>1404</v>
      </c>
      <c r="I266" s="22" t="s">
        <v>55</v>
      </c>
      <c r="J266" s="22" t="s">
        <v>967</v>
      </c>
      <c r="K266" s="22" t="s">
        <v>428</v>
      </c>
      <c r="L266" s="22" t="s">
        <v>656</v>
      </c>
      <c r="M266" s="22" t="s">
        <v>1405</v>
      </c>
      <c r="N266" s="22">
        <v>14.2</v>
      </c>
      <c r="O266" s="22" t="s">
        <v>61</v>
      </c>
      <c r="P266" s="22" t="s">
        <v>1085</v>
      </c>
      <c r="Q266" s="22" t="s">
        <v>657</v>
      </c>
      <c r="R266" s="22" t="s">
        <v>657</v>
      </c>
      <c r="S266" s="22" t="s">
        <v>871</v>
      </c>
      <c r="T266" s="22" t="s">
        <v>61</v>
      </c>
      <c r="U266" s="24"/>
      <c r="V266" s="22"/>
      <c r="W266" s="22" t="s">
        <v>65</v>
      </c>
      <c r="X266" s="22" t="s">
        <v>65</v>
      </c>
      <c r="Y266" s="22"/>
      <c r="Z266" s="22" t="s">
        <v>66</v>
      </c>
      <c r="AA266" s="22"/>
      <c r="AB266" s="22">
        <v>45932</v>
      </c>
      <c r="AC266" s="22"/>
      <c r="AD266" s="22"/>
      <c r="AE266" s="22"/>
      <c r="AF266" s="22"/>
      <c r="AG266" s="22"/>
      <c r="AH266" s="22"/>
      <c r="AI266" s="22"/>
      <c r="AJ266" s="22"/>
      <c r="AK266" s="22"/>
      <c r="AL266" s="22"/>
      <c r="AM266" s="22"/>
      <c r="AN266" s="22"/>
      <c r="AO266" s="22"/>
      <c r="AP266" s="22"/>
      <c r="AQ266" s="22"/>
      <c r="AR266" s="22"/>
      <c r="AS266" s="25"/>
    </row>
    <row r="267" spans="1:45" s="1" customFormat="1">
      <c r="A267" s="22">
        <f t="shared" si="4"/>
        <v>266</v>
      </c>
      <c r="B267" s="23">
        <v>45686</v>
      </c>
      <c r="C267" s="22" t="s">
        <v>208</v>
      </c>
      <c r="D267" s="22" t="s">
        <v>963</v>
      </c>
      <c r="E267" s="22" t="s">
        <v>964</v>
      </c>
      <c r="F267" s="22" t="s">
        <v>1406</v>
      </c>
      <c r="G267" s="22">
        <v>8149936366</v>
      </c>
      <c r="H267" s="22" t="s">
        <v>1407</v>
      </c>
      <c r="I267" s="22" t="s">
        <v>55</v>
      </c>
      <c r="J267" s="22" t="s">
        <v>967</v>
      </c>
      <c r="K267" s="22" t="s">
        <v>428</v>
      </c>
      <c r="L267" s="22" t="s">
        <v>1053</v>
      </c>
      <c r="M267" s="22" t="s">
        <v>1408</v>
      </c>
      <c r="N267" s="22">
        <v>12.7</v>
      </c>
      <c r="O267" s="22" t="s">
        <v>61</v>
      </c>
      <c r="P267" s="22" t="s">
        <v>1409</v>
      </c>
      <c r="Q267" s="22" t="s">
        <v>657</v>
      </c>
      <c r="R267" s="22" t="s">
        <v>657</v>
      </c>
      <c r="S267" s="22" t="s">
        <v>61</v>
      </c>
      <c r="T267" s="22" t="s">
        <v>61</v>
      </c>
      <c r="U267" s="24"/>
      <c r="V267" s="22"/>
      <c r="W267" s="22" t="s">
        <v>65</v>
      </c>
      <c r="X267" s="22" t="s">
        <v>65</v>
      </c>
      <c r="Y267" s="22"/>
      <c r="Z267" s="22" t="s">
        <v>66</v>
      </c>
      <c r="AA267" s="22"/>
      <c r="AB267" s="22"/>
      <c r="AC267" s="22"/>
      <c r="AD267" s="22"/>
      <c r="AE267" s="22"/>
      <c r="AF267" s="22"/>
      <c r="AG267" s="22"/>
      <c r="AH267" s="22"/>
      <c r="AI267" s="22"/>
      <c r="AJ267" s="22"/>
      <c r="AK267" s="22"/>
      <c r="AL267" s="22"/>
      <c r="AM267" s="22"/>
      <c r="AN267" s="22"/>
      <c r="AO267" s="22"/>
      <c r="AP267" s="22"/>
      <c r="AQ267" s="22"/>
      <c r="AR267" s="22"/>
      <c r="AS267" s="25"/>
    </row>
    <row r="268" spans="1:45" s="1" customFormat="1">
      <c r="A268" s="22">
        <f t="shared" si="4"/>
        <v>267</v>
      </c>
      <c r="B268" s="23">
        <v>45686</v>
      </c>
      <c r="C268" s="22" t="s">
        <v>208</v>
      </c>
      <c r="D268" s="22" t="s">
        <v>963</v>
      </c>
      <c r="E268" s="22">
        <v>20251172</v>
      </c>
      <c r="F268" s="22" t="s">
        <v>1410</v>
      </c>
      <c r="G268" s="22">
        <v>9503907795</v>
      </c>
      <c r="H268" s="22" t="s">
        <v>1411</v>
      </c>
      <c r="I268" s="22" t="s">
        <v>55</v>
      </c>
      <c r="J268" s="22" t="s">
        <v>927</v>
      </c>
      <c r="K268" s="22" t="s">
        <v>428</v>
      </c>
      <c r="L268" s="22" t="s">
        <v>1412</v>
      </c>
      <c r="M268" s="22" t="s">
        <v>1413</v>
      </c>
      <c r="N268" s="22">
        <v>8</v>
      </c>
      <c r="O268" s="22" t="s">
        <v>61</v>
      </c>
      <c r="P268" s="22">
        <v>13</v>
      </c>
      <c r="Q268" s="22" t="s">
        <v>657</v>
      </c>
      <c r="R268" s="22" t="s">
        <v>657</v>
      </c>
      <c r="S268" s="22" t="s">
        <v>1414</v>
      </c>
      <c r="T268" s="22" t="s">
        <v>1415</v>
      </c>
      <c r="U268" s="24"/>
      <c r="V268" s="22"/>
      <c r="W268" s="22" t="s">
        <v>65</v>
      </c>
      <c r="X268" s="22" t="s">
        <v>65</v>
      </c>
      <c r="Y268" s="22"/>
      <c r="Z268" s="22" t="s">
        <v>66</v>
      </c>
      <c r="AA268" s="22"/>
      <c r="AB268" s="22"/>
      <c r="AC268" s="22"/>
      <c r="AD268" s="22"/>
      <c r="AE268" s="22"/>
      <c r="AF268" s="22"/>
      <c r="AG268" s="22"/>
      <c r="AH268" s="22"/>
      <c r="AI268" s="22"/>
      <c r="AJ268" s="22"/>
      <c r="AK268" s="22"/>
      <c r="AL268" s="22"/>
      <c r="AM268" s="22"/>
      <c r="AN268" s="22"/>
      <c r="AO268" s="22"/>
      <c r="AP268" s="22"/>
      <c r="AQ268" s="22"/>
      <c r="AR268" s="22"/>
      <c r="AS268" s="25"/>
    </row>
    <row r="269" spans="1:45" s="1" customFormat="1">
      <c r="A269" s="22">
        <f t="shared" si="4"/>
        <v>268</v>
      </c>
      <c r="B269" s="23">
        <v>45686</v>
      </c>
      <c r="C269" s="22" t="s">
        <v>208</v>
      </c>
      <c r="D269" s="22" t="s">
        <v>1128</v>
      </c>
      <c r="E269" s="22">
        <v>20246232</v>
      </c>
      <c r="F269" s="22" t="s">
        <v>1416</v>
      </c>
      <c r="G269" s="22">
        <v>8989650297</v>
      </c>
      <c r="H269" s="22" t="s">
        <v>1417</v>
      </c>
      <c r="I269" s="22" t="s">
        <v>55</v>
      </c>
      <c r="J269" s="22" t="s">
        <v>1418</v>
      </c>
      <c r="K269" s="22" t="s">
        <v>1419</v>
      </c>
      <c r="L269" s="22" t="s">
        <v>421</v>
      </c>
      <c r="M269" s="22" t="s">
        <v>1420</v>
      </c>
      <c r="N269" s="22" t="s">
        <v>566</v>
      </c>
      <c r="O269" s="22"/>
      <c r="P269" s="22" t="s">
        <v>340</v>
      </c>
      <c r="Q269" s="22" t="s">
        <v>890</v>
      </c>
      <c r="R269" s="22" t="s">
        <v>63</v>
      </c>
      <c r="S269" s="22" t="s">
        <v>1421</v>
      </c>
      <c r="T269" s="22" t="s">
        <v>1422</v>
      </c>
      <c r="U269" s="24"/>
      <c r="V269" s="22"/>
      <c r="W269" s="22" t="s">
        <v>93</v>
      </c>
      <c r="X269" s="22" t="s">
        <v>93</v>
      </c>
      <c r="Y269" s="22"/>
      <c r="Z269" s="22" t="s">
        <v>66</v>
      </c>
      <c r="AA269" s="22"/>
      <c r="AB269" s="22"/>
      <c r="AC269" s="22"/>
      <c r="AD269" s="22"/>
      <c r="AE269" s="22"/>
      <c r="AF269" s="22"/>
      <c r="AG269" s="22"/>
      <c r="AH269" s="22"/>
      <c r="AI269" s="22"/>
      <c r="AJ269" s="22"/>
      <c r="AK269" s="22"/>
      <c r="AL269" s="22"/>
      <c r="AM269" s="22"/>
      <c r="AN269" s="22"/>
      <c r="AO269" s="22"/>
      <c r="AP269" s="22"/>
      <c r="AQ269" s="22"/>
      <c r="AR269" s="22"/>
      <c r="AS269" s="25"/>
    </row>
    <row r="270" spans="1:45" s="1" customFormat="1">
      <c r="A270" s="22">
        <f t="shared" si="4"/>
        <v>269</v>
      </c>
      <c r="B270" s="23">
        <v>45686</v>
      </c>
      <c r="C270" s="22" t="s">
        <v>208</v>
      </c>
      <c r="D270" s="22" t="s">
        <v>667</v>
      </c>
      <c r="E270" s="22">
        <v>20246232</v>
      </c>
      <c r="F270" s="22" t="s">
        <v>1423</v>
      </c>
      <c r="G270" s="22">
        <v>9922996228</v>
      </c>
      <c r="H270" s="22" t="s">
        <v>1424</v>
      </c>
      <c r="I270" s="22" t="s">
        <v>55</v>
      </c>
      <c r="J270" s="22" t="s">
        <v>1418</v>
      </c>
      <c r="K270" s="22" t="s">
        <v>1419</v>
      </c>
      <c r="L270" s="22" t="s">
        <v>1425</v>
      </c>
      <c r="M270" s="22" t="s">
        <v>1426</v>
      </c>
      <c r="N270" s="22" t="s">
        <v>547</v>
      </c>
      <c r="O270" s="22"/>
      <c r="P270" s="22" t="s">
        <v>282</v>
      </c>
      <c r="Q270" s="22" t="s">
        <v>63</v>
      </c>
      <c r="R270" s="22" t="s">
        <v>63</v>
      </c>
      <c r="S270" s="22" t="s">
        <v>133</v>
      </c>
      <c r="T270" s="22" t="s">
        <v>1427</v>
      </c>
      <c r="U270" s="24"/>
      <c r="V270" s="22"/>
      <c r="W270" s="22" t="s">
        <v>93</v>
      </c>
      <c r="X270" s="22" t="s">
        <v>93</v>
      </c>
      <c r="Y270" s="22"/>
      <c r="Z270" s="22" t="s">
        <v>66</v>
      </c>
      <c r="AA270" s="22"/>
      <c r="AB270" s="22"/>
      <c r="AC270" s="22"/>
      <c r="AD270" s="22"/>
      <c r="AE270" s="22"/>
      <c r="AF270" s="22"/>
      <c r="AG270" s="22"/>
      <c r="AH270" s="22"/>
      <c r="AI270" s="22"/>
      <c r="AJ270" s="22"/>
      <c r="AK270" s="22"/>
      <c r="AL270" s="22"/>
      <c r="AM270" s="22"/>
      <c r="AN270" s="22"/>
      <c r="AO270" s="22"/>
      <c r="AP270" s="22"/>
      <c r="AQ270" s="22"/>
      <c r="AR270" s="22"/>
      <c r="AS270" s="25"/>
    </row>
    <row r="271" spans="1:45" s="1" customFormat="1">
      <c r="A271" s="22">
        <f t="shared" si="4"/>
        <v>270</v>
      </c>
      <c r="B271" s="23">
        <v>45686</v>
      </c>
      <c r="C271" s="22" t="s">
        <v>208</v>
      </c>
      <c r="D271" s="22" t="s">
        <v>667</v>
      </c>
      <c r="E271" s="22">
        <v>20246232</v>
      </c>
      <c r="F271" s="22" t="s">
        <v>1428</v>
      </c>
      <c r="G271" s="22" t="s">
        <v>1429</v>
      </c>
      <c r="H271" s="22" t="s">
        <v>1430</v>
      </c>
      <c r="I271" s="22" t="s">
        <v>55</v>
      </c>
      <c r="J271" s="22" t="s">
        <v>1418</v>
      </c>
      <c r="K271" s="22" t="s">
        <v>1419</v>
      </c>
      <c r="L271" s="22" t="s">
        <v>1431</v>
      </c>
      <c r="M271" s="22" t="s">
        <v>1432</v>
      </c>
      <c r="N271" s="22" t="s">
        <v>780</v>
      </c>
      <c r="O271" s="22"/>
      <c r="P271" s="22" t="s">
        <v>144</v>
      </c>
      <c r="Q271" s="22" t="s">
        <v>63</v>
      </c>
      <c r="R271" s="22" t="s">
        <v>63</v>
      </c>
      <c r="S271" s="22" t="s">
        <v>1433</v>
      </c>
      <c r="T271" s="22" t="s">
        <v>134</v>
      </c>
      <c r="U271" s="24"/>
      <c r="V271" s="22"/>
      <c r="W271" s="22" t="s">
        <v>93</v>
      </c>
      <c r="X271" s="22" t="s">
        <v>93</v>
      </c>
      <c r="Y271" s="22"/>
      <c r="Z271" s="22" t="s">
        <v>66</v>
      </c>
      <c r="AA271" s="22"/>
      <c r="AB271" s="22"/>
      <c r="AC271" s="22"/>
      <c r="AD271" s="22"/>
      <c r="AE271" s="22"/>
      <c r="AF271" s="22"/>
      <c r="AG271" s="22"/>
      <c r="AH271" s="22"/>
      <c r="AI271" s="22"/>
      <c r="AJ271" s="22"/>
      <c r="AK271" s="22"/>
      <c r="AL271" s="22"/>
      <c r="AM271" s="22"/>
      <c r="AN271" s="22"/>
      <c r="AO271" s="22"/>
      <c r="AP271" s="22"/>
      <c r="AQ271" s="22"/>
      <c r="AR271" s="22"/>
      <c r="AS271" s="25"/>
    </row>
    <row r="272" spans="1:45" s="1" customFormat="1">
      <c r="A272" s="22">
        <f t="shared" si="4"/>
        <v>271</v>
      </c>
      <c r="B272" s="23">
        <v>45686</v>
      </c>
      <c r="C272" s="22" t="s">
        <v>208</v>
      </c>
      <c r="D272" s="22" t="s">
        <v>1128</v>
      </c>
      <c r="E272" s="22">
        <v>20246232</v>
      </c>
      <c r="F272" s="22" t="s">
        <v>1434</v>
      </c>
      <c r="G272" s="22">
        <v>9527238410</v>
      </c>
      <c r="H272" s="22" t="s">
        <v>1435</v>
      </c>
      <c r="I272" s="22" t="s">
        <v>55</v>
      </c>
      <c r="J272" s="22" t="s">
        <v>1418</v>
      </c>
      <c r="K272" s="22" t="s">
        <v>1419</v>
      </c>
      <c r="L272" s="22" t="s">
        <v>688</v>
      </c>
      <c r="M272" s="22" t="s">
        <v>1436</v>
      </c>
      <c r="N272" s="22" t="s">
        <v>144</v>
      </c>
      <c r="O272" s="22"/>
      <c r="P272" s="22" t="s">
        <v>1437</v>
      </c>
      <c r="Q272" s="22" t="s">
        <v>890</v>
      </c>
      <c r="R272" s="22" t="s">
        <v>63</v>
      </c>
      <c r="S272" s="22" t="s">
        <v>1032</v>
      </c>
      <c r="T272" s="22" t="s">
        <v>134</v>
      </c>
      <c r="U272" s="24"/>
      <c r="V272" s="22"/>
      <c r="W272" s="22" t="s">
        <v>93</v>
      </c>
      <c r="X272" s="22" t="s">
        <v>93</v>
      </c>
      <c r="Y272" s="22"/>
      <c r="Z272" s="22" t="s">
        <v>66</v>
      </c>
      <c r="AA272" s="22"/>
      <c r="AB272" s="22"/>
      <c r="AC272" s="22"/>
      <c r="AD272" s="22"/>
      <c r="AE272" s="22"/>
      <c r="AF272" s="22"/>
      <c r="AG272" s="22"/>
      <c r="AH272" s="22"/>
      <c r="AI272" s="22"/>
      <c r="AJ272" s="22"/>
      <c r="AK272" s="22"/>
      <c r="AL272" s="22"/>
      <c r="AM272" s="22"/>
      <c r="AN272" s="22"/>
      <c r="AO272" s="22"/>
      <c r="AP272" s="22"/>
      <c r="AQ272" s="22"/>
      <c r="AR272" s="22"/>
      <c r="AS272" s="25"/>
    </row>
    <row r="273" spans="1:45" s="1" customFormat="1">
      <c r="A273" s="22">
        <f t="shared" si="4"/>
        <v>272</v>
      </c>
      <c r="B273" s="23">
        <v>45686</v>
      </c>
      <c r="C273" s="22" t="s">
        <v>208</v>
      </c>
      <c r="D273" s="22" t="s">
        <v>293</v>
      </c>
      <c r="E273" s="22">
        <v>20246232</v>
      </c>
      <c r="F273" s="22" t="s">
        <v>1438</v>
      </c>
      <c r="G273" s="22">
        <v>9911331818</v>
      </c>
      <c r="H273" s="22" t="s">
        <v>1439</v>
      </c>
      <c r="I273" s="22" t="s">
        <v>55</v>
      </c>
      <c r="J273" s="22" t="s">
        <v>1418</v>
      </c>
      <c r="K273" s="22" t="s">
        <v>1419</v>
      </c>
      <c r="L273" s="22" t="s">
        <v>338</v>
      </c>
      <c r="M273" s="22" t="s">
        <v>1440</v>
      </c>
      <c r="N273" s="22" t="s">
        <v>1441</v>
      </c>
      <c r="O273" s="22"/>
      <c r="P273" s="22" t="s">
        <v>341</v>
      </c>
      <c r="Q273" s="22" t="s">
        <v>1442</v>
      </c>
      <c r="R273" s="22" t="s">
        <v>63</v>
      </c>
      <c r="S273" s="22" t="s">
        <v>1443</v>
      </c>
      <c r="T273" s="22" t="s">
        <v>134</v>
      </c>
      <c r="U273" s="24"/>
      <c r="V273" s="22"/>
      <c r="W273" s="22" t="s">
        <v>93</v>
      </c>
      <c r="X273" s="22" t="s">
        <v>93</v>
      </c>
      <c r="Y273" s="22"/>
      <c r="Z273" s="22" t="s">
        <v>66</v>
      </c>
      <c r="AA273" s="22"/>
      <c r="AB273" s="22"/>
      <c r="AC273" s="22"/>
      <c r="AD273" s="22"/>
      <c r="AE273" s="22"/>
      <c r="AF273" s="22"/>
      <c r="AG273" s="22"/>
      <c r="AH273" s="22"/>
      <c r="AI273" s="22"/>
      <c r="AJ273" s="22"/>
      <c r="AK273" s="22"/>
      <c r="AL273" s="22"/>
      <c r="AM273" s="22"/>
      <c r="AN273" s="22"/>
      <c r="AO273" s="22"/>
      <c r="AP273" s="22"/>
      <c r="AQ273" s="22"/>
      <c r="AR273" s="22"/>
      <c r="AS273" s="25"/>
    </row>
    <row r="274" spans="1:45" s="1" customFormat="1">
      <c r="A274" s="22">
        <f t="shared" si="4"/>
        <v>273</v>
      </c>
      <c r="B274" s="23">
        <v>45686</v>
      </c>
      <c r="C274" s="22" t="s">
        <v>208</v>
      </c>
      <c r="D274" s="22" t="s">
        <v>667</v>
      </c>
      <c r="E274" s="22">
        <v>20246232</v>
      </c>
      <c r="F274" s="22" t="s">
        <v>1444</v>
      </c>
      <c r="G274" s="22">
        <v>8617748736</v>
      </c>
      <c r="H274" s="22" t="s">
        <v>1445</v>
      </c>
      <c r="I274" s="22" t="s">
        <v>55</v>
      </c>
      <c r="J274" s="22" t="s">
        <v>1418</v>
      </c>
      <c r="K274" s="22" t="s">
        <v>1419</v>
      </c>
      <c r="L274" s="22" t="s">
        <v>1446</v>
      </c>
      <c r="M274" s="22" t="s">
        <v>1447</v>
      </c>
      <c r="N274" s="22" t="s">
        <v>146</v>
      </c>
      <c r="O274" s="22"/>
      <c r="P274" s="22" t="s">
        <v>540</v>
      </c>
      <c r="Q274" s="22" t="s">
        <v>63</v>
      </c>
      <c r="R274" s="22" t="s">
        <v>63</v>
      </c>
      <c r="S274" s="22" t="s">
        <v>1448</v>
      </c>
      <c r="T274" s="22" t="s">
        <v>1449</v>
      </c>
      <c r="U274" s="24"/>
      <c r="V274" s="22"/>
      <c r="W274" s="22" t="s">
        <v>93</v>
      </c>
      <c r="X274" s="22" t="s">
        <v>93</v>
      </c>
      <c r="Y274" s="22"/>
      <c r="Z274" s="22" t="s">
        <v>66</v>
      </c>
      <c r="AA274" s="22"/>
      <c r="AB274" s="22"/>
      <c r="AC274" s="22"/>
      <c r="AD274" s="22"/>
      <c r="AE274" s="22"/>
      <c r="AF274" s="22"/>
      <c r="AG274" s="22"/>
      <c r="AH274" s="22"/>
      <c r="AI274" s="22"/>
      <c r="AJ274" s="22"/>
      <c r="AK274" s="22"/>
      <c r="AL274" s="22"/>
      <c r="AM274" s="22"/>
      <c r="AN274" s="22"/>
      <c r="AO274" s="22"/>
      <c r="AP274" s="22"/>
      <c r="AQ274" s="22"/>
      <c r="AR274" s="22"/>
      <c r="AS274" s="25"/>
    </row>
    <row r="275" spans="1:45" s="1" customFormat="1">
      <c r="A275" s="22">
        <f t="shared" si="4"/>
        <v>274</v>
      </c>
      <c r="B275" s="23">
        <v>45686</v>
      </c>
      <c r="C275" s="22" t="s">
        <v>208</v>
      </c>
      <c r="D275" s="22" t="s">
        <v>1128</v>
      </c>
      <c r="E275" s="22">
        <v>20246232</v>
      </c>
      <c r="F275" s="22" t="s">
        <v>1450</v>
      </c>
      <c r="G275" s="22">
        <v>8291734245</v>
      </c>
      <c r="H275" s="22" t="s">
        <v>1451</v>
      </c>
      <c r="I275" s="22" t="s">
        <v>55</v>
      </c>
      <c r="J275" s="22" t="s">
        <v>1418</v>
      </c>
      <c r="K275" s="22" t="s">
        <v>1419</v>
      </c>
      <c r="L275" s="22" t="s">
        <v>385</v>
      </c>
      <c r="M275" s="22" t="s">
        <v>1452</v>
      </c>
      <c r="N275" s="22" t="s">
        <v>164</v>
      </c>
      <c r="O275" s="22"/>
      <c r="P275" s="22" t="s">
        <v>1453</v>
      </c>
      <c r="Q275" s="22" t="s">
        <v>63</v>
      </c>
      <c r="R275" s="22" t="s">
        <v>63</v>
      </c>
      <c r="S275" s="22" t="s">
        <v>1454</v>
      </c>
      <c r="T275" s="22" t="s">
        <v>134</v>
      </c>
      <c r="U275" s="24"/>
      <c r="V275" s="22"/>
      <c r="W275" s="22" t="s">
        <v>93</v>
      </c>
      <c r="X275" s="22" t="s">
        <v>93</v>
      </c>
      <c r="Y275" s="22"/>
      <c r="Z275" s="22" t="s">
        <v>66</v>
      </c>
      <c r="AA275" s="22"/>
      <c r="AB275" s="22"/>
      <c r="AC275" s="22"/>
      <c r="AD275" s="22"/>
      <c r="AE275" s="22"/>
      <c r="AF275" s="22"/>
      <c r="AG275" s="22"/>
      <c r="AH275" s="22"/>
      <c r="AI275" s="22"/>
      <c r="AJ275" s="22"/>
      <c r="AK275" s="22"/>
      <c r="AL275" s="22"/>
      <c r="AM275" s="22"/>
      <c r="AN275" s="22"/>
      <c r="AO275" s="22"/>
      <c r="AP275" s="22"/>
      <c r="AQ275" s="22"/>
      <c r="AR275" s="22"/>
      <c r="AS275" s="25"/>
    </row>
    <row r="276" spans="1:45" s="1" customFormat="1">
      <c r="A276" s="22">
        <f t="shared" si="4"/>
        <v>275</v>
      </c>
      <c r="B276" s="23">
        <v>45687</v>
      </c>
      <c r="C276" s="22" t="s">
        <v>208</v>
      </c>
      <c r="D276" s="22" t="s">
        <v>209</v>
      </c>
      <c r="E276" s="22">
        <v>20243902</v>
      </c>
      <c r="F276" s="22" t="s">
        <v>1455</v>
      </c>
      <c r="G276" s="22">
        <v>9922793762</v>
      </c>
      <c r="H276" s="22" t="s">
        <v>1456</v>
      </c>
      <c r="I276" s="22" t="s">
        <v>55</v>
      </c>
      <c r="J276" s="22" t="s">
        <v>1299</v>
      </c>
      <c r="K276" s="22" t="s">
        <v>563</v>
      </c>
      <c r="L276" s="22">
        <v>2.5</v>
      </c>
      <c r="M276" s="22" t="s">
        <v>791</v>
      </c>
      <c r="N276" s="22">
        <v>3</v>
      </c>
      <c r="O276" s="22" t="s">
        <v>61</v>
      </c>
      <c r="P276" s="22">
        <v>5</v>
      </c>
      <c r="Q276" s="22" t="s">
        <v>63</v>
      </c>
      <c r="R276" s="22" t="s">
        <v>63</v>
      </c>
      <c r="S276" s="22" t="s">
        <v>230</v>
      </c>
      <c r="T276" s="22"/>
      <c r="U276" s="24"/>
      <c r="V276" s="22"/>
      <c r="W276" s="22" t="s">
        <v>218</v>
      </c>
      <c r="X276" s="22" t="s">
        <v>218</v>
      </c>
      <c r="Y276" s="22" t="s">
        <v>135</v>
      </c>
      <c r="Z276" s="22" t="s">
        <v>66</v>
      </c>
      <c r="AA276" s="22"/>
      <c r="AB276" s="22"/>
      <c r="AC276" s="22"/>
      <c r="AD276" s="22"/>
      <c r="AE276" s="22"/>
      <c r="AF276" s="22"/>
      <c r="AG276" s="22"/>
      <c r="AH276" s="22"/>
      <c r="AI276" s="22"/>
      <c r="AJ276" s="22"/>
      <c r="AK276" s="22"/>
      <c r="AL276" s="22"/>
      <c r="AM276" s="22"/>
      <c r="AN276" s="22"/>
      <c r="AO276" s="22"/>
      <c r="AP276" s="22"/>
      <c r="AQ276" s="22"/>
      <c r="AR276" s="22"/>
      <c r="AS276" s="25"/>
    </row>
    <row r="277" spans="1:45" s="1" customFormat="1">
      <c r="A277" s="22">
        <f t="shared" si="4"/>
        <v>276</v>
      </c>
      <c r="B277" s="23">
        <v>45687</v>
      </c>
      <c r="C277" s="22" t="s">
        <v>208</v>
      </c>
      <c r="D277" s="22" t="s">
        <v>209</v>
      </c>
      <c r="E277" s="22">
        <v>20243902</v>
      </c>
      <c r="F277" s="22" t="s">
        <v>1457</v>
      </c>
      <c r="G277" s="22">
        <v>9403459850</v>
      </c>
      <c r="H277" s="22" t="s">
        <v>1458</v>
      </c>
      <c r="I277" s="22" t="s">
        <v>55</v>
      </c>
      <c r="J277" s="22" t="s">
        <v>1299</v>
      </c>
      <c r="K277" s="22" t="s">
        <v>563</v>
      </c>
      <c r="L277" s="22">
        <v>3</v>
      </c>
      <c r="M277" s="22" t="s">
        <v>1459</v>
      </c>
      <c r="N277" s="22">
        <v>3.5</v>
      </c>
      <c r="O277" s="22" t="s">
        <v>61</v>
      </c>
      <c r="P277" s="22">
        <v>6</v>
      </c>
      <c r="Q277" s="22" t="s">
        <v>490</v>
      </c>
      <c r="R277" s="22" t="s">
        <v>63</v>
      </c>
      <c r="S277" s="22" t="s">
        <v>230</v>
      </c>
      <c r="T277" s="22"/>
      <c r="U277" s="24"/>
      <c r="V277" s="22"/>
      <c r="W277" s="22" t="s">
        <v>218</v>
      </c>
      <c r="X277" s="22" t="s">
        <v>218</v>
      </c>
      <c r="Y277" s="22" t="s">
        <v>135</v>
      </c>
      <c r="Z277" s="22" t="s">
        <v>66</v>
      </c>
      <c r="AA277" s="22"/>
      <c r="AB277" s="22"/>
      <c r="AC277" s="22"/>
      <c r="AD277" s="22"/>
      <c r="AE277" s="22"/>
      <c r="AF277" s="22"/>
      <c r="AG277" s="22"/>
      <c r="AH277" s="22"/>
      <c r="AI277" s="22"/>
      <c r="AJ277" s="22"/>
      <c r="AK277" s="22"/>
      <c r="AL277" s="22"/>
      <c r="AM277" s="22"/>
      <c r="AN277" s="22"/>
      <c r="AO277" s="22"/>
      <c r="AP277" s="22"/>
      <c r="AQ277" s="22"/>
      <c r="AR277" s="22"/>
      <c r="AS277" s="25"/>
    </row>
    <row r="278" spans="1:45" s="1" customFormat="1">
      <c r="A278" s="22">
        <f t="shared" si="4"/>
        <v>277</v>
      </c>
      <c r="B278" s="23">
        <v>45687</v>
      </c>
      <c r="C278" s="22" t="s">
        <v>208</v>
      </c>
      <c r="D278" s="22" t="s">
        <v>1081</v>
      </c>
      <c r="E278" s="22">
        <v>20245969</v>
      </c>
      <c r="F278" s="22" t="s">
        <v>1460</v>
      </c>
      <c r="G278" s="22">
        <v>7776876275</v>
      </c>
      <c r="H278" s="22" t="s">
        <v>1461</v>
      </c>
      <c r="I278" s="22" t="s">
        <v>55</v>
      </c>
      <c r="J278" s="22" t="s">
        <v>319</v>
      </c>
      <c r="K278" s="22" t="s">
        <v>1080</v>
      </c>
      <c r="L278" s="22" t="s">
        <v>58</v>
      </c>
      <c r="M278" s="22" t="s">
        <v>1462</v>
      </c>
      <c r="N278" s="22">
        <v>13</v>
      </c>
      <c r="O278" s="22" t="s">
        <v>61</v>
      </c>
      <c r="P278" s="22" t="s">
        <v>1006</v>
      </c>
      <c r="Q278" s="22" t="s">
        <v>63</v>
      </c>
      <c r="R278" s="22" t="s">
        <v>63</v>
      </c>
      <c r="S278" s="22" t="s">
        <v>1463</v>
      </c>
      <c r="T278" s="22" t="s">
        <v>1464</v>
      </c>
      <c r="U278" s="24"/>
      <c r="V278" s="22"/>
      <c r="W278" s="22" t="s">
        <v>65</v>
      </c>
      <c r="X278" s="22" t="s">
        <v>65</v>
      </c>
      <c r="Y278" s="22"/>
      <c r="Z278" s="22" t="s">
        <v>66</v>
      </c>
      <c r="AA278" s="22"/>
      <c r="AB278" s="22"/>
      <c r="AC278" s="22"/>
      <c r="AD278" s="22"/>
      <c r="AE278" s="22"/>
      <c r="AF278" s="22"/>
      <c r="AG278" s="22"/>
      <c r="AH278" s="22"/>
      <c r="AI278" s="22"/>
      <c r="AJ278" s="22"/>
      <c r="AK278" s="22"/>
      <c r="AL278" s="22"/>
      <c r="AM278" s="22"/>
      <c r="AN278" s="22"/>
      <c r="AO278" s="22"/>
      <c r="AP278" s="22"/>
      <c r="AQ278" s="22"/>
      <c r="AR278" s="22"/>
      <c r="AS278" s="25"/>
    </row>
    <row r="279" spans="1:45" s="1" customFormat="1">
      <c r="A279" s="22">
        <f t="shared" si="4"/>
        <v>278</v>
      </c>
      <c r="B279" s="23">
        <v>45687</v>
      </c>
      <c r="C279" s="22" t="s">
        <v>208</v>
      </c>
      <c r="D279" s="22" t="s">
        <v>209</v>
      </c>
      <c r="E279" s="22">
        <v>20245969</v>
      </c>
      <c r="F279" s="22" t="s">
        <v>1465</v>
      </c>
      <c r="G279" s="22">
        <v>9561821339</v>
      </c>
      <c r="H279" s="22" t="s">
        <v>1466</v>
      </c>
      <c r="I279" s="22" t="s">
        <v>55</v>
      </c>
      <c r="J279" s="22" t="s">
        <v>319</v>
      </c>
      <c r="K279" s="22" t="s">
        <v>1080</v>
      </c>
      <c r="L279" s="22" t="s">
        <v>1053</v>
      </c>
      <c r="M279" s="22" t="s">
        <v>1467</v>
      </c>
      <c r="N279" s="22">
        <v>5.6</v>
      </c>
      <c r="O279" s="22" t="s">
        <v>61</v>
      </c>
      <c r="P279" s="22">
        <v>10</v>
      </c>
      <c r="Q279" s="22" t="s">
        <v>63</v>
      </c>
      <c r="R279" s="22" t="s">
        <v>63</v>
      </c>
      <c r="S279" s="22" t="s">
        <v>1468</v>
      </c>
      <c r="T279" s="22" t="s">
        <v>61</v>
      </c>
      <c r="U279" s="24"/>
      <c r="V279" s="22"/>
      <c r="W279" s="22" t="s">
        <v>65</v>
      </c>
      <c r="X279" s="22" t="s">
        <v>65</v>
      </c>
      <c r="Y279" s="22"/>
      <c r="Z279" s="22" t="s">
        <v>66</v>
      </c>
      <c r="AA279" s="22"/>
      <c r="AB279" s="22">
        <v>45694</v>
      </c>
      <c r="AC279" s="22"/>
      <c r="AD279" s="22"/>
      <c r="AE279" s="22"/>
      <c r="AF279" s="22"/>
      <c r="AG279" s="22"/>
      <c r="AH279" s="22"/>
      <c r="AI279" s="22"/>
      <c r="AJ279" s="22"/>
      <c r="AK279" s="22"/>
      <c r="AL279" s="22"/>
      <c r="AM279" s="22"/>
      <c r="AN279" s="22"/>
      <c r="AO279" s="22"/>
      <c r="AP279" s="22"/>
      <c r="AQ279" s="22"/>
      <c r="AR279" s="22"/>
      <c r="AS279" s="25"/>
    </row>
    <row r="280" spans="1:45" s="1" customFormat="1">
      <c r="A280" s="22">
        <f t="shared" si="4"/>
        <v>279</v>
      </c>
      <c r="B280" s="23">
        <v>45687</v>
      </c>
      <c r="C280" s="22" t="s">
        <v>208</v>
      </c>
      <c r="D280" s="22" t="s">
        <v>209</v>
      </c>
      <c r="E280" s="22">
        <v>20245969</v>
      </c>
      <c r="F280" s="22" t="s">
        <v>1469</v>
      </c>
      <c r="G280" s="22">
        <v>7620741012</v>
      </c>
      <c r="H280" s="22" t="s">
        <v>1470</v>
      </c>
      <c r="I280" s="22" t="s">
        <v>55</v>
      </c>
      <c r="J280" s="22" t="s">
        <v>319</v>
      </c>
      <c r="K280" s="22" t="s">
        <v>1080</v>
      </c>
      <c r="L280" s="22" t="s">
        <v>1471</v>
      </c>
      <c r="M280" s="22" t="s">
        <v>1472</v>
      </c>
      <c r="N280" s="22">
        <v>6.6</v>
      </c>
      <c r="O280" s="22" t="s">
        <v>61</v>
      </c>
      <c r="P280" s="22" t="s">
        <v>1473</v>
      </c>
      <c r="Q280" s="22" t="s">
        <v>63</v>
      </c>
      <c r="R280" s="22" t="s">
        <v>63</v>
      </c>
      <c r="S280" s="22" t="s">
        <v>1474</v>
      </c>
      <c r="T280" s="22" t="s">
        <v>61</v>
      </c>
      <c r="U280" s="24"/>
      <c r="V280" s="22"/>
      <c r="W280" s="22" t="s">
        <v>65</v>
      </c>
      <c r="X280" s="22" t="s">
        <v>65</v>
      </c>
      <c r="Y280" s="22"/>
      <c r="Z280" s="22" t="s">
        <v>66</v>
      </c>
      <c r="AA280" s="22"/>
      <c r="AB280" s="22">
        <v>45693</v>
      </c>
      <c r="AC280" s="22"/>
      <c r="AD280" s="22"/>
      <c r="AE280" s="22"/>
      <c r="AF280" s="22"/>
      <c r="AG280" s="22"/>
      <c r="AH280" s="22"/>
      <c r="AI280" s="22"/>
      <c r="AJ280" s="22"/>
      <c r="AK280" s="22"/>
      <c r="AL280" s="22"/>
      <c r="AM280" s="22"/>
      <c r="AN280" s="22"/>
      <c r="AO280" s="22"/>
      <c r="AP280" s="22"/>
      <c r="AQ280" s="22"/>
      <c r="AR280" s="22"/>
      <c r="AS280" s="25"/>
    </row>
    <row r="281" spans="1:45" s="1" customFormat="1">
      <c r="A281" s="22">
        <f t="shared" si="4"/>
        <v>280</v>
      </c>
      <c r="B281" s="23">
        <v>45687</v>
      </c>
      <c r="C281" s="22" t="s">
        <v>208</v>
      </c>
      <c r="D281" s="22" t="s">
        <v>1475</v>
      </c>
      <c r="E281" s="22">
        <v>20245969</v>
      </c>
      <c r="F281" s="22" t="s">
        <v>1476</v>
      </c>
      <c r="G281" s="22">
        <v>9392491628</v>
      </c>
      <c r="H281" s="22" t="s">
        <v>1477</v>
      </c>
      <c r="I281" s="22" t="s">
        <v>55</v>
      </c>
      <c r="J281" s="22" t="s">
        <v>319</v>
      </c>
      <c r="K281" s="22" t="s">
        <v>1080</v>
      </c>
      <c r="L281" s="22" t="s">
        <v>58</v>
      </c>
      <c r="M281" s="22" t="s">
        <v>1478</v>
      </c>
      <c r="N281" s="22">
        <v>6.8</v>
      </c>
      <c r="O281" s="22" t="s">
        <v>61</v>
      </c>
      <c r="P281" s="22">
        <v>12</v>
      </c>
      <c r="Q281" s="22" t="s">
        <v>63</v>
      </c>
      <c r="R281" s="22" t="s">
        <v>63</v>
      </c>
      <c r="S281" s="22" t="s">
        <v>1479</v>
      </c>
      <c r="T281" s="22" t="s">
        <v>946</v>
      </c>
      <c r="U281" s="24"/>
      <c r="V281" s="22"/>
      <c r="W281" s="22" t="s">
        <v>65</v>
      </c>
      <c r="X281" s="22" t="s">
        <v>65</v>
      </c>
      <c r="Y281" s="22"/>
      <c r="Z281" s="22" t="s">
        <v>66</v>
      </c>
      <c r="AA281" s="22"/>
      <c r="AB281" s="22">
        <v>45698</v>
      </c>
      <c r="AC281" s="22"/>
      <c r="AD281" s="22"/>
      <c r="AE281" s="22"/>
      <c r="AF281" s="22"/>
      <c r="AG281" s="22"/>
      <c r="AH281" s="22"/>
      <c r="AI281" s="22"/>
      <c r="AJ281" s="22"/>
      <c r="AK281" s="22"/>
      <c r="AL281" s="22"/>
      <c r="AM281" s="22"/>
      <c r="AN281" s="22"/>
      <c r="AO281" s="22"/>
      <c r="AP281" s="22"/>
      <c r="AQ281" s="22"/>
      <c r="AR281" s="22"/>
      <c r="AS281" s="25"/>
    </row>
    <row r="282" spans="1:45" s="1" customFormat="1">
      <c r="A282" s="22">
        <f t="shared" si="4"/>
        <v>281</v>
      </c>
      <c r="B282" s="23">
        <v>45688</v>
      </c>
      <c r="C282" s="22" t="s">
        <v>208</v>
      </c>
      <c r="D282" s="22" t="s">
        <v>1056</v>
      </c>
      <c r="E282" s="22">
        <v>20250696</v>
      </c>
      <c r="F282" s="22" t="s">
        <v>1480</v>
      </c>
      <c r="G282" s="22">
        <v>9766608483</v>
      </c>
      <c r="H282" s="22" t="s">
        <v>1481</v>
      </c>
      <c r="I282" s="22" t="s">
        <v>55</v>
      </c>
      <c r="J282" s="22" t="s">
        <v>251</v>
      </c>
      <c r="K282" s="22" t="s">
        <v>252</v>
      </c>
      <c r="L282" s="22">
        <v>8</v>
      </c>
      <c r="M282" s="22" t="s">
        <v>365</v>
      </c>
      <c r="N282" s="22">
        <v>6</v>
      </c>
      <c r="O282" s="22">
        <v>0</v>
      </c>
      <c r="P282" s="22">
        <v>8</v>
      </c>
      <c r="Q282" s="22" t="s">
        <v>1482</v>
      </c>
      <c r="R282" s="22" t="s">
        <v>63</v>
      </c>
      <c r="S282" s="22" t="s">
        <v>1305</v>
      </c>
      <c r="T282" s="22"/>
      <c r="U282" s="24"/>
      <c r="V282" s="22"/>
      <c r="W282" s="22" t="s">
        <v>218</v>
      </c>
      <c r="X282" s="22" t="s">
        <v>218</v>
      </c>
      <c r="Y282" s="22" t="s">
        <v>135</v>
      </c>
      <c r="Z282" s="22" t="s">
        <v>66</v>
      </c>
      <c r="AA282" s="22"/>
      <c r="AB282" s="22"/>
      <c r="AC282" s="22"/>
      <c r="AD282" s="22"/>
      <c r="AE282" s="22"/>
      <c r="AF282" s="22"/>
      <c r="AG282" s="22"/>
      <c r="AH282" s="22"/>
      <c r="AI282" s="22"/>
      <c r="AJ282" s="22"/>
      <c r="AK282" s="22"/>
      <c r="AL282" s="22"/>
      <c r="AM282" s="22"/>
      <c r="AN282" s="22"/>
      <c r="AO282" s="22"/>
      <c r="AP282" s="22"/>
      <c r="AQ282" s="22"/>
      <c r="AR282" s="22"/>
      <c r="AS282" s="25"/>
    </row>
    <row r="283" spans="1:45" s="1" customFormat="1">
      <c r="A283" s="22">
        <f t="shared" si="4"/>
        <v>282</v>
      </c>
      <c r="B283" s="23">
        <v>45688</v>
      </c>
      <c r="C283" s="22" t="s">
        <v>208</v>
      </c>
      <c r="D283" s="22" t="s">
        <v>209</v>
      </c>
      <c r="E283" s="22">
        <v>20250696</v>
      </c>
      <c r="F283" s="22" t="s">
        <v>1483</v>
      </c>
      <c r="G283" s="22">
        <v>7020226882</v>
      </c>
      <c r="H283" s="22" t="s">
        <v>1484</v>
      </c>
      <c r="I283" s="22" t="s">
        <v>55</v>
      </c>
      <c r="J283" s="22" t="s">
        <v>251</v>
      </c>
      <c r="K283" s="22" t="s">
        <v>252</v>
      </c>
      <c r="L283" s="22">
        <v>7</v>
      </c>
      <c r="M283" s="22" t="s">
        <v>1485</v>
      </c>
      <c r="N283" s="22">
        <v>6.7</v>
      </c>
      <c r="O283" s="22">
        <v>0</v>
      </c>
      <c r="P283" s="22">
        <v>9</v>
      </c>
      <c r="Q283" s="22" t="s">
        <v>890</v>
      </c>
      <c r="R283" s="22" t="s">
        <v>63</v>
      </c>
      <c r="S283" s="22" t="s">
        <v>255</v>
      </c>
      <c r="T283" s="22"/>
      <c r="U283" s="24"/>
      <c r="V283" s="22"/>
      <c r="W283" s="22" t="s">
        <v>218</v>
      </c>
      <c r="X283" s="22" t="s">
        <v>218</v>
      </c>
      <c r="Y283" s="22" t="s">
        <v>135</v>
      </c>
      <c r="Z283" s="22" t="s">
        <v>66</v>
      </c>
      <c r="AA283" s="22"/>
      <c r="AB283" s="22"/>
      <c r="AC283" s="22"/>
      <c r="AD283" s="22"/>
      <c r="AE283" s="22"/>
      <c r="AF283" s="22"/>
      <c r="AG283" s="22"/>
      <c r="AH283" s="22"/>
      <c r="AI283" s="22"/>
      <c r="AJ283" s="22"/>
      <c r="AK283" s="22"/>
      <c r="AL283" s="22"/>
      <c r="AM283" s="22"/>
      <c r="AN283" s="22"/>
      <c r="AO283" s="22"/>
      <c r="AP283" s="22"/>
      <c r="AQ283" s="22"/>
      <c r="AR283" s="22"/>
      <c r="AS283" s="25"/>
    </row>
    <row r="284" spans="1:45" s="1" customFormat="1">
      <c r="A284" s="22">
        <f t="shared" si="4"/>
        <v>283</v>
      </c>
      <c r="B284" s="23">
        <v>45688</v>
      </c>
      <c r="C284" s="22" t="s">
        <v>208</v>
      </c>
      <c r="D284" s="22" t="s">
        <v>209</v>
      </c>
      <c r="E284" s="22">
        <v>20250717</v>
      </c>
      <c r="F284" s="22" t="s">
        <v>1486</v>
      </c>
      <c r="G284" s="22">
        <v>9561144344</v>
      </c>
      <c r="H284" s="22" t="s">
        <v>1487</v>
      </c>
      <c r="I284" s="22" t="s">
        <v>55</v>
      </c>
      <c r="J284" s="22" t="s">
        <v>379</v>
      </c>
      <c r="K284" s="22" t="s">
        <v>380</v>
      </c>
      <c r="L284" s="22">
        <v>7</v>
      </c>
      <c r="M284" s="22" t="s">
        <v>1488</v>
      </c>
      <c r="N284" s="22">
        <v>8</v>
      </c>
      <c r="O284" s="22">
        <v>0</v>
      </c>
      <c r="P284" s="22">
        <v>12</v>
      </c>
      <c r="Q284" s="22" t="s">
        <v>63</v>
      </c>
      <c r="R284" s="22" t="s">
        <v>63</v>
      </c>
      <c r="S284" s="22">
        <v>0</v>
      </c>
      <c r="T284" s="22"/>
      <c r="U284" s="24"/>
      <c r="V284" s="22"/>
      <c r="W284" s="22" t="s">
        <v>218</v>
      </c>
      <c r="X284" s="22" t="s">
        <v>218</v>
      </c>
      <c r="Y284" s="22" t="s">
        <v>135</v>
      </c>
      <c r="Z284" s="22" t="s">
        <v>66</v>
      </c>
      <c r="AA284" s="22"/>
      <c r="AB284" s="22"/>
      <c r="AC284" s="22"/>
      <c r="AD284" s="22"/>
      <c r="AE284" s="22"/>
      <c r="AF284" s="22"/>
      <c r="AG284" s="22"/>
      <c r="AH284" s="22"/>
      <c r="AI284" s="22"/>
      <c r="AJ284" s="22"/>
      <c r="AK284" s="22"/>
      <c r="AL284" s="22"/>
      <c r="AM284" s="22"/>
      <c r="AN284" s="22"/>
      <c r="AO284" s="22"/>
      <c r="AP284" s="22"/>
      <c r="AQ284" s="22"/>
      <c r="AR284" s="22"/>
      <c r="AS284" s="25"/>
    </row>
    <row r="285" spans="1:45" s="1" customFormat="1">
      <c r="A285" s="22">
        <f t="shared" si="4"/>
        <v>284</v>
      </c>
      <c r="B285" s="23">
        <v>45688</v>
      </c>
      <c r="C285" s="22" t="s">
        <v>208</v>
      </c>
      <c r="D285" s="22" t="s">
        <v>209</v>
      </c>
      <c r="E285" s="22">
        <v>20250717</v>
      </c>
      <c r="F285" s="22" t="s">
        <v>1489</v>
      </c>
      <c r="G285" s="22">
        <v>8892643479</v>
      </c>
      <c r="H285" s="22" t="s">
        <v>1490</v>
      </c>
      <c r="I285" s="22" t="s">
        <v>55</v>
      </c>
      <c r="J285" s="22" t="s">
        <v>379</v>
      </c>
      <c r="K285" s="22" t="s">
        <v>380</v>
      </c>
      <c r="L285" s="22">
        <v>6</v>
      </c>
      <c r="M285" s="22" t="s">
        <v>1491</v>
      </c>
      <c r="N285" s="22">
        <v>5.5</v>
      </c>
      <c r="O285" s="22">
        <v>0</v>
      </c>
      <c r="P285" s="22">
        <v>9</v>
      </c>
      <c r="Q285" s="22" t="s">
        <v>1492</v>
      </c>
      <c r="R285" s="22" t="s">
        <v>63</v>
      </c>
      <c r="S285" s="22" t="s">
        <v>255</v>
      </c>
      <c r="T285" s="22" t="s">
        <v>61</v>
      </c>
      <c r="U285" s="24"/>
      <c r="V285" s="22"/>
      <c r="W285" s="22" t="s">
        <v>218</v>
      </c>
      <c r="X285" s="22" t="s">
        <v>218</v>
      </c>
      <c r="Y285" s="22" t="s">
        <v>135</v>
      </c>
      <c r="Z285" s="22" t="s">
        <v>66</v>
      </c>
      <c r="AA285" s="22"/>
      <c r="AB285" s="22"/>
      <c r="AC285" s="22"/>
      <c r="AD285" s="22"/>
      <c r="AE285" s="22"/>
      <c r="AF285" s="22"/>
      <c r="AG285" s="22"/>
      <c r="AH285" s="22"/>
      <c r="AI285" s="22"/>
      <c r="AJ285" s="22"/>
      <c r="AK285" s="22"/>
      <c r="AL285" s="22"/>
      <c r="AM285" s="22"/>
      <c r="AN285" s="22"/>
      <c r="AO285" s="22"/>
      <c r="AP285" s="22"/>
      <c r="AQ285" s="22"/>
      <c r="AR285" s="22"/>
      <c r="AS285" s="25"/>
    </row>
    <row r="286" spans="1:45" s="1" customFormat="1">
      <c r="A286" s="22">
        <f t="shared" si="4"/>
        <v>285</v>
      </c>
      <c r="B286" s="23">
        <v>45688</v>
      </c>
      <c r="C286" s="22" t="s">
        <v>208</v>
      </c>
      <c r="D286" s="22" t="s">
        <v>1056</v>
      </c>
      <c r="E286" s="22">
        <v>20250717</v>
      </c>
      <c r="F286" s="22" t="s">
        <v>1493</v>
      </c>
      <c r="G286" s="22">
        <v>7016152007</v>
      </c>
      <c r="H286" s="22" t="s">
        <v>1494</v>
      </c>
      <c r="I286" s="22" t="s">
        <v>55</v>
      </c>
      <c r="J286" s="22" t="s">
        <v>379</v>
      </c>
      <c r="K286" s="22" t="s">
        <v>380</v>
      </c>
      <c r="L286" s="22">
        <v>5.8</v>
      </c>
      <c r="M286" s="22" t="s">
        <v>1495</v>
      </c>
      <c r="N286" s="22">
        <v>11.5</v>
      </c>
      <c r="O286" s="22">
        <v>0</v>
      </c>
      <c r="P286" s="22" t="s">
        <v>303</v>
      </c>
      <c r="Q286" s="22" t="s">
        <v>484</v>
      </c>
      <c r="R286" s="22" t="s">
        <v>63</v>
      </c>
      <c r="S286" s="22" t="s">
        <v>230</v>
      </c>
      <c r="T286" s="22">
        <v>0</v>
      </c>
      <c r="U286" s="24"/>
      <c r="V286" s="22"/>
      <c r="W286" s="22" t="s">
        <v>218</v>
      </c>
      <c r="X286" s="22" t="s">
        <v>218</v>
      </c>
      <c r="Y286" s="22" t="s">
        <v>135</v>
      </c>
      <c r="Z286" s="22" t="s">
        <v>66</v>
      </c>
      <c r="AA286" s="22"/>
      <c r="AB286" s="22"/>
      <c r="AC286" s="22"/>
      <c r="AD286" s="22"/>
      <c r="AE286" s="22"/>
      <c r="AF286" s="22"/>
      <c r="AG286" s="22"/>
      <c r="AH286" s="22"/>
      <c r="AI286" s="22"/>
      <c r="AJ286" s="22"/>
      <c r="AK286" s="22"/>
      <c r="AL286" s="22"/>
      <c r="AM286" s="22"/>
      <c r="AN286" s="22"/>
      <c r="AO286" s="22"/>
      <c r="AP286" s="22"/>
      <c r="AQ286" s="22"/>
      <c r="AR286" s="22"/>
      <c r="AS286" s="25"/>
    </row>
    <row r="287" spans="1:45" s="1" customFormat="1">
      <c r="A287" s="22">
        <f t="shared" si="4"/>
        <v>286</v>
      </c>
      <c r="B287" s="23">
        <v>45688</v>
      </c>
      <c r="C287" s="22" t="s">
        <v>208</v>
      </c>
      <c r="D287" s="22" t="s">
        <v>209</v>
      </c>
      <c r="E287" s="22">
        <v>20250717</v>
      </c>
      <c r="F287" s="22" t="s">
        <v>1496</v>
      </c>
      <c r="G287" s="22">
        <v>7219545883</v>
      </c>
      <c r="H287" s="22" t="s">
        <v>1497</v>
      </c>
      <c r="I287" s="22" t="s">
        <v>55</v>
      </c>
      <c r="J287" s="22" t="s">
        <v>379</v>
      </c>
      <c r="K287" s="22" t="s">
        <v>380</v>
      </c>
      <c r="L287" s="22">
        <v>3</v>
      </c>
      <c r="M287" s="22" t="s">
        <v>1495</v>
      </c>
      <c r="N287" s="22">
        <v>5</v>
      </c>
      <c r="O287" s="22">
        <v>0</v>
      </c>
      <c r="P287" s="22">
        <v>8</v>
      </c>
      <c r="Q287" s="22" t="s">
        <v>1498</v>
      </c>
      <c r="R287" s="22" t="s">
        <v>63</v>
      </c>
      <c r="S287" s="22">
        <v>0</v>
      </c>
      <c r="T287" s="22" t="s">
        <v>61</v>
      </c>
      <c r="U287" s="24"/>
      <c r="V287" s="22"/>
      <c r="W287" s="22" t="s">
        <v>218</v>
      </c>
      <c r="X287" s="22" t="s">
        <v>218</v>
      </c>
      <c r="Y287" s="22" t="s">
        <v>135</v>
      </c>
      <c r="Z287" s="22" t="s">
        <v>66</v>
      </c>
      <c r="AA287" s="22"/>
      <c r="AB287" s="22"/>
      <c r="AC287" s="22"/>
      <c r="AD287" s="22"/>
      <c r="AE287" s="22"/>
      <c r="AF287" s="22"/>
      <c r="AG287" s="22"/>
      <c r="AH287" s="22"/>
      <c r="AI287" s="22"/>
      <c r="AJ287" s="22"/>
      <c r="AK287" s="22"/>
      <c r="AL287" s="22"/>
      <c r="AM287" s="22"/>
      <c r="AN287" s="22"/>
      <c r="AO287" s="22"/>
      <c r="AP287" s="22"/>
      <c r="AQ287" s="22"/>
      <c r="AR287" s="22"/>
      <c r="AS287" s="25"/>
    </row>
    <row r="288" spans="1:45" s="1" customFormat="1">
      <c r="A288" s="22">
        <f t="shared" si="4"/>
        <v>287</v>
      </c>
      <c r="B288" s="23">
        <v>45688</v>
      </c>
      <c r="C288" s="22" t="s">
        <v>208</v>
      </c>
      <c r="D288" s="22" t="s">
        <v>1056</v>
      </c>
      <c r="E288" s="22">
        <v>20250719</v>
      </c>
      <c r="F288" s="22" t="s">
        <v>1499</v>
      </c>
      <c r="G288" s="22" t="s">
        <v>1500</v>
      </c>
      <c r="H288" s="22" t="s">
        <v>1501</v>
      </c>
      <c r="I288" s="22" t="s">
        <v>55</v>
      </c>
      <c r="J288" s="22" t="s">
        <v>1123</v>
      </c>
      <c r="K288" s="22" t="s">
        <v>380</v>
      </c>
      <c r="L288" s="22">
        <v>7</v>
      </c>
      <c r="M288" s="22" t="s">
        <v>1502</v>
      </c>
      <c r="N288" s="22">
        <v>6.5</v>
      </c>
      <c r="O288" s="22" t="s">
        <v>1503</v>
      </c>
      <c r="P288" s="22">
        <v>10</v>
      </c>
      <c r="Q288" s="22" t="s">
        <v>1504</v>
      </c>
      <c r="R288" s="22" t="s">
        <v>63</v>
      </c>
      <c r="S288" s="22" t="s">
        <v>230</v>
      </c>
      <c r="T288" s="22"/>
      <c r="U288" s="24"/>
      <c r="V288" s="22"/>
      <c r="W288" s="22" t="s">
        <v>218</v>
      </c>
      <c r="X288" s="22" t="s">
        <v>218</v>
      </c>
      <c r="Y288" s="22" t="s">
        <v>135</v>
      </c>
      <c r="Z288" s="22" t="s">
        <v>66</v>
      </c>
      <c r="AA288" s="22"/>
      <c r="AB288" s="22"/>
      <c r="AC288" s="22"/>
      <c r="AD288" s="22"/>
      <c r="AE288" s="22"/>
      <c r="AF288" s="22"/>
      <c r="AG288" s="22"/>
      <c r="AH288" s="22"/>
      <c r="AI288" s="22"/>
      <c r="AJ288" s="22"/>
      <c r="AK288" s="22"/>
      <c r="AL288" s="22"/>
      <c r="AM288" s="22"/>
      <c r="AN288" s="22"/>
      <c r="AO288" s="22"/>
      <c r="AP288" s="22"/>
      <c r="AQ288" s="22"/>
      <c r="AR288" s="22"/>
      <c r="AS288" s="25"/>
    </row>
    <row r="289" spans="1:45" s="1" customFormat="1">
      <c r="A289" s="22">
        <f t="shared" si="4"/>
        <v>288</v>
      </c>
      <c r="B289" s="23">
        <v>45688</v>
      </c>
      <c r="C289" s="22" t="s">
        <v>208</v>
      </c>
      <c r="D289" s="22" t="s">
        <v>1081</v>
      </c>
      <c r="E289" s="22">
        <v>20251975</v>
      </c>
      <c r="F289" s="22" t="s">
        <v>1505</v>
      </c>
      <c r="G289" s="22">
        <v>8600759927</v>
      </c>
      <c r="H289" s="22" t="s">
        <v>1506</v>
      </c>
      <c r="I289" s="22" t="s">
        <v>55</v>
      </c>
      <c r="J289" s="22" t="s">
        <v>1507</v>
      </c>
      <c r="K289" s="22" t="s">
        <v>1508</v>
      </c>
      <c r="L289" s="22" t="s">
        <v>1053</v>
      </c>
      <c r="M289" s="22" t="s">
        <v>1509</v>
      </c>
      <c r="N289" s="22">
        <v>15</v>
      </c>
      <c r="O289" s="22"/>
      <c r="P289" s="22" t="s">
        <v>1510</v>
      </c>
      <c r="Q289" s="22" t="s">
        <v>63</v>
      </c>
      <c r="R289" s="22" t="s">
        <v>63</v>
      </c>
      <c r="S289" s="22" t="s">
        <v>1511</v>
      </c>
      <c r="T289" s="22" t="s">
        <v>1512</v>
      </c>
      <c r="U289" s="24"/>
      <c r="V289" s="22"/>
      <c r="W289" s="22" t="s">
        <v>65</v>
      </c>
      <c r="X289" s="22" t="s">
        <v>65</v>
      </c>
      <c r="Y289" s="22"/>
      <c r="Z289" s="22" t="s">
        <v>66</v>
      </c>
      <c r="AA289" s="22"/>
      <c r="AB289" s="22"/>
      <c r="AC289" s="22"/>
      <c r="AD289" s="22"/>
      <c r="AE289" s="22"/>
      <c r="AF289" s="22"/>
      <c r="AG289" s="22"/>
      <c r="AH289" s="22"/>
      <c r="AI289" s="22"/>
      <c r="AJ289" s="22"/>
      <c r="AK289" s="22"/>
      <c r="AL289" s="22"/>
      <c r="AM289" s="22"/>
      <c r="AN289" s="22"/>
      <c r="AO289" s="22"/>
      <c r="AP289" s="22"/>
      <c r="AQ289" s="22"/>
      <c r="AR289" s="22"/>
      <c r="AS289" s="25"/>
    </row>
    <row r="290" spans="1:45" s="1" customFormat="1">
      <c r="A290" s="22">
        <f t="shared" si="4"/>
        <v>289</v>
      </c>
      <c r="B290" s="23">
        <v>45688</v>
      </c>
      <c r="C290" s="22" t="s">
        <v>208</v>
      </c>
      <c r="D290" s="22" t="s">
        <v>293</v>
      </c>
      <c r="E290" s="22">
        <v>20252855</v>
      </c>
      <c r="F290" s="22" t="s">
        <v>1513</v>
      </c>
      <c r="G290" s="22">
        <v>8149377289</v>
      </c>
      <c r="H290" s="22" t="s">
        <v>1514</v>
      </c>
      <c r="I290" s="22" t="s">
        <v>55</v>
      </c>
      <c r="J290" s="22" t="s">
        <v>670</v>
      </c>
      <c r="K290" s="22" t="s">
        <v>116</v>
      </c>
      <c r="L290" s="22" t="s">
        <v>1515</v>
      </c>
      <c r="M290" s="22" t="s">
        <v>1516</v>
      </c>
      <c r="N290" s="22" t="s">
        <v>144</v>
      </c>
      <c r="O290" s="22"/>
      <c r="P290" s="22" t="s">
        <v>1517</v>
      </c>
      <c r="Q290" s="22" t="s">
        <v>63</v>
      </c>
      <c r="R290" s="22" t="s">
        <v>63</v>
      </c>
      <c r="S290" s="22" t="s">
        <v>1518</v>
      </c>
      <c r="T290" s="22" t="s">
        <v>134</v>
      </c>
      <c r="U290" s="24"/>
      <c r="V290" s="22"/>
      <c r="W290" s="22" t="s">
        <v>93</v>
      </c>
      <c r="X290" s="22" t="s">
        <v>93</v>
      </c>
      <c r="Y290" s="22"/>
      <c r="Z290" s="22" t="s">
        <v>66</v>
      </c>
      <c r="AA290" s="22"/>
      <c r="AB290" s="22"/>
      <c r="AC290" s="22"/>
      <c r="AD290" s="22"/>
      <c r="AE290" s="22"/>
      <c r="AF290" s="22"/>
      <c r="AG290" s="22"/>
      <c r="AH290" s="22"/>
      <c r="AI290" s="22"/>
      <c r="AJ290" s="22"/>
      <c r="AK290" s="22"/>
      <c r="AL290" s="22"/>
      <c r="AM290" s="22"/>
      <c r="AN290" s="22"/>
      <c r="AO290" s="22"/>
      <c r="AP290" s="22"/>
      <c r="AQ290" s="22"/>
      <c r="AR290" s="22"/>
      <c r="AS290" s="25"/>
    </row>
    <row r="291" spans="1:45" s="1" customFormat="1">
      <c r="A291" s="22">
        <f t="shared" si="4"/>
        <v>290</v>
      </c>
      <c r="B291" s="23">
        <v>45688</v>
      </c>
      <c r="C291" s="22" t="s">
        <v>1044</v>
      </c>
      <c r="D291" s="22" t="s">
        <v>320</v>
      </c>
      <c r="E291" s="22">
        <v>20252855</v>
      </c>
      <c r="F291" s="22" t="s">
        <v>1519</v>
      </c>
      <c r="G291" s="22">
        <v>7057700769</v>
      </c>
      <c r="H291" s="22" t="s">
        <v>1520</v>
      </c>
      <c r="I291" s="22" t="s">
        <v>55</v>
      </c>
      <c r="J291" s="22" t="s">
        <v>670</v>
      </c>
      <c r="K291" s="22" t="s">
        <v>116</v>
      </c>
      <c r="L291" s="22" t="s">
        <v>129</v>
      </c>
      <c r="M291" s="22" t="s">
        <v>505</v>
      </c>
      <c r="N291" s="22" t="s">
        <v>715</v>
      </c>
      <c r="O291" s="22"/>
      <c r="P291" s="22" t="s">
        <v>403</v>
      </c>
      <c r="Q291" s="22" t="s">
        <v>63</v>
      </c>
      <c r="R291" s="22" t="s">
        <v>63</v>
      </c>
      <c r="S291" s="22" t="s">
        <v>1521</v>
      </c>
      <c r="T291" s="22" t="s">
        <v>1522</v>
      </c>
      <c r="U291" s="24">
        <v>45740</v>
      </c>
      <c r="V291" s="22"/>
      <c r="W291" s="22" t="s">
        <v>93</v>
      </c>
      <c r="X291" s="22" t="s">
        <v>93</v>
      </c>
      <c r="Y291" s="22" t="s">
        <v>135</v>
      </c>
      <c r="Z291" s="22" t="s">
        <v>66</v>
      </c>
      <c r="AA291" s="22"/>
      <c r="AB291" s="22"/>
      <c r="AC291" s="22"/>
      <c r="AD291" s="22"/>
      <c r="AE291" s="22"/>
      <c r="AF291" s="22"/>
      <c r="AG291" s="22"/>
      <c r="AH291" s="22"/>
      <c r="AI291" s="22"/>
      <c r="AJ291" s="22"/>
      <c r="AK291" s="22"/>
      <c r="AL291" s="22"/>
      <c r="AM291" s="22"/>
      <c r="AN291" s="22"/>
      <c r="AO291" s="22"/>
      <c r="AP291" s="22"/>
      <c r="AQ291" s="22"/>
      <c r="AR291" s="22"/>
      <c r="AS291" s="25"/>
    </row>
    <row r="292" spans="1:45" s="1" customFormat="1">
      <c r="A292" s="22">
        <f t="shared" si="4"/>
        <v>291</v>
      </c>
      <c r="B292" s="23">
        <v>45688</v>
      </c>
      <c r="C292" s="22" t="s">
        <v>208</v>
      </c>
      <c r="D292" s="22" t="s">
        <v>667</v>
      </c>
      <c r="E292" s="22">
        <v>20252855</v>
      </c>
      <c r="F292" s="22" t="s">
        <v>1523</v>
      </c>
      <c r="G292" s="22" t="s">
        <v>1524</v>
      </c>
      <c r="H292" s="22" t="s">
        <v>1525</v>
      </c>
      <c r="I292" s="22" t="s">
        <v>101</v>
      </c>
      <c r="J292" s="22" t="s">
        <v>670</v>
      </c>
      <c r="K292" s="22" t="s">
        <v>116</v>
      </c>
      <c r="L292" s="22" t="s">
        <v>1526</v>
      </c>
      <c r="M292" s="22" t="s">
        <v>1527</v>
      </c>
      <c r="N292" s="22" t="s">
        <v>622</v>
      </c>
      <c r="O292" s="22"/>
      <c r="P292" s="22" t="s">
        <v>1517</v>
      </c>
      <c r="Q292" s="22" t="s">
        <v>63</v>
      </c>
      <c r="R292" s="22" t="s">
        <v>63</v>
      </c>
      <c r="S292" s="22" t="s">
        <v>133</v>
      </c>
      <c r="T292" s="22" t="s">
        <v>134</v>
      </c>
      <c r="U292" s="24"/>
      <c r="V292" s="22"/>
      <c r="W292" s="22" t="s">
        <v>93</v>
      </c>
      <c r="X292" s="22" t="s">
        <v>1528</v>
      </c>
      <c r="Y292" s="22"/>
      <c r="Z292" s="22" t="s">
        <v>66</v>
      </c>
      <c r="AA292" s="22"/>
      <c r="AB292" s="22"/>
      <c r="AC292" s="22"/>
      <c r="AD292" s="22"/>
      <c r="AE292" s="22"/>
      <c r="AF292" s="22"/>
      <c r="AG292" s="22"/>
      <c r="AH292" s="22"/>
      <c r="AI292" s="22"/>
      <c r="AJ292" s="22"/>
      <c r="AK292" s="22"/>
      <c r="AL292" s="22"/>
      <c r="AM292" s="22"/>
      <c r="AN292" s="22"/>
      <c r="AO292" s="22"/>
      <c r="AP292" s="22"/>
      <c r="AQ292" s="22"/>
      <c r="AR292" s="22"/>
      <c r="AS292" s="25"/>
    </row>
    <row r="293" spans="1:45" s="1" customFormat="1">
      <c r="A293" s="22">
        <f t="shared" si="4"/>
        <v>292</v>
      </c>
      <c r="B293" s="23">
        <v>45688</v>
      </c>
      <c r="C293" s="22" t="s">
        <v>208</v>
      </c>
      <c r="D293" s="22" t="s">
        <v>667</v>
      </c>
      <c r="E293" s="22">
        <v>20252855</v>
      </c>
      <c r="F293" s="22" t="s">
        <v>1529</v>
      </c>
      <c r="G293" s="22">
        <v>8319843083</v>
      </c>
      <c r="H293" s="22" t="s">
        <v>1530</v>
      </c>
      <c r="I293" s="22" t="s">
        <v>101</v>
      </c>
      <c r="J293" s="22" t="s">
        <v>670</v>
      </c>
      <c r="K293" s="22" t="s">
        <v>116</v>
      </c>
      <c r="L293" s="22" t="s">
        <v>1531</v>
      </c>
      <c r="M293" s="22" t="s">
        <v>683</v>
      </c>
      <c r="N293" s="22" t="s">
        <v>709</v>
      </c>
      <c r="O293" s="22"/>
      <c r="P293" s="22" t="s">
        <v>164</v>
      </c>
      <c r="Q293" s="22" t="s">
        <v>63</v>
      </c>
      <c r="R293" s="22" t="s">
        <v>63</v>
      </c>
      <c r="S293" s="22" t="s">
        <v>1532</v>
      </c>
      <c r="T293" s="22" t="s">
        <v>1533</v>
      </c>
      <c r="U293" s="24"/>
      <c r="V293" s="22"/>
      <c r="W293" s="22" t="s">
        <v>93</v>
      </c>
      <c r="X293" s="22" t="s">
        <v>1528</v>
      </c>
      <c r="Y293" s="22"/>
      <c r="Z293" s="22" t="s">
        <v>66</v>
      </c>
      <c r="AA293" s="22"/>
      <c r="AB293" s="22"/>
      <c r="AC293" s="22"/>
      <c r="AD293" s="22"/>
      <c r="AE293" s="22"/>
      <c r="AF293" s="22"/>
      <c r="AG293" s="22"/>
      <c r="AH293" s="22"/>
      <c r="AI293" s="22"/>
      <c r="AJ293" s="22"/>
      <c r="AK293" s="22"/>
      <c r="AL293" s="22"/>
      <c r="AM293" s="22"/>
      <c r="AN293" s="22"/>
      <c r="AO293" s="22"/>
      <c r="AP293" s="22"/>
      <c r="AQ293" s="22"/>
      <c r="AR293" s="22"/>
      <c r="AS293" s="25"/>
    </row>
    <row r="294" spans="1:45" s="1" customFormat="1">
      <c r="A294" s="22">
        <f t="shared" si="4"/>
        <v>293</v>
      </c>
      <c r="B294" s="23">
        <v>45690</v>
      </c>
      <c r="C294" s="22" t="s">
        <v>208</v>
      </c>
      <c r="D294" s="22" t="s">
        <v>667</v>
      </c>
      <c r="E294" s="22">
        <v>20252855</v>
      </c>
      <c r="F294" s="22" t="s">
        <v>1534</v>
      </c>
      <c r="G294" s="22">
        <v>9833397372</v>
      </c>
      <c r="H294" s="22" t="s">
        <v>1535</v>
      </c>
      <c r="I294" s="22" t="s">
        <v>55</v>
      </c>
      <c r="J294" s="22" t="s">
        <v>670</v>
      </c>
      <c r="K294" s="22" t="s">
        <v>116</v>
      </c>
      <c r="L294" s="22" t="s">
        <v>1224</v>
      </c>
      <c r="M294" s="22" t="s">
        <v>1536</v>
      </c>
      <c r="N294" s="22" t="s">
        <v>396</v>
      </c>
      <c r="O294" s="22"/>
      <c r="P294" s="22" t="s">
        <v>1006</v>
      </c>
      <c r="Q294" s="22" t="s">
        <v>890</v>
      </c>
      <c r="R294" s="22" t="s">
        <v>63</v>
      </c>
      <c r="S294" s="22" t="s">
        <v>230</v>
      </c>
      <c r="T294" s="22" t="s">
        <v>134</v>
      </c>
      <c r="U294" s="24"/>
      <c r="V294" s="22"/>
      <c r="W294" s="22" t="s">
        <v>93</v>
      </c>
      <c r="X294" s="22" t="s">
        <v>1528</v>
      </c>
      <c r="Y294" s="22"/>
      <c r="Z294" s="22" t="s">
        <v>66</v>
      </c>
      <c r="AA294" s="22"/>
      <c r="AB294" s="22"/>
      <c r="AC294" s="22"/>
      <c r="AD294" s="22"/>
      <c r="AE294" s="22"/>
      <c r="AF294" s="22"/>
      <c r="AG294" s="22"/>
      <c r="AH294" s="22"/>
      <c r="AI294" s="22"/>
      <c r="AJ294" s="22"/>
      <c r="AK294" s="22"/>
      <c r="AL294" s="22"/>
      <c r="AM294" s="22"/>
      <c r="AN294" s="22"/>
      <c r="AO294" s="22"/>
      <c r="AP294" s="22"/>
      <c r="AQ294" s="22"/>
      <c r="AR294" s="22"/>
      <c r="AS294" s="25"/>
    </row>
    <row r="295" spans="1:45" s="1" customFormat="1">
      <c r="A295" s="22">
        <f t="shared" si="4"/>
        <v>294</v>
      </c>
      <c r="B295" s="23">
        <v>45690</v>
      </c>
      <c r="C295" s="22" t="s">
        <v>208</v>
      </c>
      <c r="D295" s="22" t="s">
        <v>293</v>
      </c>
      <c r="E295" s="22">
        <v>20252855</v>
      </c>
      <c r="F295" s="22" t="s">
        <v>1537</v>
      </c>
      <c r="G295" s="22" t="s">
        <v>1538</v>
      </c>
      <c r="H295" s="22" t="s">
        <v>1539</v>
      </c>
      <c r="I295" s="22" t="s">
        <v>101</v>
      </c>
      <c r="J295" s="22" t="s">
        <v>670</v>
      </c>
      <c r="K295" s="22" t="s">
        <v>116</v>
      </c>
      <c r="L295" s="22" t="s">
        <v>928</v>
      </c>
      <c r="M295" s="22" t="s">
        <v>1540</v>
      </c>
      <c r="N295" s="22" t="s">
        <v>326</v>
      </c>
      <c r="O295" s="22"/>
      <c r="P295" s="22" t="s">
        <v>154</v>
      </c>
      <c r="Q295" s="22" t="s">
        <v>63</v>
      </c>
      <c r="R295" s="22" t="s">
        <v>63</v>
      </c>
      <c r="S295" s="22" t="s">
        <v>255</v>
      </c>
      <c r="T295" s="22" t="s">
        <v>134</v>
      </c>
      <c r="U295" s="24"/>
      <c r="V295" s="22"/>
      <c r="W295" s="22" t="s">
        <v>93</v>
      </c>
      <c r="X295" s="22" t="s">
        <v>1528</v>
      </c>
      <c r="Y295" s="22"/>
      <c r="Z295" s="22" t="s">
        <v>66</v>
      </c>
      <c r="AA295" s="22"/>
      <c r="AB295" s="22"/>
      <c r="AC295" s="22"/>
      <c r="AD295" s="22"/>
      <c r="AE295" s="22"/>
      <c r="AF295" s="22"/>
      <c r="AG295" s="22"/>
      <c r="AH295" s="22"/>
      <c r="AI295" s="22"/>
      <c r="AJ295" s="22"/>
      <c r="AK295" s="22"/>
      <c r="AL295" s="22"/>
      <c r="AM295" s="22"/>
      <c r="AN295" s="22"/>
      <c r="AO295" s="22"/>
      <c r="AP295" s="22"/>
      <c r="AQ295" s="22"/>
      <c r="AR295" s="22"/>
      <c r="AS295" s="25"/>
    </row>
    <row r="296" spans="1:45" s="1" customFormat="1">
      <c r="A296" s="22">
        <f t="shared" si="4"/>
        <v>295</v>
      </c>
      <c r="B296" s="23">
        <v>45690</v>
      </c>
      <c r="C296" s="22" t="s">
        <v>208</v>
      </c>
      <c r="D296" s="22" t="s">
        <v>667</v>
      </c>
      <c r="E296" s="22">
        <v>20252855</v>
      </c>
      <c r="F296" s="22" t="s">
        <v>1541</v>
      </c>
      <c r="G296" s="22">
        <v>9923668823</v>
      </c>
      <c r="H296" s="22" t="s">
        <v>1542</v>
      </c>
      <c r="I296" s="22" t="s">
        <v>55</v>
      </c>
      <c r="J296" s="22" t="s">
        <v>670</v>
      </c>
      <c r="K296" s="22" t="s">
        <v>116</v>
      </c>
      <c r="L296" s="22" t="s">
        <v>656</v>
      </c>
      <c r="M296" s="22" t="s">
        <v>1543</v>
      </c>
      <c r="N296" s="22" t="s">
        <v>182</v>
      </c>
      <c r="O296" s="22"/>
      <c r="P296" s="22" t="s">
        <v>341</v>
      </c>
      <c r="Q296" s="22" t="s">
        <v>63</v>
      </c>
      <c r="R296" s="22" t="s">
        <v>63</v>
      </c>
      <c r="S296" s="22" t="s">
        <v>230</v>
      </c>
      <c r="T296" s="22" t="s">
        <v>134</v>
      </c>
      <c r="U296" s="24"/>
      <c r="V296" s="22"/>
      <c r="W296" s="22" t="s">
        <v>93</v>
      </c>
      <c r="X296" s="22" t="s">
        <v>1528</v>
      </c>
      <c r="Y296" s="22"/>
      <c r="Z296" s="22" t="s">
        <v>66</v>
      </c>
      <c r="AA296" s="22"/>
      <c r="AB296" s="22"/>
      <c r="AC296" s="22"/>
      <c r="AD296" s="22"/>
      <c r="AE296" s="22"/>
      <c r="AF296" s="22"/>
      <c r="AG296" s="22"/>
      <c r="AH296" s="22"/>
      <c r="AI296" s="22"/>
      <c r="AJ296" s="22"/>
      <c r="AK296" s="22"/>
      <c r="AL296" s="22"/>
      <c r="AM296" s="22"/>
      <c r="AN296" s="22"/>
      <c r="AO296" s="22"/>
      <c r="AP296" s="22"/>
      <c r="AQ296" s="22"/>
      <c r="AR296" s="22"/>
      <c r="AS296" s="25"/>
    </row>
    <row r="297" spans="1:45" s="1" customFormat="1">
      <c r="A297" s="22">
        <f t="shared" si="4"/>
        <v>296</v>
      </c>
      <c r="B297" s="23">
        <v>45694</v>
      </c>
      <c r="C297" s="22" t="s">
        <v>208</v>
      </c>
      <c r="D297" s="22" t="s">
        <v>209</v>
      </c>
      <c r="E297" s="22">
        <v>20251215</v>
      </c>
      <c r="F297" s="22" t="s">
        <v>1544</v>
      </c>
      <c r="G297" s="22">
        <v>8975754275</v>
      </c>
      <c r="H297" s="22" t="s">
        <v>1545</v>
      </c>
      <c r="I297" s="22" t="s">
        <v>55</v>
      </c>
      <c r="J297" s="22" t="s">
        <v>1029</v>
      </c>
      <c r="K297" s="22" t="s">
        <v>1030</v>
      </c>
      <c r="L297" s="22" t="s">
        <v>538</v>
      </c>
      <c r="M297" s="22" t="s">
        <v>1546</v>
      </c>
      <c r="N297" s="22" t="s">
        <v>1547</v>
      </c>
      <c r="O297" s="22"/>
      <c r="P297" s="22" t="s">
        <v>889</v>
      </c>
      <c r="Q297" s="22" t="s">
        <v>63</v>
      </c>
      <c r="R297" s="22" t="s">
        <v>63</v>
      </c>
      <c r="S297" s="22" t="s">
        <v>1548</v>
      </c>
      <c r="T297" s="22" t="s">
        <v>134</v>
      </c>
      <c r="U297" s="24"/>
      <c r="V297" s="22"/>
      <c r="W297" s="22" t="s">
        <v>93</v>
      </c>
      <c r="X297" s="22" t="s">
        <v>93</v>
      </c>
      <c r="Y297" s="22"/>
      <c r="Z297" s="22" t="s">
        <v>66</v>
      </c>
      <c r="AA297" s="22"/>
      <c r="AB297" s="22"/>
      <c r="AC297" s="22"/>
      <c r="AD297" s="22"/>
      <c r="AE297" s="22"/>
      <c r="AF297" s="22"/>
      <c r="AG297" s="22"/>
      <c r="AH297" s="22"/>
      <c r="AI297" s="22"/>
      <c r="AJ297" s="22"/>
      <c r="AK297" s="22"/>
      <c r="AL297" s="22"/>
      <c r="AM297" s="22"/>
      <c r="AN297" s="22"/>
      <c r="AO297" s="22"/>
      <c r="AP297" s="22"/>
      <c r="AQ297" s="22"/>
      <c r="AR297" s="22"/>
      <c r="AS297" s="25"/>
    </row>
    <row r="298" spans="1:45" s="1" customFormat="1">
      <c r="A298" s="22">
        <f t="shared" si="4"/>
        <v>297</v>
      </c>
      <c r="B298" s="23">
        <v>45694</v>
      </c>
      <c r="C298" s="22" t="s">
        <v>840</v>
      </c>
      <c r="D298" s="22" t="s">
        <v>841</v>
      </c>
      <c r="E298" s="22">
        <v>20251215</v>
      </c>
      <c r="F298" s="22" t="s">
        <v>1549</v>
      </c>
      <c r="G298" s="22">
        <v>9421392992</v>
      </c>
      <c r="H298" s="22" t="s">
        <v>1550</v>
      </c>
      <c r="I298" s="22" t="s">
        <v>55</v>
      </c>
      <c r="J298" s="22" t="s">
        <v>1551</v>
      </c>
      <c r="K298" s="22" t="s">
        <v>1030</v>
      </c>
      <c r="L298" s="22" t="s">
        <v>694</v>
      </c>
      <c r="M298" s="22" t="s">
        <v>1552</v>
      </c>
      <c r="N298" s="22" t="s">
        <v>1553</v>
      </c>
      <c r="O298" s="22"/>
      <c r="P298" s="22" t="s">
        <v>919</v>
      </c>
      <c r="Q298" s="22" t="s">
        <v>63</v>
      </c>
      <c r="R298" s="22" t="s">
        <v>63</v>
      </c>
      <c r="S298" s="22" t="s">
        <v>284</v>
      </c>
      <c r="T298" s="22" t="s">
        <v>134</v>
      </c>
      <c r="U298" s="24"/>
      <c r="V298" s="22"/>
      <c r="W298" s="22" t="s">
        <v>93</v>
      </c>
      <c r="X298" s="22" t="s">
        <v>93</v>
      </c>
      <c r="Y298" s="22" t="s">
        <v>351</v>
      </c>
      <c r="Z298" s="22" t="s">
        <v>66</v>
      </c>
      <c r="AA298" s="22"/>
      <c r="AB298" s="22"/>
      <c r="AC298" s="22"/>
      <c r="AD298" s="22"/>
      <c r="AE298" s="22"/>
      <c r="AF298" s="22"/>
      <c r="AG298" s="22"/>
      <c r="AH298" s="22"/>
      <c r="AI298" s="22"/>
      <c r="AJ298" s="22"/>
      <c r="AK298" s="22"/>
      <c r="AL298" s="22"/>
      <c r="AM298" s="22"/>
      <c r="AN298" s="22"/>
      <c r="AO298" s="22"/>
      <c r="AP298" s="22"/>
      <c r="AQ298" s="22"/>
      <c r="AR298" s="22"/>
      <c r="AS298" s="25"/>
    </row>
    <row r="299" spans="1:45" s="1" customFormat="1">
      <c r="A299" s="22">
        <f t="shared" si="4"/>
        <v>298</v>
      </c>
      <c r="B299" s="23">
        <v>45694</v>
      </c>
      <c r="C299" s="22" t="s">
        <v>208</v>
      </c>
      <c r="D299" s="22" t="s">
        <v>293</v>
      </c>
      <c r="E299" s="22">
        <v>20251215</v>
      </c>
      <c r="F299" s="22" t="s">
        <v>1554</v>
      </c>
      <c r="G299" s="22">
        <v>8411926593</v>
      </c>
      <c r="H299" s="22" t="s">
        <v>1555</v>
      </c>
      <c r="I299" s="22" t="s">
        <v>55</v>
      </c>
      <c r="J299" s="22" t="s">
        <v>1551</v>
      </c>
      <c r="K299" s="22" t="s">
        <v>1030</v>
      </c>
      <c r="L299" s="22" t="s">
        <v>682</v>
      </c>
      <c r="M299" s="22" t="s">
        <v>1556</v>
      </c>
      <c r="N299" s="22" t="s">
        <v>780</v>
      </c>
      <c r="O299" s="22"/>
      <c r="P299" s="22" t="s">
        <v>622</v>
      </c>
      <c r="Q299" s="22" t="s">
        <v>63</v>
      </c>
      <c r="R299" s="22" t="s">
        <v>63</v>
      </c>
      <c r="S299" s="22" t="s">
        <v>1048</v>
      </c>
      <c r="T299" s="22" t="s">
        <v>134</v>
      </c>
      <c r="U299" s="24"/>
      <c r="V299" s="22"/>
      <c r="W299" s="22" t="s">
        <v>93</v>
      </c>
      <c r="X299" s="22" t="s">
        <v>93</v>
      </c>
      <c r="Y299" s="22"/>
      <c r="Z299" s="22" t="s">
        <v>66</v>
      </c>
      <c r="AA299" s="22"/>
      <c r="AB299" s="22"/>
      <c r="AC299" s="22"/>
      <c r="AD299" s="22"/>
      <c r="AE299" s="22"/>
      <c r="AF299" s="22"/>
      <c r="AG299" s="22"/>
      <c r="AH299" s="22"/>
      <c r="AI299" s="22"/>
      <c r="AJ299" s="22"/>
      <c r="AK299" s="22"/>
      <c r="AL299" s="22"/>
      <c r="AM299" s="22"/>
      <c r="AN299" s="22"/>
      <c r="AO299" s="22"/>
      <c r="AP299" s="22"/>
      <c r="AQ299" s="22"/>
      <c r="AR299" s="22"/>
      <c r="AS299" s="25"/>
    </row>
    <row r="300" spans="1:45" s="1" customFormat="1">
      <c r="A300" s="22">
        <f t="shared" si="4"/>
        <v>299</v>
      </c>
      <c r="B300" s="23">
        <v>45694</v>
      </c>
      <c r="C300" s="22" t="s">
        <v>208</v>
      </c>
      <c r="D300" s="22" t="s">
        <v>667</v>
      </c>
      <c r="E300" s="22">
        <v>20251215</v>
      </c>
      <c r="F300" s="22" t="s">
        <v>1557</v>
      </c>
      <c r="G300" s="22" t="s">
        <v>1558</v>
      </c>
      <c r="H300" s="22" t="s">
        <v>1559</v>
      </c>
      <c r="I300" s="22" t="s">
        <v>55</v>
      </c>
      <c r="J300" s="22" t="s">
        <v>1029</v>
      </c>
      <c r="K300" s="22" t="s">
        <v>1030</v>
      </c>
      <c r="L300" s="22" t="s">
        <v>902</v>
      </c>
      <c r="M300" s="22" t="s">
        <v>1560</v>
      </c>
      <c r="N300" s="22" t="s">
        <v>1561</v>
      </c>
      <c r="O300" s="22"/>
      <c r="P300" s="22" t="s">
        <v>164</v>
      </c>
      <c r="Q300" s="22" t="s">
        <v>63</v>
      </c>
      <c r="R300" s="22" t="s">
        <v>63</v>
      </c>
      <c r="S300" s="22" t="s">
        <v>1032</v>
      </c>
      <c r="T300" s="22" t="s">
        <v>134</v>
      </c>
      <c r="U300" s="24"/>
      <c r="V300" s="22"/>
      <c r="W300" s="22" t="s">
        <v>93</v>
      </c>
      <c r="X300" s="22" t="s">
        <v>93</v>
      </c>
      <c r="Y300" s="22"/>
      <c r="Z300" s="22" t="s">
        <v>66</v>
      </c>
      <c r="AA300" s="22"/>
      <c r="AB300" s="22"/>
      <c r="AC300" s="22"/>
      <c r="AD300" s="22"/>
      <c r="AE300" s="22"/>
      <c r="AF300" s="22"/>
      <c r="AG300" s="22"/>
      <c r="AH300" s="22"/>
      <c r="AI300" s="22"/>
      <c r="AJ300" s="22"/>
      <c r="AK300" s="22"/>
      <c r="AL300" s="22"/>
      <c r="AM300" s="22"/>
      <c r="AN300" s="22"/>
      <c r="AO300" s="22"/>
      <c r="AP300" s="22"/>
      <c r="AQ300" s="22"/>
      <c r="AR300" s="22"/>
      <c r="AS300" s="25"/>
    </row>
    <row r="301" spans="1:45" s="1" customFormat="1">
      <c r="A301" s="22">
        <f t="shared" si="4"/>
        <v>300</v>
      </c>
      <c r="B301" s="23">
        <v>45694</v>
      </c>
      <c r="C301" s="22" t="s">
        <v>208</v>
      </c>
      <c r="D301" s="22" t="s">
        <v>667</v>
      </c>
      <c r="E301" s="22">
        <v>20251215</v>
      </c>
      <c r="F301" s="22" t="s">
        <v>1562</v>
      </c>
      <c r="G301" s="22">
        <v>9503738181</v>
      </c>
      <c r="H301" s="22" t="s">
        <v>1563</v>
      </c>
      <c r="I301" s="22" t="s">
        <v>55</v>
      </c>
      <c r="J301" s="22" t="s">
        <v>1029</v>
      </c>
      <c r="K301" s="22" t="s">
        <v>1030</v>
      </c>
      <c r="L301" s="22" t="s">
        <v>180</v>
      </c>
      <c r="M301" s="22" t="s">
        <v>1564</v>
      </c>
      <c r="N301" s="22" t="s">
        <v>154</v>
      </c>
      <c r="O301" s="22"/>
      <c r="P301" s="22" t="s">
        <v>780</v>
      </c>
      <c r="Q301" s="22" t="s">
        <v>63</v>
      </c>
      <c r="R301" s="22" t="s">
        <v>63</v>
      </c>
      <c r="S301" s="22" t="s">
        <v>175</v>
      </c>
      <c r="T301" s="22" t="s">
        <v>134</v>
      </c>
      <c r="U301" s="24"/>
      <c r="V301" s="22"/>
      <c r="W301" s="22" t="s">
        <v>93</v>
      </c>
      <c r="X301" s="22" t="s">
        <v>93</v>
      </c>
      <c r="Y301" s="22"/>
      <c r="Z301" s="22" t="s">
        <v>66</v>
      </c>
      <c r="AA301" s="22"/>
      <c r="AB301" s="22"/>
      <c r="AC301" s="22"/>
      <c r="AD301" s="22"/>
      <c r="AE301" s="22"/>
      <c r="AF301" s="22"/>
      <c r="AG301" s="22"/>
      <c r="AH301" s="22"/>
      <c r="AI301" s="22"/>
      <c r="AJ301" s="22"/>
      <c r="AK301" s="22"/>
      <c r="AL301" s="22"/>
      <c r="AM301" s="22"/>
      <c r="AN301" s="22"/>
      <c r="AO301" s="22"/>
      <c r="AP301" s="22"/>
      <c r="AQ301" s="22"/>
      <c r="AR301" s="22"/>
      <c r="AS301" s="25"/>
    </row>
    <row r="302" spans="1:45" s="1" customFormat="1">
      <c r="A302" s="22">
        <f t="shared" si="4"/>
        <v>301</v>
      </c>
      <c r="B302" s="23">
        <v>45694</v>
      </c>
      <c r="C302" s="22" t="s">
        <v>208</v>
      </c>
      <c r="D302" s="22" t="s">
        <v>209</v>
      </c>
      <c r="E302" s="22">
        <v>20251215</v>
      </c>
      <c r="F302" s="22" t="s">
        <v>1565</v>
      </c>
      <c r="G302" s="22">
        <v>8552861949</v>
      </c>
      <c r="H302" s="22" t="s">
        <v>1566</v>
      </c>
      <c r="I302" s="22" t="s">
        <v>55</v>
      </c>
      <c r="J302" s="22" t="s">
        <v>1551</v>
      </c>
      <c r="K302" s="22" t="s">
        <v>1030</v>
      </c>
      <c r="L302" s="22" t="s">
        <v>1567</v>
      </c>
      <c r="M302" s="22" t="s">
        <v>1568</v>
      </c>
      <c r="N302" s="22" t="s">
        <v>1569</v>
      </c>
      <c r="O302" s="22"/>
      <c r="P302" s="22" t="s">
        <v>1570</v>
      </c>
      <c r="Q302" s="22" t="s">
        <v>63</v>
      </c>
      <c r="R302" s="22" t="s">
        <v>63</v>
      </c>
      <c r="S302" s="22" t="s">
        <v>1032</v>
      </c>
      <c r="T302" s="22" t="s">
        <v>134</v>
      </c>
      <c r="U302" s="24"/>
      <c r="V302" s="22"/>
      <c r="W302" s="22" t="s">
        <v>93</v>
      </c>
      <c r="X302" s="22" t="s">
        <v>93</v>
      </c>
      <c r="Y302" s="22"/>
      <c r="Z302" s="22" t="s">
        <v>66</v>
      </c>
      <c r="AA302" s="22"/>
      <c r="AB302" s="22"/>
      <c r="AC302" s="22"/>
      <c r="AD302" s="22"/>
      <c r="AE302" s="22"/>
      <c r="AF302" s="22"/>
      <c r="AG302" s="22"/>
      <c r="AH302" s="22"/>
      <c r="AI302" s="22"/>
      <c r="AJ302" s="22"/>
      <c r="AK302" s="22"/>
      <c r="AL302" s="22"/>
      <c r="AM302" s="22"/>
      <c r="AN302" s="22"/>
      <c r="AO302" s="22"/>
      <c r="AP302" s="22"/>
      <c r="AQ302" s="22"/>
      <c r="AR302" s="22"/>
      <c r="AS302" s="25"/>
    </row>
    <row r="303" spans="1:45" s="1" customFormat="1">
      <c r="A303" s="22">
        <f t="shared" si="4"/>
        <v>302</v>
      </c>
      <c r="B303" s="23">
        <v>45699</v>
      </c>
      <c r="C303" s="22" t="s">
        <v>208</v>
      </c>
      <c r="D303" s="22" t="s">
        <v>209</v>
      </c>
      <c r="E303" s="22">
        <v>20251215</v>
      </c>
      <c r="F303" s="22" t="s">
        <v>1571</v>
      </c>
      <c r="G303" s="22">
        <v>8087515184</v>
      </c>
      <c r="H303" s="22" t="s">
        <v>1572</v>
      </c>
      <c r="I303" s="22" t="s">
        <v>55</v>
      </c>
      <c r="J303" s="22" t="s">
        <v>1551</v>
      </c>
      <c r="K303" s="22" t="s">
        <v>1030</v>
      </c>
      <c r="L303" s="22" t="s">
        <v>1567</v>
      </c>
      <c r="M303" s="22" t="s">
        <v>1573</v>
      </c>
      <c r="N303" s="22" t="s">
        <v>1574</v>
      </c>
      <c r="O303" s="22"/>
      <c r="P303" s="22" t="s">
        <v>1570</v>
      </c>
      <c r="Q303" s="22" t="s">
        <v>63</v>
      </c>
      <c r="R303" s="22" t="s">
        <v>63</v>
      </c>
      <c r="S303" s="22" t="s">
        <v>175</v>
      </c>
      <c r="T303" s="22" t="s">
        <v>134</v>
      </c>
      <c r="U303" s="24"/>
      <c r="V303" s="22"/>
      <c r="W303" s="22" t="s">
        <v>93</v>
      </c>
      <c r="X303" s="22" t="s">
        <v>93</v>
      </c>
      <c r="Y303" s="22"/>
      <c r="Z303" s="22" t="s">
        <v>66</v>
      </c>
      <c r="AA303" s="22"/>
      <c r="AB303" s="22"/>
      <c r="AC303" s="22"/>
      <c r="AD303" s="22"/>
      <c r="AE303" s="22"/>
      <c r="AF303" s="22"/>
      <c r="AG303" s="22"/>
      <c r="AH303" s="22"/>
      <c r="AI303" s="22"/>
      <c r="AJ303" s="22"/>
      <c r="AK303" s="22"/>
      <c r="AL303" s="22"/>
      <c r="AM303" s="22"/>
      <c r="AN303" s="22"/>
      <c r="AO303" s="22"/>
      <c r="AP303" s="22"/>
      <c r="AQ303" s="22"/>
      <c r="AR303" s="22"/>
      <c r="AS303" s="25"/>
    </row>
    <row r="304" spans="1:45" s="1" customFormat="1">
      <c r="A304" s="22">
        <f t="shared" si="4"/>
        <v>303</v>
      </c>
      <c r="B304" s="23">
        <v>45699</v>
      </c>
      <c r="C304" s="22" t="s">
        <v>208</v>
      </c>
      <c r="D304" s="22" t="s">
        <v>209</v>
      </c>
      <c r="E304" s="22">
        <v>20251215</v>
      </c>
      <c r="F304" s="22" t="s">
        <v>1575</v>
      </c>
      <c r="G304" s="22">
        <v>9738842921</v>
      </c>
      <c r="H304" s="22" t="s">
        <v>1576</v>
      </c>
      <c r="I304" s="22" t="s">
        <v>55</v>
      </c>
      <c r="J304" s="22" t="s">
        <v>1029</v>
      </c>
      <c r="K304" s="22" t="s">
        <v>1030</v>
      </c>
      <c r="L304" s="22" t="s">
        <v>1577</v>
      </c>
      <c r="M304" s="22" t="s">
        <v>1578</v>
      </c>
      <c r="N304" s="22" t="s">
        <v>684</v>
      </c>
      <c r="O304" s="22"/>
      <c r="P304" s="22" t="s">
        <v>144</v>
      </c>
      <c r="Q304" s="22" t="s">
        <v>63</v>
      </c>
      <c r="R304" s="22" t="s">
        <v>63</v>
      </c>
      <c r="S304" s="22" t="s">
        <v>1032</v>
      </c>
      <c r="T304" s="22" t="s">
        <v>1579</v>
      </c>
      <c r="U304" s="24"/>
      <c r="V304" s="22"/>
      <c r="W304" s="22" t="s">
        <v>93</v>
      </c>
      <c r="X304" s="22" t="s">
        <v>93</v>
      </c>
      <c r="Y304" s="22"/>
      <c r="Z304" s="22" t="s">
        <v>66</v>
      </c>
      <c r="AA304" s="22"/>
      <c r="AB304" s="22"/>
      <c r="AC304" s="22"/>
      <c r="AD304" s="22"/>
      <c r="AE304" s="22"/>
      <c r="AF304" s="22"/>
      <c r="AG304" s="22"/>
      <c r="AH304" s="22"/>
      <c r="AI304" s="22"/>
      <c r="AJ304" s="22"/>
      <c r="AK304" s="22"/>
      <c r="AL304" s="22"/>
      <c r="AM304" s="22"/>
      <c r="AN304" s="22"/>
      <c r="AO304" s="22"/>
      <c r="AP304" s="22"/>
      <c r="AQ304" s="22"/>
      <c r="AR304" s="22"/>
      <c r="AS304" s="25"/>
    </row>
    <row r="305" spans="1:45" s="1" customFormat="1">
      <c r="A305" s="22">
        <f t="shared" si="4"/>
        <v>304</v>
      </c>
      <c r="B305" s="23">
        <v>45699</v>
      </c>
      <c r="C305" s="22" t="s">
        <v>208</v>
      </c>
      <c r="D305" s="22" t="s">
        <v>209</v>
      </c>
      <c r="E305" s="22">
        <v>20251215</v>
      </c>
      <c r="F305" s="22" t="s">
        <v>1580</v>
      </c>
      <c r="G305" s="22">
        <v>9766120176</v>
      </c>
      <c r="H305" s="22" t="s">
        <v>1581</v>
      </c>
      <c r="I305" s="22" t="s">
        <v>55</v>
      </c>
      <c r="J305" s="22" t="s">
        <v>1029</v>
      </c>
      <c r="K305" s="22" t="s">
        <v>1030</v>
      </c>
      <c r="L305" s="22" t="s">
        <v>763</v>
      </c>
      <c r="M305" s="22" t="s">
        <v>1582</v>
      </c>
      <c r="N305" s="22" t="s">
        <v>1583</v>
      </c>
      <c r="O305" s="22"/>
      <c r="P305" s="22" t="s">
        <v>164</v>
      </c>
      <c r="Q305" s="22" t="s">
        <v>63</v>
      </c>
      <c r="R305" s="22" t="s">
        <v>63</v>
      </c>
      <c r="S305" s="22" t="s">
        <v>1048</v>
      </c>
      <c r="T305" s="22" t="s">
        <v>134</v>
      </c>
      <c r="U305" s="24"/>
      <c r="V305" s="22"/>
      <c r="W305" s="22" t="s">
        <v>93</v>
      </c>
      <c r="X305" s="22" t="s">
        <v>93</v>
      </c>
      <c r="Y305" s="22"/>
      <c r="Z305" s="22" t="s">
        <v>66</v>
      </c>
      <c r="AA305" s="22"/>
      <c r="AB305" s="22"/>
      <c r="AC305" s="22"/>
      <c r="AD305" s="22"/>
      <c r="AE305" s="22"/>
      <c r="AF305" s="22"/>
      <c r="AG305" s="22"/>
      <c r="AH305" s="22"/>
      <c r="AI305" s="22"/>
      <c r="AJ305" s="22"/>
      <c r="AK305" s="22"/>
      <c r="AL305" s="22"/>
      <c r="AM305" s="22"/>
      <c r="AN305" s="22"/>
      <c r="AO305" s="22"/>
      <c r="AP305" s="22"/>
      <c r="AQ305" s="22"/>
      <c r="AR305" s="22"/>
      <c r="AS305" s="25"/>
    </row>
    <row r="306" spans="1:45" s="1" customFormat="1">
      <c r="A306" s="22">
        <f t="shared" si="4"/>
        <v>305</v>
      </c>
      <c r="B306" s="23">
        <v>45699</v>
      </c>
      <c r="C306" s="22" t="s">
        <v>840</v>
      </c>
      <c r="D306" s="22" t="s">
        <v>320</v>
      </c>
      <c r="E306" s="22">
        <v>20251209</v>
      </c>
      <c r="F306" s="22" t="s">
        <v>1584</v>
      </c>
      <c r="G306" s="22">
        <v>9503192369</v>
      </c>
      <c r="H306" s="22" t="s">
        <v>1585</v>
      </c>
      <c r="I306" s="22" t="s">
        <v>55</v>
      </c>
      <c r="J306" s="22" t="s">
        <v>1029</v>
      </c>
      <c r="K306" s="22" t="s">
        <v>1030</v>
      </c>
      <c r="L306" s="22" t="s">
        <v>338</v>
      </c>
      <c r="M306" s="22" t="s">
        <v>1586</v>
      </c>
      <c r="N306" s="22" t="s">
        <v>1587</v>
      </c>
      <c r="O306" s="22"/>
      <c r="P306" s="22" t="s">
        <v>403</v>
      </c>
      <c r="Q306" s="22" t="s">
        <v>63</v>
      </c>
      <c r="R306" s="22" t="s">
        <v>63</v>
      </c>
      <c r="S306" s="22" t="s">
        <v>133</v>
      </c>
      <c r="T306" s="22" t="s">
        <v>134</v>
      </c>
      <c r="U306" s="24">
        <v>45804</v>
      </c>
      <c r="V306" s="22"/>
      <c r="W306" s="22" t="s">
        <v>93</v>
      </c>
      <c r="X306" s="22" t="s">
        <v>93</v>
      </c>
      <c r="Y306" s="22" t="s">
        <v>135</v>
      </c>
      <c r="Z306" s="22" t="s">
        <v>66</v>
      </c>
      <c r="AA306" s="22"/>
      <c r="AB306" s="22"/>
      <c r="AC306" s="22"/>
      <c r="AD306" s="22"/>
      <c r="AE306" s="22"/>
      <c r="AF306" s="22"/>
      <c r="AG306" s="22"/>
      <c r="AH306" s="22"/>
      <c r="AI306" s="22"/>
      <c r="AJ306" s="22"/>
      <c r="AK306" s="22"/>
      <c r="AL306" s="22"/>
      <c r="AM306" s="22"/>
      <c r="AN306" s="22"/>
      <c r="AO306" s="22"/>
      <c r="AP306" s="22"/>
      <c r="AQ306" s="22"/>
      <c r="AR306" s="22"/>
      <c r="AS306" s="25"/>
    </row>
    <row r="307" spans="1:45" s="1" customFormat="1">
      <c r="A307" s="22">
        <f t="shared" si="4"/>
        <v>306</v>
      </c>
      <c r="B307" s="23">
        <v>45699</v>
      </c>
      <c r="C307" s="22" t="s">
        <v>208</v>
      </c>
      <c r="D307" s="22" t="s">
        <v>667</v>
      </c>
      <c r="E307" s="22">
        <v>20251209</v>
      </c>
      <c r="F307" s="22" t="s">
        <v>1588</v>
      </c>
      <c r="G307" s="22" t="s">
        <v>1589</v>
      </c>
      <c r="H307" s="22" t="s">
        <v>1590</v>
      </c>
      <c r="I307" s="22" t="s">
        <v>55</v>
      </c>
      <c r="J307" s="22" t="s">
        <v>1029</v>
      </c>
      <c r="K307" s="22" t="s">
        <v>1030</v>
      </c>
      <c r="L307" s="22" t="s">
        <v>385</v>
      </c>
      <c r="M307" s="22" t="s">
        <v>1591</v>
      </c>
      <c r="N307" s="22" t="s">
        <v>780</v>
      </c>
      <c r="O307" s="22"/>
      <c r="P307" s="22" t="s">
        <v>622</v>
      </c>
      <c r="Q307" s="22" t="s">
        <v>63</v>
      </c>
      <c r="R307" s="22" t="s">
        <v>63</v>
      </c>
      <c r="S307" s="22" t="s">
        <v>1048</v>
      </c>
      <c r="T307" s="22" t="s">
        <v>134</v>
      </c>
      <c r="U307" s="24">
        <v>45740</v>
      </c>
      <c r="V307" s="22"/>
      <c r="W307" s="22" t="s">
        <v>93</v>
      </c>
      <c r="X307" s="22" t="s">
        <v>93</v>
      </c>
      <c r="Y307" s="22"/>
      <c r="Z307" s="22" t="s">
        <v>66</v>
      </c>
      <c r="AA307" s="22"/>
      <c r="AB307" s="22"/>
      <c r="AC307" s="22"/>
      <c r="AD307" s="22"/>
      <c r="AE307" s="22"/>
      <c r="AF307" s="22"/>
      <c r="AG307" s="22"/>
      <c r="AH307" s="22"/>
      <c r="AI307" s="22"/>
      <c r="AJ307" s="22"/>
      <c r="AK307" s="22"/>
      <c r="AL307" s="22"/>
      <c r="AM307" s="22"/>
      <c r="AN307" s="22"/>
      <c r="AO307" s="22"/>
      <c r="AP307" s="22"/>
      <c r="AQ307" s="22"/>
      <c r="AR307" s="22"/>
      <c r="AS307" s="25"/>
    </row>
    <row r="308" spans="1:45" s="1" customFormat="1">
      <c r="A308" s="22">
        <f t="shared" si="4"/>
        <v>307</v>
      </c>
      <c r="B308" s="23">
        <v>45699</v>
      </c>
      <c r="C308" s="22" t="s">
        <v>208</v>
      </c>
      <c r="D308" s="22" t="s">
        <v>667</v>
      </c>
      <c r="E308" s="22">
        <v>20251209</v>
      </c>
      <c r="F308" s="22" t="s">
        <v>1592</v>
      </c>
      <c r="G308" s="22">
        <v>9960412200</v>
      </c>
      <c r="H308" s="22" t="s">
        <v>1593</v>
      </c>
      <c r="I308" s="22" t="s">
        <v>55</v>
      </c>
      <c r="J308" s="22" t="s">
        <v>1029</v>
      </c>
      <c r="K308" s="22" t="s">
        <v>1030</v>
      </c>
      <c r="L308" s="22" t="s">
        <v>338</v>
      </c>
      <c r="M308" s="22" t="s">
        <v>1594</v>
      </c>
      <c r="N308" s="22" t="s">
        <v>709</v>
      </c>
      <c r="O308" s="22"/>
      <c r="P308" s="22" t="s">
        <v>403</v>
      </c>
      <c r="Q308" s="22" t="s">
        <v>63</v>
      </c>
      <c r="R308" s="22" t="s">
        <v>63</v>
      </c>
      <c r="S308" s="22" t="s">
        <v>133</v>
      </c>
      <c r="T308" s="22" t="s">
        <v>134</v>
      </c>
      <c r="U308" s="24"/>
      <c r="V308" s="22"/>
      <c r="W308" s="22" t="s">
        <v>93</v>
      </c>
      <c r="X308" s="22" t="s">
        <v>93</v>
      </c>
      <c r="Y308" s="22"/>
      <c r="Z308" s="22" t="s">
        <v>66</v>
      </c>
      <c r="AA308" s="22"/>
      <c r="AB308" s="22"/>
      <c r="AC308" s="22"/>
      <c r="AD308" s="22"/>
      <c r="AE308" s="22"/>
      <c r="AF308" s="22"/>
      <c r="AG308" s="22"/>
      <c r="AH308" s="22"/>
      <c r="AI308" s="22"/>
      <c r="AJ308" s="22"/>
      <c r="AK308" s="22"/>
      <c r="AL308" s="22"/>
      <c r="AM308" s="22"/>
      <c r="AN308" s="22"/>
      <c r="AO308" s="22"/>
      <c r="AP308" s="22"/>
      <c r="AQ308" s="22"/>
      <c r="AR308" s="22"/>
      <c r="AS308" s="25"/>
    </row>
    <row r="309" spans="1:45" s="1" customFormat="1">
      <c r="A309" s="22">
        <f t="shared" si="4"/>
        <v>308</v>
      </c>
      <c r="B309" s="23">
        <v>45699</v>
      </c>
      <c r="C309" s="22" t="s">
        <v>208</v>
      </c>
      <c r="D309" s="22" t="s">
        <v>667</v>
      </c>
      <c r="E309" s="22">
        <v>20251209</v>
      </c>
      <c r="F309" s="22" t="s">
        <v>1595</v>
      </c>
      <c r="G309" s="22">
        <v>9766482790</v>
      </c>
      <c r="H309" s="22" t="s">
        <v>1596</v>
      </c>
      <c r="I309" s="22" t="s">
        <v>55</v>
      </c>
      <c r="J309" s="22" t="s">
        <v>1029</v>
      </c>
      <c r="K309" s="22" t="s">
        <v>1030</v>
      </c>
      <c r="L309" s="22" t="s">
        <v>914</v>
      </c>
      <c r="M309" s="22" t="s">
        <v>1597</v>
      </c>
      <c r="N309" s="22" t="s">
        <v>154</v>
      </c>
      <c r="O309" s="22"/>
      <c r="P309" s="22" t="s">
        <v>780</v>
      </c>
      <c r="Q309" s="22" t="s">
        <v>63</v>
      </c>
      <c r="R309" s="22" t="s">
        <v>63</v>
      </c>
      <c r="S309" s="22" t="s">
        <v>133</v>
      </c>
      <c r="T309" s="22" t="s">
        <v>134</v>
      </c>
      <c r="U309" s="24"/>
      <c r="V309" s="22"/>
      <c r="W309" s="22" t="s">
        <v>93</v>
      </c>
      <c r="X309" s="22" t="s">
        <v>93</v>
      </c>
      <c r="Y309" s="22"/>
      <c r="Z309" s="22" t="s">
        <v>66</v>
      </c>
      <c r="AA309" s="22"/>
      <c r="AB309" s="22"/>
      <c r="AC309" s="22"/>
      <c r="AD309" s="22"/>
      <c r="AE309" s="22"/>
      <c r="AF309" s="22"/>
      <c r="AG309" s="22"/>
      <c r="AH309" s="22"/>
      <c r="AI309" s="22"/>
      <c r="AJ309" s="22"/>
      <c r="AK309" s="22"/>
      <c r="AL309" s="22"/>
      <c r="AM309" s="22"/>
      <c r="AN309" s="22"/>
      <c r="AO309" s="22"/>
      <c r="AP309" s="22"/>
      <c r="AQ309" s="22"/>
      <c r="AR309" s="22"/>
      <c r="AS309" s="25"/>
    </row>
    <row r="310" spans="1:45" s="1" customFormat="1">
      <c r="A310" s="22">
        <f t="shared" si="4"/>
        <v>309</v>
      </c>
      <c r="B310" s="23">
        <v>45699</v>
      </c>
      <c r="C310" s="22" t="s">
        <v>208</v>
      </c>
      <c r="D310" s="22" t="s">
        <v>293</v>
      </c>
      <c r="E310" s="22">
        <v>20251209</v>
      </c>
      <c r="F310" s="22" t="s">
        <v>1598</v>
      </c>
      <c r="G310" s="22">
        <v>7042356979</v>
      </c>
      <c r="H310" s="22" t="s">
        <v>1599</v>
      </c>
      <c r="I310" s="22" t="s">
        <v>55</v>
      </c>
      <c r="J310" s="22" t="s">
        <v>1029</v>
      </c>
      <c r="K310" s="22" t="s">
        <v>1030</v>
      </c>
      <c r="L310" s="22" t="s">
        <v>688</v>
      </c>
      <c r="M310" s="22" t="s">
        <v>1597</v>
      </c>
      <c r="N310" s="22" t="s">
        <v>1600</v>
      </c>
      <c r="O310" s="22"/>
      <c r="P310" s="22" t="s">
        <v>144</v>
      </c>
      <c r="Q310" s="22" t="s">
        <v>63</v>
      </c>
      <c r="R310" s="22" t="s">
        <v>63</v>
      </c>
      <c r="S310" s="22" t="s">
        <v>133</v>
      </c>
      <c r="T310" s="22" t="s">
        <v>134</v>
      </c>
      <c r="U310" s="24"/>
      <c r="V310" s="22"/>
      <c r="W310" s="22" t="s">
        <v>93</v>
      </c>
      <c r="X310" s="22" t="s">
        <v>93</v>
      </c>
      <c r="Y310" s="22"/>
      <c r="Z310" s="22" t="s">
        <v>66</v>
      </c>
      <c r="AA310" s="22"/>
      <c r="AB310" s="22"/>
      <c r="AC310" s="22"/>
      <c r="AD310" s="22"/>
      <c r="AE310" s="22"/>
      <c r="AF310" s="22"/>
      <c r="AG310" s="22"/>
      <c r="AH310" s="22"/>
      <c r="AI310" s="22"/>
      <c r="AJ310" s="22"/>
      <c r="AK310" s="22"/>
      <c r="AL310" s="22"/>
      <c r="AM310" s="22"/>
      <c r="AN310" s="22"/>
      <c r="AO310" s="22"/>
      <c r="AP310" s="22"/>
      <c r="AQ310" s="22"/>
      <c r="AR310" s="22"/>
      <c r="AS310" s="25"/>
    </row>
    <row r="311" spans="1:45" s="1" customFormat="1">
      <c r="A311" s="22">
        <f t="shared" si="4"/>
        <v>310</v>
      </c>
      <c r="B311" s="23">
        <v>45699</v>
      </c>
      <c r="C311" s="22" t="s">
        <v>208</v>
      </c>
      <c r="D311" s="22" t="s">
        <v>293</v>
      </c>
      <c r="E311" s="22">
        <v>20251209</v>
      </c>
      <c r="F311" s="22" t="s">
        <v>1601</v>
      </c>
      <c r="G311" s="22">
        <v>9921665848</v>
      </c>
      <c r="H311" s="22" t="s">
        <v>1602</v>
      </c>
      <c r="I311" s="22" t="s">
        <v>55</v>
      </c>
      <c r="J311" s="22" t="s">
        <v>1029</v>
      </c>
      <c r="K311" s="22" t="s">
        <v>1030</v>
      </c>
      <c r="L311" s="22" t="s">
        <v>688</v>
      </c>
      <c r="M311" s="22" t="s">
        <v>1603</v>
      </c>
      <c r="N311" s="22" t="s">
        <v>154</v>
      </c>
      <c r="O311" s="22"/>
      <c r="P311" s="22" t="s">
        <v>780</v>
      </c>
      <c r="Q311" s="22" t="s">
        <v>63</v>
      </c>
      <c r="R311" s="22" t="s">
        <v>63</v>
      </c>
      <c r="S311" s="22" t="s">
        <v>1032</v>
      </c>
      <c r="T311" s="22" t="s">
        <v>134</v>
      </c>
      <c r="U311" s="24"/>
      <c r="V311" s="22"/>
      <c r="W311" s="22" t="s">
        <v>93</v>
      </c>
      <c r="X311" s="22" t="s">
        <v>93</v>
      </c>
      <c r="Y311" s="22"/>
      <c r="Z311" s="22" t="s">
        <v>66</v>
      </c>
      <c r="AA311" s="22"/>
      <c r="AB311" s="22"/>
      <c r="AC311" s="22"/>
      <c r="AD311" s="22"/>
      <c r="AE311" s="22"/>
      <c r="AF311" s="22"/>
      <c r="AG311" s="22"/>
      <c r="AH311" s="22"/>
      <c r="AI311" s="22"/>
      <c r="AJ311" s="22"/>
      <c r="AK311" s="22"/>
      <c r="AL311" s="22"/>
      <c r="AM311" s="22"/>
      <c r="AN311" s="22"/>
      <c r="AO311" s="22"/>
      <c r="AP311" s="22"/>
      <c r="AQ311" s="22"/>
      <c r="AR311" s="22"/>
      <c r="AS311" s="25"/>
    </row>
    <row r="312" spans="1:45" s="1" customFormat="1">
      <c r="A312" s="22">
        <f t="shared" si="4"/>
        <v>311</v>
      </c>
      <c r="B312" s="23">
        <v>45700</v>
      </c>
      <c r="C312" s="22" t="s">
        <v>208</v>
      </c>
      <c r="D312" s="22" t="s">
        <v>293</v>
      </c>
      <c r="E312" s="22">
        <v>20246741</v>
      </c>
      <c r="F312" s="22" t="s">
        <v>1604</v>
      </c>
      <c r="G312" s="22">
        <v>9975576334</v>
      </c>
      <c r="H312" s="22" t="s">
        <v>1605</v>
      </c>
      <c r="I312" s="22" t="s">
        <v>55</v>
      </c>
      <c r="J312" s="22" t="s">
        <v>1606</v>
      </c>
      <c r="K312" s="22" t="s">
        <v>417</v>
      </c>
      <c r="L312" s="22" t="s">
        <v>1090</v>
      </c>
      <c r="M312" s="22" t="s">
        <v>214</v>
      </c>
      <c r="N312" s="22" t="s">
        <v>146</v>
      </c>
      <c r="O312" s="22"/>
      <c r="P312" s="22" t="s">
        <v>340</v>
      </c>
      <c r="Q312" s="22" t="s">
        <v>63</v>
      </c>
      <c r="R312" s="22" t="s">
        <v>63</v>
      </c>
      <c r="S312" s="22" t="s">
        <v>230</v>
      </c>
      <c r="T312" s="22" t="s">
        <v>134</v>
      </c>
      <c r="U312" s="24"/>
      <c r="V312" s="22"/>
      <c r="W312" s="22" t="s">
        <v>93</v>
      </c>
      <c r="X312" s="22" t="s">
        <v>1528</v>
      </c>
      <c r="Y312" s="22"/>
      <c r="Z312" s="22" t="s">
        <v>147</v>
      </c>
      <c r="AA312" s="22"/>
      <c r="AB312" s="22"/>
      <c r="AC312" s="22"/>
      <c r="AD312" s="22"/>
      <c r="AE312" s="22"/>
      <c r="AF312" s="22"/>
      <c r="AG312" s="22"/>
      <c r="AH312" s="22"/>
      <c r="AI312" s="22"/>
      <c r="AJ312" s="22"/>
      <c r="AK312" s="22"/>
      <c r="AL312" s="22"/>
      <c r="AM312" s="22"/>
      <c r="AN312" s="22"/>
      <c r="AO312" s="22"/>
      <c r="AP312" s="22"/>
      <c r="AQ312" s="22"/>
      <c r="AR312" s="22"/>
      <c r="AS312" s="25"/>
    </row>
    <row r="313" spans="1:45" s="1" customFormat="1">
      <c r="A313" s="22">
        <f t="shared" si="4"/>
        <v>312</v>
      </c>
      <c r="B313" s="23">
        <v>45700</v>
      </c>
      <c r="C313" s="22" t="s">
        <v>208</v>
      </c>
      <c r="D313" s="22" t="s">
        <v>209</v>
      </c>
      <c r="E313" s="22">
        <v>20246741</v>
      </c>
      <c r="F313" s="22" t="s">
        <v>1607</v>
      </c>
      <c r="G313" s="22">
        <v>8806696225</v>
      </c>
      <c r="H313" s="22" t="s">
        <v>1608</v>
      </c>
      <c r="I313" s="22" t="s">
        <v>101</v>
      </c>
      <c r="J313" s="22" t="s">
        <v>1606</v>
      </c>
      <c r="K313" s="22" t="s">
        <v>417</v>
      </c>
      <c r="L313" s="22" t="s">
        <v>938</v>
      </c>
      <c r="M313" s="22" t="s">
        <v>1609</v>
      </c>
      <c r="N313" s="22" t="s">
        <v>333</v>
      </c>
      <c r="O313" s="22"/>
      <c r="P313" s="22" t="s">
        <v>494</v>
      </c>
      <c r="Q313" s="22" t="s">
        <v>63</v>
      </c>
      <c r="R313" s="22" t="s">
        <v>63</v>
      </c>
      <c r="S313" s="22" t="s">
        <v>255</v>
      </c>
      <c r="T313" s="22" t="s">
        <v>134</v>
      </c>
      <c r="U313" s="24"/>
      <c r="V313" s="22"/>
      <c r="W313" s="22" t="s">
        <v>93</v>
      </c>
      <c r="X313" s="22" t="s">
        <v>1528</v>
      </c>
      <c r="Y313" s="22"/>
      <c r="Z313" s="22" t="s">
        <v>147</v>
      </c>
      <c r="AA313" s="22"/>
      <c r="AB313" s="22"/>
      <c r="AC313" s="22"/>
      <c r="AD313" s="22"/>
      <c r="AE313" s="22"/>
      <c r="AF313" s="22"/>
      <c r="AG313" s="22"/>
      <c r="AH313" s="22"/>
      <c r="AI313" s="22"/>
      <c r="AJ313" s="22"/>
      <c r="AK313" s="22"/>
      <c r="AL313" s="22"/>
      <c r="AM313" s="22"/>
      <c r="AN313" s="22"/>
      <c r="AO313" s="22"/>
      <c r="AP313" s="22"/>
      <c r="AQ313" s="22"/>
      <c r="AR313" s="22"/>
      <c r="AS313" s="25"/>
    </row>
    <row r="314" spans="1:45" s="1" customFormat="1">
      <c r="A314" s="22">
        <f t="shared" si="4"/>
        <v>313</v>
      </c>
      <c r="B314" s="23">
        <v>45700</v>
      </c>
      <c r="C314" s="22" t="s">
        <v>208</v>
      </c>
      <c r="D314" s="22" t="s">
        <v>209</v>
      </c>
      <c r="E314" s="22">
        <v>20246741</v>
      </c>
      <c r="F314" s="22" t="s">
        <v>1610</v>
      </c>
      <c r="G314" s="22" t="s">
        <v>1611</v>
      </c>
      <c r="H314" s="22" t="s">
        <v>1612</v>
      </c>
      <c r="I314" s="22" t="s">
        <v>101</v>
      </c>
      <c r="J314" s="22" t="s">
        <v>1606</v>
      </c>
      <c r="K314" s="22" t="s">
        <v>417</v>
      </c>
      <c r="L314" s="22" t="s">
        <v>1613</v>
      </c>
      <c r="M314" s="22" t="s">
        <v>1614</v>
      </c>
      <c r="N314" s="22" t="s">
        <v>1453</v>
      </c>
      <c r="O314" s="22"/>
      <c r="P314" s="22" t="s">
        <v>388</v>
      </c>
      <c r="Q314" s="22" t="s">
        <v>63</v>
      </c>
      <c r="R314" s="22" t="s">
        <v>63</v>
      </c>
      <c r="S314" s="22" t="s">
        <v>1615</v>
      </c>
      <c r="T314" s="22" t="s">
        <v>134</v>
      </c>
      <c r="U314" s="24"/>
      <c r="V314" s="22"/>
      <c r="W314" s="22" t="s">
        <v>93</v>
      </c>
      <c r="X314" s="22" t="s">
        <v>1528</v>
      </c>
      <c r="Y314" s="22"/>
      <c r="Z314" s="22" t="s">
        <v>147</v>
      </c>
      <c r="AA314" s="22"/>
      <c r="AB314" s="22"/>
      <c r="AC314" s="22"/>
      <c r="AD314" s="22"/>
      <c r="AE314" s="22"/>
      <c r="AF314" s="22"/>
      <c r="AG314" s="22"/>
      <c r="AH314" s="22"/>
      <c r="AI314" s="22"/>
      <c r="AJ314" s="22"/>
      <c r="AK314" s="22"/>
      <c r="AL314" s="22"/>
      <c r="AM314" s="22"/>
      <c r="AN314" s="22"/>
      <c r="AO314" s="22"/>
      <c r="AP314" s="22"/>
      <c r="AQ314" s="22"/>
      <c r="AR314" s="22"/>
      <c r="AS314" s="25"/>
    </row>
    <row r="315" spans="1:45" s="1" customFormat="1">
      <c r="A315" s="22">
        <f t="shared" si="4"/>
        <v>314</v>
      </c>
      <c r="B315" s="23">
        <v>45700</v>
      </c>
      <c r="C315" s="22" t="s">
        <v>208</v>
      </c>
      <c r="D315" s="22" t="s">
        <v>209</v>
      </c>
      <c r="E315" s="22">
        <v>20246741</v>
      </c>
      <c r="F315" s="22" t="s">
        <v>1616</v>
      </c>
      <c r="G315" s="22" t="s">
        <v>1617</v>
      </c>
      <c r="H315" s="22" t="s">
        <v>1618</v>
      </c>
      <c r="I315" s="22" t="s">
        <v>55</v>
      </c>
      <c r="J315" s="22" t="s">
        <v>1606</v>
      </c>
      <c r="K315" s="22" t="s">
        <v>417</v>
      </c>
      <c r="L315" s="22" t="s">
        <v>1053</v>
      </c>
      <c r="M315" s="22" t="s">
        <v>1619</v>
      </c>
      <c r="N315" s="22" t="s">
        <v>1620</v>
      </c>
      <c r="O315" s="22"/>
      <c r="P315" s="22" t="s">
        <v>144</v>
      </c>
      <c r="Q315" s="22" t="s">
        <v>283</v>
      </c>
      <c r="R315" s="22" t="s">
        <v>63</v>
      </c>
      <c r="S315" s="22" t="s">
        <v>255</v>
      </c>
      <c r="T315" s="22" t="s">
        <v>134</v>
      </c>
      <c r="U315" s="24"/>
      <c r="V315" s="22"/>
      <c r="W315" s="22" t="s">
        <v>93</v>
      </c>
      <c r="X315" s="22" t="s">
        <v>1528</v>
      </c>
      <c r="Y315" s="22"/>
      <c r="Z315" s="22" t="s">
        <v>147</v>
      </c>
      <c r="AA315" s="22"/>
      <c r="AB315" s="22"/>
      <c r="AC315" s="22"/>
      <c r="AD315" s="22"/>
      <c r="AE315" s="22"/>
      <c r="AF315" s="22"/>
      <c r="AG315" s="22"/>
      <c r="AH315" s="22"/>
      <c r="AI315" s="22"/>
      <c r="AJ315" s="22"/>
      <c r="AK315" s="22"/>
      <c r="AL315" s="22"/>
      <c r="AM315" s="22"/>
      <c r="AN315" s="22"/>
      <c r="AO315" s="22"/>
      <c r="AP315" s="22"/>
      <c r="AQ315" s="22"/>
      <c r="AR315" s="22"/>
      <c r="AS315" s="25"/>
    </row>
    <row r="316" spans="1:45" s="1" customFormat="1">
      <c r="A316" s="22">
        <f t="shared" si="4"/>
        <v>315</v>
      </c>
      <c r="B316" s="23">
        <v>45700</v>
      </c>
      <c r="C316" s="22" t="s">
        <v>208</v>
      </c>
      <c r="D316" s="22" t="s">
        <v>209</v>
      </c>
      <c r="E316" s="22">
        <v>20246741</v>
      </c>
      <c r="F316" s="22" t="s">
        <v>1621</v>
      </c>
      <c r="G316" s="22">
        <v>9834275862</v>
      </c>
      <c r="H316" s="22" t="s">
        <v>1622</v>
      </c>
      <c r="I316" s="22" t="s">
        <v>55</v>
      </c>
      <c r="J316" s="22" t="s">
        <v>1606</v>
      </c>
      <c r="K316" s="22" t="s">
        <v>417</v>
      </c>
      <c r="L316" s="22" t="s">
        <v>938</v>
      </c>
      <c r="M316" s="22" t="s">
        <v>1623</v>
      </c>
      <c r="N316" s="22" t="s">
        <v>1624</v>
      </c>
      <c r="O316" s="22"/>
      <c r="P316" s="22" t="s">
        <v>596</v>
      </c>
      <c r="Q316" s="22" t="s">
        <v>63</v>
      </c>
      <c r="R316" s="22" t="s">
        <v>63</v>
      </c>
      <c r="S316" s="22" t="s">
        <v>361</v>
      </c>
      <c r="T316" s="22" t="s">
        <v>134</v>
      </c>
      <c r="U316" s="24"/>
      <c r="V316" s="22"/>
      <c r="W316" s="22" t="s">
        <v>93</v>
      </c>
      <c r="X316" s="22" t="s">
        <v>1528</v>
      </c>
      <c r="Y316" s="22"/>
      <c r="Z316" s="22" t="s">
        <v>147</v>
      </c>
      <c r="AA316" s="22"/>
      <c r="AB316" s="22"/>
      <c r="AC316" s="22"/>
      <c r="AD316" s="22"/>
      <c r="AE316" s="22"/>
      <c r="AF316" s="22"/>
      <c r="AG316" s="22"/>
      <c r="AH316" s="22"/>
      <c r="AI316" s="22"/>
      <c r="AJ316" s="22"/>
      <c r="AK316" s="22"/>
      <c r="AL316" s="22"/>
      <c r="AM316" s="22"/>
      <c r="AN316" s="22"/>
      <c r="AO316" s="22"/>
      <c r="AP316" s="22"/>
      <c r="AQ316" s="22"/>
      <c r="AR316" s="22"/>
      <c r="AS316" s="25"/>
    </row>
    <row r="317" spans="1:45" s="1" customFormat="1">
      <c r="A317" s="22">
        <f t="shared" si="4"/>
        <v>316</v>
      </c>
      <c r="B317" s="23">
        <v>45700</v>
      </c>
      <c r="C317" s="22" t="s">
        <v>208</v>
      </c>
      <c r="D317" s="22" t="s">
        <v>293</v>
      </c>
      <c r="E317" s="22">
        <v>20246741</v>
      </c>
      <c r="F317" s="22" t="s">
        <v>1625</v>
      </c>
      <c r="G317" s="22">
        <v>9634331969</v>
      </c>
      <c r="H317" s="22" t="s">
        <v>1626</v>
      </c>
      <c r="I317" s="22" t="s">
        <v>55</v>
      </c>
      <c r="J317" s="22" t="s">
        <v>1606</v>
      </c>
      <c r="K317" s="22" t="s">
        <v>417</v>
      </c>
      <c r="L317" s="22" t="s">
        <v>1567</v>
      </c>
      <c r="M317" s="22" t="s">
        <v>683</v>
      </c>
      <c r="N317" s="22" t="s">
        <v>403</v>
      </c>
      <c r="O317" s="22"/>
      <c r="P317" s="22" t="s">
        <v>164</v>
      </c>
      <c r="Q317" s="22" t="s">
        <v>63</v>
      </c>
      <c r="R317" s="22" t="s">
        <v>63</v>
      </c>
      <c r="S317" s="22" t="s">
        <v>1627</v>
      </c>
      <c r="T317" s="22" t="s">
        <v>134</v>
      </c>
      <c r="U317" s="24"/>
      <c r="V317" s="22"/>
      <c r="W317" s="22" t="s">
        <v>93</v>
      </c>
      <c r="X317" s="22" t="s">
        <v>1528</v>
      </c>
      <c r="Y317" s="22"/>
      <c r="Z317" s="22" t="s">
        <v>147</v>
      </c>
      <c r="AA317" s="22"/>
      <c r="AB317" s="22"/>
      <c r="AC317" s="22"/>
      <c r="AD317" s="22"/>
      <c r="AE317" s="22"/>
      <c r="AF317" s="22"/>
      <c r="AG317" s="22"/>
      <c r="AH317" s="22"/>
      <c r="AI317" s="22"/>
      <c r="AJ317" s="22"/>
      <c r="AK317" s="22"/>
      <c r="AL317" s="22"/>
      <c r="AM317" s="22"/>
      <c r="AN317" s="22"/>
      <c r="AO317" s="22"/>
      <c r="AP317" s="22"/>
      <c r="AQ317" s="22"/>
      <c r="AR317" s="22"/>
      <c r="AS317" s="25"/>
    </row>
    <row r="318" spans="1:45" s="1" customFormat="1">
      <c r="A318" s="22">
        <f t="shared" si="4"/>
        <v>317</v>
      </c>
      <c r="B318" s="23">
        <v>45700</v>
      </c>
      <c r="C318" s="22" t="s">
        <v>208</v>
      </c>
      <c r="D318" s="22" t="s">
        <v>209</v>
      </c>
      <c r="E318" s="22">
        <v>20246741</v>
      </c>
      <c r="F318" s="22" t="s">
        <v>1628</v>
      </c>
      <c r="G318" s="22">
        <v>9604810785</v>
      </c>
      <c r="H318" s="22" t="s">
        <v>1629</v>
      </c>
      <c r="I318" s="22" t="s">
        <v>55</v>
      </c>
      <c r="J318" s="22" t="s">
        <v>1606</v>
      </c>
      <c r="K318" s="22" t="s">
        <v>417</v>
      </c>
      <c r="L318" s="22" t="s">
        <v>1630</v>
      </c>
      <c r="M318" s="22" t="s">
        <v>1631</v>
      </c>
      <c r="N318" s="22" t="s">
        <v>684</v>
      </c>
      <c r="O318" s="22"/>
      <c r="P318" s="22" t="s">
        <v>144</v>
      </c>
      <c r="Q318" s="22" t="s">
        <v>174</v>
      </c>
      <c r="R318" s="22" t="s">
        <v>63</v>
      </c>
      <c r="S318" s="22" t="s">
        <v>1632</v>
      </c>
      <c r="T318" s="22" t="s">
        <v>1633</v>
      </c>
      <c r="U318" s="24"/>
      <c r="V318" s="22"/>
      <c r="W318" s="22" t="s">
        <v>93</v>
      </c>
      <c r="X318" s="22" t="s">
        <v>1528</v>
      </c>
      <c r="Y318" s="22"/>
      <c r="Z318" s="22" t="s">
        <v>147</v>
      </c>
      <c r="AA318" s="22"/>
      <c r="AB318" s="22"/>
      <c r="AC318" s="22"/>
      <c r="AD318" s="22"/>
      <c r="AE318" s="22"/>
      <c r="AF318" s="22"/>
      <c r="AG318" s="22"/>
      <c r="AH318" s="22"/>
      <c r="AI318" s="22"/>
      <c r="AJ318" s="22"/>
      <c r="AK318" s="22"/>
      <c r="AL318" s="22"/>
      <c r="AM318" s="22"/>
      <c r="AN318" s="22"/>
      <c r="AO318" s="22"/>
      <c r="AP318" s="22"/>
      <c r="AQ318" s="22"/>
      <c r="AR318" s="22"/>
      <c r="AS318" s="25"/>
    </row>
    <row r="319" spans="1:45" s="1" customFormat="1">
      <c r="A319" s="22">
        <f t="shared" si="4"/>
        <v>318</v>
      </c>
      <c r="B319" s="23">
        <v>45700</v>
      </c>
      <c r="C319" s="22" t="s">
        <v>208</v>
      </c>
      <c r="D319" s="22" t="s">
        <v>209</v>
      </c>
      <c r="E319" s="22">
        <v>20246741</v>
      </c>
      <c r="F319" s="22" t="s">
        <v>1634</v>
      </c>
      <c r="G319" s="22">
        <v>8329162569</v>
      </c>
      <c r="H319" s="22" t="s">
        <v>1635</v>
      </c>
      <c r="I319" s="22" t="s">
        <v>101</v>
      </c>
      <c r="J319" s="22" t="s">
        <v>1606</v>
      </c>
      <c r="K319" s="22" t="s">
        <v>417</v>
      </c>
      <c r="L319" s="22" t="s">
        <v>1053</v>
      </c>
      <c r="M319" s="22" t="s">
        <v>1636</v>
      </c>
      <c r="N319" s="22" t="s">
        <v>622</v>
      </c>
      <c r="O319" s="22"/>
      <c r="P319" s="22" t="s">
        <v>164</v>
      </c>
      <c r="Q319" s="22" t="s">
        <v>63</v>
      </c>
      <c r="R319" s="22" t="s">
        <v>63</v>
      </c>
      <c r="S319" s="22" t="s">
        <v>1637</v>
      </c>
      <c r="T319" s="22" t="s">
        <v>134</v>
      </c>
      <c r="U319" s="24"/>
      <c r="V319" s="22"/>
      <c r="W319" s="22" t="s">
        <v>93</v>
      </c>
      <c r="X319" s="22" t="s">
        <v>1528</v>
      </c>
      <c r="Y319" s="22"/>
      <c r="Z319" s="22" t="s">
        <v>147</v>
      </c>
      <c r="AA319" s="22"/>
      <c r="AB319" s="22"/>
      <c r="AC319" s="22"/>
      <c r="AD319" s="22"/>
      <c r="AE319" s="22"/>
      <c r="AF319" s="22"/>
      <c r="AG319" s="22"/>
      <c r="AH319" s="22"/>
      <c r="AI319" s="22"/>
      <c r="AJ319" s="22"/>
      <c r="AK319" s="22"/>
      <c r="AL319" s="22"/>
      <c r="AM319" s="22"/>
      <c r="AN319" s="22"/>
      <c r="AO319" s="22"/>
      <c r="AP319" s="22"/>
      <c r="AQ319" s="22"/>
      <c r="AR319" s="22"/>
      <c r="AS319" s="25"/>
    </row>
    <row r="320" spans="1:45" s="1" customFormat="1">
      <c r="A320" s="22">
        <f t="shared" si="4"/>
        <v>319</v>
      </c>
      <c r="B320" s="23">
        <v>45700</v>
      </c>
      <c r="C320" s="22" t="s">
        <v>208</v>
      </c>
      <c r="D320" s="22" t="s">
        <v>209</v>
      </c>
      <c r="E320" s="22">
        <v>20246741</v>
      </c>
      <c r="F320" s="22" t="s">
        <v>1638</v>
      </c>
      <c r="G320" s="22">
        <v>9763359251</v>
      </c>
      <c r="H320" s="22" t="s">
        <v>1639</v>
      </c>
      <c r="I320" s="22" t="s">
        <v>55</v>
      </c>
      <c r="J320" s="22" t="s">
        <v>1606</v>
      </c>
      <c r="K320" s="22" t="s">
        <v>417</v>
      </c>
      <c r="L320" s="22" t="s">
        <v>938</v>
      </c>
      <c r="M320" s="22" t="s">
        <v>1640</v>
      </c>
      <c r="N320" s="22" t="s">
        <v>622</v>
      </c>
      <c r="O320" s="22"/>
      <c r="P320" s="22" t="s">
        <v>340</v>
      </c>
      <c r="Q320" s="22" t="s">
        <v>63</v>
      </c>
      <c r="R320" s="22" t="s">
        <v>63</v>
      </c>
      <c r="S320" s="22" t="s">
        <v>255</v>
      </c>
      <c r="T320" s="22" t="s">
        <v>134</v>
      </c>
      <c r="U320" s="24"/>
      <c r="V320" s="22"/>
      <c r="W320" s="22" t="s">
        <v>93</v>
      </c>
      <c r="X320" s="22" t="s">
        <v>1528</v>
      </c>
      <c r="Y320" s="22"/>
      <c r="Z320" s="22" t="s">
        <v>147</v>
      </c>
      <c r="AA320" s="22"/>
      <c r="AB320" s="22"/>
      <c r="AC320" s="22"/>
      <c r="AD320" s="22"/>
      <c r="AE320" s="22"/>
      <c r="AF320" s="22"/>
      <c r="AG320" s="22"/>
      <c r="AH320" s="22"/>
      <c r="AI320" s="22"/>
      <c r="AJ320" s="22"/>
      <c r="AK320" s="22"/>
      <c r="AL320" s="22"/>
      <c r="AM320" s="22"/>
      <c r="AN320" s="22"/>
      <c r="AO320" s="22"/>
      <c r="AP320" s="22"/>
      <c r="AQ320" s="22"/>
      <c r="AR320" s="22"/>
      <c r="AS320" s="25"/>
    </row>
    <row r="321" spans="1:45" s="1" customFormat="1">
      <c r="A321" s="22">
        <f t="shared" si="4"/>
        <v>320</v>
      </c>
      <c r="B321" s="23">
        <v>45700</v>
      </c>
      <c r="C321" s="22" t="s">
        <v>208</v>
      </c>
      <c r="D321" s="22" t="s">
        <v>209</v>
      </c>
      <c r="E321" s="22">
        <v>20246741</v>
      </c>
      <c r="F321" s="22" t="s">
        <v>1641</v>
      </c>
      <c r="G321" s="22">
        <v>8077395998</v>
      </c>
      <c r="H321" s="22" t="s">
        <v>1642</v>
      </c>
      <c r="I321" s="22" t="s">
        <v>55</v>
      </c>
      <c r="J321" s="22" t="s">
        <v>1606</v>
      </c>
      <c r="K321" s="22" t="s">
        <v>417</v>
      </c>
      <c r="L321" s="22" t="s">
        <v>1643</v>
      </c>
      <c r="M321" s="22" t="s">
        <v>1488</v>
      </c>
      <c r="N321" s="22" t="s">
        <v>622</v>
      </c>
      <c r="O321" s="22"/>
      <c r="P321" s="22" t="s">
        <v>1453</v>
      </c>
      <c r="Q321" s="22" t="s">
        <v>63</v>
      </c>
      <c r="R321" s="22" t="s">
        <v>63</v>
      </c>
      <c r="S321" s="22" t="s">
        <v>1644</v>
      </c>
      <c r="T321" s="22" t="s">
        <v>1633</v>
      </c>
      <c r="U321" s="24"/>
      <c r="V321" s="22"/>
      <c r="W321" s="22" t="s">
        <v>93</v>
      </c>
      <c r="X321" s="22" t="s">
        <v>1528</v>
      </c>
      <c r="Y321" s="22"/>
      <c r="Z321" s="22" t="s">
        <v>147</v>
      </c>
      <c r="AA321" s="22"/>
      <c r="AB321" s="22"/>
      <c r="AC321" s="22"/>
      <c r="AD321" s="22"/>
      <c r="AE321" s="22"/>
      <c r="AF321" s="22"/>
      <c r="AG321" s="22"/>
      <c r="AH321" s="22"/>
      <c r="AI321" s="22"/>
      <c r="AJ321" s="22"/>
      <c r="AK321" s="22"/>
      <c r="AL321" s="22"/>
      <c r="AM321" s="22"/>
      <c r="AN321" s="22"/>
      <c r="AO321" s="22"/>
      <c r="AP321" s="22"/>
      <c r="AQ321" s="22"/>
      <c r="AR321" s="22"/>
      <c r="AS321" s="25"/>
    </row>
    <row r="322" spans="1:45" s="1" customFormat="1">
      <c r="A322" s="22">
        <f t="shared" si="4"/>
        <v>321</v>
      </c>
      <c r="B322" s="23">
        <v>45701</v>
      </c>
      <c r="C322" s="22" t="s">
        <v>208</v>
      </c>
      <c r="D322" s="22" t="s">
        <v>667</v>
      </c>
      <c r="E322" s="22">
        <v>20242803</v>
      </c>
      <c r="F322" s="22" t="s">
        <v>1645</v>
      </c>
      <c r="G322" s="22">
        <v>9818173194</v>
      </c>
      <c r="H322" s="22" t="s">
        <v>1646</v>
      </c>
      <c r="I322" s="22" t="s">
        <v>55</v>
      </c>
      <c r="J322" s="22" t="s">
        <v>212</v>
      </c>
      <c r="K322" s="22" t="s">
        <v>213</v>
      </c>
      <c r="L322" s="22">
        <v>4</v>
      </c>
      <c r="M322" s="22" t="s">
        <v>358</v>
      </c>
      <c r="N322" s="22">
        <v>7</v>
      </c>
      <c r="O322" s="22">
        <v>0</v>
      </c>
      <c r="P322" s="22">
        <v>12</v>
      </c>
      <c r="Q322" s="22" t="s">
        <v>1442</v>
      </c>
      <c r="R322" s="22" t="s">
        <v>63</v>
      </c>
      <c r="S322" s="22" t="s">
        <v>1647</v>
      </c>
      <c r="T322" s="22" t="s">
        <v>1648</v>
      </c>
      <c r="U322" s="24"/>
      <c r="V322" s="22"/>
      <c r="W322" s="22" t="s">
        <v>218</v>
      </c>
      <c r="X322" s="22" t="s">
        <v>218</v>
      </c>
      <c r="Y322" s="22" t="s">
        <v>135</v>
      </c>
      <c r="Z322" s="22" t="s">
        <v>66</v>
      </c>
      <c r="AA322" s="22">
        <v>45701</v>
      </c>
      <c r="AB322" s="22">
        <v>45701</v>
      </c>
      <c r="AC322" s="22">
        <v>45701</v>
      </c>
      <c r="AD322" s="22"/>
      <c r="AE322" s="22"/>
      <c r="AF322" s="22"/>
      <c r="AG322" s="22"/>
      <c r="AH322" s="22"/>
      <c r="AI322" s="22"/>
      <c r="AJ322" s="22"/>
      <c r="AK322" s="22"/>
      <c r="AL322" s="22"/>
      <c r="AM322" s="22"/>
      <c r="AN322" s="22"/>
      <c r="AO322" s="22"/>
      <c r="AP322" s="22"/>
      <c r="AQ322" s="22"/>
      <c r="AR322" s="22"/>
      <c r="AS322" s="25"/>
    </row>
    <row r="323" spans="1:45" s="1" customFormat="1">
      <c r="A323" s="22">
        <f t="shared" ref="A323:A386" si="5">A322+1</f>
        <v>322</v>
      </c>
      <c r="B323" s="23">
        <v>45701</v>
      </c>
      <c r="C323" s="22" t="s">
        <v>208</v>
      </c>
      <c r="D323" s="22" t="s">
        <v>367</v>
      </c>
      <c r="E323" s="22">
        <v>20242803</v>
      </c>
      <c r="F323" s="22" t="s">
        <v>1649</v>
      </c>
      <c r="G323" s="22" t="s">
        <v>1650</v>
      </c>
      <c r="H323" s="22" t="s">
        <v>1651</v>
      </c>
      <c r="I323" s="22" t="s">
        <v>55</v>
      </c>
      <c r="J323" s="22" t="s">
        <v>212</v>
      </c>
      <c r="K323" s="22" t="s">
        <v>213</v>
      </c>
      <c r="L323" s="22">
        <v>5</v>
      </c>
      <c r="M323" s="22" t="s">
        <v>1652</v>
      </c>
      <c r="N323" s="22">
        <v>7.6</v>
      </c>
      <c r="O323" s="22">
        <v>0</v>
      </c>
      <c r="P323" s="22">
        <v>14</v>
      </c>
      <c r="Q323" s="22" t="s">
        <v>750</v>
      </c>
      <c r="R323" s="22" t="s">
        <v>63</v>
      </c>
      <c r="S323" s="22" t="s">
        <v>1653</v>
      </c>
      <c r="T323" s="22" t="s">
        <v>1654</v>
      </c>
      <c r="U323" s="24"/>
      <c r="V323" s="22"/>
      <c r="W323" s="22" t="s">
        <v>218</v>
      </c>
      <c r="X323" s="22" t="s">
        <v>218</v>
      </c>
      <c r="Y323" s="22" t="s">
        <v>135</v>
      </c>
      <c r="Z323" s="22" t="s">
        <v>66</v>
      </c>
      <c r="AA323" s="22">
        <v>45701</v>
      </c>
      <c r="AB323" s="22">
        <v>45701</v>
      </c>
      <c r="AC323" s="22">
        <v>45701</v>
      </c>
      <c r="AD323" s="22"/>
      <c r="AE323" s="22"/>
      <c r="AF323" s="22"/>
      <c r="AG323" s="22"/>
      <c r="AH323" s="22"/>
      <c r="AI323" s="22"/>
      <c r="AJ323" s="22"/>
      <c r="AK323" s="22"/>
      <c r="AL323" s="22"/>
      <c r="AM323" s="22"/>
      <c r="AN323" s="22"/>
      <c r="AO323" s="22"/>
      <c r="AP323" s="22"/>
      <c r="AQ323" s="22"/>
      <c r="AR323" s="22"/>
      <c r="AS323" s="25"/>
    </row>
    <row r="324" spans="1:45" s="1" customFormat="1">
      <c r="A324" s="22">
        <f t="shared" si="5"/>
        <v>323</v>
      </c>
      <c r="B324" s="23">
        <v>45701</v>
      </c>
      <c r="C324" s="22" t="s">
        <v>208</v>
      </c>
      <c r="D324" s="22" t="s">
        <v>1056</v>
      </c>
      <c r="E324" s="22">
        <v>20245762</v>
      </c>
      <c r="F324" s="22" t="s">
        <v>1655</v>
      </c>
      <c r="G324" s="22">
        <v>7795241378</v>
      </c>
      <c r="H324" s="22" t="s">
        <v>1656</v>
      </c>
      <c r="I324" s="22" t="s">
        <v>55</v>
      </c>
      <c r="J324" s="22" t="s">
        <v>1657</v>
      </c>
      <c r="K324" s="22" t="s">
        <v>1658</v>
      </c>
      <c r="L324" s="22">
        <v>1.6</v>
      </c>
      <c r="M324" s="22" t="s">
        <v>1659</v>
      </c>
      <c r="N324" s="22">
        <v>4</v>
      </c>
      <c r="O324" s="22">
        <v>0</v>
      </c>
      <c r="P324" s="22">
        <v>6</v>
      </c>
      <c r="Q324" s="22" t="s">
        <v>1660</v>
      </c>
      <c r="R324" s="22" t="s">
        <v>63</v>
      </c>
      <c r="S324" s="22">
        <v>0</v>
      </c>
      <c r="T324" s="22"/>
      <c r="U324" s="24"/>
      <c r="V324" s="22"/>
      <c r="W324" s="22" t="s">
        <v>218</v>
      </c>
      <c r="X324" s="22" t="s">
        <v>218</v>
      </c>
      <c r="Y324" s="22" t="s">
        <v>135</v>
      </c>
      <c r="Z324" s="22" t="s">
        <v>66</v>
      </c>
      <c r="AA324" s="22">
        <v>45714</v>
      </c>
      <c r="AB324" s="22">
        <v>45714</v>
      </c>
      <c r="AC324" s="22">
        <v>45714</v>
      </c>
      <c r="AD324" s="22"/>
      <c r="AE324" s="22"/>
      <c r="AF324" s="22"/>
      <c r="AG324" s="22"/>
      <c r="AH324" s="22"/>
      <c r="AI324" s="22"/>
      <c r="AJ324" s="22"/>
      <c r="AK324" s="22"/>
      <c r="AL324" s="22"/>
      <c r="AM324" s="22"/>
      <c r="AN324" s="22"/>
      <c r="AO324" s="22"/>
      <c r="AP324" s="22"/>
      <c r="AQ324" s="22"/>
      <c r="AR324" s="22"/>
      <c r="AS324" s="25"/>
    </row>
    <row r="325" spans="1:45" s="1" customFormat="1">
      <c r="A325" s="22">
        <f t="shared" si="5"/>
        <v>324</v>
      </c>
      <c r="B325" s="23">
        <v>45701</v>
      </c>
      <c r="C325" s="22" t="s">
        <v>208</v>
      </c>
      <c r="D325" s="22" t="s">
        <v>209</v>
      </c>
      <c r="E325" s="22">
        <v>20245762</v>
      </c>
      <c r="F325" s="22" t="s">
        <v>1661</v>
      </c>
      <c r="G325" s="22">
        <v>7743972055</v>
      </c>
      <c r="H325" s="22" t="s">
        <v>1662</v>
      </c>
      <c r="I325" s="22" t="s">
        <v>55</v>
      </c>
      <c r="J325" s="22" t="s">
        <v>1657</v>
      </c>
      <c r="K325" s="22" t="s">
        <v>1658</v>
      </c>
      <c r="L325" s="22">
        <v>1</v>
      </c>
      <c r="M325" s="22" t="s">
        <v>1663</v>
      </c>
      <c r="N325" s="22">
        <v>3</v>
      </c>
      <c r="O325" s="22">
        <v>0</v>
      </c>
      <c r="P325" s="22">
        <v>6</v>
      </c>
      <c r="Q325" s="22" t="s">
        <v>165</v>
      </c>
      <c r="R325" s="22" t="s">
        <v>63</v>
      </c>
      <c r="S325" s="22" t="s">
        <v>255</v>
      </c>
      <c r="T325" s="22"/>
      <c r="U325" s="24"/>
      <c r="V325" s="22"/>
      <c r="W325" s="22" t="s">
        <v>218</v>
      </c>
      <c r="X325" s="22" t="s">
        <v>218</v>
      </c>
      <c r="Y325" s="22" t="s">
        <v>135</v>
      </c>
      <c r="Z325" s="22" t="s">
        <v>66</v>
      </c>
      <c r="AA325" s="22"/>
      <c r="AB325" s="22"/>
      <c r="AC325" s="22"/>
      <c r="AD325" s="22"/>
      <c r="AE325" s="22"/>
      <c r="AF325" s="22"/>
      <c r="AG325" s="22"/>
      <c r="AH325" s="22"/>
      <c r="AI325" s="22"/>
      <c r="AJ325" s="22"/>
      <c r="AK325" s="22"/>
      <c r="AL325" s="22"/>
      <c r="AM325" s="22"/>
      <c r="AN325" s="22"/>
      <c r="AO325" s="22"/>
      <c r="AP325" s="22"/>
      <c r="AQ325" s="22"/>
      <c r="AR325" s="22"/>
      <c r="AS325" s="25"/>
    </row>
    <row r="326" spans="1:45" s="1" customFormat="1">
      <c r="A326" s="22">
        <f t="shared" si="5"/>
        <v>325</v>
      </c>
      <c r="B326" s="23">
        <v>45701</v>
      </c>
      <c r="C326" s="22" t="s">
        <v>208</v>
      </c>
      <c r="D326" s="22" t="s">
        <v>209</v>
      </c>
      <c r="E326" s="22">
        <v>20245762</v>
      </c>
      <c r="F326" s="22" t="s">
        <v>1664</v>
      </c>
      <c r="G326" s="22">
        <v>8970016393</v>
      </c>
      <c r="H326" s="22" t="s">
        <v>1665</v>
      </c>
      <c r="I326" s="22" t="s">
        <v>55</v>
      </c>
      <c r="J326" s="22" t="s">
        <v>1657</v>
      </c>
      <c r="K326" s="22" t="s">
        <v>1658</v>
      </c>
      <c r="L326" s="22">
        <v>2.5</v>
      </c>
      <c r="M326" s="22" t="s">
        <v>1666</v>
      </c>
      <c r="N326" s="22">
        <v>6</v>
      </c>
      <c r="O326" s="22" t="s">
        <v>61</v>
      </c>
      <c r="P326" s="22">
        <v>8</v>
      </c>
      <c r="Q326" s="22" t="s">
        <v>1667</v>
      </c>
      <c r="R326" s="22" t="s">
        <v>63</v>
      </c>
      <c r="S326" s="22" t="s">
        <v>230</v>
      </c>
      <c r="T326" s="22"/>
      <c r="U326" s="24"/>
      <c r="V326" s="22"/>
      <c r="W326" s="22" t="s">
        <v>218</v>
      </c>
      <c r="X326" s="22" t="s">
        <v>218</v>
      </c>
      <c r="Y326" s="22" t="s">
        <v>135</v>
      </c>
      <c r="Z326" s="22" t="s">
        <v>66</v>
      </c>
      <c r="AA326" s="22"/>
      <c r="AB326" s="22"/>
      <c r="AC326" s="22"/>
      <c r="AD326" s="22"/>
      <c r="AE326" s="22"/>
      <c r="AF326" s="22"/>
      <c r="AG326" s="22"/>
      <c r="AH326" s="22"/>
      <c r="AI326" s="22"/>
      <c r="AJ326" s="22"/>
      <c r="AK326" s="22"/>
      <c r="AL326" s="22"/>
      <c r="AM326" s="22"/>
      <c r="AN326" s="22"/>
      <c r="AO326" s="22"/>
      <c r="AP326" s="22"/>
      <c r="AQ326" s="22"/>
      <c r="AR326" s="22"/>
      <c r="AS326" s="25"/>
    </row>
    <row r="327" spans="1:45" s="1" customFormat="1">
      <c r="A327" s="22">
        <f t="shared" si="5"/>
        <v>326</v>
      </c>
      <c r="B327" s="23">
        <v>45701</v>
      </c>
      <c r="C327" s="22" t="s">
        <v>208</v>
      </c>
      <c r="D327" s="22" t="s">
        <v>954</v>
      </c>
      <c r="E327" s="22">
        <v>20245762</v>
      </c>
      <c r="F327" s="22" t="s">
        <v>1668</v>
      </c>
      <c r="G327" s="22">
        <v>8788774854</v>
      </c>
      <c r="H327" s="22" t="s">
        <v>1669</v>
      </c>
      <c r="I327" s="22" t="s">
        <v>55</v>
      </c>
      <c r="J327" s="22" t="s">
        <v>1657</v>
      </c>
      <c r="K327" s="22" t="s">
        <v>1658</v>
      </c>
      <c r="L327" s="22">
        <v>1.5</v>
      </c>
      <c r="M327" s="22" t="s">
        <v>1670</v>
      </c>
      <c r="N327" s="22">
        <v>5</v>
      </c>
      <c r="O327" s="22">
        <v>0</v>
      </c>
      <c r="P327" s="22" t="s">
        <v>1671</v>
      </c>
      <c r="Q327" s="22" t="s">
        <v>1672</v>
      </c>
      <c r="R327" s="22" t="s">
        <v>63</v>
      </c>
      <c r="S327" s="22" t="s">
        <v>255</v>
      </c>
      <c r="T327" s="22"/>
      <c r="U327" s="24"/>
      <c r="V327" s="22"/>
      <c r="W327" s="22" t="s">
        <v>218</v>
      </c>
      <c r="X327" s="22" t="s">
        <v>218</v>
      </c>
      <c r="Y327" s="22" t="s">
        <v>135</v>
      </c>
      <c r="Z327" s="22" t="s">
        <v>66</v>
      </c>
      <c r="AA327" s="22"/>
      <c r="AB327" s="22"/>
      <c r="AC327" s="22"/>
      <c r="AD327" s="22"/>
      <c r="AE327" s="22"/>
      <c r="AF327" s="22"/>
      <c r="AG327" s="22"/>
      <c r="AH327" s="22"/>
      <c r="AI327" s="22"/>
      <c r="AJ327" s="22"/>
      <c r="AK327" s="22"/>
      <c r="AL327" s="22"/>
      <c r="AM327" s="22"/>
      <c r="AN327" s="22"/>
      <c r="AO327" s="22"/>
      <c r="AP327" s="22"/>
      <c r="AQ327" s="22"/>
      <c r="AR327" s="22"/>
      <c r="AS327" s="25"/>
    </row>
    <row r="328" spans="1:45" s="1" customFormat="1">
      <c r="A328" s="22">
        <f t="shared" si="5"/>
        <v>327</v>
      </c>
      <c r="B328" s="23">
        <v>45701</v>
      </c>
      <c r="C328" s="22" t="s">
        <v>208</v>
      </c>
      <c r="D328" s="22" t="s">
        <v>209</v>
      </c>
      <c r="E328" s="22">
        <v>20245969</v>
      </c>
      <c r="F328" s="22" t="s">
        <v>1673</v>
      </c>
      <c r="G328" s="22">
        <v>9346531372</v>
      </c>
      <c r="H328" s="22" t="s">
        <v>1674</v>
      </c>
      <c r="I328" s="22" t="s">
        <v>101</v>
      </c>
      <c r="J328" s="22" t="s">
        <v>319</v>
      </c>
      <c r="K328" s="22" t="s">
        <v>1080</v>
      </c>
      <c r="L328" s="22" t="s">
        <v>1317</v>
      </c>
      <c r="M328" s="22" t="s">
        <v>869</v>
      </c>
      <c r="N328" s="22">
        <v>12</v>
      </c>
      <c r="O328" s="22" t="s">
        <v>61</v>
      </c>
      <c r="P328" s="22">
        <v>16</v>
      </c>
      <c r="Q328" s="22" t="s">
        <v>615</v>
      </c>
      <c r="R328" s="22" t="s">
        <v>63</v>
      </c>
      <c r="S328" s="22" t="s">
        <v>255</v>
      </c>
      <c r="T328" s="22" t="s">
        <v>1675</v>
      </c>
      <c r="U328" s="24"/>
      <c r="V328" s="22"/>
      <c r="W328" s="22" t="s">
        <v>65</v>
      </c>
      <c r="X328" s="22" t="s">
        <v>65</v>
      </c>
      <c r="Y328" s="22"/>
      <c r="Z328" s="22" t="s">
        <v>66</v>
      </c>
      <c r="AA328" s="22"/>
      <c r="AB328" s="22">
        <v>45702</v>
      </c>
      <c r="AC328" s="22"/>
      <c r="AD328" s="22"/>
      <c r="AE328" s="22"/>
      <c r="AF328" s="22"/>
      <c r="AG328" s="22"/>
      <c r="AH328" s="22"/>
      <c r="AI328" s="22"/>
      <c r="AJ328" s="22"/>
      <c r="AK328" s="22"/>
      <c r="AL328" s="22"/>
      <c r="AM328" s="22"/>
      <c r="AN328" s="22"/>
      <c r="AO328" s="22"/>
      <c r="AP328" s="22"/>
      <c r="AQ328" s="22"/>
      <c r="AR328" s="22"/>
      <c r="AS328" s="25"/>
    </row>
    <row r="329" spans="1:45" s="1" customFormat="1">
      <c r="A329" s="22">
        <f t="shared" si="5"/>
        <v>328</v>
      </c>
      <c r="B329" s="23">
        <v>45701</v>
      </c>
      <c r="C329" s="22" t="s">
        <v>208</v>
      </c>
      <c r="D329" s="22" t="s">
        <v>1676</v>
      </c>
      <c r="E329" s="22">
        <v>20245969</v>
      </c>
      <c r="F329" s="22" t="s">
        <v>1677</v>
      </c>
      <c r="G329" s="22">
        <v>7767838249</v>
      </c>
      <c r="H329" s="22" t="s">
        <v>1678</v>
      </c>
      <c r="I329" s="22" t="s">
        <v>55</v>
      </c>
      <c r="J329" s="22" t="s">
        <v>319</v>
      </c>
      <c r="K329" s="22" t="s">
        <v>1080</v>
      </c>
      <c r="L329" s="22" t="s">
        <v>1084</v>
      </c>
      <c r="M329" s="22" t="s">
        <v>1679</v>
      </c>
      <c r="N329" s="22">
        <v>14.3</v>
      </c>
      <c r="O329" s="22" t="s">
        <v>61</v>
      </c>
      <c r="P329" s="22" t="s">
        <v>1680</v>
      </c>
      <c r="Q329" s="22" t="s">
        <v>615</v>
      </c>
      <c r="R329" s="22" t="s">
        <v>63</v>
      </c>
      <c r="S329" s="22" t="s">
        <v>361</v>
      </c>
      <c r="T329" s="22" t="s">
        <v>1675</v>
      </c>
      <c r="U329" s="24"/>
      <c r="V329" s="22"/>
      <c r="W329" s="22" t="s">
        <v>65</v>
      </c>
      <c r="X329" s="22" t="s">
        <v>65</v>
      </c>
      <c r="Y329" s="22"/>
      <c r="Z329" s="22" t="s">
        <v>66</v>
      </c>
      <c r="AA329" s="22"/>
      <c r="AB329" s="22"/>
      <c r="AC329" s="22"/>
      <c r="AD329" s="22"/>
      <c r="AE329" s="22"/>
      <c r="AF329" s="22"/>
      <c r="AG329" s="22"/>
      <c r="AH329" s="22"/>
      <c r="AI329" s="22"/>
      <c r="AJ329" s="22"/>
      <c r="AK329" s="22"/>
      <c r="AL329" s="22"/>
      <c r="AM329" s="22"/>
      <c r="AN329" s="22"/>
      <c r="AO329" s="22"/>
      <c r="AP329" s="22"/>
      <c r="AQ329" s="22"/>
      <c r="AR329" s="22"/>
      <c r="AS329" s="25"/>
    </row>
    <row r="330" spans="1:45" s="1" customFormat="1">
      <c r="A330" s="22">
        <f t="shared" si="5"/>
        <v>329</v>
      </c>
      <c r="B330" s="23">
        <v>45701</v>
      </c>
      <c r="C330" s="22" t="s">
        <v>208</v>
      </c>
      <c r="D330" s="22" t="s">
        <v>367</v>
      </c>
      <c r="E330" s="22">
        <v>20245969</v>
      </c>
      <c r="F330" s="22" t="s">
        <v>1681</v>
      </c>
      <c r="G330" s="22">
        <v>9156581080</v>
      </c>
      <c r="H330" s="22" t="s">
        <v>1682</v>
      </c>
      <c r="I330" s="22" t="s">
        <v>55</v>
      </c>
      <c r="J330" s="22" t="s">
        <v>319</v>
      </c>
      <c r="K330" s="22" t="s">
        <v>1080</v>
      </c>
      <c r="L330" s="22" t="s">
        <v>938</v>
      </c>
      <c r="M330" s="22" t="s">
        <v>1683</v>
      </c>
      <c r="N330" s="22">
        <v>14</v>
      </c>
      <c r="O330" s="22" t="s">
        <v>61</v>
      </c>
      <c r="P330" s="22">
        <v>18</v>
      </c>
      <c r="Q330" s="22" t="s">
        <v>63</v>
      </c>
      <c r="R330" s="22" t="s">
        <v>63</v>
      </c>
      <c r="S330" s="22" t="s">
        <v>871</v>
      </c>
      <c r="T330" s="22" t="s">
        <v>61</v>
      </c>
      <c r="U330" s="24"/>
      <c r="V330" s="22"/>
      <c r="W330" s="22" t="s">
        <v>65</v>
      </c>
      <c r="X330" s="22" t="s">
        <v>65</v>
      </c>
      <c r="Y330" s="22"/>
      <c r="Z330" s="22" t="s">
        <v>66</v>
      </c>
      <c r="AA330" s="22"/>
      <c r="AB330" s="22"/>
      <c r="AC330" s="22"/>
      <c r="AD330" s="22"/>
      <c r="AE330" s="22"/>
      <c r="AF330" s="22"/>
      <c r="AG330" s="22"/>
      <c r="AH330" s="22"/>
      <c r="AI330" s="22"/>
      <c r="AJ330" s="22"/>
      <c r="AK330" s="22"/>
      <c r="AL330" s="22"/>
      <c r="AM330" s="22"/>
      <c r="AN330" s="22"/>
      <c r="AO330" s="22"/>
      <c r="AP330" s="22"/>
      <c r="AQ330" s="22"/>
      <c r="AR330" s="22"/>
      <c r="AS330" s="25"/>
    </row>
    <row r="331" spans="1:45" s="1" customFormat="1">
      <c r="A331" s="22">
        <f t="shared" si="5"/>
        <v>330</v>
      </c>
      <c r="B331" s="23">
        <v>45701</v>
      </c>
      <c r="C331" s="22" t="s">
        <v>208</v>
      </c>
      <c r="D331" s="22" t="s">
        <v>367</v>
      </c>
      <c r="E331" s="22">
        <v>20245969</v>
      </c>
      <c r="F331" s="22" t="s">
        <v>1684</v>
      </c>
      <c r="G331" s="22">
        <v>8483907347</v>
      </c>
      <c r="H331" s="22" t="s">
        <v>1685</v>
      </c>
      <c r="I331" s="22" t="s">
        <v>101</v>
      </c>
      <c r="J331" s="22" t="s">
        <v>319</v>
      </c>
      <c r="K331" s="22" t="s">
        <v>1080</v>
      </c>
      <c r="L331" s="22" t="s">
        <v>1053</v>
      </c>
      <c r="M331" s="22" t="s">
        <v>1686</v>
      </c>
      <c r="N331" s="22">
        <v>13</v>
      </c>
      <c r="O331" s="22">
        <v>2</v>
      </c>
      <c r="P331" s="22">
        <v>18</v>
      </c>
      <c r="Q331" s="22" t="s">
        <v>63</v>
      </c>
      <c r="R331" s="22" t="s">
        <v>63</v>
      </c>
      <c r="S331" s="22" t="s">
        <v>1687</v>
      </c>
      <c r="T331" s="22" t="s">
        <v>1688</v>
      </c>
      <c r="U331" s="24"/>
      <c r="V331" s="22"/>
      <c r="W331" s="22" t="s">
        <v>65</v>
      </c>
      <c r="X331" s="22" t="s">
        <v>65</v>
      </c>
      <c r="Y331" s="22"/>
      <c r="Z331" s="22" t="s">
        <v>66</v>
      </c>
      <c r="AA331" s="22"/>
      <c r="AB331" s="22"/>
      <c r="AC331" s="22"/>
      <c r="AD331" s="22"/>
      <c r="AE331" s="22"/>
      <c r="AF331" s="22"/>
      <c r="AG331" s="22"/>
      <c r="AH331" s="22"/>
      <c r="AI331" s="22"/>
      <c r="AJ331" s="22"/>
      <c r="AK331" s="22"/>
      <c r="AL331" s="22"/>
      <c r="AM331" s="22"/>
      <c r="AN331" s="22"/>
      <c r="AO331" s="22"/>
      <c r="AP331" s="22"/>
      <c r="AQ331" s="22"/>
      <c r="AR331" s="22"/>
      <c r="AS331" s="25"/>
    </row>
    <row r="332" spans="1:45" s="1" customFormat="1">
      <c r="A332" s="22">
        <f t="shared" si="5"/>
        <v>331</v>
      </c>
      <c r="B332" s="23">
        <v>45701</v>
      </c>
      <c r="C332" s="22" t="s">
        <v>208</v>
      </c>
      <c r="D332" s="22" t="s">
        <v>1689</v>
      </c>
      <c r="E332" s="22">
        <v>20245969</v>
      </c>
      <c r="F332" s="22" t="s">
        <v>1690</v>
      </c>
      <c r="G332" s="22">
        <v>9420937321</v>
      </c>
      <c r="H332" s="22" t="s">
        <v>1691</v>
      </c>
      <c r="I332" s="22" t="s">
        <v>101</v>
      </c>
      <c r="J332" s="22" t="s">
        <v>319</v>
      </c>
      <c r="K332" s="22" t="s">
        <v>1080</v>
      </c>
      <c r="L332" s="22" t="s">
        <v>1692</v>
      </c>
      <c r="M332" s="22" t="s">
        <v>1693</v>
      </c>
      <c r="N332" s="22">
        <v>8</v>
      </c>
      <c r="O332" s="22" t="s">
        <v>61</v>
      </c>
      <c r="P332" s="22">
        <v>16</v>
      </c>
      <c r="Q332" s="22" t="s">
        <v>63</v>
      </c>
      <c r="R332" s="22" t="s">
        <v>63</v>
      </c>
      <c r="S332" s="22" t="s">
        <v>1694</v>
      </c>
      <c r="T332" s="22" t="s">
        <v>1695</v>
      </c>
      <c r="U332" s="24"/>
      <c r="V332" s="22"/>
      <c r="W332" s="22" t="s">
        <v>65</v>
      </c>
      <c r="X332" s="22" t="s">
        <v>65</v>
      </c>
      <c r="Y332" s="22"/>
      <c r="Z332" s="22" t="s">
        <v>66</v>
      </c>
      <c r="AA332" s="22"/>
      <c r="AB332" s="22">
        <v>45705</v>
      </c>
      <c r="AC332" s="22"/>
      <c r="AD332" s="22"/>
      <c r="AE332" s="22"/>
      <c r="AF332" s="22"/>
      <c r="AG332" s="22"/>
      <c r="AH332" s="22"/>
      <c r="AI332" s="22"/>
      <c r="AJ332" s="22"/>
      <c r="AK332" s="22"/>
      <c r="AL332" s="22"/>
      <c r="AM332" s="22"/>
      <c r="AN332" s="22"/>
      <c r="AO332" s="22"/>
      <c r="AP332" s="22"/>
      <c r="AQ332" s="22"/>
      <c r="AR332" s="22"/>
      <c r="AS332" s="25"/>
    </row>
    <row r="333" spans="1:45" s="1" customFormat="1">
      <c r="A333" s="22">
        <f t="shared" si="5"/>
        <v>332</v>
      </c>
      <c r="B333" s="23">
        <v>45701</v>
      </c>
      <c r="C333" s="22" t="s">
        <v>208</v>
      </c>
      <c r="D333" s="22" t="s">
        <v>367</v>
      </c>
      <c r="E333" s="22">
        <v>20245969</v>
      </c>
      <c r="F333" s="22" t="s">
        <v>1696</v>
      </c>
      <c r="G333" s="22">
        <v>7498326945</v>
      </c>
      <c r="H333" s="22" t="s">
        <v>1697</v>
      </c>
      <c r="I333" s="22" t="s">
        <v>55</v>
      </c>
      <c r="J333" s="22" t="s">
        <v>319</v>
      </c>
      <c r="K333" s="22" t="s">
        <v>1080</v>
      </c>
      <c r="L333" s="22" t="s">
        <v>1698</v>
      </c>
      <c r="M333" s="22" t="s">
        <v>1699</v>
      </c>
      <c r="N333" s="22">
        <v>8</v>
      </c>
      <c r="O333" s="22" t="s">
        <v>61</v>
      </c>
      <c r="P333" s="22">
        <v>14</v>
      </c>
      <c r="Q333" s="22" t="s">
        <v>63</v>
      </c>
      <c r="R333" s="22" t="s">
        <v>63</v>
      </c>
      <c r="S333" s="22" t="s">
        <v>1700</v>
      </c>
      <c r="T333" s="22" t="s">
        <v>1701</v>
      </c>
      <c r="U333" s="24"/>
      <c r="V333" s="22"/>
      <c r="W333" s="22" t="s">
        <v>65</v>
      </c>
      <c r="X333" s="22" t="s">
        <v>65</v>
      </c>
      <c r="Y333" s="22"/>
      <c r="Z333" s="22" t="s">
        <v>66</v>
      </c>
      <c r="AA333" s="22"/>
      <c r="AB333" s="22"/>
      <c r="AC333" s="22"/>
      <c r="AD333" s="22"/>
      <c r="AE333" s="22"/>
      <c r="AF333" s="22"/>
      <c r="AG333" s="22"/>
      <c r="AH333" s="22"/>
      <c r="AI333" s="22"/>
      <c r="AJ333" s="22"/>
      <c r="AK333" s="22"/>
      <c r="AL333" s="22"/>
      <c r="AM333" s="22"/>
      <c r="AN333" s="22"/>
      <c r="AO333" s="22"/>
      <c r="AP333" s="22"/>
      <c r="AQ333" s="22"/>
      <c r="AR333" s="22"/>
      <c r="AS333" s="25"/>
    </row>
    <row r="334" spans="1:45" s="1" customFormat="1">
      <c r="A334" s="22">
        <f t="shared" si="5"/>
        <v>333</v>
      </c>
      <c r="B334" s="23">
        <v>45701</v>
      </c>
      <c r="C334" s="22" t="s">
        <v>208</v>
      </c>
      <c r="D334" s="22" t="s">
        <v>841</v>
      </c>
      <c r="E334" s="22">
        <v>20245969</v>
      </c>
      <c r="F334" s="22" t="s">
        <v>1702</v>
      </c>
      <c r="G334" s="22">
        <v>8421499897</v>
      </c>
      <c r="H334" s="22" t="s">
        <v>1703</v>
      </c>
      <c r="I334" s="22" t="s">
        <v>55</v>
      </c>
      <c r="J334" s="22" t="s">
        <v>319</v>
      </c>
      <c r="K334" s="22" t="s">
        <v>1080</v>
      </c>
      <c r="L334" s="22" t="s">
        <v>1412</v>
      </c>
      <c r="M334" s="22" t="s">
        <v>1704</v>
      </c>
      <c r="N334" s="22">
        <v>7.8</v>
      </c>
      <c r="O334" s="22" t="s">
        <v>61</v>
      </c>
      <c r="P334" s="22">
        <v>12</v>
      </c>
      <c r="Q334" s="22" t="s">
        <v>1442</v>
      </c>
      <c r="R334" s="22" t="s">
        <v>63</v>
      </c>
      <c r="S334" s="22" t="s">
        <v>1136</v>
      </c>
      <c r="T334" s="22" t="s">
        <v>61</v>
      </c>
      <c r="U334" s="24"/>
      <c r="V334" s="22"/>
      <c r="W334" s="22" t="s">
        <v>65</v>
      </c>
      <c r="X334" s="22" t="s">
        <v>65</v>
      </c>
      <c r="Y334" s="22"/>
      <c r="Z334" s="22" t="s">
        <v>66</v>
      </c>
      <c r="AA334" s="22"/>
      <c r="AB334" s="22">
        <v>45715</v>
      </c>
      <c r="AC334" s="22"/>
      <c r="AD334" s="22"/>
      <c r="AE334" s="22"/>
      <c r="AF334" s="22"/>
      <c r="AG334" s="22"/>
      <c r="AH334" s="22"/>
      <c r="AI334" s="22"/>
      <c r="AJ334" s="22"/>
      <c r="AK334" s="22"/>
      <c r="AL334" s="22"/>
      <c r="AM334" s="22"/>
      <c r="AN334" s="22"/>
      <c r="AO334" s="22"/>
      <c r="AP334" s="22"/>
      <c r="AQ334" s="22"/>
      <c r="AR334" s="22"/>
      <c r="AS334" s="25"/>
    </row>
    <row r="335" spans="1:45" s="1" customFormat="1">
      <c r="A335" s="22">
        <f t="shared" si="5"/>
        <v>334</v>
      </c>
      <c r="B335" s="23">
        <v>45702</v>
      </c>
      <c r="C335" s="22" t="s">
        <v>208</v>
      </c>
      <c r="D335" s="22" t="s">
        <v>256</v>
      </c>
      <c r="E335" s="22">
        <v>20250696</v>
      </c>
      <c r="F335" s="22" t="s">
        <v>1705</v>
      </c>
      <c r="G335" s="22">
        <v>8551026245</v>
      </c>
      <c r="H335" s="22" t="s">
        <v>1706</v>
      </c>
      <c r="I335" s="22" t="s">
        <v>55</v>
      </c>
      <c r="J335" s="22" t="s">
        <v>251</v>
      </c>
      <c r="K335" s="22" t="s">
        <v>252</v>
      </c>
      <c r="L335" s="22">
        <v>5.5</v>
      </c>
      <c r="M335" s="22" t="s">
        <v>1707</v>
      </c>
      <c r="N335" s="22">
        <v>5.4</v>
      </c>
      <c r="O335" s="22" t="s">
        <v>1503</v>
      </c>
      <c r="P335" s="22">
        <v>8</v>
      </c>
      <c r="Q335" s="22" t="s">
        <v>1257</v>
      </c>
      <c r="R335" s="22" t="s">
        <v>63</v>
      </c>
      <c r="S335" s="22" t="s">
        <v>255</v>
      </c>
      <c r="T335" s="22"/>
      <c r="U335" s="24"/>
      <c r="V335" s="22"/>
      <c r="W335" s="22" t="s">
        <v>218</v>
      </c>
      <c r="X335" s="22" t="s">
        <v>218</v>
      </c>
      <c r="Y335" s="22" t="s">
        <v>135</v>
      </c>
      <c r="Z335" s="22" t="s">
        <v>66</v>
      </c>
      <c r="AA335" s="22"/>
      <c r="AB335" s="22"/>
      <c r="AC335" s="22"/>
      <c r="AD335" s="22"/>
      <c r="AE335" s="22"/>
      <c r="AF335" s="22"/>
      <c r="AG335" s="22"/>
      <c r="AH335" s="22"/>
      <c r="AI335" s="22"/>
      <c r="AJ335" s="22"/>
      <c r="AK335" s="22"/>
      <c r="AL335" s="22"/>
      <c r="AM335" s="22"/>
      <c r="AN335" s="22"/>
      <c r="AO335" s="22"/>
      <c r="AP335" s="22"/>
      <c r="AQ335" s="22"/>
      <c r="AR335" s="22"/>
      <c r="AS335" s="25"/>
    </row>
    <row r="336" spans="1:45" s="1" customFormat="1">
      <c r="A336" s="22">
        <f t="shared" si="5"/>
        <v>335</v>
      </c>
      <c r="B336" s="23">
        <v>45702</v>
      </c>
      <c r="C336" s="22" t="s">
        <v>208</v>
      </c>
      <c r="D336" s="22" t="s">
        <v>256</v>
      </c>
      <c r="E336" s="22">
        <v>20250696</v>
      </c>
      <c r="F336" s="22" t="s">
        <v>1708</v>
      </c>
      <c r="G336" s="22">
        <v>8793341564</v>
      </c>
      <c r="H336" s="22" t="s">
        <v>1709</v>
      </c>
      <c r="I336" s="22" t="s">
        <v>55</v>
      </c>
      <c r="J336" s="22" t="s">
        <v>251</v>
      </c>
      <c r="K336" s="22" t="s">
        <v>252</v>
      </c>
      <c r="L336" s="22">
        <v>7</v>
      </c>
      <c r="M336" s="22" t="s">
        <v>1710</v>
      </c>
      <c r="N336" s="22">
        <v>2.5</v>
      </c>
      <c r="O336" s="22">
        <v>0</v>
      </c>
      <c r="P336" s="22">
        <v>5</v>
      </c>
      <c r="Q336" s="22" t="s">
        <v>1711</v>
      </c>
      <c r="R336" s="22" t="s">
        <v>63</v>
      </c>
      <c r="S336" s="22" t="s">
        <v>1712</v>
      </c>
      <c r="T336" s="22"/>
      <c r="U336" s="24"/>
      <c r="V336" s="22"/>
      <c r="W336" s="22" t="s">
        <v>218</v>
      </c>
      <c r="X336" s="22" t="s">
        <v>218</v>
      </c>
      <c r="Y336" s="22" t="s">
        <v>135</v>
      </c>
      <c r="Z336" s="22" t="s">
        <v>66</v>
      </c>
      <c r="AA336" s="22"/>
      <c r="AB336" s="22"/>
      <c r="AC336" s="22"/>
      <c r="AD336" s="22"/>
      <c r="AE336" s="22"/>
      <c r="AF336" s="22"/>
      <c r="AG336" s="22"/>
      <c r="AH336" s="22"/>
      <c r="AI336" s="22"/>
      <c r="AJ336" s="22"/>
      <c r="AK336" s="22"/>
      <c r="AL336" s="22"/>
      <c r="AM336" s="22"/>
      <c r="AN336" s="22"/>
      <c r="AO336" s="22"/>
      <c r="AP336" s="22"/>
      <c r="AQ336" s="22"/>
      <c r="AR336" s="22"/>
      <c r="AS336" s="25"/>
    </row>
    <row r="337" spans="1:45" s="1" customFormat="1">
      <c r="A337" s="22">
        <f t="shared" si="5"/>
        <v>336</v>
      </c>
      <c r="B337" s="23">
        <v>45702</v>
      </c>
      <c r="C337" s="22" t="s">
        <v>208</v>
      </c>
      <c r="D337" s="22" t="s">
        <v>256</v>
      </c>
      <c r="E337" s="22">
        <v>20250696</v>
      </c>
      <c r="F337" s="22" t="s">
        <v>1713</v>
      </c>
      <c r="G337" s="22">
        <v>9730753691</v>
      </c>
      <c r="H337" s="22" t="s">
        <v>1714</v>
      </c>
      <c r="I337" s="22" t="s">
        <v>55</v>
      </c>
      <c r="J337" s="22" t="s">
        <v>251</v>
      </c>
      <c r="K337" s="22" t="s">
        <v>252</v>
      </c>
      <c r="L337" s="22">
        <v>5.5</v>
      </c>
      <c r="M337" s="22" t="s">
        <v>1715</v>
      </c>
      <c r="N337" s="22">
        <v>7</v>
      </c>
      <c r="O337" s="22">
        <v>0</v>
      </c>
      <c r="P337" s="22">
        <v>12</v>
      </c>
      <c r="Q337" s="22" t="s">
        <v>1716</v>
      </c>
      <c r="R337" s="22" t="s">
        <v>63</v>
      </c>
      <c r="S337" s="22" t="s">
        <v>255</v>
      </c>
      <c r="T337" s="22"/>
      <c r="U337" s="24"/>
      <c r="V337" s="22"/>
      <c r="W337" s="22" t="s">
        <v>218</v>
      </c>
      <c r="X337" s="22" t="s">
        <v>218</v>
      </c>
      <c r="Y337" s="22" t="s">
        <v>135</v>
      </c>
      <c r="Z337" s="22" t="s">
        <v>66</v>
      </c>
      <c r="AA337" s="22"/>
      <c r="AB337" s="22"/>
      <c r="AC337" s="22"/>
      <c r="AD337" s="22"/>
      <c r="AE337" s="22"/>
      <c r="AF337" s="22"/>
      <c r="AG337" s="22"/>
      <c r="AH337" s="22"/>
      <c r="AI337" s="22"/>
      <c r="AJ337" s="22"/>
      <c r="AK337" s="22"/>
      <c r="AL337" s="22"/>
      <c r="AM337" s="22"/>
      <c r="AN337" s="22"/>
      <c r="AO337" s="22"/>
      <c r="AP337" s="22"/>
      <c r="AQ337" s="22"/>
      <c r="AR337" s="22"/>
      <c r="AS337" s="25"/>
    </row>
    <row r="338" spans="1:45" s="1" customFormat="1">
      <c r="A338" s="22">
        <f t="shared" si="5"/>
        <v>337</v>
      </c>
      <c r="B338" s="23">
        <v>45702</v>
      </c>
      <c r="C338" s="22" t="s">
        <v>208</v>
      </c>
      <c r="D338" s="22" t="s">
        <v>256</v>
      </c>
      <c r="E338" s="22">
        <v>20250696</v>
      </c>
      <c r="F338" s="22" t="s">
        <v>1717</v>
      </c>
      <c r="G338" s="22">
        <v>8237629422</v>
      </c>
      <c r="H338" s="22" t="s">
        <v>1718</v>
      </c>
      <c r="I338" s="22" t="s">
        <v>101</v>
      </c>
      <c r="J338" s="22" t="s">
        <v>251</v>
      </c>
      <c r="K338" s="22" t="s">
        <v>252</v>
      </c>
      <c r="L338" s="22">
        <v>7</v>
      </c>
      <c r="M338" s="22" t="s">
        <v>1719</v>
      </c>
      <c r="N338" s="22">
        <v>5.5</v>
      </c>
      <c r="O338" s="22">
        <v>0</v>
      </c>
      <c r="P338" s="22">
        <v>9</v>
      </c>
      <c r="Q338" s="22" t="s">
        <v>1711</v>
      </c>
      <c r="R338" s="22" t="s">
        <v>63</v>
      </c>
      <c r="S338" s="22" t="s">
        <v>1720</v>
      </c>
      <c r="T338" s="22"/>
      <c r="U338" s="24"/>
      <c r="V338" s="22"/>
      <c r="W338" s="22" t="s">
        <v>218</v>
      </c>
      <c r="X338" s="22" t="s">
        <v>218</v>
      </c>
      <c r="Y338" s="22" t="s">
        <v>135</v>
      </c>
      <c r="Z338" s="22" t="s">
        <v>66</v>
      </c>
      <c r="AA338" s="22"/>
      <c r="AB338" s="22"/>
      <c r="AC338" s="22"/>
      <c r="AD338" s="22"/>
      <c r="AE338" s="22"/>
      <c r="AF338" s="22"/>
      <c r="AG338" s="22"/>
      <c r="AH338" s="22"/>
      <c r="AI338" s="22"/>
      <c r="AJ338" s="22"/>
      <c r="AK338" s="22"/>
      <c r="AL338" s="22"/>
      <c r="AM338" s="22"/>
      <c r="AN338" s="22"/>
      <c r="AO338" s="22"/>
      <c r="AP338" s="22"/>
      <c r="AQ338" s="22"/>
      <c r="AR338" s="22"/>
      <c r="AS338" s="25"/>
    </row>
    <row r="339" spans="1:45" s="1" customFormat="1">
      <c r="A339" s="22">
        <f t="shared" si="5"/>
        <v>338</v>
      </c>
      <c r="B339" s="23">
        <v>45702</v>
      </c>
      <c r="C339" s="22" t="s">
        <v>208</v>
      </c>
      <c r="D339" s="22" t="s">
        <v>256</v>
      </c>
      <c r="E339" s="22">
        <v>20250696</v>
      </c>
      <c r="F339" s="22" t="s">
        <v>1721</v>
      </c>
      <c r="G339" s="22">
        <v>9327044873</v>
      </c>
      <c r="H339" s="22" t="s">
        <v>1722</v>
      </c>
      <c r="I339" s="22" t="s">
        <v>101</v>
      </c>
      <c r="J339" s="22" t="s">
        <v>251</v>
      </c>
      <c r="K339" s="22" t="s">
        <v>252</v>
      </c>
      <c r="L339" s="22">
        <v>7</v>
      </c>
      <c r="M339" s="22" t="s">
        <v>1723</v>
      </c>
      <c r="N339" s="22">
        <v>7</v>
      </c>
      <c r="O339" s="22">
        <v>0</v>
      </c>
      <c r="P339" s="22">
        <v>9.5</v>
      </c>
      <c r="Q339" s="22" t="s">
        <v>490</v>
      </c>
      <c r="R339" s="22" t="s">
        <v>63</v>
      </c>
      <c r="S339" s="22" t="s">
        <v>1724</v>
      </c>
      <c r="T339" s="22"/>
      <c r="U339" s="24"/>
      <c r="V339" s="22"/>
      <c r="W339" s="22" t="s">
        <v>218</v>
      </c>
      <c r="X339" s="22" t="s">
        <v>218</v>
      </c>
      <c r="Y339" s="22" t="s">
        <v>135</v>
      </c>
      <c r="Z339" s="22" t="s">
        <v>66</v>
      </c>
      <c r="AA339" s="22"/>
      <c r="AB339" s="22"/>
      <c r="AC339" s="22"/>
      <c r="AD339" s="22"/>
      <c r="AE339" s="22"/>
      <c r="AF339" s="22"/>
      <c r="AG339" s="22"/>
      <c r="AH339" s="22"/>
      <c r="AI339" s="22"/>
      <c r="AJ339" s="22"/>
      <c r="AK339" s="22"/>
      <c r="AL339" s="22"/>
      <c r="AM339" s="22"/>
      <c r="AN339" s="22"/>
      <c r="AO339" s="22"/>
      <c r="AP339" s="22"/>
      <c r="AQ339" s="22"/>
      <c r="AR339" s="22"/>
      <c r="AS339" s="25"/>
    </row>
    <row r="340" spans="1:45" s="1" customFormat="1">
      <c r="A340" s="22">
        <f t="shared" si="5"/>
        <v>339</v>
      </c>
      <c r="B340" s="23">
        <v>45702</v>
      </c>
      <c r="C340" s="22" t="s">
        <v>208</v>
      </c>
      <c r="D340" s="22" t="s">
        <v>1725</v>
      </c>
      <c r="E340" s="22">
        <v>20245762</v>
      </c>
      <c r="F340" s="22" t="s">
        <v>1726</v>
      </c>
      <c r="G340" s="22">
        <v>7676963387</v>
      </c>
      <c r="H340" s="22" t="s">
        <v>1727</v>
      </c>
      <c r="I340" s="22" t="s">
        <v>55</v>
      </c>
      <c r="J340" s="22" t="s">
        <v>1657</v>
      </c>
      <c r="K340" s="22" t="s">
        <v>1658</v>
      </c>
      <c r="L340" s="22">
        <v>1</v>
      </c>
      <c r="M340" s="22" t="s">
        <v>1728</v>
      </c>
      <c r="N340" s="22">
        <v>5</v>
      </c>
      <c r="O340" s="22">
        <v>0</v>
      </c>
      <c r="P340" s="22">
        <v>8</v>
      </c>
      <c r="Q340" s="22" t="s">
        <v>802</v>
      </c>
      <c r="R340" s="22" t="s">
        <v>63</v>
      </c>
      <c r="S340" s="22" t="s">
        <v>230</v>
      </c>
      <c r="T340" s="22"/>
      <c r="U340" s="24"/>
      <c r="V340" s="22"/>
      <c r="W340" s="22" t="s">
        <v>218</v>
      </c>
      <c r="X340" s="22" t="s">
        <v>218</v>
      </c>
      <c r="Y340" s="22" t="s">
        <v>135</v>
      </c>
      <c r="Z340" s="22" t="s">
        <v>66</v>
      </c>
      <c r="AA340" s="22"/>
      <c r="AB340" s="22"/>
      <c r="AC340" s="22"/>
      <c r="AD340" s="22"/>
      <c r="AE340" s="22"/>
      <c r="AF340" s="22"/>
      <c r="AG340" s="22"/>
      <c r="AH340" s="22"/>
      <c r="AI340" s="22"/>
      <c r="AJ340" s="22"/>
      <c r="AK340" s="22"/>
      <c r="AL340" s="22"/>
      <c r="AM340" s="22"/>
      <c r="AN340" s="22"/>
      <c r="AO340" s="22"/>
      <c r="AP340" s="22"/>
      <c r="AQ340" s="22"/>
      <c r="AR340" s="22"/>
      <c r="AS340" s="25"/>
    </row>
    <row r="341" spans="1:45" s="1" customFormat="1">
      <c r="A341" s="22">
        <f t="shared" si="5"/>
        <v>340</v>
      </c>
      <c r="B341" s="23">
        <v>45702</v>
      </c>
      <c r="C341" s="22" t="s">
        <v>208</v>
      </c>
      <c r="D341" s="22" t="s">
        <v>963</v>
      </c>
      <c r="E341" s="22">
        <v>20245965</v>
      </c>
      <c r="F341" s="22" t="s">
        <v>1729</v>
      </c>
      <c r="G341" s="22">
        <v>9999461269</v>
      </c>
      <c r="H341" s="22" t="s">
        <v>1730</v>
      </c>
      <c r="I341" s="22" t="s">
        <v>55</v>
      </c>
      <c r="J341" s="22" t="s">
        <v>1051</v>
      </c>
      <c r="K341" s="22" t="s">
        <v>1052</v>
      </c>
      <c r="L341" s="22" t="s">
        <v>656</v>
      </c>
      <c r="M341" s="22" t="s">
        <v>1731</v>
      </c>
      <c r="N341" s="22" t="s">
        <v>1732</v>
      </c>
      <c r="O341" s="22" t="s">
        <v>750</v>
      </c>
      <c r="P341" s="22" t="s">
        <v>63</v>
      </c>
      <c r="Q341" s="22" t="s">
        <v>1733</v>
      </c>
      <c r="R341" s="22" t="s">
        <v>1734</v>
      </c>
      <c r="S341" s="22" t="s">
        <v>1735</v>
      </c>
      <c r="T341" s="22" t="s">
        <v>61</v>
      </c>
      <c r="U341" s="24"/>
      <c r="V341" s="22"/>
      <c r="W341" s="22" t="s">
        <v>65</v>
      </c>
      <c r="X341" s="22" t="s">
        <v>65</v>
      </c>
      <c r="Y341" s="22"/>
      <c r="Z341" s="22" t="s">
        <v>66</v>
      </c>
      <c r="AA341" s="22"/>
      <c r="AB341" s="22"/>
      <c r="AC341" s="22"/>
      <c r="AD341" s="22"/>
      <c r="AE341" s="22"/>
      <c r="AF341" s="22"/>
      <c r="AG341" s="22"/>
      <c r="AH341" s="22"/>
      <c r="AI341" s="22"/>
      <c r="AJ341" s="22"/>
      <c r="AK341" s="22"/>
      <c r="AL341" s="22"/>
      <c r="AM341" s="22"/>
      <c r="AN341" s="22"/>
      <c r="AO341" s="22"/>
      <c r="AP341" s="22"/>
      <c r="AQ341" s="22"/>
      <c r="AR341" s="22"/>
      <c r="AS341" s="25"/>
    </row>
    <row r="342" spans="1:45" s="1" customFormat="1">
      <c r="A342" s="22">
        <f t="shared" si="5"/>
        <v>341</v>
      </c>
      <c r="B342" s="23">
        <v>45702</v>
      </c>
      <c r="C342" s="22" t="s">
        <v>208</v>
      </c>
      <c r="D342" s="22" t="s">
        <v>954</v>
      </c>
      <c r="E342" s="22">
        <v>20245965</v>
      </c>
      <c r="F342" s="22" t="s">
        <v>1736</v>
      </c>
      <c r="G342" s="22">
        <v>9083145592</v>
      </c>
      <c r="H342" s="22" t="s">
        <v>1737</v>
      </c>
      <c r="I342" s="22" t="s">
        <v>55</v>
      </c>
      <c r="J342" s="22" t="s">
        <v>1051</v>
      </c>
      <c r="K342" s="22" t="s">
        <v>1052</v>
      </c>
      <c r="L342" s="22" t="s">
        <v>1738</v>
      </c>
      <c r="M342" s="22" t="s">
        <v>396</v>
      </c>
      <c r="N342" s="22" t="s">
        <v>1453</v>
      </c>
      <c r="O342" s="22" t="s">
        <v>63</v>
      </c>
      <c r="P342" s="22" t="s">
        <v>63</v>
      </c>
      <c r="Q342" s="22" t="s">
        <v>1739</v>
      </c>
      <c r="R342" s="22" t="s">
        <v>1740</v>
      </c>
      <c r="S342" s="22" t="s">
        <v>1741</v>
      </c>
      <c r="T342" s="22" t="s">
        <v>61</v>
      </c>
      <c r="U342" s="24"/>
      <c r="V342" s="22"/>
      <c r="W342" s="22" t="s">
        <v>65</v>
      </c>
      <c r="X342" s="22" t="s">
        <v>65</v>
      </c>
      <c r="Y342" s="22"/>
      <c r="Z342" s="22" t="s">
        <v>66</v>
      </c>
      <c r="AA342" s="22"/>
      <c r="AB342" s="22"/>
      <c r="AC342" s="22"/>
      <c r="AD342" s="22"/>
      <c r="AE342" s="22"/>
      <c r="AF342" s="22"/>
      <c r="AG342" s="22"/>
      <c r="AH342" s="22"/>
      <c r="AI342" s="22"/>
      <c r="AJ342" s="22"/>
      <c r="AK342" s="22"/>
      <c r="AL342" s="22"/>
      <c r="AM342" s="22"/>
      <c r="AN342" s="22"/>
      <c r="AO342" s="22"/>
      <c r="AP342" s="22"/>
      <c r="AQ342" s="22"/>
      <c r="AR342" s="22"/>
      <c r="AS342" s="25"/>
    </row>
    <row r="343" spans="1:45" s="1" customFormat="1">
      <c r="A343" s="22">
        <f t="shared" si="5"/>
        <v>342</v>
      </c>
      <c r="B343" s="23">
        <v>45702</v>
      </c>
      <c r="C343" s="22" t="s">
        <v>208</v>
      </c>
      <c r="D343" s="22" t="s">
        <v>963</v>
      </c>
      <c r="E343" s="22">
        <v>20245965</v>
      </c>
      <c r="F343" s="22" t="s">
        <v>1742</v>
      </c>
      <c r="G343" s="22">
        <v>9812405757</v>
      </c>
      <c r="H343" s="22" t="s">
        <v>1743</v>
      </c>
      <c r="I343" s="22" t="s">
        <v>55</v>
      </c>
      <c r="J343" s="22" t="s">
        <v>1051</v>
      </c>
      <c r="K343" s="22" t="s">
        <v>1052</v>
      </c>
      <c r="L343" s="22" t="s">
        <v>58</v>
      </c>
      <c r="M343" s="22" t="s">
        <v>596</v>
      </c>
      <c r="N343" s="22" t="s">
        <v>540</v>
      </c>
      <c r="O343" s="22" t="s">
        <v>615</v>
      </c>
      <c r="P343" s="22" t="s">
        <v>63</v>
      </c>
      <c r="Q343" s="22" t="s">
        <v>64</v>
      </c>
      <c r="R343" s="22" t="s">
        <v>1744</v>
      </c>
      <c r="S343" s="22" t="s">
        <v>1735</v>
      </c>
      <c r="T343" s="22" t="s">
        <v>61</v>
      </c>
      <c r="U343" s="24"/>
      <c r="V343" s="22"/>
      <c r="W343" s="22" t="s">
        <v>65</v>
      </c>
      <c r="X343" s="22" t="s">
        <v>65</v>
      </c>
      <c r="Y343" s="22"/>
      <c r="Z343" s="22" t="s">
        <v>66</v>
      </c>
      <c r="AA343" s="22"/>
      <c r="AB343" s="22"/>
      <c r="AC343" s="22"/>
      <c r="AD343" s="22"/>
      <c r="AE343" s="22"/>
      <c r="AF343" s="22"/>
      <c r="AG343" s="22"/>
      <c r="AH343" s="22"/>
      <c r="AI343" s="22"/>
      <c r="AJ343" s="22"/>
      <c r="AK343" s="22"/>
      <c r="AL343" s="22"/>
      <c r="AM343" s="22"/>
      <c r="AN343" s="22"/>
      <c r="AO343" s="22"/>
      <c r="AP343" s="22"/>
      <c r="AQ343" s="22"/>
      <c r="AR343" s="22"/>
      <c r="AS343" s="25"/>
    </row>
    <row r="344" spans="1:45" s="1" customFormat="1">
      <c r="A344" s="22">
        <f t="shared" si="5"/>
        <v>343</v>
      </c>
      <c r="B344" s="23">
        <v>45702</v>
      </c>
      <c r="C344" s="22" t="s">
        <v>208</v>
      </c>
      <c r="D344" s="22" t="s">
        <v>954</v>
      </c>
      <c r="E344" s="22">
        <v>20245969</v>
      </c>
      <c r="F344" s="22" t="s">
        <v>1745</v>
      </c>
      <c r="G344" s="22">
        <v>7022157252</v>
      </c>
      <c r="H344" s="22" t="s">
        <v>1746</v>
      </c>
      <c r="I344" s="22" t="s">
        <v>55</v>
      </c>
      <c r="J344" s="22" t="s">
        <v>319</v>
      </c>
      <c r="K344" s="22" t="s">
        <v>1080</v>
      </c>
      <c r="L344" s="22" t="s">
        <v>1010</v>
      </c>
      <c r="M344" s="22" t="s">
        <v>1747</v>
      </c>
      <c r="N344" s="22">
        <v>21</v>
      </c>
      <c r="O344" s="22" t="s">
        <v>61</v>
      </c>
      <c r="P344" s="22">
        <v>24</v>
      </c>
      <c r="Q344" s="22" t="s">
        <v>63</v>
      </c>
      <c r="R344" s="22" t="s">
        <v>63</v>
      </c>
      <c r="S344" s="22" t="s">
        <v>1748</v>
      </c>
      <c r="T344" s="22" t="s">
        <v>1749</v>
      </c>
      <c r="U344" s="24"/>
      <c r="V344" s="22"/>
      <c r="W344" s="22" t="s">
        <v>65</v>
      </c>
      <c r="X344" s="22" t="s">
        <v>65</v>
      </c>
      <c r="Y344" s="22"/>
      <c r="Z344" s="22" t="s">
        <v>66</v>
      </c>
      <c r="AA344" s="22"/>
      <c r="AB344" s="22"/>
      <c r="AC344" s="22"/>
      <c r="AD344" s="22"/>
      <c r="AE344" s="22"/>
      <c r="AF344" s="22"/>
      <c r="AG344" s="22"/>
      <c r="AH344" s="22"/>
      <c r="AI344" s="22"/>
      <c r="AJ344" s="22"/>
      <c r="AK344" s="22"/>
      <c r="AL344" s="22"/>
      <c r="AM344" s="22"/>
      <c r="AN344" s="22"/>
      <c r="AO344" s="22"/>
      <c r="AP344" s="22"/>
      <c r="AQ344" s="22"/>
      <c r="AR344" s="22"/>
      <c r="AS344" s="25"/>
    </row>
    <row r="345" spans="1:45" s="1" customFormat="1">
      <c r="A345" s="22">
        <f t="shared" si="5"/>
        <v>344</v>
      </c>
      <c r="B345" s="23">
        <v>45702</v>
      </c>
      <c r="C345" s="22" t="s">
        <v>208</v>
      </c>
      <c r="D345" s="22" t="s">
        <v>367</v>
      </c>
      <c r="E345" s="22">
        <v>20245969</v>
      </c>
      <c r="F345" s="22" t="s">
        <v>1750</v>
      </c>
      <c r="G345" s="22">
        <v>9284514358</v>
      </c>
      <c r="H345" s="22" t="s">
        <v>1751</v>
      </c>
      <c r="I345" s="22" t="s">
        <v>55</v>
      </c>
      <c r="J345" s="22" t="s">
        <v>319</v>
      </c>
      <c r="K345" s="22" t="s">
        <v>1080</v>
      </c>
      <c r="L345" s="22" t="s">
        <v>928</v>
      </c>
      <c r="M345" s="22" t="s">
        <v>1752</v>
      </c>
      <c r="N345" s="22">
        <v>7.7</v>
      </c>
      <c r="O345" s="22" t="s">
        <v>61</v>
      </c>
      <c r="P345" s="22">
        <v>14</v>
      </c>
      <c r="Q345" s="22" t="s">
        <v>63</v>
      </c>
      <c r="R345" s="22" t="s">
        <v>63</v>
      </c>
      <c r="S345" s="22" t="s">
        <v>255</v>
      </c>
      <c r="T345" s="22" t="s">
        <v>61</v>
      </c>
      <c r="U345" s="24"/>
      <c r="V345" s="22"/>
      <c r="W345" s="22" t="s">
        <v>65</v>
      </c>
      <c r="X345" s="22" t="s">
        <v>65</v>
      </c>
      <c r="Y345" s="22"/>
      <c r="Z345" s="22" t="s">
        <v>66</v>
      </c>
      <c r="AA345" s="22"/>
      <c r="AB345" s="22">
        <v>45714</v>
      </c>
      <c r="AC345" s="22"/>
      <c r="AD345" s="22"/>
      <c r="AE345" s="22"/>
      <c r="AF345" s="22"/>
      <c r="AG345" s="22"/>
      <c r="AH345" s="22"/>
      <c r="AI345" s="22"/>
      <c r="AJ345" s="22"/>
      <c r="AK345" s="22"/>
      <c r="AL345" s="22"/>
      <c r="AM345" s="22"/>
      <c r="AN345" s="22"/>
      <c r="AO345" s="22"/>
      <c r="AP345" s="22"/>
      <c r="AQ345" s="22"/>
      <c r="AR345" s="22"/>
      <c r="AS345" s="25"/>
    </row>
    <row r="346" spans="1:45" s="1" customFormat="1">
      <c r="A346" s="22">
        <f t="shared" si="5"/>
        <v>345</v>
      </c>
      <c r="B346" s="23">
        <v>45702</v>
      </c>
      <c r="C346" s="22" t="s">
        <v>208</v>
      </c>
      <c r="D346" s="22" t="s">
        <v>1725</v>
      </c>
      <c r="E346" s="22">
        <v>20245969</v>
      </c>
      <c r="F346" s="22" t="s">
        <v>1753</v>
      </c>
      <c r="G346" s="22">
        <v>9049086729</v>
      </c>
      <c r="H346" s="22" t="s">
        <v>1754</v>
      </c>
      <c r="I346" s="22" t="s">
        <v>55</v>
      </c>
      <c r="J346" s="22" t="s">
        <v>319</v>
      </c>
      <c r="K346" s="22" t="s">
        <v>1080</v>
      </c>
      <c r="L346" s="22" t="s">
        <v>1755</v>
      </c>
      <c r="M346" s="22" t="s">
        <v>1756</v>
      </c>
      <c r="N346" s="22">
        <v>8</v>
      </c>
      <c r="O346" s="22" t="s">
        <v>61</v>
      </c>
      <c r="P346" s="22" t="s">
        <v>1757</v>
      </c>
      <c r="Q346" s="22" t="s">
        <v>63</v>
      </c>
      <c r="R346" s="22" t="s">
        <v>63</v>
      </c>
      <c r="S346" s="22" t="s">
        <v>1758</v>
      </c>
      <c r="T346" s="22" t="s">
        <v>61</v>
      </c>
      <c r="U346" s="24"/>
      <c r="V346" s="22"/>
      <c r="W346" s="22" t="s">
        <v>65</v>
      </c>
      <c r="X346" s="22" t="s">
        <v>65</v>
      </c>
      <c r="Y346" s="22"/>
      <c r="Z346" s="22" t="s">
        <v>66</v>
      </c>
      <c r="AA346" s="22"/>
      <c r="AB346" s="22">
        <v>45704</v>
      </c>
      <c r="AC346" s="22"/>
      <c r="AD346" s="22"/>
      <c r="AE346" s="22"/>
      <c r="AF346" s="22"/>
      <c r="AG346" s="22"/>
      <c r="AH346" s="22"/>
      <c r="AI346" s="22"/>
      <c r="AJ346" s="22"/>
      <c r="AK346" s="22"/>
      <c r="AL346" s="22"/>
      <c r="AM346" s="22"/>
      <c r="AN346" s="22"/>
      <c r="AO346" s="22"/>
      <c r="AP346" s="22"/>
      <c r="AQ346" s="22"/>
      <c r="AR346" s="22"/>
      <c r="AS346" s="25"/>
    </row>
    <row r="347" spans="1:45" s="1" customFormat="1">
      <c r="A347" s="22">
        <f t="shared" si="5"/>
        <v>346</v>
      </c>
      <c r="B347" s="23">
        <v>45702</v>
      </c>
      <c r="C347" s="22" t="s">
        <v>208</v>
      </c>
      <c r="D347" s="22" t="s">
        <v>367</v>
      </c>
      <c r="E347" s="22">
        <v>20245969</v>
      </c>
      <c r="F347" s="22" t="s">
        <v>1759</v>
      </c>
      <c r="G347" s="22">
        <v>9112067768</v>
      </c>
      <c r="H347" s="22" t="s">
        <v>1760</v>
      </c>
      <c r="I347" s="22" t="s">
        <v>101</v>
      </c>
      <c r="J347" s="22" t="s">
        <v>319</v>
      </c>
      <c r="K347" s="22" t="s">
        <v>1080</v>
      </c>
      <c r="L347" s="22" t="s">
        <v>928</v>
      </c>
      <c r="M347" s="22" t="s">
        <v>534</v>
      </c>
      <c r="N347" s="22">
        <v>5</v>
      </c>
      <c r="O347" s="22" t="s">
        <v>61</v>
      </c>
      <c r="P347" s="22">
        <v>9</v>
      </c>
      <c r="Q347" s="22" t="s">
        <v>63</v>
      </c>
      <c r="R347" s="22" t="s">
        <v>63</v>
      </c>
      <c r="S347" s="22" t="s">
        <v>1758</v>
      </c>
      <c r="T347" s="22" t="s">
        <v>61</v>
      </c>
      <c r="U347" s="24"/>
      <c r="V347" s="22"/>
      <c r="W347" s="22" t="s">
        <v>65</v>
      </c>
      <c r="X347" s="22" t="s">
        <v>65</v>
      </c>
      <c r="Y347" s="22"/>
      <c r="Z347" s="22" t="s">
        <v>66</v>
      </c>
      <c r="AA347" s="22"/>
      <c r="AB347" s="22">
        <v>45712</v>
      </c>
      <c r="AC347" s="22"/>
      <c r="AD347" s="22"/>
      <c r="AE347" s="22"/>
      <c r="AF347" s="22"/>
      <c r="AG347" s="22"/>
      <c r="AH347" s="22"/>
      <c r="AI347" s="22"/>
      <c r="AJ347" s="22"/>
      <c r="AK347" s="22"/>
      <c r="AL347" s="22"/>
      <c r="AM347" s="22"/>
      <c r="AN347" s="22"/>
      <c r="AO347" s="22"/>
      <c r="AP347" s="22"/>
      <c r="AQ347" s="22"/>
      <c r="AR347" s="22"/>
      <c r="AS347" s="25"/>
    </row>
    <row r="348" spans="1:45" s="1" customFormat="1">
      <c r="A348" s="22">
        <f t="shared" si="5"/>
        <v>347</v>
      </c>
      <c r="B348" s="23">
        <v>45702</v>
      </c>
      <c r="C348" s="22" t="s">
        <v>208</v>
      </c>
      <c r="D348" s="22" t="s">
        <v>1725</v>
      </c>
      <c r="E348" s="22">
        <v>20245969</v>
      </c>
      <c r="F348" s="22" t="s">
        <v>1761</v>
      </c>
      <c r="G348" s="22">
        <v>8788479157</v>
      </c>
      <c r="H348" s="22" t="s">
        <v>1762</v>
      </c>
      <c r="I348" s="22" t="s">
        <v>55</v>
      </c>
      <c r="J348" s="22" t="s">
        <v>319</v>
      </c>
      <c r="K348" s="22" t="s">
        <v>1080</v>
      </c>
      <c r="L348" s="22" t="s">
        <v>928</v>
      </c>
      <c r="M348" s="22" t="s">
        <v>1763</v>
      </c>
      <c r="N348" s="22">
        <v>6</v>
      </c>
      <c r="O348" s="22" t="s">
        <v>61</v>
      </c>
      <c r="P348" s="22" t="s">
        <v>1757</v>
      </c>
      <c r="Q348" s="22" t="s">
        <v>63</v>
      </c>
      <c r="R348" s="22" t="s">
        <v>63</v>
      </c>
      <c r="S348" s="22" t="s">
        <v>1474</v>
      </c>
      <c r="T348" s="22" t="s">
        <v>61</v>
      </c>
      <c r="U348" s="24"/>
      <c r="V348" s="22"/>
      <c r="W348" s="22" t="s">
        <v>65</v>
      </c>
      <c r="X348" s="22" t="s">
        <v>65</v>
      </c>
      <c r="Y348" s="22"/>
      <c r="Z348" s="22" t="s">
        <v>66</v>
      </c>
      <c r="AA348" s="22"/>
      <c r="AB348" s="22">
        <v>45704</v>
      </c>
      <c r="AC348" s="22"/>
      <c r="AD348" s="22"/>
      <c r="AE348" s="22"/>
      <c r="AF348" s="22"/>
      <c r="AG348" s="22"/>
      <c r="AH348" s="22"/>
      <c r="AI348" s="22"/>
      <c r="AJ348" s="22"/>
      <c r="AK348" s="22"/>
      <c r="AL348" s="22"/>
      <c r="AM348" s="22"/>
      <c r="AN348" s="22"/>
      <c r="AO348" s="22"/>
      <c r="AP348" s="22"/>
      <c r="AQ348" s="22"/>
      <c r="AR348" s="22"/>
      <c r="AS348" s="25"/>
    </row>
    <row r="349" spans="1:45" s="1" customFormat="1">
      <c r="A349" s="22">
        <f t="shared" si="5"/>
        <v>348</v>
      </c>
      <c r="B349" s="23">
        <v>45702</v>
      </c>
      <c r="C349" s="22" t="s">
        <v>208</v>
      </c>
      <c r="D349" s="22" t="s">
        <v>954</v>
      </c>
      <c r="E349" s="22">
        <v>20252407</v>
      </c>
      <c r="F349" s="22" t="s">
        <v>1764</v>
      </c>
      <c r="G349" s="22" t="s">
        <v>1765</v>
      </c>
      <c r="H349" s="22" t="s">
        <v>1766</v>
      </c>
      <c r="I349" s="22" t="s">
        <v>55</v>
      </c>
      <c r="J349" s="22" t="s">
        <v>319</v>
      </c>
      <c r="K349" s="22" t="s">
        <v>1080</v>
      </c>
      <c r="L349" s="22" t="s">
        <v>1098</v>
      </c>
      <c r="M349" s="22" t="s">
        <v>864</v>
      </c>
      <c r="N349" s="22">
        <v>8.8000000000000007</v>
      </c>
      <c r="O349" s="22" t="s">
        <v>61</v>
      </c>
      <c r="P349" s="22">
        <v>14</v>
      </c>
      <c r="Q349" s="22" t="s">
        <v>615</v>
      </c>
      <c r="R349" s="22" t="s">
        <v>63</v>
      </c>
      <c r="S349" s="22" t="s">
        <v>1136</v>
      </c>
      <c r="T349" s="22" t="s">
        <v>61</v>
      </c>
      <c r="U349" s="24"/>
      <c r="V349" s="22"/>
      <c r="W349" s="22" t="s">
        <v>65</v>
      </c>
      <c r="X349" s="22" t="s">
        <v>65</v>
      </c>
      <c r="Y349" s="22"/>
      <c r="Z349" s="22" t="s">
        <v>66</v>
      </c>
      <c r="AA349" s="22"/>
      <c r="AB349" s="22"/>
      <c r="AC349" s="22"/>
      <c r="AD349" s="22"/>
      <c r="AE349" s="22"/>
      <c r="AF349" s="22"/>
      <c r="AG349" s="22"/>
      <c r="AH349" s="22"/>
      <c r="AI349" s="22"/>
      <c r="AJ349" s="22"/>
      <c r="AK349" s="22"/>
      <c r="AL349" s="22"/>
      <c r="AM349" s="22"/>
      <c r="AN349" s="22"/>
      <c r="AO349" s="22"/>
      <c r="AP349" s="22"/>
      <c r="AQ349" s="22"/>
      <c r="AR349" s="22"/>
      <c r="AS349" s="25"/>
    </row>
    <row r="350" spans="1:45" s="1" customFormat="1">
      <c r="A350" s="22">
        <f t="shared" si="5"/>
        <v>349</v>
      </c>
      <c r="B350" s="23">
        <v>45702</v>
      </c>
      <c r="C350" s="22" t="s">
        <v>208</v>
      </c>
      <c r="D350" s="22" t="s">
        <v>1767</v>
      </c>
      <c r="E350" s="22">
        <v>20245969</v>
      </c>
      <c r="F350" s="22" t="s">
        <v>1768</v>
      </c>
      <c r="G350" s="22">
        <v>9137986694</v>
      </c>
      <c r="H350" s="22" t="s">
        <v>1769</v>
      </c>
      <c r="I350" s="22" t="s">
        <v>55</v>
      </c>
      <c r="J350" s="22" t="s">
        <v>319</v>
      </c>
      <c r="K350" s="22" t="s">
        <v>1080</v>
      </c>
      <c r="L350" s="22" t="s">
        <v>1277</v>
      </c>
      <c r="M350" s="22" t="s">
        <v>864</v>
      </c>
      <c r="N350" s="22">
        <v>8.5</v>
      </c>
      <c r="O350" s="22" t="s">
        <v>61</v>
      </c>
      <c r="P350" s="22" t="s">
        <v>1770</v>
      </c>
      <c r="Q350" s="22" t="s">
        <v>63</v>
      </c>
      <c r="R350" s="22" t="s">
        <v>63</v>
      </c>
      <c r="S350" s="22" t="s">
        <v>1136</v>
      </c>
      <c r="T350" s="22" t="s">
        <v>61</v>
      </c>
      <c r="U350" s="24"/>
      <c r="V350" s="22"/>
      <c r="W350" s="22" t="s">
        <v>65</v>
      </c>
      <c r="X350" s="22" t="s">
        <v>65</v>
      </c>
      <c r="Y350" s="22"/>
      <c r="Z350" s="22" t="s">
        <v>66</v>
      </c>
      <c r="AA350" s="22"/>
      <c r="AB350" s="22">
        <v>45714</v>
      </c>
      <c r="AC350" s="22"/>
      <c r="AD350" s="22"/>
      <c r="AE350" s="22"/>
      <c r="AF350" s="22"/>
      <c r="AG350" s="22"/>
      <c r="AH350" s="22"/>
      <c r="AI350" s="22"/>
      <c r="AJ350" s="22"/>
      <c r="AK350" s="22"/>
      <c r="AL350" s="22"/>
      <c r="AM350" s="22"/>
      <c r="AN350" s="22"/>
      <c r="AO350" s="22"/>
      <c r="AP350" s="22"/>
      <c r="AQ350" s="22"/>
      <c r="AR350" s="22"/>
      <c r="AS350" s="25"/>
    </row>
    <row r="351" spans="1:45" s="1" customFormat="1">
      <c r="A351" s="22">
        <f t="shared" si="5"/>
        <v>350</v>
      </c>
      <c r="B351" s="23">
        <v>45702</v>
      </c>
      <c r="C351" s="22" t="s">
        <v>208</v>
      </c>
      <c r="D351" s="22" t="s">
        <v>486</v>
      </c>
      <c r="E351" s="22">
        <v>20246232</v>
      </c>
      <c r="F351" s="22" t="s">
        <v>1771</v>
      </c>
      <c r="G351" s="22">
        <v>9096439660</v>
      </c>
      <c r="H351" s="22" t="s">
        <v>1772</v>
      </c>
      <c r="I351" s="22" t="s">
        <v>55</v>
      </c>
      <c r="J351" s="22" t="s">
        <v>1418</v>
      </c>
      <c r="K351" s="22" t="s">
        <v>1419</v>
      </c>
      <c r="L351" s="22" t="s">
        <v>170</v>
      </c>
      <c r="M351" s="22" t="s">
        <v>791</v>
      </c>
      <c r="N351" s="22" t="s">
        <v>1773</v>
      </c>
      <c r="O351" s="22"/>
      <c r="P351" s="22" t="s">
        <v>144</v>
      </c>
      <c r="Q351" s="22" t="s">
        <v>63</v>
      </c>
      <c r="R351" s="22" t="s">
        <v>63</v>
      </c>
      <c r="S351" s="22" t="s">
        <v>1774</v>
      </c>
      <c r="T351" s="22" t="s">
        <v>1775</v>
      </c>
      <c r="U351" s="24"/>
      <c r="V351" s="22"/>
      <c r="W351" s="22" t="s">
        <v>93</v>
      </c>
      <c r="X351" s="22" t="s">
        <v>93</v>
      </c>
      <c r="Y351" s="22"/>
      <c r="Z351" s="22" t="s">
        <v>66</v>
      </c>
      <c r="AA351" s="22"/>
      <c r="AB351" s="22"/>
      <c r="AC351" s="22"/>
      <c r="AD351" s="22"/>
      <c r="AE351" s="22"/>
      <c r="AF351" s="22"/>
      <c r="AG351" s="22"/>
      <c r="AH351" s="22"/>
      <c r="AI351" s="22"/>
      <c r="AJ351" s="22"/>
      <c r="AK351" s="22"/>
      <c r="AL351" s="22"/>
      <c r="AM351" s="22"/>
      <c r="AN351" s="22"/>
      <c r="AO351" s="22"/>
      <c r="AP351" s="22"/>
      <c r="AQ351" s="22"/>
      <c r="AR351" s="22"/>
      <c r="AS351" s="25"/>
    </row>
    <row r="352" spans="1:45" s="1" customFormat="1">
      <c r="A352" s="22">
        <f t="shared" si="5"/>
        <v>351</v>
      </c>
      <c r="B352" s="23">
        <v>45702</v>
      </c>
      <c r="C352" s="22" t="s">
        <v>208</v>
      </c>
      <c r="D352" s="22" t="s">
        <v>486</v>
      </c>
      <c r="E352" s="22">
        <v>20246232</v>
      </c>
      <c r="F352" s="22" t="s">
        <v>1776</v>
      </c>
      <c r="G352" s="22">
        <v>7978615698</v>
      </c>
      <c r="H352" s="22" t="s">
        <v>1777</v>
      </c>
      <c r="I352" s="22" t="s">
        <v>55</v>
      </c>
      <c r="J352" s="22" t="s">
        <v>1418</v>
      </c>
      <c r="K352" s="22" t="s">
        <v>1419</v>
      </c>
      <c r="L352" s="22" t="s">
        <v>694</v>
      </c>
      <c r="M352" s="22" t="s">
        <v>683</v>
      </c>
      <c r="N352" s="22" t="s">
        <v>919</v>
      </c>
      <c r="O352" s="22"/>
      <c r="P352" s="22" t="s">
        <v>396</v>
      </c>
      <c r="Q352" s="22" t="s">
        <v>63</v>
      </c>
      <c r="R352" s="22" t="s">
        <v>63</v>
      </c>
      <c r="S352" s="22" t="s">
        <v>1778</v>
      </c>
      <c r="T352" s="22" t="s">
        <v>1779</v>
      </c>
      <c r="U352" s="24"/>
      <c r="V352" s="22"/>
      <c r="W352" s="22" t="s">
        <v>93</v>
      </c>
      <c r="X352" s="22" t="s">
        <v>93</v>
      </c>
      <c r="Y352" s="22"/>
      <c r="Z352" s="22" t="s">
        <v>66</v>
      </c>
      <c r="AA352" s="22"/>
      <c r="AB352" s="22"/>
      <c r="AC352" s="22"/>
      <c r="AD352" s="22"/>
      <c r="AE352" s="22"/>
      <c r="AF352" s="22"/>
      <c r="AG352" s="22"/>
      <c r="AH352" s="22"/>
      <c r="AI352" s="22"/>
      <c r="AJ352" s="22"/>
      <c r="AK352" s="22"/>
      <c r="AL352" s="22"/>
      <c r="AM352" s="22"/>
      <c r="AN352" s="22"/>
      <c r="AO352" s="22"/>
      <c r="AP352" s="22"/>
      <c r="AQ352" s="22"/>
      <c r="AR352" s="22"/>
      <c r="AS352" s="25"/>
    </row>
    <row r="353" spans="1:45" s="1" customFormat="1">
      <c r="A353" s="22">
        <f t="shared" si="5"/>
        <v>352</v>
      </c>
      <c r="B353" s="23">
        <v>45702</v>
      </c>
      <c r="C353" s="22" t="s">
        <v>208</v>
      </c>
      <c r="D353" s="22" t="s">
        <v>486</v>
      </c>
      <c r="E353" s="22">
        <v>20246232</v>
      </c>
      <c r="F353" s="22" t="s">
        <v>1780</v>
      </c>
      <c r="G353" s="22">
        <v>7304664143</v>
      </c>
      <c r="H353" s="22" t="s">
        <v>1781</v>
      </c>
      <c r="I353" s="22" t="s">
        <v>55</v>
      </c>
      <c r="J353" s="22" t="s">
        <v>1418</v>
      </c>
      <c r="K353" s="22" t="s">
        <v>1419</v>
      </c>
      <c r="L353" s="22" t="s">
        <v>421</v>
      </c>
      <c r="M353" s="22" t="s">
        <v>1782</v>
      </c>
      <c r="N353" s="22" t="s">
        <v>144</v>
      </c>
      <c r="O353" s="22"/>
      <c r="P353" s="22" t="s">
        <v>164</v>
      </c>
      <c r="Q353" s="22" t="s">
        <v>63</v>
      </c>
      <c r="R353" s="22" t="s">
        <v>63</v>
      </c>
      <c r="S353" s="22" t="s">
        <v>284</v>
      </c>
      <c r="T353" s="22" t="s">
        <v>134</v>
      </c>
      <c r="U353" s="24"/>
      <c r="V353" s="22"/>
      <c r="W353" s="22" t="s">
        <v>93</v>
      </c>
      <c r="X353" s="22" t="s">
        <v>93</v>
      </c>
      <c r="Y353" s="22"/>
      <c r="Z353" s="22" t="s">
        <v>66</v>
      </c>
      <c r="AA353" s="22"/>
      <c r="AB353" s="22"/>
      <c r="AC353" s="22"/>
      <c r="AD353" s="22"/>
      <c r="AE353" s="22"/>
      <c r="AF353" s="22"/>
      <c r="AG353" s="22"/>
      <c r="AH353" s="22"/>
      <c r="AI353" s="22"/>
      <c r="AJ353" s="22"/>
      <c r="AK353" s="22"/>
      <c r="AL353" s="22"/>
      <c r="AM353" s="22"/>
      <c r="AN353" s="22"/>
      <c r="AO353" s="22"/>
      <c r="AP353" s="22"/>
      <c r="AQ353" s="22"/>
      <c r="AR353" s="22"/>
      <c r="AS353" s="25"/>
    </row>
    <row r="354" spans="1:45" s="1" customFormat="1">
      <c r="A354" s="22">
        <f t="shared" si="5"/>
        <v>353</v>
      </c>
      <c r="B354" s="23">
        <v>45702</v>
      </c>
      <c r="C354" s="22" t="s">
        <v>208</v>
      </c>
      <c r="D354" s="22" t="s">
        <v>486</v>
      </c>
      <c r="E354" s="22">
        <v>20246232</v>
      </c>
      <c r="F354" s="22" t="s">
        <v>1783</v>
      </c>
      <c r="G354" s="22">
        <v>8623828842</v>
      </c>
      <c r="H354" s="22" t="s">
        <v>1784</v>
      </c>
      <c r="I354" s="22" t="s">
        <v>55</v>
      </c>
      <c r="J354" s="22" t="s">
        <v>1418</v>
      </c>
      <c r="K354" s="22" t="s">
        <v>1419</v>
      </c>
      <c r="L354" s="22" t="s">
        <v>1785</v>
      </c>
      <c r="M354" s="22" t="s">
        <v>864</v>
      </c>
      <c r="N354" s="22" t="s">
        <v>1786</v>
      </c>
      <c r="O354" s="22"/>
      <c r="P354" s="22" t="s">
        <v>164</v>
      </c>
      <c r="Q354" s="22" t="s">
        <v>63</v>
      </c>
      <c r="R354" s="22" t="s">
        <v>63</v>
      </c>
      <c r="S354" s="22" t="s">
        <v>133</v>
      </c>
      <c r="T354" s="22" t="s">
        <v>134</v>
      </c>
      <c r="U354" s="24"/>
      <c r="V354" s="22"/>
      <c r="W354" s="22" t="s">
        <v>93</v>
      </c>
      <c r="X354" s="22" t="s">
        <v>93</v>
      </c>
      <c r="Y354" s="22"/>
      <c r="Z354" s="22" t="s">
        <v>66</v>
      </c>
      <c r="AA354" s="22"/>
      <c r="AB354" s="22"/>
      <c r="AC354" s="22"/>
      <c r="AD354" s="22"/>
      <c r="AE354" s="22"/>
      <c r="AF354" s="22"/>
      <c r="AG354" s="22"/>
      <c r="AH354" s="22"/>
      <c r="AI354" s="22"/>
      <c r="AJ354" s="22"/>
      <c r="AK354" s="22"/>
      <c r="AL354" s="22"/>
      <c r="AM354" s="22"/>
      <c r="AN354" s="22"/>
      <c r="AO354" s="22"/>
      <c r="AP354" s="22"/>
      <c r="AQ354" s="22"/>
      <c r="AR354" s="22"/>
      <c r="AS354" s="25"/>
    </row>
    <row r="355" spans="1:45" s="1" customFormat="1">
      <c r="A355" s="22">
        <f t="shared" si="5"/>
        <v>354</v>
      </c>
      <c r="B355" s="23">
        <v>45702</v>
      </c>
      <c r="C355" s="22" t="s">
        <v>208</v>
      </c>
      <c r="D355" s="22" t="s">
        <v>667</v>
      </c>
      <c r="E355" s="22">
        <v>20246232</v>
      </c>
      <c r="F355" s="22" t="s">
        <v>1787</v>
      </c>
      <c r="G355" s="22" t="s">
        <v>1788</v>
      </c>
      <c r="H355" s="22" t="s">
        <v>1789</v>
      </c>
      <c r="I355" s="22" t="s">
        <v>55</v>
      </c>
      <c r="J355" s="22" t="s">
        <v>1418</v>
      </c>
      <c r="K355" s="22" t="s">
        <v>1419</v>
      </c>
      <c r="L355" s="22" t="s">
        <v>1790</v>
      </c>
      <c r="M355" s="22" t="s">
        <v>1791</v>
      </c>
      <c r="N355" s="22" t="s">
        <v>494</v>
      </c>
      <c r="O355" s="22"/>
      <c r="P355" s="22" t="s">
        <v>396</v>
      </c>
      <c r="Q355" s="22" t="s">
        <v>63</v>
      </c>
      <c r="R355" s="22" t="s">
        <v>63</v>
      </c>
      <c r="S355" s="22" t="s">
        <v>284</v>
      </c>
      <c r="T355" s="22" t="s">
        <v>134</v>
      </c>
      <c r="U355" s="24"/>
      <c r="V355" s="22"/>
      <c r="W355" s="22" t="s">
        <v>93</v>
      </c>
      <c r="X355" s="22" t="s">
        <v>93</v>
      </c>
      <c r="Y355" s="22"/>
      <c r="Z355" s="22" t="s">
        <v>66</v>
      </c>
      <c r="AA355" s="22"/>
      <c r="AB355" s="22"/>
      <c r="AC355" s="22"/>
      <c r="AD355" s="22"/>
      <c r="AE355" s="22"/>
      <c r="AF355" s="22"/>
      <c r="AG355" s="22"/>
      <c r="AH355" s="22"/>
      <c r="AI355" s="22"/>
      <c r="AJ355" s="22"/>
      <c r="AK355" s="22"/>
      <c r="AL355" s="22"/>
      <c r="AM355" s="22"/>
      <c r="AN355" s="22"/>
      <c r="AO355" s="22"/>
      <c r="AP355" s="22"/>
      <c r="AQ355" s="22"/>
      <c r="AR355" s="22"/>
      <c r="AS355" s="25"/>
    </row>
    <row r="356" spans="1:45" s="1" customFormat="1">
      <c r="A356" s="22">
        <f t="shared" si="5"/>
        <v>355</v>
      </c>
      <c r="B356" s="23">
        <v>45702</v>
      </c>
      <c r="C356" s="22" t="s">
        <v>208</v>
      </c>
      <c r="D356" s="22" t="s">
        <v>486</v>
      </c>
      <c r="E356" s="22">
        <v>20246232</v>
      </c>
      <c r="F356" s="22" t="s">
        <v>1792</v>
      </c>
      <c r="G356" s="22">
        <v>9712495903</v>
      </c>
      <c r="H356" s="22" t="s">
        <v>1793</v>
      </c>
      <c r="I356" s="22" t="s">
        <v>55</v>
      </c>
      <c r="J356" s="22" t="s">
        <v>1418</v>
      </c>
      <c r="K356" s="22" t="s">
        <v>1419</v>
      </c>
      <c r="L356" s="22" t="s">
        <v>694</v>
      </c>
      <c r="M356" s="22" t="s">
        <v>1112</v>
      </c>
      <c r="N356" s="22" t="s">
        <v>1794</v>
      </c>
      <c r="O356" s="22"/>
      <c r="P356" s="22" t="s">
        <v>340</v>
      </c>
      <c r="Q356" s="22" t="s">
        <v>63</v>
      </c>
      <c r="R356" s="22" t="s">
        <v>63</v>
      </c>
      <c r="S356" s="22" t="s">
        <v>284</v>
      </c>
      <c r="T356" s="22" t="s">
        <v>134</v>
      </c>
      <c r="U356" s="24"/>
      <c r="V356" s="22"/>
      <c r="W356" s="22" t="s">
        <v>93</v>
      </c>
      <c r="X356" s="22" t="s">
        <v>93</v>
      </c>
      <c r="Y356" s="22"/>
      <c r="Z356" s="22" t="s">
        <v>66</v>
      </c>
      <c r="AA356" s="22"/>
      <c r="AB356" s="22"/>
      <c r="AC356" s="22"/>
      <c r="AD356" s="22"/>
      <c r="AE356" s="22"/>
      <c r="AF356" s="22"/>
      <c r="AG356" s="22"/>
      <c r="AH356" s="22"/>
      <c r="AI356" s="22"/>
      <c r="AJ356" s="22"/>
      <c r="AK356" s="22"/>
      <c r="AL356" s="22"/>
      <c r="AM356" s="22"/>
      <c r="AN356" s="22"/>
      <c r="AO356" s="22"/>
      <c r="AP356" s="22"/>
      <c r="AQ356" s="22"/>
      <c r="AR356" s="22"/>
      <c r="AS356" s="25"/>
    </row>
    <row r="357" spans="1:45" s="1" customFormat="1">
      <c r="A357" s="22">
        <f t="shared" si="5"/>
        <v>356</v>
      </c>
      <c r="B357" s="23">
        <v>45736</v>
      </c>
      <c r="C357" s="22" t="s">
        <v>208</v>
      </c>
      <c r="D357" s="22" t="s">
        <v>954</v>
      </c>
      <c r="E357" s="22">
        <v>20252855</v>
      </c>
      <c r="F357" s="22" t="s">
        <v>1795</v>
      </c>
      <c r="G357" s="22">
        <v>9028719444</v>
      </c>
      <c r="H357" s="22" t="s">
        <v>1796</v>
      </c>
      <c r="I357" s="22" t="s">
        <v>55</v>
      </c>
      <c r="J357" s="22" t="s">
        <v>670</v>
      </c>
      <c r="K357" s="22" t="s">
        <v>116</v>
      </c>
      <c r="L357" s="22" t="s">
        <v>1224</v>
      </c>
      <c r="M357" s="22" t="s">
        <v>534</v>
      </c>
      <c r="N357" s="22" t="s">
        <v>1797</v>
      </c>
      <c r="O357" s="22"/>
      <c r="P357" s="22" t="s">
        <v>164</v>
      </c>
      <c r="Q357" s="22" t="s">
        <v>63</v>
      </c>
      <c r="R357" s="22" t="s">
        <v>63</v>
      </c>
      <c r="S357" s="22" t="s">
        <v>361</v>
      </c>
      <c r="T357" s="22" t="s">
        <v>134</v>
      </c>
      <c r="U357" s="24"/>
      <c r="V357" s="22"/>
      <c r="W357" s="22" t="s">
        <v>93</v>
      </c>
      <c r="X357" s="22" t="s">
        <v>1528</v>
      </c>
      <c r="Y357" s="22"/>
      <c r="Z357" s="22" t="s">
        <v>66</v>
      </c>
      <c r="AA357" s="22"/>
      <c r="AB357" s="22"/>
      <c r="AC357" s="22"/>
      <c r="AD357" s="22"/>
      <c r="AE357" s="22"/>
      <c r="AF357" s="22"/>
      <c r="AG357" s="22"/>
      <c r="AH357" s="22"/>
      <c r="AI357" s="22"/>
      <c r="AJ357" s="22"/>
      <c r="AK357" s="22"/>
      <c r="AL357" s="22"/>
      <c r="AM357" s="22"/>
      <c r="AN357" s="22"/>
      <c r="AO357" s="22"/>
      <c r="AP357" s="22"/>
      <c r="AQ357" s="22"/>
      <c r="AR357" s="22"/>
      <c r="AS357" s="25"/>
    </row>
    <row r="358" spans="1:45" s="1" customFormat="1">
      <c r="A358" s="22">
        <f t="shared" si="5"/>
        <v>357</v>
      </c>
      <c r="B358" s="23">
        <v>45702</v>
      </c>
      <c r="C358" s="22" t="s">
        <v>208</v>
      </c>
      <c r="D358" s="22" t="s">
        <v>667</v>
      </c>
      <c r="E358" s="22">
        <v>20252855</v>
      </c>
      <c r="F358" s="22" t="s">
        <v>1798</v>
      </c>
      <c r="G358" s="22">
        <v>9307220253</v>
      </c>
      <c r="H358" s="22" t="s">
        <v>1799</v>
      </c>
      <c r="I358" s="22" t="s">
        <v>55</v>
      </c>
      <c r="J358" s="22" t="s">
        <v>670</v>
      </c>
      <c r="K358" s="22" t="s">
        <v>116</v>
      </c>
      <c r="L358" s="22" t="s">
        <v>1090</v>
      </c>
      <c r="M358" s="22" t="s">
        <v>534</v>
      </c>
      <c r="N358" s="22" t="s">
        <v>1800</v>
      </c>
      <c r="O358" s="22"/>
      <c r="P358" s="22" t="s">
        <v>388</v>
      </c>
      <c r="Q358" s="22" t="s">
        <v>63</v>
      </c>
      <c r="R358" s="22" t="s">
        <v>63</v>
      </c>
      <c r="S358" s="22" t="s">
        <v>1801</v>
      </c>
      <c r="T358" s="22" t="s">
        <v>1802</v>
      </c>
      <c r="U358" s="24"/>
      <c r="V358" s="22"/>
      <c r="W358" s="22" t="s">
        <v>93</v>
      </c>
      <c r="X358" s="22" t="s">
        <v>1528</v>
      </c>
      <c r="Y358" s="22"/>
      <c r="Z358" s="22" t="s">
        <v>66</v>
      </c>
      <c r="AA358" s="22"/>
      <c r="AB358" s="22"/>
      <c r="AC358" s="22"/>
      <c r="AD358" s="22"/>
      <c r="AE358" s="22"/>
      <c r="AF358" s="22"/>
      <c r="AG358" s="22"/>
      <c r="AH358" s="22"/>
      <c r="AI358" s="22"/>
      <c r="AJ358" s="22"/>
      <c r="AK358" s="22"/>
      <c r="AL358" s="22"/>
      <c r="AM358" s="22"/>
      <c r="AN358" s="22"/>
      <c r="AO358" s="22"/>
      <c r="AP358" s="22"/>
      <c r="AQ358" s="22"/>
      <c r="AR358" s="22"/>
      <c r="AS358" s="25"/>
    </row>
    <row r="359" spans="1:45" s="1" customFormat="1">
      <c r="A359" s="22">
        <f t="shared" si="5"/>
        <v>358</v>
      </c>
      <c r="B359" s="23">
        <v>45702</v>
      </c>
      <c r="C359" s="22" t="s">
        <v>208</v>
      </c>
      <c r="D359" s="22" t="s">
        <v>209</v>
      </c>
      <c r="E359" s="22">
        <v>20252855</v>
      </c>
      <c r="F359" s="22" t="s">
        <v>1803</v>
      </c>
      <c r="G359" s="22">
        <v>8960685653</v>
      </c>
      <c r="H359" s="22" t="s">
        <v>1804</v>
      </c>
      <c r="I359" s="22" t="s">
        <v>55</v>
      </c>
      <c r="J359" s="22" t="s">
        <v>670</v>
      </c>
      <c r="K359" s="22" t="s">
        <v>116</v>
      </c>
      <c r="L359" s="22" t="s">
        <v>1224</v>
      </c>
      <c r="M359" s="22" t="s">
        <v>1805</v>
      </c>
      <c r="N359" s="22" t="s">
        <v>1806</v>
      </c>
      <c r="O359" s="22"/>
      <c r="P359" s="22" t="s">
        <v>396</v>
      </c>
      <c r="Q359" s="22" t="s">
        <v>846</v>
      </c>
      <c r="R359" s="22" t="s">
        <v>63</v>
      </c>
      <c r="S359" s="22" t="s">
        <v>230</v>
      </c>
      <c r="T359" s="22" t="s">
        <v>134</v>
      </c>
      <c r="U359" s="24"/>
      <c r="V359" s="22"/>
      <c r="W359" s="22" t="s">
        <v>93</v>
      </c>
      <c r="X359" s="22" t="s">
        <v>1528</v>
      </c>
      <c r="Y359" s="22"/>
      <c r="Z359" s="22" t="s">
        <v>66</v>
      </c>
      <c r="AA359" s="22"/>
      <c r="AB359" s="22"/>
      <c r="AC359" s="22"/>
      <c r="AD359" s="22"/>
      <c r="AE359" s="22"/>
      <c r="AF359" s="22"/>
      <c r="AG359" s="22"/>
      <c r="AH359" s="22"/>
      <c r="AI359" s="22"/>
      <c r="AJ359" s="22"/>
      <c r="AK359" s="22"/>
      <c r="AL359" s="22"/>
      <c r="AM359" s="22"/>
      <c r="AN359" s="22"/>
      <c r="AO359" s="22"/>
      <c r="AP359" s="22"/>
      <c r="AQ359" s="22"/>
      <c r="AR359" s="22"/>
      <c r="AS359" s="25"/>
    </row>
    <row r="360" spans="1:45" s="1" customFormat="1">
      <c r="A360" s="22">
        <f t="shared" si="5"/>
        <v>359</v>
      </c>
      <c r="B360" s="23">
        <v>45736</v>
      </c>
      <c r="C360" s="22" t="s">
        <v>208</v>
      </c>
      <c r="D360" s="22" t="s">
        <v>954</v>
      </c>
      <c r="E360" s="22">
        <v>20252855</v>
      </c>
      <c r="F360" s="22" t="s">
        <v>1807</v>
      </c>
      <c r="G360" s="22">
        <v>7249439999</v>
      </c>
      <c r="H360" s="22" t="s">
        <v>1808</v>
      </c>
      <c r="I360" s="22" t="s">
        <v>55</v>
      </c>
      <c r="J360" s="22" t="s">
        <v>670</v>
      </c>
      <c r="K360" s="22" t="s">
        <v>116</v>
      </c>
      <c r="L360" s="22" t="s">
        <v>1098</v>
      </c>
      <c r="M360" s="22" t="s">
        <v>1809</v>
      </c>
      <c r="N360" s="22" t="s">
        <v>1810</v>
      </c>
      <c r="O360" s="22"/>
      <c r="P360" s="22" t="s">
        <v>144</v>
      </c>
      <c r="Q360" s="22" t="s">
        <v>63</v>
      </c>
      <c r="R360" s="22" t="s">
        <v>63</v>
      </c>
      <c r="S360" s="22" t="s">
        <v>361</v>
      </c>
      <c r="T360" s="22" t="s">
        <v>134</v>
      </c>
      <c r="U360" s="24"/>
      <c r="V360" s="22"/>
      <c r="W360" s="22" t="s">
        <v>93</v>
      </c>
      <c r="X360" s="22" t="s">
        <v>1528</v>
      </c>
      <c r="Y360" s="22"/>
      <c r="Z360" s="22" t="s">
        <v>66</v>
      </c>
      <c r="AA360" s="22"/>
      <c r="AB360" s="22"/>
      <c r="AC360" s="22"/>
      <c r="AD360" s="22"/>
      <c r="AE360" s="22"/>
      <c r="AF360" s="22"/>
      <c r="AG360" s="22"/>
      <c r="AH360" s="22"/>
      <c r="AI360" s="22"/>
      <c r="AJ360" s="22"/>
      <c r="AK360" s="22"/>
      <c r="AL360" s="22"/>
      <c r="AM360" s="22"/>
      <c r="AN360" s="22"/>
      <c r="AO360" s="22"/>
      <c r="AP360" s="22"/>
      <c r="AQ360" s="22"/>
      <c r="AR360" s="22"/>
      <c r="AS360" s="25"/>
    </row>
    <row r="361" spans="1:45" s="1" customFormat="1">
      <c r="A361" s="22">
        <f t="shared" si="5"/>
        <v>360</v>
      </c>
      <c r="B361" s="23">
        <v>45702</v>
      </c>
      <c r="C361" s="22" t="s">
        <v>208</v>
      </c>
      <c r="D361" s="22" t="s">
        <v>667</v>
      </c>
      <c r="E361" s="22">
        <v>20252855</v>
      </c>
      <c r="F361" s="22" t="s">
        <v>1811</v>
      </c>
      <c r="G361" s="22">
        <v>9423465460</v>
      </c>
      <c r="H361" s="22" t="s">
        <v>1812</v>
      </c>
      <c r="I361" s="22" t="s">
        <v>101</v>
      </c>
      <c r="J361" s="22" t="s">
        <v>670</v>
      </c>
      <c r="K361" s="22" t="s">
        <v>116</v>
      </c>
      <c r="L361" s="22" t="s">
        <v>928</v>
      </c>
      <c r="M361" s="22" t="s">
        <v>1813</v>
      </c>
      <c r="N361" s="22" t="s">
        <v>494</v>
      </c>
      <c r="O361" s="22"/>
      <c r="P361" s="22" t="s">
        <v>164</v>
      </c>
      <c r="Q361" s="22" t="s">
        <v>63</v>
      </c>
      <c r="R361" s="22" t="s">
        <v>63</v>
      </c>
      <c r="S361" s="22" t="s">
        <v>230</v>
      </c>
      <c r="T361" s="22" t="s">
        <v>134</v>
      </c>
      <c r="U361" s="24"/>
      <c r="V361" s="22"/>
      <c r="W361" s="22" t="s">
        <v>93</v>
      </c>
      <c r="X361" s="22" t="s">
        <v>1528</v>
      </c>
      <c r="Y361" s="22"/>
      <c r="Z361" s="22" t="s">
        <v>66</v>
      </c>
      <c r="AA361" s="22"/>
      <c r="AB361" s="22"/>
      <c r="AC361" s="22"/>
      <c r="AD361" s="22"/>
      <c r="AE361" s="22"/>
      <c r="AF361" s="22"/>
      <c r="AG361" s="22"/>
      <c r="AH361" s="22"/>
      <c r="AI361" s="22"/>
      <c r="AJ361" s="22"/>
      <c r="AK361" s="22"/>
      <c r="AL361" s="22"/>
      <c r="AM361" s="22"/>
      <c r="AN361" s="22"/>
      <c r="AO361" s="22"/>
      <c r="AP361" s="22"/>
      <c r="AQ361" s="22"/>
      <c r="AR361" s="22"/>
      <c r="AS361" s="25"/>
    </row>
    <row r="362" spans="1:45" s="1" customFormat="1">
      <c r="A362" s="22">
        <f t="shared" si="5"/>
        <v>361</v>
      </c>
      <c r="B362" s="23">
        <v>45736</v>
      </c>
      <c r="C362" s="22" t="s">
        <v>208</v>
      </c>
      <c r="D362" s="22" t="s">
        <v>954</v>
      </c>
      <c r="E362" s="22">
        <v>20252855</v>
      </c>
      <c r="F362" s="22" t="s">
        <v>1814</v>
      </c>
      <c r="G362" s="22" t="s">
        <v>1815</v>
      </c>
      <c r="H362" s="22" t="s">
        <v>1816</v>
      </c>
      <c r="I362" s="22" t="s">
        <v>101</v>
      </c>
      <c r="J362" s="22" t="s">
        <v>670</v>
      </c>
      <c r="K362" s="22" t="s">
        <v>116</v>
      </c>
      <c r="L362" s="22" t="s">
        <v>928</v>
      </c>
      <c r="M362" s="22" t="s">
        <v>1817</v>
      </c>
      <c r="N362" s="22" t="s">
        <v>1818</v>
      </c>
      <c r="O362" s="22"/>
      <c r="P362" s="22" t="s">
        <v>173</v>
      </c>
      <c r="Q362" s="22" t="s">
        <v>63</v>
      </c>
      <c r="R362" s="22" t="s">
        <v>63</v>
      </c>
      <c r="S362" s="22" t="s">
        <v>1819</v>
      </c>
      <c r="T362" s="22" t="s">
        <v>1633</v>
      </c>
      <c r="U362" s="24"/>
      <c r="V362" s="22"/>
      <c r="W362" s="22" t="s">
        <v>93</v>
      </c>
      <c r="X362" s="22" t="s">
        <v>1528</v>
      </c>
      <c r="Y362" s="22"/>
      <c r="Z362" s="22" t="s">
        <v>66</v>
      </c>
      <c r="AA362" s="22"/>
      <c r="AB362" s="22"/>
      <c r="AC362" s="22"/>
      <c r="AD362" s="22"/>
      <c r="AE362" s="22"/>
      <c r="AF362" s="22"/>
      <c r="AG362" s="22"/>
      <c r="AH362" s="22"/>
      <c r="AI362" s="22"/>
      <c r="AJ362" s="22"/>
      <c r="AK362" s="22"/>
      <c r="AL362" s="22"/>
      <c r="AM362" s="22"/>
      <c r="AN362" s="22"/>
      <c r="AO362" s="22"/>
      <c r="AP362" s="22"/>
      <c r="AQ362" s="22"/>
      <c r="AR362" s="22"/>
      <c r="AS362" s="25"/>
    </row>
    <row r="363" spans="1:45" s="1" customFormat="1">
      <c r="A363" s="22">
        <f t="shared" si="5"/>
        <v>362</v>
      </c>
      <c r="B363" s="23">
        <v>45703</v>
      </c>
      <c r="C363" s="22" t="s">
        <v>208</v>
      </c>
      <c r="D363" s="22" t="s">
        <v>209</v>
      </c>
      <c r="E363" s="22">
        <v>20241431</v>
      </c>
      <c r="F363" s="22" t="s">
        <v>1820</v>
      </c>
      <c r="G363" s="22">
        <v>6370707370</v>
      </c>
      <c r="H363" s="22" t="s">
        <v>1821</v>
      </c>
      <c r="I363" s="22" t="s">
        <v>101</v>
      </c>
      <c r="J363" s="22" t="s">
        <v>518</v>
      </c>
      <c r="K363" s="22" t="s">
        <v>116</v>
      </c>
      <c r="L363" s="22">
        <v>3.4</v>
      </c>
      <c r="M363" s="22" t="s">
        <v>1822</v>
      </c>
      <c r="N363" s="22">
        <v>7</v>
      </c>
      <c r="O363" s="22" t="s">
        <v>818</v>
      </c>
      <c r="P363" s="22" t="s">
        <v>1823</v>
      </c>
      <c r="Q363" s="22" t="s">
        <v>1824</v>
      </c>
      <c r="R363" s="22" t="s">
        <v>63</v>
      </c>
      <c r="S363" s="22" t="s">
        <v>1825</v>
      </c>
      <c r="T363" s="22" t="s">
        <v>61</v>
      </c>
      <c r="U363" s="24"/>
      <c r="V363" s="22"/>
      <c r="W363" s="22" t="s">
        <v>218</v>
      </c>
      <c r="X363" s="22" t="s">
        <v>218</v>
      </c>
      <c r="Y363" s="22" t="s">
        <v>135</v>
      </c>
      <c r="Z363" s="22" t="s">
        <v>66</v>
      </c>
      <c r="AA363" s="22">
        <v>45703</v>
      </c>
      <c r="AB363" s="22">
        <v>45705</v>
      </c>
      <c r="AC363" s="22">
        <v>45705</v>
      </c>
      <c r="AD363" s="22"/>
      <c r="AE363" s="22"/>
      <c r="AF363" s="22"/>
      <c r="AG363" s="22"/>
      <c r="AH363" s="22"/>
      <c r="AI363" s="22"/>
      <c r="AJ363" s="22"/>
      <c r="AK363" s="22"/>
      <c r="AL363" s="22"/>
      <c r="AM363" s="22"/>
      <c r="AN363" s="22"/>
      <c r="AO363" s="22"/>
      <c r="AP363" s="22"/>
      <c r="AQ363" s="22"/>
      <c r="AR363" s="22"/>
      <c r="AS363" s="25"/>
    </row>
    <row r="364" spans="1:45" s="1" customFormat="1">
      <c r="A364" s="22">
        <f t="shared" si="5"/>
        <v>363</v>
      </c>
      <c r="B364" s="23">
        <v>45703</v>
      </c>
      <c r="C364" s="22" t="s">
        <v>208</v>
      </c>
      <c r="D364" s="22" t="s">
        <v>209</v>
      </c>
      <c r="E364" s="22">
        <v>20241431</v>
      </c>
      <c r="F364" s="22" t="s">
        <v>1826</v>
      </c>
      <c r="G364" s="22">
        <v>7893558983</v>
      </c>
      <c r="H364" s="22" t="s">
        <v>1827</v>
      </c>
      <c r="I364" s="22" t="s">
        <v>55</v>
      </c>
      <c r="J364" s="22" t="s">
        <v>518</v>
      </c>
      <c r="K364" s="22" t="s">
        <v>116</v>
      </c>
      <c r="L364" s="22">
        <v>3</v>
      </c>
      <c r="M364" s="22" t="s">
        <v>1828</v>
      </c>
      <c r="N364" s="22">
        <v>4.0999999999999996</v>
      </c>
      <c r="O364" s="22">
        <v>0</v>
      </c>
      <c r="P364" s="22" t="s">
        <v>1829</v>
      </c>
      <c r="Q364" s="22" t="s">
        <v>1830</v>
      </c>
      <c r="R364" s="22" t="s">
        <v>63</v>
      </c>
      <c r="S364" s="22" t="s">
        <v>255</v>
      </c>
      <c r="T364" s="22" t="s">
        <v>61</v>
      </c>
      <c r="U364" s="24"/>
      <c r="V364" s="22"/>
      <c r="W364" s="22" t="s">
        <v>218</v>
      </c>
      <c r="X364" s="22" t="s">
        <v>218</v>
      </c>
      <c r="Y364" s="22" t="s">
        <v>135</v>
      </c>
      <c r="Z364" s="22" t="s">
        <v>66</v>
      </c>
      <c r="AA364" s="22">
        <v>45703</v>
      </c>
      <c r="AB364" s="22">
        <v>45714</v>
      </c>
      <c r="AC364" s="22">
        <v>45716</v>
      </c>
      <c r="AD364" s="22"/>
      <c r="AE364" s="22"/>
      <c r="AF364" s="22"/>
      <c r="AG364" s="22"/>
      <c r="AH364" s="22"/>
      <c r="AI364" s="22"/>
      <c r="AJ364" s="22"/>
      <c r="AK364" s="22"/>
      <c r="AL364" s="22"/>
      <c r="AM364" s="22"/>
      <c r="AN364" s="22"/>
      <c r="AO364" s="22"/>
      <c r="AP364" s="22"/>
      <c r="AQ364" s="22"/>
      <c r="AR364" s="22"/>
      <c r="AS364" s="25"/>
    </row>
    <row r="365" spans="1:45" s="1" customFormat="1">
      <c r="A365" s="22">
        <f t="shared" si="5"/>
        <v>364</v>
      </c>
      <c r="B365" s="23">
        <v>45703</v>
      </c>
      <c r="C365" s="22" t="s">
        <v>208</v>
      </c>
      <c r="D365" s="22" t="s">
        <v>209</v>
      </c>
      <c r="E365" s="22">
        <v>20241431</v>
      </c>
      <c r="F365" s="22" t="s">
        <v>1831</v>
      </c>
      <c r="G365" s="22">
        <v>8381016170</v>
      </c>
      <c r="H365" s="22" t="s">
        <v>1832</v>
      </c>
      <c r="I365" s="22" t="s">
        <v>101</v>
      </c>
      <c r="J365" s="22" t="s">
        <v>518</v>
      </c>
      <c r="K365" s="22" t="s">
        <v>116</v>
      </c>
      <c r="L365" s="22">
        <v>3.6</v>
      </c>
      <c r="M365" s="22" t="s">
        <v>1833</v>
      </c>
      <c r="N365" s="22">
        <v>4.2</v>
      </c>
      <c r="O365" s="22">
        <v>0</v>
      </c>
      <c r="P365" s="22">
        <v>7</v>
      </c>
      <c r="Q365" s="22" t="s">
        <v>63</v>
      </c>
      <c r="R365" s="22" t="s">
        <v>63</v>
      </c>
      <c r="S365" s="22" t="s">
        <v>255</v>
      </c>
      <c r="T365" s="22" t="s">
        <v>1834</v>
      </c>
      <c r="U365" s="24"/>
      <c r="V365" s="22"/>
      <c r="W365" s="22" t="s">
        <v>218</v>
      </c>
      <c r="X365" s="22" t="s">
        <v>218</v>
      </c>
      <c r="Y365" s="22" t="s">
        <v>135</v>
      </c>
      <c r="Z365" s="22" t="s">
        <v>66</v>
      </c>
      <c r="AA365" s="22">
        <v>45703</v>
      </c>
      <c r="AB365" s="22">
        <v>45705</v>
      </c>
      <c r="AC365" s="22">
        <v>45705</v>
      </c>
      <c r="AD365" s="22"/>
      <c r="AE365" s="22"/>
      <c r="AF365" s="22"/>
      <c r="AG365" s="22"/>
      <c r="AH365" s="22"/>
      <c r="AI365" s="22"/>
      <c r="AJ365" s="22"/>
      <c r="AK365" s="22"/>
      <c r="AL365" s="22"/>
      <c r="AM365" s="22"/>
      <c r="AN365" s="22"/>
      <c r="AO365" s="22"/>
      <c r="AP365" s="22"/>
      <c r="AQ365" s="22"/>
      <c r="AR365" s="22"/>
      <c r="AS365" s="25"/>
    </row>
    <row r="366" spans="1:45" s="1" customFormat="1">
      <c r="A366" s="22">
        <f t="shared" si="5"/>
        <v>365</v>
      </c>
      <c r="B366" s="23">
        <v>45703</v>
      </c>
      <c r="C366" s="22" t="s">
        <v>208</v>
      </c>
      <c r="D366" s="22" t="s">
        <v>367</v>
      </c>
      <c r="E366" s="22">
        <v>20241431</v>
      </c>
      <c r="F366" s="22" t="s">
        <v>1835</v>
      </c>
      <c r="G366" s="22">
        <v>8308178774</v>
      </c>
      <c r="H366" s="22" t="s">
        <v>1836</v>
      </c>
      <c r="I366" s="22" t="s">
        <v>55</v>
      </c>
      <c r="J366" s="22" t="s">
        <v>518</v>
      </c>
      <c r="K366" s="22" t="s">
        <v>116</v>
      </c>
      <c r="L366" s="22">
        <v>4.0999999999999996</v>
      </c>
      <c r="M366" s="22" t="s">
        <v>570</v>
      </c>
      <c r="N366" s="22">
        <v>6.5</v>
      </c>
      <c r="O366" s="22" t="s">
        <v>1243</v>
      </c>
      <c r="P366" s="22">
        <v>11</v>
      </c>
      <c r="Q366" s="22" t="s">
        <v>1837</v>
      </c>
      <c r="R366" s="22" t="s">
        <v>63</v>
      </c>
      <c r="S366" s="22" t="s">
        <v>255</v>
      </c>
      <c r="T366" s="22" t="s">
        <v>61</v>
      </c>
      <c r="U366" s="24"/>
      <c r="V366" s="22"/>
      <c r="W366" s="22" t="s">
        <v>218</v>
      </c>
      <c r="X366" s="22" t="s">
        <v>218</v>
      </c>
      <c r="Y366" s="22" t="s">
        <v>135</v>
      </c>
      <c r="Z366" s="22" t="s">
        <v>66</v>
      </c>
      <c r="AA366" s="22">
        <v>45703</v>
      </c>
      <c r="AB366" s="22">
        <v>45705</v>
      </c>
      <c r="AC366" s="22">
        <v>45705</v>
      </c>
      <c r="AD366" s="22"/>
      <c r="AE366" s="22"/>
      <c r="AF366" s="22"/>
      <c r="AG366" s="22"/>
      <c r="AH366" s="22"/>
      <c r="AI366" s="22"/>
      <c r="AJ366" s="22"/>
      <c r="AK366" s="22"/>
      <c r="AL366" s="22"/>
      <c r="AM366" s="22"/>
      <c r="AN366" s="22"/>
      <c r="AO366" s="22"/>
      <c r="AP366" s="22"/>
      <c r="AQ366" s="22"/>
      <c r="AR366" s="22"/>
      <c r="AS366" s="25"/>
    </row>
    <row r="367" spans="1:45" s="1" customFormat="1">
      <c r="A367" s="22">
        <f t="shared" si="5"/>
        <v>366</v>
      </c>
      <c r="B367" s="23">
        <v>45703</v>
      </c>
      <c r="C367" s="22" t="s">
        <v>208</v>
      </c>
      <c r="D367" s="22" t="s">
        <v>209</v>
      </c>
      <c r="E367" s="22">
        <v>20241431</v>
      </c>
      <c r="F367" s="22" t="s">
        <v>1838</v>
      </c>
      <c r="G367" s="22">
        <v>7620612024</v>
      </c>
      <c r="H367" s="22" t="s">
        <v>1839</v>
      </c>
      <c r="I367" s="22" t="s">
        <v>55</v>
      </c>
      <c r="J367" s="22" t="s">
        <v>518</v>
      </c>
      <c r="K367" s="22" t="s">
        <v>116</v>
      </c>
      <c r="L367" s="22">
        <v>4.2</v>
      </c>
      <c r="M367" s="22" t="s">
        <v>1840</v>
      </c>
      <c r="N367" s="22">
        <v>6.5</v>
      </c>
      <c r="O367" s="22">
        <v>0</v>
      </c>
      <c r="P367" s="22" t="s">
        <v>1841</v>
      </c>
      <c r="Q367" s="22" t="s">
        <v>63</v>
      </c>
      <c r="R367" s="22" t="s">
        <v>63</v>
      </c>
      <c r="S367" s="22" t="s">
        <v>255</v>
      </c>
      <c r="T367" s="22" t="s">
        <v>1842</v>
      </c>
      <c r="U367" s="24"/>
      <c r="V367" s="22"/>
      <c r="W367" s="22" t="s">
        <v>218</v>
      </c>
      <c r="X367" s="22" t="s">
        <v>218</v>
      </c>
      <c r="Y367" s="22" t="s">
        <v>135</v>
      </c>
      <c r="Z367" s="22" t="s">
        <v>66</v>
      </c>
      <c r="AA367" s="22">
        <v>45703</v>
      </c>
      <c r="AB367" s="22">
        <v>45707</v>
      </c>
      <c r="AC367" s="22">
        <v>45707</v>
      </c>
      <c r="AD367" s="22"/>
      <c r="AE367" s="22"/>
      <c r="AF367" s="22"/>
      <c r="AG367" s="22"/>
      <c r="AH367" s="22"/>
      <c r="AI367" s="22"/>
      <c r="AJ367" s="22"/>
      <c r="AK367" s="22"/>
      <c r="AL367" s="22"/>
      <c r="AM367" s="22"/>
      <c r="AN367" s="22"/>
      <c r="AO367" s="22"/>
      <c r="AP367" s="22"/>
      <c r="AQ367" s="22"/>
      <c r="AR367" s="22"/>
      <c r="AS367" s="25"/>
    </row>
    <row r="368" spans="1:45" s="1" customFormat="1">
      <c r="A368" s="22">
        <f t="shared" si="5"/>
        <v>367</v>
      </c>
      <c r="B368" s="23">
        <v>45705</v>
      </c>
      <c r="C368" s="22" t="s">
        <v>208</v>
      </c>
      <c r="D368" s="22" t="s">
        <v>209</v>
      </c>
      <c r="E368" s="22">
        <v>20250718</v>
      </c>
      <c r="F368" s="22" t="s">
        <v>1843</v>
      </c>
      <c r="G368" s="22">
        <v>8007209555</v>
      </c>
      <c r="H368" s="22" t="s">
        <v>1844</v>
      </c>
      <c r="I368" s="22" t="s">
        <v>55</v>
      </c>
      <c r="J368" s="22" t="s">
        <v>1229</v>
      </c>
      <c r="K368" s="22" t="s">
        <v>380</v>
      </c>
      <c r="L368" s="22">
        <v>5.5</v>
      </c>
      <c r="M368" s="22" t="s">
        <v>1845</v>
      </c>
      <c r="N368" s="22">
        <v>5.4</v>
      </c>
      <c r="O368" s="22">
        <v>0</v>
      </c>
      <c r="P368" s="22">
        <v>0.3</v>
      </c>
      <c r="Q368" s="22" t="s">
        <v>260</v>
      </c>
      <c r="R368" s="22" t="s">
        <v>63</v>
      </c>
      <c r="S368" s="22" t="s">
        <v>255</v>
      </c>
      <c r="T368" s="22" t="s">
        <v>61</v>
      </c>
      <c r="U368" s="24"/>
      <c r="V368" s="22"/>
      <c r="W368" s="22" t="s">
        <v>218</v>
      </c>
      <c r="X368" s="22" t="s">
        <v>218</v>
      </c>
      <c r="Y368" s="22" t="s">
        <v>135</v>
      </c>
      <c r="Z368" s="22" t="s">
        <v>66</v>
      </c>
      <c r="AA368" s="22"/>
      <c r="AB368" s="22"/>
      <c r="AC368" s="22"/>
      <c r="AD368" s="22"/>
      <c r="AE368" s="22"/>
      <c r="AF368" s="22"/>
      <c r="AG368" s="22"/>
      <c r="AH368" s="22"/>
      <c r="AI368" s="22"/>
      <c r="AJ368" s="22"/>
      <c r="AK368" s="22"/>
      <c r="AL368" s="22"/>
      <c r="AM368" s="22"/>
      <c r="AN368" s="22"/>
      <c r="AO368" s="22"/>
      <c r="AP368" s="22"/>
      <c r="AQ368" s="22"/>
      <c r="AR368" s="22"/>
      <c r="AS368" s="25"/>
    </row>
    <row r="369" spans="1:45" s="1" customFormat="1">
      <c r="A369" s="22">
        <f t="shared" si="5"/>
        <v>368</v>
      </c>
      <c r="B369" s="23">
        <v>45705</v>
      </c>
      <c r="C369" s="22" t="s">
        <v>208</v>
      </c>
      <c r="D369" s="22" t="s">
        <v>209</v>
      </c>
      <c r="E369" s="22">
        <v>20250718</v>
      </c>
      <c r="F369" s="22" t="s">
        <v>1846</v>
      </c>
      <c r="G369" s="22" t="s">
        <v>1847</v>
      </c>
      <c r="H369" s="22" t="s">
        <v>1848</v>
      </c>
      <c r="I369" s="22" t="s">
        <v>55</v>
      </c>
      <c r="J369" s="22" t="s">
        <v>1229</v>
      </c>
      <c r="K369" s="22" t="s">
        <v>380</v>
      </c>
      <c r="L369" s="22">
        <v>6.5</v>
      </c>
      <c r="M369" s="22" t="s">
        <v>864</v>
      </c>
      <c r="N369" s="22">
        <v>4.7</v>
      </c>
      <c r="O369" s="22">
        <v>0</v>
      </c>
      <c r="P369" s="22">
        <v>11</v>
      </c>
      <c r="Q369" s="22" t="s">
        <v>1849</v>
      </c>
      <c r="R369" s="22" t="s">
        <v>63</v>
      </c>
      <c r="S369" s="22" t="s">
        <v>255</v>
      </c>
      <c r="T369" s="22" t="s">
        <v>1850</v>
      </c>
      <c r="U369" s="24"/>
      <c r="V369" s="22"/>
      <c r="W369" s="22" t="s">
        <v>218</v>
      </c>
      <c r="X369" s="22" t="s">
        <v>218</v>
      </c>
      <c r="Y369" s="22" t="s">
        <v>135</v>
      </c>
      <c r="Z369" s="22" t="s">
        <v>66</v>
      </c>
      <c r="AA369" s="22"/>
      <c r="AB369" s="22"/>
      <c r="AC369" s="22"/>
      <c r="AD369" s="22"/>
      <c r="AE369" s="22"/>
      <c r="AF369" s="22"/>
      <c r="AG369" s="22"/>
      <c r="AH369" s="22"/>
      <c r="AI369" s="22"/>
      <c r="AJ369" s="22"/>
      <c r="AK369" s="22"/>
      <c r="AL369" s="22"/>
      <c r="AM369" s="22"/>
      <c r="AN369" s="22"/>
      <c r="AO369" s="22"/>
      <c r="AP369" s="22"/>
      <c r="AQ369" s="22"/>
      <c r="AR369" s="22"/>
      <c r="AS369" s="25"/>
    </row>
    <row r="370" spans="1:45" s="1" customFormat="1">
      <c r="A370" s="22">
        <f t="shared" si="5"/>
        <v>369</v>
      </c>
      <c r="B370" s="23">
        <v>45705</v>
      </c>
      <c r="C370" s="22" t="s">
        <v>208</v>
      </c>
      <c r="D370" s="22" t="s">
        <v>209</v>
      </c>
      <c r="E370" s="22">
        <v>20250718</v>
      </c>
      <c r="F370" s="22" t="s">
        <v>1851</v>
      </c>
      <c r="G370" s="22" t="s">
        <v>1852</v>
      </c>
      <c r="H370" s="22" t="s">
        <v>1853</v>
      </c>
      <c r="I370" s="22" t="s">
        <v>55</v>
      </c>
      <c r="J370" s="22" t="s">
        <v>1229</v>
      </c>
      <c r="K370" s="22" t="s">
        <v>380</v>
      </c>
      <c r="L370" s="22">
        <v>7</v>
      </c>
      <c r="M370" s="22" t="s">
        <v>1854</v>
      </c>
      <c r="N370" s="22">
        <v>5.3</v>
      </c>
      <c r="O370" s="22">
        <v>0</v>
      </c>
      <c r="P370" s="22">
        <v>8</v>
      </c>
      <c r="Q370" s="22" t="s">
        <v>1482</v>
      </c>
      <c r="R370" s="22" t="s">
        <v>63</v>
      </c>
      <c r="S370" s="22" t="s">
        <v>175</v>
      </c>
      <c r="T370" s="22"/>
      <c r="U370" s="24"/>
      <c r="V370" s="22"/>
      <c r="W370" s="22" t="s">
        <v>218</v>
      </c>
      <c r="X370" s="22" t="s">
        <v>218</v>
      </c>
      <c r="Y370" s="22" t="s">
        <v>135</v>
      </c>
      <c r="Z370" s="22" t="s">
        <v>66</v>
      </c>
      <c r="AA370" s="22"/>
      <c r="AB370" s="22"/>
      <c r="AC370" s="22"/>
      <c r="AD370" s="22"/>
      <c r="AE370" s="22"/>
      <c r="AF370" s="22"/>
      <c r="AG370" s="22"/>
      <c r="AH370" s="22"/>
      <c r="AI370" s="22"/>
      <c r="AJ370" s="22"/>
      <c r="AK370" s="22"/>
      <c r="AL370" s="22"/>
      <c r="AM370" s="22"/>
      <c r="AN370" s="22"/>
      <c r="AO370" s="22"/>
      <c r="AP370" s="22"/>
      <c r="AQ370" s="22"/>
      <c r="AR370" s="22"/>
      <c r="AS370" s="25"/>
    </row>
    <row r="371" spans="1:45" s="1" customFormat="1">
      <c r="A371" s="22">
        <f t="shared" si="5"/>
        <v>370</v>
      </c>
      <c r="B371" s="23">
        <v>45705</v>
      </c>
      <c r="C371" s="22" t="s">
        <v>208</v>
      </c>
      <c r="D371" s="22" t="s">
        <v>209</v>
      </c>
      <c r="E371" s="22">
        <v>20250718</v>
      </c>
      <c r="F371" s="22" t="s">
        <v>1855</v>
      </c>
      <c r="G371" s="22" t="s">
        <v>1856</v>
      </c>
      <c r="H371" s="22" t="s">
        <v>1857</v>
      </c>
      <c r="I371" s="22" t="s">
        <v>55</v>
      </c>
      <c r="J371" s="22" t="s">
        <v>1229</v>
      </c>
      <c r="K371" s="22" t="s">
        <v>380</v>
      </c>
      <c r="L371" s="22">
        <v>7.2</v>
      </c>
      <c r="M371" s="22" t="s">
        <v>1858</v>
      </c>
      <c r="N371" s="22">
        <v>7</v>
      </c>
      <c r="O371" s="22">
        <v>0</v>
      </c>
      <c r="P371" s="22">
        <v>11</v>
      </c>
      <c r="Q371" s="22" t="s">
        <v>63</v>
      </c>
      <c r="R371" s="22" t="s">
        <v>63</v>
      </c>
      <c r="S371" s="22" t="s">
        <v>230</v>
      </c>
      <c r="T371" s="22" t="s">
        <v>61</v>
      </c>
      <c r="U371" s="24"/>
      <c r="V371" s="22"/>
      <c r="W371" s="22" t="s">
        <v>218</v>
      </c>
      <c r="X371" s="22" t="s">
        <v>218</v>
      </c>
      <c r="Y371" s="22" t="s">
        <v>135</v>
      </c>
      <c r="Z371" s="22" t="s">
        <v>66</v>
      </c>
      <c r="AA371" s="22"/>
      <c r="AB371" s="22"/>
      <c r="AC371" s="22"/>
      <c r="AD371" s="22"/>
      <c r="AE371" s="22"/>
      <c r="AF371" s="22"/>
      <c r="AG371" s="22"/>
      <c r="AH371" s="22"/>
      <c r="AI371" s="22"/>
      <c r="AJ371" s="22"/>
      <c r="AK371" s="22"/>
      <c r="AL371" s="22"/>
      <c r="AM371" s="22"/>
      <c r="AN371" s="22"/>
      <c r="AO371" s="22"/>
      <c r="AP371" s="22"/>
      <c r="AQ371" s="22"/>
      <c r="AR371" s="22"/>
      <c r="AS371" s="25"/>
    </row>
    <row r="372" spans="1:45" s="1" customFormat="1">
      <c r="A372" s="22">
        <f t="shared" si="5"/>
        <v>371</v>
      </c>
      <c r="B372" s="23">
        <v>45705</v>
      </c>
      <c r="C372" s="22" t="s">
        <v>208</v>
      </c>
      <c r="D372" s="22" t="s">
        <v>209</v>
      </c>
      <c r="E372" s="22">
        <v>20250718</v>
      </c>
      <c r="F372" s="22" t="s">
        <v>1859</v>
      </c>
      <c r="G372" s="22">
        <v>9545524270</v>
      </c>
      <c r="H372" s="22" t="s">
        <v>1860</v>
      </c>
      <c r="I372" s="22" t="s">
        <v>55</v>
      </c>
      <c r="J372" s="22" t="s">
        <v>1229</v>
      </c>
      <c r="K372" s="22" t="s">
        <v>380</v>
      </c>
      <c r="L372" s="22">
        <v>7.5</v>
      </c>
      <c r="M372" s="22" t="s">
        <v>1861</v>
      </c>
      <c r="N372" s="22">
        <v>10</v>
      </c>
      <c r="O372" s="22" t="s">
        <v>61</v>
      </c>
      <c r="P372" s="22">
        <v>14</v>
      </c>
      <c r="Q372" s="22" t="s">
        <v>1862</v>
      </c>
      <c r="R372" s="22" t="s">
        <v>63</v>
      </c>
      <c r="S372" s="22" t="s">
        <v>230</v>
      </c>
      <c r="T372" s="22" t="s">
        <v>61</v>
      </c>
      <c r="U372" s="24"/>
      <c r="V372" s="22"/>
      <c r="W372" s="22" t="s">
        <v>218</v>
      </c>
      <c r="X372" s="22" t="s">
        <v>218</v>
      </c>
      <c r="Y372" s="22" t="s">
        <v>135</v>
      </c>
      <c r="Z372" s="22" t="s">
        <v>66</v>
      </c>
      <c r="AA372" s="22"/>
      <c r="AB372" s="22"/>
      <c r="AC372" s="22"/>
      <c r="AD372" s="22"/>
      <c r="AE372" s="22"/>
      <c r="AF372" s="22"/>
      <c r="AG372" s="22"/>
      <c r="AH372" s="22"/>
      <c r="AI372" s="22"/>
      <c r="AJ372" s="22"/>
      <c r="AK372" s="22"/>
      <c r="AL372" s="22"/>
      <c r="AM372" s="22"/>
      <c r="AN372" s="22"/>
      <c r="AO372" s="22"/>
      <c r="AP372" s="22"/>
      <c r="AQ372" s="22"/>
      <c r="AR372" s="22"/>
      <c r="AS372" s="25"/>
    </row>
    <row r="373" spans="1:45" s="1" customFormat="1">
      <c r="A373" s="22">
        <f t="shared" si="5"/>
        <v>372</v>
      </c>
      <c r="B373" s="23">
        <v>45705</v>
      </c>
      <c r="C373" s="22" t="s">
        <v>208</v>
      </c>
      <c r="D373" s="22" t="s">
        <v>209</v>
      </c>
      <c r="E373" s="22">
        <v>20243793</v>
      </c>
      <c r="F373" s="22" t="s">
        <v>1863</v>
      </c>
      <c r="G373" s="22">
        <v>9948115429</v>
      </c>
      <c r="H373" s="22" t="s">
        <v>1864</v>
      </c>
      <c r="I373" s="22" t="s">
        <v>55</v>
      </c>
      <c r="J373" s="22" t="s">
        <v>278</v>
      </c>
      <c r="K373" s="22" t="s">
        <v>1052</v>
      </c>
      <c r="L373" s="22" t="s">
        <v>1010</v>
      </c>
      <c r="M373" s="22" t="s">
        <v>1865</v>
      </c>
      <c r="N373" s="22">
        <v>13.5</v>
      </c>
      <c r="O373" s="22" t="s">
        <v>61</v>
      </c>
      <c r="P373" s="22">
        <v>19</v>
      </c>
      <c r="Q373" s="22" t="s">
        <v>459</v>
      </c>
      <c r="R373" s="22" t="s">
        <v>63</v>
      </c>
      <c r="S373" s="22" t="s">
        <v>961</v>
      </c>
      <c r="T373" s="22" t="s">
        <v>61</v>
      </c>
      <c r="U373" s="24"/>
      <c r="V373" s="22"/>
      <c r="W373" s="22" t="s">
        <v>65</v>
      </c>
      <c r="X373" s="22" t="s">
        <v>65</v>
      </c>
      <c r="Y373" s="22"/>
      <c r="Z373" s="22" t="s">
        <v>66</v>
      </c>
      <c r="AA373" s="22"/>
      <c r="AB373" s="22">
        <v>45738</v>
      </c>
      <c r="AC373" s="22"/>
      <c r="AD373" s="22"/>
      <c r="AE373" s="22"/>
      <c r="AF373" s="22"/>
      <c r="AG373" s="22"/>
      <c r="AH373" s="22"/>
      <c r="AI373" s="22"/>
      <c r="AJ373" s="22"/>
      <c r="AK373" s="22"/>
      <c r="AL373" s="22"/>
      <c r="AM373" s="22"/>
      <c r="AN373" s="22"/>
      <c r="AO373" s="22"/>
      <c r="AP373" s="22"/>
      <c r="AQ373" s="22"/>
      <c r="AR373" s="22"/>
      <c r="AS373" s="25"/>
    </row>
    <row r="374" spans="1:45" s="1" customFormat="1">
      <c r="A374" s="22">
        <f t="shared" si="5"/>
        <v>373</v>
      </c>
      <c r="B374" s="23">
        <v>45705</v>
      </c>
      <c r="C374" s="22" t="s">
        <v>208</v>
      </c>
      <c r="D374" s="22" t="s">
        <v>963</v>
      </c>
      <c r="E374" s="22">
        <v>20243793</v>
      </c>
      <c r="F374" s="22" t="s">
        <v>1866</v>
      </c>
      <c r="G374" s="22">
        <v>7709173993</v>
      </c>
      <c r="H374" s="22" t="s">
        <v>1867</v>
      </c>
      <c r="I374" s="22" t="s">
        <v>55</v>
      </c>
      <c r="J374" s="22" t="s">
        <v>278</v>
      </c>
      <c r="K374" s="22" t="s">
        <v>1052</v>
      </c>
      <c r="L374" s="22" t="s">
        <v>1738</v>
      </c>
      <c r="M374" s="22" t="s">
        <v>1868</v>
      </c>
      <c r="N374" s="22">
        <v>17.600000000000001</v>
      </c>
      <c r="O374" s="22">
        <v>1.5</v>
      </c>
      <c r="P374" s="22">
        <v>25</v>
      </c>
      <c r="Q374" s="22" t="s">
        <v>63</v>
      </c>
      <c r="R374" s="22" t="s">
        <v>63</v>
      </c>
      <c r="S374" s="22" t="s">
        <v>1869</v>
      </c>
      <c r="T374" s="22" t="s">
        <v>1870</v>
      </c>
      <c r="U374" s="24"/>
      <c r="V374" s="22"/>
      <c r="W374" s="22" t="s">
        <v>65</v>
      </c>
      <c r="X374" s="22" t="s">
        <v>65</v>
      </c>
      <c r="Y374" s="22"/>
      <c r="Z374" s="22" t="s">
        <v>66</v>
      </c>
      <c r="AA374" s="22"/>
      <c r="AB374" s="22"/>
      <c r="AC374" s="22"/>
      <c r="AD374" s="22"/>
      <c r="AE374" s="22"/>
      <c r="AF374" s="22"/>
      <c r="AG374" s="22"/>
      <c r="AH374" s="22"/>
      <c r="AI374" s="22"/>
      <c r="AJ374" s="22"/>
      <c r="AK374" s="22"/>
      <c r="AL374" s="22"/>
      <c r="AM374" s="22"/>
      <c r="AN374" s="22"/>
      <c r="AO374" s="22"/>
      <c r="AP374" s="22"/>
      <c r="AQ374" s="22"/>
      <c r="AR374" s="22"/>
      <c r="AS374" s="25"/>
    </row>
    <row r="375" spans="1:45" s="1" customFormat="1">
      <c r="A375" s="22">
        <f t="shared" si="5"/>
        <v>374</v>
      </c>
      <c r="B375" s="23">
        <v>45705</v>
      </c>
      <c r="C375" s="22" t="s">
        <v>208</v>
      </c>
      <c r="D375" s="22" t="s">
        <v>293</v>
      </c>
      <c r="E375" s="22">
        <v>20243793</v>
      </c>
      <c r="F375" s="22" t="s">
        <v>1871</v>
      </c>
      <c r="G375" s="22">
        <v>7276101464</v>
      </c>
      <c r="H375" s="22" t="s">
        <v>1872</v>
      </c>
      <c r="I375" s="22" t="s">
        <v>55</v>
      </c>
      <c r="J375" s="22" t="s">
        <v>278</v>
      </c>
      <c r="K375" s="22" t="s">
        <v>1052</v>
      </c>
      <c r="L375" s="22" t="s">
        <v>1075</v>
      </c>
      <c r="M375" s="22" t="s">
        <v>1873</v>
      </c>
      <c r="N375" s="22">
        <v>16.5</v>
      </c>
      <c r="O375" s="22">
        <v>1.5</v>
      </c>
      <c r="P375" s="22">
        <v>24</v>
      </c>
      <c r="Q375" s="22" t="s">
        <v>63</v>
      </c>
      <c r="R375" s="22" t="s">
        <v>63</v>
      </c>
      <c r="S375" s="22" t="s">
        <v>230</v>
      </c>
      <c r="T375" s="22" t="s">
        <v>61</v>
      </c>
      <c r="U375" s="24"/>
      <c r="V375" s="22"/>
      <c r="W375" s="22" t="s">
        <v>65</v>
      </c>
      <c r="X375" s="22" t="s">
        <v>65</v>
      </c>
      <c r="Y375" s="22"/>
      <c r="Z375" s="22" t="s">
        <v>66</v>
      </c>
      <c r="AA375" s="22"/>
      <c r="AB375" s="22">
        <v>45712</v>
      </c>
      <c r="AC375" s="22"/>
      <c r="AD375" s="22"/>
      <c r="AE375" s="22"/>
      <c r="AF375" s="22"/>
      <c r="AG375" s="22"/>
      <c r="AH375" s="22"/>
      <c r="AI375" s="22"/>
      <c r="AJ375" s="22"/>
      <c r="AK375" s="22"/>
      <c r="AL375" s="22"/>
      <c r="AM375" s="22"/>
      <c r="AN375" s="22"/>
      <c r="AO375" s="22"/>
      <c r="AP375" s="22"/>
      <c r="AQ375" s="22"/>
      <c r="AR375" s="22"/>
      <c r="AS375" s="25"/>
    </row>
    <row r="376" spans="1:45" s="1" customFormat="1">
      <c r="A376" s="22">
        <f t="shared" si="5"/>
        <v>375</v>
      </c>
      <c r="B376" s="23">
        <v>45705</v>
      </c>
      <c r="C376" s="22" t="s">
        <v>208</v>
      </c>
      <c r="D376" s="22" t="s">
        <v>209</v>
      </c>
      <c r="E376" s="22">
        <v>20245965</v>
      </c>
      <c r="F376" s="22" t="s">
        <v>1874</v>
      </c>
      <c r="G376" s="22">
        <v>9971610996</v>
      </c>
      <c r="H376" s="22" t="s">
        <v>1875</v>
      </c>
      <c r="I376" s="22" t="s">
        <v>55</v>
      </c>
      <c r="J376" s="22" t="s">
        <v>1876</v>
      </c>
      <c r="K376" s="22" t="s">
        <v>1052</v>
      </c>
      <c r="L376" s="22" t="s">
        <v>989</v>
      </c>
      <c r="M376" s="22" t="s">
        <v>1877</v>
      </c>
      <c r="N376" s="22">
        <v>30</v>
      </c>
      <c r="O376" s="22" t="s">
        <v>61</v>
      </c>
      <c r="P376" s="22" t="s">
        <v>1878</v>
      </c>
      <c r="Q376" s="22" t="s">
        <v>750</v>
      </c>
      <c r="R376" s="22" t="s">
        <v>63</v>
      </c>
      <c r="S376" s="22" t="s">
        <v>255</v>
      </c>
      <c r="T376" s="22" t="s">
        <v>1879</v>
      </c>
      <c r="U376" s="24"/>
      <c r="V376" s="22"/>
      <c r="W376" s="22" t="s">
        <v>65</v>
      </c>
      <c r="X376" s="22" t="s">
        <v>65</v>
      </c>
      <c r="Y376" s="22"/>
      <c r="Z376" s="22" t="s">
        <v>66</v>
      </c>
      <c r="AA376" s="22"/>
      <c r="AB376" s="22">
        <v>45707</v>
      </c>
      <c r="AC376" s="22"/>
      <c r="AD376" s="22"/>
      <c r="AE376" s="22"/>
      <c r="AF376" s="22"/>
      <c r="AG376" s="22"/>
      <c r="AH376" s="22"/>
      <c r="AI376" s="22"/>
      <c r="AJ376" s="22"/>
      <c r="AK376" s="22"/>
      <c r="AL376" s="22"/>
      <c r="AM376" s="22"/>
      <c r="AN376" s="22"/>
      <c r="AO376" s="22"/>
      <c r="AP376" s="22"/>
      <c r="AQ376" s="22"/>
      <c r="AR376" s="22"/>
      <c r="AS376" s="25"/>
    </row>
    <row r="377" spans="1:45" s="1" customFormat="1">
      <c r="A377" s="22">
        <f t="shared" si="5"/>
        <v>376</v>
      </c>
      <c r="B377" s="23">
        <v>45706</v>
      </c>
      <c r="C377" s="22" t="s">
        <v>208</v>
      </c>
      <c r="D377" s="22" t="s">
        <v>209</v>
      </c>
      <c r="E377" s="22">
        <v>20250697</v>
      </c>
      <c r="F377" s="22" t="s">
        <v>1880</v>
      </c>
      <c r="G377" s="22">
        <v>9373911235</v>
      </c>
      <c r="H377" s="22" t="s">
        <v>1881</v>
      </c>
      <c r="I377" s="22" t="s">
        <v>55</v>
      </c>
      <c r="J377" s="22" t="s">
        <v>264</v>
      </c>
      <c r="K377" s="22" t="s">
        <v>252</v>
      </c>
      <c r="L377" s="22">
        <v>4</v>
      </c>
      <c r="M377" s="22" t="s">
        <v>1882</v>
      </c>
      <c r="N377" s="22">
        <v>3.6</v>
      </c>
      <c r="O377" s="22">
        <v>0</v>
      </c>
      <c r="P377" s="22">
        <v>6</v>
      </c>
      <c r="Q377" s="22" t="s">
        <v>304</v>
      </c>
      <c r="R377" s="22" t="s">
        <v>63</v>
      </c>
      <c r="S377" s="22" t="s">
        <v>255</v>
      </c>
      <c r="T377" s="22" t="s">
        <v>61</v>
      </c>
      <c r="U377" s="24"/>
      <c r="V377" s="22"/>
      <c r="W377" s="22" t="s">
        <v>218</v>
      </c>
      <c r="X377" s="22" t="s">
        <v>218</v>
      </c>
      <c r="Y377" s="22" t="s">
        <v>135</v>
      </c>
      <c r="Z377" s="22" t="s">
        <v>66</v>
      </c>
      <c r="AA377" s="22"/>
      <c r="AB377" s="22"/>
      <c r="AC377" s="22"/>
      <c r="AD377" s="22"/>
      <c r="AE377" s="22"/>
      <c r="AF377" s="22"/>
      <c r="AG377" s="22"/>
      <c r="AH377" s="22"/>
      <c r="AI377" s="22"/>
      <c r="AJ377" s="22"/>
      <c r="AK377" s="22"/>
      <c r="AL377" s="22"/>
      <c r="AM377" s="22"/>
      <c r="AN377" s="22"/>
      <c r="AO377" s="22"/>
      <c r="AP377" s="22"/>
      <c r="AQ377" s="22"/>
      <c r="AR377" s="22"/>
      <c r="AS377" s="25"/>
    </row>
    <row r="378" spans="1:45" s="1" customFormat="1">
      <c r="A378" s="22">
        <f t="shared" si="5"/>
        <v>377</v>
      </c>
      <c r="B378" s="23">
        <v>45706</v>
      </c>
      <c r="C378" s="22" t="s">
        <v>208</v>
      </c>
      <c r="D378" s="22" t="s">
        <v>256</v>
      </c>
      <c r="E378" s="22">
        <v>20250697</v>
      </c>
      <c r="F378" s="22" t="s">
        <v>1883</v>
      </c>
      <c r="G378" s="22">
        <v>9144944441</v>
      </c>
      <c r="H378" s="22" t="s">
        <v>1884</v>
      </c>
      <c r="I378" s="22" t="s">
        <v>55</v>
      </c>
      <c r="J378" s="22" t="s">
        <v>264</v>
      </c>
      <c r="K378" s="22" t="s">
        <v>252</v>
      </c>
      <c r="L378" s="22">
        <v>5</v>
      </c>
      <c r="M378" s="22" t="s">
        <v>1885</v>
      </c>
      <c r="N378" s="22">
        <v>5.8</v>
      </c>
      <c r="O378" s="22">
        <v>0</v>
      </c>
      <c r="P378" s="22">
        <v>9</v>
      </c>
      <c r="Q378" s="22" t="s">
        <v>360</v>
      </c>
      <c r="R378" s="22" t="s">
        <v>63</v>
      </c>
      <c r="S378" s="22">
        <v>0</v>
      </c>
      <c r="T378" s="22" t="s">
        <v>1886</v>
      </c>
      <c r="U378" s="24"/>
      <c r="V378" s="22"/>
      <c r="W378" s="22" t="s">
        <v>218</v>
      </c>
      <c r="X378" s="22" t="s">
        <v>218</v>
      </c>
      <c r="Y378" s="22" t="s">
        <v>135</v>
      </c>
      <c r="Z378" s="22" t="s">
        <v>66</v>
      </c>
      <c r="AA378" s="22"/>
      <c r="AB378" s="22"/>
      <c r="AC378" s="22"/>
      <c r="AD378" s="22"/>
      <c r="AE378" s="22"/>
      <c r="AF378" s="22"/>
      <c r="AG378" s="22"/>
      <c r="AH378" s="22"/>
      <c r="AI378" s="22"/>
      <c r="AJ378" s="22"/>
      <c r="AK378" s="22"/>
      <c r="AL378" s="22"/>
      <c r="AM378" s="22"/>
      <c r="AN378" s="22"/>
      <c r="AO378" s="22"/>
      <c r="AP378" s="22"/>
      <c r="AQ378" s="22"/>
      <c r="AR378" s="22"/>
      <c r="AS378" s="25"/>
    </row>
    <row r="379" spans="1:45" s="1" customFormat="1">
      <c r="A379" s="22">
        <f t="shared" si="5"/>
        <v>378</v>
      </c>
      <c r="B379" s="23">
        <v>45706</v>
      </c>
      <c r="C379" s="22" t="s">
        <v>208</v>
      </c>
      <c r="D379" s="22" t="s">
        <v>1081</v>
      </c>
      <c r="E379" s="22">
        <v>20251977</v>
      </c>
      <c r="F379" s="22" t="s">
        <v>1887</v>
      </c>
      <c r="G379" s="22">
        <v>9446674610</v>
      </c>
      <c r="H379" s="22" t="s">
        <v>1888</v>
      </c>
      <c r="I379" s="22" t="s">
        <v>55</v>
      </c>
      <c r="J379" s="22" t="s">
        <v>1017</v>
      </c>
      <c r="K379" s="22" t="s">
        <v>201</v>
      </c>
      <c r="L379" s="22" t="s">
        <v>1889</v>
      </c>
      <c r="M379" s="22" t="s">
        <v>1890</v>
      </c>
      <c r="N379" s="22" t="s">
        <v>1891</v>
      </c>
      <c r="O379" s="22" t="s">
        <v>61</v>
      </c>
      <c r="P379" s="22" t="s">
        <v>1892</v>
      </c>
      <c r="Q379" s="22" t="s">
        <v>1893</v>
      </c>
      <c r="R379" s="22" t="s">
        <v>63</v>
      </c>
      <c r="S379" s="22" t="s">
        <v>64</v>
      </c>
      <c r="T379" s="22"/>
      <c r="U379" s="24"/>
      <c r="V379" s="22"/>
      <c r="W379" s="22" t="s">
        <v>65</v>
      </c>
      <c r="X379" s="22" t="s">
        <v>65</v>
      </c>
      <c r="Y379" s="22"/>
      <c r="Z379" s="22" t="s">
        <v>66</v>
      </c>
      <c r="AA379" s="22"/>
      <c r="AB379" s="22"/>
      <c r="AC379" s="22"/>
      <c r="AD379" s="22"/>
      <c r="AE379" s="22"/>
      <c r="AF379" s="22"/>
      <c r="AG379" s="22"/>
      <c r="AH379" s="22"/>
      <c r="AI379" s="22"/>
      <c r="AJ379" s="22"/>
      <c r="AK379" s="22"/>
      <c r="AL379" s="22"/>
      <c r="AM379" s="22"/>
      <c r="AN379" s="22"/>
      <c r="AO379" s="22"/>
      <c r="AP379" s="22"/>
      <c r="AQ379" s="22"/>
      <c r="AR379" s="22"/>
      <c r="AS379" s="25"/>
    </row>
    <row r="380" spans="1:45" s="1" customFormat="1">
      <c r="A380" s="22">
        <f t="shared" si="5"/>
        <v>379</v>
      </c>
      <c r="B380" s="23">
        <v>45706</v>
      </c>
      <c r="C380" s="22" t="s">
        <v>208</v>
      </c>
      <c r="D380" s="22" t="s">
        <v>1081</v>
      </c>
      <c r="E380" s="22">
        <v>20251977</v>
      </c>
      <c r="F380" s="22" t="s">
        <v>1894</v>
      </c>
      <c r="G380" s="22">
        <v>8018135798</v>
      </c>
      <c r="H380" s="22" t="s">
        <v>1895</v>
      </c>
      <c r="I380" s="22" t="s">
        <v>55</v>
      </c>
      <c r="J380" s="22" t="s">
        <v>1017</v>
      </c>
      <c r="K380" s="22" t="s">
        <v>201</v>
      </c>
      <c r="L380" s="22" t="s">
        <v>656</v>
      </c>
      <c r="M380" s="22" t="s">
        <v>1896</v>
      </c>
      <c r="N380" s="22">
        <v>30</v>
      </c>
      <c r="O380" s="22" t="s">
        <v>61</v>
      </c>
      <c r="P380" s="22" t="s">
        <v>1897</v>
      </c>
      <c r="Q380" s="22" t="s">
        <v>63</v>
      </c>
      <c r="R380" s="22" t="s">
        <v>63</v>
      </c>
      <c r="S380" s="22" t="s">
        <v>230</v>
      </c>
      <c r="T380" s="22"/>
      <c r="U380" s="24"/>
      <c r="V380" s="22"/>
      <c r="W380" s="22" t="s">
        <v>65</v>
      </c>
      <c r="X380" s="22" t="s">
        <v>65</v>
      </c>
      <c r="Y380" s="22"/>
      <c r="Z380" s="22" t="s">
        <v>66</v>
      </c>
      <c r="AA380" s="22"/>
      <c r="AB380" s="22"/>
      <c r="AC380" s="22"/>
      <c r="AD380" s="22"/>
      <c r="AE380" s="22"/>
      <c r="AF380" s="22"/>
      <c r="AG380" s="22"/>
      <c r="AH380" s="22"/>
      <c r="AI380" s="22"/>
      <c r="AJ380" s="22"/>
      <c r="AK380" s="22"/>
      <c r="AL380" s="22"/>
      <c r="AM380" s="22"/>
      <c r="AN380" s="22"/>
      <c r="AO380" s="22"/>
      <c r="AP380" s="22"/>
      <c r="AQ380" s="22"/>
      <c r="AR380" s="22"/>
      <c r="AS380" s="25"/>
    </row>
    <row r="381" spans="1:45" s="1" customFormat="1">
      <c r="A381" s="22">
        <f t="shared" si="5"/>
        <v>380</v>
      </c>
      <c r="B381" s="23">
        <v>45706</v>
      </c>
      <c r="C381" s="22" t="s">
        <v>208</v>
      </c>
      <c r="D381" s="22" t="s">
        <v>954</v>
      </c>
      <c r="E381" s="22">
        <v>20251977</v>
      </c>
      <c r="F381" s="22" t="s">
        <v>1898</v>
      </c>
      <c r="G381" s="22">
        <v>9770490665</v>
      </c>
      <c r="H381" s="22" t="s">
        <v>1899</v>
      </c>
      <c r="I381" s="22" t="s">
        <v>101</v>
      </c>
      <c r="J381" s="22" t="s">
        <v>1017</v>
      </c>
      <c r="K381" s="22" t="s">
        <v>201</v>
      </c>
      <c r="L381" s="22" t="s">
        <v>1071</v>
      </c>
      <c r="M381" s="22" t="s">
        <v>1900</v>
      </c>
      <c r="N381" s="22">
        <v>23</v>
      </c>
      <c r="O381" s="22" t="s">
        <v>61</v>
      </c>
      <c r="P381" s="22">
        <v>36</v>
      </c>
      <c r="Q381" s="22" t="s">
        <v>63</v>
      </c>
      <c r="R381" s="22" t="s">
        <v>63</v>
      </c>
      <c r="S381" s="22" t="s">
        <v>1901</v>
      </c>
      <c r="T381" s="22"/>
      <c r="U381" s="24"/>
      <c r="V381" s="22"/>
      <c r="W381" s="22" t="s">
        <v>65</v>
      </c>
      <c r="X381" s="22" t="s">
        <v>65</v>
      </c>
      <c r="Y381" s="22"/>
      <c r="Z381" s="22" t="s">
        <v>66</v>
      </c>
      <c r="AA381" s="22"/>
      <c r="AB381" s="22"/>
      <c r="AC381" s="22"/>
      <c r="AD381" s="22"/>
      <c r="AE381" s="22"/>
      <c r="AF381" s="22"/>
      <c r="AG381" s="22"/>
      <c r="AH381" s="22"/>
      <c r="AI381" s="22"/>
      <c r="AJ381" s="22"/>
      <c r="AK381" s="22"/>
      <c r="AL381" s="22"/>
      <c r="AM381" s="22"/>
      <c r="AN381" s="22"/>
      <c r="AO381" s="22"/>
      <c r="AP381" s="22"/>
      <c r="AQ381" s="22"/>
      <c r="AR381" s="22"/>
      <c r="AS381" s="25"/>
    </row>
    <row r="382" spans="1:45" s="1" customFormat="1">
      <c r="A382" s="22">
        <f t="shared" si="5"/>
        <v>381</v>
      </c>
      <c r="B382" s="23">
        <v>45706</v>
      </c>
      <c r="C382" s="22" t="s">
        <v>208</v>
      </c>
      <c r="D382" s="22" t="s">
        <v>963</v>
      </c>
      <c r="E382" s="22">
        <v>20251975</v>
      </c>
      <c r="F382" s="22" t="s">
        <v>1902</v>
      </c>
      <c r="G382" s="22">
        <v>9427387968</v>
      </c>
      <c r="H382" s="22" t="s">
        <v>1903</v>
      </c>
      <c r="I382" s="22" t="s">
        <v>55</v>
      </c>
      <c r="J382" s="22" t="s">
        <v>1507</v>
      </c>
      <c r="K382" s="22" t="s">
        <v>1508</v>
      </c>
      <c r="L382" s="22" t="s">
        <v>1053</v>
      </c>
      <c r="M382" s="22" t="s">
        <v>1631</v>
      </c>
      <c r="N382" s="22" t="s">
        <v>1904</v>
      </c>
      <c r="O382" s="22" t="s">
        <v>1905</v>
      </c>
      <c r="P382" s="22" t="s">
        <v>1517</v>
      </c>
      <c r="Q382" s="22" t="s">
        <v>63</v>
      </c>
      <c r="R382" s="22" t="s">
        <v>63</v>
      </c>
      <c r="S382" s="22" t="s">
        <v>1906</v>
      </c>
      <c r="T382" s="22" t="s">
        <v>61</v>
      </c>
      <c r="U382" s="24"/>
      <c r="V382" s="22"/>
      <c r="W382" s="22" t="s">
        <v>65</v>
      </c>
      <c r="X382" s="22" t="s">
        <v>65</v>
      </c>
      <c r="Y382" s="22"/>
      <c r="Z382" s="22" t="s">
        <v>66</v>
      </c>
      <c r="AA382" s="22"/>
      <c r="AB382" s="22"/>
      <c r="AC382" s="22"/>
      <c r="AD382" s="22"/>
      <c r="AE382" s="22"/>
      <c r="AF382" s="22"/>
      <c r="AG382" s="22"/>
      <c r="AH382" s="22"/>
      <c r="AI382" s="22"/>
      <c r="AJ382" s="22"/>
      <c r="AK382" s="22"/>
      <c r="AL382" s="22"/>
      <c r="AM382" s="22"/>
      <c r="AN382" s="22"/>
      <c r="AO382" s="22"/>
      <c r="AP382" s="22"/>
      <c r="AQ382" s="22"/>
      <c r="AR382" s="22"/>
      <c r="AS382" s="25"/>
    </row>
    <row r="383" spans="1:45" s="1" customFormat="1">
      <c r="A383" s="22">
        <f t="shared" si="5"/>
        <v>382</v>
      </c>
      <c r="B383" s="23">
        <v>45706</v>
      </c>
      <c r="C383" s="22" t="s">
        <v>208</v>
      </c>
      <c r="D383" s="22" t="s">
        <v>1475</v>
      </c>
      <c r="E383" s="22">
        <v>20251975</v>
      </c>
      <c r="F383" s="22" t="s">
        <v>1907</v>
      </c>
      <c r="G383" s="22">
        <v>9665419998</v>
      </c>
      <c r="H383" s="22" t="s">
        <v>1908</v>
      </c>
      <c r="I383" s="22" t="s">
        <v>55</v>
      </c>
      <c r="J383" s="22" t="s">
        <v>1507</v>
      </c>
      <c r="K383" s="22" t="s">
        <v>1508</v>
      </c>
      <c r="L383" s="22" t="s">
        <v>928</v>
      </c>
      <c r="M383" s="22" t="s">
        <v>1909</v>
      </c>
      <c r="N383" s="22" t="s">
        <v>1910</v>
      </c>
      <c r="O383" s="22" t="s">
        <v>61</v>
      </c>
      <c r="P383" s="22" t="s">
        <v>396</v>
      </c>
      <c r="Q383" s="22" t="s">
        <v>890</v>
      </c>
      <c r="R383" s="22" t="s">
        <v>63</v>
      </c>
      <c r="S383" s="22" t="s">
        <v>230</v>
      </c>
      <c r="T383" s="22" t="s">
        <v>61</v>
      </c>
      <c r="U383" s="24"/>
      <c r="V383" s="22"/>
      <c r="W383" s="22" t="s">
        <v>65</v>
      </c>
      <c r="X383" s="22" t="s">
        <v>65</v>
      </c>
      <c r="Y383" s="22"/>
      <c r="Z383" s="22" t="s">
        <v>66</v>
      </c>
      <c r="AA383" s="22"/>
      <c r="AB383" s="22">
        <v>45713</v>
      </c>
      <c r="AC383" s="22"/>
      <c r="AD383" s="22"/>
      <c r="AE383" s="22"/>
      <c r="AF383" s="22"/>
      <c r="AG383" s="22"/>
      <c r="AH383" s="22"/>
      <c r="AI383" s="22"/>
      <c r="AJ383" s="22"/>
      <c r="AK383" s="22"/>
      <c r="AL383" s="22"/>
      <c r="AM383" s="22"/>
      <c r="AN383" s="22"/>
      <c r="AO383" s="22"/>
      <c r="AP383" s="22"/>
      <c r="AQ383" s="22"/>
      <c r="AR383" s="22"/>
      <c r="AS383" s="25"/>
    </row>
    <row r="384" spans="1:45" s="1" customFormat="1">
      <c r="A384" s="22">
        <f t="shared" si="5"/>
        <v>383</v>
      </c>
      <c r="B384" s="23">
        <v>45706</v>
      </c>
      <c r="C384" s="22" t="s">
        <v>208</v>
      </c>
      <c r="D384" s="22" t="s">
        <v>954</v>
      </c>
      <c r="E384" s="22">
        <v>20251975</v>
      </c>
      <c r="F384" s="22" t="s">
        <v>1911</v>
      </c>
      <c r="G384" s="22">
        <v>9971733203</v>
      </c>
      <c r="H384" s="22" t="s">
        <v>1912</v>
      </c>
      <c r="I384" s="22" t="s">
        <v>55</v>
      </c>
      <c r="J384" s="22" t="s">
        <v>1507</v>
      </c>
      <c r="K384" s="22" t="s">
        <v>1508</v>
      </c>
      <c r="L384" s="22" t="s">
        <v>1755</v>
      </c>
      <c r="M384" s="22" t="s">
        <v>944</v>
      </c>
      <c r="N384" s="22" t="s">
        <v>60</v>
      </c>
      <c r="O384" s="22" t="s">
        <v>61</v>
      </c>
      <c r="P384" s="22" t="s">
        <v>144</v>
      </c>
      <c r="Q384" s="22" t="s">
        <v>459</v>
      </c>
      <c r="R384" s="22" t="s">
        <v>63</v>
      </c>
      <c r="S384" s="22" t="s">
        <v>230</v>
      </c>
      <c r="T384" s="22" t="s">
        <v>61</v>
      </c>
      <c r="U384" s="24"/>
      <c r="V384" s="22"/>
      <c r="W384" s="22" t="s">
        <v>65</v>
      </c>
      <c r="X384" s="22" t="s">
        <v>65</v>
      </c>
      <c r="Y384" s="22"/>
      <c r="Z384" s="22" t="s">
        <v>66</v>
      </c>
      <c r="AA384" s="22"/>
      <c r="AB384" s="22"/>
      <c r="AC384" s="22"/>
      <c r="AD384" s="22"/>
      <c r="AE384" s="22"/>
      <c r="AF384" s="22"/>
      <c r="AG384" s="22"/>
      <c r="AH384" s="22"/>
      <c r="AI384" s="22"/>
      <c r="AJ384" s="22"/>
      <c r="AK384" s="22"/>
      <c r="AL384" s="22"/>
      <c r="AM384" s="22"/>
      <c r="AN384" s="22"/>
      <c r="AO384" s="22"/>
      <c r="AP384" s="22"/>
      <c r="AQ384" s="22"/>
      <c r="AR384" s="22"/>
      <c r="AS384" s="25"/>
    </row>
    <row r="385" spans="1:45" s="1" customFormat="1">
      <c r="A385" s="22">
        <f t="shared" si="5"/>
        <v>384</v>
      </c>
      <c r="B385" s="23">
        <v>45707</v>
      </c>
      <c r="C385" s="22" t="s">
        <v>208</v>
      </c>
      <c r="D385" s="22" t="s">
        <v>209</v>
      </c>
      <c r="E385" s="22">
        <v>20241431</v>
      </c>
      <c r="F385" s="22" t="s">
        <v>1913</v>
      </c>
      <c r="G385" s="22">
        <v>7040368399</v>
      </c>
      <c r="H385" s="22" t="s">
        <v>1914</v>
      </c>
      <c r="I385" s="22" t="s">
        <v>101</v>
      </c>
      <c r="J385" s="22" t="s">
        <v>518</v>
      </c>
      <c r="K385" s="22" t="s">
        <v>116</v>
      </c>
      <c r="L385" s="22">
        <v>4</v>
      </c>
      <c r="M385" s="22" t="s">
        <v>1915</v>
      </c>
      <c r="N385" s="22">
        <v>7</v>
      </c>
      <c r="O385" s="22">
        <v>0</v>
      </c>
      <c r="P385" s="22">
        <v>13</v>
      </c>
      <c r="Q385" s="22" t="s">
        <v>63</v>
      </c>
      <c r="R385" s="22" t="s">
        <v>63</v>
      </c>
      <c r="S385" s="22" t="s">
        <v>230</v>
      </c>
      <c r="T385" s="22"/>
      <c r="U385" s="24"/>
      <c r="V385" s="22"/>
      <c r="W385" s="22" t="s">
        <v>218</v>
      </c>
      <c r="X385" s="22" t="s">
        <v>218</v>
      </c>
      <c r="Y385" s="22" t="s">
        <v>135</v>
      </c>
      <c r="Z385" s="22" t="s">
        <v>66</v>
      </c>
      <c r="AA385" s="22">
        <v>45707</v>
      </c>
      <c r="AB385" s="22">
        <v>45709</v>
      </c>
      <c r="AC385" s="22">
        <v>45709</v>
      </c>
      <c r="AD385" s="22"/>
      <c r="AE385" s="22"/>
      <c r="AF385" s="22"/>
      <c r="AG385" s="22"/>
      <c r="AH385" s="22"/>
      <c r="AI385" s="22"/>
      <c r="AJ385" s="22"/>
      <c r="AK385" s="22"/>
      <c r="AL385" s="22"/>
      <c r="AM385" s="22"/>
      <c r="AN385" s="22"/>
      <c r="AO385" s="22"/>
      <c r="AP385" s="22"/>
      <c r="AQ385" s="22"/>
      <c r="AR385" s="22"/>
      <c r="AS385" s="25"/>
    </row>
    <row r="386" spans="1:45" s="1" customFormat="1">
      <c r="A386" s="22">
        <f t="shared" si="5"/>
        <v>385</v>
      </c>
      <c r="B386" s="23">
        <v>45707</v>
      </c>
      <c r="C386" s="22" t="s">
        <v>208</v>
      </c>
      <c r="D386" s="22" t="s">
        <v>1056</v>
      </c>
      <c r="E386" s="22">
        <v>20245762</v>
      </c>
      <c r="F386" s="22" t="s">
        <v>1916</v>
      </c>
      <c r="G386" s="22">
        <v>8182819435</v>
      </c>
      <c r="H386" s="22" t="s">
        <v>1917</v>
      </c>
      <c r="I386" s="22" t="s">
        <v>55</v>
      </c>
      <c r="J386" s="22" t="s">
        <v>1657</v>
      </c>
      <c r="K386" s="22" t="s">
        <v>1658</v>
      </c>
      <c r="L386" s="22">
        <v>1.7</v>
      </c>
      <c r="M386" s="22" t="s">
        <v>1918</v>
      </c>
      <c r="N386" s="22">
        <v>6</v>
      </c>
      <c r="O386" s="22">
        <v>0.1</v>
      </c>
      <c r="P386" s="22">
        <v>8.5</v>
      </c>
      <c r="Q386" s="22" t="s">
        <v>1919</v>
      </c>
      <c r="R386" s="22" t="s">
        <v>63</v>
      </c>
      <c r="S386" s="22" t="s">
        <v>255</v>
      </c>
      <c r="T386" s="22"/>
      <c r="U386" s="24"/>
      <c r="V386" s="22"/>
      <c r="W386" s="22" t="s">
        <v>218</v>
      </c>
      <c r="X386" s="22" t="s">
        <v>218</v>
      </c>
      <c r="Y386" s="22" t="s">
        <v>135</v>
      </c>
      <c r="Z386" s="22" t="s">
        <v>66</v>
      </c>
      <c r="AA386" s="22">
        <v>45705</v>
      </c>
      <c r="AB386" s="22">
        <v>45706</v>
      </c>
      <c r="AC386" s="22">
        <v>45709</v>
      </c>
      <c r="AD386" s="22"/>
      <c r="AE386" s="22"/>
      <c r="AF386" s="22"/>
      <c r="AG386" s="22"/>
      <c r="AH386" s="22"/>
      <c r="AI386" s="22"/>
      <c r="AJ386" s="22"/>
      <c r="AK386" s="22"/>
      <c r="AL386" s="22"/>
      <c r="AM386" s="22"/>
      <c r="AN386" s="22"/>
      <c r="AO386" s="22"/>
      <c r="AP386" s="22"/>
      <c r="AQ386" s="22"/>
      <c r="AR386" s="22"/>
      <c r="AS386" s="25"/>
    </row>
    <row r="387" spans="1:45" s="1" customFormat="1">
      <c r="A387" s="22">
        <f t="shared" ref="A387:A450" si="6">A386+1</f>
        <v>386</v>
      </c>
      <c r="B387" s="23">
        <v>45707</v>
      </c>
      <c r="C387" s="22" t="s">
        <v>208</v>
      </c>
      <c r="D387" s="22" t="s">
        <v>1920</v>
      </c>
      <c r="E387" s="22">
        <v>20245762</v>
      </c>
      <c r="F387" s="22" t="s">
        <v>1921</v>
      </c>
      <c r="G387" s="22">
        <v>9997495017</v>
      </c>
      <c r="H387" s="22" t="s">
        <v>1922</v>
      </c>
      <c r="I387" s="22" t="s">
        <v>55</v>
      </c>
      <c r="J387" s="22" t="s">
        <v>1657</v>
      </c>
      <c r="K387" s="22" t="s">
        <v>1658</v>
      </c>
      <c r="L387" s="22">
        <v>2.5</v>
      </c>
      <c r="M387" s="22" t="s">
        <v>1923</v>
      </c>
      <c r="N387" s="22">
        <v>7.6</v>
      </c>
      <c r="O387" s="22">
        <v>0</v>
      </c>
      <c r="P387" s="22">
        <v>0.3</v>
      </c>
      <c r="Q387" s="22" t="s">
        <v>484</v>
      </c>
      <c r="R387" s="22" t="s">
        <v>63</v>
      </c>
      <c r="S387" s="22" t="s">
        <v>1924</v>
      </c>
      <c r="T387" s="22"/>
      <c r="U387" s="24"/>
      <c r="V387" s="22"/>
      <c r="W387" s="22" t="s">
        <v>218</v>
      </c>
      <c r="X387" s="22" t="s">
        <v>218</v>
      </c>
      <c r="Y387" s="22" t="s">
        <v>135</v>
      </c>
      <c r="Z387" s="22" t="s">
        <v>66</v>
      </c>
      <c r="AA387" s="22"/>
      <c r="AB387" s="22"/>
      <c r="AC387" s="22"/>
      <c r="AD387" s="22"/>
      <c r="AE387" s="22"/>
      <c r="AF387" s="22"/>
      <c r="AG387" s="22"/>
      <c r="AH387" s="22"/>
      <c r="AI387" s="22"/>
      <c r="AJ387" s="22"/>
      <c r="AK387" s="22"/>
      <c r="AL387" s="22"/>
      <c r="AM387" s="22"/>
      <c r="AN387" s="22"/>
      <c r="AO387" s="22"/>
      <c r="AP387" s="22"/>
      <c r="AQ387" s="22"/>
      <c r="AR387" s="22"/>
      <c r="AS387" s="25"/>
    </row>
    <row r="388" spans="1:45" s="1" customFormat="1">
      <c r="A388" s="22">
        <f t="shared" si="6"/>
        <v>387</v>
      </c>
      <c r="B388" s="23">
        <v>45708</v>
      </c>
      <c r="C388" s="22" t="s">
        <v>208</v>
      </c>
      <c r="D388" s="22" t="s">
        <v>1925</v>
      </c>
      <c r="E388" s="22" t="s">
        <v>964</v>
      </c>
      <c r="F388" s="22" t="s">
        <v>1926</v>
      </c>
      <c r="G388" s="22">
        <v>8861503607</v>
      </c>
      <c r="H388" s="22" t="s">
        <v>1927</v>
      </c>
      <c r="I388" s="22" t="s">
        <v>55</v>
      </c>
      <c r="J388" s="22" t="s">
        <v>967</v>
      </c>
      <c r="K388" s="22" t="s">
        <v>428</v>
      </c>
      <c r="L388" s="22" t="s">
        <v>989</v>
      </c>
      <c r="M388" s="22" t="s">
        <v>791</v>
      </c>
      <c r="N388" s="22" t="s">
        <v>1372</v>
      </c>
      <c r="O388" s="22" t="s">
        <v>1928</v>
      </c>
      <c r="P388" s="22" t="s">
        <v>235</v>
      </c>
      <c r="Q388" s="22" t="s">
        <v>63</v>
      </c>
      <c r="R388" s="22" t="s">
        <v>63</v>
      </c>
      <c r="S388" s="22" t="s">
        <v>361</v>
      </c>
      <c r="T388" s="22"/>
      <c r="U388" s="24"/>
      <c r="V388" s="22"/>
      <c r="W388" s="22" t="s">
        <v>65</v>
      </c>
      <c r="X388" s="22" t="s">
        <v>1528</v>
      </c>
      <c r="Y388" s="22"/>
      <c r="Z388" s="22" t="s">
        <v>66</v>
      </c>
      <c r="AA388" s="22"/>
      <c r="AB388" s="22"/>
      <c r="AC388" s="22"/>
      <c r="AD388" s="22"/>
      <c r="AE388" s="22"/>
      <c r="AF388" s="22"/>
      <c r="AG388" s="22"/>
      <c r="AH388" s="22"/>
      <c r="AI388" s="22"/>
      <c r="AJ388" s="22"/>
      <c r="AK388" s="22"/>
      <c r="AL388" s="22"/>
      <c r="AM388" s="22"/>
      <c r="AN388" s="22"/>
      <c r="AO388" s="22"/>
      <c r="AP388" s="22"/>
      <c r="AQ388" s="22"/>
      <c r="AR388" s="22"/>
      <c r="AS388" s="25"/>
    </row>
    <row r="389" spans="1:45" s="1" customFormat="1">
      <c r="A389" s="22">
        <f t="shared" si="6"/>
        <v>388</v>
      </c>
      <c r="B389" s="23">
        <v>45708</v>
      </c>
      <c r="C389" s="22" t="s">
        <v>208</v>
      </c>
      <c r="D389" s="22" t="s">
        <v>1925</v>
      </c>
      <c r="E389" s="22" t="s">
        <v>964</v>
      </c>
      <c r="F389" s="22" t="s">
        <v>1929</v>
      </c>
      <c r="G389" s="22">
        <v>8308966500</v>
      </c>
      <c r="H389" s="22" t="s">
        <v>1930</v>
      </c>
      <c r="I389" s="22" t="s">
        <v>55</v>
      </c>
      <c r="J389" s="22" t="s">
        <v>967</v>
      </c>
      <c r="K389" s="22" t="s">
        <v>428</v>
      </c>
      <c r="L389" s="22" t="s">
        <v>989</v>
      </c>
      <c r="M389" s="22" t="s">
        <v>1931</v>
      </c>
      <c r="N389" s="22" t="s">
        <v>1932</v>
      </c>
      <c r="O389" s="22" t="s">
        <v>134</v>
      </c>
      <c r="P389" s="22" t="s">
        <v>1006</v>
      </c>
      <c r="Q389" s="22" t="s">
        <v>63</v>
      </c>
      <c r="R389" s="22" t="s">
        <v>63</v>
      </c>
      <c r="S389" s="22" t="s">
        <v>361</v>
      </c>
      <c r="T389" s="22"/>
      <c r="U389" s="24"/>
      <c r="V389" s="22"/>
      <c r="W389" s="22" t="s">
        <v>65</v>
      </c>
      <c r="X389" s="22" t="s">
        <v>1528</v>
      </c>
      <c r="Y389" s="22"/>
      <c r="Z389" s="22" t="s">
        <v>66</v>
      </c>
      <c r="AA389" s="22"/>
      <c r="AB389" s="22"/>
      <c r="AC389" s="22"/>
      <c r="AD389" s="22"/>
      <c r="AE389" s="22"/>
      <c r="AF389" s="22"/>
      <c r="AG389" s="22"/>
      <c r="AH389" s="22"/>
      <c r="AI389" s="22"/>
      <c r="AJ389" s="22"/>
      <c r="AK389" s="22"/>
      <c r="AL389" s="22"/>
      <c r="AM389" s="22"/>
      <c r="AN389" s="22"/>
      <c r="AO389" s="22"/>
      <c r="AP389" s="22"/>
      <c r="AQ389" s="22"/>
      <c r="AR389" s="22"/>
      <c r="AS389" s="25"/>
    </row>
    <row r="390" spans="1:45" s="1" customFormat="1">
      <c r="A390" s="22">
        <f t="shared" si="6"/>
        <v>389</v>
      </c>
      <c r="B390" s="23">
        <v>45708</v>
      </c>
      <c r="C390" s="22" t="s">
        <v>208</v>
      </c>
      <c r="D390" s="22" t="s">
        <v>1925</v>
      </c>
      <c r="E390" s="22" t="s">
        <v>964</v>
      </c>
      <c r="F390" s="22" t="s">
        <v>1933</v>
      </c>
      <c r="G390" s="22">
        <v>9901013009</v>
      </c>
      <c r="H390" s="22" t="s">
        <v>1934</v>
      </c>
      <c r="I390" s="22" t="s">
        <v>55</v>
      </c>
      <c r="J390" s="22" t="s">
        <v>967</v>
      </c>
      <c r="K390" s="22" t="s">
        <v>428</v>
      </c>
      <c r="L390" s="22" t="s">
        <v>989</v>
      </c>
      <c r="M390" s="22" t="s">
        <v>1935</v>
      </c>
      <c r="N390" s="22" t="s">
        <v>403</v>
      </c>
      <c r="O390" s="22" t="s">
        <v>1936</v>
      </c>
      <c r="P390" s="22" t="s">
        <v>164</v>
      </c>
      <c r="Q390" s="22" t="s">
        <v>63</v>
      </c>
      <c r="R390" s="22" t="s">
        <v>63</v>
      </c>
      <c r="S390" s="22" t="s">
        <v>361</v>
      </c>
      <c r="T390" s="22"/>
      <c r="U390" s="24"/>
      <c r="V390" s="22"/>
      <c r="W390" s="22" t="s">
        <v>65</v>
      </c>
      <c r="X390" s="22" t="s">
        <v>1528</v>
      </c>
      <c r="Y390" s="22"/>
      <c r="Z390" s="22" t="s">
        <v>66</v>
      </c>
      <c r="AA390" s="22"/>
      <c r="AB390" s="22"/>
      <c r="AC390" s="22"/>
      <c r="AD390" s="22"/>
      <c r="AE390" s="22"/>
      <c r="AF390" s="22"/>
      <c r="AG390" s="22"/>
      <c r="AH390" s="22"/>
      <c r="AI390" s="22"/>
      <c r="AJ390" s="22"/>
      <c r="AK390" s="22"/>
      <c r="AL390" s="22"/>
      <c r="AM390" s="22"/>
      <c r="AN390" s="22"/>
      <c r="AO390" s="22"/>
      <c r="AP390" s="22"/>
      <c r="AQ390" s="22"/>
      <c r="AR390" s="22"/>
      <c r="AS390" s="25"/>
    </row>
    <row r="391" spans="1:45" s="1" customFormat="1">
      <c r="A391" s="22">
        <f t="shared" si="6"/>
        <v>390</v>
      </c>
      <c r="B391" s="23">
        <v>45708</v>
      </c>
      <c r="C391" s="22" t="s">
        <v>208</v>
      </c>
      <c r="D391" s="22" t="s">
        <v>1925</v>
      </c>
      <c r="E391" s="22" t="s">
        <v>964</v>
      </c>
      <c r="F391" s="22" t="s">
        <v>1937</v>
      </c>
      <c r="G391" s="22">
        <v>9398833077</v>
      </c>
      <c r="H391" s="22" t="s">
        <v>1938</v>
      </c>
      <c r="I391" s="22" t="s">
        <v>55</v>
      </c>
      <c r="J391" s="22" t="s">
        <v>967</v>
      </c>
      <c r="K391" s="22" t="s">
        <v>428</v>
      </c>
      <c r="L391" s="22" t="s">
        <v>1018</v>
      </c>
      <c r="M391" s="22" t="s">
        <v>1935</v>
      </c>
      <c r="N391" s="22" t="s">
        <v>182</v>
      </c>
      <c r="O391" s="22" t="s">
        <v>1939</v>
      </c>
      <c r="P391" s="22" t="s">
        <v>340</v>
      </c>
      <c r="Q391" s="22" t="s">
        <v>63</v>
      </c>
      <c r="R391" s="22" t="s">
        <v>63</v>
      </c>
      <c r="S391" s="22" t="s">
        <v>361</v>
      </c>
      <c r="T391" s="22"/>
      <c r="U391" s="24"/>
      <c r="V391" s="22"/>
      <c r="W391" s="22" t="s">
        <v>65</v>
      </c>
      <c r="X391" s="22" t="s">
        <v>1528</v>
      </c>
      <c r="Y391" s="22"/>
      <c r="Z391" s="22" t="s">
        <v>66</v>
      </c>
      <c r="AA391" s="22"/>
      <c r="AB391" s="22"/>
      <c r="AC391" s="22"/>
      <c r="AD391" s="22"/>
      <c r="AE391" s="22"/>
      <c r="AF391" s="22"/>
      <c r="AG391" s="22"/>
      <c r="AH391" s="22"/>
      <c r="AI391" s="22"/>
      <c r="AJ391" s="22"/>
      <c r="AK391" s="22"/>
      <c r="AL391" s="22"/>
      <c r="AM391" s="22"/>
      <c r="AN391" s="22"/>
      <c r="AO391" s="22"/>
      <c r="AP391" s="22"/>
      <c r="AQ391" s="22"/>
      <c r="AR391" s="22"/>
      <c r="AS391" s="25"/>
    </row>
    <row r="392" spans="1:45" s="1" customFormat="1">
      <c r="A392" s="22">
        <f t="shared" si="6"/>
        <v>391</v>
      </c>
      <c r="B392" s="23">
        <v>45709</v>
      </c>
      <c r="C392" s="22" t="s">
        <v>208</v>
      </c>
      <c r="D392" s="22" t="s">
        <v>209</v>
      </c>
      <c r="E392" s="22">
        <v>20250721</v>
      </c>
      <c r="F392" s="22" t="s">
        <v>1940</v>
      </c>
      <c r="G392" s="22">
        <v>9972405756</v>
      </c>
      <c r="H392" s="22" t="s">
        <v>1941</v>
      </c>
      <c r="I392" s="22" t="s">
        <v>55</v>
      </c>
      <c r="J392" s="22" t="s">
        <v>1942</v>
      </c>
      <c r="K392" s="22" t="s">
        <v>380</v>
      </c>
      <c r="L392" s="22">
        <v>2.5</v>
      </c>
      <c r="M392" s="22" t="s">
        <v>1943</v>
      </c>
      <c r="N392" s="22">
        <v>5</v>
      </c>
      <c r="O392" s="22">
        <v>0</v>
      </c>
      <c r="P392" s="22">
        <v>8</v>
      </c>
      <c r="Q392" s="22" t="s">
        <v>63</v>
      </c>
      <c r="R392" s="22" t="s">
        <v>63</v>
      </c>
      <c r="S392" s="22" t="s">
        <v>633</v>
      </c>
      <c r="T392" s="22" t="s">
        <v>1944</v>
      </c>
      <c r="U392" s="24"/>
      <c r="V392" s="22"/>
      <c r="W392" s="22" t="s">
        <v>218</v>
      </c>
      <c r="X392" s="22" t="s">
        <v>218</v>
      </c>
      <c r="Y392" s="22" t="s">
        <v>135</v>
      </c>
      <c r="Z392" s="22" t="s">
        <v>66</v>
      </c>
      <c r="AA392" s="22"/>
      <c r="AB392" s="22"/>
      <c r="AC392" s="22"/>
      <c r="AD392" s="22"/>
      <c r="AE392" s="22"/>
      <c r="AF392" s="22"/>
      <c r="AG392" s="22"/>
      <c r="AH392" s="22"/>
      <c r="AI392" s="22"/>
      <c r="AJ392" s="22"/>
      <c r="AK392" s="22"/>
      <c r="AL392" s="22"/>
      <c r="AM392" s="22"/>
      <c r="AN392" s="22"/>
      <c r="AO392" s="22"/>
      <c r="AP392" s="22"/>
      <c r="AQ392" s="22"/>
      <c r="AR392" s="22"/>
      <c r="AS392" s="25"/>
    </row>
    <row r="393" spans="1:45" s="1" customFormat="1">
      <c r="A393" s="22">
        <f t="shared" si="6"/>
        <v>392</v>
      </c>
      <c r="B393" s="23">
        <v>45709</v>
      </c>
      <c r="C393" s="22" t="s">
        <v>51</v>
      </c>
      <c r="D393" s="22" t="s">
        <v>51</v>
      </c>
      <c r="E393" s="22">
        <v>20252045</v>
      </c>
      <c r="F393" s="22" t="s">
        <v>1945</v>
      </c>
      <c r="G393" s="22">
        <v>8766529114</v>
      </c>
      <c r="H393" s="22" t="s">
        <v>1946</v>
      </c>
      <c r="I393" s="22" t="s">
        <v>55</v>
      </c>
      <c r="J393" s="22" t="s">
        <v>1947</v>
      </c>
      <c r="K393" s="22" t="s">
        <v>380</v>
      </c>
      <c r="L393" s="22">
        <v>1.6</v>
      </c>
      <c r="M393" s="22" t="s">
        <v>1948</v>
      </c>
      <c r="N393" s="22">
        <v>4.5</v>
      </c>
      <c r="O393" s="22">
        <v>0</v>
      </c>
      <c r="P393" s="22">
        <v>7</v>
      </c>
      <c r="Q393" s="22" t="s">
        <v>802</v>
      </c>
      <c r="R393" s="22" t="s">
        <v>63</v>
      </c>
      <c r="S393" s="22" t="s">
        <v>361</v>
      </c>
      <c r="T393" s="22" t="s">
        <v>1244</v>
      </c>
      <c r="U393" s="24">
        <v>45740</v>
      </c>
      <c r="V393" s="22"/>
      <c r="W393" s="22" t="s">
        <v>218</v>
      </c>
      <c r="X393" s="22" t="s">
        <v>218</v>
      </c>
      <c r="Y393" s="22" t="s">
        <v>351</v>
      </c>
      <c r="Z393" s="22" t="s">
        <v>66</v>
      </c>
      <c r="AA393" s="22">
        <v>45693</v>
      </c>
      <c r="AB393" s="22">
        <v>45694</v>
      </c>
      <c r="AC393" s="22">
        <v>45694</v>
      </c>
      <c r="AD393" s="22">
        <v>45698</v>
      </c>
      <c r="AE393" s="22">
        <v>45698</v>
      </c>
      <c r="AF393" s="22">
        <v>45699</v>
      </c>
      <c r="AG393" s="22">
        <v>45699</v>
      </c>
      <c r="AH393" s="22">
        <v>45625</v>
      </c>
      <c r="AI393" s="22">
        <v>45693</v>
      </c>
      <c r="AJ393" s="22">
        <v>45700</v>
      </c>
      <c r="AK393" s="22" t="s">
        <v>63</v>
      </c>
      <c r="AL393" s="22">
        <v>70000</v>
      </c>
      <c r="AM393" s="22">
        <v>45699</v>
      </c>
      <c r="AN393" s="22">
        <v>45702</v>
      </c>
      <c r="AO393" s="22"/>
      <c r="AP393" s="22">
        <v>45706</v>
      </c>
      <c r="AQ393" s="22">
        <v>45706</v>
      </c>
      <c r="AR393" s="22">
        <v>45751</v>
      </c>
      <c r="AS393" s="25">
        <v>45740</v>
      </c>
    </row>
    <row r="394" spans="1:45" s="1" customFormat="1">
      <c r="A394" s="22">
        <f t="shared" si="6"/>
        <v>393</v>
      </c>
      <c r="B394" s="23">
        <v>45709</v>
      </c>
      <c r="C394" s="22" t="s">
        <v>840</v>
      </c>
      <c r="D394" s="22" t="s">
        <v>841</v>
      </c>
      <c r="E394" s="22">
        <v>20252046</v>
      </c>
      <c r="F394" s="22" t="s">
        <v>1949</v>
      </c>
      <c r="G394" s="22">
        <v>9973287316</v>
      </c>
      <c r="H394" s="22" t="s">
        <v>1950</v>
      </c>
      <c r="I394" s="22" t="s">
        <v>55</v>
      </c>
      <c r="J394" s="22" t="s">
        <v>1951</v>
      </c>
      <c r="K394" s="22" t="s">
        <v>380</v>
      </c>
      <c r="L394" s="22">
        <v>5.0999999999999996</v>
      </c>
      <c r="M394" s="22" t="s">
        <v>1952</v>
      </c>
      <c r="N394" s="22" t="s">
        <v>1953</v>
      </c>
      <c r="O394" s="22">
        <v>0</v>
      </c>
      <c r="P394" s="22" t="s">
        <v>1954</v>
      </c>
      <c r="Q394" s="22" t="s">
        <v>802</v>
      </c>
      <c r="R394" s="22" t="s">
        <v>657</v>
      </c>
      <c r="S394" s="22" t="s">
        <v>941</v>
      </c>
      <c r="T394" s="22" t="s">
        <v>1244</v>
      </c>
      <c r="U394" s="24">
        <v>45810</v>
      </c>
      <c r="V394" s="22"/>
      <c r="W394" s="22" t="s">
        <v>218</v>
      </c>
      <c r="X394" s="22" t="s">
        <v>218</v>
      </c>
      <c r="Y394" s="22" t="s">
        <v>351</v>
      </c>
      <c r="Z394" s="22" t="s">
        <v>66</v>
      </c>
      <c r="AA394" s="22">
        <v>45699</v>
      </c>
      <c r="AB394" s="22">
        <v>45700</v>
      </c>
      <c r="AC394" s="22">
        <v>45700</v>
      </c>
      <c r="AD394" s="22">
        <v>45702</v>
      </c>
      <c r="AE394" s="22">
        <v>45702</v>
      </c>
      <c r="AF394" s="22">
        <v>45705</v>
      </c>
      <c r="AG394" s="22">
        <v>45705</v>
      </c>
      <c r="AH394" s="22">
        <v>45625</v>
      </c>
      <c r="AI394" s="22">
        <v>45695</v>
      </c>
      <c r="AJ394" s="22">
        <v>45706</v>
      </c>
      <c r="AK394" s="22" t="s">
        <v>63</v>
      </c>
      <c r="AL394" s="22">
        <v>1050000</v>
      </c>
      <c r="AM394" s="22">
        <v>45709</v>
      </c>
      <c r="AN394" s="22">
        <v>45712</v>
      </c>
      <c r="AO394" s="22"/>
      <c r="AP394" s="22">
        <v>45713</v>
      </c>
      <c r="AQ394" s="22">
        <v>45713</v>
      </c>
      <c r="AR394" s="22">
        <v>45807</v>
      </c>
      <c r="AS394" s="25">
        <v>45810</v>
      </c>
    </row>
    <row r="395" spans="1:45" s="1" customFormat="1">
      <c r="A395" s="22">
        <f t="shared" si="6"/>
        <v>394</v>
      </c>
      <c r="B395" s="23">
        <v>45709</v>
      </c>
      <c r="C395" s="22" t="s">
        <v>208</v>
      </c>
      <c r="D395" s="22" t="s">
        <v>209</v>
      </c>
      <c r="E395" s="22">
        <v>20250721</v>
      </c>
      <c r="F395" s="22" t="s">
        <v>1955</v>
      </c>
      <c r="G395" s="22">
        <v>9825161928</v>
      </c>
      <c r="H395" s="22" t="s">
        <v>1956</v>
      </c>
      <c r="I395" s="22" t="s">
        <v>55</v>
      </c>
      <c r="J395" s="22" t="s">
        <v>1942</v>
      </c>
      <c r="K395" s="22" t="s">
        <v>380</v>
      </c>
      <c r="L395" s="22">
        <v>3.5</v>
      </c>
      <c r="M395" s="22" t="s">
        <v>1488</v>
      </c>
      <c r="N395" s="22">
        <v>4.92</v>
      </c>
      <c r="O395" s="22">
        <v>0</v>
      </c>
      <c r="P395" s="22">
        <v>7</v>
      </c>
      <c r="Q395" s="22" t="s">
        <v>846</v>
      </c>
      <c r="R395" s="22" t="s">
        <v>63</v>
      </c>
      <c r="S395" s="22" t="s">
        <v>230</v>
      </c>
      <c r="T395" s="22" t="s">
        <v>61</v>
      </c>
      <c r="U395" s="24"/>
      <c r="V395" s="22"/>
      <c r="W395" s="22" t="s">
        <v>218</v>
      </c>
      <c r="X395" s="22" t="s">
        <v>218</v>
      </c>
      <c r="Y395" s="22" t="s">
        <v>135</v>
      </c>
      <c r="Z395" s="22" t="s">
        <v>66</v>
      </c>
      <c r="AA395" s="22"/>
      <c r="AB395" s="22"/>
      <c r="AC395" s="22"/>
      <c r="AD395" s="22"/>
      <c r="AE395" s="22"/>
      <c r="AF395" s="22"/>
      <c r="AG395" s="22"/>
      <c r="AH395" s="22"/>
      <c r="AI395" s="22"/>
      <c r="AJ395" s="22"/>
      <c r="AK395" s="22"/>
      <c r="AL395" s="22"/>
      <c r="AM395" s="22"/>
      <c r="AN395" s="22"/>
      <c r="AO395" s="22"/>
      <c r="AP395" s="22"/>
      <c r="AQ395" s="22"/>
      <c r="AR395" s="22"/>
      <c r="AS395" s="25"/>
    </row>
    <row r="396" spans="1:45" s="1" customFormat="1">
      <c r="A396" s="22">
        <f t="shared" si="6"/>
        <v>395</v>
      </c>
      <c r="B396" s="23">
        <v>45709</v>
      </c>
      <c r="C396" s="22" t="s">
        <v>208</v>
      </c>
      <c r="D396" s="22" t="s">
        <v>209</v>
      </c>
      <c r="E396" s="22">
        <v>20250721</v>
      </c>
      <c r="F396" s="22" t="s">
        <v>1957</v>
      </c>
      <c r="G396" s="22">
        <v>7893013813</v>
      </c>
      <c r="H396" s="22" t="s">
        <v>1958</v>
      </c>
      <c r="I396" s="22" t="s">
        <v>55</v>
      </c>
      <c r="J396" s="22" t="s">
        <v>1942</v>
      </c>
      <c r="K396" s="22" t="s">
        <v>380</v>
      </c>
      <c r="L396" s="22">
        <v>3</v>
      </c>
      <c r="M396" s="22" t="s">
        <v>791</v>
      </c>
      <c r="N396" s="22">
        <v>4.5</v>
      </c>
      <c r="O396" s="22">
        <v>0</v>
      </c>
      <c r="P396" s="22">
        <v>8</v>
      </c>
      <c r="Q396" s="22" t="s">
        <v>1959</v>
      </c>
      <c r="R396" s="22" t="s">
        <v>63</v>
      </c>
      <c r="S396" s="22" t="s">
        <v>1960</v>
      </c>
      <c r="T396" s="22" t="s">
        <v>61</v>
      </c>
      <c r="U396" s="24"/>
      <c r="V396" s="22"/>
      <c r="W396" s="22" t="s">
        <v>218</v>
      </c>
      <c r="X396" s="22" t="s">
        <v>218</v>
      </c>
      <c r="Y396" s="22" t="s">
        <v>135</v>
      </c>
      <c r="Z396" s="22" t="s">
        <v>66</v>
      </c>
      <c r="AA396" s="22"/>
      <c r="AB396" s="22"/>
      <c r="AC396" s="22"/>
      <c r="AD396" s="22"/>
      <c r="AE396" s="22"/>
      <c r="AF396" s="22"/>
      <c r="AG396" s="22"/>
      <c r="AH396" s="22"/>
      <c r="AI396" s="22"/>
      <c r="AJ396" s="22"/>
      <c r="AK396" s="22"/>
      <c r="AL396" s="22"/>
      <c r="AM396" s="22"/>
      <c r="AN396" s="22"/>
      <c r="AO396" s="22"/>
      <c r="AP396" s="22"/>
      <c r="AQ396" s="22"/>
      <c r="AR396" s="22"/>
      <c r="AS396" s="25"/>
    </row>
    <row r="397" spans="1:45" s="1" customFormat="1">
      <c r="A397" s="22">
        <f t="shared" si="6"/>
        <v>396</v>
      </c>
      <c r="B397" s="23">
        <v>45709</v>
      </c>
      <c r="C397" s="22" t="s">
        <v>208</v>
      </c>
      <c r="D397" s="22" t="s">
        <v>209</v>
      </c>
      <c r="E397" s="22">
        <v>20250721</v>
      </c>
      <c r="F397" s="22" t="s">
        <v>1961</v>
      </c>
      <c r="G397" s="22">
        <v>9607582100</v>
      </c>
      <c r="H397" s="22" t="s">
        <v>1962</v>
      </c>
      <c r="I397" s="22" t="s">
        <v>55</v>
      </c>
      <c r="J397" s="22" t="s">
        <v>1942</v>
      </c>
      <c r="K397" s="22" t="s">
        <v>380</v>
      </c>
      <c r="L397" s="22">
        <v>2</v>
      </c>
      <c r="M397" s="22" t="s">
        <v>1963</v>
      </c>
      <c r="N397" s="22">
        <v>7.5</v>
      </c>
      <c r="O397" s="22" t="s">
        <v>1964</v>
      </c>
      <c r="P397" s="22">
        <v>0.3</v>
      </c>
      <c r="Q397" s="22" t="s">
        <v>1965</v>
      </c>
      <c r="R397" s="22" t="s">
        <v>63</v>
      </c>
      <c r="S397" s="22">
        <v>0</v>
      </c>
      <c r="T397" s="22" t="s">
        <v>61</v>
      </c>
      <c r="U397" s="24"/>
      <c r="V397" s="22"/>
      <c r="W397" s="22" t="s">
        <v>218</v>
      </c>
      <c r="X397" s="22" t="s">
        <v>218</v>
      </c>
      <c r="Y397" s="22" t="s">
        <v>135</v>
      </c>
      <c r="Z397" s="22" t="s">
        <v>66</v>
      </c>
      <c r="AA397" s="22"/>
      <c r="AB397" s="22"/>
      <c r="AC397" s="22"/>
      <c r="AD397" s="22"/>
      <c r="AE397" s="22"/>
      <c r="AF397" s="22"/>
      <c r="AG397" s="22"/>
      <c r="AH397" s="22"/>
      <c r="AI397" s="22"/>
      <c r="AJ397" s="22"/>
      <c r="AK397" s="22"/>
      <c r="AL397" s="22"/>
      <c r="AM397" s="22"/>
      <c r="AN397" s="22"/>
      <c r="AO397" s="22"/>
      <c r="AP397" s="22"/>
      <c r="AQ397" s="22"/>
      <c r="AR397" s="22"/>
      <c r="AS397" s="25"/>
    </row>
    <row r="398" spans="1:45" s="1" customFormat="1">
      <c r="A398" s="22">
        <f t="shared" si="6"/>
        <v>397</v>
      </c>
      <c r="B398" s="23">
        <v>45709</v>
      </c>
      <c r="C398" s="22" t="s">
        <v>208</v>
      </c>
      <c r="D398" s="22" t="s">
        <v>231</v>
      </c>
      <c r="E398" s="22">
        <v>20250721</v>
      </c>
      <c r="F398" s="22" t="s">
        <v>1966</v>
      </c>
      <c r="G398" s="22">
        <v>8605834049</v>
      </c>
      <c r="H398" s="22" t="s">
        <v>1967</v>
      </c>
      <c r="I398" s="22" t="s">
        <v>55</v>
      </c>
      <c r="J398" s="22" t="s">
        <v>1942</v>
      </c>
      <c r="K398" s="22" t="s">
        <v>380</v>
      </c>
      <c r="L398" s="22">
        <v>2.6</v>
      </c>
      <c r="M398" s="22" t="s">
        <v>1968</v>
      </c>
      <c r="N398" s="22">
        <v>6</v>
      </c>
      <c r="O398" s="22">
        <v>0</v>
      </c>
      <c r="P398" s="22">
        <v>9</v>
      </c>
      <c r="Q398" s="22" t="s">
        <v>1965</v>
      </c>
      <c r="R398" s="22" t="s">
        <v>63</v>
      </c>
      <c r="S398" s="22" t="s">
        <v>284</v>
      </c>
      <c r="T398" s="22" t="s">
        <v>61</v>
      </c>
      <c r="U398" s="24"/>
      <c r="V398" s="22"/>
      <c r="W398" s="22" t="s">
        <v>218</v>
      </c>
      <c r="X398" s="22" t="s">
        <v>218</v>
      </c>
      <c r="Y398" s="22" t="s">
        <v>135</v>
      </c>
      <c r="Z398" s="22" t="s">
        <v>66</v>
      </c>
      <c r="AA398" s="22"/>
      <c r="AB398" s="22"/>
      <c r="AC398" s="22"/>
      <c r="AD398" s="22"/>
      <c r="AE398" s="22"/>
      <c r="AF398" s="22"/>
      <c r="AG398" s="22"/>
      <c r="AH398" s="22"/>
      <c r="AI398" s="22"/>
      <c r="AJ398" s="22"/>
      <c r="AK398" s="22"/>
      <c r="AL398" s="22"/>
      <c r="AM398" s="22"/>
      <c r="AN398" s="22"/>
      <c r="AO398" s="22"/>
      <c r="AP398" s="22"/>
      <c r="AQ398" s="22"/>
      <c r="AR398" s="22"/>
      <c r="AS398" s="25"/>
    </row>
    <row r="399" spans="1:45" s="1" customFormat="1">
      <c r="A399" s="22">
        <f t="shared" si="6"/>
        <v>398</v>
      </c>
      <c r="B399" s="23">
        <v>45709</v>
      </c>
      <c r="C399" s="22" t="s">
        <v>208</v>
      </c>
      <c r="D399" s="22" t="s">
        <v>1056</v>
      </c>
      <c r="E399" s="22">
        <v>20250721</v>
      </c>
      <c r="F399" s="22" t="s">
        <v>1969</v>
      </c>
      <c r="G399" s="22">
        <v>9545914957</v>
      </c>
      <c r="H399" s="22" t="s">
        <v>1970</v>
      </c>
      <c r="I399" s="22" t="s">
        <v>55</v>
      </c>
      <c r="J399" s="22" t="s">
        <v>1942</v>
      </c>
      <c r="K399" s="22" t="s">
        <v>380</v>
      </c>
      <c r="L399" s="22">
        <v>1.5</v>
      </c>
      <c r="M399" s="22" t="s">
        <v>1971</v>
      </c>
      <c r="N399" s="22">
        <v>3.8</v>
      </c>
      <c r="O399" s="22">
        <v>0</v>
      </c>
      <c r="P399" s="22">
        <v>6</v>
      </c>
      <c r="Q399" s="22" t="s">
        <v>304</v>
      </c>
      <c r="R399" s="22" t="s">
        <v>63</v>
      </c>
      <c r="S399" s="22" t="s">
        <v>255</v>
      </c>
      <c r="T399" s="22" t="s">
        <v>61</v>
      </c>
      <c r="U399" s="24"/>
      <c r="V399" s="22"/>
      <c r="W399" s="22" t="s">
        <v>218</v>
      </c>
      <c r="X399" s="22" t="s">
        <v>218</v>
      </c>
      <c r="Y399" s="22" t="s">
        <v>135</v>
      </c>
      <c r="Z399" s="22" t="s">
        <v>66</v>
      </c>
      <c r="AA399" s="22"/>
      <c r="AB399" s="22"/>
      <c r="AC399" s="22"/>
      <c r="AD399" s="22"/>
      <c r="AE399" s="22"/>
      <c r="AF399" s="22"/>
      <c r="AG399" s="22"/>
      <c r="AH399" s="22"/>
      <c r="AI399" s="22"/>
      <c r="AJ399" s="22"/>
      <c r="AK399" s="22"/>
      <c r="AL399" s="22"/>
      <c r="AM399" s="22"/>
      <c r="AN399" s="22"/>
      <c r="AO399" s="22"/>
      <c r="AP399" s="22"/>
      <c r="AQ399" s="22"/>
      <c r="AR399" s="22"/>
      <c r="AS399" s="25"/>
    </row>
    <row r="400" spans="1:45" s="1" customFormat="1">
      <c r="A400" s="22">
        <f t="shared" si="6"/>
        <v>399</v>
      </c>
      <c r="B400" s="23">
        <v>45709</v>
      </c>
      <c r="C400" s="22" t="s">
        <v>208</v>
      </c>
      <c r="D400" s="22" t="s">
        <v>954</v>
      </c>
      <c r="E400" s="22">
        <v>20251975</v>
      </c>
      <c r="F400" s="22" t="s">
        <v>1972</v>
      </c>
      <c r="G400" s="22">
        <v>8867737881</v>
      </c>
      <c r="H400" s="22" t="s">
        <v>1973</v>
      </c>
      <c r="I400" s="22" t="s">
        <v>55</v>
      </c>
      <c r="J400" s="22" t="s">
        <v>1507</v>
      </c>
      <c r="K400" s="22" t="s">
        <v>1508</v>
      </c>
      <c r="L400" s="22" t="s">
        <v>928</v>
      </c>
      <c r="M400" s="22" t="s">
        <v>576</v>
      </c>
      <c r="N400" s="22" t="s">
        <v>154</v>
      </c>
      <c r="O400" s="22" t="s">
        <v>61</v>
      </c>
      <c r="P400" s="22" t="s">
        <v>780</v>
      </c>
      <c r="Q400" s="22" t="s">
        <v>1974</v>
      </c>
      <c r="R400" s="22" t="s">
        <v>63</v>
      </c>
      <c r="S400" s="22" t="s">
        <v>1975</v>
      </c>
      <c r="T400" s="22" t="s">
        <v>61</v>
      </c>
      <c r="U400" s="24"/>
      <c r="V400" s="22"/>
      <c r="W400" s="22" t="s">
        <v>65</v>
      </c>
      <c r="X400" s="22" t="s">
        <v>65</v>
      </c>
      <c r="Y400" s="22"/>
      <c r="Z400" s="22" t="s">
        <v>66</v>
      </c>
      <c r="AA400" s="22"/>
      <c r="AB400" s="22"/>
      <c r="AC400" s="22"/>
      <c r="AD400" s="22"/>
      <c r="AE400" s="22"/>
      <c r="AF400" s="22"/>
      <c r="AG400" s="22"/>
      <c r="AH400" s="22"/>
      <c r="AI400" s="22"/>
      <c r="AJ400" s="22"/>
      <c r="AK400" s="22"/>
      <c r="AL400" s="22"/>
      <c r="AM400" s="22"/>
      <c r="AN400" s="22"/>
      <c r="AO400" s="22"/>
      <c r="AP400" s="22"/>
      <c r="AQ400" s="22"/>
      <c r="AR400" s="22"/>
      <c r="AS400" s="25"/>
    </row>
    <row r="401" spans="1:45" s="1" customFormat="1">
      <c r="A401" s="22">
        <f t="shared" si="6"/>
        <v>400</v>
      </c>
      <c r="B401" s="23">
        <v>45709</v>
      </c>
      <c r="C401" s="22" t="s">
        <v>208</v>
      </c>
      <c r="D401" s="22" t="s">
        <v>667</v>
      </c>
      <c r="E401" s="22">
        <v>20251975</v>
      </c>
      <c r="F401" s="22" t="s">
        <v>1976</v>
      </c>
      <c r="G401" s="22">
        <v>999918165</v>
      </c>
      <c r="H401" s="22" t="s">
        <v>1977</v>
      </c>
      <c r="I401" s="22" t="s">
        <v>55</v>
      </c>
      <c r="J401" s="22" t="s">
        <v>1507</v>
      </c>
      <c r="K401" s="22" t="s">
        <v>1508</v>
      </c>
      <c r="L401" s="22" t="s">
        <v>1698</v>
      </c>
      <c r="M401" s="22" t="s">
        <v>1978</v>
      </c>
      <c r="N401" s="22" t="s">
        <v>1979</v>
      </c>
      <c r="O401" s="22" t="s">
        <v>61</v>
      </c>
      <c r="P401" s="22" t="s">
        <v>596</v>
      </c>
      <c r="Q401" s="22" t="s">
        <v>615</v>
      </c>
      <c r="R401" s="22" t="s">
        <v>63</v>
      </c>
      <c r="S401" s="22" t="s">
        <v>1980</v>
      </c>
      <c r="T401" s="22" t="s">
        <v>61</v>
      </c>
      <c r="U401" s="24"/>
      <c r="V401" s="22"/>
      <c r="W401" s="22" t="s">
        <v>65</v>
      </c>
      <c r="X401" s="22" t="s">
        <v>65</v>
      </c>
      <c r="Y401" s="22"/>
      <c r="Z401" s="22" t="s">
        <v>66</v>
      </c>
      <c r="AA401" s="22"/>
      <c r="AB401" s="22"/>
      <c r="AC401" s="22"/>
      <c r="AD401" s="22"/>
      <c r="AE401" s="22"/>
      <c r="AF401" s="22"/>
      <c r="AG401" s="22"/>
      <c r="AH401" s="22"/>
      <c r="AI401" s="22"/>
      <c r="AJ401" s="22"/>
      <c r="AK401" s="22"/>
      <c r="AL401" s="22"/>
      <c r="AM401" s="22"/>
      <c r="AN401" s="22"/>
      <c r="AO401" s="22"/>
      <c r="AP401" s="22"/>
      <c r="AQ401" s="22"/>
      <c r="AR401" s="22"/>
      <c r="AS401" s="25"/>
    </row>
    <row r="402" spans="1:45" s="1" customFormat="1">
      <c r="A402" s="22">
        <f t="shared" si="6"/>
        <v>401</v>
      </c>
      <c r="B402" s="23">
        <v>45709</v>
      </c>
      <c r="C402" s="22" t="s">
        <v>208</v>
      </c>
      <c r="D402" s="22" t="s">
        <v>367</v>
      </c>
      <c r="E402" s="22">
        <v>20251975</v>
      </c>
      <c r="F402" s="22" t="s">
        <v>1981</v>
      </c>
      <c r="G402" s="22">
        <v>8080709733</v>
      </c>
      <c r="H402" s="22" t="s">
        <v>1982</v>
      </c>
      <c r="I402" s="22" t="s">
        <v>101</v>
      </c>
      <c r="J402" s="22" t="s">
        <v>1507</v>
      </c>
      <c r="K402" s="22" t="s">
        <v>1508</v>
      </c>
      <c r="L402" s="22" t="s">
        <v>1983</v>
      </c>
      <c r="M402" s="22" t="s">
        <v>1984</v>
      </c>
      <c r="N402" s="22" t="s">
        <v>61</v>
      </c>
      <c r="O402" s="22" t="s">
        <v>61</v>
      </c>
      <c r="P402" s="22" t="s">
        <v>61</v>
      </c>
      <c r="Q402" s="22" t="s">
        <v>63</v>
      </c>
      <c r="R402" s="22" t="s">
        <v>63</v>
      </c>
      <c r="S402" s="22" t="s">
        <v>61</v>
      </c>
      <c r="T402" s="22" t="s">
        <v>61</v>
      </c>
      <c r="U402" s="24"/>
      <c r="V402" s="22"/>
      <c r="W402" s="22" t="s">
        <v>65</v>
      </c>
      <c r="X402" s="22" t="s">
        <v>65</v>
      </c>
      <c r="Y402" s="22"/>
      <c r="Z402" s="22" t="s">
        <v>66</v>
      </c>
      <c r="AA402" s="22"/>
      <c r="AB402" s="22"/>
      <c r="AC402" s="22"/>
      <c r="AD402" s="22"/>
      <c r="AE402" s="22"/>
      <c r="AF402" s="22"/>
      <c r="AG402" s="22"/>
      <c r="AH402" s="22"/>
      <c r="AI402" s="22"/>
      <c r="AJ402" s="22"/>
      <c r="AK402" s="22"/>
      <c r="AL402" s="22"/>
      <c r="AM402" s="22"/>
      <c r="AN402" s="22"/>
      <c r="AO402" s="22"/>
      <c r="AP402" s="22"/>
      <c r="AQ402" s="22"/>
      <c r="AR402" s="22"/>
      <c r="AS402" s="25"/>
    </row>
    <row r="403" spans="1:45" s="1" customFormat="1">
      <c r="A403" s="22">
        <f t="shared" si="6"/>
        <v>402</v>
      </c>
      <c r="B403" s="23">
        <v>45714</v>
      </c>
      <c r="C403" s="22" t="s">
        <v>208</v>
      </c>
      <c r="D403" s="22" t="s">
        <v>367</v>
      </c>
      <c r="E403" s="22">
        <v>20242803</v>
      </c>
      <c r="F403" s="22" t="s">
        <v>1985</v>
      </c>
      <c r="G403" s="22">
        <v>8360253050</v>
      </c>
      <c r="H403" s="22" t="s">
        <v>1986</v>
      </c>
      <c r="I403" s="22" t="s">
        <v>101</v>
      </c>
      <c r="J403" s="22" t="s">
        <v>212</v>
      </c>
      <c r="K403" s="22" t="s">
        <v>213</v>
      </c>
      <c r="L403" s="22">
        <v>4.7</v>
      </c>
      <c r="M403" s="22" t="s">
        <v>1987</v>
      </c>
      <c r="N403" s="22">
        <v>15</v>
      </c>
      <c r="O403" s="22" t="s">
        <v>1119</v>
      </c>
      <c r="P403" s="22">
        <v>20</v>
      </c>
      <c r="Q403" s="22" t="s">
        <v>1988</v>
      </c>
      <c r="R403" s="22" t="s">
        <v>63</v>
      </c>
      <c r="S403" s="22" t="s">
        <v>255</v>
      </c>
      <c r="T403" s="22"/>
      <c r="U403" s="24">
        <v>45362</v>
      </c>
      <c r="V403" s="22"/>
      <c r="W403" s="22" t="s">
        <v>218</v>
      </c>
      <c r="X403" s="22" t="s">
        <v>218</v>
      </c>
      <c r="Y403" s="22" t="s">
        <v>135</v>
      </c>
      <c r="Z403" s="22" t="s">
        <v>66</v>
      </c>
      <c r="AA403" s="22">
        <v>45714</v>
      </c>
      <c r="AB403" s="22">
        <v>45714</v>
      </c>
      <c r="AC403" s="22">
        <v>45714</v>
      </c>
      <c r="AD403" s="22"/>
      <c r="AE403" s="22"/>
      <c r="AF403" s="22"/>
      <c r="AG403" s="22"/>
      <c r="AH403" s="22"/>
      <c r="AI403" s="22"/>
      <c r="AJ403" s="22"/>
      <c r="AK403" s="22"/>
      <c r="AL403" s="22"/>
      <c r="AM403" s="22"/>
      <c r="AN403" s="22"/>
      <c r="AO403" s="22"/>
      <c r="AP403" s="22"/>
      <c r="AQ403" s="22"/>
      <c r="AR403" s="22"/>
      <c r="AS403" s="25"/>
    </row>
    <row r="404" spans="1:45" s="1" customFormat="1">
      <c r="A404" s="22">
        <f t="shared" si="6"/>
        <v>403</v>
      </c>
      <c r="B404" s="23">
        <v>45714</v>
      </c>
      <c r="C404" s="22" t="s">
        <v>208</v>
      </c>
      <c r="D404" s="22" t="s">
        <v>209</v>
      </c>
      <c r="E404" s="22">
        <v>20241431</v>
      </c>
      <c r="F404" s="22" t="s">
        <v>1989</v>
      </c>
      <c r="G404" s="22">
        <v>7218632952</v>
      </c>
      <c r="H404" s="22" t="s">
        <v>1990</v>
      </c>
      <c r="I404" s="22" t="s">
        <v>101</v>
      </c>
      <c r="J404" s="22" t="s">
        <v>518</v>
      </c>
      <c r="K404" s="22" t="s">
        <v>116</v>
      </c>
      <c r="L404" s="22" t="s">
        <v>1991</v>
      </c>
      <c r="M404" s="22" t="s">
        <v>1992</v>
      </c>
      <c r="N404" s="22" t="s">
        <v>350</v>
      </c>
      <c r="O404" s="22">
        <v>0</v>
      </c>
      <c r="P404" s="22" t="s">
        <v>1993</v>
      </c>
      <c r="Q404" s="22" t="s">
        <v>63</v>
      </c>
      <c r="R404" s="22" t="s">
        <v>63</v>
      </c>
      <c r="S404" s="22" t="s">
        <v>1994</v>
      </c>
      <c r="T404" s="22" t="s">
        <v>61</v>
      </c>
      <c r="U404" s="24">
        <v>45390</v>
      </c>
      <c r="V404" s="22"/>
      <c r="W404" s="22" t="s">
        <v>218</v>
      </c>
      <c r="X404" s="22" t="s">
        <v>1528</v>
      </c>
      <c r="Y404" s="22" t="s">
        <v>135</v>
      </c>
      <c r="Z404" s="22" t="s">
        <v>66</v>
      </c>
      <c r="AA404" s="22">
        <v>45714</v>
      </c>
      <c r="AB404" s="22">
        <v>45712</v>
      </c>
      <c r="AC404" s="22">
        <v>45712</v>
      </c>
      <c r="AD404" s="22"/>
      <c r="AE404" s="22"/>
      <c r="AF404" s="22"/>
      <c r="AG404" s="22"/>
      <c r="AH404" s="22"/>
      <c r="AI404" s="22"/>
      <c r="AJ404" s="22"/>
      <c r="AK404" s="22"/>
      <c r="AL404" s="22"/>
      <c r="AM404" s="22"/>
      <c r="AN404" s="22"/>
      <c r="AO404" s="22"/>
      <c r="AP404" s="22"/>
      <c r="AQ404" s="22"/>
      <c r="AR404" s="22"/>
      <c r="AS404" s="25"/>
    </row>
    <row r="405" spans="1:45" s="1" customFormat="1">
      <c r="A405" s="22">
        <f t="shared" si="6"/>
        <v>404</v>
      </c>
      <c r="B405" s="23">
        <v>45714</v>
      </c>
      <c r="C405" s="22" t="s">
        <v>208</v>
      </c>
      <c r="D405" s="22" t="s">
        <v>209</v>
      </c>
      <c r="E405" s="22">
        <v>20241431</v>
      </c>
      <c r="F405" s="22" t="s">
        <v>1995</v>
      </c>
      <c r="G405" s="22">
        <v>8381080987</v>
      </c>
      <c r="H405" s="22" t="s">
        <v>1996</v>
      </c>
      <c r="I405" s="22" t="s">
        <v>55</v>
      </c>
      <c r="J405" s="22" t="s">
        <v>518</v>
      </c>
      <c r="K405" s="22" t="s">
        <v>116</v>
      </c>
      <c r="L405" s="22" t="s">
        <v>1997</v>
      </c>
      <c r="M405" s="22" t="s">
        <v>1998</v>
      </c>
      <c r="N405" s="22" t="s">
        <v>1039</v>
      </c>
      <c r="O405" s="22">
        <v>0</v>
      </c>
      <c r="P405" s="22" t="s">
        <v>235</v>
      </c>
      <c r="Q405" s="22" t="s">
        <v>63</v>
      </c>
      <c r="R405" s="22" t="s">
        <v>63</v>
      </c>
      <c r="S405" s="22" t="s">
        <v>1305</v>
      </c>
      <c r="T405" s="22" t="s">
        <v>1999</v>
      </c>
      <c r="U405" s="24">
        <v>45628</v>
      </c>
      <c r="V405" s="22"/>
      <c r="W405" s="22" t="s">
        <v>218</v>
      </c>
      <c r="X405" s="22" t="s">
        <v>1528</v>
      </c>
      <c r="Y405" s="22" t="s">
        <v>135</v>
      </c>
      <c r="Z405" s="22" t="s">
        <v>66</v>
      </c>
      <c r="AA405" s="22">
        <v>45714</v>
      </c>
      <c r="AB405" s="22">
        <v>45712</v>
      </c>
      <c r="AC405" s="22">
        <v>45712</v>
      </c>
      <c r="AD405" s="22"/>
      <c r="AE405" s="22"/>
      <c r="AF405" s="22"/>
      <c r="AG405" s="22"/>
      <c r="AH405" s="22"/>
      <c r="AI405" s="22"/>
      <c r="AJ405" s="22"/>
      <c r="AK405" s="22"/>
      <c r="AL405" s="22"/>
      <c r="AM405" s="22"/>
      <c r="AN405" s="22"/>
      <c r="AO405" s="22"/>
      <c r="AP405" s="22"/>
      <c r="AQ405" s="22"/>
      <c r="AR405" s="22"/>
      <c r="AS405" s="25"/>
    </row>
    <row r="406" spans="1:45" s="1" customFormat="1">
      <c r="A406" s="22">
        <f t="shared" si="6"/>
        <v>405</v>
      </c>
      <c r="B406" s="23">
        <v>45714</v>
      </c>
      <c r="C406" s="22" t="s">
        <v>208</v>
      </c>
      <c r="D406" s="22" t="s">
        <v>209</v>
      </c>
      <c r="E406" s="22">
        <v>20241431</v>
      </c>
      <c r="F406" s="22" t="s">
        <v>2000</v>
      </c>
      <c r="G406" s="22">
        <v>7987485491</v>
      </c>
      <c r="H406" s="22" t="s">
        <v>2001</v>
      </c>
      <c r="I406" s="22" t="s">
        <v>55</v>
      </c>
      <c r="J406" s="22" t="s">
        <v>518</v>
      </c>
      <c r="K406" s="22" t="s">
        <v>116</v>
      </c>
      <c r="L406" s="22" t="s">
        <v>928</v>
      </c>
      <c r="M406" s="22" t="s">
        <v>791</v>
      </c>
      <c r="N406" s="22" t="s">
        <v>2002</v>
      </c>
      <c r="O406" s="22">
        <v>0</v>
      </c>
      <c r="P406" s="22" t="s">
        <v>173</v>
      </c>
      <c r="Q406" s="22" t="s">
        <v>174</v>
      </c>
      <c r="R406" s="22" t="s">
        <v>63</v>
      </c>
      <c r="S406" s="22" t="s">
        <v>2003</v>
      </c>
      <c r="T406" s="22" t="s">
        <v>2004</v>
      </c>
      <c r="U406" s="24"/>
      <c r="V406" s="22"/>
      <c r="W406" s="22" t="s">
        <v>218</v>
      </c>
      <c r="X406" s="22" t="s">
        <v>1528</v>
      </c>
      <c r="Y406" s="22" t="s">
        <v>135</v>
      </c>
      <c r="Z406" s="22" t="s">
        <v>66</v>
      </c>
      <c r="AA406" s="22">
        <v>45714</v>
      </c>
      <c r="AB406" s="22">
        <v>45709</v>
      </c>
      <c r="AC406" s="22">
        <v>45709</v>
      </c>
      <c r="AD406" s="22"/>
      <c r="AE406" s="22"/>
      <c r="AF406" s="22"/>
      <c r="AG406" s="22"/>
      <c r="AH406" s="22"/>
      <c r="AI406" s="22"/>
      <c r="AJ406" s="22"/>
      <c r="AK406" s="22"/>
      <c r="AL406" s="22"/>
      <c r="AM406" s="22"/>
      <c r="AN406" s="22"/>
      <c r="AO406" s="22"/>
      <c r="AP406" s="22"/>
      <c r="AQ406" s="22"/>
      <c r="AR406" s="22"/>
      <c r="AS406" s="25"/>
    </row>
    <row r="407" spans="1:45" s="1" customFormat="1">
      <c r="A407" s="22">
        <f t="shared" si="6"/>
        <v>406</v>
      </c>
      <c r="B407" s="23">
        <v>45714</v>
      </c>
      <c r="C407" s="22" t="s">
        <v>208</v>
      </c>
      <c r="D407" s="22" t="s">
        <v>209</v>
      </c>
      <c r="E407" s="22">
        <v>20241431</v>
      </c>
      <c r="F407" s="22" t="s">
        <v>2005</v>
      </c>
      <c r="G407" s="22">
        <v>8888004463</v>
      </c>
      <c r="H407" s="22" t="s">
        <v>2006</v>
      </c>
      <c r="I407" s="22" t="s">
        <v>101</v>
      </c>
      <c r="J407" s="22" t="s">
        <v>518</v>
      </c>
      <c r="K407" s="22" t="s">
        <v>116</v>
      </c>
      <c r="L407" s="22" t="s">
        <v>928</v>
      </c>
      <c r="M407" s="22" t="s">
        <v>2007</v>
      </c>
      <c r="N407" s="22" t="s">
        <v>2008</v>
      </c>
      <c r="O407" s="22">
        <v>0</v>
      </c>
      <c r="P407" s="22" t="s">
        <v>173</v>
      </c>
      <c r="Q407" s="22" t="s">
        <v>63</v>
      </c>
      <c r="R407" s="22" t="s">
        <v>63</v>
      </c>
      <c r="S407" s="22" t="s">
        <v>633</v>
      </c>
      <c r="T407" s="22" t="s">
        <v>2009</v>
      </c>
      <c r="U407" s="24"/>
      <c r="V407" s="22"/>
      <c r="W407" s="22" t="s">
        <v>218</v>
      </c>
      <c r="X407" s="22" t="s">
        <v>1528</v>
      </c>
      <c r="Y407" s="22" t="s">
        <v>135</v>
      </c>
      <c r="Z407" s="22" t="s">
        <v>66</v>
      </c>
      <c r="AA407" s="22">
        <v>45714</v>
      </c>
      <c r="AB407" s="22">
        <v>45708</v>
      </c>
      <c r="AC407" s="22">
        <v>45708</v>
      </c>
      <c r="AD407" s="22"/>
      <c r="AE407" s="22"/>
      <c r="AF407" s="22"/>
      <c r="AG407" s="22"/>
      <c r="AH407" s="22"/>
      <c r="AI407" s="22"/>
      <c r="AJ407" s="22"/>
      <c r="AK407" s="22"/>
      <c r="AL407" s="22"/>
      <c r="AM407" s="22"/>
      <c r="AN407" s="22"/>
      <c r="AO407" s="22"/>
      <c r="AP407" s="22"/>
      <c r="AQ407" s="22"/>
      <c r="AR407" s="22"/>
      <c r="AS407" s="25"/>
    </row>
    <row r="408" spans="1:45" s="1" customFormat="1">
      <c r="A408" s="22">
        <f t="shared" si="6"/>
        <v>407</v>
      </c>
      <c r="B408" s="23">
        <v>45714</v>
      </c>
      <c r="C408" s="22" t="s">
        <v>208</v>
      </c>
      <c r="D408" s="22" t="s">
        <v>209</v>
      </c>
      <c r="E408" s="22">
        <v>20241431</v>
      </c>
      <c r="F408" s="22" t="s">
        <v>2010</v>
      </c>
      <c r="G408" s="22">
        <v>9852997940</v>
      </c>
      <c r="H408" s="22" t="s">
        <v>2011</v>
      </c>
      <c r="I408" s="22" t="s">
        <v>55</v>
      </c>
      <c r="J408" s="22" t="s">
        <v>518</v>
      </c>
      <c r="K408" s="22" t="s">
        <v>116</v>
      </c>
      <c r="L408" s="22">
        <v>4.2</v>
      </c>
      <c r="M408" s="22" t="s">
        <v>1631</v>
      </c>
      <c r="N408" s="22">
        <v>7.1</v>
      </c>
      <c r="O408" s="22" t="s">
        <v>2012</v>
      </c>
      <c r="P408" s="22" t="s">
        <v>2013</v>
      </c>
      <c r="Q408" s="22" t="s">
        <v>484</v>
      </c>
      <c r="R408" s="22" t="s">
        <v>63</v>
      </c>
      <c r="S408" s="22" t="s">
        <v>2014</v>
      </c>
      <c r="T408" s="22" t="s">
        <v>2015</v>
      </c>
      <c r="U408" s="24"/>
      <c r="V408" s="22"/>
      <c r="W408" s="22" t="s">
        <v>218</v>
      </c>
      <c r="X408" s="22" t="s">
        <v>218</v>
      </c>
      <c r="Y408" s="22" t="s">
        <v>135</v>
      </c>
      <c r="Z408" s="22" t="s">
        <v>66</v>
      </c>
      <c r="AA408" s="22">
        <v>45714</v>
      </c>
      <c r="AB408" s="22">
        <v>45708</v>
      </c>
      <c r="AC408" s="22">
        <v>45708</v>
      </c>
      <c r="AD408" s="22"/>
      <c r="AE408" s="22"/>
      <c r="AF408" s="22"/>
      <c r="AG408" s="22"/>
      <c r="AH408" s="22"/>
      <c r="AI408" s="22"/>
      <c r="AJ408" s="22"/>
      <c r="AK408" s="22"/>
      <c r="AL408" s="22"/>
      <c r="AM408" s="22"/>
      <c r="AN408" s="22"/>
      <c r="AO408" s="22"/>
      <c r="AP408" s="22"/>
      <c r="AQ408" s="22"/>
      <c r="AR408" s="22"/>
      <c r="AS408" s="25"/>
    </row>
    <row r="409" spans="1:45" s="1" customFormat="1">
      <c r="A409" s="22">
        <f t="shared" si="6"/>
        <v>408</v>
      </c>
      <c r="B409" s="23">
        <v>45714</v>
      </c>
      <c r="C409" s="22" t="s">
        <v>208</v>
      </c>
      <c r="D409" s="22" t="s">
        <v>209</v>
      </c>
      <c r="E409" s="22">
        <v>20241431</v>
      </c>
      <c r="F409" s="22" t="s">
        <v>2016</v>
      </c>
      <c r="G409" s="22">
        <v>7249409151</v>
      </c>
      <c r="H409" s="22" t="s">
        <v>2017</v>
      </c>
      <c r="I409" s="22" t="s">
        <v>55</v>
      </c>
      <c r="J409" s="22" t="s">
        <v>518</v>
      </c>
      <c r="K409" s="22" t="s">
        <v>116</v>
      </c>
      <c r="L409" s="22">
        <v>5.7</v>
      </c>
      <c r="M409" s="22" t="s">
        <v>2018</v>
      </c>
      <c r="N409" s="22">
        <v>10</v>
      </c>
      <c r="O409" s="22">
        <v>0</v>
      </c>
      <c r="P409" s="22" t="s">
        <v>2019</v>
      </c>
      <c r="Q409" s="22" t="s">
        <v>796</v>
      </c>
      <c r="R409" s="22" t="s">
        <v>63</v>
      </c>
      <c r="S409" s="22" t="s">
        <v>230</v>
      </c>
      <c r="T409" s="22"/>
      <c r="U409" s="24"/>
      <c r="V409" s="22"/>
      <c r="W409" s="22" t="s">
        <v>218</v>
      </c>
      <c r="X409" s="22" t="s">
        <v>218</v>
      </c>
      <c r="Y409" s="22" t="s">
        <v>135</v>
      </c>
      <c r="Z409" s="22" t="s">
        <v>66</v>
      </c>
      <c r="AA409" s="22">
        <v>45714</v>
      </c>
      <c r="AB409" s="22">
        <v>45709</v>
      </c>
      <c r="AC409" s="22">
        <v>45709</v>
      </c>
      <c r="AD409" s="22"/>
      <c r="AE409" s="22"/>
      <c r="AF409" s="22"/>
      <c r="AG409" s="22"/>
      <c r="AH409" s="22"/>
      <c r="AI409" s="22"/>
      <c r="AJ409" s="22"/>
      <c r="AK409" s="22"/>
      <c r="AL409" s="22"/>
      <c r="AM409" s="22"/>
      <c r="AN409" s="22"/>
      <c r="AO409" s="22"/>
      <c r="AP409" s="22"/>
      <c r="AQ409" s="22"/>
      <c r="AR409" s="22"/>
      <c r="AS409" s="25"/>
    </row>
    <row r="410" spans="1:45" s="1" customFormat="1">
      <c r="A410" s="22">
        <f t="shared" si="6"/>
        <v>409</v>
      </c>
      <c r="B410" s="23">
        <v>45714</v>
      </c>
      <c r="C410" s="22" t="s">
        <v>208</v>
      </c>
      <c r="D410" s="22" t="s">
        <v>209</v>
      </c>
      <c r="E410" s="22">
        <v>20241431</v>
      </c>
      <c r="F410" s="22" t="s">
        <v>2020</v>
      </c>
      <c r="G410" s="22">
        <v>8889337713</v>
      </c>
      <c r="H410" s="22" t="s">
        <v>2021</v>
      </c>
      <c r="I410" s="22" t="s">
        <v>101</v>
      </c>
      <c r="J410" s="22" t="s">
        <v>518</v>
      </c>
      <c r="K410" s="22" t="s">
        <v>116</v>
      </c>
      <c r="L410" s="22">
        <v>4</v>
      </c>
      <c r="M410" s="22" t="s">
        <v>214</v>
      </c>
      <c r="N410" s="22">
        <v>6.5</v>
      </c>
      <c r="O410" s="22" t="s">
        <v>2022</v>
      </c>
      <c r="P410" s="22">
        <v>12</v>
      </c>
      <c r="Q410" s="22" t="s">
        <v>490</v>
      </c>
      <c r="R410" s="22" t="s">
        <v>63</v>
      </c>
      <c r="S410" s="22" t="s">
        <v>255</v>
      </c>
      <c r="T410" s="22" t="s">
        <v>2023</v>
      </c>
      <c r="U410" s="24"/>
      <c r="V410" s="22"/>
      <c r="W410" s="22" t="s">
        <v>218</v>
      </c>
      <c r="X410" s="22" t="s">
        <v>218</v>
      </c>
      <c r="Y410" s="22" t="s">
        <v>135</v>
      </c>
      <c r="Z410" s="22" t="s">
        <v>66</v>
      </c>
      <c r="AA410" s="22">
        <v>45714</v>
      </c>
      <c r="AB410" s="22">
        <v>45712</v>
      </c>
      <c r="AC410" s="22">
        <v>45712</v>
      </c>
      <c r="AD410" s="22"/>
      <c r="AE410" s="22"/>
      <c r="AF410" s="22"/>
      <c r="AG410" s="22"/>
      <c r="AH410" s="22"/>
      <c r="AI410" s="22"/>
      <c r="AJ410" s="22"/>
      <c r="AK410" s="22"/>
      <c r="AL410" s="22"/>
      <c r="AM410" s="22"/>
      <c r="AN410" s="22"/>
      <c r="AO410" s="22"/>
      <c r="AP410" s="22"/>
      <c r="AQ410" s="22"/>
      <c r="AR410" s="22"/>
      <c r="AS410" s="25"/>
    </row>
    <row r="411" spans="1:45" s="1" customFormat="1">
      <c r="A411" s="22">
        <f t="shared" si="6"/>
        <v>410</v>
      </c>
      <c r="B411" s="23">
        <v>45714</v>
      </c>
      <c r="C411" s="22" t="s">
        <v>208</v>
      </c>
      <c r="D411" s="22" t="s">
        <v>209</v>
      </c>
      <c r="E411" s="22">
        <v>20241431</v>
      </c>
      <c r="F411" s="22" t="s">
        <v>2024</v>
      </c>
      <c r="G411" s="22">
        <v>7024858886</v>
      </c>
      <c r="H411" s="22" t="s">
        <v>2025</v>
      </c>
      <c r="I411" s="22" t="s">
        <v>101</v>
      </c>
      <c r="J411" s="22" t="s">
        <v>518</v>
      </c>
      <c r="K411" s="22" t="s">
        <v>116</v>
      </c>
      <c r="L411" s="22">
        <v>6</v>
      </c>
      <c r="M411" s="22" t="s">
        <v>791</v>
      </c>
      <c r="N411" s="22">
        <v>8</v>
      </c>
      <c r="O411" s="22">
        <v>0</v>
      </c>
      <c r="P411" s="22">
        <v>13</v>
      </c>
      <c r="Q411" s="22" t="s">
        <v>2026</v>
      </c>
      <c r="R411" s="22" t="s">
        <v>63</v>
      </c>
      <c r="S411" s="22" t="s">
        <v>2027</v>
      </c>
      <c r="T411" s="22"/>
      <c r="U411" s="24"/>
      <c r="V411" s="22"/>
      <c r="W411" s="22" t="s">
        <v>218</v>
      </c>
      <c r="X411" s="22" t="s">
        <v>218</v>
      </c>
      <c r="Y411" s="22" t="s">
        <v>135</v>
      </c>
      <c r="Z411" s="22" t="s">
        <v>66</v>
      </c>
      <c r="AA411" s="22">
        <v>45714</v>
      </c>
      <c r="AB411" s="22">
        <v>45713</v>
      </c>
      <c r="AC411" s="22">
        <v>45713</v>
      </c>
      <c r="AD411" s="22"/>
      <c r="AE411" s="22"/>
      <c r="AF411" s="22"/>
      <c r="AG411" s="22"/>
      <c r="AH411" s="22"/>
      <c r="AI411" s="22"/>
      <c r="AJ411" s="22"/>
      <c r="AK411" s="22"/>
      <c r="AL411" s="22"/>
      <c r="AM411" s="22"/>
      <c r="AN411" s="22"/>
      <c r="AO411" s="22"/>
      <c r="AP411" s="22"/>
      <c r="AQ411" s="22"/>
      <c r="AR411" s="22"/>
      <c r="AS411" s="25"/>
    </row>
    <row r="412" spans="1:45" s="1" customFormat="1">
      <c r="A412" s="22">
        <f t="shared" si="6"/>
        <v>411</v>
      </c>
      <c r="B412" s="23">
        <v>45714</v>
      </c>
      <c r="C412" s="22" t="s">
        <v>208</v>
      </c>
      <c r="D412" s="22" t="s">
        <v>209</v>
      </c>
      <c r="E412" s="22">
        <v>20241431</v>
      </c>
      <c r="F412" s="22" t="s">
        <v>2028</v>
      </c>
      <c r="G412" s="22">
        <v>9028526886</v>
      </c>
      <c r="H412" s="22" t="s">
        <v>2029</v>
      </c>
      <c r="I412" s="22" t="s">
        <v>55</v>
      </c>
      <c r="J412" s="22" t="s">
        <v>518</v>
      </c>
      <c r="K412" s="22" t="s">
        <v>116</v>
      </c>
      <c r="L412" s="22">
        <v>4.3</v>
      </c>
      <c r="M412" s="22" t="s">
        <v>2030</v>
      </c>
      <c r="N412" s="22">
        <v>11</v>
      </c>
      <c r="O412" s="22">
        <v>0</v>
      </c>
      <c r="P412" s="22">
        <v>17</v>
      </c>
      <c r="Q412" s="22" t="s">
        <v>525</v>
      </c>
      <c r="R412" s="22" t="s">
        <v>63</v>
      </c>
      <c r="S412" s="22" t="s">
        <v>2031</v>
      </c>
      <c r="T412" s="22" t="s">
        <v>946</v>
      </c>
      <c r="U412" s="24"/>
      <c r="V412" s="22"/>
      <c r="W412" s="22" t="s">
        <v>218</v>
      </c>
      <c r="X412" s="22" t="s">
        <v>218</v>
      </c>
      <c r="Y412" s="22" t="s">
        <v>135</v>
      </c>
      <c r="Z412" s="22" t="s">
        <v>66</v>
      </c>
      <c r="AA412" s="22">
        <v>45714</v>
      </c>
      <c r="AB412" s="22">
        <v>45711</v>
      </c>
      <c r="AC412" s="22">
        <v>45711</v>
      </c>
      <c r="AD412" s="22"/>
      <c r="AE412" s="22"/>
      <c r="AF412" s="22"/>
      <c r="AG412" s="22"/>
      <c r="AH412" s="22"/>
      <c r="AI412" s="22"/>
      <c r="AJ412" s="22"/>
      <c r="AK412" s="22"/>
      <c r="AL412" s="22"/>
      <c r="AM412" s="22"/>
      <c r="AN412" s="22"/>
      <c r="AO412" s="22"/>
      <c r="AP412" s="22"/>
      <c r="AQ412" s="22"/>
      <c r="AR412" s="22"/>
      <c r="AS412" s="25"/>
    </row>
    <row r="413" spans="1:45" s="1" customFormat="1">
      <c r="A413" s="22">
        <f t="shared" si="6"/>
        <v>412</v>
      </c>
      <c r="B413" s="23">
        <v>45715</v>
      </c>
      <c r="C413" s="22" t="s">
        <v>208</v>
      </c>
      <c r="D413" s="22" t="s">
        <v>367</v>
      </c>
      <c r="E413" s="22">
        <v>20243793</v>
      </c>
      <c r="F413" s="22" t="s">
        <v>2032</v>
      </c>
      <c r="G413" s="22">
        <v>8329790672</v>
      </c>
      <c r="H413" s="22" t="s">
        <v>2033</v>
      </c>
      <c r="I413" s="22" t="s">
        <v>55</v>
      </c>
      <c r="J413" s="22" t="s">
        <v>278</v>
      </c>
      <c r="K413" s="22" t="s">
        <v>1052</v>
      </c>
      <c r="L413" s="22" t="s">
        <v>545</v>
      </c>
      <c r="M413" s="22"/>
      <c r="N413" s="22"/>
      <c r="O413" s="22"/>
      <c r="P413" s="22"/>
      <c r="Q413" s="22"/>
      <c r="R413" s="22"/>
      <c r="S413" s="22"/>
      <c r="T413" s="22"/>
      <c r="U413" s="24"/>
      <c r="V413" s="22"/>
      <c r="W413" s="22" t="s">
        <v>65</v>
      </c>
      <c r="X413" s="22" t="s">
        <v>1528</v>
      </c>
      <c r="Y413" s="22"/>
      <c r="Z413" s="22" t="s">
        <v>66</v>
      </c>
      <c r="AA413" s="22"/>
      <c r="AB413" s="22"/>
      <c r="AC413" s="22"/>
      <c r="AD413" s="22"/>
      <c r="AE413" s="22"/>
      <c r="AF413" s="22"/>
      <c r="AG413" s="22"/>
      <c r="AH413" s="22"/>
      <c r="AI413" s="22"/>
      <c r="AJ413" s="22"/>
      <c r="AK413" s="22"/>
      <c r="AL413" s="22"/>
      <c r="AM413" s="22"/>
      <c r="AN413" s="22"/>
      <c r="AO413" s="22"/>
      <c r="AP413" s="22"/>
      <c r="AQ413" s="22"/>
      <c r="AR413" s="22"/>
      <c r="AS413" s="25"/>
    </row>
    <row r="414" spans="1:45" s="1" customFormat="1">
      <c r="A414" s="22">
        <f t="shared" si="6"/>
        <v>413</v>
      </c>
      <c r="B414" s="23">
        <v>45715</v>
      </c>
      <c r="C414" s="22" t="s">
        <v>208</v>
      </c>
      <c r="D414" s="22" t="s">
        <v>209</v>
      </c>
      <c r="E414" s="22">
        <v>20243793</v>
      </c>
      <c r="F414" s="22" t="s">
        <v>2034</v>
      </c>
      <c r="G414" s="22">
        <v>7405763221</v>
      </c>
      <c r="H414" s="22" t="s">
        <v>2035</v>
      </c>
      <c r="I414" s="22" t="s">
        <v>55</v>
      </c>
      <c r="J414" s="22" t="s">
        <v>278</v>
      </c>
      <c r="K414" s="22" t="s">
        <v>1052</v>
      </c>
      <c r="L414" s="22" t="s">
        <v>1053</v>
      </c>
      <c r="M414" s="22" t="s">
        <v>2036</v>
      </c>
      <c r="N414" s="22" t="s">
        <v>154</v>
      </c>
      <c r="O414" s="22">
        <v>0</v>
      </c>
      <c r="P414" s="22" t="s">
        <v>235</v>
      </c>
      <c r="Q414" s="22" t="s">
        <v>2037</v>
      </c>
      <c r="R414" s="22" t="s">
        <v>63</v>
      </c>
      <c r="S414" s="22" t="s">
        <v>255</v>
      </c>
      <c r="T414" s="22"/>
      <c r="U414" s="24"/>
      <c r="V414" s="22"/>
      <c r="W414" s="22" t="s">
        <v>65</v>
      </c>
      <c r="X414" s="22" t="s">
        <v>1528</v>
      </c>
      <c r="Y414" s="22"/>
      <c r="Z414" s="22" t="s">
        <v>66</v>
      </c>
      <c r="AA414" s="22"/>
      <c r="AB414" s="22">
        <v>45731</v>
      </c>
      <c r="AC414" s="22"/>
      <c r="AD414" s="22"/>
      <c r="AE414" s="22"/>
      <c r="AF414" s="22"/>
      <c r="AG414" s="22"/>
      <c r="AH414" s="22"/>
      <c r="AI414" s="22"/>
      <c r="AJ414" s="22"/>
      <c r="AK414" s="22"/>
      <c r="AL414" s="22"/>
      <c r="AM414" s="22"/>
      <c r="AN414" s="22"/>
      <c r="AO414" s="22"/>
      <c r="AP414" s="22"/>
      <c r="AQ414" s="22"/>
      <c r="AR414" s="22"/>
      <c r="AS414" s="25"/>
    </row>
    <row r="415" spans="1:45" s="1" customFormat="1">
      <c r="A415" s="22">
        <f t="shared" si="6"/>
        <v>414</v>
      </c>
      <c r="B415" s="23">
        <v>45715</v>
      </c>
      <c r="C415" s="22" t="s">
        <v>208</v>
      </c>
      <c r="D415" s="22" t="s">
        <v>209</v>
      </c>
      <c r="E415" s="22">
        <v>20243793</v>
      </c>
      <c r="F415" s="22" t="s">
        <v>2038</v>
      </c>
      <c r="G415" s="22">
        <v>9096237408</v>
      </c>
      <c r="H415" s="22" t="s">
        <v>2039</v>
      </c>
      <c r="I415" s="22" t="s">
        <v>55</v>
      </c>
      <c r="J415" s="22" t="s">
        <v>278</v>
      </c>
      <c r="K415" s="22" t="s">
        <v>1052</v>
      </c>
      <c r="L415" s="22">
        <v>9.6</v>
      </c>
      <c r="M415" s="22"/>
      <c r="N415" s="22"/>
      <c r="O415" s="22"/>
      <c r="P415" s="22"/>
      <c r="Q415" s="22"/>
      <c r="R415" s="22"/>
      <c r="S415" s="22"/>
      <c r="T415" s="22"/>
      <c r="U415" s="24"/>
      <c r="V415" s="22"/>
      <c r="W415" s="22" t="s">
        <v>65</v>
      </c>
      <c r="X415" s="22" t="s">
        <v>1528</v>
      </c>
      <c r="Y415" s="22"/>
      <c r="Z415" s="22" t="s">
        <v>66</v>
      </c>
      <c r="AA415" s="22"/>
      <c r="AB415" s="22"/>
      <c r="AC415" s="22"/>
      <c r="AD415" s="22"/>
      <c r="AE415" s="22"/>
      <c r="AF415" s="22"/>
      <c r="AG415" s="22"/>
      <c r="AH415" s="22"/>
      <c r="AI415" s="22"/>
      <c r="AJ415" s="22"/>
      <c r="AK415" s="22"/>
      <c r="AL415" s="22"/>
      <c r="AM415" s="22"/>
      <c r="AN415" s="22"/>
      <c r="AO415" s="22"/>
      <c r="AP415" s="22"/>
      <c r="AQ415" s="22"/>
      <c r="AR415" s="22"/>
      <c r="AS415" s="25"/>
    </row>
    <row r="416" spans="1:45" s="1" customFormat="1">
      <c r="A416" s="22">
        <f t="shared" si="6"/>
        <v>415</v>
      </c>
      <c r="B416" s="23">
        <v>45715</v>
      </c>
      <c r="C416" s="22" t="s">
        <v>208</v>
      </c>
      <c r="D416" s="22" t="s">
        <v>954</v>
      </c>
      <c r="E416" s="22">
        <v>20243793</v>
      </c>
      <c r="F416" s="22" t="s">
        <v>2040</v>
      </c>
      <c r="G416" s="22">
        <v>9023651641</v>
      </c>
      <c r="H416" s="22" t="s">
        <v>2041</v>
      </c>
      <c r="I416" s="22" t="s">
        <v>101</v>
      </c>
      <c r="J416" s="22" t="s">
        <v>278</v>
      </c>
      <c r="K416" s="22" t="s">
        <v>1052</v>
      </c>
      <c r="L416" s="22">
        <v>7</v>
      </c>
      <c r="M416" s="22" t="s">
        <v>2042</v>
      </c>
      <c r="N416" s="22" t="s">
        <v>494</v>
      </c>
      <c r="O416" s="22">
        <v>0</v>
      </c>
      <c r="P416" s="22" t="s">
        <v>164</v>
      </c>
      <c r="Q416" s="22" t="s">
        <v>63</v>
      </c>
      <c r="R416" s="22" t="s">
        <v>63</v>
      </c>
      <c r="S416" s="22" t="s">
        <v>637</v>
      </c>
      <c r="T416" s="22"/>
      <c r="U416" s="24"/>
      <c r="V416" s="22"/>
      <c r="W416" s="22" t="s">
        <v>65</v>
      </c>
      <c r="X416" s="22" t="s">
        <v>1528</v>
      </c>
      <c r="Y416" s="22"/>
      <c r="Z416" s="22" t="s">
        <v>66</v>
      </c>
      <c r="AA416" s="22"/>
      <c r="AB416" s="22"/>
      <c r="AC416" s="22"/>
      <c r="AD416" s="22"/>
      <c r="AE416" s="22"/>
      <c r="AF416" s="22"/>
      <c r="AG416" s="22"/>
      <c r="AH416" s="22"/>
      <c r="AI416" s="22"/>
      <c r="AJ416" s="22"/>
      <c r="AK416" s="22"/>
      <c r="AL416" s="22"/>
      <c r="AM416" s="22"/>
      <c r="AN416" s="22"/>
      <c r="AO416" s="22"/>
      <c r="AP416" s="22"/>
      <c r="AQ416" s="22"/>
      <c r="AR416" s="22"/>
      <c r="AS416" s="25"/>
    </row>
    <row r="417" spans="1:45" s="1" customFormat="1">
      <c r="A417" s="22">
        <f t="shared" si="6"/>
        <v>416</v>
      </c>
      <c r="B417" s="23">
        <v>45715</v>
      </c>
      <c r="C417" s="22" t="s">
        <v>208</v>
      </c>
      <c r="D417" s="22" t="s">
        <v>667</v>
      </c>
      <c r="E417" s="22">
        <v>20243793</v>
      </c>
      <c r="F417" s="22" t="s">
        <v>2043</v>
      </c>
      <c r="G417" s="22" t="s">
        <v>2044</v>
      </c>
      <c r="H417" s="22" t="s">
        <v>2045</v>
      </c>
      <c r="I417" s="22" t="s">
        <v>55</v>
      </c>
      <c r="J417" s="22" t="s">
        <v>278</v>
      </c>
      <c r="K417" s="22" t="s">
        <v>1052</v>
      </c>
      <c r="L417" s="22" t="s">
        <v>2046</v>
      </c>
      <c r="M417" s="22" t="s">
        <v>2047</v>
      </c>
      <c r="N417" s="22" t="s">
        <v>2048</v>
      </c>
      <c r="O417" s="22">
        <v>0</v>
      </c>
      <c r="P417" s="22" t="s">
        <v>340</v>
      </c>
      <c r="Q417" s="22" t="s">
        <v>63</v>
      </c>
      <c r="R417" s="22" t="s">
        <v>63</v>
      </c>
      <c r="S417" s="22" t="s">
        <v>941</v>
      </c>
      <c r="T417" s="22"/>
      <c r="U417" s="24"/>
      <c r="V417" s="22"/>
      <c r="W417" s="22" t="s">
        <v>65</v>
      </c>
      <c r="X417" s="22" t="s">
        <v>1528</v>
      </c>
      <c r="Y417" s="22"/>
      <c r="Z417" s="22" t="s">
        <v>66</v>
      </c>
      <c r="AA417" s="22"/>
      <c r="AB417" s="22"/>
      <c r="AC417" s="22"/>
      <c r="AD417" s="22"/>
      <c r="AE417" s="22"/>
      <c r="AF417" s="22"/>
      <c r="AG417" s="22"/>
      <c r="AH417" s="22"/>
      <c r="AI417" s="22"/>
      <c r="AJ417" s="22"/>
      <c r="AK417" s="22"/>
      <c r="AL417" s="22"/>
      <c r="AM417" s="22"/>
      <c r="AN417" s="22"/>
      <c r="AO417" s="22"/>
      <c r="AP417" s="22"/>
      <c r="AQ417" s="22"/>
      <c r="AR417" s="22"/>
      <c r="AS417" s="25"/>
    </row>
    <row r="418" spans="1:45" s="1" customFormat="1">
      <c r="A418" s="22">
        <f t="shared" si="6"/>
        <v>417</v>
      </c>
      <c r="B418" s="23">
        <v>45715</v>
      </c>
      <c r="C418" s="22" t="s">
        <v>208</v>
      </c>
      <c r="D418" s="22" t="s">
        <v>1056</v>
      </c>
      <c r="E418" s="22">
        <v>20243793</v>
      </c>
      <c r="F418" s="22" t="s">
        <v>2049</v>
      </c>
      <c r="G418" s="22">
        <v>7096591887</v>
      </c>
      <c r="H418" s="22" t="s">
        <v>2050</v>
      </c>
      <c r="I418" s="22" t="s">
        <v>55</v>
      </c>
      <c r="J418" s="22" t="s">
        <v>278</v>
      </c>
      <c r="K418" s="22" t="s">
        <v>1052</v>
      </c>
      <c r="L418" s="22" t="s">
        <v>1075</v>
      </c>
      <c r="M418" s="22" t="s">
        <v>2051</v>
      </c>
      <c r="N418" s="22" t="s">
        <v>350</v>
      </c>
      <c r="O418" s="22">
        <v>0</v>
      </c>
      <c r="P418" s="22" t="s">
        <v>333</v>
      </c>
      <c r="Q418" s="22" t="s">
        <v>2037</v>
      </c>
      <c r="R418" s="22" t="s">
        <v>63</v>
      </c>
      <c r="S418" s="22" t="s">
        <v>2052</v>
      </c>
      <c r="T418" s="22"/>
      <c r="U418" s="24"/>
      <c r="V418" s="22"/>
      <c r="W418" s="22" t="s">
        <v>65</v>
      </c>
      <c r="X418" s="22" t="s">
        <v>1528</v>
      </c>
      <c r="Y418" s="22"/>
      <c r="Z418" s="22" t="s">
        <v>66</v>
      </c>
      <c r="AA418" s="22"/>
      <c r="AB418" s="22"/>
      <c r="AC418" s="22"/>
      <c r="AD418" s="22"/>
      <c r="AE418" s="22"/>
      <c r="AF418" s="22"/>
      <c r="AG418" s="22"/>
      <c r="AH418" s="22"/>
      <c r="AI418" s="22"/>
      <c r="AJ418" s="22"/>
      <c r="AK418" s="22"/>
      <c r="AL418" s="22"/>
      <c r="AM418" s="22"/>
      <c r="AN418" s="22"/>
      <c r="AO418" s="22"/>
      <c r="AP418" s="22"/>
      <c r="AQ418" s="22"/>
      <c r="AR418" s="22"/>
      <c r="AS418" s="25"/>
    </row>
    <row r="419" spans="1:45" s="1" customFormat="1">
      <c r="A419" s="22">
        <f t="shared" si="6"/>
        <v>418</v>
      </c>
      <c r="B419" s="23">
        <v>45715</v>
      </c>
      <c r="C419" s="22" t="s">
        <v>208</v>
      </c>
      <c r="D419" s="22" t="s">
        <v>1056</v>
      </c>
      <c r="E419" s="22">
        <v>20243793</v>
      </c>
      <c r="F419" s="22" t="s">
        <v>2053</v>
      </c>
      <c r="G419" s="22">
        <v>9004503181</v>
      </c>
      <c r="H419" s="22" t="s">
        <v>2054</v>
      </c>
      <c r="I419" s="22" t="s">
        <v>55</v>
      </c>
      <c r="J419" s="22" t="s">
        <v>278</v>
      </c>
      <c r="K419" s="22" t="s">
        <v>1052</v>
      </c>
      <c r="L419" s="22" t="s">
        <v>2055</v>
      </c>
      <c r="M419" s="22" t="s">
        <v>2056</v>
      </c>
      <c r="N419" s="22" t="s">
        <v>1517</v>
      </c>
      <c r="O419" s="22">
        <v>0</v>
      </c>
      <c r="P419" s="22" t="s">
        <v>2057</v>
      </c>
      <c r="Q419" s="22" t="s">
        <v>63</v>
      </c>
      <c r="R419" s="22" t="s">
        <v>657</v>
      </c>
      <c r="S419" s="22" t="s">
        <v>255</v>
      </c>
      <c r="T419" s="22"/>
      <c r="U419" s="24"/>
      <c r="V419" s="22"/>
      <c r="W419" s="22" t="s">
        <v>65</v>
      </c>
      <c r="X419" s="22" t="s">
        <v>1528</v>
      </c>
      <c r="Y419" s="22"/>
      <c r="Z419" s="22" t="s">
        <v>66</v>
      </c>
      <c r="AA419" s="22"/>
      <c r="AB419" s="22"/>
      <c r="AC419" s="22"/>
      <c r="AD419" s="22"/>
      <c r="AE419" s="22"/>
      <c r="AF419" s="22"/>
      <c r="AG419" s="22"/>
      <c r="AH419" s="22"/>
      <c r="AI419" s="22"/>
      <c r="AJ419" s="22"/>
      <c r="AK419" s="22"/>
      <c r="AL419" s="22"/>
      <c r="AM419" s="22"/>
      <c r="AN419" s="22"/>
      <c r="AO419" s="22"/>
      <c r="AP419" s="22"/>
      <c r="AQ419" s="22"/>
      <c r="AR419" s="22"/>
      <c r="AS419" s="25"/>
    </row>
    <row r="420" spans="1:45" s="1" customFormat="1">
      <c r="A420" s="22">
        <f t="shared" si="6"/>
        <v>419</v>
      </c>
      <c r="B420" s="23">
        <v>45715</v>
      </c>
      <c r="C420" s="22" t="s">
        <v>208</v>
      </c>
      <c r="D420" s="22" t="s">
        <v>954</v>
      </c>
      <c r="E420" s="22">
        <v>20243793</v>
      </c>
      <c r="F420" s="22" t="s">
        <v>1279</v>
      </c>
      <c r="G420" s="22">
        <v>7989536989</v>
      </c>
      <c r="H420" s="22" t="s">
        <v>1280</v>
      </c>
      <c r="I420" s="22" t="s">
        <v>55</v>
      </c>
      <c r="J420" s="22" t="s">
        <v>278</v>
      </c>
      <c r="K420" s="22" t="s">
        <v>1052</v>
      </c>
      <c r="L420" s="22" t="s">
        <v>989</v>
      </c>
      <c r="M420" s="22" t="s">
        <v>1281</v>
      </c>
      <c r="N420" s="22">
        <v>19</v>
      </c>
      <c r="O420" s="22" t="s">
        <v>61</v>
      </c>
      <c r="P420" s="22">
        <v>26</v>
      </c>
      <c r="Q420" s="22" t="s">
        <v>459</v>
      </c>
      <c r="R420" s="22" t="s">
        <v>657</v>
      </c>
      <c r="S420" s="22" t="s">
        <v>1136</v>
      </c>
      <c r="T420" s="22" t="s">
        <v>1101</v>
      </c>
      <c r="U420" s="24"/>
      <c r="V420" s="22"/>
      <c r="W420" s="22" t="s">
        <v>65</v>
      </c>
      <c r="X420" s="22" t="s">
        <v>65</v>
      </c>
      <c r="Y420" s="22"/>
      <c r="Z420" s="22" t="s">
        <v>66</v>
      </c>
      <c r="AA420" s="22"/>
      <c r="AB420" s="22"/>
      <c r="AC420" s="22"/>
      <c r="AD420" s="22"/>
      <c r="AE420" s="22"/>
      <c r="AF420" s="22"/>
      <c r="AG420" s="22"/>
      <c r="AH420" s="22"/>
      <c r="AI420" s="22"/>
      <c r="AJ420" s="22"/>
      <c r="AK420" s="22"/>
      <c r="AL420" s="22"/>
      <c r="AM420" s="22"/>
      <c r="AN420" s="22"/>
      <c r="AO420" s="22"/>
      <c r="AP420" s="22"/>
      <c r="AQ420" s="22"/>
      <c r="AR420" s="22"/>
      <c r="AS420" s="25"/>
    </row>
    <row r="421" spans="1:45" s="1" customFormat="1">
      <c r="A421" s="22">
        <f t="shared" si="6"/>
        <v>420</v>
      </c>
      <c r="B421" s="23">
        <v>45715</v>
      </c>
      <c r="C421" s="22" t="s">
        <v>208</v>
      </c>
      <c r="D421" s="22" t="s">
        <v>954</v>
      </c>
      <c r="E421" s="22">
        <v>20243793</v>
      </c>
      <c r="F421" s="22" t="s">
        <v>1282</v>
      </c>
      <c r="G421" s="22">
        <v>9028353200</v>
      </c>
      <c r="H421" s="22" t="s">
        <v>1283</v>
      </c>
      <c r="I421" s="22" t="s">
        <v>55</v>
      </c>
      <c r="J421" s="22" t="s">
        <v>278</v>
      </c>
      <c r="K421" s="22" t="s">
        <v>1052</v>
      </c>
      <c r="L421" s="22" t="s">
        <v>1053</v>
      </c>
      <c r="M421" s="22" t="s">
        <v>1284</v>
      </c>
      <c r="N421" s="22">
        <v>19</v>
      </c>
      <c r="O421" s="22" t="s">
        <v>61</v>
      </c>
      <c r="P421" s="22">
        <v>26</v>
      </c>
      <c r="Q421" s="22" t="s">
        <v>657</v>
      </c>
      <c r="R421" s="22" t="s">
        <v>657</v>
      </c>
      <c r="S421" s="22" t="s">
        <v>941</v>
      </c>
      <c r="T421" s="22"/>
      <c r="U421" s="24"/>
      <c r="V421" s="22"/>
      <c r="W421" s="22" t="s">
        <v>65</v>
      </c>
      <c r="X421" s="22" t="s">
        <v>65</v>
      </c>
      <c r="Y421" s="22"/>
      <c r="Z421" s="22" t="s">
        <v>66</v>
      </c>
      <c r="AA421" s="22"/>
      <c r="AB421" s="22"/>
      <c r="AC421" s="22"/>
      <c r="AD421" s="22"/>
      <c r="AE421" s="22"/>
      <c r="AF421" s="22"/>
      <c r="AG421" s="22"/>
      <c r="AH421" s="22"/>
      <c r="AI421" s="22"/>
      <c r="AJ421" s="22"/>
      <c r="AK421" s="22"/>
      <c r="AL421" s="22"/>
      <c r="AM421" s="22"/>
      <c r="AN421" s="22"/>
      <c r="AO421" s="22"/>
      <c r="AP421" s="22"/>
      <c r="AQ421" s="22"/>
      <c r="AR421" s="22"/>
      <c r="AS421" s="25"/>
    </row>
    <row r="422" spans="1:45" s="1" customFormat="1">
      <c r="A422" s="22">
        <f t="shared" si="6"/>
        <v>421</v>
      </c>
      <c r="B422" s="23">
        <v>45717</v>
      </c>
      <c r="C422" s="22" t="s">
        <v>51</v>
      </c>
      <c r="D422" s="22" t="s">
        <v>51</v>
      </c>
      <c r="E422" s="22" t="s">
        <v>94</v>
      </c>
      <c r="F422" s="22" t="s">
        <v>2058</v>
      </c>
      <c r="G422" s="22">
        <v>8237707010</v>
      </c>
      <c r="H422" s="22" t="s">
        <v>2059</v>
      </c>
      <c r="I422" s="22" t="s">
        <v>55</v>
      </c>
      <c r="J422" s="22" t="s">
        <v>2060</v>
      </c>
      <c r="K422" s="22" t="s">
        <v>2061</v>
      </c>
      <c r="L422" s="22">
        <v>7</v>
      </c>
      <c r="M422" s="22" t="s">
        <v>864</v>
      </c>
      <c r="N422" s="22">
        <v>450000</v>
      </c>
      <c r="O422" s="22"/>
      <c r="P422" s="22">
        <v>650000</v>
      </c>
      <c r="Q422" s="22" t="s">
        <v>63</v>
      </c>
      <c r="R422" s="22" t="s">
        <v>63</v>
      </c>
      <c r="S422" s="22" t="s">
        <v>941</v>
      </c>
      <c r="T422" s="22" t="s">
        <v>51</v>
      </c>
      <c r="U422" s="24">
        <v>45637</v>
      </c>
      <c r="V422" s="22"/>
      <c r="W422" s="22" t="s">
        <v>218</v>
      </c>
      <c r="X422" s="22" t="s">
        <v>218</v>
      </c>
      <c r="Y422" s="22" t="s">
        <v>135</v>
      </c>
      <c r="Z422" s="22" t="s">
        <v>66</v>
      </c>
      <c r="AA422" s="22">
        <v>45621</v>
      </c>
      <c r="AB422" s="22">
        <v>45622</v>
      </c>
      <c r="AC422" s="22">
        <v>45622</v>
      </c>
      <c r="AD422" s="22">
        <v>45623</v>
      </c>
      <c r="AE422" s="22">
        <v>45623</v>
      </c>
      <c r="AF422" s="22">
        <v>45625</v>
      </c>
      <c r="AG422" s="22">
        <v>45625</v>
      </c>
      <c r="AH422" s="22">
        <v>45617</v>
      </c>
      <c r="AI422" s="22">
        <v>45625</v>
      </c>
      <c r="AJ422" s="22">
        <v>45625</v>
      </c>
      <c r="AK422" s="22" t="s">
        <v>63</v>
      </c>
      <c r="AL422" s="22">
        <v>650000</v>
      </c>
      <c r="AM422" s="22">
        <v>45625</v>
      </c>
      <c r="AN422" s="22">
        <v>45622</v>
      </c>
      <c r="AO422" s="22"/>
      <c r="AP422" s="22">
        <v>45625</v>
      </c>
      <c r="AQ422" s="22">
        <v>45625</v>
      </c>
      <c r="AR422" s="22">
        <v>45579</v>
      </c>
      <c r="AS422" s="25">
        <v>45642</v>
      </c>
    </row>
    <row r="423" spans="1:45" s="1" customFormat="1">
      <c r="A423" s="22">
        <f t="shared" si="6"/>
        <v>422</v>
      </c>
      <c r="B423" s="23">
        <v>45717</v>
      </c>
      <c r="C423" s="22" t="s">
        <v>51</v>
      </c>
      <c r="D423" s="22" t="s">
        <v>51</v>
      </c>
      <c r="E423" s="22">
        <v>20242136</v>
      </c>
      <c r="F423" s="22" t="s">
        <v>2062</v>
      </c>
      <c r="G423" s="22" t="s">
        <v>2063</v>
      </c>
      <c r="H423" s="22" t="s">
        <v>2064</v>
      </c>
      <c r="I423" s="22" t="s">
        <v>55</v>
      </c>
      <c r="J423" s="22" t="s">
        <v>2065</v>
      </c>
      <c r="K423" s="22" t="s">
        <v>2066</v>
      </c>
      <c r="L423" s="22">
        <v>10</v>
      </c>
      <c r="M423" s="22" t="s">
        <v>365</v>
      </c>
      <c r="N423" s="22">
        <v>1680000</v>
      </c>
      <c r="O423" s="22">
        <v>0</v>
      </c>
      <c r="P423" s="22">
        <v>1680000</v>
      </c>
      <c r="Q423" s="22" t="s">
        <v>1304</v>
      </c>
      <c r="R423" s="22" t="s">
        <v>1304</v>
      </c>
      <c r="S423" s="22" t="s">
        <v>255</v>
      </c>
      <c r="T423" s="22" t="s">
        <v>51</v>
      </c>
      <c r="U423" s="24">
        <v>45271</v>
      </c>
      <c r="V423" s="22"/>
      <c r="W423" s="22" t="s">
        <v>218</v>
      </c>
      <c r="X423" s="22" t="s">
        <v>218</v>
      </c>
      <c r="Y423" s="22" t="s">
        <v>135</v>
      </c>
      <c r="Z423" s="22" t="s">
        <v>66</v>
      </c>
      <c r="AA423" s="22">
        <v>45260</v>
      </c>
      <c r="AB423" s="22">
        <v>45264</v>
      </c>
      <c r="AC423" s="22">
        <v>45264</v>
      </c>
      <c r="AD423" s="22">
        <v>45266</v>
      </c>
      <c r="AE423" s="22">
        <v>45266</v>
      </c>
      <c r="AF423" s="22">
        <v>45268</v>
      </c>
      <c r="AG423" s="22">
        <v>45268</v>
      </c>
      <c r="AH423" s="22">
        <v>45597</v>
      </c>
      <c r="AI423" s="22">
        <v>45617</v>
      </c>
      <c r="AJ423" s="22">
        <v>45617</v>
      </c>
      <c r="AK423" s="22" t="s">
        <v>63</v>
      </c>
      <c r="AL423" s="22">
        <v>1680000</v>
      </c>
      <c r="AM423" s="22">
        <v>45617</v>
      </c>
      <c r="AN423" s="22">
        <v>45624</v>
      </c>
      <c r="AO423" s="22"/>
      <c r="AP423" s="22">
        <v>45625</v>
      </c>
      <c r="AQ423" s="22">
        <v>45625</v>
      </c>
      <c r="AR423" s="22">
        <v>45626</v>
      </c>
      <c r="AS423" s="25">
        <v>45628</v>
      </c>
    </row>
    <row r="424" spans="1:45" s="1" customFormat="1">
      <c r="A424" s="22">
        <f t="shared" si="6"/>
        <v>423</v>
      </c>
      <c r="B424" s="23">
        <v>45717</v>
      </c>
      <c r="C424" s="22" t="s">
        <v>51</v>
      </c>
      <c r="D424" s="22" t="s">
        <v>51</v>
      </c>
      <c r="E424" s="22">
        <v>20244871</v>
      </c>
      <c r="F424" s="22" t="s">
        <v>2067</v>
      </c>
      <c r="G424" s="22">
        <v>8169353813</v>
      </c>
      <c r="H424" s="22" t="s">
        <v>2068</v>
      </c>
      <c r="I424" s="22" t="s">
        <v>55</v>
      </c>
      <c r="J424" s="22" t="s">
        <v>2069</v>
      </c>
      <c r="K424" s="22" t="s">
        <v>2070</v>
      </c>
      <c r="L424" s="22">
        <v>6.4</v>
      </c>
      <c r="M424" s="22" t="s">
        <v>2071</v>
      </c>
      <c r="N424" s="22">
        <v>1100000</v>
      </c>
      <c r="O424" s="22"/>
      <c r="P424" s="22">
        <v>1500000</v>
      </c>
      <c r="Q424" s="22" t="s">
        <v>63</v>
      </c>
      <c r="R424" s="22" t="s">
        <v>63</v>
      </c>
      <c r="S424" s="22" t="s">
        <v>255</v>
      </c>
      <c r="T424" s="22" t="s">
        <v>51</v>
      </c>
      <c r="U424" s="24">
        <v>45348</v>
      </c>
      <c r="V424" s="22"/>
      <c r="W424" s="22" t="s">
        <v>218</v>
      </c>
      <c r="X424" s="22" t="s">
        <v>218</v>
      </c>
      <c r="Y424" s="22" t="s">
        <v>135</v>
      </c>
      <c r="Z424" s="22" t="s">
        <v>66</v>
      </c>
      <c r="AA424" s="22">
        <v>45337</v>
      </c>
      <c r="AB424" s="22">
        <v>45341</v>
      </c>
      <c r="AC424" s="22">
        <v>45341</v>
      </c>
      <c r="AD424" s="22">
        <v>45343</v>
      </c>
      <c r="AE424" s="22">
        <v>45343</v>
      </c>
      <c r="AF424" s="22">
        <v>45345</v>
      </c>
      <c r="AG424" s="22">
        <v>45625</v>
      </c>
      <c r="AH424" s="22">
        <v>45625</v>
      </c>
      <c r="AI424" s="22">
        <v>45625</v>
      </c>
      <c r="AJ424" s="22">
        <v>45625</v>
      </c>
      <c r="AK424" s="22" t="s">
        <v>63</v>
      </c>
      <c r="AL424" s="22">
        <v>1500000</v>
      </c>
      <c r="AM424" s="22">
        <v>45625</v>
      </c>
      <c r="AN424" s="22">
        <v>45622</v>
      </c>
      <c r="AO424" s="22"/>
      <c r="AP424" s="22">
        <v>45625</v>
      </c>
      <c r="AQ424" s="22">
        <v>45625</v>
      </c>
      <c r="AR424" s="22">
        <v>45579</v>
      </c>
      <c r="AS424" s="25">
        <v>45642</v>
      </c>
    </row>
    <row r="425" spans="1:45" s="1" customFormat="1">
      <c r="A425" s="22">
        <f t="shared" si="6"/>
        <v>424</v>
      </c>
      <c r="B425" s="23">
        <v>45718</v>
      </c>
      <c r="C425" s="22" t="s">
        <v>208</v>
      </c>
      <c r="D425" s="22" t="s">
        <v>293</v>
      </c>
      <c r="E425" s="22">
        <v>20250717</v>
      </c>
      <c r="F425" s="22" t="s">
        <v>2072</v>
      </c>
      <c r="G425" s="22">
        <v>845205706</v>
      </c>
      <c r="H425" s="22" t="s">
        <v>2073</v>
      </c>
      <c r="I425" s="22" t="s">
        <v>101</v>
      </c>
      <c r="J425" s="22" t="s">
        <v>379</v>
      </c>
      <c r="K425" s="22" t="s">
        <v>380</v>
      </c>
      <c r="L425" s="22">
        <v>8</v>
      </c>
      <c r="M425" s="22" t="s">
        <v>2074</v>
      </c>
      <c r="N425" s="22">
        <v>14</v>
      </c>
      <c r="O425" s="22">
        <v>0</v>
      </c>
      <c r="P425" s="22">
        <v>19</v>
      </c>
      <c r="Q425" s="22" t="s">
        <v>63</v>
      </c>
      <c r="R425" s="22" t="s">
        <v>63</v>
      </c>
      <c r="S425" s="22" t="s">
        <v>1305</v>
      </c>
      <c r="T425" s="22">
        <v>0</v>
      </c>
      <c r="U425" s="24"/>
      <c r="V425" s="22"/>
      <c r="W425" s="22" t="s">
        <v>218</v>
      </c>
      <c r="X425" s="22" t="s">
        <v>218</v>
      </c>
      <c r="Y425" s="22" t="s">
        <v>135</v>
      </c>
      <c r="Z425" s="22" t="s">
        <v>66</v>
      </c>
      <c r="AA425" s="22"/>
      <c r="AB425" s="22"/>
      <c r="AC425" s="22"/>
      <c r="AD425" s="22"/>
      <c r="AE425" s="22"/>
      <c r="AF425" s="22"/>
      <c r="AG425" s="22"/>
      <c r="AH425" s="22"/>
      <c r="AI425" s="22"/>
      <c r="AJ425" s="22"/>
      <c r="AK425" s="22"/>
      <c r="AL425" s="22"/>
      <c r="AM425" s="22"/>
      <c r="AN425" s="22"/>
      <c r="AO425" s="22"/>
      <c r="AP425" s="22"/>
      <c r="AQ425" s="22"/>
      <c r="AR425" s="22"/>
      <c r="AS425" s="25"/>
    </row>
    <row r="426" spans="1:45" s="1" customFormat="1">
      <c r="A426" s="22">
        <f t="shared" si="6"/>
        <v>425</v>
      </c>
      <c r="B426" s="23">
        <v>45718</v>
      </c>
      <c r="C426" s="22" t="s">
        <v>208</v>
      </c>
      <c r="D426" s="22" t="s">
        <v>209</v>
      </c>
      <c r="E426" s="22">
        <v>20250721</v>
      </c>
      <c r="F426" s="22" t="s">
        <v>2075</v>
      </c>
      <c r="G426" s="22" t="s">
        <v>2076</v>
      </c>
      <c r="H426" s="22" t="s">
        <v>2077</v>
      </c>
      <c r="I426" s="22" t="s">
        <v>55</v>
      </c>
      <c r="J426" s="22" t="s">
        <v>1942</v>
      </c>
      <c r="K426" s="22" t="s">
        <v>380</v>
      </c>
      <c r="L426" s="22">
        <v>2</v>
      </c>
      <c r="M426" s="22" t="s">
        <v>2078</v>
      </c>
      <c r="N426" s="22">
        <v>3</v>
      </c>
      <c r="O426" s="22">
        <v>0</v>
      </c>
      <c r="P426" s="22">
        <v>5</v>
      </c>
      <c r="Q426" s="22" t="s">
        <v>304</v>
      </c>
      <c r="R426" s="22" t="s">
        <v>63</v>
      </c>
      <c r="S426" s="22" t="s">
        <v>2079</v>
      </c>
      <c r="T426" s="22" t="s">
        <v>1244</v>
      </c>
      <c r="U426" s="24"/>
      <c r="V426" s="22"/>
      <c r="W426" s="22" t="s">
        <v>218</v>
      </c>
      <c r="X426" s="22" t="s">
        <v>218</v>
      </c>
      <c r="Y426" s="22" t="s">
        <v>135</v>
      </c>
      <c r="Z426" s="22" t="s">
        <v>66</v>
      </c>
      <c r="AA426" s="22"/>
      <c r="AB426" s="22"/>
      <c r="AC426" s="22"/>
      <c r="AD426" s="22"/>
      <c r="AE426" s="22"/>
      <c r="AF426" s="22"/>
      <c r="AG426" s="22"/>
      <c r="AH426" s="22"/>
      <c r="AI426" s="22"/>
      <c r="AJ426" s="22"/>
      <c r="AK426" s="22"/>
      <c r="AL426" s="22"/>
      <c r="AM426" s="22"/>
      <c r="AN426" s="22"/>
      <c r="AO426" s="22"/>
      <c r="AP426" s="22"/>
      <c r="AQ426" s="22"/>
      <c r="AR426" s="22"/>
      <c r="AS426" s="25"/>
    </row>
    <row r="427" spans="1:45" s="1" customFormat="1">
      <c r="A427" s="22">
        <f t="shared" si="6"/>
        <v>426</v>
      </c>
      <c r="B427" s="23">
        <v>45718</v>
      </c>
      <c r="C427" s="22" t="s">
        <v>208</v>
      </c>
      <c r="D427" s="22" t="s">
        <v>486</v>
      </c>
      <c r="E427" s="22">
        <v>20250721</v>
      </c>
      <c r="F427" s="22" t="s">
        <v>2080</v>
      </c>
      <c r="G427" s="22">
        <v>8805476920</v>
      </c>
      <c r="H427" s="22" t="s">
        <v>2081</v>
      </c>
      <c r="I427" s="22" t="s">
        <v>55</v>
      </c>
      <c r="J427" s="22" t="s">
        <v>1942</v>
      </c>
      <c r="K427" s="22" t="s">
        <v>380</v>
      </c>
      <c r="L427" s="22">
        <v>2</v>
      </c>
      <c r="M427" s="22" t="s">
        <v>2082</v>
      </c>
      <c r="N427" s="22">
        <v>5</v>
      </c>
      <c r="O427" s="22">
        <v>0</v>
      </c>
      <c r="P427" s="22">
        <v>8.5</v>
      </c>
      <c r="Q427" s="22" t="s">
        <v>2083</v>
      </c>
      <c r="R427" s="22" t="s">
        <v>63</v>
      </c>
      <c r="S427" s="22" t="s">
        <v>2084</v>
      </c>
      <c r="T427" s="22" t="s">
        <v>61</v>
      </c>
      <c r="U427" s="24"/>
      <c r="V427" s="22"/>
      <c r="W427" s="22" t="s">
        <v>218</v>
      </c>
      <c r="X427" s="22" t="s">
        <v>218</v>
      </c>
      <c r="Y427" s="22" t="s">
        <v>135</v>
      </c>
      <c r="Z427" s="22" t="s">
        <v>66</v>
      </c>
      <c r="AA427" s="22"/>
      <c r="AB427" s="22"/>
      <c r="AC427" s="22"/>
      <c r="AD427" s="22"/>
      <c r="AE427" s="22"/>
      <c r="AF427" s="22"/>
      <c r="AG427" s="22"/>
      <c r="AH427" s="22"/>
      <c r="AI427" s="22"/>
      <c r="AJ427" s="22"/>
      <c r="AK427" s="22"/>
      <c r="AL427" s="22"/>
      <c r="AM427" s="22"/>
      <c r="AN427" s="22"/>
      <c r="AO427" s="22"/>
      <c r="AP427" s="22"/>
      <c r="AQ427" s="22"/>
      <c r="AR427" s="22"/>
      <c r="AS427" s="25"/>
    </row>
    <row r="428" spans="1:45" s="1" customFormat="1">
      <c r="A428" s="22">
        <f t="shared" si="6"/>
        <v>427</v>
      </c>
      <c r="B428" s="23">
        <v>45718</v>
      </c>
      <c r="C428" s="22" t="s">
        <v>208</v>
      </c>
      <c r="D428" s="22" t="s">
        <v>624</v>
      </c>
      <c r="E428" s="22">
        <v>20249156</v>
      </c>
      <c r="F428" s="22" t="s">
        <v>2085</v>
      </c>
      <c r="G428" s="22">
        <v>8983128692</v>
      </c>
      <c r="H428" s="22" t="s">
        <v>2086</v>
      </c>
      <c r="I428" s="22" t="s">
        <v>55</v>
      </c>
      <c r="J428" s="22" t="s">
        <v>1196</v>
      </c>
      <c r="K428" s="22" t="s">
        <v>1197</v>
      </c>
      <c r="L428" s="22">
        <v>13</v>
      </c>
      <c r="M428" s="22" t="s">
        <v>1198</v>
      </c>
      <c r="N428" s="22">
        <v>18</v>
      </c>
      <c r="O428" s="22">
        <v>0.1</v>
      </c>
      <c r="P428" s="22">
        <v>0.35</v>
      </c>
      <c r="Q428" s="22" t="s">
        <v>376</v>
      </c>
      <c r="R428" s="22" t="s">
        <v>63</v>
      </c>
      <c r="S428" s="22" t="s">
        <v>230</v>
      </c>
      <c r="T428" s="22"/>
      <c r="U428" s="24"/>
      <c r="V428" s="22"/>
      <c r="W428" s="22" t="s">
        <v>218</v>
      </c>
      <c r="X428" s="22" t="s">
        <v>218</v>
      </c>
      <c r="Y428" s="22" t="s">
        <v>135</v>
      </c>
      <c r="Z428" s="22" t="s">
        <v>66</v>
      </c>
      <c r="AA428" s="22"/>
      <c r="AB428" s="22"/>
      <c r="AC428" s="22"/>
      <c r="AD428" s="22"/>
      <c r="AE428" s="22"/>
      <c r="AF428" s="22"/>
      <c r="AG428" s="22"/>
      <c r="AH428" s="22"/>
      <c r="AI428" s="22"/>
      <c r="AJ428" s="22"/>
      <c r="AK428" s="22"/>
      <c r="AL428" s="22"/>
      <c r="AM428" s="22"/>
      <c r="AN428" s="22"/>
      <c r="AO428" s="22"/>
      <c r="AP428" s="22"/>
      <c r="AQ428" s="22"/>
      <c r="AR428" s="22"/>
      <c r="AS428" s="25"/>
    </row>
    <row r="429" spans="1:45" s="1" customFormat="1">
      <c r="A429" s="22">
        <f t="shared" si="6"/>
        <v>428</v>
      </c>
      <c r="B429" s="23">
        <v>45718</v>
      </c>
      <c r="C429" s="22" t="s">
        <v>208</v>
      </c>
      <c r="D429" s="22" t="s">
        <v>963</v>
      </c>
      <c r="E429" s="22">
        <v>20245965</v>
      </c>
      <c r="F429" s="22" t="s">
        <v>2087</v>
      </c>
      <c r="G429" s="22" t="s">
        <v>2088</v>
      </c>
      <c r="H429" s="22" t="s">
        <v>2089</v>
      </c>
      <c r="I429" s="22" t="s">
        <v>55</v>
      </c>
      <c r="J429" s="22" t="s">
        <v>1051</v>
      </c>
      <c r="K429" s="22" t="s">
        <v>1052</v>
      </c>
      <c r="L429" s="22" t="s">
        <v>1084</v>
      </c>
      <c r="M429" s="22" t="s">
        <v>2090</v>
      </c>
      <c r="N429" s="22">
        <v>19</v>
      </c>
      <c r="O429" s="22" t="s">
        <v>61</v>
      </c>
      <c r="P429" s="22" t="s">
        <v>282</v>
      </c>
      <c r="Q429" s="22" t="s">
        <v>459</v>
      </c>
      <c r="R429" s="22" t="s">
        <v>63</v>
      </c>
      <c r="S429" s="22" t="s">
        <v>1136</v>
      </c>
      <c r="T429" s="22" t="s">
        <v>61</v>
      </c>
      <c r="U429" s="24"/>
      <c r="V429" s="22"/>
      <c r="W429" s="22" t="s">
        <v>65</v>
      </c>
      <c r="X429" s="22" t="s">
        <v>65</v>
      </c>
      <c r="Y429" s="22"/>
      <c r="Z429" s="22" t="s">
        <v>66</v>
      </c>
      <c r="AA429" s="22"/>
      <c r="AB429" s="22"/>
      <c r="AC429" s="22"/>
      <c r="AD429" s="22"/>
      <c r="AE429" s="22"/>
      <c r="AF429" s="22"/>
      <c r="AG429" s="22"/>
      <c r="AH429" s="22"/>
      <c r="AI429" s="22"/>
      <c r="AJ429" s="22"/>
      <c r="AK429" s="22"/>
      <c r="AL429" s="22"/>
      <c r="AM429" s="22"/>
      <c r="AN429" s="22"/>
      <c r="AO429" s="22"/>
      <c r="AP429" s="22"/>
      <c r="AQ429" s="22"/>
      <c r="AR429" s="22"/>
      <c r="AS429" s="25"/>
    </row>
    <row r="430" spans="1:45" s="1" customFormat="1">
      <c r="A430" s="22">
        <f t="shared" si="6"/>
        <v>429</v>
      </c>
      <c r="B430" s="23">
        <v>45718</v>
      </c>
      <c r="C430" s="22" t="s">
        <v>208</v>
      </c>
      <c r="D430" s="22" t="s">
        <v>963</v>
      </c>
      <c r="E430" s="22">
        <v>20245965</v>
      </c>
      <c r="F430" s="22" t="s">
        <v>2091</v>
      </c>
      <c r="G430" s="22">
        <v>8460128114</v>
      </c>
      <c r="H430" s="22" t="s">
        <v>2092</v>
      </c>
      <c r="I430" s="22" t="s">
        <v>55</v>
      </c>
      <c r="J430" s="22" t="s">
        <v>1051</v>
      </c>
      <c r="K430" s="22" t="s">
        <v>1052</v>
      </c>
      <c r="L430" s="22" t="s">
        <v>1287</v>
      </c>
      <c r="M430" s="22" t="s">
        <v>2093</v>
      </c>
      <c r="N430" s="22">
        <v>15.7</v>
      </c>
      <c r="O430" s="22" t="s">
        <v>61</v>
      </c>
      <c r="P430" s="22" t="s">
        <v>282</v>
      </c>
      <c r="Q430" s="22" t="s">
        <v>2094</v>
      </c>
      <c r="R430" s="22" t="s">
        <v>63</v>
      </c>
      <c r="S430" s="22" t="s">
        <v>361</v>
      </c>
      <c r="T430" s="22" t="s">
        <v>61</v>
      </c>
      <c r="U430" s="24"/>
      <c r="V430" s="22"/>
      <c r="W430" s="22" t="s">
        <v>65</v>
      </c>
      <c r="X430" s="22" t="s">
        <v>65</v>
      </c>
      <c r="Y430" s="22"/>
      <c r="Z430" s="22" t="s">
        <v>66</v>
      </c>
      <c r="AA430" s="22"/>
      <c r="AB430" s="22"/>
      <c r="AC430" s="22"/>
      <c r="AD430" s="22"/>
      <c r="AE430" s="22"/>
      <c r="AF430" s="22"/>
      <c r="AG430" s="22"/>
      <c r="AH430" s="22"/>
      <c r="AI430" s="22"/>
      <c r="AJ430" s="22"/>
      <c r="AK430" s="22"/>
      <c r="AL430" s="22"/>
      <c r="AM430" s="22"/>
      <c r="AN430" s="22"/>
      <c r="AO430" s="22"/>
      <c r="AP430" s="22"/>
      <c r="AQ430" s="22"/>
      <c r="AR430" s="22"/>
      <c r="AS430" s="25"/>
    </row>
    <row r="431" spans="1:45" s="1" customFormat="1">
      <c r="A431" s="22">
        <f t="shared" si="6"/>
        <v>430</v>
      </c>
      <c r="B431" s="23">
        <v>45718</v>
      </c>
      <c r="C431" s="22" t="s">
        <v>208</v>
      </c>
      <c r="D431" s="22" t="s">
        <v>293</v>
      </c>
      <c r="E431" s="22">
        <v>20245965</v>
      </c>
      <c r="F431" s="22" t="s">
        <v>2095</v>
      </c>
      <c r="G431" s="22">
        <v>9601517264</v>
      </c>
      <c r="H431" s="22" t="s">
        <v>2096</v>
      </c>
      <c r="I431" s="22" t="s">
        <v>55</v>
      </c>
      <c r="J431" s="22" t="s">
        <v>1051</v>
      </c>
      <c r="K431" s="22" t="s">
        <v>1052</v>
      </c>
      <c r="L431" s="22" t="s">
        <v>2097</v>
      </c>
      <c r="M431" s="22" t="s">
        <v>2093</v>
      </c>
      <c r="N431" s="22">
        <v>17.5</v>
      </c>
      <c r="O431" s="22" t="s">
        <v>61</v>
      </c>
      <c r="P431" s="22" t="s">
        <v>282</v>
      </c>
      <c r="Q431" s="22" t="s">
        <v>2094</v>
      </c>
      <c r="R431" s="22" t="s">
        <v>63</v>
      </c>
      <c r="S431" s="22" t="s">
        <v>878</v>
      </c>
      <c r="T431" s="22" t="s">
        <v>61</v>
      </c>
      <c r="U431" s="24"/>
      <c r="V431" s="22"/>
      <c r="W431" s="22" t="s">
        <v>65</v>
      </c>
      <c r="X431" s="22" t="s">
        <v>65</v>
      </c>
      <c r="Y431" s="22"/>
      <c r="Z431" s="22" t="s">
        <v>66</v>
      </c>
      <c r="AA431" s="22"/>
      <c r="AB431" s="22">
        <v>45709</v>
      </c>
      <c r="AC431" s="22"/>
      <c r="AD431" s="22"/>
      <c r="AE431" s="22"/>
      <c r="AF431" s="22"/>
      <c r="AG431" s="22"/>
      <c r="AH431" s="22"/>
      <c r="AI431" s="22"/>
      <c r="AJ431" s="22"/>
      <c r="AK431" s="22"/>
      <c r="AL431" s="22"/>
      <c r="AM431" s="22"/>
      <c r="AN431" s="22"/>
      <c r="AO431" s="22"/>
      <c r="AP431" s="22"/>
      <c r="AQ431" s="22"/>
      <c r="AR431" s="22"/>
      <c r="AS431" s="25"/>
    </row>
    <row r="432" spans="1:45" s="1" customFormat="1">
      <c r="A432" s="22">
        <f t="shared" si="6"/>
        <v>431</v>
      </c>
      <c r="B432" s="23">
        <v>45718</v>
      </c>
      <c r="C432" s="22" t="s">
        <v>208</v>
      </c>
      <c r="D432" s="22" t="s">
        <v>963</v>
      </c>
      <c r="E432" s="22">
        <v>20245965</v>
      </c>
      <c r="F432" s="22" t="s">
        <v>2098</v>
      </c>
      <c r="G432" s="22">
        <v>9131818268</v>
      </c>
      <c r="H432" s="22" t="s">
        <v>2099</v>
      </c>
      <c r="I432" s="22" t="s">
        <v>55</v>
      </c>
      <c r="J432" s="22" t="s">
        <v>1051</v>
      </c>
      <c r="K432" s="22" t="s">
        <v>1052</v>
      </c>
      <c r="L432" s="22" t="s">
        <v>938</v>
      </c>
      <c r="M432" s="22" t="s">
        <v>2042</v>
      </c>
      <c r="N432" s="22">
        <v>12</v>
      </c>
      <c r="O432" s="22" t="s">
        <v>61</v>
      </c>
      <c r="P432" s="22" t="s">
        <v>2100</v>
      </c>
      <c r="Q432" s="22" t="s">
        <v>63</v>
      </c>
      <c r="R432" s="22" t="s">
        <v>63</v>
      </c>
      <c r="S432" s="22" t="s">
        <v>2101</v>
      </c>
      <c r="T432" s="22" t="s">
        <v>2102</v>
      </c>
      <c r="U432" s="24"/>
      <c r="V432" s="22"/>
      <c r="W432" s="22" t="s">
        <v>65</v>
      </c>
      <c r="X432" s="22" t="s">
        <v>65</v>
      </c>
      <c r="Y432" s="22"/>
      <c r="Z432" s="22" t="s">
        <v>66</v>
      </c>
      <c r="AA432" s="22"/>
      <c r="AB432" s="22"/>
      <c r="AC432" s="22"/>
      <c r="AD432" s="22"/>
      <c r="AE432" s="22"/>
      <c r="AF432" s="22"/>
      <c r="AG432" s="22"/>
      <c r="AH432" s="22"/>
      <c r="AI432" s="22"/>
      <c r="AJ432" s="22"/>
      <c r="AK432" s="22"/>
      <c r="AL432" s="22"/>
      <c r="AM432" s="22"/>
      <c r="AN432" s="22"/>
      <c r="AO432" s="22"/>
      <c r="AP432" s="22"/>
      <c r="AQ432" s="22"/>
      <c r="AR432" s="22"/>
      <c r="AS432" s="25"/>
    </row>
    <row r="433" spans="1:45" s="1" customFormat="1">
      <c r="A433" s="22">
        <f t="shared" si="6"/>
        <v>432</v>
      </c>
      <c r="B433" s="23">
        <v>45718</v>
      </c>
      <c r="C433" s="22" t="s">
        <v>208</v>
      </c>
      <c r="D433" s="22" t="s">
        <v>1475</v>
      </c>
      <c r="E433" s="22">
        <v>20245965</v>
      </c>
      <c r="F433" s="22" t="s">
        <v>2103</v>
      </c>
      <c r="G433" s="22">
        <v>9630242436</v>
      </c>
      <c r="H433" s="22" t="s">
        <v>2104</v>
      </c>
      <c r="I433" s="22" t="s">
        <v>55</v>
      </c>
      <c r="J433" s="22" t="s">
        <v>1051</v>
      </c>
      <c r="K433" s="22" t="s">
        <v>1052</v>
      </c>
      <c r="L433" s="22" t="s">
        <v>2105</v>
      </c>
      <c r="M433" s="22" t="s">
        <v>2106</v>
      </c>
      <c r="N433" s="22" t="s">
        <v>2107</v>
      </c>
      <c r="O433" s="22" t="s">
        <v>61</v>
      </c>
      <c r="P433" s="22" t="s">
        <v>341</v>
      </c>
      <c r="Q433" s="22" t="s">
        <v>2108</v>
      </c>
      <c r="R433" s="22" t="s">
        <v>63</v>
      </c>
      <c r="S433" s="22" t="s">
        <v>64</v>
      </c>
      <c r="T433" s="22" t="s">
        <v>2109</v>
      </c>
      <c r="U433" s="24"/>
      <c r="V433" s="22"/>
      <c r="W433" s="22" t="s">
        <v>65</v>
      </c>
      <c r="X433" s="22" t="s">
        <v>65</v>
      </c>
      <c r="Y433" s="22"/>
      <c r="Z433" s="22" t="s">
        <v>66</v>
      </c>
      <c r="AA433" s="22"/>
      <c r="AB433" s="22">
        <v>45699</v>
      </c>
      <c r="AC433" s="22"/>
      <c r="AD433" s="22"/>
      <c r="AE433" s="22"/>
      <c r="AF433" s="22"/>
      <c r="AG433" s="22"/>
      <c r="AH433" s="22"/>
      <c r="AI433" s="22"/>
      <c r="AJ433" s="22"/>
      <c r="AK433" s="22"/>
      <c r="AL433" s="22"/>
      <c r="AM433" s="22"/>
      <c r="AN433" s="22"/>
      <c r="AO433" s="22"/>
      <c r="AP433" s="22"/>
      <c r="AQ433" s="22"/>
      <c r="AR433" s="22"/>
      <c r="AS433" s="25"/>
    </row>
    <row r="434" spans="1:45" s="1" customFormat="1">
      <c r="A434" s="22">
        <f t="shared" si="6"/>
        <v>433</v>
      </c>
      <c r="B434" s="23">
        <v>45718</v>
      </c>
      <c r="C434" s="22" t="s">
        <v>208</v>
      </c>
      <c r="D434" s="22" t="s">
        <v>1081</v>
      </c>
      <c r="E434" s="22">
        <v>20245965</v>
      </c>
      <c r="F434" s="22" t="s">
        <v>2110</v>
      </c>
      <c r="G434" s="22">
        <v>9538659080</v>
      </c>
      <c r="H434" s="22" t="s">
        <v>2111</v>
      </c>
      <c r="I434" s="22" t="s">
        <v>55</v>
      </c>
      <c r="J434" s="22" t="s">
        <v>1051</v>
      </c>
      <c r="K434" s="22" t="s">
        <v>1052</v>
      </c>
      <c r="L434" s="22" t="s">
        <v>656</v>
      </c>
      <c r="M434" s="22" t="s">
        <v>2112</v>
      </c>
      <c r="N434" s="22"/>
      <c r="O434" s="22">
        <v>30</v>
      </c>
      <c r="P434" s="22"/>
      <c r="Q434" s="22" t="s">
        <v>960</v>
      </c>
      <c r="R434" s="22" t="s">
        <v>615</v>
      </c>
      <c r="S434" s="22" t="s">
        <v>63</v>
      </c>
      <c r="T434" s="22" t="s">
        <v>230</v>
      </c>
      <c r="U434" s="24"/>
      <c r="V434" s="22"/>
      <c r="W434" s="22" t="s">
        <v>65</v>
      </c>
      <c r="X434" s="22" t="s">
        <v>65</v>
      </c>
      <c r="Y434" s="22"/>
      <c r="Z434" s="22" t="s">
        <v>66</v>
      </c>
      <c r="AA434" s="22"/>
      <c r="AB434" s="22"/>
      <c r="AC434" s="22"/>
      <c r="AD434" s="22"/>
      <c r="AE434" s="22"/>
      <c r="AF434" s="22"/>
      <c r="AG434" s="22"/>
      <c r="AH434" s="22"/>
      <c r="AI434" s="22"/>
      <c r="AJ434" s="22"/>
      <c r="AK434" s="22"/>
      <c r="AL434" s="22"/>
      <c r="AM434" s="22"/>
      <c r="AN434" s="22"/>
      <c r="AO434" s="22"/>
      <c r="AP434" s="22"/>
      <c r="AQ434" s="22"/>
      <c r="AR434" s="22"/>
      <c r="AS434" s="25"/>
    </row>
    <row r="435" spans="1:45" s="1" customFormat="1">
      <c r="A435" s="22">
        <f t="shared" si="6"/>
        <v>434</v>
      </c>
      <c r="B435" s="23">
        <v>45718</v>
      </c>
      <c r="C435" s="22" t="s">
        <v>208</v>
      </c>
      <c r="D435" s="22" t="s">
        <v>963</v>
      </c>
      <c r="E435" s="22">
        <v>20245965</v>
      </c>
      <c r="F435" s="22" t="s">
        <v>2087</v>
      </c>
      <c r="G435" s="22" t="s">
        <v>2088</v>
      </c>
      <c r="H435" s="22" t="s">
        <v>2089</v>
      </c>
      <c r="I435" s="22" t="s">
        <v>55</v>
      </c>
      <c r="J435" s="22" t="s">
        <v>1507</v>
      </c>
      <c r="K435" s="22" t="s">
        <v>1508</v>
      </c>
      <c r="L435" s="22" t="s">
        <v>1084</v>
      </c>
      <c r="M435" s="22" t="s">
        <v>2090</v>
      </c>
      <c r="N435" s="22">
        <v>19</v>
      </c>
      <c r="O435" s="22"/>
      <c r="P435" s="22" t="s">
        <v>282</v>
      </c>
      <c r="Q435" s="22" t="s">
        <v>459</v>
      </c>
      <c r="R435" s="22" t="s">
        <v>63</v>
      </c>
      <c r="S435" s="22" t="s">
        <v>1136</v>
      </c>
      <c r="T435" s="22" t="s">
        <v>61</v>
      </c>
      <c r="U435" s="24"/>
      <c r="V435" s="22"/>
      <c r="W435" s="22" t="s">
        <v>65</v>
      </c>
      <c r="X435" s="22" t="s">
        <v>65</v>
      </c>
      <c r="Y435" s="22"/>
      <c r="Z435" s="22" t="s">
        <v>66</v>
      </c>
      <c r="AA435" s="22"/>
      <c r="AB435" s="22"/>
      <c r="AC435" s="22"/>
      <c r="AD435" s="22"/>
      <c r="AE435" s="22"/>
      <c r="AF435" s="22"/>
      <c r="AG435" s="22"/>
      <c r="AH435" s="22"/>
      <c r="AI435" s="22"/>
      <c r="AJ435" s="22"/>
      <c r="AK435" s="22"/>
      <c r="AL435" s="22"/>
      <c r="AM435" s="22"/>
      <c r="AN435" s="22"/>
      <c r="AO435" s="22"/>
      <c r="AP435" s="22"/>
      <c r="AQ435" s="22"/>
      <c r="AR435" s="22"/>
      <c r="AS435" s="25"/>
    </row>
    <row r="436" spans="1:45" s="1" customFormat="1">
      <c r="A436" s="22">
        <f t="shared" si="6"/>
        <v>435</v>
      </c>
      <c r="B436" s="23">
        <v>45718</v>
      </c>
      <c r="C436" s="22" t="s">
        <v>208</v>
      </c>
      <c r="D436" s="22" t="s">
        <v>963</v>
      </c>
      <c r="E436" s="22">
        <v>20245965</v>
      </c>
      <c r="F436" s="22" t="s">
        <v>2091</v>
      </c>
      <c r="G436" s="22">
        <v>8460128114</v>
      </c>
      <c r="H436" s="22" t="s">
        <v>2092</v>
      </c>
      <c r="I436" s="22" t="s">
        <v>55</v>
      </c>
      <c r="J436" s="22" t="s">
        <v>1507</v>
      </c>
      <c r="K436" s="22" t="s">
        <v>1508</v>
      </c>
      <c r="L436" s="22" t="s">
        <v>1287</v>
      </c>
      <c r="M436" s="22" t="s">
        <v>2093</v>
      </c>
      <c r="N436" s="22">
        <v>15.7</v>
      </c>
      <c r="O436" s="22"/>
      <c r="P436" s="22" t="s">
        <v>282</v>
      </c>
      <c r="Q436" s="22" t="s">
        <v>2094</v>
      </c>
      <c r="R436" s="22" t="s">
        <v>63</v>
      </c>
      <c r="S436" s="22" t="s">
        <v>361</v>
      </c>
      <c r="T436" s="22" t="s">
        <v>61</v>
      </c>
      <c r="U436" s="24"/>
      <c r="V436" s="22"/>
      <c r="W436" s="22" t="s">
        <v>65</v>
      </c>
      <c r="X436" s="22" t="s">
        <v>65</v>
      </c>
      <c r="Y436" s="22"/>
      <c r="Z436" s="22" t="s">
        <v>66</v>
      </c>
      <c r="AA436" s="22"/>
      <c r="AB436" s="22"/>
      <c r="AC436" s="22"/>
      <c r="AD436" s="22"/>
      <c r="AE436" s="22"/>
      <c r="AF436" s="22"/>
      <c r="AG436" s="22"/>
      <c r="AH436" s="22"/>
      <c r="AI436" s="22"/>
      <c r="AJ436" s="22"/>
      <c r="AK436" s="22"/>
      <c r="AL436" s="22"/>
      <c r="AM436" s="22"/>
      <c r="AN436" s="22"/>
      <c r="AO436" s="22"/>
      <c r="AP436" s="22"/>
      <c r="AQ436" s="22"/>
      <c r="AR436" s="22"/>
      <c r="AS436" s="25"/>
    </row>
    <row r="437" spans="1:45" s="1" customFormat="1">
      <c r="A437" s="22">
        <f t="shared" si="6"/>
        <v>436</v>
      </c>
      <c r="B437" s="23">
        <v>45718</v>
      </c>
      <c r="C437" s="22" t="s">
        <v>208</v>
      </c>
      <c r="D437" s="22" t="s">
        <v>1725</v>
      </c>
      <c r="E437" s="22">
        <v>20245965</v>
      </c>
      <c r="F437" s="22" t="s">
        <v>2095</v>
      </c>
      <c r="G437" s="22">
        <v>9601517264</v>
      </c>
      <c r="H437" s="22" t="s">
        <v>2096</v>
      </c>
      <c r="I437" s="22" t="s">
        <v>55</v>
      </c>
      <c r="J437" s="22" t="s">
        <v>1507</v>
      </c>
      <c r="K437" s="22" t="s">
        <v>1508</v>
      </c>
      <c r="L437" s="22" t="s">
        <v>2097</v>
      </c>
      <c r="M437" s="22" t="s">
        <v>2093</v>
      </c>
      <c r="N437" s="22">
        <v>17.5</v>
      </c>
      <c r="O437" s="22"/>
      <c r="P437" s="22" t="s">
        <v>282</v>
      </c>
      <c r="Q437" s="22" t="s">
        <v>2094</v>
      </c>
      <c r="R437" s="22" t="s">
        <v>63</v>
      </c>
      <c r="S437" s="22" t="s">
        <v>878</v>
      </c>
      <c r="T437" s="22" t="s">
        <v>61</v>
      </c>
      <c r="U437" s="24"/>
      <c r="V437" s="22"/>
      <c r="W437" s="22" t="s">
        <v>65</v>
      </c>
      <c r="X437" s="22" t="s">
        <v>65</v>
      </c>
      <c r="Y437" s="22"/>
      <c r="Z437" s="22" t="s">
        <v>66</v>
      </c>
      <c r="AA437" s="22"/>
      <c r="AB437" s="22">
        <v>45701</v>
      </c>
      <c r="AC437" s="22"/>
      <c r="AD437" s="22"/>
      <c r="AE437" s="22"/>
      <c r="AF437" s="22"/>
      <c r="AG437" s="22"/>
      <c r="AH437" s="22"/>
      <c r="AI437" s="22"/>
      <c r="AJ437" s="22"/>
      <c r="AK437" s="22"/>
      <c r="AL437" s="22"/>
      <c r="AM437" s="22"/>
      <c r="AN437" s="22"/>
      <c r="AO437" s="22"/>
      <c r="AP437" s="22"/>
      <c r="AQ437" s="22"/>
      <c r="AR437" s="22"/>
      <c r="AS437" s="25"/>
    </row>
    <row r="438" spans="1:45" s="1" customFormat="1">
      <c r="A438" s="22">
        <f t="shared" si="6"/>
        <v>437</v>
      </c>
      <c r="B438" s="23">
        <v>45718</v>
      </c>
      <c r="C438" s="22" t="s">
        <v>208</v>
      </c>
      <c r="D438" s="22" t="s">
        <v>963</v>
      </c>
      <c r="E438" s="22">
        <v>20245965</v>
      </c>
      <c r="F438" s="22" t="s">
        <v>2098</v>
      </c>
      <c r="G438" s="22">
        <v>9131818268</v>
      </c>
      <c r="H438" s="22" t="s">
        <v>2099</v>
      </c>
      <c r="I438" s="22" t="s">
        <v>101</v>
      </c>
      <c r="J438" s="22" t="s">
        <v>1507</v>
      </c>
      <c r="K438" s="22" t="s">
        <v>1508</v>
      </c>
      <c r="L438" s="22" t="s">
        <v>938</v>
      </c>
      <c r="M438" s="22" t="s">
        <v>2042</v>
      </c>
      <c r="N438" s="22">
        <v>12</v>
      </c>
      <c r="O438" s="22"/>
      <c r="P438" s="22" t="s">
        <v>2100</v>
      </c>
      <c r="Q438" s="22" t="s">
        <v>63</v>
      </c>
      <c r="R438" s="22" t="s">
        <v>63</v>
      </c>
      <c r="S438" s="22" t="s">
        <v>2101</v>
      </c>
      <c r="T438" s="22" t="s">
        <v>2102</v>
      </c>
      <c r="U438" s="24"/>
      <c r="V438" s="22"/>
      <c r="W438" s="22" t="s">
        <v>65</v>
      </c>
      <c r="X438" s="22" t="s">
        <v>65</v>
      </c>
      <c r="Y438" s="22"/>
      <c r="Z438" s="22" t="s">
        <v>66</v>
      </c>
      <c r="AA438" s="22"/>
      <c r="AB438" s="22"/>
      <c r="AC438" s="22"/>
      <c r="AD438" s="22"/>
      <c r="AE438" s="22"/>
      <c r="AF438" s="22"/>
      <c r="AG438" s="22"/>
      <c r="AH438" s="22"/>
      <c r="AI438" s="22"/>
      <c r="AJ438" s="22"/>
      <c r="AK438" s="22"/>
      <c r="AL438" s="22"/>
      <c r="AM438" s="22"/>
      <c r="AN438" s="22"/>
      <c r="AO438" s="22"/>
      <c r="AP438" s="22"/>
      <c r="AQ438" s="22"/>
      <c r="AR438" s="22"/>
      <c r="AS438" s="25"/>
    </row>
    <row r="439" spans="1:45" s="1" customFormat="1">
      <c r="A439" s="22">
        <f t="shared" si="6"/>
        <v>438</v>
      </c>
      <c r="B439" s="23">
        <v>45718</v>
      </c>
      <c r="C439" s="22" t="s">
        <v>208</v>
      </c>
      <c r="D439" s="22" t="s">
        <v>1475</v>
      </c>
      <c r="E439" s="22">
        <v>20245965</v>
      </c>
      <c r="F439" s="22" t="s">
        <v>2103</v>
      </c>
      <c r="G439" s="22">
        <v>9630242436</v>
      </c>
      <c r="H439" s="22" t="s">
        <v>2104</v>
      </c>
      <c r="I439" s="22" t="s">
        <v>55</v>
      </c>
      <c r="J439" s="22" t="s">
        <v>1507</v>
      </c>
      <c r="K439" s="22" t="s">
        <v>1508</v>
      </c>
      <c r="L439" s="22" t="s">
        <v>2105</v>
      </c>
      <c r="M439" s="22" t="s">
        <v>2106</v>
      </c>
      <c r="N439" s="22" t="s">
        <v>2107</v>
      </c>
      <c r="O439" s="22"/>
      <c r="P439" s="22" t="s">
        <v>341</v>
      </c>
      <c r="Q439" s="22" t="s">
        <v>2108</v>
      </c>
      <c r="R439" s="22" t="s">
        <v>63</v>
      </c>
      <c r="S439" s="22" t="s">
        <v>64</v>
      </c>
      <c r="T439" s="22" t="s">
        <v>2109</v>
      </c>
      <c r="U439" s="24"/>
      <c r="V439" s="22"/>
      <c r="W439" s="22" t="s">
        <v>65</v>
      </c>
      <c r="X439" s="22" t="s">
        <v>65</v>
      </c>
      <c r="Y439" s="22"/>
      <c r="Z439" s="22" t="s">
        <v>66</v>
      </c>
      <c r="AA439" s="22"/>
      <c r="AB439" s="22"/>
      <c r="AC439" s="22"/>
      <c r="AD439" s="22"/>
      <c r="AE439" s="22"/>
      <c r="AF439" s="22"/>
      <c r="AG439" s="22"/>
      <c r="AH439" s="22"/>
      <c r="AI439" s="22"/>
      <c r="AJ439" s="22"/>
      <c r="AK439" s="22"/>
      <c r="AL439" s="22"/>
      <c r="AM439" s="22"/>
      <c r="AN439" s="22"/>
      <c r="AO439" s="22"/>
      <c r="AP439" s="22"/>
      <c r="AQ439" s="22"/>
      <c r="AR439" s="22"/>
      <c r="AS439" s="25"/>
    </row>
    <row r="440" spans="1:45" s="1" customFormat="1">
      <c r="A440" s="22">
        <f t="shared" si="6"/>
        <v>439</v>
      </c>
      <c r="B440" s="23">
        <v>45779</v>
      </c>
      <c r="C440" s="22" t="s">
        <v>208</v>
      </c>
      <c r="D440" s="22" t="s">
        <v>1475</v>
      </c>
      <c r="E440" s="22">
        <v>20245469</v>
      </c>
      <c r="F440" s="22" t="s">
        <v>2113</v>
      </c>
      <c r="G440" s="22">
        <v>9975772385</v>
      </c>
      <c r="H440" s="22" t="s">
        <v>2114</v>
      </c>
      <c r="I440" s="22" t="s">
        <v>55</v>
      </c>
      <c r="J440" s="22" t="s">
        <v>1131</v>
      </c>
      <c r="K440" s="22" t="s">
        <v>1132</v>
      </c>
      <c r="L440" s="22" t="s">
        <v>1133</v>
      </c>
      <c r="M440" s="22" t="s">
        <v>2115</v>
      </c>
      <c r="N440" s="22"/>
      <c r="O440" s="22">
        <v>22</v>
      </c>
      <c r="P440" s="22">
        <v>0.1</v>
      </c>
      <c r="Q440" s="22" t="s">
        <v>2116</v>
      </c>
      <c r="R440" s="22" t="s">
        <v>657</v>
      </c>
      <c r="S440" s="22" t="s">
        <v>657</v>
      </c>
      <c r="T440" s="22" t="s">
        <v>2117</v>
      </c>
      <c r="U440" s="24"/>
      <c r="V440" s="22"/>
      <c r="W440" s="22" t="s">
        <v>65</v>
      </c>
      <c r="X440" s="22" t="s">
        <v>65</v>
      </c>
      <c r="Y440" s="22"/>
      <c r="Z440" s="22" t="s">
        <v>66</v>
      </c>
      <c r="AA440" s="22"/>
      <c r="AB440" s="22"/>
      <c r="AC440" s="22"/>
      <c r="AD440" s="22"/>
      <c r="AE440" s="22"/>
      <c r="AF440" s="22"/>
      <c r="AG440" s="22"/>
      <c r="AH440" s="22"/>
      <c r="AI440" s="22"/>
      <c r="AJ440" s="22"/>
      <c r="AK440" s="22"/>
      <c r="AL440" s="22"/>
      <c r="AM440" s="22"/>
      <c r="AN440" s="22"/>
      <c r="AO440" s="22"/>
      <c r="AP440" s="22"/>
      <c r="AQ440" s="22"/>
      <c r="AR440" s="22"/>
      <c r="AS440" s="25"/>
    </row>
    <row r="441" spans="1:45" s="1" customFormat="1">
      <c r="A441" s="22">
        <f t="shared" si="6"/>
        <v>440</v>
      </c>
      <c r="B441" s="23">
        <v>45779</v>
      </c>
      <c r="C441" s="22" t="s">
        <v>208</v>
      </c>
      <c r="D441" s="22" t="s">
        <v>1128</v>
      </c>
      <c r="E441" s="22">
        <v>20245469</v>
      </c>
      <c r="F441" s="22" t="s">
        <v>2118</v>
      </c>
      <c r="G441" s="22">
        <v>8554045590</v>
      </c>
      <c r="H441" s="22" t="s">
        <v>2119</v>
      </c>
      <c r="I441" s="22" t="s">
        <v>55</v>
      </c>
      <c r="J441" s="22" t="s">
        <v>1131</v>
      </c>
      <c r="K441" s="22" t="s">
        <v>1132</v>
      </c>
      <c r="L441" s="22" t="s">
        <v>1205</v>
      </c>
      <c r="M441" s="22" t="s">
        <v>2120</v>
      </c>
      <c r="N441" s="22">
        <v>28</v>
      </c>
      <c r="O441" s="22" t="s">
        <v>61</v>
      </c>
      <c r="P441" s="22" t="s">
        <v>2121</v>
      </c>
      <c r="Q441" s="22" t="s">
        <v>657</v>
      </c>
      <c r="R441" s="22" t="s">
        <v>657</v>
      </c>
      <c r="S441" s="22" t="s">
        <v>2122</v>
      </c>
      <c r="T441" s="22" t="s">
        <v>2123</v>
      </c>
      <c r="U441" s="24"/>
      <c r="V441" s="22"/>
      <c r="W441" s="22" t="s">
        <v>65</v>
      </c>
      <c r="X441" s="22" t="s">
        <v>65</v>
      </c>
      <c r="Y441" s="22"/>
      <c r="Z441" s="22" t="s">
        <v>66</v>
      </c>
      <c r="AA441" s="22"/>
      <c r="AB441" s="22"/>
      <c r="AC441" s="22"/>
      <c r="AD441" s="22"/>
      <c r="AE441" s="22"/>
      <c r="AF441" s="22"/>
      <c r="AG441" s="22"/>
      <c r="AH441" s="22"/>
      <c r="AI441" s="22"/>
      <c r="AJ441" s="22"/>
      <c r="AK441" s="22"/>
      <c r="AL441" s="22"/>
      <c r="AM441" s="22"/>
      <c r="AN441" s="22"/>
      <c r="AO441" s="22"/>
      <c r="AP441" s="22"/>
      <c r="AQ441" s="22"/>
      <c r="AR441" s="22"/>
      <c r="AS441" s="25"/>
    </row>
    <row r="442" spans="1:45" s="1" customFormat="1">
      <c r="A442" s="22">
        <f t="shared" si="6"/>
        <v>441</v>
      </c>
      <c r="B442" s="23">
        <v>45779</v>
      </c>
      <c r="C442" s="22" t="s">
        <v>208</v>
      </c>
      <c r="D442" s="22" t="s">
        <v>954</v>
      </c>
      <c r="E442" s="22">
        <v>20245469</v>
      </c>
      <c r="F442" s="22" t="s">
        <v>2124</v>
      </c>
      <c r="G442" s="22">
        <v>9224290334</v>
      </c>
      <c r="H442" s="22" t="s">
        <v>2125</v>
      </c>
      <c r="I442" s="22" t="s">
        <v>101</v>
      </c>
      <c r="J442" s="22" t="s">
        <v>1131</v>
      </c>
      <c r="K442" s="22" t="s">
        <v>1132</v>
      </c>
      <c r="L442" s="22" t="s">
        <v>2126</v>
      </c>
      <c r="M442" s="22" t="s">
        <v>683</v>
      </c>
      <c r="N442" s="22">
        <v>24</v>
      </c>
      <c r="O442" s="22" t="s">
        <v>61</v>
      </c>
      <c r="P442" s="22" t="s">
        <v>931</v>
      </c>
      <c r="Q442" s="22" t="s">
        <v>657</v>
      </c>
      <c r="R442" s="22" t="s">
        <v>657</v>
      </c>
      <c r="S442" s="22" t="s">
        <v>941</v>
      </c>
      <c r="T442" s="22" t="s">
        <v>61</v>
      </c>
      <c r="U442" s="24"/>
      <c r="V442" s="22"/>
      <c r="W442" s="22" t="s">
        <v>65</v>
      </c>
      <c r="X442" s="22" t="s">
        <v>65</v>
      </c>
      <c r="Y442" s="22"/>
      <c r="Z442" s="22" t="s">
        <v>66</v>
      </c>
      <c r="AA442" s="22"/>
      <c r="AB442" s="22"/>
      <c r="AC442" s="22"/>
      <c r="AD442" s="22"/>
      <c r="AE442" s="22"/>
      <c r="AF442" s="22"/>
      <c r="AG442" s="22"/>
      <c r="AH442" s="22"/>
      <c r="AI442" s="22"/>
      <c r="AJ442" s="22"/>
      <c r="AK442" s="22"/>
      <c r="AL442" s="22"/>
      <c r="AM442" s="22"/>
      <c r="AN442" s="22"/>
      <c r="AO442" s="22"/>
      <c r="AP442" s="22"/>
      <c r="AQ442" s="22"/>
      <c r="AR442" s="22"/>
      <c r="AS442" s="25"/>
    </row>
    <row r="443" spans="1:45" s="1" customFormat="1">
      <c r="A443" s="22">
        <f t="shared" si="6"/>
        <v>442</v>
      </c>
      <c r="B443" s="23">
        <v>45779</v>
      </c>
      <c r="C443" s="22" t="s">
        <v>208</v>
      </c>
      <c r="D443" s="22" t="s">
        <v>1475</v>
      </c>
      <c r="E443" s="22">
        <v>20245469</v>
      </c>
      <c r="F443" s="22" t="s">
        <v>2127</v>
      </c>
      <c r="G443" s="22">
        <v>9953763760</v>
      </c>
      <c r="H443" s="22" t="s">
        <v>2128</v>
      </c>
      <c r="I443" s="22" t="s">
        <v>55</v>
      </c>
      <c r="J443" s="22" t="s">
        <v>1131</v>
      </c>
      <c r="K443" s="22" t="s">
        <v>1132</v>
      </c>
      <c r="L443" s="22" t="s">
        <v>1071</v>
      </c>
      <c r="M443" s="22" t="s">
        <v>611</v>
      </c>
      <c r="N443" s="22">
        <v>20.100000000000001</v>
      </c>
      <c r="O443" s="22" t="s">
        <v>61</v>
      </c>
      <c r="P443" s="22">
        <v>28</v>
      </c>
      <c r="Q443" s="22" t="s">
        <v>657</v>
      </c>
      <c r="R443" s="22" t="s">
        <v>657</v>
      </c>
      <c r="S443" s="22" t="s">
        <v>2129</v>
      </c>
      <c r="T443" s="22" t="s">
        <v>2130</v>
      </c>
      <c r="U443" s="24"/>
      <c r="V443" s="22"/>
      <c r="W443" s="22" t="s">
        <v>65</v>
      </c>
      <c r="X443" s="22" t="s">
        <v>65</v>
      </c>
      <c r="Y443" s="22"/>
      <c r="Z443" s="22" t="s">
        <v>66</v>
      </c>
      <c r="AA443" s="22"/>
      <c r="AB443" s="22"/>
      <c r="AC443" s="22"/>
      <c r="AD443" s="22"/>
      <c r="AE443" s="22"/>
      <c r="AF443" s="22"/>
      <c r="AG443" s="22"/>
      <c r="AH443" s="22"/>
      <c r="AI443" s="22"/>
      <c r="AJ443" s="22"/>
      <c r="AK443" s="22"/>
      <c r="AL443" s="22"/>
      <c r="AM443" s="22"/>
      <c r="AN443" s="22"/>
      <c r="AO443" s="22"/>
      <c r="AP443" s="22"/>
      <c r="AQ443" s="22"/>
      <c r="AR443" s="22"/>
      <c r="AS443" s="25"/>
    </row>
    <row r="444" spans="1:45" s="1" customFormat="1">
      <c r="A444" s="22">
        <f t="shared" si="6"/>
        <v>443</v>
      </c>
      <c r="B444" s="23">
        <v>45779</v>
      </c>
      <c r="C444" s="22" t="s">
        <v>208</v>
      </c>
      <c r="D444" s="22" t="s">
        <v>1475</v>
      </c>
      <c r="E444" s="22">
        <v>20245469</v>
      </c>
      <c r="F444" s="22" t="s">
        <v>2131</v>
      </c>
      <c r="G444" s="22">
        <v>8975600483</v>
      </c>
      <c r="H444" s="22" t="s">
        <v>2132</v>
      </c>
      <c r="I444" s="22" t="s">
        <v>55</v>
      </c>
      <c r="J444" s="22" t="s">
        <v>1131</v>
      </c>
      <c r="K444" s="22" t="s">
        <v>1132</v>
      </c>
      <c r="L444" s="22" t="s">
        <v>1071</v>
      </c>
      <c r="M444" s="22" t="s">
        <v>2133</v>
      </c>
      <c r="N444" s="22">
        <v>21.5</v>
      </c>
      <c r="O444" s="22">
        <v>1.5</v>
      </c>
      <c r="P444" s="22">
        <v>28</v>
      </c>
      <c r="Q444" s="22" t="s">
        <v>63</v>
      </c>
      <c r="R444" s="22" t="s">
        <v>657</v>
      </c>
      <c r="S444" s="22" t="s">
        <v>1748</v>
      </c>
      <c r="T444" s="22" t="s">
        <v>1101</v>
      </c>
      <c r="U444" s="24"/>
      <c r="V444" s="22"/>
      <c r="W444" s="22" t="s">
        <v>65</v>
      </c>
      <c r="X444" s="22" t="s">
        <v>65</v>
      </c>
      <c r="Y444" s="22"/>
      <c r="Z444" s="22" t="s">
        <v>66</v>
      </c>
      <c r="AA444" s="22"/>
      <c r="AB444" s="22"/>
      <c r="AC444" s="22"/>
      <c r="AD444" s="22"/>
      <c r="AE444" s="22"/>
      <c r="AF444" s="22"/>
      <c r="AG444" s="22"/>
      <c r="AH444" s="22"/>
      <c r="AI444" s="22"/>
      <c r="AJ444" s="22"/>
      <c r="AK444" s="22"/>
      <c r="AL444" s="22"/>
      <c r="AM444" s="22"/>
      <c r="AN444" s="22"/>
      <c r="AO444" s="22"/>
      <c r="AP444" s="22"/>
      <c r="AQ444" s="22"/>
      <c r="AR444" s="22"/>
      <c r="AS444" s="25"/>
    </row>
    <row r="445" spans="1:45" s="1" customFormat="1">
      <c r="A445" s="22">
        <f t="shared" si="6"/>
        <v>444</v>
      </c>
      <c r="B445" s="23">
        <v>45810</v>
      </c>
      <c r="C445" s="22" t="s">
        <v>208</v>
      </c>
      <c r="D445" s="22" t="s">
        <v>209</v>
      </c>
      <c r="E445" s="22">
        <v>20250697</v>
      </c>
      <c r="F445" s="22" t="s">
        <v>2134</v>
      </c>
      <c r="G445" s="22">
        <v>9009924823</v>
      </c>
      <c r="H445" s="22" t="s">
        <v>2135</v>
      </c>
      <c r="I445" s="22" t="s">
        <v>55</v>
      </c>
      <c r="J445" s="22" t="s">
        <v>264</v>
      </c>
      <c r="K445" s="22" t="s">
        <v>252</v>
      </c>
      <c r="L445" s="22">
        <v>4</v>
      </c>
      <c r="M445" s="22" t="s">
        <v>2078</v>
      </c>
      <c r="N445" s="22">
        <v>12</v>
      </c>
      <c r="O445" s="22">
        <v>0</v>
      </c>
      <c r="P445" s="22"/>
      <c r="Q445" s="22"/>
      <c r="R445" s="22" t="s">
        <v>63</v>
      </c>
      <c r="S445" s="22" t="s">
        <v>1305</v>
      </c>
      <c r="T445" s="22"/>
      <c r="U445" s="24"/>
      <c r="V445" s="22"/>
      <c r="W445" s="22" t="s">
        <v>218</v>
      </c>
      <c r="X445" s="22" t="s">
        <v>218</v>
      </c>
      <c r="Y445" s="22" t="s">
        <v>135</v>
      </c>
      <c r="Z445" s="22" t="s">
        <v>66</v>
      </c>
      <c r="AA445" s="22"/>
      <c r="AB445" s="22"/>
      <c r="AC445" s="22"/>
      <c r="AD445" s="22"/>
      <c r="AE445" s="22"/>
      <c r="AF445" s="22"/>
      <c r="AG445" s="22"/>
      <c r="AH445" s="22"/>
      <c r="AI445" s="22"/>
      <c r="AJ445" s="22"/>
      <c r="AK445" s="22"/>
      <c r="AL445" s="22"/>
      <c r="AM445" s="22"/>
      <c r="AN445" s="22"/>
      <c r="AO445" s="22"/>
      <c r="AP445" s="22"/>
      <c r="AQ445" s="22"/>
      <c r="AR445" s="22"/>
      <c r="AS445" s="25"/>
    </row>
    <row r="446" spans="1:45" s="1" customFormat="1">
      <c r="A446" s="22">
        <f t="shared" si="6"/>
        <v>445</v>
      </c>
      <c r="B446" s="23">
        <v>45810</v>
      </c>
      <c r="C446" s="22" t="s">
        <v>208</v>
      </c>
      <c r="D446" s="22" t="s">
        <v>1056</v>
      </c>
      <c r="E446" s="22">
        <v>20249156</v>
      </c>
      <c r="F446" s="22" t="s">
        <v>2136</v>
      </c>
      <c r="G446" s="22" t="s">
        <v>2137</v>
      </c>
      <c r="H446" s="22" t="s">
        <v>2138</v>
      </c>
      <c r="I446" s="22" t="s">
        <v>55</v>
      </c>
      <c r="J446" s="22" t="s">
        <v>1196</v>
      </c>
      <c r="K446" s="22" t="s">
        <v>1197</v>
      </c>
      <c r="L446" s="22">
        <v>10</v>
      </c>
      <c r="M446" s="22" t="s">
        <v>2139</v>
      </c>
      <c r="N446" s="22">
        <v>7</v>
      </c>
      <c r="O446" s="22">
        <v>0</v>
      </c>
      <c r="P446" s="22">
        <v>12</v>
      </c>
      <c r="Q446" s="22" t="s">
        <v>63</v>
      </c>
      <c r="R446" s="22" t="s">
        <v>63</v>
      </c>
      <c r="S446" s="22" t="s">
        <v>230</v>
      </c>
      <c r="T446" s="22"/>
      <c r="U446" s="24"/>
      <c r="V446" s="22"/>
      <c r="W446" s="22" t="s">
        <v>218</v>
      </c>
      <c r="X446" s="22" t="s">
        <v>218</v>
      </c>
      <c r="Y446" s="22" t="s">
        <v>135</v>
      </c>
      <c r="Z446" s="22" t="s">
        <v>66</v>
      </c>
      <c r="AA446" s="22"/>
      <c r="AB446" s="22"/>
      <c r="AC446" s="22"/>
      <c r="AD446" s="22"/>
      <c r="AE446" s="22"/>
      <c r="AF446" s="22"/>
      <c r="AG446" s="22"/>
      <c r="AH446" s="22"/>
      <c r="AI446" s="22"/>
      <c r="AJ446" s="22"/>
      <c r="AK446" s="22"/>
      <c r="AL446" s="22"/>
      <c r="AM446" s="22"/>
      <c r="AN446" s="22"/>
      <c r="AO446" s="22"/>
      <c r="AP446" s="22"/>
      <c r="AQ446" s="22"/>
      <c r="AR446" s="22"/>
      <c r="AS446" s="25"/>
    </row>
    <row r="447" spans="1:45" s="1" customFormat="1">
      <c r="A447" s="22">
        <f t="shared" si="6"/>
        <v>446</v>
      </c>
      <c r="B447" s="23">
        <v>45810</v>
      </c>
      <c r="C447" s="22" t="s">
        <v>208</v>
      </c>
      <c r="D447" s="22" t="s">
        <v>1056</v>
      </c>
      <c r="E447" s="22">
        <v>20249156</v>
      </c>
      <c r="F447" s="22" t="s">
        <v>2140</v>
      </c>
      <c r="G447" s="22">
        <v>8793888235</v>
      </c>
      <c r="H447" s="22" t="s">
        <v>2141</v>
      </c>
      <c r="I447" s="22" t="s">
        <v>55</v>
      </c>
      <c r="J447" s="22" t="s">
        <v>1196</v>
      </c>
      <c r="K447" s="22" t="s">
        <v>1197</v>
      </c>
      <c r="L447" s="22">
        <v>15</v>
      </c>
      <c r="M447" s="22" t="s">
        <v>2142</v>
      </c>
      <c r="N447" s="22">
        <v>14.5</v>
      </c>
      <c r="O447" s="22">
        <v>0.2</v>
      </c>
      <c r="P447" s="22" t="s">
        <v>61</v>
      </c>
      <c r="Q447" s="22" t="s">
        <v>2143</v>
      </c>
      <c r="R447" s="22" t="s">
        <v>63</v>
      </c>
      <c r="S447" s="22" t="s">
        <v>361</v>
      </c>
      <c r="T447" s="22"/>
      <c r="U447" s="24"/>
      <c r="V447" s="22"/>
      <c r="W447" s="22" t="s">
        <v>218</v>
      </c>
      <c r="X447" s="22" t="s">
        <v>218</v>
      </c>
      <c r="Y447" s="22" t="s">
        <v>135</v>
      </c>
      <c r="Z447" s="22" t="s">
        <v>66</v>
      </c>
      <c r="AA447" s="22"/>
      <c r="AB447" s="22"/>
      <c r="AC447" s="22"/>
      <c r="AD447" s="22"/>
      <c r="AE447" s="22"/>
      <c r="AF447" s="22"/>
      <c r="AG447" s="22"/>
      <c r="AH447" s="22"/>
      <c r="AI447" s="22"/>
      <c r="AJ447" s="22"/>
      <c r="AK447" s="22"/>
      <c r="AL447" s="22"/>
      <c r="AM447" s="22"/>
      <c r="AN447" s="22"/>
      <c r="AO447" s="22"/>
      <c r="AP447" s="22"/>
      <c r="AQ447" s="22"/>
      <c r="AR447" s="22"/>
      <c r="AS447" s="25"/>
    </row>
    <row r="448" spans="1:45" s="1" customFormat="1">
      <c r="A448" s="22">
        <f t="shared" si="6"/>
        <v>447</v>
      </c>
      <c r="B448" s="23">
        <v>45810</v>
      </c>
      <c r="C448" s="22" t="s">
        <v>208</v>
      </c>
      <c r="D448" s="22" t="s">
        <v>1056</v>
      </c>
      <c r="E448" s="22">
        <v>20249156</v>
      </c>
      <c r="F448" s="22" t="s">
        <v>2144</v>
      </c>
      <c r="G448" s="22">
        <v>9730107010</v>
      </c>
      <c r="H448" s="22" t="s">
        <v>2145</v>
      </c>
      <c r="I448" s="22" t="s">
        <v>55</v>
      </c>
      <c r="J448" s="22" t="s">
        <v>1196</v>
      </c>
      <c r="K448" s="22" t="s">
        <v>1197</v>
      </c>
      <c r="L448" s="22">
        <v>8.5</v>
      </c>
      <c r="M448" s="22" t="s">
        <v>2146</v>
      </c>
      <c r="N448" s="22">
        <v>7.9</v>
      </c>
      <c r="O448" s="22">
        <v>0</v>
      </c>
      <c r="P448" s="22">
        <v>0.3</v>
      </c>
      <c r="Q448" s="22" t="s">
        <v>2147</v>
      </c>
      <c r="R448" s="22" t="s">
        <v>63</v>
      </c>
      <c r="S448" s="22" t="s">
        <v>230</v>
      </c>
      <c r="T448" s="22"/>
      <c r="U448" s="24"/>
      <c r="V448" s="22"/>
      <c r="W448" s="22" t="s">
        <v>218</v>
      </c>
      <c r="X448" s="22" t="s">
        <v>218</v>
      </c>
      <c r="Y448" s="22" t="s">
        <v>135</v>
      </c>
      <c r="Z448" s="22" t="s">
        <v>66</v>
      </c>
      <c r="AA448" s="22"/>
      <c r="AB448" s="22"/>
      <c r="AC448" s="22"/>
      <c r="AD448" s="22"/>
      <c r="AE448" s="22"/>
      <c r="AF448" s="22"/>
      <c r="AG448" s="22"/>
      <c r="AH448" s="22"/>
      <c r="AI448" s="22"/>
      <c r="AJ448" s="22"/>
      <c r="AK448" s="22"/>
      <c r="AL448" s="22"/>
      <c r="AM448" s="22"/>
      <c r="AN448" s="22"/>
      <c r="AO448" s="22"/>
      <c r="AP448" s="22"/>
      <c r="AQ448" s="22"/>
      <c r="AR448" s="22"/>
      <c r="AS448" s="25"/>
    </row>
    <row r="449" spans="1:45" s="1" customFormat="1">
      <c r="A449" s="22">
        <f t="shared" si="6"/>
        <v>448</v>
      </c>
      <c r="B449" s="23">
        <v>45810</v>
      </c>
      <c r="C449" s="22" t="s">
        <v>208</v>
      </c>
      <c r="D449" s="22" t="s">
        <v>209</v>
      </c>
      <c r="E449" s="22">
        <v>20242406</v>
      </c>
      <c r="F449" s="22" t="s">
        <v>2148</v>
      </c>
      <c r="G449" s="22">
        <v>8000166189</v>
      </c>
      <c r="H449" s="22" t="s">
        <v>2149</v>
      </c>
      <c r="I449" s="22" t="s">
        <v>101</v>
      </c>
      <c r="J449" s="22" t="s">
        <v>936</v>
      </c>
      <c r="K449" s="22" t="s">
        <v>937</v>
      </c>
      <c r="L449" s="22" t="s">
        <v>1053</v>
      </c>
      <c r="M449" s="22" t="s">
        <v>2150</v>
      </c>
      <c r="N449" s="22">
        <v>13.2</v>
      </c>
      <c r="O449" s="22" t="s">
        <v>2151</v>
      </c>
      <c r="P449" s="22" t="s">
        <v>1892</v>
      </c>
      <c r="Q449" s="22" t="s">
        <v>63</v>
      </c>
      <c r="R449" s="22" t="s">
        <v>63</v>
      </c>
      <c r="S449" s="22" t="s">
        <v>878</v>
      </c>
      <c r="T449" s="22" t="s">
        <v>1101</v>
      </c>
      <c r="U449" s="24"/>
      <c r="V449" s="22"/>
      <c r="W449" s="22" t="s">
        <v>65</v>
      </c>
      <c r="X449" s="22" t="s">
        <v>65</v>
      </c>
      <c r="Y449" s="22"/>
      <c r="Z449" s="22" t="s">
        <v>66</v>
      </c>
      <c r="AA449" s="22"/>
      <c r="AB449" s="22"/>
      <c r="AC449" s="22"/>
      <c r="AD449" s="22"/>
      <c r="AE449" s="22"/>
      <c r="AF449" s="22"/>
      <c r="AG449" s="22"/>
      <c r="AH449" s="22"/>
      <c r="AI449" s="22"/>
      <c r="AJ449" s="22"/>
      <c r="AK449" s="22"/>
      <c r="AL449" s="22"/>
      <c r="AM449" s="22"/>
      <c r="AN449" s="22"/>
      <c r="AO449" s="22"/>
      <c r="AP449" s="22"/>
      <c r="AQ449" s="22"/>
      <c r="AR449" s="22"/>
      <c r="AS449" s="25"/>
    </row>
    <row r="450" spans="1:45" s="1" customFormat="1">
      <c r="A450" s="22">
        <f t="shared" si="6"/>
        <v>449</v>
      </c>
      <c r="B450" s="23">
        <v>45810</v>
      </c>
      <c r="C450" s="22" t="s">
        <v>208</v>
      </c>
      <c r="D450" s="22" t="s">
        <v>963</v>
      </c>
      <c r="E450" s="22">
        <v>20252407</v>
      </c>
      <c r="F450" s="22" t="s">
        <v>2148</v>
      </c>
      <c r="G450" s="22">
        <v>8000166189</v>
      </c>
      <c r="H450" s="22" t="s">
        <v>2149</v>
      </c>
      <c r="I450" s="22" t="s">
        <v>101</v>
      </c>
      <c r="J450" s="22" t="s">
        <v>319</v>
      </c>
      <c r="K450" s="22" t="s">
        <v>1080</v>
      </c>
      <c r="L450" s="22" t="s">
        <v>1053</v>
      </c>
      <c r="M450" s="22" t="s">
        <v>2150</v>
      </c>
      <c r="N450" s="22">
        <v>13.2</v>
      </c>
      <c r="O450" s="22" t="s">
        <v>2151</v>
      </c>
      <c r="P450" s="22" t="s">
        <v>1892</v>
      </c>
      <c r="Q450" s="22" t="s">
        <v>63</v>
      </c>
      <c r="R450" s="22" t="s">
        <v>63</v>
      </c>
      <c r="S450" s="22" t="s">
        <v>878</v>
      </c>
      <c r="T450" s="22" t="s">
        <v>1101</v>
      </c>
      <c r="U450" s="24"/>
      <c r="V450" s="22"/>
      <c r="W450" s="22" t="s">
        <v>65</v>
      </c>
      <c r="X450" s="22" t="s">
        <v>65</v>
      </c>
      <c r="Y450" s="22"/>
      <c r="Z450" s="22" t="s">
        <v>66</v>
      </c>
      <c r="AA450" s="22"/>
      <c r="AB450" s="22"/>
      <c r="AC450" s="22"/>
      <c r="AD450" s="22"/>
      <c r="AE450" s="22"/>
      <c r="AF450" s="22"/>
      <c r="AG450" s="22"/>
      <c r="AH450" s="22"/>
      <c r="AI450" s="22"/>
      <c r="AJ450" s="22"/>
      <c r="AK450" s="22"/>
      <c r="AL450" s="22"/>
      <c r="AM450" s="22"/>
      <c r="AN450" s="22"/>
      <c r="AO450" s="22"/>
      <c r="AP450" s="22"/>
      <c r="AQ450" s="22"/>
      <c r="AR450" s="22"/>
      <c r="AS450" s="25"/>
    </row>
    <row r="451" spans="1:45" s="1" customFormat="1">
      <c r="A451" s="22">
        <f t="shared" ref="A451:A514" si="7">A450+1</f>
        <v>450</v>
      </c>
      <c r="B451" s="23">
        <v>45810</v>
      </c>
      <c r="C451" s="22" t="s">
        <v>208</v>
      </c>
      <c r="D451" s="22" t="s">
        <v>963</v>
      </c>
      <c r="E451" s="22">
        <v>20245969</v>
      </c>
      <c r="F451" s="22" t="s">
        <v>2152</v>
      </c>
      <c r="G451" s="22">
        <v>9964267461</v>
      </c>
      <c r="H451" s="22" t="s">
        <v>2153</v>
      </c>
      <c r="I451" s="22" t="s">
        <v>55</v>
      </c>
      <c r="J451" s="22" t="s">
        <v>319</v>
      </c>
      <c r="K451" s="22" t="s">
        <v>1080</v>
      </c>
      <c r="L451" s="22" t="s">
        <v>2154</v>
      </c>
      <c r="M451" s="22" t="s">
        <v>1326</v>
      </c>
      <c r="N451" s="22">
        <v>14.4</v>
      </c>
      <c r="O451" s="22" t="s">
        <v>2155</v>
      </c>
      <c r="P451" s="22" t="s">
        <v>2156</v>
      </c>
      <c r="Q451" s="22" t="s">
        <v>615</v>
      </c>
      <c r="R451" s="22" t="s">
        <v>63</v>
      </c>
      <c r="S451" s="22" t="s">
        <v>2157</v>
      </c>
      <c r="T451" s="22" t="s">
        <v>2158</v>
      </c>
      <c r="U451" s="24"/>
      <c r="V451" s="22"/>
      <c r="W451" s="22" t="s">
        <v>65</v>
      </c>
      <c r="X451" s="22" t="s">
        <v>65</v>
      </c>
      <c r="Y451" s="22"/>
      <c r="Z451" s="22" t="s">
        <v>66</v>
      </c>
      <c r="AA451" s="22"/>
      <c r="AB451" s="22"/>
      <c r="AC451" s="22"/>
      <c r="AD451" s="22"/>
      <c r="AE451" s="22"/>
      <c r="AF451" s="22"/>
      <c r="AG451" s="22"/>
      <c r="AH451" s="22"/>
      <c r="AI451" s="22"/>
      <c r="AJ451" s="22"/>
      <c r="AK451" s="22"/>
      <c r="AL451" s="22"/>
      <c r="AM451" s="22"/>
      <c r="AN451" s="22"/>
      <c r="AO451" s="22"/>
      <c r="AP451" s="22"/>
      <c r="AQ451" s="22"/>
      <c r="AR451" s="22"/>
      <c r="AS451" s="25"/>
    </row>
    <row r="452" spans="1:45" s="1" customFormat="1">
      <c r="A452" s="22">
        <f t="shared" si="7"/>
        <v>451</v>
      </c>
      <c r="B452" s="23">
        <v>45810</v>
      </c>
      <c r="C452" s="22" t="s">
        <v>208</v>
      </c>
      <c r="D452" s="22" t="s">
        <v>963</v>
      </c>
      <c r="E452" s="22">
        <v>20245969</v>
      </c>
      <c r="F452" s="22" t="s">
        <v>2159</v>
      </c>
      <c r="G452" s="22">
        <v>7004789066</v>
      </c>
      <c r="H452" s="22" t="s">
        <v>2160</v>
      </c>
      <c r="I452" s="22" t="s">
        <v>55</v>
      </c>
      <c r="J452" s="22" t="s">
        <v>319</v>
      </c>
      <c r="K452" s="22" t="s">
        <v>1080</v>
      </c>
      <c r="L452" s="22" t="s">
        <v>2161</v>
      </c>
      <c r="M452" s="22" t="s">
        <v>1631</v>
      </c>
      <c r="N452" s="22">
        <v>11</v>
      </c>
      <c r="O452" s="22" t="s">
        <v>61</v>
      </c>
      <c r="P452" s="22" t="s">
        <v>2156</v>
      </c>
      <c r="Q452" s="22" t="s">
        <v>615</v>
      </c>
      <c r="R452" s="22" t="s">
        <v>63</v>
      </c>
      <c r="S452" s="22" t="s">
        <v>2162</v>
      </c>
      <c r="T452" s="22" t="s">
        <v>2163</v>
      </c>
      <c r="U452" s="24"/>
      <c r="V452" s="22"/>
      <c r="W452" s="22" t="s">
        <v>65</v>
      </c>
      <c r="X452" s="22" t="s">
        <v>65</v>
      </c>
      <c r="Y452" s="22"/>
      <c r="Z452" s="22" t="s">
        <v>66</v>
      </c>
      <c r="AA452" s="22"/>
      <c r="AB452" s="22"/>
      <c r="AC452" s="22"/>
      <c r="AD452" s="22"/>
      <c r="AE452" s="22"/>
      <c r="AF452" s="22"/>
      <c r="AG452" s="22"/>
      <c r="AH452" s="22"/>
      <c r="AI452" s="22"/>
      <c r="AJ452" s="22"/>
      <c r="AK452" s="22"/>
      <c r="AL452" s="22"/>
      <c r="AM452" s="22"/>
      <c r="AN452" s="22"/>
      <c r="AO452" s="22"/>
      <c r="AP452" s="22"/>
      <c r="AQ452" s="22"/>
      <c r="AR452" s="22"/>
      <c r="AS452" s="25"/>
    </row>
    <row r="453" spans="1:45" s="1" customFormat="1">
      <c r="A453" s="22">
        <f t="shared" si="7"/>
        <v>452</v>
      </c>
      <c r="B453" s="23">
        <v>45840</v>
      </c>
      <c r="C453" s="22" t="s">
        <v>208</v>
      </c>
      <c r="D453" s="22" t="s">
        <v>209</v>
      </c>
      <c r="E453" s="22">
        <v>20243902</v>
      </c>
      <c r="F453" s="22" t="s">
        <v>2164</v>
      </c>
      <c r="G453" s="22">
        <v>9922493317</v>
      </c>
      <c r="H453" s="22" t="s">
        <v>2165</v>
      </c>
      <c r="I453" s="22" t="s">
        <v>55</v>
      </c>
      <c r="J453" s="22" t="s">
        <v>1299</v>
      </c>
      <c r="K453" s="22" t="s">
        <v>563</v>
      </c>
      <c r="L453" s="22">
        <v>2.6</v>
      </c>
      <c r="M453" s="22" t="s">
        <v>791</v>
      </c>
      <c r="N453" s="22">
        <v>4.4000000000000004</v>
      </c>
      <c r="O453" s="22" t="s">
        <v>1252</v>
      </c>
      <c r="P453" s="22">
        <v>6</v>
      </c>
      <c r="Q453" s="22" t="s">
        <v>63</v>
      </c>
      <c r="R453" s="22" t="s">
        <v>63</v>
      </c>
      <c r="S453" s="22" t="s">
        <v>255</v>
      </c>
      <c r="T453" s="22"/>
      <c r="U453" s="24"/>
      <c r="V453" s="22"/>
      <c r="W453" s="22" t="s">
        <v>218</v>
      </c>
      <c r="X453" s="22" t="s">
        <v>218</v>
      </c>
      <c r="Y453" s="22" t="s">
        <v>135</v>
      </c>
      <c r="Z453" s="22" t="s">
        <v>66</v>
      </c>
      <c r="AA453" s="22"/>
      <c r="AB453" s="22"/>
      <c r="AC453" s="22"/>
      <c r="AD453" s="22"/>
      <c r="AE453" s="22"/>
      <c r="AF453" s="22"/>
      <c r="AG453" s="22"/>
      <c r="AH453" s="22"/>
      <c r="AI453" s="22"/>
      <c r="AJ453" s="22"/>
      <c r="AK453" s="22"/>
      <c r="AL453" s="22"/>
      <c r="AM453" s="22"/>
      <c r="AN453" s="22"/>
      <c r="AO453" s="22"/>
      <c r="AP453" s="22"/>
      <c r="AQ453" s="22"/>
      <c r="AR453" s="22"/>
      <c r="AS453" s="25"/>
    </row>
    <row r="454" spans="1:45" s="1" customFormat="1">
      <c r="A454" s="22">
        <f t="shared" si="7"/>
        <v>453</v>
      </c>
      <c r="B454" s="23">
        <v>45840</v>
      </c>
      <c r="C454" s="22" t="s">
        <v>208</v>
      </c>
      <c r="D454" s="22" t="s">
        <v>963</v>
      </c>
      <c r="E454" s="22">
        <v>20245966</v>
      </c>
      <c r="F454" s="22" t="s">
        <v>2166</v>
      </c>
      <c r="G454" s="22">
        <v>7809069706</v>
      </c>
      <c r="H454" s="22" t="s">
        <v>2167</v>
      </c>
      <c r="I454" s="22" t="s">
        <v>55</v>
      </c>
      <c r="J454" s="22" t="s">
        <v>2168</v>
      </c>
      <c r="K454" s="22" t="s">
        <v>1052</v>
      </c>
      <c r="L454" s="22" t="s">
        <v>58</v>
      </c>
      <c r="M454" s="22" t="s">
        <v>791</v>
      </c>
      <c r="N454" s="22">
        <v>5.75</v>
      </c>
      <c r="O454" s="22" t="s">
        <v>61</v>
      </c>
      <c r="P454" s="22" t="s">
        <v>2169</v>
      </c>
      <c r="Q454" s="22" t="s">
        <v>63</v>
      </c>
      <c r="R454" s="22" t="s">
        <v>63</v>
      </c>
      <c r="S454" s="22" t="s">
        <v>255</v>
      </c>
      <c r="T454" s="22" t="s">
        <v>1154</v>
      </c>
      <c r="U454" s="24"/>
      <c r="V454" s="22"/>
      <c r="W454" s="22" t="s">
        <v>65</v>
      </c>
      <c r="X454" s="22" t="s">
        <v>65</v>
      </c>
      <c r="Y454" s="22"/>
      <c r="Z454" s="22" t="s">
        <v>66</v>
      </c>
      <c r="AA454" s="22"/>
      <c r="AB454" s="22"/>
      <c r="AC454" s="22"/>
      <c r="AD454" s="22"/>
      <c r="AE454" s="22"/>
      <c r="AF454" s="22"/>
      <c r="AG454" s="22"/>
      <c r="AH454" s="22"/>
      <c r="AI454" s="22"/>
      <c r="AJ454" s="22"/>
      <c r="AK454" s="22"/>
      <c r="AL454" s="22"/>
      <c r="AM454" s="22"/>
      <c r="AN454" s="22"/>
      <c r="AO454" s="22"/>
      <c r="AP454" s="22"/>
      <c r="AQ454" s="22"/>
      <c r="AR454" s="22"/>
      <c r="AS454" s="25"/>
    </row>
    <row r="455" spans="1:45" s="1" customFormat="1">
      <c r="A455" s="22">
        <f t="shared" si="7"/>
        <v>454</v>
      </c>
      <c r="B455" s="23">
        <v>45840</v>
      </c>
      <c r="C455" s="22" t="s">
        <v>208</v>
      </c>
      <c r="D455" s="22" t="s">
        <v>954</v>
      </c>
      <c r="E455" s="22">
        <v>20245966</v>
      </c>
      <c r="F455" s="22" t="s">
        <v>2170</v>
      </c>
      <c r="G455" s="22">
        <v>8669451131</v>
      </c>
      <c r="H455" s="22" t="s">
        <v>2171</v>
      </c>
      <c r="I455" s="22" t="s">
        <v>55</v>
      </c>
      <c r="J455" s="22" t="s">
        <v>2168</v>
      </c>
      <c r="K455" s="22" t="s">
        <v>1052</v>
      </c>
      <c r="L455" s="22" t="s">
        <v>2172</v>
      </c>
      <c r="M455" s="22" t="s">
        <v>2173</v>
      </c>
      <c r="N455" s="22" t="s">
        <v>350</v>
      </c>
      <c r="O455" s="22" t="s">
        <v>61</v>
      </c>
      <c r="P455" s="22" t="s">
        <v>173</v>
      </c>
      <c r="Q455" s="22" t="s">
        <v>63</v>
      </c>
      <c r="R455" s="22" t="s">
        <v>63</v>
      </c>
      <c r="S455" s="22" t="s">
        <v>633</v>
      </c>
      <c r="T455" s="22" t="s">
        <v>61</v>
      </c>
      <c r="U455" s="24"/>
      <c r="V455" s="22"/>
      <c r="W455" s="22" t="s">
        <v>65</v>
      </c>
      <c r="X455" s="22" t="s">
        <v>65</v>
      </c>
      <c r="Y455" s="22"/>
      <c r="Z455" s="22" t="s">
        <v>66</v>
      </c>
      <c r="AA455" s="22"/>
      <c r="AB455" s="22"/>
      <c r="AC455" s="22"/>
      <c r="AD455" s="22"/>
      <c r="AE455" s="22"/>
      <c r="AF455" s="22"/>
      <c r="AG455" s="22"/>
      <c r="AH455" s="22"/>
      <c r="AI455" s="22"/>
      <c r="AJ455" s="22"/>
      <c r="AK455" s="22"/>
      <c r="AL455" s="22"/>
      <c r="AM455" s="22"/>
      <c r="AN455" s="22"/>
      <c r="AO455" s="22"/>
      <c r="AP455" s="22"/>
      <c r="AQ455" s="22"/>
      <c r="AR455" s="22"/>
      <c r="AS455" s="25"/>
    </row>
    <row r="456" spans="1:45" s="1" customFormat="1">
      <c r="A456" s="22">
        <f t="shared" si="7"/>
        <v>455</v>
      </c>
      <c r="B456" s="23">
        <v>45840</v>
      </c>
      <c r="C456" s="22" t="s">
        <v>208</v>
      </c>
      <c r="D456" s="22" t="s">
        <v>963</v>
      </c>
      <c r="E456" s="22">
        <v>20245966</v>
      </c>
      <c r="F456" s="22" t="s">
        <v>2174</v>
      </c>
      <c r="G456" s="22">
        <v>9767264150</v>
      </c>
      <c r="H456" s="22" t="s">
        <v>2175</v>
      </c>
      <c r="I456" s="22" t="s">
        <v>55</v>
      </c>
      <c r="J456" s="22" t="s">
        <v>2168</v>
      </c>
      <c r="K456" s="22" t="s">
        <v>1052</v>
      </c>
      <c r="L456" s="22" t="s">
        <v>2176</v>
      </c>
      <c r="M456" s="22" t="s">
        <v>2177</v>
      </c>
      <c r="N456" s="22" t="s">
        <v>780</v>
      </c>
      <c r="O456" s="22" t="s">
        <v>61</v>
      </c>
      <c r="P456" s="22" t="s">
        <v>970</v>
      </c>
      <c r="Q456" s="22" t="s">
        <v>63</v>
      </c>
      <c r="R456" s="22" t="s">
        <v>63</v>
      </c>
      <c r="S456" s="22" t="s">
        <v>2178</v>
      </c>
      <c r="T456" s="22" t="s">
        <v>61</v>
      </c>
      <c r="U456" s="24"/>
      <c r="V456" s="22"/>
      <c r="W456" s="22" t="s">
        <v>65</v>
      </c>
      <c r="X456" s="22" t="s">
        <v>65</v>
      </c>
      <c r="Y456" s="22"/>
      <c r="Z456" s="22" t="s">
        <v>66</v>
      </c>
      <c r="AA456" s="22"/>
      <c r="AB456" s="22"/>
      <c r="AC456" s="22"/>
      <c r="AD456" s="22"/>
      <c r="AE456" s="22"/>
      <c r="AF456" s="22"/>
      <c r="AG456" s="22"/>
      <c r="AH456" s="22"/>
      <c r="AI456" s="22"/>
      <c r="AJ456" s="22"/>
      <c r="AK456" s="22"/>
      <c r="AL456" s="22"/>
      <c r="AM456" s="22"/>
      <c r="AN456" s="22"/>
      <c r="AO456" s="22"/>
      <c r="AP456" s="22"/>
      <c r="AQ456" s="22"/>
      <c r="AR456" s="22"/>
      <c r="AS456" s="25"/>
    </row>
    <row r="457" spans="1:45" s="1" customFormat="1">
      <c r="A457" s="22">
        <f t="shared" si="7"/>
        <v>456</v>
      </c>
      <c r="B457" s="23">
        <v>45840</v>
      </c>
      <c r="C457" s="22" t="s">
        <v>208</v>
      </c>
      <c r="D457" s="22" t="s">
        <v>1725</v>
      </c>
      <c r="E457" s="22">
        <v>20245966</v>
      </c>
      <c r="F457" s="22" t="s">
        <v>2179</v>
      </c>
      <c r="G457" s="22">
        <v>8484055446</v>
      </c>
      <c r="H457" s="22" t="s">
        <v>2180</v>
      </c>
      <c r="I457" s="22" t="s">
        <v>55</v>
      </c>
      <c r="J457" s="22" t="s">
        <v>2168</v>
      </c>
      <c r="K457" s="22" t="s">
        <v>1052</v>
      </c>
      <c r="L457" s="22" t="s">
        <v>58</v>
      </c>
      <c r="M457" s="22" t="s">
        <v>2181</v>
      </c>
      <c r="N457" s="22" t="s">
        <v>2182</v>
      </c>
      <c r="O457" s="22" t="s">
        <v>61</v>
      </c>
      <c r="P457" s="22" t="s">
        <v>2183</v>
      </c>
      <c r="Q457" s="22" t="s">
        <v>63</v>
      </c>
      <c r="R457" s="22" t="s">
        <v>63</v>
      </c>
      <c r="S457" s="22" t="s">
        <v>871</v>
      </c>
      <c r="T457" s="22" t="s">
        <v>61</v>
      </c>
      <c r="U457" s="24"/>
      <c r="V457" s="22"/>
      <c r="W457" s="22" t="s">
        <v>65</v>
      </c>
      <c r="X457" s="22" t="s">
        <v>65</v>
      </c>
      <c r="Y457" s="22"/>
      <c r="Z457" s="22" t="s">
        <v>66</v>
      </c>
      <c r="AA457" s="22"/>
      <c r="AB457" s="22"/>
      <c r="AC457" s="22"/>
      <c r="AD457" s="22"/>
      <c r="AE457" s="22"/>
      <c r="AF457" s="22"/>
      <c r="AG457" s="22"/>
      <c r="AH457" s="22"/>
      <c r="AI457" s="22"/>
      <c r="AJ457" s="22"/>
      <c r="AK457" s="22"/>
      <c r="AL457" s="22"/>
      <c r="AM457" s="22"/>
      <c r="AN457" s="22"/>
      <c r="AO457" s="22"/>
      <c r="AP457" s="22"/>
      <c r="AQ457" s="22"/>
      <c r="AR457" s="22"/>
      <c r="AS457" s="25"/>
    </row>
    <row r="458" spans="1:45" s="1" customFormat="1">
      <c r="A458" s="22">
        <f t="shared" si="7"/>
        <v>457</v>
      </c>
      <c r="B458" s="23">
        <v>45840</v>
      </c>
      <c r="C458" s="22" t="s">
        <v>208</v>
      </c>
      <c r="D458" s="22" t="s">
        <v>1725</v>
      </c>
      <c r="E458" s="22">
        <v>20245966</v>
      </c>
      <c r="F458" s="22" t="s">
        <v>2184</v>
      </c>
      <c r="G458" s="22">
        <v>9716943929</v>
      </c>
      <c r="H458" s="22" t="s">
        <v>2185</v>
      </c>
      <c r="I458" s="22" t="s">
        <v>55</v>
      </c>
      <c r="J458" s="22" t="s">
        <v>2168</v>
      </c>
      <c r="K458" s="22" t="s">
        <v>1052</v>
      </c>
      <c r="L458" s="22" t="s">
        <v>938</v>
      </c>
      <c r="M458" s="22" t="s">
        <v>2186</v>
      </c>
      <c r="N458" s="22" t="s">
        <v>494</v>
      </c>
      <c r="O458" s="22" t="s">
        <v>61</v>
      </c>
      <c r="P458" s="22" t="s">
        <v>970</v>
      </c>
      <c r="Q458" s="22" t="s">
        <v>63</v>
      </c>
      <c r="R458" s="22" t="s">
        <v>63</v>
      </c>
      <c r="S458" s="22" t="s">
        <v>2187</v>
      </c>
      <c r="T458" s="22" t="s">
        <v>61</v>
      </c>
      <c r="U458" s="24"/>
      <c r="V458" s="22"/>
      <c r="W458" s="22" t="s">
        <v>65</v>
      </c>
      <c r="X458" s="22" t="s">
        <v>65</v>
      </c>
      <c r="Y458" s="22"/>
      <c r="Z458" s="22" t="s">
        <v>66</v>
      </c>
      <c r="AA458" s="22"/>
      <c r="AB458" s="22"/>
      <c r="AC458" s="22"/>
      <c r="AD458" s="22"/>
      <c r="AE458" s="22"/>
      <c r="AF458" s="22"/>
      <c r="AG458" s="22"/>
      <c r="AH458" s="22"/>
      <c r="AI458" s="22"/>
      <c r="AJ458" s="22"/>
      <c r="AK458" s="22"/>
      <c r="AL458" s="22"/>
      <c r="AM458" s="22"/>
      <c r="AN458" s="22"/>
      <c r="AO458" s="22"/>
      <c r="AP458" s="22"/>
      <c r="AQ458" s="22"/>
      <c r="AR458" s="22"/>
      <c r="AS458" s="25"/>
    </row>
    <row r="459" spans="1:45" s="1" customFormat="1">
      <c r="A459" s="22">
        <f t="shared" si="7"/>
        <v>458</v>
      </c>
      <c r="B459" s="23">
        <v>45932</v>
      </c>
      <c r="C459" s="22" t="s">
        <v>208</v>
      </c>
      <c r="D459" s="22" t="s">
        <v>293</v>
      </c>
      <c r="E459" s="22">
        <v>20242803</v>
      </c>
      <c r="F459" s="22" t="s">
        <v>2188</v>
      </c>
      <c r="G459" s="22">
        <v>7028185311</v>
      </c>
      <c r="H459" s="22" t="s">
        <v>2189</v>
      </c>
      <c r="I459" s="22" t="s">
        <v>55</v>
      </c>
      <c r="J459" s="22" t="s">
        <v>212</v>
      </c>
      <c r="K459" s="22" t="s">
        <v>213</v>
      </c>
      <c r="L459" s="22">
        <v>4.3</v>
      </c>
      <c r="M459" s="22" t="s">
        <v>534</v>
      </c>
      <c r="N459" s="22">
        <v>8.9</v>
      </c>
      <c r="O459" s="22">
        <v>0</v>
      </c>
      <c r="P459" s="22">
        <v>14</v>
      </c>
      <c r="Q459" s="22" t="s">
        <v>215</v>
      </c>
      <c r="R459" s="22" t="s">
        <v>63</v>
      </c>
      <c r="S459" s="22" t="s">
        <v>2190</v>
      </c>
      <c r="T459" s="22" t="s">
        <v>61</v>
      </c>
      <c r="U459" s="24"/>
      <c r="V459" s="22"/>
      <c r="W459" s="22" t="s">
        <v>218</v>
      </c>
      <c r="X459" s="22" t="s">
        <v>218</v>
      </c>
      <c r="Y459" s="22" t="s">
        <v>135</v>
      </c>
      <c r="Z459" s="22" t="s">
        <v>66</v>
      </c>
      <c r="AA459" s="22">
        <v>45932</v>
      </c>
      <c r="AB459" s="22">
        <v>45936</v>
      </c>
      <c r="AC459" s="22">
        <v>45936</v>
      </c>
      <c r="AD459" s="22"/>
      <c r="AE459" s="22"/>
      <c r="AF459" s="22"/>
      <c r="AG459" s="22"/>
      <c r="AH459" s="22"/>
      <c r="AI459" s="22"/>
      <c r="AJ459" s="22"/>
      <c r="AK459" s="22"/>
      <c r="AL459" s="22"/>
      <c r="AM459" s="22"/>
      <c r="AN459" s="22"/>
      <c r="AO459" s="22"/>
      <c r="AP459" s="22"/>
      <c r="AQ459" s="22"/>
      <c r="AR459" s="22"/>
      <c r="AS459" s="25"/>
    </row>
    <row r="460" spans="1:45" s="1" customFormat="1">
      <c r="A460" s="22">
        <f t="shared" si="7"/>
        <v>459</v>
      </c>
      <c r="B460" s="23">
        <v>45932</v>
      </c>
      <c r="C460" s="22" t="s">
        <v>208</v>
      </c>
      <c r="D460" s="22" t="s">
        <v>209</v>
      </c>
      <c r="E460" s="22">
        <v>20242803</v>
      </c>
      <c r="F460" s="22" t="s">
        <v>2191</v>
      </c>
      <c r="G460" s="22">
        <v>9158448681</v>
      </c>
      <c r="H460" s="22" t="s">
        <v>2192</v>
      </c>
      <c r="I460" s="22" t="s">
        <v>55</v>
      </c>
      <c r="J460" s="22" t="s">
        <v>212</v>
      </c>
      <c r="K460" s="22" t="s">
        <v>213</v>
      </c>
      <c r="L460" s="22">
        <v>5</v>
      </c>
      <c r="M460" s="22" t="s">
        <v>2193</v>
      </c>
      <c r="N460" s="22">
        <v>6</v>
      </c>
      <c r="O460" s="22">
        <v>0</v>
      </c>
      <c r="P460" s="22" t="s">
        <v>2194</v>
      </c>
      <c r="Q460" s="22" t="s">
        <v>63</v>
      </c>
      <c r="R460" s="22" t="s">
        <v>63</v>
      </c>
      <c r="S460" s="22" t="s">
        <v>2195</v>
      </c>
      <c r="T460" s="22" t="s">
        <v>61</v>
      </c>
      <c r="U460" s="24"/>
      <c r="V460" s="22"/>
      <c r="W460" s="22" t="s">
        <v>218</v>
      </c>
      <c r="X460" s="22" t="s">
        <v>218</v>
      </c>
      <c r="Y460" s="22" t="s">
        <v>135</v>
      </c>
      <c r="Z460" s="22" t="s">
        <v>66</v>
      </c>
      <c r="AA460" s="22">
        <v>45932</v>
      </c>
      <c r="AB460" s="22">
        <v>45936</v>
      </c>
      <c r="AC460" s="22">
        <v>45936</v>
      </c>
      <c r="AD460" s="22"/>
      <c r="AE460" s="22"/>
      <c r="AF460" s="22"/>
      <c r="AG460" s="22"/>
      <c r="AH460" s="22"/>
      <c r="AI460" s="22"/>
      <c r="AJ460" s="22"/>
      <c r="AK460" s="22"/>
      <c r="AL460" s="22"/>
      <c r="AM460" s="22"/>
      <c r="AN460" s="22"/>
      <c r="AO460" s="22"/>
      <c r="AP460" s="22"/>
      <c r="AQ460" s="22"/>
      <c r="AR460" s="22"/>
      <c r="AS460" s="25"/>
    </row>
    <row r="461" spans="1:45" s="1" customFormat="1">
      <c r="A461" s="22">
        <f t="shared" si="7"/>
        <v>460</v>
      </c>
      <c r="B461" s="23">
        <v>45932</v>
      </c>
      <c r="C461" s="22" t="s">
        <v>208</v>
      </c>
      <c r="D461" s="22" t="s">
        <v>209</v>
      </c>
      <c r="E461" s="22">
        <v>20242803</v>
      </c>
      <c r="F461" s="22" t="s">
        <v>2196</v>
      </c>
      <c r="G461" s="22">
        <v>8788091085</v>
      </c>
      <c r="H461" s="22" t="s">
        <v>2197</v>
      </c>
      <c r="I461" s="22" t="s">
        <v>101</v>
      </c>
      <c r="J461" s="22" t="s">
        <v>212</v>
      </c>
      <c r="K461" s="22" t="s">
        <v>213</v>
      </c>
      <c r="L461" s="22">
        <v>3.3</v>
      </c>
      <c r="M461" s="22" t="s">
        <v>505</v>
      </c>
      <c r="N461" s="22">
        <v>4.74</v>
      </c>
      <c r="O461" s="22">
        <v>0</v>
      </c>
      <c r="P461" s="22">
        <v>10</v>
      </c>
      <c r="Q461" s="22" t="s">
        <v>215</v>
      </c>
      <c r="R461" s="22" t="s">
        <v>63</v>
      </c>
      <c r="S461" s="22" t="s">
        <v>633</v>
      </c>
      <c r="T461" s="22" t="s">
        <v>2198</v>
      </c>
      <c r="U461" s="24"/>
      <c r="V461" s="22"/>
      <c r="W461" s="22" t="s">
        <v>218</v>
      </c>
      <c r="X461" s="22" t="s">
        <v>218</v>
      </c>
      <c r="Y461" s="22" t="s">
        <v>135</v>
      </c>
      <c r="Z461" s="22" t="s">
        <v>66</v>
      </c>
      <c r="AA461" s="22">
        <v>45932</v>
      </c>
      <c r="AB461" s="22">
        <v>45933</v>
      </c>
      <c r="AC461" s="22">
        <v>45933</v>
      </c>
      <c r="AD461" s="22"/>
      <c r="AE461" s="22"/>
      <c r="AF461" s="22"/>
      <c r="AG461" s="22"/>
      <c r="AH461" s="22"/>
      <c r="AI461" s="22"/>
      <c r="AJ461" s="22"/>
      <c r="AK461" s="22"/>
      <c r="AL461" s="22"/>
      <c r="AM461" s="22"/>
      <c r="AN461" s="22"/>
      <c r="AO461" s="22"/>
      <c r="AP461" s="22"/>
      <c r="AQ461" s="22"/>
      <c r="AR461" s="22"/>
      <c r="AS461" s="25"/>
    </row>
    <row r="462" spans="1:45" s="1" customFormat="1">
      <c r="A462" s="22">
        <f t="shared" si="7"/>
        <v>461</v>
      </c>
      <c r="B462" s="23">
        <v>45932</v>
      </c>
      <c r="C462" s="22" t="s">
        <v>208</v>
      </c>
      <c r="D462" s="22" t="s">
        <v>209</v>
      </c>
      <c r="E462" s="22">
        <v>20242803</v>
      </c>
      <c r="F462" s="22" t="s">
        <v>2199</v>
      </c>
      <c r="G462" s="22">
        <v>8482852678</v>
      </c>
      <c r="H462" s="22" t="s">
        <v>2200</v>
      </c>
      <c r="I462" s="22" t="s">
        <v>55</v>
      </c>
      <c r="J462" s="22" t="s">
        <v>212</v>
      </c>
      <c r="K462" s="22" t="s">
        <v>213</v>
      </c>
      <c r="L462" s="22">
        <v>3.2</v>
      </c>
      <c r="M462" s="22" t="s">
        <v>2201</v>
      </c>
      <c r="N462" s="22">
        <v>4.5</v>
      </c>
      <c r="O462" s="22">
        <v>0</v>
      </c>
      <c r="P462" s="22">
        <v>10</v>
      </c>
      <c r="Q462" s="22" t="s">
        <v>215</v>
      </c>
      <c r="R462" s="22" t="s">
        <v>63</v>
      </c>
      <c r="S462" s="22" t="s">
        <v>2202</v>
      </c>
      <c r="T462" s="22" t="s">
        <v>61</v>
      </c>
      <c r="U462" s="24"/>
      <c r="V462" s="22"/>
      <c r="W462" s="22" t="s">
        <v>218</v>
      </c>
      <c r="X462" s="22" t="s">
        <v>218</v>
      </c>
      <c r="Y462" s="22" t="s">
        <v>135</v>
      </c>
      <c r="Z462" s="22" t="s">
        <v>66</v>
      </c>
      <c r="AA462" s="22">
        <v>45932</v>
      </c>
      <c r="AB462" s="22">
        <v>45940</v>
      </c>
      <c r="AC462" s="22">
        <v>45940</v>
      </c>
      <c r="AD462" s="22"/>
      <c r="AE462" s="22"/>
      <c r="AF462" s="22"/>
      <c r="AG462" s="22"/>
      <c r="AH462" s="22"/>
      <c r="AI462" s="22"/>
      <c r="AJ462" s="22"/>
      <c r="AK462" s="22"/>
      <c r="AL462" s="22"/>
      <c r="AM462" s="22"/>
      <c r="AN462" s="22"/>
      <c r="AO462" s="22"/>
      <c r="AP462" s="22"/>
      <c r="AQ462" s="22"/>
      <c r="AR462" s="22"/>
      <c r="AS462" s="25"/>
    </row>
    <row r="463" spans="1:45" s="1" customFormat="1">
      <c r="A463" s="22">
        <f t="shared" si="7"/>
        <v>462</v>
      </c>
      <c r="B463" s="23">
        <v>45932</v>
      </c>
      <c r="C463" s="22" t="s">
        <v>208</v>
      </c>
      <c r="D463" s="22" t="s">
        <v>209</v>
      </c>
      <c r="E463" s="22">
        <v>20245321</v>
      </c>
      <c r="F463" s="22" t="s">
        <v>2203</v>
      </c>
      <c r="G463" s="22">
        <v>7206520261</v>
      </c>
      <c r="H463" s="22" t="s">
        <v>2204</v>
      </c>
      <c r="I463" s="22" t="s">
        <v>55</v>
      </c>
      <c r="J463" s="22" t="s">
        <v>296</v>
      </c>
      <c r="K463" s="22" t="s">
        <v>213</v>
      </c>
      <c r="L463" s="22">
        <v>5.7</v>
      </c>
      <c r="M463" s="22" t="s">
        <v>2205</v>
      </c>
      <c r="N463" s="22">
        <v>16.7</v>
      </c>
      <c r="O463" s="22">
        <v>0</v>
      </c>
      <c r="P463" s="22">
        <v>25</v>
      </c>
      <c r="Q463" s="22" t="s">
        <v>2206</v>
      </c>
      <c r="R463" s="22" t="s">
        <v>63</v>
      </c>
      <c r="S463" s="22" t="s">
        <v>230</v>
      </c>
      <c r="T463" s="22" t="s">
        <v>2207</v>
      </c>
      <c r="U463" s="24"/>
      <c r="V463" s="22"/>
      <c r="W463" s="22" t="s">
        <v>218</v>
      </c>
      <c r="X463" s="22" t="s">
        <v>218</v>
      </c>
      <c r="Y463" s="22" t="s">
        <v>135</v>
      </c>
      <c r="Z463" s="22" t="s">
        <v>66</v>
      </c>
      <c r="AA463" s="22">
        <v>45932</v>
      </c>
      <c r="AB463" s="22">
        <v>45936</v>
      </c>
      <c r="AC463" s="22">
        <v>45936</v>
      </c>
      <c r="AD463" s="22"/>
      <c r="AE463" s="22"/>
      <c r="AF463" s="22"/>
      <c r="AG463" s="22"/>
      <c r="AH463" s="22"/>
      <c r="AI463" s="22"/>
      <c r="AJ463" s="22"/>
      <c r="AK463" s="22"/>
      <c r="AL463" s="22"/>
      <c r="AM463" s="22"/>
      <c r="AN463" s="22"/>
      <c r="AO463" s="22"/>
      <c r="AP463" s="22"/>
      <c r="AQ463" s="22"/>
      <c r="AR463" s="22"/>
      <c r="AS463" s="25"/>
    </row>
    <row r="464" spans="1:45" s="1" customFormat="1">
      <c r="A464" s="22">
        <f t="shared" si="7"/>
        <v>463</v>
      </c>
      <c r="B464" s="23">
        <v>45932</v>
      </c>
      <c r="C464" s="22" t="s">
        <v>208</v>
      </c>
      <c r="D464" s="22" t="s">
        <v>963</v>
      </c>
      <c r="E464" s="22">
        <v>20251977</v>
      </c>
      <c r="F464" s="22" t="s">
        <v>2208</v>
      </c>
      <c r="G464" s="22">
        <v>9552546194</v>
      </c>
      <c r="H464" s="22" t="s">
        <v>2209</v>
      </c>
      <c r="I464" s="22" t="s">
        <v>55</v>
      </c>
      <c r="J464" s="22" t="s">
        <v>1017</v>
      </c>
      <c r="K464" s="22" t="s">
        <v>201</v>
      </c>
      <c r="L464" s="22" t="s">
        <v>1889</v>
      </c>
      <c r="M464" s="22" t="s">
        <v>1255</v>
      </c>
      <c r="N464" s="22">
        <v>23</v>
      </c>
      <c r="O464" s="22" t="s">
        <v>61</v>
      </c>
      <c r="P464" s="22">
        <v>33</v>
      </c>
      <c r="Q464" s="22" t="s">
        <v>657</v>
      </c>
      <c r="R464" s="22" t="s">
        <v>657</v>
      </c>
      <c r="S464" s="22" t="s">
        <v>2210</v>
      </c>
      <c r="T464" s="22" t="s">
        <v>2211</v>
      </c>
      <c r="U464" s="24"/>
      <c r="V464" s="22"/>
      <c r="W464" s="22" t="s">
        <v>65</v>
      </c>
      <c r="X464" s="22" t="s">
        <v>65</v>
      </c>
      <c r="Y464" s="22"/>
      <c r="Z464" s="22" t="s">
        <v>66</v>
      </c>
      <c r="AA464" s="22"/>
      <c r="AB464" s="22">
        <v>45932</v>
      </c>
      <c r="AC464" s="22"/>
      <c r="AD464" s="22"/>
      <c r="AE464" s="22"/>
      <c r="AF464" s="22"/>
      <c r="AG464" s="22"/>
      <c r="AH464" s="22"/>
      <c r="AI464" s="22"/>
      <c r="AJ464" s="22"/>
      <c r="AK464" s="22"/>
      <c r="AL464" s="22"/>
      <c r="AM464" s="22"/>
      <c r="AN464" s="22"/>
      <c r="AO464" s="22"/>
      <c r="AP464" s="22"/>
      <c r="AQ464" s="22"/>
      <c r="AR464" s="22"/>
      <c r="AS464" s="25"/>
    </row>
    <row r="465" spans="1:45" s="1" customFormat="1">
      <c r="A465" s="22">
        <f t="shared" si="7"/>
        <v>464</v>
      </c>
      <c r="B465" s="23">
        <v>45932</v>
      </c>
      <c r="C465" s="22" t="s">
        <v>208</v>
      </c>
      <c r="D465" s="22" t="s">
        <v>293</v>
      </c>
      <c r="E465" s="22">
        <v>20251977</v>
      </c>
      <c r="F465" s="22" t="s">
        <v>2212</v>
      </c>
      <c r="G465" s="22">
        <v>9158999177</v>
      </c>
      <c r="H465" s="22" t="s">
        <v>2213</v>
      </c>
      <c r="I465" s="22" t="s">
        <v>101</v>
      </c>
      <c r="J465" s="22" t="s">
        <v>1017</v>
      </c>
      <c r="K465" s="22" t="s">
        <v>201</v>
      </c>
      <c r="L465" s="22" t="s">
        <v>2214</v>
      </c>
      <c r="M465" s="22" t="s">
        <v>2215</v>
      </c>
      <c r="N465" s="22">
        <v>32</v>
      </c>
      <c r="O465" s="22" t="s">
        <v>61</v>
      </c>
      <c r="P465" s="22" t="s">
        <v>2216</v>
      </c>
      <c r="Q465" s="22" t="s">
        <v>63</v>
      </c>
      <c r="R465" s="22" t="s">
        <v>63</v>
      </c>
      <c r="S465" s="22" t="s">
        <v>1217</v>
      </c>
      <c r="T465" s="22" t="s">
        <v>2217</v>
      </c>
      <c r="U465" s="24"/>
      <c r="V465" s="22"/>
      <c r="W465" s="22" t="s">
        <v>65</v>
      </c>
      <c r="X465" s="22" t="s">
        <v>65</v>
      </c>
      <c r="Y465" s="22"/>
      <c r="Z465" s="22" t="s">
        <v>66</v>
      </c>
      <c r="AA465" s="22"/>
      <c r="AB465" s="22">
        <v>45700</v>
      </c>
      <c r="AC465" s="22"/>
      <c r="AD465" s="22"/>
      <c r="AE465" s="22"/>
      <c r="AF465" s="22"/>
      <c r="AG465" s="22"/>
      <c r="AH465" s="22"/>
      <c r="AI465" s="22"/>
      <c r="AJ465" s="22"/>
      <c r="AK465" s="22"/>
      <c r="AL465" s="22"/>
      <c r="AM465" s="22"/>
      <c r="AN465" s="22"/>
      <c r="AO465" s="22"/>
      <c r="AP465" s="22"/>
      <c r="AQ465" s="22"/>
      <c r="AR465" s="22"/>
      <c r="AS465" s="25"/>
    </row>
    <row r="466" spans="1:45" s="1" customFormat="1">
      <c r="A466" s="22">
        <f t="shared" si="7"/>
        <v>465</v>
      </c>
      <c r="B466" s="23">
        <v>45932</v>
      </c>
      <c r="C466" s="22" t="s">
        <v>208</v>
      </c>
      <c r="D466" s="22" t="s">
        <v>209</v>
      </c>
      <c r="E466" s="22">
        <v>20245965</v>
      </c>
      <c r="F466" s="22" t="s">
        <v>2218</v>
      </c>
      <c r="G466" s="22">
        <v>8263009693</v>
      </c>
      <c r="H466" s="22" t="s">
        <v>2219</v>
      </c>
      <c r="I466" s="22" t="s">
        <v>55</v>
      </c>
      <c r="J466" s="22" t="s">
        <v>1051</v>
      </c>
      <c r="K466" s="22" t="s">
        <v>1052</v>
      </c>
      <c r="L466" s="22" t="s">
        <v>2220</v>
      </c>
      <c r="M466" s="22" t="s">
        <v>2221</v>
      </c>
      <c r="N466" s="22">
        <v>14</v>
      </c>
      <c r="O466" s="22" t="s">
        <v>61</v>
      </c>
      <c r="P466" s="22">
        <v>22</v>
      </c>
      <c r="Q466" s="22" t="s">
        <v>63</v>
      </c>
      <c r="R466" s="22" t="s">
        <v>63</v>
      </c>
      <c r="S466" s="22" t="s">
        <v>2222</v>
      </c>
      <c r="T466" s="22" t="s">
        <v>1207</v>
      </c>
      <c r="U466" s="24"/>
      <c r="V466" s="22"/>
      <c r="W466" s="22" t="s">
        <v>65</v>
      </c>
      <c r="X466" s="22" t="s">
        <v>65</v>
      </c>
      <c r="Y466" s="22"/>
      <c r="Z466" s="22" t="s">
        <v>66</v>
      </c>
      <c r="AA466" s="22"/>
      <c r="AB466" s="22"/>
      <c r="AC466" s="22"/>
      <c r="AD466" s="22"/>
      <c r="AE466" s="22"/>
      <c r="AF466" s="22"/>
      <c r="AG466" s="22"/>
      <c r="AH466" s="22"/>
      <c r="AI466" s="22"/>
      <c r="AJ466" s="22"/>
      <c r="AK466" s="22"/>
      <c r="AL466" s="22"/>
      <c r="AM466" s="22"/>
      <c r="AN466" s="22"/>
      <c r="AO466" s="22"/>
      <c r="AP466" s="22"/>
      <c r="AQ466" s="22"/>
      <c r="AR466" s="22"/>
      <c r="AS466" s="25"/>
    </row>
    <row r="467" spans="1:45" s="1" customFormat="1">
      <c r="A467" s="22">
        <f t="shared" si="7"/>
        <v>466</v>
      </c>
      <c r="B467" s="23">
        <v>45932</v>
      </c>
      <c r="C467" s="22" t="s">
        <v>208</v>
      </c>
      <c r="D467" s="22" t="s">
        <v>954</v>
      </c>
      <c r="E467" s="22">
        <v>20245965</v>
      </c>
      <c r="F467" s="22" t="s">
        <v>2223</v>
      </c>
      <c r="G467" s="22">
        <v>8401789024</v>
      </c>
      <c r="H467" s="22" t="s">
        <v>2224</v>
      </c>
      <c r="I467" s="22" t="s">
        <v>101</v>
      </c>
      <c r="J467" s="22" t="s">
        <v>1051</v>
      </c>
      <c r="K467" s="22" t="s">
        <v>1052</v>
      </c>
      <c r="L467" s="22" t="s">
        <v>58</v>
      </c>
      <c r="M467" s="22" t="s">
        <v>869</v>
      </c>
      <c r="N467" s="22">
        <v>11.5</v>
      </c>
      <c r="O467" s="22" t="s">
        <v>61</v>
      </c>
      <c r="P467" s="22" t="s">
        <v>1892</v>
      </c>
      <c r="Q467" s="22" t="s">
        <v>63</v>
      </c>
      <c r="R467" s="22" t="s">
        <v>63</v>
      </c>
      <c r="S467" s="22" t="s">
        <v>2225</v>
      </c>
      <c r="T467" s="22" t="s">
        <v>61</v>
      </c>
      <c r="U467" s="24"/>
      <c r="V467" s="22"/>
      <c r="W467" s="22" t="s">
        <v>65</v>
      </c>
      <c r="X467" s="22" t="s">
        <v>65</v>
      </c>
      <c r="Y467" s="22"/>
      <c r="Z467" s="22" t="s">
        <v>66</v>
      </c>
      <c r="AA467" s="22"/>
      <c r="AB467" s="22"/>
      <c r="AC467" s="22"/>
      <c r="AD467" s="22"/>
      <c r="AE467" s="22"/>
      <c r="AF467" s="22"/>
      <c r="AG467" s="22"/>
      <c r="AH467" s="22"/>
      <c r="AI467" s="22"/>
      <c r="AJ467" s="22"/>
      <c r="AK467" s="22"/>
      <c r="AL467" s="22"/>
      <c r="AM467" s="22"/>
      <c r="AN467" s="22"/>
      <c r="AO467" s="22"/>
      <c r="AP467" s="22"/>
      <c r="AQ467" s="22"/>
      <c r="AR467" s="22"/>
      <c r="AS467" s="25"/>
    </row>
    <row r="468" spans="1:45" s="1" customFormat="1">
      <c r="A468" s="22">
        <f t="shared" si="7"/>
        <v>467</v>
      </c>
      <c r="B468" s="23">
        <v>45932</v>
      </c>
      <c r="C468" s="22" t="s">
        <v>208</v>
      </c>
      <c r="D468" s="22" t="s">
        <v>2226</v>
      </c>
      <c r="E468" s="22">
        <v>20245965</v>
      </c>
      <c r="F468" s="22" t="s">
        <v>2227</v>
      </c>
      <c r="G468" s="22">
        <v>8140307951</v>
      </c>
      <c r="H468" s="22" t="s">
        <v>2228</v>
      </c>
      <c r="I468" s="22" t="s">
        <v>101</v>
      </c>
      <c r="J468" s="22" t="s">
        <v>1051</v>
      </c>
      <c r="K468" s="22" t="s">
        <v>1052</v>
      </c>
      <c r="L468" s="22" t="s">
        <v>2105</v>
      </c>
      <c r="M468" s="22" t="s">
        <v>2229</v>
      </c>
      <c r="N468" s="22">
        <v>17.25</v>
      </c>
      <c r="O468" s="22" t="s">
        <v>61</v>
      </c>
      <c r="P468" s="22">
        <v>25</v>
      </c>
      <c r="Q468" s="22" t="s">
        <v>63</v>
      </c>
      <c r="R468" s="22" t="s">
        <v>63</v>
      </c>
      <c r="S468" s="22" t="s">
        <v>2230</v>
      </c>
      <c r="T468" s="22" t="s">
        <v>61</v>
      </c>
      <c r="U468" s="24"/>
      <c r="V468" s="22"/>
      <c r="W468" s="22" t="s">
        <v>65</v>
      </c>
      <c r="X468" s="22" t="s">
        <v>65</v>
      </c>
      <c r="Y468" s="22"/>
      <c r="Z468" s="22" t="s">
        <v>66</v>
      </c>
      <c r="AA468" s="22"/>
      <c r="AB468" s="22">
        <v>45714</v>
      </c>
      <c r="AC468" s="22"/>
      <c r="AD468" s="22"/>
      <c r="AE468" s="22"/>
      <c r="AF468" s="22"/>
      <c r="AG468" s="22"/>
      <c r="AH468" s="22"/>
      <c r="AI468" s="22"/>
      <c r="AJ468" s="22"/>
      <c r="AK468" s="22"/>
      <c r="AL468" s="22"/>
      <c r="AM468" s="22"/>
      <c r="AN468" s="22"/>
      <c r="AO468" s="22"/>
      <c r="AP468" s="22"/>
      <c r="AQ468" s="22"/>
      <c r="AR468" s="22"/>
      <c r="AS468" s="25"/>
    </row>
    <row r="469" spans="1:45" s="1" customFormat="1">
      <c r="A469" s="22">
        <f t="shared" si="7"/>
        <v>468</v>
      </c>
      <c r="B469" s="23">
        <v>45965</v>
      </c>
      <c r="C469" s="22" t="s">
        <v>208</v>
      </c>
      <c r="D469" s="22" t="s">
        <v>841</v>
      </c>
      <c r="E469" s="22">
        <v>20242406</v>
      </c>
      <c r="F469" s="22" t="s">
        <v>2231</v>
      </c>
      <c r="G469" s="22">
        <v>9764938777</v>
      </c>
      <c r="H469" s="22" t="s">
        <v>2232</v>
      </c>
      <c r="I469" s="22" t="s">
        <v>55</v>
      </c>
      <c r="J469" s="22" t="s">
        <v>936</v>
      </c>
      <c r="K469" s="22" t="s">
        <v>937</v>
      </c>
      <c r="L469" s="22" t="s">
        <v>2233</v>
      </c>
      <c r="M469" s="22" t="s">
        <v>2234</v>
      </c>
      <c r="N469" s="22">
        <v>17</v>
      </c>
      <c r="O469" s="22" t="s">
        <v>61</v>
      </c>
      <c r="P469" s="22">
        <v>20</v>
      </c>
      <c r="Q469" s="22" t="s">
        <v>657</v>
      </c>
      <c r="R469" s="22" t="s">
        <v>657</v>
      </c>
      <c r="S469" s="22" t="s">
        <v>2235</v>
      </c>
      <c r="T469" s="22"/>
      <c r="U469" s="24">
        <v>45756</v>
      </c>
      <c r="V469" s="22"/>
      <c r="W469" s="22" t="s">
        <v>65</v>
      </c>
      <c r="X469" s="22" t="s">
        <v>65</v>
      </c>
      <c r="Y469" s="22"/>
      <c r="Z469" s="22" t="s">
        <v>66</v>
      </c>
      <c r="AA469" s="22"/>
      <c r="AB469" s="22"/>
      <c r="AC469" s="22"/>
      <c r="AD469" s="22"/>
      <c r="AE469" s="22"/>
      <c r="AF469" s="22"/>
      <c r="AG469" s="22"/>
      <c r="AH469" s="22"/>
      <c r="AI469" s="22"/>
      <c r="AJ469" s="22"/>
      <c r="AK469" s="22"/>
      <c r="AL469" s="22"/>
      <c r="AM469" s="22"/>
      <c r="AN469" s="22"/>
      <c r="AO469" s="22"/>
      <c r="AP469" s="22"/>
      <c r="AQ469" s="22"/>
      <c r="AR469" s="22"/>
      <c r="AS469" s="25"/>
    </row>
    <row r="470" spans="1:45" s="1" customFormat="1">
      <c r="A470" s="22">
        <f t="shared" si="7"/>
        <v>469</v>
      </c>
      <c r="B470" s="23">
        <v>45965</v>
      </c>
      <c r="C470" s="22" t="s">
        <v>208</v>
      </c>
      <c r="D470" s="22" t="s">
        <v>1081</v>
      </c>
      <c r="E470" s="22">
        <v>20242406</v>
      </c>
      <c r="F470" s="22" t="s">
        <v>2236</v>
      </c>
      <c r="G470" s="22">
        <v>9096568970</v>
      </c>
      <c r="H470" s="22" t="s">
        <v>2237</v>
      </c>
      <c r="I470" s="22" t="s">
        <v>55</v>
      </c>
      <c r="J470" s="22" t="s">
        <v>936</v>
      </c>
      <c r="K470" s="22" t="s">
        <v>937</v>
      </c>
      <c r="L470" s="22" t="s">
        <v>1412</v>
      </c>
      <c r="M470" s="22" t="s">
        <v>2238</v>
      </c>
      <c r="N470" s="22">
        <v>7.5</v>
      </c>
      <c r="O470" s="22" t="s">
        <v>61</v>
      </c>
      <c r="P470" s="22">
        <v>15</v>
      </c>
      <c r="Q470" s="22" t="s">
        <v>657</v>
      </c>
      <c r="R470" s="22" t="s">
        <v>657</v>
      </c>
      <c r="S470" s="22" t="s">
        <v>2239</v>
      </c>
      <c r="T470" s="22" t="s">
        <v>2240</v>
      </c>
      <c r="U470" s="24"/>
      <c r="V470" s="22"/>
      <c r="W470" s="22" t="s">
        <v>65</v>
      </c>
      <c r="X470" s="22" t="s">
        <v>65</v>
      </c>
      <c r="Y470" s="22"/>
      <c r="Z470" s="22" t="s">
        <v>66</v>
      </c>
      <c r="AA470" s="22"/>
      <c r="AB470" s="22"/>
      <c r="AC470" s="22"/>
      <c r="AD470" s="22"/>
      <c r="AE470" s="22"/>
      <c r="AF470" s="22"/>
      <c r="AG470" s="22"/>
      <c r="AH470" s="22"/>
      <c r="AI470" s="22"/>
      <c r="AJ470" s="22"/>
      <c r="AK470" s="22"/>
      <c r="AL470" s="22"/>
      <c r="AM470" s="22"/>
      <c r="AN470" s="22"/>
      <c r="AO470" s="22"/>
      <c r="AP470" s="22"/>
      <c r="AQ470" s="22"/>
      <c r="AR470" s="22"/>
      <c r="AS470" s="25"/>
    </row>
    <row r="471" spans="1:45" s="1" customFormat="1">
      <c r="A471" s="22">
        <f t="shared" si="7"/>
        <v>470</v>
      </c>
      <c r="B471" s="23">
        <v>45965</v>
      </c>
      <c r="C471" s="22" t="s">
        <v>208</v>
      </c>
      <c r="D471" s="22" t="s">
        <v>367</v>
      </c>
      <c r="E471" s="22">
        <v>20242406</v>
      </c>
      <c r="F471" s="22" t="s">
        <v>2241</v>
      </c>
      <c r="G471" s="22">
        <v>9717546884</v>
      </c>
      <c r="H471" s="22" t="s">
        <v>2242</v>
      </c>
      <c r="I471" s="22" t="s">
        <v>55</v>
      </c>
      <c r="J471" s="22" t="s">
        <v>936</v>
      </c>
      <c r="K471" s="22" t="s">
        <v>937</v>
      </c>
      <c r="L471" s="22" t="s">
        <v>1090</v>
      </c>
      <c r="M471" s="22" t="s">
        <v>2243</v>
      </c>
      <c r="N471" s="22">
        <v>12</v>
      </c>
      <c r="O471" s="22" t="s">
        <v>61</v>
      </c>
      <c r="P471" s="22" t="s">
        <v>1006</v>
      </c>
      <c r="Q471" s="22" t="s">
        <v>2244</v>
      </c>
      <c r="R471" s="22" t="s">
        <v>657</v>
      </c>
      <c r="S471" s="22" t="s">
        <v>871</v>
      </c>
      <c r="T471" s="22" t="s">
        <v>61</v>
      </c>
      <c r="U471" s="24"/>
      <c r="V471" s="22"/>
      <c r="W471" s="22" t="s">
        <v>65</v>
      </c>
      <c r="X471" s="22" t="s">
        <v>65</v>
      </c>
      <c r="Y471" s="22"/>
      <c r="Z471" s="22" t="s">
        <v>66</v>
      </c>
      <c r="AA471" s="22"/>
      <c r="AB471" s="22">
        <v>45735</v>
      </c>
      <c r="AC471" s="22"/>
      <c r="AD471" s="22"/>
      <c r="AE471" s="22"/>
      <c r="AF471" s="22"/>
      <c r="AG471" s="22"/>
      <c r="AH471" s="22"/>
      <c r="AI471" s="22"/>
      <c r="AJ471" s="22"/>
      <c r="AK471" s="22"/>
      <c r="AL471" s="22"/>
      <c r="AM471" s="22"/>
      <c r="AN471" s="22"/>
      <c r="AO471" s="22"/>
      <c r="AP471" s="22"/>
      <c r="AQ471" s="22"/>
      <c r="AR471" s="22"/>
      <c r="AS471" s="25"/>
    </row>
    <row r="472" spans="1:45" s="1" customFormat="1">
      <c r="A472" s="22">
        <f t="shared" si="7"/>
        <v>471</v>
      </c>
      <c r="B472" s="23">
        <v>45965</v>
      </c>
      <c r="C472" s="22" t="s">
        <v>208</v>
      </c>
      <c r="D472" s="22" t="s">
        <v>209</v>
      </c>
      <c r="E472" s="22">
        <v>20242406</v>
      </c>
      <c r="F472" s="22" t="s">
        <v>2245</v>
      </c>
      <c r="G472" s="22">
        <v>8793361002</v>
      </c>
      <c r="H472" s="22" t="s">
        <v>2246</v>
      </c>
      <c r="I472" s="22" t="s">
        <v>55</v>
      </c>
      <c r="J472" s="22" t="s">
        <v>936</v>
      </c>
      <c r="K472" s="22" t="s">
        <v>937</v>
      </c>
      <c r="L472" s="22" t="s">
        <v>2247</v>
      </c>
      <c r="M472" s="22" t="s">
        <v>2248</v>
      </c>
      <c r="N472" s="22">
        <v>12.07</v>
      </c>
      <c r="O472" s="22" t="s">
        <v>61</v>
      </c>
      <c r="P472" s="22">
        <v>16</v>
      </c>
      <c r="Q472" s="22" t="s">
        <v>657</v>
      </c>
      <c r="R472" s="22" t="s">
        <v>657</v>
      </c>
      <c r="S472" s="22" t="s">
        <v>2249</v>
      </c>
      <c r="T472" s="22" t="s">
        <v>2250</v>
      </c>
      <c r="U472" s="24"/>
      <c r="V472" s="22"/>
      <c r="W472" s="22" t="s">
        <v>65</v>
      </c>
      <c r="X472" s="22" t="s">
        <v>65</v>
      </c>
      <c r="Y472" s="22"/>
      <c r="Z472" s="22" t="s">
        <v>66</v>
      </c>
      <c r="AA472" s="22"/>
      <c r="AB472" s="22">
        <v>45701</v>
      </c>
      <c r="AC472" s="22"/>
      <c r="AD472" s="22"/>
      <c r="AE472" s="22"/>
      <c r="AF472" s="22"/>
      <c r="AG472" s="22"/>
      <c r="AH472" s="22"/>
      <c r="AI472" s="22"/>
      <c r="AJ472" s="22"/>
      <c r="AK472" s="22"/>
      <c r="AL472" s="22"/>
      <c r="AM472" s="22"/>
      <c r="AN472" s="22"/>
      <c r="AO472" s="22"/>
      <c r="AP472" s="22"/>
      <c r="AQ472" s="22"/>
      <c r="AR472" s="22"/>
      <c r="AS472" s="25"/>
    </row>
    <row r="473" spans="1:45" s="1" customFormat="1">
      <c r="A473" s="22">
        <f t="shared" si="7"/>
        <v>472</v>
      </c>
      <c r="B473" s="23">
        <v>45993</v>
      </c>
      <c r="C473" s="22" t="s">
        <v>208</v>
      </c>
      <c r="D473" s="22" t="s">
        <v>209</v>
      </c>
      <c r="E473" s="22">
        <v>20241431</v>
      </c>
      <c r="F473" s="22" t="s">
        <v>2251</v>
      </c>
      <c r="G473" s="22">
        <v>9527234027</v>
      </c>
      <c r="H473" s="22" t="s">
        <v>2252</v>
      </c>
      <c r="I473" s="22" t="s">
        <v>55</v>
      </c>
      <c r="J473" s="22" t="s">
        <v>518</v>
      </c>
      <c r="K473" s="22" t="s">
        <v>116</v>
      </c>
      <c r="L473" s="22">
        <v>3.1</v>
      </c>
      <c r="M473" s="22" t="s">
        <v>2253</v>
      </c>
      <c r="N473" s="22">
        <v>2.1</v>
      </c>
      <c r="O473" s="22">
        <v>0</v>
      </c>
      <c r="P473" s="22">
        <v>7</v>
      </c>
      <c r="Q473" s="22" t="s">
        <v>2254</v>
      </c>
      <c r="R473" s="22" t="s">
        <v>63</v>
      </c>
      <c r="S473" s="22" t="s">
        <v>2255</v>
      </c>
      <c r="T473" s="22" t="s">
        <v>2256</v>
      </c>
      <c r="U473" s="24"/>
      <c r="V473" s="22"/>
      <c r="W473" s="22" t="s">
        <v>218</v>
      </c>
      <c r="X473" s="22" t="s">
        <v>218</v>
      </c>
      <c r="Y473" s="22" t="s">
        <v>135</v>
      </c>
      <c r="Z473" s="22" t="s">
        <v>66</v>
      </c>
      <c r="AA473" s="22">
        <v>45993</v>
      </c>
      <c r="AB473" s="22">
        <v>45999</v>
      </c>
      <c r="AC473" s="22">
        <v>45999</v>
      </c>
      <c r="AD473" s="22"/>
      <c r="AE473" s="22"/>
      <c r="AF473" s="22"/>
      <c r="AG473" s="22"/>
      <c r="AH473" s="22"/>
      <c r="AI473" s="22"/>
      <c r="AJ473" s="22"/>
      <c r="AK473" s="22"/>
      <c r="AL473" s="22"/>
      <c r="AM473" s="22"/>
      <c r="AN473" s="22"/>
      <c r="AO473" s="22"/>
      <c r="AP473" s="22"/>
      <c r="AQ473" s="22"/>
      <c r="AR473" s="22"/>
      <c r="AS473" s="25"/>
    </row>
    <row r="474" spans="1:45" s="1" customFormat="1">
      <c r="A474" s="22">
        <f t="shared" si="7"/>
        <v>473</v>
      </c>
      <c r="B474" s="23">
        <v>45993</v>
      </c>
      <c r="C474" s="22" t="s">
        <v>208</v>
      </c>
      <c r="D474" s="22" t="s">
        <v>209</v>
      </c>
      <c r="E474" s="22">
        <v>20241431</v>
      </c>
      <c r="F474" s="22" t="s">
        <v>2257</v>
      </c>
      <c r="G474" s="22">
        <v>7977339589</v>
      </c>
      <c r="H474" s="22" t="s">
        <v>2258</v>
      </c>
      <c r="I474" s="22" t="s">
        <v>55</v>
      </c>
      <c r="J474" s="22" t="s">
        <v>518</v>
      </c>
      <c r="K474" s="22" t="s">
        <v>116</v>
      </c>
      <c r="L474" s="22">
        <v>3.5</v>
      </c>
      <c r="M474" s="22" t="s">
        <v>2259</v>
      </c>
      <c r="N474" s="22">
        <v>5</v>
      </c>
      <c r="O474" s="22">
        <v>0</v>
      </c>
      <c r="P474" s="22">
        <v>10</v>
      </c>
      <c r="Q474" s="22" t="s">
        <v>1959</v>
      </c>
      <c r="R474" s="22" t="s">
        <v>63</v>
      </c>
      <c r="S474" s="22" t="s">
        <v>2260</v>
      </c>
      <c r="T474" s="22" t="s">
        <v>2256</v>
      </c>
      <c r="U474" s="24"/>
      <c r="V474" s="22"/>
      <c r="W474" s="22" t="s">
        <v>218</v>
      </c>
      <c r="X474" s="22" t="s">
        <v>218</v>
      </c>
      <c r="Y474" s="22" t="s">
        <v>135</v>
      </c>
      <c r="Z474" s="22" t="s">
        <v>66</v>
      </c>
      <c r="AA474" s="22">
        <v>45993</v>
      </c>
      <c r="AB474" s="22">
        <v>45996</v>
      </c>
      <c r="AC474" s="22">
        <v>45996</v>
      </c>
      <c r="AD474" s="22"/>
      <c r="AE474" s="22"/>
      <c r="AF474" s="22"/>
      <c r="AG474" s="22"/>
      <c r="AH474" s="22"/>
      <c r="AI474" s="22"/>
      <c r="AJ474" s="22"/>
      <c r="AK474" s="22"/>
      <c r="AL474" s="22"/>
      <c r="AM474" s="22"/>
      <c r="AN474" s="22"/>
      <c r="AO474" s="22"/>
      <c r="AP474" s="22"/>
      <c r="AQ474" s="22"/>
      <c r="AR474" s="22"/>
      <c r="AS474" s="25"/>
    </row>
    <row r="475" spans="1:45" s="1" customFormat="1">
      <c r="A475" s="22">
        <f t="shared" si="7"/>
        <v>474</v>
      </c>
      <c r="B475" s="23">
        <v>45993</v>
      </c>
      <c r="C475" s="22" t="s">
        <v>208</v>
      </c>
      <c r="D475" s="22" t="s">
        <v>209</v>
      </c>
      <c r="E475" s="22">
        <v>20241431</v>
      </c>
      <c r="F475" s="22" t="s">
        <v>2261</v>
      </c>
      <c r="G475" s="22">
        <v>8446920331</v>
      </c>
      <c r="H475" s="22" t="s">
        <v>2262</v>
      </c>
      <c r="I475" s="22" t="s">
        <v>55</v>
      </c>
      <c r="J475" s="22" t="s">
        <v>518</v>
      </c>
      <c r="K475" s="22" t="s">
        <v>116</v>
      </c>
      <c r="L475" s="22">
        <v>4</v>
      </c>
      <c r="M475" s="22" t="s">
        <v>2263</v>
      </c>
      <c r="N475" s="22">
        <v>5.6</v>
      </c>
      <c r="O475" s="22">
        <v>0</v>
      </c>
      <c r="P475" s="22" t="s">
        <v>2264</v>
      </c>
      <c r="Q475" s="22" t="s">
        <v>1498</v>
      </c>
      <c r="R475" s="22" t="s">
        <v>63</v>
      </c>
      <c r="S475" s="22" t="s">
        <v>255</v>
      </c>
      <c r="T475" s="22" t="s">
        <v>61</v>
      </c>
      <c r="U475" s="24"/>
      <c r="V475" s="22"/>
      <c r="W475" s="22" t="s">
        <v>218</v>
      </c>
      <c r="X475" s="22" t="s">
        <v>218</v>
      </c>
      <c r="Y475" s="22" t="s">
        <v>135</v>
      </c>
      <c r="Z475" s="22" t="s">
        <v>66</v>
      </c>
      <c r="AA475" s="22">
        <v>45993</v>
      </c>
      <c r="AB475" s="22">
        <v>45994</v>
      </c>
      <c r="AC475" s="22">
        <v>45994</v>
      </c>
      <c r="AD475" s="22"/>
      <c r="AE475" s="22"/>
      <c r="AF475" s="22"/>
      <c r="AG475" s="22"/>
      <c r="AH475" s="22"/>
      <c r="AI475" s="22"/>
      <c r="AJ475" s="22"/>
      <c r="AK475" s="22"/>
      <c r="AL475" s="22"/>
      <c r="AM475" s="22"/>
      <c r="AN475" s="22"/>
      <c r="AO475" s="22"/>
      <c r="AP475" s="22"/>
      <c r="AQ475" s="22"/>
      <c r="AR475" s="22"/>
      <c r="AS475" s="25"/>
    </row>
    <row r="476" spans="1:45" s="1" customFormat="1">
      <c r="A476" s="22">
        <f t="shared" si="7"/>
        <v>475</v>
      </c>
      <c r="B476" s="23">
        <v>45993</v>
      </c>
      <c r="C476" s="22" t="s">
        <v>208</v>
      </c>
      <c r="D476" s="22" t="s">
        <v>367</v>
      </c>
      <c r="E476" s="22">
        <v>20241431</v>
      </c>
      <c r="F476" s="22" t="s">
        <v>2265</v>
      </c>
      <c r="G476" s="22">
        <v>8618776845</v>
      </c>
      <c r="H476" s="22" t="s">
        <v>2266</v>
      </c>
      <c r="I476" s="22" t="s">
        <v>55</v>
      </c>
      <c r="J476" s="22" t="s">
        <v>518</v>
      </c>
      <c r="K476" s="22" t="s">
        <v>116</v>
      </c>
      <c r="L476" s="22">
        <v>3.4</v>
      </c>
      <c r="M476" s="22" t="s">
        <v>2267</v>
      </c>
      <c r="N476" s="22">
        <v>4.7</v>
      </c>
      <c r="O476" s="22">
        <v>0</v>
      </c>
      <c r="P476" s="22">
        <v>8</v>
      </c>
      <c r="Q476" s="22" t="s">
        <v>1498</v>
      </c>
      <c r="R476" s="22" t="s">
        <v>63</v>
      </c>
      <c r="S476" s="22" t="s">
        <v>506</v>
      </c>
      <c r="T476" s="22" t="s">
        <v>2268</v>
      </c>
      <c r="U476" s="24"/>
      <c r="V476" s="22"/>
      <c r="W476" s="22" t="s">
        <v>218</v>
      </c>
      <c r="X476" s="22" t="s">
        <v>218</v>
      </c>
      <c r="Y476" s="22" t="s">
        <v>135</v>
      </c>
      <c r="Z476" s="22" t="s">
        <v>66</v>
      </c>
      <c r="AA476" s="22">
        <v>45707</v>
      </c>
      <c r="AB476" s="22">
        <v>45709</v>
      </c>
      <c r="AC476" s="22">
        <v>45709</v>
      </c>
      <c r="AD476" s="22"/>
      <c r="AE476" s="22"/>
      <c r="AF476" s="22"/>
      <c r="AG476" s="22"/>
      <c r="AH476" s="22"/>
      <c r="AI476" s="22"/>
      <c r="AJ476" s="22"/>
      <c r="AK476" s="22"/>
      <c r="AL476" s="22"/>
      <c r="AM476" s="22"/>
      <c r="AN476" s="22"/>
      <c r="AO476" s="22"/>
      <c r="AP476" s="22"/>
      <c r="AQ476" s="22"/>
      <c r="AR476" s="22"/>
      <c r="AS476" s="25"/>
    </row>
    <row r="477" spans="1:45" s="1" customFormat="1">
      <c r="A477" s="22">
        <f t="shared" si="7"/>
        <v>476</v>
      </c>
      <c r="B477" s="23">
        <v>45993</v>
      </c>
      <c r="C477" s="22" t="s">
        <v>208</v>
      </c>
      <c r="D477" s="22" t="s">
        <v>954</v>
      </c>
      <c r="E477" s="22">
        <v>20242406</v>
      </c>
      <c r="F477" s="22" t="s">
        <v>1764</v>
      </c>
      <c r="G477" s="22" t="s">
        <v>1765</v>
      </c>
      <c r="H477" s="22" t="s">
        <v>1766</v>
      </c>
      <c r="I477" s="22" t="s">
        <v>101</v>
      </c>
      <c r="J477" s="22" t="s">
        <v>936</v>
      </c>
      <c r="K477" s="22" t="s">
        <v>937</v>
      </c>
      <c r="L477" s="22" t="s">
        <v>1098</v>
      </c>
      <c r="M477" s="22" t="s">
        <v>864</v>
      </c>
      <c r="N477" s="22">
        <v>8.8000000000000007</v>
      </c>
      <c r="O477" s="22" t="s">
        <v>61</v>
      </c>
      <c r="P477" s="22">
        <v>14</v>
      </c>
      <c r="Q477" s="22" t="s">
        <v>615</v>
      </c>
      <c r="R477" s="22" t="s">
        <v>63</v>
      </c>
      <c r="S477" s="22" t="s">
        <v>1136</v>
      </c>
      <c r="T477" s="22" t="s">
        <v>61</v>
      </c>
      <c r="U477" s="24"/>
      <c r="V477" s="22"/>
      <c r="W477" s="22" t="s">
        <v>65</v>
      </c>
      <c r="X477" s="22" t="s">
        <v>65</v>
      </c>
      <c r="Y477" s="22"/>
      <c r="Z477" s="22" t="s">
        <v>66</v>
      </c>
      <c r="AA477" s="22"/>
      <c r="AB477" s="22"/>
      <c r="AC477" s="22"/>
      <c r="AD477" s="22"/>
      <c r="AE477" s="22"/>
      <c r="AF477" s="22"/>
      <c r="AG477" s="22"/>
      <c r="AH477" s="22"/>
      <c r="AI477" s="22"/>
      <c r="AJ477" s="22"/>
      <c r="AK477" s="22"/>
      <c r="AL477" s="22"/>
      <c r="AM477" s="22"/>
      <c r="AN477" s="22"/>
      <c r="AO477" s="22"/>
      <c r="AP477" s="22"/>
      <c r="AQ477" s="22"/>
      <c r="AR477" s="22"/>
      <c r="AS477" s="25"/>
    </row>
    <row r="478" spans="1:45" s="1" customFormat="1">
      <c r="A478" s="22">
        <f t="shared" si="7"/>
        <v>477</v>
      </c>
      <c r="B478" s="23">
        <v>45993</v>
      </c>
      <c r="C478" s="22" t="s">
        <v>208</v>
      </c>
      <c r="D478" s="22" t="s">
        <v>954</v>
      </c>
      <c r="E478" s="22">
        <v>20242406</v>
      </c>
      <c r="F478" s="22" t="s">
        <v>2269</v>
      </c>
      <c r="G478" s="22">
        <v>9381043499</v>
      </c>
      <c r="H478" s="22" t="s">
        <v>2270</v>
      </c>
      <c r="I478" s="22" t="s">
        <v>101</v>
      </c>
      <c r="J478" s="22" t="s">
        <v>936</v>
      </c>
      <c r="K478" s="22" t="s">
        <v>937</v>
      </c>
      <c r="L478" s="22" t="s">
        <v>1224</v>
      </c>
      <c r="M478" s="22" t="s">
        <v>2271</v>
      </c>
      <c r="N478" s="22">
        <v>9.5</v>
      </c>
      <c r="O478" s="22" t="s">
        <v>61</v>
      </c>
      <c r="P478" s="22">
        <v>15</v>
      </c>
      <c r="Q478" s="22" t="s">
        <v>63</v>
      </c>
      <c r="R478" s="22" t="s">
        <v>63</v>
      </c>
      <c r="S478" s="22" t="s">
        <v>2272</v>
      </c>
      <c r="T478" s="22" t="s">
        <v>61</v>
      </c>
      <c r="U478" s="24"/>
      <c r="V478" s="22"/>
      <c r="W478" s="22" t="s">
        <v>65</v>
      </c>
      <c r="X478" s="22" t="s">
        <v>65</v>
      </c>
      <c r="Y478" s="22"/>
      <c r="Z478" s="22" t="s">
        <v>66</v>
      </c>
      <c r="AA478" s="22"/>
      <c r="AB478" s="22"/>
      <c r="AC478" s="22"/>
      <c r="AD478" s="22"/>
      <c r="AE478" s="22"/>
      <c r="AF478" s="22"/>
      <c r="AG478" s="22"/>
      <c r="AH478" s="22"/>
      <c r="AI478" s="22"/>
      <c r="AJ478" s="22"/>
      <c r="AK478" s="22"/>
      <c r="AL478" s="22"/>
      <c r="AM478" s="22"/>
      <c r="AN478" s="22"/>
      <c r="AO478" s="22"/>
      <c r="AP478" s="22"/>
      <c r="AQ478" s="22"/>
      <c r="AR478" s="22"/>
      <c r="AS478" s="25"/>
    </row>
    <row r="479" spans="1:45" s="1" customFormat="1">
      <c r="A479" s="22">
        <f t="shared" si="7"/>
        <v>478</v>
      </c>
      <c r="B479" s="23">
        <v>45993</v>
      </c>
      <c r="C479" s="22" t="s">
        <v>208</v>
      </c>
      <c r="D479" s="22" t="s">
        <v>209</v>
      </c>
      <c r="E479" s="22">
        <v>20242406</v>
      </c>
      <c r="F479" s="22" t="s">
        <v>2273</v>
      </c>
      <c r="G479" s="22">
        <v>9765090197</v>
      </c>
      <c r="H479" s="22" t="s">
        <v>2274</v>
      </c>
      <c r="I479" s="22" t="s">
        <v>55</v>
      </c>
      <c r="J479" s="22" t="s">
        <v>936</v>
      </c>
      <c r="K479" s="22" t="s">
        <v>937</v>
      </c>
      <c r="L479" s="22" t="s">
        <v>1084</v>
      </c>
      <c r="M479" s="22" t="s">
        <v>2275</v>
      </c>
      <c r="N479" s="22">
        <v>11.3</v>
      </c>
      <c r="O479" s="22" t="s">
        <v>61</v>
      </c>
      <c r="P479" s="22">
        <v>15</v>
      </c>
      <c r="Q479" s="22" t="s">
        <v>63</v>
      </c>
      <c r="R479" s="22" t="s">
        <v>63</v>
      </c>
      <c r="S479" s="22" t="s">
        <v>2276</v>
      </c>
      <c r="T479" s="22" t="s">
        <v>2277</v>
      </c>
      <c r="U479" s="24"/>
      <c r="V479" s="22"/>
      <c r="W479" s="22" t="s">
        <v>65</v>
      </c>
      <c r="X479" s="22" t="s">
        <v>65</v>
      </c>
      <c r="Y479" s="22"/>
      <c r="Z479" s="22" t="s">
        <v>66</v>
      </c>
      <c r="AA479" s="22"/>
      <c r="AB479" s="22">
        <v>45706</v>
      </c>
      <c r="AC479" s="22"/>
      <c r="AD479" s="22"/>
      <c r="AE479" s="22"/>
      <c r="AF479" s="22"/>
      <c r="AG479" s="22"/>
      <c r="AH479" s="22"/>
      <c r="AI479" s="22"/>
      <c r="AJ479" s="22"/>
      <c r="AK479" s="22"/>
      <c r="AL479" s="22"/>
      <c r="AM479" s="22"/>
      <c r="AN479" s="22"/>
      <c r="AO479" s="22"/>
      <c r="AP479" s="22"/>
      <c r="AQ479" s="22"/>
      <c r="AR479" s="22"/>
      <c r="AS479" s="25"/>
    </row>
    <row r="480" spans="1:45" s="1" customFormat="1">
      <c r="A480" s="22">
        <f t="shared" si="7"/>
        <v>479</v>
      </c>
      <c r="B480" s="23">
        <v>45993</v>
      </c>
      <c r="C480" s="22" t="s">
        <v>208</v>
      </c>
      <c r="D480" s="22" t="s">
        <v>209</v>
      </c>
      <c r="E480" s="22">
        <v>20242406</v>
      </c>
      <c r="F480" s="22" t="s">
        <v>2278</v>
      </c>
      <c r="G480" s="22">
        <v>8851467892</v>
      </c>
      <c r="H480" s="22" t="s">
        <v>2279</v>
      </c>
      <c r="I480" s="22" t="s">
        <v>55</v>
      </c>
      <c r="J480" s="22" t="s">
        <v>936</v>
      </c>
      <c r="K480" s="22" t="s">
        <v>937</v>
      </c>
      <c r="L480" s="22" t="s">
        <v>938</v>
      </c>
      <c r="M480" s="22" t="s">
        <v>1322</v>
      </c>
      <c r="N480" s="22">
        <v>10</v>
      </c>
      <c r="O480" s="22" t="s">
        <v>61</v>
      </c>
      <c r="P480" s="22">
        <v>15</v>
      </c>
      <c r="Q480" s="22" t="s">
        <v>63</v>
      </c>
      <c r="R480" s="22" t="s">
        <v>63</v>
      </c>
      <c r="S480" s="22" t="s">
        <v>1136</v>
      </c>
      <c r="T480" s="22" t="s">
        <v>61</v>
      </c>
      <c r="U480" s="24"/>
      <c r="V480" s="22"/>
      <c r="W480" s="22" t="s">
        <v>65</v>
      </c>
      <c r="X480" s="22" t="s">
        <v>65</v>
      </c>
      <c r="Y480" s="22"/>
      <c r="Z480" s="22" t="s">
        <v>66</v>
      </c>
      <c r="AA480" s="22"/>
      <c r="AB480" s="22">
        <v>45701</v>
      </c>
      <c r="AC480" s="22"/>
      <c r="AD480" s="22"/>
      <c r="AE480" s="22"/>
      <c r="AF480" s="22"/>
      <c r="AG480" s="22"/>
      <c r="AH480" s="22"/>
      <c r="AI480" s="22"/>
      <c r="AJ480" s="22"/>
      <c r="AK480" s="22"/>
      <c r="AL480" s="22"/>
      <c r="AM480" s="22"/>
      <c r="AN480" s="22"/>
      <c r="AO480" s="22"/>
      <c r="AP480" s="22"/>
      <c r="AQ480" s="22"/>
      <c r="AR480" s="22"/>
      <c r="AS480" s="25"/>
    </row>
    <row r="481" spans="1:45" s="1" customFormat="1">
      <c r="A481" s="22">
        <f t="shared" si="7"/>
        <v>480</v>
      </c>
      <c r="B481" s="23">
        <v>45993</v>
      </c>
      <c r="C481" s="22" t="s">
        <v>208</v>
      </c>
      <c r="D481" s="22" t="s">
        <v>293</v>
      </c>
      <c r="E481" s="22">
        <v>20242406</v>
      </c>
      <c r="F481" s="22" t="s">
        <v>2280</v>
      </c>
      <c r="G481" s="22">
        <v>8919719695</v>
      </c>
      <c r="H481" s="22" t="s">
        <v>2281</v>
      </c>
      <c r="I481" s="22" t="s">
        <v>101</v>
      </c>
      <c r="J481" s="22" t="s">
        <v>936</v>
      </c>
      <c r="K481" s="22" t="s">
        <v>937</v>
      </c>
      <c r="L481" s="22" t="s">
        <v>938</v>
      </c>
      <c r="M481" s="22" t="s">
        <v>2282</v>
      </c>
      <c r="N481" s="22">
        <v>11.5</v>
      </c>
      <c r="O481" s="22" t="s">
        <v>61</v>
      </c>
      <c r="P481" s="22">
        <v>15</v>
      </c>
      <c r="Q481" s="22" t="s">
        <v>615</v>
      </c>
      <c r="R481" s="22" t="s">
        <v>63</v>
      </c>
      <c r="S481" s="22" t="s">
        <v>2283</v>
      </c>
      <c r="T481" s="22" t="s">
        <v>2284</v>
      </c>
      <c r="U481" s="24"/>
      <c r="V481" s="22"/>
      <c r="W481" s="22" t="s">
        <v>65</v>
      </c>
      <c r="X481" s="22" t="s">
        <v>65</v>
      </c>
      <c r="Y481" s="22"/>
      <c r="Z481" s="22" t="s">
        <v>66</v>
      </c>
      <c r="AA481" s="22"/>
      <c r="AB481" s="22">
        <v>45705</v>
      </c>
      <c r="AC481" s="22"/>
      <c r="AD481" s="22"/>
      <c r="AE481" s="22"/>
      <c r="AF481" s="22"/>
      <c r="AG481" s="22"/>
      <c r="AH481" s="22"/>
      <c r="AI481" s="22"/>
      <c r="AJ481" s="22"/>
      <c r="AK481" s="22"/>
      <c r="AL481" s="22"/>
      <c r="AM481" s="22"/>
      <c r="AN481" s="22"/>
      <c r="AO481" s="22"/>
      <c r="AP481" s="22"/>
      <c r="AQ481" s="22"/>
      <c r="AR481" s="22"/>
      <c r="AS481" s="25"/>
    </row>
    <row r="482" spans="1:45" s="1" customFormat="1">
      <c r="A482" s="22">
        <f t="shared" si="7"/>
        <v>481</v>
      </c>
      <c r="B482" s="23">
        <v>45993</v>
      </c>
      <c r="C482" s="22" t="s">
        <v>208</v>
      </c>
      <c r="D482" s="22" t="s">
        <v>954</v>
      </c>
      <c r="E482" s="22">
        <v>20242406</v>
      </c>
      <c r="F482" s="22" t="s">
        <v>2285</v>
      </c>
      <c r="G482" s="22">
        <v>9701484822</v>
      </c>
      <c r="H482" s="22" t="s">
        <v>2286</v>
      </c>
      <c r="I482" s="22" t="s">
        <v>101</v>
      </c>
      <c r="J482" s="22" t="s">
        <v>936</v>
      </c>
      <c r="K482" s="22" t="s">
        <v>937</v>
      </c>
      <c r="L482" s="22" t="s">
        <v>1098</v>
      </c>
      <c r="M482" s="22" t="s">
        <v>2287</v>
      </c>
      <c r="N482" s="22">
        <v>13</v>
      </c>
      <c r="O482" s="22" t="s">
        <v>61</v>
      </c>
      <c r="P482" s="22" t="s">
        <v>940</v>
      </c>
      <c r="Q482" s="22" t="s">
        <v>459</v>
      </c>
      <c r="R482" s="22" t="s">
        <v>63</v>
      </c>
      <c r="S482" s="22" t="s">
        <v>1162</v>
      </c>
      <c r="T482" s="22" t="s">
        <v>2288</v>
      </c>
      <c r="U482" s="24"/>
      <c r="V482" s="22"/>
      <c r="W482" s="22" t="s">
        <v>65</v>
      </c>
      <c r="X482" s="22" t="s">
        <v>65</v>
      </c>
      <c r="Y482" s="22"/>
      <c r="Z482" s="22" t="s">
        <v>66</v>
      </c>
      <c r="AA482" s="22"/>
      <c r="AB482" s="22"/>
      <c r="AC482" s="22"/>
      <c r="AD482" s="22"/>
      <c r="AE482" s="22"/>
      <c r="AF482" s="22"/>
      <c r="AG482" s="22"/>
      <c r="AH482" s="22"/>
      <c r="AI482" s="22"/>
      <c r="AJ482" s="22"/>
      <c r="AK482" s="22"/>
      <c r="AL482" s="22"/>
      <c r="AM482" s="22"/>
      <c r="AN482" s="22"/>
      <c r="AO482" s="22"/>
      <c r="AP482" s="22"/>
      <c r="AQ482" s="22"/>
      <c r="AR482" s="22"/>
      <c r="AS482" s="25"/>
    </row>
    <row r="483" spans="1:45" s="1" customFormat="1">
      <c r="A483" s="22">
        <f t="shared" si="7"/>
        <v>482</v>
      </c>
      <c r="B483" s="23">
        <v>45993</v>
      </c>
      <c r="C483" s="22" t="s">
        <v>208</v>
      </c>
      <c r="D483" s="22" t="s">
        <v>1081</v>
      </c>
      <c r="E483" s="22">
        <v>20242406</v>
      </c>
      <c r="F483" s="22" t="s">
        <v>2289</v>
      </c>
      <c r="G483" s="22">
        <v>8917638742</v>
      </c>
      <c r="H483" s="22" t="s">
        <v>2290</v>
      </c>
      <c r="I483" s="22" t="s">
        <v>55</v>
      </c>
      <c r="J483" s="22" t="s">
        <v>936</v>
      </c>
      <c r="K483" s="22" t="s">
        <v>937</v>
      </c>
      <c r="L483" s="22" t="s">
        <v>938</v>
      </c>
      <c r="M483" s="22" t="s">
        <v>2291</v>
      </c>
      <c r="N483" s="22">
        <v>15.5</v>
      </c>
      <c r="O483" s="22" t="s">
        <v>61</v>
      </c>
      <c r="P483" s="22" t="s">
        <v>1085</v>
      </c>
      <c r="Q483" s="22" t="s">
        <v>63</v>
      </c>
      <c r="R483" s="22" t="s">
        <v>63</v>
      </c>
      <c r="S483" s="22" t="s">
        <v>2292</v>
      </c>
      <c r="T483" s="22" t="s">
        <v>61</v>
      </c>
      <c r="U483" s="24"/>
      <c r="V483" s="22"/>
      <c r="W483" s="22" t="s">
        <v>65</v>
      </c>
      <c r="X483" s="22" t="s">
        <v>65</v>
      </c>
      <c r="Y483" s="22"/>
      <c r="Z483" s="22" t="s">
        <v>66</v>
      </c>
      <c r="AA483" s="22"/>
      <c r="AB483" s="22"/>
      <c r="AC483" s="22"/>
      <c r="AD483" s="22"/>
      <c r="AE483" s="22"/>
      <c r="AF483" s="22"/>
      <c r="AG483" s="22"/>
      <c r="AH483" s="22"/>
      <c r="AI483" s="22"/>
      <c r="AJ483" s="22"/>
      <c r="AK483" s="22"/>
      <c r="AL483" s="22"/>
      <c r="AM483" s="22"/>
      <c r="AN483" s="22"/>
      <c r="AO483" s="22"/>
      <c r="AP483" s="22"/>
      <c r="AQ483" s="22"/>
      <c r="AR483" s="22"/>
      <c r="AS483" s="25"/>
    </row>
    <row r="484" spans="1:45" s="1" customFormat="1">
      <c r="A484" s="22">
        <f t="shared" si="7"/>
        <v>483</v>
      </c>
      <c r="B484" s="23">
        <v>46010</v>
      </c>
      <c r="C484" s="22" t="s">
        <v>840</v>
      </c>
      <c r="D484" s="22" t="s">
        <v>841</v>
      </c>
      <c r="E484" s="22">
        <v>20242261</v>
      </c>
      <c r="F484" s="22" t="s">
        <v>2293</v>
      </c>
      <c r="G484" s="22" t="s">
        <v>2294</v>
      </c>
      <c r="H484" s="22" t="s">
        <v>2295</v>
      </c>
      <c r="I484" s="22" t="s">
        <v>101</v>
      </c>
      <c r="J484" s="22" t="s">
        <v>2296</v>
      </c>
      <c r="K484" s="22" t="s">
        <v>116</v>
      </c>
      <c r="L484" s="22" t="s">
        <v>1785</v>
      </c>
      <c r="M484" s="22" t="s">
        <v>2297</v>
      </c>
      <c r="N484" s="22" t="s">
        <v>131</v>
      </c>
      <c r="O484" s="22"/>
      <c r="P484" s="22" t="s">
        <v>715</v>
      </c>
      <c r="Q484" s="22" t="s">
        <v>63</v>
      </c>
      <c r="R484" s="22" t="s">
        <v>63</v>
      </c>
      <c r="S484" s="22" t="s">
        <v>284</v>
      </c>
      <c r="T484" s="22" t="s">
        <v>134</v>
      </c>
      <c r="U484" s="24">
        <v>45754</v>
      </c>
      <c r="V484" s="22"/>
      <c r="W484" s="22" t="s">
        <v>93</v>
      </c>
      <c r="X484" s="22" t="s">
        <v>93</v>
      </c>
      <c r="Y484" s="22" t="s">
        <v>351</v>
      </c>
      <c r="Z484" s="22" t="s">
        <v>66</v>
      </c>
      <c r="AA484" s="22"/>
      <c r="AB484" s="22"/>
      <c r="AC484" s="22"/>
      <c r="AD484" s="22"/>
      <c r="AE484" s="22"/>
      <c r="AF484" s="22"/>
      <c r="AG484" s="22"/>
      <c r="AH484" s="22"/>
      <c r="AI484" s="22"/>
      <c r="AJ484" s="22"/>
      <c r="AK484" s="22"/>
      <c r="AL484" s="22"/>
      <c r="AM484" s="22"/>
      <c r="AN484" s="22"/>
      <c r="AO484" s="22"/>
      <c r="AP484" s="22"/>
      <c r="AQ484" s="22"/>
      <c r="AR484" s="22"/>
      <c r="AS484" s="25"/>
    </row>
    <row r="485" spans="1:45" s="1" customFormat="1">
      <c r="A485" s="22">
        <f t="shared" si="7"/>
        <v>484</v>
      </c>
      <c r="B485" s="23">
        <v>46010</v>
      </c>
      <c r="C485" s="22" t="s">
        <v>840</v>
      </c>
      <c r="D485" s="22" t="s">
        <v>841</v>
      </c>
      <c r="E485" s="22">
        <v>20245279</v>
      </c>
      <c r="F485" s="22" t="s">
        <v>2298</v>
      </c>
      <c r="G485" s="22" t="s">
        <v>2299</v>
      </c>
      <c r="H485" s="22" t="s">
        <v>2300</v>
      </c>
      <c r="I485" s="22" t="s">
        <v>55</v>
      </c>
      <c r="J485" s="22" t="s">
        <v>2296</v>
      </c>
      <c r="K485" s="22" t="s">
        <v>116</v>
      </c>
      <c r="L485" s="22" t="s">
        <v>385</v>
      </c>
      <c r="M485" s="22" t="s">
        <v>2301</v>
      </c>
      <c r="N485" s="22" t="s">
        <v>173</v>
      </c>
      <c r="O485" s="22"/>
      <c r="P485" s="22" t="s">
        <v>144</v>
      </c>
      <c r="Q485" s="22" t="s">
        <v>63</v>
      </c>
      <c r="R485" s="22" t="s">
        <v>63</v>
      </c>
      <c r="S485" s="22" t="s">
        <v>284</v>
      </c>
      <c r="T485" s="22" t="s">
        <v>134</v>
      </c>
      <c r="U485" s="24">
        <v>45768</v>
      </c>
      <c r="V485" s="22"/>
      <c r="W485" s="22" t="s">
        <v>93</v>
      </c>
      <c r="X485" s="22" t="s">
        <v>93</v>
      </c>
      <c r="Y485" s="22" t="s">
        <v>351</v>
      </c>
      <c r="Z485" s="22" t="s">
        <v>66</v>
      </c>
      <c r="AA485" s="22"/>
      <c r="AB485" s="22"/>
      <c r="AC485" s="22"/>
      <c r="AD485" s="22"/>
      <c r="AE485" s="22"/>
      <c r="AF485" s="22"/>
      <c r="AG485" s="22"/>
      <c r="AH485" s="22"/>
      <c r="AI485" s="22"/>
      <c r="AJ485" s="22"/>
      <c r="AK485" s="22"/>
      <c r="AL485" s="22"/>
      <c r="AM485" s="22"/>
      <c r="AN485" s="22"/>
      <c r="AO485" s="22"/>
      <c r="AP485" s="22"/>
      <c r="AQ485" s="22"/>
      <c r="AR485" s="22"/>
      <c r="AS485" s="25"/>
    </row>
    <row r="486" spans="1:45" s="1" customFormat="1">
      <c r="A486" s="22">
        <f t="shared" si="7"/>
        <v>485</v>
      </c>
      <c r="B486" s="23">
        <v>45933</v>
      </c>
      <c r="C486" s="22" t="s">
        <v>208</v>
      </c>
      <c r="D486" s="22" t="s">
        <v>2302</v>
      </c>
      <c r="E486" s="22">
        <v>20241431</v>
      </c>
      <c r="F486" s="22" t="s">
        <v>2303</v>
      </c>
      <c r="G486" s="22">
        <v>6354711529</v>
      </c>
      <c r="H486" s="22" t="s">
        <v>2304</v>
      </c>
      <c r="I486" s="22" t="s">
        <v>55</v>
      </c>
      <c r="J486" s="22" t="s">
        <v>518</v>
      </c>
      <c r="K486" s="22" t="s">
        <v>116</v>
      </c>
      <c r="L486" s="22">
        <v>4.0999999999999996</v>
      </c>
      <c r="M486" s="22" t="s">
        <v>61</v>
      </c>
      <c r="N486" s="22">
        <v>9</v>
      </c>
      <c r="O486" s="22" t="s">
        <v>2305</v>
      </c>
      <c r="P486" s="22" t="s">
        <v>2306</v>
      </c>
      <c r="Q486" s="22" t="s">
        <v>484</v>
      </c>
      <c r="R486" s="22" t="s">
        <v>63</v>
      </c>
      <c r="S486" s="22" t="s">
        <v>2307</v>
      </c>
      <c r="T486" s="22"/>
      <c r="U486" s="24"/>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5"/>
    </row>
    <row r="487" spans="1:45" s="1" customFormat="1">
      <c r="A487" s="22">
        <f t="shared" si="7"/>
        <v>486</v>
      </c>
      <c r="B487" s="23">
        <v>45933</v>
      </c>
      <c r="C487" s="22" t="s">
        <v>208</v>
      </c>
      <c r="D487" s="22" t="s">
        <v>2302</v>
      </c>
      <c r="E487" s="22">
        <v>20241431</v>
      </c>
      <c r="F487" s="22" t="s">
        <v>2308</v>
      </c>
      <c r="G487" s="22">
        <v>7013489281</v>
      </c>
      <c r="H487" s="22" t="s">
        <v>2309</v>
      </c>
      <c r="I487" s="22" t="s">
        <v>55</v>
      </c>
      <c r="J487" s="22" t="s">
        <v>518</v>
      </c>
      <c r="K487" s="22" t="s">
        <v>116</v>
      </c>
      <c r="L487" s="22">
        <v>4.0999999999999996</v>
      </c>
      <c r="M487" s="22" t="s">
        <v>61</v>
      </c>
      <c r="N487" s="22">
        <v>4.5</v>
      </c>
      <c r="O487" s="22">
        <v>0</v>
      </c>
      <c r="P487" s="22">
        <v>8</v>
      </c>
      <c r="Q487" s="22" t="s">
        <v>796</v>
      </c>
      <c r="R487" s="22" t="s">
        <v>63</v>
      </c>
      <c r="S487" s="22" t="s">
        <v>230</v>
      </c>
      <c r="T487" s="22"/>
      <c r="U487" s="24"/>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5"/>
    </row>
    <row r="488" spans="1:45" s="1" customFormat="1">
      <c r="A488" s="22">
        <f t="shared" si="7"/>
        <v>487</v>
      </c>
      <c r="B488" s="23">
        <v>45933</v>
      </c>
      <c r="C488" s="22" t="s">
        <v>208</v>
      </c>
      <c r="D488" s="22" t="s">
        <v>1056</v>
      </c>
      <c r="E488" s="22">
        <v>20241431</v>
      </c>
      <c r="F488" s="22" t="s">
        <v>2310</v>
      </c>
      <c r="G488" s="22">
        <v>7709734230</v>
      </c>
      <c r="H488" s="22" t="s">
        <v>2311</v>
      </c>
      <c r="I488" s="22" t="s">
        <v>55</v>
      </c>
      <c r="J488" s="22" t="s">
        <v>518</v>
      </c>
      <c r="K488" s="22" t="s">
        <v>116</v>
      </c>
      <c r="L488" s="22">
        <v>4</v>
      </c>
      <c r="M488" s="22" t="s">
        <v>61</v>
      </c>
      <c r="N488" s="22">
        <v>8.5</v>
      </c>
      <c r="O488" s="22">
        <v>0</v>
      </c>
      <c r="P488" s="22">
        <v>15</v>
      </c>
      <c r="Q488" s="22" t="s">
        <v>63</v>
      </c>
      <c r="R488" s="22" t="s">
        <v>63</v>
      </c>
      <c r="S488" s="22" t="s">
        <v>2312</v>
      </c>
      <c r="T488" s="22"/>
      <c r="U488" s="24"/>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5"/>
    </row>
    <row r="489" spans="1:45" s="1" customFormat="1">
      <c r="A489" s="22">
        <f t="shared" si="7"/>
        <v>488</v>
      </c>
      <c r="B489" s="23">
        <v>45722</v>
      </c>
      <c r="C489" s="22" t="s">
        <v>208</v>
      </c>
      <c r="D489" s="22" t="s">
        <v>1725</v>
      </c>
      <c r="E489" s="22">
        <v>20243902</v>
      </c>
      <c r="F489" s="22" t="s">
        <v>2313</v>
      </c>
      <c r="G489" s="22">
        <v>9673035222</v>
      </c>
      <c r="H489" s="22" t="s">
        <v>2314</v>
      </c>
      <c r="I489" s="22" t="s">
        <v>55</v>
      </c>
      <c r="J489" s="22" t="s">
        <v>1299</v>
      </c>
      <c r="K489" s="22" t="s">
        <v>563</v>
      </c>
      <c r="L489" s="22">
        <v>2.5</v>
      </c>
      <c r="M489" s="22" t="s">
        <v>61</v>
      </c>
      <c r="N489" s="22">
        <v>4.5</v>
      </c>
      <c r="O489" s="22">
        <v>0</v>
      </c>
      <c r="P489" s="22">
        <v>7</v>
      </c>
      <c r="Q489" s="22" t="s">
        <v>490</v>
      </c>
      <c r="R489" s="22" t="s">
        <v>63</v>
      </c>
      <c r="S489" s="22" t="s">
        <v>255</v>
      </c>
      <c r="T489" s="22"/>
      <c r="U489" s="24"/>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5"/>
    </row>
    <row r="490" spans="1:45" s="1" customFormat="1">
      <c r="A490" s="22">
        <f t="shared" si="7"/>
        <v>489</v>
      </c>
      <c r="B490" s="23">
        <v>45722</v>
      </c>
      <c r="C490" s="22" t="s">
        <v>208</v>
      </c>
      <c r="D490" s="22" t="s">
        <v>1056</v>
      </c>
      <c r="E490" s="22">
        <v>20243902</v>
      </c>
      <c r="F490" s="22" t="s">
        <v>2315</v>
      </c>
      <c r="G490" s="22">
        <v>9960346483</v>
      </c>
      <c r="H490" s="22" t="s">
        <v>2316</v>
      </c>
      <c r="I490" s="22" t="s">
        <v>55</v>
      </c>
      <c r="J490" s="22" t="s">
        <v>1299</v>
      </c>
      <c r="K490" s="22" t="s">
        <v>563</v>
      </c>
      <c r="L490" s="22">
        <v>3.6</v>
      </c>
      <c r="M490" s="22" t="s">
        <v>2317</v>
      </c>
      <c r="N490" s="22">
        <v>5</v>
      </c>
      <c r="O490" s="22">
        <v>0</v>
      </c>
      <c r="P490" s="22">
        <v>8.5</v>
      </c>
      <c r="Q490" s="22" t="s">
        <v>63</v>
      </c>
      <c r="R490" s="22" t="s">
        <v>63</v>
      </c>
      <c r="S490" s="22" t="s">
        <v>633</v>
      </c>
      <c r="T490" s="22"/>
      <c r="U490" s="24"/>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5"/>
    </row>
    <row r="491" spans="1:45" s="1" customFormat="1">
      <c r="A491" s="22">
        <f t="shared" si="7"/>
        <v>490</v>
      </c>
      <c r="B491" s="23">
        <v>45722</v>
      </c>
      <c r="C491" s="22" t="s">
        <v>208</v>
      </c>
      <c r="D491" s="22" t="s">
        <v>1056</v>
      </c>
      <c r="E491" s="22">
        <v>20243902</v>
      </c>
      <c r="F491" s="22" t="s">
        <v>2318</v>
      </c>
      <c r="G491" s="22">
        <v>7776813776</v>
      </c>
      <c r="H491" s="22" t="s">
        <v>2319</v>
      </c>
      <c r="I491" s="22" t="s">
        <v>55</v>
      </c>
      <c r="J491" s="22" t="s">
        <v>1299</v>
      </c>
      <c r="K491" s="22" t="s">
        <v>563</v>
      </c>
      <c r="L491" s="22" t="s">
        <v>61</v>
      </c>
      <c r="M491" s="22" t="s">
        <v>61</v>
      </c>
      <c r="N491" s="22" t="s">
        <v>61</v>
      </c>
      <c r="O491" s="22" t="s">
        <v>61</v>
      </c>
      <c r="P491" s="22" t="s">
        <v>61</v>
      </c>
      <c r="Q491" s="22" t="s">
        <v>61</v>
      </c>
      <c r="R491" s="22" t="s">
        <v>61</v>
      </c>
      <c r="S491" s="22" t="s">
        <v>61</v>
      </c>
      <c r="T491" s="22"/>
      <c r="U491" s="24"/>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5"/>
    </row>
    <row r="492" spans="1:45" s="1" customFormat="1">
      <c r="A492" s="22">
        <f t="shared" si="7"/>
        <v>491</v>
      </c>
      <c r="B492" s="23">
        <v>45722</v>
      </c>
      <c r="C492" s="22" t="s">
        <v>208</v>
      </c>
      <c r="D492" s="22" t="s">
        <v>1056</v>
      </c>
      <c r="E492" s="22">
        <v>20243902</v>
      </c>
      <c r="F492" s="22" t="s">
        <v>2320</v>
      </c>
      <c r="G492" s="22">
        <v>8308318378</v>
      </c>
      <c r="H492" s="22" t="s">
        <v>2321</v>
      </c>
      <c r="I492" s="22" t="s">
        <v>55</v>
      </c>
      <c r="J492" s="22" t="s">
        <v>1299</v>
      </c>
      <c r="K492" s="22" t="s">
        <v>563</v>
      </c>
      <c r="L492" s="22">
        <v>5</v>
      </c>
      <c r="M492" s="22" t="s">
        <v>61</v>
      </c>
      <c r="N492" s="22">
        <v>6.8</v>
      </c>
      <c r="O492" s="22">
        <v>0</v>
      </c>
      <c r="P492" s="22">
        <v>8.5</v>
      </c>
      <c r="Q492" s="22" t="s">
        <v>2322</v>
      </c>
      <c r="R492" s="22" t="s">
        <v>63</v>
      </c>
      <c r="S492" s="22" t="s">
        <v>230</v>
      </c>
      <c r="T492" s="22"/>
      <c r="U492" s="24"/>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5"/>
    </row>
    <row r="493" spans="1:45" s="1" customFormat="1">
      <c r="A493" s="22">
        <f t="shared" si="7"/>
        <v>492</v>
      </c>
      <c r="B493" s="23">
        <v>45724</v>
      </c>
      <c r="C493" s="22" t="s">
        <v>208</v>
      </c>
      <c r="D493" s="22" t="s">
        <v>1056</v>
      </c>
      <c r="E493" s="22">
        <v>20243902</v>
      </c>
      <c r="F493" s="22" t="s">
        <v>2323</v>
      </c>
      <c r="G493" s="22">
        <v>7498028203</v>
      </c>
      <c r="H493" s="22" t="s">
        <v>2324</v>
      </c>
      <c r="I493" s="22" t="s">
        <v>55</v>
      </c>
      <c r="J493" s="22" t="s">
        <v>1299</v>
      </c>
      <c r="K493" s="22" t="s">
        <v>563</v>
      </c>
      <c r="L493" s="22">
        <v>2</v>
      </c>
      <c r="M493" s="22" t="s">
        <v>61</v>
      </c>
      <c r="N493" s="22">
        <v>5</v>
      </c>
      <c r="O493" s="22">
        <v>0</v>
      </c>
      <c r="P493" s="22" t="s">
        <v>2325</v>
      </c>
      <c r="Q493" s="22" t="s">
        <v>2326</v>
      </c>
      <c r="R493" s="22" t="s">
        <v>63</v>
      </c>
      <c r="S493" s="22" t="s">
        <v>230</v>
      </c>
      <c r="T493" s="22"/>
      <c r="U493" s="24"/>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5"/>
    </row>
    <row r="494" spans="1:45" s="1" customFormat="1">
      <c r="A494" s="22">
        <f t="shared" si="7"/>
        <v>493</v>
      </c>
      <c r="B494" s="23">
        <v>45724</v>
      </c>
      <c r="C494" s="22" t="s">
        <v>208</v>
      </c>
      <c r="D494" s="22" t="s">
        <v>1056</v>
      </c>
      <c r="E494" s="22">
        <v>20243902</v>
      </c>
      <c r="F494" s="22" t="s">
        <v>2327</v>
      </c>
      <c r="G494" s="22">
        <v>7972821098</v>
      </c>
      <c r="H494" s="22" t="s">
        <v>2328</v>
      </c>
      <c r="I494" s="22" t="s">
        <v>55</v>
      </c>
      <c r="J494" s="22" t="s">
        <v>1299</v>
      </c>
      <c r="K494" s="22" t="s">
        <v>563</v>
      </c>
      <c r="L494" s="22">
        <v>5</v>
      </c>
      <c r="M494" s="22" t="s">
        <v>61</v>
      </c>
      <c r="N494" s="22">
        <v>5.8</v>
      </c>
      <c r="O494" s="22">
        <v>0</v>
      </c>
      <c r="P494" s="22">
        <v>8.5</v>
      </c>
      <c r="Q494" s="22" t="s">
        <v>459</v>
      </c>
      <c r="R494" s="22" t="s">
        <v>63</v>
      </c>
      <c r="S494" s="22" t="s">
        <v>230</v>
      </c>
      <c r="T494" s="22"/>
      <c r="U494" s="24"/>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5"/>
    </row>
    <row r="495" spans="1:45" s="1" customFormat="1">
      <c r="A495" s="22">
        <f t="shared" si="7"/>
        <v>494</v>
      </c>
      <c r="B495" s="23">
        <v>45726</v>
      </c>
      <c r="C495" s="22" t="s">
        <v>208</v>
      </c>
      <c r="D495" s="22" t="s">
        <v>1056</v>
      </c>
      <c r="E495" s="22">
        <v>20243902</v>
      </c>
      <c r="F495" s="22" t="s">
        <v>2329</v>
      </c>
      <c r="G495" s="22" t="s">
        <v>2330</v>
      </c>
      <c r="H495" s="22" t="s">
        <v>2331</v>
      </c>
      <c r="I495" s="22" t="s">
        <v>55</v>
      </c>
      <c r="J495" s="22" t="s">
        <v>1299</v>
      </c>
      <c r="K495" s="22" t="s">
        <v>563</v>
      </c>
      <c r="L495" s="22">
        <v>5.8</v>
      </c>
      <c r="M495" s="22" t="s">
        <v>61</v>
      </c>
      <c r="N495" s="22">
        <v>21.4</v>
      </c>
      <c r="O495" s="22">
        <v>0.1</v>
      </c>
      <c r="P495" s="22">
        <v>30</v>
      </c>
      <c r="Q495" s="22" t="s">
        <v>710</v>
      </c>
      <c r="R495" s="22" t="s">
        <v>63</v>
      </c>
      <c r="S495" s="22" t="s">
        <v>361</v>
      </c>
      <c r="T495" s="22"/>
      <c r="U495" s="24"/>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5"/>
    </row>
    <row r="496" spans="1:45" s="1" customFormat="1">
      <c r="A496" s="22">
        <f t="shared" si="7"/>
        <v>495</v>
      </c>
      <c r="B496" s="23">
        <v>45726</v>
      </c>
      <c r="C496" s="22" t="s">
        <v>208</v>
      </c>
      <c r="D496" s="22" t="s">
        <v>1056</v>
      </c>
      <c r="E496" s="22">
        <v>20243902</v>
      </c>
      <c r="F496" s="22" t="s">
        <v>2332</v>
      </c>
      <c r="G496" s="22" t="s">
        <v>2333</v>
      </c>
      <c r="H496" s="22" t="s">
        <v>2334</v>
      </c>
      <c r="I496" s="22" t="s">
        <v>101</v>
      </c>
      <c r="J496" s="22" t="s">
        <v>1299</v>
      </c>
      <c r="K496" s="22" t="s">
        <v>563</v>
      </c>
      <c r="L496" s="22">
        <v>6</v>
      </c>
      <c r="M496" s="22">
        <v>0</v>
      </c>
      <c r="N496" s="22">
        <v>6.3</v>
      </c>
      <c r="O496" s="22">
        <v>0</v>
      </c>
      <c r="P496" s="22">
        <v>9</v>
      </c>
      <c r="Q496" s="22" t="s">
        <v>2143</v>
      </c>
      <c r="R496" s="22" t="s">
        <v>63</v>
      </c>
      <c r="S496" s="22" t="s">
        <v>255</v>
      </c>
      <c r="T496" s="22"/>
      <c r="U496" s="24"/>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5"/>
    </row>
    <row r="497" spans="1:45" s="1" customFormat="1">
      <c r="A497" s="22">
        <f t="shared" si="7"/>
        <v>496</v>
      </c>
      <c r="B497" s="23">
        <v>45726</v>
      </c>
      <c r="C497" s="22" t="s">
        <v>208</v>
      </c>
      <c r="D497" s="22" t="s">
        <v>667</v>
      </c>
      <c r="E497" s="22">
        <v>20242803</v>
      </c>
      <c r="F497" s="22" t="s">
        <v>2335</v>
      </c>
      <c r="G497" s="22">
        <v>7032121251</v>
      </c>
      <c r="H497" s="22" t="s">
        <v>2336</v>
      </c>
      <c r="I497" s="22" t="s">
        <v>101</v>
      </c>
      <c r="J497" s="22" t="s">
        <v>212</v>
      </c>
      <c r="K497" s="22" t="s">
        <v>213</v>
      </c>
      <c r="L497" s="22">
        <v>3.5</v>
      </c>
      <c r="M497" s="22" t="s">
        <v>61</v>
      </c>
      <c r="N497" s="22">
        <v>4.5</v>
      </c>
      <c r="O497" s="22" t="s">
        <v>61</v>
      </c>
      <c r="P497" s="22">
        <v>8.5</v>
      </c>
      <c r="Q497" s="22" t="s">
        <v>459</v>
      </c>
      <c r="R497" s="22" t="s">
        <v>63</v>
      </c>
      <c r="S497" s="22" t="s">
        <v>633</v>
      </c>
      <c r="T497" s="22"/>
      <c r="U497" s="24"/>
      <c r="V497" s="22"/>
      <c r="W497" s="22" t="s">
        <v>218</v>
      </c>
      <c r="X497" s="22" t="s">
        <v>218</v>
      </c>
      <c r="Y497" s="22" t="s">
        <v>135</v>
      </c>
      <c r="Z497" s="22" t="s">
        <v>66</v>
      </c>
      <c r="AA497" s="22">
        <v>45726</v>
      </c>
      <c r="AB497" s="22">
        <v>45728</v>
      </c>
      <c r="AC497" s="22">
        <v>45728</v>
      </c>
      <c r="AD497" s="22"/>
      <c r="AE497" s="22"/>
      <c r="AF497" s="22"/>
      <c r="AG497" s="22"/>
      <c r="AH497" s="22"/>
      <c r="AI497" s="22"/>
      <c r="AJ497" s="22"/>
      <c r="AK497" s="22"/>
      <c r="AL497" s="22"/>
      <c r="AM497" s="22"/>
      <c r="AN497" s="22"/>
      <c r="AO497" s="22"/>
      <c r="AP497" s="22"/>
      <c r="AQ497" s="22"/>
      <c r="AR497" s="22"/>
      <c r="AS497" s="25"/>
    </row>
    <row r="498" spans="1:45" s="1" customFormat="1">
      <c r="A498" s="22">
        <f t="shared" si="7"/>
        <v>497</v>
      </c>
      <c r="B498" s="23">
        <v>45726</v>
      </c>
      <c r="C498" s="22" t="s">
        <v>208</v>
      </c>
      <c r="D498" s="22" t="s">
        <v>209</v>
      </c>
      <c r="E498" s="22">
        <v>20242803</v>
      </c>
      <c r="F498" s="22" t="s">
        <v>2337</v>
      </c>
      <c r="G498" s="22">
        <v>9956470822</v>
      </c>
      <c r="H498" s="22" t="s">
        <v>2338</v>
      </c>
      <c r="I498" s="22" t="s">
        <v>55</v>
      </c>
      <c r="J498" s="22" t="s">
        <v>212</v>
      </c>
      <c r="K498" s="22" t="s">
        <v>213</v>
      </c>
      <c r="L498" s="22">
        <v>3.5</v>
      </c>
      <c r="M498" s="22" t="s">
        <v>61</v>
      </c>
      <c r="N498" s="22">
        <v>17</v>
      </c>
      <c r="O498" s="22" t="s">
        <v>61</v>
      </c>
      <c r="P498" s="22" t="s">
        <v>2339</v>
      </c>
      <c r="Q498" s="22" t="s">
        <v>802</v>
      </c>
      <c r="R498" s="22" t="s">
        <v>63</v>
      </c>
      <c r="S498" s="22" t="s">
        <v>2340</v>
      </c>
      <c r="T498" s="22"/>
      <c r="U498" s="24"/>
      <c r="V498" s="22"/>
      <c r="W498" s="22" t="s">
        <v>218</v>
      </c>
      <c r="X498" s="22" t="s">
        <v>218</v>
      </c>
      <c r="Y498" s="22" t="s">
        <v>135</v>
      </c>
      <c r="Z498" s="22" t="s">
        <v>66</v>
      </c>
      <c r="AA498" s="22">
        <v>45726</v>
      </c>
      <c r="AB498" s="22">
        <v>45727</v>
      </c>
      <c r="AC498" s="22">
        <v>45727</v>
      </c>
      <c r="AD498" s="22"/>
      <c r="AE498" s="22"/>
      <c r="AF498" s="22"/>
      <c r="AG498" s="22"/>
      <c r="AH498" s="22"/>
      <c r="AI498" s="22"/>
      <c r="AJ498" s="22"/>
      <c r="AK498" s="22"/>
      <c r="AL498" s="22"/>
      <c r="AM498" s="22"/>
      <c r="AN498" s="22"/>
      <c r="AO498" s="22"/>
      <c r="AP498" s="22"/>
      <c r="AQ498" s="22"/>
      <c r="AR498" s="22"/>
      <c r="AS498" s="25"/>
    </row>
    <row r="499" spans="1:45" s="1" customFormat="1">
      <c r="A499" s="22">
        <f t="shared" si="7"/>
        <v>498</v>
      </c>
      <c r="B499" s="23">
        <v>45726</v>
      </c>
      <c r="C499" s="22" t="s">
        <v>208</v>
      </c>
      <c r="D499" s="22" t="s">
        <v>209</v>
      </c>
      <c r="E499" s="22">
        <v>20242803</v>
      </c>
      <c r="F499" s="22" t="s">
        <v>2341</v>
      </c>
      <c r="G499" s="22">
        <v>6388801671</v>
      </c>
      <c r="H499" s="22" t="s">
        <v>2342</v>
      </c>
      <c r="I499" s="22" t="s">
        <v>55</v>
      </c>
      <c r="J499" s="22" t="s">
        <v>212</v>
      </c>
      <c r="K499" s="22" t="s">
        <v>213</v>
      </c>
      <c r="L499" s="22"/>
      <c r="M499" s="22"/>
      <c r="N499" s="22"/>
      <c r="O499" s="22"/>
      <c r="P499" s="22"/>
      <c r="Q499" s="22"/>
      <c r="R499" s="22"/>
      <c r="S499" s="22"/>
      <c r="T499" s="22"/>
      <c r="U499" s="24"/>
      <c r="V499" s="22"/>
      <c r="W499" s="22" t="s">
        <v>218</v>
      </c>
      <c r="X499" s="22" t="s">
        <v>218</v>
      </c>
      <c r="Y499" s="22" t="s">
        <v>135</v>
      </c>
      <c r="Z499" s="22" t="s">
        <v>66</v>
      </c>
      <c r="AA499" s="22">
        <v>45726</v>
      </c>
      <c r="AB499" s="22">
        <v>45728</v>
      </c>
      <c r="AC499" s="22">
        <v>45728</v>
      </c>
      <c r="AD499" s="22"/>
      <c r="AE499" s="22"/>
      <c r="AF499" s="22"/>
      <c r="AG499" s="22"/>
      <c r="AH499" s="22"/>
      <c r="AI499" s="22"/>
      <c r="AJ499" s="22"/>
      <c r="AK499" s="22"/>
      <c r="AL499" s="22"/>
      <c r="AM499" s="22"/>
      <c r="AN499" s="22"/>
      <c r="AO499" s="22"/>
      <c r="AP499" s="22"/>
      <c r="AQ499" s="22"/>
      <c r="AR499" s="22"/>
      <c r="AS499" s="25"/>
    </row>
    <row r="500" spans="1:45" s="1" customFormat="1">
      <c r="A500" s="22">
        <f t="shared" si="7"/>
        <v>499</v>
      </c>
      <c r="B500" s="23">
        <v>45726</v>
      </c>
      <c r="C500" s="22" t="s">
        <v>208</v>
      </c>
      <c r="D500" s="22" t="s">
        <v>209</v>
      </c>
      <c r="E500" s="22">
        <v>20242803</v>
      </c>
      <c r="F500" s="22" t="s">
        <v>2343</v>
      </c>
      <c r="G500" s="22">
        <v>9930912606</v>
      </c>
      <c r="H500" s="22" t="s">
        <v>2344</v>
      </c>
      <c r="I500" s="22" t="s">
        <v>55</v>
      </c>
      <c r="J500" s="22" t="s">
        <v>212</v>
      </c>
      <c r="K500" s="22" t="s">
        <v>213</v>
      </c>
      <c r="L500" s="22"/>
      <c r="M500" s="22"/>
      <c r="N500" s="22"/>
      <c r="O500" s="22"/>
      <c r="P500" s="22"/>
      <c r="Q500" s="22"/>
      <c r="R500" s="22"/>
      <c r="S500" s="22"/>
      <c r="T500" s="22"/>
      <c r="U500" s="24"/>
      <c r="V500" s="22"/>
      <c r="W500" s="22" t="s">
        <v>218</v>
      </c>
      <c r="X500" s="22" t="s">
        <v>218</v>
      </c>
      <c r="Y500" s="22" t="s">
        <v>135</v>
      </c>
      <c r="Z500" s="22" t="s">
        <v>66</v>
      </c>
      <c r="AA500" s="22">
        <v>45726</v>
      </c>
      <c r="AB500" s="22">
        <v>45729</v>
      </c>
      <c r="AC500" s="22">
        <v>45729</v>
      </c>
      <c r="AD500" s="22"/>
      <c r="AE500" s="22"/>
      <c r="AF500" s="22"/>
      <c r="AG500" s="22"/>
      <c r="AH500" s="22"/>
      <c r="AI500" s="22"/>
      <c r="AJ500" s="22"/>
      <c r="AK500" s="22"/>
      <c r="AL500" s="22"/>
      <c r="AM500" s="22"/>
      <c r="AN500" s="22"/>
      <c r="AO500" s="22"/>
      <c r="AP500" s="22"/>
      <c r="AQ500" s="22"/>
      <c r="AR500" s="22"/>
      <c r="AS500" s="25"/>
    </row>
    <row r="501" spans="1:45" s="1" customFormat="1">
      <c r="A501" s="22">
        <f t="shared" si="7"/>
        <v>500</v>
      </c>
      <c r="B501" s="23">
        <v>45726</v>
      </c>
      <c r="C501" s="22" t="s">
        <v>208</v>
      </c>
      <c r="D501" s="22" t="s">
        <v>667</v>
      </c>
      <c r="E501" s="22">
        <v>20242803</v>
      </c>
      <c r="F501" s="22" t="s">
        <v>2345</v>
      </c>
      <c r="G501" s="22">
        <v>6283732625</v>
      </c>
      <c r="H501" s="22" t="s">
        <v>2346</v>
      </c>
      <c r="I501" s="22" t="s">
        <v>55</v>
      </c>
      <c r="J501" s="22" t="s">
        <v>212</v>
      </c>
      <c r="K501" s="22" t="s">
        <v>213</v>
      </c>
      <c r="L501" s="22">
        <v>3.6</v>
      </c>
      <c r="M501" s="22" t="s">
        <v>2347</v>
      </c>
      <c r="N501" s="22">
        <v>7.5</v>
      </c>
      <c r="O501" s="22" t="s">
        <v>2012</v>
      </c>
      <c r="P501" s="22">
        <v>14</v>
      </c>
      <c r="Q501" s="22" t="s">
        <v>750</v>
      </c>
      <c r="R501" s="22" t="s">
        <v>63</v>
      </c>
      <c r="S501" s="22" t="s">
        <v>2348</v>
      </c>
      <c r="T501" s="22"/>
      <c r="U501" s="24"/>
      <c r="V501" s="22"/>
      <c r="W501" s="22" t="s">
        <v>218</v>
      </c>
      <c r="X501" s="22" t="s">
        <v>218</v>
      </c>
      <c r="Y501" s="22" t="s">
        <v>135</v>
      </c>
      <c r="Z501" s="22" t="s">
        <v>66</v>
      </c>
      <c r="AA501" s="22">
        <v>45726</v>
      </c>
      <c r="AB501" s="22">
        <v>45726</v>
      </c>
      <c r="AC501" s="22">
        <v>45726</v>
      </c>
      <c r="AD501" s="22"/>
      <c r="AE501" s="22"/>
      <c r="AF501" s="22"/>
      <c r="AG501" s="22"/>
      <c r="AH501" s="22"/>
      <c r="AI501" s="22"/>
      <c r="AJ501" s="22"/>
      <c r="AK501" s="22"/>
      <c r="AL501" s="22"/>
      <c r="AM501" s="22"/>
      <c r="AN501" s="22"/>
      <c r="AO501" s="22"/>
      <c r="AP501" s="22"/>
      <c r="AQ501" s="22"/>
      <c r="AR501" s="22"/>
      <c r="AS501" s="25"/>
    </row>
    <row r="502" spans="1:45" s="1" customFormat="1">
      <c r="A502" s="22">
        <f t="shared" si="7"/>
        <v>501</v>
      </c>
      <c r="B502" s="23">
        <v>45726</v>
      </c>
      <c r="C502" s="22" t="s">
        <v>208</v>
      </c>
      <c r="D502" s="22" t="s">
        <v>667</v>
      </c>
      <c r="E502" s="22">
        <v>20242803</v>
      </c>
      <c r="F502" s="22" t="s">
        <v>2349</v>
      </c>
      <c r="G502" s="22" t="s">
        <v>2350</v>
      </c>
      <c r="H502" s="22" t="s">
        <v>2351</v>
      </c>
      <c r="I502" s="22" t="s">
        <v>55</v>
      </c>
      <c r="J502" s="22" t="s">
        <v>212</v>
      </c>
      <c r="K502" s="22" t="s">
        <v>213</v>
      </c>
      <c r="L502" s="22">
        <v>3.1</v>
      </c>
      <c r="M502" s="22" t="s">
        <v>505</v>
      </c>
      <c r="N502" s="22">
        <v>8</v>
      </c>
      <c r="O502" s="22" t="s">
        <v>2352</v>
      </c>
      <c r="P502" s="22">
        <v>14</v>
      </c>
      <c r="Q502" s="22" t="s">
        <v>484</v>
      </c>
      <c r="R502" s="22" t="s">
        <v>63</v>
      </c>
      <c r="S502" s="22" t="s">
        <v>2353</v>
      </c>
      <c r="T502" s="22"/>
      <c r="U502" s="24"/>
      <c r="V502" s="22"/>
      <c r="W502" s="22" t="s">
        <v>218</v>
      </c>
      <c r="X502" s="22" t="s">
        <v>218</v>
      </c>
      <c r="Y502" s="22" t="s">
        <v>135</v>
      </c>
      <c r="Z502" s="22" t="s">
        <v>66</v>
      </c>
      <c r="AA502" s="22">
        <v>45726</v>
      </c>
      <c r="AB502" s="22">
        <v>45726</v>
      </c>
      <c r="AC502" s="22">
        <v>45726</v>
      </c>
      <c r="AD502" s="22"/>
      <c r="AE502" s="22"/>
      <c r="AF502" s="22"/>
      <c r="AG502" s="22"/>
      <c r="AH502" s="22"/>
      <c r="AI502" s="22"/>
      <c r="AJ502" s="22"/>
      <c r="AK502" s="22"/>
      <c r="AL502" s="22"/>
      <c r="AM502" s="22"/>
      <c r="AN502" s="22"/>
      <c r="AO502" s="22"/>
      <c r="AP502" s="22"/>
      <c r="AQ502" s="22"/>
      <c r="AR502" s="22"/>
      <c r="AS502" s="25"/>
    </row>
    <row r="503" spans="1:45" s="1" customFormat="1">
      <c r="A503" s="22">
        <f t="shared" si="7"/>
        <v>502</v>
      </c>
      <c r="B503" s="23">
        <v>45726</v>
      </c>
      <c r="C503" s="22" t="s">
        <v>208</v>
      </c>
      <c r="D503" s="22" t="s">
        <v>2302</v>
      </c>
      <c r="E503" s="22">
        <v>20245321</v>
      </c>
      <c r="F503" s="22" t="s">
        <v>2354</v>
      </c>
      <c r="G503" s="22">
        <v>9689791380</v>
      </c>
      <c r="H503" s="22" t="s">
        <v>2355</v>
      </c>
      <c r="I503" s="22" t="s">
        <v>101</v>
      </c>
      <c r="J503" s="22" t="s">
        <v>2356</v>
      </c>
      <c r="K503" s="22" t="s">
        <v>2357</v>
      </c>
      <c r="L503" s="22">
        <v>3.1</v>
      </c>
      <c r="M503" s="22" t="s">
        <v>2358</v>
      </c>
      <c r="N503" s="22">
        <v>5</v>
      </c>
      <c r="O503" s="22">
        <v>0</v>
      </c>
      <c r="P503" s="22">
        <v>8</v>
      </c>
      <c r="Q503" s="22" t="s">
        <v>304</v>
      </c>
      <c r="R503" s="22" t="s">
        <v>63</v>
      </c>
      <c r="S503" s="22" t="s">
        <v>230</v>
      </c>
      <c r="T503" s="22"/>
      <c r="U503" s="24"/>
      <c r="V503" s="22"/>
      <c r="W503" s="22"/>
      <c r="X503" s="22"/>
      <c r="Y503" s="22"/>
      <c r="Z503" s="22"/>
      <c r="AA503" s="22">
        <v>45722</v>
      </c>
      <c r="AB503" s="22">
        <v>45726</v>
      </c>
      <c r="AC503" s="22">
        <v>45726</v>
      </c>
      <c r="AD503" s="22"/>
      <c r="AE503" s="22"/>
      <c r="AF503" s="22"/>
      <c r="AG503" s="22"/>
      <c r="AH503" s="22"/>
      <c r="AI503" s="22"/>
      <c r="AJ503" s="22"/>
      <c r="AK503" s="22"/>
      <c r="AL503" s="22"/>
      <c r="AM503" s="22"/>
      <c r="AN503" s="22"/>
      <c r="AO503" s="22"/>
      <c r="AP503" s="22"/>
      <c r="AQ503" s="22"/>
      <c r="AR503" s="22"/>
      <c r="AS503" s="25"/>
    </row>
    <row r="504" spans="1:45" s="1" customFormat="1">
      <c r="A504" s="22">
        <f t="shared" si="7"/>
        <v>503</v>
      </c>
      <c r="B504" s="23">
        <v>45726</v>
      </c>
      <c r="C504" s="22" t="s">
        <v>208</v>
      </c>
      <c r="D504" s="22" t="s">
        <v>1056</v>
      </c>
      <c r="E504" s="22">
        <v>20245321</v>
      </c>
      <c r="F504" s="22" t="s">
        <v>2359</v>
      </c>
      <c r="G504" s="22">
        <v>8208515536</v>
      </c>
      <c r="H504" s="22" t="s">
        <v>2360</v>
      </c>
      <c r="I504" s="22" t="s">
        <v>55</v>
      </c>
      <c r="J504" s="22" t="s">
        <v>2356</v>
      </c>
      <c r="K504" s="22" t="s">
        <v>2357</v>
      </c>
      <c r="L504" s="22">
        <v>4</v>
      </c>
      <c r="M504" s="22" t="s">
        <v>2361</v>
      </c>
      <c r="N504" s="22">
        <v>4.5</v>
      </c>
      <c r="O504" s="22">
        <v>0</v>
      </c>
      <c r="P504" s="22">
        <v>8</v>
      </c>
      <c r="Q504" s="22" t="s">
        <v>2362</v>
      </c>
      <c r="R504" s="22" t="s">
        <v>63</v>
      </c>
      <c r="S504" s="22" t="s">
        <v>1305</v>
      </c>
      <c r="T504" s="22"/>
      <c r="U504" s="24"/>
      <c r="V504" s="22"/>
      <c r="W504" s="22"/>
      <c r="X504" s="22"/>
      <c r="Y504" s="22"/>
      <c r="Z504" s="22"/>
      <c r="AA504" s="22">
        <v>45722</v>
      </c>
      <c r="AB504" s="22"/>
      <c r="AC504" s="22"/>
      <c r="AD504" s="22"/>
      <c r="AE504" s="22"/>
      <c r="AF504" s="22"/>
      <c r="AG504" s="22"/>
      <c r="AH504" s="22"/>
      <c r="AI504" s="22"/>
      <c r="AJ504" s="22"/>
      <c r="AK504" s="22"/>
      <c r="AL504" s="22"/>
      <c r="AM504" s="22"/>
      <c r="AN504" s="22"/>
      <c r="AO504" s="22"/>
      <c r="AP504" s="22"/>
      <c r="AQ504" s="22"/>
      <c r="AR504" s="22"/>
      <c r="AS504" s="25"/>
    </row>
    <row r="505" spans="1:45" s="1" customFormat="1">
      <c r="A505" s="22">
        <f t="shared" si="7"/>
        <v>504</v>
      </c>
      <c r="B505" s="23">
        <v>45726</v>
      </c>
      <c r="C505" s="22" t="s">
        <v>208</v>
      </c>
      <c r="D505" s="22" t="s">
        <v>2302</v>
      </c>
      <c r="E505" s="22">
        <v>20245321</v>
      </c>
      <c r="F505" s="22" t="s">
        <v>2363</v>
      </c>
      <c r="G505" s="22">
        <v>8309886536</v>
      </c>
      <c r="H505" s="22" t="s">
        <v>2364</v>
      </c>
      <c r="I505" s="22" t="s">
        <v>55</v>
      </c>
      <c r="J505" s="22" t="s">
        <v>2356</v>
      </c>
      <c r="K505" s="22" t="s">
        <v>2357</v>
      </c>
      <c r="L505" s="22">
        <v>2.8</v>
      </c>
      <c r="M505" s="22" t="s">
        <v>2365</v>
      </c>
      <c r="N505" s="22">
        <v>7.2</v>
      </c>
      <c r="O505" s="22">
        <v>0</v>
      </c>
      <c r="P505" s="22" t="s">
        <v>2366</v>
      </c>
      <c r="Q505" s="22" t="s">
        <v>2367</v>
      </c>
      <c r="R505" s="22" t="s">
        <v>63</v>
      </c>
      <c r="S505" s="22" t="s">
        <v>255</v>
      </c>
      <c r="T505" s="22"/>
      <c r="U505" s="24"/>
      <c r="V505" s="22"/>
      <c r="W505" s="22"/>
      <c r="X505" s="22"/>
      <c r="Y505" s="22"/>
      <c r="Z505" s="22"/>
      <c r="AA505" s="22">
        <v>45722</v>
      </c>
      <c r="AB505" s="22"/>
      <c r="AC505" s="22"/>
      <c r="AD505" s="22"/>
      <c r="AE505" s="22"/>
      <c r="AF505" s="22"/>
      <c r="AG505" s="22"/>
      <c r="AH505" s="22"/>
      <c r="AI505" s="22"/>
      <c r="AJ505" s="22"/>
      <c r="AK505" s="22"/>
      <c r="AL505" s="22"/>
      <c r="AM505" s="22"/>
      <c r="AN505" s="22"/>
      <c r="AO505" s="22"/>
      <c r="AP505" s="22"/>
      <c r="AQ505" s="22"/>
      <c r="AR505" s="22"/>
      <c r="AS505" s="25"/>
    </row>
    <row r="506" spans="1:45" s="1" customFormat="1">
      <c r="A506" s="22">
        <f t="shared" si="7"/>
        <v>505</v>
      </c>
      <c r="B506" s="23">
        <v>45726</v>
      </c>
      <c r="C506" s="22" t="s">
        <v>208</v>
      </c>
      <c r="D506" s="22" t="s">
        <v>2302</v>
      </c>
      <c r="E506" s="22">
        <v>20245321</v>
      </c>
      <c r="F506" s="22" t="s">
        <v>2368</v>
      </c>
      <c r="G506" s="22">
        <v>9773439358</v>
      </c>
      <c r="H506" s="22" t="s">
        <v>2369</v>
      </c>
      <c r="I506" s="22" t="s">
        <v>55</v>
      </c>
      <c r="J506" s="22" t="s">
        <v>2356</v>
      </c>
      <c r="K506" s="22" t="s">
        <v>2357</v>
      </c>
      <c r="L506" s="22">
        <v>3</v>
      </c>
      <c r="M506" s="22" t="s">
        <v>2370</v>
      </c>
      <c r="N506" s="22">
        <v>3.6</v>
      </c>
      <c r="O506" s="22">
        <v>0</v>
      </c>
      <c r="P506" s="22">
        <v>6</v>
      </c>
      <c r="Q506" s="22" t="s">
        <v>2371</v>
      </c>
      <c r="R506" s="22" t="s">
        <v>63</v>
      </c>
      <c r="S506" s="22" t="s">
        <v>255</v>
      </c>
      <c r="T506" s="22"/>
      <c r="U506" s="24"/>
      <c r="V506" s="22"/>
      <c r="W506" s="22"/>
      <c r="X506" s="22"/>
      <c r="Y506" s="22"/>
      <c r="Z506" s="22"/>
      <c r="AA506" s="22">
        <v>45722</v>
      </c>
      <c r="AB506" s="22"/>
      <c r="AC506" s="22"/>
      <c r="AD506" s="22"/>
      <c r="AE506" s="22"/>
      <c r="AF506" s="22"/>
      <c r="AG506" s="22"/>
      <c r="AH506" s="22"/>
      <c r="AI506" s="22"/>
      <c r="AJ506" s="22"/>
      <c r="AK506" s="22"/>
      <c r="AL506" s="22"/>
      <c r="AM506" s="22"/>
      <c r="AN506" s="22"/>
      <c r="AO506" s="22"/>
      <c r="AP506" s="22"/>
      <c r="AQ506" s="22"/>
      <c r="AR506" s="22"/>
      <c r="AS506" s="25"/>
    </row>
    <row r="507" spans="1:45" s="1" customFormat="1">
      <c r="A507" s="22">
        <f t="shared" si="7"/>
        <v>506</v>
      </c>
      <c r="B507" s="23">
        <v>45726</v>
      </c>
      <c r="C507" s="22" t="s">
        <v>208</v>
      </c>
      <c r="D507" s="22" t="s">
        <v>2302</v>
      </c>
      <c r="E507" s="22">
        <v>20252743</v>
      </c>
      <c r="F507" s="22" t="s">
        <v>2372</v>
      </c>
      <c r="G507" s="22">
        <v>8551988617</v>
      </c>
      <c r="H507" s="22" t="s">
        <v>2373</v>
      </c>
      <c r="I507" s="22" t="s">
        <v>55</v>
      </c>
      <c r="J507" s="22" t="s">
        <v>2356</v>
      </c>
      <c r="K507" s="22" t="s">
        <v>2357</v>
      </c>
      <c r="L507" s="22">
        <v>3.1</v>
      </c>
      <c r="M507" s="22" t="s">
        <v>61</v>
      </c>
      <c r="N507" s="22">
        <v>4.4000000000000004</v>
      </c>
      <c r="O507" s="22">
        <v>0</v>
      </c>
      <c r="P507" s="22" t="s">
        <v>467</v>
      </c>
      <c r="Q507" s="22" t="s">
        <v>1504</v>
      </c>
      <c r="R507" s="22" t="s">
        <v>63</v>
      </c>
      <c r="S507" s="22" t="s">
        <v>2374</v>
      </c>
      <c r="T507" s="22"/>
      <c r="U507" s="24"/>
      <c r="V507" s="22"/>
      <c r="W507" s="22"/>
      <c r="X507" s="22"/>
      <c r="Y507" s="22"/>
      <c r="Z507" s="22"/>
      <c r="AA507" s="22">
        <v>45722</v>
      </c>
      <c r="AB507" s="22"/>
      <c r="AC507" s="22"/>
      <c r="AD507" s="22"/>
      <c r="AE507" s="22"/>
      <c r="AF507" s="22"/>
      <c r="AG507" s="22"/>
      <c r="AH507" s="22"/>
      <c r="AI507" s="22"/>
      <c r="AJ507" s="22"/>
      <c r="AK507" s="22"/>
      <c r="AL507" s="22"/>
      <c r="AM507" s="22"/>
      <c r="AN507" s="22"/>
      <c r="AO507" s="22"/>
      <c r="AP507" s="22"/>
      <c r="AQ507" s="22"/>
      <c r="AR507" s="22"/>
      <c r="AS507" s="25"/>
    </row>
    <row r="508" spans="1:45" s="1" customFormat="1">
      <c r="A508" s="22">
        <f t="shared" si="7"/>
        <v>507</v>
      </c>
      <c r="B508" s="23">
        <v>45726</v>
      </c>
      <c r="C508" s="22" t="s">
        <v>208</v>
      </c>
      <c r="D508" s="22" t="s">
        <v>1056</v>
      </c>
      <c r="E508" s="22">
        <v>20252743</v>
      </c>
      <c r="F508" s="22" t="s">
        <v>2375</v>
      </c>
      <c r="G508" s="22">
        <v>7981850661</v>
      </c>
      <c r="H508" s="22" t="s">
        <v>2376</v>
      </c>
      <c r="I508" s="22" t="s">
        <v>55</v>
      </c>
      <c r="J508" s="22" t="s">
        <v>2356</v>
      </c>
      <c r="K508" s="22" t="s">
        <v>2357</v>
      </c>
      <c r="L508" s="22">
        <v>3.4</v>
      </c>
      <c r="M508" s="22" t="s">
        <v>61</v>
      </c>
      <c r="N508" s="22">
        <v>5.5</v>
      </c>
      <c r="O508" s="22">
        <v>0</v>
      </c>
      <c r="P508" s="22">
        <v>8.5</v>
      </c>
      <c r="Q508" s="22" t="s">
        <v>2377</v>
      </c>
      <c r="R508" s="22" t="s">
        <v>63</v>
      </c>
      <c r="S508" s="22" t="s">
        <v>2378</v>
      </c>
      <c r="T508" s="22"/>
      <c r="U508" s="24"/>
      <c r="V508" s="22"/>
      <c r="W508" s="22"/>
      <c r="X508" s="22"/>
      <c r="Y508" s="22"/>
      <c r="Z508" s="22"/>
      <c r="AA508" s="22">
        <v>45722</v>
      </c>
      <c r="AB508" s="22"/>
      <c r="AC508" s="22"/>
      <c r="AD508" s="22"/>
      <c r="AE508" s="22"/>
      <c r="AF508" s="22"/>
      <c r="AG508" s="22"/>
      <c r="AH508" s="22"/>
      <c r="AI508" s="22"/>
      <c r="AJ508" s="22"/>
      <c r="AK508" s="22"/>
      <c r="AL508" s="22"/>
      <c r="AM508" s="22"/>
      <c r="AN508" s="22"/>
      <c r="AO508" s="22"/>
      <c r="AP508" s="22"/>
      <c r="AQ508" s="22"/>
      <c r="AR508" s="22"/>
      <c r="AS508" s="25"/>
    </row>
    <row r="509" spans="1:45" s="1" customFormat="1">
      <c r="A509" s="22">
        <f t="shared" si="7"/>
        <v>508</v>
      </c>
      <c r="B509" s="23">
        <v>45726</v>
      </c>
      <c r="C509" s="22" t="s">
        <v>208</v>
      </c>
      <c r="D509" s="22" t="s">
        <v>954</v>
      </c>
      <c r="E509" s="22">
        <v>20252743</v>
      </c>
      <c r="F509" s="22" t="s">
        <v>2379</v>
      </c>
      <c r="G509" s="22">
        <v>8637702757</v>
      </c>
      <c r="H509" s="22" t="s">
        <v>2380</v>
      </c>
      <c r="I509" s="22" t="s">
        <v>55</v>
      </c>
      <c r="J509" s="22" t="s">
        <v>2356</v>
      </c>
      <c r="K509" s="22" t="s">
        <v>2357</v>
      </c>
      <c r="L509" s="22">
        <v>3.5</v>
      </c>
      <c r="M509" s="22" t="s">
        <v>61</v>
      </c>
      <c r="N509" s="22">
        <v>6</v>
      </c>
      <c r="O509" s="22">
        <v>0</v>
      </c>
      <c r="P509" s="22" t="s">
        <v>2381</v>
      </c>
      <c r="Q509" s="22" t="s">
        <v>2382</v>
      </c>
      <c r="R509" s="22" t="s">
        <v>63</v>
      </c>
      <c r="S509" s="22" t="s">
        <v>255</v>
      </c>
      <c r="T509" s="22"/>
      <c r="U509" s="24"/>
      <c r="V509" s="22"/>
      <c r="W509" s="22"/>
      <c r="X509" s="22"/>
      <c r="Y509" s="22"/>
      <c r="Z509" s="22"/>
      <c r="AA509" s="22">
        <v>45722</v>
      </c>
      <c r="AB509" s="22"/>
      <c r="AC509" s="22"/>
      <c r="AD509" s="22"/>
      <c r="AE509" s="22"/>
      <c r="AF509" s="22"/>
      <c r="AG509" s="22"/>
      <c r="AH509" s="22"/>
      <c r="AI509" s="22"/>
      <c r="AJ509" s="22"/>
      <c r="AK509" s="22"/>
      <c r="AL509" s="22"/>
      <c r="AM509" s="22"/>
      <c r="AN509" s="22"/>
      <c r="AO509" s="22"/>
      <c r="AP509" s="22"/>
      <c r="AQ509" s="22"/>
      <c r="AR509" s="22"/>
      <c r="AS509" s="25"/>
    </row>
    <row r="510" spans="1:45" s="1" customFormat="1">
      <c r="A510" s="22">
        <f t="shared" si="7"/>
        <v>509</v>
      </c>
      <c r="B510" s="23">
        <v>45726</v>
      </c>
      <c r="C510" s="22" t="s">
        <v>208</v>
      </c>
      <c r="D510" s="22" t="s">
        <v>1056</v>
      </c>
      <c r="E510" s="22">
        <v>20252743</v>
      </c>
      <c r="F510" s="22" t="s">
        <v>2383</v>
      </c>
      <c r="G510" s="22">
        <v>9398721176</v>
      </c>
      <c r="H510" s="22" t="s">
        <v>2384</v>
      </c>
      <c r="I510" s="22" t="s">
        <v>55</v>
      </c>
      <c r="J510" s="22" t="s">
        <v>2356</v>
      </c>
      <c r="K510" s="22" t="s">
        <v>2357</v>
      </c>
      <c r="L510" s="22">
        <v>3.3</v>
      </c>
      <c r="M510" s="22" t="s">
        <v>61</v>
      </c>
      <c r="N510" s="22">
        <v>6.4</v>
      </c>
      <c r="O510" s="22">
        <v>0</v>
      </c>
      <c r="P510" s="22">
        <v>0.35</v>
      </c>
      <c r="Q510" s="22" t="s">
        <v>2385</v>
      </c>
      <c r="R510" s="22" t="s">
        <v>63</v>
      </c>
      <c r="S510" s="22" t="s">
        <v>2386</v>
      </c>
      <c r="T510" s="22"/>
      <c r="U510" s="24"/>
      <c r="V510" s="22"/>
      <c r="W510" s="22"/>
      <c r="X510" s="22"/>
      <c r="Y510" s="22"/>
      <c r="Z510" s="22"/>
      <c r="AA510" s="22">
        <v>45722</v>
      </c>
      <c r="AB510" s="22"/>
      <c r="AC510" s="22"/>
      <c r="AD510" s="22"/>
      <c r="AE510" s="22"/>
      <c r="AF510" s="22"/>
      <c r="AG510" s="22"/>
      <c r="AH510" s="22"/>
      <c r="AI510" s="22"/>
      <c r="AJ510" s="22"/>
      <c r="AK510" s="22"/>
      <c r="AL510" s="22"/>
      <c r="AM510" s="22"/>
      <c r="AN510" s="22"/>
      <c r="AO510" s="22"/>
      <c r="AP510" s="22"/>
      <c r="AQ510" s="22"/>
      <c r="AR510" s="22"/>
      <c r="AS510" s="25"/>
    </row>
    <row r="511" spans="1:45" s="1" customFormat="1" ht="19">
      <c r="A511" s="22">
        <f t="shared" si="7"/>
        <v>510</v>
      </c>
      <c r="B511" s="23">
        <v>45726</v>
      </c>
      <c r="C511" s="22" t="s">
        <v>208</v>
      </c>
      <c r="D511" s="22" t="s">
        <v>1056</v>
      </c>
      <c r="E511" s="22">
        <v>20252743</v>
      </c>
      <c r="F511" s="22" t="s">
        <v>2387</v>
      </c>
      <c r="G511" s="22">
        <v>9130948200</v>
      </c>
      <c r="H511" s="22" t="s">
        <v>2388</v>
      </c>
      <c r="I511" s="22" t="s">
        <v>55</v>
      </c>
      <c r="J511" s="22" t="s">
        <v>2356</v>
      </c>
      <c r="K511" s="22" t="s">
        <v>2357</v>
      </c>
      <c r="L511" s="22">
        <v>4</v>
      </c>
      <c r="M511" s="22"/>
      <c r="N511" s="22"/>
      <c r="O511" s="22">
        <v>0</v>
      </c>
      <c r="P511" s="22"/>
      <c r="Q511" s="22"/>
      <c r="R511" s="22"/>
      <c r="S511" s="22"/>
      <c r="T511" s="22"/>
      <c r="U511" s="24"/>
      <c r="V511" s="22"/>
      <c r="W511" s="22"/>
      <c r="X511" s="22"/>
      <c r="Y511" s="22"/>
      <c r="Z511" s="22"/>
      <c r="AA511" s="22">
        <v>45722</v>
      </c>
      <c r="AB511" s="22"/>
      <c r="AC511" s="22"/>
      <c r="AD511" s="22"/>
      <c r="AE511" s="22"/>
      <c r="AF511" s="22"/>
      <c r="AG511" s="22"/>
      <c r="AH511" s="22"/>
      <c r="AI511" s="22"/>
      <c r="AJ511" s="22"/>
      <c r="AK511" s="22"/>
      <c r="AL511" s="22"/>
      <c r="AM511" s="22"/>
      <c r="AN511" s="22"/>
      <c r="AO511" s="22"/>
      <c r="AP511" s="22"/>
      <c r="AQ511" s="22"/>
      <c r="AR511" s="22"/>
      <c r="AS511" s="25"/>
    </row>
    <row r="512" spans="1:45" s="1" customFormat="1">
      <c r="A512" s="22">
        <f t="shared" si="7"/>
        <v>511</v>
      </c>
      <c r="B512" s="23">
        <v>45726</v>
      </c>
      <c r="C512" s="22" t="s">
        <v>208</v>
      </c>
      <c r="D512" s="22" t="s">
        <v>2302</v>
      </c>
      <c r="E512" s="22">
        <v>20252743</v>
      </c>
      <c r="F512" s="22" t="s">
        <v>2389</v>
      </c>
      <c r="G512" s="22">
        <v>9505945397</v>
      </c>
      <c r="H512" s="22" t="s">
        <v>2390</v>
      </c>
      <c r="I512" s="22" t="s">
        <v>55</v>
      </c>
      <c r="J512" s="22" t="s">
        <v>2356</v>
      </c>
      <c r="K512" s="22" t="s">
        <v>2357</v>
      </c>
      <c r="L512" s="22">
        <v>3</v>
      </c>
      <c r="M512" s="22" t="s">
        <v>61</v>
      </c>
      <c r="N512" s="22">
        <v>6.2</v>
      </c>
      <c r="O512" s="22" t="s">
        <v>61</v>
      </c>
      <c r="P512" s="22">
        <v>8</v>
      </c>
      <c r="Q512" s="22" t="s">
        <v>63</v>
      </c>
      <c r="R512" s="22" t="s">
        <v>63</v>
      </c>
      <c r="S512" s="22" t="s">
        <v>230</v>
      </c>
      <c r="T512" s="22"/>
      <c r="U512" s="24"/>
      <c r="V512" s="22"/>
      <c r="W512" s="22"/>
      <c r="X512" s="22"/>
      <c r="Y512" s="22"/>
      <c r="Z512" s="22"/>
      <c r="AA512" s="22">
        <v>45722</v>
      </c>
      <c r="AB512" s="22"/>
      <c r="AC512" s="22"/>
      <c r="AD512" s="22"/>
      <c r="AE512" s="22"/>
      <c r="AF512" s="22"/>
      <c r="AG512" s="22"/>
      <c r="AH512" s="22"/>
      <c r="AI512" s="22"/>
      <c r="AJ512" s="22"/>
      <c r="AK512" s="22"/>
      <c r="AL512" s="22"/>
      <c r="AM512" s="22"/>
      <c r="AN512" s="22"/>
      <c r="AO512" s="22"/>
      <c r="AP512" s="22"/>
      <c r="AQ512" s="22"/>
      <c r="AR512" s="22"/>
      <c r="AS512" s="25"/>
    </row>
    <row r="513" spans="1:45" s="1" customFormat="1">
      <c r="A513" s="22">
        <f t="shared" si="7"/>
        <v>512</v>
      </c>
      <c r="B513" s="23">
        <v>45722</v>
      </c>
      <c r="C513" s="22" t="s">
        <v>208</v>
      </c>
      <c r="D513" s="22" t="s">
        <v>667</v>
      </c>
      <c r="E513" s="22">
        <v>20245321</v>
      </c>
      <c r="F513" s="22" t="s">
        <v>2391</v>
      </c>
      <c r="G513" s="22">
        <v>9391683116</v>
      </c>
      <c r="H513" s="22" t="s">
        <v>2392</v>
      </c>
      <c r="I513" s="22" t="s">
        <v>55</v>
      </c>
      <c r="J513" s="22" t="s">
        <v>296</v>
      </c>
      <c r="K513" s="22" t="s">
        <v>213</v>
      </c>
      <c r="L513" s="22" t="s">
        <v>61</v>
      </c>
      <c r="M513" s="22" t="s">
        <v>61</v>
      </c>
      <c r="N513" s="22" t="s">
        <v>61</v>
      </c>
      <c r="O513" s="22" t="s">
        <v>61</v>
      </c>
      <c r="P513" s="22" t="s">
        <v>61</v>
      </c>
      <c r="Q513" s="22" t="s">
        <v>61</v>
      </c>
      <c r="R513" s="22" t="s">
        <v>61</v>
      </c>
      <c r="S513" s="22" t="s">
        <v>61</v>
      </c>
      <c r="T513" s="22"/>
      <c r="U513" s="24"/>
      <c r="V513" s="22"/>
      <c r="W513" s="22" t="s">
        <v>218</v>
      </c>
      <c r="X513" s="22" t="s">
        <v>218</v>
      </c>
      <c r="Y513" s="22" t="s">
        <v>135</v>
      </c>
      <c r="Z513" s="22" t="s">
        <v>66</v>
      </c>
      <c r="AA513" s="22">
        <v>45726</v>
      </c>
      <c r="AB513" s="22">
        <v>45726</v>
      </c>
      <c r="AC513" s="22">
        <v>45726</v>
      </c>
      <c r="AD513" s="22"/>
      <c r="AE513" s="22"/>
      <c r="AF513" s="22"/>
      <c r="AG513" s="22"/>
      <c r="AH513" s="22"/>
      <c r="AI513" s="22"/>
      <c r="AJ513" s="22"/>
      <c r="AK513" s="22"/>
      <c r="AL513" s="22"/>
      <c r="AM513" s="22"/>
      <c r="AN513" s="22"/>
      <c r="AO513" s="22"/>
      <c r="AP513" s="22"/>
      <c r="AQ513" s="22"/>
      <c r="AR513" s="22"/>
      <c r="AS513" s="25"/>
    </row>
    <row r="514" spans="1:45" s="1" customFormat="1">
      <c r="A514" s="22">
        <f t="shared" si="7"/>
        <v>513</v>
      </c>
      <c r="B514" s="23">
        <v>45722</v>
      </c>
      <c r="C514" s="22" t="s">
        <v>208</v>
      </c>
      <c r="D514" s="22" t="s">
        <v>667</v>
      </c>
      <c r="E514" s="22">
        <v>20245321</v>
      </c>
      <c r="F514" s="22" t="s">
        <v>2393</v>
      </c>
      <c r="G514" s="22" t="s">
        <v>2394</v>
      </c>
      <c r="H514" s="22" t="s">
        <v>2395</v>
      </c>
      <c r="I514" s="22" t="s">
        <v>101</v>
      </c>
      <c r="J514" s="22" t="s">
        <v>296</v>
      </c>
      <c r="K514" s="22" t="s">
        <v>213</v>
      </c>
      <c r="L514" s="22" t="s">
        <v>61</v>
      </c>
      <c r="M514" s="22" t="s">
        <v>61</v>
      </c>
      <c r="N514" s="22" t="s">
        <v>61</v>
      </c>
      <c r="O514" s="22" t="s">
        <v>61</v>
      </c>
      <c r="P514" s="22" t="s">
        <v>61</v>
      </c>
      <c r="Q514" s="22" t="s">
        <v>61</v>
      </c>
      <c r="R514" s="22" t="s">
        <v>61</v>
      </c>
      <c r="S514" s="22" t="s">
        <v>61</v>
      </c>
      <c r="T514" s="22"/>
      <c r="U514" s="24"/>
      <c r="V514" s="22"/>
      <c r="W514" s="22" t="s">
        <v>218</v>
      </c>
      <c r="X514" s="22" t="s">
        <v>218</v>
      </c>
      <c r="Y514" s="22" t="s">
        <v>135</v>
      </c>
      <c r="Z514" s="22" t="s">
        <v>66</v>
      </c>
      <c r="AA514" s="22">
        <v>45722</v>
      </c>
      <c r="AB514" s="22">
        <v>45722</v>
      </c>
      <c r="AC514" s="22">
        <v>45722</v>
      </c>
      <c r="AD514" s="22"/>
      <c r="AE514" s="22"/>
      <c r="AF514" s="22"/>
      <c r="AG514" s="22"/>
      <c r="AH514" s="22"/>
      <c r="AI514" s="22"/>
      <c r="AJ514" s="22"/>
      <c r="AK514" s="22"/>
      <c r="AL514" s="22"/>
      <c r="AM514" s="22"/>
      <c r="AN514" s="22"/>
      <c r="AO514" s="22"/>
      <c r="AP514" s="22"/>
      <c r="AQ514" s="22"/>
      <c r="AR514" s="22"/>
      <c r="AS514" s="25"/>
    </row>
    <row r="515" spans="1:45" s="1" customFormat="1">
      <c r="A515" s="22">
        <f t="shared" ref="A515:A578" si="8">A514+1</f>
        <v>514</v>
      </c>
      <c r="B515" s="23">
        <v>45722</v>
      </c>
      <c r="C515" s="22" t="s">
        <v>208</v>
      </c>
      <c r="D515" s="22" t="s">
        <v>954</v>
      </c>
      <c r="E515" s="22">
        <v>20245321</v>
      </c>
      <c r="F515" s="22" t="s">
        <v>2396</v>
      </c>
      <c r="G515" s="22">
        <v>7350320761</v>
      </c>
      <c r="H515" s="22" t="s">
        <v>2397</v>
      </c>
      <c r="I515" s="22" t="s">
        <v>55</v>
      </c>
      <c r="J515" s="22" t="s">
        <v>296</v>
      </c>
      <c r="K515" s="22" t="s">
        <v>213</v>
      </c>
      <c r="L515" s="22">
        <v>4.5999999999999996</v>
      </c>
      <c r="M515" s="22" t="s">
        <v>576</v>
      </c>
      <c r="N515" s="22">
        <v>16.5</v>
      </c>
      <c r="O515" s="22">
        <v>0</v>
      </c>
      <c r="P515" s="22">
        <v>26</v>
      </c>
      <c r="Q515" s="22" t="s">
        <v>484</v>
      </c>
      <c r="R515" s="22" t="s">
        <v>63</v>
      </c>
      <c r="S515" s="22" t="s">
        <v>2027</v>
      </c>
      <c r="T515" s="22"/>
      <c r="U515" s="24"/>
      <c r="V515" s="22"/>
      <c r="W515" s="22" t="s">
        <v>218</v>
      </c>
      <c r="X515" s="22" t="s">
        <v>218</v>
      </c>
      <c r="Y515" s="22" t="s">
        <v>135</v>
      </c>
      <c r="Z515" s="22" t="s">
        <v>66</v>
      </c>
      <c r="AA515" s="22">
        <v>45722</v>
      </c>
      <c r="AB515" s="22">
        <v>45722</v>
      </c>
      <c r="AC515" s="22">
        <v>45722</v>
      </c>
      <c r="AD515" s="22"/>
      <c r="AE515" s="22"/>
      <c r="AF515" s="22"/>
      <c r="AG515" s="22"/>
      <c r="AH515" s="22"/>
      <c r="AI515" s="22"/>
      <c r="AJ515" s="22"/>
      <c r="AK515" s="22"/>
      <c r="AL515" s="22"/>
      <c r="AM515" s="22"/>
      <c r="AN515" s="22"/>
      <c r="AO515" s="22"/>
      <c r="AP515" s="22"/>
      <c r="AQ515" s="22"/>
      <c r="AR515" s="22"/>
      <c r="AS515" s="25"/>
    </row>
    <row r="516" spans="1:45" s="1" customFormat="1">
      <c r="A516" s="22">
        <f t="shared" si="8"/>
        <v>515</v>
      </c>
      <c r="B516" s="23">
        <v>45722</v>
      </c>
      <c r="C516" s="22" t="s">
        <v>208</v>
      </c>
      <c r="D516" s="22" t="s">
        <v>954</v>
      </c>
      <c r="E516" s="22">
        <v>20245321</v>
      </c>
      <c r="F516" s="22" t="s">
        <v>2398</v>
      </c>
      <c r="G516" s="22">
        <v>6304496266</v>
      </c>
      <c r="H516" s="22" t="s">
        <v>2399</v>
      </c>
      <c r="I516" s="22" t="s">
        <v>101</v>
      </c>
      <c r="J516" s="22" t="s">
        <v>296</v>
      </c>
      <c r="K516" s="22" t="s">
        <v>213</v>
      </c>
      <c r="L516" s="22">
        <v>5.6</v>
      </c>
      <c r="M516" s="22" t="s">
        <v>61</v>
      </c>
      <c r="N516" s="22">
        <v>10.5</v>
      </c>
      <c r="O516" s="22">
        <v>0</v>
      </c>
      <c r="P516" s="22">
        <v>18</v>
      </c>
      <c r="Q516" s="22" t="s">
        <v>459</v>
      </c>
      <c r="R516" s="22" t="s">
        <v>63</v>
      </c>
      <c r="S516" s="22" t="s">
        <v>2400</v>
      </c>
      <c r="T516" s="22"/>
      <c r="U516" s="24"/>
      <c r="V516" s="22"/>
      <c r="W516" s="22" t="s">
        <v>218</v>
      </c>
      <c r="X516" s="22" t="s">
        <v>218</v>
      </c>
      <c r="Y516" s="22" t="s">
        <v>135</v>
      </c>
      <c r="Z516" s="22" t="s">
        <v>66</v>
      </c>
      <c r="AA516" s="22">
        <v>45722</v>
      </c>
      <c r="AB516" s="22">
        <v>45722</v>
      </c>
      <c r="AC516" s="22">
        <v>45722</v>
      </c>
      <c r="AD516" s="22"/>
      <c r="AE516" s="22"/>
      <c r="AF516" s="22"/>
      <c r="AG516" s="22"/>
      <c r="AH516" s="22"/>
      <c r="AI516" s="22"/>
      <c r="AJ516" s="22"/>
      <c r="AK516" s="22"/>
      <c r="AL516" s="22"/>
      <c r="AM516" s="22"/>
      <c r="AN516" s="22"/>
      <c r="AO516" s="22"/>
      <c r="AP516" s="22"/>
      <c r="AQ516" s="22"/>
      <c r="AR516" s="22"/>
      <c r="AS516" s="25"/>
    </row>
    <row r="517" spans="1:45" s="1" customFormat="1">
      <c r="A517" s="22">
        <f t="shared" si="8"/>
        <v>516</v>
      </c>
      <c r="B517" s="23">
        <v>45733</v>
      </c>
      <c r="C517" s="22" t="s">
        <v>208</v>
      </c>
      <c r="D517" s="22" t="s">
        <v>209</v>
      </c>
      <c r="E517" s="22"/>
      <c r="F517" s="22" t="s">
        <v>2401</v>
      </c>
      <c r="G517" s="22">
        <v>8888186174</v>
      </c>
      <c r="H517" s="22" t="s">
        <v>2402</v>
      </c>
      <c r="I517" s="22" t="s">
        <v>101</v>
      </c>
      <c r="J517" s="22" t="s">
        <v>2403</v>
      </c>
      <c r="K517" s="22"/>
      <c r="L517" s="22">
        <v>6.5</v>
      </c>
      <c r="M517" s="22" t="s">
        <v>2404</v>
      </c>
      <c r="N517" s="22" t="s">
        <v>2405</v>
      </c>
      <c r="O517" s="22"/>
      <c r="P517" s="22" t="s">
        <v>2406</v>
      </c>
      <c r="Q517" s="22" t="s">
        <v>63</v>
      </c>
      <c r="R517" s="22" t="s">
        <v>63</v>
      </c>
      <c r="S517" s="22" t="s">
        <v>2407</v>
      </c>
      <c r="T517" s="22"/>
      <c r="U517" s="24"/>
      <c r="V517" s="22"/>
      <c r="W517" s="22" t="s">
        <v>2408</v>
      </c>
      <c r="X517" s="22" t="s">
        <v>2408</v>
      </c>
      <c r="Y517" s="22" t="s">
        <v>135</v>
      </c>
      <c r="Z517" s="22" t="s">
        <v>2409</v>
      </c>
      <c r="AA517" s="22">
        <v>45726</v>
      </c>
      <c r="AB517" s="22">
        <v>45726</v>
      </c>
      <c r="AC517" s="22">
        <v>45726</v>
      </c>
      <c r="AD517" s="22"/>
      <c r="AE517" s="22"/>
      <c r="AF517" s="22"/>
      <c r="AG517" s="22"/>
      <c r="AH517" s="22"/>
      <c r="AI517" s="22"/>
      <c r="AJ517" s="22"/>
      <c r="AK517" s="22"/>
      <c r="AL517" s="22"/>
      <c r="AM517" s="22"/>
      <c r="AN517" s="22"/>
      <c r="AO517" s="22"/>
      <c r="AP517" s="22"/>
      <c r="AQ517" s="22"/>
      <c r="AR517" s="22"/>
      <c r="AS517" s="25"/>
    </row>
    <row r="518" spans="1:45" s="1" customFormat="1">
      <c r="A518" s="22">
        <f t="shared" si="8"/>
        <v>517</v>
      </c>
      <c r="B518" s="23">
        <v>45733</v>
      </c>
      <c r="C518" s="22" t="s">
        <v>208</v>
      </c>
      <c r="D518" s="22" t="s">
        <v>256</v>
      </c>
      <c r="E518" s="22"/>
      <c r="F518" s="22" t="s">
        <v>2410</v>
      </c>
      <c r="G518" s="22">
        <v>9421785319</v>
      </c>
      <c r="H518" s="22" t="s">
        <v>2411</v>
      </c>
      <c r="I518" s="22" t="s">
        <v>55</v>
      </c>
      <c r="J518" s="22" t="s">
        <v>2403</v>
      </c>
      <c r="K518" s="22"/>
      <c r="L518" s="22">
        <v>8</v>
      </c>
      <c r="M518" s="22" t="s">
        <v>2412</v>
      </c>
      <c r="N518" s="22" t="s">
        <v>2413</v>
      </c>
      <c r="O518" s="22"/>
      <c r="P518" s="22" t="s">
        <v>2414</v>
      </c>
      <c r="Q518" s="22" t="s">
        <v>63</v>
      </c>
      <c r="R518" s="22" t="s">
        <v>63</v>
      </c>
      <c r="S518" s="22" t="s">
        <v>2407</v>
      </c>
      <c r="T518" s="22"/>
      <c r="U518" s="24"/>
      <c r="V518" s="22"/>
      <c r="W518" s="22" t="s">
        <v>2408</v>
      </c>
      <c r="X518" s="22" t="s">
        <v>2408</v>
      </c>
      <c r="Y518" s="22" t="s">
        <v>135</v>
      </c>
      <c r="Z518" s="22" t="s">
        <v>2409</v>
      </c>
      <c r="AA518" s="22"/>
      <c r="AB518" s="22"/>
      <c r="AC518" s="22"/>
      <c r="AD518" s="22"/>
      <c r="AE518" s="22"/>
      <c r="AF518" s="22"/>
      <c r="AG518" s="22"/>
      <c r="AH518" s="22"/>
      <c r="AI518" s="22"/>
      <c r="AJ518" s="22"/>
      <c r="AK518" s="22"/>
      <c r="AL518" s="22"/>
      <c r="AM518" s="22"/>
      <c r="AN518" s="22"/>
      <c r="AO518" s="22"/>
      <c r="AP518" s="22"/>
      <c r="AQ518" s="22"/>
      <c r="AR518" s="22"/>
      <c r="AS518" s="25"/>
    </row>
    <row r="519" spans="1:45" s="1" customFormat="1">
      <c r="A519" s="22">
        <f t="shared" si="8"/>
        <v>518</v>
      </c>
      <c r="B519" s="23">
        <v>45733</v>
      </c>
      <c r="C519" s="22" t="s">
        <v>208</v>
      </c>
      <c r="D519" s="22" t="s">
        <v>256</v>
      </c>
      <c r="E519" s="22"/>
      <c r="F519" s="22" t="s">
        <v>2415</v>
      </c>
      <c r="G519" s="22">
        <v>8668307546</v>
      </c>
      <c r="H519" s="22" t="s">
        <v>2416</v>
      </c>
      <c r="I519" s="22" t="s">
        <v>55</v>
      </c>
      <c r="J519" s="22" t="s">
        <v>2403</v>
      </c>
      <c r="K519" s="22"/>
      <c r="L519" s="22">
        <v>6.5</v>
      </c>
      <c r="M519" s="22" t="s">
        <v>2417</v>
      </c>
      <c r="N519" s="22" t="s">
        <v>2418</v>
      </c>
      <c r="O519" s="22"/>
      <c r="P519" s="22" t="s">
        <v>2419</v>
      </c>
      <c r="Q519" s="22" t="s">
        <v>63</v>
      </c>
      <c r="R519" s="22" t="s">
        <v>63</v>
      </c>
      <c r="S519" s="22" t="s">
        <v>2420</v>
      </c>
      <c r="T519" s="22"/>
      <c r="U519" s="24"/>
      <c r="V519" s="22"/>
      <c r="W519" s="22" t="s">
        <v>2408</v>
      </c>
      <c r="X519" s="22" t="s">
        <v>2408</v>
      </c>
      <c r="Y519" s="22" t="s">
        <v>135</v>
      </c>
      <c r="Z519" s="22" t="s">
        <v>2409</v>
      </c>
      <c r="AA519" s="22"/>
      <c r="AB519" s="22"/>
      <c r="AC519" s="22"/>
      <c r="AD519" s="22"/>
      <c r="AE519" s="22"/>
      <c r="AF519" s="22"/>
      <c r="AG519" s="22"/>
      <c r="AH519" s="22"/>
      <c r="AI519" s="22"/>
      <c r="AJ519" s="22"/>
      <c r="AK519" s="22"/>
      <c r="AL519" s="22"/>
      <c r="AM519" s="22"/>
      <c r="AN519" s="22"/>
      <c r="AO519" s="22"/>
      <c r="AP519" s="22"/>
      <c r="AQ519" s="22"/>
      <c r="AR519" s="22"/>
      <c r="AS519" s="25"/>
    </row>
    <row r="520" spans="1:45" s="1" customFormat="1">
      <c r="A520" s="22">
        <f t="shared" si="8"/>
        <v>519</v>
      </c>
      <c r="B520" s="23">
        <v>45734</v>
      </c>
      <c r="C520" s="22" t="s">
        <v>208</v>
      </c>
      <c r="D520" s="22" t="s">
        <v>209</v>
      </c>
      <c r="E520" s="22"/>
      <c r="F520" s="22" t="s">
        <v>2421</v>
      </c>
      <c r="G520" s="22">
        <v>9702393712</v>
      </c>
      <c r="H520" s="22" t="s">
        <v>2422</v>
      </c>
      <c r="I520" s="22" t="s">
        <v>55</v>
      </c>
      <c r="J520" s="22" t="s">
        <v>2423</v>
      </c>
      <c r="K520" s="22" t="s">
        <v>2424</v>
      </c>
      <c r="L520" s="22" t="s">
        <v>2425</v>
      </c>
      <c r="M520" s="22" t="s">
        <v>2426</v>
      </c>
      <c r="N520" s="22" t="s">
        <v>2427</v>
      </c>
      <c r="O520" s="22"/>
      <c r="P520" s="22" t="s">
        <v>2428</v>
      </c>
      <c r="Q520" s="22" t="s">
        <v>63</v>
      </c>
      <c r="R520" s="22" t="s">
        <v>63</v>
      </c>
      <c r="S520" s="22" t="s">
        <v>2429</v>
      </c>
      <c r="T520" s="22"/>
      <c r="U520" s="24"/>
      <c r="V520" s="22"/>
      <c r="W520" s="22" t="s">
        <v>2408</v>
      </c>
      <c r="X520" s="22" t="s">
        <v>2408</v>
      </c>
      <c r="Y520" s="22" t="s">
        <v>135</v>
      </c>
      <c r="Z520" s="22" t="s">
        <v>2409</v>
      </c>
      <c r="AA520" s="22"/>
      <c r="AB520" s="22"/>
      <c r="AC520" s="22"/>
      <c r="AD520" s="22"/>
      <c r="AE520" s="22"/>
      <c r="AF520" s="22"/>
      <c r="AG520" s="22"/>
      <c r="AH520" s="22"/>
      <c r="AI520" s="22"/>
      <c r="AJ520" s="22"/>
      <c r="AK520" s="22"/>
      <c r="AL520" s="22"/>
      <c r="AM520" s="22"/>
      <c r="AN520" s="22"/>
      <c r="AO520" s="22"/>
      <c r="AP520" s="22"/>
      <c r="AQ520" s="22"/>
      <c r="AR520" s="22"/>
      <c r="AS520" s="25"/>
    </row>
    <row r="521" spans="1:45" s="1" customFormat="1">
      <c r="A521" s="22">
        <f t="shared" si="8"/>
        <v>520</v>
      </c>
      <c r="B521" s="23">
        <v>45734</v>
      </c>
      <c r="C521" s="22" t="s">
        <v>208</v>
      </c>
      <c r="D521" s="22" t="s">
        <v>209</v>
      </c>
      <c r="E521" s="22"/>
      <c r="F521" s="22" t="s">
        <v>2430</v>
      </c>
      <c r="G521" s="22">
        <v>7972805380</v>
      </c>
      <c r="H521" s="22" t="s">
        <v>2431</v>
      </c>
      <c r="I521" s="22" t="s">
        <v>55</v>
      </c>
      <c r="J521" s="22" t="s">
        <v>2423</v>
      </c>
      <c r="K521" s="22" t="s">
        <v>2424</v>
      </c>
      <c r="L521" s="22" t="s">
        <v>2432</v>
      </c>
      <c r="M521" s="22" t="s">
        <v>2433</v>
      </c>
      <c r="N521" s="22" t="s">
        <v>2434</v>
      </c>
      <c r="O521" s="22"/>
      <c r="P521" s="22" t="s">
        <v>2435</v>
      </c>
      <c r="Q521" s="22" t="s">
        <v>63</v>
      </c>
      <c r="R521" s="22" t="s">
        <v>63</v>
      </c>
      <c r="S521" s="22" t="s">
        <v>175</v>
      </c>
      <c r="T521" s="22"/>
      <c r="U521" s="24"/>
      <c r="V521" s="22"/>
      <c r="W521" s="22" t="s">
        <v>2408</v>
      </c>
      <c r="X521" s="22" t="s">
        <v>2408</v>
      </c>
      <c r="Y521" s="22" t="s">
        <v>135</v>
      </c>
      <c r="Z521" s="22" t="s">
        <v>2409</v>
      </c>
      <c r="AA521" s="22"/>
      <c r="AB521" s="22"/>
      <c r="AC521" s="22"/>
      <c r="AD521" s="22"/>
      <c r="AE521" s="22"/>
      <c r="AF521" s="22"/>
      <c r="AG521" s="22"/>
      <c r="AH521" s="22"/>
      <c r="AI521" s="22"/>
      <c r="AJ521" s="22"/>
      <c r="AK521" s="22"/>
      <c r="AL521" s="22"/>
      <c r="AM521" s="22"/>
      <c r="AN521" s="22"/>
      <c r="AO521" s="22"/>
      <c r="AP521" s="22"/>
      <c r="AQ521" s="22"/>
      <c r="AR521" s="22"/>
      <c r="AS521" s="25"/>
    </row>
    <row r="522" spans="1:45" s="1" customFormat="1">
      <c r="A522" s="22">
        <f t="shared" si="8"/>
        <v>521</v>
      </c>
      <c r="B522" s="23">
        <v>45734</v>
      </c>
      <c r="C522" s="22" t="s">
        <v>208</v>
      </c>
      <c r="D522" s="22" t="s">
        <v>256</v>
      </c>
      <c r="E522" s="22"/>
      <c r="F522" s="22" t="s">
        <v>2436</v>
      </c>
      <c r="G522" s="22" t="s">
        <v>2437</v>
      </c>
      <c r="H522" s="22" t="s">
        <v>2438</v>
      </c>
      <c r="I522" s="22" t="s">
        <v>55</v>
      </c>
      <c r="J522" s="22" t="s">
        <v>2423</v>
      </c>
      <c r="K522" s="22" t="s">
        <v>2424</v>
      </c>
      <c r="L522" s="22" t="s">
        <v>671</v>
      </c>
      <c r="M522" s="22" t="s">
        <v>2439</v>
      </c>
      <c r="N522" s="22" t="s">
        <v>2440</v>
      </c>
      <c r="O522" s="22"/>
      <c r="P522" s="22" t="s">
        <v>2441</v>
      </c>
      <c r="Q522" s="22" t="s">
        <v>63</v>
      </c>
      <c r="R522" s="22" t="s">
        <v>63</v>
      </c>
      <c r="S522" s="22" t="s">
        <v>2429</v>
      </c>
      <c r="T522" s="22"/>
      <c r="U522" s="24"/>
      <c r="V522" s="22"/>
      <c r="W522" s="22" t="s">
        <v>2408</v>
      </c>
      <c r="X522" s="22" t="s">
        <v>2408</v>
      </c>
      <c r="Y522" s="22" t="s">
        <v>135</v>
      </c>
      <c r="Z522" s="22" t="s">
        <v>2409</v>
      </c>
      <c r="AA522" s="22"/>
      <c r="AB522" s="22"/>
      <c r="AC522" s="22"/>
      <c r="AD522" s="22"/>
      <c r="AE522" s="22"/>
      <c r="AF522" s="22"/>
      <c r="AG522" s="22"/>
      <c r="AH522" s="22"/>
      <c r="AI522" s="22"/>
      <c r="AJ522" s="22"/>
      <c r="AK522" s="22"/>
      <c r="AL522" s="22"/>
      <c r="AM522" s="22"/>
      <c r="AN522" s="22"/>
      <c r="AO522" s="22"/>
      <c r="AP522" s="22"/>
      <c r="AQ522" s="22"/>
      <c r="AR522" s="22"/>
      <c r="AS522" s="25"/>
    </row>
    <row r="523" spans="1:45" s="1" customFormat="1">
      <c r="A523" s="22">
        <f t="shared" si="8"/>
        <v>522</v>
      </c>
      <c r="B523" s="23">
        <v>45735</v>
      </c>
      <c r="C523" s="22" t="s">
        <v>208</v>
      </c>
      <c r="D523" s="22" t="s">
        <v>1056</v>
      </c>
      <c r="E523" s="22"/>
      <c r="F523" s="22" t="s">
        <v>2442</v>
      </c>
      <c r="G523" s="22">
        <v>9657799215</v>
      </c>
      <c r="H523" s="22" t="s">
        <v>2443</v>
      </c>
      <c r="I523" s="22" t="s">
        <v>55</v>
      </c>
      <c r="J523" s="22" t="s">
        <v>2423</v>
      </c>
      <c r="K523" s="22" t="s">
        <v>2424</v>
      </c>
      <c r="L523" s="22" t="s">
        <v>2444</v>
      </c>
      <c r="M523" s="22" t="s">
        <v>2445</v>
      </c>
      <c r="N523" s="22" t="s">
        <v>2446</v>
      </c>
      <c r="O523" s="22"/>
      <c r="P523" s="22" t="s">
        <v>2447</v>
      </c>
      <c r="Q523" s="22" t="s">
        <v>63</v>
      </c>
      <c r="R523" s="22" t="s">
        <v>63</v>
      </c>
      <c r="S523" s="22" t="s">
        <v>175</v>
      </c>
      <c r="T523" s="22"/>
      <c r="U523" s="24"/>
      <c r="V523" s="22"/>
      <c r="W523" s="22" t="s">
        <v>2408</v>
      </c>
      <c r="X523" s="22" t="s">
        <v>2408</v>
      </c>
      <c r="Y523" s="22" t="s">
        <v>135</v>
      </c>
      <c r="Z523" s="22" t="s">
        <v>2409</v>
      </c>
      <c r="AA523" s="22"/>
      <c r="AB523" s="22"/>
      <c r="AC523" s="22"/>
      <c r="AD523" s="22"/>
      <c r="AE523" s="22"/>
      <c r="AF523" s="22"/>
      <c r="AG523" s="22"/>
      <c r="AH523" s="22"/>
      <c r="AI523" s="22"/>
      <c r="AJ523" s="22"/>
      <c r="AK523" s="22"/>
      <c r="AL523" s="22"/>
      <c r="AM523" s="22"/>
      <c r="AN523" s="22"/>
      <c r="AO523" s="22"/>
      <c r="AP523" s="22"/>
      <c r="AQ523" s="22"/>
      <c r="AR523" s="22"/>
      <c r="AS523" s="25"/>
    </row>
    <row r="524" spans="1:45" s="1" customFormat="1">
      <c r="A524" s="22">
        <f t="shared" si="8"/>
        <v>523</v>
      </c>
      <c r="B524" s="23">
        <v>45735</v>
      </c>
      <c r="C524" s="22" t="s">
        <v>208</v>
      </c>
      <c r="D524" s="22" t="s">
        <v>1056</v>
      </c>
      <c r="E524" s="22"/>
      <c r="F524" s="22" t="s">
        <v>2448</v>
      </c>
      <c r="G524" s="22">
        <v>7219767254</v>
      </c>
      <c r="H524" s="22" t="s">
        <v>2449</v>
      </c>
      <c r="I524" s="22" t="s">
        <v>55</v>
      </c>
      <c r="J524" s="22" t="s">
        <v>2423</v>
      </c>
      <c r="K524" s="22" t="s">
        <v>2424</v>
      </c>
      <c r="L524" s="22" t="s">
        <v>2444</v>
      </c>
      <c r="M524" s="22" t="s">
        <v>2450</v>
      </c>
      <c r="N524" s="22" t="s">
        <v>2451</v>
      </c>
      <c r="O524" s="22"/>
      <c r="P524" s="22" t="s">
        <v>2452</v>
      </c>
      <c r="Q524" s="22" t="s">
        <v>63</v>
      </c>
      <c r="R524" s="22" t="s">
        <v>63</v>
      </c>
      <c r="S524" s="22" t="s">
        <v>2453</v>
      </c>
      <c r="T524" s="22"/>
      <c r="U524" s="24"/>
      <c r="V524" s="22"/>
      <c r="W524" s="22" t="s">
        <v>2408</v>
      </c>
      <c r="X524" s="22" t="s">
        <v>2408</v>
      </c>
      <c r="Y524" s="22" t="s">
        <v>135</v>
      </c>
      <c r="Z524" s="22" t="s">
        <v>2409</v>
      </c>
      <c r="AA524" s="22"/>
      <c r="AB524" s="22"/>
      <c r="AC524" s="22"/>
      <c r="AD524" s="22"/>
      <c r="AE524" s="22"/>
      <c r="AF524" s="22"/>
      <c r="AG524" s="22"/>
      <c r="AH524" s="22"/>
      <c r="AI524" s="22"/>
      <c r="AJ524" s="22"/>
      <c r="AK524" s="22"/>
      <c r="AL524" s="22"/>
      <c r="AM524" s="22"/>
      <c r="AN524" s="22"/>
      <c r="AO524" s="22"/>
      <c r="AP524" s="22"/>
      <c r="AQ524" s="22"/>
      <c r="AR524" s="22"/>
      <c r="AS524" s="25"/>
    </row>
    <row r="525" spans="1:45" s="1" customFormat="1">
      <c r="A525" s="22">
        <f t="shared" si="8"/>
        <v>524</v>
      </c>
      <c r="B525" s="23">
        <v>45735</v>
      </c>
      <c r="C525" s="22" t="s">
        <v>208</v>
      </c>
      <c r="D525" s="22" t="s">
        <v>1056</v>
      </c>
      <c r="E525" s="22"/>
      <c r="F525" s="22" t="s">
        <v>2454</v>
      </c>
      <c r="G525" s="22">
        <v>8271826312</v>
      </c>
      <c r="H525" s="22" t="s">
        <v>2455</v>
      </c>
      <c r="I525" s="22" t="s">
        <v>55</v>
      </c>
      <c r="J525" s="22" t="s">
        <v>2423</v>
      </c>
      <c r="K525" s="22" t="s">
        <v>2424</v>
      </c>
      <c r="L525" s="22" t="s">
        <v>2444</v>
      </c>
      <c r="M525" s="22" t="s">
        <v>2456</v>
      </c>
      <c r="N525" s="22" t="s">
        <v>2457</v>
      </c>
      <c r="O525" s="22"/>
      <c r="P525" s="22" t="s">
        <v>2447</v>
      </c>
      <c r="Q525" s="22" t="s">
        <v>63</v>
      </c>
      <c r="R525" s="22" t="s">
        <v>63</v>
      </c>
      <c r="S525" s="22" t="s">
        <v>2458</v>
      </c>
      <c r="T525" s="22"/>
      <c r="U525" s="24"/>
      <c r="V525" s="22"/>
      <c r="W525" s="22" t="s">
        <v>2408</v>
      </c>
      <c r="X525" s="22" t="s">
        <v>2408</v>
      </c>
      <c r="Y525" s="22" t="s">
        <v>135</v>
      </c>
      <c r="Z525" s="22" t="s">
        <v>2409</v>
      </c>
      <c r="AA525" s="22"/>
      <c r="AB525" s="22"/>
      <c r="AC525" s="22"/>
      <c r="AD525" s="22"/>
      <c r="AE525" s="22"/>
      <c r="AF525" s="22"/>
      <c r="AG525" s="22"/>
      <c r="AH525" s="22"/>
      <c r="AI525" s="22"/>
      <c r="AJ525" s="22"/>
      <c r="AK525" s="22"/>
      <c r="AL525" s="22"/>
      <c r="AM525" s="22"/>
      <c r="AN525" s="22"/>
      <c r="AO525" s="22"/>
      <c r="AP525" s="22"/>
      <c r="AQ525" s="22"/>
      <c r="AR525" s="22"/>
      <c r="AS525" s="25"/>
    </row>
    <row r="526" spans="1:45" s="1" customFormat="1">
      <c r="A526" s="22">
        <f t="shared" si="8"/>
        <v>525</v>
      </c>
      <c r="B526" s="23">
        <v>45735</v>
      </c>
      <c r="C526" s="22" t="s">
        <v>208</v>
      </c>
      <c r="D526" s="22" t="s">
        <v>256</v>
      </c>
      <c r="E526" s="22"/>
      <c r="F526" s="22" t="s">
        <v>2459</v>
      </c>
      <c r="G526" s="22">
        <v>9767624458</v>
      </c>
      <c r="H526" s="22" t="s">
        <v>2460</v>
      </c>
      <c r="I526" s="22" t="s">
        <v>55</v>
      </c>
      <c r="J526" s="22" t="s">
        <v>2423</v>
      </c>
      <c r="K526" s="22" t="s">
        <v>2424</v>
      </c>
      <c r="L526" s="22" t="s">
        <v>2461</v>
      </c>
      <c r="M526" s="22" t="s">
        <v>2462</v>
      </c>
      <c r="N526" s="22" t="s">
        <v>2463</v>
      </c>
      <c r="O526" s="22"/>
      <c r="P526" s="22" t="s">
        <v>2464</v>
      </c>
      <c r="Q526" s="22" t="s">
        <v>63</v>
      </c>
      <c r="R526" s="22" t="s">
        <v>63</v>
      </c>
      <c r="S526" s="22" t="s">
        <v>2465</v>
      </c>
      <c r="T526" s="22"/>
      <c r="U526" s="24"/>
      <c r="V526" s="22"/>
      <c r="W526" s="22" t="s">
        <v>2408</v>
      </c>
      <c r="X526" s="22" t="s">
        <v>2408</v>
      </c>
      <c r="Y526" s="22" t="s">
        <v>135</v>
      </c>
      <c r="Z526" s="22" t="s">
        <v>2409</v>
      </c>
      <c r="AA526" s="22"/>
      <c r="AB526" s="22"/>
      <c r="AC526" s="22"/>
      <c r="AD526" s="22"/>
      <c r="AE526" s="22"/>
      <c r="AF526" s="22"/>
      <c r="AG526" s="22"/>
      <c r="AH526" s="22"/>
      <c r="AI526" s="22"/>
      <c r="AJ526" s="22"/>
      <c r="AK526" s="22"/>
      <c r="AL526" s="22"/>
      <c r="AM526" s="22"/>
      <c r="AN526" s="22"/>
      <c r="AO526" s="22"/>
      <c r="AP526" s="22"/>
      <c r="AQ526" s="22"/>
      <c r="AR526" s="22"/>
      <c r="AS526" s="25"/>
    </row>
    <row r="527" spans="1:45" s="1" customFormat="1">
      <c r="A527" s="22">
        <f t="shared" si="8"/>
        <v>526</v>
      </c>
      <c r="B527" s="23">
        <v>45736</v>
      </c>
      <c r="C527" s="22" t="s">
        <v>208</v>
      </c>
      <c r="D527" s="22" t="s">
        <v>1056</v>
      </c>
      <c r="E527" s="22"/>
      <c r="F527" s="22" t="s">
        <v>2466</v>
      </c>
      <c r="G527" s="22">
        <v>9307159697</v>
      </c>
      <c r="H527" s="22" t="s">
        <v>2467</v>
      </c>
      <c r="I527" s="22" t="s">
        <v>55</v>
      </c>
      <c r="J527" s="22" t="s">
        <v>2468</v>
      </c>
      <c r="K527" s="22"/>
      <c r="L527" s="22" t="s">
        <v>2432</v>
      </c>
      <c r="M527" s="22" t="s">
        <v>2469</v>
      </c>
      <c r="N527" s="22" t="s">
        <v>2470</v>
      </c>
      <c r="O527" s="22"/>
      <c r="P527" s="22" t="s">
        <v>2471</v>
      </c>
      <c r="Q527" s="22" t="s">
        <v>63</v>
      </c>
      <c r="R527" s="22" t="s">
        <v>63</v>
      </c>
      <c r="S527" s="22" t="s">
        <v>2472</v>
      </c>
      <c r="T527" s="22"/>
      <c r="U527" s="24"/>
      <c r="V527" s="22"/>
      <c r="W527" s="22" t="s">
        <v>2408</v>
      </c>
      <c r="X527" s="22" t="s">
        <v>2408</v>
      </c>
      <c r="Y527" s="22" t="s">
        <v>135</v>
      </c>
      <c r="Z527" s="22" t="s">
        <v>2409</v>
      </c>
      <c r="AA527" s="22"/>
      <c r="AB527" s="22"/>
      <c r="AC527" s="22"/>
      <c r="AD527" s="22"/>
      <c r="AE527" s="22"/>
      <c r="AF527" s="22"/>
      <c r="AG527" s="22"/>
      <c r="AH527" s="22"/>
      <c r="AI527" s="22"/>
      <c r="AJ527" s="22"/>
      <c r="AK527" s="22"/>
      <c r="AL527" s="22"/>
      <c r="AM527" s="22"/>
      <c r="AN527" s="22"/>
      <c r="AO527" s="22"/>
      <c r="AP527" s="22"/>
      <c r="AQ527" s="22"/>
      <c r="AR527" s="22"/>
      <c r="AS527" s="25"/>
    </row>
    <row r="528" spans="1:45" s="1" customFormat="1">
      <c r="A528" s="22">
        <f t="shared" si="8"/>
        <v>527</v>
      </c>
      <c r="B528" s="23">
        <v>45736</v>
      </c>
      <c r="C528" s="22" t="s">
        <v>208</v>
      </c>
      <c r="D528" s="22" t="s">
        <v>1056</v>
      </c>
      <c r="E528" s="22"/>
      <c r="F528" s="22" t="s">
        <v>2473</v>
      </c>
      <c r="G528" s="22">
        <v>9921958216</v>
      </c>
      <c r="H528" s="22" t="s">
        <v>2474</v>
      </c>
      <c r="I528" s="22" t="s">
        <v>55</v>
      </c>
      <c r="J528" s="22" t="s">
        <v>2468</v>
      </c>
      <c r="K528" s="22"/>
      <c r="L528" s="22" t="s">
        <v>2475</v>
      </c>
      <c r="M528" s="22" t="s">
        <v>2476</v>
      </c>
      <c r="N528" s="22" t="s">
        <v>2477</v>
      </c>
      <c r="O528" s="22"/>
      <c r="P528" s="22" t="s">
        <v>2471</v>
      </c>
      <c r="Q528" s="22" t="s">
        <v>63</v>
      </c>
      <c r="R528" s="22" t="s">
        <v>63</v>
      </c>
      <c r="S528" s="22" t="s">
        <v>2478</v>
      </c>
      <c r="T528" s="22"/>
      <c r="U528" s="24"/>
      <c r="V528" s="22"/>
      <c r="W528" s="22" t="s">
        <v>2408</v>
      </c>
      <c r="X528" s="22" t="s">
        <v>2408</v>
      </c>
      <c r="Y528" s="22" t="s">
        <v>135</v>
      </c>
      <c r="Z528" s="22" t="s">
        <v>2409</v>
      </c>
      <c r="AA528" s="22"/>
      <c r="AB528" s="22"/>
      <c r="AC528" s="22"/>
      <c r="AD528" s="22"/>
      <c r="AE528" s="22"/>
      <c r="AF528" s="22"/>
      <c r="AG528" s="22"/>
      <c r="AH528" s="22"/>
      <c r="AI528" s="22"/>
      <c r="AJ528" s="22"/>
      <c r="AK528" s="22"/>
      <c r="AL528" s="22"/>
      <c r="AM528" s="22"/>
      <c r="AN528" s="22"/>
      <c r="AO528" s="22"/>
      <c r="AP528" s="22"/>
      <c r="AQ528" s="22"/>
      <c r="AR528" s="22"/>
      <c r="AS528" s="25"/>
    </row>
    <row r="529" spans="1:45" s="1" customFormat="1">
      <c r="A529" s="22">
        <f t="shared" si="8"/>
        <v>528</v>
      </c>
      <c r="B529" s="23">
        <v>45737</v>
      </c>
      <c r="C529" s="22" t="s">
        <v>51</v>
      </c>
      <c r="D529" s="22" t="s">
        <v>51</v>
      </c>
      <c r="E529" s="22">
        <v>20252743</v>
      </c>
      <c r="F529" s="22" t="s">
        <v>2372</v>
      </c>
      <c r="G529" s="22">
        <v>8551988617</v>
      </c>
      <c r="H529" s="22" t="s">
        <v>2373</v>
      </c>
      <c r="I529" s="22" t="s">
        <v>55</v>
      </c>
      <c r="J529" s="22" t="s">
        <v>2479</v>
      </c>
      <c r="K529" s="22" t="s">
        <v>2357</v>
      </c>
      <c r="L529" s="22">
        <v>3.1</v>
      </c>
      <c r="M529" s="22" t="s">
        <v>1968</v>
      </c>
      <c r="N529" s="22" t="s">
        <v>2480</v>
      </c>
      <c r="O529" s="22">
        <v>0</v>
      </c>
      <c r="P529" s="22">
        <v>1000000</v>
      </c>
      <c r="Q529" s="22" t="s">
        <v>63</v>
      </c>
      <c r="R529" s="22" t="s">
        <v>63</v>
      </c>
      <c r="S529" s="22">
        <v>0</v>
      </c>
      <c r="T529" s="22" t="s">
        <v>1244</v>
      </c>
      <c r="U529" s="24">
        <v>45740</v>
      </c>
      <c r="V529" s="22"/>
      <c r="W529" s="22" t="s">
        <v>218</v>
      </c>
      <c r="X529" s="22" t="s">
        <v>218</v>
      </c>
      <c r="Y529" s="22" t="s">
        <v>135</v>
      </c>
      <c r="Z529" s="22" t="s">
        <v>66</v>
      </c>
      <c r="AA529" s="22">
        <v>45727</v>
      </c>
      <c r="AB529" s="22">
        <v>45729</v>
      </c>
      <c r="AC529" s="22">
        <v>45729</v>
      </c>
      <c r="AD529" s="22">
        <v>45730</v>
      </c>
      <c r="AE529" s="22">
        <v>45730</v>
      </c>
      <c r="AF529" s="22">
        <v>45733</v>
      </c>
      <c r="AG529" s="22">
        <v>45733</v>
      </c>
      <c r="AH529" s="22">
        <v>45715</v>
      </c>
      <c r="AI529" s="22">
        <v>45733</v>
      </c>
      <c r="AJ529" s="22">
        <v>45734</v>
      </c>
      <c r="AK529" s="22" t="s">
        <v>63</v>
      </c>
      <c r="AL529" s="22">
        <v>971942</v>
      </c>
      <c r="AM529" s="22">
        <v>45734</v>
      </c>
      <c r="AN529" s="22">
        <v>45736</v>
      </c>
      <c r="AO529" s="22"/>
      <c r="AP529" s="22">
        <v>45736</v>
      </c>
      <c r="AQ529" s="22">
        <v>45736</v>
      </c>
      <c r="AR529" s="22">
        <v>45737</v>
      </c>
      <c r="AS529" s="25">
        <v>45740</v>
      </c>
    </row>
    <row r="530" spans="1:45" s="1" customFormat="1">
      <c r="A530" s="22">
        <f t="shared" si="8"/>
        <v>529</v>
      </c>
      <c r="B530" s="23">
        <v>45737</v>
      </c>
      <c r="C530" s="22"/>
      <c r="D530" s="22"/>
      <c r="E530" s="22"/>
      <c r="F530" s="22" t="s">
        <v>2481</v>
      </c>
      <c r="G530" s="22">
        <v>7028144916</v>
      </c>
      <c r="H530" s="22" t="s">
        <v>2482</v>
      </c>
      <c r="I530" s="22" t="s">
        <v>55</v>
      </c>
      <c r="J530" s="22" t="s">
        <v>2483</v>
      </c>
      <c r="K530" s="22" t="s">
        <v>116</v>
      </c>
      <c r="L530" s="22" t="s">
        <v>2484</v>
      </c>
      <c r="M530" s="22" t="s">
        <v>683</v>
      </c>
      <c r="N530" s="22" t="s">
        <v>2485</v>
      </c>
      <c r="O530" s="22"/>
      <c r="P530" s="22" t="s">
        <v>2486</v>
      </c>
      <c r="Q530" s="22" t="s">
        <v>63</v>
      </c>
      <c r="R530" s="22" t="s">
        <v>63</v>
      </c>
      <c r="S530" s="22" t="s">
        <v>2407</v>
      </c>
      <c r="T530" s="22"/>
      <c r="U530" s="24"/>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5"/>
    </row>
    <row r="531" spans="1:45" s="1" customFormat="1">
      <c r="A531" s="22">
        <f t="shared" si="8"/>
        <v>530</v>
      </c>
      <c r="B531" s="23">
        <v>45737</v>
      </c>
      <c r="C531" s="22"/>
      <c r="D531" s="22"/>
      <c r="E531" s="22"/>
      <c r="F531" s="22" t="s">
        <v>2487</v>
      </c>
      <c r="G531" s="22">
        <v>9970927984</v>
      </c>
      <c r="H531" s="22" t="s">
        <v>2488</v>
      </c>
      <c r="I531" s="22" t="s">
        <v>55</v>
      </c>
      <c r="J531" s="22" t="s">
        <v>2483</v>
      </c>
      <c r="K531" s="22" t="s">
        <v>116</v>
      </c>
      <c r="L531" s="22" t="s">
        <v>2489</v>
      </c>
      <c r="M531" s="22" t="s">
        <v>1152</v>
      </c>
      <c r="N531" s="22" t="s">
        <v>2490</v>
      </c>
      <c r="O531" s="22"/>
      <c r="P531" s="22" t="s">
        <v>2491</v>
      </c>
      <c r="Q531" s="22" t="s">
        <v>63</v>
      </c>
      <c r="R531" s="22" t="s">
        <v>63</v>
      </c>
      <c r="S531" s="22" t="s">
        <v>2492</v>
      </c>
      <c r="T531" s="22"/>
      <c r="U531" s="24"/>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5"/>
    </row>
    <row r="532" spans="1:45" s="1" customFormat="1">
      <c r="A532" s="22">
        <f t="shared" si="8"/>
        <v>531</v>
      </c>
      <c r="B532" s="23">
        <v>45737</v>
      </c>
      <c r="C532" s="22"/>
      <c r="D532" s="22"/>
      <c r="E532" s="22"/>
      <c r="F532" s="22" t="s">
        <v>2493</v>
      </c>
      <c r="G532" s="22">
        <v>9502374624</v>
      </c>
      <c r="H532" s="22" t="s">
        <v>2494</v>
      </c>
      <c r="I532" s="22" t="s">
        <v>55</v>
      </c>
      <c r="J532" s="22" t="s">
        <v>2483</v>
      </c>
      <c r="K532" s="22" t="s">
        <v>116</v>
      </c>
      <c r="L532" s="22" t="s">
        <v>2495</v>
      </c>
      <c r="M532" s="22" t="s">
        <v>2496</v>
      </c>
      <c r="N532" s="22" t="s">
        <v>2497</v>
      </c>
      <c r="O532" s="22"/>
      <c r="P532" s="22" t="s">
        <v>2498</v>
      </c>
      <c r="Q532" s="22" t="s">
        <v>2499</v>
      </c>
      <c r="R532" s="22" t="s">
        <v>63</v>
      </c>
      <c r="S532" s="22" t="s">
        <v>2500</v>
      </c>
      <c r="T532" s="22" t="s">
        <v>2501</v>
      </c>
      <c r="U532" s="24"/>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5"/>
    </row>
    <row r="533" spans="1:45" s="1" customFormat="1">
      <c r="A533" s="22">
        <f t="shared" si="8"/>
        <v>532</v>
      </c>
      <c r="B533" s="23">
        <v>45722</v>
      </c>
      <c r="C533" s="22" t="s">
        <v>208</v>
      </c>
      <c r="D533" s="22" t="s">
        <v>209</v>
      </c>
      <c r="E533" s="22">
        <v>20241431</v>
      </c>
      <c r="F533" s="22" t="s">
        <v>1995</v>
      </c>
      <c r="G533" s="22">
        <v>8381080987</v>
      </c>
      <c r="H533" s="22" t="s">
        <v>1996</v>
      </c>
      <c r="I533" s="22" t="s">
        <v>55</v>
      </c>
      <c r="J533" s="22" t="s">
        <v>518</v>
      </c>
      <c r="K533" s="22" t="s">
        <v>116</v>
      </c>
      <c r="L533" s="22" t="s">
        <v>1997</v>
      </c>
      <c r="M533" s="22" t="s">
        <v>1998</v>
      </c>
      <c r="N533" s="22" t="s">
        <v>1039</v>
      </c>
      <c r="O533" s="22">
        <v>0</v>
      </c>
      <c r="P533" s="22" t="s">
        <v>235</v>
      </c>
      <c r="Q533" s="22" t="s">
        <v>63</v>
      </c>
      <c r="R533" s="22" t="s">
        <v>63</v>
      </c>
      <c r="S533" s="22" t="s">
        <v>1305</v>
      </c>
      <c r="T533" s="22" t="s">
        <v>1999</v>
      </c>
      <c r="U533" s="24"/>
      <c r="V533" s="22"/>
      <c r="W533" s="22" t="s">
        <v>218</v>
      </c>
      <c r="X533" s="22" t="s">
        <v>218</v>
      </c>
      <c r="Y533" s="22" t="s">
        <v>135</v>
      </c>
      <c r="Z533" s="22" t="s">
        <v>66</v>
      </c>
      <c r="AA533" s="22">
        <v>45722</v>
      </c>
      <c r="AB533" s="22">
        <v>45723</v>
      </c>
      <c r="AC533" s="22">
        <v>45723</v>
      </c>
      <c r="AD533" s="22"/>
      <c r="AE533" s="22"/>
      <c r="AF533" s="22"/>
      <c r="AG533" s="22"/>
      <c r="AH533" s="22"/>
      <c r="AI533" s="22"/>
      <c r="AJ533" s="22"/>
      <c r="AK533" s="22"/>
      <c r="AL533" s="22"/>
      <c r="AM533" s="22"/>
      <c r="AN533" s="22"/>
      <c r="AO533" s="22"/>
      <c r="AP533" s="22"/>
      <c r="AQ533" s="22"/>
      <c r="AR533" s="22"/>
      <c r="AS533" s="25"/>
    </row>
    <row r="534" spans="1:45" s="1" customFormat="1">
      <c r="A534" s="22">
        <f t="shared" si="8"/>
        <v>533</v>
      </c>
      <c r="B534" s="23">
        <v>45722</v>
      </c>
      <c r="C534" s="22" t="s">
        <v>208</v>
      </c>
      <c r="D534" s="22" t="s">
        <v>209</v>
      </c>
      <c r="E534" s="22">
        <v>20241431</v>
      </c>
      <c r="F534" s="22" t="s">
        <v>2502</v>
      </c>
      <c r="G534" s="22">
        <v>7972924900</v>
      </c>
      <c r="H534" s="22" t="s">
        <v>2503</v>
      </c>
      <c r="I534" s="22" t="s">
        <v>101</v>
      </c>
      <c r="J534" s="22" t="s">
        <v>518</v>
      </c>
      <c r="K534" s="22" t="s">
        <v>116</v>
      </c>
      <c r="L534" s="22" t="s">
        <v>1277</v>
      </c>
      <c r="M534" s="22" t="s">
        <v>2504</v>
      </c>
      <c r="N534" s="22" t="s">
        <v>720</v>
      </c>
      <c r="O534" s="22">
        <v>0</v>
      </c>
      <c r="P534" s="22" t="s">
        <v>326</v>
      </c>
      <c r="Q534" s="22" t="s">
        <v>63</v>
      </c>
      <c r="R534" s="22" t="s">
        <v>63</v>
      </c>
      <c r="S534" s="22" t="s">
        <v>2505</v>
      </c>
      <c r="T534" s="22" t="s">
        <v>61</v>
      </c>
      <c r="U534" s="24"/>
      <c r="V534" s="22"/>
      <c r="W534" s="22" t="s">
        <v>218</v>
      </c>
      <c r="X534" s="22" t="s">
        <v>218</v>
      </c>
      <c r="Y534" s="22" t="s">
        <v>135</v>
      </c>
      <c r="Z534" s="22" t="s">
        <v>66</v>
      </c>
      <c r="AA534" s="22">
        <v>45722</v>
      </c>
      <c r="AB534" s="22">
        <v>45723</v>
      </c>
      <c r="AC534" s="22">
        <v>45723</v>
      </c>
      <c r="AD534" s="22"/>
      <c r="AE534" s="22"/>
      <c r="AF534" s="22"/>
      <c r="AG534" s="22"/>
      <c r="AH534" s="22"/>
      <c r="AI534" s="22"/>
      <c r="AJ534" s="22"/>
      <c r="AK534" s="22"/>
      <c r="AL534" s="22"/>
      <c r="AM534" s="22"/>
      <c r="AN534" s="22"/>
      <c r="AO534" s="22"/>
      <c r="AP534" s="22"/>
      <c r="AQ534" s="22"/>
      <c r="AR534" s="22"/>
      <c r="AS534" s="25"/>
    </row>
    <row r="535" spans="1:45" s="1" customFormat="1">
      <c r="A535" s="22">
        <f t="shared" si="8"/>
        <v>534</v>
      </c>
      <c r="B535" s="23">
        <v>45722</v>
      </c>
      <c r="C535" s="22" t="s">
        <v>208</v>
      </c>
      <c r="D535" s="22" t="s">
        <v>209</v>
      </c>
      <c r="E535" s="22">
        <v>20241431</v>
      </c>
      <c r="F535" s="22" t="s">
        <v>2000</v>
      </c>
      <c r="G535" s="22">
        <v>7987485491</v>
      </c>
      <c r="H535" s="22" t="s">
        <v>2001</v>
      </c>
      <c r="I535" s="22" t="s">
        <v>55</v>
      </c>
      <c r="J535" s="22" t="s">
        <v>518</v>
      </c>
      <c r="K535" s="22" t="s">
        <v>116</v>
      </c>
      <c r="L535" s="22" t="s">
        <v>928</v>
      </c>
      <c r="M535" s="22" t="s">
        <v>791</v>
      </c>
      <c r="N535" s="22" t="s">
        <v>2002</v>
      </c>
      <c r="O535" s="22">
        <v>0</v>
      </c>
      <c r="P535" s="22" t="s">
        <v>173</v>
      </c>
      <c r="Q535" s="22" t="s">
        <v>174</v>
      </c>
      <c r="R535" s="22" t="s">
        <v>63</v>
      </c>
      <c r="S535" s="22" t="s">
        <v>2003</v>
      </c>
      <c r="T535" s="22" t="s">
        <v>2004</v>
      </c>
      <c r="U535" s="24"/>
      <c r="V535" s="22"/>
      <c r="W535" s="22" t="s">
        <v>218</v>
      </c>
      <c r="X535" s="22" t="s">
        <v>218</v>
      </c>
      <c r="Y535" s="22" t="s">
        <v>135</v>
      </c>
      <c r="Z535" s="22" t="s">
        <v>66</v>
      </c>
      <c r="AA535" s="22">
        <v>45722</v>
      </c>
      <c r="AB535" s="22">
        <v>45726</v>
      </c>
      <c r="AC535" s="22">
        <v>45726</v>
      </c>
      <c r="AD535" s="22"/>
      <c r="AE535" s="22"/>
      <c r="AF535" s="22"/>
      <c r="AG535" s="22"/>
      <c r="AH535" s="22"/>
      <c r="AI535" s="22"/>
      <c r="AJ535" s="22"/>
      <c r="AK535" s="22"/>
      <c r="AL535" s="22"/>
      <c r="AM535" s="22"/>
      <c r="AN535" s="22"/>
      <c r="AO535" s="22"/>
      <c r="AP535" s="22"/>
      <c r="AQ535" s="22"/>
      <c r="AR535" s="22"/>
      <c r="AS535" s="25"/>
    </row>
    <row r="536" spans="1:45" s="1" customFormat="1">
      <c r="A536" s="22">
        <f t="shared" si="8"/>
        <v>535</v>
      </c>
      <c r="B536" s="23">
        <v>45722</v>
      </c>
      <c r="C536" s="22" t="s">
        <v>208</v>
      </c>
      <c r="D536" s="22" t="s">
        <v>209</v>
      </c>
      <c r="E536" s="22">
        <v>20241431</v>
      </c>
      <c r="F536" s="22" t="s">
        <v>2005</v>
      </c>
      <c r="G536" s="22">
        <v>8888004463</v>
      </c>
      <c r="H536" s="22" t="s">
        <v>2006</v>
      </c>
      <c r="I536" s="22" t="s">
        <v>101</v>
      </c>
      <c r="J536" s="22" t="s">
        <v>518</v>
      </c>
      <c r="K536" s="22" t="s">
        <v>116</v>
      </c>
      <c r="L536" s="22" t="s">
        <v>928</v>
      </c>
      <c r="M536" s="22" t="s">
        <v>791</v>
      </c>
      <c r="N536" s="22" t="s">
        <v>2008</v>
      </c>
      <c r="O536" s="22">
        <v>0</v>
      </c>
      <c r="P536" s="22" t="s">
        <v>173</v>
      </c>
      <c r="Q536" s="22" t="s">
        <v>63</v>
      </c>
      <c r="R536" s="22" t="s">
        <v>63</v>
      </c>
      <c r="S536" s="22" t="s">
        <v>633</v>
      </c>
      <c r="T536" s="22" t="s">
        <v>2009</v>
      </c>
      <c r="U536" s="24"/>
      <c r="V536" s="22"/>
      <c r="W536" s="22" t="s">
        <v>218</v>
      </c>
      <c r="X536" s="22" t="s">
        <v>218</v>
      </c>
      <c r="Y536" s="22" t="s">
        <v>135</v>
      </c>
      <c r="Z536" s="22" t="s">
        <v>66</v>
      </c>
      <c r="AA536" s="22">
        <v>45722</v>
      </c>
      <c r="AB536" s="22">
        <v>45726</v>
      </c>
      <c r="AC536" s="22">
        <v>45726</v>
      </c>
      <c r="AD536" s="22"/>
      <c r="AE536" s="22"/>
      <c r="AF536" s="22"/>
      <c r="AG536" s="22"/>
      <c r="AH536" s="22"/>
      <c r="AI536" s="22"/>
      <c r="AJ536" s="22"/>
      <c r="AK536" s="22"/>
      <c r="AL536" s="22"/>
      <c r="AM536" s="22"/>
      <c r="AN536" s="22"/>
      <c r="AO536" s="22"/>
      <c r="AP536" s="22"/>
      <c r="AQ536" s="22"/>
      <c r="AR536" s="22"/>
      <c r="AS536" s="25"/>
    </row>
    <row r="537" spans="1:45" s="1" customFormat="1">
      <c r="A537" s="22">
        <f t="shared" si="8"/>
        <v>536</v>
      </c>
      <c r="B537" s="23">
        <v>45726</v>
      </c>
      <c r="C537" s="22" t="s">
        <v>208</v>
      </c>
      <c r="D537" s="22" t="s">
        <v>209</v>
      </c>
      <c r="E537" s="22">
        <v>20241431</v>
      </c>
      <c r="F537" s="22" t="s">
        <v>2303</v>
      </c>
      <c r="G537" s="22">
        <v>6354711529</v>
      </c>
      <c r="H537" s="22" t="s">
        <v>2304</v>
      </c>
      <c r="I537" s="22" t="s">
        <v>55</v>
      </c>
      <c r="J537" s="22" t="s">
        <v>518</v>
      </c>
      <c r="K537" s="22" t="s">
        <v>116</v>
      </c>
      <c r="L537" s="22">
        <v>4.0999999999999996</v>
      </c>
      <c r="M537" s="22" t="s">
        <v>2506</v>
      </c>
      <c r="N537" s="22">
        <v>9</v>
      </c>
      <c r="O537" s="22" t="s">
        <v>2305</v>
      </c>
      <c r="P537" s="22" t="s">
        <v>2306</v>
      </c>
      <c r="Q537" s="22" t="s">
        <v>484</v>
      </c>
      <c r="R537" s="22" t="s">
        <v>63</v>
      </c>
      <c r="S537" s="22" t="s">
        <v>2307</v>
      </c>
      <c r="T537" s="22"/>
      <c r="U537" s="24"/>
      <c r="V537" s="22"/>
      <c r="W537" s="22" t="s">
        <v>218</v>
      </c>
      <c r="X537" s="22" t="s">
        <v>218</v>
      </c>
      <c r="Y537" s="22" t="s">
        <v>135</v>
      </c>
      <c r="Z537" s="22" t="s">
        <v>66</v>
      </c>
      <c r="AA537" s="22">
        <v>45726</v>
      </c>
      <c r="AB537" s="22">
        <v>45728</v>
      </c>
      <c r="AC537" s="22">
        <v>45728</v>
      </c>
      <c r="AD537" s="22"/>
      <c r="AE537" s="22"/>
      <c r="AF537" s="22"/>
      <c r="AG537" s="22"/>
      <c r="AH537" s="22"/>
      <c r="AI537" s="22"/>
      <c r="AJ537" s="22"/>
      <c r="AK537" s="22"/>
      <c r="AL537" s="22"/>
      <c r="AM537" s="22"/>
      <c r="AN537" s="22"/>
      <c r="AO537" s="22"/>
      <c r="AP537" s="22"/>
      <c r="AQ537" s="22"/>
      <c r="AR537" s="22"/>
      <c r="AS537" s="25"/>
    </row>
    <row r="538" spans="1:45" s="1" customFormat="1">
      <c r="A538" s="22">
        <f t="shared" si="8"/>
        <v>537</v>
      </c>
      <c r="B538" s="23">
        <v>45726</v>
      </c>
      <c r="C538" s="22" t="s">
        <v>208</v>
      </c>
      <c r="D538" s="22" t="s">
        <v>209</v>
      </c>
      <c r="E538" s="22">
        <v>20241431</v>
      </c>
      <c r="F538" s="22" t="s">
        <v>2308</v>
      </c>
      <c r="G538" s="22">
        <v>7013489281</v>
      </c>
      <c r="H538" s="22" t="s">
        <v>2309</v>
      </c>
      <c r="I538" s="22" t="s">
        <v>55</v>
      </c>
      <c r="J538" s="22" t="s">
        <v>518</v>
      </c>
      <c r="K538" s="22" t="s">
        <v>116</v>
      </c>
      <c r="L538" s="22">
        <v>4.0999999999999996</v>
      </c>
      <c r="M538" s="22" t="s">
        <v>2504</v>
      </c>
      <c r="N538" s="22">
        <v>4.5</v>
      </c>
      <c r="O538" s="22">
        <v>0</v>
      </c>
      <c r="P538" s="22">
        <v>8</v>
      </c>
      <c r="Q538" s="22" t="s">
        <v>796</v>
      </c>
      <c r="R538" s="22" t="s">
        <v>63</v>
      </c>
      <c r="S538" s="22" t="s">
        <v>230</v>
      </c>
      <c r="T538" s="22"/>
      <c r="U538" s="24"/>
      <c r="V538" s="22"/>
      <c r="W538" s="22" t="s">
        <v>218</v>
      </c>
      <c r="X538" s="22" t="s">
        <v>218</v>
      </c>
      <c r="Y538" s="22" t="s">
        <v>135</v>
      </c>
      <c r="Z538" s="22" t="s">
        <v>66</v>
      </c>
      <c r="AA538" s="22">
        <v>45726</v>
      </c>
      <c r="AB538" s="22">
        <v>45728</v>
      </c>
      <c r="AC538" s="22">
        <v>45728</v>
      </c>
      <c r="AD538" s="22"/>
      <c r="AE538" s="22"/>
      <c r="AF538" s="22"/>
      <c r="AG538" s="22"/>
      <c r="AH538" s="22"/>
      <c r="AI538" s="22"/>
      <c r="AJ538" s="22"/>
      <c r="AK538" s="22"/>
      <c r="AL538" s="22"/>
      <c r="AM538" s="22"/>
      <c r="AN538" s="22"/>
      <c r="AO538" s="22"/>
      <c r="AP538" s="22"/>
      <c r="AQ538" s="22"/>
      <c r="AR538" s="22"/>
      <c r="AS538" s="25"/>
    </row>
    <row r="539" spans="1:45" s="1" customFormat="1">
      <c r="A539" s="22">
        <f t="shared" si="8"/>
        <v>538</v>
      </c>
      <c r="B539" s="23">
        <v>45726</v>
      </c>
      <c r="C539" s="22" t="s">
        <v>208</v>
      </c>
      <c r="D539" s="22" t="s">
        <v>209</v>
      </c>
      <c r="E539" s="22">
        <v>20241431</v>
      </c>
      <c r="F539" s="22" t="s">
        <v>2507</v>
      </c>
      <c r="G539" s="22">
        <v>8793447817</v>
      </c>
      <c r="H539" s="22" t="s">
        <v>2508</v>
      </c>
      <c r="I539" s="22" t="s">
        <v>55</v>
      </c>
      <c r="J539" s="22" t="s">
        <v>518</v>
      </c>
      <c r="K539" s="22" t="s">
        <v>116</v>
      </c>
      <c r="L539" s="22">
        <v>4.2</v>
      </c>
      <c r="M539" s="22" t="s">
        <v>365</v>
      </c>
      <c r="N539" s="22">
        <v>9</v>
      </c>
      <c r="O539" s="22">
        <v>0</v>
      </c>
      <c r="P539" s="22">
        <v>15</v>
      </c>
      <c r="Q539" s="22" t="s">
        <v>2509</v>
      </c>
      <c r="R539" s="22" t="s">
        <v>63</v>
      </c>
      <c r="S539" s="22" t="s">
        <v>255</v>
      </c>
      <c r="T539" s="22" t="s">
        <v>61</v>
      </c>
      <c r="U539" s="24"/>
      <c r="V539" s="22"/>
      <c r="W539" s="22" t="s">
        <v>218</v>
      </c>
      <c r="X539" s="22" t="s">
        <v>218</v>
      </c>
      <c r="Y539" s="22" t="s">
        <v>135</v>
      </c>
      <c r="Z539" s="22" t="s">
        <v>66</v>
      </c>
      <c r="AA539" s="22">
        <v>45726</v>
      </c>
      <c r="AB539" s="22">
        <v>45730</v>
      </c>
      <c r="AC539" s="22">
        <v>45730</v>
      </c>
      <c r="AD539" s="22"/>
      <c r="AE539" s="22"/>
      <c r="AF539" s="22"/>
      <c r="AG539" s="22"/>
      <c r="AH539" s="22"/>
      <c r="AI539" s="22"/>
      <c r="AJ539" s="22"/>
      <c r="AK539" s="22"/>
      <c r="AL539" s="22"/>
      <c r="AM539" s="22"/>
      <c r="AN539" s="22"/>
      <c r="AO539" s="22"/>
      <c r="AP539" s="22"/>
      <c r="AQ539" s="22"/>
      <c r="AR539" s="22"/>
      <c r="AS539" s="25"/>
    </row>
    <row r="540" spans="1:45" s="1" customFormat="1">
      <c r="A540" s="22">
        <f t="shared" si="8"/>
        <v>539</v>
      </c>
      <c r="B540" s="23">
        <v>45726</v>
      </c>
      <c r="C540" s="22" t="s">
        <v>2510</v>
      </c>
      <c r="D540" s="22" t="s">
        <v>2511</v>
      </c>
      <c r="E540" s="22">
        <v>20241431</v>
      </c>
      <c r="F540" s="22" t="s">
        <v>2512</v>
      </c>
      <c r="G540" s="22">
        <v>9860527800</v>
      </c>
      <c r="H540" s="22" t="s">
        <v>2513</v>
      </c>
      <c r="I540" s="22" t="s">
        <v>55</v>
      </c>
      <c r="J540" s="22" t="s">
        <v>518</v>
      </c>
      <c r="K540" s="22" t="s">
        <v>116</v>
      </c>
      <c r="L540" s="22">
        <v>4</v>
      </c>
      <c r="M540" s="22" t="s">
        <v>2506</v>
      </c>
      <c r="N540" s="22">
        <v>10.5</v>
      </c>
      <c r="O540" s="22">
        <v>0</v>
      </c>
      <c r="P540" s="22" t="s">
        <v>2306</v>
      </c>
      <c r="Q540" s="22" t="s">
        <v>2514</v>
      </c>
      <c r="R540" s="22" t="s">
        <v>63</v>
      </c>
      <c r="S540" s="22" t="s">
        <v>2515</v>
      </c>
      <c r="T540" s="22" t="s">
        <v>2516</v>
      </c>
      <c r="U540" s="24"/>
      <c r="V540" s="22"/>
      <c r="W540" s="22" t="s">
        <v>218</v>
      </c>
      <c r="X540" s="22" t="s">
        <v>218</v>
      </c>
      <c r="Y540" s="22" t="s">
        <v>135</v>
      </c>
      <c r="Z540" s="22" t="s">
        <v>66</v>
      </c>
      <c r="AA540" s="22">
        <v>45726</v>
      </c>
      <c r="AB540" s="22">
        <v>45726</v>
      </c>
      <c r="AC540" s="22">
        <v>45736</v>
      </c>
      <c r="AD540" s="22"/>
      <c r="AE540" s="22"/>
      <c r="AF540" s="22"/>
      <c r="AG540" s="22"/>
      <c r="AH540" s="22">
        <v>45660</v>
      </c>
      <c r="AI540" s="22">
        <v>45756</v>
      </c>
      <c r="AJ540" s="22"/>
      <c r="AK540" s="22"/>
      <c r="AL540" s="22"/>
      <c r="AM540" s="22"/>
      <c r="AN540" s="22"/>
      <c r="AO540" s="22"/>
      <c r="AP540" s="22"/>
      <c r="AQ540" s="22"/>
      <c r="AR540" s="22"/>
      <c r="AS540" s="25"/>
    </row>
    <row r="541" spans="1:45" s="1" customFormat="1">
      <c r="A541" s="22">
        <f t="shared" si="8"/>
        <v>540</v>
      </c>
      <c r="B541" s="23">
        <v>45726</v>
      </c>
      <c r="C541" s="22" t="s">
        <v>208</v>
      </c>
      <c r="D541" s="22" t="s">
        <v>209</v>
      </c>
      <c r="E541" s="22">
        <v>20241431</v>
      </c>
      <c r="F541" s="22" t="s">
        <v>2517</v>
      </c>
      <c r="G541" s="22">
        <v>7327091438</v>
      </c>
      <c r="H541" s="22" t="s">
        <v>2518</v>
      </c>
      <c r="I541" s="22" t="s">
        <v>55</v>
      </c>
      <c r="J541" s="22" t="s">
        <v>518</v>
      </c>
      <c r="K541" s="22" t="s">
        <v>116</v>
      </c>
      <c r="L541" s="22">
        <v>4</v>
      </c>
      <c r="M541" s="22" t="s">
        <v>791</v>
      </c>
      <c r="N541" s="22">
        <v>4.5</v>
      </c>
      <c r="O541" s="22">
        <v>0</v>
      </c>
      <c r="P541" s="22" t="s">
        <v>2519</v>
      </c>
      <c r="Q541" s="22" t="s">
        <v>215</v>
      </c>
      <c r="R541" s="22" t="s">
        <v>63</v>
      </c>
      <c r="S541" s="22" t="s">
        <v>2520</v>
      </c>
      <c r="T541" s="22" t="s">
        <v>61</v>
      </c>
      <c r="U541" s="24"/>
      <c r="V541" s="22"/>
      <c r="W541" s="22" t="s">
        <v>218</v>
      </c>
      <c r="X541" s="22" t="s">
        <v>218</v>
      </c>
      <c r="Y541" s="22" t="s">
        <v>135</v>
      </c>
      <c r="Z541" s="22" t="s">
        <v>66</v>
      </c>
      <c r="AA541" s="22">
        <v>45726</v>
      </c>
      <c r="AB541" s="22">
        <v>45730</v>
      </c>
      <c r="AC541" s="22">
        <v>45730</v>
      </c>
      <c r="AD541" s="22"/>
      <c r="AE541" s="22"/>
      <c r="AF541" s="22"/>
      <c r="AG541" s="22"/>
      <c r="AH541" s="22"/>
      <c r="AI541" s="22"/>
      <c r="AJ541" s="22"/>
      <c r="AK541" s="22"/>
      <c r="AL541" s="22"/>
      <c r="AM541" s="22"/>
      <c r="AN541" s="22"/>
      <c r="AO541" s="22"/>
      <c r="AP541" s="22"/>
      <c r="AQ541" s="22"/>
      <c r="AR541" s="22"/>
      <c r="AS541" s="25"/>
    </row>
    <row r="542" spans="1:45" s="1" customFormat="1">
      <c r="A542" s="22">
        <f t="shared" si="8"/>
        <v>541</v>
      </c>
      <c r="B542" s="23">
        <v>45721</v>
      </c>
      <c r="C542" s="22" t="s">
        <v>208</v>
      </c>
      <c r="D542" s="22" t="s">
        <v>209</v>
      </c>
      <c r="E542" s="22">
        <v>20242803</v>
      </c>
      <c r="F542" s="22" t="s">
        <v>2521</v>
      </c>
      <c r="G542" s="22">
        <v>9028314991</v>
      </c>
      <c r="H542" s="22" t="s">
        <v>2522</v>
      </c>
      <c r="I542" s="22" t="s">
        <v>55</v>
      </c>
      <c r="J542" s="22" t="s">
        <v>212</v>
      </c>
      <c r="K542" s="22" t="s">
        <v>213</v>
      </c>
      <c r="L542" s="22">
        <v>4.5</v>
      </c>
      <c r="M542" s="22" t="s">
        <v>2523</v>
      </c>
      <c r="N542" s="22">
        <v>4.0999999999999996</v>
      </c>
      <c r="O542" s="22">
        <v>0</v>
      </c>
      <c r="P542" s="22" t="s">
        <v>2381</v>
      </c>
      <c r="Q542" s="22" t="s">
        <v>2524</v>
      </c>
      <c r="R542" s="22" t="s">
        <v>63</v>
      </c>
      <c r="S542" s="22" t="s">
        <v>2525</v>
      </c>
      <c r="T542" s="22"/>
      <c r="U542" s="24"/>
      <c r="V542" s="22"/>
      <c r="W542" s="22" t="s">
        <v>218</v>
      </c>
      <c r="X542" s="22" t="s">
        <v>218</v>
      </c>
      <c r="Y542" s="22" t="s">
        <v>135</v>
      </c>
      <c r="Z542" s="22" t="s">
        <v>66</v>
      </c>
      <c r="AA542" s="22">
        <v>45721</v>
      </c>
      <c r="AB542" s="22">
        <v>45722</v>
      </c>
      <c r="AC542" s="22">
        <v>45722</v>
      </c>
      <c r="AD542" s="22"/>
      <c r="AE542" s="22"/>
      <c r="AF542" s="22"/>
      <c r="AG542" s="22"/>
      <c r="AH542" s="22"/>
      <c r="AI542" s="22"/>
      <c r="AJ542" s="22"/>
      <c r="AK542" s="22"/>
      <c r="AL542" s="22"/>
      <c r="AM542" s="22"/>
      <c r="AN542" s="22"/>
      <c r="AO542" s="22"/>
      <c r="AP542" s="22"/>
      <c r="AQ542" s="22"/>
      <c r="AR542" s="22"/>
      <c r="AS542" s="25"/>
    </row>
    <row r="543" spans="1:45" s="1" customFormat="1">
      <c r="A543" s="22">
        <f t="shared" si="8"/>
        <v>542</v>
      </c>
      <c r="B543" s="23">
        <v>45721</v>
      </c>
      <c r="C543" s="22" t="s">
        <v>208</v>
      </c>
      <c r="D543" s="22" t="s">
        <v>367</v>
      </c>
      <c r="E543" s="22">
        <v>20242803</v>
      </c>
      <c r="F543" s="22" t="s">
        <v>2526</v>
      </c>
      <c r="G543" s="22" t="s">
        <v>2527</v>
      </c>
      <c r="H543" s="22" t="s">
        <v>2528</v>
      </c>
      <c r="I543" s="22" t="s">
        <v>101</v>
      </c>
      <c r="J543" s="22" t="s">
        <v>212</v>
      </c>
      <c r="K543" s="22" t="s">
        <v>213</v>
      </c>
      <c r="L543" s="22">
        <v>3</v>
      </c>
      <c r="M543" s="22" t="s">
        <v>2529</v>
      </c>
      <c r="N543" s="22">
        <v>5.2</v>
      </c>
      <c r="O543" s="22">
        <v>0</v>
      </c>
      <c r="P543" s="22">
        <v>9</v>
      </c>
      <c r="Q543" s="22" t="s">
        <v>2530</v>
      </c>
      <c r="R543" s="22" t="s">
        <v>63</v>
      </c>
      <c r="S543" s="22" t="s">
        <v>2531</v>
      </c>
      <c r="T543" s="22"/>
      <c r="U543" s="24"/>
      <c r="V543" s="22"/>
      <c r="W543" s="22" t="s">
        <v>218</v>
      </c>
      <c r="X543" s="22" t="s">
        <v>218</v>
      </c>
      <c r="Y543" s="22" t="s">
        <v>135</v>
      </c>
      <c r="Z543" s="22" t="s">
        <v>66</v>
      </c>
      <c r="AA543" s="22">
        <v>45721</v>
      </c>
      <c r="AB543" s="22">
        <v>45723</v>
      </c>
      <c r="AC543" s="22">
        <v>45723</v>
      </c>
      <c r="AD543" s="22"/>
      <c r="AE543" s="22"/>
      <c r="AF543" s="22"/>
      <c r="AG543" s="22"/>
      <c r="AH543" s="22"/>
      <c r="AI543" s="22"/>
      <c r="AJ543" s="22"/>
      <c r="AK543" s="22"/>
      <c r="AL543" s="22"/>
      <c r="AM543" s="22"/>
      <c r="AN543" s="22"/>
      <c r="AO543" s="22"/>
      <c r="AP543" s="22"/>
      <c r="AQ543" s="22"/>
      <c r="AR543" s="22"/>
      <c r="AS543" s="25"/>
    </row>
    <row r="544" spans="1:45" s="1" customFormat="1">
      <c r="A544" s="22">
        <f t="shared" si="8"/>
        <v>543</v>
      </c>
      <c r="B544" s="23">
        <v>45721</v>
      </c>
      <c r="C544" s="22" t="s">
        <v>208</v>
      </c>
      <c r="D544" s="22" t="s">
        <v>954</v>
      </c>
      <c r="E544" s="22">
        <v>20242803</v>
      </c>
      <c r="F544" s="22" t="s">
        <v>2532</v>
      </c>
      <c r="G544" s="22">
        <v>9848084663</v>
      </c>
      <c r="H544" s="22" t="s">
        <v>2533</v>
      </c>
      <c r="I544" s="22" t="s">
        <v>55</v>
      </c>
      <c r="J544" s="22" t="s">
        <v>212</v>
      </c>
      <c r="K544" s="22" t="s">
        <v>213</v>
      </c>
      <c r="L544" s="22">
        <v>3.1</v>
      </c>
      <c r="M544" s="22" t="s">
        <v>534</v>
      </c>
      <c r="N544" s="22">
        <v>6</v>
      </c>
      <c r="O544" s="22">
        <v>0</v>
      </c>
      <c r="P544" s="22" t="s">
        <v>2534</v>
      </c>
      <c r="Q544" s="22" t="s">
        <v>802</v>
      </c>
      <c r="R544" s="22" t="s">
        <v>63</v>
      </c>
      <c r="S544" s="22" t="s">
        <v>2535</v>
      </c>
      <c r="T544" s="22"/>
      <c r="U544" s="24"/>
      <c r="V544" s="22"/>
      <c r="W544" s="22" t="s">
        <v>218</v>
      </c>
      <c r="X544" s="22" t="s">
        <v>218</v>
      </c>
      <c r="Y544" s="22" t="s">
        <v>135</v>
      </c>
      <c r="Z544" s="22" t="s">
        <v>66</v>
      </c>
      <c r="AA544" s="22">
        <v>45721</v>
      </c>
      <c r="AB544" s="22">
        <v>45727</v>
      </c>
      <c r="AC544" s="22">
        <v>45727</v>
      </c>
      <c r="AD544" s="22"/>
      <c r="AE544" s="22"/>
      <c r="AF544" s="22"/>
      <c r="AG544" s="22"/>
      <c r="AH544" s="22"/>
      <c r="AI544" s="22"/>
      <c r="AJ544" s="22"/>
      <c r="AK544" s="22"/>
      <c r="AL544" s="22"/>
      <c r="AM544" s="22"/>
      <c r="AN544" s="22"/>
      <c r="AO544" s="22"/>
      <c r="AP544" s="22"/>
      <c r="AQ544" s="22"/>
      <c r="AR544" s="22"/>
      <c r="AS544" s="25"/>
    </row>
    <row r="545" spans="1:45" s="1" customFormat="1">
      <c r="A545" s="22">
        <f t="shared" si="8"/>
        <v>544</v>
      </c>
      <c r="B545" s="23">
        <v>45721</v>
      </c>
      <c r="C545" s="22" t="s">
        <v>208</v>
      </c>
      <c r="D545" s="22" t="s">
        <v>209</v>
      </c>
      <c r="E545" s="22">
        <v>20242803</v>
      </c>
      <c r="F545" s="22" t="s">
        <v>2536</v>
      </c>
      <c r="G545" s="22">
        <v>9731326904</v>
      </c>
      <c r="H545" s="22" t="s">
        <v>2537</v>
      </c>
      <c r="I545" s="22" t="s">
        <v>55</v>
      </c>
      <c r="J545" s="22" t="s">
        <v>212</v>
      </c>
      <c r="K545" s="22" t="s">
        <v>213</v>
      </c>
      <c r="L545" s="22">
        <v>3</v>
      </c>
      <c r="M545" s="22" t="s">
        <v>1652</v>
      </c>
      <c r="N545" s="22">
        <v>4.5</v>
      </c>
      <c r="O545" s="22">
        <v>0</v>
      </c>
      <c r="P545" s="22" t="s">
        <v>2381</v>
      </c>
      <c r="Q545" s="22" t="s">
        <v>802</v>
      </c>
      <c r="R545" s="22" t="s">
        <v>63</v>
      </c>
      <c r="S545" s="22" t="s">
        <v>2348</v>
      </c>
      <c r="T545" s="22"/>
      <c r="U545" s="24"/>
      <c r="V545" s="22"/>
      <c r="W545" s="22" t="s">
        <v>218</v>
      </c>
      <c r="X545" s="22" t="s">
        <v>218</v>
      </c>
      <c r="Y545" s="22" t="s">
        <v>135</v>
      </c>
      <c r="Z545" s="22" t="s">
        <v>66</v>
      </c>
      <c r="AA545" s="22">
        <v>45721</v>
      </c>
      <c r="AB545" s="22">
        <v>45726</v>
      </c>
      <c r="AC545" s="22">
        <v>45726</v>
      </c>
      <c r="AD545" s="22"/>
      <c r="AE545" s="22"/>
      <c r="AF545" s="22"/>
      <c r="AG545" s="22"/>
      <c r="AH545" s="22"/>
      <c r="AI545" s="22"/>
      <c r="AJ545" s="22"/>
      <c r="AK545" s="22"/>
      <c r="AL545" s="22"/>
      <c r="AM545" s="22"/>
      <c r="AN545" s="22"/>
      <c r="AO545" s="22"/>
      <c r="AP545" s="22"/>
      <c r="AQ545" s="22"/>
      <c r="AR545" s="22"/>
      <c r="AS545" s="25"/>
    </row>
    <row r="546" spans="1:45" s="1" customFormat="1">
      <c r="A546" s="22">
        <f t="shared" si="8"/>
        <v>545</v>
      </c>
      <c r="B546" s="23">
        <v>45721</v>
      </c>
      <c r="C546" s="22" t="s">
        <v>208</v>
      </c>
      <c r="D546" s="22" t="s">
        <v>367</v>
      </c>
      <c r="E546" s="22">
        <v>20242803</v>
      </c>
      <c r="F546" s="22" t="s">
        <v>2538</v>
      </c>
      <c r="G546" s="22">
        <v>8839222168</v>
      </c>
      <c r="H546" s="22" t="s">
        <v>2539</v>
      </c>
      <c r="I546" s="22" t="s">
        <v>55</v>
      </c>
      <c r="J546" s="22" t="s">
        <v>212</v>
      </c>
      <c r="K546" s="22" t="s">
        <v>213</v>
      </c>
      <c r="L546" s="22">
        <v>3.8</v>
      </c>
      <c r="M546" s="22" t="s">
        <v>2540</v>
      </c>
      <c r="N546" s="22">
        <v>6.5</v>
      </c>
      <c r="O546" s="22">
        <v>0</v>
      </c>
      <c r="P546" s="22">
        <v>11</v>
      </c>
      <c r="Q546" s="22" t="s">
        <v>63</v>
      </c>
      <c r="R546" s="22" t="s">
        <v>63</v>
      </c>
      <c r="S546" s="22" t="s">
        <v>2312</v>
      </c>
      <c r="T546" s="22" t="s">
        <v>2541</v>
      </c>
      <c r="U546" s="24"/>
      <c r="V546" s="22"/>
      <c r="W546" s="22" t="s">
        <v>218</v>
      </c>
      <c r="X546" s="22" t="s">
        <v>218</v>
      </c>
      <c r="Y546" s="22" t="s">
        <v>135</v>
      </c>
      <c r="Z546" s="22" t="s">
        <v>66</v>
      </c>
      <c r="AA546" s="22">
        <v>45721</v>
      </c>
      <c r="AB546" s="22">
        <v>45728</v>
      </c>
      <c r="AC546" s="22">
        <v>45728</v>
      </c>
      <c r="AD546" s="22"/>
      <c r="AE546" s="22"/>
      <c r="AF546" s="22"/>
      <c r="AG546" s="22"/>
      <c r="AH546" s="22"/>
      <c r="AI546" s="22"/>
      <c r="AJ546" s="22"/>
      <c r="AK546" s="22"/>
      <c r="AL546" s="22"/>
      <c r="AM546" s="22"/>
      <c r="AN546" s="22"/>
      <c r="AO546" s="22"/>
      <c r="AP546" s="22"/>
      <c r="AQ546" s="22"/>
      <c r="AR546" s="22"/>
      <c r="AS546" s="25"/>
    </row>
    <row r="547" spans="1:45" s="1" customFormat="1">
      <c r="A547" s="22">
        <f t="shared" si="8"/>
        <v>546</v>
      </c>
      <c r="B547" s="23">
        <v>45722</v>
      </c>
      <c r="C547" s="22" t="s">
        <v>208</v>
      </c>
      <c r="D547" s="22" t="s">
        <v>954</v>
      </c>
      <c r="E547" s="22">
        <v>20245321</v>
      </c>
      <c r="F547" s="22" t="s">
        <v>2542</v>
      </c>
      <c r="G547" s="22">
        <v>8962089631</v>
      </c>
      <c r="H547" s="22" t="s">
        <v>2543</v>
      </c>
      <c r="I547" s="22" t="s">
        <v>55</v>
      </c>
      <c r="J547" s="22" t="s">
        <v>296</v>
      </c>
      <c r="K547" s="22" t="s">
        <v>213</v>
      </c>
      <c r="L547" s="22">
        <v>5</v>
      </c>
      <c r="M547" s="22" t="s">
        <v>2544</v>
      </c>
      <c r="N547" s="22">
        <v>14</v>
      </c>
      <c r="O547" s="22" t="s">
        <v>2545</v>
      </c>
      <c r="P547" s="22">
        <v>20</v>
      </c>
      <c r="Q547" s="22" t="s">
        <v>2546</v>
      </c>
      <c r="R547" s="22" t="s">
        <v>63</v>
      </c>
      <c r="S547" s="22" t="s">
        <v>2547</v>
      </c>
      <c r="T547" s="22" t="s">
        <v>2548</v>
      </c>
      <c r="U547" s="24"/>
      <c r="V547" s="22"/>
      <c r="W547" s="22" t="s">
        <v>218</v>
      </c>
      <c r="X547" s="22" t="s">
        <v>218</v>
      </c>
      <c r="Y547" s="22" t="s">
        <v>135</v>
      </c>
      <c r="Z547" s="22" t="s">
        <v>66</v>
      </c>
      <c r="AA547" s="22">
        <v>45722</v>
      </c>
      <c r="AB547" s="22">
        <v>45726</v>
      </c>
      <c r="AC547" s="22">
        <v>45726</v>
      </c>
      <c r="AD547" s="22"/>
      <c r="AE547" s="22"/>
      <c r="AF547" s="22"/>
      <c r="AG547" s="22"/>
      <c r="AH547" s="22"/>
      <c r="AI547" s="22"/>
      <c r="AJ547" s="22"/>
      <c r="AK547" s="22"/>
      <c r="AL547" s="22"/>
      <c r="AM547" s="22"/>
      <c r="AN547" s="22"/>
      <c r="AO547" s="22"/>
      <c r="AP547" s="22"/>
      <c r="AQ547" s="22"/>
      <c r="AR547" s="22"/>
      <c r="AS547" s="25"/>
    </row>
    <row r="548" spans="1:45" s="1" customFormat="1">
      <c r="A548" s="22">
        <f t="shared" si="8"/>
        <v>547</v>
      </c>
      <c r="B548" s="23">
        <v>45722</v>
      </c>
      <c r="C548" s="22" t="s">
        <v>208</v>
      </c>
      <c r="D548" s="22" t="s">
        <v>954</v>
      </c>
      <c r="E548" s="22">
        <v>20245321</v>
      </c>
      <c r="F548" s="22" t="s">
        <v>2549</v>
      </c>
      <c r="G548" s="22">
        <v>7060979597</v>
      </c>
      <c r="H548" s="22" t="s">
        <v>2550</v>
      </c>
      <c r="I548" s="22" t="s">
        <v>55</v>
      </c>
      <c r="J548" s="22" t="s">
        <v>296</v>
      </c>
      <c r="K548" s="22" t="s">
        <v>213</v>
      </c>
      <c r="L548" s="22">
        <v>4</v>
      </c>
      <c r="M548" s="22" t="s">
        <v>791</v>
      </c>
      <c r="N548" s="22">
        <v>12</v>
      </c>
      <c r="O548" s="22">
        <v>0</v>
      </c>
      <c r="P548" s="22">
        <v>16</v>
      </c>
      <c r="Q548" s="22" t="s">
        <v>484</v>
      </c>
      <c r="R548" s="22" t="s">
        <v>63</v>
      </c>
      <c r="S548" s="22" t="s">
        <v>230</v>
      </c>
      <c r="T548" s="22"/>
      <c r="U548" s="24"/>
      <c r="V548" s="22"/>
      <c r="W548" s="22" t="s">
        <v>218</v>
      </c>
      <c r="X548" s="22" t="s">
        <v>218</v>
      </c>
      <c r="Y548" s="22" t="s">
        <v>135</v>
      </c>
      <c r="Z548" s="22" t="s">
        <v>66</v>
      </c>
      <c r="AA548" s="22">
        <v>45722</v>
      </c>
      <c r="AB548" s="22">
        <v>45727</v>
      </c>
      <c r="AC548" s="22">
        <v>45727</v>
      </c>
      <c r="AD548" s="22"/>
      <c r="AE548" s="22"/>
      <c r="AF548" s="22"/>
      <c r="AG548" s="22"/>
      <c r="AH548" s="22"/>
      <c r="AI548" s="22"/>
      <c r="AJ548" s="22"/>
      <c r="AK548" s="22"/>
      <c r="AL548" s="22"/>
      <c r="AM548" s="22"/>
      <c r="AN548" s="22"/>
      <c r="AO548" s="22"/>
      <c r="AP548" s="22"/>
      <c r="AQ548" s="22"/>
      <c r="AR548" s="22"/>
      <c r="AS548" s="25"/>
    </row>
    <row r="549" spans="1:45" s="1" customFormat="1">
      <c r="A549" s="22">
        <f t="shared" si="8"/>
        <v>548</v>
      </c>
      <c r="B549" s="23">
        <v>45722</v>
      </c>
      <c r="C549" s="22" t="s">
        <v>208</v>
      </c>
      <c r="D549" s="22" t="s">
        <v>954</v>
      </c>
      <c r="E549" s="22">
        <v>20245321</v>
      </c>
      <c r="F549" s="22" t="s">
        <v>2551</v>
      </c>
      <c r="G549" s="22">
        <v>8286145535</v>
      </c>
      <c r="H549" s="22" t="s">
        <v>2552</v>
      </c>
      <c r="I549" s="22" t="s">
        <v>55</v>
      </c>
      <c r="J549" s="22" t="s">
        <v>296</v>
      </c>
      <c r="K549" s="22" t="s">
        <v>213</v>
      </c>
      <c r="L549" s="22">
        <v>5</v>
      </c>
      <c r="M549" s="22" t="s">
        <v>2553</v>
      </c>
      <c r="N549" s="22">
        <v>14.5</v>
      </c>
      <c r="O549" s="22" t="s">
        <v>2554</v>
      </c>
      <c r="P549" s="22">
        <v>0.4</v>
      </c>
      <c r="Q549" s="22" t="s">
        <v>890</v>
      </c>
      <c r="R549" s="22" t="s">
        <v>63</v>
      </c>
      <c r="S549" s="22" t="s">
        <v>633</v>
      </c>
      <c r="T549" s="22" t="s">
        <v>2555</v>
      </c>
      <c r="U549" s="24"/>
      <c r="V549" s="22"/>
      <c r="W549" s="22" t="s">
        <v>218</v>
      </c>
      <c r="X549" s="22" t="s">
        <v>218</v>
      </c>
      <c r="Y549" s="22" t="s">
        <v>135</v>
      </c>
      <c r="Z549" s="22" t="s">
        <v>66</v>
      </c>
      <c r="AA549" s="22">
        <v>45722</v>
      </c>
      <c r="AB549" s="22">
        <v>45729</v>
      </c>
      <c r="AC549" s="22">
        <v>45729</v>
      </c>
      <c r="AD549" s="22"/>
      <c r="AE549" s="22"/>
      <c r="AF549" s="22"/>
      <c r="AG549" s="22"/>
      <c r="AH549" s="22"/>
      <c r="AI549" s="22"/>
      <c r="AJ549" s="22"/>
      <c r="AK549" s="22"/>
      <c r="AL549" s="22"/>
      <c r="AM549" s="22"/>
      <c r="AN549" s="22"/>
      <c r="AO549" s="22"/>
      <c r="AP549" s="22"/>
      <c r="AQ549" s="22"/>
      <c r="AR549" s="22"/>
      <c r="AS549" s="25"/>
    </row>
    <row r="550" spans="1:45" s="1" customFormat="1">
      <c r="A550" s="22">
        <f t="shared" si="8"/>
        <v>549</v>
      </c>
      <c r="B550" s="23">
        <v>45717</v>
      </c>
      <c r="C550" s="22" t="s">
        <v>51</v>
      </c>
      <c r="D550" s="22" t="s">
        <v>51</v>
      </c>
      <c r="E550" s="22"/>
      <c r="F550" s="22" t="s">
        <v>2556</v>
      </c>
      <c r="G550" s="22" t="s">
        <v>2557</v>
      </c>
      <c r="H550" s="22" t="s">
        <v>2558</v>
      </c>
      <c r="I550" s="22" t="s">
        <v>55</v>
      </c>
      <c r="J550" s="22" t="s">
        <v>2559</v>
      </c>
      <c r="K550" s="22" t="s">
        <v>2560</v>
      </c>
      <c r="L550" s="22">
        <v>8</v>
      </c>
      <c r="M550" s="22" t="s">
        <v>864</v>
      </c>
      <c r="N550" s="22">
        <v>900000</v>
      </c>
      <c r="O550" s="22"/>
      <c r="P550" s="22">
        <v>1100000</v>
      </c>
      <c r="Q550" s="22" t="s">
        <v>63</v>
      </c>
      <c r="R550" s="22" t="s">
        <v>63</v>
      </c>
      <c r="S550" s="22" t="s">
        <v>230</v>
      </c>
      <c r="T550" s="22" t="s">
        <v>51</v>
      </c>
      <c r="U550" s="24">
        <v>45572</v>
      </c>
      <c r="V550" s="22"/>
      <c r="W550" s="22" t="s">
        <v>218</v>
      </c>
      <c r="X550" s="22" t="s">
        <v>218</v>
      </c>
      <c r="Y550" s="22" t="s">
        <v>135</v>
      </c>
      <c r="Z550" s="22" t="s">
        <v>66</v>
      </c>
      <c r="AA550" s="22">
        <v>45473</v>
      </c>
      <c r="AB550" s="22">
        <v>45475</v>
      </c>
      <c r="AC550" s="22">
        <v>45475</v>
      </c>
      <c r="AD550" s="22">
        <v>45477</v>
      </c>
      <c r="AE550" s="22">
        <v>45477</v>
      </c>
      <c r="AF550" s="22">
        <v>45481</v>
      </c>
      <c r="AG550" s="22">
        <v>45492</v>
      </c>
      <c r="AH550" s="22">
        <v>45492</v>
      </c>
      <c r="AI550" s="22">
        <v>45492</v>
      </c>
      <c r="AJ550" s="22">
        <v>45507</v>
      </c>
      <c r="AK550" s="22" t="s">
        <v>63</v>
      </c>
      <c r="AL550" s="22">
        <v>1100000</v>
      </c>
      <c r="AM550" s="22">
        <v>45507</v>
      </c>
      <c r="AN550" s="22">
        <v>45391</v>
      </c>
      <c r="AO550" s="22"/>
      <c r="AP550" s="22">
        <v>45391</v>
      </c>
      <c r="AQ550" s="22">
        <v>45393</v>
      </c>
      <c r="AR550" s="22">
        <v>45568</v>
      </c>
      <c r="AS550" s="25">
        <v>45572</v>
      </c>
    </row>
    <row r="551" spans="1:45" s="1" customFormat="1">
      <c r="A551" s="22">
        <f t="shared" si="8"/>
        <v>550</v>
      </c>
      <c r="B551" s="23">
        <v>45737</v>
      </c>
      <c r="C551" s="22" t="s">
        <v>208</v>
      </c>
      <c r="D551" s="22" t="s">
        <v>2561</v>
      </c>
      <c r="E551" s="22"/>
      <c r="F551" s="22" t="s">
        <v>2562</v>
      </c>
      <c r="G551" s="22"/>
      <c r="H551" s="22" t="s">
        <v>2563</v>
      </c>
      <c r="I551" s="22" t="s">
        <v>55</v>
      </c>
      <c r="J551" s="22" t="s">
        <v>2423</v>
      </c>
      <c r="K551" s="22" t="s">
        <v>2424</v>
      </c>
      <c r="L551" s="22"/>
      <c r="M551" s="22" t="s">
        <v>2564</v>
      </c>
      <c r="N551" s="22" t="s">
        <v>2565</v>
      </c>
      <c r="O551" s="22"/>
      <c r="P551" s="22" t="s">
        <v>2566</v>
      </c>
      <c r="Q551" s="22" t="s">
        <v>63</v>
      </c>
      <c r="R551" s="22" t="s">
        <v>63</v>
      </c>
      <c r="S551" s="22" t="s">
        <v>2567</v>
      </c>
      <c r="T551" s="22"/>
      <c r="U551" s="24"/>
      <c r="V551" s="22"/>
      <c r="W551" s="22" t="s">
        <v>2408</v>
      </c>
      <c r="X551" s="22" t="s">
        <v>2408</v>
      </c>
      <c r="Y551" s="22" t="s">
        <v>135</v>
      </c>
      <c r="Z551" s="22" t="s">
        <v>2409</v>
      </c>
      <c r="AA551" s="22"/>
      <c r="AB551" s="22"/>
      <c r="AC551" s="22"/>
      <c r="AD551" s="22"/>
      <c r="AE551" s="22"/>
      <c r="AF551" s="22"/>
      <c r="AG551" s="22"/>
      <c r="AH551" s="22"/>
      <c r="AI551" s="22"/>
      <c r="AJ551" s="22"/>
      <c r="AK551" s="22"/>
      <c r="AL551" s="22"/>
      <c r="AM551" s="22"/>
      <c r="AN551" s="22"/>
      <c r="AO551" s="22"/>
      <c r="AP551" s="22"/>
      <c r="AQ551" s="22"/>
      <c r="AR551" s="22"/>
      <c r="AS551" s="25"/>
    </row>
    <row r="552" spans="1:45" s="1" customFormat="1">
      <c r="A552" s="22">
        <f t="shared" si="8"/>
        <v>551</v>
      </c>
      <c r="B552" s="23">
        <v>45737</v>
      </c>
      <c r="C552" s="22" t="s">
        <v>208</v>
      </c>
      <c r="D552" s="22" t="s">
        <v>2561</v>
      </c>
      <c r="E552" s="22"/>
      <c r="F552" s="22" t="s">
        <v>2568</v>
      </c>
      <c r="G552" s="22"/>
      <c r="H552" s="22" t="s">
        <v>2569</v>
      </c>
      <c r="I552" s="22" t="s">
        <v>55</v>
      </c>
      <c r="J552" s="22" t="s">
        <v>2423</v>
      </c>
      <c r="K552" s="22" t="s">
        <v>2424</v>
      </c>
      <c r="L552" s="22"/>
      <c r="M552" s="22" t="s">
        <v>2570</v>
      </c>
      <c r="N552" s="22" t="s">
        <v>2566</v>
      </c>
      <c r="O552" s="22"/>
      <c r="P552" s="22" t="s">
        <v>2571</v>
      </c>
      <c r="Q552" s="22" t="s">
        <v>63</v>
      </c>
      <c r="R552" s="22" t="s">
        <v>63</v>
      </c>
      <c r="S552" s="22" t="s">
        <v>2478</v>
      </c>
      <c r="T552" s="22"/>
      <c r="U552" s="24"/>
      <c r="V552" s="22"/>
      <c r="W552" s="22" t="s">
        <v>2408</v>
      </c>
      <c r="X552" s="22" t="s">
        <v>2408</v>
      </c>
      <c r="Y552" s="22" t="s">
        <v>135</v>
      </c>
      <c r="Z552" s="22" t="s">
        <v>2409</v>
      </c>
      <c r="AA552" s="22"/>
      <c r="AB552" s="22"/>
      <c r="AC552" s="22"/>
      <c r="AD552" s="22"/>
      <c r="AE552" s="22"/>
      <c r="AF552" s="22"/>
      <c r="AG552" s="22"/>
      <c r="AH552" s="22"/>
      <c r="AI552" s="22"/>
      <c r="AJ552" s="22"/>
      <c r="AK552" s="22"/>
      <c r="AL552" s="22"/>
      <c r="AM552" s="22"/>
      <c r="AN552" s="22"/>
      <c r="AO552" s="22"/>
      <c r="AP552" s="22"/>
      <c r="AQ552" s="22"/>
      <c r="AR552" s="22"/>
      <c r="AS552" s="25"/>
    </row>
    <row r="553" spans="1:45" s="1" customFormat="1">
      <c r="A553" s="22">
        <f t="shared" si="8"/>
        <v>552</v>
      </c>
      <c r="B553" s="23">
        <v>45740</v>
      </c>
      <c r="C553" s="22" t="s">
        <v>208</v>
      </c>
      <c r="D553" s="22" t="s">
        <v>1056</v>
      </c>
      <c r="E553" s="22"/>
      <c r="F553" s="22" t="s">
        <v>2572</v>
      </c>
      <c r="G553" s="22"/>
      <c r="H553" s="22" t="s">
        <v>2573</v>
      </c>
      <c r="I553" s="22" t="s">
        <v>55</v>
      </c>
      <c r="J553" s="22" t="s">
        <v>2574</v>
      </c>
      <c r="K553" s="22"/>
      <c r="L553" s="22"/>
      <c r="M553" s="22" t="s">
        <v>2575</v>
      </c>
      <c r="N553" s="22" t="s">
        <v>2497</v>
      </c>
      <c r="O553" s="22"/>
      <c r="P553" s="22" t="s">
        <v>2576</v>
      </c>
      <c r="Q553" s="22" t="s">
        <v>63</v>
      </c>
      <c r="R553" s="22" t="s">
        <v>63</v>
      </c>
      <c r="S553" s="22" t="s">
        <v>2577</v>
      </c>
      <c r="T553" s="22"/>
      <c r="U553" s="24"/>
      <c r="V553" s="22"/>
      <c r="W553" s="22" t="s">
        <v>2408</v>
      </c>
      <c r="X553" s="22" t="s">
        <v>2408</v>
      </c>
      <c r="Y553" s="22" t="s">
        <v>135</v>
      </c>
      <c r="Z553" s="22" t="s">
        <v>2409</v>
      </c>
      <c r="AA553" s="22"/>
      <c r="AB553" s="22"/>
      <c r="AC553" s="22"/>
      <c r="AD553" s="22"/>
      <c r="AE553" s="22"/>
      <c r="AF553" s="22"/>
      <c r="AG553" s="22"/>
      <c r="AH553" s="22"/>
      <c r="AI553" s="22"/>
      <c r="AJ553" s="22"/>
      <c r="AK553" s="22"/>
      <c r="AL553" s="22"/>
      <c r="AM553" s="22"/>
      <c r="AN553" s="22"/>
      <c r="AO553" s="22"/>
      <c r="AP553" s="22"/>
      <c r="AQ553" s="22"/>
      <c r="AR553" s="22"/>
      <c r="AS553" s="25"/>
    </row>
    <row r="554" spans="1:45" s="1" customFormat="1">
      <c r="A554" s="22">
        <f t="shared" si="8"/>
        <v>553</v>
      </c>
      <c r="B554" s="23">
        <v>45740</v>
      </c>
      <c r="C554" s="22" t="s">
        <v>208</v>
      </c>
      <c r="D554" s="22" t="s">
        <v>1056</v>
      </c>
      <c r="E554" s="22"/>
      <c r="F554" s="22" t="s">
        <v>2578</v>
      </c>
      <c r="G554" s="22"/>
      <c r="H554" s="22" t="s">
        <v>2579</v>
      </c>
      <c r="I554" s="22" t="s">
        <v>55</v>
      </c>
      <c r="J554" s="22" t="s">
        <v>2574</v>
      </c>
      <c r="K554" s="22"/>
      <c r="L554" s="22"/>
      <c r="M554" s="22" t="s">
        <v>2580</v>
      </c>
      <c r="N554" s="22" t="s">
        <v>2581</v>
      </c>
      <c r="O554" s="22"/>
      <c r="P554" s="22" t="s">
        <v>2498</v>
      </c>
      <c r="Q554" s="22" t="s">
        <v>63</v>
      </c>
      <c r="R554" s="22" t="s">
        <v>63</v>
      </c>
      <c r="S554" s="22" t="s">
        <v>2567</v>
      </c>
      <c r="T554" s="22"/>
      <c r="U554" s="24"/>
      <c r="V554" s="22"/>
      <c r="W554" s="22" t="s">
        <v>2408</v>
      </c>
      <c r="X554" s="22" t="s">
        <v>2408</v>
      </c>
      <c r="Y554" s="22" t="s">
        <v>135</v>
      </c>
      <c r="Z554" s="22" t="s">
        <v>2409</v>
      </c>
      <c r="AA554" s="22"/>
      <c r="AB554" s="22"/>
      <c r="AC554" s="22"/>
      <c r="AD554" s="22"/>
      <c r="AE554" s="22"/>
      <c r="AF554" s="22"/>
      <c r="AG554" s="22"/>
      <c r="AH554" s="22"/>
      <c r="AI554" s="22"/>
      <c r="AJ554" s="22"/>
      <c r="AK554" s="22"/>
      <c r="AL554" s="22"/>
      <c r="AM554" s="22"/>
      <c r="AN554" s="22"/>
      <c r="AO554" s="22"/>
      <c r="AP554" s="22"/>
      <c r="AQ554" s="22"/>
      <c r="AR554" s="22"/>
      <c r="AS554" s="25"/>
    </row>
    <row r="555" spans="1:45" s="1" customFormat="1">
      <c r="A555" s="22">
        <f t="shared" si="8"/>
        <v>554</v>
      </c>
      <c r="B555" s="23">
        <v>45740</v>
      </c>
      <c r="C555" s="22" t="s">
        <v>208</v>
      </c>
      <c r="D555" s="22" t="s">
        <v>1056</v>
      </c>
      <c r="E555" s="22"/>
      <c r="F555" s="22" t="s">
        <v>2582</v>
      </c>
      <c r="G555" s="22"/>
      <c r="H555" s="22" t="s">
        <v>2583</v>
      </c>
      <c r="I555" s="22" t="s">
        <v>55</v>
      </c>
      <c r="J555" s="22" t="s">
        <v>2574</v>
      </c>
      <c r="K555" s="22"/>
      <c r="L555" s="22"/>
      <c r="M555" s="22" t="s">
        <v>2584</v>
      </c>
      <c r="N555" s="22" t="s">
        <v>2585</v>
      </c>
      <c r="O555" s="22"/>
      <c r="P555" s="22" t="s">
        <v>2586</v>
      </c>
      <c r="Q555" s="22" t="s">
        <v>63</v>
      </c>
      <c r="R555" s="22" t="s">
        <v>63</v>
      </c>
      <c r="S555" s="22" t="s">
        <v>2587</v>
      </c>
      <c r="T555" s="22"/>
      <c r="U555" s="24"/>
      <c r="V555" s="22"/>
      <c r="W555" s="22" t="s">
        <v>2408</v>
      </c>
      <c r="X555" s="22" t="s">
        <v>2408</v>
      </c>
      <c r="Y555" s="22" t="s">
        <v>135</v>
      </c>
      <c r="Z555" s="22" t="s">
        <v>2409</v>
      </c>
      <c r="AA555" s="22"/>
      <c r="AB555" s="22"/>
      <c r="AC555" s="22"/>
      <c r="AD555" s="22"/>
      <c r="AE555" s="22"/>
      <c r="AF555" s="22"/>
      <c r="AG555" s="22"/>
      <c r="AH555" s="22"/>
      <c r="AI555" s="22"/>
      <c r="AJ555" s="22"/>
      <c r="AK555" s="22"/>
      <c r="AL555" s="22"/>
      <c r="AM555" s="22"/>
      <c r="AN555" s="22"/>
      <c r="AO555" s="22"/>
      <c r="AP555" s="22"/>
      <c r="AQ555" s="22"/>
      <c r="AR555" s="22"/>
      <c r="AS555" s="25"/>
    </row>
    <row r="556" spans="1:45" s="1" customFormat="1">
      <c r="A556" s="22">
        <f t="shared" si="8"/>
        <v>555</v>
      </c>
      <c r="B556" s="23">
        <v>45740</v>
      </c>
      <c r="C556" s="22" t="s">
        <v>208</v>
      </c>
      <c r="D556" s="22" t="s">
        <v>1056</v>
      </c>
      <c r="E556" s="22"/>
      <c r="F556" s="22" t="s">
        <v>2588</v>
      </c>
      <c r="G556" s="22"/>
      <c r="H556" s="22" t="s">
        <v>2589</v>
      </c>
      <c r="I556" s="22" t="s">
        <v>55</v>
      </c>
      <c r="J556" s="22" t="s">
        <v>2574</v>
      </c>
      <c r="K556" s="22"/>
      <c r="L556" s="22"/>
      <c r="M556" s="22" t="s">
        <v>2590</v>
      </c>
      <c r="N556" s="22" t="s">
        <v>2591</v>
      </c>
      <c r="O556" s="22"/>
      <c r="P556" s="22" t="s">
        <v>2592</v>
      </c>
      <c r="Q556" s="22" t="s">
        <v>63</v>
      </c>
      <c r="R556" s="22" t="s">
        <v>63</v>
      </c>
      <c r="S556" s="22" t="s">
        <v>2593</v>
      </c>
      <c r="T556" s="22"/>
      <c r="U556" s="24"/>
      <c r="V556" s="22"/>
      <c r="W556" s="22" t="s">
        <v>2408</v>
      </c>
      <c r="X556" s="22" t="s">
        <v>2408</v>
      </c>
      <c r="Y556" s="22" t="s">
        <v>135</v>
      </c>
      <c r="Z556" s="22" t="s">
        <v>2409</v>
      </c>
      <c r="AA556" s="22"/>
      <c r="AB556" s="22"/>
      <c r="AC556" s="22"/>
      <c r="AD556" s="22"/>
      <c r="AE556" s="22"/>
      <c r="AF556" s="22"/>
      <c r="AG556" s="22"/>
      <c r="AH556" s="22"/>
      <c r="AI556" s="22"/>
      <c r="AJ556" s="22"/>
      <c r="AK556" s="22"/>
      <c r="AL556" s="22"/>
      <c r="AM556" s="22"/>
      <c r="AN556" s="22"/>
      <c r="AO556" s="22"/>
      <c r="AP556" s="22"/>
      <c r="AQ556" s="22"/>
      <c r="AR556" s="22"/>
      <c r="AS556" s="25"/>
    </row>
    <row r="557" spans="1:45" s="1" customFormat="1">
      <c r="A557" s="22">
        <f t="shared" si="8"/>
        <v>556</v>
      </c>
      <c r="B557" s="23">
        <v>45743</v>
      </c>
      <c r="C557" s="22" t="s">
        <v>208</v>
      </c>
      <c r="D557" s="22" t="s">
        <v>1056</v>
      </c>
      <c r="E557" s="22"/>
      <c r="F557" s="22" t="s">
        <v>2594</v>
      </c>
      <c r="G557" s="22"/>
      <c r="H557" s="22" t="s">
        <v>2595</v>
      </c>
      <c r="I557" s="22" t="s">
        <v>55</v>
      </c>
      <c r="J557" s="22" t="s">
        <v>2596</v>
      </c>
      <c r="K557" s="22"/>
      <c r="L557" s="22"/>
      <c r="M557" s="22" t="s">
        <v>2597</v>
      </c>
      <c r="N557" s="22" t="s">
        <v>2598</v>
      </c>
      <c r="O557" s="22"/>
      <c r="P557" s="22" t="s">
        <v>2599</v>
      </c>
      <c r="Q557" s="22" t="s">
        <v>63</v>
      </c>
      <c r="R557" s="22" t="s">
        <v>63</v>
      </c>
      <c r="S557" s="22" t="s">
        <v>2567</v>
      </c>
      <c r="T557" s="22"/>
      <c r="U557" s="24"/>
      <c r="V557" s="22"/>
      <c r="W557" s="22" t="s">
        <v>2408</v>
      </c>
      <c r="X557" s="22" t="s">
        <v>2408</v>
      </c>
      <c r="Y557" s="22" t="s">
        <v>135</v>
      </c>
      <c r="Z557" s="22" t="s">
        <v>2409</v>
      </c>
      <c r="AA557" s="22"/>
      <c r="AB557" s="22"/>
      <c r="AC557" s="22"/>
      <c r="AD557" s="22"/>
      <c r="AE557" s="22"/>
      <c r="AF557" s="22"/>
      <c r="AG557" s="22"/>
      <c r="AH557" s="22"/>
      <c r="AI557" s="22"/>
      <c r="AJ557" s="22"/>
      <c r="AK557" s="22"/>
      <c r="AL557" s="22"/>
      <c r="AM557" s="22"/>
      <c r="AN557" s="22"/>
      <c r="AO557" s="22"/>
      <c r="AP557" s="22"/>
      <c r="AQ557" s="22"/>
      <c r="AR557" s="22"/>
      <c r="AS557" s="25"/>
    </row>
    <row r="558" spans="1:45" s="1" customFormat="1">
      <c r="A558" s="22">
        <f t="shared" si="8"/>
        <v>557</v>
      </c>
      <c r="B558" s="23">
        <v>45743</v>
      </c>
      <c r="C558" s="22" t="s">
        <v>208</v>
      </c>
      <c r="D558" s="22" t="s">
        <v>1056</v>
      </c>
      <c r="E558" s="22"/>
      <c r="F558" s="22" t="s">
        <v>2600</v>
      </c>
      <c r="G558" s="22"/>
      <c r="H558" s="22" t="s">
        <v>2601</v>
      </c>
      <c r="I558" s="22" t="s">
        <v>55</v>
      </c>
      <c r="J558" s="22" t="s">
        <v>2596</v>
      </c>
      <c r="K558" s="22"/>
      <c r="L558" s="22"/>
      <c r="M558" s="22" t="s">
        <v>2602</v>
      </c>
      <c r="N558" s="22" t="s">
        <v>2603</v>
      </c>
      <c r="O558" s="22"/>
      <c r="P558" s="22" t="s">
        <v>2428</v>
      </c>
      <c r="Q558" s="22" t="s">
        <v>63</v>
      </c>
      <c r="R558" s="22" t="s">
        <v>63</v>
      </c>
      <c r="S558" s="22" t="s">
        <v>2587</v>
      </c>
      <c r="T558" s="22"/>
      <c r="U558" s="24"/>
      <c r="V558" s="22"/>
      <c r="W558" s="22" t="s">
        <v>2408</v>
      </c>
      <c r="X558" s="22" t="s">
        <v>2408</v>
      </c>
      <c r="Y558" s="22" t="s">
        <v>135</v>
      </c>
      <c r="Z558" s="22" t="s">
        <v>2409</v>
      </c>
      <c r="AA558" s="22"/>
      <c r="AB558" s="22"/>
      <c r="AC558" s="22"/>
      <c r="AD558" s="22"/>
      <c r="AE558" s="22"/>
      <c r="AF558" s="22"/>
      <c r="AG558" s="22"/>
      <c r="AH558" s="22"/>
      <c r="AI558" s="22"/>
      <c r="AJ558" s="22"/>
      <c r="AK558" s="22"/>
      <c r="AL558" s="22"/>
      <c r="AM558" s="22"/>
      <c r="AN558" s="22"/>
      <c r="AO558" s="22"/>
      <c r="AP558" s="22"/>
      <c r="AQ558" s="22"/>
      <c r="AR558" s="22"/>
      <c r="AS558" s="25"/>
    </row>
    <row r="559" spans="1:45" s="1" customFormat="1">
      <c r="A559" s="22">
        <f t="shared" si="8"/>
        <v>558</v>
      </c>
      <c r="B559" s="23">
        <v>45743</v>
      </c>
      <c r="C559" s="22" t="s">
        <v>208</v>
      </c>
      <c r="D559" s="22" t="s">
        <v>1056</v>
      </c>
      <c r="E559" s="22"/>
      <c r="F559" s="22" t="s">
        <v>2604</v>
      </c>
      <c r="G559" s="22"/>
      <c r="H559" s="22" t="s">
        <v>2605</v>
      </c>
      <c r="I559" s="22" t="s">
        <v>55</v>
      </c>
      <c r="J559" s="22" t="s">
        <v>2596</v>
      </c>
      <c r="K559" s="22"/>
      <c r="L559" s="22"/>
      <c r="M559" s="22" t="s">
        <v>2606</v>
      </c>
      <c r="N559" s="22" t="s">
        <v>2607</v>
      </c>
      <c r="O559" s="22"/>
      <c r="P559" s="22" t="s">
        <v>2608</v>
      </c>
      <c r="Q559" s="22" t="s">
        <v>63</v>
      </c>
      <c r="R559" s="22" t="s">
        <v>63</v>
      </c>
      <c r="S559" s="22" t="s">
        <v>2609</v>
      </c>
      <c r="T559" s="22"/>
      <c r="U559" s="24"/>
      <c r="V559" s="22"/>
      <c r="W559" s="22" t="s">
        <v>2408</v>
      </c>
      <c r="X559" s="22" t="s">
        <v>2408</v>
      </c>
      <c r="Y559" s="22" t="s">
        <v>135</v>
      </c>
      <c r="Z559" s="22" t="s">
        <v>2409</v>
      </c>
      <c r="AA559" s="22"/>
      <c r="AB559" s="22"/>
      <c r="AC559" s="22"/>
      <c r="AD559" s="22"/>
      <c r="AE559" s="22"/>
      <c r="AF559" s="22"/>
      <c r="AG559" s="22"/>
      <c r="AH559" s="22"/>
      <c r="AI559" s="22"/>
      <c r="AJ559" s="22"/>
      <c r="AK559" s="22"/>
      <c r="AL559" s="22"/>
      <c r="AM559" s="22"/>
      <c r="AN559" s="22"/>
      <c r="AO559" s="22"/>
      <c r="AP559" s="22"/>
      <c r="AQ559" s="22"/>
      <c r="AR559" s="22"/>
      <c r="AS559" s="25"/>
    </row>
    <row r="560" spans="1:45" s="1" customFormat="1">
      <c r="A560" s="22">
        <f t="shared" si="8"/>
        <v>559</v>
      </c>
      <c r="B560" s="23">
        <v>45744</v>
      </c>
      <c r="C560" s="22" t="s">
        <v>208</v>
      </c>
      <c r="D560" s="22" t="s">
        <v>624</v>
      </c>
      <c r="E560" s="22">
        <v>20241431</v>
      </c>
      <c r="F560" s="22" t="s">
        <v>2610</v>
      </c>
      <c r="G560" s="22">
        <v>9913164111</v>
      </c>
      <c r="H560" s="22" t="s">
        <v>2611</v>
      </c>
      <c r="I560" s="22" t="s">
        <v>101</v>
      </c>
      <c r="J560" s="22" t="s">
        <v>2612</v>
      </c>
      <c r="K560" s="22" t="s">
        <v>116</v>
      </c>
      <c r="L560" s="22">
        <v>3.9</v>
      </c>
      <c r="M560" s="22" t="s">
        <v>2613</v>
      </c>
      <c r="N560" s="22">
        <v>10</v>
      </c>
      <c r="O560" s="22">
        <v>0</v>
      </c>
      <c r="P560" s="22">
        <v>15</v>
      </c>
      <c r="Q560" s="22" t="s">
        <v>2614</v>
      </c>
      <c r="R560" s="22" t="s">
        <v>63</v>
      </c>
      <c r="S560" s="22" t="s">
        <v>230</v>
      </c>
      <c r="T560" s="22" t="s">
        <v>2615</v>
      </c>
      <c r="U560" s="24"/>
      <c r="V560" s="22"/>
      <c r="W560" s="22" t="s">
        <v>218</v>
      </c>
      <c r="X560" s="22" t="s">
        <v>218</v>
      </c>
      <c r="Y560" s="22" t="s">
        <v>135</v>
      </c>
      <c r="Z560" s="22" t="s">
        <v>66</v>
      </c>
      <c r="AA560" s="22">
        <v>45743</v>
      </c>
      <c r="AB560" s="22">
        <v>45744</v>
      </c>
      <c r="AC560" s="22">
        <v>45744</v>
      </c>
      <c r="AD560" s="22">
        <v>45749</v>
      </c>
      <c r="AE560" s="22"/>
      <c r="AF560" s="22"/>
      <c r="AG560" s="22"/>
      <c r="AH560" s="22">
        <v>45669</v>
      </c>
      <c r="AI560" s="22">
        <v>45726</v>
      </c>
      <c r="AJ560" s="22"/>
      <c r="AK560" s="22"/>
      <c r="AL560" s="22"/>
      <c r="AM560" s="22"/>
      <c r="AN560" s="22"/>
      <c r="AO560" s="22"/>
      <c r="AP560" s="22"/>
      <c r="AQ560" s="22"/>
      <c r="AR560" s="22"/>
      <c r="AS560" s="25"/>
    </row>
    <row r="561" spans="1:45" s="1" customFormat="1">
      <c r="A561" s="22">
        <f t="shared" si="8"/>
        <v>560</v>
      </c>
      <c r="B561" s="23">
        <v>45744</v>
      </c>
      <c r="C561" s="22" t="s">
        <v>208</v>
      </c>
      <c r="D561" s="22" t="s">
        <v>624</v>
      </c>
      <c r="E561" s="22">
        <v>20241431</v>
      </c>
      <c r="F561" s="22" t="s">
        <v>2616</v>
      </c>
      <c r="G561" s="22">
        <v>9359513300</v>
      </c>
      <c r="H561" s="22" t="s">
        <v>2617</v>
      </c>
      <c r="I561" s="22" t="s">
        <v>55</v>
      </c>
      <c r="J561" s="22" t="s">
        <v>2612</v>
      </c>
      <c r="K561" s="22" t="s">
        <v>116</v>
      </c>
      <c r="L561" s="22">
        <v>4.3</v>
      </c>
      <c r="M561" s="22" t="s">
        <v>2618</v>
      </c>
      <c r="N561" s="22">
        <v>9.17</v>
      </c>
      <c r="O561" s="22">
        <v>0</v>
      </c>
      <c r="P561" s="22">
        <v>15</v>
      </c>
      <c r="Q561" s="22" t="s">
        <v>2619</v>
      </c>
      <c r="R561" s="22" t="s">
        <v>63</v>
      </c>
      <c r="S561" s="22" t="s">
        <v>230</v>
      </c>
      <c r="T561" s="22" t="s">
        <v>61</v>
      </c>
      <c r="U561" s="24"/>
      <c r="V561" s="22"/>
      <c r="W561" s="22" t="s">
        <v>218</v>
      </c>
      <c r="X561" s="22" t="s">
        <v>218</v>
      </c>
      <c r="Y561" s="22" t="s">
        <v>135</v>
      </c>
      <c r="Z561" s="22" t="s">
        <v>66</v>
      </c>
      <c r="AA561" s="22">
        <v>45743</v>
      </c>
      <c r="AB561" s="22">
        <v>45744</v>
      </c>
      <c r="AC561" s="22">
        <v>45744</v>
      </c>
      <c r="AD561" s="22">
        <v>45778</v>
      </c>
      <c r="AE561" s="22"/>
      <c r="AF561" s="22"/>
      <c r="AG561" s="22"/>
      <c r="AH561" s="22"/>
      <c r="AI561" s="22"/>
      <c r="AJ561" s="22"/>
      <c r="AK561" s="22"/>
      <c r="AL561" s="22"/>
      <c r="AM561" s="22"/>
      <c r="AN561" s="22"/>
      <c r="AO561" s="22"/>
      <c r="AP561" s="22"/>
      <c r="AQ561" s="22"/>
      <c r="AR561" s="22"/>
      <c r="AS561" s="25"/>
    </row>
    <row r="562" spans="1:45" s="1" customFormat="1">
      <c r="A562" s="22">
        <f t="shared" si="8"/>
        <v>561</v>
      </c>
      <c r="B562" s="23">
        <v>45751</v>
      </c>
      <c r="C562" s="22" t="s">
        <v>208</v>
      </c>
      <c r="D562" s="22" t="s">
        <v>1056</v>
      </c>
      <c r="E562" s="22">
        <v>20242803</v>
      </c>
      <c r="F562" s="22" t="s">
        <v>2620</v>
      </c>
      <c r="G562" s="22">
        <v>7697811379</v>
      </c>
      <c r="H562" s="22" t="s">
        <v>2621</v>
      </c>
      <c r="I562" s="22" t="s">
        <v>55</v>
      </c>
      <c r="J562" s="22" t="s">
        <v>212</v>
      </c>
      <c r="K562" s="22" t="s">
        <v>213</v>
      </c>
      <c r="L562" s="22">
        <v>3.8</v>
      </c>
      <c r="M562" s="22" t="s">
        <v>2622</v>
      </c>
      <c r="N562" s="22">
        <v>4</v>
      </c>
      <c r="O562" s="22">
        <v>0</v>
      </c>
      <c r="P562" s="22">
        <v>8</v>
      </c>
      <c r="Q562" s="22" t="s">
        <v>796</v>
      </c>
      <c r="R562" s="22" t="s">
        <v>63</v>
      </c>
      <c r="S562" s="22" t="s">
        <v>2623</v>
      </c>
      <c r="T562" s="22" t="s">
        <v>2015</v>
      </c>
      <c r="U562" s="24"/>
      <c r="V562" s="22"/>
      <c r="W562" s="22" t="s">
        <v>218</v>
      </c>
      <c r="X562" s="22" t="s">
        <v>218</v>
      </c>
      <c r="Y562" s="22" t="s">
        <v>135</v>
      </c>
      <c r="Z562" s="22" t="s">
        <v>118</v>
      </c>
      <c r="AA562" s="22">
        <v>45751</v>
      </c>
      <c r="AB562" s="22"/>
      <c r="AC562" s="22"/>
      <c r="AD562" s="22"/>
      <c r="AE562" s="22"/>
      <c r="AF562" s="22"/>
      <c r="AG562" s="22"/>
      <c r="AH562" s="22"/>
      <c r="AI562" s="22"/>
      <c r="AJ562" s="22"/>
      <c r="AK562" s="22"/>
      <c r="AL562" s="22"/>
      <c r="AM562" s="22"/>
      <c r="AN562" s="22"/>
      <c r="AO562" s="22"/>
      <c r="AP562" s="22"/>
      <c r="AQ562" s="22"/>
      <c r="AR562" s="22"/>
      <c r="AS562" s="25"/>
    </row>
    <row r="563" spans="1:45" s="1" customFormat="1">
      <c r="A563" s="22">
        <f t="shared" si="8"/>
        <v>562</v>
      </c>
      <c r="B563" s="23">
        <v>45751</v>
      </c>
      <c r="C563" s="22" t="s">
        <v>208</v>
      </c>
      <c r="D563" s="22" t="s">
        <v>1056</v>
      </c>
      <c r="E563" s="22">
        <v>20242803</v>
      </c>
      <c r="F563" s="22" t="s">
        <v>2624</v>
      </c>
      <c r="G563" s="22">
        <v>8118858003</v>
      </c>
      <c r="H563" s="22" t="s">
        <v>2625</v>
      </c>
      <c r="I563" s="22" t="s">
        <v>55</v>
      </c>
      <c r="J563" s="22" t="s">
        <v>296</v>
      </c>
      <c r="K563" s="22" t="s">
        <v>213</v>
      </c>
      <c r="L563" s="22">
        <v>5</v>
      </c>
      <c r="M563" s="22" t="s">
        <v>1652</v>
      </c>
      <c r="N563" s="22">
        <v>21</v>
      </c>
      <c r="O563" s="22">
        <v>0</v>
      </c>
      <c r="P563" s="22">
        <v>32</v>
      </c>
      <c r="Q563" s="22" t="s">
        <v>2626</v>
      </c>
      <c r="R563" s="22" t="s">
        <v>63</v>
      </c>
      <c r="S563" s="22" t="s">
        <v>230</v>
      </c>
      <c r="T563" s="22" t="s">
        <v>2015</v>
      </c>
      <c r="U563" s="24"/>
      <c r="V563" s="22"/>
      <c r="W563" s="22" t="s">
        <v>218</v>
      </c>
      <c r="X563" s="22" t="s">
        <v>218</v>
      </c>
      <c r="Y563" s="22" t="s">
        <v>135</v>
      </c>
      <c r="Z563" s="22" t="s">
        <v>118</v>
      </c>
      <c r="AA563" s="22">
        <v>45751</v>
      </c>
      <c r="AB563" s="22"/>
      <c r="AC563" s="22"/>
      <c r="AD563" s="22"/>
      <c r="AE563" s="22"/>
      <c r="AF563" s="22"/>
      <c r="AG563" s="22"/>
      <c r="AH563" s="22"/>
      <c r="AI563" s="22"/>
      <c r="AJ563" s="22"/>
      <c r="AK563" s="22"/>
      <c r="AL563" s="22"/>
      <c r="AM563" s="22"/>
      <c r="AN563" s="22"/>
      <c r="AO563" s="22"/>
      <c r="AP563" s="22"/>
      <c r="AQ563" s="22"/>
      <c r="AR563" s="22"/>
      <c r="AS563" s="25"/>
    </row>
    <row r="564" spans="1:45" s="1" customFormat="1">
      <c r="A564" s="22">
        <f t="shared" si="8"/>
        <v>563</v>
      </c>
      <c r="B564" s="23">
        <v>45751</v>
      </c>
      <c r="C564" s="22" t="s">
        <v>208</v>
      </c>
      <c r="D564" s="22" t="s">
        <v>1056</v>
      </c>
      <c r="E564" s="22">
        <v>20242803</v>
      </c>
      <c r="F564" s="22" t="s">
        <v>2627</v>
      </c>
      <c r="G564" s="22">
        <v>8103910507</v>
      </c>
      <c r="H564" s="22" t="s">
        <v>2628</v>
      </c>
      <c r="I564" s="22" t="s">
        <v>101</v>
      </c>
      <c r="J564" s="22" t="s">
        <v>212</v>
      </c>
      <c r="K564" s="22" t="s">
        <v>213</v>
      </c>
      <c r="L564" s="22">
        <v>3</v>
      </c>
      <c r="M564" s="22" t="s">
        <v>2629</v>
      </c>
      <c r="N564" s="22">
        <v>8</v>
      </c>
      <c r="O564" s="22">
        <v>0</v>
      </c>
      <c r="P564" s="22">
        <v>15</v>
      </c>
      <c r="Q564" s="22" t="s">
        <v>2630</v>
      </c>
      <c r="R564" s="22" t="s">
        <v>63</v>
      </c>
      <c r="S564" s="22" t="s">
        <v>230</v>
      </c>
      <c r="T564" s="22" t="s">
        <v>2015</v>
      </c>
      <c r="U564" s="24"/>
      <c r="V564" s="22"/>
      <c r="W564" s="22" t="s">
        <v>218</v>
      </c>
      <c r="X564" s="22" t="s">
        <v>218</v>
      </c>
      <c r="Y564" s="22" t="s">
        <v>135</v>
      </c>
      <c r="Z564" s="22" t="s">
        <v>118</v>
      </c>
      <c r="AA564" s="22">
        <v>45751</v>
      </c>
      <c r="AB564" s="22"/>
      <c r="AC564" s="22"/>
      <c r="AD564" s="22"/>
      <c r="AE564" s="22"/>
      <c r="AF564" s="22"/>
      <c r="AG564" s="22"/>
      <c r="AH564" s="22"/>
      <c r="AI564" s="22"/>
      <c r="AJ564" s="22"/>
      <c r="AK564" s="22"/>
      <c r="AL564" s="22"/>
      <c r="AM564" s="22"/>
      <c r="AN564" s="22"/>
      <c r="AO564" s="22"/>
      <c r="AP564" s="22"/>
      <c r="AQ564" s="22"/>
      <c r="AR564" s="22"/>
      <c r="AS564" s="25"/>
    </row>
    <row r="565" spans="1:45" s="1" customFormat="1">
      <c r="A565" s="22">
        <f t="shared" si="8"/>
        <v>564</v>
      </c>
      <c r="B565" s="23">
        <v>45751</v>
      </c>
      <c r="C565" s="22" t="s">
        <v>208</v>
      </c>
      <c r="D565" s="22" t="s">
        <v>1056</v>
      </c>
      <c r="E565" s="22">
        <v>20242803</v>
      </c>
      <c r="F565" s="22" t="s">
        <v>2631</v>
      </c>
      <c r="G565" s="22">
        <v>7058383199</v>
      </c>
      <c r="H565" s="22" t="s">
        <v>2632</v>
      </c>
      <c r="I565" s="22" t="s">
        <v>55</v>
      </c>
      <c r="J565" s="22" t="s">
        <v>212</v>
      </c>
      <c r="K565" s="22" t="s">
        <v>213</v>
      </c>
      <c r="L565" s="22">
        <v>3</v>
      </c>
      <c r="M565" s="22" t="s">
        <v>2633</v>
      </c>
      <c r="N565" s="22">
        <v>5</v>
      </c>
      <c r="O565" s="22">
        <v>0</v>
      </c>
      <c r="P565" s="22">
        <v>9</v>
      </c>
      <c r="Q565" s="22" t="s">
        <v>792</v>
      </c>
      <c r="R565" s="22" t="s">
        <v>63</v>
      </c>
      <c r="S565" s="22" t="s">
        <v>255</v>
      </c>
      <c r="T565" s="22" t="s">
        <v>2015</v>
      </c>
      <c r="U565" s="24"/>
      <c r="V565" s="22"/>
      <c r="W565" s="22" t="s">
        <v>218</v>
      </c>
      <c r="X565" s="22" t="s">
        <v>218</v>
      </c>
      <c r="Y565" s="22" t="s">
        <v>135</v>
      </c>
      <c r="Z565" s="22" t="s">
        <v>118</v>
      </c>
      <c r="AA565" s="22">
        <v>45751</v>
      </c>
      <c r="AB565" s="22"/>
      <c r="AC565" s="22"/>
      <c r="AD565" s="22"/>
      <c r="AE565" s="22"/>
      <c r="AF565" s="22"/>
      <c r="AG565" s="22"/>
      <c r="AH565" s="22"/>
      <c r="AI565" s="22"/>
      <c r="AJ565" s="22"/>
      <c r="AK565" s="22"/>
      <c r="AL565" s="22"/>
      <c r="AM565" s="22"/>
      <c r="AN565" s="22"/>
      <c r="AO565" s="22"/>
      <c r="AP565" s="22"/>
      <c r="AQ565" s="22"/>
      <c r="AR565" s="22"/>
      <c r="AS565" s="25"/>
    </row>
    <row r="566" spans="1:45" s="1" customFormat="1">
      <c r="A566" s="22">
        <f t="shared" si="8"/>
        <v>565</v>
      </c>
      <c r="B566" s="23">
        <v>45751</v>
      </c>
      <c r="C566" s="22" t="s">
        <v>208</v>
      </c>
      <c r="D566" s="22" t="s">
        <v>1056</v>
      </c>
      <c r="E566" s="22">
        <v>20242803</v>
      </c>
      <c r="F566" s="22" t="s">
        <v>2634</v>
      </c>
      <c r="G566" s="22">
        <v>8983557456</v>
      </c>
      <c r="H566" s="22" t="s">
        <v>605</v>
      </c>
      <c r="I566" s="22" t="s">
        <v>55</v>
      </c>
      <c r="J566" s="22" t="s">
        <v>212</v>
      </c>
      <c r="K566" s="22" t="s">
        <v>213</v>
      </c>
      <c r="L566" s="22">
        <v>3.4</v>
      </c>
      <c r="M566" s="22" t="s">
        <v>2635</v>
      </c>
      <c r="N566" s="22">
        <v>7</v>
      </c>
      <c r="O566" s="22">
        <v>0</v>
      </c>
      <c r="P566" s="22">
        <v>11</v>
      </c>
      <c r="Q566" s="22" t="s">
        <v>484</v>
      </c>
      <c r="R566" s="22" t="s">
        <v>63</v>
      </c>
      <c r="S566" s="22" t="s">
        <v>255</v>
      </c>
      <c r="T566" s="22" t="s">
        <v>2015</v>
      </c>
      <c r="U566" s="24"/>
      <c r="V566" s="22"/>
      <c r="W566" s="22" t="s">
        <v>218</v>
      </c>
      <c r="X566" s="22" t="s">
        <v>218</v>
      </c>
      <c r="Y566" s="22" t="s">
        <v>135</v>
      </c>
      <c r="Z566" s="22" t="s">
        <v>118</v>
      </c>
      <c r="AA566" s="22">
        <v>45751</v>
      </c>
      <c r="AB566" s="22"/>
      <c r="AC566" s="22"/>
      <c r="AD566" s="22"/>
      <c r="AE566" s="22"/>
      <c r="AF566" s="22"/>
      <c r="AG566" s="22"/>
      <c r="AH566" s="22"/>
      <c r="AI566" s="22"/>
      <c r="AJ566" s="22"/>
      <c r="AK566" s="22"/>
      <c r="AL566" s="22"/>
      <c r="AM566" s="22"/>
      <c r="AN566" s="22"/>
      <c r="AO566" s="22"/>
      <c r="AP566" s="22"/>
      <c r="AQ566" s="22"/>
      <c r="AR566" s="22"/>
      <c r="AS566" s="25"/>
    </row>
    <row r="567" spans="1:45" s="1" customFormat="1">
      <c r="A567" s="22">
        <f t="shared" si="8"/>
        <v>566</v>
      </c>
      <c r="B567" s="23">
        <v>45749</v>
      </c>
      <c r="C567" s="22" t="s">
        <v>208</v>
      </c>
      <c r="D567" s="22" t="s">
        <v>1056</v>
      </c>
      <c r="E567" s="22">
        <v>20253846</v>
      </c>
      <c r="F567" s="22" t="s">
        <v>2636</v>
      </c>
      <c r="G567" s="22">
        <v>8308607320</v>
      </c>
      <c r="H567" s="22" t="s">
        <v>2637</v>
      </c>
      <c r="I567" s="22" t="s">
        <v>55</v>
      </c>
      <c r="J567" s="22" t="s">
        <v>2638</v>
      </c>
      <c r="K567" s="22" t="s">
        <v>2639</v>
      </c>
      <c r="L567" s="22">
        <v>7</v>
      </c>
      <c r="M567" s="22" t="s">
        <v>683</v>
      </c>
      <c r="N567" s="22">
        <v>12.4</v>
      </c>
      <c r="O567" s="22">
        <v>0</v>
      </c>
      <c r="P567" s="22">
        <v>15</v>
      </c>
      <c r="Q567" s="22" t="s">
        <v>2640</v>
      </c>
      <c r="R567" s="22" t="s">
        <v>63</v>
      </c>
      <c r="S567" s="22" t="s">
        <v>230</v>
      </c>
      <c r="T567" s="22"/>
      <c r="U567" s="24"/>
      <c r="V567" s="22"/>
      <c r="W567" s="22" t="s">
        <v>218</v>
      </c>
      <c r="X567" s="22" t="s">
        <v>218</v>
      </c>
      <c r="Y567" s="22" t="s">
        <v>135</v>
      </c>
      <c r="Z567" s="22" t="s">
        <v>118</v>
      </c>
      <c r="AA567" s="22">
        <v>45749</v>
      </c>
      <c r="AB567" s="22"/>
      <c r="AC567" s="22"/>
      <c r="AD567" s="22"/>
      <c r="AE567" s="22"/>
      <c r="AF567" s="22"/>
      <c r="AG567" s="22"/>
      <c r="AH567" s="22"/>
      <c r="AI567" s="22"/>
      <c r="AJ567" s="22"/>
      <c r="AK567" s="22"/>
      <c r="AL567" s="22"/>
      <c r="AM567" s="22"/>
      <c r="AN567" s="22"/>
      <c r="AO567" s="22"/>
      <c r="AP567" s="22"/>
      <c r="AQ567" s="22"/>
      <c r="AR567" s="22"/>
      <c r="AS567" s="25"/>
    </row>
    <row r="568" spans="1:45" s="1" customFormat="1">
      <c r="A568" s="22">
        <f t="shared" si="8"/>
        <v>567</v>
      </c>
      <c r="B568" s="23">
        <v>45749</v>
      </c>
      <c r="C568" s="22" t="s">
        <v>208</v>
      </c>
      <c r="D568" s="22" t="s">
        <v>1056</v>
      </c>
      <c r="E568" s="22">
        <v>20253846</v>
      </c>
      <c r="F568" s="22" t="s">
        <v>2641</v>
      </c>
      <c r="G568" s="22">
        <v>9066065069</v>
      </c>
      <c r="H568" s="22" t="s">
        <v>2642</v>
      </c>
      <c r="I568" s="22" t="s">
        <v>101</v>
      </c>
      <c r="J568" s="22" t="s">
        <v>2638</v>
      </c>
      <c r="K568" s="22" t="s">
        <v>2639</v>
      </c>
      <c r="L568" s="22">
        <v>8</v>
      </c>
      <c r="M568" s="22" t="s">
        <v>2643</v>
      </c>
      <c r="N568" s="22">
        <v>10</v>
      </c>
      <c r="O568" s="22">
        <v>0</v>
      </c>
      <c r="P568" s="22">
        <v>14</v>
      </c>
      <c r="Q568" s="22" t="s">
        <v>802</v>
      </c>
      <c r="R568" s="22" t="s">
        <v>63</v>
      </c>
      <c r="S568" s="22" t="s">
        <v>255</v>
      </c>
      <c r="T568" s="22"/>
      <c r="U568" s="24"/>
      <c r="V568" s="22"/>
      <c r="W568" s="22" t="s">
        <v>218</v>
      </c>
      <c r="X568" s="22" t="s">
        <v>218</v>
      </c>
      <c r="Y568" s="22" t="s">
        <v>135</v>
      </c>
      <c r="Z568" s="22" t="s">
        <v>118</v>
      </c>
      <c r="AA568" s="22">
        <v>45749</v>
      </c>
      <c r="AB568" s="22"/>
      <c r="AC568" s="22"/>
      <c r="AD568" s="22"/>
      <c r="AE568" s="22"/>
      <c r="AF568" s="22"/>
      <c r="AG568" s="22"/>
      <c r="AH568" s="22"/>
      <c r="AI568" s="22"/>
      <c r="AJ568" s="22"/>
      <c r="AK568" s="22"/>
      <c r="AL568" s="22"/>
      <c r="AM568" s="22"/>
      <c r="AN568" s="22"/>
      <c r="AO568" s="22"/>
      <c r="AP568" s="22"/>
      <c r="AQ568" s="22"/>
      <c r="AR568" s="22"/>
      <c r="AS568" s="25"/>
    </row>
    <row r="569" spans="1:45" s="1" customFormat="1">
      <c r="A569" s="22">
        <f t="shared" si="8"/>
        <v>568</v>
      </c>
      <c r="B569" s="23">
        <v>45749</v>
      </c>
      <c r="C569" s="22" t="s">
        <v>208</v>
      </c>
      <c r="D569" s="22" t="s">
        <v>1056</v>
      </c>
      <c r="E569" s="22">
        <v>20253846</v>
      </c>
      <c r="F569" s="22" t="s">
        <v>2644</v>
      </c>
      <c r="G569" s="22">
        <v>9322808602</v>
      </c>
      <c r="H569" s="22" t="s">
        <v>2645</v>
      </c>
      <c r="I569" s="22" t="s">
        <v>55</v>
      </c>
      <c r="J569" s="22" t="s">
        <v>2638</v>
      </c>
      <c r="K569" s="22" t="s">
        <v>2639</v>
      </c>
      <c r="L569" s="22">
        <v>3</v>
      </c>
      <c r="M569" s="22" t="s">
        <v>2646</v>
      </c>
      <c r="N569" s="22">
        <v>7</v>
      </c>
      <c r="O569" s="22" t="s">
        <v>61</v>
      </c>
      <c r="P569" s="22">
        <v>0.35</v>
      </c>
      <c r="Q569" s="22" t="s">
        <v>2647</v>
      </c>
      <c r="R569" s="22" t="s">
        <v>63</v>
      </c>
      <c r="S569" s="22" t="s">
        <v>255</v>
      </c>
      <c r="T569" s="22"/>
      <c r="U569" s="24"/>
      <c r="V569" s="22"/>
      <c r="W569" s="22" t="s">
        <v>218</v>
      </c>
      <c r="X569" s="22" t="s">
        <v>218</v>
      </c>
      <c r="Y569" s="22" t="s">
        <v>135</v>
      </c>
      <c r="Z569" s="22" t="s">
        <v>118</v>
      </c>
      <c r="AA569" s="22">
        <v>45749</v>
      </c>
      <c r="AB569" s="22"/>
      <c r="AC569" s="22"/>
      <c r="AD569" s="22"/>
      <c r="AE569" s="22"/>
      <c r="AF569" s="22"/>
      <c r="AG569" s="22"/>
      <c r="AH569" s="22"/>
      <c r="AI569" s="22"/>
      <c r="AJ569" s="22"/>
      <c r="AK569" s="22"/>
      <c r="AL569" s="22"/>
      <c r="AM569" s="22"/>
      <c r="AN569" s="22"/>
      <c r="AO569" s="22"/>
      <c r="AP569" s="22"/>
      <c r="AQ569" s="22"/>
      <c r="AR569" s="22"/>
      <c r="AS569" s="25"/>
    </row>
    <row r="570" spans="1:45" s="1" customFormat="1">
      <c r="A570" s="22">
        <f t="shared" si="8"/>
        <v>569</v>
      </c>
      <c r="B570" s="23">
        <v>45750</v>
      </c>
      <c r="C570" s="22" t="s">
        <v>208</v>
      </c>
      <c r="D570" s="22" t="s">
        <v>256</v>
      </c>
      <c r="E570" s="22">
        <v>20243902</v>
      </c>
      <c r="F570" s="22" t="s">
        <v>2648</v>
      </c>
      <c r="G570" s="22">
        <v>9637764488</v>
      </c>
      <c r="H570" s="22" t="s">
        <v>2649</v>
      </c>
      <c r="I570" s="22" t="s">
        <v>55</v>
      </c>
      <c r="J570" s="22" t="s">
        <v>1299</v>
      </c>
      <c r="K570" s="22" t="s">
        <v>563</v>
      </c>
      <c r="L570" s="22">
        <v>4</v>
      </c>
      <c r="M570" s="22" t="s">
        <v>61</v>
      </c>
      <c r="N570" s="22">
        <v>5</v>
      </c>
      <c r="O570" s="22"/>
      <c r="P570" s="22">
        <v>8</v>
      </c>
      <c r="Q570" s="22" t="s">
        <v>2650</v>
      </c>
      <c r="R570" s="22" t="s">
        <v>63</v>
      </c>
      <c r="S570" s="22" t="s">
        <v>230</v>
      </c>
      <c r="T570" s="22"/>
      <c r="U570" s="24"/>
      <c r="V570" s="22"/>
      <c r="W570" s="22" t="s">
        <v>218</v>
      </c>
      <c r="X570" s="22" t="s">
        <v>218</v>
      </c>
      <c r="Y570" s="22" t="s">
        <v>135</v>
      </c>
      <c r="Z570" s="22" t="s">
        <v>66</v>
      </c>
      <c r="AA570" s="22">
        <v>45726</v>
      </c>
      <c r="AB570" s="22">
        <v>45755</v>
      </c>
      <c r="AC570" s="22"/>
      <c r="AD570" s="22"/>
      <c r="AE570" s="22"/>
      <c r="AF570" s="22"/>
      <c r="AG570" s="22"/>
      <c r="AH570" s="22"/>
      <c r="AI570" s="22"/>
      <c r="AJ570" s="22"/>
      <c r="AK570" s="22"/>
      <c r="AL570" s="22"/>
      <c r="AM570" s="22"/>
      <c r="AN570" s="22"/>
      <c r="AO570" s="22"/>
      <c r="AP570" s="22"/>
      <c r="AQ570" s="22"/>
      <c r="AR570" s="22"/>
      <c r="AS570" s="25"/>
    </row>
    <row r="571" spans="1:45" s="1" customFormat="1">
      <c r="A571" s="22">
        <f t="shared" si="8"/>
        <v>570</v>
      </c>
      <c r="B571" s="23">
        <v>45750</v>
      </c>
      <c r="C571" s="22" t="s">
        <v>208</v>
      </c>
      <c r="D571" s="22" t="s">
        <v>256</v>
      </c>
      <c r="E571" s="22">
        <v>20243902</v>
      </c>
      <c r="F571" s="22" t="s">
        <v>2332</v>
      </c>
      <c r="G571" s="22" t="s">
        <v>2333</v>
      </c>
      <c r="H571" s="22" t="s">
        <v>2334</v>
      </c>
      <c r="I571" s="22" t="s">
        <v>101</v>
      </c>
      <c r="J571" s="22" t="s">
        <v>1299</v>
      </c>
      <c r="K571" s="22" t="s">
        <v>563</v>
      </c>
      <c r="L571" s="22">
        <v>6</v>
      </c>
      <c r="M571" s="22">
        <v>0</v>
      </c>
      <c r="N571" s="22">
        <v>6.3</v>
      </c>
      <c r="O571" s="22">
        <v>0</v>
      </c>
      <c r="P571" s="22">
        <v>9</v>
      </c>
      <c r="Q571" s="22" t="s">
        <v>2143</v>
      </c>
      <c r="R571" s="22" t="s">
        <v>63</v>
      </c>
      <c r="S571" s="22" t="s">
        <v>255</v>
      </c>
      <c r="T571" s="22"/>
      <c r="U571" s="24"/>
      <c r="V571" s="22"/>
      <c r="W571" s="22" t="s">
        <v>218</v>
      </c>
      <c r="X571" s="22" t="s">
        <v>218</v>
      </c>
      <c r="Y571" s="22" t="s">
        <v>135</v>
      </c>
      <c r="Z571" s="22" t="s">
        <v>66</v>
      </c>
      <c r="AA571" s="22">
        <v>45726</v>
      </c>
      <c r="AB571" s="22">
        <v>45754</v>
      </c>
      <c r="AC571" s="22"/>
      <c r="AD571" s="22"/>
      <c r="AE571" s="22"/>
      <c r="AF571" s="22"/>
      <c r="AG571" s="22"/>
      <c r="AH571" s="22"/>
      <c r="AI571" s="22"/>
      <c r="AJ571" s="22"/>
      <c r="AK571" s="22"/>
      <c r="AL571" s="22"/>
      <c r="AM571" s="22"/>
      <c r="AN571" s="22"/>
      <c r="AO571" s="22"/>
      <c r="AP571" s="22"/>
      <c r="AQ571" s="22"/>
      <c r="AR571" s="22"/>
      <c r="AS571" s="25"/>
    </row>
    <row r="572" spans="1:45" s="1" customFormat="1">
      <c r="A572" s="22">
        <f t="shared" si="8"/>
        <v>571</v>
      </c>
      <c r="B572" s="23">
        <v>45748</v>
      </c>
      <c r="C572" s="22" t="s">
        <v>2596</v>
      </c>
      <c r="D572" s="22" t="s">
        <v>2651</v>
      </c>
      <c r="E572" s="22">
        <v>20249197</v>
      </c>
      <c r="F572" s="22" t="s">
        <v>2651</v>
      </c>
      <c r="G572" s="22">
        <v>7387317308</v>
      </c>
      <c r="H572" s="22" t="s">
        <v>2652</v>
      </c>
      <c r="I572" s="22" t="s">
        <v>55</v>
      </c>
      <c r="J572" s="22" t="s">
        <v>2596</v>
      </c>
      <c r="K572" s="22" t="s">
        <v>2653</v>
      </c>
      <c r="L572" s="22"/>
      <c r="M572" s="22" t="s">
        <v>2654</v>
      </c>
      <c r="N572" s="22" t="s">
        <v>2655</v>
      </c>
      <c r="O572" s="22"/>
      <c r="P572" s="22" t="s">
        <v>2656</v>
      </c>
      <c r="Q572" s="22" t="s">
        <v>63</v>
      </c>
      <c r="R572" s="22" t="s">
        <v>63</v>
      </c>
      <c r="S572" s="22" t="s">
        <v>2657</v>
      </c>
      <c r="T572" s="22"/>
      <c r="U572" s="24"/>
      <c r="V572" s="22"/>
      <c r="W572" s="22" t="s">
        <v>2408</v>
      </c>
      <c r="X572" s="22" t="s">
        <v>2408</v>
      </c>
      <c r="Y572" s="22" t="s">
        <v>135</v>
      </c>
      <c r="Z572" s="22" t="s">
        <v>2658</v>
      </c>
      <c r="AA572" s="22"/>
      <c r="AB572" s="22"/>
      <c r="AC572" s="22"/>
      <c r="AD572" s="22"/>
      <c r="AE572" s="22"/>
      <c r="AF572" s="22"/>
      <c r="AG572" s="22"/>
      <c r="AH572" s="22"/>
      <c r="AI572" s="22"/>
      <c r="AJ572" s="22"/>
      <c r="AK572" s="22"/>
      <c r="AL572" s="22"/>
      <c r="AM572" s="22"/>
      <c r="AN572" s="22"/>
      <c r="AO572" s="22"/>
      <c r="AP572" s="22"/>
      <c r="AQ572" s="22"/>
      <c r="AR572" s="22"/>
      <c r="AS572" s="25"/>
    </row>
    <row r="573" spans="1:45" s="1" customFormat="1">
      <c r="A573" s="22">
        <f t="shared" si="8"/>
        <v>572</v>
      </c>
      <c r="B573" s="23">
        <v>45748</v>
      </c>
      <c r="C573" s="22" t="s">
        <v>2596</v>
      </c>
      <c r="D573" s="22" t="s">
        <v>2659</v>
      </c>
      <c r="E573" s="22">
        <v>20249197</v>
      </c>
      <c r="F573" s="22" t="s">
        <v>2659</v>
      </c>
      <c r="G573" s="22" t="s">
        <v>2660</v>
      </c>
      <c r="H573" s="22" t="s">
        <v>2661</v>
      </c>
      <c r="I573" s="22" t="s">
        <v>55</v>
      </c>
      <c r="J573" s="22" t="s">
        <v>2596</v>
      </c>
      <c r="K573" s="22" t="s">
        <v>2653</v>
      </c>
      <c r="L573" s="22"/>
      <c r="M573" s="22" t="s">
        <v>2602</v>
      </c>
      <c r="N573" s="22" t="s">
        <v>2599</v>
      </c>
      <c r="O573" s="22"/>
      <c r="P573" s="22" t="s">
        <v>2486</v>
      </c>
      <c r="Q573" s="22" t="s">
        <v>63</v>
      </c>
      <c r="R573" s="22" t="s">
        <v>63</v>
      </c>
      <c r="S573" s="22" t="s">
        <v>2657</v>
      </c>
      <c r="T573" s="22"/>
      <c r="U573" s="24"/>
      <c r="V573" s="22"/>
      <c r="W573" s="22" t="s">
        <v>2408</v>
      </c>
      <c r="X573" s="22" t="s">
        <v>2408</v>
      </c>
      <c r="Y573" s="22" t="s">
        <v>135</v>
      </c>
      <c r="Z573" s="22" t="s">
        <v>2658</v>
      </c>
      <c r="AA573" s="22"/>
      <c r="AB573" s="22"/>
      <c r="AC573" s="22"/>
      <c r="AD573" s="22"/>
      <c r="AE573" s="22"/>
      <c r="AF573" s="22"/>
      <c r="AG573" s="22"/>
      <c r="AH573" s="22"/>
      <c r="AI573" s="22"/>
      <c r="AJ573" s="22"/>
      <c r="AK573" s="22"/>
      <c r="AL573" s="22"/>
      <c r="AM573" s="22"/>
      <c r="AN573" s="22"/>
      <c r="AO573" s="22"/>
      <c r="AP573" s="22"/>
      <c r="AQ573" s="22"/>
      <c r="AR573" s="22"/>
      <c r="AS573" s="25"/>
    </row>
    <row r="574" spans="1:45" s="1" customFormat="1">
      <c r="A574" s="22">
        <f t="shared" si="8"/>
        <v>573</v>
      </c>
      <c r="B574" s="23">
        <v>45748</v>
      </c>
      <c r="C574" s="22" t="s">
        <v>2596</v>
      </c>
      <c r="D574" s="22" t="s">
        <v>2662</v>
      </c>
      <c r="E574" s="22">
        <v>20249197</v>
      </c>
      <c r="F574" s="22" t="s">
        <v>2662</v>
      </c>
      <c r="G574" s="22" t="s">
        <v>2663</v>
      </c>
      <c r="H574" s="22" t="s">
        <v>2664</v>
      </c>
      <c r="I574" s="22" t="s">
        <v>55</v>
      </c>
      <c r="J574" s="22" t="s">
        <v>2596</v>
      </c>
      <c r="K574" s="22" t="s">
        <v>2653</v>
      </c>
      <c r="L574" s="22"/>
      <c r="M574" s="22" t="s">
        <v>2665</v>
      </c>
      <c r="N574" s="22" t="s">
        <v>2656</v>
      </c>
      <c r="O574" s="22"/>
      <c r="P574" s="22" t="s">
        <v>2576</v>
      </c>
      <c r="Q574" s="22" t="s">
        <v>63</v>
      </c>
      <c r="R574" s="22" t="s">
        <v>63</v>
      </c>
      <c r="S574" s="22" t="s">
        <v>2657</v>
      </c>
      <c r="T574" s="22"/>
      <c r="U574" s="24"/>
      <c r="V574" s="22"/>
      <c r="W574" s="22" t="s">
        <v>2408</v>
      </c>
      <c r="X574" s="22" t="s">
        <v>2408</v>
      </c>
      <c r="Y574" s="22" t="s">
        <v>135</v>
      </c>
      <c r="Z574" s="22" t="s">
        <v>2658</v>
      </c>
      <c r="AA574" s="22"/>
      <c r="AB574" s="22"/>
      <c r="AC574" s="22"/>
      <c r="AD574" s="22"/>
      <c r="AE574" s="22"/>
      <c r="AF574" s="22"/>
      <c r="AG574" s="22"/>
      <c r="AH574" s="22"/>
      <c r="AI574" s="22"/>
      <c r="AJ574" s="22"/>
      <c r="AK574" s="22"/>
      <c r="AL574" s="22"/>
      <c r="AM574" s="22"/>
      <c r="AN574" s="22"/>
      <c r="AO574" s="22"/>
      <c r="AP574" s="22"/>
      <c r="AQ574" s="22"/>
      <c r="AR574" s="22"/>
      <c r="AS574" s="25"/>
    </row>
    <row r="575" spans="1:45" s="1" customFormat="1">
      <c r="A575" s="41">
        <f t="shared" si="8"/>
        <v>574</v>
      </c>
      <c r="B575" s="42">
        <v>45748</v>
      </c>
      <c r="C575" s="41" t="s">
        <v>2596</v>
      </c>
      <c r="D575" s="41" t="s">
        <v>2666</v>
      </c>
      <c r="E575" s="41">
        <v>20249197</v>
      </c>
      <c r="F575" s="41" t="s">
        <v>2666</v>
      </c>
      <c r="G575" s="41">
        <v>8888906366</v>
      </c>
      <c r="H575" s="41" t="s">
        <v>2667</v>
      </c>
      <c r="I575" s="41" t="s">
        <v>55</v>
      </c>
      <c r="J575" s="41" t="s">
        <v>2596</v>
      </c>
      <c r="K575" s="41" t="s">
        <v>2653</v>
      </c>
      <c r="L575" s="41"/>
      <c r="M575" s="41" t="s">
        <v>2668</v>
      </c>
      <c r="N575" s="41" t="s">
        <v>2669</v>
      </c>
      <c r="O575" s="41"/>
      <c r="P575" s="41" t="s">
        <v>2656</v>
      </c>
      <c r="Q575" s="41" t="s">
        <v>63</v>
      </c>
      <c r="R575" s="41" t="s">
        <v>63</v>
      </c>
      <c r="S575" s="41" t="s">
        <v>2670</v>
      </c>
      <c r="T575" s="41"/>
      <c r="U575" s="49"/>
      <c r="V575" s="41"/>
      <c r="W575" s="41" t="s">
        <v>2408</v>
      </c>
      <c r="X575" s="41" t="s">
        <v>2408</v>
      </c>
      <c r="Y575" s="41" t="s">
        <v>135</v>
      </c>
      <c r="Z575" s="41" t="s">
        <v>2658</v>
      </c>
      <c r="AA575" s="41"/>
      <c r="AB575" s="41"/>
      <c r="AC575" s="41"/>
      <c r="AD575" s="41"/>
      <c r="AE575" s="41"/>
      <c r="AF575" s="41"/>
      <c r="AG575" s="41"/>
      <c r="AH575" s="41"/>
      <c r="AI575" s="41"/>
      <c r="AJ575" s="41"/>
      <c r="AK575" s="41"/>
      <c r="AL575" s="41"/>
      <c r="AM575" s="41"/>
      <c r="AN575" s="41"/>
      <c r="AO575" s="41"/>
      <c r="AP575" s="41"/>
      <c r="AQ575" s="41"/>
      <c r="AR575" s="41"/>
      <c r="AS575" s="43"/>
    </row>
    <row r="576" spans="1:45">
      <c r="A576" s="48">
        <f t="shared" si="8"/>
        <v>575</v>
      </c>
      <c r="B576" s="54">
        <v>45811</v>
      </c>
      <c r="C576" s="48" t="s">
        <v>2671</v>
      </c>
      <c r="D576" s="48" t="s">
        <v>2671</v>
      </c>
      <c r="E576" s="48" t="s">
        <v>61</v>
      </c>
      <c r="F576" s="48" t="s">
        <v>2672</v>
      </c>
      <c r="G576" s="48">
        <v>95458895774</v>
      </c>
      <c r="H576" s="48" t="s">
        <v>2673</v>
      </c>
      <c r="J576" s="48" t="s">
        <v>2674</v>
      </c>
      <c r="L576" s="48" t="s">
        <v>2675</v>
      </c>
      <c r="M576" s="48" t="s">
        <v>2676</v>
      </c>
      <c r="N576" s="48" t="s">
        <v>2677</v>
      </c>
      <c r="P576" s="48" t="s">
        <v>2603</v>
      </c>
      <c r="Q576" s="48" t="s">
        <v>63</v>
      </c>
      <c r="R576" s="48" t="s">
        <v>63</v>
      </c>
      <c r="S576" s="48" t="s">
        <v>2678</v>
      </c>
      <c r="U576" s="55"/>
      <c r="W576" s="48" t="s">
        <v>2679</v>
      </c>
      <c r="X576" s="48" t="s">
        <v>2679</v>
      </c>
    </row>
    <row r="577" spans="1:24">
      <c r="A577" s="48">
        <f t="shared" si="8"/>
        <v>576</v>
      </c>
      <c r="B577" s="54">
        <v>45811</v>
      </c>
      <c r="C577" s="48" t="s">
        <v>2680</v>
      </c>
      <c r="D577" s="48" t="s">
        <v>2680</v>
      </c>
      <c r="E577" s="48" t="s">
        <v>61</v>
      </c>
      <c r="F577" s="48" t="s">
        <v>2681</v>
      </c>
      <c r="G577" s="48">
        <v>8709196607</v>
      </c>
      <c r="H577" s="48" t="s">
        <v>2682</v>
      </c>
      <c r="J577" s="48" t="s">
        <v>2674</v>
      </c>
      <c r="L577" s="48" t="s">
        <v>2683</v>
      </c>
      <c r="M577" s="48" t="s">
        <v>2684</v>
      </c>
      <c r="N577" s="48" t="s">
        <v>2447</v>
      </c>
      <c r="P577" s="48" t="s">
        <v>2603</v>
      </c>
      <c r="Q577" s="48" t="s">
        <v>459</v>
      </c>
      <c r="R577" s="48" t="s">
        <v>63</v>
      </c>
      <c r="S577" s="48" t="s">
        <v>2685</v>
      </c>
      <c r="U577" s="55"/>
      <c r="W577" s="48" t="s">
        <v>2679</v>
      </c>
      <c r="X577" s="48" t="s">
        <v>2679</v>
      </c>
    </row>
    <row r="578" spans="1:24">
      <c r="A578" s="48">
        <f t="shared" si="8"/>
        <v>577</v>
      </c>
      <c r="B578" s="54">
        <v>45811</v>
      </c>
      <c r="C578" s="48" t="s">
        <v>2686</v>
      </c>
      <c r="D578" s="48" t="s">
        <v>2686</v>
      </c>
      <c r="E578" s="48" t="s">
        <v>61</v>
      </c>
      <c r="F578" s="48" t="s">
        <v>2687</v>
      </c>
      <c r="G578" s="48">
        <v>9346646415</v>
      </c>
      <c r="H578" s="48" t="s">
        <v>2688</v>
      </c>
      <c r="J578" s="48" t="s">
        <v>2674</v>
      </c>
      <c r="L578" s="48" t="s">
        <v>2689</v>
      </c>
      <c r="M578" s="48" t="s">
        <v>2690</v>
      </c>
      <c r="N578" s="48" t="s">
        <v>2441</v>
      </c>
      <c r="P578" s="48" t="s">
        <v>2603</v>
      </c>
      <c r="Q578" s="48" t="s">
        <v>846</v>
      </c>
      <c r="R578" s="48" t="s">
        <v>63</v>
      </c>
      <c r="S578" s="48" t="s">
        <v>2691</v>
      </c>
      <c r="U578" s="55"/>
      <c r="W578" s="48" t="s">
        <v>2679</v>
      </c>
      <c r="X578" s="48" t="s">
        <v>2679</v>
      </c>
    </row>
    <row r="579" spans="1:24">
      <c r="A579" s="48">
        <f t="shared" ref="A579:A642" si="9">A578+1</f>
        <v>578</v>
      </c>
      <c r="B579" s="54">
        <v>45811</v>
      </c>
      <c r="C579" s="48" t="s">
        <v>2692</v>
      </c>
      <c r="D579" s="48" t="s">
        <v>2692</v>
      </c>
      <c r="E579" s="48" t="s">
        <v>61</v>
      </c>
      <c r="F579" s="48" t="s">
        <v>2693</v>
      </c>
      <c r="G579" s="48">
        <v>7022959251</v>
      </c>
      <c r="H579" s="48" t="s">
        <v>2694</v>
      </c>
      <c r="J579" s="48" t="s">
        <v>2674</v>
      </c>
      <c r="L579" s="48" t="s">
        <v>2683</v>
      </c>
      <c r="M579" s="48" t="s">
        <v>505</v>
      </c>
      <c r="N579" s="48" t="s">
        <v>2695</v>
      </c>
      <c r="P579" s="48" t="s">
        <v>2603</v>
      </c>
      <c r="Q579" s="48" t="s">
        <v>2696</v>
      </c>
      <c r="R579" s="48" t="s">
        <v>63</v>
      </c>
      <c r="S579" s="48" t="s">
        <v>2697</v>
      </c>
      <c r="U579" s="55"/>
      <c r="W579" s="48" t="s">
        <v>2679</v>
      </c>
      <c r="X579" s="48" t="s">
        <v>2679</v>
      </c>
    </row>
    <row r="580" spans="1:24">
      <c r="A580" s="48">
        <f t="shared" si="9"/>
        <v>579</v>
      </c>
      <c r="B580" s="54">
        <v>45811</v>
      </c>
      <c r="C580" s="48" t="s">
        <v>2692</v>
      </c>
      <c r="D580" s="48" t="s">
        <v>2692</v>
      </c>
      <c r="E580" s="48" t="s">
        <v>61</v>
      </c>
      <c r="F580" s="48" t="s">
        <v>2698</v>
      </c>
      <c r="G580" s="48">
        <v>7767080117</v>
      </c>
      <c r="H580" s="48" t="s">
        <v>2699</v>
      </c>
      <c r="J580" s="48" t="s">
        <v>2674</v>
      </c>
      <c r="L580" s="48" t="s">
        <v>2683</v>
      </c>
      <c r="M580" s="48" t="s">
        <v>2700</v>
      </c>
      <c r="N580" s="48" t="s">
        <v>2701</v>
      </c>
      <c r="P580" s="48" t="s">
        <v>2452</v>
      </c>
      <c r="Q580" s="48" t="s">
        <v>63</v>
      </c>
      <c r="R580" s="48" t="s">
        <v>63</v>
      </c>
      <c r="S580" s="48" t="s">
        <v>2702</v>
      </c>
      <c r="U580" s="55"/>
      <c r="W580" s="48" t="s">
        <v>2679</v>
      </c>
      <c r="X580" s="48" t="s">
        <v>2679</v>
      </c>
    </row>
    <row r="581" spans="1:24">
      <c r="A581" s="48">
        <f t="shared" si="9"/>
        <v>580</v>
      </c>
      <c r="B581" s="54">
        <v>45811</v>
      </c>
      <c r="C581" s="48" t="s">
        <v>2692</v>
      </c>
      <c r="D581" s="48" t="s">
        <v>2692</v>
      </c>
      <c r="E581" s="48" t="s">
        <v>61</v>
      </c>
      <c r="F581" s="48" t="s">
        <v>2703</v>
      </c>
      <c r="G581" s="48">
        <v>7798656584</v>
      </c>
      <c r="H581" s="48" t="s">
        <v>2704</v>
      </c>
      <c r="J581" s="48" t="s">
        <v>2674</v>
      </c>
      <c r="L581" s="48" t="s">
        <v>2683</v>
      </c>
      <c r="M581" s="48" t="s">
        <v>2705</v>
      </c>
      <c r="N581" s="48" t="s">
        <v>2706</v>
      </c>
      <c r="P581" s="48" t="s">
        <v>2707</v>
      </c>
      <c r="Q581" s="48" t="s">
        <v>63</v>
      </c>
      <c r="R581" s="48" t="s">
        <v>63</v>
      </c>
      <c r="S581" s="48" t="s">
        <v>2708</v>
      </c>
      <c r="U581" s="55"/>
      <c r="W581" s="48" t="s">
        <v>2679</v>
      </c>
      <c r="X581" s="48" t="s">
        <v>2679</v>
      </c>
    </row>
    <row r="582" spans="1:24">
      <c r="A582" s="48">
        <f t="shared" si="9"/>
        <v>581</v>
      </c>
      <c r="B582" s="54">
        <v>45811</v>
      </c>
      <c r="C582" s="48" t="s">
        <v>2692</v>
      </c>
      <c r="D582" s="48" t="s">
        <v>2692</v>
      </c>
      <c r="E582" s="48" t="s">
        <v>61</v>
      </c>
      <c r="F582" s="48" t="s">
        <v>2709</v>
      </c>
      <c r="G582" s="48">
        <v>9172827183</v>
      </c>
      <c r="H582" s="48" t="s">
        <v>2710</v>
      </c>
      <c r="J582" s="48" t="s">
        <v>2711</v>
      </c>
      <c r="L582" s="48" t="s">
        <v>2712</v>
      </c>
      <c r="M582" s="48" t="s">
        <v>2713</v>
      </c>
      <c r="N582" s="48" t="s">
        <v>2714</v>
      </c>
      <c r="P582" s="48" t="s">
        <v>2715</v>
      </c>
      <c r="Q582" s="48" t="s">
        <v>63</v>
      </c>
      <c r="R582" s="48" t="s">
        <v>63</v>
      </c>
      <c r="S582" s="48" t="s">
        <v>2697</v>
      </c>
      <c r="U582" s="55"/>
      <c r="W582" s="48" t="s">
        <v>2679</v>
      </c>
      <c r="X582" s="48" t="s">
        <v>2679</v>
      </c>
    </row>
    <row r="583" spans="1:24">
      <c r="A583" s="48">
        <f t="shared" si="9"/>
        <v>582</v>
      </c>
      <c r="B583" s="54">
        <v>45811</v>
      </c>
      <c r="C583" s="48" t="s">
        <v>2692</v>
      </c>
      <c r="D583" s="48" t="s">
        <v>2692</v>
      </c>
      <c r="E583" s="48" t="s">
        <v>61</v>
      </c>
      <c r="F583" s="48" t="s">
        <v>2716</v>
      </c>
      <c r="G583" s="48">
        <v>9969831451</v>
      </c>
      <c r="H583" s="48" t="s">
        <v>2717</v>
      </c>
      <c r="J583" s="48" t="s">
        <v>2711</v>
      </c>
      <c r="L583" s="48" t="s">
        <v>2718</v>
      </c>
      <c r="M583" s="48" t="s">
        <v>2719</v>
      </c>
      <c r="N583" s="48" t="s">
        <v>2720</v>
      </c>
      <c r="P583" s="48" t="s">
        <v>2486</v>
      </c>
      <c r="Q583" s="48" t="s">
        <v>63</v>
      </c>
      <c r="R583" s="48" t="s">
        <v>63</v>
      </c>
      <c r="S583" s="48" t="s">
        <v>2721</v>
      </c>
      <c r="U583" s="55"/>
      <c r="W583" s="48" t="s">
        <v>2679</v>
      </c>
      <c r="X583" s="48" t="s">
        <v>2679</v>
      </c>
    </row>
    <row r="584" spans="1:24">
      <c r="A584" s="48">
        <f t="shared" si="9"/>
        <v>583</v>
      </c>
      <c r="B584" s="54">
        <v>45822</v>
      </c>
      <c r="C584" s="48" t="s">
        <v>2692</v>
      </c>
      <c r="D584" s="48" t="s">
        <v>2692</v>
      </c>
      <c r="E584" s="48" t="s">
        <v>61</v>
      </c>
      <c r="F584" s="48" t="s">
        <v>2722</v>
      </c>
      <c r="G584" s="48" t="s">
        <v>2723</v>
      </c>
      <c r="H584" s="48" t="s">
        <v>2724</v>
      </c>
      <c r="J584" s="48" t="s">
        <v>2674</v>
      </c>
      <c r="L584" s="48" t="s">
        <v>2725</v>
      </c>
      <c r="M584" s="48" t="s">
        <v>2726</v>
      </c>
      <c r="N584" s="48" t="s">
        <v>2727</v>
      </c>
      <c r="P584" s="48" t="s">
        <v>2728</v>
      </c>
      <c r="Q584" s="48" t="s">
        <v>63</v>
      </c>
      <c r="R584" s="48" t="s">
        <v>63</v>
      </c>
      <c r="S584" s="48" t="s">
        <v>2729</v>
      </c>
      <c r="U584" s="55"/>
      <c r="W584" s="48" t="s">
        <v>2679</v>
      </c>
      <c r="X584" s="48" t="s">
        <v>2679</v>
      </c>
    </row>
    <row r="585" spans="1:24">
      <c r="A585" s="48">
        <f t="shared" si="9"/>
        <v>584</v>
      </c>
      <c r="B585" s="54">
        <v>45822</v>
      </c>
      <c r="C585" s="48" t="s">
        <v>2730</v>
      </c>
      <c r="D585" s="48" t="s">
        <v>2730</v>
      </c>
      <c r="E585" s="48" t="s">
        <v>61</v>
      </c>
      <c r="F585" s="48" t="s">
        <v>2731</v>
      </c>
      <c r="G585" s="48" t="s">
        <v>2732</v>
      </c>
      <c r="H585" s="48" t="s">
        <v>2733</v>
      </c>
      <c r="J585" s="48" t="s">
        <v>2674</v>
      </c>
      <c r="L585" s="48" t="s">
        <v>2734</v>
      </c>
      <c r="M585" s="48" t="s">
        <v>2735</v>
      </c>
      <c r="N585" s="48" t="s">
        <v>2736</v>
      </c>
      <c r="P585" s="48" t="s">
        <v>2737</v>
      </c>
      <c r="Q585" s="48" t="s">
        <v>63</v>
      </c>
      <c r="R585" s="48" t="s">
        <v>63</v>
      </c>
      <c r="S585" s="48" t="s">
        <v>2738</v>
      </c>
      <c r="U585" s="55"/>
      <c r="W585" s="48" t="s">
        <v>2679</v>
      </c>
      <c r="X585" s="48" t="s">
        <v>2679</v>
      </c>
    </row>
    <row r="586" spans="1:24">
      <c r="A586" s="48">
        <f t="shared" si="9"/>
        <v>585</v>
      </c>
      <c r="B586" s="54">
        <v>45822</v>
      </c>
      <c r="C586" s="48" t="s">
        <v>209</v>
      </c>
      <c r="D586" s="48" t="s">
        <v>209</v>
      </c>
      <c r="E586" s="48" t="s">
        <v>61</v>
      </c>
      <c r="F586" s="48" t="s">
        <v>2739</v>
      </c>
      <c r="G586" s="48">
        <v>7249643905</v>
      </c>
      <c r="H586" s="48" t="s">
        <v>2740</v>
      </c>
      <c r="J586" s="48" t="s">
        <v>2674</v>
      </c>
      <c r="L586" s="48" t="s">
        <v>2741</v>
      </c>
      <c r="M586" s="48" t="s">
        <v>2742</v>
      </c>
      <c r="N586" s="48" t="s">
        <v>2743</v>
      </c>
      <c r="P586" s="48" t="s">
        <v>2441</v>
      </c>
      <c r="Q586" s="48" t="s">
        <v>63</v>
      </c>
      <c r="R586" s="48" t="s">
        <v>63</v>
      </c>
      <c r="S586" s="48" t="s">
        <v>2744</v>
      </c>
      <c r="U586" s="55"/>
      <c r="W586" s="48" t="s">
        <v>2679</v>
      </c>
      <c r="X586" s="48" t="s">
        <v>2679</v>
      </c>
    </row>
    <row r="587" spans="1:24">
      <c r="A587" s="48">
        <f t="shared" si="9"/>
        <v>586</v>
      </c>
      <c r="B587" s="54">
        <v>45822</v>
      </c>
      <c r="C587" s="48" t="s">
        <v>209</v>
      </c>
      <c r="D587" s="48" t="s">
        <v>209</v>
      </c>
      <c r="E587" s="48" t="s">
        <v>61</v>
      </c>
      <c r="F587" s="48" t="s">
        <v>2745</v>
      </c>
      <c r="G587" s="48">
        <v>9075015555</v>
      </c>
      <c r="H587" s="48" t="s">
        <v>2746</v>
      </c>
      <c r="J587" s="48" t="s">
        <v>2674</v>
      </c>
      <c r="L587" s="48" t="s">
        <v>2747</v>
      </c>
      <c r="M587" s="48" t="s">
        <v>2748</v>
      </c>
      <c r="N587" s="48" t="s">
        <v>2749</v>
      </c>
      <c r="P587" s="48" t="s">
        <v>2707</v>
      </c>
      <c r="Q587" s="48" t="s">
        <v>63</v>
      </c>
      <c r="R587" s="48" t="s">
        <v>63</v>
      </c>
      <c r="S587" s="48" t="s">
        <v>2702</v>
      </c>
      <c r="U587" s="55"/>
      <c r="W587" s="48" t="s">
        <v>2679</v>
      </c>
      <c r="X587" s="48" t="s">
        <v>2679</v>
      </c>
    </row>
    <row r="588" spans="1:24">
      <c r="A588" s="48">
        <f t="shared" si="9"/>
        <v>587</v>
      </c>
      <c r="B588" s="54">
        <v>45822</v>
      </c>
      <c r="C588" s="48" t="s">
        <v>209</v>
      </c>
      <c r="D588" s="48" t="s">
        <v>209</v>
      </c>
      <c r="E588" s="48" t="s">
        <v>61</v>
      </c>
      <c r="F588" s="48" t="s">
        <v>2750</v>
      </c>
      <c r="G588" s="48">
        <v>9591504366</v>
      </c>
      <c r="H588" s="48" t="s">
        <v>2751</v>
      </c>
      <c r="J588" s="48" t="s">
        <v>2674</v>
      </c>
      <c r="L588" s="48" t="s">
        <v>2752</v>
      </c>
      <c r="M588" s="48" t="s">
        <v>1488</v>
      </c>
      <c r="N588" s="48" t="s">
        <v>2753</v>
      </c>
      <c r="P588" s="48" t="s">
        <v>2603</v>
      </c>
      <c r="Q588" s="48" t="s">
        <v>63</v>
      </c>
      <c r="R588" s="48" t="s">
        <v>63</v>
      </c>
      <c r="S588" s="48" t="s">
        <v>2702</v>
      </c>
      <c r="U588" s="55"/>
      <c r="W588" s="48" t="s">
        <v>2679</v>
      </c>
      <c r="X588" s="48" t="s">
        <v>2679</v>
      </c>
    </row>
    <row r="589" spans="1:24">
      <c r="A589" s="48">
        <f t="shared" si="9"/>
        <v>588</v>
      </c>
      <c r="B589" s="54">
        <v>45822</v>
      </c>
      <c r="C589" s="48" t="s">
        <v>209</v>
      </c>
      <c r="D589" s="48" t="s">
        <v>209</v>
      </c>
      <c r="E589" s="48" t="s">
        <v>61</v>
      </c>
      <c r="F589" s="48" t="s">
        <v>2754</v>
      </c>
      <c r="G589" s="48" t="s">
        <v>2755</v>
      </c>
      <c r="H589" s="48" t="s">
        <v>2756</v>
      </c>
      <c r="J589" s="48" t="s">
        <v>2674</v>
      </c>
      <c r="L589" s="48" t="s">
        <v>2757</v>
      </c>
      <c r="M589" s="48" t="s">
        <v>2758</v>
      </c>
      <c r="N589" s="48" t="s">
        <v>2759</v>
      </c>
      <c r="P589" s="48" t="s">
        <v>2707</v>
      </c>
      <c r="Q589" s="48" t="s">
        <v>63</v>
      </c>
      <c r="R589" s="48" t="s">
        <v>63</v>
      </c>
      <c r="S589" s="48" t="s">
        <v>2702</v>
      </c>
      <c r="U589" s="55"/>
      <c r="W589" s="48" t="s">
        <v>2679</v>
      </c>
      <c r="X589" s="48" t="s">
        <v>2679</v>
      </c>
    </row>
    <row r="590" spans="1:24">
      <c r="A590" s="48">
        <f t="shared" si="9"/>
        <v>589</v>
      </c>
      <c r="B590" s="54">
        <v>45822</v>
      </c>
      <c r="C590" s="48" t="s">
        <v>209</v>
      </c>
      <c r="D590" s="48" t="s">
        <v>209</v>
      </c>
      <c r="E590" s="48" t="s">
        <v>61</v>
      </c>
      <c r="F590" s="48" t="s">
        <v>2760</v>
      </c>
      <c r="G590" s="48">
        <v>7972661490</v>
      </c>
      <c r="H590" s="48" t="s">
        <v>2761</v>
      </c>
      <c r="J590" s="48" t="s">
        <v>2674</v>
      </c>
      <c r="L590" s="48" t="s">
        <v>2762</v>
      </c>
      <c r="M590" s="48" t="s">
        <v>2763</v>
      </c>
      <c r="N590" s="48" t="s">
        <v>2764</v>
      </c>
      <c r="P590" s="48" t="s">
        <v>2434</v>
      </c>
      <c r="Q590" s="48" t="s">
        <v>63</v>
      </c>
      <c r="R590" s="48" t="s">
        <v>63</v>
      </c>
      <c r="S590" s="48" t="s">
        <v>2702</v>
      </c>
      <c r="U590" s="55"/>
      <c r="W590" s="48" t="s">
        <v>2679</v>
      </c>
      <c r="X590" s="48" t="s">
        <v>2679</v>
      </c>
    </row>
    <row r="591" spans="1:24">
      <c r="A591" s="48">
        <f t="shared" si="9"/>
        <v>590</v>
      </c>
      <c r="B591" s="54">
        <v>45822</v>
      </c>
      <c r="C591" s="48" t="s">
        <v>209</v>
      </c>
      <c r="D591" s="48" t="s">
        <v>209</v>
      </c>
      <c r="E591" s="48" t="s">
        <v>61</v>
      </c>
      <c r="F591" s="48" t="s">
        <v>2765</v>
      </c>
      <c r="G591" s="48">
        <v>8530530690</v>
      </c>
      <c r="H591" s="48" t="s">
        <v>2766</v>
      </c>
      <c r="J591" s="48" t="s">
        <v>2674</v>
      </c>
      <c r="L591" s="48" t="s">
        <v>2767</v>
      </c>
      <c r="M591" s="48" t="s">
        <v>2768</v>
      </c>
      <c r="N591" s="48" t="s">
        <v>2769</v>
      </c>
      <c r="P591" s="48" t="s">
        <v>2770</v>
      </c>
      <c r="Q591" s="48" t="s">
        <v>63</v>
      </c>
      <c r="R591" s="48" t="s">
        <v>63</v>
      </c>
      <c r="S591" s="48" t="s">
        <v>2702</v>
      </c>
      <c r="U591" s="55"/>
      <c r="W591" s="48" t="s">
        <v>2679</v>
      </c>
      <c r="X591" s="48" t="s">
        <v>2679</v>
      </c>
    </row>
    <row r="592" spans="1:24">
      <c r="A592" s="48">
        <f t="shared" si="9"/>
        <v>591</v>
      </c>
      <c r="B592" s="54">
        <v>45822</v>
      </c>
      <c r="C592" s="48" t="s">
        <v>209</v>
      </c>
      <c r="D592" s="48" t="s">
        <v>209</v>
      </c>
      <c r="E592" s="48" t="s">
        <v>61</v>
      </c>
      <c r="F592" s="48" t="s">
        <v>2771</v>
      </c>
      <c r="G592" s="48">
        <v>7875500120</v>
      </c>
      <c r="H592" s="48" t="s">
        <v>2772</v>
      </c>
      <c r="J592" s="48" t="s">
        <v>2674</v>
      </c>
      <c r="L592" s="48" t="s">
        <v>2773</v>
      </c>
      <c r="M592" s="48" t="s">
        <v>2774</v>
      </c>
      <c r="N592" s="48" t="s">
        <v>2775</v>
      </c>
      <c r="P592" s="48" t="s">
        <v>2434</v>
      </c>
      <c r="Q592" s="48" t="s">
        <v>63</v>
      </c>
      <c r="R592" s="48" t="s">
        <v>63</v>
      </c>
      <c r="S592" s="48" t="s">
        <v>2702</v>
      </c>
      <c r="U592" s="55"/>
      <c r="W592" s="48" t="s">
        <v>2679</v>
      </c>
      <c r="X592" s="48" t="s">
        <v>2679</v>
      </c>
    </row>
    <row r="593" spans="1:24">
      <c r="A593" s="48">
        <f t="shared" si="9"/>
        <v>592</v>
      </c>
      <c r="B593" s="54">
        <v>45822</v>
      </c>
      <c r="C593" s="48" t="s">
        <v>209</v>
      </c>
      <c r="D593" s="48" t="s">
        <v>209</v>
      </c>
      <c r="E593" s="48" t="s">
        <v>61</v>
      </c>
      <c r="F593" s="48" t="s">
        <v>2776</v>
      </c>
      <c r="G593" s="48">
        <v>8484837184</v>
      </c>
      <c r="H593" s="48" t="s">
        <v>2777</v>
      </c>
      <c r="J593" s="48" t="s">
        <v>2674</v>
      </c>
      <c r="L593" s="48" t="s">
        <v>2752</v>
      </c>
      <c r="M593" s="48" t="s">
        <v>2778</v>
      </c>
      <c r="N593" s="48" t="s">
        <v>2565</v>
      </c>
      <c r="P593" s="48" t="s">
        <v>2599</v>
      </c>
      <c r="Q593" s="48" t="s">
        <v>63</v>
      </c>
      <c r="R593" s="48" t="s">
        <v>63</v>
      </c>
      <c r="S593" s="48" t="s">
        <v>2779</v>
      </c>
      <c r="U593" s="55"/>
      <c r="W593" s="48" t="s">
        <v>2679</v>
      </c>
      <c r="X593" s="48" t="s">
        <v>2679</v>
      </c>
    </row>
    <row r="594" spans="1:24">
      <c r="A594" s="48">
        <f t="shared" si="9"/>
        <v>593</v>
      </c>
      <c r="B594" s="54">
        <v>45826</v>
      </c>
      <c r="C594" s="48" t="s">
        <v>2780</v>
      </c>
      <c r="D594" s="48" t="s">
        <v>2780</v>
      </c>
      <c r="E594" s="48" t="s">
        <v>61</v>
      </c>
      <c r="F594" s="48" t="s">
        <v>2781</v>
      </c>
      <c r="G594" s="48">
        <v>7600177173</v>
      </c>
      <c r="H594" s="48" t="s">
        <v>2782</v>
      </c>
      <c r="J594" s="48" t="s">
        <v>2674</v>
      </c>
      <c r="L594" s="48">
        <v>8</v>
      </c>
      <c r="M594" s="48" t="s">
        <v>2783</v>
      </c>
      <c r="N594" s="48">
        <v>11</v>
      </c>
      <c r="P594" s="48">
        <v>0.5</v>
      </c>
      <c r="Q594" s="48" t="s">
        <v>2784</v>
      </c>
      <c r="R594" s="48" t="s">
        <v>63</v>
      </c>
      <c r="S594" s="48" t="s">
        <v>2785</v>
      </c>
      <c r="U594" s="55"/>
      <c r="W594" s="48" t="s">
        <v>2679</v>
      </c>
      <c r="X594" s="48" t="s">
        <v>2679</v>
      </c>
    </row>
    <row r="595" spans="1:24">
      <c r="A595" s="48">
        <f t="shared" si="9"/>
        <v>594</v>
      </c>
      <c r="B595" s="54">
        <v>45826</v>
      </c>
      <c r="C595" s="48" t="s">
        <v>2786</v>
      </c>
      <c r="D595" s="48" t="s">
        <v>2786</v>
      </c>
      <c r="E595" s="48" t="s">
        <v>61</v>
      </c>
      <c r="F595" s="48" t="s">
        <v>2787</v>
      </c>
      <c r="G595" s="48">
        <v>7829400097</v>
      </c>
      <c r="H595" s="48" t="s">
        <v>2788</v>
      </c>
      <c r="J595" s="48" t="s">
        <v>2674</v>
      </c>
      <c r="L595" s="48">
        <v>15</v>
      </c>
      <c r="M595" s="48" t="s">
        <v>2789</v>
      </c>
      <c r="N595" s="48">
        <v>13.5</v>
      </c>
      <c r="P595" s="48" t="s">
        <v>2586</v>
      </c>
      <c r="Q595" s="48" t="s">
        <v>802</v>
      </c>
      <c r="R595" s="48" t="s">
        <v>63</v>
      </c>
      <c r="S595" s="48" t="s">
        <v>230</v>
      </c>
      <c r="U595" s="55"/>
      <c r="W595" s="48" t="s">
        <v>2679</v>
      </c>
      <c r="X595" s="48" t="s">
        <v>2679</v>
      </c>
    </row>
    <row r="596" spans="1:24">
      <c r="A596" s="48">
        <f t="shared" si="9"/>
        <v>595</v>
      </c>
      <c r="B596" s="54">
        <v>45826</v>
      </c>
      <c r="C596" s="48" t="s">
        <v>2790</v>
      </c>
      <c r="D596" s="48" t="s">
        <v>2790</v>
      </c>
      <c r="E596" s="48" t="s">
        <v>61</v>
      </c>
      <c r="F596" s="48" t="s">
        <v>2791</v>
      </c>
      <c r="G596" s="48">
        <v>9686519984</v>
      </c>
      <c r="H596" s="48" t="s">
        <v>2792</v>
      </c>
      <c r="J596" s="48" t="s">
        <v>2674</v>
      </c>
      <c r="L596" s="48">
        <v>6</v>
      </c>
      <c r="M596" s="48" t="s">
        <v>2789</v>
      </c>
      <c r="N596" s="48">
        <v>8</v>
      </c>
      <c r="P596" s="48" t="s">
        <v>2428</v>
      </c>
      <c r="Q596" s="48" t="s">
        <v>802</v>
      </c>
      <c r="R596" s="48" t="s">
        <v>63</v>
      </c>
      <c r="S596" s="48" t="s">
        <v>230</v>
      </c>
      <c r="U596" s="55"/>
      <c r="W596" s="48" t="s">
        <v>2679</v>
      </c>
      <c r="X596" s="48" t="s">
        <v>2679</v>
      </c>
    </row>
    <row r="597" spans="1:24">
      <c r="A597" s="48">
        <f t="shared" si="9"/>
        <v>596</v>
      </c>
      <c r="B597" s="54">
        <v>45826</v>
      </c>
      <c r="C597" s="48" t="s">
        <v>2793</v>
      </c>
      <c r="D597" s="48" t="s">
        <v>2793</v>
      </c>
      <c r="E597" s="48" t="s">
        <v>61</v>
      </c>
      <c r="F597" s="48" t="s">
        <v>2794</v>
      </c>
      <c r="G597" s="48">
        <v>9168200916</v>
      </c>
      <c r="H597" s="48" t="s">
        <v>6</v>
      </c>
      <c r="J597" s="48" t="s">
        <v>2674</v>
      </c>
      <c r="L597" s="48">
        <v>5</v>
      </c>
      <c r="M597" s="48" t="s">
        <v>2795</v>
      </c>
      <c r="N597" s="48">
        <v>3.5</v>
      </c>
      <c r="P597" s="48">
        <v>5</v>
      </c>
      <c r="Q597" s="48" t="s">
        <v>2796</v>
      </c>
      <c r="R597" s="48" t="s">
        <v>63</v>
      </c>
      <c r="S597" s="48" t="s">
        <v>230</v>
      </c>
      <c r="U597" s="55"/>
      <c r="W597" s="48" t="s">
        <v>2679</v>
      </c>
      <c r="X597" s="48" t="s">
        <v>2679</v>
      </c>
    </row>
    <row r="598" spans="1:24">
      <c r="A598" s="48">
        <f t="shared" si="9"/>
        <v>597</v>
      </c>
      <c r="B598" s="54" t="s">
        <v>2797</v>
      </c>
      <c r="C598" s="48" t="s">
        <v>2692</v>
      </c>
      <c r="D598" s="48" t="s">
        <v>2692</v>
      </c>
      <c r="E598" s="48" t="s">
        <v>61</v>
      </c>
      <c r="F598" s="48" t="s">
        <v>2798</v>
      </c>
      <c r="G598" s="48">
        <v>8605910269</v>
      </c>
      <c r="H598" s="48" t="s">
        <v>2799</v>
      </c>
      <c r="J598" s="48" t="s">
        <v>2800</v>
      </c>
      <c r="L598" s="48">
        <v>6</v>
      </c>
      <c r="M598" s="48" t="s">
        <v>995</v>
      </c>
      <c r="N598" s="48">
        <v>6</v>
      </c>
      <c r="P598" s="48">
        <v>10</v>
      </c>
      <c r="Q598" s="48" t="s">
        <v>236</v>
      </c>
      <c r="R598" s="48" t="s">
        <v>63</v>
      </c>
      <c r="S598" s="48" t="s">
        <v>255</v>
      </c>
      <c r="U598" s="55"/>
      <c r="W598" s="48" t="s">
        <v>2679</v>
      </c>
      <c r="X598" s="48" t="s">
        <v>2679</v>
      </c>
    </row>
    <row r="599" spans="1:24">
      <c r="A599" s="48">
        <f t="shared" si="9"/>
        <v>598</v>
      </c>
      <c r="B599" s="54" t="s">
        <v>2797</v>
      </c>
      <c r="C599" s="48" t="s">
        <v>2692</v>
      </c>
      <c r="D599" s="48" t="s">
        <v>2692</v>
      </c>
      <c r="E599" s="48" t="s">
        <v>61</v>
      </c>
      <c r="F599" s="48" t="s">
        <v>2801</v>
      </c>
      <c r="G599" s="48">
        <v>9673979618</v>
      </c>
      <c r="H599" s="48" t="s">
        <v>2802</v>
      </c>
      <c r="J599" s="48" t="s">
        <v>2800</v>
      </c>
      <c r="L599" s="48">
        <v>5.8</v>
      </c>
      <c r="M599" s="48" t="s">
        <v>982</v>
      </c>
      <c r="N599" s="48">
        <v>6</v>
      </c>
      <c r="P599" s="48">
        <v>9</v>
      </c>
      <c r="Q599" s="48" t="s">
        <v>2803</v>
      </c>
      <c r="R599" s="48" t="s">
        <v>63</v>
      </c>
      <c r="S599" s="48" t="s">
        <v>2804</v>
      </c>
      <c r="U599" s="55"/>
      <c r="W599" s="48" t="s">
        <v>2679</v>
      </c>
      <c r="X599" s="48" t="s">
        <v>2679</v>
      </c>
    </row>
    <row r="600" spans="1:24">
      <c r="A600" s="48">
        <f t="shared" si="9"/>
        <v>599</v>
      </c>
      <c r="B600" s="54" t="s">
        <v>2797</v>
      </c>
      <c r="C600" s="48" t="s">
        <v>2692</v>
      </c>
      <c r="D600" s="48" t="s">
        <v>2692</v>
      </c>
      <c r="E600" s="48" t="s">
        <v>61</v>
      </c>
      <c r="F600" s="48" t="s">
        <v>2805</v>
      </c>
      <c r="G600" s="48">
        <v>7057036937</v>
      </c>
      <c r="H600" s="48" t="s">
        <v>2806</v>
      </c>
      <c r="J600" s="48" t="s">
        <v>2800</v>
      </c>
      <c r="L600" s="48">
        <v>3.5</v>
      </c>
      <c r="M600" s="48" t="s">
        <v>2807</v>
      </c>
      <c r="N600" s="48">
        <v>3.59</v>
      </c>
      <c r="P600" s="48">
        <v>6</v>
      </c>
      <c r="Q600" s="48" t="s">
        <v>2808</v>
      </c>
      <c r="R600" s="48" t="s">
        <v>63</v>
      </c>
      <c r="S600" s="48" t="s">
        <v>1162</v>
      </c>
      <c r="U600" s="55"/>
      <c r="W600" s="48" t="s">
        <v>2679</v>
      </c>
      <c r="X600" s="48" t="s">
        <v>2679</v>
      </c>
    </row>
    <row r="601" spans="1:24">
      <c r="A601" s="48">
        <f t="shared" si="9"/>
        <v>600</v>
      </c>
      <c r="B601" s="54" t="s">
        <v>2797</v>
      </c>
      <c r="C601" s="48" t="s">
        <v>2692</v>
      </c>
      <c r="D601" s="48" t="s">
        <v>2692</v>
      </c>
      <c r="E601" s="48" t="s">
        <v>61</v>
      </c>
      <c r="F601" s="48" t="s">
        <v>2809</v>
      </c>
      <c r="G601" s="48" t="s">
        <v>2810</v>
      </c>
      <c r="H601" s="48" t="s">
        <v>2811</v>
      </c>
      <c r="J601" s="48" t="s">
        <v>2800</v>
      </c>
      <c r="L601" s="48">
        <v>6</v>
      </c>
      <c r="M601" s="48" t="s">
        <v>2812</v>
      </c>
      <c r="N601" s="48">
        <v>7.6</v>
      </c>
      <c r="P601" s="48" t="s">
        <v>2813</v>
      </c>
      <c r="Q601" s="48" t="s">
        <v>2814</v>
      </c>
      <c r="R601" s="48" t="s">
        <v>63</v>
      </c>
      <c r="S601" s="48" t="s">
        <v>361</v>
      </c>
      <c r="U601" s="55"/>
      <c r="W601" s="48" t="s">
        <v>2679</v>
      </c>
      <c r="X601" s="48" t="s">
        <v>2679</v>
      </c>
    </row>
    <row r="602" spans="1:24">
      <c r="A602" s="48">
        <f t="shared" si="9"/>
        <v>601</v>
      </c>
      <c r="B602" s="54" t="s">
        <v>2797</v>
      </c>
      <c r="C602" s="48" t="s">
        <v>209</v>
      </c>
      <c r="D602" s="48" t="s">
        <v>209</v>
      </c>
      <c r="E602" s="48" t="s">
        <v>61</v>
      </c>
      <c r="F602" s="48" t="s">
        <v>2815</v>
      </c>
      <c r="G602" s="48" t="s">
        <v>2816</v>
      </c>
      <c r="H602" s="48" t="s">
        <v>2817</v>
      </c>
      <c r="J602" s="48" t="s">
        <v>2800</v>
      </c>
      <c r="L602" s="48">
        <v>6.3</v>
      </c>
      <c r="M602" s="48" t="s">
        <v>2818</v>
      </c>
      <c r="N602" s="48">
        <v>10.8</v>
      </c>
      <c r="P602" s="48">
        <v>0.3</v>
      </c>
      <c r="Q602" s="48" t="s">
        <v>2819</v>
      </c>
      <c r="R602" s="48" t="s">
        <v>63</v>
      </c>
      <c r="S602" s="48" t="s">
        <v>2820</v>
      </c>
      <c r="U602" s="55"/>
      <c r="W602" s="48" t="s">
        <v>2679</v>
      </c>
      <c r="X602" s="48" t="s">
        <v>2679</v>
      </c>
    </row>
    <row r="603" spans="1:24">
      <c r="A603" s="48">
        <f t="shared" si="9"/>
        <v>602</v>
      </c>
      <c r="B603" s="54" t="s">
        <v>2797</v>
      </c>
      <c r="C603" s="48" t="s">
        <v>209</v>
      </c>
      <c r="D603" s="48" t="s">
        <v>209</v>
      </c>
      <c r="E603" s="48" t="s">
        <v>61</v>
      </c>
      <c r="F603" s="48" t="s">
        <v>2821</v>
      </c>
      <c r="G603" s="48">
        <v>7219825856</v>
      </c>
      <c r="H603" s="48" t="s">
        <v>2822</v>
      </c>
      <c r="J603" s="48" t="s">
        <v>2800</v>
      </c>
      <c r="L603" s="48">
        <v>4.5</v>
      </c>
      <c r="M603" s="48" t="s">
        <v>365</v>
      </c>
      <c r="N603" s="48">
        <v>5.7</v>
      </c>
      <c r="P603" s="48">
        <v>9</v>
      </c>
      <c r="Q603" s="48" t="s">
        <v>2823</v>
      </c>
      <c r="R603" s="48" t="s">
        <v>63</v>
      </c>
      <c r="S603" s="48" t="s">
        <v>2824</v>
      </c>
      <c r="U603" s="55"/>
      <c r="W603" s="48" t="s">
        <v>2679</v>
      </c>
      <c r="X603" s="48" t="s">
        <v>2679</v>
      </c>
    </row>
    <row r="604" spans="1:24">
      <c r="A604" s="48">
        <f t="shared" si="9"/>
        <v>603</v>
      </c>
      <c r="B604" s="54" t="s">
        <v>2825</v>
      </c>
      <c r="C604" s="48" t="s">
        <v>2686</v>
      </c>
      <c r="D604" s="48" t="s">
        <v>2686</v>
      </c>
      <c r="E604" s="48" t="s">
        <v>61</v>
      </c>
      <c r="F604" s="48" t="s">
        <v>2826</v>
      </c>
      <c r="G604" s="48">
        <v>9373329715</v>
      </c>
      <c r="H604" s="48" t="s">
        <v>2827</v>
      </c>
      <c r="J604" s="48" t="s">
        <v>2674</v>
      </c>
      <c r="L604" s="48" t="s">
        <v>2718</v>
      </c>
      <c r="M604" s="48" t="s">
        <v>2828</v>
      </c>
      <c r="N604" s="48" t="s">
        <v>2829</v>
      </c>
      <c r="P604" s="48" t="s">
        <v>2452</v>
      </c>
      <c r="Q604" s="48" t="s">
        <v>63</v>
      </c>
      <c r="R604" s="48" t="s">
        <v>63</v>
      </c>
      <c r="S604" s="48" t="s">
        <v>2830</v>
      </c>
      <c r="U604" s="55"/>
      <c r="W604" s="48" t="s">
        <v>2679</v>
      </c>
      <c r="X604" s="48" t="s">
        <v>2679</v>
      </c>
    </row>
    <row r="605" spans="1:24">
      <c r="A605" s="48">
        <f t="shared" si="9"/>
        <v>604</v>
      </c>
      <c r="B605" s="54" t="s">
        <v>2825</v>
      </c>
      <c r="C605" s="48" t="s">
        <v>209</v>
      </c>
      <c r="D605" s="48" t="s">
        <v>209</v>
      </c>
      <c r="E605" s="48" t="s">
        <v>61</v>
      </c>
      <c r="F605" s="48" t="s">
        <v>2831</v>
      </c>
      <c r="G605" s="48">
        <v>7057687788</v>
      </c>
      <c r="H605" s="48" t="s">
        <v>2832</v>
      </c>
      <c r="J605" s="48" t="s">
        <v>2674</v>
      </c>
      <c r="L605" s="48" t="s">
        <v>2833</v>
      </c>
      <c r="M605" s="48" t="s">
        <v>2834</v>
      </c>
      <c r="N605" s="48" t="s">
        <v>2835</v>
      </c>
      <c r="P605" s="48" t="s">
        <v>2603</v>
      </c>
      <c r="Q605" s="48" t="s">
        <v>63</v>
      </c>
      <c r="R605" s="48" t="s">
        <v>63</v>
      </c>
      <c r="S605" s="48" t="s">
        <v>2836</v>
      </c>
      <c r="U605" s="55"/>
      <c r="W605" s="48" t="s">
        <v>2679</v>
      </c>
      <c r="X605" s="48" t="s">
        <v>2679</v>
      </c>
    </row>
    <row r="606" spans="1:24">
      <c r="A606" s="48">
        <f t="shared" si="9"/>
        <v>605</v>
      </c>
      <c r="B606" s="54" t="s">
        <v>2825</v>
      </c>
      <c r="C606" s="48" t="s">
        <v>209</v>
      </c>
      <c r="D606" s="48" t="s">
        <v>209</v>
      </c>
      <c r="E606" s="48" t="s">
        <v>61</v>
      </c>
      <c r="F606" s="48" t="s">
        <v>2837</v>
      </c>
      <c r="G606" s="48">
        <v>8668505731</v>
      </c>
      <c r="H606" s="48" t="s">
        <v>2838</v>
      </c>
      <c r="J606" s="48" t="s">
        <v>2674</v>
      </c>
      <c r="L606" s="48" t="s">
        <v>2839</v>
      </c>
      <c r="M606" s="48" t="s">
        <v>2840</v>
      </c>
      <c r="N606" s="48" t="s">
        <v>2841</v>
      </c>
      <c r="P606" s="48" t="s">
        <v>2486</v>
      </c>
      <c r="Q606" s="48" t="s">
        <v>63</v>
      </c>
      <c r="R606" s="48" t="s">
        <v>63</v>
      </c>
      <c r="S606" s="48" t="s">
        <v>2842</v>
      </c>
      <c r="U606" s="55"/>
      <c r="W606" s="48" t="s">
        <v>2679</v>
      </c>
      <c r="X606" s="48" t="s">
        <v>2679</v>
      </c>
    </row>
    <row r="607" spans="1:24">
      <c r="A607" s="48">
        <f t="shared" si="9"/>
        <v>606</v>
      </c>
      <c r="B607" s="54" t="s">
        <v>2825</v>
      </c>
      <c r="C607" s="48" t="s">
        <v>209</v>
      </c>
      <c r="D607" s="48" t="s">
        <v>209</v>
      </c>
      <c r="E607" s="48" t="s">
        <v>61</v>
      </c>
      <c r="F607" s="48" t="s">
        <v>2843</v>
      </c>
      <c r="G607" s="48">
        <v>8805968797</v>
      </c>
      <c r="H607" s="48" t="s">
        <v>2844</v>
      </c>
      <c r="J607" s="48" t="s">
        <v>2674</v>
      </c>
      <c r="L607" s="48" t="s">
        <v>2845</v>
      </c>
      <c r="M607" s="48" t="s">
        <v>869</v>
      </c>
      <c r="N607" s="48" t="s">
        <v>2841</v>
      </c>
      <c r="P607" s="48" t="s">
        <v>2486</v>
      </c>
      <c r="Q607" s="48" t="s">
        <v>63</v>
      </c>
      <c r="R607" s="48" t="s">
        <v>63</v>
      </c>
      <c r="S607" s="48" t="s">
        <v>2846</v>
      </c>
      <c r="U607" s="55"/>
      <c r="W607" s="48" t="s">
        <v>2679</v>
      </c>
      <c r="X607" s="48" t="s">
        <v>2679</v>
      </c>
    </row>
    <row r="608" spans="1:24">
      <c r="A608" s="48">
        <f t="shared" si="9"/>
        <v>607</v>
      </c>
      <c r="B608" s="54" t="s">
        <v>2825</v>
      </c>
      <c r="C608" s="48" t="s">
        <v>209</v>
      </c>
      <c r="D608" s="48" t="s">
        <v>209</v>
      </c>
      <c r="E608" s="48" t="s">
        <v>61</v>
      </c>
      <c r="F608" s="48" t="s">
        <v>2760</v>
      </c>
      <c r="G608" s="48">
        <v>7972661490</v>
      </c>
      <c r="H608" s="48" t="s">
        <v>2761</v>
      </c>
      <c r="J608" s="48" t="s">
        <v>2674</v>
      </c>
      <c r="L608" s="48" t="s">
        <v>2762</v>
      </c>
      <c r="M608" s="48" t="s">
        <v>2763</v>
      </c>
      <c r="N608" s="48">
        <v>4.5999999999999996</v>
      </c>
      <c r="P608" s="48">
        <v>6.5</v>
      </c>
      <c r="Q608" s="48" t="s">
        <v>63</v>
      </c>
      <c r="R608" s="48" t="s">
        <v>63</v>
      </c>
      <c r="S608" s="48" t="s">
        <v>2702</v>
      </c>
      <c r="U608" s="55"/>
      <c r="W608" s="48" t="s">
        <v>2679</v>
      </c>
      <c r="X608" s="48" t="s">
        <v>2679</v>
      </c>
    </row>
    <row r="609" spans="1:24">
      <c r="A609" s="48">
        <f t="shared" si="9"/>
        <v>608</v>
      </c>
      <c r="B609" s="54" t="s">
        <v>2825</v>
      </c>
      <c r="C609" s="48" t="s">
        <v>209</v>
      </c>
      <c r="D609" s="48" t="s">
        <v>209</v>
      </c>
      <c r="E609" s="48" t="s">
        <v>61</v>
      </c>
      <c r="F609" s="48" t="s">
        <v>2771</v>
      </c>
      <c r="G609" s="48">
        <v>7875500120</v>
      </c>
      <c r="H609" s="48" t="s">
        <v>2772</v>
      </c>
      <c r="J609" s="48" t="s">
        <v>2674</v>
      </c>
      <c r="L609" s="48" t="s">
        <v>2773</v>
      </c>
      <c r="M609" s="48" t="s">
        <v>2774</v>
      </c>
      <c r="N609" s="48" t="s">
        <v>2775</v>
      </c>
      <c r="P609" s="48" t="s">
        <v>2434</v>
      </c>
      <c r="Q609" s="48" t="s">
        <v>63</v>
      </c>
      <c r="R609" s="48" t="s">
        <v>63</v>
      </c>
      <c r="S609" s="48" t="s">
        <v>2702</v>
      </c>
      <c r="U609" s="55"/>
      <c r="W609" s="48" t="s">
        <v>2679</v>
      </c>
      <c r="X609" s="48" t="s">
        <v>2679</v>
      </c>
    </row>
    <row r="610" spans="1:24">
      <c r="A610" s="48">
        <f t="shared" si="9"/>
        <v>609</v>
      </c>
      <c r="B610" s="54" t="s">
        <v>2825</v>
      </c>
      <c r="C610" s="48" t="s">
        <v>209</v>
      </c>
      <c r="D610" s="48" t="s">
        <v>209</v>
      </c>
      <c r="E610" s="48" t="s">
        <v>61</v>
      </c>
      <c r="F610" s="48" t="s">
        <v>2801</v>
      </c>
      <c r="G610" s="48">
        <v>9673979618</v>
      </c>
      <c r="H610" s="48" t="s">
        <v>2802</v>
      </c>
      <c r="J610" s="48" t="s">
        <v>2674</v>
      </c>
      <c r="L610" s="48">
        <v>5.8</v>
      </c>
      <c r="M610" s="48" t="s">
        <v>982</v>
      </c>
      <c r="N610" s="48">
        <v>6</v>
      </c>
      <c r="P610" s="48">
        <v>9</v>
      </c>
      <c r="Q610" s="48" t="s">
        <v>2803</v>
      </c>
      <c r="R610" s="48" t="s">
        <v>63</v>
      </c>
      <c r="S610" s="48" t="s">
        <v>2804</v>
      </c>
      <c r="U610" s="55"/>
      <c r="W610" s="48" t="s">
        <v>2679</v>
      </c>
      <c r="X610" s="48" t="s">
        <v>2679</v>
      </c>
    </row>
    <row r="611" spans="1:24">
      <c r="A611" s="48">
        <f t="shared" si="9"/>
        <v>610</v>
      </c>
      <c r="B611" s="54" t="s">
        <v>2825</v>
      </c>
      <c r="C611" s="48" t="s">
        <v>209</v>
      </c>
      <c r="D611" s="48" t="s">
        <v>209</v>
      </c>
      <c r="E611" s="48" t="s">
        <v>61</v>
      </c>
      <c r="F611" s="48" t="s">
        <v>2805</v>
      </c>
      <c r="G611" s="48">
        <v>7057036937</v>
      </c>
      <c r="H611" s="48" t="s">
        <v>2806</v>
      </c>
      <c r="J611" s="48" t="s">
        <v>2674</v>
      </c>
      <c r="L611" s="48">
        <v>3.5</v>
      </c>
      <c r="M611" s="48" t="s">
        <v>2807</v>
      </c>
      <c r="N611" s="48">
        <v>3.59</v>
      </c>
      <c r="P611" s="48">
        <v>6</v>
      </c>
      <c r="Q611" s="48" t="s">
        <v>2808</v>
      </c>
      <c r="R611" s="48" t="s">
        <v>63</v>
      </c>
      <c r="S611" s="48" t="s">
        <v>1162</v>
      </c>
      <c r="U611" s="55"/>
      <c r="W611" s="48" t="s">
        <v>2679</v>
      </c>
      <c r="X611" s="48" t="s">
        <v>2679</v>
      </c>
    </row>
    <row r="612" spans="1:24">
      <c r="A612" s="48">
        <f t="shared" si="9"/>
        <v>611</v>
      </c>
      <c r="B612" s="54" t="s">
        <v>2825</v>
      </c>
      <c r="C612" s="48" t="s">
        <v>209</v>
      </c>
      <c r="D612" s="48" t="s">
        <v>209</v>
      </c>
      <c r="E612" s="48" t="s">
        <v>61</v>
      </c>
      <c r="F612" s="48" t="s">
        <v>2798</v>
      </c>
      <c r="G612" s="48">
        <v>8605910269</v>
      </c>
      <c r="H612" s="48" t="s">
        <v>2799</v>
      </c>
      <c r="J612" s="48" t="s">
        <v>2800</v>
      </c>
      <c r="L612" s="48">
        <v>6</v>
      </c>
      <c r="M612" s="48" t="s">
        <v>995</v>
      </c>
      <c r="N612" s="48">
        <v>6</v>
      </c>
      <c r="P612" s="48">
        <v>10</v>
      </c>
      <c r="Q612" s="48" t="s">
        <v>236</v>
      </c>
      <c r="R612" s="48" t="s">
        <v>63</v>
      </c>
      <c r="S612" s="48" t="s">
        <v>255</v>
      </c>
      <c r="U612" s="55"/>
      <c r="W612" s="48" t="s">
        <v>2679</v>
      </c>
      <c r="X612" s="48" t="s">
        <v>2679</v>
      </c>
    </row>
    <row r="613" spans="1:24">
      <c r="A613" s="48">
        <f t="shared" si="9"/>
        <v>612</v>
      </c>
      <c r="B613" s="54" t="s">
        <v>2825</v>
      </c>
      <c r="C613" s="48" t="s">
        <v>209</v>
      </c>
      <c r="D613" s="48" t="s">
        <v>209</v>
      </c>
      <c r="E613" s="48" t="s">
        <v>61</v>
      </c>
      <c r="F613" s="48" t="s">
        <v>2809</v>
      </c>
      <c r="G613" s="48" t="s">
        <v>2847</v>
      </c>
      <c r="H613" s="48" t="s">
        <v>2811</v>
      </c>
      <c r="J613" s="48" t="s">
        <v>2800</v>
      </c>
      <c r="L613" s="48">
        <v>6</v>
      </c>
      <c r="M613" s="48" t="s">
        <v>2812</v>
      </c>
      <c r="N613" s="48">
        <v>7.6</v>
      </c>
      <c r="P613" s="48" t="s">
        <v>2813</v>
      </c>
      <c r="Q613" s="48" t="s">
        <v>2814</v>
      </c>
      <c r="R613" s="48" t="s">
        <v>63</v>
      </c>
      <c r="S613" s="48" t="s">
        <v>361</v>
      </c>
      <c r="U613" s="55"/>
      <c r="W613" s="48" t="s">
        <v>2679</v>
      </c>
      <c r="X613" s="48" t="s">
        <v>2679</v>
      </c>
    </row>
    <row r="614" spans="1:24">
      <c r="A614" s="48">
        <f t="shared" si="9"/>
        <v>613</v>
      </c>
      <c r="B614" s="54" t="s">
        <v>2825</v>
      </c>
      <c r="C614" s="48" t="s">
        <v>209</v>
      </c>
      <c r="D614" s="48" t="s">
        <v>209</v>
      </c>
      <c r="E614" s="48" t="s">
        <v>61</v>
      </c>
      <c r="F614" s="48" t="s">
        <v>2848</v>
      </c>
      <c r="G614" s="48" t="s">
        <v>2816</v>
      </c>
      <c r="H614" s="48" t="s">
        <v>2817</v>
      </c>
      <c r="J614" s="48" t="s">
        <v>2800</v>
      </c>
      <c r="L614" s="48">
        <v>6.3</v>
      </c>
      <c r="M614" s="48" t="s">
        <v>2818</v>
      </c>
      <c r="N614" s="48">
        <v>10.8</v>
      </c>
      <c r="P614" s="48">
        <v>0.3</v>
      </c>
      <c r="Q614" s="48" t="s">
        <v>2819</v>
      </c>
      <c r="R614" s="48" t="s">
        <v>63</v>
      </c>
      <c r="S614" s="48" t="s">
        <v>2820</v>
      </c>
      <c r="U614" s="55"/>
      <c r="W614" s="48" t="s">
        <v>2679</v>
      </c>
      <c r="X614" s="48" t="s">
        <v>2679</v>
      </c>
    </row>
    <row r="615" spans="1:24">
      <c r="A615" s="48">
        <f t="shared" si="9"/>
        <v>614</v>
      </c>
      <c r="B615" s="54" t="s">
        <v>2825</v>
      </c>
      <c r="C615" s="48" t="s">
        <v>293</v>
      </c>
      <c r="D615" s="48" t="s">
        <v>293</v>
      </c>
      <c r="E615" s="48" t="s">
        <v>61</v>
      </c>
      <c r="F615" s="48" t="s">
        <v>2849</v>
      </c>
      <c r="G615" s="48">
        <v>7219535883</v>
      </c>
      <c r="H615" s="48" t="s">
        <v>2850</v>
      </c>
      <c r="J615" s="48" t="s">
        <v>2800</v>
      </c>
      <c r="L615" s="48" t="s">
        <v>2851</v>
      </c>
      <c r="M615" s="48" t="s">
        <v>2852</v>
      </c>
      <c r="N615" s="48" t="s">
        <v>2853</v>
      </c>
      <c r="P615" s="48" t="s">
        <v>2656</v>
      </c>
      <c r="Q615" s="48" t="s">
        <v>63</v>
      </c>
      <c r="R615" s="48" t="s">
        <v>63</v>
      </c>
      <c r="S615" s="48" t="s">
        <v>2854</v>
      </c>
      <c r="U615" s="55"/>
      <c r="W615" s="48" t="s">
        <v>2679</v>
      </c>
      <c r="X615" s="48" t="s">
        <v>2679</v>
      </c>
    </row>
    <row r="616" spans="1:24">
      <c r="A616" s="48">
        <f t="shared" si="9"/>
        <v>615</v>
      </c>
      <c r="B616" s="54" t="s">
        <v>2825</v>
      </c>
      <c r="C616" s="48" t="s">
        <v>209</v>
      </c>
      <c r="D616" s="48" t="s">
        <v>209</v>
      </c>
      <c r="E616" s="48" t="s">
        <v>61</v>
      </c>
      <c r="F616" s="48" t="s">
        <v>2855</v>
      </c>
      <c r="G616" s="48" t="s">
        <v>2856</v>
      </c>
      <c r="H616" s="48" t="s">
        <v>2857</v>
      </c>
      <c r="J616" s="48" t="s">
        <v>2800</v>
      </c>
      <c r="L616" s="48" t="s">
        <v>2845</v>
      </c>
      <c r="M616" s="48" t="s">
        <v>2858</v>
      </c>
      <c r="N616" s="48" t="s">
        <v>2859</v>
      </c>
      <c r="P616" s="48" t="s">
        <v>2860</v>
      </c>
      <c r="Q616" s="48" t="s">
        <v>63</v>
      </c>
      <c r="R616" s="48" t="s">
        <v>63</v>
      </c>
      <c r="S616" s="48" t="s">
        <v>2721</v>
      </c>
      <c r="U616" s="55"/>
      <c r="W616" s="48" t="s">
        <v>2679</v>
      </c>
      <c r="X616" s="48" t="s">
        <v>2679</v>
      </c>
    </row>
    <row r="617" spans="1:24">
      <c r="A617" s="48">
        <f t="shared" si="9"/>
        <v>616</v>
      </c>
      <c r="B617" s="54" t="s">
        <v>2825</v>
      </c>
      <c r="C617" s="48" t="s">
        <v>209</v>
      </c>
      <c r="D617" s="48" t="s">
        <v>209</v>
      </c>
      <c r="E617" s="48" t="s">
        <v>61</v>
      </c>
      <c r="F617" s="48" t="s">
        <v>2861</v>
      </c>
      <c r="G617" s="48">
        <v>7028236836</v>
      </c>
      <c r="H617" s="48" t="s">
        <v>2862</v>
      </c>
      <c r="J617" s="48" t="s">
        <v>2711</v>
      </c>
      <c r="L617" s="48" t="s">
        <v>2683</v>
      </c>
      <c r="M617" s="48" t="s">
        <v>2863</v>
      </c>
      <c r="N617" s="48" t="s">
        <v>2864</v>
      </c>
      <c r="P617" s="48" t="s">
        <v>2441</v>
      </c>
      <c r="Q617" s="48" t="s">
        <v>63</v>
      </c>
      <c r="R617" s="48" t="s">
        <v>63</v>
      </c>
      <c r="S617" s="48" t="s">
        <v>2702</v>
      </c>
      <c r="U617" s="55"/>
      <c r="W617" s="48" t="s">
        <v>2679</v>
      </c>
      <c r="X617" s="48" t="s">
        <v>2679</v>
      </c>
    </row>
    <row r="618" spans="1:24">
      <c r="A618" s="48">
        <f t="shared" si="9"/>
        <v>617</v>
      </c>
      <c r="B618" s="54" t="s">
        <v>2825</v>
      </c>
      <c r="C618" s="48" t="s">
        <v>209</v>
      </c>
      <c r="D618" s="48" t="s">
        <v>209</v>
      </c>
      <c r="E618" s="48" t="s">
        <v>61</v>
      </c>
      <c r="F618" s="48" t="s">
        <v>2865</v>
      </c>
      <c r="G618" s="48">
        <v>9960059662</v>
      </c>
      <c r="H618" s="48" t="s">
        <v>2866</v>
      </c>
      <c r="J618" s="48" t="s">
        <v>2711</v>
      </c>
      <c r="L618" s="48" t="s">
        <v>2867</v>
      </c>
      <c r="M618" s="48" t="s">
        <v>2868</v>
      </c>
      <c r="N618" s="48" t="s">
        <v>2869</v>
      </c>
      <c r="P618" s="48" t="s">
        <v>2441</v>
      </c>
      <c r="Q618" s="48" t="s">
        <v>63</v>
      </c>
      <c r="R618" s="48" t="s">
        <v>63</v>
      </c>
      <c r="S618" s="48" t="s">
        <v>2846</v>
      </c>
      <c r="U618" s="55"/>
      <c r="W618" s="48" t="s">
        <v>2679</v>
      </c>
      <c r="X618" s="48" t="s">
        <v>2679</v>
      </c>
    </row>
    <row r="619" spans="1:24">
      <c r="A619" s="48">
        <f t="shared" si="9"/>
        <v>618</v>
      </c>
      <c r="B619" s="54" t="s">
        <v>2825</v>
      </c>
      <c r="C619" s="48" t="s">
        <v>209</v>
      </c>
      <c r="D619" s="48" t="s">
        <v>209</v>
      </c>
      <c r="E619" s="48" t="s">
        <v>61</v>
      </c>
      <c r="F619" s="48" t="s">
        <v>2870</v>
      </c>
      <c r="G619" s="48">
        <v>9356912938</v>
      </c>
      <c r="H619" s="48" t="s">
        <v>2871</v>
      </c>
      <c r="J619" s="48" t="s">
        <v>2711</v>
      </c>
      <c r="L619" s="48" t="s">
        <v>2833</v>
      </c>
      <c r="M619" s="48" t="s">
        <v>365</v>
      </c>
      <c r="N619" s="48" t="s">
        <v>2872</v>
      </c>
      <c r="P619" s="48" t="s">
        <v>2873</v>
      </c>
      <c r="Q619" s="48" t="s">
        <v>63</v>
      </c>
      <c r="R619" s="48" t="s">
        <v>63</v>
      </c>
      <c r="S619" s="48" t="s">
        <v>2846</v>
      </c>
      <c r="U619" s="55"/>
      <c r="W619" s="48" t="s">
        <v>2679</v>
      </c>
      <c r="X619" s="48" t="s">
        <v>2679</v>
      </c>
    </row>
    <row r="620" spans="1:24">
      <c r="A620" s="48">
        <f t="shared" si="9"/>
        <v>619</v>
      </c>
      <c r="B620" s="54" t="s">
        <v>2825</v>
      </c>
      <c r="C620" s="48" t="s">
        <v>667</v>
      </c>
      <c r="D620" s="48" t="s">
        <v>2874</v>
      </c>
      <c r="E620" s="48" t="s">
        <v>61</v>
      </c>
      <c r="F620" s="48" t="s">
        <v>2875</v>
      </c>
      <c r="G620" s="48">
        <v>9623361696</v>
      </c>
      <c r="H620" s="48" t="s">
        <v>2876</v>
      </c>
      <c r="J620" s="48" t="s">
        <v>2711</v>
      </c>
      <c r="L620" s="48" t="s">
        <v>2877</v>
      </c>
      <c r="M620" s="48" t="s">
        <v>2878</v>
      </c>
      <c r="N620" s="48" t="s">
        <v>2565</v>
      </c>
      <c r="P620" s="48" t="s">
        <v>2452</v>
      </c>
      <c r="Q620" s="48" t="s">
        <v>63</v>
      </c>
      <c r="R620" s="48" t="s">
        <v>63</v>
      </c>
      <c r="S620" s="48" t="s">
        <v>2846</v>
      </c>
      <c r="U620" s="55"/>
      <c r="W620" s="48" t="s">
        <v>2679</v>
      </c>
      <c r="X620" s="48" t="s">
        <v>2679</v>
      </c>
    </row>
    <row r="621" spans="1:24">
      <c r="A621" s="48">
        <f t="shared" si="9"/>
        <v>620</v>
      </c>
      <c r="B621" s="54" t="s">
        <v>2879</v>
      </c>
      <c r="C621" s="48" t="s">
        <v>293</v>
      </c>
      <c r="D621" s="48" t="s">
        <v>293</v>
      </c>
      <c r="E621" s="48" t="s">
        <v>61</v>
      </c>
      <c r="F621" s="48" t="s">
        <v>2880</v>
      </c>
      <c r="G621" s="48">
        <v>8459324407</v>
      </c>
      <c r="H621" s="48" t="s">
        <v>2881</v>
      </c>
      <c r="J621" s="48" t="s">
        <v>2711</v>
      </c>
      <c r="L621" s="48" t="s">
        <v>2683</v>
      </c>
      <c r="M621" s="48" t="s">
        <v>2882</v>
      </c>
      <c r="N621" s="48" t="s">
        <v>2883</v>
      </c>
      <c r="P621" s="48" t="s">
        <v>2599</v>
      </c>
      <c r="Q621" s="48" t="s">
        <v>63</v>
      </c>
      <c r="R621" s="48" t="s">
        <v>63</v>
      </c>
      <c r="S621" s="48" t="s">
        <v>2702</v>
      </c>
      <c r="U621" s="55"/>
      <c r="W621" s="48" t="s">
        <v>2679</v>
      </c>
      <c r="X621" s="48" t="s">
        <v>2679</v>
      </c>
    </row>
    <row r="622" spans="1:24">
      <c r="A622" s="48">
        <f t="shared" si="9"/>
        <v>621</v>
      </c>
      <c r="B622" s="54" t="s">
        <v>2879</v>
      </c>
      <c r="C622" s="48" t="s">
        <v>293</v>
      </c>
      <c r="D622" s="48" t="s">
        <v>293</v>
      </c>
      <c r="E622" s="48" t="s">
        <v>61</v>
      </c>
      <c r="F622" s="48" t="s">
        <v>2884</v>
      </c>
      <c r="G622" s="48">
        <v>9420474391</v>
      </c>
      <c r="H622" s="48" t="s">
        <v>2885</v>
      </c>
      <c r="J622" s="48" t="s">
        <v>2711</v>
      </c>
      <c r="L622" s="48" t="s">
        <v>2886</v>
      </c>
      <c r="M622" s="48" t="s">
        <v>2887</v>
      </c>
      <c r="N622" s="48" t="s">
        <v>2888</v>
      </c>
      <c r="P622" s="48" t="s">
        <v>2603</v>
      </c>
      <c r="Q622" s="48" t="s">
        <v>63</v>
      </c>
      <c r="R622" s="48" t="s">
        <v>63</v>
      </c>
      <c r="S622" s="48" t="s">
        <v>2702</v>
      </c>
      <c r="U622" s="55"/>
      <c r="W622" s="48" t="s">
        <v>2679</v>
      </c>
      <c r="X622" s="48" t="s">
        <v>2679</v>
      </c>
    </row>
    <row r="623" spans="1:24">
      <c r="A623" s="48">
        <f t="shared" si="9"/>
        <v>622</v>
      </c>
      <c r="B623" s="54" t="s">
        <v>2879</v>
      </c>
      <c r="C623" s="48" t="s">
        <v>293</v>
      </c>
      <c r="D623" s="48" t="s">
        <v>293</v>
      </c>
      <c r="E623" s="48" t="s">
        <v>61</v>
      </c>
      <c r="F623" s="48" t="s">
        <v>2889</v>
      </c>
      <c r="G623" s="48">
        <v>7066882900</v>
      </c>
      <c r="H623" s="48" t="s">
        <v>2890</v>
      </c>
      <c r="J623" s="48" t="s">
        <v>2711</v>
      </c>
      <c r="L623" s="48" t="s">
        <v>2891</v>
      </c>
      <c r="M623" s="48" t="s">
        <v>2892</v>
      </c>
      <c r="N623" s="48" t="s">
        <v>2872</v>
      </c>
      <c r="P623" s="48" t="s">
        <v>2873</v>
      </c>
      <c r="Q623" s="48" t="s">
        <v>63</v>
      </c>
      <c r="R623" s="48" t="s">
        <v>63</v>
      </c>
      <c r="S623" s="48" t="s">
        <v>2702</v>
      </c>
      <c r="U623" s="55"/>
      <c r="W623" s="48" t="s">
        <v>2679</v>
      </c>
      <c r="X623" s="48" t="s">
        <v>2679</v>
      </c>
    </row>
    <row r="624" spans="1:24">
      <c r="A624" s="48">
        <f t="shared" si="9"/>
        <v>623</v>
      </c>
      <c r="B624" s="54" t="s">
        <v>2879</v>
      </c>
      <c r="C624" s="48" t="s">
        <v>293</v>
      </c>
      <c r="D624" s="48" t="s">
        <v>293</v>
      </c>
      <c r="E624" s="48" t="s">
        <v>61</v>
      </c>
      <c r="F624" s="48" t="s">
        <v>2893</v>
      </c>
      <c r="G624" s="48" t="s">
        <v>2894</v>
      </c>
      <c r="H624" s="48" t="s">
        <v>2895</v>
      </c>
      <c r="J624" s="48" t="s">
        <v>2711</v>
      </c>
      <c r="L624" s="48" t="s">
        <v>2896</v>
      </c>
      <c r="M624" s="48" t="s">
        <v>2897</v>
      </c>
      <c r="N624" s="48" t="s">
        <v>2565</v>
      </c>
      <c r="P624" s="48" t="s">
        <v>2452</v>
      </c>
      <c r="Q624" s="48" t="s">
        <v>63</v>
      </c>
      <c r="R624" s="48" t="s">
        <v>63</v>
      </c>
      <c r="S624" s="48" t="s">
        <v>2702</v>
      </c>
      <c r="U624" s="55"/>
      <c r="W624" s="48" t="s">
        <v>2679</v>
      </c>
      <c r="X624" s="48" t="s">
        <v>2679</v>
      </c>
    </row>
    <row r="625" spans="1:24">
      <c r="A625" s="48">
        <f t="shared" si="9"/>
        <v>624</v>
      </c>
      <c r="B625" s="54" t="s">
        <v>2879</v>
      </c>
      <c r="C625" s="48" t="s">
        <v>293</v>
      </c>
      <c r="D625" s="48" t="s">
        <v>293</v>
      </c>
      <c r="E625" s="48" t="s">
        <v>61</v>
      </c>
      <c r="F625" s="48" t="s">
        <v>2898</v>
      </c>
      <c r="G625" s="48">
        <v>7660830074</v>
      </c>
      <c r="H625" s="48" t="s">
        <v>2899</v>
      </c>
      <c r="J625" s="48" t="s">
        <v>2711</v>
      </c>
      <c r="L625" s="48" t="s">
        <v>2900</v>
      </c>
      <c r="M625" s="48" t="s">
        <v>2901</v>
      </c>
      <c r="N625" s="48" t="s">
        <v>2565</v>
      </c>
      <c r="P625" s="48" t="s">
        <v>2452</v>
      </c>
      <c r="Q625" s="48" t="s">
        <v>63</v>
      </c>
      <c r="R625" s="48" t="s">
        <v>63</v>
      </c>
      <c r="S625" s="48" t="s">
        <v>2702</v>
      </c>
      <c r="U625" s="55"/>
      <c r="W625" s="48" t="s">
        <v>2679</v>
      </c>
      <c r="X625" s="48" t="s">
        <v>2679</v>
      </c>
    </row>
    <row r="626" spans="1:24">
      <c r="A626" s="48">
        <f t="shared" si="9"/>
        <v>625</v>
      </c>
      <c r="B626" s="54" t="s">
        <v>2879</v>
      </c>
      <c r="C626" s="48" t="s">
        <v>293</v>
      </c>
      <c r="D626" s="48" t="s">
        <v>293</v>
      </c>
      <c r="E626" s="48" t="s">
        <v>61</v>
      </c>
      <c r="F626" s="48" t="s">
        <v>2902</v>
      </c>
      <c r="G626" s="48">
        <v>9552395153</v>
      </c>
      <c r="H626" s="48" t="s">
        <v>2903</v>
      </c>
      <c r="J626" s="48" t="s">
        <v>2711</v>
      </c>
      <c r="L626" s="48" t="s">
        <v>2683</v>
      </c>
      <c r="M626" s="48" t="s">
        <v>2904</v>
      </c>
      <c r="N626" s="48" t="s">
        <v>2701</v>
      </c>
      <c r="P626" s="48" t="s">
        <v>2873</v>
      </c>
      <c r="Q626" s="48" t="s">
        <v>63</v>
      </c>
      <c r="R626" s="48" t="s">
        <v>63</v>
      </c>
      <c r="S626" s="48" t="s">
        <v>2702</v>
      </c>
      <c r="U626" s="55"/>
      <c r="W626" s="48" t="s">
        <v>2679</v>
      </c>
      <c r="X626" s="48" t="s">
        <v>2679</v>
      </c>
    </row>
    <row r="627" spans="1:24">
      <c r="A627" s="48">
        <f t="shared" si="9"/>
        <v>626</v>
      </c>
      <c r="B627" s="54" t="s">
        <v>2879</v>
      </c>
      <c r="C627" s="48" t="s">
        <v>293</v>
      </c>
      <c r="D627" s="48" t="s">
        <v>293</v>
      </c>
      <c r="E627" s="48" t="s">
        <v>61</v>
      </c>
      <c r="F627" s="48" t="s">
        <v>2905</v>
      </c>
      <c r="G627" s="48">
        <v>9527934773</v>
      </c>
      <c r="H627" s="48" t="s">
        <v>2906</v>
      </c>
      <c r="J627" s="48" t="s">
        <v>2711</v>
      </c>
      <c r="L627" s="48" t="s">
        <v>2907</v>
      </c>
      <c r="M627" s="48" t="s">
        <v>2908</v>
      </c>
      <c r="N627" s="48" t="s">
        <v>2486</v>
      </c>
      <c r="P627" s="48" t="s">
        <v>2656</v>
      </c>
      <c r="Q627" s="48" t="s">
        <v>63</v>
      </c>
      <c r="R627" s="48" t="s">
        <v>63</v>
      </c>
      <c r="S627" s="48" t="s">
        <v>2702</v>
      </c>
      <c r="U627" s="55"/>
      <c r="W627" s="48" t="s">
        <v>2679</v>
      </c>
      <c r="X627" s="48" t="s">
        <v>2679</v>
      </c>
    </row>
    <row r="628" spans="1:24">
      <c r="A628" s="48">
        <f t="shared" si="9"/>
        <v>627</v>
      </c>
      <c r="B628" s="54" t="s">
        <v>2879</v>
      </c>
      <c r="C628" s="48" t="s">
        <v>293</v>
      </c>
      <c r="D628" s="48" t="s">
        <v>293</v>
      </c>
      <c r="E628" s="48" t="s">
        <v>61</v>
      </c>
      <c r="F628" s="48" t="s">
        <v>2909</v>
      </c>
      <c r="G628" s="48">
        <v>8308367051</v>
      </c>
      <c r="H628" s="48" t="s">
        <v>2910</v>
      </c>
      <c r="J628" s="48" t="s">
        <v>2711</v>
      </c>
      <c r="L628" s="48" t="s">
        <v>2911</v>
      </c>
      <c r="M628" s="48" t="s">
        <v>2912</v>
      </c>
      <c r="N628" s="48" t="s">
        <v>61</v>
      </c>
      <c r="P628" s="48" t="s">
        <v>61</v>
      </c>
      <c r="Q628" s="48" t="s">
        <v>61</v>
      </c>
      <c r="R628" s="48" t="s">
        <v>61</v>
      </c>
      <c r="S628" s="48" t="s">
        <v>61</v>
      </c>
      <c r="U628" s="55"/>
      <c r="W628" s="48" t="s">
        <v>2679</v>
      </c>
      <c r="X628" s="48" t="s">
        <v>2679</v>
      </c>
    </row>
    <row r="629" spans="1:24">
      <c r="A629" s="48">
        <f t="shared" si="9"/>
        <v>628</v>
      </c>
      <c r="B629" s="54" t="s">
        <v>2879</v>
      </c>
      <c r="C629" s="48" t="s">
        <v>293</v>
      </c>
      <c r="D629" s="48" t="s">
        <v>293</v>
      </c>
      <c r="E629" s="48" t="s">
        <v>61</v>
      </c>
      <c r="F629" s="48" t="s">
        <v>2709</v>
      </c>
      <c r="G629" s="48">
        <v>9172827183</v>
      </c>
      <c r="H629" s="48" t="s">
        <v>2710</v>
      </c>
      <c r="J629" s="48" t="s">
        <v>2711</v>
      </c>
      <c r="L629" s="48" t="s">
        <v>61</v>
      </c>
      <c r="M629" s="48" t="s">
        <v>61</v>
      </c>
      <c r="N629" s="48" t="s">
        <v>61</v>
      </c>
      <c r="P629" s="48" t="s">
        <v>61</v>
      </c>
      <c r="Q629" s="48" t="s">
        <v>61</v>
      </c>
      <c r="R629" s="48" t="s">
        <v>61</v>
      </c>
      <c r="S629" s="48" t="s">
        <v>61</v>
      </c>
      <c r="U629" s="55"/>
      <c r="W629" s="48" t="s">
        <v>2679</v>
      </c>
      <c r="X629" s="48" t="s">
        <v>2679</v>
      </c>
    </row>
    <row r="630" spans="1:24">
      <c r="A630" s="48">
        <f t="shared" si="9"/>
        <v>629</v>
      </c>
      <c r="B630" s="54" t="s">
        <v>2879</v>
      </c>
      <c r="C630" s="48" t="s">
        <v>61</v>
      </c>
      <c r="D630" s="48" t="s">
        <v>61</v>
      </c>
      <c r="E630" s="48" t="s">
        <v>61</v>
      </c>
      <c r="F630" s="48" t="s">
        <v>2681</v>
      </c>
      <c r="G630" s="48">
        <v>8709196607</v>
      </c>
      <c r="H630" s="48" t="s">
        <v>2682</v>
      </c>
      <c r="J630" s="48" t="s">
        <v>2711</v>
      </c>
      <c r="L630" s="48" t="s">
        <v>2683</v>
      </c>
      <c r="M630" s="48" t="s">
        <v>2684</v>
      </c>
      <c r="N630" s="48" t="s">
        <v>2447</v>
      </c>
      <c r="P630" s="48" t="s">
        <v>2603</v>
      </c>
      <c r="Q630" s="48" t="s">
        <v>459</v>
      </c>
      <c r="R630" s="48" t="s">
        <v>63</v>
      </c>
      <c r="S630" s="48" t="s">
        <v>2685</v>
      </c>
      <c r="U630" s="55"/>
      <c r="W630" s="48" t="s">
        <v>2679</v>
      </c>
      <c r="X630" s="48" t="s">
        <v>2679</v>
      </c>
    </row>
    <row r="631" spans="1:24">
      <c r="A631" s="48">
        <f t="shared" si="9"/>
        <v>630</v>
      </c>
      <c r="B631" s="54" t="s">
        <v>2913</v>
      </c>
      <c r="C631" s="48" t="s">
        <v>293</v>
      </c>
      <c r="D631" s="48" t="s">
        <v>293</v>
      </c>
      <c r="E631" s="48" t="s">
        <v>61</v>
      </c>
      <c r="F631" s="48" t="s">
        <v>2687</v>
      </c>
      <c r="G631" s="48">
        <v>9346646415</v>
      </c>
      <c r="H631" s="48" t="s">
        <v>2688</v>
      </c>
      <c r="J631" s="48" t="s">
        <v>2711</v>
      </c>
      <c r="L631" s="48" t="s">
        <v>2689</v>
      </c>
      <c r="M631" s="48" t="s">
        <v>2690</v>
      </c>
      <c r="N631" s="48" t="s">
        <v>2441</v>
      </c>
      <c r="P631" s="48" t="s">
        <v>2603</v>
      </c>
      <c r="Q631" s="48" t="s">
        <v>846</v>
      </c>
      <c r="R631" s="48" t="s">
        <v>63</v>
      </c>
      <c r="S631" s="48" t="s">
        <v>2691</v>
      </c>
      <c r="U631" s="55"/>
      <c r="W631" s="48" t="s">
        <v>2679</v>
      </c>
      <c r="X631" s="48" t="s">
        <v>2679</v>
      </c>
    </row>
    <row r="632" spans="1:24">
      <c r="A632" s="48">
        <f t="shared" si="9"/>
        <v>631</v>
      </c>
      <c r="B632" s="54" t="s">
        <v>2913</v>
      </c>
      <c r="C632" s="48" t="s">
        <v>293</v>
      </c>
      <c r="D632" s="48" t="s">
        <v>293</v>
      </c>
      <c r="E632" s="48" t="s">
        <v>61</v>
      </c>
      <c r="F632" s="48" t="s">
        <v>2821</v>
      </c>
      <c r="G632" s="48">
        <v>7219825856</v>
      </c>
      <c r="H632" s="48" t="s">
        <v>2822</v>
      </c>
      <c r="J632" s="48" t="s">
        <v>2711</v>
      </c>
      <c r="L632" s="48">
        <v>4.5</v>
      </c>
      <c r="M632" s="48" t="s">
        <v>365</v>
      </c>
      <c r="N632" s="48">
        <v>5.7</v>
      </c>
      <c r="P632" s="48">
        <v>9</v>
      </c>
      <c r="Q632" s="48" t="s">
        <v>2823</v>
      </c>
      <c r="R632" s="48" t="s">
        <v>63</v>
      </c>
      <c r="S632" s="48" t="s">
        <v>2824</v>
      </c>
      <c r="U632" s="55"/>
      <c r="W632" s="48" t="s">
        <v>2679</v>
      </c>
      <c r="X632" s="48" t="s">
        <v>2679</v>
      </c>
    </row>
    <row r="633" spans="1:24">
      <c r="A633" s="48">
        <f t="shared" si="9"/>
        <v>632</v>
      </c>
      <c r="B633" s="54" t="s">
        <v>2913</v>
      </c>
      <c r="C633" s="48" t="s">
        <v>293</v>
      </c>
      <c r="D633" s="48" t="s">
        <v>293</v>
      </c>
      <c r="E633" s="48" t="s">
        <v>61</v>
      </c>
      <c r="F633" s="48" t="s">
        <v>2914</v>
      </c>
      <c r="G633" s="48">
        <v>7776882724</v>
      </c>
      <c r="H633" s="48" t="s">
        <v>2915</v>
      </c>
      <c r="J633" s="48" t="s">
        <v>2711</v>
      </c>
      <c r="L633" s="48" t="s">
        <v>2911</v>
      </c>
      <c r="M633" s="48" t="s">
        <v>2916</v>
      </c>
      <c r="N633" s="48" t="s">
        <v>2917</v>
      </c>
      <c r="P633" s="48" t="s">
        <v>2428</v>
      </c>
      <c r="Q633" s="48" t="s">
        <v>63</v>
      </c>
      <c r="R633" s="48" t="s">
        <v>63</v>
      </c>
      <c r="S633" s="48" t="s">
        <v>2918</v>
      </c>
      <c r="U633" s="55"/>
      <c r="W633" s="48" t="s">
        <v>2679</v>
      </c>
      <c r="X633" s="48" t="s">
        <v>2679</v>
      </c>
    </row>
    <row r="634" spans="1:24">
      <c r="A634" s="48">
        <f t="shared" si="9"/>
        <v>633</v>
      </c>
      <c r="B634" s="54" t="s">
        <v>2913</v>
      </c>
      <c r="C634" s="48" t="s">
        <v>293</v>
      </c>
      <c r="D634" s="48" t="s">
        <v>293</v>
      </c>
      <c r="E634" s="48" t="s">
        <v>61</v>
      </c>
      <c r="F634" s="48" t="s">
        <v>2919</v>
      </c>
      <c r="G634" s="48">
        <v>9487405532</v>
      </c>
      <c r="H634" s="48" t="s">
        <v>2920</v>
      </c>
      <c r="J634" s="48" t="s">
        <v>2711</v>
      </c>
      <c r="L634" s="48" t="s">
        <v>2489</v>
      </c>
      <c r="M634" s="48" t="s">
        <v>2916</v>
      </c>
      <c r="N634" s="48" t="s">
        <v>2860</v>
      </c>
      <c r="P634" s="48" t="s">
        <v>2428</v>
      </c>
      <c r="Q634" s="48" t="s">
        <v>2921</v>
      </c>
      <c r="R634" s="48" t="s">
        <v>61</v>
      </c>
      <c r="S634" s="48" t="s">
        <v>2836</v>
      </c>
      <c r="U634" s="55"/>
      <c r="W634" s="48" t="s">
        <v>2679</v>
      </c>
      <c r="X634" s="48" t="s">
        <v>2679</v>
      </c>
    </row>
    <row r="635" spans="1:24">
      <c r="A635" s="48">
        <f t="shared" si="9"/>
        <v>634</v>
      </c>
      <c r="B635" s="54">
        <v>45783</v>
      </c>
      <c r="C635" s="48" t="s">
        <v>2922</v>
      </c>
      <c r="D635" s="48" t="s">
        <v>2922</v>
      </c>
      <c r="E635" s="48" t="s">
        <v>61</v>
      </c>
      <c r="F635" s="48" t="s">
        <v>2923</v>
      </c>
      <c r="G635" s="48">
        <v>9915944502</v>
      </c>
      <c r="H635" s="48" t="s">
        <v>2924</v>
      </c>
      <c r="J635" s="48" t="s">
        <v>2925</v>
      </c>
      <c r="L635" s="48" t="s">
        <v>2926</v>
      </c>
      <c r="M635" s="48" t="s">
        <v>995</v>
      </c>
      <c r="N635" s="48" t="s">
        <v>2707</v>
      </c>
      <c r="P635" s="48" t="s">
        <v>2428</v>
      </c>
      <c r="Q635" s="48" t="s">
        <v>63</v>
      </c>
      <c r="R635" s="48" t="s">
        <v>63</v>
      </c>
      <c r="S635" s="48" t="s">
        <v>2927</v>
      </c>
      <c r="U635" s="55"/>
      <c r="W635" s="48" t="s">
        <v>2679</v>
      </c>
      <c r="X635" s="48" t="s">
        <v>2679</v>
      </c>
    </row>
    <row r="636" spans="1:24">
      <c r="A636" s="48">
        <f t="shared" si="9"/>
        <v>635</v>
      </c>
      <c r="B636" s="54">
        <v>45783</v>
      </c>
      <c r="C636" s="48" t="s">
        <v>2922</v>
      </c>
      <c r="D636" s="48" t="s">
        <v>2922</v>
      </c>
      <c r="E636" s="48" t="s">
        <v>61</v>
      </c>
      <c r="F636" s="48" t="s">
        <v>2928</v>
      </c>
      <c r="G636" s="48">
        <v>9986708151</v>
      </c>
      <c r="H636" s="48" t="s">
        <v>2929</v>
      </c>
      <c r="J636" s="48" t="s">
        <v>2925</v>
      </c>
      <c r="L636" s="48" t="s">
        <v>2930</v>
      </c>
      <c r="M636" s="48" t="s">
        <v>2931</v>
      </c>
      <c r="N636" s="48" t="s">
        <v>2932</v>
      </c>
      <c r="P636" s="48" t="s">
        <v>2428</v>
      </c>
      <c r="Q636" s="48" t="s">
        <v>2696</v>
      </c>
      <c r="R636" s="48" t="s">
        <v>63</v>
      </c>
      <c r="S636" s="48" t="s">
        <v>2933</v>
      </c>
      <c r="U636" s="55"/>
      <c r="W636" s="48" t="s">
        <v>2679</v>
      </c>
      <c r="X636" s="48" t="s">
        <v>2679</v>
      </c>
    </row>
    <row r="637" spans="1:24">
      <c r="A637" s="48">
        <f t="shared" si="9"/>
        <v>636</v>
      </c>
      <c r="B637" s="54">
        <v>45783</v>
      </c>
      <c r="C637" s="48" t="s">
        <v>2922</v>
      </c>
      <c r="D637" s="48" t="s">
        <v>2922</v>
      </c>
      <c r="E637" s="48" t="s">
        <v>61</v>
      </c>
      <c r="F637" s="48" t="s">
        <v>2934</v>
      </c>
      <c r="G637" s="48">
        <v>9767060214</v>
      </c>
      <c r="H637" s="48" t="s">
        <v>2935</v>
      </c>
      <c r="J637" s="48" t="s">
        <v>2925</v>
      </c>
      <c r="L637" s="48" t="s">
        <v>2926</v>
      </c>
      <c r="M637" s="48" t="s">
        <v>2936</v>
      </c>
      <c r="N637" s="48" t="s">
        <v>2603</v>
      </c>
      <c r="P637" s="48" t="s">
        <v>2497</v>
      </c>
      <c r="Q637" s="48" t="s">
        <v>63</v>
      </c>
      <c r="R637" s="48" t="s">
        <v>63</v>
      </c>
      <c r="S637" s="48" t="s">
        <v>2697</v>
      </c>
      <c r="U637" s="55"/>
      <c r="W637" s="48" t="s">
        <v>2679</v>
      </c>
      <c r="X637" s="48" t="s">
        <v>2679</v>
      </c>
    </row>
    <row r="638" spans="1:24">
      <c r="A638" s="48">
        <f t="shared" si="9"/>
        <v>637</v>
      </c>
      <c r="B638" s="54">
        <v>45906</v>
      </c>
      <c r="C638" s="48" t="s">
        <v>2922</v>
      </c>
      <c r="D638" s="48" t="s">
        <v>2922</v>
      </c>
      <c r="E638" s="48" t="s">
        <v>61</v>
      </c>
      <c r="F638" s="48" t="s">
        <v>2937</v>
      </c>
      <c r="G638" s="48">
        <v>98660455314</v>
      </c>
      <c r="H638" s="48" t="s">
        <v>2938</v>
      </c>
      <c r="J638" s="48" t="s">
        <v>2939</v>
      </c>
      <c r="L638" s="48">
        <v>4</v>
      </c>
      <c r="M638" s="48" t="s">
        <v>2940</v>
      </c>
      <c r="N638" s="48">
        <v>9.6</v>
      </c>
      <c r="P638" s="48">
        <v>13</v>
      </c>
      <c r="Q638" s="48" t="s">
        <v>2696</v>
      </c>
      <c r="R638" s="48" t="s">
        <v>63</v>
      </c>
      <c r="S638" s="48" t="s">
        <v>2941</v>
      </c>
      <c r="U638" s="55"/>
      <c r="W638" s="48" t="s">
        <v>2679</v>
      </c>
      <c r="X638" s="48" t="s">
        <v>2679</v>
      </c>
    </row>
    <row r="639" spans="1:24">
      <c r="A639" s="48">
        <f t="shared" si="9"/>
        <v>638</v>
      </c>
      <c r="B639" s="54">
        <v>45906</v>
      </c>
      <c r="C639" s="48" t="s">
        <v>2922</v>
      </c>
      <c r="D639" s="48" t="s">
        <v>2922</v>
      </c>
      <c r="E639" s="48" t="s">
        <v>61</v>
      </c>
      <c r="F639" s="48" t="s">
        <v>2942</v>
      </c>
      <c r="G639" s="48">
        <v>960473550</v>
      </c>
      <c r="H639" s="48" t="s">
        <v>2943</v>
      </c>
      <c r="J639" s="48" t="s">
        <v>2939</v>
      </c>
      <c r="L639" s="48">
        <v>4</v>
      </c>
      <c r="M639" s="48" t="s">
        <v>869</v>
      </c>
      <c r="N639" s="48">
        <v>7.2</v>
      </c>
      <c r="P639" s="48">
        <v>12</v>
      </c>
      <c r="Q639" s="48" t="s">
        <v>63</v>
      </c>
      <c r="R639" s="48" t="s">
        <v>63</v>
      </c>
      <c r="S639" s="48" t="s">
        <v>255</v>
      </c>
      <c r="U639" s="55"/>
      <c r="W639" s="48" t="s">
        <v>2679</v>
      </c>
      <c r="X639" s="48" t="s">
        <v>2679</v>
      </c>
    </row>
    <row r="640" spans="1:24">
      <c r="A640" s="48">
        <f t="shared" si="9"/>
        <v>639</v>
      </c>
      <c r="B640" s="54">
        <v>45906</v>
      </c>
      <c r="C640" s="48" t="s">
        <v>2922</v>
      </c>
      <c r="D640" s="48" t="s">
        <v>2922</v>
      </c>
      <c r="E640" s="48" t="s">
        <v>61</v>
      </c>
      <c r="F640" s="48" t="s">
        <v>2923</v>
      </c>
      <c r="G640" s="48">
        <v>9915944502</v>
      </c>
      <c r="H640" s="48" t="s">
        <v>2924</v>
      </c>
      <c r="J640" s="48" t="s">
        <v>2939</v>
      </c>
      <c r="L640" s="48">
        <v>4</v>
      </c>
      <c r="M640" s="48" t="s">
        <v>995</v>
      </c>
      <c r="N640" s="48">
        <v>7</v>
      </c>
      <c r="P640" s="48">
        <v>14</v>
      </c>
      <c r="Q640" s="48" t="s">
        <v>802</v>
      </c>
      <c r="R640" s="48" t="s">
        <v>63</v>
      </c>
      <c r="S640" s="48" t="s">
        <v>255</v>
      </c>
      <c r="U640" s="55"/>
      <c r="W640" s="48" t="s">
        <v>2679</v>
      </c>
      <c r="X640" s="48" t="s">
        <v>2679</v>
      </c>
    </row>
    <row r="641" spans="1:24">
      <c r="A641" s="48">
        <f t="shared" si="9"/>
        <v>640</v>
      </c>
      <c r="B641" s="54">
        <v>45906</v>
      </c>
      <c r="C641" s="48" t="s">
        <v>2922</v>
      </c>
      <c r="D641" s="48" t="s">
        <v>2922</v>
      </c>
      <c r="E641" s="48" t="s">
        <v>61</v>
      </c>
      <c r="F641" s="48" t="s">
        <v>2944</v>
      </c>
      <c r="G641" s="48">
        <v>9942172061</v>
      </c>
      <c r="H641" s="48" t="s">
        <v>2945</v>
      </c>
      <c r="J641" s="48" t="s">
        <v>2939</v>
      </c>
      <c r="L641" s="48">
        <v>5</v>
      </c>
      <c r="M641" s="48" t="s">
        <v>864</v>
      </c>
      <c r="N641" s="48">
        <v>8.5</v>
      </c>
      <c r="P641" s="48">
        <v>14</v>
      </c>
      <c r="Q641" s="48" t="s">
        <v>2946</v>
      </c>
      <c r="R641" s="48" t="s">
        <v>63</v>
      </c>
      <c r="S641" s="48" t="s">
        <v>361</v>
      </c>
      <c r="U641" s="55"/>
      <c r="W641" s="48" t="s">
        <v>2679</v>
      </c>
      <c r="X641" s="48" t="s">
        <v>2679</v>
      </c>
    </row>
    <row r="642" spans="1:24">
      <c r="A642" s="48">
        <f t="shared" si="9"/>
        <v>641</v>
      </c>
      <c r="B642" s="54">
        <v>45997</v>
      </c>
      <c r="C642" s="48" t="s">
        <v>209</v>
      </c>
      <c r="D642" s="48" t="s">
        <v>209</v>
      </c>
      <c r="E642" s="48" t="s">
        <v>61</v>
      </c>
      <c r="F642" s="48" t="s">
        <v>2947</v>
      </c>
      <c r="G642" s="48">
        <v>9581618516</v>
      </c>
      <c r="H642" s="48" t="s">
        <v>2948</v>
      </c>
      <c r="J642" s="48" t="s">
        <v>2939</v>
      </c>
      <c r="L642" s="48">
        <v>5.2</v>
      </c>
      <c r="M642" s="48" t="s">
        <v>1631</v>
      </c>
      <c r="N642" s="48">
        <v>5.2</v>
      </c>
      <c r="P642" s="48">
        <v>22</v>
      </c>
      <c r="Q642" s="48" t="s">
        <v>802</v>
      </c>
      <c r="R642" s="48" t="s">
        <v>63</v>
      </c>
      <c r="S642" s="48" t="s">
        <v>2949</v>
      </c>
      <c r="U642" s="55"/>
      <c r="W642" s="48" t="s">
        <v>2679</v>
      </c>
      <c r="X642" s="48" t="s">
        <v>2679</v>
      </c>
    </row>
    <row r="643" spans="1:24">
      <c r="A643" s="48">
        <f t="shared" ref="A643:A706" si="10">A642+1</f>
        <v>642</v>
      </c>
      <c r="B643" s="54">
        <v>45997</v>
      </c>
      <c r="C643" s="48" t="s">
        <v>209</v>
      </c>
      <c r="D643" s="48" t="s">
        <v>209</v>
      </c>
      <c r="E643" s="48" t="s">
        <v>61</v>
      </c>
      <c r="F643" s="48" t="s">
        <v>2950</v>
      </c>
      <c r="G643" s="48">
        <v>7415785898</v>
      </c>
      <c r="H643" s="48" t="s">
        <v>2951</v>
      </c>
      <c r="J643" s="48" t="s">
        <v>2939</v>
      </c>
      <c r="L643" s="48">
        <v>8</v>
      </c>
      <c r="M643" s="48" t="s">
        <v>869</v>
      </c>
      <c r="N643" s="48">
        <v>8</v>
      </c>
      <c r="P643" s="48">
        <v>16</v>
      </c>
      <c r="Q643" s="48" t="s">
        <v>484</v>
      </c>
      <c r="R643" s="48" t="s">
        <v>63</v>
      </c>
      <c r="S643" s="48" t="s">
        <v>361</v>
      </c>
      <c r="U643" s="55"/>
      <c r="W643" s="48" t="s">
        <v>2679</v>
      </c>
      <c r="X643" s="48" t="s">
        <v>2679</v>
      </c>
    </row>
    <row r="644" spans="1:24">
      <c r="A644" s="48">
        <f t="shared" si="10"/>
        <v>643</v>
      </c>
      <c r="B644" s="54">
        <v>45997</v>
      </c>
      <c r="C644" s="48" t="s">
        <v>209</v>
      </c>
      <c r="D644" s="48" t="s">
        <v>209</v>
      </c>
      <c r="E644" s="48" t="s">
        <v>61</v>
      </c>
      <c r="F644" s="48" t="s">
        <v>2952</v>
      </c>
      <c r="G644" s="48">
        <v>8237407518</v>
      </c>
      <c r="H644" s="48" t="s">
        <v>2953</v>
      </c>
      <c r="J644" s="48" t="s">
        <v>2939</v>
      </c>
      <c r="L644" s="48">
        <v>6</v>
      </c>
      <c r="M644" s="48" t="s">
        <v>2954</v>
      </c>
      <c r="N644" s="48">
        <v>6</v>
      </c>
      <c r="P644" s="48">
        <v>15.6</v>
      </c>
      <c r="Q644" s="48" t="s">
        <v>792</v>
      </c>
      <c r="R644" s="48" t="s">
        <v>63</v>
      </c>
      <c r="S644" s="48" t="s">
        <v>2955</v>
      </c>
      <c r="U644" s="55"/>
      <c r="W644" s="48" t="s">
        <v>2679</v>
      </c>
      <c r="X644" s="48" t="s">
        <v>2679</v>
      </c>
    </row>
    <row r="645" spans="1:24">
      <c r="A645" s="48">
        <f t="shared" si="10"/>
        <v>644</v>
      </c>
      <c r="B645" s="54" t="s">
        <v>2956</v>
      </c>
      <c r="C645" s="48" t="s">
        <v>61</v>
      </c>
      <c r="D645" s="48" t="s">
        <v>61</v>
      </c>
      <c r="E645" s="48" t="s">
        <v>61</v>
      </c>
      <c r="F645" s="48" t="s">
        <v>2957</v>
      </c>
      <c r="G645" s="48">
        <v>9595918062</v>
      </c>
      <c r="H645" s="48" t="s">
        <v>2958</v>
      </c>
      <c r="J645" s="48" t="s">
        <v>2959</v>
      </c>
      <c r="L645" s="48" t="s">
        <v>2960</v>
      </c>
      <c r="M645" s="48" t="s">
        <v>2961</v>
      </c>
      <c r="N645" s="48" t="s">
        <v>2962</v>
      </c>
      <c r="P645" s="48" t="s">
        <v>2491</v>
      </c>
      <c r="Q645" s="48" t="s">
        <v>63</v>
      </c>
      <c r="R645" s="48" t="s">
        <v>63</v>
      </c>
      <c r="S645" s="48" t="s">
        <v>2963</v>
      </c>
      <c r="U645" s="55"/>
      <c r="W645" s="48" t="s">
        <v>2679</v>
      </c>
      <c r="X645" s="48" t="s">
        <v>2679</v>
      </c>
    </row>
    <row r="646" spans="1:24">
      <c r="A646" s="48">
        <f t="shared" si="10"/>
        <v>645</v>
      </c>
      <c r="B646" s="54" t="s">
        <v>2956</v>
      </c>
      <c r="C646" s="48" t="s">
        <v>209</v>
      </c>
      <c r="D646" s="48" t="s">
        <v>209</v>
      </c>
      <c r="E646" s="48" t="s">
        <v>61</v>
      </c>
      <c r="F646" s="48" t="s">
        <v>2964</v>
      </c>
      <c r="G646" s="48">
        <v>7007809066</v>
      </c>
      <c r="H646" s="48" t="s">
        <v>2965</v>
      </c>
      <c r="J646" s="48" t="s">
        <v>2959</v>
      </c>
      <c r="L646" s="48" t="s">
        <v>2926</v>
      </c>
      <c r="M646" s="48" t="s">
        <v>2966</v>
      </c>
      <c r="N646" s="48" t="s">
        <v>2428</v>
      </c>
      <c r="P646" s="48" t="s">
        <v>2498</v>
      </c>
      <c r="Q646" s="48" t="s">
        <v>63</v>
      </c>
      <c r="R646" s="48" t="s">
        <v>63</v>
      </c>
      <c r="S646" s="48" t="s">
        <v>2967</v>
      </c>
      <c r="U646" s="55"/>
      <c r="W646" s="48" t="s">
        <v>2679</v>
      </c>
      <c r="X646" s="48" t="s">
        <v>2679</v>
      </c>
    </row>
    <row r="647" spans="1:24">
      <c r="A647" s="48">
        <f t="shared" si="10"/>
        <v>646</v>
      </c>
      <c r="B647" s="54" t="s">
        <v>2956</v>
      </c>
      <c r="C647" s="48" t="s">
        <v>61</v>
      </c>
      <c r="D647" s="48" t="s">
        <v>61</v>
      </c>
      <c r="E647" s="48" t="s">
        <v>61</v>
      </c>
      <c r="F647" s="48" t="s">
        <v>2968</v>
      </c>
      <c r="G647" s="48">
        <v>8888762742</v>
      </c>
      <c r="H647" s="48" t="s">
        <v>2969</v>
      </c>
      <c r="J647" s="48" t="s">
        <v>2959</v>
      </c>
      <c r="L647" s="48" t="s">
        <v>2489</v>
      </c>
      <c r="M647" s="48" t="s">
        <v>2970</v>
      </c>
      <c r="N647" s="48" t="s">
        <v>2406</v>
      </c>
      <c r="P647" s="48" t="s">
        <v>2971</v>
      </c>
      <c r="Q647" s="48" t="s">
        <v>63</v>
      </c>
      <c r="R647" s="48" t="s">
        <v>63</v>
      </c>
      <c r="S647" s="48" t="s">
        <v>2972</v>
      </c>
      <c r="U647" s="55"/>
      <c r="W647" s="48" t="s">
        <v>2679</v>
      </c>
      <c r="X647" s="48" t="s">
        <v>2679</v>
      </c>
    </row>
    <row r="648" spans="1:24">
      <c r="A648" s="48">
        <f t="shared" si="10"/>
        <v>647</v>
      </c>
      <c r="B648" s="54" t="s">
        <v>2973</v>
      </c>
      <c r="C648" s="48" t="s">
        <v>209</v>
      </c>
      <c r="D648" s="48" t="s">
        <v>209</v>
      </c>
      <c r="E648" s="48" t="s">
        <v>61</v>
      </c>
      <c r="F648" s="48" t="s">
        <v>2974</v>
      </c>
      <c r="G648" s="48">
        <v>9021242127</v>
      </c>
      <c r="H648" s="48" t="s">
        <v>2975</v>
      </c>
      <c r="J648" s="48" t="s">
        <v>2976</v>
      </c>
      <c r="L648" s="48" t="s">
        <v>2977</v>
      </c>
      <c r="M648" s="48" t="s">
        <v>2978</v>
      </c>
      <c r="N648" s="48" t="s">
        <v>2979</v>
      </c>
      <c r="P648" s="48" t="s">
        <v>2980</v>
      </c>
      <c r="Q648" s="48" t="s">
        <v>63</v>
      </c>
      <c r="R648" s="48" t="s">
        <v>63</v>
      </c>
      <c r="S648" s="48" t="s">
        <v>2981</v>
      </c>
      <c r="U648" s="55"/>
      <c r="W648" s="48" t="s">
        <v>2679</v>
      </c>
      <c r="X648" s="48" t="s">
        <v>2679</v>
      </c>
    </row>
    <row r="649" spans="1:24">
      <c r="A649" s="48">
        <f t="shared" si="10"/>
        <v>648</v>
      </c>
      <c r="B649" s="54" t="s">
        <v>2973</v>
      </c>
      <c r="C649" s="48" t="s">
        <v>209</v>
      </c>
      <c r="D649" s="48" t="s">
        <v>209</v>
      </c>
      <c r="E649" s="48" t="s">
        <v>61</v>
      </c>
      <c r="F649" s="48" t="s">
        <v>2982</v>
      </c>
      <c r="G649" s="48">
        <v>8668208756</v>
      </c>
      <c r="H649" s="48" t="s">
        <v>2983</v>
      </c>
      <c r="J649" s="48" t="s">
        <v>2984</v>
      </c>
      <c r="L649" s="48" t="s">
        <v>2985</v>
      </c>
      <c r="M649" s="48" t="s">
        <v>2986</v>
      </c>
      <c r="N649" s="48" t="s">
        <v>2987</v>
      </c>
      <c r="P649" s="48" t="s">
        <v>2576</v>
      </c>
      <c r="Q649" s="48" t="s">
        <v>63</v>
      </c>
      <c r="R649" s="48" t="s">
        <v>63</v>
      </c>
      <c r="S649" s="48" t="s">
        <v>2981</v>
      </c>
      <c r="U649" s="55"/>
      <c r="W649" s="48" t="s">
        <v>2679</v>
      </c>
      <c r="X649" s="48" t="s">
        <v>2679</v>
      </c>
    </row>
    <row r="650" spans="1:24">
      <c r="A650" s="48">
        <f t="shared" si="10"/>
        <v>649</v>
      </c>
      <c r="B650" s="54" t="s">
        <v>2973</v>
      </c>
      <c r="C650" s="48" t="s">
        <v>209</v>
      </c>
      <c r="D650" s="48" t="s">
        <v>209</v>
      </c>
      <c r="E650" s="48" t="s">
        <v>61</v>
      </c>
      <c r="F650" s="48" t="s">
        <v>2988</v>
      </c>
      <c r="G650" s="48">
        <v>9689881997</v>
      </c>
      <c r="H650" s="48" t="s">
        <v>2989</v>
      </c>
      <c r="J650" s="48" t="s">
        <v>2984</v>
      </c>
      <c r="L650" s="48" t="s">
        <v>2845</v>
      </c>
      <c r="M650" s="48" t="s">
        <v>2990</v>
      </c>
      <c r="N650" s="48" t="s">
        <v>2991</v>
      </c>
      <c r="P650" s="48" t="s">
        <v>2991</v>
      </c>
      <c r="Q650" s="48" t="s">
        <v>63</v>
      </c>
      <c r="R650" s="48" t="s">
        <v>63</v>
      </c>
      <c r="S650" s="48" t="s">
        <v>2708</v>
      </c>
      <c r="U650" s="55"/>
      <c r="W650" s="48" t="s">
        <v>2679</v>
      </c>
      <c r="X650" s="48" t="s">
        <v>2679</v>
      </c>
    </row>
    <row r="651" spans="1:24">
      <c r="A651" s="48">
        <f t="shared" si="10"/>
        <v>650</v>
      </c>
      <c r="B651" s="54" t="s">
        <v>2973</v>
      </c>
      <c r="C651" s="48" t="s">
        <v>209</v>
      </c>
      <c r="D651" s="48" t="s">
        <v>209</v>
      </c>
      <c r="E651" s="48" t="s">
        <v>61</v>
      </c>
      <c r="F651" s="48" t="s">
        <v>2992</v>
      </c>
      <c r="G651" s="48">
        <v>8698611775</v>
      </c>
      <c r="H651" s="48" t="s">
        <v>2993</v>
      </c>
      <c r="J651" s="48" t="s">
        <v>2984</v>
      </c>
      <c r="L651" s="48" t="s">
        <v>2911</v>
      </c>
      <c r="M651" s="48" t="s">
        <v>2994</v>
      </c>
      <c r="N651" s="48" t="s">
        <v>164</v>
      </c>
      <c r="P651" s="48" t="s">
        <v>164</v>
      </c>
      <c r="Q651" s="48" t="s">
        <v>63</v>
      </c>
      <c r="R651" s="48" t="s">
        <v>63</v>
      </c>
      <c r="S651" s="48" t="s">
        <v>2981</v>
      </c>
      <c r="U651" s="55"/>
      <c r="W651" s="48" t="s">
        <v>2679</v>
      </c>
      <c r="X651" s="48" t="s">
        <v>2679</v>
      </c>
    </row>
    <row r="652" spans="1:24">
      <c r="A652" s="48">
        <f t="shared" si="10"/>
        <v>651</v>
      </c>
      <c r="B652" s="54" t="s">
        <v>2973</v>
      </c>
      <c r="C652" s="48" t="s">
        <v>209</v>
      </c>
      <c r="D652" s="48" t="s">
        <v>209</v>
      </c>
      <c r="E652" s="48" t="s">
        <v>61</v>
      </c>
      <c r="F652" s="48" t="s">
        <v>2995</v>
      </c>
      <c r="G652" s="48">
        <v>9604542611</v>
      </c>
      <c r="H652" s="48" t="s">
        <v>2996</v>
      </c>
      <c r="J652" s="48" t="s">
        <v>2984</v>
      </c>
      <c r="L652" s="48" t="s">
        <v>2997</v>
      </c>
      <c r="M652" s="48" t="s">
        <v>2998</v>
      </c>
      <c r="N652" s="48" t="s">
        <v>2999</v>
      </c>
      <c r="P652" s="48" t="s">
        <v>540</v>
      </c>
      <c r="Q652" s="48" t="s">
        <v>63</v>
      </c>
      <c r="R652" s="48" t="s">
        <v>63</v>
      </c>
      <c r="S652" s="48" t="s">
        <v>2702</v>
      </c>
      <c r="U652" s="55"/>
      <c r="W652" s="48" t="s">
        <v>2679</v>
      </c>
      <c r="X652" s="48" t="s">
        <v>2679</v>
      </c>
    </row>
    <row r="653" spans="1:24">
      <c r="A653" s="48">
        <f t="shared" si="10"/>
        <v>652</v>
      </c>
      <c r="B653" s="54" t="s">
        <v>2797</v>
      </c>
      <c r="C653" s="48" t="s">
        <v>2874</v>
      </c>
      <c r="D653" s="48" t="s">
        <v>2874</v>
      </c>
      <c r="E653" s="48" t="s">
        <v>61</v>
      </c>
      <c r="F653" s="48" t="s">
        <v>3000</v>
      </c>
      <c r="G653" s="48">
        <v>9730996626</v>
      </c>
      <c r="H653" s="48" t="s">
        <v>3001</v>
      </c>
      <c r="J653" s="48" t="s">
        <v>3002</v>
      </c>
      <c r="L653" s="48" t="s">
        <v>2977</v>
      </c>
      <c r="M653" s="48" t="s">
        <v>61</v>
      </c>
      <c r="N653" s="48" t="s">
        <v>3003</v>
      </c>
      <c r="P653" s="48" t="s">
        <v>3004</v>
      </c>
      <c r="Q653" s="48" t="s">
        <v>63</v>
      </c>
      <c r="R653" s="48" t="s">
        <v>63</v>
      </c>
      <c r="S653" s="48" t="s">
        <v>3005</v>
      </c>
      <c r="U653" s="55"/>
      <c r="W653" s="48" t="s">
        <v>2679</v>
      </c>
      <c r="X653" s="48" t="s">
        <v>2679</v>
      </c>
    </row>
    <row r="654" spans="1:24">
      <c r="A654" s="48">
        <f t="shared" si="10"/>
        <v>653</v>
      </c>
      <c r="B654" s="54" t="s">
        <v>2797</v>
      </c>
      <c r="C654" s="48" t="s">
        <v>3006</v>
      </c>
      <c r="D654" s="48" t="s">
        <v>3006</v>
      </c>
      <c r="E654" s="48" t="s">
        <v>61</v>
      </c>
      <c r="F654" s="48" t="s">
        <v>3007</v>
      </c>
      <c r="G654" s="48">
        <v>9167370110</v>
      </c>
      <c r="H654" s="48" t="s">
        <v>3008</v>
      </c>
      <c r="J654" s="48" t="s">
        <v>3002</v>
      </c>
      <c r="L654" s="48" t="s">
        <v>3009</v>
      </c>
      <c r="M654" s="48" t="s">
        <v>611</v>
      </c>
      <c r="N654" s="48" t="s">
        <v>3010</v>
      </c>
      <c r="P654" s="48" t="s">
        <v>3011</v>
      </c>
      <c r="Q654" s="48" t="s">
        <v>63</v>
      </c>
      <c r="R654" s="48" t="s">
        <v>63</v>
      </c>
      <c r="S654" s="48" t="s">
        <v>3012</v>
      </c>
      <c r="U654" s="55"/>
      <c r="W654" s="48" t="s">
        <v>2679</v>
      </c>
      <c r="X654" s="48" t="s">
        <v>2679</v>
      </c>
    </row>
    <row r="655" spans="1:24">
      <c r="A655" s="48">
        <f t="shared" si="10"/>
        <v>654</v>
      </c>
      <c r="B655" s="54" t="s">
        <v>2797</v>
      </c>
      <c r="C655" s="48" t="s">
        <v>3013</v>
      </c>
      <c r="D655" s="48" t="s">
        <v>3013</v>
      </c>
      <c r="E655" s="48" t="s">
        <v>61</v>
      </c>
      <c r="F655" s="48" t="s">
        <v>3014</v>
      </c>
      <c r="G655" s="48">
        <v>8208227312</v>
      </c>
      <c r="H655" s="48" t="s">
        <v>3015</v>
      </c>
      <c r="J655" s="48" t="s">
        <v>3002</v>
      </c>
      <c r="L655" s="48" t="s">
        <v>3016</v>
      </c>
      <c r="M655" s="48" t="s">
        <v>3017</v>
      </c>
      <c r="N655" s="48" t="s">
        <v>2428</v>
      </c>
      <c r="P655" s="48" t="s">
        <v>3018</v>
      </c>
      <c r="Q655" s="48" t="s">
        <v>63</v>
      </c>
      <c r="R655" s="48" t="s">
        <v>63</v>
      </c>
      <c r="S655" s="48" t="s">
        <v>3012</v>
      </c>
      <c r="U655" s="55"/>
      <c r="W655" s="48" t="s">
        <v>2679</v>
      </c>
      <c r="X655" s="48" t="s">
        <v>2679</v>
      </c>
    </row>
    <row r="656" spans="1:24">
      <c r="A656" s="48">
        <f t="shared" si="10"/>
        <v>655</v>
      </c>
      <c r="B656" s="54" t="s">
        <v>2797</v>
      </c>
      <c r="C656" s="48" t="s">
        <v>3019</v>
      </c>
      <c r="D656" s="48" t="s">
        <v>3019</v>
      </c>
      <c r="E656" s="48" t="s">
        <v>61</v>
      </c>
      <c r="F656" s="48" t="s">
        <v>3020</v>
      </c>
      <c r="G656" s="48">
        <v>9586243838</v>
      </c>
      <c r="H656" s="48" t="s">
        <v>3021</v>
      </c>
      <c r="J656" s="48" t="s">
        <v>3002</v>
      </c>
      <c r="L656" s="48" t="s">
        <v>3022</v>
      </c>
      <c r="M656" s="48" t="s">
        <v>3023</v>
      </c>
      <c r="N656" s="48" t="s">
        <v>3024</v>
      </c>
      <c r="P656" s="48" t="s">
        <v>2491</v>
      </c>
      <c r="Q656" s="48" t="s">
        <v>63</v>
      </c>
      <c r="R656" s="48" t="s">
        <v>63</v>
      </c>
      <c r="S656" s="48" t="s">
        <v>3025</v>
      </c>
      <c r="U656" s="55"/>
      <c r="W656" s="48" t="s">
        <v>2679</v>
      </c>
      <c r="X656" s="48" t="s">
        <v>2679</v>
      </c>
    </row>
    <row r="657" spans="1:24">
      <c r="A657" s="48">
        <f t="shared" si="10"/>
        <v>656</v>
      </c>
      <c r="B657" s="54" t="s">
        <v>2797</v>
      </c>
      <c r="C657" s="48" t="s">
        <v>3026</v>
      </c>
      <c r="D657" s="48" t="s">
        <v>3026</v>
      </c>
      <c r="E657" s="48" t="s">
        <v>61</v>
      </c>
      <c r="F657" s="48" t="s">
        <v>3027</v>
      </c>
      <c r="G657" s="48">
        <v>8905157492</v>
      </c>
      <c r="H657" s="48" t="s">
        <v>3028</v>
      </c>
      <c r="J657" s="48" t="s">
        <v>3002</v>
      </c>
      <c r="L657" s="48" t="s">
        <v>3029</v>
      </c>
      <c r="M657" s="48" t="s">
        <v>1992</v>
      </c>
      <c r="N657" s="48" t="s">
        <v>3030</v>
      </c>
      <c r="P657" s="48" t="s">
        <v>2491</v>
      </c>
      <c r="Q657" s="48" t="s">
        <v>63</v>
      </c>
      <c r="R657" s="48" t="s">
        <v>63</v>
      </c>
      <c r="S657" s="48" t="s">
        <v>3031</v>
      </c>
      <c r="U657" s="55"/>
      <c r="W657" s="48" t="s">
        <v>2679</v>
      </c>
      <c r="X657" s="48" t="s">
        <v>2679</v>
      </c>
    </row>
    <row r="658" spans="1:24">
      <c r="A658" s="48">
        <f t="shared" si="10"/>
        <v>657</v>
      </c>
      <c r="B658" s="54">
        <v>45817</v>
      </c>
      <c r="C658" s="48" t="s">
        <v>2922</v>
      </c>
      <c r="D658" s="48" t="s">
        <v>2922</v>
      </c>
      <c r="E658" s="48" t="s">
        <v>61</v>
      </c>
      <c r="F658" s="48" t="s">
        <v>3032</v>
      </c>
      <c r="G658" s="48">
        <v>6239443956</v>
      </c>
      <c r="H658" s="48" t="s">
        <v>3033</v>
      </c>
      <c r="J658" s="48" t="s">
        <v>670</v>
      </c>
      <c r="L658" s="48" t="s">
        <v>2712</v>
      </c>
      <c r="M658" s="48" t="s">
        <v>3034</v>
      </c>
      <c r="N658" s="48" t="s">
        <v>3035</v>
      </c>
      <c r="P658" s="48" t="s">
        <v>2419</v>
      </c>
      <c r="Q658" s="48" t="s">
        <v>459</v>
      </c>
      <c r="R658" s="48" t="s">
        <v>63</v>
      </c>
      <c r="S658" s="48" t="s">
        <v>3036</v>
      </c>
      <c r="U658" s="55"/>
      <c r="W658" s="48" t="s">
        <v>2679</v>
      </c>
      <c r="X658" s="48" t="s">
        <v>2679</v>
      </c>
    </row>
    <row r="659" spans="1:24">
      <c r="A659" s="48">
        <f t="shared" si="10"/>
        <v>658</v>
      </c>
      <c r="B659" s="54">
        <v>45817</v>
      </c>
      <c r="C659" s="48" t="s">
        <v>2922</v>
      </c>
      <c r="D659" s="48" t="s">
        <v>2922</v>
      </c>
      <c r="E659" s="48" t="s">
        <v>61</v>
      </c>
      <c r="F659" s="48" t="s">
        <v>3037</v>
      </c>
      <c r="G659" s="48">
        <v>8149865887</v>
      </c>
      <c r="H659" s="48" t="s">
        <v>3038</v>
      </c>
      <c r="J659" s="48" t="s">
        <v>670</v>
      </c>
      <c r="L659" s="48" t="s">
        <v>2718</v>
      </c>
      <c r="M659" s="48" t="s">
        <v>3039</v>
      </c>
      <c r="N659" s="48" t="s">
        <v>3040</v>
      </c>
      <c r="P659" s="48" t="s">
        <v>2987</v>
      </c>
      <c r="Q659" s="48" t="s">
        <v>63</v>
      </c>
      <c r="R659" s="48" t="s">
        <v>63</v>
      </c>
      <c r="S659" s="48" t="s">
        <v>2744</v>
      </c>
      <c r="U659" s="55"/>
      <c r="W659" s="48" t="s">
        <v>2679</v>
      </c>
      <c r="X659" s="48" t="s">
        <v>2679</v>
      </c>
    </row>
    <row r="660" spans="1:24">
      <c r="A660" s="48">
        <f t="shared" si="10"/>
        <v>659</v>
      </c>
      <c r="B660" s="54">
        <v>45822</v>
      </c>
      <c r="C660" s="48" t="s">
        <v>209</v>
      </c>
      <c r="D660" s="48" t="s">
        <v>209</v>
      </c>
      <c r="E660" s="48" t="s">
        <v>61</v>
      </c>
      <c r="F660" s="48" t="s">
        <v>3041</v>
      </c>
      <c r="G660" s="48">
        <v>8708352956</v>
      </c>
      <c r="H660" s="48" t="s">
        <v>3042</v>
      </c>
      <c r="J660" s="48" t="s">
        <v>670</v>
      </c>
      <c r="L660" s="48" t="s">
        <v>2718</v>
      </c>
      <c r="M660" s="48" t="s">
        <v>3043</v>
      </c>
      <c r="N660" s="48" t="s">
        <v>2860</v>
      </c>
      <c r="P660" s="48" t="s">
        <v>2413</v>
      </c>
      <c r="Q660" s="48" t="s">
        <v>3044</v>
      </c>
      <c r="R660" s="48" t="s">
        <v>63</v>
      </c>
      <c r="S660" s="48" t="s">
        <v>2981</v>
      </c>
      <c r="U660" s="55"/>
      <c r="W660" s="48" t="s">
        <v>2679</v>
      </c>
      <c r="X660" s="48" t="s">
        <v>2679</v>
      </c>
    </row>
    <row r="661" spans="1:24">
      <c r="A661" s="48">
        <f t="shared" si="10"/>
        <v>660</v>
      </c>
      <c r="B661" s="54">
        <v>45822</v>
      </c>
      <c r="C661" s="48" t="s">
        <v>209</v>
      </c>
      <c r="D661" s="48" t="s">
        <v>209</v>
      </c>
      <c r="E661" s="48" t="s">
        <v>61</v>
      </c>
      <c r="F661" s="48" t="s">
        <v>3045</v>
      </c>
      <c r="G661" s="48" t="s">
        <v>3046</v>
      </c>
      <c r="H661" s="48" t="s">
        <v>3047</v>
      </c>
      <c r="J661" s="48" t="s">
        <v>670</v>
      </c>
      <c r="L661" s="48" t="s">
        <v>2718</v>
      </c>
      <c r="M661" s="48" t="s">
        <v>3048</v>
      </c>
      <c r="N661" s="48" t="s">
        <v>2715</v>
      </c>
      <c r="P661" s="48" t="s">
        <v>2987</v>
      </c>
      <c r="Q661" s="48" t="s">
        <v>890</v>
      </c>
      <c r="R661" s="48" t="s">
        <v>63</v>
      </c>
      <c r="S661" s="48" t="s">
        <v>3049</v>
      </c>
      <c r="U661" s="55"/>
      <c r="W661" s="48" t="s">
        <v>2679</v>
      </c>
      <c r="X661" s="48" t="s">
        <v>2679</v>
      </c>
    </row>
    <row r="662" spans="1:24">
      <c r="A662" s="48">
        <f t="shared" si="10"/>
        <v>661</v>
      </c>
      <c r="B662" s="54">
        <v>45822</v>
      </c>
      <c r="C662" s="48" t="s">
        <v>3050</v>
      </c>
      <c r="D662" s="48" t="s">
        <v>3050</v>
      </c>
      <c r="E662" s="48" t="s">
        <v>61</v>
      </c>
      <c r="F662" s="48" t="s">
        <v>3051</v>
      </c>
      <c r="G662" s="48">
        <v>9664795492</v>
      </c>
      <c r="H662" s="48" t="s">
        <v>886</v>
      </c>
      <c r="J662" s="48" t="s">
        <v>670</v>
      </c>
      <c r="L662" s="48" t="s">
        <v>3009</v>
      </c>
      <c r="M662" s="48" t="s">
        <v>887</v>
      </c>
      <c r="N662" s="48" t="s">
        <v>3052</v>
      </c>
      <c r="P662" s="48" t="s">
        <v>2586</v>
      </c>
      <c r="Q662" s="48" t="s">
        <v>3053</v>
      </c>
      <c r="R662" s="48" t="s">
        <v>63</v>
      </c>
      <c r="S662" s="48" t="s">
        <v>3054</v>
      </c>
      <c r="U662" s="55"/>
      <c r="W662" s="48" t="s">
        <v>2679</v>
      </c>
      <c r="X662" s="48" t="s">
        <v>2679</v>
      </c>
    </row>
    <row r="663" spans="1:24">
      <c r="A663" s="48">
        <f t="shared" si="10"/>
        <v>662</v>
      </c>
      <c r="B663" s="54">
        <v>45837</v>
      </c>
      <c r="C663" s="48" t="s">
        <v>3055</v>
      </c>
      <c r="D663" s="48" t="s">
        <v>3055</v>
      </c>
      <c r="E663" s="48" t="s">
        <v>61</v>
      </c>
      <c r="F663" s="48" t="s">
        <v>3056</v>
      </c>
      <c r="G663" s="48">
        <v>8184987174</v>
      </c>
      <c r="H663" s="48" t="s">
        <v>3057</v>
      </c>
      <c r="J663" s="48" t="s">
        <v>670</v>
      </c>
      <c r="L663" s="48" t="s">
        <v>3058</v>
      </c>
      <c r="M663" s="48" t="s">
        <v>3059</v>
      </c>
      <c r="N663" s="48" t="s">
        <v>3060</v>
      </c>
      <c r="P663" s="48" t="s">
        <v>2428</v>
      </c>
      <c r="Q663" s="48" t="s">
        <v>63</v>
      </c>
      <c r="R663" s="48" t="s">
        <v>63</v>
      </c>
      <c r="S663" s="48" t="s">
        <v>3061</v>
      </c>
      <c r="U663" s="55"/>
      <c r="W663" s="48" t="s">
        <v>2679</v>
      </c>
      <c r="X663" s="48" t="s">
        <v>2679</v>
      </c>
    </row>
    <row r="664" spans="1:24">
      <c r="A664" s="48">
        <f t="shared" si="10"/>
        <v>663</v>
      </c>
      <c r="B664" s="54">
        <v>45837</v>
      </c>
      <c r="C664" s="48" t="s">
        <v>2686</v>
      </c>
      <c r="D664" s="48" t="s">
        <v>2686</v>
      </c>
      <c r="E664" s="48" t="s">
        <v>61</v>
      </c>
      <c r="F664" s="48" t="s">
        <v>3062</v>
      </c>
      <c r="G664" s="48">
        <v>6304198308</v>
      </c>
      <c r="H664" s="48" t="s">
        <v>3063</v>
      </c>
      <c r="J664" s="48" t="s">
        <v>670</v>
      </c>
      <c r="L664" s="48" t="s">
        <v>3064</v>
      </c>
      <c r="M664" s="48" t="s">
        <v>3065</v>
      </c>
      <c r="N664" s="48" t="s">
        <v>3066</v>
      </c>
      <c r="P664" s="48" t="s">
        <v>2586</v>
      </c>
      <c r="Q664" s="48" t="s">
        <v>846</v>
      </c>
      <c r="R664" s="48" t="s">
        <v>63</v>
      </c>
      <c r="S664" s="48" t="s">
        <v>2744</v>
      </c>
      <c r="U664" s="55"/>
      <c r="W664" s="48" t="s">
        <v>2679</v>
      </c>
      <c r="X664" s="48" t="s">
        <v>2679</v>
      </c>
    </row>
    <row r="665" spans="1:24">
      <c r="A665" s="48">
        <f t="shared" si="10"/>
        <v>664</v>
      </c>
      <c r="B665" s="54">
        <v>45813</v>
      </c>
      <c r="C665" s="48" t="s">
        <v>2874</v>
      </c>
      <c r="D665" s="48" t="s">
        <v>2874</v>
      </c>
      <c r="E665" s="48" t="s">
        <v>61</v>
      </c>
      <c r="F665" s="48" t="s">
        <v>3067</v>
      </c>
      <c r="G665" s="48">
        <v>9822843153</v>
      </c>
      <c r="H665" s="48" t="s">
        <v>3068</v>
      </c>
      <c r="J665" s="48" t="s">
        <v>3069</v>
      </c>
      <c r="L665" s="48" t="s">
        <v>2911</v>
      </c>
      <c r="M665" s="48" t="s">
        <v>3070</v>
      </c>
      <c r="N665" s="48" t="s">
        <v>2428</v>
      </c>
      <c r="P665" s="48" t="s">
        <v>2576</v>
      </c>
      <c r="Q665" s="48" t="s">
        <v>63</v>
      </c>
      <c r="R665" s="48" t="s">
        <v>63</v>
      </c>
      <c r="S665" s="48" t="s">
        <v>3071</v>
      </c>
      <c r="U665" s="55"/>
      <c r="W665" s="48" t="s">
        <v>2679</v>
      </c>
      <c r="X665" s="48" t="s">
        <v>2679</v>
      </c>
    </row>
    <row r="666" spans="1:24">
      <c r="A666" s="48">
        <f t="shared" si="10"/>
        <v>665</v>
      </c>
      <c r="B666" s="54">
        <v>45813</v>
      </c>
      <c r="C666" s="48" t="s">
        <v>2874</v>
      </c>
      <c r="D666" s="48" t="s">
        <v>2874</v>
      </c>
      <c r="E666" s="48" t="s">
        <v>61</v>
      </c>
      <c r="F666" s="48" t="s">
        <v>1341</v>
      </c>
      <c r="G666" s="48">
        <v>7420803760</v>
      </c>
      <c r="H666" s="48" t="s">
        <v>1342</v>
      </c>
      <c r="J666" s="48" t="s">
        <v>3069</v>
      </c>
      <c r="L666" s="48" t="s">
        <v>3072</v>
      </c>
      <c r="M666" s="48" t="s">
        <v>3073</v>
      </c>
      <c r="N666" s="48">
        <v>14.32</v>
      </c>
      <c r="P666" s="48" t="s">
        <v>3074</v>
      </c>
      <c r="Q666" s="48" t="s">
        <v>63</v>
      </c>
      <c r="R666" s="48" t="s">
        <v>63</v>
      </c>
      <c r="S666" s="48" t="s">
        <v>2955</v>
      </c>
      <c r="U666" s="55"/>
      <c r="W666" s="48" t="s">
        <v>2679</v>
      </c>
      <c r="X666" s="48" t="s">
        <v>2679</v>
      </c>
    </row>
    <row r="667" spans="1:24">
      <c r="A667" s="48">
        <f t="shared" si="10"/>
        <v>666</v>
      </c>
      <c r="B667" s="54">
        <v>45813</v>
      </c>
      <c r="C667" s="48" t="s">
        <v>2874</v>
      </c>
      <c r="D667" s="48" t="s">
        <v>2874</v>
      </c>
      <c r="E667" s="48" t="s">
        <v>61</v>
      </c>
      <c r="F667" s="48" t="s">
        <v>3075</v>
      </c>
      <c r="G667" s="48">
        <v>7350899662</v>
      </c>
      <c r="H667" s="48" t="s">
        <v>3076</v>
      </c>
      <c r="J667" s="48" t="s">
        <v>3069</v>
      </c>
      <c r="L667" s="48" t="s">
        <v>2926</v>
      </c>
      <c r="M667" s="48" t="s">
        <v>3077</v>
      </c>
      <c r="N667" s="48">
        <v>8</v>
      </c>
      <c r="P667" s="48">
        <v>0.35</v>
      </c>
      <c r="Q667" s="48" t="s">
        <v>63</v>
      </c>
      <c r="R667" s="48" t="s">
        <v>63</v>
      </c>
      <c r="S667" s="48" t="s">
        <v>230</v>
      </c>
      <c r="U667" s="55"/>
      <c r="W667" s="48" t="s">
        <v>2679</v>
      </c>
      <c r="X667" s="48" t="s">
        <v>2679</v>
      </c>
    </row>
    <row r="668" spans="1:24">
      <c r="A668" s="48">
        <f t="shared" si="10"/>
        <v>667</v>
      </c>
      <c r="B668" s="54">
        <v>45813</v>
      </c>
      <c r="C668" s="48" t="s">
        <v>2874</v>
      </c>
      <c r="D668" s="48" t="s">
        <v>2874</v>
      </c>
      <c r="E668" s="48" t="s">
        <v>61</v>
      </c>
      <c r="F668" s="48" t="s">
        <v>3078</v>
      </c>
      <c r="G668" s="48">
        <v>7836808467</v>
      </c>
      <c r="H668" s="48" t="s">
        <v>3079</v>
      </c>
      <c r="J668" s="48" t="s">
        <v>3069</v>
      </c>
      <c r="L668" s="48" t="s">
        <v>3022</v>
      </c>
      <c r="M668" s="48" t="s">
        <v>3080</v>
      </c>
      <c r="N668" s="48">
        <v>11.4</v>
      </c>
      <c r="P668" s="48" t="s">
        <v>2813</v>
      </c>
      <c r="Q668" s="48" t="s">
        <v>558</v>
      </c>
      <c r="R668" s="48" t="s">
        <v>63</v>
      </c>
      <c r="S668" s="48" t="s">
        <v>255</v>
      </c>
      <c r="U668" s="55"/>
      <c r="W668" s="48" t="s">
        <v>2679</v>
      </c>
      <c r="X668" s="48" t="s">
        <v>2679</v>
      </c>
    </row>
    <row r="669" spans="1:24">
      <c r="A669" s="48">
        <f t="shared" si="10"/>
        <v>668</v>
      </c>
      <c r="B669" s="54">
        <v>45813</v>
      </c>
      <c r="C669" s="48" t="s">
        <v>2874</v>
      </c>
      <c r="D669" s="48" t="s">
        <v>2874</v>
      </c>
      <c r="E669" s="48" t="s">
        <v>61</v>
      </c>
      <c r="F669" s="48" t="s">
        <v>3081</v>
      </c>
      <c r="G669" s="48">
        <v>9545773797</v>
      </c>
      <c r="H669" s="48" t="s">
        <v>3082</v>
      </c>
      <c r="J669" s="48" t="s">
        <v>3069</v>
      </c>
      <c r="L669" s="48" t="s">
        <v>938</v>
      </c>
      <c r="M669" s="48" t="s">
        <v>3083</v>
      </c>
      <c r="N669" s="48">
        <v>9.5</v>
      </c>
      <c r="P669" s="48">
        <v>13</v>
      </c>
      <c r="Q669" s="48" t="s">
        <v>63</v>
      </c>
      <c r="R669" s="48" t="s">
        <v>63</v>
      </c>
      <c r="S669" s="48" t="s">
        <v>3084</v>
      </c>
      <c r="U669" s="55"/>
      <c r="W669" s="48" t="s">
        <v>2679</v>
      </c>
      <c r="X669" s="48" t="s">
        <v>2679</v>
      </c>
    </row>
    <row r="670" spans="1:24">
      <c r="A670" s="48">
        <f t="shared" si="10"/>
        <v>669</v>
      </c>
      <c r="B670" s="54">
        <v>45814</v>
      </c>
      <c r="C670" s="48" t="s">
        <v>2874</v>
      </c>
      <c r="D670" s="48" t="s">
        <v>2874</v>
      </c>
      <c r="E670" s="48" t="s">
        <v>61</v>
      </c>
      <c r="F670" s="48" t="s">
        <v>3085</v>
      </c>
      <c r="G670" s="48" t="s">
        <v>3086</v>
      </c>
      <c r="H670" s="48" t="s">
        <v>3087</v>
      </c>
      <c r="J670" s="48" t="s">
        <v>3069</v>
      </c>
      <c r="L670" s="48" t="s">
        <v>2977</v>
      </c>
      <c r="M670" s="48" t="s">
        <v>3088</v>
      </c>
      <c r="N670" s="48">
        <v>9.5</v>
      </c>
      <c r="P670" s="48">
        <v>0.16</v>
      </c>
      <c r="Q670" s="48" t="s">
        <v>63</v>
      </c>
      <c r="R670" s="48" t="s">
        <v>63</v>
      </c>
      <c r="S670" s="48" t="s">
        <v>3089</v>
      </c>
      <c r="U670" s="55"/>
      <c r="W670" s="48" t="s">
        <v>2679</v>
      </c>
      <c r="X670" s="48" t="s">
        <v>2679</v>
      </c>
    </row>
    <row r="671" spans="1:24">
      <c r="A671" s="48">
        <f t="shared" si="10"/>
        <v>670</v>
      </c>
      <c r="B671" s="54">
        <v>45814</v>
      </c>
      <c r="C671" s="48" t="s">
        <v>2874</v>
      </c>
      <c r="D671" s="48" t="s">
        <v>2874</v>
      </c>
      <c r="E671" s="48" t="s">
        <v>61</v>
      </c>
      <c r="F671" s="48" t="s">
        <v>3090</v>
      </c>
      <c r="G671" s="48">
        <v>8660766097</v>
      </c>
      <c r="H671" s="48" t="s">
        <v>3091</v>
      </c>
      <c r="J671" s="48" t="s">
        <v>3069</v>
      </c>
      <c r="L671" s="48" t="s">
        <v>3058</v>
      </c>
      <c r="M671" s="48" t="s">
        <v>3092</v>
      </c>
      <c r="N671" s="48">
        <v>5</v>
      </c>
      <c r="P671" s="48">
        <v>9</v>
      </c>
      <c r="Q671" s="48" t="s">
        <v>615</v>
      </c>
      <c r="R671" s="48" t="s">
        <v>63</v>
      </c>
      <c r="S671" s="48" t="s">
        <v>3093</v>
      </c>
      <c r="U671" s="55"/>
      <c r="W671" s="48" t="s">
        <v>2679</v>
      </c>
      <c r="X671" s="48" t="s">
        <v>2679</v>
      </c>
    </row>
    <row r="672" spans="1:24">
      <c r="A672" s="48">
        <f t="shared" si="10"/>
        <v>671</v>
      </c>
      <c r="B672" s="54">
        <v>45814</v>
      </c>
      <c r="C672" s="48" t="s">
        <v>2874</v>
      </c>
      <c r="D672" s="48" t="s">
        <v>2874</v>
      </c>
      <c r="E672" s="48" t="s">
        <v>61</v>
      </c>
      <c r="F672" s="48" t="s">
        <v>3094</v>
      </c>
      <c r="G672" s="48">
        <v>9740884658</v>
      </c>
      <c r="H672" s="48" t="s">
        <v>3095</v>
      </c>
      <c r="J672" s="48" t="s">
        <v>3069</v>
      </c>
      <c r="L672" s="48" t="s">
        <v>3096</v>
      </c>
      <c r="M672" s="48" t="s">
        <v>3097</v>
      </c>
      <c r="N672" s="48">
        <v>12.78</v>
      </c>
      <c r="P672" s="48">
        <v>0.3</v>
      </c>
      <c r="Q672" s="48" t="s">
        <v>615</v>
      </c>
      <c r="R672" s="48" t="s">
        <v>63</v>
      </c>
      <c r="S672" s="48" t="s">
        <v>3098</v>
      </c>
      <c r="U672" s="55"/>
      <c r="W672" s="48" t="s">
        <v>2679</v>
      </c>
      <c r="X672" s="48" t="s">
        <v>2679</v>
      </c>
    </row>
    <row r="673" spans="1:24">
      <c r="A673" s="48">
        <f t="shared" si="10"/>
        <v>672</v>
      </c>
      <c r="B673" s="54">
        <v>45783</v>
      </c>
      <c r="C673" s="48" t="s">
        <v>2874</v>
      </c>
      <c r="D673" s="48" t="s">
        <v>2874</v>
      </c>
      <c r="E673" s="48" t="s">
        <v>61</v>
      </c>
      <c r="F673" s="48" t="s">
        <v>1598</v>
      </c>
      <c r="G673" s="48">
        <v>7042356979</v>
      </c>
      <c r="H673" s="48" t="s">
        <v>1599</v>
      </c>
      <c r="J673" s="48" t="s">
        <v>3069</v>
      </c>
      <c r="L673" s="48" t="s">
        <v>3009</v>
      </c>
      <c r="M673" s="48" t="s">
        <v>3080</v>
      </c>
      <c r="N673" s="48">
        <v>13</v>
      </c>
      <c r="P673" s="48">
        <v>0.3</v>
      </c>
      <c r="Q673" s="48" t="s">
        <v>615</v>
      </c>
      <c r="R673" s="48" t="s">
        <v>63</v>
      </c>
      <c r="S673" s="48" t="s">
        <v>2927</v>
      </c>
      <c r="U673" s="55"/>
      <c r="W673" s="48" t="s">
        <v>2679</v>
      </c>
      <c r="X673" s="48" t="s">
        <v>2679</v>
      </c>
    </row>
    <row r="674" spans="1:24">
      <c r="A674" s="48">
        <f t="shared" si="10"/>
        <v>673</v>
      </c>
      <c r="B674" s="54">
        <v>45783</v>
      </c>
      <c r="C674" s="48" t="s">
        <v>3099</v>
      </c>
      <c r="D674" s="48" t="s">
        <v>3099</v>
      </c>
      <c r="E674" s="48" t="s">
        <v>61</v>
      </c>
      <c r="F674" s="48" t="s">
        <v>1341</v>
      </c>
      <c r="G674" s="48">
        <v>7420803760</v>
      </c>
      <c r="H674" s="48" t="s">
        <v>1342</v>
      </c>
      <c r="J674" s="48" t="s">
        <v>3069</v>
      </c>
      <c r="L674" s="48">
        <v>8.3000000000000007</v>
      </c>
      <c r="M674" s="48" t="s">
        <v>3073</v>
      </c>
      <c r="N674" s="48">
        <v>14.32</v>
      </c>
      <c r="P674" s="48" t="s">
        <v>3074</v>
      </c>
      <c r="Q674" s="48" t="s">
        <v>63</v>
      </c>
      <c r="R674" s="48" t="s">
        <v>63</v>
      </c>
      <c r="S674" s="48" t="s">
        <v>2955</v>
      </c>
      <c r="U674" s="55"/>
      <c r="W674" s="48" t="s">
        <v>2679</v>
      </c>
      <c r="X674" s="48" t="s">
        <v>2679</v>
      </c>
    </row>
    <row r="675" spans="1:24">
      <c r="A675" s="48">
        <f t="shared" si="10"/>
        <v>674</v>
      </c>
      <c r="B675" s="54">
        <v>45783</v>
      </c>
      <c r="C675" s="48" t="s">
        <v>293</v>
      </c>
      <c r="D675" s="48" t="s">
        <v>293</v>
      </c>
      <c r="E675" s="48" t="s">
        <v>61</v>
      </c>
      <c r="F675" s="48" t="s">
        <v>3075</v>
      </c>
      <c r="G675" s="48">
        <v>7350899662</v>
      </c>
      <c r="H675" s="48" t="s">
        <v>3076</v>
      </c>
      <c r="J675" s="48" t="s">
        <v>3069</v>
      </c>
      <c r="L675" s="48">
        <v>5</v>
      </c>
      <c r="M675" s="48" t="s">
        <v>3077</v>
      </c>
      <c r="N675" s="48">
        <v>8</v>
      </c>
      <c r="P675" s="48">
        <v>0.35</v>
      </c>
      <c r="Q675" s="48" t="s">
        <v>63</v>
      </c>
      <c r="R675" s="48" t="s">
        <v>63</v>
      </c>
      <c r="S675" s="48" t="s">
        <v>230</v>
      </c>
      <c r="U675" s="55"/>
      <c r="W675" s="48" t="s">
        <v>2679</v>
      </c>
      <c r="X675" s="48" t="s">
        <v>2679</v>
      </c>
    </row>
    <row r="676" spans="1:24">
      <c r="A676" s="48">
        <f t="shared" si="10"/>
        <v>675</v>
      </c>
      <c r="B676" s="54">
        <v>45783</v>
      </c>
      <c r="C676" s="48" t="s">
        <v>293</v>
      </c>
      <c r="D676" s="48" t="s">
        <v>293</v>
      </c>
      <c r="E676" s="48" t="s">
        <v>61</v>
      </c>
      <c r="F676" s="48" t="s">
        <v>1352</v>
      </c>
      <c r="G676" s="48">
        <v>9890386580</v>
      </c>
      <c r="H676" s="48" t="s">
        <v>1353</v>
      </c>
      <c r="J676" s="48" t="s">
        <v>3069</v>
      </c>
      <c r="L676" s="48">
        <v>6</v>
      </c>
      <c r="M676" s="48" t="s">
        <v>3080</v>
      </c>
      <c r="N676" s="48">
        <v>8</v>
      </c>
      <c r="P676" s="48">
        <v>0.35</v>
      </c>
      <c r="Q676" s="48" t="s">
        <v>63</v>
      </c>
      <c r="R676" s="48" t="s">
        <v>63</v>
      </c>
      <c r="S676" s="48" t="s">
        <v>230</v>
      </c>
      <c r="U676" s="55"/>
      <c r="W676" s="48" t="s">
        <v>2679</v>
      </c>
      <c r="X676" s="48" t="s">
        <v>2679</v>
      </c>
    </row>
    <row r="677" spans="1:24">
      <c r="A677" s="48">
        <f t="shared" si="10"/>
        <v>676</v>
      </c>
      <c r="B677" s="54">
        <v>45783</v>
      </c>
      <c r="C677" s="48" t="s">
        <v>293</v>
      </c>
      <c r="D677" s="48" t="s">
        <v>293</v>
      </c>
      <c r="E677" s="48" t="s">
        <v>61</v>
      </c>
      <c r="F677" s="48" t="s">
        <v>3100</v>
      </c>
      <c r="G677" s="48">
        <v>9545773797</v>
      </c>
      <c r="H677" s="48" t="s">
        <v>3082</v>
      </c>
      <c r="J677" s="48" t="s">
        <v>3069</v>
      </c>
      <c r="L677" s="48">
        <v>6</v>
      </c>
      <c r="M677" s="48" t="s">
        <v>3083</v>
      </c>
      <c r="N677" s="48">
        <v>9.5</v>
      </c>
      <c r="P677" s="48">
        <v>13</v>
      </c>
      <c r="Q677" s="48" t="s">
        <v>63</v>
      </c>
      <c r="R677" s="48" t="s">
        <v>63</v>
      </c>
      <c r="S677" s="48" t="s">
        <v>3084</v>
      </c>
      <c r="U677" s="55"/>
      <c r="W677" s="48" t="s">
        <v>2679</v>
      </c>
      <c r="X677" s="48" t="s">
        <v>2679</v>
      </c>
    </row>
    <row r="678" spans="1:24">
      <c r="A678" s="48">
        <f t="shared" si="10"/>
        <v>677</v>
      </c>
      <c r="B678" s="54">
        <v>45783</v>
      </c>
      <c r="C678" s="48" t="s">
        <v>293</v>
      </c>
      <c r="D678" s="48" t="s">
        <v>293</v>
      </c>
      <c r="E678" s="48" t="s">
        <v>61</v>
      </c>
      <c r="F678" s="48" t="s">
        <v>3101</v>
      </c>
      <c r="G678" s="48">
        <v>9962580380</v>
      </c>
      <c r="H678" s="48" t="s">
        <v>3102</v>
      </c>
      <c r="J678" s="48" t="s">
        <v>3069</v>
      </c>
      <c r="L678" s="48">
        <v>10</v>
      </c>
      <c r="M678" s="48" t="s">
        <v>3080</v>
      </c>
      <c r="N678" s="48">
        <v>8</v>
      </c>
      <c r="P678" s="48">
        <v>0.35</v>
      </c>
      <c r="Q678" s="48" t="s">
        <v>63</v>
      </c>
      <c r="R678" s="48" t="s">
        <v>63</v>
      </c>
      <c r="S678" s="48" t="s">
        <v>230</v>
      </c>
      <c r="U678" s="55"/>
      <c r="W678" s="48" t="s">
        <v>2679</v>
      </c>
      <c r="X678" s="48" t="s">
        <v>2679</v>
      </c>
    </row>
    <row r="679" spans="1:24">
      <c r="A679" s="48">
        <f t="shared" si="10"/>
        <v>678</v>
      </c>
      <c r="B679" s="54">
        <v>45783</v>
      </c>
      <c r="C679" s="48" t="s">
        <v>293</v>
      </c>
      <c r="D679" s="48" t="s">
        <v>293</v>
      </c>
      <c r="E679" s="48" t="s">
        <v>61</v>
      </c>
      <c r="F679" s="48" t="s">
        <v>3078</v>
      </c>
      <c r="G679" s="48">
        <v>7836808467</v>
      </c>
      <c r="H679" s="48" t="s">
        <v>3079</v>
      </c>
      <c r="J679" s="48" t="s">
        <v>3069</v>
      </c>
      <c r="L679" s="48">
        <v>10</v>
      </c>
      <c r="M679" s="48" t="s">
        <v>3080</v>
      </c>
      <c r="N679" s="48">
        <v>11.4</v>
      </c>
      <c r="P679" s="48" t="s">
        <v>2813</v>
      </c>
      <c r="Q679" s="48" t="s">
        <v>558</v>
      </c>
      <c r="R679" s="48" t="s">
        <v>63</v>
      </c>
      <c r="S679" s="48" t="s">
        <v>255</v>
      </c>
      <c r="U679" s="55"/>
      <c r="W679" s="48" t="s">
        <v>2679</v>
      </c>
      <c r="X679" s="48" t="s">
        <v>2679</v>
      </c>
    </row>
    <row r="680" spans="1:24">
      <c r="A680" s="48">
        <f t="shared" si="10"/>
        <v>679</v>
      </c>
      <c r="B680" s="54">
        <v>45844</v>
      </c>
      <c r="C680" s="48" t="s">
        <v>2874</v>
      </c>
      <c r="D680" s="48" t="s">
        <v>2874</v>
      </c>
      <c r="E680" s="48" t="s">
        <v>61</v>
      </c>
      <c r="F680" s="48" t="s">
        <v>3103</v>
      </c>
      <c r="G680" s="48">
        <v>8431452709</v>
      </c>
      <c r="H680" s="48" t="s">
        <v>3104</v>
      </c>
      <c r="J680" s="48" t="s">
        <v>3069</v>
      </c>
      <c r="L680" s="48">
        <v>9</v>
      </c>
      <c r="M680" s="48" t="s">
        <v>3080</v>
      </c>
      <c r="N680" s="48">
        <v>8</v>
      </c>
      <c r="P680" s="48">
        <v>0.35</v>
      </c>
      <c r="Q680" s="48" t="s">
        <v>63</v>
      </c>
      <c r="R680" s="48" t="s">
        <v>63</v>
      </c>
      <c r="S680" s="48" t="s">
        <v>230</v>
      </c>
      <c r="U680" s="55"/>
      <c r="W680" s="48" t="s">
        <v>2679</v>
      </c>
      <c r="X680" s="48" t="s">
        <v>2679</v>
      </c>
    </row>
    <row r="681" spans="1:24">
      <c r="A681" s="48">
        <f t="shared" si="10"/>
        <v>680</v>
      </c>
      <c r="B681" s="54">
        <v>45844</v>
      </c>
      <c r="C681" s="48" t="s">
        <v>2874</v>
      </c>
      <c r="D681" s="48" t="s">
        <v>2874</v>
      </c>
      <c r="E681" s="48" t="s">
        <v>61</v>
      </c>
      <c r="F681" s="48" t="s">
        <v>3085</v>
      </c>
      <c r="G681" s="48" t="s">
        <v>3086</v>
      </c>
      <c r="H681" s="48" t="s">
        <v>3087</v>
      </c>
      <c r="J681" s="48" t="s">
        <v>3069</v>
      </c>
      <c r="L681" s="48">
        <v>9</v>
      </c>
      <c r="M681" s="48" t="s">
        <v>3088</v>
      </c>
      <c r="N681" s="48">
        <v>9.5</v>
      </c>
      <c r="P681" s="48">
        <v>0.16</v>
      </c>
      <c r="Q681" s="48" t="s">
        <v>63</v>
      </c>
      <c r="R681" s="48" t="s">
        <v>63</v>
      </c>
      <c r="S681" s="48" t="s">
        <v>3089</v>
      </c>
      <c r="U681" s="55"/>
      <c r="W681" s="48" t="s">
        <v>2679</v>
      </c>
      <c r="X681" s="48" t="s">
        <v>2679</v>
      </c>
    </row>
    <row r="682" spans="1:24">
      <c r="A682" s="48">
        <f t="shared" si="10"/>
        <v>681</v>
      </c>
      <c r="B682" s="54">
        <v>45844</v>
      </c>
      <c r="C682" s="48" t="s">
        <v>2686</v>
      </c>
      <c r="D682" s="48" t="s">
        <v>2686</v>
      </c>
      <c r="E682" s="48" t="s">
        <v>61</v>
      </c>
      <c r="F682" s="48" t="s">
        <v>3090</v>
      </c>
      <c r="G682" s="48">
        <v>8660766097</v>
      </c>
      <c r="H682" s="48" t="s">
        <v>3091</v>
      </c>
      <c r="J682" s="48" t="s">
        <v>3069</v>
      </c>
      <c r="L682" s="48">
        <v>7.6</v>
      </c>
      <c r="M682" s="48" t="s">
        <v>3092</v>
      </c>
      <c r="N682" s="48">
        <v>5</v>
      </c>
      <c r="P682" s="48">
        <v>9</v>
      </c>
      <c r="Q682" s="48" t="s">
        <v>615</v>
      </c>
      <c r="R682" s="48" t="s">
        <v>63</v>
      </c>
      <c r="S682" s="48" t="s">
        <v>3093</v>
      </c>
      <c r="U682" s="55"/>
      <c r="W682" s="48" t="s">
        <v>2679</v>
      </c>
      <c r="X682" s="48" t="s">
        <v>2679</v>
      </c>
    </row>
    <row r="683" spans="1:24">
      <c r="A683" s="48">
        <f t="shared" si="10"/>
        <v>682</v>
      </c>
      <c r="B683" s="54">
        <v>45844</v>
      </c>
      <c r="C683" s="48" t="s">
        <v>209</v>
      </c>
      <c r="D683" s="48" t="s">
        <v>209</v>
      </c>
      <c r="E683" s="48" t="s">
        <v>61</v>
      </c>
      <c r="F683" s="48" t="s">
        <v>3105</v>
      </c>
      <c r="G683" s="48" t="s">
        <v>61</v>
      </c>
      <c r="H683" s="48" t="s">
        <v>61</v>
      </c>
      <c r="J683" s="48" t="s">
        <v>3069</v>
      </c>
      <c r="L683" s="48">
        <v>8.5</v>
      </c>
      <c r="M683" s="48" t="s">
        <v>3080</v>
      </c>
      <c r="N683" s="48">
        <v>8</v>
      </c>
      <c r="P683" s="48">
        <v>0.35</v>
      </c>
      <c r="Q683" s="48" t="s">
        <v>63</v>
      </c>
      <c r="R683" s="48" t="s">
        <v>63</v>
      </c>
      <c r="S683" s="48" t="s">
        <v>230</v>
      </c>
      <c r="U683" s="55"/>
      <c r="W683" s="48" t="s">
        <v>2679</v>
      </c>
      <c r="X683" s="48" t="s">
        <v>2679</v>
      </c>
    </row>
    <row r="684" spans="1:24">
      <c r="A684" s="48">
        <f t="shared" si="10"/>
        <v>683</v>
      </c>
      <c r="B684" s="54">
        <v>45844</v>
      </c>
      <c r="C684" s="48" t="s">
        <v>2874</v>
      </c>
      <c r="D684" s="48" t="s">
        <v>2874</v>
      </c>
      <c r="E684" s="48" t="s">
        <v>61</v>
      </c>
      <c r="F684" s="48" t="s">
        <v>3106</v>
      </c>
      <c r="G684" s="48">
        <v>8939188694</v>
      </c>
      <c r="H684" s="48" t="s">
        <v>3107</v>
      </c>
      <c r="J684" s="48" t="s">
        <v>3069</v>
      </c>
      <c r="L684" s="48">
        <v>7.5</v>
      </c>
      <c r="M684" s="48" t="s">
        <v>3080</v>
      </c>
      <c r="N684" s="48">
        <v>8</v>
      </c>
      <c r="P684" s="48">
        <v>0.35</v>
      </c>
      <c r="Q684" s="48" t="s">
        <v>63</v>
      </c>
      <c r="R684" s="48" t="s">
        <v>63</v>
      </c>
      <c r="S684" s="48" t="s">
        <v>230</v>
      </c>
      <c r="U684" s="55"/>
      <c r="W684" s="48" t="s">
        <v>2679</v>
      </c>
      <c r="X684" s="48" t="s">
        <v>2679</v>
      </c>
    </row>
    <row r="685" spans="1:24">
      <c r="A685" s="48">
        <f t="shared" si="10"/>
        <v>684</v>
      </c>
      <c r="B685" s="54">
        <v>45844</v>
      </c>
      <c r="C685" s="48" t="s">
        <v>293</v>
      </c>
      <c r="D685" s="48" t="s">
        <v>293</v>
      </c>
      <c r="E685" s="48" t="s">
        <v>61</v>
      </c>
      <c r="F685" s="48" t="s">
        <v>3067</v>
      </c>
      <c r="G685" s="48">
        <v>9822843153</v>
      </c>
      <c r="H685" s="48" t="s">
        <v>3068</v>
      </c>
      <c r="J685" s="48" t="s">
        <v>3069</v>
      </c>
      <c r="L685" s="48">
        <v>9.4</v>
      </c>
      <c r="M685" s="48" t="s">
        <v>3108</v>
      </c>
      <c r="N685" s="48">
        <v>12</v>
      </c>
      <c r="P685" s="48">
        <v>0.35</v>
      </c>
      <c r="Q685" s="48" t="s">
        <v>63</v>
      </c>
      <c r="R685" s="48" t="s">
        <v>63</v>
      </c>
      <c r="S685" s="48" t="s">
        <v>3109</v>
      </c>
      <c r="U685" s="55"/>
      <c r="W685" s="48" t="s">
        <v>2679</v>
      </c>
      <c r="X685" s="48" t="s">
        <v>2679</v>
      </c>
    </row>
    <row r="686" spans="1:24">
      <c r="A686" s="48">
        <f t="shared" si="10"/>
        <v>685</v>
      </c>
      <c r="B686" s="54">
        <v>45817</v>
      </c>
      <c r="C686" s="48" t="s">
        <v>2686</v>
      </c>
      <c r="D686" s="48" t="s">
        <v>2686</v>
      </c>
      <c r="E686" s="48" t="s">
        <v>61</v>
      </c>
      <c r="F686" s="48" t="s">
        <v>3110</v>
      </c>
      <c r="G686" s="48">
        <v>9740884658</v>
      </c>
      <c r="H686" s="48" t="s">
        <v>3095</v>
      </c>
      <c r="J686" s="48" t="s">
        <v>2800</v>
      </c>
      <c r="L686" s="48">
        <v>12</v>
      </c>
      <c r="M686" s="48" t="s">
        <v>3097</v>
      </c>
      <c r="N686" s="48">
        <v>12.78</v>
      </c>
      <c r="P686" s="48" t="s">
        <v>2413</v>
      </c>
      <c r="Q686" s="48" t="s">
        <v>615</v>
      </c>
      <c r="R686" s="48" t="s">
        <v>63</v>
      </c>
      <c r="S686" s="48" t="s">
        <v>3098</v>
      </c>
      <c r="U686" s="55"/>
      <c r="W686" s="48" t="s">
        <v>2679</v>
      </c>
      <c r="X686" s="48" t="s">
        <v>2679</v>
      </c>
    </row>
    <row r="687" spans="1:24">
      <c r="A687" s="48">
        <f t="shared" si="10"/>
        <v>686</v>
      </c>
      <c r="B687" s="54">
        <v>45817</v>
      </c>
      <c r="C687" s="48" t="s">
        <v>293</v>
      </c>
      <c r="D687" s="48" t="s">
        <v>293</v>
      </c>
      <c r="E687" s="48" t="s">
        <v>61</v>
      </c>
      <c r="F687" s="48" t="s">
        <v>3078</v>
      </c>
      <c r="G687" s="48">
        <v>7836808467</v>
      </c>
      <c r="H687" s="48" t="s">
        <v>3079</v>
      </c>
      <c r="J687" s="48" t="s">
        <v>2800</v>
      </c>
      <c r="L687" s="48">
        <v>10</v>
      </c>
      <c r="M687" s="48" t="s">
        <v>3080</v>
      </c>
      <c r="N687" s="48">
        <v>11.4</v>
      </c>
      <c r="P687" s="48" t="s">
        <v>2413</v>
      </c>
      <c r="Q687" s="48" t="s">
        <v>558</v>
      </c>
      <c r="R687" s="48" t="s">
        <v>63</v>
      </c>
      <c r="S687" s="48" t="s">
        <v>255</v>
      </c>
      <c r="U687" s="55"/>
      <c r="W687" s="48" t="s">
        <v>2679</v>
      </c>
      <c r="X687" s="48" t="s">
        <v>2679</v>
      </c>
    </row>
    <row r="688" spans="1:24">
      <c r="A688" s="48">
        <f t="shared" si="10"/>
        <v>687</v>
      </c>
      <c r="B688" s="54">
        <v>45817</v>
      </c>
      <c r="C688" s="48" t="s">
        <v>2874</v>
      </c>
      <c r="D688" s="48" t="s">
        <v>2686</v>
      </c>
      <c r="E688" s="48" t="s">
        <v>61</v>
      </c>
      <c r="F688" s="48" t="s">
        <v>1341</v>
      </c>
      <c r="G688" s="48">
        <v>7420803760</v>
      </c>
      <c r="H688" s="48" t="s">
        <v>1342</v>
      </c>
      <c r="J688" s="48" t="s">
        <v>2800</v>
      </c>
      <c r="L688" s="48">
        <v>8.3000000000000007</v>
      </c>
      <c r="M688" s="48" t="s">
        <v>3073</v>
      </c>
      <c r="N688" s="48">
        <v>14.32</v>
      </c>
      <c r="P688" s="48" t="s">
        <v>2576</v>
      </c>
      <c r="Q688" s="48" t="s">
        <v>63</v>
      </c>
      <c r="R688" s="48" t="s">
        <v>63</v>
      </c>
      <c r="S688" s="48" t="s">
        <v>2955</v>
      </c>
      <c r="U688" s="55"/>
      <c r="W688" s="48" t="s">
        <v>2679</v>
      </c>
      <c r="X688" s="48" t="s">
        <v>2679</v>
      </c>
    </row>
    <row r="689" spans="1:45" s="1" customFormat="1">
      <c r="A689" s="44">
        <f t="shared" si="10"/>
        <v>688</v>
      </c>
      <c r="B689" s="50">
        <v>45809</v>
      </c>
      <c r="C689" s="44" t="s">
        <v>3111</v>
      </c>
      <c r="D689" s="44" t="s">
        <v>293</v>
      </c>
      <c r="E689" s="44"/>
      <c r="F689" s="44" t="s">
        <v>3112</v>
      </c>
      <c r="G689" s="44"/>
      <c r="H689" s="44"/>
      <c r="I689" s="44"/>
      <c r="J689" s="44" t="s">
        <v>3113</v>
      </c>
      <c r="K689" s="44"/>
      <c r="L689" s="44" t="s">
        <v>3114</v>
      </c>
      <c r="M689" s="44"/>
      <c r="N689" s="44" t="s">
        <v>2864</v>
      </c>
      <c r="O689" s="44"/>
      <c r="P689" s="44" t="s">
        <v>2441</v>
      </c>
      <c r="Q689" s="44" t="s">
        <v>63</v>
      </c>
      <c r="R689" s="44" t="s">
        <v>3115</v>
      </c>
      <c r="S689" s="44" t="s">
        <v>2577</v>
      </c>
      <c r="T689" s="44"/>
      <c r="U689" s="51"/>
      <c r="V689" s="44"/>
      <c r="W689" s="44" t="s">
        <v>2408</v>
      </c>
      <c r="X689" s="44" t="s">
        <v>2408</v>
      </c>
      <c r="Y689" s="44" t="s">
        <v>135</v>
      </c>
      <c r="Z689" s="44" t="s">
        <v>2658</v>
      </c>
      <c r="AA689" s="44"/>
      <c r="AB689" s="44"/>
      <c r="AC689" s="44"/>
      <c r="AD689" s="44"/>
      <c r="AE689" s="44"/>
      <c r="AF689" s="44"/>
      <c r="AG689" s="44"/>
      <c r="AH689" s="44"/>
      <c r="AI689" s="44"/>
      <c r="AJ689" s="44"/>
      <c r="AK689" s="44"/>
      <c r="AL689" s="44"/>
      <c r="AM689" s="44"/>
      <c r="AN689" s="44"/>
      <c r="AO689" s="44"/>
      <c r="AP689" s="44"/>
      <c r="AQ689" s="44"/>
      <c r="AR689" s="44"/>
      <c r="AS689" s="52"/>
    </row>
    <row r="690" spans="1:45" s="1" customFormat="1">
      <c r="A690" s="22">
        <f t="shared" si="10"/>
        <v>689</v>
      </c>
      <c r="B690" s="23">
        <v>45809</v>
      </c>
      <c r="C690" s="22" t="s">
        <v>3111</v>
      </c>
      <c r="D690" s="22" t="s">
        <v>3111</v>
      </c>
      <c r="E690" s="22"/>
      <c r="F690" s="22" t="s">
        <v>3116</v>
      </c>
      <c r="G690" s="22"/>
      <c r="H690" s="22"/>
      <c r="I690" s="22"/>
      <c r="J690" s="44" t="s">
        <v>3113</v>
      </c>
      <c r="K690" s="22"/>
      <c r="L690" s="22" t="s">
        <v>2911</v>
      </c>
      <c r="M690" s="22"/>
      <c r="N690" s="22" t="s">
        <v>3117</v>
      </c>
      <c r="O690" s="22"/>
      <c r="P690" s="22" t="s">
        <v>3118</v>
      </c>
      <c r="Q690" s="22" t="s">
        <v>3119</v>
      </c>
      <c r="R690" s="22" t="s">
        <v>3115</v>
      </c>
      <c r="S690" s="22" t="s">
        <v>2567</v>
      </c>
      <c r="T690" s="22"/>
      <c r="U690" s="24"/>
      <c r="V690" s="22"/>
      <c r="W690" s="22" t="s">
        <v>2408</v>
      </c>
      <c r="X690" s="22" t="s">
        <v>2408</v>
      </c>
      <c r="Y690" s="22" t="s">
        <v>135</v>
      </c>
      <c r="Z690" s="22" t="s">
        <v>2658</v>
      </c>
      <c r="AA690" s="22"/>
      <c r="AB690" s="22"/>
      <c r="AC690" s="22"/>
      <c r="AD690" s="22"/>
      <c r="AE690" s="22"/>
      <c r="AF690" s="22"/>
      <c r="AG690" s="22"/>
      <c r="AH690" s="22"/>
      <c r="AI690" s="22"/>
      <c r="AJ690" s="22"/>
      <c r="AK690" s="22"/>
      <c r="AL690" s="22"/>
      <c r="AM690" s="22"/>
      <c r="AN690" s="22"/>
      <c r="AO690" s="22"/>
      <c r="AP690" s="22"/>
      <c r="AQ690" s="22"/>
      <c r="AR690" s="22"/>
      <c r="AS690" s="25"/>
    </row>
    <row r="691" spans="1:45" s="1" customFormat="1">
      <c r="A691" s="22">
        <f t="shared" si="10"/>
        <v>690</v>
      </c>
      <c r="B691" s="23">
        <v>45809</v>
      </c>
      <c r="C691" s="22" t="s">
        <v>667</v>
      </c>
      <c r="D691" s="22" t="s">
        <v>3111</v>
      </c>
      <c r="E691" s="22"/>
      <c r="F691" s="22" t="s">
        <v>3120</v>
      </c>
      <c r="G691" s="22"/>
      <c r="H691" s="22"/>
      <c r="I691" s="22"/>
      <c r="J691" s="44" t="s">
        <v>3113</v>
      </c>
      <c r="K691" s="22"/>
      <c r="L691" s="22" t="s">
        <v>2926</v>
      </c>
      <c r="M691" s="22"/>
      <c r="N691" s="22" t="s">
        <v>3121</v>
      </c>
      <c r="O691" s="22"/>
      <c r="P691" s="22" t="s">
        <v>2434</v>
      </c>
      <c r="Q691" s="22" t="s">
        <v>165</v>
      </c>
      <c r="R691" s="22" t="s">
        <v>3115</v>
      </c>
      <c r="S691" s="22" t="s">
        <v>3122</v>
      </c>
      <c r="T691" s="22"/>
      <c r="U691" s="24"/>
      <c r="V691" s="22"/>
      <c r="W691" s="22" t="s">
        <v>2408</v>
      </c>
      <c r="X691" s="22" t="s">
        <v>2408</v>
      </c>
      <c r="Y691" s="22" t="s">
        <v>135</v>
      </c>
      <c r="Z691" s="22" t="s">
        <v>2658</v>
      </c>
      <c r="AA691" s="22"/>
      <c r="AB691" s="22"/>
      <c r="AC691" s="22"/>
      <c r="AD691" s="22"/>
      <c r="AE691" s="22"/>
      <c r="AF691" s="22"/>
      <c r="AG691" s="22"/>
      <c r="AH691" s="22"/>
      <c r="AI691" s="22"/>
      <c r="AJ691" s="22"/>
      <c r="AK691" s="22"/>
      <c r="AL691" s="22"/>
      <c r="AM691" s="22"/>
      <c r="AN691" s="22"/>
      <c r="AO691" s="22"/>
      <c r="AP691" s="22"/>
      <c r="AQ691" s="22"/>
      <c r="AR691" s="22"/>
      <c r="AS691" s="25"/>
    </row>
    <row r="692" spans="1:45" s="1" customFormat="1">
      <c r="A692" s="22">
        <f t="shared" si="10"/>
        <v>691</v>
      </c>
      <c r="B692" s="23">
        <v>45809</v>
      </c>
      <c r="C692" s="22" t="s">
        <v>2686</v>
      </c>
      <c r="D692" s="22" t="s">
        <v>667</v>
      </c>
      <c r="E692" s="22"/>
      <c r="F692" s="22" t="s">
        <v>3123</v>
      </c>
      <c r="G692" s="22"/>
      <c r="H692" s="22"/>
      <c r="I692" s="22"/>
      <c r="J692" s="44" t="s">
        <v>3113</v>
      </c>
      <c r="K692" s="22"/>
      <c r="L692" s="22" t="s">
        <v>3009</v>
      </c>
      <c r="M692" s="22"/>
      <c r="N692" s="22" t="s">
        <v>2873</v>
      </c>
      <c r="O692" s="22"/>
      <c r="P692" s="22" t="s">
        <v>3124</v>
      </c>
      <c r="Q692" s="22" t="s">
        <v>3125</v>
      </c>
      <c r="R692" s="22" t="s">
        <v>3115</v>
      </c>
      <c r="S692" s="22" t="s">
        <v>2593</v>
      </c>
      <c r="T692" s="22"/>
      <c r="U692" s="24"/>
      <c r="V692" s="22"/>
      <c r="W692" s="22" t="s">
        <v>2408</v>
      </c>
      <c r="X692" s="22" t="s">
        <v>2408</v>
      </c>
      <c r="Y692" s="22" t="s">
        <v>135</v>
      </c>
      <c r="Z692" s="22" t="s">
        <v>2658</v>
      </c>
      <c r="AA692" s="22"/>
      <c r="AB692" s="22"/>
      <c r="AC692" s="22"/>
      <c r="AD692" s="22"/>
      <c r="AE692" s="22"/>
      <c r="AF692" s="22"/>
      <c r="AG692" s="22"/>
      <c r="AH692" s="22"/>
      <c r="AI692" s="22"/>
      <c r="AJ692" s="22"/>
      <c r="AK692" s="22"/>
      <c r="AL692" s="22"/>
      <c r="AM692" s="22"/>
      <c r="AN692" s="22"/>
      <c r="AO692" s="22"/>
      <c r="AP692" s="22"/>
      <c r="AQ692" s="22"/>
      <c r="AR692" s="22"/>
      <c r="AS692" s="25"/>
    </row>
    <row r="693" spans="1:45" s="1" customFormat="1">
      <c r="A693" s="22">
        <f t="shared" si="10"/>
        <v>692</v>
      </c>
      <c r="B693" s="23">
        <v>45809</v>
      </c>
      <c r="C693" s="22" t="s">
        <v>293</v>
      </c>
      <c r="D693" s="22" t="s">
        <v>2686</v>
      </c>
      <c r="E693" s="22"/>
      <c r="F693" s="22" t="s">
        <v>3126</v>
      </c>
      <c r="G693" s="22"/>
      <c r="H693" s="22"/>
      <c r="I693" s="22"/>
      <c r="J693" s="44" t="s">
        <v>3113</v>
      </c>
      <c r="K693" s="22"/>
      <c r="L693" s="22" t="s">
        <v>2977</v>
      </c>
      <c r="M693" s="22"/>
      <c r="N693" s="22" t="s">
        <v>2441</v>
      </c>
      <c r="O693" s="22"/>
      <c r="P693" s="22" t="s">
        <v>2452</v>
      </c>
      <c r="Q693" s="22" t="s">
        <v>3127</v>
      </c>
      <c r="R693" s="22" t="s">
        <v>3115</v>
      </c>
      <c r="S693" s="22" t="s">
        <v>2567</v>
      </c>
      <c r="T693" s="22"/>
      <c r="U693" s="24"/>
      <c r="V693" s="22"/>
      <c r="W693" s="22" t="s">
        <v>2408</v>
      </c>
      <c r="X693" s="22" t="s">
        <v>2408</v>
      </c>
      <c r="Y693" s="22" t="s">
        <v>135</v>
      </c>
      <c r="Z693" s="22" t="s">
        <v>2658</v>
      </c>
      <c r="AA693" s="22"/>
      <c r="AB693" s="22"/>
      <c r="AC693" s="22"/>
      <c r="AD693" s="22"/>
      <c r="AE693" s="22"/>
      <c r="AF693" s="22"/>
      <c r="AG693" s="22"/>
      <c r="AH693" s="22"/>
      <c r="AI693" s="22"/>
      <c r="AJ693" s="22"/>
      <c r="AK693" s="22"/>
      <c r="AL693" s="22"/>
      <c r="AM693" s="22"/>
      <c r="AN693" s="22"/>
      <c r="AO693" s="22"/>
      <c r="AP693" s="22"/>
      <c r="AQ693" s="22"/>
      <c r="AR693" s="22"/>
      <c r="AS693" s="25"/>
    </row>
    <row r="694" spans="1:45" s="1" customFormat="1">
      <c r="A694" s="22">
        <f t="shared" si="10"/>
        <v>693</v>
      </c>
      <c r="B694" s="23">
        <v>45809</v>
      </c>
      <c r="C694" s="22" t="s">
        <v>667</v>
      </c>
      <c r="D694" s="22" t="s">
        <v>293</v>
      </c>
      <c r="E694" s="22"/>
      <c r="F694" s="22" t="s">
        <v>3128</v>
      </c>
      <c r="G694" s="22"/>
      <c r="H694" s="22"/>
      <c r="I694" s="22"/>
      <c r="J694" s="44" t="s">
        <v>3113</v>
      </c>
      <c r="K694" s="22"/>
      <c r="L694" s="22" t="s">
        <v>2926</v>
      </c>
      <c r="M694" s="22"/>
      <c r="N694" s="22" t="s">
        <v>2727</v>
      </c>
      <c r="O694" s="22"/>
      <c r="P694" s="22" t="s">
        <v>2873</v>
      </c>
      <c r="Q694" s="22" t="s">
        <v>1304</v>
      </c>
      <c r="R694" s="22" t="s">
        <v>3115</v>
      </c>
      <c r="S694" s="22" t="s">
        <v>2567</v>
      </c>
      <c r="T694" s="22"/>
      <c r="U694" s="24"/>
      <c r="V694" s="22"/>
      <c r="W694" s="22" t="s">
        <v>2408</v>
      </c>
      <c r="X694" s="22" t="s">
        <v>2408</v>
      </c>
      <c r="Y694" s="22" t="s">
        <v>135</v>
      </c>
      <c r="Z694" s="22" t="s">
        <v>2658</v>
      </c>
      <c r="AA694" s="22"/>
      <c r="AB694" s="22"/>
      <c r="AC694" s="22"/>
      <c r="AD694" s="22"/>
      <c r="AE694" s="22"/>
      <c r="AF694" s="22"/>
      <c r="AG694" s="22"/>
      <c r="AH694" s="22"/>
      <c r="AI694" s="22"/>
      <c r="AJ694" s="22"/>
      <c r="AK694" s="22"/>
      <c r="AL694" s="22"/>
      <c r="AM694" s="22"/>
      <c r="AN694" s="22"/>
      <c r="AO694" s="22"/>
      <c r="AP694" s="22"/>
      <c r="AQ694" s="22"/>
      <c r="AR694" s="22"/>
      <c r="AS694" s="25"/>
    </row>
    <row r="695" spans="1:45" s="1" customFormat="1">
      <c r="A695" s="22">
        <f t="shared" si="10"/>
        <v>694</v>
      </c>
      <c r="B695" s="23">
        <v>45809</v>
      </c>
      <c r="C695" s="22" t="s">
        <v>2686</v>
      </c>
      <c r="D695" s="22" t="s">
        <v>667</v>
      </c>
      <c r="E695" s="22"/>
      <c r="F695" s="22" t="s">
        <v>3129</v>
      </c>
      <c r="G695" s="22"/>
      <c r="H695" s="22"/>
      <c r="I695" s="22"/>
      <c r="J695" s="44" t="s">
        <v>3113</v>
      </c>
      <c r="K695" s="22"/>
      <c r="L695" s="22" t="s">
        <v>2911</v>
      </c>
      <c r="M695" s="22"/>
      <c r="N695" s="22" t="s">
        <v>2707</v>
      </c>
      <c r="O695" s="22"/>
      <c r="P695" s="22" t="s">
        <v>2486</v>
      </c>
      <c r="Q695" s="22" t="s">
        <v>63</v>
      </c>
      <c r="R695" s="22" t="s">
        <v>3115</v>
      </c>
      <c r="S695" s="22" t="s">
        <v>2567</v>
      </c>
      <c r="T695" s="22"/>
      <c r="U695" s="24"/>
      <c r="V695" s="22"/>
      <c r="W695" s="22" t="s">
        <v>2408</v>
      </c>
      <c r="X695" s="22" t="s">
        <v>2408</v>
      </c>
      <c r="Y695" s="22" t="s">
        <v>135</v>
      </c>
      <c r="Z695" s="22" t="s">
        <v>2658</v>
      </c>
      <c r="AA695" s="22"/>
      <c r="AB695" s="22"/>
      <c r="AC695" s="22"/>
      <c r="AD695" s="22"/>
      <c r="AE695" s="22"/>
      <c r="AF695" s="22"/>
      <c r="AG695" s="22"/>
      <c r="AH695" s="22"/>
      <c r="AI695" s="22"/>
      <c r="AJ695" s="22"/>
      <c r="AK695" s="22"/>
      <c r="AL695" s="22"/>
      <c r="AM695" s="22"/>
      <c r="AN695" s="22"/>
      <c r="AO695" s="22"/>
      <c r="AP695" s="22"/>
      <c r="AQ695" s="22"/>
      <c r="AR695" s="22"/>
      <c r="AS695" s="25"/>
    </row>
    <row r="696" spans="1:45" s="1" customFormat="1">
      <c r="A696" s="22">
        <f t="shared" si="10"/>
        <v>695</v>
      </c>
      <c r="B696" s="23">
        <v>45809</v>
      </c>
      <c r="C696" s="22" t="s">
        <v>293</v>
      </c>
      <c r="D696" s="22" t="s">
        <v>2686</v>
      </c>
      <c r="E696" s="22"/>
      <c r="F696" s="22" t="s">
        <v>3130</v>
      </c>
      <c r="G696" s="22"/>
      <c r="H696" s="22"/>
      <c r="I696" s="22"/>
      <c r="J696" s="44" t="s">
        <v>3113</v>
      </c>
      <c r="K696" s="22"/>
      <c r="L696" s="22" t="s">
        <v>2489</v>
      </c>
      <c r="M696" s="22"/>
      <c r="N696" s="22" t="s">
        <v>2727</v>
      </c>
      <c r="O696" s="22"/>
      <c r="P696" s="22" t="s">
        <v>2434</v>
      </c>
      <c r="Q696" s="22" t="s">
        <v>3131</v>
      </c>
      <c r="R696" s="22" t="s">
        <v>3115</v>
      </c>
      <c r="S696" s="22" t="s">
        <v>3132</v>
      </c>
      <c r="T696" s="22"/>
      <c r="U696" s="24"/>
      <c r="V696" s="22"/>
      <c r="W696" s="22" t="s">
        <v>2408</v>
      </c>
      <c r="X696" s="22" t="s">
        <v>2408</v>
      </c>
      <c r="Y696" s="22" t="s">
        <v>135</v>
      </c>
      <c r="Z696" s="22" t="s">
        <v>2658</v>
      </c>
      <c r="AA696" s="22"/>
      <c r="AB696" s="22"/>
      <c r="AC696" s="22"/>
      <c r="AD696" s="22"/>
      <c r="AE696" s="22"/>
      <c r="AF696" s="22"/>
      <c r="AG696" s="22"/>
      <c r="AH696" s="22"/>
      <c r="AI696" s="22"/>
      <c r="AJ696" s="22"/>
      <c r="AK696" s="22"/>
      <c r="AL696" s="22"/>
      <c r="AM696" s="22"/>
      <c r="AN696" s="22"/>
      <c r="AO696" s="22"/>
      <c r="AP696" s="22"/>
      <c r="AQ696" s="22"/>
      <c r="AR696" s="22"/>
      <c r="AS696" s="25"/>
    </row>
    <row r="697" spans="1:45" s="1" customFormat="1">
      <c r="A697" s="22">
        <f t="shared" si="10"/>
        <v>696</v>
      </c>
      <c r="B697" s="23">
        <v>45809</v>
      </c>
      <c r="C697" s="22" t="s">
        <v>3133</v>
      </c>
      <c r="D697" s="22" t="s">
        <v>293</v>
      </c>
      <c r="E697" s="22"/>
      <c r="F697" s="22" t="s">
        <v>3134</v>
      </c>
      <c r="G697" s="22"/>
      <c r="H697" s="22"/>
      <c r="I697" s="22"/>
      <c r="J697" s="44" t="s">
        <v>3113</v>
      </c>
      <c r="K697" s="22"/>
      <c r="L697" s="22" t="s">
        <v>2926</v>
      </c>
      <c r="M697" s="22"/>
      <c r="N697" s="22" t="s">
        <v>2441</v>
      </c>
      <c r="O697" s="22"/>
      <c r="P697" s="22" t="s">
        <v>2603</v>
      </c>
      <c r="Q697" s="22" t="s">
        <v>1304</v>
      </c>
      <c r="R697" s="22" t="s">
        <v>3115</v>
      </c>
      <c r="S697" s="22" t="s">
        <v>3135</v>
      </c>
      <c r="T697" s="22"/>
      <c r="U697" s="24"/>
      <c r="V697" s="22"/>
      <c r="W697" s="22" t="s">
        <v>2408</v>
      </c>
      <c r="X697" s="22" t="s">
        <v>2408</v>
      </c>
      <c r="Y697" s="22" t="s">
        <v>135</v>
      </c>
      <c r="Z697" s="22" t="s">
        <v>2658</v>
      </c>
      <c r="AA697" s="22"/>
      <c r="AB697" s="22"/>
      <c r="AC697" s="22"/>
      <c r="AD697" s="22"/>
      <c r="AE697" s="22"/>
      <c r="AF697" s="22"/>
      <c r="AG697" s="22"/>
      <c r="AH697" s="22"/>
      <c r="AI697" s="22"/>
      <c r="AJ697" s="22"/>
      <c r="AK697" s="22"/>
      <c r="AL697" s="22"/>
      <c r="AM697" s="22"/>
      <c r="AN697" s="22"/>
      <c r="AO697" s="22"/>
      <c r="AP697" s="22"/>
      <c r="AQ697" s="22"/>
      <c r="AR697" s="22"/>
      <c r="AS697" s="25"/>
    </row>
    <row r="698" spans="1:45" s="1" customFormat="1">
      <c r="A698" s="22">
        <f t="shared" si="10"/>
        <v>697</v>
      </c>
      <c r="B698" s="23">
        <v>45809</v>
      </c>
      <c r="C698" s="22" t="s">
        <v>3133</v>
      </c>
      <c r="D698" s="22" t="s">
        <v>3133</v>
      </c>
      <c r="E698" s="22"/>
      <c r="F698" s="22" t="s">
        <v>3136</v>
      </c>
      <c r="G698" s="22"/>
      <c r="H698" s="22"/>
      <c r="I698" s="22"/>
      <c r="J698" s="44" t="s">
        <v>3113</v>
      </c>
      <c r="K698" s="22"/>
      <c r="L698" s="22" t="s">
        <v>2926</v>
      </c>
      <c r="M698" s="22"/>
      <c r="N698" s="22" t="s">
        <v>2864</v>
      </c>
      <c r="O698" s="22"/>
      <c r="P698" s="22" t="s">
        <v>2707</v>
      </c>
      <c r="Q698" s="22" t="s">
        <v>3137</v>
      </c>
      <c r="R698" s="22" t="s">
        <v>3115</v>
      </c>
      <c r="S698" s="22" t="s">
        <v>2697</v>
      </c>
      <c r="T698" s="22"/>
      <c r="U698" s="24"/>
      <c r="V698" s="22"/>
      <c r="W698" s="22" t="s">
        <v>2408</v>
      </c>
      <c r="X698" s="22" t="s">
        <v>2408</v>
      </c>
      <c r="Y698" s="22" t="s">
        <v>135</v>
      </c>
      <c r="Z698" s="22" t="s">
        <v>2658</v>
      </c>
      <c r="AA698" s="22"/>
      <c r="AB698" s="22"/>
      <c r="AC698" s="22"/>
      <c r="AD698" s="22"/>
      <c r="AE698" s="22"/>
      <c r="AF698" s="22"/>
      <c r="AG698" s="22"/>
      <c r="AH698" s="22"/>
      <c r="AI698" s="22"/>
      <c r="AJ698" s="22"/>
      <c r="AK698" s="22"/>
      <c r="AL698" s="22"/>
      <c r="AM698" s="22"/>
      <c r="AN698" s="22"/>
      <c r="AO698" s="22"/>
      <c r="AP698" s="22"/>
      <c r="AQ698" s="22"/>
      <c r="AR698" s="22"/>
      <c r="AS698" s="25"/>
    </row>
    <row r="699" spans="1:45" s="1" customFormat="1">
      <c r="A699" s="22">
        <f t="shared" si="10"/>
        <v>698</v>
      </c>
      <c r="B699" s="23">
        <v>45809</v>
      </c>
      <c r="C699" s="22" t="s">
        <v>2686</v>
      </c>
      <c r="D699" s="22" t="s">
        <v>3133</v>
      </c>
      <c r="E699" s="22"/>
      <c r="F699" s="22" t="s">
        <v>3138</v>
      </c>
      <c r="G699" s="22"/>
      <c r="H699" s="22"/>
      <c r="I699" s="22"/>
      <c r="J699" s="44" t="s">
        <v>3113</v>
      </c>
      <c r="K699" s="22"/>
      <c r="L699" s="22" t="s">
        <v>3139</v>
      </c>
      <c r="M699" s="22"/>
      <c r="N699" s="22" t="s">
        <v>2565</v>
      </c>
      <c r="O699" s="22"/>
      <c r="P699" s="22" t="s">
        <v>2452</v>
      </c>
      <c r="Q699" s="22" t="s">
        <v>3140</v>
      </c>
      <c r="R699" s="22" t="s">
        <v>3115</v>
      </c>
      <c r="S699" s="22" t="s">
        <v>2697</v>
      </c>
      <c r="T699" s="22"/>
      <c r="U699" s="24"/>
      <c r="V699" s="22"/>
      <c r="W699" s="22" t="s">
        <v>2408</v>
      </c>
      <c r="X699" s="22" t="s">
        <v>2408</v>
      </c>
      <c r="Y699" s="22" t="s">
        <v>135</v>
      </c>
      <c r="Z699" s="22" t="s">
        <v>2658</v>
      </c>
      <c r="AA699" s="22"/>
      <c r="AB699" s="22"/>
      <c r="AC699" s="22"/>
      <c r="AD699" s="22"/>
      <c r="AE699" s="22"/>
      <c r="AF699" s="22"/>
      <c r="AG699" s="22"/>
      <c r="AH699" s="22"/>
      <c r="AI699" s="22"/>
      <c r="AJ699" s="22"/>
      <c r="AK699" s="22"/>
      <c r="AL699" s="22"/>
      <c r="AM699" s="22"/>
      <c r="AN699" s="22"/>
      <c r="AO699" s="22"/>
      <c r="AP699" s="22"/>
      <c r="AQ699" s="22"/>
      <c r="AR699" s="22"/>
      <c r="AS699" s="25"/>
    </row>
    <row r="700" spans="1:45" s="1" customFormat="1">
      <c r="A700" s="22">
        <f t="shared" si="10"/>
        <v>699</v>
      </c>
      <c r="B700" s="23">
        <v>45809</v>
      </c>
      <c r="C700" s="22" t="s">
        <v>293</v>
      </c>
      <c r="D700" s="22" t="s">
        <v>2686</v>
      </c>
      <c r="E700" s="22"/>
      <c r="F700" s="22" t="s">
        <v>3141</v>
      </c>
      <c r="G700" s="22"/>
      <c r="H700" s="22"/>
      <c r="I700" s="22"/>
      <c r="J700" s="44" t="s">
        <v>3113</v>
      </c>
      <c r="K700" s="22"/>
      <c r="L700" s="22" t="s">
        <v>2489</v>
      </c>
      <c r="M700" s="22"/>
      <c r="N700" s="22" t="s">
        <v>2603</v>
      </c>
      <c r="O700" s="22"/>
      <c r="P700" s="22" t="s">
        <v>2428</v>
      </c>
      <c r="Q700" s="22" t="s">
        <v>3119</v>
      </c>
      <c r="R700" s="22" t="s">
        <v>3115</v>
      </c>
      <c r="S700" s="22" t="s">
        <v>3142</v>
      </c>
      <c r="T700" s="22"/>
      <c r="U700" s="24"/>
      <c r="V700" s="22"/>
      <c r="W700" s="22" t="s">
        <v>2408</v>
      </c>
      <c r="X700" s="22" t="s">
        <v>2408</v>
      </c>
      <c r="Y700" s="22" t="s">
        <v>135</v>
      </c>
      <c r="Z700" s="22" t="s">
        <v>2658</v>
      </c>
      <c r="AA700" s="22"/>
      <c r="AB700" s="22"/>
      <c r="AC700" s="22"/>
      <c r="AD700" s="22"/>
      <c r="AE700" s="22"/>
      <c r="AF700" s="22"/>
      <c r="AG700" s="22"/>
      <c r="AH700" s="22"/>
      <c r="AI700" s="22"/>
      <c r="AJ700" s="22"/>
      <c r="AK700" s="22"/>
      <c r="AL700" s="22"/>
      <c r="AM700" s="22"/>
      <c r="AN700" s="22"/>
      <c r="AO700" s="22"/>
      <c r="AP700" s="22"/>
      <c r="AQ700" s="22"/>
      <c r="AR700" s="22"/>
      <c r="AS700" s="25"/>
    </row>
    <row r="701" spans="1:45" s="1" customFormat="1">
      <c r="A701" s="22">
        <f t="shared" si="10"/>
        <v>700</v>
      </c>
      <c r="B701" s="23">
        <v>45809</v>
      </c>
      <c r="C701" s="22" t="s">
        <v>2686</v>
      </c>
      <c r="D701" s="22" t="s">
        <v>293</v>
      </c>
      <c r="E701" s="22"/>
      <c r="F701" s="22" t="s">
        <v>3143</v>
      </c>
      <c r="G701" s="22"/>
      <c r="H701" s="22"/>
      <c r="I701" s="22"/>
      <c r="J701" s="44" t="s">
        <v>3113</v>
      </c>
      <c r="K701" s="22"/>
      <c r="L701" s="22" t="s">
        <v>3009</v>
      </c>
      <c r="M701" s="22"/>
      <c r="N701" s="22" t="s">
        <v>2707</v>
      </c>
      <c r="O701" s="22"/>
      <c r="P701" s="22" t="s">
        <v>2471</v>
      </c>
      <c r="Q701" s="22" t="s">
        <v>3144</v>
      </c>
      <c r="R701" s="22" t="s">
        <v>3115</v>
      </c>
      <c r="S701" s="22" t="s">
        <v>2567</v>
      </c>
      <c r="T701" s="22"/>
      <c r="U701" s="24"/>
      <c r="V701" s="22"/>
      <c r="W701" s="22" t="s">
        <v>2408</v>
      </c>
      <c r="X701" s="22" t="s">
        <v>2408</v>
      </c>
      <c r="Y701" s="22" t="s">
        <v>135</v>
      </c>
      <c r="Z701" s="22" t="s">
        <v>2658</v>
      </c>
      <c r="AA701" s="22"/>
      <c r="AB701" s="22"/>
      <c r="AC701" s="22"/>
      <c r="AD701" s="22"/>
      <c r="AE701" s="22"/>
      <c r="AF701" s="22"/>
      <c r="AG701" s="22"/>
      <c r="AH701" s="22"/>
      <c r="AI701" s="22"/>
      <c r="AJ701" s="22"/>
      <c r="AK701" s="22"/>
      <c r="AL701" s="22"/>
      <c r="AM701" s="22"/>
      <c r="AN701" s="22"/>
      <c r="AO701" s="22"/>
      <c r="AP701" s="22"/>
      <c r="AQ701" s="22"/>
      <c r="AR701" s="22"/>
      <c r="AS701" s="25"/>
    </row>
    <row r="702" spans="1:45" s="1" customFormat="1">
      <c r="A702" s="22">
        <f t="shared" si="10"/>
        <v>701</v>
      </c>
      <c r="B702" s="23">
        <v>45839</v>
      </c>
      <c r="C702" s="22" t="s">
        <v>293</v>
      </c>
      <c r="D702" s="22" t="s">
        <v>2686</v>
      </c>
      <c r="E702" s="22"/>
      <c r="F702" s="22" t="s">
        <v>3145</v>
      </c>
      <c r="G702" s="22"/>
      <c r="H702" s="22"/>
      <c r="I702" s="22"/>
      <c r="J702" s="44" t="s">
        <v>3113</v>
      </c>
      <c r="K702" s="22"/>
      <c r="L702" s="22" t="s">
        <v>2489</v>
      </c>
      <c r="M702" s="22"/>
      <c r="N702" s="22" t="s">
        <v>2864</v>
      </c>
      <c r="O702" s="22"/>
      <c r="P702" s="22" t="s">
        <v>2441</v>
      </c>
      <c r="Q702" s="22" t="s">
        <v>3119</v>
      </c>
      <c r="R702" s="22" t="s">
        <v>3115</v>
      </c>
      <c r="S702" s="22" t="s">
        <v>2577</v>
      </c>
      <c r="T702" s="22"/>
      <c r="U702" s="24"/>
      <c r="V702" s="22"/>
      <c r="W702" s="22" t="s">
        <v>2408</v>
      </c>
      <c r="X702" s="22" t="s">
        <v>2408</v>
      </c>
      <c r="Y702" s="22" t="s">
        <v>135</v>
      </c>
      <c r="Z702" s="22" t="s">
        <v>2658</v>
      </c>
      <c r="AA702" s="22"/>
      <c r="AB702" s="22"/>
      <c r="AC702" s="22"/>
      <c r="AD702" s="22"/>
      <c r="AE702" s="22"/>
      <c r="AF702" s="22"/>
      <c r="AG702" s="22"/>
      <c r="AH702" s="22"/>
      <c r="AI702" s="22"/>
      <c r="AJ702" s="22"/>
      <c r="AK702" s="22"/>
      <c r="AL702" s="22"/>
      <c r="AM702" s="22"/>
      <c r="AN702" s="22"/>
      <c r="AO702" s="22"/>
      <c r="AP702" s="22"/>
      <c r="AQ702" s="22"/>
      <c r="AR702" s="22"/>
      <c r="AS702" s="25"/>
    </row>
    <row r="703" spans="1:45" s="1" customFormat="1">
      <c r="A703" s="22">
        <f t="shared" si="10"/>
        <v>702</v>
      </c>
      <c r="B703" s="23">
        <v>45840</v>
      </c>
      <c r="C703" s="22" t="s">
        <v>3099</v>
      </c>
      <c r="D703" s="22" t="s">
        <v>293</v>
      </c>
      <c r="E703" s="22"/>
      <c r="F703" s="22" t="s">
        <v>3146</v>
      </c>
      <c r="G703" s="22"/>
      <c r="H703" s="22"/>
      <c r="I703" s="22"/>
      <c r="J703" s="44" t="s">
        <v>3113</v>
      </c>
      <c r="K703" s="22"/>
      <c r="L703" s="22" t="s">
        <v>2977</v>
      </c>
      <c r="M703" s="22"/>
      <c r="N703" s="22" t="s">
        <v>3147</v>
      </c>
      <c r="O703" s="22"/>
      <c r="P703" s="22" t="s">
        <v>2428</v>
      </c>
      <c r="Q703" s="22" t="s">
        <v>3119</v>
      </c>
      <c r="R703" s="22" t="s">
        <v>3115</v>
      </c>
      <c r="S703" s="22" t="s">
        <v>3148</v>
      </c>
      <c r="T703" s="22"/>
      <c r="U703" s="24"/>
      <c r="V703" s="22"/>
      <c r="W703" s="22" t="s">
        <v>2408</v>
      </c>
      <c r="X703" s="22" t="s">
        <v>2408</v>
      </c>
      <c r="Y703" s="22" t="s">
        <v>135</v>
      </c>
      <c r="Z703" s="22" t="s">
        <v>2658</v>
      </c>
      <c r="AA703" s="22"/>
      <c r="AB703" s="22"/>
      <c r="AC703" s="22"/>
      <c r="AD703" s="22"/>
      <c r="AE703" s="22"/>
      <c r="AF703" s="22"/>
      <c r="AG703" s="22"/>
      <c r="AH703" s="22"/>
      <c r="AI703" s="22"/>
      <c r="AJ703" s="22"/>
      <c r="AK703" s="22"/>
      <c r="AL703" s="22"/>
      <c r="AM703" s="22"/>
      <c r="AN703" s="22"/>
      <c r="AO703" s="22"/>
      <c r="AP703" s="22"/>
      <c r="AQ703" s="22"/>
      <c r="AR703" s="22"/>
      <c r="AS703" s="25"/>
    </row>
    <row r="704" spans="1:45" s="1" customFormat="1">
      <c r="A704" s="22">
        <f t="shared" si="10"/>
        <v>703</v>
      </c>
      <c r="B704" s="23">
        <v>45841</v>
      </c>
      <c r="C704" s="22" t="s">
        <v>3099</v>
      </c>
      <c r="D704" s="22" t="s">
        <v>3099</v>
      </c>
      <c r="E704" s="22"/>
      <c r="F704" s="22" t="s">
        <v>3149</v>
      </c>
      <c r="G704" s="22"/>
      <c r="H704" s="22"/>
      <c r="I704" s="22"/>
      <c r="J704" s="44" t="s">
        <v>3113</v>
      </c>
      <c r="K704" s="22"/>
      <c r="L704" s="22" t="s">
        <v>2718</v>
      </c>
      <c r="M704" s="22"/>
      <c r="N704" s="22" t="s">
        <v>2707</v>
      </c>
      <c r="O704" s="22"/>
      <c r="P704" s="22" t="s">
        <v>2486</v>
      </c>
      <c r="Q704" s="22" t="s">
        <v>1304</v>
      </c>
      <c r="R704" s="22" t="s">
        <v>3115</v>
      </c>
      <c r="S704" s="22" t="s">
        <v>2587</v>
      </c>
      <c r="T704" s="22"/>
      <c r="U704" s="24"/>
      <c r="V704" s="22"/>
      <c r="W704" s="22" t="s">
        <v>2408</v>
      </c>
      <c r="X704" s="22" t="s">
        <v>2408</v>
      </c>
      <c r="Y704" s="22" t="s">
        <v>135</v>
      </c>
      <c r="Z704" s="22" t="s">
        <v>2658</v>
      </c>
      <c r="AA704" s="22"/>
      <c r="AB704" s="22"/>
      <c r="AC704" s="22"/>
      <c r="AD704" s="22"/>
      <c r="AE704" s="22"/>
      <c r="AF704" s="22"/>
      <c r="AG704" s="22"/>
      <c r="AH704" s="22"/>
      <c r="AI704" s="22"/>
      <c r="AJ704" s="22"/>
      <c r="AK704" s="22"/>
      <c r="AL704" s="22"/>
      <c r="AM704" s="22"/>
      <c r="AN704" s="22"/>
      <c r="AO704" s="22"/>
      <c r="AP704" s="22"/>
      <c r="AQ704" s="22"/>
      <c r="AR704" s="22"/>
      <c r="AS704" s="25"/>
    </row>
    <row r="705" spans="1:45" s="1" customFormat="1">
      <c r="A705" s="22">
        <f t="shared" si="10"/>
        <v>704</v>
      </c>
      <c r="B705" s="23">
        <v>45842</v>
      </c>
      <c r="C705" s="22" t="s">
        <v>3099</v>
      </c>
      <c r="D705" s="22" t="s">
        <v>3099</v>
      </c>
      <c r="E705" s="22"/>
      <c r="F705" s="22" t="s">
        <v>3150</v>
      </c>
      <c r="G705" s="22"/>
      <c r="H705" s="22"/>
      <c r="I705" s="22"/>
      <c r="J705" s="44" t="s">
        <v>3113</v>
      </c>
      <c r="K705" s="22"/>
      <c r="L705" s="22" t="s">
        <v>2489</v>
      </c>
      <c r="M705" s="22"/>
      <c r="N705" s="22" t="s">
        <v>3151</v>
      </c>
      <c r="O705" s="22"/>
      <c r="P705" s="22" t="s">
        <v>2486</v>
      </c>
      <c r="Q705" s="22" t="s">
        <v>63</v>
      </c>
      <c r="R705" s="22" t="s">
        <v>3115</v>
      </c>
      <c r="S705" s="22" t="s">
        <v>2567</v>
      </c>
      <c r="T705" s="22"/>
      <c r="U705" s="24"/>
      <c r="V705" s="22"/>
      <c r="W705" s="22" t="s">
        <v>2408</v>
      </c>
      <c r="X705" s="22" t="s">
        <v>2408</v>
      </c>
      <c r="Y705" s="22" t="s">
        <v>135</v>
      </c>
      <c r="Z705" s="22" t="s">
        <v>2658</v>
      </c>
      <c r="AA705" s="22"/>
      <c r="AB705" s="22"/>
      <c r="AC705" s="22"/>
      <c r="AD705" s="22"/>
      <c r="AE705" s="22"/>
      <c r="AF705" s="22"/>
      <c r="AG705" s="22"/>
      <c r="AH705" s="22"/>
      <c r="AI705" s="22"/>
      <c r="AJ705" s="22"/>
      <c r="AK705" s="22"/>
      <c r="AL705" s="22"/>
      <c r="AM705" s="22"/>
      <c r="AN705" s="22"/>
      <c r="AO705" s="22"/>
      <c r="AP705" s="22"/>
      <c r="AQ705" s="22"/>
      <c r="AR705" s="22"/>
      <c r="AS705" s="25"/>
    </row>
    <row r="706" spans="1:45" s="1" customFormat="1">
      <c r="A706" s="22">
        <f t="shared" si="10"/>
        <v>705</v>
      </c>
      <c r="B706" s="23">
        <v>45843</v>
      </c>
      <c r="C706" s="22" t="s">
        <v>3099</v>
      </c>
      <c r="D706" s="22" t="s">
        <v>3099</v>
      </c>
      <c r="E706" s="22"/>
      <c r="F706" s="22" t="s">
        <v>3152</v>
      </c>
      <c r="G706" s="22"/>
      <c r="H706" s="22"/>
      <c r="I706" s="22"/>
      <c r="J706" s="44" t="s">
        <v>3113</v>
      </c>
      <c r="K706" s="22"/>
      <c r="L706" s="22" t="s">
        <v>2911</v>
      </c>
      <c r="M706" s="22"/>
      <c r="N706" s="22" t="s">
        <v>3153</v>
      </c>
      <c r="O706" s="22"/>
      <c r="P706" s="22" t="s">
        <v>3066</v>
      </c>
      <c r="Q706" s="22" t="s">
        <v>63</v>
      </c>
      <c r="R706" s="22" t="s">
        <v>3115</v>
      </c>
      <c r="S706" s="22" t="s">
        <v>3122</v>
      </c>
      <c r="T706" s="22"/>
      <c r="U706" s="24"/>
      <c r="V706" s="22"/>
      <c r="W706" s="22" t="s">
        <v>2408</v>
      </c>
      <c r="X706" s="22" t="s">
        <v>2408</v>
      </c>
      <c r="Y706" s="22" t="s">
        <v>135</v>
      </c>
      <c r="Z706" s="22" t="s">
        <v>2658</v>
      </c>
      <c r="AA706" s="22"/>
      <c r="AB706" s="22"/>
      <c r="AC706" s="22"/>
      <c r="AD706" s="22"/>
      <c r="AE706" s="22"/>
      <c r="AF706" s="22"/>
      <c r="AG706" s="22"/>
      <c r="AH706" s="22"/>
      <c r="AI706" s="22"/>
      <c r="AJ706" s="22"/>
      <c r="AK706" s="22"/>
      <c r="AL706" s="22"/>
      <c r="AM706" s="22"/>
      <c r="AN706" s="22"/>
      <c r="AO706" s="22"/>
      <c r="AP706" s="22"/>
      <c r="AQ706" s="22"/>
      <c r="AR706" s="22"/>
      <c r="AS706" s="25"/>
    </row>
    <row r="707" spans="1:45" s="1" customFormat="1">
      <c r="A707" s="22">
        <f t="shared" ref="A707:A770" si="11">A706+1</f>
        <v>706</v>
      </c>
      <c r="B707" s="23">
        <v>45844</v>
      </c>
      <c r="C707" s="22" t="s">
        <v>3099</v>
      </c>
      <c r="D707" s="22" t="s">
        <v>3099</v>
      </c>
      <c r="E707" s="22"/>
      <c r="F707" s="22" t="s">
        <v>3154</v>
      </c>
      <c r="G707" s="22"/>
      <c r="H707" s="22"/>
      <c r="I707" s="22"/>
      <c r="J707" s="44" t="s">
        <v>3113</v>
      </c>
      <c r="K707" s="22"/>
      <c r="L707" s="22" t="s">
        <v>2833</v>
      </c>
      <c r="M707" s="22"/>
      <c r="N707" s="22" t="s">
        <v>2603</v>
      </c>
      <c r="O707" s="22"/>
      <c r="P707" s="22" t="s">
        <v>2486</v>
      </c>
      <c r="Q707" s="22" t="s">
        <v>63</v>
      </c>
      <c r="R707" s="22" t="s">
        <v>3115</v>
      </c>
      <c r="S707" s="22" t="s">
        <v>3155</v>
      </c>
      <c r="T707" s="22"/>
      <c r="U707" s="24"/>
      <c r="V707" s="22"/>
      <c r="W707" s="22" t="s">
        <v>2408</v>
      </c>
      <c r="X707" s="22" t="s">
        <v>2408</v>
      </c>
      <c r="Y707" s="22" t="s">
        <v>135</v>
      </c>
      <c r="Z707" s="22" t="s">
        <v>2409</v>
      </c>
      <c r="AA707" s="22"/>
      <c r="AB707" s="22"/>
      <c r="AC707" s="22"/>
      <c r="AD707" s="22"/>
      <c r="AE707" s="22"/>
      <c r="AF707" s="22"/>
      <c r="AG707" s="22"/>
      <c r="AH707" s="22"/>
      <c r="AI707" s="22"/>
      <c r="AJ707" s="22"/>
      <c r="AK707" s="22"/>
      <c r="AL707" s="22"/>
      <c r="AM707" s="22"/>
      <c r="AN707" s="22"/>
      <c r="AO707" s="22"/>
      <c r="AP707" s="22"/>
      <c r="AQ707" s="22"/>
      <c r="AR707" s="22"/>
      <c r="AS707" s="25"/>
    </row>
    <row r="708" spans="1:45" s="1" customFormat="1">
      <c r="A708" s="22">
        <f t="shared" si="11"/>
        <v>707</v>
      </c>
      <c r="B708" s="23">
        <v>45845</v>
      </c>
      <c r="C708" s="22" t="s">
        <v>3099</v>
      </c>
      <c r="D708" s="22" t="s">
        <v>3099</v>
      </c>
      <c r="E708" s="22"/>
      <c r="F708" s="22" t="s">
        <v>3156</v>
      </c>
      <c r="G708" s="22"/>
      <c r="H708" s="22"/>
      <c r="I708" s="22"/>
      <c r="J708" s="44" t="s">
        <v>3113</v>
      </c>
      <c r="K708" s="22"/>
      <c r="L708" s="22" t="s">
        <v>2926</v>
      </c>
      <c r="M708" s="22"/>
      <c r="N708" s="22" t="s">
        <v>3157</v>
      </c>
      <c r="O708" s="22"/>
      <c r="P708" s="22" t="s">
        <v>2987</v>
      </c>
      <c r="Q708" s="22" t="s">
        <v>3158</v>
      </c>
      <c r="R708" s="22" t="s">
        <v>3115</v>
      </c>
      <c r="S708" s="22" t="s">
        <v>3155</v>
      </c>
      <c r="T708" s="22"/>
      <c r="U708" s="24"/>
      <c r="V708" s="22"/>
      <c r="W708" s="22" t="s">
        <v>2408</v>
      </c>
      <c r="X708" s="22" t="s">
        <v>2408</v>
      </c>
      <c r="Y708" s="22" t="s">
        <v>135</v>
      </c>
      <c r="Z708" s="22" t="s">
        <v>2409</v>
      </c>
      <c r="AA708" s="22"/>
      <c r="AB708" s="22"/>
      <c r="AC708" s="22"/>
      <c r="AD708" s="22"/>
      <c r="AE708" s="22"/>
      <c r="AF708" s="22"/>
      <c r="AG708" s="22"/>
      <c r="AH708" s="22"/>
      <c r="AI708" s="22"/>
      <c r="AJ708" s="22"/>
      <c r="AK708" s="22"/>
      <c r="AL708" s="22"/>
      <c r="AM708" s="22"/>
      <c r="AN708" s="22"/>
      <c r="AO708" s="22"/>
      <c r="AP708" s="22"/>
      <c r="AQ708" s="22"/>
      <c r="AR708" s="22"/>
      <c r="AS708" s="25"/>
    </row>
    <row r="709" spans="1:45" s="1" customFormat="1">
      <c r="A709" s="22">
        <f t="shared" si="11"/>
        <v>708</v>
      </c>
      <c r="B709" s="23">
        <v>45846</v>
      </c>
      <c r="C709" s="22" t="s">
        <v>3099</v>
      </c>
      <c r="D709" s="22" t="s">
        <v>3099</v>
      </c>
      <c r="E709" s="22"/>
      <c r="F709" s="22" t="s">
        <v>3159</v>
      </c>
      <c r="G709" s="22"/>
      <c r="H709" s="22"/>
      <c r="I709" s="22"/>
      <c r="J709" s="44" t="s">
        <v>3113</v>
      </c>
      <c r="K709" s="22"/>
      <c r="L709" s="22" t="s">
        <v>2489</v>
      </c>
      <c r="M709" s="22"/>
      <c r="N709" s="22" t="s">
        <v>2860</v>
      </c>
      <c r="O709" s="22"/>
      <c r="P709" s="22" t="s">
        <v>2428</v>
      </c>
      <c r="Q709" s="22" t="s">
        <v>63</v>
      </c>
      <c r="R709" s="22" t="s">
        <v>3160</v>
      </c>
      <c r="S709" s="22" t="s">
        <v>3155</v>
      </c>
      <c r="T709" s="22"/>
      <c r="U709" s="24"/>
      <c r="V709" s="22"/>
      <c r="W709" s="22" t="s">
        <v>2408</v>
      </c>
      <c r="X709" s="22" t="s">
        <v>2408</v>
      </c>
      <c r="Y709" s="22" t="s">
        <v>135</v>
      </c>
      <c r="Z709" s="22" t="s">
        <v>2409</v>
      </c>
      <c r="AA709" s="22"/>
      <c r="AB709" s="22"/>
      <c r="AC709" s="22"/>
      <c r="AD709" s="22"/>
      <c r="AE709" s="22"/>
      <c r="AF709" s="22"/>
      <c r="AG709" s="22"/>
      <c r="AH709" s="22"/>
      <c r="AI709" s="22"/>
      <c r="AJ709" s="22"/>
      <c r="AK709" s="22"/>
      <c r="AL709" s="22"/>
      <c r="AM709" s="22"/>
      <c r="AN709" s="22"/>
      <c r="AO709" s="22"/>
      <c r="AP709" s="22"/>
      <c r="AQ709" s="22"/>
      <c r="AR709" s="22"/>
      <c r="AS709" s="25"/>
    </row>
    <row r="710" spans="1:45" s="1" customFormat="1">
      <c r="A710" s="22">
        <f t="shared" si="11"/>
        <v>709</v>
      </c>
      <c r="B710" s="23">
        <v>45847</v>
      </c>
      <c r="C710" s="22" t="s">
        <v>3099</v>
      </c>
      <c r="D710" s="22" t="s">
        <v>3099</v>
      </c>
      <c r="E710" s="22"/>
      <c r="F710" s="22" t="s">
        <v>3161</v>
      </c>
      <c r="G710" s="22"/>
      <c r="H710" s="22"/>
      <c r="I710" s="22"/>
      <c r="J710" s="44" t="s">
        <v>3113</v>
      </c>
      <c r="K710" s="22"/>
      <c r="L710" s="22" t="s">
        <v>2926</v>
      </c>
      <c r="M710" s="22"/>
      <c r="N710" s="22" t="s">
        <v>2873</v>
      </c>
      <c r="O710" s="22"/>
      <c r="P710" s="22" t="s">
        <v>3153</v>
      </c>
      <c r="Q710" s="22" t="s">
        <v>63</v>
      </c>
      <c r="R710" s="22" t="s">
        <v>63</v>
      </c>
      <c r="S710" s="22" t="s">
        <v>3162</v>
      </c>
      <c r="T710" s="22"/>
      <c r="U710" s="24"/>
      <c r="V710" s="22"/>
      <c r="W710" s="22" t="s">
        <v>2408</v>
      </c>
      <c r="X710" s="22" t="s">
        <v>2408</v>
      </c>
      <c r="Y710" s="22" t="s">
        <v>135</v>
      </c>
      <c r="Z710" s="22" t="s">
        <v>2409</v>
      </c>
      <c r="AA710" s="22"/>
      <c r="AB710" s="22"/>
      <c r="AC710" s="22"/>
      <c r="AD710" s="22"/>
      <c r="AE710" s="22"/>
      <c r="AF710" s="22"/>
      <c r="AG710" s="22"/>
      <c r="AH710" s="22"/>
      <c r="AI710" s="22"/>
      <c r="AJ710" s="22"/>
      <c r="AK710" s="22"/>
      <c r="AL710" s="22"/>
      <c r="AM710" s="22"/>
      <c r="AN710" s="22"/>
      <c r="AO710" s="22"/>
      <c r="AP710" s="22"/>
      <c r="AQ710" s="22"/>
      <c r="AR710" s="22"/>
      <c r="AS710" s="25"/>
    </row>
    <row r="711" spans="1:45" s="1" customFormat="1">
      <c r="A711" s="22">
        <f t="shared" si="11"/>
        <v>710</v>
      </c>
      <c r="B711" s="23">
        <v>45848</v>
      </c>
      <c r="C711" s="22" t="s">
        <v>3099</v>
      </c>
      <c r="D711" s="22" t="s">
        <v>3099</v>
      </c>
      <c r="E711" s="22"/>
      <c r="F711" s="22" t="s">
        <v>3163</v>
      </c>
      <c r="G711" s="22"/>
      <c r="H711" s="22"/>
      <c r="I711" s="22"/>
      <c r="J711" s="44" t="s">
        <v>3113</v>
      </c>
      <c r="K711" s="22"/>
      <c r="L711" s="22" t="s">
        <v>2489</v>
      </c>
      <c r="M711" s="22"/>
      <c r="N711" s="22" t="s">
        <v>2452</v>
      </c>
      <c r="O711" s="22"/>
      <c r="P711" s="22" t="s">
        <v>2486</v>
      </c>
      <c r="Q711" s="22" t="s">
        <v>63</v>
      </c>
      <c r="R711" s="22" t="s">
        <v>63</v>
      </c>
      <c r="S711" s="22" t="s">
        <v>3155</v>
      </c>
      <c r="T711" s="22"/>
      <c r="U711" s="24"/>
      <c r="V711" s="22"/>
      <c r="W711" s="22" t="s">
        <v>2408</v>
      </c>
      <c r="X711" s="22" t="s">
        <v>2408</v>
      </c>
      <c r="Y711" s="22" t="s">
        <v>135</v>
      </c>
      <c r="Z711" s="22" t="s">
        <v>2409</v>
      </c>
      <c r="AA711" s="22"/>
      <c r="AB711" s="22"/>
      <c r="AC711" s="22"/>
      <c r="AD711" s="22"/>
      <c r="AE711" s="22"/>
      <c r="AF711" s="22"/>
      <c r="AG711" s="22"/>
      <c r="AH711" s="22"/>
      <c r="AI711" s="22"/>
      <c r="AJ711" s="22"/>
      <c r="AK711" s="22"/>
      <c r="AL711" s="22"/>
      <c r="AM711" s="22"/>
      <c r="AN711" s="22"/>
      <c r="AO711" s="22"/>
      <c r="AP711" s="22"/>
      <c r="AQ711" s="22"/>
      <c r="AR711" s="22"/>
      <c r="AS711" s="25"/>
    </row>
    <row r="712" spans="1:45" s="1" customFormat="1">
      <c r="A712" s="22">
        <f t="shared" si="11"/>
        <v>711</v>
      </c>
      <c r="B712" s="23">
        <v>45849</v>
      </c>
      <c r="C712" s="22" t="s">
        <v>3099</v>
      </c>
      <c r="D712" s="22" t="s">
        <v>3099</v>
      </c>
      <c r="E712" s="22"/>
      <c r="F712" s="22" t="s">
        <v>3164</v>
      </c>
      <c r="G712" s="22"/>
      <c r="H712" s="22"/>
      <c r="I712" s="22"/>
      <c r="J712" s="44" t="s">
        <v>3113</v>
      </c>
      <c r="K712" s="22"/>
      <c r="L712" s="22" t="s">
        <v>3009</v>
      </c>
      <c r="M712" s="22"/>
      <c r="N712" s="22" t="s">
        <v>3165</v>
      </c>
      <c r="O712" s="22"/>
      <c r="P712" s="22" t="s">
        <v>3166</v>
      </c>
      <c r="Q712" s="22" t="s">
        <v>63</v>
      </c>
      <c r="R712" s="22" t="s">
        <v>63</v>
      </c>
      <c r="S712" s="22" t="s">
        <v>3155</v>
      </c>
      <c r="T712" s="22"/>
      <c r="U712" s="24"/>
      <c r="V712" s="22"/>
      <c r="W712" s="22" t="s">
        <v>2408</v>
      </c>
      <c r="X712" s="22" t="s">
        <v>2408</v>
      </c>
      <c r="Y712" s="22" t="s">
        <v>135</v>
      </c>
      <c r="Z712" s="22" t="s">
        <v>2409</v>
      </c>
      <c r="AA712" s="22"/>
      <c r="AB712" s="22"/>
      <c r="AC712" s="22"/>
      <c r="AD712" s="22"/>
      <c r="AE712" s="22"/>
      <c r="AF712" s="22"/>
      <c r="AG712" s="22"/>
      <c r="AH712" s="22"/>
      <c r="AI712" s="22"/>
      <c r="AJ712" s="22"/>
      <c r="AK712" s="22"/>
      <c r="AL712" s="22"/>
      <c r="AM712" s="22"/>
      <c r="AN712" s="22"/>
      <c r="AO712" s="22"/>
      <c r="AP712" s="22"/>
      <c r="AQ712" s="22"/>
      <c r="AR712" s="22"/>
      <c r="AS712" s="25"/>
    </row>
    <row r="713" spans="1:45" s="1" customFormat="1">
      <c r="A713" s="22">
        <f t="shared" si="11"/>
        <v>712</v>
      </c>
      <c r="B713" s="23">
        <v>45850</v>
      </c>
      <c r="C713" s="22" t="s">
        <v>3099</v>
      </c>
      <c r="D713" s="22" t="s">
        <v>3099</v>
      </c>
      <c r="E713" s="22"/>
      <c r="F713" s="22" t="s">
        <v>3167</v>
      </c>
      <c r="G713" s="22"/>
      <c r="H713" s="22"/>
      <c r="I713" s="22"/>
      <c r="J713" s="44" t="s">
        <v>3113</v>
      </c>
      <c r="K713" s="22"/>
      <c r="L713" s="22" t="s">
        <v>2911</v>
      </c>
      <c r="M713" s="22"/>
      <c r="N713" s="22" t="s">
        <v>2452</v>
      </c>
      <c r="O713" s="22"/>
      <c r="P713" s="22" t="s">
        <v>2414</v>
      </c>
      <c r="Q713" s="22" t="s">
        <v>63</v>
      </c>
      <c r="R713" s="22" t="s">
        <v>63</v>
      </c>
      <c r="S713" s="22" t="s">
        <v>3132</v>
      </c>
      <c r="T713" s="22"/>
      <c r="U713" s="24"/>
      <c r="V713" s="22"/>
      <c r="W713" s="22" t="s">
        <v>2408</v>
      </c>
      <c r="X713" s="22" t="s">
        <v>2408</v>
      </c>
      <c r="Y713" s="22" t="s">
        <v>135</v>
      </c>
      <c r="Z713" s="22" t="s">
        <v>2409</v>
      </c>
      <c r="AA713" s="22"/>
      <c r="AB713" s="22"/>
      <c r="AC713" s="22"/>
      <c r="AD713" s="22"/>
      <c r="AE713" s="22"/>
      <c r="AF713" s="22"/>
      <c r="AG713" s="22"/>
      <c r="AH713" s="22"/>
      <c r="AI713" s="22"/>
      <c r="AJ713" s="22"/>
      <c r="AK713" s="22"/>
      <c r="AL713" s="22"/>
      <c r="AM713" s="22"/>
      <c r="AN713" s="22"/>
      <c r="AO713" s="22"/>
      <c r="AP713" s="22"/>
      <c r="AQ713" s="22"/>
      <c r="AR713" s="22"/>
      <c r="AS713" s="25"/>
    </row>
    <row r="714" spans="1:45" s="1" customFormat="1">
      <c r="A714" s="22">
        <f t="shared" si="11"/>
        <v>713</v>
      </c>
      <c r="B714" s="23">
        <v>45851</v>
      </c>
      <c r="C714" s="22" t="s">
        <v>667</v>
      </c>
      <c r="D714" s="22" t="s">
        <v>3099</v>
      </c>
      <c r="E714" s="22"/>
      <c r="F714" s="22" t="s">
        <v>3145</v>
      </c>
      <c r="G714" s="22"/>
      <c r="H714" s="22"/>
      <c r="I714" s="22"/>
      <c r="J714" s="44" t="s">
        <v>3113</v>
      </c>
      <c r="K714" s="22"/>
      <c r="L714" s="22" t="s">
        <v>2489</v>
      </c>
      <c r="M714" s="22"/>
      <c r="N714" s="22" t="s">
        <v>2434</v>
      </c>
      <c r="O714" s="22"/>
      <c r="P714" s="22">
        <v>0.3</v>
      </c>
      <c r="Q714" s="22" t="s">
        <v>3168</v>
      </c>
      <c r="R714" s="22" t="s">
        <v>3160</v>
      </c>
      <c r="S714" s="22" t="s">
        <v>2567</v>
      </c>
      <c r="T714" s="22"/>
      <c r="U714" s="24"/>
      <c r="V714" s="22"/>
      <c r="W714" s="22" t="s">
        <v>2408</v>
      </c>
      <c r="X714" s="22" t="s">
        <v>2408</v>
      </c>
      <c r="Y714" s="22" t="s">
        <v>135</v>
      </c>
      <c r="Z714" s="22" t="s">
        <v>2409</v>
      </c>
      <c r="AA714" s="22"/>
      <c r="AB714" s="22"/>
      <c r="AC714" s="22"/>
      <c r="AD714" s="22"/>
      <c r="AE714" s="22"/>
      <c r="AF714" s="22"/>
      <c r="AG714" s="22"/>
      <c r="AH714" s="22"/>
      <c r="AI714" s="22"/>
      <c r="AJ714" s="22"/>
      <c r="AK714" s="22"/>
      <c r="AL714" s="22"/>
      <c r="AM714" s="22"/>
      <c r="AN714" s="22"/>
      <c r="AO714" s="22"/>
      <c r="AP714" s="22"/>
      <c r="AQ714" s="22"/>
      <c r="AR714" s="22"/>
      <c r="AS714" s="25"/>
    </row>
    <row r="715" spans="1:45" s="1" customFormat="1">
      <c r="A715" s="22">
        <f t="shared" si="11"/>
        <v>714</v>
      </c>
      <c r="B715" s="23">
        <v>45852</v>
      </c>
      <c r="C715" s="22" t="s">
        <v>667</v>
      </c>
      <c r="D715" s="22" t="s">
        <v>667</v>
      </c>
      <c r="E715" s="22"/>
      <c r="F715" s="22" t="s">
        <v>3169</v>
      </c>
      <c r="G715" s="22"/>
      <c r="H715" s="22"/>
      <c r="I715" s="22"/>
      <c r="J715" s="44" t="s">
        <v>3113</v>
      </c>
      <c r="K715" s="22"/>
      <c r="L715" s="22" t="s">
        <v>3170</v>
      </c>
      <c r="M715" s="22"/>
      <c r="N715" s="22" t="s">
        <v>2603</v>
      </c>
      <c r="O715" s="22"/>
      <c r="P715" s="22" t="s">
        <v>3171</v>
      </c>
      <c r="Q715" s="22" t="s">
        <v>890</v>
      </c>
      <c r="R715" s="22" t="s">
        <v>3160</v>
      </c>
      <c r="S715" s="22" t="s">
        <v>2587</v>
      </c>
      <c r="T715" s="22"/>
      <c r="U715" s="24"/>
      <c r="V715" s="22"/>
      <c r="W715" s="22" t="s">
        <v>2408</v>
      </c>
      <c r="X715" s="22" t="s">
        <v>2408</v>
      </c>
      <c r="Y715" s="22" t="s">
        <v>135</v>
      </c>
      <c r="Z715" s="22" t="s">
        <v>2409</v>
      </c>
      <c r="AA715" s="22"/>
      <c r="AB715" s="22"/>
      <c r="AC715" s="22"/>
      <c r="AD715" s="22"/>
      <c r="AE715" s="22"/>
      <c r="AF715" s="22"/>
      <c r="AG715" s="22"/>
      <c r="AH715" s="22"/>
      <c r="AI715" s="22"/>
      <c r="AJ715" s="22"/>
      <c r="AK715" s="22"/>
      <c r="AL715" s="22"/>
      <c r="AM715" s="22"/>
      <c r="AN715" s="22"/>
      <c r="AO715" s="22"/>
      <c r="AP715" s="22"/>
      <c r="AQ715" s="22"/>
      <c r="AR715" s="22"/>
      <c r="AS715" s="25"/>
    </row>
    <row r="716" spans="1:45" s="1" customFormat="1">
      <c r="A716" s="22">
        <f t="shared" si="11"/>
        <v>715</v>
      </c>
      <c r="B716" s="23">
        <v>45870</v>
      </c>
      <c r="C716" s="22" t="s">
        <v>209</v>
      </c>
      <c r="D716" s="22" t="s">
        <v>209</v>
      </c>
      <c r="E716" s="22"/>
      <c r="F716" s="22" t="s">
        <v>3172</v>
      </c>
      <c r="G716" s="22"/>
      <c r="H716" s="22"/>
      <c r="I716" s="22"/>
      <c r="J716" s="44" t="s">
        <v>3173</v>
      </c>
      <c r="K716" s="22"/>
      <c r="L716" s="22" t="s">
        <v>3174</v>
      </c>
      <c r="M716" s="22"/>
      <c r="N716" s="22" t="s">
        <v>2441</v>
      </c>
      <c r="O716" s="22"/>
      <c r="P716" s="22" t="s">
        <v>2599</v>
      </c>
      <c r="Q716" s="22" t="s">
        <v>3175</v>
      </c>
      <c r="R716" s="22" t="s">
        <v>3115</v>
      </c>
      <c r="S716" s="22" t="s">
        <v>2567</v>
      </c>
      <c r="T716" s="22"/>
      <c r="U716" s="24"/>
      <c r="V716" s="22"/>
      <c r="W716" s="22" t="s">
        <v>2408</v>
      </c>
      <c r="X716" s="22" t="s">
        <v>2408</v>
      </c>
      <c r="Y716" s="22" t="s">
        <v>135</v>
      </c>
      <c r="Z716" s="22" t="s">
        <v>2409</v>
      </c>
      <c r="AA716" s="22"/>
      <c r="AB716" s="22"/>
      <c r="AC716" s="22"/>
      <c r="AD716" s="22"/>
      <c r="AE716" s="22"/>
      <c r="AF716" s="22"/>
      <c r="AG716" s="22"/>
      <c r="AH716" s="22"/>
      <c r="AI716" s="22"/>
      <c r="AJ716" s="22"/>
      <c r="AK716" s="22"/>
      <c r="AL716" s="22"/>
      <c r="AM716" s="22"/>
      <c r="AN716" s="22"/>
      <c r="AO716" s="22"/>
      <c r="AP716" s="22"/>
      <c r="AQ716" s="22"/>
      <c r="AR716" s="22"/>
      <c r="AS716" s="25"/>
    </row>
    <row r="717" spans="1:45" s="1" customFormat="1">
      <c r="A717" s="22">
        <f t="shared" si="11"/>
        <v>716</v>
      </c>
      <c r="B717" s="23">
        <v>45871</v>
      </c>
      <c r="C717" s="22" t="s">
        <v>209</v>
      </c>
      <c r="D717" s="22" t="s">
        <v>209</v>
      </c>
      <c r="E717" s="22"/>
      <c r="F717" s="22" t="s">
        <v>3176</v>
      </c>
      <c r="G717" s="22"/>
      <c r="H717" s="22"/>
      <c r="I717" s="22"/>
      <c r="J717" s="44" t="s">
        <v>3173</v>
      </c>
      <c r="K717" s="22"/>
      <c r="L717" s="22" t="s">
        <v>3177</v>
      </c>
      <c r="M717" s="22"/>
      <c r="N717" s="22" t="s">
        <v>2477</v>
      </c>
      <c r="O717" s="22"/>
      <c r="P717" s="22" t="s">
        <v>2599</v>
      </c>
      <c r="Q717" s="22" t="s">
        <v>63</v>
      </c>
      <c r="R717" s="22" t="s">
        <v>63</v>
      </c>
      <c r="S717" s="22" t="s">
        <v>3122</v>
      </c>
      <c r="T717" s="22"/>
      <c r="U717" s="24"/>
      <c r="V717" s="22"/>
      <c r="W717" s="22" t="s">
        <v>2408</v>
      </c>
      <c r="X717" s="22" t="s">
        <v>2408</v>
      </c>
      <c r="Y717" s="22" t="s">
        <v>135</v>
      </c>
      <c r="Z717" s="22" t="s">
        <v>2409</v>
      </c>
      <c r="AA717" s="22"/>
      <c r="AB717" s="22"/>
      <c r="AC717" s="22"/>
      <c r="AD717" s="22"/>
      <c r="AE717" s="22"/>
      <c r="AF717" s="22"/>
      <c r="AG717" s="22"/>
      <c r="AH717" s="22"/>
      <c r="AI717" s="22"/>
      <c r="AJ717" s="22"/>
      <c r="AK717" s="22"/>
      <c r="AL717" s="22"/>
      <c r="AM717" s="22"/>
      <c r="AN717" s="22"/>
      <c r="AO717" s="22"/>
      <c r="AP717" s="22"/>
      <c r="AQ717" s="22"/>
      <c r="AR717" s="22"/>
      <c r="AS717" s="25"/>
    </row>
    <row r="718" spans="1:45" s="1" customFormat="1">
      <c r="A718" s="22">
        <f t="shared" si="11"/>
        <v>717</v>
      </c>
      <c r="B718" s="23">
        <v>45872</v>
      </c>
      <c r="C718" s="22" t="s">
        <v>209</v>
      </c>
      <c r="D718" s="22" t="s">
        <v>209</v>
      </c>
      <c r="E718" s="22"/>
      <c r="F718" s="22" t="s">
        <v>3178</v>
      </c>
      <c r="G718" s="22"/>
      <c r="H718" s="22"/>
      <c r="I718" s="22"/>
      <c r="J718" s="44" t="s">
        <v>3173</v>
      </c>
      <c r="K718" s="22"/>
      <c r="L718" s="22"/>
      <c r="M718" s="22"/>
      <c r="N718" s="22" t="s">
        <v>2860</v>
      </c>
      <c r="O718" s="22"/>
      <c r="P718" s="22" t="s">
        <v>3179</v>
      </c>
      <c r="Q718" s="22" t="s">
        <v>3180</v>
      </c>
      <c r="R718" s="22" t="s">
        <v>3115</v>
      </c>
      <c r="S718" s="22" t="s">
        <v>2587</v>
      </c>
      <c r="T718" s="22"/>
      <c r="U718" s="24"/>
      <c r="V718" s="22"/>
      <c r="W718" s="22" t="s">
        <v>2408</v>
      </c>
      <c r="X718" s="22" t="s">
        <v>2408</v>
      </c>
      <c r="Y718" s="22" t="s">
        <v>135</v>
      </c>
      <c r="Z718" s="22" t="s">
        <v>2409</v>
      </c>
      <c r="AA718" s="22"/>
      <c r="AB718" s="22"/>
      <c r="AC718" s="22"/>
      <c r="AD718" s="22"/>
      <c r="AE718" s="22"/>
      <c r="AF718" s="22"/>
      <c r="AG718" s="22"/>
      <c r="AH718" s="22"/>
      <c r="AI718" s="22"/>
      <c r="AJ718" s="22"/>
      <c r="AK718" s="22"/>
      <c r="AL718" s="22"/>
      <c r="AM718" s="22"/>
      <c r="AN718" s="22"/>
      <c r="AO718" s="22"/>
      <c r="AP718" s="22"/>
      <c r="AQ718" s="22"/>
      <c r="AR718" s="22"/>
      <c r="AS718" s="25"/>
    </row>
    <row r="719" spans="1:45" s="1" customFormat="1">
      <c r="A719" s="22">
        <f t="shared" si="11"/>
        <v>718</v>
      </c>
      <c r="B719" s="23">
        <v>45875</v>
      </c>
      <c r="C719" s="22" t="s">
        <v>667</v>
      </c>
      <c r="D719" s="22" t="s">
        <v>667</v>
      </c>
      <c r="E719" s="22"/>
      <c r="F719" s="22" t="s">
        <v>3181</v>
      </c>
      <c r="G719" s="22"/>
      <c r="H719" s="22"/>
      <c r="I719" s="22"/>
      <c r="J719" s="44" t="s">
        <v>3173</v>
      </c>
      <c r="K719" s="22"/>
      <c r="L719" s="22" t="s">
        <v>3022</v>
      </c>
      <c r="M719" s="22"/>
      <c r="N719" s="22" t="s">
        <v>3182</v>
      </c>
      <c r="O719" s="22"/>
      <c r="P719" s="22" t="s">
        <v>2486</v>
      </c>
      <c r="Q719" s="22" t="s">
        <v>3183</v>
      </c>
      <c r="R719" s="22" t="s">
        <v>3115</v>
      </c>
      <c r="S719" s="22" t="s">
        <v>2587</v>
      </c>
      <c r="T719" s="22"/>
      <c r="U719" s="24"/>
      <c r="V719" s="22"/>
      <c r="W719" s="22" t="s">
        <v>2408</v>
      </c>
      <c r="X719" s="22" t="s">
        <v>2408</v>
      </c>
      <c r="Y719" s="22" t="s">
        <v>135</v>
      </c>
      <c r="Z719" s="22" t="s">
        <v>2409</v>
      </c>
      <c r="AA719" s="22"/>
      <c r="AB719" s="22"/>
      <c r="AC719" s="22"/>
      <c r="AD719" s="22"/>
      <c r="AE719" s="22"/>
      <c r="AF719" s="22"/>
      <c r="AG719" s="22"/>
      <c r="AH719" s="22"/>
      <c r="AI719" s="22"/>
      <c r="AJ719" s="22"/>
      <c r="AK719" s="22"/>
      <c r="AL719" s="22"/>
      <c r="AM719" s="22"/>
      <c r="AN719" s="22"/>
      <c r="AO719" s="22"/>
      <c r="AP719" s="22"/>
      <c r="AQ719" s="22"/>
      <c r="AR719" s="22"/>
      <c r="AS719" s="25"/>
    </row>
    <row r="720" spans="1:45" s="1" customFormat="1">
      <c r="A720" s="22">
        <f t="shared" si="11"/>
        <v>719</v>
      </c>
      <c r="B720" s="23">
        <v>45876</v>
      </c>
      <c r="C720" s="22" t="s">
        <v>667</v>
      </c>
      <c r="D720" s="22" t="s">
        <v>667</v>
      </c>
      <c r="E720" s="22"/>
      <c r="F720" s="22" t="s">
        <v>3184</v>
      </c>
      <c r="G720" s="22"/>
      <c r="H720" s="22"/>
      <c r="I720" s="22"/>
      <c r="J720" s="44" t="s">
        <v>3173</v>
      </c>
      <c r="K720" s="22"/>
      <c r="L720" s="22" t="s">
        <v>3009</v>
      </c>
      <c r="M720" s="22"/>
      <c r="N720" s="22" t="s">
        <v>3165</v>
      </c>
      <c r="O720" s="22"/>
      <c r="P720" s="22" t="s">
        <v>3166</v>
      </c>
      <c r="Q720" s="22" t="s">
        <v>1304</v>
      </c>
      <c r="R720" s="22" t="s">
        <v>3115</v>
      </c>
      <c r="S720" s="22" t="s">
        <v>3132</v>
      </c>
      <c r="T720" s="22"/>
      <c r="U720" s="24"/>
      <c r="V720" s="22"/>
      <c r="W720" s="22" t="s">
        <v>2408</v>
      </c>
      <c r="X720" s="22" t="s">
        <v>2408</v>
      </c>
      <c r="Y720" s="22" t="s">
        <v>135</v>
      </c>
      <c r="Z720" s="22" t="s">
        <v>2409</v>
      </c>
      <c r="AA720" s="22"/>
      <c r="AB720" s="22"/>
      <c r="AC720" s="22"/>
      <c r="AD720" s="22"/>
      <c r="AE720" s="22"/>
      <c r="AF720" s="22"/>
      <c r="AG720" s="22"/>
      <c r="AH720" s="22"/>
      <c r="AI720" s="22"/>
      <c r="AJ720" s="22"/>
      <c r="AK720" s="22"/>
      <c r="AL720" s="22"/>
      <c r="AM720" s="22"/>
      <c r="AN720" s="22"/>
      <c r="AO720" s="22"/>
      <c r="AP720" s="22"/>
      <c r="AQ720" s="22"/>
      <c r="AR720" s="22"/>
      <c r="AS720" s="25"/>
    </row>
    <row r="721" spans="1:45" s="1" customFormat="1">
      <c r="A721" s="22">
        <f t="shared" si="11"/>
        <v>720</v>
      </c>
      <c r="B721" s="23">
        <v>45877</v>
      </c>
      <c r="C721" s="22" t="s">
        <v>667</v>
      </c>
      <c r="D721" s="22" t="s">
        <v>667</v>
      </c>
      <c r="E721" s="22"/>
      <c r="F721" s="22" t="s">
        <v>3185</v>
      </c>
      <c r="G721" s="22"/>
      <c r="H721" s="22"/>
      <c r="I721" s="22"/>
      <c r="J721" s="44" t="s">
        <v>3173</v>
      </c>
      <c r="K721" s="22"/>
      <c r="L721" s="22" t="s">
        <v>3170</v>
      </c>
      <c r="M721" s="22"/>
      <c r="N721" s="22" t="s">
        <v>2452</v>
      </c>
      <c r="O721" s="22"/>
      <c r="P721" s="22" t="s">
        <v>2414</v>
      </c>
      <c r="Q721" s="22" t="s">
        <v>63</v>
      </c>
      <c r="R721" s="22" t="s">
        <v>3115</v>
      </c>
      <c r="S721" s="22" t="s">
        <v>2567</v>
      </c>
      <c r="T721" s="22"/>
      <c r="U721" s="24"/>
      <c r="V721" s="22"/>
      <c r="W721" s="22" t="s">
        <v>2408</v>
      </c>
      <c r="X721" s="22" t="s">
        <v>2408</v>
      </c>
      <c r="Y721" s="22" t="s">
        <v>135</v>
      </c>
      <c r="Z721" s="22" t="s">
        <v>2409</v>
      </c>
      <c r="AA721" s="22"/>
      <c r="AB721" s="22"/>
      <c r="AC721" s="22"/>
      <c r="AD721" s="22"/>
      <c r="AE721" s="22"/>
      <c r="AF721" s="22"/>
      <c r="AG721" s="22"/>
      <c r="AH721" s="22"/>
      <c r="AI721" s="22"/>
      <c r="AJ721" s="22"/>
      <c r="AK721" s="22"/>
      <c r="AL721" s="22"/>
      <c r="AM721" s="22"/>
      <c r="AN721" s="22"/>
      <c r="AO721" s="22"/>
      <c r="AP721" s="22"/>
      <c r="AQ721" s="22"/>
      <c r="AR721" s="22"/>
      <c r="AS721" s="25"/>
    </row>
    <row r="722" spans="1:45" s="1" customFormat="1">
      <c r="A722" s="22">
        <f t="shared" si="11"/>
        <v>721</v>
      </c>
      <c r="B722" s="23">
        <v>45878</v>
      </c>
      <c r="C722" s="22" t="s">
        <v>293</v>
      </c>
      <c r="D722" s="22" t="s">
        <v>293</v>
      </c>
      <c r="E722" s="22"/>
      <c r="F722" s="22" t="s">
        <v>3186</v>
      </c>
      <c r="G722" s="22"/>
      <c r="H722" s="22"/>
      <c r="I722" s="22"/>
      <c r="J722" s="44" t="s">
        <v>3173</v>
      </c>
      <c r="K722" s="22"/>
      <c r="L722" s="22" t="s">
        <v>2475</v>
      </c>
      <c r="M722" s="22"/>
      <c r="N722" s="22" t="s">
        <v>2707</v>
      </c>
      <c r="O722" s="22"/>
      <c r="P722" s="22" t="s">
        <v>2486</v>
      </c>
      <c r="Q722" s="22" t="s">
        <v>63</v>
      </c>
      <c r="R722" s="22" t="s">
        <v>3115</v>
      </c>
      <c r="S722" s="22" t="s">
        <v>2587</v>
      </c>
      <c r="T722" s="22"/>
      <c r="U722" s="24"/>
      <c r="V722" s="22"/>
      <c r="W722" s="22" t="s">
        <v>2408</v>
      </c>
      <c r="X722" s="22" t="s">
        <v>2408</v>
      </c>
      <c r="Y722" s="22" t="s">
        <v>135</v>
      </c>
      <c r="Z722" s="22" t="s">
        <v>2409</v>
      </c>
      <c r="AA722" s="22"/>
      <c r="AB722" s="22"/>
      <c r="AC722" s="22"/>
      <c r="AD722" s="22"/>
      <c r="AE722" s="22"/>
      <c r="AF722" s="22"/>
      <c r="AG722" s="22"/>
      <c r="AH722" s="22"/>
      <c r="AI722" s="22"/>
      <c r="AJ722" s="22"/>
      <c r="AK722" s="22"/>
      <c r="AL722" s="22"/>
      <c r="AM722" s="22"/>
      <c r="AN722" s="22"/>
      <c r="AO722" s="22"/>
      <c r="AP722" s="22"/>
      <c r="AQ722" s="22"/>
      <c r="AR722" s="22"/>
      <c r="AS722" s="25"/>
    </row>
    <row r="723" spans="1:45" s="1" customFormat="1">
      <c r="A723" s="22">
        <f t="shared" si="11"/>
        <v>722</v>
      </c>
      <c r="B723" s="23">
        <v>45879</v>
      </c>
      <c r="C723" s="22" t="s">
        <v>293</v>
      </c>
      <c r="D723" s="22" t="s">
        <v>293</v>
      </c>
      <c r="E723" s="22"/>
      <c r="F723" s="22" t="s">
        <v>3145</v>
      </c>
      <c r="G723" s="22"/>
      <c r="H723" s="22"/>
      <c r="I723" s="22"/>
      <c r="J723" s="44" t="s">
        <v>3173</v>
      </c>
      <c r="K723" s="22"/>
      <c r="L723" s="22" t="s">
        <v>3009</v>
      </c>
      <c r="M723" s="22"/>
      <c r="N723" s="22" t="s">
        <v>3151</v>
      </c>
      <c r="O723" s="22"/>
      <c r="P723" s="22" t="s">
        <v>2486</v>
      </c>
      <c r="Q723" s="22" t="s">
        <v>63</v>
      </c>
      <c r="R723" s="22" t="s">
        <v>3115</v>
      </c>
      <c r="S723" s="22" t="s">
        <v>2567</v>
      </c>
      <c r="T723" s="22"/>
      <c r="U723" s="24"/>
      <c r="V723" s="22"/>
      <c r="W723" s="22" t="s">
        <v>2408</v>
      </c>
      <c r="X723" s="22" t="s">
        <v>2408</v>
      </c>
      <c r="Y723" s="22" t="s">
        <v>135</v>
      </c>
      <c r="Z723" s="22" t="s">
        <v>2409</v>
      </c>
      <c r="AA723" s="22"/>
      <c r="AB723" s="22"/>
      <c r="AC723" s="22"/>
      <c r="AD723" s="22"/>
      <c r="AE723" s="22"/>
      <c r="AF723" s="22"/>
      <c r="AG723" s="22"/>
      <c r="AH723" s="22"/>
      <c r="AI723" s="22"/>
      <c r="AJ723" s="22"/>
      <c r="AK723" s="22"/>
      <c r="AL723" s="22"/>
      <c r="AM723" s="22"/>
      <c r="AN723" s="22"/>
      <c r="AO723" s="22"/>
      <c r="AP723" s="22"/>
      <c r="AQ723" s="22"/>
      <c r="AR723" s="22"/>
      <c r="AS723" s="25"/>
    </row>
    <row r="724" spans="1:45" s="1" customFormat="1">
      <c r="A724" s="22">
        <f t="shared" si="11"/>
        <v>723</v>
      </c>
      <c r="B724" s="23">
        <v>45880</v>
      </c>
      <c r="C724" s="22" t="s">
        <v>293</v>
      </c>
      <c r="D724" s="22" t="s">
        <v>293</v>
      </c>
      <c r="E724" s="22"/>
      <c r="F724" s="22" t="s">
        <v>3187</v>
      </c>
      <c r="G724" s="22"/>
      <c r="H724" s="22"/>
      <c r="I724" s="22"/>
      <c r="J724" s="44" t="s">
        <v>3173</v>
      </c>
      <c r="K724" s="22"/>
      <c r="L724" s="22" t="s">
        <v>2911</v>
      </c>
      <c r="M724" s="22"/>
      <c r="N724" s="22" t="s">
        <v>3153</v>
      </c>
      <c r="O724" s="22"/>
      <c r="P724" s="22" t="s">
        <v>3066</v>
      </c>
      <c r="Q724" s="22" t="s">
        <v>890</v>
      </c>
      <c r="R724" s="22" t="s">
        <v>3115</v>
      </c>
      <c r="S724" s="22" t="s">
        <v>3122</v>
      </c>
      <c r="T724" s="22"/>
      <c r="U724" s="24"/>
      <c r="V724" s="22"/>
      <c r="W724" s="22" t="s">
        <v>2408</v>
      </c>
      <c r="X724" s="22" t="s">
        <v>2408</v>
      </c>
      <c r="Y724" s="22" t="s">
        <v>135</v>
      </c>
      <c r="Z724" s="22" t="s">
        <v>2409</v>
      </c>
      <c r="AA724" s="22"/>
      <c r="AB724" s="22"/>
      <c r="AC724" s="22"/>
      <c r="AD724" s="22"/>
      <c r="AE724" s="22"/>
      <c r="AF724" s="22"/>
      <c r="AG724" s="22"/>
      <c r="AH724" s="22"/>
      <c r="AI724" s="22"/>
      <c r="AJ724" s="22"/>
      <c r="AK724" s="22"/>
      <c r="AL724" s="22"/>
      <c r="AM724" s="22"/>
      <c r="AN724" s="22"/>
      <c r="AO724" s="22"/>
      <c r="AP724" s="22"/>
      <c r="AQ724" s="22"/>
      <c r="AR724" s="22"/>
      <c r="AS724" s="25"/>
    </row>
    <row r="725" spans="1:45" s="1" customFormat="1">
      <c r="A725" s="22">
        <f t="shared" si="11"/>
        <v>724</v>
      </c>
      <c r="B725" s="23">
        <v>45881</v>
      </c>
      <c r="C725" s="22" t="s">
        <v>209</v>
      </c>
      <c r="D725" s="22" t="s">
        <v>209</v>
      </c>
      <c r="E725" s="22"/>
      <c r="F725" s="22" t="s">
        <v>3188</v>
      </c>
      <c r="G725" s="22"/>
      <c r="H725" s="22"/>
      <c r="I725" s="22"/>
      <c r="J725" s="44" t="s">
        <v>3173</v>
      </c>
      <c r="K725" s="22"/>
      <c r="L725" s="22" t="s">
        <v>2911</v>
      </c>
      <c r="M725" s="22"/>
      <c r="N725" s="22" t="s">
        <v>3189</v>
      </c>
      <c r="O725" s="22"/>
      <c r="P725" s="22" t="s">
        <v>2486</v>
      </c>
      <c r="Q725" s="22" t="s">
        <v>63</v>
      </c>
      <c r="R725" s="22" t="s">
        <v>3160</v>
      </c>
      <c r="S725" s="22" t="s">
        <v>2587</v>
      </c>
      <c r="T725" s="22"/>
      <c r="U725" s="24"/>
      <c r="V725" s="22"/>
      <c r="W725" s="22" t="s">
        <v>2408</v>
      </c>
      <c r="X725" s="22" t="s">
        <v>2408</v>
      </c>
      <c r="Y725" s="22" t="s">
        <v>135</v>
      </c>
      <c r="Z725" s="22" t="s">
        <v>2409</v>
      </c>
      <c r="AA725" s="22"/>
      <c r="AB725" s="22"/>
      <c r="AC725" s="22"/>
      <c r="AD725" s="22"/>
      <c r="AE725" s="22"/>
      <c r="AF725" s="22"/>
      <c r="AG725" s="22"/>
      <c r="AH725" s="22"/>
      <c r="AI725" s="22"/>
      <c r="AJ725" s="22"/>
      <c r="AK725" s="22"/>
      <c r="AL725" s="22"/>
      <c r="AM725" s="22"/>
      <c r="AN725" s="22"/>
      <c r="AO725" s="22"/>
      <c r="AP725" s="22"/>
      <c r="AQ725" s="22"/>
      <c r="AR725" s="22"/>
      <c r="AS725" s="25"/>
    </row>
    <row r="726" spans="1:45" s="1" customFormat="1">
      <c r="A726" s="22">
        <f t="shared" si="11"/>
        <v>725</v>
      </c>
      <c r="B726" s="23">
        <v>45882</v>
      </c>
      <c r="C726" s="22" t="s">
        <v>209</v>
      </c>
      <c r="D726" s="22" t="s">
        <v>209</v>
      </c>
      <c r="E726" s="22"/>
      <c r="F726" s="22" t="s">
        <v>3190</v>
      </c>
      <c r="G726" s="22"/>
      <c r="H726" s="22"/>
      <c r="I726" s="22"/>
      <c r="J726" s="44" t="s">
        <v>3173</v>
      </c>
      <c r="K726" s="22"/>
      <c r="L726" s="22" t="s">
        <v>3009</v>
      </c>
      <c r="M726" s="22"/>
      <c r="N726" s="22" t="s">
        <v>3157</v>
      </c>
      <c r="O726" s="22"/>
      <c r="P726" s="22" t="s">
        <v>2987</v>
      </c>
      <c r="Q726" s="22" t="s">
        <v>63</v>
      </c>
      <c r="R726" s="22" t="s">
        <v>63</v>
      </c>
      <c r="S726" s="22" t="s">
        <v>2587</v>
      </c>
      <c r="T726" s="22"/>
      <c r="U726" s="24"/>
      <c r="V726" s="22"/>
      <c r="W726" s="22" t="s">
        <v>2408</v>
      </c>
      <c r="X726" s="22" t="s">
        <v>2408</v>
      </c>
      <c r="Y726" s="22" t="s">
        <v>135</v>
      </c>
      <c r="Z726" s="22" t="s">
        <v>2409</v>
      </c>
      <c r="AA726" s="22"/>
      <c r="AB726" s="22"/>
      <c r="AC726" s="22"/>
      <c r="AD726" s="22"/>
      <c r="AE726" s="22"/>
      <c r="AF726" s="22"/>
      <c r="AG726" s="22"/>
      <c r="AH726" s="22"/>
      <c r="AI726" s="22"/>
      <c r="AJ726" s="22"/>
      <c r="AK726" s="22"/>
      <c r="AL726" s="22"/>
      <c r="AM726" s="22"/>
      <c r="AN726" s="22"/>
      <c r="AO726" s="22"/>
      <c r="AP726" s="22"/>
      <c r="AQ726" s="22"/>
      <c r="AR726" s="22"/>
      <c r="AS726" s="25"/>
    </row>
    <row r="727" spans="1:45" s="1" customFormat="1">
      <c r="A727" s="22">
        <f t="shared" si="11"/>
        <v>726</v>
      </c>
      <c r="B727" s="23">
        <v>45883</v>
      </c>
      <c r="C727" s="22" t="s">
        <v>209</v>
      </c>
      <c r="D727" s="22" t="s">
        <v>209</v>
      </c>
      <c r="E727" s="22"/>
      <c r="F727" s="22" t="s">
        <v>3191</v>
      </c>
      <c r="G727" s="22"/>
      <c r="H727" s="22"/>
      <c r="I727" s="22"/>
      <c r="J727" s="44" t="s">
        <v>3173</v>
      </c>
      <c r="K727" s="22"/>
      <c r="L727" s="22" t="s">
        <v>2489</v>
      </c>
      <c r="M727" s="22"/>
      <c r="N727" s="22" t="s">
        <v>2860</v>
      </c>
      <c r="O727" s="22"/>
      <c r="P727" s="22" t="s">
        <v>2428</v>
      </c>
      <c r="Q727" s="22" t="s">
        <v>63</v>
      </c>
      <c r="R727" s="22" t="s">
        <v>63</v>
      </c>
      <c r="S727" s="22" t="s">
        <v>2567</v>
      </c>
      <c r="T727" s="22"/>
      <c r="U727" s="24"/>
      <c r="V727" s="22"/>
      <c r="W727" s="22" t="s">
        <v>2408</v>
      </c>
      <c r="X727" s="22" t="s">
        <v>2408</v>
      </c>
      <c r="Y727" s="22" t="s">
        <v>135</v>
      </c>
      <c r="Z727" s="22" t="s">
        <v>2409</v>
      </c>
      <c r="AA727" s="22"/>
      <c r="AB727" s="22"/>
      <c r="AC727" s="22"/>
      <c r="AD727" s="22"/>
      <c r="AE727" s="22"/>
      <c r="AF727" s="22"/>
      <c r="AG727" s="22"/>
      <c r="AH727" s="22"/>
      <c r="AI727" s="22"/>
      <c r="AJ727" s="22"/>
      <c r="AK727" s="22"/>
      <c r="AL727" s="22"/>
      <c r="AM727" s="22"/>
      <c r="AN727" s="22"/>
      <c r="AO727" s="22"/>
      <c r="AP727" s="22"/>
      <c r="AQ727" s="22"/>
      <c r="AR727" s="22"/>
      <c r="AS727" s="25"/>
    </row>
    <row r="728" spans="1:45" s="1" customFormat="1">
      <c r="A728" s="22">
        <f t="shared" si="11"/>
        <v>727</v>
      </c>
      <c r="B728" s="23">
        <v>45884</v>
      </c>
      <c r="C728" s="22" t="s">
        <v>209</v>
      </c>
      <c r="D728" s="22" t="s">
        <v>209</v>
      </c>
      <c r="E728" s="22"/>
      <c r="F728" s="22" t="s">
        <v>3192</v>
      </c>
      <c r="G728" s="22"/>
      <c r="H728" s="22"/>
      <c r="I728" s="22"/>
      <c r="J728" s="44" t="s">
        <v>3173</v>
      </c>
      <c r="K728" s="22"/>
      <c r="L728" s="22" t="s">
        <v>3009</v>
      </c>
      <c r="M728" s="22"/>
      <c r="N728" s="22" t="s">
        <v>2873</v>
      </c>
      <c r="O728" s="22"/>
      <c r="P728" s="22" t="s">
        <v>3153</v>
      </c>
      <c r="Q728" s="22" t="s">
        <v>63</v>
      </c>
      <c r="R728" s="22" t="s">
        <v>63</v>
      </c>
      <c r="S728" s="22" t="s">
        <v>2587</v>
      </c>
      <c r="T728" s="22"/>
      <c r="U728" s="24"/>
      <c r="V728" s="22"/>
      <c r="W728" s="22" t="s">
        <v>2408</v>
      </c>
      <c r="X728" s="22" t="s">
        <v>2408</v>
      </c>
      <c r="Y728" s="22" t="s">
        <v>135</v>
      </c>
      <c r="Z728" s="22" t="s">
        <v>2409</v>
      </c>
      <c r="AA728" s="22"/>
      <c r="AB728" s="22"/>
      <c r="AC728" s="22"/>
      <c r="AD728" s="22"/>
      <c r="AE728" s="22"/>
      <c r="AF728" s="22"/>
      <c r="AG728" s="22"/>
      <c r="AH728" s="22"/>
      <c r="AI728" s="22"/>
      <c r="AJ728" s="22"/>
      <c r="AK728" s="22"/>
      <c r="AL728" s="22"/>
      <c r="AM728" s="22"/>
      <c r="AN728" s="22"/>
      <c r="AO728" s="22"/>
      <c r="AP728" s="22"/>
      <c r="AQ728" s="22"/>
      <c r="AR728" s="22"/>
      <c r="AS728" s="25"/>
    </row>
    <row r="729" spans="1:45" s="1" customFormat="1">
      <c r="A729" s="22">
        <f t="shared" si="11"/>
        <v>728</v>
      </c>
      <c r="B729" s="23">
        <v>45885</v>
      </c>
      <c r="C729" s="22" t="s">
        <v>293</v>
      </c>
      <c r="D729" s="22" t="s">
        <v>293</v>
      </c>
      <c r="E729" s="22"/>
      <c r="F729" s="22" t="s">
        <v>3193</v>
      </c>
      <c r="G729" s="22"/>
      <c r="H729" s="22"/>
      <c r="I729" s="22"/>
      <c r="J729" s="44" t="s">
        <v>3173</v>
      </c>
      <c r="K729" s="22"/>
      <c r="L729" s="22" t="s">
        <v>3022</v>
      </c>
      <c r="M729" s="22"/>
      <c r="N729" s="22" t="s">
        <v>2452</v>
      </c>
      <c r="O729" s="22"/>
      <c r="P729" s="22" t="s">
        <v>2486</v>
      </c>
      <c r="Q729" s="22" t="s">
        <v>63</v>
      </c>
      <c r="R729" s="22" t="s">
        <v>63</v>
      </c>
      <c r="S729" s="22" t="s">
        <v>2587</v>
      </c>
      <c r="T729" s="22"/>
      <c r="U729" s="24"/>
      <c r="V729" s="22"/>
      <c r="W729" s="22" t="s">
        <v>2408</v>
      </c>
      <c r="X729" s="22" t="s">
        <v>2408</v>
      </c>
      <c r="Y729" s="22" t="s">
        <v>135</v>
      </c>
      <c r="Z729" s="22" t="s">
        <v>2409</v>
      </c>
      <c r="AA729" s="22"/>
      <c r="AB729" s="22"/>
      <c r="AC729" s="22"/>
      <c r="AD729" s="22"/>
      <c r="AE729" s="22"/>
      <c r="AF729" s="22"/>
      <c r="AG729" s="22"/>
      <c r="AH729" s="22"/>
      <c r="AI729" s="22"/>
      <c r="AJ729" s="22"/>
      <c r="AK729" s="22"/>
      <c r="AL729" s="22"/>
      <c r="AM729" s="22"/>
      <c r="AN729" s="22"/>
      <c r="AO729" s="22"/>
      <c r="AP729" s="22"/>
      <c r="AQ729" s="22"/>
      <c r="AR729" s="22"/>
      <c r="AS729" s="25"/>
    </row>
    <row r="730" spans="1:45" s="1" customFormat="1">
      <c r="A730" s="22">
        <f t="shared" si="11"/>
        <v>729</v>
      </c>
      <c r="B730" s="23">
        <v>45886</v>
      </c>
      <c r="C730" s="22" t="s">
        <v>209</v>
      </c>
      <c r="D730" s="22" t="s">
        <v>209</v>
      </c>
      <c r="E730" s="22"/>
      <c r="F730" s="22" t="s">
        <v>3186</v>
      </c>
      <c r="G730" s="22"/>
      <c r="H730" s="22"/>
      <c r="I730" s="22"/>
      <c r="J730" s="44" t="s">
        <v>3173</v>
      </c>
      <c r="K730" s="22"/>
      <c r="L730" s="22" t="s">
        <v>2960</v>
      </c>
      <c r="M730" s="22"/>
      <c r="N730" s="22" t="s">
        <v>3165</v>
      </c>
      <c r="O730" s="22"/>
      <c r="P730" s="22" t="s">
        <v>3166</v>
      </c>
      <c r="Q730" s="22" t="s">
        <v>3168</v>
      </c>
      <c r="R730" s="22" t="s">
        <v>3160</v>
      </c>
      <c r="S730" s="22" t="s">
        <v>3194</v>
      </c>
      <c r="T730" s="22"/>
      <c r="U730" s="24"/>
      <c r="V730" s="22"/>
      <c r="W730" s="22" t="s">
        <v>2408</v>
      </c>
      <c r="X730" s="22" t="s">
        <v>2408</v>
      </c>
      <c r="Y730" s="22" t="s">
        <v>135</v>
      </c>
      <c r="Z730" s="22" t="s">
        <v>2409</v>
      </c>
      <c r="AA730" s="22"/>
      <c r="AB730" s="22"/>
      <c r="AC730" s="22"/>
      <c r="AD730" s="22"/>
      <c r="AE730" s="22"/>
      <c r="AF730" s="22"/>
      <c r="AG730" s="22"/>
      <c r="AH730" s="22"/>
      <c r="AI730" s="22"/>
      <c r="AJ730" s="22"/>
      <c r="AK730" s="22"/>
      <c r="AL730" s="22"/>
      <c r="AM730" s="22"/>
      <c r="AN730" s="22"/>
      <c r="AO730" s="22"/>
      <c r="AP730" s="22"/>
      <c r="AQ730" s="22"/>
      <c r="AR730" s="22"/>
      <c r="AS730" s="25"/>
    </row>
    <row r="731" spans="1:45" s="1" customFormat="1">
      <c r="A731" s="22">
        <f t="shared" si="11"/>
        <v>730</v>
      </c>
      <c r="B731" s="23">
        <v>45887</v>
      </c>
      <c r="C731" s="22" t="s">
        <v>209</v>
      </c>
      <c r="D731" s="22" t="s">
        <v>209</v>
      </c>
      <c r="E731" s="22"/>
      <c r="F731" s="22" t="s">
        <v>3145</v>
      </c>
      <c r="G731" s="22"/>
      <c r="H731" s="22"/>
      <c r="I731" s="22"/>
      <c r="J731" s="44" t="s">
        <v>3173</v>
      </c>
      <c r="K731" s="22"/>
      <c r="L731" s="22" t="s">
        <v>3009</v>
      </c>
      <c r="M731" s="22"/>
      <c r="N731" s="22" t="s">
        <v>2452</v>
      </c>
      <c r="O731" s="22"/>
      <c r="P731" s="22" t="s">
        <v>2414</v>
      </c>
      <c r="Q731" s="22" t="s">
        <v>890</v>
      </c>
      <c r="R731" s="22" t="s">
        <v>3160</v>
      </c>
      <c r="S731" s="22" t="s">
        <v>3155</v>
      </c>
      <c r="T731" s="22"/>
      <c r="U731" s="24"/>
      <c r="V731" s="22"/>
      <c r="W731" s="22" t="s">
        <v>2408</v>
      </c>
      <c r="X731" s="22" t="s">
        <v>2408</v>
      </c>
      <c r="Y731" s="22" t="s">
        <v>135</v>
      </c>
      <c r="Z731" s="22" t="s">
        <v>2409</v>
      </c>
      <c r="AA731" s="22"/>
      <c r="AB731" s="22"/>
      <c r="AC731" s="22"/>
      <c r="AD731" s="22"/>
      <c r="AE731" s="22"/>
      <c r="AF731" s="22"/>
      <c r="AG731" s="22"/>
      <c r="AH731" s="22"/>
      <c r="AI731" s="22"/>
      <c r="AJ731" s="22"/>
      <c r="AK731" s="22"/>
      <c r="AL731" s="22"/>
      <c r="AM731" s="22"/>
      <c r="AN731" s="22"/>
      <c r="AO731" s="22"/>
      <c r="AP731" s="22"/>
      <c r="AQ731" s="22"/>
      <c r="AR731" s="22"/>
      <c r="AS731" s="25"/>
    </row>
    <row r="732" spans="1:45" s="1" customFormat="1">
      <c r="A732" s="22">
        <f t="shared" si="11"/>
        <v>731</v>
      </c>
      <c r="B732" s="23">
        <v>45888</v>
      </c>
      <c r="C732" s="22" t="s">
        <v>209</v>
      </c>
      <c r="D732" s="22" t="s">
        <v>209</v>
      </c>
      <c r="E732" s="22"/>
      <c r="F732" s="22" t="s">
        <v>3195</v>
      </c>
      <c r="G732" s="22"/>
      <c r="H732" s="22"/>
      <c r="I732" s="22"/>
      <c r="J732" s="44" t="s">
        <v>3196</v>
      </c>
      <c r="K732" s="22"/>
      <c r="L732" s="22" t="s">
        <v>2911</v>
      </c>
      <c r="M732" s="22"/>
      <c r="N732" s="22" t="s">
        <v>2434</v>
      </c>
      <c r="O732" s="22"/>
      <c r="P732" s="22">
        <v>0.3</v>
      </c>
      <c r="Q732" s="22" t="s">
        <v>283</v>
      </c>
      <c r="R732" s="22" t="s">
        <v>3115</v>
      </c>
      <c r="S732" s="22" t="s">
        <v>3162</v>
      </c>
      <c r="T732" s="22"/>
      <c r="U732" s="24"/>
      <c r="V732" s="22"/>
      <c r="W732" s="22" t="s">
        <v>2408</v>
      </c>
      <c r="X732" s="22" t="s">
        <v>2408</v>
      </c>
      <c r="Y732" s="22" t="s">
        <v>135</v>
      </c>
      <c r="Z732" s="22" t="s">
        <v>2409</v>
      </c>
      <c r="AA732" s="22"/>
      <c r="AB732" s="22"/>
      <c r="AC732" s="22"/>
      <c r="AD732" s="22"/>
      <c r="AE732" s="22"/>
      <c r="AF732" s="22"/>
      <c r="AG732" s="22"/>
      <c r="AH732" s="22"/>
      <c r="AI732" s="22"/>
      <c r="AJ732" s="22"/>
      <c r="AK732" s="22"/>
      <c r="AL732" s="22"/>
      <c r="AM732" s="22"/>
      <c r="AN732" s="22"/>
      <c r="AO732" s="22"/>
      <c r="AP732" s="22"/>
      <c r="AQ732" s="22"/>
      <c r="AR732" s="22"/>
      <c r="AS732" s="25"/>
    </row>
    <row r="733" spans="1:45" s="1" customFormat="1">
      <c r="A733" s="22">
        <f t="shared" si="11"/>
        <v>732</v>
      </c>
      <c r="B733" s="23">
        <v>45889</v>
      </c>
      <c r="C733" s="22" t="s">
        <v>209</v>
      </c>
      <c r="D733" s="22" t="s">
        <v>209</v>
      </c>
      <c r="E733" s="22"/>
      <c r="F733" s="22" t="s">
        <v>3197</v>
      </c>
      <c r="G733" s="22"/>
      <c r="H733" s="22"/>
      <c r="I733" s="22"/>
      <c r="J733" s="44" t="s">
        <v>3196</v>
      </c>
      <c r="K733" s="22"/>
      <c r="L733" s="22" t="s">
        <v>3177</v>
      </c>
      <c r="M733" s="22"/>
      <c r="N733" s="22" t="s">
        <v>2603</v>
      </c>
      <c r="O733" s="22"/>
      <c r="P733" s="22" t="s">
        <v>3171</v>
      </c>
      <c r="Q733" s="22" t="s">
        <v>63</v>
      </c>
      <c r="R733" s="22" t="s">
        <v>63</v>
      </c>
      <c r="S733" s="22" t="s">
        <v>2478</v>
      </c>
      <c r="T733" s="22"/>
      <c r="U733" s="24"/>
      <c r="V733" s="22"/>
      <c r="W733" s="22" t="s">
        <v>2408</v>
      </c>
      <c r="X733" s="22" t="s">
        <v>2408</v>
      </c>
      <c r="Y733" s="22" t="s">
        <v>135</v>
      </c>
      <c r="Z733" s="22" t="s">
        <v>2409</v>
      </c>
      <c r="AA733" s="22"/>
      <c r="AB733" s="22"/>
      <c r="AC733" s="22"/>
      <c r="AD733" s="22"/>
      <c r="AE733" s="22"/>
      <c r="AF733" s="22"/>
      <c r="AG733" s="22"/>
      <c r="AH733" s="22"/>
      <c r="AI733" s="22"/>
      <c r="AJ733" s="22"/>
      <c r="AK733" s="22"/>
      <c r="AL733" s="22"/>
      <c r="AM733" s="22"/>
      <c r="AN733" s="22"/>
      <c r="AO733" s="22"/>
      <c r="AP733" s="22"/>
      <c r="AQ733" s="22"/>
      <c r="AR733" s="22"/>
      <c r="AS733" s="25"/>
    </row>
    <row r="734" spans="1:45" s="1" customFormat="1">
      <c r="A734" s="22">
        <f t="shared" si="11"/>
        <v>733</v>
      </c>
      <c r="B734" s="23">
        <v>45890</v>
      </c>
      <c r="C734" s="22" t="s">
        <v>667</v>
      </c>
      <c r="D734" s="22" t="s">
        <v>667</v>
      </c>
      <c r="E734" s="22"/>
      <c r="F734" s="22" t="s">
        <v>3198</v>
      </c>
      <c r="G734" s="22"/>
      <c r="H734" s="22"/>
      <c r="I734" s="22"/>
      <c r="J734" s="44" t="s">
        <v>3196</v>
      </c>
      <c r="K734" s="22"/>
      <c r="L734" s="22" t="s">
        <v>3199</v>
      </c>
      <c r="M734" s="22"/>
      <c r="N734" s="22" t="s">
        <v>2441</v>
      </c>
      <c r="O734" s="22"/>
      <c r="P734" s="22" t="s">
        <v>2599</v>
      </c>
      <c r="Q734" s="22" t="s">
        <v>3180</v>
      </c>
      <c r="R734" s="22" t="s">
        <v>3115</v>
      </c>
      <c r="S734" s="22" t="s">
        <v>2567</v>
      </c>
      <c r="T734" s="22"/>
      <c r="U734" s="24"/>
      <c r="V734" s="22"/>
      <c r="W734" s="22" t="s">
        <v>2408</v>
      </c>
      <c r="X734" s="22" t="s">
        <v>2408</v>
      </c>
      <c r="Y734" s="22" t="s">
        <v>135</v>
      </c>
      <c r="Z734" s="22" t="s">
        <v>2409</v>
      </c>
      <c r="AA734" s="22"/>
      <c r="AB734" s="22"/>
      <c r="AC734" s="22"/>
      <c r="AD734" s="22"/>
      <c r="AE734" s="22"/>
      <c r="AF734" s="22"/>
      <c r="AG734" s="22"/>
      <c r="AH734" s="22"/>
      <c r="AI734" s="22"/>
      <c r="AJ734" s="22"/>
      <c r="AK734" s="22"/>
      <c r="AL734" s="22"/>
      <c r="AM734" s="22"/>
      <c r="AN734" s="22"/>
      <c r="AO734" s="22"/>
      <c r="AP734" s="22"/>
      <c r="AQ734" s="22"/>
      <c r="AR734" s="22"/>
      <c r="AS734" s="25"/>
    </row>
    <row r="735" spans="1:45" s="1" customFormat="1">
      <c r="A735" s="22">
        <f t="shared" si="11"/>
        <v>734</v>
      </c>
      <c r="B735" s="23">
        <v>45891</v>
      </c>
      <c r="C735" s="22" t="s">
        <v>367</v>
      </c>
      <c r="D735" s="22" t="s">
        <v>367</v>
      </c>
      <c r="E735" s="22"/>
      <c r="F735" s="22" t="s">
        <v>3200</v>
      </c>
      <c r="G735" s="22"/>
      <c r="H735" s="22"/>
      <c r="I735" s="22"/>
      <c r="J735" s="44" t="s">
        <v>3196</v>
      </c>
      <c r="K735" s="22"/>
      <c r="L735" s="22" t="s">
        <v>3201</v>
      </c>
      <c r="M735" s="22"/>
      <c r="N735" s="22" t="s">
        <v>2477</v>
      </c>
      <c r="O735" s="22"/>
      <c r="P735" s="22" t="s">
        <v>2599</v>
      </c>
      <c r="Q735" s="22" t="s">
        <v>63</v>
      </c>
      <c r="R735" s="22" t="s">
        <v>3115</v>
      </c>
      <c r="S735" s="22" t="s">
        <v>3132</v>
      </c>
      <c r="T735" s="22"/>
      <c r="U735" s="24"/>
      <c r="V735" s="22"/>
      <c r="W735" s="22" t="s">
        <v>2408</v>
      </c>
      <c r="X735" s="22" t="s">
        <v>2408</v>
      </c>
      <c r="Y735" s="22" t="s">
        <v>135</v>
      </c>
      <c r="Z735" s="22" t="s">
        <v>2409</v>
      </c>
      <c r="AA735" s="22"/>
      <c r="AB735" s="22"/>
      <c r="AC735" s="22"/>
      <c r="AD735" s="22"/>
      <c r="AE735" s="22"/>
      <c r="AF735" s="22"/>
      <c r="AG735" s="22"/>
      <c r="AH735" s="22"/>
      <c r="AI735" s="22"/>
      <c r="AJ735" s="22"/>
      <c r="AK735" s="22"/>
      <c r="AL735" s="22"/>
      <c r="AM735" s="22"/>
      <c r="AN735" s="22"/>
      <c r="AO735" s="22"/>
      <c r="AP735" s="22"/>
      <c r="AQ735" s="22"/>
      <c r="AR735" s="22"/>
      <c r="AS735" s="25"/>
    </row>
    <row r="736" spans="1:45" s="1" customFormat="1">
      <c r="A736" s="22">
        <f t="shared" si="11"/>
        <v>735</v>
      </c>
      <c r="B736" s="23">
        <v>45892</v>
      </c>
      <c r="C736" s="22" t="s">
        <v>1056</v>
      </c>
      <c r="D736" s="22" t="s">
        <v>1056</v>
      </c>
      <c r="E736" s="22"/>
      <c r="F736" s="22" t="s">
        <v>3202</v>
      </c>
      <c r="G736" s="22"/>
      <c r="H736" s="22"/>
      <c r="I736" s="22"/>
      <c r="J736" s="44" t="s">
        <v>3196</v>
      </c>
      <c r="K736" s="22"/>
      <c r="L736" s="22" t="s">
        <v>3203</v>
      </c>
      <c r="M736" s="22"/>
      <c r="N736" s="22" t="s">
        <v>2860</v>
      </c>
      <c r="O736" s="22"/>
      <c r="P736" s="22" t="s">
        <v>3179</v>
      </c>
      <c r="Q736" s="22" t="s">
        <v>63</v>
      </c>
      <c r="R736" s="22" t="s">
        <v>63</v>
      </c>
      <c r="S736" s="22" t="s">
        <v>2587</v>
      </c>
      <c r="T736" s="22"/>
      <c r="U736" s="24"/>
      <c r="V736" s="22"/>
      <c r="W736" s="22" t="s">
        <v>2408</v>
      </c>
      <c r="X736" s="22" t="s">
        <v>2408</v>
      </c>
      <c r="Y736" s="22" t="s">
        <v>135</v>
      </c>
      <c r="Z736" s="22" t="s">
        <v>2409</v>
      </c>
      <c r="AA736" s="22"/>
      <c r="AB736" s="22"/>
      <c r="AC736" s="22"/>
      <c r="AD736" s="22"/>
      <c r="AE736" s="22"/>
      <c r="AF736" s="22"/>
      <c r="AG736" s="22"/>
      <c r="AH736" s="22"/>
      <c r="AI736" s="22"/>
      <c r="AJ736" s="22"/>
      <c r="AK736" s="22"/>
      <c r="AL736" s="22"/>
      <c r="AM736" s="22"/>
      <c r="AN736" s="22"/>
      <c r="AO736" s="22"/>
      <c r="AP736" s="22"/>
      <c r="AQ736" s="22"/>
      <c r="AR736" s="22"/>
      <c r="AS736" s="25"/>
    </row>
    <row r="737" spans="1:45" s="1" customFormat="1">
      <c r="A737" s="22">
        <f t="shared" si="11"/>
        <v>736</v>
      </c>
      <c r="B737" s="23">
        <v>45893</v>
      </c>
      <c r="C737" s="22" t="s">
        <v>209</v>
      </c>
      <c r="D737" s="22" t="s">
        <v>209</v>
      </c>
      <c r="E737" s="22"/>
      <c r="F737" s="22" t="s">
        <v>3204</v>
      </c>
      <c r="G737" s="22"/>
      <c r="H737" s="22"/>
      <c r="I737" s="22"/>
      <c r="J737" s="44" t="s">
        <v>3196</v>
      </c>
      <c r="K737" s="22"/>
      <c r="L737" s="22" t="s">
        <v>3203</v>
      </c>
      <c r="M737" s="22"/>
      <c r="N737" s="22" t="s">
        <v>3182</v>
      </c>
      <c r="O737" s="22"/>
      <c r="P737" s="22" t="s">
        <v>2486</v>
      </c>
      <c r="Q737" s="22" t="s">
        <v>63</v>
      </c>
      <c r="R737" s="22" t="s">
        <v>63</v>
      </c>
      <c r="S737" s="22" t="s">
        <v>3122</v>
      </c>
      <c r="T737" s="22"/>
      <c r="U737" s="24"/>
      <c r="V737" s="22"/>
      <c r="W737" s="22" t="s">
        <v>2408</v>
      </c>
      <c r="X737" s="22" t="s">
        <v>2408</v>
      </c>
      <c r="Y737" s="22" t="s">
        <v>135</v>
      </c>
      <c r="Z737" s="22" t="s">
        <v>2409</v>
      </c>
      <c r="AA737" s="22"/>
      <c r="AB737" s="22"/>
      <c r="AC737" s="22"/>
      <c r="AD737" s="22"/>
      <c r="AE737" s="22"/>
      <c r="AF737" s="22"/>
      <c r="AG737" s="22"/>
      <c r="AH737" s="22"/>
      <c r="AI737" s="22"/>
      <c r="AJ737" s="22"/>
      <c r="AK737" s="22"/>
      <c r="AL737" s="22"/>
      <c r="AM737" s="22"/>
      <c r="AN737" s="22"/>
      <c r="AO737" s="22"/>
      <c r="AP737" s="22"/>
      <c r="AQ737" s="22"/>
      <c r="AR737" s="22"/>
      <c r="AS737" s="25"/>
    </row>
    <row r="738" spans="1:45" s="1" customFormat="1">
      <c r="A738" s="22">
        <f t="shared" si="11"/>
        <v>737</v>
      </c>
      <c r="B738" s="23">
        <v>45894</v>
      </c>
      <c r="C738" s="22" t="s">
        <v>209</v>
      </c>
      <c r="D738" s="22" t="s">
        <v>209</v>
      </c>
      <c r="E738" s="22"/>
      <c r="F738" s="22" t="s">
        <v>3205</v>
      </c>
      <c r="G738" s="22"/>
      <c r="H738" s="22"/>
      <c r="I738" s="22"/>
      <c r="J738" s="44" t="s">
        <v>3196</v>
      </c>
      <c r="K738" s="22"/>
      <c r="L738" s="22" t="s">
        <v>3170</v>
      </c>
      <c r="M738" s="22"/>
      <c r="N738" s="22" t="s">
        <v>3165</v>
      </c>
      <c r="O738" s="22"/>
      <c r="P738" s="22" t="s">
        <v>3166</v>
      </c>
      <c r="Q738" s="22" t="s">
        <v>63</v>
      </c>
      <c r="R738" s="22" t="s">
        <v>63</v>
      </c>
      <c r="S738" s="22" t="s">
        <v>3132</v>
      </c>
      <c r="T738" s="22"/>
      <c r="U738" s="24"/>
      <c r="V738" s="22"/>
      <c r="W738" s="22" t="s">
        <v>2408</v>
      </c>
      <c r="X738" s="22" t="s">
        <v>2408</v>
      </c>
      <c r="Y738" s="22" t="s">
        <v>135</v>
      </c>
      <c r="Z738" s="22" t="s">
        <v>2409</v>
      </c>
      <c r="AA738" s="22"/>
      <c r="AB738" s="22"/>
      <c r="AC738" s="22"/>
      <c r="AD738" s="22"/>
      <c r="AE738" s="22"/>
      <c r="AF738" s="22"/>
      <c r="AG738" s="22"/>
      <c r="AH738" s="22"/>
      <c r="AI738" s="22"/>
      <c r="AJ738" s="22"/>
      <c r="AK738" s="22"/>
      <c r="AL738" s="22"/>
      <c r="AM738" s="22"/>
      <c r="AN738" s="22"/>
      <c r="AO738" s="22"/>
      <c r="AP738" s="22"/>
      <c r="AQ738" s="22"/>
      <c r="AR738" s="22"/>
      <c r="AS738" s="25"/>
    </row>
    <row r="739" spans="1:45" s="1" customFormat="1">
      <c r="A739" s="22">
        <f t="shared" si="11"/>
        <v>738</v>
      </c>
      <c r="B739" s="23">
        <v>45895</v>
      </c>
      <c r="C739" s="22" t="s">
        <v>954</v>
      </c>
      <c r="D739" s="22" t="s">
        <v>954</v>
      </c>
      <c r="E739" s="22"/>
      <c r="F739" s="22" t="s">
        <v>3206</v>
      </c>
      <c r="G739" s="22"/>
      <c r="H739" s="22"/>
      <c r="I739" s="22"/>
      <c r="J739" s="44" t="s">
        <v>3196</v>
      </c>
      <c r="K739" s="22"/>
      <c r="L739" s="22" t="s">
        <v>3009</v>
      </c>
      <c r="M739" s="22"/>
      <c r="N739" s="22" t="s">
        <v>2452</v>
      </c>
      <c r="O739" s="22"/>
      <c r="P739" s="22" t="s">
        <v>2414</v>
      </c>
      <c r="Q739" s="22" t="s">
        <v>63</v>
      </c>
      <c r="R739" s="22" t="s">
        <v>63</v>
      </c>
      <c r="S739" s="22" t="s">
        <v>2593</v>
      </c>
      <c r="T739" s="22"/>
      <c r="U739" s="24"/>
      <c r="V739" s="22"/>
      <c r="W739" s="22" t="s">
        <v>2408</v>
      </c>
      <c r="X739" s="22" t="s">
        <v>2408</v>
      </c>
      <c r="Y739" s="22" t="s">
        <v>135</v>
      </c>
      <c r="Z739" s="22" t="s">
        <v>2409</v>
      </c>
      <c r="AA739" s="22"/>
      <c r="AB739" s="22"/>
      <c r="AC739" s="22"/>
      <c r="AD739" s="22"/>
      <c r="AE739" s="22"/>
      <c r="AF739" s="22"/>
      <c r="AG739" s="22"/>
      <c r="AH739" s="22"/>
      <c r="AI739" s="22"/>
      <c r="AJ739" s="22"/>
      <c r="AK739" s="22"/>
      <c r="AL739" s="22"/>
      <c r="AM739" s="22"/>
      <c r="AN739" s="22"/>
      <c r="AO739" s="22"/>
      <c r="AP739" s="22"/>
      <c r="AQ739" s="22"/>
      <c r="AR739" s="22"/>
      <c r="AS739" s="25"/>
    </row>
    <row r="740" spans="1:45" s="1" customFormat="1">
      <c r="A740" s="22">
        <f t="shared" si="11"/>
        <v>739</v>
      </c>
      <c r="B740" s="23">
        <v>45896</v>
      </c>
      <c r="C740" s="22" t="s">
        <v>209</v>
      </c>
      <c r="D740" s="22" t="s">
        <v>209</v>
      </c>
      <c r="E740" s="22"/>
      <c r="F740" s="22" t="s">
        <v>3207</v>
      </c>
      <c r="G740" s="22"/>
      <c r="H740" s="22"/>
      <c r="I740" s="22"/>
      <c r="J740" s="44" t="s">
        <v>3196</v>
      </c>
      <c r="K740" s="22"/>
      <c r="L740" s="22" t="s">
        <v>3174</v>
      </c>
      <c r="M740" s="22"/>
      <c r="N740" s="22" t="s">
        <v>3208</v>
      </c>
      <c r="O740" s="22"/>
      <c r="P740" s="22" t="s">
        <v>2486</v>
      </c>
      <c r="Q740" s="22" t="s">
        <v>3131</v>
      </c>
      <c r="R740" s="22" t="s">
        <v>3115</v>
      </c>
      <c r="S740" s="22" t="s">
        <v>3209</v>
      </c>
      <c r="T740" s="22"/>
      <c r="U740" s="24"/>
      <c r="V740" s="22"/>
      <c r="W740" s="22" t="s">
        <v>2408</v>
      </c>
      <c r="X740" s="22" t="s">
        <v>2408</v>
      </c>
      <c r="Y740" s="22" t="s">
        <v>135</v>
      </c>
      <c r="Z740" s="22" t="s">
        <v>2409</v>
      </c>
      <c r="AA740" s="22"/>
      <c r="AB740" s="22"/>
      <c r="AC740" s="22"/>
      <c r="AD740" s="22"/>
      <c r="AE740" s="22"/>
      <c r="AF740" s="22"/>
      <c r="AG740" s="22"/>
      <c r="AH740" s="22"/>
      <c r="AI740" s="22"/>
      <c r="AJ740" s="22"/>
      <c r="AK740" s="22"/>
      <c r="AL740" s="22"/>
      <c r="AM740" s="22"/>
      <c r="AN740" s="22"/>
      <c r="AO740" s="22"/>
      <c r="AP740" s="22"/>
      <c r="AQ740" s="22"/>
      <c r="AR740" s="22"/>
      <c r="AS740" s="25"/>
    </row>
    <row r="741" spans="1:45" s="1" customFormat="1">
      <c r="A741" s="22">
        <f t="shared" si="11"/>
        <v>740</v>
      </c>
      <c r="B741" s="23">
        <v>45901</v>
      </c>
      <c r="C741" s="22" t="s">
        <v>209</v>
      </c>
      <c r="D741" s="22" t="s">
        <v>209</v>
      </c>
      <c r="E741" s="22"/>
      <c r="F741" s="22" t="s">
        <v>3210</v>
      </c>
      <c r="G741" s="22"/>
      <c r="H741" s="22"/>
      <c r="I741" s="22"/>
      <c r="J741" s="44" t="s">
        <v>3196</v>
      </c>
      <c r="K741" s="22"/>
      <c r="L741" s="22" t="s">
        <v>3211</v>
      </c>
      <c r="M741" s="22"/>
      <c r="N741" s="22" t="s">
        <v>2428</v>
      </c>
      <c r="O741" s="22"/>
      <c r="P741" s="22" t="s">
        <v>2471</v>
      </c>
      <c r="Q741" s="22" t="s">
        <v>1304</v>
      </c>
      <c r="R741" s="22" t="s">
        <v>3115</v>
      </c>
      <c r="S741" s="22" t="s">
        <v>255</v>
      </c>
      <c r="T741" s="22"/>
      <c r="U741" s="24"/>
      <c r="V741" s="22"/>
      <c r="W741" s="22" t="s">
        <v>2408</v>
      </c>
      <c r="X741" s="22" t="s">
        <v>2408</v>
      </c>
      <c r="Y741" s="22" t="s">
        <v>135</v>
      </c>
      <c r="Z741" s="22" t="s">
        <v>2409</v>
      </c>
      <c r="AA741" s="22"/>
      <c r="AB741" s="22"/>
      <c r="AC741" s="22"/>
      <c r="AD741" s="22"/>
      <c r="AE741" s="22"/>
      <c r="AF741" s="22"/>
      <c r="AG741" s="22"/>
      <c r="AH741" s="22"/>
      <c r="AI741" s="22"/>
      <c r="AJ741" s="22"/>
      <c r="AK741" s="22"/>
      <c r="AL741" s="22"/>
      <c r="AM741" s="22"/>
      <c r="AN741" s="22"/>
      <c r="AO741" s="22"/>
      <c r="AP741" s="22"/>
      <c r="AQ741" s="22"/>
      <c r="AR741" s="22"/>
      <c r="AS741" s="25"/>
    </row>
    <row r="742" spans="1:45" s="1" customFormat="1">
      <c r="A742" s="22">
        <f t="shared" si="11"/>
        <v>741</v>
      </c>
      <c r="B742" s="23">
        <v>45902</v>
      </c>
      <c r="C742" s="22" t="s">
        <v>3050</v>
      </c>
      <c r="D742" s="22" t="s">
        <v>3050</v>
      </c>
      <c r="E742" s="22"/>
      <c r="F742" s="22" t="s">
        <v>3212</v>
      </c>
      <c r="G742" s="22"/>
      <c r="H742" s="22"/>
      <c r="I742" s="22"/>
      <c r="J742" s="44" t="s">
        <v>3196</v>
      </c>
      <c r="K742" s="22"/>
      <c r="L742" s="22" t="s">
        <v>3213</v>
      </c>
      <c r="M742" s="22"/>
      <c r="N742" s="22" t="s">
        <v>3214</v>
      </c>
      <c r="O742" s="22"/>
      <c r="P742" s="22" t="s">
        <v>2471</v>
      </c>
      <c r="Q742" s="22" t="s">
        <v>3137</v>
      </c>
      <c r="R742" s="22" t="s">
        <v>3115</v>
      </c>
      <c r="S742" s="22" t="s">
        <v>255</v>
      </c>
      <c r="T742" s="22"/>
      <c r="U742" s="24"/>
      <c r="V742" s="22"/>
      <c r="W742" s="22" t="s">
        <v>2408</v>
      </c>
      <c r="X742" s="22" t="s">
        <v>2408</v>
      </c>
      <c r="Y742" s="22" t="s">
        <v>135</v>
      </c>
      <c r="Z742" s="22" t="s">
        <v>2409</v>
      </c>
      <c r="AA742" s="22"/>
      <c r="AB742" s="22"/>
      <c r="AC742" s="22"/>
      <c r="AD742" s="22"/>
      <c r="AE742" s="22"/>
      <c r="AF742" s="22"/>
      <c r="AG742" s="22"/>
      <c r="AH742" s="22"/>
      <c r="AI742" s="22"/>
      <c r="AJ742" s="22"/>
      <c r="AK742" s="22"/>
      <c r="AL742" s="22"/>
      <c r="AM742" s="22"/>
      <c r="AN742" s="22"/>
      <c r="AO742" s="22"/>
      <c r="AP742" s="22"/>
      <c r="AQ742" s="22"/>
      <c r="AR742" s="22"/>
      <c r="AS742" s="25"/>
    </row>
    <row r="743" spans="1:45" s="1" customFormat="1">
      <c r="A743" s="22">
        <f t="shared" si="11"/>
        <v>742</v>
      </c>
      <c r="B743" s="23">
        <v>45903</v>
      </c>
      <c r="C743" s="22" t="s">
        <v>3055</v>
      </c>
      <c r="D743" s="22" t="s">
        <v>3055</v>
      </c>
      <c r="E743" s="22"/>
      <c r="F743" s="22" t="s">
        <v>3215</v>
      </c>
      <c r="G743" s="22"/>
      <c r="H743" s="22"/>
      <c r="I743" s="22"/>
      <c r="J743" s="44" t="s">
        <v>3196</v>
      </c>
      <c r="K743" s="22"/>
      <c r="L743" s="22" t="s">
        <v>2461</v>
      </c>
      <c r="M743" s="22"/>
      <c r="N743" s="22" t="s">
        <v>2656</v>
      </c>
      <c r="O743" s="22"/>
      <c r="P743" s="22" t="s">
        <v>2471</v>
      </c>
      <c r="Q743" s="22" t="s">
        <v>3140</v>
      </c>
      <c r="R743" s="22" t="s">
        <v>3115</v>
      </c>
      <c r="S743" s="22" t="s">
        <v>255</v>
      </c>
      <c r="T743" s="22"/>
      <c r="U743" s="24"/>
      <c r="V743" s="22"/>
      <c r="W743" s="22" t="s">
        <v>2408</v>
      </c>
      <c r="X743" s="22" t="s">
        <v>2408</v>
      </c>
      <c r="Y743" s="22" t="s">
        <v>135</v>
      </c>
      <c r="Z743" s="22" t="s">
        <v>2409</v>
      </c>
      <c r="AA743" s="22"/>
      <c r="AB743" s="22"/>
      <c r="AC743" s="22"/>
      <c r="AD743" s="22"/>
      <c r="AE743" s="22"/>
      <c r="AF743" s="22"/>
      <c r="AG743" s="22"/>
      <c r="AH743" s="22"/>
      <c r="AI743" s="22"/>
      <c r="AJ743" s="22"/>
      <c r="AK743" s="22"/>
      <c r="AL743" s="22"/>
      <c r="AM743" s="22"/>
      <c r="AN743" s="22"/>
      <c r="AO743" s="22"/>
      <c r="AP743" s="22"/>
      <c r="AQ743" s="22"/>
      <c r="AR743" s="22"/>
      <c r="AS743" s="25"/>
    </row>
    <row r="744" spans="1:45" s="1" customFormat="1">
      <c r="A744" s="22">
        <f t="shared" si="11"/>
        <v>743</v>
      </c>
      <c r="B744" s="23">
        <v>45904</v>
      </c>
      <c r="C744" s="22" t="s">
        <v>2686</v>
      </c>
      <c r="D744" s="22" t="s">
        <v>2686</v>
      </c>
      <c r="E744" s="22"/>
      <c r="F744" s="22" t="s">
        <v>3216</v>
      </c>
      <c r="G744" s="22"/>
      <c r="H744" s="22"/>
      <c r="I744" s="22"/>
      <c r="J744" s="44" t="s">
        <v>3196</v>
      </c>
      <c r="K744" s="22"/>
      <c r="L744" s="22" t="s">
        <v>3203</v>
      </c>
      <c r="M744" s="22"/>
      <c r="N744" s="22" t="s">
        <v>2603</v>
      </c>
      <c r="O744" s="22"/>
      <c r="P744" s="22" t="s">
        <v>2471</v>
      </c>
      <c r="Q744" s="22" t="s">
        <v>3119</v>
      </c>
      <c r="R744" s="22" t="s">
        <v>3115</v>
      </c>
      <c r="S744" s="22" t="s">
        <v>255</v>
      </c>
      <c r="T744" s="22"/>
      <c r="U744" s="24"/>
      <c r="V744" s="22"/>
      <c r="W744" s="22" t="s">
        <v>2408</v>
      </c>
      <c r="X744" s="22" t="s">
        <v>2408</v>
      </c>
      <c r="Y744" s="22" t="s">
        <v>135</v>
      </c>
      <c r="Z744" s="22" t="s">
        <v>2409</v>
      </c>
      <c r="AA744" s="22"/>
      <c r="AB744" s="22"/>
      <c r="AC744" s="22"/>
      <c r="AD744" s="22"/>
      <c r="AE744" s="22"/>
      <c r="AF744" s="22"/>
      <c r="AG744" s="22"/>
      <c r="AH744" s="22"/>
      <c r="AI744" s="22"/>
      <c r="AJ744" s="22"/>
      <c r="AK744" s="22"/>
      <c r="AL744" s="22"/>
      <c r="AM744" s="22"/>
      <c r="AN744" s="22"/>
      <c r="AO744" s="22"/>
      <c r="AP744" s="22"/>
      <c r="AQ744" s="22"/>
      <c r="AR744" s="22"/>
      <c r="AS744" s="25"/>
    </row>
    <row r="745" spans="1:45" s="1" customFormat="1">
      <c r="A745" s="22">
        <f t="shared" si="11"/>
        <v>744</v>
      </c>
      <c r="B745" s="23">
        <v>45905</v>
      </c>
      <c r="C745" s="22" t="s">
        <v>2874</v>
      </c>
      <c r="D745" s="22" t="s">
        <v>2874</v>
      </c>
      <c r="E745" s="22"/>
      <c r="F745" s="22" t="s">
        <v>3217</v>
      </c>
      <c r="G745" s="22"/>
      <c r="H745" s="22"/>
      <c r="I745" s="22"/>
      <c r="J745" s="44" t="s">
        <v>3196</v>
      </c>
      <c r="K745" s="22"/>
      <c r="L745" s="22" t="s">
        <v>3203</v>
      </c>
      <c r="M745" s="22"/>
      <c r="N745" s="22" t="s">
        <v>3218</v>
      </c>
      <c r="O745" s="22"/>
      <c r="P745" s="22" t="s">
        <v>2471</v>
      </c>
      <c r="Q745" s="22" t="s">
        <v>3144</v>
      </c>
      <c r="R745" s="22" t="s">
        <v>3115</v>
      </c>
      <c r="S745" s="22" t="s">
        <v>255</v>
      </c>
      <c r="T745" s="22"/>
      <c r="U745" s="24"/>
      <c r="V745" s="22"/>
      <c r="W745" s="22" t="s">
        <v>2408</v>
      </c>
      <c r="X745" s="22" t="s">
        <v>2408</v>
      </c>
      <c r="Y745" s="22" t="s">
        <v>135</v>
      </c>
      <c r="Z745" s="22" t="s">
        <v>2409</v>
      </c>
      <c r="AA745" s="22"/>
      <c r="AB745" s="22"/>
      <c r="AC745" s="22"/>
      <c r="AD745" s="22"/>
      <c r="AE745" s="22"/>
      <c r="AF745" s="22"/>
      <c r="AG745" s="22"/>
      <c r="AH745" s="22"/>
      <c r="AI745" s="22"/>
      <c r="AJ745" s="22"/>
      <c r="AK745" s="22"/>
      <c r="AL745" s="22"/>
      <c r="AM745" s="22"/>
      <c r="AN745" s="22"/>
      <c r="AO745" s="22"/>
      <c r="AP745" s="22"/>
      <c r="AQ745" s="22"/>
      <c r="AR745" s="22"/>
      <c r="AS745" s="25"/>
    </row>
    <row r="746" spans="1:45" s="1" customFormat="1">
      <c r="A746" s="22">
        <f t="shared" si="11"/>
        <v>745</v>
      </c>
      <c r="B746" s="23">
        <v>45906</v>
      </c>
      <c r="C746" s="22" t="s">
        <v>2874</v>
      </c>
      <c r="D746" s="22" t="s">
        <v>2874</v>
      </c>
      <c r="E746" s="22"/>
      <c r="F746" s="22" t="s">
        <v>3219</v>
      </c>
      <c r="G746" s="22"/>
      <c r="H746" s="22"/>
      <c r="I746" s="22"/>
      <c r="J746" s="44" t="s">
        <v>3196</v>
      </c>
      <c r="K746" s="22"/>
      <c r="L746" s="22" t="s">
        <v>3220</v>
      </c>
      <c r="M746" s="22"/>
      <c r="N746" s="22" t="s">
        <v>2434</v>
      </c>
      <c r="O746" s="22"/>
      <c r="P746" s="22" t="s">
        <v>2471</v>
      </c>
      <c r="Q746" s="22" t="s">
        <v>3119</v>
      </c>
      <c r="R746" s="22" t="s">
        <v>3115</v>
      </c>
      <c r="S746" s="22" t="s">
        <v>175</v>
      </c>
      <c r="T746" s="22"/>
      <c r="U746" s="24"/>
      <c r="V746" s="22"/>
      <c r="W746" s="22" t="s">
        <v>2408</v>
      </c>
      <c r="X746" s="22" t="s">
        <v>2408</v>
      </c>
      <c r="Y746" s="22" t="s">
        <v>135</v>
      </c>
      <c r="Z746" s="22" t="s">
        <v>2409</v>
      </c>
      <c r="AA746" s="22"/>
      <c r="AB746" s="22"/>
      <c r="AC746" s="22"/>
      <c r="AD746" s="22"/>
      <c r="AE746" s="22"/>
      <c r="AF746" s="22"/>
      <c r="AG746" s="22"/>
      <c r="AH746" s="22"/>
      <c r="AI746" s="22"/>
      <c r="AJ746" s="22"/>
      <c r="AK746" s="22"/>
      <c r="AL746" s="22"/>
      <c r="AM746" s="22"/>
      <c r="AN746" s="22"/>
      <c r="AO746" s="22"/>
      <c r="AP746" s="22"/>
      <c r="AQ746" s="22"/>
      <c r="AR746" s="22"/>
      <c r="AS746" s="25"/>
    </row>
    <row r="747" spans="1:45" s="1" customFormat="1">
      <c r="A747" s="22">
        <f t="shared" si="11"/>
        <v>746</v>
      </c>
      <c r="B747" s="23">
        <v>45907</v>
      </c>
      <c r="C747" s="22" t="s">
        <v>2874</v>
      </c>
      <c r="D747" s="22" t="s">
        <v>2874</v>
      </c>
      <c r="E747" s="22"/>
      <c r="F747" s="22" t="s">
        <v>3221</v>
      </c>
      <c r="G747" s="22"/>
      <c r="H747" s="22"/>
      <c r="I747" s="22"/>
      <c r="J747" s="44" t="s">
        <v>3196</v>
      </c>
      <c r="K747" s="22"/>
      <c r="L747" s="22" t="s">
        <v>3222</v>
      </c>
      <c r="M747" s="22"/>
      <c r="N747" s="22" t="s">
        <v>2452</v>
      </c>
      <c r="O747" s="22"/>
      <c r="P747" s="22" t="s">
        <v>2471</v>
      </c>
      <c r="Q747" s="22" t="s">
        <v>3119</v>
      </c>
      <c r="R747" s="22" t="s">
        <v>3115</v>
      </c>
      <c r="S747" s="22" t="s">
        <v>230</v>
      </c>
      <c r="T747" s="22"/>
      <c r="U747" s="24"/>
      <c r="V747" s="22"/>
      <c r="W747" s="22" t="s">
        <v>2408</v>
      </c>
      <c r="X747" s="22" t="s">
        <v>2408</v>
      </c>
      <c r="Y747" s="22" t="s">
        <v>135</v>
      </c>
      <c r="Z747" s="22" t="s">
        <v>2409</v>
      </c>
      <c r="AA747" s="22"/>
      <c r="AB747" s="22"/>
      <c r="AC747" s="22"/>
      <c r="AD747" s="22"/>
      <c r="AE747" s="22"/>
      <c r="AF747" s="22"/>
      <c r="AG747" s="22"/>
      <c r="AH747" s="22"/>
      <c r="AI747" s="22"/>
      <c r="AJ747" s="22"/>
      <c r="AK747" s="22"/>
      <c r="AL747" s="22"/>
      <c r="AM747" s="22"/>
      <c r="AN747" s="22"/>
      <c r="AO747" s="22"/>
      <c r="AP747" s="22"/>
      <c r="AQ747" s="22"/>
      <c r="AR747" s="22"/>
      <c r="AS747" s="25"/>
    </row>
    <row r="748" spans="1:45" s="1" customFormat="1">
      <c r="A748" s="22">
        <f t="shared" si="11"/>
        <v>747</v>
      </c>
      <c r="B748" s="23">
        <v>45908</v>
      </c>
      <c r="C748" s="22" t="s">
        <v>2874</v>
      </c>
      <c r="D748" s="22" t="s">
        <v>2874</v>
      </c>
      <c r="E748" s="22"/>
      <c r="F748" s="22" t="s">
        <v>3223</v>
      </c>
      <c r="G748" s="22"/>
      <c r="H748" s="22"/>
      <c r="I748" s="22"/>
      <c r="J748" s="44" t="s">
        <v>3224</v>
      </c>
      <c r="K748" s="22"/>
      <c r="L748" s="22" t="s">
        <v>3225</v>
      </c>
      <c r="M748" s="22"/>
      <c r="N748" s="22" t="s">
        <v>3226</v>
      </c>
      <c r="O748" s="22"/>
      <c r="P748" s="22" t="s">
        <v>2471</v>
      </c>
      <c r="Q748" s="22" t="s">
        <v>1304</v>
      </c>
      <c r="R748" s="22" t="s">
        <v>3115</v>
      </c>
      <c r="S748" s="22" t="s">
        <v>230</v>
      </c>
      <c r="T748" s="22"/>
      <c r="U748" s="24"/>
      <c r="V748" s="22"/>
      <c r="W748" s="22" t="s">
        <v>2408</v>
      </c>
      <c r="X748" s="22" t="s">
        <v>2408</v>
      </c>
      <c r="Y748" s="22" t="s">
        <v>135</v>
      </c>
      <c r="Z748" s="22" t="s">
        <v>2409</v>
      </c>
      <c r="AA748" s="22"/>
      <c r="AB748" s="22"/>
      <c r="AC748" s="22"/>
      <c r="AD748" s="22"/>
      <c r="AE748" s="22"/>
      <c r="AF748" s="22"/>
      <c r="AG748" s="22"/>
      <c r="AH748" s="22"/>
      <c r="AI748" s="22"/>
      <c r="AJ748" s="22"/>
      <c r="AK748" s="22"/>
      <c r="AL748" s="22"/>
      <c r="AM748" s="22"/>
      <c r="AN748" s="22"/>
      <c r="AO748" s="22"/>
      <c r="AP748" s="22"/>
      <c r="AQ748" s="22"/>
      <c r="AR748" s="22"/>
      <c r="AS748" s="25"/>
    </row>
    <row r="749" spans="1:45" s="1" customFormat="1">
      <c r="A749" s="22">
        <f t="shared" si="11"/>
        <v>748</v>
      </c>
      <c r="B749" s="23">
        <v>45909</v>
      </c>
      <c r="C749" s="22" t="s">
        <v>2874</v>
      </c>
      <c r="D749" s="22" t="s">
        <v>2874</v>
      </c>
      <c r="E749" s="22"/>
      <c r="F749" s="22" t="s">
        <v>3227</v>
      </c>
      <c r="G749" s="22"/>
      <c r="H749" s="22"/>
      <c r="I749" s="22"/>
      <c r="J749" s="44" t="s">
        <v>3224</v>
      </c>
      <c r="K749" s="22"/>
      <c r="L749" s="22" t="s">
        <v>3228</v>
      </c>
      <c r="M749" s="22"/>
      <c r="N749" s="22" t="s">
        <v>2581</v>
      </c>
      <c r="O749" s="22"/>
      <c r="P749" s="22" t="s">
        <v>2471</v>
      </c>
      <c r="Q749" s="22" t="s">
        <v>63</v>
      </c>
      <c r="R749" s="22" t="s">
        <v>3115</v>
      </c>
      <c r="S749" s="22" t="s">
        <v>2567</v>
      </c>
      <c r="T749" s="22"/>
      <c r="U749" s="24"/>
      <c r="V749" s="22"/>
      <c r="W749" s="22" t="s">
        <v>2408</v>
      </c>
      <c r="X749" s="22" t="s">
        <v>2408</v>
      </c>
      <c r="Y749" s="22" t="s">
        <v>135</v>
      </c>
      <c r="Z749" s="22" t="s">
        <v>2409</v>
      </c>
      <c r="AA749" s="22"/>
      <c r="AB749" s="22"/>
      <c r="AC749" s="22"/>
      <c r="AD749" s="22"/>
      <c r="AE749" s="22"/>
      <c r="AF749" s="22"/>
      <c r="AG749" s="22"/>
      <c r="AH749" s="22"/>
      <c r="AI749" s="22"/>
      <c r="AJ749" s="22"/>
      <c r="AK749" s="22"/>
      <c r="AL749" s="22"/>
      <c r="AM749" s="22"/>
      <c r="AN749" s="22"/>
      <c r="AO749" s="22"/>
      <c r="AP749" s="22"/>
      <c r="AQ749" s="22"/>
      <c r="AR749" s="22"/>
      <c r="AS749" s="25"/>
    </row>
    <row r="750" spans="1:45" s="1" customFormat="1">
      <c r="A750" s="22">
        <f t="shared" si="11"/>
        <v>749</v>
      </c>
      <c r="B750" s="23">
        <v>45910</v>
      </c>
      <c r="C750" s="22" t="s">
        <v>2874</v>
      </c>
      <c r="D750" s="22" t="s">
        <v>2874</v>
      </c>
      <c r="E750" s="22"/>
      <c r="F750" s="22" t="s">
        <v>3229</v>
      </c>
      <c r="G750" s="22"/>
      <c r="H750" s="22"/>
      <c r="I750" s="22"/>
      <c r="J750" s="44" t="s">
        <v>3224</v>
      </c>
      <c r="K750" s="22"/>
      <c r="L750" s="22" t="s">
        <v>3230</v>
      </c>
      <c r="M750" s="22"/>
      <c r="N750" s="22" t="s">
        <v>2987</v>
      </c>
      <c r="O750" s="22"/>
      <c r="P750" s="22" t="s">
        <v>2471</v>
      </c>
      <c r="Q750" s="22" t="s">
        <v>63</v>
      </c>
      <c r="R750" s="22" t="s">
        <v>3115</v>
      </c>
      <c r="S750" s="22" t="s">
        <v>3162</v>
      </c>
      <c r="T750" s="22"/>
      <c r="U750" s="24"/>
      <c r="V750" s="22"/>
      <c r="W750" s="22" t="s">
        <v>2408</v>
      </c>
      <c r="X750" s="22" t="s">
        <v>2408</v>
      </c>
      <c r="Y750" s="22" t="s">
        <v>135</v>
      </c>
      <c r="Z750" s="22" t="s">
        <v>2409</v>
      </c>
      <c r="AA750" s="22"/>
      <c r="AB750" s="22"/>
      <c r="AC750" s="22"/>
      <c r="AD750" s="22"/>
      <c r="AE750" s="22"/>
      <c r="AF750" s="22"/>
      <c r="AG750" s="22"/>
      <c r="AH750" s="22"/>
      <c r="AI750" s="22"/>
      <c r="AJ750" s="22"/>
      <c r="AK750" s="22"/>
      <c r="AL750" s="22"/>
      <c r="AM750" s="22"/>
      <c r="AN750" s="22"/>
      <c r="AO750" s="22"/>
      <c r="AP750" s="22"/>
      <c r="AQ750" s="22"/>
      <c r="AR750" s="22"/>
      <c r="AS750" s="25"/>
    </row>
    <row r="751" spans="1:45" s="1" customFormat="1">
      <c r="A751" s="22">
        <f t="shared" si="11"/>
        <v>750</v>
      </c>
      <c r="B751" s="23">
        <v>45911</v>
      </c>
      <c r="C751" s="22" t="s">
        <v>2874</v>
      </c>
      <c r="D751" s="22" t="s">
        <v>2874</v>
      </c>
      <c r="E751" s="22"/>
      <c r="F751" s="22" t="s">
        <v>3231</v>
      </c>
      <c r="G751" s="22"/>
      <c r="H751" s="22"/>
      <c r="I751" s="22"/>
      <c r="J751" s="44" t="s">
        <v>3224</v>
      </c>
      <c r="K751" s="22"/>
      <c r="L751" s="22" t="s">
        <v>3232</v>
      </c>
      <c r="M751" s="22"/>
      <c r="N751" s="22" t="s">
        <v>3208</v>
      </c>
      <c r="O751" s="22"/>
      <c r="P751" s="22" t="s">
        <v>2471</v>
      </c>
      <c r="Q751" s="22" t="s">
        <v>63</v>
      </c>
      <c r="R751" s="22" t="s">
        <v>3115</v>
      </c>
      <c r="S751" s="22" t="s">
        <v>2567</v>
      </c>
      <c r="T751" s="22"/>
      <c r="U751" s="24"/>
      <c r="V751" s="22"/>
      <c r="W751" s="22" t="s">
        <v>2408</v>
      </c>
      <c r="X751" s="22" t="s">
        <v>2408</v>
      </c>
      <c r="Y751" s="22" t="s">
        <v>135</v>
      </c>
      <c r="Z751" s="22" t="s">
        <v>2409</v>
      </c>
      <c r="AA751" s="22"/>
      <c r="AB751" s="22"/>
      <c r="AC751" s="22"/>
      <c r="AD751" s="22"/>
      <c r="AE751" s="22"/>
      <c r="AF751" s="22"/>
      <c r="AG751" s="22"/>
      <c r="AH751" s="22"/>
      <c r="AI751" s="22"/>
      <c r="AJ751" s="22"/>
      <c r="AK751" s="22"/>
      <c r="AL751" s="22"/>
      <c r="AM751" s="22"/>
      <c r="AN751" s="22"/>
      <c r="AO751" s="22"/>
      <c r="AP751" s="22"/>
      <c r="AQ751" s="22"/>
      <c r="AR751" s="22"/>
      <c r="AS751" s="25"/>
    </row>
    <row r="752" spans="1:45" s="1" customFormat="1">
      <c r="A752" s="22">
        <f t="shared" si="11"/>
        <v>751</v>
      </c>
      <c r="B752" s="23">
        <v>45912</v>
      </c>
      <c r="C752" s="22" t="s">
        <v>2874</v>
      </c>
      <c r="D752" s="22" t="s">
        <v>2874</v>
      </c>
      <c r="E752" s="22"/>
      <c r="F752" s="22" t="s">
        <v>3233</v>
      </c>
      <c r="G752" s="22"/>
      <c r="H752" s="22"/>
      <c r="I752" s="22"/>
      <c r="J752" s="44" t="s">
        <v>3224</v>
      </c>
      <c r="K752" s="22"/>
      <c r="L752" s="22" t="s">
        <v>3234</v>
      </c>
      <c r="M752" s="22"/>
      <c r="N752" s="22" t="s">
        <v>3235</v>
      </c>
      <c r="O752" s="22"/>
      <c r="P752" s="22" t="s">
        <v>2471</v>
      </c>
      <c r="Q752" s="22" t="s">
        <v>3158</v>
      </c>
      <c r="R752" s="22" t="s">
        <v>3115</v>
      </c>
      <c r="S752" s="22" t="s">
        <v>2577</v>
      </c>
      <c r="T752" s="22"/>
      <c r="U752" s="24"/>
      <c r="V752" s="22"/>
      <c r="W752" s="22" t="s">
        <v>2408</v>
      </c>
      <c r="X752" s="22" t="s">
        <v>2408</v>
      </c>
      <c r="Y752" s="22" t="s">
        <v>135</v>
      </c>
      <c r="Z752" s="22" t="s">
        <v>2409</v>
      </c>
      <c r="AA752" s="22"/>
      <c r="AB752" s="22"/>
      <c r="AC752" s="22"/>
      <c r="AD752" s="22"/>
      <c r="AE752" s="22"/>
      <c r="AF752" s="22"/>
      <c r="AG752" s="22"/>
      <c r="AH752" s="22"/>
      <c r="AI752" s="22"/>
      <c r="AJ752" s="22"/>
      <c r="AK752" s="22"/>
      <c r="AL752" s="22"/>
      <c r="AM752" s="22"/>
      <c r="AN752" s="22"/>
      <c r="AO752" s="22"/>
      <c r="AP752" s="22"/>
      <c r="AQ752" s="22"/>
      <c r="AR752" s="22"/>
      <c r="AS752" s="25"/>
    </row>
    <row r="753" spans="1:45" s="1" customFormat="1">
      <c r="A753" s="22">
        <f t="shared" si="11"/>
        <v>752</v>
      </c>
      <c r="B753" s="23">
        <v>45913</v>
      </c>
      <c r="C753" s="22" t="s">
        <v>2874</v>
      </c>
      <c r="D753" s="22" t="s">
        <v>2874</v>
      </c>
      <c r="E753" s="22"/>
      <c r="F753" s="22" t="s">
        <v>3236</v>
      </c>
      <c r="G753" s="22"/>
      <c r="H753" s="22"/>
      <c r="I753" s="22"/>
      <c r="J753" s="44" t="s">
        <v>3224</v>
      </c>
      <c r="K753" s="22"/>
      <c r="L753" s="22" t="s">
        <v>2432</v>
      </c>
      <c r="M753" s="22"/>
      <c r="N753" s="22" t="s">
        <v>3237</v>
      </c>
      <c r="O753" s="22"/>
      <c r="P753" s="22" t="s">
        <v>2471</v>
      </c>
      <c r="Q753" s="22" t="s">
        <v>63</v>
      </c>
      <c r="R753" s="22" t="s">
        <v>3160</v>
      </c>
      <c r="S753" s="22" t="s">
        <v>2577</v>
      </c>
      <c r="T753" s="22"/>
      <c r="U753" s="24"/>
      <c r="V753" s="22"/>
      <c r="W753" s="22" t="s">
        <v>2408</v>
      </c>
      <c r="X753" s="22" t="s">
        <v>2408</v>
      </c>
      <c r="Y753" s="22" t="s">
        <v>135</v>
      </c>
      <c r="Z753" s="22" t="s">
        <v>2409</v>
      </c>
      <c r="AA753" s="22"/>
      <c r="AB753" s="22"/>
      <c r="AC753" s="22"/>
      <c r="AD753" s="22"/>
      <c r="AE753" s="22"/>
      <c r="AF753" s="22"/>
      <c r="AG753" s="22"/>
      <c r="AH753" s="22"/>
      <c r="AI753" s="22"/>
      <c r="AJ753" s="22"/>
      <c r="AK753" s="22"/>
      <c r="AL753" s="22"/>
      <c r="AM753" s="22"/>
      <c r="AN753" s="22"/>
      <c r="AO753" s="22"/>
      <c r="AP753" s="22"/>
      <c r="AQ753" s="22"/>
      <c r="AR753" s="22"/>
      <c r="AS753" s="25"/>
    </row>
    <row r="754" spans="1:45" s="1" customFormat="1">
      <c r="A754" s="22">
        <f t="shared" si="11"/>
        <v>753</v>
      </c>
      <c r="B754" s="23">
        <v>45923</v>
      </c>
      <c r="C754" s="22" t="s">
        <v>3099</v>
      </c>
      <c r="D754" s="22" t="s">
        <v>3099</v>
      </c>
      <c r="E754" s="22"/>
      <c r="F754" s="22" t="s">
        <v>3238</v>
      </c>
      <c r="G754" s="22"/>
      <c r="H754" s="22"/>
      <c r="I754" s="22"/>
      <c r="J754" s="44" t="s">
        <v>3224</v>
      </c>
      <c r="K754" s="22"/>
      <c r="L754" s="22" t="s">
        <v>3220</v>
      </c>
      <c r="M754" s="22"/>
      <c r="N754" s="22" t="s">
        <v>3239</v>
      </c>
      <c r="O754" s="22"/>
      <c r="P754" s="22" t="s">
        <v>2471</v>
      </c>
      <c r="Q754" s="22" t="s">
        <v>63</v>
      </c>
      <c r="R754" s="22" t="s">
        <v>63</v>
      </c>
      <c r="S754" s="22" t="s">
        <v>3162</v>
      </c>
      <c r="T754" s="22"/>
      <c r="U754" s="24"/>
      <c r="V754" s="22"/>
      <c r="W754" s="22" t="s">
        <v>2408</v>
      </c>
      <c r="X754" s="22" t="s">
        <v>2408</v>
      </c>
      <c r="Y754" s="22" t="s">
        <v>135</v>
      </c>
      <c r="Z754" s="22" t="s">
        <v>2409</v>
      </c>
      <c r="AA754" s="22"/>
      <c r="AB754" s="22"/>
      <c r="AC754" s="22"/>
      <c r="AD754" s="22"/>
      <c r="AE754" s="22"/>
      <c r="AF754" s="22"/>
      <c r="AG754" s="22"/>
      <c r="AH754" s="22"/>
      <c r="AI754" s="22"/>
      <c r="AJ754" s="22"/>
      <c r="AK754" s="22"/>
      <c r="AL754" s="22"/>
      <c r="AM754" s="22"/>
      <c r="AN754" s="22"/>
      <c r="AO754" s="22"/>
      <c r="AP754" s="22"/>
      <c r="AQ754" s="22"/>
      <c r="AR754" s="22"/>
      <c r="AS754" s="25"/>
    </row>
    <row r="755" spans="1:45" s="1" customFormat="1">
      <c r="A755" s="22">
        <f t="shared" si="11"/>
        <v>754</v>
      </c>
      <c r="B755" s="23">
        <v>45927</v>
      </c>
      <c r="C755" s="22" t="s">
        <v>293</v>
      </c>
      <c r="D755" s="22" t="s">
        <v>293</v>
      </c>
      <c r="E755" s="22"/>
      <c r="F755" s="22" t="s">
        <v>3240</v>
      </c>
      <c r="G755" s="22"/>
      <c r="H755" s="22"/>
      <c r="I755" s="22"/>
      <c r="J755" s="44" t="s">
        <v>3224</v>
      </c>
      <c r="K755" s="22"/>
      <c r="L755" s="22" t="s">
        <v>3211</v>
      </c>
      <c r="M755" s="22"/>
      <c r="N755" s="22" t="s">
        <v>3241</v>
      </c>
      <c r="O755" s="22"/>
      <c r="P755" s="22" t="s">
        <v>2471</v>
      </c>
      <c r="Q755" s="22" t="s">
        <v>63</v>
      </c>
      <c r="R755" s="22" t="s">
        <v>63</v>
      </c>
      <c r="S755" s="22" t="s">
        <v>2577</v>
      </c>
      <c r="T755" s="22"/>
      <c r="U755" s="24"/>
      <c r="V755" s="22"/>
      <c r="W755" s="22" t="s">
        <v>2408</v>
      </c>
      <c r="X755" s="22" t="s">
        <v>2408</v>
      </c>
      <c r="Y755" s="22" t="s">
        <v>135</v>
      </c>
      <c r="Z755" s="22" t="s">
        <v>2409</v>
      </c>
      <c r="AA755" s="22"/>
      <c r="AB755" s="22"/>
      <c r="AC755" s="22"/>
      <c r="AD755" s="22"/>
      <c r="AE755" s="22"/>
      <c r="AF755" s="22"/>
      <c r="AG755" s="22"/>
      <c r="AH755" s="22"/>
      <c r="AI755" s="22"/>
      <c r="AJ755" s="22"/>
      <c r="AK755" s="22"/>
      <c r="AL755" s="22"/>
      <c r="AM755" s="22"/>
      <c r="AN755" s="22"/>
      <c r="AO755" s="22"/>
      <c r="AP755" s="22"/>
      <c r="AQ755" s="22"/>
      <c r="AR755" s="22"/>
      <c r="AS755" s="25"/>
    </row>
    <row r="756" spans="1:45" s="1" customFormat="1">
      <c r="A756" s="22">
        <f t="shared" si="11"/>
        <v>755</v>
      </c>
      <c r="B756" s="23">
        <v>45930</v>
      </c>
      <c r="C756" s="22" t="s">
        <v>293</v>
      </c>
      <c r="D756" s="22" t="s">
        <v>293</v>
      </c>
      <c r="E756" s="22"/>
      <c r="F756" s="22" t="s">
        <v>3242</v>
      </c>
      <c r="G756" s="22"/>
      <c r="H756" s="22"/>
      <c r="I756" s="22"/>
      <c r="J756" s="44" t="s">
        <v>3224</v>
      </c>
      <c r="K756" s="22"/>
      <c r="L756" s="22" t="s">
        <v>3177</v>
      </c>
      <c r="M756" s="22"/>
      <c r="N756" s="22" t="s">
        <v>2715</v>
      </c>
      <c r="O756" s="22"/>
      <c r="P756" s="22" t="s">
        <v>2471</v>
      </c>
      <c r="Q756" s="22" t="s">
        <v>63</v>
      </c>
      <c r="R756" s="22" t="s">
        <v>63</v>
      </c>
      <c r="S756" s="22" t="s">
        <v>3162</v>
      </c>
      <c r="T756" s="22"/>
      <c r="U756" s="24"/>
      <c r="V756" s="22"/>
      <c r="W756" s="22" t="s">
        <v>2408</v>
      </c>
      <c r="X756" s="22" t="s">
        <v>2408</v>
      </c>
      <c r="Y756" s="22" t="s">
        <v>135</v>
      </c>
      <c r="Z756" s="22" t="s">
        <v>2409</v>
      </c>
      <c r="AA756" s="22"/>
      <c r="AB756" s="22"/>
      <c r="AC756" s="22"/>
      <c r="AD756" s="22"/>
      <c r="AE756" s="22"/>
      <c r="AF756" s="22"/>
      <c r="AG756" s="22"/>
      <c r="AH756" s="22"/>
      <c r="AI756" s="22"/>
      <c r="AJ756" s="22"/>
      <c r="AK756" s="22"/>
      <c r="AL756" s="22"/>
      <c r="AM756" s="22"/>
      <c r="AN756" s="22"/>
      <c r="AO756" s="22"/>
      <c r="AP756" s="22"/>
      <c r="AQ756" s="22"/>
      <c r="AR756" s="22"/>
      <c r="AS756" s="25"/>
    </row>
    <row r="757" spans="1:45" s="1" customFormat="1">
      <c r="A757" s="22">
        <f t="shared" si="11"/>
        <v>756</v>
      </c>
      <c r="B757" s="23">
        <v>45917</v>
      </c>
      <c r="C757" s="22" t="s">
        <v>293</v>
      </c>
      <c r="D757" s="22" t="s">
        <v>293</v>
      </c>
      <c r="E757" s="22"/>
      <c r="F757" s="22" t="s">
        <v>3243</v>
      </c>
      <c r="G757" s="22"/>
      <c r="H757" s="22"/>
      <c r="I757" s="22"/>
      <c r="J757" s="44" t="s">
        <v>3244</v>
      </c>
      <c r="K757" s="22"/>
      <c r="L757" s="22" t="s">
        <v>2432</v>
      </c>
      <c r="M757" s="22"/>
      <c r="N757" s="22" t="s">
        <v>3245</v>
      </c>
      <c r="O757" s="22"/>
      <c r="P757" s="22" t="s">
        <v>2486</v>
      </c>
      <c r="Q757" s="22" t="s">
        <v>63</v>
      </c>
      <c r="R757" s="22" t="s">
        <v>63</v>
      </c>
      <c r="S757" s="22" t="s">
        <v>2577</v>
      </c>
      <c r="T757" s="22"/>
      <c r="U757" s="24"/>
      <c r="V757" s="22"/>
      <c r="W757" s="22" t="s">
        <v>2408</v>
      </c>
      <c r="X757" s="22" t="s">
        <v>2408</v>
      </c>
      <c r="Y757" s="22" t="s">
        <v>135</v>
      </c>
      <c r="Z757" s="22" t="s">
        <v>2409</v>
      </c>
      <c r="AA757" s="22"/>
      <c r="AB757" s="22"/>
      <c r="AC757" s="22"/>
      <c r="AD757" s="22"/>
      <c r="AE757" s="22"/>
      <c r="AF757" s="22"/>
      <c r="AG757" s="22"/>
      <c r="AH757" s="22"/>
      <c r="AI757" s="22"/>
      <c r="AJ757" s="22"/>
      <c r="AK757" s="22"/>
      <c r="AL757" s="22"/>
      <c r="AM757" s="22"/>
      <c r="AN757" s="22"/>
      <c r="AO757" s="22"/>
      <c r="AP757" s="22"/>
      <c r="AQ757" s="22"/>
      <c r="AR757" s="22"/>
      <c r="AS757" s="25"/>
    </row>
    <row r="758" spans="1:45" s="1" customFormat="1">
      <c r="A758" s="22">
        <f t="shared" si="11"/>
        <v>757</v>
      </c>
      <c r="B758" s="23">
        <v>45918</v>
      </c>
      <c r="C758" s="22" t="s">
        <v>293</v>
      </c>
      <c r="D758" s="22" t="s">
        <v>293</v>
      </c>
      <c r="E758" s="22"/>
      <c r="F758" s="22" t="s">
        <v>3204</v>
      </c>
      <c r="G758" s="22"/>
      <c r="H758" s="22"/>
      <c r="I758" s="22"/>
      <c r="J758" s="44" t="s">
        <v>3244</v>
      </c>
      <c r="K758" s="22"/>
      <c r="L758" s="22" t="s">
        <v>3246</v>
      </c>
      <c r="M758" s="22"/>
      <c r="N758" s="22" t="s">
        <v>2860</v>
      </c>
      <c r="O758" s="22"/>
      <c r="P758" s="22" t="s">
        <v>2715</v>
      </c>
      <c r="Q758" s="22" t="s">
        <v>3168</v>
      </c>
      <c r="R758" s="22" t="s">
        <v>3160</v>
      </c>
      <c r="S758" s="22" t="s">
        <v>3162</v>
      </c>
      <c r="T758" s="22"/>
      <c r="U758" s="24"/>
      <c r="V758" s="22"/>
      <c r="W758" s="22" t="s">
        <v>2408</v>
      </c>
      <c r="X758" s="22" t="s">
        <v>2408</v>
      </c>
      <c r="Y758" s="22" t="s">
        <v>135</v>
      </c>
      <c r="Z758" s="22" t="s">
        <v>2409</v>
      </c>
      <c r="AA758" s="22"/>
      <c r="AB758" s="22"/>
      <c r="AC758" s="22"/>
      <c r="AD758" s="22"/>
      <c r="AE758" s="22"/>
      <c r="AF758" s="22"/>
      <c r="AG758" s="22"/>
      <c r="AH758" s="22"/>
      <c r="AI758" s="22"/>
      <c r="AJ758" s="22"/>
      <c r="AK758" s="22"/>
      <c r="AL758" s="22"/>
      <c r="AM758" s="22"/>
      <c r="AN758" s="22"/>
      <c r="AO758" s="22"/>
      <c r="AP758" s="22"/>
      <c r="AQ758" s="22"/>
      <c r="AR758" s="22"/>
      <c r="AS758" s="25"/>
    </row>
    <row r="759" spans="1:45" s="1" customFormat="1">
      <c r="A759" s="22">
        <f t="shared" si="11"/>
        <v>758</v>
      </c>
      <c r="B759" s="23">
        <v>45919</v>
      </c>
      <c r="C759" s="22" t="s">
        <v>293</v>
      </c>
      <c r="D759" s="22" t="s">
        <v>293</v>
      </c>
      <c r="E759" s="22"/>
      <c r="F759" s="22" t="s">
        <v>3247</v>
      </c>
      <c r="G759" s="22"/>
      <c r="H759" s="22"/>
      <c r="I759" s="22"/>
      <c r="J759" s="44" t="s">
        <v>2423</v>
      </c>
      <c r="K759" s="22"/>
      <c r="L759" s="22" t="s">
        <v>3177</v>
      </c>
      <c r="M759" s="22"/>
      <c r="N759" s="22" t="s">
        <v>2599</v>
      </c>
      <c r="O759" s="22"/>
      <c r="P759" s="22" t="s">
        <v>3153</v>
      </c>
      <c r="Q759" s="22" t="s">
        <v>890</v>
      </c>
      <c r="R759" s="22" t="s">
        <v>3160</v>
      </c>
      <c r="S759" s="22" t="s">
        <v>2577</v>
      </c>
      <c r="T759" s="22"/>
      <c r="U759" s="24"/>
      <c r="V759" s="22"/>
      <c r="W759" s="22" t="s">
        <v>2408</v>
      </c>
      <c r="X759" s="22" t="s">
        <v>2408</v>
      </c>
      <c r="Y759" s="22" t="s">
        <v>135</v>
      </c>
      <c r="Z759" s="22" t="s">
        <v>2409</v>
      </c>
      <c r="AA759" s="22"/>
      <c r="AB759" s="22"/>
      <c r="AC759" s="22"/>
      <c r="AD759" s="22"/>
      <c r="AE759" s="22"/>
      <c r="AF759" s="22"/>
      <c r="AG759" s="22"/>
      <c r="AH759" s="22"/>
      <c r="AI759" s="22"/>
      <c r="AJ759" s="22"/>
      <c r="AK759" s="22"/>
      <c r="AL759" s="22"/>
      <c r="AM759" s="22"/>
      <c r="AN759" s="22"/>
      <c r="AO759" s="22"/>
      <c r="AP759" s="22"/>
      <c r="AQ759" s="22"/>
      <c r="AR759" s="22"/>
      <c r="AS759" s="25"/>
    </row>
    <row r="760" spans="1:45" s="1" customFormat="1">
      <c r="A760" s="22">
        <f t="shared" si="11"/>
        <v>759</v>
      </c>
      <c r="B760" s="23">
        <v>45923</v>
      </c>
      <c r="C760" s="22" t="s">
        <v>2874</v>
      </c>
      <c r="D760" s="22" t="s">
        <v>2874</v>
      </c>
      <c r="E760" s="22"/>
      <c r="F760" s="22" t="s">
        <v>3248</v>
      </c>
      <c r="G760" s="22"/>
      <c r="H760" s="22"/>
      <c r="I760" s="22"/>
      <c r="J760" s="44" t="s">
        <v>2423</v>
      </c>
      <c r="K760" s="22"/>
      <c r="L760" s="22" t="s">
        <v>3009</v>
      </c>
      <c r="M760" s="22"/>
      <c r="N760" s="22" t="s">
        <v>2707</v>
      </c>
      <c r="O760" s="22"/>
      <c r="P760" s="22" t="s">
        <v>2471</v>
      </c>
      <c r="Q760" s="22" t="s">
        <v>3175</v>
      </c>
      <c r="R760" s="22" t="s">
        <v>3115</v>
      </c>
      <c r="S760" s="22" t="s">
        <v>3162</v>
      </c>
      <c r="T760" s="22"/>
      <c r="U760" s="24"/>
      <c r="V760" s="22"/>
      <c r="W760" s="22" t="s">
        <v>2408</v>
      </c>
      <c r="X760" s="22" t="s">
        <v>2408</v>
      </c>
      <c r="Y760" s="22" t="s">
        <v>135</v>
      </c>
      <c r="Z760" s="22" t="s">
        <v>2409</v>
      </c>
      <c r="AA760" s="22"/>
      <c r="AB760" s="22"/>
      <c r="AC760" s="22"/>
      <c r="AD760" s="22"/>
      <c r="AE760" s="22"/>
      <c r="AF760" s="22"/>
      <c r="AG760" s="22"/>
      <c r="AH760" s="22"/>
      <c r="AI760" s="22"/>
      <c r="AJ760" s="22"/>
      <c r="AK760" s="22"/>
      <c r="AL760" s="22"/>
      <c r="AM760" s="22"/>
      <c r="AN760" s="22"/>
      <c r="AO760" s="22"/>
      <c r="AP760" s="22"/>
      <c r="AQ760" s="22"/>
      <c r="AR760" s="22"/>
      <c r="AS760" s="25"/>
    </row>
    <row r="761" spans="1:45" s="1" customFormat="1">
      <c r="A761" s="22">
        <f t="shared" si="11"/>
        <v>760</v>
      </c>
      <c r="B761" s="23">
        <v>45925</v>
      </c>
      <c r="C761" s="22" t="s">
        <v>2874</v>
      </c>
      <c r="D761" s="22" t="s">
        <v>2874</v>
      </c>
      <c r="E761" s="22"/>
      <c r="F761" s="22" t="s">
        <v>3249</v>
      </c>
      <c r="G761" s="22"/>
      <c r="H761" s="22"/>
      <c r="I761" s="22"/>
      <c r="J761" s="44" t="s">
        <v>2423</v>
      </c>
      <c r="K761" s="22"/>
      <c r="L761" s="22" t="s">
        <v>3022</v>
      </c>
      <c r="M761" s="22"/>
      <c r="N761" s="22" t="s">
        <v>3182</v>
      </c>
      <c r="O761" s="22"/>
      <c r="P761" s="22" t="s">
        <v>3250</v>
      </c>
      <c r="Q761" s="22" t="s">
        <v>63</v>
      </c>
      <c r="R761" s="22" t="s">
        <v>63</v>
      </c>
      <c r="S761" s="22" t="s">
        <v>2577</v>
      </c>
      <c r="T761" s="22"/>
      <c r="U761" s="24"/>
      <c r="V761" s="22"/>
      <c r="W761" s="22" t="s">
        <v>2408</v>
      </c>
      <c r="X761" s="22" t="s">
        <v>2408</v>
      </c>
      <c r="Y761" s="22" t="s">
        <v>135</v>
      </c>
      <c r="Z761" s="22" t="s">
        <v>2409</v>
      </c>
      <c r="AA761" s="22"/>
      <c r="AB761" s="22"/>
      <c r="AC761" s="22"/>
      <c r="AD761" s="22"/>
      <c r="AE761" s="22"/>
      <c r="AF761" s="22"/>
      <c r="AG761" s="22"/>
      <c r="AH761" s="22"/>
      <c r="AI761" s="22"/>
      <c r="AJ761" s="22"/>
      <c r="AK761" s="22"/>
      <c r="AL761" s="22"/>
      <c r="AM761" s="22"/>
      <c r="AN761" s="22"/>
      <c r="AO761" s="22"/>
      <c r="AP761" s="22"/>
      <c r="AQ761" s="22"/>
      <c r="AR761" s="22"/>
      <c r="AS761" s="25"/>
    </row>
    <row r="762" spans="1:45" s="1" customFormat="1">
      <c r="A762" s="22">
        <f t="shared" si="11"/>
        <v>761</v>
      </c>
      <c r="B762" s="23">
        <v>45928</v>
      </c>
      <c r="C762" s="22" t="s">
        <v>2686</v>
      </c>
      <c r="D762" s="22" t="s">
        <v>2686</v>
      </c>
      <c r="E762" s="22"/>
      <c r="F762" s="22" t="s">
        <v>3198</v>
      </c>
      <c r="G762" s="22"/>
      <c r="H762" s="22"/>
      <c r="I762" s="22"/>
      <c r="J762" s="44" t="s">
        <v>3244</v>
      </c>
      <c r="K762" s="22"/>
      <c r="L762" s="22" t="s">
        <v>2960</v>
      </c>
      <c r="M762" s="22"/>
      <c r="N762" s="22" t="s">
        <v>3251</v>
      </c>
      <c r="O762" s="22"/>
      <c r="P762" s="22" t="s">
        <v>3252</v>
      </c>
      <c r="Q762" s="22" t="s">
        <v>3180</v>
      </c>
      <c r="R762" s="22" t="s">
        <v>3115</v>
      </c>
      <c r="S762" s="22" t="s">
        <v>3162</v>
      </c>
      <c r="T762" s="22"/>
      <c r="U762" s="24"/>
      <c r="V762" s="22"/>
      <c r="W762" s="22" t="s">
        <v>2408</v>
      </c>
      <c r="X762" s="22" t="s">
        <v>2408</v>
      </c>
      <c r="Y762" s="22" t="s">
        <v>135</v>
      </c>
      <c r="Z762" s="22" t="s">
        <v>2409</v>
      </c>
      <c r="AA762" s="22"/>
      <c r="AB762" s="22"/>
      <c r="AC762" s="22"/>
      <c r="AD762" s="22"/>
      <c r="AE762" s="22"/>
      <c r="AF762" s="22"/>
      <c r="AG762" s="22"/>
      <c r="AH762" s="22"/>
      <c r="AI762" s="22"/>
      <c r="AJ762" s="22"/>
      <c r="AK762" s="22"/>
      <c r="AL762" s="22"/>
      <c r="AM762" s="22"/>
      <c r="AN762" s="22"/>
      <c r="AO762" s="22"/>
      <c r="AP762" s="22"/>
      <c r="AQ762" s="22"/>
      <c r="AR762" s="22"/>
      <c r="AS762" s="25"/>
    </row>
    <row r="763" spans="1:45" s="1" customFormat="1">
      <c r="A763" s="22">
        <f t="shared" si="11"/>
        <v>762</v>
      </c>
      <c r="B763" s="23">
        <v>45930</v>
      </c>
      <c r="C763" s="22" t="s">
        <v>209</v>
      </c>
      <c r="D763" s="22" t="s">
        <v>209</v>
      </c>
      <c r="E763" s="22"/>
      <c r="F763" s="22" t="s">
        <v>3253</v>
      </c>
      <c r="G763" s="22"/>
      <c r="H763" s="22"/>
      <c r="I763" s="22"/>
      <c r="J763" s="44" t="s">
        <v>3244</v>
      </c>
      <c r="K763" s="22"/>
      <c r="L763" s="22" t="s">
        <v>3009</v>
      </c>
      <c r="M763" s="22"/>
      <c r="N763" s="22" t="s">
        <v>2603</v>
      </c>
      <c r="O763" s="22"/>
      <c r="P763" s="22" t="s">
        <v>2471</v>
      </c>
      <c r="Q763" s="22" t="s">
        <v>3183</v>
      </c>
      <c r="R763" s="22" t="s">
        <v>3115</v>
      </c>
      <c r="S763" s="22" t="s">
        <v>2577</v>
      </c>
      <c r="T763" s="22"/>
      <c r="U763" s="24"/>
      <c r="V763" s="22"/>
      <c r="W763" s="22" t="s">
        <v>2408</v>
      </c>
      <c r="X763" s="22" t="s">
        <v>2408</v>
      </c>
      <c r="Y763" s="22" t="s">
        <v>135</v>
      </c>
      <c r="Z763" s="22" t="s">
        <v>2409</v>
      </c>
      <c r="AA763" s="22"/>
      <c r="AB763" s="22"/>
      <c r="AC763" s="22"/>
      <c r="AD763" s="22"/>
      <c r="AE763" s="22"/>
      <c r="AF763" s="22"/>
      <c r="AG763" s="22"/>
      <c r="AH763" s="22"/>
      <c r="AI763" s="22"/>
      <c r="AJ763" s="22"/>
      <c r="AK763" s="22"/>
      <c r="AL763" s="22"/>
      <c r="AM763" s="22"/>
      <c r="AN763" s="22"/>
      <c r="AO763" s="22"/>
      <c r="AP763" s="22"/>
      <c r="AQ763" s="22"/>
      <c r="AR763" s="22"/>
      <c r="AS763" s="25"/>
    </row>
    <row r="764" spans="1:45" s="1" customFormat="1">
      <c r="A764" s="22">
        <f t="shared" si="11"/>
        <v>763</v>
      </c>
      <c r="B764" s="23">
        <v>45933</v>
      </c>
      <c r="C764" s="22" t="s">
        <v>2874</v>
      </c>
      <c r="D764" s="22" t="s">
        <v>2874</v>
      </c>
      <c r="E764" s="22"/>
      <c r="F764" s="22" t="s">
        <v>3149</v>
      </c>
      <c r="G764" s="22"/>
      <c r="H764" s="22"/>
      <c r="I764" s="22"/>
      <c r="J764" s="44" t="s">
        <v>2423</v>
      </c>
      <c r="K764" s="22"/>
      <c r="L764" s="22" t="s">
        <v>3254</v>
      </c>
      <c r="M764" s="22"/>
      <c r="N764" s="22" t="s">
        <v>2576</v>
      </c>
      <c r="O764" s="22"/>
      <c r="P764" s="22" t="s">
        <v>2471</v>
      </c>
      <c r="Q764" s="22" t="s">
        <v>1304</v>
      </c>
      <c r="R764" s="22" t="s">
        <v>3115</v>
      </c>
      <c r="S764" s="22" t="s">
        <v>3162</v>
      </c>
      <c r="T764" s="22"/>
      <c r="U764" s="24"/>
      <c r="V764" s="22"/>
      <c r="W764" s="22" t="s">
        <v>2408</v>
      </c>
      <c r="X764" s="22" t="s">
        <v>2408</v>
      </c>
      <c r="Y764" s="22" t="s">
        <v>135</v>
      </c>
      <c r="Z764" s="22" t="s">
        <v>2409</v>
      </c>
      <c r="AA764" s="22"/>
      <c r="AB764" s="22"/>
      <c r="AC764" s="22"/>
      <c r="AD764" s="22"/>
      <c r="AE764" s="22"/>
      <c r="AF764" s="22"/>
      <c r="AG764" s="22"/>
      <c r="AH764" s="22"/>
      <c r="AI764" s="22"/>
      <c r="AJ764" s="22"/>
      <c r="AK764" s="22"/>
      <c r="AL764" s="22"/>
      <c r="AM764" s="22"/>
      <c r="AN764" s="22"/>
      <c r="AO764" s="22"/>
      <c r="AP764" s="22"/>
      <c r="AQ764" s="22"/>
      <c r="AR764" s="22"/>
      <c r="AS764" s="25"/>
    </row>
    <row r="765" spans="1:45" s="1" customFormat="1">
      <c r="A765" s="22">
        <f t="shared" si="11"/>
        <v>764</v>
      </c>
      <c r="B765" s="23">
        <v>45934</v>
      </c>
      <c r="C765" s="22" t="s">
        <v>293</v>
      </c>
      <c r="D765" s="22" t="s">
        <v>293</v>
      </c>
      <c r="E765" s="22"/>
      <c r="F765" s="22" t="s">
        <v>3255</v>
      </c>
      <c r="G765" s="22"/>
      <c r="H765" s="22"/>
      <c r="I765" s="22"/>
      <c r="J765" s="44" t="s">
        <v>3256</v>
      </c>
      <c r="K765" s="22"/>
      <c r="L765" s="22" t="s">
        <v>3257</v>
      </c>
      <c r="M765" s="22"/>
      <c r="N765" s="22" t="s">
        <v>2498</v>
      </c>
      <c r="O765" s="22"/>
      <c r="P765" s="22" t="s">
        <v>2471</v>
      </c>
      <c r="Q765" s="22" t="s">
        <v>63</v>
      </c>
      <c r="R765" s="22" t="s">
        <v>3115</v>
      </c>
      <c r="S765" s="22" t="s">
        <v>2577</v>
      </c>
      <c r="T765" s="22"/>
      <c r="U765" s="24"/>
      <c r="V765" s="22"/>
      <c r="W765" s="22" t="s">
        <v>2408</v>
      </c>
      <c r="X765" s="22" t="s">
        <v>2408</v>
      </c>
      <c r="Y765" s="22" t="s">
        <v>135</v>
      </c>
      <c r="Z765" s="22" t="s">
        <v>2409</v>
      </c>
      <c r="AA765" s="22"/>
      <c r="AB765" s="22"/>
      <c r="AC765" s="22"/>
      <c r="AD765" s="22"/>
      <c r="AE765" s="22"/>
      <c r="AF765" s="22"/>
      <c r="AG765" s="22"/>
      <c r="AH765" s="22"/>
      <c r="AI765" s="22"/>
      <c r="AJ765" s="22"/>
      <c r="AK765" s="22"/>
      <c r="AL765" s="22"/>
      <c r="AM765" s="22"/>
      <c r="AN765" s="22"/>
      <c r="AO765" s="22"/>
      <c r="AP765" s="22"/>
      <c r="AQ765" s="22"/>
      <c r="AR765" s="22"/>
      <c r="AS765" s="25"/>
    </row>
    <row r="766" spans="1:45" s="1" customFormat="1">
      <c r="A766" s="22">
        <f t="shared" si="11"/>
        <v>765</v>
      </c>
      <c r="B766" s="23">
        <v>45936</v>
      </c>
      <c r="C766" s="22" t="s">
        <v>2686</v>
      </c>
      <c r="D766" s="22" t="s">
        <v>2686</v>
      </c>
      <c r="E766" s="22"/>
      <c r="F766" s="22" t="s">
        <v>3258</v>
      </c>
      <c r="G766" s="22"/>
      <c r="H766" s="22"/>
      <c r="I766" s="22"/>
      <c r="J766" s="44" t="s">
        <v>3256</v>
      </c>
      <c r="K766" s="22"/>
      <c r="L766" s="22" t="s">
        <v>3259</v>
      </c>
      <c r="M766" s="22"/>
      <c r="N766" s="22" t="s">
        <v>3260</v>
      </c>
      <c r="O766" s="22"/>
      <c r="P766" s="22" t="s">
        <v>3261</v>
      </c>
      <c r="Q766" s="22" t="s">
        <v>63</v>
      </c>
      <c r="R766" s="22" t="s">
        <v>3115</v>
      </c>
      <c r="S766" s="22" t="s">
        <v>3162</v>
      </c>
      <c r="T766" s="22"/>
      <c r="U766" s="24"/>
      <c r="V766" s="22"/>
      <c r="W766" s="22" t="s">
        <v>2408</v>
      </c>
      <c r="X766" s="22" t="s">
        <v>2408</v>
      </c>
      <c r="Y766" s="22" t="s">
        <v>135</v>
      </c>
      <c r="Z766" s="22" t="s">
        <v>2409</v>
      </c>
      <c r="AA766" s="22"/>
      <c r="AB766" s="22"/>
      <c r="AC766" s="22"/>
      <c r="AD766" s="22"/>
      <c r="AE766" s="22"/>
      <c r="AF766" s="22"/>
      <c r="AG766" s="22"/>
      <c r="AH766" s="22"/>
      <c r="AI766" s="22"/>
      <c r="AJ766" s="22"/>
      <c r="AK766" s="22"/>
      <c r="AL766" s="22"/>
      <c r="AM766" s="22"/>
      <c r="AN766" s="22"/>
      <c r="AO766" s="22"/>
      <c r="AP766" s="22"/>
      <c r="AQ766" s="22"/>
      <c r="AR766" s="22"/>
      <c r="AS766" s="25"/>
    </row>
    <row r="767" spans="1:45" s="1" customFormat="1">
      <c r="A767" s="22">
        <f t="shared" si="11"/>
        <v>766</v>
      </c>
      <c r="B767" s="23">
        <v>45937</v>
      </c>
      <c r="C767" s="22" t="s">
        <v>293</v>
      </c>
      <c r="D767" s="22" t="s">
        <v>293</v>
      </c>
      <c r="E767" s="22"/>
      <c r="F767" s="22" t="s">
        <v>3262</v>
      </c>
      <c r="G767" s="22"/>
      <c r="H767" s="22"/>
      <c r="I767" s="22"/>
      <c r="J767" s="44" t="s">
        <v>3256</v>
      </c>
      <c r="K767" s="22"/>
      <c r="L767" s="22" t="s">
        <v>3263</v>
      </c>
      <c r="M767" s="22"/>
      <c r="N767" s="22" t="s">
        <v>2987</v>
      </c>
      <c r="O767" s="22"/>
      <c r="P767" s="22" t="s">
        <v>2490</v>
      </c>
      <c r="Q767" s="22" t="s">
        <v>63</v>
      </c>
      <c r="R767" s="22" t="s">
        <v>3115</v>
      </c>
      <c r="S767" s="22" t="s">
        <v>2577</v>
      </c>
      <c r="T767" s="22"/>
      <c r="U767" s="24"/>
      <c r="V767" s="22"/>
      <c r="W767" s="22" t="s">
        <v>2408</v>
      </c>
      <c r="X767" s="22" t="s">
        <v>2408</v>
      </c>
      <c r="Y767" s="22" t="s">
        <v>135</v>
      </c>
      <c r="Z767" s="22" t="s">
        <v>2409</v>
      </c>
      <c r="AA767" s="22"/>
      <c r="AB767" s="22"/>
      <c r="AC767" s="22"/>
      <c r="AD767" s="22"/>
      <c r="AE767" s="22"/>
      <c r="AF767" s="22"/>
      <c r="AG767" s="22"/>
      <c r="AH767" s="22"/>
      <c r="AI767" s="22"/>
      <c r="AJ767" s="22"/>
      <c r="AK767" s="22"/>
      <c r="AL767" s="22"/>
      <c r="AM767" s="22"/>
      <c r="AN767" s="22"/>
      <c r="AO767" s="22"/>
      <c r="AP767" s="22"/>
      <c r="AQ767" s="22"/>
      <c r="AR767" s="22"/>
      <c r="AS767" s="25"/>
    </row>
    <row r="768" spans="1:45" s="1" customFormat="1">
      <c r="A768" s="22">
        <f t="shared" si="11"/>
        <v>767</v>
      </c>
      <c r="B768" s="23">
        <v>45937</v>
      </c>
      <c r="C768" s="22" t="s">
        <v>2874</v>
      </c>
      <c r="D768" s="22" t="s">
        <v>2686</v>
      </c>
      <c r="E768" s="22"/>
      <c r="F768" s="22" t="s">
        <v>3264</v>
      </c>
      <c r="G768" s="22"/>
      <c r="H768" s="22"/>
      <c r="I768" s="22"/>
      <c r="J768" s="44" t="s">
        <v>3256</v>
      </c>
      <c r="K768" s="22"/>
      <c r="L768" s="22" t="s">
        <v>3265</v>
      </c>
      <c r="M768" s="22"/>
      <c r="N768" s="22" t="s">
        <v>2406</v>
      </c>
      <c r="O768" s="22"/>
      <c r="P768" s="22" t="s">
        <v>3261</v>
      </c>
      <c r="Q768" s="22" t="s">
        <v>890</v>
      </c>
      <c r="R768" s="22" t="s">
        <v>3115</v>
      </c>
      <c r="S768" s="22" t="s">
        <v>3162</v>
      </c>
      <c r="T768" s="22"/>
      <c r="U768" s="24"/>
      <c r="V768" s="22"/>
      <c r="W768" s="22" t="s">
        <v>2408</v>
      </c>
      <c r="X768" s="22" t="s">
        <v>2408</v>
      </c>
      <c r="Y768" s="22" t="s">
        <v>135</v>
      </c>
      <c r="Z768" s="22" t="s">
        <v>2409</v>
      </c>
      <c r="AA768" s="22"/>
      <c r="AB768" s="22"/>
      <c r="AC768" s="22"/>
      <c r="AD768" s="22"/>
      <c r="AE768" s="22"/>
      <c r="AF768" s="22"/>
      <c r="AG768" s="22"/>
      <c r="AH768" s="22"/>
      <c r="AI768" s="22"/>
      <c r="AJ768" s="22"/>
      <c r="AK768" s="22"/>
      <c r="AL768" s="22"/>
      <c r="AM768" s="22"/>
      <c r="AN768" s="22"/>
      <c r="AO768" s="22"/>
      <c r="AP768" s="22"/>
      <c r="AQ768" s="22"/>
      <c r="AR768" s="22"/>
      <c r="AS768" s="25"/>
    </row>
    <row r="769" spans="1:45" s="1" customFormat="1">
      <c r="A769" s="22">
        <f t="shared" si="11"/>
        <v>768</v>
      </c>
      <c r="B769" s="23">
        <v>45938</v>
      </c>
      <c r="C769" s="22" t="s">
        <v>3111</v>
      </c>
      <c r="D769" s="22" t="s">
        <v>293</v>
      </c>
      <c r="E769" s="22"/>
      <c r="F769" s="22" t="s">
        <v>3266</v>
      </c>
      <c r="G769" s="22"/>
      <c r="H769" s="22"/>
      <c r="I769" s="22"/>
      <c r="J769" s="44" t="s">
        <v>3256</v>
      </c>
      <c r="K769" s="22"/>
      <c r="L769" s="22" t="s">
        <v>3220</v>
      </c>
      <c r="M769" s="22"/>
      <c r="N769" s="22" t="s">
        <v>2498</v>
      </c>
      <c r="O769" s="22"/>
      <c r="P769" s="22" t="s">
        <v>3261</v>
      </c>
      <c r="Q769" s="22" t="s">
        <v>63</v>
      </c>
      <c r="R769" s="22" t="s">
        <v>3160</v>
      </c>
      <c r="S769" s="22" t="s">
        <v>2577</v>
      </c>
      <c r="T769" s="22"/>
      <c r="U769" s="24"/>
      <c r="V769" s="22"/>
      <c r="W769" s="22" t="s">
        <v>2408</v>
      </c>
      <c r="X769" s="22" t="s">
        <v>2408</v>
      </c>
      <c r="Y769" s="22" t="s">
        <v>135</v>
      </c>
      <c r="Z769" s="22" t="s">
        <v>2409</v>
      </c>
      <c r="AA769" s="22"/>
      <c r="AB769" s="22"/>
      <c r="AC769" s="22"/>
      <c r="AD769" s="22"/>
      <c r="AE769" s="22"/>
      <c r="AF769" s="22"/>
      <c r="AG769" s="22"/>
      <c r="AH769" s="22"/>
      <c r="AI769" s="22"/>
      <c r="AJ769" s="22"/>
      <c r="AK769" s="22"/>
      <c r="AL769" s="22"/>
      <c r="AM769" s="22"/>
      <c r="AN769" s="22"/>
      <c r="AO769" s="22"/>
      <c r="AP769" s="22"/>
      <c r="AQ769" s="22"/>
      <c r="AR769" s="22"/>
      <c r="AS769" s="25"/>
    </row>
    <row r="770" spans="1:45" s="1" customFormat="1">
      <c r="A770" s="22">
        <f t="shared" si="11"/>
        <v>769</v>
      </c>
      <c r="B770" s="23">
        <v>45939</v>
      </c>
      <c r="C770" s="22" t="s">
        <v>3111</v>
      </c>
      <c r="D770" s="22" t="s">
        <v>3111</v>
      </c>
      <c r="E770" s="22"/>
      <c r="F770" s="22" t="s">
        <v>3267</v>
      </c>
      <c r="G770" s="22"/>
      <c r="H770" s="22"/>
      <c r="I770" s="22"/>
      <c r="J770" s="44" t="s">
        <v>3256</v>
      </c>
      <c r="K770" s="22"/>
      <c r="L770" s="22" t="s">
        <v>3211</v>
      </c>
      <c r="M770" s="22"/>
      <c r="N770" s="22" t="s">
        <v>2656</v>
      </c>
      <c r="O770" s="22"/>
      <c r="P770" s="22" t="s">
        <v>3261</v>
      </c>
      <c r="Q770" s="22" t="s">
        <v>63</v>
      </c>
      <c r="R770" s="22" t="s">
        <v>63</v>
      </c>
      <c r="S770" s="22" t="s">
        <v>3162</v>
      </c>
      <c r="T770" s="22"/>
      <c r="U770" s="24"/>
      <c r="V770" s="22"/>
      <c r="W770" s="22" t="s">
        <v>2408</v>
      </c>
      <c r="X770" s="22" t="s">
        <v>2408</v>
      </c>
      <c r="Y770" s="22" t="s">
        <v>135</v>
      </c>
      <c r="Z770" s="22" t="s">
        <v>2409</v>
      </c>
      <c r="AA770" s="22"/>
      <c r="AB770" s="22"/>
      <c r="AC770" s="22"/>
      <c r="AD770" s="22"/>
      <c r="AE770" s="22"/>
      <c r="AF770" s="22"/>
      <c r="AG770" s="22"/>
      <c r="AH770" s="22"/>
      <c r="AI770" s="22"/>
      <c r="AJ770" s="22"/>
      <c r="AK770" s="22"/>
      <c r="AL770" s="22"/>
      <c r="AM770" s="22"/>
      <c r="AN770" s="22"/>
      <c r="AO770" s="22"/>
      <c r="AP770" s="22"/>
      <c r="AQ770" s="22"/>
      <c r="AR770" s="22"/>
      <c r="AS770" s="25"/>
    </row>
    <row r="771" spans="1:45" s="1" customFormat="1">
      <c r="A771" s="22">
        <f t="shared" ref="A771:A834" si="12">A770+1</f>
        <v>770</v>
      </c>
      <c r="B771" s="23">
        <v>45940</v>
      </c>
      <c r="C771" s="22" t="s">
        <v>667</v>
      </c>
      <c r="D771" s="22" t="s">
        <v>3111</v>
      </c>
      <c r="E771" s="22"/>
      <c r="F771" s="22" t="s">
        <v>3268</v>
      </c>
      <c r="G771" s="22"/>
      <c r="H771" s="22"/>
      <c r="I771" s="22"/>
      <c r="J771" s="44" t="s">
        <v>3256</v>
      </c>
      <c r="K771" s="22"/>
      <c r="L771" s="22" t="s">
        <v>3254</v>
      </c>
      <c r="M771" s="22"/>
      <c r="N771" s="22" t="s">
        <v>3269</v>
      </c>
      <c r="O771" s="22"/>
      <c r="P771" s="22" t="s">
        <v>3261</v>
      </c>
      <c r="Q771" s="22" t="s">
        <v>63</v>
      </c>
      <c r="R771" s="22" t="s">
        <v>63</v>
      </c>
      <c r="S771" s="22" t="s">
        <v>2567</v>
      </c>
      <c r="T771" s="22"/>
      <c r="U771" s="24"/>
      <c r="V771" s="22"/>
      <c r="W771" s="22" t="s">
        <v>2408</v>
      </c>
      <c r="X771" s="22" t="s">
        <v>2408</v>
      </c>
      <c r="Y771" s="22" t="s">
        <v>135</v>
      </c>
      <c r="Z771" s="22" t="s">
        <v>2409</v>
      </c>
      <c r="AA771" s="22"/>
      <c r="AB771" s="22"/>
      <c r="AC771" s="22"/>
      <c r="AD771" s="22"/>
      <c r="AE771" s="22"/>
      <c r="AF771" s="22"/>
      <c r="AG771" s="22"/>
      <c r="AH771" s="22"/>
      <c r="AI771" s="22"/>
      <c r="AJ771" s="22"/>
      <c r="AK771" s="22"/>
      <c r="AL771" s="22"/>
      <c r="AM771" s="22"/>
      <c r="AN771" s="22"/>
      <c r="AO771" s="22"/>
      <c r="AP771" s="22"/>
      <c r="AQ771" s="22"/>
      <c r="AR771" s="22"/>
      <c r="AS771" s="25"/>
    </row>
    <row r="772" spans="1:45" s="1" customFormat="1">
      <c r="A772" s="22">
        <f t="shared" si="12"/>
        <v>771</v>
      </c>
      <c r="B772" s="23">
        <v>45941</v>
      </c>
      <c r="C772" s="22" t="s">
        <v>2686</v>
      </c>
      <c r="D772" s="22" t="s">
        <v>667</v>
      </c>
      <c r="E772" s="22"/>
      <c r="F772" s="22" t="s">
        <v>3270</v>
      </c>
      <c r="G772" s="22"/>
      <c r="H772" s="22"/>
      <c r="I772" s="22"/>
      <c r="J772" s="44" t="s">
        <v>3271</v>
      </c>
      <c r="K772" s="22"/>
      <c r="L772" s="22" t="s">
        <v>3199</v>
      </c>
      <c r="M772" s="22"/>
      <c r="N772" s="22" t="s">
        <v>3166</v>
      </c>
      <c r="O772" s="22"/>
      <c r="P772" s="22" t="s">
        <v>3261</v>
      </c>
      <c r="Q772" s="22" t="s">
        <v>63</v>
      </c>
      <c r="R772" s="22" t="s">
        <v>63</v>
      </c>
      <c r="S772" s="22" t="s">
        <v>2567</v>
      </c>
      <c r="T772" s="22"/>
      <c r="U772" s="24"/>
      <c r="V772" s="22"/>
      <c r="W772" s="22" t="s">
        <v>2408</v>
      </c>
      <c r="X772" s="22" t="s">
        <v>2408</v>
      </c>
      <c r="Y772" s="22" t="s">
        <v>135</v>
      </c>
      <c r="Z772" s="22" t="s">
        <v>2409</v>
      </c>
      <c r="AA772" s="22"/>
      <c r="AB772" s="22"/>
      <c r="AC772" s="22"/>
      <c r="AD772" s="22"/>
      <c r="AE772" s="22"/>
      <c r="AF772" s="22"/>
      <c r="AG772" s="22"/>
      <c r="AH772" s="22"/>
      <c r="AI772" s="22"/>
      <c r="AJ772" s="22"/>
      <c r="AK772" s="22"/>
      <c r="AL772" s="22"/>
      <c r="AM772" s="22"/>
      <c r="AN772" s="22"/>
      <c r="AO772" s="22"/>
      <c r="AP772" s="22"/>
      <c r="AQ772" s="22"/>
      <c r="AR772" s="22"/>
      <c r="AS772" s="25"/>
    </row>
    <row r="773" spans="1:45" s="1" customFormat="1">
      <c r="A773" s="22">
        <f t="shared" si="12"/>
        <v>772</v>
      </c>
      <c r="B773" s="23">
        <v>45945</v>
      </c>
      <c r="C773" s="22" t="s">
        <v>293</v>
      </c>
      <c r="D773" s="22" t="s">
        <v>2686</v>
      </c>
      <c r="E773" s="22"/>
      <c r="F773" s="22" t="s">
        <v>3272</v>
      </c>
      <c r="G773" s="22"/>
      <c r="H773" s="22"/>
      <c r="I773" s="22"/>
      <c r="J773" s="44" t="s">
        <v>3271</v>
      </c>
      <c r="K773" s="22"/>
      <c r="L773" s="22" t="s">
        <v>3220</v>
      </c>
      <c r="M773" s="22"/>
      <c r="N773" s="22" t="s">
        <v>2419</v>
      </c>
      <c r="O773" s="22"/>
      <c r="P773" s="22" t="s">
        <v>3261</v>
      </c>
      <c r="Q773" s="22" t="s">
        <v>63</v>
      </c>
      <c r="R773" s="22" t="s">
        <v>63</v>
      </c>
      <c r="S773" s="22" t="s">
        <v>2567</v>
      </c>
      <c r="T773" s="22"/>
      <c r="U773" s="24"/>
      <c r="V773" s="22"/>
      <c r="W773" s="22" t="s">
        <v>2408</v>
      </c>
      <c r="X773" s="22" t="s">
        <v>2408</v>
      </c>
      <c r="Y773" s="22" t="s">
        <v>135</v>
      </c>
      <c r="Z773" s="22" t="s">
        <v>2409</v>
      </c>
      <c r="AA773" s="22"/>
      <c r="AB773" s="22"/>
      <c r="AC773" s="22"/>
      <c r="AD773" s="22"/>
      <c r="AE773" s="22"/>
      <c r="AF773" s="22"/>
      <c r="AG773" s="22"/>
      <c r="AH773" s="22"/>
      <c r="AI773" s="22"/>
      <c r="AJ773" s="22"/>
      <c r="AK773" s="22"/>
      <c r="AL773" s="22"/>
      <c r="AM773" s="22"/>
      <c r="AN773" s="22"/>
      <c r="AO773" s="22"/>
      <c r="AP773" s="22"/>
      <c r="AQ773" s="22"/>
      <c r="AR773" s="22"/>
      <c r="AS773" s="25"/>
    </row>
    <row r="774" spans="1:45" s="1" customFormat="1">
      <c r="A774" s="22">
        <f t="shared" si="12"/>
        <v>773</v>
      </c>
      <c r="B774" s="23">
        <v>45948</v>
      </c>
      <c r="C774" s="22" t="s">
        <v>667</v>
      </c>
      <c r="D774" s="22" t="s">
        <v>293</v>
      </c>
      <c r="E774" s="22"/>
      <c r="F774" s="22" t="s">
        <v>3273</v>
      </c>
      <c r="G774" s="22"/>
      <c r="H774" s="22"/>
      <c r="I774" s="22"/>
      <c r="J774" s="44" t="s">
        <v>3271</v>
      </c>
      <c r="K774" s="22"/>
      <c r="L774" s="22" t="s">
        <v>3211</v>
      </c>
      <c r="M774" s="22"/>
      <c r="N774" s="22" t="s">
        <v>3274</v>
      </c>
      <c r="O774" s="22"/>
      <c r="P774" s="22" t="s">
        <v>3261</v>
      </c>
      <c r="Q774" s="22" t="s">
        <v>3115</v>
      </c>
      <c r="R774" s="22" t="s">
        <v>3115</v>
      </c>
      <c r="S774" s="22" t="s">
        <v>2567</v>
      </c>
      <c r="T774" s="22"/>
      <c r="U774" s="24"/>
      <c r="V774" s="22"/>
      <c r="W774" s="22" t="s">
        <v>2408</v>
      </c>
      <c r="X774" s="22" t="s">
        <v>2408</v>
      </c>
      <c r="Y774" s="22" t="s">
        <v>135</v>
      </c>
      <c r="Z774" s="22" t="s">
        <v>2409</v>
      </c>
      <c r="AA774" s="22"/>
      <c r="AB774" s="22"/>
      <c r="AC774" s="22"/>
      <c r="AD774" s="22"/>
      <c r="AE774" s="22"/>
      <c r="AF774" s="22"/>
      <c r="AG774" s="22"/>
      <c r="AH774" s="22"/>
      <c r="AI774" s="22"/>
      <c r="AJ774" s="22"/>
      <c r="AK774" s="22"/>
      <c r="AL774" s="22"/>
      <c r="AM774" s="22"/>
      <c r="AN774" s="22"/>
      <c r="AO774" s="22"/>
      <c r="AP774" s="22"/>
      <c r="AQ774" s="22"/>
      <c r="AR774" s="22"/>
      <c r="AS774" s="25"/>
    </row>
    <row r="775" spans="1:45" s="1" customFormat="1">
      <c r="A775" s="22">
        <f t="shared" si="12"/>
        <v>774</v>
      </c>
      <c r="B775" s="23">
        <v>45944</v>
      </c>
      <c r="C775" s="22" t="s">
        <v>3275</v>
      </c>
      <c r="D775" s="22" t="s">
        <v>3275</v>
      </c>
      <c r="E775" s="22"/>
      <c r="F775" s="22" t="s">
        <v>3276</v>
      </c>
      <c r="G775" s="22"/>
      <c r="H775" s="22"/>
      <c r="I775" s="22"/>
      <c r="J775" s="44" t="s">
        <v>3271</v>
      </c>
      <c r="K775" s="22"/>
      <c r="L775" s="22" t="s">
        <v>3254</v>
      </c>
      <c r="M775" s="22"/>
      <c r="N775" s="22" t="s">
        <v>2727</v>
      </c>
      <c r="O775" s="22"/>
      <c r="P775" s="22" t="s">
        <v>2434</v>
      </c>
      <c r="Q775" s="22" t="s">
        <v>63</v>
      </c>
      <c r="R775" s="22" t="s">
        <v>63</v>
      </c>
      <c r="S775" s="22" t="s">
        <v>2567</v>
      </c>
      <c r="T775" s="22"/>
      <c r="U775" s="24"/>
      <c r="V775" s="22"/>
      <c r="W775" s="22" t="s">
        <v>2408</v>
      </c>
      <c r="X775" s="22" t="s">
        <v>2408</v>
      </c>
      <c r="Y775" s="22" t="s">
        <v>135</v>
      </c>
      <c r="Z775" s="22" t="s">
        <v>2409</v>
      </c>
      <c r="AA775" s="22"/>
      <c r="AB775" s="22"/>
      <c r="AC775" s="22"/>
      <c r="AD775" s="22"/>
      <c r="AE775" s="22"/>
      <c r="AF775" s="22"/>
      <c r="AG775" s="22"/>
      <c r="AH775" s="22"/>
      <c r="AI775" s="22"/>
      <c r="AJ775" s="22"/>
      <c r="AK775" s="22"/>
      <c r="AL775" s="22"/>
      <c r="AM775" s="22"/>
      <c r="AN775" s="22"/>
      <c r="AO775" s="22"/>
      <c r="AP775" s="22"/>
      <c r="AQ775" s="22"/>
      <c r="AR775" s="22"/>
      <c r="AS775" s="25"/>
    </row>
    <row r="776" spans="1:45" s="1" customFormat="1">
      <c r="A776" s="22">
        <f t="shared" si="12"/>
        <v>775</v>
      </c>
      <c r="B776" s="23">
        <v>45945</v>
      </c>
      <c r="C776" s="22" t="s">
        <v>3099</v>
      </c>
      <c r="D776" s="22" t="s">
        <v>3099</v>
      </c>
      <c r="E776" s="22"/>
      <c r="F776" s="22" t="s">
        <v>3277</v>
      </c>
      <c r="G776" s="22"/>
      <c r="H776" s="22"/>
      <c r="I776" s="22"/>
      <c r="J776" s="44" t="s">
        <v>3271</v>
      </c>
      <c r="K776" s="22"/>
      <c r="L776" s="22" t="s">
        <v>2911</v>
      </c>
      <c r="M776" s="22"/>
      <c r="N776" s="22" t="s">
        <v>2441</v>
      </c>
      <c r="O776" s="22"/>
      <c r="P776" s="22" t="s">
        <v>2603</v>
      </c>
      <c r="Q776" s="22" t="s">
        <v>63</v>
      </c>
      <c r="R776" s="22" t="s">
        <v>3115</v>
      </c>
      <c r="S776" s="22" t="s">
        <v>2567</v>
      </c>
      <c r="T776" s="22"/>
      <c r="U776" s="24"/>
      <c r="V776" s="22"/>
      <c r="W776" s="22" t="s">
        <v>2408</v>
      </c>
      <c r="X776" s="22" t="s">
        <v>2408</v>
      </c>
      <c r="Y776" s="22" t="s">
        <v>135</v>
      </c>
      <c r="Z776" s="22" t="s">
        <v>2409</v>
      </c>
      <c r="AA776" s="22"/>
      <c r="AB776" s="22"/>
      <c r="AC776" s="22"/>
      <c r="AD776" s="22"/>
      <c r="AE776" s="22"/>
      <c r="AF776" s="22"/>
      <c r="AG776" s="22"/>
      <c r="AH776" s="22"/>
      <c r="AI776" s="22"/>
      <c r="AJ776" s="22"/>
      <c r="AK776" s="22"/>
      <c r="AL776" s="22"/>
      <c r="AM776" s="22"/>
      <c r="AN776" s="22"/>
      <c r="AO776" s="22"/>
      <c r="AP776" s="22"/>
      <c r="AQ776" s="22"/>
      <c r="AR776" s="22"/>
      <c r="AS776" s="25"/>
    </row>
    <row r="777" spans="1:45" s="1" customFormat="1">
      <c r="A777" s="22">
        <f t="shared" si="12"/>
        <v>776</v>
      </c>
      <c r="B777" s="23">
        <v>45946</v>
      </c>
      <c r="C777" s="22" t="s">
        <v>3099</v>
      </c>
      <c r="D777" s="22" t="s">
        <v>3099</v>
      </c>
      <c r="E777" s="22"/>
      <c r="F777" s="22" t="s">
        <v>3278</v>
      </c>
      <c r="G777" s="22"/>
      <c r="H777" s="22"/>
      <c r="I777" s="22"/>
      <c r="J777" s="44" t="s">
        <v>3271</v>
      </c>
      <c r="K777" s="22"/>
      <c r="L777" s="22" t="s">
        <v>2851</v>
      </c>
      <c r="M777" s="22"/>
      <c r="N777" s="22" t="s">
        <v>2864</v>
      </c>
      <c r="O777" s="22"/>
      <c r="P777" s="22" t="s">
        <v>2707</v>
      </c>
      <c r="Q777" s="22" t="s">
        <v>63</v>
      </c>
      <c r="R777" s="22" t="s">
        <v>63</v>
      </c>
      <c r="S777" s="22" t="s">
        <v>2567</v>
      </c>
      <c r="T777" s="22"/>
      <c r="U777" s="24"/>
      <c r="V777" s="22"/>
      <c r="W777" s="22" t="s">
        <v>2408</v>
      </c>
      <c r="X777" s="22" t="s">
        <v>2408</v>
      </c>
      <c r="Y777" s="22" t="s">
        <v>135</v>
      </c>
      <c r="Z777" s="22" t="s">
        <v>2409</v>
      </c>
      <c r="AA777" s="22"/>
      <c r="AB777" s="22"/>
      <c r="AC777" s="22"/>
      <c r="AD777" s="22"/>
      <c r="AE777" s="22"/>
      <c r="AF777" s="22"/>
      <c r="AG777" s="22"/>
      <c r="AH777" s="22"/>
      <c r="AI777" s="22"/>
      <c r="AJ777" s="22"/>
      <c r="AK777" s="22"/>
      <c r="AL777" s="22"/>
      <c r="AM777" s="22"/>
      <c r="AN777" s="22"/>
      <c r="AO777" s="22"/>
      <c r="AP777" s="22"/>
      <c r="AQ777" s="22"/>
      <c r="AR777" s="22"/>
      <c r="AS777" s="25"/>
    </row>
    <row r="778" spans="1:45" s="1" customFormat="1">
      <c r="A778" s="22">
        <f t="shared" si="12"/>
        <v>777</v>
      </c>
      <c r="B778" s="23">
        <v>45950</v>
      </c>
      <c r="C778" s="22" t="s">
        <v>3099</v>
      </c>
      <c r="D778" s="22" t="s">
        <v>3099</v>
      </c>
      <c r="E778" s="22"/>
      <c r="F778" s="22" t="s">
        <v>3277</v>
      </c>
      <c r="G778" s="22"/>
      <c r="H778" s="22"/>
      <c r="I778" s="22"/>
      <c r="J778" s="44" t="s">
        <v>3279</v>
      </c>
      <c r="K778" s="22"/>
      <c r="L778" s="22" t="s">
        <v>2926</v>
      </c>
      <c r="M778" s="22"/>
      <c r="N778" s="22" t="s">
        <v>2565</v>
      </c>
      <c r="O778" s="22"/>
      <c r="P778" s="22" t="s">
        <v>2452</v>
      </c>
      <c r="Q778" s="22" t="s">
        <v>63</v>
      </c>
      <c r="R778" s="22" t="s">
        <v>63</v>
      </c>
      <c r="S778" s="22" t="s">
        <v>2567</v>
      </c>
      <c r="T778" s="22"/>
      <c r="U778" s="24"/>
      <c r="V778" s="22"/>
      <c r="W778" s="22" t="s">
        <v>2408</v>
      </c>
      <c r="X778" s="22" t="s">
        <v>2408</v>
      </c>
      <c r="Y778" s="22" t="s">
        <v>135</v>
      </c>
      <c r="Z778" s="22" t="s">
        <v>2409</v>
      </c>
      <c r="AA778" s="22"/>
      <c r="AB778" s="22"/>
      <c r="AC778" s="22"/>
      <c r="AD778" s="22"/>
      <c r="AE778" s="22"/>
      <c r="AF778" s="22"/>
      <c r="AG778" s="22"/>
      <c r="AH778" s="22"/>
      <c r="AI778" s="22"/>
      <c r="AJ778" s="22"/>
      <c r="AK778" s="22"/>
      <c r="AL778" s="22"/>
      <c r="AM778" s="22"/>
      <c r="AN778" s="22"/>
      <c r="AO778" s="22"/>
      <c r="AP778" s="22"/>
      <c r="AQ778" s="22"/>
      <c r="AR778" s="22"/>
      <c r="AS778" s="25"/>
    </row>
    <row r="779" spans="1:45" s="1" customFormat="1">
      <c r="A779" s="22">
        <f t="shared" si="12"/>
        <v>778</v>
      </c>
      <c r="B779" s="23">
        <v>45952</v>
      </c>
      <c r="C779" s="22" t="s">
        <v>3099</v>
      </c>
      <c r="D779" s="22" t="s">
        <v>3099</v>
      </c>
      <c r="E779" s="22"/>
      <c r="F779" s="22" t="s">
        <v>3280</v>
      </c>
      <c r="G779" s="22"/>
      <c r="H779" s="22"/>
      <c r="I779" s="22"/>
      <c r="J779" s="44" t="s">
        <v>3279</v>
      </c>
      <c r="K779" s="22"/>
      <c r="L779" s="22" t="s">
        <v>2718</v>
      </c>
      <c r="M779" s="22"/>
      <c r="N779" s="22" t="s">
        <v>2603</v>
      </c>
      <c r="O779" s="22"/>
      <c r="P779" s="22" t="s">
        <v>2428</v>
      </c>
      <c r="Q779" s="22" t="s">
        <v>63</v>
      </c>
      <c r="R779" s="22" t="s">
        <v>63</v>
      </c>
      <c r="S779" s="22" t="s">
        <v>2567</v>
      </c>
      <c r="T779" s="22"/>
      <c r="U779" s="24"/>
      <c r="V779" s="22"/>
      <c r="W779" s="22" t="s">
        <v>2408</v>
      </c>
      <c r="X779" s="22" t="s">
        <v>2408</v>
      </c>
      <c r="Y779" s="22" t="s">
        <v>135</v>
      </c>
      <c r="Z779" s="22" t="s">
        <v>2409</v>
      </c>
      <c r="AA779" s="22"/>
      <c r="AB779" s="22"/>
      <c r="AC779" s="22"/>
      <c r="AD779" s="22"/>
      <c r="AE779" s="22"/>
      <c r="AF779" s="22"/>
      <c r="AG779" s="22"/>
      <c r="AH779" s="22"/>
      <c r="AI779" s="22"/>
      <c r="AJ779" s="22"/>
      <c r="AK779" s="22"/>
      <c r="AL779" s="22"/>
      <c r="AM779" s="22"/>
      <c r="AN779" s="22"/>
      <c r="AO779" s="22"/>
      <c r="AP779" s="22"/>
      <c r="AQ779" s="22"/>
      <c r="AR779" s="22"/>
      <c r="AS779" s="25"/>
    </row>
    <row r="780" spans="1:45" s="1" customFormat="1">
      <c r="A780" s="22">
        <f t="shared" si="12"/>
        <v>779</v>
      </c>
      <c r="B780" s="23">
        <v>45955</v>
      </c>
      <c r="C780" s="22" t="s">
        <v>667</v>
      </c>
      <c r="D780" s="22" t="s">
        <v>3099</v>
      </c>
      <c r="E780" s="22"/>
      <c r="F780" s="22" t="s">
        <v>3281</v>
      </c>
      <c r="G780" s="22"/>
      <c r="H780" s="22"/>
      <c r="I780" s="22"/>
      <c r="J780" s="44" t="s">
        <v>3279</v>
      </c>
      <c r="K780" s="22"/>
      <c r="L780" s="22" t="s">
        <v>3282</v>
      </c>
      <c r="M780" s="22"/>
      <c r="N780" s="22" t="s">
        <v>2707</v>
      </c>
      <c r="O780" s="22"/>
      <c r="P780" s="22" t="s">
        <v>2471</v>
      </c>
      <c r="Q780" s="22" t="s">
        <v>3283</v>
      </c>
      <c r="R780" s="22" t="s">
        <v>63</v>
      </c>
      <c r="S780" s="22" t="s">
        <v>2567</v>
      </c>
      <c r="T780" s="22"/>
      <c r="U780" s="24"/>
      <c r="V780" s="22"/>
      <c r="W780" s="22" t="s">
        <v>2408</v>
      </c>
      <c r="X780" s="22" t="s">
        <v>2408</v>
      </c>
      <c r="Y780" s="22" t="s">
        <v>135</v>
      </c>
      <c r="Z780" s="22" t="s">
        <v>2409</v>
      </c>
      <c r="AA780" s="22"/>
      <c r="AB780" s="22"/>
      <c r="AC780" s="22"/>
      <c r="AD780" s="22"/>
      <c r="AE780" s="22"/>
      <c r="AF780" s="22"/>
      <c r="AG780" s="22"/>
      <c r="AH780" s="22"/>
      <c r="AI780" s="22"/>
      <c r="AJ780" s="22"/>
      <c r="AK780" s="22"/>
      <c r="AL780" s="22"/>
      <c r="AM780" s="22"/>
      <c r="AN780" s="22"/>
      <c r="AO780" s="22"/>
      <c r="AP780" s="22"/>
      <c r="AQ780" s="22"/>
      <c r="AR780" s="22"/>
      <c r="AS780" s="25"/>
    </row>
    <row r="781" spans="1:45" s="1" customFormat="1">
      <c r="A781" s="41">
        <f t="shared" si="12"/>
        <v>780</v>
      </c>
      <c r="B781" s="42">
        <v>45958</v>
      </c>
      <c r="C781" s="41" t="s">
        <v>3099</v>
      </c>
      <c r="D781" s="41" t="s">
        <v>3099</v>
      </c>
      <c r="E781" s="41"/>
      <c r="F781" s="41" t="s">
        <v>3284</v>
      </c>
      <c r="G781" s="41"/>
      <c r="H781" s="41"/>
      <c r="I781" s="41"/>
      <c r="J781" s="44" t="s">
        <v>3279</v>
      </c>
      <c r="K781" s="41"/>
      <c r="L781" s="41" t="s">
        <v>2911</v>
      </c>
      <c r="M781" s="41"/>
      <c r="N781" s="41" t="s">
        <v>2864</v>
      </c>
      <c r="O781" s="41"/>
      <c r="P781" s="41" t="s">
        <v>2441</v>
      </c>
      <c r="Q781" s="41" t="s">
        <v>63</v>
      </c>
      <c r="R781" s="41" t="s">
        <v>63</v>
      </c>
      <c r="S781" s="41" t="s">
        <v>2567</v>
      </c>
      <c r="T781" s="41"/>
      <c r="U781" s="49"/>
      <c r="V781" s="41"/>
      <c r="W781" s="41" t="s">
        <v>2408</v>
      </c>
      <c r="X781" s="41" t="s">
        <v>2408</v>
      </c>
      <c r="Y781" s="41" t="s">
        <v>135</v>
      </c>
      <c r="Z781" s="41" t="s">
        <v>2409</v>
      </c>
      <c r="AA781" s="41"/>
      <c r="AB781" s="41"/>
      <c r="AC781" s="41"/>
      <c r="AD781" s="41"/>
      <c r="AE781" s="41"/>
      <c r="AF781" s="41"/>
      <c r="AG781" s="41"/>
      <c r="AH781" s="41"/>
      <c r="AI781" s="41"/>
      <c r="AJ781" s="41"/>
      <c r="AK781" s="41"/>
      <c r="AL781" s="41"/>
      <c r="AM781" s="41"/>
      <c r="AN781" s="41"/>
      <c r="AO781" s="41"/>
      <c r="AP781" s="41"/>
      <c r="AQ781" s="41"/>
      <c r="AR781" s="41"/>
      <c r="AS781" s="43"/>
    </row>
    <row r="782" spans="1:45">
      <c r="A782" s="48">
        <f t="shared" si="12"/>
        <v>781</v>
      </c>
      <c r="B782" s="54">
        <v>45875</v>
      </c>
      <c r="C782" s="48" t="s">
        <v>209</v>
      </c>
      <c r="D782" s="48" t="s">
        <v>209</v>
      </c>
      <c r="F782" s="48" t="s">
        <v>3285</v>
      </c>
      <c r="L782" s="48" t="s">
        <v>2977</v>
      </c>
      <c r="N782" s="48" t="s">
        <v>3147</v>
      </c>
      <c r="P782" s="48" t="s">
        <v>2428</v>
      </c>
      <c r="Q782" s="48" t="s">
        <v>63</v>
      </c>
      <c r="R782" s="48" t="s">
        <v>3119</v>
      </c>
      <c r="S782" s="48" t="s">
        <v>2567</v>
      </c>
      <c r="U782" s="55"/>
      <c r="W782" s="48" t="s">
        <v>2679</v>
      </c>
      <c r="X782" s="48" t="s">
        <v>2679</v>
      </c>
      <c r="Y782" s="48" t="s">
        <v>135</v>
      </c>
      <c r="Z782" s="48" t="s">
        <v>2409</v>
      </c>
    </row>
    <row r="783" spans="1:45">
      <c r="A783" s="48">
        <f t="shared" si="12"/>
        <v>782</v>
      </c>
      <c r="B783" s="54">
        <v>45875</v>
      </c>
      <c r="C783" s="48" t="s">
        <v>3286</v>
      </c>
      <c r="D783" s="48" t="s">
        <v>3286</v>
      </c>
      <c r="F783" s="48" t="s">
        <v>3287</v>
      </c>
      <c r="U783" s="55"/>
      <c r="W783" s="48" t="s">
        <v>2679</v>
      </c>
      <c r="X783" s="48" t="s">
        <v>2679</v>
      </c>
      <c r="Y783" s="48" t="s">
        <v>135</v>
      </c>
      <c r="Z783" s="48" t="s">
        <v>2409</v>
      </c>
    </row>
    <row r="784" spans="1:45">
      <c r="A784" s="48">
        <f t="shared" si="12"/>
        <v>783</v>
      </c>
      <c r="B784" s="54">
        <v>45875</v>
      </c>
      <c r="C784" s="48" t="s">
        <v>3288</v>
      </c>
      <c r="D784" s="48" t="s">
        <v>3288</v>
      </c>
      <c r="F784" s="48" t="s">
        <v>3289</v>
      </c>
      <c r="U784" s="55"/>
      <c r="W784" s="48" t="s">
        <v>2679</v>
      </c>
      <c r="X784" s="48" t="s">
        <v>2679</v>
      </c>
      <c r="Y784" s="48" t="s">
        <v>135</v>
      </c>
      <c r="Z784" s="48" t="s">
        <v>2409</v>
      </c>
    </row>
    <row r="785" spans="1:26">
      <c r="A785" s="48">
        <f t="shared" si="12"/>
        <v>784</v>
      </c>
      <c r="B785" s="54">
        <v>45875</v>
      </c>
      <c r="C785" s="48" t="s">
        <v>209</v>
      </c>
      <c r="D785" s="48" t="s">
        <v>209</v>
      </c>
      <c r="F785" s="48" t="s">
        <v>3290</v>
      </c>
      <c r="U785" s="55"/>
      <c r="W785" s="48" t="s">
        <v>2679</v>
      </c>
      <c r="X785" s="48" t="s">
        <v>2679</v>
      </c>
      <c r="Y785" s="48" t="s">
        <v>135</v>
      </c>
      <c r="Z785" s="48" t="s">
        <v>2409</v>
      </c>
    </row>
    <row r="786" spans="1:26">
      <c r="A786" s="48">
        <f t="shared" si="12"/>
        <v>785</v>
      </c>
      <c r="B786" s="54">
        <v>45875</v>
      </c>
      <c r="C786" s="48" t="s">
        <v>293</v>
      </c>
      <c r="D786" s="48" t="s">
        <v>293</v>
      </c>
      <c r="F786" s="48" t="s">
        <v>3291</v>
      </c>
      <c r="U786" s="55"/>
      <c r="W786" s="48" t="s">
        <v>2679</v>
      </c>
      <c r="X786" s="48" t="s">
        <v>2679</v>
      </c>
      <c r="Y786" s="48" t="s">
        <v>135</v>
      </c>
      <c r="Z786" s="48" t="s">
        <v>2409</v>
      </c>
    </row>
    <row r="787" spans="1:26">
      <c r="A787" s="48">
        <f t="shared" si="12"/>
        <v>786</v>
      </c>
      <c r="B787" s="54">
        <v>45882</v>
      </c>
      <c r="C787" s="48" t="s">
        <v>293</v>
      </c>
      <c r="D787" s="48" t="s">
        <v>293</v>
      </c>
      <c r="F787" s="48" t="s">
        <v>3292</v>
      </c>
      <c r="U787" s="55"/>
      <c r="W787" s="48" t="s">
        <v>2679</v>
      </c>
      <c r="X787" s="48" t="s">
        <v>2679</v>
      </c>
      <c r="Y787" s="48" t="s">
        <v>135</v>
      </c>
      <c r="Z787" s="48" t="s">
        <v>2409</v>
      </c>
    </row>
    <row r="788" spans="1:26">
      <c r="A788" s="48">
        <f t="shared" si="12"/>
        <v>787</v>
      </c>
      <c r="B788" s="54">
        <v>45882</v>
      </c>
      <c r="C788" s="48" t="s">
        <v>3293</v>
      </c>
      <c r="D788" s="48" t="s">
        <v>3293</v>
      </c>
      <c r="F788" s="48" t="s">
        <v>3294</v>
      </c>
      <c r="U788" s="55"/>
      <c r="W788" s="48" t="s">
        <v>2679</v>
      </c>
      <c r="X788" s="48" t="s">
        <v>2679</v>
      </c>
      <c r="Y788" s="48" t="s">
        <v>135</v>
      </c>
      <c r="Z788" s="48" t="s">
        <v>2409</v>
      </c>
    </row>
    <row r="789" spans="1:26">
      <c r="A789" s="48">
        <f t="shared" si="12"/>
        <v>788</v>
      </c>
      <c r="B789" s="54">
        <v>45883</v>
      </c>
      <c r="C789" s="48" t="s">
        <v>3295</v>
      </c>
      <c r="D789" s="48" t="s">
        <v>3295</v>
      </c>
      <c r="F789" s="48" t="s">
        <v>3296</v>
      </c>
      <c r="U789" s="55"/>
      <c r="W789" s="48" t="s">
        <v>2679</v>
      </c>
      <c r="X789" s="48" t="s">
        <v>2679</v>
      </c>
      <c r="Y789" s="48" t="s">
        <v>135</v>
      </c>
      <c r="Z789" s="48" t="s">
        <v>2409</v>
      </c>
    </row>
    <row r="790" spans="1:26">
      <c r="A790" s="48">
        <f t="shared" si="12"/>
        <v>789</v>
      </c>
      <c r="B790" s="54">
        <v>45883</v>
      </c>
      <c r="C790" s="48" t="s">
        <v>3288</v>
      </c>
      <c r="D790" s="48" t="s">
        <v>3288</v>
      </c>
      <c r="F790" s="48" t="s">
        <v>3297</v>
      </c>
      <c r="U790" s="55"/>
      <c r="W790" s="48" t="s">
        <v>2679</v>
      </c>
      <c r="X790" s="48" t="s">
        <v>2679</v>
      </c>
      <c r="Y790" s="48" t="s">
        <v>135</v>
      </c>
      <c r="Z790" s="48" t="s">
        <v>2409</v>
      </c>
    </row>
    <row r="791" spans="1:26">
      <c r="A791" s="48">
        <f t="shared" si="12"/>
        <v>790</v>
      </c>
      <c r="B791" s="54">
        <v>45883</v>
      </c>
      <c r="C791" s="48" t="s">
        <v>2686</v>
      </c>
      <c r="D791" s="48" t="s">
        <v>2686</v>
      </c>
      <c r="F791" s="48" t="s">
        <v>3298</v>
      </c>
      <c r="U791" s="55"/>
      <c r="W791" s="48" t="s">
        <v>2679</v>
      </c>
      <c r="X791" s="48" t="s">
        <v>2679</v>
      </c>
      <c r="Y791" s="48" t="s">
        <v>135</v>
      </c>
      <c r="Z791" s="48" t="s">
        <v>2409</v>
      </c>
    </row>
    <row r="792" spans="1:26">
      <c r="A792" s="48">
        <f t="shared" si="12"/>
        <v>791</v>
      </c>
      <c r="B792" s="54">
        <v>45883</v>
      </c>
      <c r="C792" s="48" t="s">
        <v>3288</v>
      </c>
      <c r="D792" s="48" t="s">
        <v>3288</v>
      </c>
      <c r="F792" s="48" t="s">
        <v>3299</v>
      </c>
      <c r="U792" s="55"/>
      <c r="W792" s="48" t="s">
        <v>2679</v>
      </c>
      <c r="X792" s="48" t="s">
        <v>2679</v>
      </c>
      <c r="Y792" s="48" t="s">
        <v>135</v>
      </c>
      <c r="Z792" s="48" t="s">
        <v>2409</v>
      </c>
    </row>
    <row r="793" spans="1:26">
      <c r="A793" s="48">
        <f t="shared" si="12"/>
        <v>792</v>
      </c>
      <c r="B793" s="54">
        <v>45871</v>
      </c>
      <c r="C793" s="48" t="s">
        <v>3288</v>
      </c>
      <c r="D793" s="48" t="s">
        <v>3288</v>
      </c>
      <c r="F793" s="48" t="s">
        <v>3300</v>
      </c>
      <c r="U793" s="55"/>
      <c r="W793" s="48" t="s">
        <v>2679</v>
      </c>
      <c r="X793" s="48" t="s">
        <v>2679</v>
      </c>
      <c r="Y793" s="48" t="s">
        <v>135</v>
      </c>
      <c r="Z793" s="48" t="s">
        <v>2409</v>
      </c>
    </row>
    <row r="794" spans="1:26">
      <c r="A794" s="48">
        <f t="shared" si="12"/>
        <v>793</v>
      </c>
      <c r="B794" s="54">
        <v>45871</v>
      </c>
      <c r="C794" s="48" t="s">
        <v>209</v>
      </c>
      <c r="D794" s="48" t="s">
        <v>209</v>
      </c>
      <c r="F794" s="48" t="s">
        <v>3301</v>
      </c>
      <c r="U794" s="55"/>
      <c r="W794" s="48" t="s">
        <v>2679</v>
      </c>
      <c r="X794" s="48" t="s">
        <v>2679</v>
      </c>
      <c r="Y794" s="48" t="s">
        <v>135</v>
      </c>
      <c r="Z794" s="48" t="s">
        <v>2409</v>
      </c>
    </row>
    <row r="795" spans="1:26">
      <c r="A795" s="48">
        <f t="shared" si="12"/>
        <v>794</v>
      </c>
      <c r="B795" s="54">
        <v>45871</v>
      </c>
      <c r="C795" s="48" t="s">
        <v>293</v>
      </c>
      <c r="D795" s="48" t="s">
        <v>293</v>
      </c>
      <c r="F795" s="48" t="s">
        <v>3302</v>
      </c>
      <c r="U795" s="55"/>
      <c r="W795" s="48" t="s">
        <v>2679</v>
      </c>
      <c r="X795" s="48" t="s">
        <v>2679</v>
      </c>
      <c r="Y795" s="48" t="s">
        <v>135</v>
      </c>
      <c r="Z795" s="48" t="s">
        <v>2409</v>
      </c>
    </row>
    <row r="796" spans="1:26">
      <c r="A796" s="48">
        <f t="shared" si="12"/>
        <v>795</v>
      </c>
      <c r="B796" s="54">
        <v>45871</v>
      </c>
      <c r="C796" s="48" t="s">
        <v>3288</v>
      </c>
      <c r="D796" s="48" t="s">
        <v>3288</v>
      </c>
      <c r="F796" s="48" t="s">
        <v>3303</v>
      </c>
      <c r="U796" s="55"/>
      <c r="W796" s="48" t="s">
        <v>2679</v>
      </c>
      <c r="X796" s="48" t="s">
        <v>2679</v>
      </c>
      <c r="Y796" s="48" t="s">
        <v>135</v>
      </c>
      <c r="Z796" s="48" t="s">
        <v>2409</v>
      </c>
    </row>
    <row r="797" spans="1:26">
      <c r="A797" s="48">
        <f t="shared" si="12"/>
        <v>796</v>
      </c>
      <c r="B797" s="54">
        <v>45871</v>
      </c>
      <c r="C797" s="48" t="s">
        <v>3304</v>
      </c>
      <c r="D797" s="48" t="s">
        <v>3304</v>
      </c>
      <c r="F797" s="48" t="s">
        <v>3305</v>
      </c>
      <c r="U797" s="55"/>
      <c r="W797" s="48" t="s">
        <v>2679</v>
      </c>
      <c r="X797" s="48" t="s">
        <v>2679</v>
      </c>
      <c r="Y797" s="48" t="s">
        <v>135</v>
      </c>
      <c r="Z797" s="48" t="s">
        <v>2409</v>
      </c>
    </row>
    <row r="798" spans="1:26">
      <c r="A798" s="48">
        <f t="shared" si="12"/>
        <v>797</v>
      </c>
      <c r="B798" s="54">
        <v>45871</v>
      </c>
      <c r="C798" s="48" t="s">
        <v>3304</v>
      </c>
      <c r="D798" s="48" t="s">
        <v>3304</v>
      </c>
      <c r="F798" s="48" t="s">
        <v>3306</v>
      </c>
      <c r="U798" s="55"/>
      <c r="W798" s="48" t="s">
        <v>2679</v>
      </c>
      <c r="X798" s="48" t="s">
        <v>2679</v>
      </c>
      <c r="Y798" s="48" t="s">
        <v>135</v>
      </c>
      <c r="Z798" s="48" t="s">
        <v>2409</v>
      </c>
    </row>
    <row r="799" spans="1:26">
      <c r="A799" s="48">
        <f t="shared" si="12"/>
        <v>798</v>
      </c>
      <c r="B799" s="54">
        <v>45888</v>
      </c>
      <c r="C799" s="48" t="s">
        <v>209</v>
      </c>
      <c r="D799" s="48" t="s">
        <v>209</v>
      </c>
      <c r="F799" s="48" t="s">
        <v>3307</v>
      </c>
      <c r="U799" s="55"/>
      <c r="W799" s="48" t="s">
        <v>2679</v>
      </c>
      <c r="X799" s="48" t="s">
        <v>2679</v>
      </c>
      <c r="Y799" s="48" t="s">
        <v>135</v>
      </c>
      <c r="Z799" s="48" t="s">
        <v>2409</v>
      </c>
    </row>
    <row r="800" spans="1:26">
      <c r="A800" s="48">
        <f t="shared" si="12"/>
        <v>799</v>
      </c>
      <c r="B800" s="54">
        <v>45888</v>
      </c>
      <c r="C800" s="48" t="s">
        <v>209</v>
      </c>
      <c r="D800" s="48" t="s">
        <v>209</v>
      </c>
      <c r="F800" s="48" t="s">
        <v>3308</v>
      </c>
      <c r="U800" s="55"/>
      <c r="W800" s="48" t="s">
        <v>2679</v>
      </c>
      <c r="X800" s="48" t="s">
        <v>2679</v>
      </c>
      <c r="Y800" s="48" t="s">
        <v>135</v>
      </c>
      <c r="Z800" s="48" t="s">
        <v>2409</v>
      </c>
    </row>
    <row r="801" spans="1:26">
      <c r="A801" s="48">
        <f t="shared" si="12"/>
        <v>800</v>
      </c>
      <c r="B801" s="54">
        <v>45888</v>
      </c>
      <c r="C801" s="48" t="s">
        <v>3275</v>
      </c>
      <c r="D801" s="48" t="s">
        <v>3275</v>
      </c>
      <c r="F801" s="48" t="s">
        <v>3309</v>
      </c>
      <c r="U801" s="55"/>
      <c r="W801" s="48" t="s">
        <v>2679</v>
      </c>
      <c r="X801" s="48" t="s">
        <v>2679</v>
      </c>
      <c r="Y801" s="48" t="s">
        <v>135</v>
      </c>
      <c r="Z801" s="48" t="s">
        <v>2409</v>
      </c>
    </row>
    <row r="802" spans="1:26">
      <c r="A802" s="48">
        <f t="shared" si="12"/>
        <v>801</v>
      </c>
      <c r="B802" s="54">
        <v>45888</v>
      </c>
      <c r="C802" s="48" t="s">
        <v>3288</v>
      </c>
      <c r="D802" s="48" t="s">
        <v>3288</v>
      </c>
      <c r="F802" s="48" t="s">
        <v>3310</v>
      </c>
      <c r="U802" s="55"/>
      <c r="W802" s="48" t="s">
        <v>2679</v>
      </c>
      <c r="X802" s="48" t="s">
        <v>2679</v>
      </c>
    </row>
    <row r="803" spans="1:26">
      <c r="A803" s="48">
        <f t="shared" si="12"/>
        <v>802</v>
      </c>
      <c r="B803" s="54">
        <v>45888</v>
      </c>
      <c r="C803" s="48" t="s">
        <v>2686</v>
      </c>
      <c r="D803" s="48" t="s">
        <v>2686</v>
      </c>
      <c r="F803" s="48" t="s">
        <v>3311</v>
      </c>
      <c r="U803" s="55"/>
      <c r="W803" s="48" t="s">
        <v>2679</v>
      </c>
      <c r="X803" s="48" t="s">
        <v>2679</v>
      </c>
    </row>
    <row r="804" spans="1:26">
      <c r="A804" s="48">
        <f t="shared" si="12"/>
        <v>803</v>
      </c>
      <c r="B804" s="54">
        <v>45890</v>
      </c>
      <c r="C804" s="48" t="s">
        <v>3288</v>
      </c>
      <c r="D804" s="48" t="s">
        <v>3288</v>
      </c>
      <c r="F804" s="48" t="s">
        <v>3312</v>
      </c>
      <c r="U804" s="55"/>
      <c r="W804" s="48" t="s">
        <v>2679</v>
      </c>
      <c r="X804" s="48" t="s">
        <v>2679</v>
      </c>
    </row>
    <row r="805" spans="1:26">
      <c r="A805" s="48">
        <f t="shared" si="12"/>
        <v>804</v>
      </c>
      <c r="B805" s="54">
        <v>45890</v>
      </c>
      <c r="C805" s="48" t="s">
        <v>3013</v>
      </c>
      <c r="D805" s="48" t="s">
        <v>3013</v>
      </c>
      <c r="F805" s="48" t="s">
        <v>3313</v>
      </c>
      <c r="U805" s="55"/>
      <c r="W805" s="48" t="s">
        <v>2679</v>
      </c>
      <c r="X805" s="48" t="s">
        <v>2679</v>
      </c>
    </row>
    <row r="806" spans="1:26">
      <c r="A806" s="48">
        <f t="shared" si="12"/>
        <v>805</v>
      </c>
      <c r="B806" s="54">
        <v>45890</v>
      </c>
      <c r="C806" s="48" t="s">
        <v>209</v>
      </c>
      <c r="D806" s="48" t="s">
        <v>209</v>
      </c>
      <c r="F806" s="48" t="s">
        <v>3314</v>
      </c>
      <c r="U806" s="55"/>
      <c r="W806" s="48" t="s">
        <v>2679</v>
      </c>
      <c r="X806" s="48" t="s">
        <v>2679</v>
      </c>
    </row>
    <row r="807" spans="1:26">
      <c r="A807" s="48">
        <f t="shared" si="12"/>
        <v>806</v>
      </c>
      <c r="B807" s="54">
        <v>45890</v>
      </c>
      <c r="C807" s="48" t="s">
        <v>3013</v>
      </c>
      <c r="D807" s="48" t="s">
        <v>3013</v>
      </c>
      <c r="F807" s="48" t="s">
        <v>3315</v>
      </c>
      <c r="U807" s="55"/>
      <c r="W807" s="48" t="s">
        <v>2679</v>
      </c>
      <c r="X807" s="48" t="s">
        <v>2679</v>
      </c>
    </row>
    <row r="808" spans="1:26">
      <c r="A808" s="48">
        <f t="shared" si="12"/>
        <v>807</v>
      </c>
      <c r="B808" s="54">
        <v>45889</v>
      </c>
      <c r="C808" s="48" t="s">
        <v>293</v>
      </c>
      <c r="D808" s="48" t="s">
        <v>293</v>
      </c>
      <c r="F808" s="48" t="s">
        <v>3316</v>
      </c>
      <c r="U808" s="55"/>
      <c r="W808" s="48" t="s">
        <v>2679</v>
      </c>
      <c r="X808" s="48" t="s">
        <v>2679</v>
      </c>
    </row>
    <row r="809" spans="1:26">
      <c r="A809" s="48">
        <f t="shared" si="12"/>
        <v>808</v>
      </c>
      <c r="B809" s="54">
        <v>45889</v>
      </c>
      <c r="C809" s="48" t="s">
        <v>3288</v>
      </c>
      <c r="D809" s="48" t="s">
        <v>3288</v>
      </c>
      <c r="F809" s="48" t="s">
        <v>3317</v>
      </c>
      <c r="U809" s="55"/>
      <c r="W809" s="48" t="s">
        <v>2679</v>
      </c>
      <c r="X809" s="48" t="s">
        <v>2679</v>
      </c>
    </row>
    <row r="810" spans="1:26">
      <c r="A810" s="48">
        <f t="shared" si="12"/>
        <v>809</v>
      </c>
      <c r="B810" s="54">
        <v>45889</v>
      </c>
      <c r="C810" s="48" t="s">
        <v>209</v>
      </c>
      <c r="D810" s="48" t="s">
        <v>209</v>
      </c>
      <c r="F810" s="48" t="s">
        <v>3318</v>
      </c>
      <c r="U810" s="55"/>
      <c r="W810" s="48" t="s">
        <v>2679</v>
      </c>
      <c r="X810" s="48" t="s">
        <v>2679</v>
      </c>
    </row>
    <row r="811" spans="1:26">
      <c r="A811" s="48">
        <f t="shared" si="12"/>
        <v>810</v>
      </c>
      <c r="B811" s="54">
        <v>45889</v>
      </c>
      <c r="C811" s="48" t="s">
        <v>209</v>
      </c>
      <c r="D811" s="48" t="s">
        <v>209</v>
      </c>
      <c r="F811" s="48" t="s">
        <v>3319</v>
      </c>
      <c r="U811" s="55"/>
      <c r="W811" s="48" t="s">
        <v>2679</v>
      </c>
      <c r="X811" s="48" t="s">
        <v>2679</v>
      </c>
    </row>
    <row r="812" spans="1:26">
      <c r="A812" s="48">
        <f t="shared" si="12"/>
        <v>811</v>
      </c>
      <c r="B812" s="54">
        <v>45889</v>
      </c>
      <c r="C812" s="48" t="s">
        <v>3288</v>
      </c>
      <c r="D812" s="48" t="s">
        <v>3288</v>
      </c>
      <c r="F812" s="48" t="s">
        <v>3320</v>
      </c>
      <c r="U812" s="55"/>
      <c r="W812" s="48" t="s">
        <v>2679</v>
      </c>
      <c r="X812" s="48" t="s">
        <v>2679</v>
      </c>
    </row>
    <row r="813" spans="1:26">
      <c r="A813" s="48">
        <f t="shared" si="12"/>
        <v>812</v>
      </c>
      <c r="B813" s="54">
        <v>45873</v>
      </c>
      <c r="C813" s="48" t="s">
        <v>209</v>
      </c>
      <c r="D813" s="48" t="s">
        <v>209</v>
      </c>
      <c r="F813" s="48" t="s">
        <v>3321</v>
      </c>
      <c r="U813" s="55"/>
      <c r="W813" s="48" t="s">
        <v>2679</v>
      </c>
      <c r="X813" s="48" t="s">
        <v>2679</v>
      </c>
    </row>
    <row r="814" spans="1:26">
      <c r="A814" s="48">
        <f t="shared" si="12"/>
        <v>813</v>
      </c>
      <c r="B814" s="54">
        <v>45873</v>
      </c>
      <c r="C814" s="48" t="s">
        <v>209</v>
      </c>
      <c r="D814" s="48" t="s">
        <v>209</v>
      </c>
      <c r="F814" s="48" t="s">
        <v>3322</v>
      </c>
      <c r="U814" s="55"/>
      <c r="W814" s="48" t="s">
        <v>2679</v>
      </c>
      <c r="X814" s="48" t="s">
        <v>2679</v>
      </c>
    </row>
    <row r="815" spans="1:26">
      <c r="A815" s="48">
        <f t="shared" si="12"/>
        <v>814</v>
      </c>
      <c r="B815" s="54">
        <v>45873</v>
      </c>
      <c r="C815" s="48" t="s">
        <v>209</v>
      </c>
      <c r="D815" s="48" t="s">
        <v>209</v>
      </c>
      <c r="F815" s="48" t="s">
        <v>3323</v>
      </c>
      <c r="U815" s="55"/>
      <c r="W815" s="48" t="s">
        <v>2679</v>
      </c>
      <c r="X815" s="48" t="s">
        <v>2679</v>
      </c>
    </row>
    <row r="816" spans="1:26">
      <c r="A816" s="48">
        <f t="shared" si="12"/>
        <v>815</v>
      </c>
      <c r="B816" s="54">
        <v>45873</v>
      </c>
      <c r="C816" s="48" t="s">
        <v>3293</v>
      </c>
      <c r="D816" s="48" t="s">
        <v>3293</v>
      </c>
      <c r="F816" s="48" t="s">
        <v>3324</v>
      </c>
      <c r="U816" s="55"/>
      <c r="W816" s="48" t="s">
        <v>2679</v>
      </c>
      <c r="X816" s="48" t="s">
        <v>2679</v>
      </c>
    </row>
    <row r="817" spans="1:24">
      <c r="A817" s="48">
        <f t="shared" si="12"/>
        <v>816</v>
      </c>
      <c r="B817" s="54">
        <v>45873</v>
      </c>
      <c r="C817" s="48" t="s">
        <v>3288</v>
      </c>
      <c r="D817" s="48" t="s">
        <v>3288</v>
      </c>
      <c r="F817" s="48" t="s">
        <v>3325</v>
      </c>
      <c r="U817" s="55"/>
      <c r="W817" s="48" t="s">
        <v>2679</v>
      </c>
      <c r="X817" s="48" t="s">
        <v>2679</v>
      </c>
    </row>
    <row r="818" spans="1:24">
      <c r="A818" s="48">
        <f t="shared" si="12"/>
        <v>817</v>
      </c>
      <c r="B818" s="54">
        <v>45873</v>
      </c>
      <c r="C818" s="48" t="s">
        <v>3288</v>
      </c>
      <c r="D818" s="48" t="s">
        <v>3288</v>
      </c>
      <c r="F818" s="48" t="s">
        <v>3326</v>
      </c>
      <c r="U818" s="55"/>
      <c r="W818" s="48" t="s">
        <v>2679</v>
      </c>
      <c r="X818" s="48" t="s">
        <v>2679</v>
      </c>
    </row>
    <row r="819" spans="1:24">
      <c r="A819" s="48">
        <f t="shared" si="12"/>
        <v>818</v>
      </c>
      <c r="B819" s="54">
        <v>45880</v>
      </c>
      <c r="C819" s="48" t="s">
        <v>209</v>
      </c>
      <c r="D819" s="48" t="s">
        <v>209</v>
      </c>
      <c r="F819" s="48" t="s">
        <v>3327</v>
      </c>
      <c r="U819" s="55"/>
      <c r="W819" s="48" t="s">
        <v>2679</v>
      </c>
      <c r="X819" s="48" t="s">
        <v>2679</v>
      </c>
    </row>
    <row r="820" spans="1:24">
      <c r="A820" s="48">
        <f t="shared" si="12"/>
        <v>819</v>
      </c>
      <c r="B820" s="54">
        <v>45880</v>
      </c>
      <c r="C820" s="48" t="s">
        <v>209</v>
      </c>
      <c r="D820" s="48" t="s">
        <v>209</v>
      </c>
      <c r="F820" s="48" t="s">
        <v>3328</v>
      </c>
      <c r="U820" s="55"/>
      <c r="W820" s="48" t="s">
        <v>2679</v>
      </c>
      <c r="X820" s="48" t="s">
        <v>2679</v>
      </c>
    </row>
    <row r="821" spans="1:24">
      <c r="A821" s="48">
        <f t="shared" si="12"/>
        <v>820</v>
      </c>
      <c r="B821" s="54">
        <v>45880</v>
      </c>
      <c r="C821" s="48" t="s">
        <v>3013</v>
      </c>
      <c r="D821" s="48" t="s">
        <v>3013</v>
      </c>
      <c r="F821" s="48" t="s">
        <v>3329</v>
      </c>
      <c r="U821" s="55"/>
      <c r="W821" s="48" t="s">
        <v>2679</v>
      </c>
      <c r="X821" s="48" t="s">
        <v>2679</v>
      </c>
    </row>
    <row r="822" spans="1:24">
      <c r="A822" s="48">
        <f t="shared" si="12"/>
        <v>821</v>
      </c>
      <c r="B822" s="54">
        <v>45880</v>
      </c>
      <c r="C822" s="48" t="s">
        <v>3013</v>
      </c>
      <c r="D822" s="48" t="s">
        <v>3013</v>
      </c>
      <c r="F822" s="48" t="s">
        <v>3330</v>
      </c>
      <c r="U822" s="55"/>
      <c r="W822" s="48" t="s">
        <v>2679</v>
      </c>
      <c r="X822" s="48" t="s">
        <v>2679</v>
      </c>
    </row>
    <row r="823" spans="1:24">
      <c r="A823" s="48">
        <f t="shared" si="12"/>
        <v>822</v>
      </c>
      <c r="B823" s="54">
        <v>45880</v>
      </c>
      <c r="C823" s="48" t="s">
        <v>3295</v>
      </c>
      <c r="D823" s="48" t="s">
        <v>3295</v>
      </c>
      <c r="F823" s="48" t="s">
        <v>3331</v>
      </c>
      <c r="U823" s="55"/>
      <c r="W823" s="48" t="s">
        <v>2679</v>
      </c>
      <c r="X823" s="48" t="s">
        <v>2679</v>
      </c>
    </row>
    <row r="824" spans="1:24">
      <c r="A824" s="48">
        <f t="shared" si="12"/>
        <v>823</v>
      </c>
      <c r="B824" s="54">
        <v>45880</v>
      </c>
      <c r="C824" s="48" t="s">
        <v>209</v>
      </c>
      <c r="D824" s="48" t="s">
        <v>209</v>
      </c>
      <c r="F824" s="48" t="s">
        <v>3332</v>
      </c>
      <c r="U824" s="55"/>
      <c r="W824" s="48" t="s">
        <v>2679</v>
      </c>
      <c r="X824" s="48" t="s">
        <v>2679</v>
      </c>
    </row>
    <row r="825" spans="1:24">
      <c r="A825" s="48">
        <f t="shared" si="12"/>
        <v>824</v>
      </c>
      <c r="B825" s="54">
        <v>45880</v>
      </c>
      <c r="C825" s="48" t="s">
        <v>293</v>
      </c>
      <c r="D825" s="48" t="s">
        <v>293</v>
      </c>
      <c r="F825" s="48" t="s">
        <v>3333</v>
      </c>
      <c r="U825" s="55"/>
      <c r="W825" s="48" t="s">
        <v>2679</v>
      </c>
      <c r="X825" s="48" t="s">
        <v>2679</v>
      </c>
    </row>
    <row r="826" spans="1:24">
      <c r="A826" s="48">
        <f t="shared" si="12"/>
        <v>825</v>
      </c>
      <c r="B826" s="54">
        <v>45889</v>
      </c>
      <c r="C826" s="48" t="s">
        <v>209</v>
      </c>
      <c r="D826" s="48" t="s">
        <v>209</v>
      </c>
      <c r="F826" s="48" t="s">
        <v>3334</v>
      </c>
      <c r="U826" s="55"/>
      <c r="W826" s="48" t="s">
        <v>2679</v>
      </c>
      <c r="X826" s="48" t="s">
        <v>2679</v>
      </c>
    </row>
    <row r="827" spans="1:24">
      <c r="A827" s="48">
        <f t="shared" si="12"/>
        <v>826</v>
      </c>
      <c r="B827" s="54">
        <v>45889</v>
      </c>
      <c r="C827" s="48" t="s">
        <v>293</v>
      </c>
      <c r="D827" s="48" t="s">
        <v>293</v>
      </c>
      <c r="F827" s="48" t="s">
        <v>3335</v>
      </c>
      <c r="U827" s="55"/>
      <c r="W827" s="48" t="s">
        <v>2679</v>
      </c>
      <c r="X827" s="48" t="s">
        <v>2679</v>
      </c>
    </row>
    <row r="828" spans="1:24">
      <c r="A828" s="48">
        <f t="shared" si="12"/>
        <v>827</v>
      </c>
      <c r="B828" s="54">
        <v>45889</v>
      </c>
      <c r="C828" s="48" t="s">
        <v>3288</v>
      </c>
      <c r="D828" s="48" t="s">
        <v>3288</v>
      </c>
      <c r="F828" s="48" t="s">
        <v>3336</v>
      </c>
      <c r="U828" s="55"/>
      <c r="W828" s="48" t="s">
        <v>2679</v>
      </c>
      <c r="X828" s="48" t="s">
        <v>2679</v>
      </c>
    </row>
    <row r="829" spans="1:24">
      <c r="A829" s="48">
        <f t="shared" si="12"/>
        <v>828</v>
      </c>
      <c r="B829" s="54">
        <v>45889</v>
      </c>
      <c r="C829" s="48" t="s">
        <v>667</v>
      </c>
      <c r="D829" s="48" t="s">
        <v>667</v>
      </c>
      <c r="F829" s="48" t="s">
        <v>3337</v>
      </c>
      <c r="U829" s="55"/>
      <c r="W829" s="48" t="s">
        <v>2679</v>
      </c>
      <c r="X829" s="48" t="s">
        <v>2679</v>
      </c>
    </row>
    <row r="830" spans="1:24">
      <c r="A830" s="48">
        <f t="shared" si="12"/>
        <v>829</v>
      </c>
      <c r="B830" s="54">
        <v>45889</v>
      </c>
      <c r="C830" s="48" t="s">
        <v>667</v>
      </c>
      <c r="D830" s="48" t="s">
        <v>667</v>
      </c>
      <c r="F830" s="48" t="s">
        <v>3338</v>
      </c>
      <c r="U830" s="55"/>
      <c r="W830" s="48" t="s">
        <v>2679</v>
      </c>
      <c r="X830" s="48" t="s">
        <v>2679</v>
      </c>
    </row>
    <row r="831" spans="1:24">
      <c r="A831" s="48">
        <f t="shared" si="12"/>
        <v>830</v>
      </c>
      <c r="B831" s="54">
        <v>45874</v>
      </c>
      <c r="C831" s="48" t="s">
        <v>3339</v>
      </c>
      <c r="D831" s="48" t="s">
        <v>3339</v>
      </c>
      <c r="F831" s="48" t="s">
        <v>3264</v>
      </c>
      <c r="U831" s="55"/>
      <c r="W831" s="48" t="s">
        <v>2679</v>
      </c>
      <c r="X831" s="48" t="s">
        <v>2679</v>
      </c>
    </row>
    <row r="832" spans="1:24">
      <c r="A832" s="48">
        <f t="shared" si="12"/>
        <v>831</v>
      </c>
      <c r="B832" s="54">
        <v>45874</v>
      </c>
      <c r="C832" s="48" t="s">
        <v>238</v>
      </c>
      <c r="D832" s="48" t="s">
        <v>238</v>
      </c>
      <c r="F832" s="48" t="s">
        <v>3340</v>
      </c>
      <c r="U832" s="55"/>
      <c r="W832" s="48" t="s">
        <v>2679</v>
      </c>
      <c r="X832" s="48" t="s">
        <v>2679</v>
      </c>
    </row>
    <row r="833" spans="1:24">
      <c r="A833" s="48">
        <f t="shared" si="12"/>
        <v>832</v>
      </c>
      <c r="B833" s="54">
        <v>45874</v>
      </c>
      <c r="C833" s="48" t="s">
        <v>238</v>
      </c>
      <c r="D833" s="48" t="s">
        <v>238</v>
      </c>
      <c r="F833" s="48" t="s">
        <v>3284</v>
      </c>
      <c r="U833" s="55"/>
      <c r="W833" s="48" t="s">
        <v>2679</v>
      </c>
      <c r="X833" s="48" t="s">
        <v>2679</v>
      </c>
    </row>
    <row r="834" spans="1:24">
      <c r="A834" s="48">
        <f t="shared" si="12"/>
        <v>833</v>
      </c>
      <c r="B834" s="54">
        <v>45874</v>
      </c>
      <c r="C834" s="48" t="s">
        <v>3339</v>
      </c>
      <c r="D834" s="48" t="s">
        <v>3339</v>
      </c>
      <c r="F834" s="48" t="s">
        <v>3341</v>
      </c>
      <c r="U834" s="55"/>
      <c r="W834" s="48" t="s">
        <v>2679</v>
      </c>
      <c r="X834" s="48" t="s">
        <v>2679</v>
      </c>
    </row>
    <row r="835" spans="1:24">
      <c r="A835" s="48">
        <f t="shared" ref="A835:A898" si="13">A834+1</f>
        <v>834</v>
      </c>
      <c r="B835" s="54">
        <v>45874</v>
      </c>
      <c r="C835" s="48" t="s">
        <v>3339</v>
      </c>
      <c r="D835" s="48" t="s">
        <v>3339</v>
      </c>
      <c r="F835" s="48" t="s">
        <v>3342</v>
      </c>
      <c r="U835" s="55"/>
      <c r="W835" s="48" t="s">
        <v>2679</v>
      </c>
      <c r="X835" s="48" t="s">
        <v>2679</v>
      </c>
    </row>
    <row r="836" spans="1:24">
      <c r="A836" s="48">
        <f t="shared" si="13"/>
        <v>835</v>
      </c>
      <c r="B836" s="54">
        <v>45874</v>
      </c>
      <c r="C836" s="48" t="s">
        <v>3275</v>
      </c>
      <c r="D836" s="48" t="s">
        <v>3275</v>
      </c>
      <c r="F836" s="48" t="s">
        <v>3343</v>
      </c>
      <c r="U836" s="55"/>
      <c r="W836" s="48" t="s">
        <v>2679</v>
      </c>
      <c r="X836" s="48" t="s">
        <v>2679</v>
      </c>
    </row>
    <row r="837" spans="1:24">
      <c r="A837" s="48">
        <f t="shared" si="13"/>
        <v>836</v>
      </c>
      <c r="B837" s="54">
        <v>45882</v>
      </c>
      <c r="C837" s="48" t="s">
        <v>3339</v>
      </c>
      <c r="D837" s="48" t="s">
        <v>3339</v>
      </c>
      <c r="F837" s="48" t="s">
        <v>3344</v>
      </c>
      <c r="U837" s="55"/>
      <c r="W837" s="48" t="s">
        <v>2679</v>
      </c>
      <c r="X837" s="48" t="s">
        <v>2679</v>
      </c>
    </row>
    <row r="838" spans="1:24">
      <c r="A838" s="48">
        <f t="shared" si="13"/>
        <v>837</v>
      </c>
      <c r="B838" s="54">
        <v>45882</v>
      </c>
      <c r="C838" s="48" t="s">
        <v>667</v>
      </c>
      <c r="D838" s="48" t="s">
        <v>667</v>
      </c>
      <c r="F838" s="48" t="s">
        <v>3345</v>
      </c>
      <c r="U838" s="55"/>
      <c r="W838" s="48" t="s">
        <v>2679</v>
      </c>
      <c r="X838" s="48" t="s">
        <v>2679</v>
      </c>
    </row>
    <row r="839" spans="1:24">
      <c r="A839" s="48">
        <f t="shared" si="13"/>
        <v>838</v>
      </c>
      <c r="B839" s="54">
        <v>45882</v>
      </c>
      <c r="C839" s="48" t="s">
        <v>3256</v>
      </c>
      <c r="D839" s="48" t="s">
        <v>3256</v>
      </c>
      <c r="F839" s="48" t="s">
        <v>3346</v>
      </c>
      <c r="U839" s="55"/>
      <c r="W839" s="48" t="s">
        <v>2679</v>
      </c>
      <c r="X839" s="48" t="s">
        <v>2679</v>
      </c>
    </row>
    <row r="840" spans="1:24">
      <c r="A840" s="48">
        <f t="shared" si="13"/>
        <v>839</v>
      </c>
      <c r="B840" s="54">
        <v>45882</v>
      </c>
      <c r="C840" s="48" t="s">
        <v>3339</v>
      </c>
      <c r="D840" s="48" t="s">
        <v>3339</v>
      </c>
      <c r="F840" s="48" t="s">
        <v>3277</v>
      </c>
      <c r="U840" s="55"/>
      <c r="W840" s="48" t="s">
        <v>2679</v>
      </c>
      <c r="X840" s="48" t="s">
        <v>2679</v>
      </c>
    </row>
    <row r="841" spans="1:24">
      <c r="A841" s="48">
        <f t="shared" si="13"/>
        <v>840</v>
      </c>
      <c r="B841" s="54">
        <v>45882</v>
      </c>
      <c r="C841" s="48" t="s">
        <v>667</v>
      </c>
      <c r="D841" s="48" t="s">
        <v>667</v>
      </c>
      <c r="F841" s="48" t="s">
        <v>3278</v>
      </c>
      <c r="U841" s="55"/>
      <c r="W841" s="48" t="s">
        <v>2679</v>
      </c>
      <c r="X841" s="48" t="s">
        <v>2679</v>
      </c>
    </row>
    <row r="842" spans="1:24">
      <c r="A842" s="48">
        <f t="shared" si="13"/>
        <v>841</v>
      </c>
      <c r="B842" s="54">
        <v>45882</v>
      </c>
      <c r="C842" s="48" t="s">
        <v>667</v>
      </c>
      <c r="D842" s="48" t="s">
        <v>667</v>
      </c>
      <c r="F842" s="48" t="s">
        <v>3347</v>
      </c>
      <c r="U842" s="55"/>
      <c r="W842" s="48" t="s">
        <v>2679</v>
      </c>
      <c r="X842" s="48" t="s">
        <v>2679</v>
      </c>
    </row>
    <row r="843" spans="1:24">
      <c r="A843" s="48">
        <f t="shared" si="13"/>
        <v>842</v>
      </c>
      <c r="B843" s="54">
        <v>45882</v>
      </c>
      <c r="C843" s="48" t="s">
        <v>667</v>
      </c>
      <c r="D843" s="48" t="s">
        <v>667</v>
      </c>
      <c r="F843" s="48" t="s">
        <v>3348</v>
      </c>
      <c r="U843" s="55"/>
      <c r="W843" s="48" t="s">
        <v>2679</v>
      </c>
      <c r="X843" s="48" t="s">
        <v>2679</v>
      </c>
    </row>
    <row r="844" spans="1:24">
      <c r="A844" s="48">
        <f t="shared" si="13"/>
        <v>843</v>
      </c>
      <c r="B844" s="54">
        <v>45884</v>
      </c>
      <c r="C844" s="48" t="s">
        <v>3339</v>
      </c>
      <c r="D844" s="48" t="s">
        <v>3339</v>
      </c>
      <c r="F844" s="48" t="s">
        <v>3349</v>
      </c>
      <c r="U844" s="55"/>
      <c r="W844" s="48" t="s">
        <v>2679</v>
      </c>
      <c r="X844" s="48" t="s">
        <v>2679</v>
      </c>
    </row>
    <row r="845" spans="1:24">
      <c r="A845" s="48">
        <f t="shared" si="13"/>
        <v>844</v>
      </c>
      <c r="B845" s="54">
        <v>45884</v>
      </c>
      <c r="C845" s="48" t="s">
        <v>3350</v>
      </c>
      <c r="D845" s="48" t="s">
        <v>3350</v>
      </c>
      <c r="F845" s="48" t="s">
        <v>3351</v>
      </c>
      <c r="U845" s="55"/>
      <c r="W845" s="48" t="s">
        <v>2679</v>
      </c>
      <c r="X845" s="48" t="s">
        <v>2679</v>
      </c>
    </row>
    <row r="846" spans="1:24">
      <c r="A846" s="48">
        <f t="shared" si="13"/>
        <v>845</v>
      </c>
      <c r="B846" s="54">
        <v>45884</v>
      </c>
      <c r="C846" s="48" t="s">
        <v>3339</v>
      </c>
      <c r="D846" s="48" t="s">
        <v>3339</v>
      </c>
      <c r="F846" s="48" t="s">
        <v>3198</v>
      </c>
      <c r="U846" s="55"/>
      <c r="W846" s="48" t="s">
        <v>2679</v>
      </c>
      <c r="X846" s="48" t="s">
        <v>2679</v>
      </c>
    </row>
    <row r="847" spans="1:24">
      <c r="A847" s="48">
        <f t="shared" si="13"/>
        <v>846</v>
      </c>
      <c r="B847" s="54">
        <v>45884</v>
      </c>
      <c r="C847" s="48" t="s">
        <v>667</v>
      </c>
      <c r="D847" s="48" t="s">
        <v>667</v>
      </c>
      <c r="F847" s="48" t="s">
        <v>3200</v>
      </c>
      <c r="U847" s="55"/>
      <c r="W847" s="48" t="s">
        <v>2679</v>
      </c>
      <c r="X847" s="48" t="s">
        <v>2679</v>
      </c>
    </row>
    <row r="848" spans="1:24">
      <c r="A848" s="48">
        <f t="shared" si="13"/>
        <v>847</v>
      </c>
      <c r="B848" s="54">
        <v>45884</v>
      </c>
      <c r="C848" s="48" t="s">
        <v>3339</v>
      </c>
      <c r="D848" s="48" t="s">
        <v>3339</v>
      </c>
      <c r="F848" s="48" t="s">
        <v>3352</v>
      </c>
      <c r="U848" s="55"/>
      <c r="W848" s="48" t="s">
        <v>2679</v>
      </c>
      <c r="X848" s="48" t="s">
        <v>2679</v>
      </c>
    </row>
    <row r="849" spans="1:24">
      <c r="A849" s="48">
        <f t="shared" si="13"/>
        <v>848</v>
      </c>
      <c r="B849" s="54">
        <v>45884</v>
      </c>
      <c r="C849" s="48" t="s">
        <v>3350</v>
      </c>
      <c r="D849" s="48" t="s">
        <v>3350</v>
      </c>
      <c r="F849" s="48" t="s">
        <v>3353</v>
      </c>
      <c r="U849" s="55"/>
      <c r="W849" s="48" t="s">
        <v>2679</v>
      </c>
      <c r="X849" s="48" t="s">
        <v>2679</v>
      </c>
    </row>
    <row r="850" spans="1:24">
      <c r="A850" s="48">
        <f t="shared" si="13"/>
        <v>849</v>
      </c>
      <c r="B850" s="54">
        <v>45887</v>
      </c>
      <c r="C850" s="48" t="s">
        <v>3339</v>
      </c>
      <c r="D850" s="48" t="s">
        <v>3339</v>
      </c>
      <c r="F850" s="48" t="s">
        <v>3354</v>
      </c>
      <c r="U850" s="55"/>
      <c r="W850" s="48" t="s">
        <v>2679</v>
      </c>
      <c r="X850" s="48" t="s">
        <v>2679</v>
      </c>
    </row>
    <row r="851" spans="1:24">
      <c r="A851" s="48">
        <f t="shared" si="13"/>
        <v>850</v>
      </c>
      <c r="B851" s="54">
        <v>45887</v>
      </c>
      <c r="C851" s="48" t="s">
        <v>3339</v>
      </c>
      <c r="D851" s="48" t="s">
        <v>3339</v>
      </c>
      <c r="F851" s="48" t="s">
        <v>3202</v>
      </c>
      <c r="U851" s="55"/>
      <c r="W851" s="48" t="s">
        <v>2679</v>
      </c>
      <c r="X851" s="48" t="s">
        <v>2679</v>
      </c>
    </row>
    <row r="852" spans="1:24">
      <c r="A852" s="48">
        <f t="shared" si="13"/>
        <v>851</v>
      </c>
      <c r="B852" s="54">
        <v>45887</v>
      </c>
      <c r="C852" s="48" t="s">
        <v>667</v>
      </c>
      <c r="D852" s="48" t="s">
        <v>667</v>
      </c>
      <c r="F852" s="48" t="s">
        <v>3204</v>
      </c>
      <c r="U852" s="55"/>
      <c r="W852" s="48" t="s">
        <v>2679</v>
      </c>
      <c r="X852" s="48" t="s">
        <v>2679</v>
      </c>
    </row>
    <row r="853" spans="1:24">
      <c r="A853" s="48">
        <f t="shared" si="13"/>
        <v>852</v>
      </c>
      <c r="B853" s="54">
        <v>45887</v>
      </c>
      <c r="C853" s="48" t="s">
        <v>3339</v>
      </c>
      <c r="D853" s="48" t="s">
        <v>3339</v>
      </c>
      <c r="F853" s="48" t="s">
        <v>3205</v>
      </c>
      <c r="U853" s="55"/>
      <c r="W853" s="48" t="s">
        <v>2679</v>
      </c>
      <c r="X853" s="48" t="s">
        <v>2679</v>
      </c>
    </row>
    <row r="854" spans="1:24">
      <c r="A854" s="48">
        <f t="shared" si="13"/>
        <v>853</v>
      </c>
      <c r="B854" s="54">
        <v>45887</v>
      </c>
      <c r="C854" s="48" t="s">
        <v>3339</v>
      </c>
      <c r="D854" s="48" t="s">
        <v>3339</v>
      </c>
      <c r="F854" s="48" t="s">
        <v>3355</v>
      </c>
      <c r="U854" s="55"/>
      <c r="W854" s="48" t="s">
        <v>2679</v>
      </c>
      <c r="X854" s="48" t="s">
        <v>2679</v>
      </c>
    </row>
    <row r="855" spans="1:24">
      <c r="A855" s="48">
        <f t="shared" si="13"/>
        <v>854</v>
      </c>
      <c r="B855" s="54">
        <v>45888</v>
      </c>
      <c r="C855" s="48" t="s">
        <v>3339</v>
      </c>
      <c r="D855" s="48" t="s">
        <v>3339</v>
      </c>
      <c r="F855" s="48" t="s">
        <v>3356</v>
      </c>
      <c r="U855" s="55"/>
      <c r="W855" s="48" t="s">
        <v>2679</v>
      </c>
      <c r="X855" s="48" t="s">
        <v>2679</v>
      </c>
    </row>
    <row r="856" spans="1:24">
      <c r="A856" s="48">
        <f t="shared" si="13"/>
        <v>855</v>
      </c>
      <c r="B856" s="54">
        <v>45888</v>
      </c>
      <c r="C856" s="48" t="s">
        <v>3339</v>
      </c>
      <c r="D856" s="48" t="s">
        <v>3339</v>
      </c>
      <c r="F856" s="48" t="s">
        <v>3357</v>
      </c>
      <c r="U856" s="55"/>
      <c r="W856" s="48" t="s">
        <v>2679</v>
      </c>
      <c r="X856" s="48" t="s">
        <v>2679</v>
      </c>
    </row>
    <row r="857" spans="1:24">
      <c r="A857" s="48">
        <f t="shared" si="13"/>
        <v>856</v>
      </c>
      <c r="B857" s="54">
        <v>45888</v>
      </c>
      <c r="C857" s="48" t="s">
        <v>3339</v>
      </c>
      <c r="D857" s="48" t="s">
        <v>3339</v>
      </c>
      <c r="F857" s="48" t="s">
        <v>3358</v>
      </c>
      <c r="U857" s="55"/>
      <c r="W857" s="48" t="s">
        <v>2679</v>
      </c>
      <c r="X857" s="48" t="s">
        <v>2679</v>
      </c>
    </row>
    <row r="858" spans="1:24">
      <c r="A858" s="48">
        <f t="shared" si="13"/>
        <v>857</v>
      </c>
      <c r="B858" s="54">
        <v>45888</v>
      </c>
      <c r="C858" s="48" t="s">
        <v>667</v>
      </c>
      <c r="D858" s="48" t="s">
        <v>667</v>
      </c>
      <c r="F858" s="48" t="s">
        <v>3359</v>
      </c>
      <c r="U858" s="55"/>
      <c r="W858" s="48" t="s">
        <v>2679</v>
      </c>
      <c r="X858" s="48" t="s">
        <v>2679</v>
      </c>
    </row>
    <row r="859" spans="1:24">
      <c r="A859" s="48">
        <f t="shared" si="13"/>
        <v>858</v>
      </c>
      <c r="B859" s="54">
        <v>45887</v>
      </c>
      <c r="C859" s="48" t="s">
        <v>667</v>
      </c>
      <c r="D859" s="48" t="s">
        <v>667</v>
      </c>
      <c r="F859" s="48" t="s">
        <v>3360</v>
      </c>
      <c r="U859" s="55"/>
      <c r="W859" s="48" t="s">
        <v>2679</v>
      </c>
      <c r="X859" s="48" t="s">
        <v>2679</v>
      </c>
    </row>
    <row r="860" spans="1:24">
      <c r="A860" s="48">
        <f t="shared" si="13"/>
        <v>859</v>
      </c>
      <c r="B860" s="54">
        <v>45887</v>
      </c>
      <c r="C860" s="48" t="s">
        <v>3339</v>
      </c>
      <c r="D860" s="48" t="s">
        <v>3339</v>
      </c>
      <c r="F860" s="48" t="s">
        <v>3361</v>
      </c>
      <c r="U860" s="55"/>
      <c r="W860" s="48" t="s">
        <v>2679</v>
      </c>
      <c r="X860" s="48" t="s">
        <v>2679</v>
      </c>
    </row>
    <row r="861" spans="1:24">
      <c r="A861" s="48">
        <f t="shared" si="13"/>
        <v>860</v>
      </c>
      <c r="B861" s="54">
        <v>45891</v>
      </c>
      <c r="C861" s="48" t="s">
        <v>3339</v>
      </c>
      <c r="D861" s="48" t="s">
        <v>3339</v>
      </c>
      <c r="F861" s="48" t="s">
        <v>3215</v>
      </c>
      <c r="U861" s="55"/>
      <c r="W861" s="48" t="s">
        <v>2679</v>
      </c>
      <c r="X861" s="48" t="s">
        <v>2679</v>
      </c>
    </row>
    <row r="862" spans="1:24">
      <c r="A862" s="48">
        <f t="shared" si="13"/>
        <v>861</v>
      </c>
      <c r="B862" s="54">
        <v>45891</v>
      </c>
      <c r="C862" s="48" t="s">
        <v>3339</v>
      </c>
      <c r="D862" s="48" t="s">
        <v>3339</v>
      </c>
      <c r="F862" s="48" t="s">
        <v>3216</v>
      </c>
      <c r="U862" s="55"/>
      <c r="W862" s="48" t="s">
        <v>2679</v>
      </c>
      <c r="X862" s="48" t="s">
        <v>2679</v>
      </c>
    </row>
    <row r="863" spans="1:24">
      <c r="A863" s="48">
        <f t="shared" si="13"/>
        <v>862</v>
      </c>
      <c r="B863" s="54">
        <v>45891</v>
      </c>
      <c r="C863" s="48" t="s">
        <v>667</v>
      </c>
      <c r="D863" s="48" t="s">
        <v>667</v>
      </c>
      <c r="F863" s="48" t="s">
        <v>3217</v>
      </c>
      <c r="U863" s="55"/>
      <c r="W863" s="48" t="s">
        <v>2679</v>
      </c>
      <c r="X863" s="48" t="s">
        <v>2679</v>
      </c>
    </row>
    <row r="864" spans="1:24">
      <c r="A864" s="48">
        <f t="shared" si="13"/>
        <v>863</v>
      </c>
      <c r="B864" s="54">
        <v>45891</v>
      </c>
      <c r="C864" s="48" t="s">
        <v>3339</v>
      </c>
      <c r="D864" s="48" t="s">
        <v>3339</v>
      </c>
      <c r="F864" s="48" t="s">
        <v>3362</v>
      </c>
      <c r="U864" s="55"/>
      <c r="W864" s="48" t="s">
        <v>2679</v>
      </c>
      <c r="X864" s="48" t="s">
        <v>2679</v>
      </c>
    </row>
    <row r="865" spans="1:24">
      <c r="A865" s="48">
        <f t="shared" si="13"/>
        <v>864</v>
      </c>
      <c r="B865" s="54">
        <v>45891</v>
      </c>
      <c r="C865" s="48" t="s">
        <v>3339</v>
      </c>
      <c r="D865" s="48" t="s">
        <v>3339</v>
      </c>
      <c r="F865" s="48" t="s">
        <v>3363</v>
      </c>
      <c r="U865" s="55"/>
      <c r="W865" s="48" t="s">
        <v>2679</v>
      </c>
      <c r="X865" s="48" t="s">
        <v>2679</v>
      </c>
    </row>
    <row r="866" spans="1:24">
      <c r="A866" s="48">
        <f t="shared" si="13"/>
        <v>865</v>
      </c>
      <c r="B866" s="54">
        <v>45891</v>
      </c>
      <c r="C866" s="48" t="s">
        <v>3339</v>
      </c>
      <c r="D866" s="48" t="s">
        <v>3339</v>
      </c>
      <c r="F866" s="48" t="s">
        <v>3219</v>
      </c>
      <c r="U866" s="55"/>
      <c r="W866" s="48" t="s">
        <v>2679</v>
      </c>
      <c r="X866" s="48" t="s">
        <v>2679</v>
      </c>
    </row>
    <row r="867" spans="1:24">
      <c r="A867" s="48">
        <f t="shared" si="13"/>
        <v>866</v>
      </c>
      <c r="B867" s="54">
        <v>45891</v>
      </c>
      <c r="C867" s="48" t="s">
        <v>3350</v>
      </c>
      <c r="D867" s="48" t="s">
        <v>3350</v>
      </c>
      <c r="F867" s="48" t="s">
        <v>3221</v>
      </c>
      <c r="U867" s="55"/>
      <c r="W867" s="48" t="s">
        <v>2679</v>
      </c>
      <c r="X867" s="48" t="s">
        <v>2679</v>
      </c>
    </row>
    <row r="868" spans="1:24">
      <c r="A868" s="48">
        <f t="shared" si="13"/>
        <v>867</v>
      </c>
      <c r="B868" s="54">
        <v>45894</v>
      </c>
      <c r="C868" s="48" t="s">
        <v>3339</v>
      </c>
      <c r="D868" s="48" t="s">
        <v>3339</v>
      </c>
      <c r="F868" s="48" t="s">
        <v>3223</v>
      </c>
      <c r="U868" s="55"/>
      <c r="W868" s="48" t="s">
        <v>2679</v>
      </c>
      <c r="X868" s="48" t="s">
        <v>2679</v>
      </c>
    </row>
    <row r="869" spans="1:24">
      <c r="A869" s="48">
        <f t="shared" si="13"/>
        <v>868</v>
      </c>
      <c r="B869" s="54">
        <v>45894</v>
      </c>
      <c r="C869" s="48" t="s">
        <v>667</v>
      </c>
      <c r="D869" s="48" t="s">
        <v>667</v>
      </c>
      <c r="F869" s="48" t="s">
        <v>3364</v>
      </c>
      <c r="U869" s="55"/>
      <c r="W869" s="48" t="s">
        <v>2679</v>
      </c>
      <c r="X869" s="48" t="s">
        <v>2679</v>
      </c>
    </row>
    <row r="870" spans="1:24">
      <c r="A870" s="48">
        <f t="shared" si="13"/>
        <v>869</v>
      </c>
      <c r="B870" s="54">
        <v>45894</v>
      </c>
      <c r="C870" s="48" t="s">
        <v>3365</v>
      </c>
      <c r="D870" s="48" t="s">
        <v>3365</v>
      </c>
      <c r="F870" s="48" t="s">
        <v>3366</v>
      </c>
      <c r="U870" s="55"/>
      <c r="W870" s="48" t="s">
        <v>2679</v>
      </c>
      <c r="X870" s="48" t="s">
        <v>2679</v>
      </c>
    </row>
    <row r="871" spans="1:24">
      <c r="A871" s="48">
        <f t="shared" si="13"/>
        <v>870</v>
      </c>
      <c r="B871" s="54">
        <v>45894</v>
      </c>
      <c r="C871" s="48" t="s">
        <v>3365</v>
      </c>
      <c r="D871" s="48" t="s">
        <v>3365</v>
      </c>
      <c r="F871" s="48" t="s">
        <v>3367</v>
      </c>
      <c r="U871" s="55"/>
      <c r="W871" s="48" t="s">
        <v>2679</v>
      </c>
      <c r="X871" s="48" t="s">
        <v>2679</v>
      </c>
    </row>
    <row r="872" spans="1:24">
      <c r="A872" s="48">
        <f t="shared" si="13"/>
        <v>871</v>
      </c>
      <c r="B872" s="54">
        <v>45751</v>
      </c>
      <c r="C872" s="48" t="s">
        <v>667</v>
      </c>
      <c r="D872" s="48" t="s">
        <v>667</v>
      </c>
      <c r="F872" s="48" t="s">
        <v>3368</v>
      </c>
      <c r="G872" s="48">
        <v>8000000000</v>
      </c>
      <c r="H872" s="48" t="s">
        <v>3369</v>
      </c>
      <c r="L872" s="48">
        <v>4</v>
      </c>
      <c r="M872" s="48" t="s">
        <v>3370</v>
      </c>
      <c r="N872" s="48">
        <v>12</v>
      </c>
      <c r="P872" s="48">
        <v>18</v>
      </c>
      <c r="Q872" s="48" t="s">
        <v>710</v>
      </c>
      <c r="R872" s="48" t="s">
        <v>63</v>
      </c>
      <c r="S872" s="48" t="s">
        <v>230</v>
      </c>
      <c r="U872" s="55"/>
      <c r="W872" s="48" t="s">
        <v>2679</v>
      </c>
      <c r="X872" s="48" t="s">
        <v>2679</v>
      </c>
    </row>
    <row r="873" spans="1:24">
      <c r="A873" s="48">
        <f t="shared" si="13"/>
        <v>872</v>
      </c>
      <c r="B873" s="54">
        <v>45751</v>
      </c>
      <c r="C873" s="48" t="s">
        <v>3339</v>
      </c>
      <c r="D873" s="48" t="s">
        <v>3339</v>
      </c>
      <c r="F873" s="48" t="s">
        <v>3371</v>
      </c>
      <c r="G873" s="48">
        <v>6270000000</v>
      </c>
      <c r="H873" s="48" t="s">
        <v>3372</v>
      </c>
      <c r="L873" s="48">
        <v>7</v>
      </c>
      <c r="M873" s="48" t="s">
        <v>2042</v>
      </c>
      <c r="N873" s="48">
        <v>12</v>
      </c>
      <c r="P873" s="48">
        <v>16</v>
      </c>
      <c r="Q873" s="48" t="s">
        <v>484</v>
      </c>
      <c r="R873" s="48" t="s">
        <v>63</v>
      </c>
      <c r="S873" s="48" t="s">
        <v>230</v>
      </c>
      <c r="U873" s="55"/>
      <c r="W873" s="48" t="s">
        <v>2679</v>
      </c>
      <c r="X873" s="48" t="s">
        <v>2679</v>
      </c>
    </row>
    <row r="874" spans="1:24">
      <c r="A874" s="48">
        <f t="shared" si="13"/>
        <v>873</v>
      </c>
      <c r="B874" s="54">
        <v>45751</v>
      </c>
      <c r="C874" s="48" t="s">
        <v>3339</v>
      </c>
      <c r="D874" s="48" t="s">
        <v>3339</v>
      </c>
      <c r="F874" s="48" t="s">
        <v>3373</v>
      </c>
      <c r="G874" s="48">
        <v>7080000000</v>
      </c>
      <c r="H874" s="48" t="s">
        <v>3374</v>
      </c>
      <c r="L874" s="48">
        <v>5.5</v>
      </c>
      <c r="M874" s="48" t="s">
        <v>3375</v>
      </c>
      <c r="N874" s="48">
        <v>14</v>
      </c>
      <c r="P874" s="48">
        <v>20</v>
      </c>
      <c r="Q874" s="48" t="s">
        <v>490</v>
      </c>
      <c r="R874" s="48" t="s">
        <v>63</v>
      </c>
      <c r="S874" s="48" t="s">
        <v>3376</v>
      </c>
      <c r="U874" s="55"/>
      <c r="W874" s="48" t="s">
        <v>2679</v>
      </c>
      <c r="X874" s="48" t="s">
        <v>2679</v>
      </c>
    </row>
    <row r="875" spans="1:24">
      <c r="A875" s="48">
        <f t="shared" si="13"/>
        <v>874</v>
      </c>
      <c r="B875" s="54">
        <v>45751</v>
      </c>
      <c r="C875" s="48" t="s">
        <v>3339</v>
      </c>
      <c r="D875" s="48" t="s">
        <v>3339</v>
      </c>
      <c r="F875" s="48" t="s">
        <v>3377</v>
      </c>
      <c r="G875" s="48">
        <v>8080000000</v>
      </c>
      <c r="H875" s="48" t="s">
        <v>3378</v>
      </c>
      <c r="L875" s="48">
        <v>7</v>
      </c>
      <c r="M875" s="48" t="s">
        <v>3379</v>
      </c>
      <c r="N875" s="48">
        <v>15</v>
      </c>
      <c r="P875" s="48">
        <v>0.3</v>
      </c>
      <c r="Q875" s="48" t="s">
        <v>3380</v>
      </c>
      <c r="R875" s="48" t="s">
        <v>63</v>
      </c>
      <c r="S875" s="48" t="s">
        <v>3381</v>
      </c>
      <c r="U875" s="55"/>
      <c r="W875" s="48" t="s">
        <v>2679</v>
      </c>
      <c r="X875" s="48" t="s">
        <v>2679</v>
      </c>
    </row>
    <row r="876" spans="1:24">
      <c r="A876" s="48">
        <f t="shared" si="13"/>
        <v>875</v>
      </c>
      <c r="B876" s="54">
        <v>45754</v>
      </c>
      <c r="C876" s="48" t="s">
        <v>3350</v>
      </c>
      <c r="D876" s="48" t="s">
        <v>3350</v>
      </c>
      <c r="F876" s="48" t="s">
        <v>3382</v>
      </c>
      <c r="G876" s="48">
        <v>8230000000</v>
      </c>
      <c r="H876" s="48" t="s">
        <v>3383</v>
      </c>
      <c r="L876" s="48" t="s">
        <v>3009</v>
      </c>
      <c r="M876" s="48" t="s">
        <v>3384</v>
      </c>
      <c r="N876" s="48" t="s">
        <v>2498</v>
      </c>
      <c r="P876" s="48" t="s">
        <v>2971</v>
      </c>
      <c r="Q876" s="48" t="s">
        <v>2696</v>
      </c>
      <c r="R876" s="48" t="s">
        <v>63</v>
      </c>
      <c r="S876" s="48" t="s">
        <v>2702</v>
      </c>
      <c r="U876" s="55"/>
      <c r="W876" s="48" t="s">
        <v>2679</v>
      </c>
      <c r="X876" s="48" t="s">
        <v>2679</v>
      </c>
    </row>
    <row r="877" spans="1:24">
      <c r="A877" s="48">
        <f t="shared" si="13"/>
        <v>876</v>
      </c>
      <c r="B877" s="54">
        <v>45754</v>
      </c>
      <c r="C877" s="48" t="s">
        <v>667</v>
      </c>
      <c r="D877" s="48" t="s">
        <v>667</v>
      </c>
      <c r="F877" s="48" t="s">
        <v>3385</v>
      </c>
      <c r="G877" s="48">
        <v>9020000000</v>
      </c>
      <c r="H877" s="48" t="s">
        <v>3386</v>
      </c>
      <c r="L877" s="48" t="s">
        <v>2977</v>
      </c>
      <c r="M877" s="48" t="s">
        <v>3387</v>
      </c>
      <c r="N877" s="48" t="s">
        <v>3388</v>
      </c>
      <c r="P877" s="48" t="s">
        <v>3004</v>
      </c>
      <c r="Q877" s="48" t="s">
        <v>63</v>
      </c>
      <c r="R877" s="48" t="s">
        <v>63</v>
      </c>
      <c r="S877" s="48" t="s">
        <v>3389</v>
      </c>
      <c r="U877" s="55"/>
      <c r="W877" s="48" t="s">
        <v>2679</v>
      </c>
      <c r="X877" s="48" t="s">
        <v>2679</v>
      </c>
    </row>
    <row r="878" spans="1:24">
      <c r="A878" s="48">
        <f t="shared" si="13"/>
        <v>877</v>
      </c>
      <c r="B878" s="54">
        <v>45754</v>
      </c>
      <c r="C878" s="48" t="s">
        <v>3339</v>
      </c>
      <c r="D878" s="48" t="s">
        <v>3339</v>
      </c>
      <c r="F878" s="48" t="s">
        <v>3390</v>
      </c>
      <c r="G878" s="48" t="s">
        <v>3391</v>
      </c>
      <c r="H878" s="48" t="s">
        <v>3392</v>
      </c>
      <c r="L878" s="48" t="s">
        <v>3009</v>
      </c>
      <c r="M878" s="48" t="s">
        <v>3393</v>
      </c>
      <c r="N878" s="48" t="s">
        <v>3394</v>
      </c>
      <c r="P878" s="48" t="s">
        <v>2586</v>
      </c>
      <c r="Q878" s="48" t="s">
        <v>890</v>
      </c>
      <c r="R878" s="48" t="s">
        <v>63</v>
      </c>
      <c r="S878" s="48" t="s">
        <v>3109</v>
      </c>
      <c r="U878" s="55"/>
      <c r="W878" s="48" t="s">
        <v>2679</v>
      </c>
      <c r="X878" s="48" t="s">
        <v>2679</v>
      </c>
    </row>
    <row r="879" spans="1:24">
      <c r="A879" s="48">
        <f t="shared" si="13"/>
        <v>878</v>
      </c>
      <c r="B879" s="54">
        <v>45754</v>
      </c>
      <c r="C879" s="48" t="s">
        <v>3339</v>
      </c>
      <c r="D879" s="48" t="s">
        <v>3339</v>
      </c>
      <c r="F879" s="48" t="s">
        <v>3395</v>
      </c>
      <c r="G879" s="48" t="s">
        <v>3396</v>
      </c>
      <c r="H879" s="48" t="s">
        <v>3397</v>
      </c>
      <c r="L879" s="48" t="s">
        <v>3029</v>
      </c>
      <c r="M879" s="48" t="s">
        <v>3398</v>
      </c>
      <c r="N879" s="48" t="s">
        <v>2406</v>
      </c>
      <c r="P879" s="48" t="s">
        <v>2971</v>
      </c>
      <c r="Q879" s="48" t="s">
        <v>1442</v>
      </c>
      <c r="R879" s="48" t="s">
        <v>63</v>
      </c>
      <c r="S879" s="48" t="s">
        <v>2721</v>
      </c>
      <c r="U879" s="55"/>
      <c r="W879" s="48" t="s">
        <v>2679</v>
      </c>
      <c r="X879" s="48" t="s">
        <v>2679</v>
      </c>
    </row>
    <row r="880" spans="1:24">
      <c r="A880" s="48">
        <f t="shared" si="13"/>
        <v>879</v>
      </c>
      <c r="B880" s="54">
        <v>45751</v>
      </c>
      <c r="C880" s="48" t="s">
        <v>3339</v>
      </c>
      <c r="D880" s="48" t="s">
        <v>3339</v>
      </c>
      <c r="F880" s="48" t="s">
        <v>2620</v>
      </c>
      <c r="G880" s="48">
        <v>7700000000</v>
      </c>
      <c r="H880" s="48" t="s">
        <v>2621</v>
      </c>
      <c r="J880" s="48" t="s">
        <v>3399</v>
      </c>
      <c r="U880" s="55"/>
      <c r="W880" s="48" t="s">
        <v>2679</v>
      </c>
      <c r="X880" s="48" t="s">
        <v>2679</v>
      </c>
    </row>
    <row r="881" spans="1:24">
      <c r="A881" s="48">
        <f t="shared" si="13"/>
        <v>880</v>
      </c>
      <c r="B881" s="54">
        <v>45751</v>
      </c>
      <c r="C881" s="48" t="s">
        <v>3339</v>
      </c>
      <c r="D881" s="48" t="s">
        <v>3339</v>
      </c>
      <c r="F881" s="48" t="s">
        <v>2624</v>
      </c>
      <c r="G881" s="48">
        <v>8120000000</v>
      </c>
      <c r="H881" s="48" t="s">
        <v>2625</v>
      </c>
      <c r="J881" s="48" t="s">
        <v>3399</v>
      </c>
      <c r="U881" s="55"/>
      <c r="W881" s="48" t="s">
        <v>2679</v>
      </c>
      <c r="X881" s="48" t="s">
        <v>2679</v>
      </c>
    </row>
    <row r="882" spans="1:24">
      <c r="A882" s="48">
        <f t="shared" si="13"/>
        <v>881</v>
      </c>
      <c r="B882" s="54">
        <v>45751</v>
      </c>
      <c r="C882" s="48" t="s">
        <v>3339</v>
      </c>
      <c r="D882" s="48" t="s">
        <v>3339</v>
      </c>
      <c r="F882" s="48" t="s">
        <v>2627</v>
      </c>
      <c r="G882" s="48">
        <v>8100000000</v>
      </c>
      <c r="H882" s="48" t="s">
        <v>2628</v>
      </c>
      <c r="J882" s="48" t="s">
        <v>3399</v>
      </c>
      <c r="U882" s="55"/>
      <c r="W882" s="48" t="s">
        <v>2679</v>
      </c>
      <c r="X882" s="48" t="s">
        <v>2679</v>
      </c>
    </row>
    <row r="883" spans="1:24">
      <c r="A883" s="48">
        <f t="shared" si="13"/>
        <v>882</v>
      </c>
      <c r="B883" s="54">
        <v>45751</v>
      </c>
      <c r="C883" s="48" t="s">
        <v>3339</v>
      </c>
      <c r="D883" s="48" t="s">
        <v>3339</v>
      </c>
      <c r="F883" s="48" t="s">
        <v>2631</v>
      </c>
      <c r="G883" s="48">
        <v>7060000000</v>
      </c>
      <c r="H883" s="48" t="s">
        <v>2632</v>
      </c>
      <c r="J883" s="48" t="s">
        <v>3399</v>
      </c>
      <c r="U883" s="55"/>
      <c r="W883" s="48" t="s">
        <v>2679</v>
      </c>
      <c r="X883" s="48" t="s">
        <v>2679</v>
      </c>
    </row>
    <row r="884" spans="1:24">
      <c r="A884" s="48">
        <f t="shared" si="13"/>
        <v>883</v>
      </c>
      <c r="B884" s="54">
        <v>45751</v>
      </c>
      <c r="C884" s="48" t="s">
        <v>3339</v>
      </c>
      <c r="D884" s="48" t="s">
        <v>3339</v>
      </c>
      <c r="F884" s="48" t="s">
        <v>2634</v>
      </c>
      <c r="G884" s="48">
        <v>8980000000</v>
      </c>
      <c r="H884" s="48" t="s">
        <v>605</v>
      </c>
      <c r="J884" s="48" t="s">
        <v>3399</v>
      </c>
      <c r="U884" s="55"/>
      <c r="W884" s="48" t="s">
        <v>2679</v>
      </c>
      <c r="X884" s="48" t="s">
        <v>2679</v>
      </c>
    </row>
    <row r="885" spans="1:24">
      <c r="A885" s="48">
        <f t="shared" si="13"/>
        <v>884</v>
      </c>
      <c r="B885" s="54">
        <v>45751</v>
      </c>
      <c r="C885" s="48" t="s">
        <v>209</v>
      </c>
      <c r="D885" s="48" t="s">
        <v>209</v>
      </c>
      <c r="F885" s="48" t="s">
        <v>2620</v>
      </c>
      <c r="G885" s="48">
        <v>7697811379</v>
      </c>
      <c r="H885" s="48" t="s">
        <v>2621</v>
      </c>
      <c r="J885" s="48" t="s">
        <v>3399</v>
      </c>
      <c r="L885" s="48">
        <v>3.8</v>
      </c>
      <c r="M885" s="48" t="s">
        <v>2622</v>
      </c>
      <c r="N885" s="48">
        <v>4</v>
      </c>
      <c r="P885" s="48">
        <v>4</v>
      </c>
      <c r="Q885" s="48" t="s">
        <v>796</v>
      </c>
      <c r="R885" s="48" t="s">
        <v>63</v>
      </c>
      <c r="S885" s="48" t="s">
        <v>2623</v>
      </c>
      <c r="U885" s="55"/>
      <c r="W885" s="48" t="s">
        <v>2679</v>
      </c>
      <c r="X885" s="48" t="s">
        <v>2679</v>
      </c>
    </row>
    <row r="886" spans="1:24">
      <c r="A886" s="48">
        <f t="shared" si="13"/>
        <v>885</v>
      </c>
      <c r="B886" s="54">
        <v>45751</v>
      </c>
      <c r="C886" s="48" t="s">
        <v>3275</v>
      </c>
      <c r="D886" s="48" t="s">
        <v>3275</v>
      </c>
      <c r="F886" s="48" t="s">
        <v>2624</v>
      </c>
      <c r="G886" s="48">
        <v>8118858003</v>
      </c>
      <c r="H886" s="48" t="s">
        <v>2625</v>
      </c>
      <c r="J886" s="48" t="s">
        <v>3399</v>
      </c>
      <c r="L886" s="48">
        <v>5</v>
      </c>
      <c r="M886" s="48" t="s">
        <v>1652</v>
      </c>
      <c r="N886" s="48">
        <v>21</v>
      </c>
      <c r="P886" s="48">
        <v>21</v>
      </c>
      <c r="Q886" s="48" t="s">
        <v>2626</v>
      </c>
      <c r="R886" s="48" t="s">
        <v>63</v>
      </c>
      <c r="S886" s="48" t="s">
        <v>230</v>
      </c>
      <c r="U886" s="55"/>
      <c r="W886" s="48" t="s">
        <v>2679</v>
      </c>
      <c r="X886" s="48" t="s">
        <v>2679</v>
      </c>
    </row>
    <row r="887" spans="1:24">
      <c r="A887" s="48">
        <f t="shared" si="13"/>
        <v>886</v>
      </c>
      <c r="B887" s="54">
        <v>45751</v>
      </c>
      <c r="C887" s="48" t="s">
        <v>3288</v>
      </c>
      <c r="D887" s="48" t="s">
        <v>3288</v>
      </c>
      <c r="F887" s="48" t="s">
        <v>2627</v>
      </c>
      <c r="G887" s="48">
        <v>8103910507</v>
      </c>
      <c r="H887" s="48" t="s">
        <v>2628</v>
      </c>
      <c r="J887" s="48" t="s">
        <v>3399</v>
      </c>
      <c r="L887" s="48">
        <v>3</v>
      </c>
      <c r="M887" s="48" t="s">
        <v>2629</v>
      </c>
      <c r="N887" s="48">
        <v>8</v>
      </c>
      <c r="P887" s="48">
        <v>8</v>
      </c>
      <c r="Q887" s="48" t="s">
        <v>2630</v>
      </c>
      <c r="R887" s="48" t="s">
        <v>63</v>
      </c>
      <c r="S887" s="48" t="s">
        <v>230</v>
      </c>
      <c r="U887" s="55"/>
      <c r="W887" s="48" t="s">
        <v>2679</v>
      </c>
      <c r="X887" s="48" t="s">
        <v>2679</v>
      </c>
    </row>
    <row r="888" spans="1:24">
      <c r="A888" s="48">
        <f t="shared" si="13"/>
        <v>887</v>
      </c>
      <c r="B888" s="54">
        <v>45751</v>
      </c>
      <c r="C888" s="48" t="s">
        <v>2686</v>
      </c>
      <c r="D888" s="48" t="s">
        <v>2686</v>
      </c>
      <c r="F888" s="48" t="s">
        <v>2631</v>
      </c>
      <c r="G888" s="48">
        <v>7058383199</v>
      </c>
      <c r="H888" s="48" t="s">
        <v>2632</v>
      </c>
      <c r="J888" s="48" t="s">
        <v>3399</v>
      </c>
      <c r="L888" s="48">
        <v>3</v>
      </c>
      <c r="M888" s="48" t="s">
        <v>3400</v>
      </c>
      <c r="N888" s="48">
        <v>5</v>
      </c>
      <c r="P888" s="48">
        <v>5</v>
      </c>
      <c r="Q888" s="48" t="s">
        <v>792</v>
      </c>
      <c r="R888" s="48" t="s">
        <v>63</v>
      </c>
      <c r="S888" s="48" t="s">
        <v>255</v>
      </c>
      <c r="U888" s="55"/>
      <c r="W888" s="48" t="s">
        <v>2679</v>
      </c>
      <c r="X888" s="48" t="s">
        <v>2679</v>
      </c>
    </row>
    <row r="889" spans="1:24">
      <c r="A889" s="48">
        <f t="shared" si="13"/>
        <v>888</v>
      </c>
      <c r="B889" s="54">
        <v>45751</v>
      </c>
      <c r="C889" s="48" t="s">
        <v>3288</v>
      </c>
      <c r="D889" s="48" t="s">
        <v>3288</v>
      </c>
      <c r="F889" s="48" t="s">
        <v>2634</v>
      </c>
      <c r="G889" s="48">
        <v>8983557456</v>
      </c>
      <c r="H889" s="48" t="s">
        <v>605</v>
      </c>
      <c r="J889" s="48" t="s">
        <v>3399</v>
      </c>
      <c r="L889" s="48">
        <v>3.4</v>
      </c>
      <c r="M889" s="48" t="s">
        <v>2635</v>
      </c>
      <c r="N889" s="48">
        <v>7</v>
      </c>
      <c r="P889" s="48">
        <v>7</v>
      </c>
      <c r="Q889" s="48" t="s">
        <v>484</v>
      </c>
      <c r="R889" s="48" t="s">
        <v>63</v>
      </c>
      <c r="S889" s="48" t="s">
        <v>255</v>
      </c>
      <c r="U889" s="55"/>
      <c r="W889" s="48" t="s">
        <v>2679</v>
      </c>
      <c r="X889" s="48" t="s">
        <v>2679</v>
      </c>
    </row>
    <row r="890" spans="1:24">
      <c r="A890" s="48">
        <f t="shared" si="13"/>
        <v>889</v>
      </c>
      <c r="B890" s="54">
        <v>45873</v>
      </c>
      <c r="C890" s="48" t="s">
        <v>3013</v>
      </c>
      <c r="D890" s="48" t="s">
        <v>3013</v>
      </c>
      <c r="F890" s="48" t="s">
        <v>3401</v>
      </c>
      <c r="G890" s="48">
        <v>8197101387</v>
      </c>
      <c r="H890" s="48" t="s">
        <v>1490</v>
      </c>
      <c r="J890" s="48" t="s">
        <v>3399</v>
      </c>
      <c r="L890" s="48">
        <v>6</v>
      </c>
      <c r="M890" s="48" t="s">
        <v>1491</v>
      </c>
      <c r="N890" s="48">
        <v>6</v>
      </c>
      <c r="P890" s="48">
        <v>6</v>
      </c>
      <c r="Q890" s="48" t="s">
        <v>1965</v>
      </c>
      <c r="R890" s="48" t="s">
        <v>63</v>
      </c>
      <c r="S890" s="48" t="s">
        <v>255</v>
      </c>
      <c r="U890" s="55"/>
      <c r="W890" s="48" t="s">
        <v>2679</v>
      </c>
      <c r="X890" s="48" t="s">
        <v>2679</v>
      </c>
    </row>
    <row r="891" spans="1:24">
      <c r="A891" s="48">
        <f t="shared" si="13"/>
        <v>890</v>
      </c>
      <c r="B891" s="54">
        <v>45873</v>
      </c>
      <c r="C891" s="48" t="s">
        <v>209</v>
      </c>
      <c r="D891" s="48" t="s">
        <v>209</v>
      </c>
      <c r="F891" s="48" t="s">
        <v>3402</v>
      </c>
      <c r="G891" s="48">
        <v>9403469539</v>
      </c>
      <c r="H891" s="48" t="s">
        <v>3403</v>
      </c>
      <c r="J891" s="48" t="s">
        <v>3399</v>
      </c>
      <c r="L891" s="48">
        <v>8.1999999999999993</v>
      </c>
      <c r="M891" s="48" t="s">
        <v>3404</v>
      </c>
      <c r="N891" s="48">
        <v>8.1999999999999993</v>
      </c>
      <c r="P891" s="48">
        <v>8.1999999999999993</v>
      </c>
      <c r="Q891" s="48" t="s">
        <v>63</v>
      </c>
      <c r="R891" s="48" t="s">
        <v>63</v>
      </c>
      <c r="S891" s="48" t="s">
        <v>3405</v>
      </c>
      <c r="U891" s="55"/>
      <c r="W891" s="48" t="s">
        <v>2679</v>
      </c>
      <c r="X891" s="48" t="s">
        <v>2679</v>
      </c>
    </row>
    <row r="892" spans="1:24">
      <c r="A892" s="48">
        <f t="shared" si="13"/>
        <v>891</v>
      </c>
      <c r="B892" s="54">
        <v>45873</v>
      </c>
      <c r="C892" s="48" t="s">
        <v>3013</v>
      </c>
      <c r="D892" s="48" t="s">
        <v>3013</v>
      </c>
      <c r="F892" s="48" t="s">
        <v>3406</v>
      </c>
      <c r="G892" s="48">
        <v>9967838202</v>
      </c>
      <c r="H892" s="48" t="s">
        <v>3407</v>
      </c>
      <c r="J892" s="48" t="s">
        <v>3399</v>
      </c>
      <c r="L892" s="48">
        <v>8.3000000000000007</v>
      </c>
      <c r="M892" s="48" t="s">
        <v>1488</v>
      </c>
      <c r="N892" s="48">
        <v>8.3000000000000007</v>
      </c>
      <c r="P892" s="48">
        <v>8.3000000000000007</v>
      </c>
      <c r="Q892" s="48" t="s">
        <v>802</v>
      </c>
      <c r="R892" s="48" t="s">
        <v>63</v>
      </c>
      <c r="S892" s="48" t="s">
        <v>3408</v>
      </c>
      <c r="U892" s="55"/>
      <c r="W892" s="48" t="s">
        <v>2679</v>
      </c>
      <c r="X892" s="48" t="s">
        <v>2679</v>
      </c>
    </row>
    <row r="893" spans="1:24">
      <c r="A893" s="48">
        <f t="shared" si="13"/>
        <v>892</v>
      </c>
      <c r="B893" s="54">
        <v>45873</v>
      </c>
      <c r="C893" s="48" t="s">
        <v>293</v>
      </c>
      <c r="D893" s="48" t="s">
        <v>293</v>
      </c>
      <c r="F893" s="48" t="s">
        <v>3409</v>
      </c>
      <c r="G893" s="48">
        <v>8106856855</v>
      </c>
      <c r="H893" s="48" t="s">
        <v>3410</v>
      </c>
      <c r="J893" s="48" t="s">
        <v>3399</v>
      </c>
      <c r="L893" s="48">
        <v>8.5</v>
      </c>
      <c r="M893" s="48" t="s">
        <v>864</v>
      </c>
      <c r="N893" s="48">
        <v>8.5</v>
      </c>
      <c r="P893" s="48">
        <v>8.5</v>
      </c>
      <c r="Q893" s="48" t="s">
        <v>459</v>
      </c>
      <c r="R893" s="48" t="s">
        <v>63</v>
      </c>
      <c r="S893" s="48" t="s">
        <v>3411</v>
      </c>
      <c r="U893" s="55"/>
      <c r="W893" s="48" t="s">
        <v>2679</v>
      </c>
      <c r="X893" s="48" t="s">
        <v>2679</v>
      </c>
    </row>
    <row r="894" spans="1:24">
      <c r="A894" s="48">
        <f t="shared" si="13"/>
        <v>893</v>
      </c>
      <c r="B894" s="54">
        <v>45754</v>
      </c>
      <c r="C894" s="48" t="s">
        <v>3412</v>
      </c>
      <c r="D894" s="48" t="s">
        <v>3412</v>
      </c>
      <c r="F894" s="48" t="s">
        <v>3413</v>
      </c>
      <c r="G894" s="48">
        <v>9000000000</v>
      </c>
      <c r="H894" s="48" t="s">
        <v>3414</v>
      </c>
      <c r="J894" s="48" t="s">
        <v>3415</v>
      </c>
      <c r="L894" s="48" t="s">
        <v>3211</v>
      </c>
      <c r="M894" s="48" t="s">
        <v>3416</v>
      </c>
      <c r="N894" s="48" t="s">
        <v>2428</v>
      </c>
      <c r="P894" s="48" t="s">
        <v>2413</v>
      </c>
      <c r="Q894" s="48" t="s">
        <v>63</v>
      </c>
      <c r="R894" s="48" t="s">
        <v>63</v>
      </c>
      <c r="S894" s="48" t="s">
        <v>2472</v>
      </c>
      <c r="U894" s="55"/>
      <c r="W894" s="48" t="s">
        <v>2679</v>
      </c>
      <c r="X894" s="48" t="s">
        <v>2679</v>
      </c>
    </row>
    <row r="895" spans="1:24">
      <c r="A895" s="48">
        <f t="shared" si="13"/>
        <v>894</v>
      </c>
      <c r="B895" s="54">
        <v>45754</v>
      </c>
      <c r="C895" s="48" t="s">
        <v>293</v>
      </c>
      <c r="D895" s="48" t="s">
        <v>293</v>
      </c>
      <c r="F895" s="48" t="s">
        <v>3417</v>
      </c>
      <c r="G895" s="48" t="s">
        <v>3418</v>
      </c>
      <c r="H895" s="48" t="s">
        <v>3419</v>
      </c>
      <c r="J895" s="48" t="s">
        <v>3415</v>
      </c>
      <c r="L895" s="48" t="s">
        <v>3177</v>
      </c>
      <c r="M895" s="48" t="s">
        <v>3420</v>
      </c>
      <c r="N895" s="48" t="s">
        <v>2486</v>
      </c>
      <c r="P895" s="48" t="s">
        <v>2656</v>
      </c>
      <c r="Q895" s="48" t="s">
        <v>63</v>
      </c>
      <c r="R895" s="48" t="s">
        <v>63</v>
      </c>
      <c r="S895" s="48" t="s">
        <v>2567</v>
      </c>
      <c r="U895" s="55"/>
      <c r="W895" s="48" t="s">
        <v>2679</v>
      </c>
      <c r="X895" s="48" t="s">
        <v>2679</v>
      </c>
    </row>
    <row r="896" spans="1:24">
      <c r="A896" s="48">
        <f t="shared" si="13"/>
        <v>895</v>
      </c>
      <c r="B896" s="257">
        <v>45751</v>
      </c>
      <c r="C896" s="48" t="s">
        <v>209</v>
      </c>
      <c r="D896" s="48" t="s">
        <v>209</v>
      </c>
      <c r="F896" s="258" t="s">
        <v>2620</v>
      </c>
      <c r="G896" s="258">
        <v>7697811379</v>
      </c>
      <c r="H896" s="258" t="s">
        <v>2621</v>
      </c>
      <c r="J896" s="48" t="s">
        <v>212</v>
      </c>
      <c r="L896" s="258">
        <v>3.8</v>
      </c>
      <c r="M896" s="258" t="s">
        <v>2622</v>
      </c>
      <c r="N896" s="258">
        <v>4</v>
      </c>
      <c r="P896" s="258">
        <v>8</v>
      </c>
      <c r="Q896" s="258" t="s">
        <v>796</v>
      </c>
      <c r="R896" s="258" t="s">
        <v>63</v>
      </c>
      <c r="S896" s="258" t="s">
        <v>2623</v>
      </c>
      <c r="W896" s="48" t="s">
        <v>2679</v>
      </c>
      <c r="X896" s="48" t="s">
        <v>2679</v>
      </c>
    </row>
    <row r="897" spans="1:24">
      <c r="A897" s="48">
        <f t="shared" si="13"/>
        <v>896</v>
      </c>
      <c r="B897" s="257">
        <v>45751</v>
      </c>
      <c r="C897" s="48" t="s">
        <v>209</v>
      </c>
      <c r="D897" s="48" t="s">
        <v>209</v>
      </c>
      <c r="F897" s="258" t="s">
        <v>2624</v>
      </c>
      <c r="G897" s="258">
        <v>8118858003</v>
      </c>
      <c r="H897" s="258" t="s">
        <v>2625</v>
      </c>
      <c r="J897" s="48" t="s">
        <v>212</v>
      </c>
      <c r="L897" s="258">
        <v>5</v>
      </c>
      <c r="M897" s="258" t="s">
        <v>1652</v>
      </c>
      <c r="N897" s="258">
        <v>21</v>
      </c>
      <c r="P897" s="258">
        <v>32</v>
      </c>
      <c r="Q897" s="258" t="s">
        <v>2626</v>
      </c>
      <c r="R897" s="258" t="s">
        <v>63</v>
      </c>
      <c r="S897" s="258" t="s">
        <v>230</v>
      </c>
      <c r="W897" s="48" t="s">
        <v>2679</v>
      </c>
      <c r="X897" s="48" t="s">
        <v>2679</v>
      </c>
    </row>
    <row r="898" spans="1:24">
      <c r="A898" s="48">
        <f t="shared" si="13"/>
        <v>897</v>
      </c>
      <c r="B898" s="257">
        <v>45751</v>
      </c>
      <c r="C898" s="48" t="s">
        <v>51</v>
      </c>
      <c r="D898" s="48" t="s">
        <v>51</v>
      </c>
      <c r="F898" s="258" t="s">
        <v>2627</v>
      </c>
      <c r="G898" s="258">
        <v>8103910507</v>
      </c>
      <c r="H898" s="258" t="s">
        <v>2628</v>
      </c>
      <c r="J898" s="48" t="s">
        <v>212</v>
      </c>
      <c r="L898" s="258">
        <v>3</v>
      </c>
      <c r="M898" s="258" t="s">
        <v>2629</v>
      </c>
      <c r="N898" s="258">
        <v>8</v>
      </c>
      <c r="P898" s="258">
        <v>15</v>
      </c>
      <c r="Q898" s="258" t="s">
        <v>2630</v>
      </c>
      <c r="R898" s="258" t="s">
        <v>63</v>
      </c>
      <c r="S898" s="258" t="s">
        <v>230</v>
      </c>
      <c r="W898" s="48" t="s">
        <v>2679</v>
      </c>
      <c r="X898" s="48" t="s">
        <v>2679</v>
      </c>
    </row>
    <row r="899" spans="1:24">
      <c r="A899" s="48">
        <f t="shared" ref="A899:A962" si="14">A898+1</f>
        <v>898</v>
      </c>
      <c r="B899" s="257">
        <v>45751</v>
      </c>
      <c r="C899" s="48" t="s">
        <v>624</v>
      </c>
      <c r="D899" s="48" t="s">
        <v>624</v>
      </c>
      <c r="F899" s="258" t="s">
        <v>2631</v>
      </c>
      <c r="G899" s="258">
        <v>7058383199</v>
      </c>
      <c r="H899" s="258" t="s">
        <v>2632</v>
      </c>
      <c r="J899" s="48" t="s">
        <v>212</v>
      </c>
      <c r="L899" s="258">
        <v>3</v>
      </c>
      <c r="M899" s="258" t="s">
        <v>3400</v>
      </c>
      <c r="N899" s="258">
        <v>5</v>
      </c>
      <c r="P899" s="258">
        <v>9</v>
      </c>
      <c r="Q899" s="258" t="s">
        <v>792</v>
      </c>
      <c r="R899" s="258" t="s">
        <v>63</v>
      </c>
      <c r="S899" s="258" t="s">
        <v>255</v>
      </c>
      <c r="W899" s="48" t="s">
        <v>2679</v>
      </c>
      <c r="X899" s="48" t="s">
        <v>2679</v>
      </c>
    </row>
    <row r="900" spans="1:24">
      <c r="A900" s="48">
        <f t="shared" si="14"/>
        <v>899</v>
      </c>
      <c r="B900" s="257">
        <v>45751</v>
      </c>
      <c r="C900" s="48" t="s">
        <v>209</v>
      </c>
      <c r="D900" s="48" t="s">
        <v>209</v>
      </c>
      <c r="F900" s="258" t="s">
        <v>2634</v>
      </c>
      <c r="G900" s="258">
        <v>8983557456</v>
      </c>
      <c r="H900" s="258" t="s">
        <v>605</v>
      </c>
      <c r="J900" s="48" t="s">
        <v>212</v>
      </c>
      <c r="L900" s="258">
        <v>3.4</v>
      </c>
      <c r="M900" s="258" t="s">
        <v>2635</v>
      </c>
      <c r="N900" s="258">
        <v>7</v>
      </c>
      <c r="P900" s="258">
        <v>11</v>
      </c>
      <c r="Q900" s="258" t="s">
        <v>484</v>
      </c>
      <c r="R900" s="258" t="s">
        <v>63</v>
      </c>
      <c r="S900" s="258" t="s">
        <v>255</v>
      </c>
      <c r="W900" s="48" t="s">
        <v>2679</v>
      </c>
      <c r="X900" s="48" t="s">
        <v>2679</v>
      </c>
    </row>
    <row r="901" spans="1:24">
      <c r="A901" s="48">
        <f t="shared" si="14"/>
        <v>900</v>
      </c>
      <c r="B901" s="259">
        <v>45759</v>
      </c>
      <c r="F901" s="258" t="s">
        <v>3421</v>
      </c>
      <c r="G901" s="258">
        <v>7406458544</v>
      </c>
      <c r="H901" s="258" t="s">
        <v>3422</v>
      </c>
      <c r="J901" s="48" t="s">
        <v>3423</v>
      </c>
      <c r="L901" s="258" t="s">
        <v>3009</v>
      </c>
      <c r="M901" s="258" t="s">
        <v>3424</v>
      </c>
      <c r="N901" s="258" t="s">
        <v>2987</v>
      </c>
      <c r="P901" s="258" t="s">
        <v>2586</v>
      </c>
      <c r="Q901" s="258" t="s">
        <v>2696</v>
      </c>
      <c r="R901" s="258" t="s">
        <v>63</v>
      </c>
      <c r="S901" s="258" t="s">
        <v>2702</v>
      </c>
      <c r="W901" s="48" t="s">
        <v>2679</v>
      </c>
      <c r="X901" s="48" t="s">
        <v>2679</v>
      </c>
    </row>
    <row r="902" spans="1:24">
      <c r="A902" s="48">
        <f t="shared" si="14"/>
        <v>901</v>
      </c>
      <c r="B902" s="259">
        <v>45759</v>
      </c>
      <c r="C902" s="48" t="s">
        <v>3412</v>
      </c>
      <c r="D902" s="48" t="s">
        <v>3412</v>
      </c>
      <c r="F902" s="258" t="s">
        <v>3425</v>
      </c>
      <c r="G902" s="258">
        <v>9447719308</v>
      </c>
      <c r="H902" s="258" t="s">
        <v>3426</v>
      </c>
      <c r="J902" s="48" t="s">
        <v>3423</v>
      </c>
      <c r="L902" s="258" t="s">
        <v>3022</v>
      </c>
      <c r="M902" s="258" t="s">
        <v>3427</v>
      </c>
      <c r="N902" s="258" t="s">
        <v>3428</v>
      </c>
      <c r="P902" s="258" t="s">
        <v>2428</v>
      </c>
      <c r="Q902" s="258" t="s">
        <v>3429</v>
      </c>
      <c r="R902" s="258" t="s">
        <v>63</v>
      </c>
      <c r="S902" s="258" t="s">
        <v>2981</v>
      </c>
      <c r="W902" s="48" t="s">
        <v>2679</v>
      </c>
      <c r="X902" s="48" t="s">
        <v>2679</v>
      </c>
    </row>
    <row r="903" spans="1:24">
      <c r="A903" s="48">
        <f t="shared" si="14"/>
        <v>902</v>
      </c>
      <c r="B903" s="259">
        <v>45759</v>
      </c>
      <c r="C903" s="48" t="s">
        <v>51</v>
      </c>
      <c r="D903" s="48" t="s">
        <v>51</v>
      </c>
      <c r="F903" s="258" t="s">
        <v>1592</v>
      </c>
      <c r="G903" s="258">
        <v>9960412200</v>
      </c>
      <c r="H903" s="57" t="s">
        <v>1593</v>
      </c>
      <c r="J903" s="48" t="s">
        <v>3423</v>
      </c>
      <c r="L903" s="258" t="s">
        <v>3430</v>
      </c>
      <c r="M903" s="258" t="s">
        <v>3431</v>
      </c>
      <c r="N903" s="258" t="s">
        <v>3432</v>
      </c>
      <c r="P903" s="258" t="s">
        <v>3433</v>
      </c>
      <c r="Q903" s="258" t="s">
        <v>63</v>
      </c>
      <c r="R903" s="258" t="s">
        <v>63</v>
      </c>
      <c r="S903" s="258" t="s">
        <v>3109</v>
      </c>
      <c r="W903" s="48" t="s">
        <v>2679</v>
      </c>
      <c r="X903" s="48" t="s">
        <v>2679</v>
      </c>
    </row>
    <row r="904" spans="1:24">
      <c r="A904" s="48">
        <f t="shared" si="14"/>
        <v>903</v>
      </c>
      <c r="B904" s="259">
        <v>45759</v>
      </c>
      <c r="C904" s="48" t="s">
        <v>293</v>
      </c>
      <c r="D904" s="48" t="s">
        <v>293</v>
      </c>
      <c r="F904" s="258" t="s">
        <v>3434</v>
      </c>
      <c r="G904" s="258">
        <v>7972081082</v>
      </c>
      <c r="H904" s="258" t="s">
        <v>1596</v>
      </c>
      <c r="J904" s="48" t="s">
        <v>3423</v>
      </c>
      <c r="L904" s="258" t="s">
        <v>2977</v>
      </c>
      <c r="M904" s="258" t="s">
        <v>3435</v>
      </c>
      <c r="N904" s="258" t="s">
        <v>2486</v>
      </c>
      <c r="P904" s="258" t="s">
        <v>2413</v>
      </c>
      <c r="Q904" s="258" t="s">
        <v>63</v>
      </c>
      <c r="R904" s="258" t="s">
        <v>63</v>
      </c>
      <c r="S904" s="258" t="s">
        <v>3109</v>
      </c>
      <c r="W904" s="48" t="s">
        <v>2679</v>
      </c>
      <c r="X904" s="48" t="s">
        <v>2679</v>
      </c>
    </row>
    <row r="905" spans="1:24">
      <c r="A905" s="48">
        <f t="shared" si="14"/>
        <v>904</v>
      </c>
      <c r="B905" s="259">
        <v>45759</v>
      </c>
      <c r="C905" s="48" t="s">
        <v>293</v>
      </c>
      <c r="D905" s="48" t="s">
        <v>293</v>
      </c>
      <c r="F905" s="258" t="s">
        <v>1580</v>
      </c>
      <c r="G905" s="258">
        <v>9766120176</v>
      </c>
      <c r="H905" s="258" t="s">
        <v>1581</v>
      </c>
      <c r="J905" s="48" t="s">
        <v>3423</v>
      </c>
      <c r="L905" s="258" t="s">
        <v>3022</v>
      </c>
      <c r="M905" s="258" t="s">
        <v>3436</v>
      </c>
      <c r="N905" s="258" t="s">
        <v>3437</v>
      </c>
      <c r="P905" s="258" t="s">
        <v>3433</v>
      </c>
      <c r="Q905" s="258" t="s">
        <v>63</v>
      </c>
      <c r="R905" s="258" t="s">
        <v>63</v>
      </c>
      <c r="S905" s="258" t="s">
        <v>2702</v>
      </c>
      <c r="W905" s="48" t="s">
        <v>2679</v>
      </c>
      <c r="X905" s="48" t="s">
        <v>2679</v>
      </c>
    </row>
    <row r="906" spans="1:24">
      <c r="A906" s="48">
        <f t="shared" si="14"/>
        <v>905</v>
      </c>
      <c r="B906" s="259">
        <v>45776</v>
      </c>
      <c r="C906" s="48" t="s">
        <v>293</v>
      </c>
      <c r="D906" s="48" t="s">
        <v>293</v>
      </c>
      <c r="F906" s="258" t="s">
        <v>3438</v>
      </c>
      <c r="G906" s="258">
        <v>9653028150</v>
      </c>
      <c r="H906" s="258" t="s">
        <v>3439</v>
      </c>
      <c r="J906" s="48" t="s">
        <v>3423</v>
      </c>
      <c r="L906" s="258" t="s">
        <v>2911</v>
      </c>
      <c r="M906" s="258" t="s">
        <v>3440</v>
      </c>
      <c r="N906" s="258" t="s">
        <v>3441</v>
      </c>
      <c r="P906" s="258" t="s">
        <v>3442</v>
      </c>
      <c r="Q906" s="258" t="s">
        <v>802</v>
      </c>
      <c r="R906" s="258" t="s">
        <v>63</v>
      </c>
      <c r="S906" s="258" t="s">
        <v>3443</v>
      </c>
      <c r="W906" s="48" t="s">
        <v>2679</v>
      </c>
      <c r="X906" s="48" t="s">
        <v>2679</v>
      </c>
    </row>
    <row r="907" spans="1:24">
      <c r="A907" s="48">
        <f t="shared" si="14"/>
        <v>906</v>
      </c>
      <c r="B907" s="259">
        <v>45776</v>
      </c>
      <c r="C907" s="48" t="s">
        <v>293</v>
      </c>
      <c r="D907" s="48" t="s">
        <v>293</v>
      </c>
      <c r="F907" s="258" t="s">
        <v>3444</v>
      </c>
      <c r="G907" s="258">
        <v>9960886860</v>
      </c>
      <c r="H907" s="258" t="s">
        <v>3445</v>
      </c>
      <c r="J907" s="48" t="s">
        <v>3423</v>
      </c>
      <c r="L907" s="258" t="s">
        <v>3446</v>
      </c>
      <c r="M907" s="258" t="s">
        <v>3447</v>
      </c>
      <c r="N907" s="258" t="s">
        <v>2656</v>
      </c>
      <c r="P907" s="258" t="s">
        <v>2586</v>
      </c>
      <c r="Q907" s="258" t="s">
        <v>802</v>
      </c>
      <c r="R907" s="258" t="s">
        <v>63</v>
      </c>
      <c r="S907" s="258" t="s">
        <v>2691</v>
      </c>
      <c r="W907" s="48" t="s">
        <v>2679</v>
      </c>
      <c r="X907" s="48" t="s">
        <v>2679</v>
      </c>
    </row>
    <row r="908" spans="1:24">
      <c r="A908" s="48">
        <f t="shared" si="14"/>
        <v>907</v>
      </c>
      <c r="B908" s="259">
        <v>45777</v>
      </c>
      <c r="C908" s="48" t="s">
        <v>3412</v>
      </c>
      <c r="D908" s="48" t="s">
        <v>3412</v>
      </c>
      <c r="F908" s="258" t="s">
        <v>1598</v>
      </c>
      <c r="G908" s="258">
        <v>7042356979</v>
      </c>
      <c r="H908" s="258" t="s">
        <v>1599</v>
      </c>
      <c r="J908" s="48" t="s">
        <v>3423</v>
      </c>
      <c r="L908" s="258" t="s">
        <v>3029</v>
      </c>
      <c r="M908" s="258" t="s">
        <v>3448</v>
      </c>
      <c r="N908" s="258" t="s">
        <v>3449</v>
      </c>
      <c r="P908" s="258" t="s">
        <v>1006</v>
      </c>
      <c r="Q908" s="258" t="s">
        <v>63</v>
      </c>
      <c r="R908" s="48" t="s">
        <v>63</v>
      </c>
      <c r="S908" s="258" t="s">
        <v>2691</v>
      </c>
      <c r="W908" s="48" t="s">
        <v>2679</v>
      </c>
      <c r="X908" s="48" t="s">
        <v>2679</v>
      </c>
    </row>
    <row r="909" spans="1:24">
      <c r="A909" s="48">
        <f t="shared" si="14"/>
        <v>908</v>
      </c>
      <c r="B909" s="259">
        <v>45777</v>
      </c>
      <c r="C909" s="48" t="s">
        <v>3412</v>
      </c>
      <c r="D909" s="48" t="s">
        <v>3412</v>
      </c>
      <c r="F909" s="258" t="s">
        <v>3450</v>
      </c>
      <c r="G909" s="258">
        <v>9492859498</v>
      </c>
      <c r="H909" s="258" t="s">
        <v>3451</v>
      </c>
      <c r="J909" s="48" t="s">
        <v>3423</v>
      </c>
      <c r="L909" s="258" t="s">
        <v>2489</v>
      </c>
      <c r="M909" s="258" t="s">
        <v>3452</v>
      </c>
      <c r="N909" s="258" t="s">
        <v>2486</v>
      </c>
      <c r="P909" s="258" t="s">
        <v>2576</v>
      </c>
      <c r="Q909" s="258" t="s">
        <v>615</v>
      </c>
      <c r="R909" s="48" t="s">
        <v>63</v>
      </c>
      <c r="S909" s="258" t="s">
        <v>3453</v>
      </c>
      <c r="W909" s="48" t="s">
        <v>2679</v>
      </c>
      <c r="X909" s="48" t="s">
        <v>2679</v>
      </c>
    </row>
    <row r="910" spans="1:24">
      <c r="A910" s="48">
        <f t="shared" si="14"/>
        <v>909</v>
      </c>
      <c r="B910" s="259">
        <v>45770</v>
      </c>
      <c r="C910" s="48" t="s">
        <v>3339</v>
      </c>
      <c r="D910" s="48" t="s">
        <v>3339</v>
      </c>
      <c r="F910" s="58" t="s">
        <v>3454</v>
      </c>
      <c r="G910" s="260">
        <v>8960000000</v>
      </c>
      <c r="H910" s="59" t="s">
        <v>3455</v>
      </c>
      <c r="J910" s="258" t="s">
        <v>2674</v>
      </c>
      <c r="L910" s="258" t="s">
        <v>3456</v>
      </c>
      <c r="M910" s="258" t="s">
        <v>3457</v>
      </c>
      <c r="N910" s="258" t="s">
        <v>2457</v>
      </c>
      <c r="P910" s="258" t="s">
        <v>2707</v>
      </c>
      <c r="Q910" s="258" t="s">
        <v>63</v>
      </c>
      <c r="R910" s="258" t="s">
        <v>63</v>
      </c>
      <c r="S910" s="258" t="s">
        <v>2708</v>
      </c>
    </row>
    <row r="911" spans="1:24">
      <c r="A911" s="48">
        <f t="shared" si="14"/>
        <v>910</v>
      </c>
      <c r="B911" s="259">
        <v>45770</v>
      </c>
      <c r="C911" s="48" t="s">
        <v>3339</v>
      </c>
      <c r="D911" s="48" t="s">
        <v>3339</v>
      </c>
      <c r="F911" s="58" t="s">
        <v>3458</v>
      </c>
      <c r="G911" s="260">
        <v>9680000000</v>
      </c>
      <c r="H911" s="60" t="s">
        <v>3459</v>
      </c>
      <c r="J911" s="258" t="s">
        <v>2674</v>
      </c>
      <c r="L911" s="258" t="s">
        <v>2833</v>
      </c>
      <c r="M911" s="61" t="s">
        <v>3460</v>
      </c>
      <c r="N911" s="258" t="s">
        <v>3461</v>
      </c>
      <c r="P911" s="258" t="s">
        <v>2603</v>
      </c>
      <c r="Q911" s="258" t="s">
        <v>63</v>
      </c>
      <c r="R911" s="258" t="s">
        <v>63</v>
      </c>
      <c r="S911" s="258" t="s">
        <v>3462</v>
      </c>
    </row>
    <row r="912" spans="1:24">
      <c r="A912" s="48">
        <f t="shared" si="14"/>
        <v>911</v>
      </c>
      <c r="B912" s="259">
        <v>45770</v>
      </c>
      <c r="C912" s="48" t="s">
        <v>209</v>
      </c>
      <c r="D912" s="48" t="s">
        <v>209</v>
      </c>
      <c r="F912" s="58" t="s">
        <v>3463</v>
      </c>
      <c r="G912" s="260">
        <v>9510000000</v>
      </c>
      <c r="H912" s="59" t="s">
        <v>3464</v>
      </c>
      <c r="J912" s="258" t="s">
        <v>2674</v>
      </c>
      <c r="L912" s="258" t="s">
        <v>2752</v>
      </c>
      <c r="M912" s="61" t="s">
        <v>3465</v>
      </c>
      <c r="N912" s="258" t="s">
        <v>2447</v>
      </c>
      <c r="P912" s="258" t="s">
        <v>2452</v>
      </c>
      <c r="Q912" s="258" t="s">
        <v>63</v>
      </c>
      <c r="R912" s="258" t="s">
        <v>63</v>
      </c>
      <c r="S912" s="258" t="s">
        <v>3466</v>
      </c>
    </row>
    <row r="913" spans="1:19">
      <c r="A913" s="48">
        <f t="shared" si="14"/>
        <v>912</v>
      </c>
      <c r="B913" s="259">
        <v>45770</v>
      </c>
      <c r="C913" s="48" t="s">
        <v>209</v>
      </c>
      <c r="D913" s="48" t="s">
        <v>209</v>
      </c>
      <c r="F913" s="58" t="s">
        <v>3467</v>
      </c>
      <c r="G913" s="260">
        <v>9400000000</v>
      </c>
      <c r="H913" s="60" t="s">
        <v>3468</v>
      </c>
      <c r="J913" s="258" t="s">
        <v>2674</v>
      </c>
      <c r="L913" s="258" t="s">
        <v>2752</v>
      </c>
      <c r="M913" s="258" t="s">
        <v>3469</v>
      </c>
      <c r="N913" s="258" t="s">
        <v>2565</v>
      </c>
      <c r="P913" s="258" t="s">
        <v>2603</v>
      </c>
      <c r="Q913" s="258" t="s">
        <v>63</v>
      </c>
      <c r="R913" s="258" t="s">
        <v>63</v>
      </c>
      <c r="S913" s="258" t="s">
        <v>3470</v>
      </c>
    </row>
    <row r="914" spans="1:19">
      <c r="A914" s="48">
        <f t="shared" si="14"/>
        <v>913</v>
      </c>
      <c r="B914" s="259">
        <v>45755</v>
      </c>
      <c r="C914" s="48" t="s">
        <v>3365</v>
      </c>
      <c r="D914" s="48" t="s">
        <v>3365</v>
      </c>
      <c r="F914" s="58" t="s">
        <v>3471</v>
      </c>
      <c r="G914" s="260">
        <v>7560000000</v>
      </c>
      <c r="H914" s="60" t="s">
        <v>3472</v>
      </c>
      <c r="J914" s="258" t="s">
        <v>2674</v>
      </c>
      <c r="L914" s="258" t="s">
        <v>2867</v>
      </c>
      <c r="M914" s="61" t="s">
        <v>3473</v>
      </c>
      <c r="N914" s="258" t="s">
        <v>2463</v>
      </c>
      <c r="P914" s="258" t="s">
        <v>2707</v>
      </c>
      <c r="Q914" s="258" t="s">
        <v>63</v>
      </c>
      <c r="R914" s="258" t="s">
        <v>63</v>
      </c>
      <c r="S914" s="258" t="s">
        <v>3474</v>
      </c>
    </row>
    <row r="915" spans="1:19">
      <c r="A915" s="48">
        <f t="shared" si="14"/>
        <v>914</v>
      </c>
      <c r="B915" s="259">
        <v>45755</v>
      </c>
      <c r="C915" s="48" t="s">
        <v>3365</v>
      </c>
      <c r="D915" s="48" t="s">
        <v>3365</v>
      </c>
      <c r="F915" s="58" t="s">
        <v>3475</v>
      </c>
      <c r="G915" s="260">
        <v>9830000000</v>
      </c>
      <c r="H915" s="60" t="s">
        <v>3476</v>
      </c>
      <c r="J915" s="258" t="s">
        <v>2674</v>
      </c>
      <c r="L915" s="258" t="s">
        <v>3477</v>
      </c>
      <c r="M915" s="61" t="s">
        <v>3478</v>
      </c>
      <c r="N915" s="258" t="s">
        <v>3479</v>
      </c>
      <c r="P915" s="258" t="s">
        <v>2441</v>
      </c>
      <c r="Q915" s="258" t="s">
        <v>63</v>
      </c>
      <c r="R915" s="258" t="s">
        <v>63</v>
      </c>
      <c r="S915" s="258" t="s">
        <v>2729</v>
      </c>
    </row>
    <row r="916" spans="1:19">
      <c r="A916" s="48">
        <f t="shared" si="14"/>
        <v>915</v>
      </c>
      <c r="B916" s="259">
        <v>45755</v>
      </c>
      <c r="C916" s="48" t="s">
        <v>667</v>
      </c>
      <c r="D916" s="48" t="s">
        <v>667</v>
      </c>
      <c r="F916" s="58" t="s">
        <v>3480</v>
      </c>
      <c r="G916" s="260">
        <v>7500000000</v>
      </c>
      <c r="H916" s="60" t="s">
        <v>3481</v>
      </c>
      <c r="J916" s="258" t="s">
        <v>2674</v>
      </c>
      <c r="L916" s="258" t="s">
        <v>3477</v>
      </c>
      <c r="M916" s="61" t="s">
        <v>3482</v>
      </c>
      <c r="N916" s="258" t="s">
        <v>3483</v>
      </c>
      <c r="P916" s="258" t="s">
        <v>2447</v>
      </c>
      <c r="Q916" s="258" t="s">
        <v>63</v>
      </c>
      <c r="R916" s="258" t="s">
        <v>63</v>
      </c>
      <c r="S916" s="258" t="s">
        <v>3484</v>
      </c>
    </row>
    <row r="917" spans="1:19">
      <c r="A917" s="48">
        <f t="shared" si="14"/>
        <v>916</v>
      </c>
      <c r="B917" s="259">
        <v>45755</v>
      </c>
      <c r="C917" s="48" t="s">
        <v>3412</v>
      </c>
      <c r="D917" s="48" t="s">
        <v>3485</v>
      </c>
      <c r="F917" s="58" t="s">
        <v>2826</v>
      </c>
      <c r="G917" s="260">
        <v>9370000000</v>
      </c>
      <c r="H917" s="62" t="s">
        <v>2827</v>
      </c>
      <c r="J917" s="258" t="s">
        <v>2674</v>
      </c>
      <c r="L917" s="258" t="s">
        <v>2718</v>
      </c>
      <c r="M917" s="61" t="s">
        <v>2828</v>
      </c>
      <c r="N917" s="258" t="s">
        <v>2829</v>
      </c>
      <c r="P917" s="258" t="s">
        <v>2452</v>
      </c>
      <c r="Q917" s="258" t="s">
        <v>63</v>
      </c>
      <c r="R917" s="258" t="s">
        <v>63</v>
      </c>
      <c r="S917" s="258" t="s">
        <v>2830</v>
      </c>
    </row>
    <row r="918" spans="1:19">
      <c r="A918" s="48">
        <f t="shared" si="14"/>
        <v>917</v>
      </c>
      <c r="B918" s="259">
        <v>45755</v>
      </c>
      <c r="C918" s="48" t="s">
        <v>3486</v>
      </c>
      <c r="D918" s="48" t="s">
        <v>3486</v>
      </c>
      <c r="F918" s="58" t="s">
        <v>3487</v>
      </c>
      <c r="G918" s="260">
        <v>7430000000</v>
      </c>
      <c r="H918" s="59" t="s">
        <v>3488</v>
      </c>
      <c r="J918" s="258" t="s">
        <v>2674</v>
      </c>
      <c r="L918" s="258" t="s">
        <v>2833</v>
      </c>
      <c r="M918" s="61" t="s">
        <v>3489</v>
      </c>
      <c r="N918" s="258" t="s">
        <v>2873</v>
      </c>
      <c r="P918" s="258" t="s">
        <v>2603</v>
      </c>
      <c r="Q918" s="258" t="s">
        <v>63</v>
      </c>
      <c r="R918" s="258" t="s">
        <v>63</v>
      </c>
      <c r="S918" s="258" t="s">
        <v>3490</v>
      </c>
    </row>
    <row r="919" spans="1:19">
      <c r="A919" s="48">
        <f t="shared" si="14"/>
        <v>918</v>
      </c>
      <c r="B919" s="259">
        <v>45757</v>
      </c>
      <c r="C919" s="48" t="s">
        <v>3412</v>
      </c>
      <c r="D919" s="48" t="s">
        <v>3412</v>
      </c>
      <c r="F919" s="58" t="s">
        <v>2831</v>
      </c>
      <c r="G919" s="260">
        <v>7060000000</v>
      </c>
      <c r="H919" s="60" t="s">
        <v>2832</v>
      </c>
      <c r="J919" s="258" t="s">
        <v>2674</v>
      </c>
      <c r="L919" s="258" t="s">
        <v>2833</v>
      </c>
      <c r="M919" s="61" t="s">
        <v>2834</v>
      </c>
      <c r="N919" s="258" t="s">
        <v>2835</v>
      </c>
      <c r="P919" s="258" t="s">
        <v>2603</v>
      </c>
      <c r="Q919" s="258" t="s">
        <v>63</v>
      </c>
      <c r="R919" s="258" t="s">
        <v>63</v>
      </c>
      <c r="S919" s="258" t="s">
        <v>2836</v>
      </c>
    </row>
    <row r="920" spans="1:19">
      <c r="A920" s="48">
        <f t="shared" si="14"/>
        <v>919</v>
      </c>
      <c r="B920" s="259">
        <v>45757</v>
      </c>
      <c r="C920" s="48" t="s">
        <v>3412</v>
      </c>
      <c r="D920" s="48" t="s">
        <v>3412</v>
      </c>
      <c r="F920" s="58" t="s">
        <v>3491</v>
      </c>
      <c r="G920" s="260">
        <v>9670000000</v>
      </c>
      <c r="H920" s="60" t="s">
        <v>3492</v>
      </c>
      <c r="J920" s="258" t="s">
        <v>2674</v>
      </c>
      <c r="L920" s="258" t="s">
        <v>2683</v>
      </c>
      <c r="M920" s="61" t="s">
        <v>3493</v>
      </c>
      <c r="N920" s="258" t="s">
        <v>2873</v>
      </c>
      <c r="P920" s="258" t="s">
        <v>2603</v>
      </c>
      <c r="Q920" s="258" t="s">
        <v>63</v>
      </c>
      <c r="R920" s="258" t="s">
        <v>63</v>
      </c>
      <c r="S920" s="258" t="s">
        <v>2846</v>
      </c>
    </row>
    <row r="921" spans="1:19">
      <c r="A921" s="48">
        <f t="shared" si="14"/>
        <v>920</v>
      </c>
      <c r="B921" s="259">
        <v>45757</v>
      </c>
      <c r="C921" s="48" t="s">
        <v>3412</v>
      </c>
      <c r="D921" s="48" t="s">
        <v>3412</v>
      </c>
      <c r="F921" s="58" t="s">
        <v>3494</v>
      </c>
      <c r="G921" s="260">
        <v>8670000000</v>
      </c>
      <c r="H921" s="60" t="s">
        <v>3495</v>
      </c>
      <c r="J921" s="258" t="s">
        <v>2674</v>
      </c>
      <c r="L921" s="258" t="s">
        <v>2867</v>
      </c>
      <c r="M921" s="61" t="s">
        <v>3496</v>
      </c>
      <c r="N921" s="258" t="s">
        <v>3497</v>
      </c>
      <c r="P921" s="258" t="s">
        <v>2441</v>
      </c>
      <c r="Q921" s="258" t="s">
        <v>63</v>
      </c>
      <c r="R921" s="258" t="s">
        <v>63</v>
      </c>
      <c r="S921" s="258" t="s">
        <v>2846</v>
      </c>
    </row>
    <row r="922" spans="1:19">
      <c r="A922" s="48">
        <f t="shared" si="14"/>
        <v>921</v>
      </c>
      <c r="B922" s="259">
        <v>45757</v>
      </c>
      <c r="C922" s="48" t="s">
        <v>667</v>
      </c>
      <c r="D922" s="48" t="s">
        <v>667</v>
      </c>
      <c r="F922" s="58" t="s">
        <v>3498</v>
      </c>
      <c r="G922" s="260">
        <v>8790000000</v>
      </c>
      <c r="H922" s="60" t="s">
        <v>3499</v>
      </c>
      <c r="J922" s="258" t="s">
        <v>2674</v>
      </c>
      <c r="L922" s="258" t="s">
        <v>2689</v>
      </c>
      <c r="M922" s="61" t="s">
        <v>3500</v>
      </c>
      <c r="N922" s="258" t="s">
        <v>3501</v>
      </c>
      <c r="P922" s="258" t="s">
        <v>2441</v>
      </c>
      <c r="Q922" s="258" t="s">
        <v>63</v>
      </c>
      <c r="R922" s="258" t="s">
        <v>63</v>
      </c>
      <c r="S922" s="258" t="s">
        <v>2846</v>
      </c>
    </row>
    <row r="923" spans="1:19">
      <c r="A923" s="48">
        <f t="shared" si="14"/>
        <v>922</v>
      </c>
      <c r="B923" s="259">
        <v>45757</v>
      </c>
      <c r="C923" s="48" t="s">
        <v>3412</v>
      </c>
      <c r="D923" s="48" t="s">
        <v>3412</v>
      </c>
      <c r="F923" s="58" t="s">
        <v>3502</v>
      </c>
      <c r="G923" s="260">
        <v>8770000000</v>
      </c>
      <c r="H923" s="60" t="s">
        <v>3503</v>
      </c>
      <c r="J923" s="258" t="s">
        <v>2674</v>
      </c>
      <c r="L923" s="258" t="s">
        <v>2773</v>
      </c>
      <c r="M923" s="61" t="s">
        <v>3504</v>
      </c>
      <c r="N923" s="258" t="s">
        <v>3505</v>
      </c>
      <c r="P923" s="258" t="s">
        <v>2452</v>
      </c>
      <c r="Q923" s="258" t="s">
        <v>63</v>
      </c>
      <c r="R923" s="258" t="s">
        <v>63</v>
      </c>
      <c r="S923" s="258" t="s">
        <v>2846</v>
      </c>
    </row>
    <row r="924" spans="1:19">
      <c r="A924" s="48">
        <f t="shared" si="14"/>
        <v>923</v>
      </c>
      <c r="B924" s="259">
        <v>45757</v>
      </c>
      <c r="C924" s="48" t="s">
        <v>293</v>
      </c>
      <c r="D924" s="48" t="s">
        <v>293</v>
      </c>
      <c r="F924" s="258" t="s">
        <v>3506</v>
      </c>
      <c r="G924" s="260">
        <v>7700000000</v>
      </c>
      <c r="H924" s="60" t="s">
        <v>3507</v>
      </c>
      <c r="J924" s="258" t="s">
        <v>2674</v>
      </c>
      <c r="L924" s="258" t="s">
        <v>2718</v>
      </c>
      <c r="M924" s="258" t="s">
        <v>3508</v>
      </c>
      <c r="N924" s="258" t="s">
        <v>2441</v>
      </c>
      <c r="P924" s="258" t="s">
        <v>2715</v>
      </c>
      <c r="Q924" s="258" t="s">
        <v>63</v>
      </c>
      <c r="R924" s="258" t="s">
        <v>63</v>
      </c>
      <c r="S924" s="258" t="s">
        <v>2846</v>
      </c>
    </row>
    <row r="925" spans="1:19">
      <c r="A925" s="48">
        <f t="shared" si="14"/>
        <v>924</v>
      </c>
      <c r="B925" s="259">
        <v>45757</v>
      </c>
      <c r="C925" s="48" t="s">
        <v>3412</v>
      </c>
      <c r="D925" s="48" t="s">
        <v>3412</v>
      </c>
      <c r="F925" s="258" t="s">
        <v>3509</v>
      </c>
      <c r="G925" s="260">
        <v>8830000000</v>
      </c>
      <c r="H925" s="60" t="s">
        <v>3510</v>
      </c>
      <c r="J925" s="258" t="s">
        <v>2674</v>
      </c>
      <c r="L925" s="258" t="s">
        <v>2833</v>
      </c>
      <c r="M925" s="258" t="s">
        <v>2901</v>
      </c>
      <c r="N925" s="258" t="s">
        <v>3511</v>
      </c>
      <c r="P925" s="258" t="s">
        <v>2715</v>
      </c>
      <c r="Q925" s="258" t="s">
        <v>63</v>
      </c>
      <c r="R925" s="258" t="s">
        <v>63</v>
      </c>
      <c r="S925" s="258" t="s">
        <v>2846</v>
      </c>
    </row>
    <row r="926" spans="1:19">
      <c r="A926" s="48">
        <f t="shared" si="14"/>
        <v>925</v>
      </c>
      <c r="B926" s="259">
        <v>45757</v>
      </c>
      <c r="C926" s="48" t="s">
        <v>3412</v>
      </c>
      <c r="D926" s="48" t="s">
        <v>3412</v>
      </c>
      <c r="F926" s="258" t="s">
        <v>2837</v>
      </c>
      <c r="G926" s="260">
        <v>8670000000</v>
      </c>
      <c r="H926" s="60" t="s">
        <v>2838</v>
      </c>
      <c r="J926" s="258" t="s">
        <v>2674</v>
      </c>
      <c r="L926" s="258" t="s">
        <v>2839</v>
      </c>
      <c r="M926" s="61" t="s">
        <v>2840</v>
      </c>
      <c r="N926" s="258" t="s">
        <v>2841</v>
      </c>
      <c r="P926" s="258" t="s">
        <v>2486</v>
      </c>
      <c r="Q926" s="258" t="s">
        <v>63</v>
      </c>
      <c r="R926" s="258" t="s">
        <v>63</v>
      </c>
      <c r="S926" s="258" t="s">
        <v>2842</v>
      </c>
    </row>
    <row r="927" spans="1:19">
      <c r="A927" s="48">
        <f t="shared" si="14"/>
        <v>926</v>
      </c>
      <c r="B927" s="259">
        <v>45757</v>
      </c>
      <c r="C927" s="48" t="s">
        <v>293</v>
      </c>
      <c r="D927" s="48" t="s">
        <v>293</v>
      </c>
      <c r="F927" s="258" t="s">
        <v>3512</v>
      </c>
      <c r="G927" s="260">
        <v>7070000000</v>
      </c>
      <c r="H927" s="60" t="s">
        <v>3513</v>
      </c>
      <c r="J927" s="258" t="s">
        <v>2674</v>
      </c>
      <c r="L927" s="258" t="s">
        <v>3514</v>
      </c>
      <c r="M927" s="258" t="s">
        <v>3515</v>
      </c>
      <c r="N927" s="258" t="s">
        <v>2603</v>
      </c>
      <c r="P927" s="258" t="s">
        <v>3066</v>
      </c>
      <c r="Q927" s="258" t="s">
        <v>63</v>
      </c>
      <c r="R927" s="258" t="s">
        <v>63</v>
      </c>
      <c r="S927" s="258" t="s">
        <v>2846</v>
      </c>
    </row>
    <row r="928" spans="1:19">
      <c r="A928" s="48">
        <f t="shared" si="14"/>
        <v>927</v>
      </c>
      <c r="B928" s="259">
        <v>45792</v>
      </c>
      <c r="C928" s="48" t="s">
        <v>293</v>
      </c>
      <c r="D928" s="48" t="s">
        <v>293</v>
      </c>
      <c r="F928" s="258" t="s">
        <v>3516</v>
      </c>
      <c r="G928" s="260">
        <v>9980000000</v>
      </c>
      <c r="H928" s="258" t="s">
        <v>3517</v>
      </c>
      <c r="J928" s="258" t="s">
        <v>2674</v>
      </c>
      <c r="L928" s="258" t="s">
        <v>2752</v>
      </c>
      <c r="M928" s="258" t="s">
        <v>3518</v>
      </c>
      <c r="N928" s="258" t="s">
        <v>3519</v>
      </c>
      <c r="P928" s="258" t="s">
        <v>3519</v>
      </c>
      <c r="Q928" s="258" t="s">
        <v>63</v>
      </c>
      <c r="R928" s="258" t="s">
        <v>63</v>
      </c>
      <c r="S928" s="258" t="s">
        <v>2846</v>
      </c>
    </row>
    <row r="929" spans="1:19">
      <c r="A929" s="48">
        <f t="shared" si="14"/>
        <v>928</v>
      </c>
      <c r="B929" s="259">
        <v>45792</v>
      </c>
      <c r="C929" s="48" t="s">
        <v>293</v>
      </c>
      <c r="D929" s="48" t="s">
        <v>293</v>
      </c>
      <c r="F929" s="258" t="s">
        <v>3520</v>
      </c>
      <c r="G929" s="260">
        <v>9320000000</v>
      </c>
      <c r="H929" s="258" t="s">
        <v>3521</v>
      </c>
      <c r="J929" s="258" t="s">
        <v>2674</v>
      </c>
      <c r="L929" s="258" t="s">
        <v>3522</v>
      </c>
      <c r="M929" s="258" t="s">
        <v>3523</v>
      </c>
      <c r="N929" s="258" t="s">
        <v>3524</v>
      </c>
      <c r="P929" s="258" t="s">
        <v>2452</v>
      </c>
      <c r="Q929" s="258" t="s">
        <v>63</v>
      </c>
      <c r="R929" s="258" t="s">
        <v>63</v>
      </c>
      <c r="S929" s="258" t="s">
        <v>2846</v>
      </c>
    </row>
    <row r="930" spans="1:19">
      <c r="A930" s="48">
        <f t="shared" si="14"/>
        <v>929</v>
      </c>
      <c r="B930" s="259">
        <v>45792</v>
      </c>
      <c r="C930" s="48" t="s">
        <v>293</v>
      </c>
      <c r="D930" s="48" t="s">
        <v>293</v>
      </c>
      <c r="F930" s="258" t="s">
        <v>3525</v>
      </c>
      <c r="G930" s="260">
        <v>7450000000</v>
      </c>
      <c r="H930" s="258" t="s">
        <v>3526</v>
      </c>
      <c r="J930" s="258" t="s">
        <v>2674</v>
      </c>
      <c r="L930" s="258" t="s">
        <v>2683</v>
      </c>
      <c r="M930" s="258" t="s">
        <v>3527</v>
      </c>
      <c r="N930" s="258" t="s">
        <v>2565</v>
      </c>
      <c r="P930" s="258" t="s">
        <v>2452</v>
      </c>
      <c r="Q930" s="258" t="s">
        <v>63</v>
      </c>
      <c r="R930" s="258" t="s">
        <v>63</v>
      </c>
      <c r="S930" s="258" t="s">
        <v>3528</v>
      </c>
    </row>
    <row r="931" spans="1:19">
      <c r="A931" s="48">
        <f t="shared" si="14"/>
        <v>930</v>
      </c>
      <c r="B931" s="259">
        <v>45849</v>
      </c>
      <c r="C931" s="48" t="s">
        <v>3412</v>
      </c>
      <c r="D931" s="48" t="s">
        <v>3412</v>
      </c>
      <c r="F931" s="258" t="s">
        <v>3529</v>
      </c>
      <c r="G931" s="260">
        <v>8010000000</v>
      </c>
      <c r="H931" s="63" t="s">
        <v>3530</v>
      </c>
      <c r="J931" s="258" t="s">
        <v>3531</v>
      </c>
      <c r="L931" s="258" t="s">
        <v>2489</v>
      </c>
      <c r="M931" s="258" t="s">
        <v>3532</v>
      </c>
      <c r="N931" s="258" t="s">
        <v>3533</v>
      </c>
      <c r="P931" s="258" t="s">
        <v>3066</v>
      </c>
      <c r="Q931" s="258" t="s">
        <v>63</v>
      </c>
      <c r="R931" s="258" t="s">
        <v>63</v>
      </c>
      <c r="S931" s="258" t="s">
        <v>3534</v>
      </c>
    </row>
    <row r="932" spans="1:19">
      <c r="A932" s="48">
        <f t="shared" si="14"/>
        <v>931</v>
      </c>
      <c r="B932" s="259">
        <v>45849</v>
      </c>
      <c r="C932" s="48" t="s">
        <v>293</v>
      </c>
      <c r="D932" s="48" t="s">
        <v>293</v>
      </c>
      <c r="F932" s="258" t="s">
        <v>3535</v>
      </c>
      <c r="G932" s="260">
        <v>7990000000</v>
      </c>
      <c r="H932" s="63" t="s">
        <v>3536</v>
      </c>
      <c r="J932" s="258" t="s">
        <v>3531</v>
      </c>
      <c r="L932" s="258" t="s">
        <v>2845</v>
      </c>
      <c r="M932" s="258" t="s">
        <v>3523</v>
      </c>
      <c r="N932" s="258" t="s">
        <v>3537</v>
      </c>
      <c r="P932" s="258" t="s">
        <v>2707</v>
      </c>
      <c r="Q932" s="258" t="s">
        <v>3538</v>
      </c>
      <c r="R932" s="258" t="s">
        <v>63</v>
      </c>
      <c r="S932" s="258" t="s">
        <v>2702</v>
      </c>
    </row>
    <row r="933" spans="1:19">
      <c r="A933" s="48">
        <f t="shared" si="14"/>
        <v>932</v>
      </c>
      <c r="B933" s="259">
        <v>45849</v>
      </c>
      <c r="C933" s="48" t="s">
        <v>293</v>
      </c>
      <c r="D933" s="48" t="s">
        <v>293</v>
      </c>
      <c r="F933" s="258" t="s">
        <v>3539</v>
      </c>
      <c r="G933" s="260">
        <v>8890000000</v>
      </c>
      <c r="H933" s="63" t="s">
        <v>3540</v>
      </c>
      <c r="J933" s="258" t="s">
        <v>3531</v>
      </c>
      <c r="L933" s="258" t="s">
        <v>2833</v>
      </c>
      <c r="M933" s="258" t="s">
        <v>3541</v>
      </c>
      <c r="N933" s="258" t="s">
        <v>2701</v>
      </c>
      <c r="P933" s="258" t="s">
        <v>2452</v>
      </c>
      <c r="Q933" s="258" t="s">
        <v>459</v>
      </c>
      <c r="R933" s="258" t="s">
        <v>63</v>
      </c>
      <c r="S933" s="258" t="s">
        <v>3534</v>
      </c>
    </row>
    <row r="934" spans="1:19">
      <c r="A934" s="48">
        <f t="shared" si="14"/>
        <v>933</v>
      </c>
      <c r="B934" s="259">
        <v>45849</v>
      </c>
      <c r="C934" s="48" t="s">
        <v>3412</v>
      </c>
      <c r="D934" s="48" t="s">
        <v>256</v>
      </c>
      <c r="F934" s="258" t="s">
        <v>3542</v>
      </c>
      <c r="G934" s="260">
        <v>7670000000</v>
      </c>
      <c r="H934" s="63" t="s">
        <v>3543</v>
      </c>
      <c r="J934" s="258" t="s">
        <v>3531</v>
      </c>
      <c r="L934" s="258" t="s">
        <v>2718</v>
      </c>
      <c r="M934" s="258" t="s">
        <v>3544</v>
      </c>
      <c r="N934" s="258" t="s">
        <v>2864</v>
      </c>
      <c r="P934" s="258" t="s">
        <v>2707</v>
      </c>
      <c r="Q934" s="258" t="s">
        <v>890</v>
      </c>
      <c r="R934" s="258" t="s">
        <v>63</v>
      </c>
      <c r="S934" s="258" t="s">
        <v>3534</v>
      </c>
    </row>
    <row r="935" spans="1:19">
      <c r="A935" s="48">
        <f t="shared" si="14"/>
        <v>934</v>
      </c>
      <c r="B935" s="259">
        <v>45964</v>
      </c>
      <c r="C935" s="48" t="s">
        <v>293</v>
      </c>
      <c r="D935" s="48" t="s">
        <v>293</v>
      </c>
      <c r="F935" s="258" t="s">
        <v>3545</v>
      </c>
      <c r="G935" s="258">
        <v>9738271897</v>
      </c>
      <c r="H935" s="64" t="s">
        <v>3546</v>
      </c>
      <c r="J935" s="258" t="s">
        <v>3547</v>
      </c>
      <c r="L935" s="258" t="s">
        <v>3096</v>
      </c>
      <c r="M935" s="258" t="s">
        <v>3548</v>
      </c>
      <c r="N935" s="258" t="s">
        <v>3549</v>
      </c>
      <c r="P935" s="258" t="s">
        <v>2971</v>
      </c>
      <c r="Q935" s="258" t="s">
        <v>63</v>
      </c>
      <c r="R935" s="258" t="s">
        <v>63</v>
      </c>
      <c r="S935" s="258" t="s">
        <v>3109</v>
      </c>
    </row>
    <row r="936" spans="1:19">
      <c r="A936" s="48">
        <f t="shared" si="14"/>
        <v>935</v>
      </c>
      <c r="B936" s="259">
        <v>45964</v>
      </c>
      <c r="C936" s="48" t="s">
        <v>3412</v>
      </c>
      <c r="D936" s="48" t="s">
        <v>3412</v>
      </c>
      <c r="F936" s="258" t="s">
        <v>3550</v>
      </c>
      <c r="G936" s="258">
        <v>9950407892</v>
      </c>
      <c r="H936" s="64" t="s">
        <v>3551</v>
      </c>
      <c r="J936" s="258" t="s">
        <v>3552</v>
      </c>
      <c r="L936" s="258" t="s">
        <v>3553</v>
      </c>
      <c r="M936" s="258" t="s">
        <v>3554</v>
      </c>
      <c r="N936" s="258" t="s">
        <v>3555</v>
      </c>
      <c r="P936" s="258" t="s">
        <v>3556</v>
      </c>
      <c r="Q936" s="258" t="s">
        <v>283</v>
      </c>
      <c r="R936" s="258" t="s">
        <v>63</v>
      </c>
      <c r="S936" s="258" t="s">
        <v>3109</v>
      </c>
    </row>
    <row r="937" spans="1:19">
      <c r="A937" s="48">
        <f t="shared" si="14"/>
        <v>936</v>
      </c>
      <c r="B937" s="65">
        <v>45964</v>
      </c>
      <c r="C937" s="48" t="s">
        <v>293</v>
      </c>
      <c r="D937" s="48" t="s">
        <v>293</v>
      </c>
      <c r="F937" s="66" t="s">
        <v>3557</v>
      </c>
      <c r="G937" s="66">
        <v>9370429327</v>
      </c>
      <c r="H937" s="64" t="s">
        <v>3558</v>
      </c>
      <c r="J937" s="66" t="s">
        <v>3552</v>
      </c>
      <c r="L937" s="66" t="s">
        <v>3022</v>
      </c>
      <c r="M937" s="66" t="s">
        <v>3559</v>
      </c>
      <c r="N937" s="66" t="s">
        <v>3560</v>
      </c>
      <c r="P937" s="66" t="s">
        <v>2498</v>
      </c>
      <c r="Q937" s="66" t="s">
        <v>63</v>
      </c>
      <c r="R937" s="66" t="s">
        <v>63</v>
      </c>
      <c r="S937" s="66" t="s">
        <v>3109</v>
      </c>
    </row>
    <row r="938" spans="1:19">
      <c r="A938" s="48">
        <f t="shared" si="14"/>
        <v>937</v>
      </c>
      <c r="B938" s="65">
        <v>45964</v>
      </c>
      <c r="C938" s="48" t="s">
        <v>293</v>
      </c>
      <c r="D938" s="48" t="s">
        <v>293</v>
      </c>
      <c r="F938" s="66" t="s">
        <v>3561</v>
      </c>
      <c r="G938" s="66">
        <v>9890941812</v>
      </c>
      <c r="H938" s="64" t="s">
        <v>3562</v>
      </c>
      <c r="J938" s="66" t="s">
        <v>3552</v>
      </c>
      <c r="L938" s="66" t="s">
        <v>3022</v>
      </c>
      <c r="M938" s="66" t="s">
        <v>3563</v>
      </c>
      <c r="N938" s="66" t="s">
        <v>3066</v>
      </c>
      <c r="P938" s="66" t="s">
        <v>2586</v>
      </c>
      <c r="Q938" s="66" t="s">
        <v>63</v>
      </c>
      <c r="R938" s="66" t="s">
        <v>63</v>
      </c>
      <c r="S938" s="66" t="s">
        <v>3109</v>
      </c>
    </row>
    <row r="939" spans="1:19">
      <c r="A939" s="48">
        <f t="shared" si="14"/>
        <v>938</v>
      </c>
      <c r="B939" s="54">
        <v>45965</v>
      </c>
      <c r="C939" s="48" t="s">
        <v>3412</v>
      </c>
      <c r="D939" s="48" t="s">
        <v>256</v>
      </c>
      <c r="F939" s="67" t="s">
        <v>3564</v>
      </c>
      <c r="G939" s="67">
        <v>7410096513</v>
      </c>
      <c r="H939" s="64" t="s">
        <v>3565</v>
      </c>
      <c r="J939" s="66" t="s">
        <v>3552</v>
      </c>
      <c r="L939" s="258" t="s">
        <v>3566</v>
      </c>
      <c r="M939" s="258" t="s">
        <v>3567</v>
      </c>
      <c r="N939" s="258" t="s">
        <v>3568</v>
      </c>
      <c r="P939" s="258" t="s">
        <v>3569</v>
      </c>
      <c r="Q939" s="258" t="s">
        <v>1442</v>
      </c>
      <c r="R939" s="66" t="s">
        <v>63</v>
      </c>
      <c r="S939" s="258" t="s">
        <v>3570</v>
      </c>
    </row>
    <row r="940" spans="1:19">
      <c r="A940" s="48">
        <f t="shared" si="14"/>
        <v>939</v>
      </c>
      <c r="B940" s="68">
        <v>45725</v>
      </c>
      <c r="C940" s="48" t="s">
        <v>293</v>
      </c>
      <c r="D940" s="48" t="s">
        <v>293</v>
      </c>
      <c r="F940" s="69" t="s">
        <v>3571</v>
      </c>
      <c r="G940" s="69">
        <v>9637050478</v>
      </c>
      <c r="H940" s="69" t="s">
        <v>3572</v>
      </c>
      <c r="J940" s="69" t="s">
        <v>3573</v>
      </c>
      <c r="L940" s="69" t="s">
        <v>2977</v>
      </c>
      <c r="M940" s="69" t="s">
        <v>3574</v>
      </c>
      <c r="N940" s="69" t="s">
        <v>2715</v>
      </c>
      <c r="P940" s="69" t="s">
        <v>2656</v>
      </c>
      <c r="Q940" s="258" t="s">
        <v>63</v>
      </c>
      <c r="R940" s="69" t="s">
        <v>63</v>
      </c>
      <c r="S940" s="69" t="s">
        <v>3109</v>
      </c>
    </row>
    <row r="941" spans="1:19">
      <c r="A941" s="48">
        <f t="shared" si="14"/>
        <v>940</v>
      </c>
      <c r="B941" s="68">
        <v>45725</v>
      </c>
      <c r="C941" s="48" t="s">
        <v>3412</v>
      </c>
      <c r="D941" s="48" t="s">
        <v>3412</v>
      </c>
      <c r="F941" s="69" t="s">
        <v>3575</v>
      </c>
      <c r="G941" s="69">
        <v>8830871085</v>
      </c>
      <c r="H941" s="69" t="s">
        <v>3576</v>
      </c>
      <c r="J941" s="69" t="s">
        <v>3573</v>
      </c>
      <c r="L941" s="69" t="s">
        <v>3022</v>
      </c>
      <c r="M941" s="69" t="s">
        <v>3577</v>
      </c>
      <c r="N941" s="69" t="s">
        <v>2607</v>
      </c>
      <c r="P941" s="69" t="s">
        <v>3066</v>
      </c>
      <c r="Q941" s="258" t="s">
        <v>3538</v>
      </c>
      <c r="R941" s="69" t="s">
        <v>63</v>
      </c>
      <c r="S941" s="69" t="s">
        <v>2702</v>
      </c>
    </row>
    <row r="942" spans="1:19">
      <c r="A942" s="48">
        <f t="shared" si="14"/>
        <v>941</v>
      </c>
      <c r="B942" s="68">
        <v>45725</v>
      </c>
      <c r="C942" s="48" t="s">
        <v>293</v>
      </c>
      <c r="D942" s="48" t="s">
        <v>293</v>
      </c>
      <c r="F942" s="69" t="s">
        <v>3578</v>
      </c>
      <c r="G942" s="69">
        <v>8981414416</v>
      </c>
      <c r="H942" s="69" t="s">
        <v>3579</v>
      </c>
      <c r="J942" s="69" t="s">
        <v>3573</v>
      </c>
      <c r="L942" s="69" t="s">
        <v>3096</v>
      </c>
      <c r="M942" s="69" t="s">
        <v>3580</v>
      </c>
      <c r="N942" s="69" t="s">
        <v>3581</v>
      </c>
      <c r="P942" s="69" t="s">
        <v>2413</v>
      </c>
      <c r="Q942" s="258" t="s">
        <v>459</v>
      </c>
      <c r="R942" s="69" t="s">
        <v>63</v>
      </c>
      <c r="S942" s="69" t="s">
        <v>2702</v>
      </c>
    </row>
    <row r="943" spans="1:19">
      <c r="A943" s="48">
        <f t="shared" si="14"/>
        <v>942</v>
      </c>
      <c r="B943" s="68">
        <v>45939</v>
      </c>
      <c r="C943" s="48" t="s">
        <v>293</v>
      </c>
      <c r="D943" s="48" t="s">
        <v>293</v>
      </c>
      <c r="F943" s="69" t="s">
        <v>3582</v>
      </c>
      <c r="G943" s="69">
        <v>9511709102</v>
      </c>
      <c r="H943" s="57" t="s">
        <v>3583</v>
      </c>
      <c r="J943" s="69" t="s">
        <v>3573</v>
      </c>
      <c r="L943" s="69" t="s">
        <v>3016</v>
      </c>
      <c r="M943" s="69" t="s">
        <v>3584</v>
      </c>
      <c r="N943" s="69" t="s">
        <v>3585</v>
      </c>
      <c r="P943" s="69" t="s">
        <v>403</v>
      </c>
      <c r="Q943" s="48" t="s">
        <v>63</v>
      </c>
      <c r="R943" s="69" t="s">
        <v>63</v>
      </c>
      <c r="S943" s="69" t="s">
        <v>2702</v>
      </c>
    </row>
    <row r="944" spans="1:19">
      <c r="A944" s="48">
        <f t="shared" si="14"/>
        <v>943</v>
      </c>
      <c r="B944" s="68">
        <v>45939</v>
      </c>
      <c r="C944" s="48" t="s">
        <v>293</v>
      </c>
      <c r="D944" s="48" t="s">
        <v>293</v>
      </c>
      <c r="F944" s="69" t="s">
        <v>3586</v>
      </c>
      <c r="G944" s="69">
        <v>9033660435</v>
      </c>
      <c r="H944" s="57" t="s">
        <v>3587</v>
      </c>
      <c r="J944" s="69" t="s">
        <v>3573</v>
      </c>
      <c r="L944" s="69" t="s">
        <v>3009</v>
      </c>
      <c r="M944" s="69" t="s">
        <v>3588</v>
      </c>
      <c r="N944" s="69" t="s">
        <v>2707</v>
      </c>
      <c r="P944" s="69" t="s">
        <v>3066</v>
      </c>
      <c r="Q944" s="258" t="s">
        <v>63</v>
      </c>
      <c r="R944" s="69" t="s">
        <v>2614</v>
      </c>
      <c r="S944" s="69" t="s">
        <v>2702</v>
      </c>
    </row>
    <row r="945" spans="1:19">
      <c r="A945" s="48">
        <f t="shared" si="14"/>
        <v>944</v>
      </c>
      <c r="B945" s="68">
        <v>45939</v>
      </c>
      <c r="C945" s="48" t="s">
        <v>293</v>
      </c>
      <c r="D945" s="48" t="s">
        <v>293</v>
      </c>
      <c r="F945" s="69" t="s">
        <v>3589</v>
      </c>
      <c r="G945" s="69">
        <v>8420395261</v>
      </c>
      <c r="H945" s="57" t="s">
        <v>3590</v>
      </c>
      <c r="J945" s="69" t="s">
        <v>3573</v>
      </c>
      <c r="L945" s="69" t="s">
        <v>2977</v>
      </c>
      <c r="M945" s="69" t="s">
        <v>3591</v>
      </c>
      <c r="N945" s="69" t="s">
        <v>3592</v>
      </c>
      <c r="P945" s="69" t="s">
        <v>2428</v>
      </c>
      <c r="Q945" s="258" t="s">
        <v>3538</v>
      </c>
      <c r="R945" s="69" t="s">
        <v>3593</v>
      </c>
      <c r="S945" s="69" t="s">
        <v>2981</v>
      </c>
    </row>
    <row r="946" spans="1:19">
      <c r="A946" s="48">
        <f t="shared" si="14"/>
        <v>945</v>
      </c>
      <c r="B946" s="54">
        <v>45911</v>
      </c>
      <c r="C946" s="48" t="s">
        <v>293</v>
      </c>
      <c r="D946" s="48" t="s">
        <v>293</v>
      </c>
      <c r="F946" s="69" t="s">
        <v>3594</v>
      </c>
      <c r="G946" s="69">
        <v>8981414416</v>
      </c>
      <c r="H946" s="70" t="s">
        <v>3595</v>
      </c>
      <c r="J946" s="69" t="s">
        <v>3573</v>
      </c>
      <c r="L946" s="69" t="s">
        <v>3596</v>
      </c>
      <c r="M946" s="69" t="s">
        <v>3597</v>
      </c>
      <c r="N946" s="69" t="s">
        <v>2987</v>
      </c>
      <c r="P946" s="69" t="s">
        <v>3598</v>
      </c>
      <c r="Q946" s="258" t="s">
        <v>459</v>
      </c>
      <c r="R946" s="69" t="s">
        <v>1492</v>
      </c>
      <c r="S946" s="69" t="s">
        <v>2702</v>
      </c>
    </row>
    <row r="947" spans="1:19">
      <c r="A947" s="48">
        <f t="shared" si="14"/>
        <v>946</v>
      </c>
      <c r="B947" s="54">
        <v>45911</v>
      </c>
      <c r="C947" s="48" t="s">
        <v>293</v>
      </c>
      <c r="D947" s="48" t="s">
        <v>293</v>
      </c>
      <c r="F947" s="69" t="s">
        <v>3599</v>
      </c>
      <c r="G947" s="69">
        <v>8591165714</v>
      </c>
      <c r="H947" s="69" t="s">
        <v>3600</v>
      </c>
      <c r="J947" s="69" t="s">
        <v>3573</v>
      </c>
      <c r="L947" s="69" t="s">
        <v>3022</v>
      </c>
      <c r="M947" s="69" t="s">
        <v>3601</v>
      </c>
      <c r="N947" s="69" t="s">
        <v>3602</v>
      </c>
      <c r="P947" s="69" t="s">
        <v>3603</v>
      </c>
      <c r="Q947" s="69" t="s">
        <v>2696</v>
      </c>
      <c r="R947" s="69" t="s">
        <v>750</v>
      </c>
      <c r="S947" s="69" t="s">
        <v>2702</v>
      </c>
    </row>
    <row r="948" spans="1:19">
      <c r="A948" s="48">
        <f t="shared" si="14"/>
        <v>947</v>
      </c>
      <c r="B948" s="54">
        <v>45911</v>
      </c>
      <c r="C948" s="48" t="s">
        <v>293</v>
      </c>
      <c r="D948" s="48" t="s">
        <v>293</v>
      </c>
      <c r="F948" s="67" t="s">
        <v>3604</v>
      </c>
      <c r="G948" s="69">
        <v>8562029285</v>
      </c>
      <c r="H948" s="67" t="s">
        <v>3605</v>
      </c>
      <c r="J948" s="69" t="s">
        <v>3573</v>
      </c>
      <c r="L948" s="69" t="s">
        <v>3029</v>
      </c>
      <c r="M948" s="69" t="s">
        <v>3606</v>
      </c>
      <c r="N948" s="69" t="s">
        <v>3208</v>
      </c>
      <c r="P948" s="69" t="s">
        <v>2576</v>
      </c>
      <c r="Q948" s="69" t="s">
        <v>63</v>
      </c>
      <c r="R948" s="69" t="s">
        <v>2108</v>
      </c>
      <c r="S948" s="69" t="s">
        <v>2697</v>
      </c>
    </row>
    <row r="949" spans="1:19">
      <c r="A949" s="48">
        <f t="shared" si="14"/>
        <v>948</v>
      </c>
      <c r="B949" s="54">
        <v>45911</v>
      </c>
      <c r="C949" s="48" t="s">
        <v>293</v>
      </c>
      <c r="D949" s="48" t="s">
        <v>293</v>
      </c>
      <c r="F949" s="69" t="s">
        <v>3607</v>
      </c>
      <c r="G949" s="71">
        <v>7905448641</v>
      </c>
      <c r="H949" s="57" t="s">
        <v>3608</v>
      </c>
      <c r="J949" s="69" t="s">
        <v>3573</v>
      </c>
      <c r="L949" s="69" t="s">
        <v>3609</v>
      </c>
      <c r="M949" s="69" t="s">
        <v>3610</v>
      </c>
      <c r="N949" s="69" t="s">
        <v>3611</v>
      </c>
      <c r="P949" s="69" t="s">
        <v>2498</v>
      </c>
      <c r="Q949" s="258" t="s">
        <v>63</v>
      </c>
      <c r="R949" s="258" t="s">
        <v>63</v>
      </c>
      <c r="S949" s="69" t="s">
        <v>3612</v>
      </c>
    </row>
    <row r="950" spans="1:19">
      <c r="A950" s="48">
        <f t="shared" si="14"/>
        <v>949</v>
      </c>
      <c r="B950" s="54">
        <v>45911</v>
      </c>
      <c r="C950" s="48" t="s">
        <v>3412</v>
      </c>
      <c r="D950" s="48" t="s">
        <v>3412</v>
      </c>
      <c r="F950" s="67" t="s">
        <v>3327</v>
      </c>
      <c r="G950" s="67" t="s">
        <v>3613</v>
      </c>
      <c r="H950" s="57" t="s">
        <v>3614</v>
      </c>
      <c r="J950" s="69" t="s">
        <v>3573</v>
      </c>
      <c r="L950" s="69" t="s">
        <v>2977</v>
      </c>
      <c r="M950" s="69" t="s">
        <v>3615</v>
      </c>
      <c r="N950" s="69" t="s">
        <v>2576</v>
      </c>
      <c r="P950" s="69" t="s">
        <v>2498</v>
      </c>
      <c r="Q950" s="258" t="s">
        <v>63</v>
      </c>
      <c r="R950" s="258" t="s">
        <v>63</v>
      </c>
      <c r="S950" s="69" t="s">
        <v>3616</v>
      </c>
    </row>
    <row r="951" spans="1:19">
      <c r="A951" s="48">
        <f t="shared" si="14"/>
        <v>950</v>
      </c>
      <c r="B951" s="72">
        <v>45946</v>
      </c>
      <c r="C951" s="69" t="s">
        <v>3617</v>
      </c>
      <c r="F951" s="69" t="s">
        <v>3618</v>
      </c>
      <c r="G951" s="69">
        <v>8050283287</v>
      </c>
      <c r="H951" s="258" t="s">
        <v>3619</v>
      </c>
      <c r="J951" s="69" t="s">
        <v>3573</v>
      </c>
      <c r="K951" s="258"/>
      <c r="L951" s="69" t="s">
        <v>3620</v>
      </c>
      <c r="M951" s="69" t="s">
        <v>3621</v>
      </c>
      <c r="N951" s="69" t="s">
        <v>3622</v>
      </c>
      <c r="P951" s="48" t="s">
        <v>2057</v>
      </c>
      <c r="Q951" s="258" t="s">
        <v>63</v>
      </c>
      <c r="R951" s="258" t="s">
        <v>63</v>
      </c>
      <c r="S951" s="258" t="s">
        <v>3036</v>
      </c>
    </row>
    <row r="952" spans="1:19">
      <c r="A952" s="48">
        <f t="shared" si="14"/>
        <v>951</v>
      </c>
      <c r="B952" s="72">
        <v>45946</v>
      </c>
      <c r="C952" s="48" t="s">
        <v>3339</v>
      </c>
      <c r="D952" s="48" t="s">
        <v>3339</v>
      </c>
      <c r="F952" s="258" t="s">
        <v>3623</v>
      </c>
      <c r="G952" s="258">
        <v>9028733829</v>
      </c>
      <c r="H952" s="64" t="s">
        <v>3624</v>
      </c>
      <c r="J952" s="69" t="s">
        <v>3573</v>
      </c>
      <c r="K952" s="64"/>
      <c r="L952" s="69" t="s">
        <v>3625</v>
      </c>
      <c r="M952" s="69" t="s">
        <v>3626</v>
      </c>
      <c r="N952" s="69" t="s">
        <v>3627</v>
      </c>
      <c r="P952" s="69" t="s">
        <v>2057</v>
      </c>
      <c r="Q952" s="258" t="s">
        <v>63</v>
      </c>
      <c r="R952" s="258" t="s">
        <v>63</v>
      </c>
      <c r="S952" s="258" t="s">
        <v>3628</v>
      </c>
    </row>
    <row r="953" spans="1:19">
      <c r="A953" s="48">
        <f t="shared" si="14"/>
        <v>952</v>
      </c>
      <c r="B953" s="259">
        <v>45969</v>
      </c>
      <c r="C953" s="48" t="s">
        <v>3629</v>
      </c>
      <c r="D953" s="48" t="s">
        <v>3630</v>
      </c>
      <c r="F953" s="258" t="s">
        <v>3631</v>
      </c>
      <c r="G953" s="258">
        <v>9307018353</v>
      </c>
      <c r="H953" s="64" t="s">
        <v>3632</v>
      </c>
      <c r="J953" s="69" t="s">
        <v>3573</v>
      </c>
      <c r="L953" s="258" t="s">
        <v>2911</v>
      </c>
      <c r="M953" s="258" t="s">
        <v>3633</v>
      </c>
      <c r="N953" s="258" t="s">
        <v>3634</v>
      </c>
      <c r="P953" s="258" t="s">
        <v>2971</v>
      </c>
      <c r="Q953" s="258" t="s">
        <v>63</v>
      </c>
      <c r="R953" s="258" t="s">
        <v>63</v>
      </c>
      <c r="S953" s="258" t="s">
        <v>3635</v>
      </c>
    </row>
    <row r="954" spans="1:19">
      <c r="A954" s="48">
        <f t="shared" si="14"/>
        <v>953</v>
      </c>
      <c r="B954" s="67"/>
      <c r="C954" s="48" t="s">
        <v>3339</v>
      </c>
      <c r="D954" s="48" t="s">
        <v>3339</v>
      </c>
      <c r="F954" s="67" t="s">
        <v>3636</v>
      </c>
      <c r="G954" s="67">
        <v>9762727023</v>
      </c>
      <c r="H954" s="67" t="s">
        <v>3637</v>
      </c>
      <c r="J954" s="69" t="s">
        <v>3573</v>
      </c>
      <c r="L954" s="258" t="s">
        <v>2985</v>
      </c>
      <c r="M954" s="67" t="s">
        <v>3638</v>
      </c>
      <c r="N954" s="258" t="s">
        <v>2576</v>
      </c>
      <c r="P954" s="258" t="s">
        <v>1006</v>
      </c>
      <c r="Q954" s="258" t="s">
        <v>63</v>
      </c>
      <c r="R954" s="258" t="s">
        <v>63</v>
      </c>
      <c r="S954" s="258" t="s">
        <v>3639</v>
      </c>
    </row>
    <row r="955" spans="1:19">
      <c r="A955" s="48">
        <f t="shared" si="14"/>
        <v>954</v>
      </c>
      <c r="B955" s="259">
        <v>45969</v>
      </c>
      <c r="C955" s="48" t="s">
        <v>3412</v>
      </c>
      <c r="D955" s="48" t="s">
        <v>3412</v>
      </c>
      <c r="F955" s="258" t="s">
        <v>3640</v>
      </c>
      <c r="G955" s="258" t="s">
        <v>3641</v>
      </c>
      <c r="H955" s="64" t="s">
        <v>3642</v>
      </c>
      <c r="J955" s="69" t="s">
        <v>3573</v>
      </c>
      <c r="L955" s="258" t="s">
        <v>3609</v>
      </c>
      <c r="M955" s="258" t="s">
        <v>3643</v>
      </c>
      <c r="N955" s="258" t="s">
        <v>3644</v>
      </c>
      <c r="P955" s="258" t="s">
        <v>2491</v>
      </c>
      <c r="Q955" s="258" t="s">
        <v>63</v>
      </c>
      <c r="R955" s="258" t="s">
        <v>63</v>
      </c>
      <c r="S955" s="258" t="s">
        <v>2779</v>
      </c>
    </row>
    <row r="956" spans="1:19">
      <c r="A956" s="48">
        <f t="shared" si="14"/>
        <v>955</v>
      </c>
      <c r="B956" s="259">
        <v>45969</v>
      </c>
      <c r="C956" s="48" t="s">
        <v>293</v>
      </c>
      <c r="D956" s="48" t="s">
        <v>293</v>
      </c>
      <c r="F956" s="258" t="s">
        <v>3645</v>
      </c>
      <c r="G956" s="258" t="s">
        <v>3646</v>
      </c>
      <c r="H956" s="258" t="s">
        <v>3647</v>
      </c>
      <c r="J956" s="69" t="s">
        <v>3573</v>
      </c>
      <c r="L956" s="258" t="s">
        <v>3648</v>
      </c>
      <c r="M956" s="258" t="s">
        <v>3649</v>
      </c>
      <c r="N956" s="258" t="s">
        <v>3598</v>
      </c>
      <c r="P956" s="258" t="s">
        <v>2419</v>
      </c>
      <c r="Q956" s="258" t="s">
        <v>63</v>
      </c>
      <c r="R956" s="258" t="s">
        <v>63</v>
      </c>
      <c r="S956" s="258" t="s">
        <v>3650</v>
      </c>
    </row>
    <row r="957" spans="1:19">
      <c r="A957" s="48">
        <f t="shared" si="14"/>
        <v>956</v>
      </c>
      <c r="B957" s="259">
        <v>45969</v>
      </c>
      <c r="C957" s="48" t="s">
        <v>293</v>
      </c>
      <c r="D957" s="48" t="s">
        <v>293</v>
      </c>
      <c r="F957" s="258" t="s">
        <v>3651</v>
      </c>
      <c r="G957" s="258">
        <v>9370429327</v>
      </c>
      <c r="H957" s="64" t="s">
        <v>3652</v>
      </c>
      <c r="J957" s="69" t="s">
        <v>3573</v>
      </c>
      <c r="L957" s="258" t="s">
        <v>3446</v>
      </c>
      <c r="M957" s="258" t="s">
        <v>3559</v>
      </c>
      <c r="N957" s="258" t="s">
        <v>3066</v>
      </c>
      <c r="P957" s="258" t="s">
        <v>2498</v>
      </c>
      <c r="Q957" s="258" t="s">
        <v>63</v>
      </c>
      <c r="R957" s="258" t="s">
        <v>63</v>
      </c>
      <c r="S957" s="258" t="s">
        <v>3036</v>
      </c>
    </row>
    <row r="958" spans="1:19">
      <c r="A958" s="48">
        <f t="shared" si="14"/>
        <v>957</v>
      </c>
      <c r="B958" s="259">
        <v>45969</v>
      </c>
      <c r="C958" s="48" t="s">
        <v>3412</v>
      </c>
      <c r="D958" s="48" t="s">
        <v>3653</v>
      </c>
      <c r="F958" s="258" t="s">
        <v>3654</v>
      </c>
      <c r="G958" s="258">
        <v>9284698798</v>
      </c>
      <c r="H958" s="64" t="s">
        <v>3655</v>
      </c>
      <c r="J958" s="69" t="s">
        <v>3573</v>
      </c>
      <c r="L958" s="258" t="s">
        <v>3656</v>
      </c>
      <c r="M958" s="258" t="s">
        <v>3657</v>
      </c>
      <c r="N958" s="258" t="s">
        <v>2490</v>
      </c>
      <c r="P958" s="258" t="s">
        <v>2491</v>
      </c>
      <c r="Q958" s="258" t="s">
        <v>63</v>
      </c>
      <c r="R958" s="258" t="s">
        <v>63</v>
      </c>
      <c r="S958" s="258" t="s">
        <v>3628</v>
      </c>
    </row>
    <row r="959" spans="1:19">
      <c r="A959" s="48">
        <f t="shared" si="14"/>
        <v>958</v>
      </c>
      <c r="B959" s="73" t="s">
        <v>3658</v>
      </c>
      <c r="C959" s="48" t="s">
        <v>3412</v>
      </c>
      <c r="D959" s="48" t="s">
        <v>3412</v>
      </c>
      <c r="F959" s="73" t="s">
        <v>3659</v>
      </c>
      <c r="G959" s="76">
        <v>9820000000</v>
      </c>
      <c r="H959" s="75" t="s">
        <v>3660</v>
      </c>
      <c r="J959" s="48" t="s">
        <v>3661</v>
      </c>
      <c r="L959" s="73" t="s">
        <v>3022</v>
      </c>
      <c r="M959" s="73" t="s">
        <v>3662</v>
      </c>
      <c r="N959" s="73" t="s">
        <v>3066</v>
      </c>
      <c r="P959" s="73" t="s">
        <v>2498</v>
      </c>
      <c r="Q959" s="73" t="s">
        <v>63</v>
      </c>
      <c r="R959" s="75" t="s">
        <v>63</v>
      </c>
      <c r="S959" s="75" t="s">
        <v>2779</v>
      </c>
    </row>
    <row r="960" spans="1:19">
      <c r="A960" s="48">
        <f t="shared" si="14"/>
        <v>959</v>
      </c>
      <c r="B960" s="74" t="s">
        <v>3658</v>
      </c>
      <c r="C960" s="48" t="s">
        <v>667</v>
      </c>
      <c r="D960" s="48" t="s">
        <v>667</v>
      </c>
      <c r="F960" s="74" t="s">
        <v>3663</v>
      </c>
      <c r="G960" s="78">
        <v>9420000000</v>
      </c>
      <c r="H960" s="79" t="s">
        <v>860</v>
      </c>
      <c r="J960" s="48" t="s">
        <v>3661</v>
      </c>
      <c r="L960" s="74" t="s">
        <v>3664</v>
      </c>
      <c r="M960" s="74" t="s">
        <v>861</v>
      </c>
      <c r="N960" s="74" t="s">
        <v>2497</v>
      </c>
      <c r="P960" s="74" t="s">
        <v>2490</v>
      </c>
      <c r="Q960" s="74" t="s">
        <v>63</v>
      </c>
      <c r="R960" s="77" t="s">
        <v>63</v>
      </c>
      <c r="S960" s="77" t="s">
        <v>2779</v>
      </c>
    </row>
    <row r="961" spans="1:20">
      <c r="A961" s="48">
        <f t="shared" si="14"/>
        <v>960</v>
      </c>
      <c r="B961" s="45" t="s">
        <v>3658</v>
      </c>
      <c r="C961" s="48" t="s">
        <v>3412</v>
      </c>
      <c r="D961" s="48" t="s">
        <v>3412</v>
      </c>
      <c r="F961" s="45" t="s">
        <v>3665</v>
      </c>
      <c r="G961" s="80">
        <v>8140000000</v>
      </c>
      <c r="H961" s="46" t="s">
        <v>3666</v>
      </c>
      <c r="J961" s="48" t="s">
        <v>3661</v>
      </c>
      <c r="L961" s="45" t="s">
        <v>2977</v>
      </c>
      <c r="M961" s="45" t="s">
        <v>3667</v>
      </c>
      <c r="N961" s="45" t="s">
        <v>3668</v>
      </c>
      <c r="P961" s="45" t="s">
        <v>2419</v>
      </c>
      <c r="Q961" s="45" t="s">
        <v>63</v>
      </c>
      <c r="R961" s="46" t="s">
        <v>63</v>
      </c>
      <c r="S961" s="46" t="s">
        <v>2779</v>
      </c>
    </row>
    <row r="962" spans="1:20">
      <c r="A962" s="48">
        <f t="shared" si="14"/>
        <v>961</v>
      </c>
      <c r="B962" s="81">
        <v>45755</v>
      </c>
      <c r="C962" s="48" t="s">
        <v>293</v>
      </c>
      <c r="D962" s="48" t="s">
        <v>293</v>
      </c>
      <c r="F962" s="73" t="s">
        <v>3669</v>
      </c>
      <c r="G962" s="83">
        <v>9770000000</v>
      </c>
      <c r="H962" s="84" t="s">
        <v>3670</v>
      </c>
      <c r="J962" s="48" t="s">
        <v>3661</v>
      </c>
      <c r="L962" s="73" t="s">
        <v>3671</v>
      </c>
      <c r="M962" s="73" t="s">
        <v>3672</v>
      </c>
      <c r="N962" s="73" t="s">
        <v>2715</v>
      </c>
      <c r="P962" s="73" t="s">
        <v>2576</v>
      </c>
      <c r="Q962" s="73" t="s">
        <v>63</v>
      </c>
      <c r="R962" s="75" t="s">
        <v>63</v>
      </c>
      <c r="S962" s="75" t="s">
        <v>3673</v>
      </c>
    </row>
    <row r="963" spans="1:20">
      <c r="A963" s="48">
        <f t="shared" ref="A963:A1000" si="15">A962+1</f>
        <v>962</v>
      </c>
      <c r="B963" s="82">
        <v>45755</v>
      </c>
      <c r="C963" s="48" t="s">
        <v>3412</v>
      </c>
      <c r="D963" s="48" t="s">
        <v>3412</v>
      </c>
      <c r="F963" s="74" t="s">
        <v>3674</v>
      </c>
      <c r="G963" s="85">
        <v>9580000000</v>
      </c>
      <c r="H963" s="79" t="s">
        <v>3675</v>
      </c>
      <c r="J963" s="48" t="s">
        <v>3661</v>
      </c>
      <c r="L963" s="74" t="s">
        <v>2907</v>
      </c>
      <c r="M963" s="74" t="s">
        <v>3676</v>
      </c>
      <c r="N963" s="74" t="s">
        <v>3677</v>
      </c>
      <c r="P963" s="74" t="s">
        <v>2498</v>
      </c>
      <c r="Q963" s="74" t="s">
        <v>1442</v>
      </c>
      <c r="R963" s="77" t="s">
        <v>63</v>
      </c>
      <c r="S963" s="77" t="s">
        <v>2697</v>
      </c>
    </row>
    <row r="964" spans="1:20">
      <c r="A964" s="48">
        <f t="shared" si="15"/>
        <v>963</v>
      </c>
      <c r="B964" s="87">
        <v>45806</v>
      </c>
      <c r="C964" s="48" t="s">
        <v>3412</v>
      </c>
      <c r="D964" s="48" t="s">
        <v>3412</v>
      </c>
      <c r="F964" s="86" t="s">
        <v>3678</v>
      </c>
      <c r="G964" s="92">
        <v>9960000000</v>
      </c>
      <c r="H964" s="93" t="s">
        <v>3679</v>
      </c>
      <c r="J964" s="48" t="s">
        <v>3661</v>
      </c>
      <c r="L964" s="86" t="s">
        <v>2907</v>
      </c>
      <c r="M964" s="86" t="s">
        <v>3680</v>
      </c>
      <c r="N964" s="86" t="s">
        <v>2987</v>
      </c>
      <c r="P964" s="86" t="s">
        <v>2490</v>
      </c>
      <c r="Q964" s="98" t="s">
        <v>63</v>
      </c>
      <c r="R964" s="98" t="s">
        <v>63</v>
      </c>
      <c r="S964" s="98" t="s">
        <v>3681</v>
      </c>
    </row>
    <row r="965" spans="1:20">
      <c r="A965" s="48">
        <f t="shared" si="15"/>
        <v>964</v>
      </c>
      <c r="B965" s="89">
        <v>45806</v>
      </c>
      <c r="C965" s="48" t="s">
        <v>293</v>
      </c>
      <c r="D965" s="48" t="s">
        <v>293</v>
      </c>
      <c r="F965" s="88" t="s">
        <v>3682</v>
      </c>
      <c r="G965" s="94">
        <v>9990000000</v>
      </c>
      <c r="H965" s="95" t="s">
        <v>3683</v>
      </c>
      <c r="J965" s="48" t="s">
        <v>3661</v>
      </c>
      <c r="L965" s="88" t="s">
        <v>3009</v>
      </c>
      <c r="M965" s="88" t="s">
        <v>3684</v>
      </c>
      <c r="N965" s="88" t="s">
        <v>3685</v>
      </c>
      <c r="P965" s="88" t="s">
        <v>3011</v>
      </c>
      <c r="Q965" s="99" t="s">
        <v>63</v>
      </c>
      <c r="R965" s="99" t="s">
        <v>63</v>
      </c>
      <c r="S965" s="99" t="s">
        <v>2729</v>
      </c>
    </row>
    <row r="966" spans="1:20">
      <c r="A966" s="48">
        <f t="shared" si="15"/>
        <v>965</v>
      </c>
      <c r="B966" s="91">
        <v>45806</v>
      </c>
      <c r="C966" s="48" t="s">
        <v>293</v>
      </c>
      <c r="D966" s="48" t="s">
        <v>293</v>
      </c>
      <c r="F966" s="90" t="s">
        <v>3686</v>
      </c>
      <c r="G966" s="96">
        <v>7280000000</v>
      </c>
      <c r="H966" s="97" t="s">
        <v>3687</v>
      </c>
      <c r="J966" s="48" t="s">
        <v>3661</v>
      </c>
      <c r="L966" s="90" t="s">
        <v>3688</v>
      </c>
      <c r="M966" s="90" t="s">
        <v>3689</v>
      </c>
      <c r="N966" s="90" t="s">
        <v>2599</v>
      </c>
      <c r="P966" s="90" t="s">
        <v>2987</v>
      </c>
      <c r="Q966" s="97" t="s">
        <v>63</v>
      </c>
      <c r="R966" s="97" t="s">
        <v>63</v>
      </c>
      <c r="S966" s="97" t="s">
        <v>3690</v>
      </c>
    </row>
    <row r="967" spans="1:20">
      <c r="A967" s="48">
        <f t="shared" si="15"/>
        <v>966</v>
      </c>
      <c r="B967" s="87">
        <v>45817</v>
      </c>
      <c r="C967" s="48" t="s">
        <v>293</v>
      </c>
      <c r="D967" s="48" t="s">
        <v>293</v>
      </c>
      <c r="F967" s="86" t="s">
        <v>3032</v>
      </c>
      <c r="G967" s="92">
        <v>6240000000</v>
      </c>
      <c r="H967" s="93" t="s">
        <v>3033</v>
      </c>
      <c r="J967" s="48" t="s">
        <v>3661</v>
      </c>
      <c r="L967" s="86" t="s">
        <v>2712</v>
      </c>
      <c r="M967" s="86" t="s">
        <v>3034</v>
      </c>
      <c r="N967" s="104" t="s">
        <v>2452</v>
      </c>
      <c r="P967" s="86" t="s">
        <v>2419</v>
      </c>
      <c r="Q967" s="86" t="s">
        <v>459</v>
      </c>
      <c r="R967" s="98" t="s">
        <v>63</v>
      </c>
      <c r="S967" s="98" t="s">
        <v>3036</v>
      </c>
    </row>
    <row r="968" spans="1:20">
      <c r="A968" s="48">
        <f t="shared" si="15"/>
        <v>967</v>
      </c>
      <c r="B968" s="89">
        <v>45817</v>
      </c>
      <c r="C968" s="48" t="s">
        <v>293</v>
      </c>
      <c r="D968" s="48" t="s">
        <v>293</v>
      </c>
      <c r="F968" s="88" t="s">
        <v>3037</v>
      </c>
      <c r="G968" s="94">
        <v>8150000000</v>
      </c>
      <c r="H968" s="95" t="s">
        <v>3038</v>
      </c>
      <c r="J968" s="48" t="s">
        <v>3661</v>
      </c>
      <c r="L968" s="88" t="s">
        <v>2718</v>
      </c>
      <c r="M968" s="88" t="s">
        <v>3039</v>
      </c>
      <c r="N968" s="106" t="s">
        <v>2603</v>
      </c>
      <c r="P968" s="88" t="s">
        <v>2987</v>
      </c>
      <c r="Q968" s="88" t="s">
        <v>63</v>
      </c>
      <c r="R968" s="99" t="s">
        <v>63</v>
      </c>
      <c r="S968" s="99" t="s">
        <v>2744</v>
      </c>
    </row>
    <row r="969" spans="1:20">
      <c r="A969" s="48">
        <f t="shared" si="15"/>
        <v>968</v>
      </c>
      <c r="B969" s="87">
        <v>45822</v>
      </c>
      <c r="C969" s="48" t="s">
        <v>3412</v>
      </c>
      <c r="D969" s="48" t="s">
        <v>3412</v>
      </c>
      <c r="F969" s="86" t="s">
        <v>3041</v>
      </c>
      <c r="G969" s="92">
        <v>8710000000</v>
      </c>
      <c r="H969" s="93" t="s">
        <v>3042</v>
      </c>
      <c r="J969" s="48" t="s">
        <v>670</v>
      </c>
      <c r="L969" s="86" t="s">
        <v>2718</v>
      </c>
      <c r="M969" s="86" t="s">
        <v>3043</v>
      </c>
      <c r="N969" s="108" t="s">
        <v>3691</v>
      </c>
      <c r="P969" s="86" t="s">
        <v>2860</v>
      </c>
      <c r="Q969" s="98" t="s">
        <v>2413</v>
      </c>
      <c r="R969" s="98" t="s">
        <v>3044</v>
      </c>
      <c r="S969" s="98" t="s">
        <v>63</v>
      </c>
      <c r="T969" s="98" t="s">
        <v>2981</v>
      </c>
    </row>
    <row r="970" spans="1:20">
      <c r="A970" s="48">
        <f t="shared" si="15"/>
        <v>969</v>
      </c>
      <c r="B970" s="101">
        <v>45822</v>
      </c>
      <c r="C970" s="48" t="s">
        <v>3412</v>
      </c>
      <c r="D970" s="48" t="s">
        <v>3412</v>
      </c>
      <c r="F970" s="100" t="s">
        <v>3045</v>
      </c>
      <c r="G970" s="100" t="s">
        <v>3046</v>
      </c>
      <c r="H970" s="102" t="s">
        <v>3047</v>
      </c>
      <c r="J970" s="48" t="s">
        <v>670</v>
      </c>
      <c r="L970" s="100" t="s">
        <v>2718</v>
      </c>
      <c r="M970" s="100" t="s">
        <v>3048</v>
      </c>
      <c r="N970" s="110" t="s">
        <v>3692</v>
      </c>
      <c r="P970" s="100" t="s">
        <v>2715</v>
      </c>
      <c r="Q970" s="103" t="s">
        <v>2987</v>
      </c>
      <c r="R970" s="103" t="s">
        <v>890</v>
      </c>
      <c r="S970" s="103" t="s">
        <v>63</v>
      </c>
      <c r="T970" s="103" t="s">
        <v>3049</v>
      </c>
    </row>
    <row r="971" spans="1:20">
      <c r="A971" s="48">
        <f t="shared" si="15"/>
        <v>970</v>
      </c>
      <c r="B971" s="89">
        <v>45822</v>
      </c>
      <c r="C971" s="48" t="s">
        <v>667</v>
      </c>
      <c r="D971" s="48" t="s">
        <v>667</v>
      </c>
      <c r="F971" s="88" t="s">
        <v>3051</v>
      </c>
      <c r="G971" s="94">
        <v>9660000000</v>
      </c>
      <c r="H971" s="95" t="s">
        <v>886</v>
      </c>
      <c r="J971" s="48" t="s">
        <v>670</v>
      </c>
      <c r="L971" s="88" t="s">
        <v>3009</v>
      </c>
      <c r="M971" s="88" t="s">
        <v>887</v>
      </c>
      <c r="N971" s="110" t="s">
        <v>3693</v>
      </c>
      <c r="P971" s="88" t="s">
        <v>3052</v>
      </c>
      <c r="Q971" s="99" t="s">
        <v>2586</v>
      </c>
      <c r="R971" s="99" t="s">
        <v>3053</v>
      </c>
      <c r="S971" s="99" t="s">
        <v>63</v>
      </c>
      <c r="T971" s="99" t="s">
        <v>3054</v>
      </c>
    </row>
    <row r="972" spans="1:20">
      <c r="A972" s="48">
        <f t="shared" si="15"/>
        <v>971</v>
      </c>
      <c r="B972" s="105">
        <v>45841</v>
      </c>
      <c r="C972" s="48" t="s">
        <v>3412</v>
      </c>
      <c r="D972" s="48" t="s">
        <v>3412</v>
      </c>
      <c r="F972" s="104" t="s">
        <v>3694</v>
      </c>
      <c r="G972" s="112">
        <v>9760000000</v>
      </c>
      <c r="H972" s="113" t="s">
        <v>3695</v>
      </c>
      <c r="J972" s="48" t="s">
        <v>670</v>
      </c>
      <c r="L972" s="104" t="s">
        <v>3688</v>
      </c>
      <c r="M972" s="104" t="s">
        <v>3696</v>
      </c>
      <c r="N972" s="110" t="s">
        <v>3697</v>
      </c>
      <c r="P972" s="104" t="s">
        <v>2987</v>
      </c>
      <c r="Q972" s="104" t="s">
        <v>63</v>
      </c>
      <c r="R972" s="120" t="s">
        <v>63</v>
      </c>
      <c r="S972" s="120" t="s">
        <v>2846</v>
      </c>
    </row>
    <row r="973" spans="1:20">
      <c r="A973" s="48">
        <f t="shared" si="15"/>
        <v>972</v>
      </c>
      <c r="B973" s="107">
        <v>45841</v>
      </c>
      <c r="C973" s="48" t="s">
        <v>293</v>
      </c>
      <c r="D973" s="48" t="s">
        <v>293</v>
      </c>
      <c r="F973" s="106" t="s">
        <v>3698</v>
      </c>
      <c r="G973" s="114">
        <v>8480000000</v>
      </c>
      <c r="H973" s="115" t="s">
        <v>3699</v>
      </c>
      <c r="J973" s="48" t="s">
        <v>670</v>
      </c>
      <c r="L973" s="106" t="s">
        <v>2718</v>
      </c>
      <c r="M973" s="106" t="s">
        <v>3700</v>
      </c>
      <c r="N973" s="261" t="s">
        <v>3060</v>
      </c>
      <c r="P973" s="106" t="s">
        <v>2413</v>
      </c>
      <c r="Q973" s="106" t="s">
        <v>63</v>
      </c>
      <c r="R973" s="121" t="s">
        <v>63</v>
      </c>
      <c r="S973" s="121" t="s">
        <v>3701</v>
      </c>
    </row>
    <row r="974" spans="1:20">
      <c r="A974" s="48">
        <f t="shared" si="15"/>
        <v>973</v>
      </c>
      <c r="B974" s="109">
        <v>45841</v>
      </c>
      <c r="C974" s="48" t="s">
        <v>3412</v>
      </c>
      <c r="D974" s="48" t="s">
        <v>3412</v>
      </c>
      <c r="F974" s="108" t="s">
        <v>3702</v>
      </c>
      <c r="G974" s="116">
        <v>7390000000</v>
      </c>
      <c r="H974" s="117" t="s">
        <v>3703</v>
      </c>
      <c r="J974" s="48" t="s">
        <v>670</v>
      </c>
      <c r="L974" s="108" t="s">
        <v>2718</v>
      </c>
      <c r="M974" s="108" t="s">
        <v>3704</v>
      </c>
      <c r="N974" s="262" t="s">
        <v>3066</v>
      </c>
      <c r="P974" s="108" t="s">
        <v>2497</v>
      </c>
      <c r="Q974" s="108" t="s">
        <v>63</v>
      </c>
      <c r="R974" s="117" t="s">
        <v>63</v>
      </c>
      <c r="S974" s="117" t="s">
        <v>3705</v>
      </c>
    </row>
    <row r="975" spans="1:20">
      <c r="A975" s="48">
        <f t="shared" si="15"/>
        <v>974</v>
      </c>
      <c r="B975" s="111">
        <v>45841</v>
      </c>
      <c r="C975" s="48" t="s">
        <v>3412</v>
      </c>
      <c r="D975" s="48" t="s">
        <v>3412</v>
      </c>
      <c r="F975" s="110" t="s">
        <v>3706</v>
      </c>
      <c r="G975" s="118">
        <v>7600000000</v>
      </c>
      <c r="H975" s="119" t="s">
        <v>3707</v>
      </c>
      <c r="J975" s="48" t="s">
        <v>670</v>
      </c>
      <c r="L975" s="110" t="s">
        <v>2845</v>
      </c>
      <c r="M975" s="110" t="s">
        <v>3708</v>
      </c>
      <c r="N975" s="261" t="s">
        <v>3060</v>
      </c>
      <c r="P975" s="110" t="s">
        <v>2498</v>
      </c>
      <c r="Q975" s="110" t="s">
        <v>2614</v>
      </c>
      <c r="R975" s="122" t="s">
        <v>63</v>
      </c>
      <c r="S975" s="122" t="s">
        <v>2981</v>
      </c>
    </row>
    <row r="976" spans="1:20">
      <c r="A976" s="48">
        <f t="shared" si="15"/>
        <v>975</v>
      </c>
      <c r="B976" s="111">
        <v>45841</v>
      </c>
      <c r="C976" s="48" t="s">
        <v>293</v>
      </c>
      <c r="D976" s="48" t="s">
        <v>293</v>
      </c>
      <c r="F976" s="110" t="s">
        <v>3709</v>
      </c>
      <c r="G976" s="118">
        <v>9770000000</v>
      </c>
      <c r="H976" s="119" t="s">
        <v>3710</v>
      </c>
      <c r="J976" s="48" t="s">
        <v>670</v>
      </c>
      <c r="L976" s="110" t="s">
        <v>2911</v>
      </c>
      <c r="M976" s="110" t="s">
        <v>3711</v>
      </c>
      <c r="N976" s="262" t="s">
        <v>3066</v>
      </c>
      <c r="P976" s="110" t="s">
        <v>2586</v>
      </c>
      <c r="Q976" s="110" t="s">
        <v>63</v>
      </c>
      <c r="R976" s="122" t="s">
        <v>63</v>
      </c>
      <c r="S976" s="122" t="s">
        <v>3705</v>
      </c>
    </row>
    <row r="977" spans="1:19">
      <c r="A977" s="48">
        <f t="shared" si="15"/>
        <v>976</v>
      </c>
      <c r="B977" s="111">
        <v>45841</v>
      </c>
      <c r="C977" s="48" t="s">
        <v>293</v>
      </c>
      <c r="D977" s="48" t="s">
        <v>293</v>
      </c>
      <c r="F977" s="110" t="s">
        <v>3712</v>
      </c>
      <c r="G977" s="118">
        <v>8480000000</v>
      </c>
      <c r="H977" s="119" t="s">
        <v>3713</v>
      </c>
      <c r="J977" s="48" t="s">
        <v>670</v>
      </c>
      <c r="L977" s="110" t="s">
        <v>2718</v>
      </c>
      <c r="M977" s="110" t="s">
        <v>3714</v>
      </c>
      <c r="N977" s="110" t="s">
        <v>3697</v>
      </c>
      <c r="P977" s="110" t="s">
        <v>2428</v>
      </c>
      <c r="Q977" s="110" t="s">
        <v>459</v>
      </c>
      <c r="R977" s="122" t="s">
        <v>63</v>
      </c>
      <c r="S977" s="122" t="s">
        <v>3715</v>
      </c>
    </row>
    <row r="978" spans="1:19">
      <c r="A978" s="48">
        <f t="shared" si="15"/>
        <v>977</v>
      </c>
      <c r="B978" s="124">
        <v>45863</v>
      </c>
      <c r="C978" s="48" t="s">
        <v>293</v>
      </c>
      <c r="D978" s="48" t="s">
        <v>293</v>
      </c>
      <c r="F978" s="123" t="s">
        <v>3716</v>
      </c>
      <c r="G978" s="132">
        <v>6010000000</v>
      </c>
      <c r="H978" s="133" t="s">
        <v>3717</v>
      </c>
      <c r="J978" s="129" t="s">
        <v>670</v>
      </c>
      <c r="L978" s="123" t="s">
        <v>2489</v>
      </c>
      <c r="M978" s="123" t="s">
        <v>3718</v>
      </c>
      <c r="N978" s="123" t="s">
        <v>3719</v>
      </c>
      <c r="P978" s="123" t="s">
        <v>3011</v>
      </c>
      <c r="Q978" s="133" t="s">
        <v>63</v>
      </c>
      <c r="R978" s="133" t="s">
        <v>63</v>
      </c>
      <c r="S978" s="133" t="s">
        <v>2836</v>
      </c>
    </row>
    <row r="979" spans="1:19">
      <c r="A979" s="48">
        <f t="shared" si="15"/>
        <v>978</v>
      </c>
      <c r="B979" s="126">
        <v>45863</v>
      </c>
      <c r="C979" s="48" t="s">
        <v>3412</v>
      </c>
      <c r="D979" s="48" t="s">
        <v>3412</v>
      </c>
      <c r="F979" s="125" t="s">
        <v>3720</v>
      </c>
      <c r="G979" s="134">
        <v>8110000000</v>
      </c>
      <c r="H979" s="135" t="s">
        <v>3721</v>
      </c>
      <c r="J979" s="130" t="s">
        <v>670</v>
      </c>
      <c r="L979" s="125" t="s">
        <v>3722</v>
      </c>
      <c r="M979" s="125" t="s">
        <v>3723</v>
      </c>
      <c r="N979" s="125" t="s">
        <v>2490</v>
      </c>
      <c r="P979" s="125" t="s">
        <v>3004</v>
      </c>
      <c r="Q979" s="138" t="s">
        <v>890</v>
      </c>
      <c r="R979" s="138" t="s">
        <v>63</v>
      </c>
      <c r="S979" s="138" t="s">
        <v>2702</v>
      </c>
    </row>
    <row r="980" spans="1:19">
      <c r="A980" s="48">
        <f t="shared" si="15"/>
        <v>979</v>
      </c>
      <c r="B980" s="128">
        <v>45863</v>
      </c>
      <c r="C980" s="48" t="s">
        <v>293</v>
      </c>
      <c r="D980" s="48" t="s">
        <v>293</v>
      </c>
      <c r="F980" s="127" t="s">
        <v>3724</v>
      </c>
      <c r="G980" s="136">
        <v>9980000000</v>
      </c>
      <c r="H980" s="137" t="s">
        <v>3725</v>
      </c>
      <c r="J980" s="131" t="s">
        <v>670</v>
      </c>
      <c r="L980" s="127" t="s">
        <v>3726</v>
      </c>
      <c r="M980" s="127" t="s">
        <v>3727</v>
      </c>
      <c r="N980" s="127" t="s">
        <v>2715</v>
      </c>
      <c r="P980" s="127" t="s">
        <v>2576</v>
      </c>
      <c r="Q980" s="139" t="s">
        <v>63</v>
      </c>
      <c r="R980" s="139" t="s">
        <v>63</v>
      </c>
      <c r="S980" s="139" t="s">
        <v>2702</v>
      </c>
    </row>
    <row r="981" spans="1:19">
      <c r="A981" s="48">
        <f t="shared" si="15"/>
        <v>980</v>
      </c>
      <c r="B981" s="124">
        <v>45868</v>
      </c>
      <c r="C981" s="48" t="s">
        <v>293</v>
      </c>
      <c r="D981" s="48" t="s">
        <v>293</v>
      </c>
      <c r="F981" s="123" t="s">
        <v>3728</v>
      </c>
      <c r="G981" s="132">
        <v>9770000000</v>
      </c>
      <c r="H981" s="113" t="s">
        <v>3729</v>
      </c>
      <c r="J981" s="130" t="s">
        <v>670</v>
      </c>
      <c r="L981" s="123" t="s">
        <v>3730</v>
      </c>
      <c r="M981" s="123" t="s">
        <v>3731</v>
      </c>
      <c r="N981" s="123" t="s">
        <v>3732</v>
      </c>
      <c r="P981" s="123" t="s">
        <v>3066</v>
      </c>
      <c r="Q981" s="133" t="s">
        <v>63</v>
      </c>
      <c r="R981" s="133" t="s">
        <v>63</v>
      </c>
      <c r="S981" s="133" t="s">
        <v>3733</v>
      </c>
    </row>
    <row r="982" spans="1:19">
      <c r="A982" s="48">
        <f t="shared" si="15"/>
        <v>981</v>
      </c>
      <c r="B982" s="141">
        <v>45868</v>
      </c>
      <c r="C982" s="48" t="s">
        <v>3412</v>
      </c>
      <c r="D982" s="48" t="s">
        <v>3412</v>
      </c>
      <c r="F982" s="140" t="s">
        <v>3309</v>
      </c>
      <c r="G982" s="140">
        <v>8149004435</v>
      </c>
      <c r="H982" s="142" t="s">
        <v>3734</v>
      </c>
      <c r="J982" s="130" t="s">
        <v>670</v>
      </c>
      <c r="L982" s="140" t="s">
        <v>2907</v>
      </c>
      <c r="M982" s="140" t="s">
        <v>3735</v>
      </c>
      <c r="N982" s="140" t="s">
        <v>3736</v>
      </c>
      <c r="P982" s="140" t="s">
        <v>2987</v>
      </c>
      <c r="Q982" s="143" t="s">
        <v>63</v>
      </c>
      <c r="R982" s="143" t="s">
        <v>63</v>
      </c>
      <c r="S982" s="143" t="s">
        <v>3737</v>
      </c>
    </row>
    <row r="983" spans="1:19">
      <c r="A983" s="48">
        <f t="shared" si="15"/>
        <v>982</v>
      </c>
      <c r="B983" s="126">
        <v>45868</v>
      </c>
      <c r="C983" s="48" t="s">
        <v>3412</v>
      </c>
      <c r="D983" s="48" t="s">
        <v>3412</v>
      </c>
      <c r="F983" s="125" t="s">
        <v>3738</v>
      </c>
      <c r="G983" s="134">
        <v>8060000000</v>
      </c>
      <c r="H983" s="135" t="s">
        <v>3739</v>
      </c>
      <c r="J983" s="130" t="s">
        <v>670</v>
      </c>
      <c r="L983" s="125" t="s">
        <v>3064</v>
      </c>
      <c r="M983" s="125" t="s">
        <v>3740</v>
      </c>
      <c r="N983" s="125" t="s">
        <v>2497</v>
      </c>
      <c r="P983" s="125" t="s">
        <v>2586</v>
      </c>
      <c r="Q983" s="138" t="s">
        <v>63</v>
      </c>
      <c r="R983" s="138" t="s">
        <v>63</v>
      </c>
      <c r="S983" s="138" t="s">
        <v>3109</v>
      </c>
    </row>
    <row r="984" spans="1:19">
      <c r="A984" s="48">
        <f t="shared" si="15"/>
        <v>983</v>
      </c>
      <c r="B984" s="128">
        <v>45868</v>
      </c>
      <c r="C984" s="48" t="s">
        <v>3412</v>
      </c>
      <c r="D984" s="48" t="s">
        <v>3412</v>
      </c>
      <c r="F984" s="127" t="s">
        <v>3741</v>
      </c>
      <c r="G984" s="127" t="s">
        <v>3742</v>
      </c>
      <c r="H984" s="137" t="s">
        <v>3743</v>
      </c>
      <c r="J984" s="130" t="s">
        <v>670</v>
      </c>
      <c r="L984" s="127" t="s">
        <v>2718</v>
      </c>
      <c r="M984" s="127" t="s">
        <v>3744</v>
      </c>
      <c r="N984" s="127" t="s">
        <v>3745</v>
      </c>
      <c r="P984" s="127" t="s">
        <v>2497</v>
      </c>
      <c r="Q984" s="139" t="s">
        <v>63</v>
      </c>
      <c r="R984" s="139" t="s">
        <v>63</v>
      </c>
      <c r="S984" s="139" t="s">
        <v>3746</v>
      </c>
    </row>
    <row r="985" spans="1:19">
      <c r="A985" s="48">
        <f t="shared" si="15"/>
        <v>984</v>
      </c>
      <c r="B985" s="128">
        <v>45868</v>
      </c>
      <c r="C985" s="48" t="s">
        <v>3412</v>
      </c>
      <c r="D985" s="48" t="s">
        <v>3412</v>
      </c>
      <c r="F985" s="127" t="s">
        <v>3747</v>
      </c>
      <c r="G985" s="127" t="s">
        <v>3748</v>
      </c>
      <c r="H985" s="137" t="s">
        <v>3749</v>
      </c>
      <c r="J985" s="130" t="s">
        <v>670</v>
      </c>
      <c r="L985" s="127" t="s">
        <v>2911</v>
      </c>
      <c r="M985" s="127" t="s">
        <v>3750</v>
      </c>
      <c r="N985" s="127" t="s">
        <v>2715</v>
      </c>
      <c r="P985" s="127" t="s">
        <v>2497</v>
      </c>
      <c r="Q985" s="139" t="s">
        <v>63</v>
      </c>
      <c r="R985" s="139" t="s">
        <v>63</v>
      </c>
      <c r="S985" s="139" t="s">
        <v>2981</v>
      </c>
    </row>
    <row r="986" spans="1:19">
      <c r="A986" s="48">
        <f t="shared" si="15"/>
        <v>985</v>
      </c>
      <c r="B986" s="145">
        <v>45972</v>
      </c>
      <c r="C986" s="48" t="s">
        <v>293</v>
      </c>
      <c r="D986" s="48" t="s">
        <v>293</v>
      </c>
      <c r="F986" s="144" t="s">
        <v>3751</v>
      </c>
      <c r="G986" s="48" t="s">
        <v>3752</v>
      </c>
      <c r="H986" s="48" t="s">
        <v>3753</v>
      </c>
      <c r="J986" s="261" t="s">
        <v>3754</v>
      </c>
      <c r="L986" s="144" t="s">
        <v>2911</v>
      </c>
      <c r="M986" s="144" t="s">
        <v>3755</v>
      </c>
      <c r="N986" s="144" t="s">
        <v>2576</v>
      </c>
      <c r="P986" s="144" t="s">
        <v>3011</v>
      </c>
      <c r="Q986" s="144" t="s">
        <v>63</v>
      </c>
      <c r="R986" s="146" t="s">
        <v>63</v>
      </c>
      <c r="S986" s="144" t="s">
        <v>2779</v>
      </c>
    </row>
    <row r="987" spans="1:19">
      <c r="A987" s="48">
        <f t="shared" si="15"/>
        <v>986</v>
      </c>
      <c r="B987" s="263">
        <v>45972</v>
      </c>
      <c r="C987" s="48" t="s">
        <v>293</v>
      </c>
      <c r="D987" s="48" t="s">
        <v>293</v>
      </c>
      <c r="F987" s="262" t="s">
        <v>3756</v>
      </c>
      <c r="G987" s="48">
        <v>8286811435</v>
      </c>
      <c r="H987" s="48" t="s">
        <v>3757</v>
      </c>
      <c r="J987" s="261" t="s">
        <v>3754</v>
      </c>
      <c r="L987" s="262" t="s">
        <v>2911</v>
      </c>
      <c r="M987" s="262" t="s">
        <v>3758</v>
      </c>
      <c r="N987" s="262" t="s">
        <v>3555</v>
      </c>
      <c r="P987" s="262" t="s">
        <v>2491</v>
      </c>
      <c r="Q987" s="262" t="s">
        <v>63</v>
      </c>
      <c r="R987" s="264" t="s">
        <v>63</v>
      </c>
      <c r="S987" s="262" t="s">
        <v>2702</v>
      </c>
    </row>
    <row r="988" spans="1:19">
      <c r="A988" s="48">
        <f t="shared" si="15"/>
        <v>987</v>
      </c>
      <c r="B988" s="263">
        <v>45972</v>
      </c>
      <c r="C988" s="48" t="s">
        <v>293</v>
      </c>
      <c r="D988" s="48" t="s">
        <v>293</v>
      </c>
      <c r="F988" s="262" t="s">
        <v>3759</v>
      </c>
      <c r="G988" s="48">
        <v>9619093431</v>
      </c>
      <c r="H988" s="48" t="s">
        <v>3760</v>
      </c>
      <c r="J988" s="261" t="s">
        <v>3754</v>
      </c>
      <c r="L988" s="262" t="s">
        <v>2977</v>
      </c>
      <c r="M988" s="262" t="s">
        <v>3761</v>
      </c>
      <c r="N988" s="262" t="s">
        <v>3762</v>
      </c>
      <c r="P988" s="262" t="s">
        <v>3004</v>
      </c>
      <c r="Q988" s="262" t="s">
        <v>63</v>
      </c>
      <c r="R988" s="264" t="s">
        <v>63</v>
      </c>
      <c r="S988" s="262" t="s">
        <v>2779</v>
      </c>
    </row>
    <row r="989" spans="1:19">
      <c r="A989" s="48">
        <f t="shared" si="15"/>
        <v>988</v>
      </c>
      <c r="B989" s="265">
        <v>45972</v>
      </c>
      <c r="C989" s="48" t="s">
        <v>293</v>
      </c>
      <c r="D989" s="48" t="s">
        <v>293</v>
      </c>
      <c r="F989" s="266" t="s">
        <v>3763</v>
      </c>
      <c r="G989" s="48">
        <v>7276631606</v>
      </c>
      <c r="H989" s="48" t="s">
        <v>3764</v>
      </c>
      <c r="J989" s="261" t="s">
        <v>3754</v>
      </c>
      <c r="L989" s="266" t="s">
        <v>3029</v>
      </c>
      <c r="M989" s="266" t="s">
        <v>869</v>
      </c>
      <c r="N989" s="266" t="s">
        <v>2490</v>
      </c>
      <c r="P989" s="266" t="s">
        <v>2491</v>
      </c>
      <c r="Q989" s="266" t="s">
        <v>63</v>
      </c>
      <c r="R989" s="267" t="s">
        <v>63</v>
      </c>
      <c r="S989" s="266" t="s">
        <v>2702</v>
      </c>
    </row>
    <row r="990" spans="1:19">
      <c r="A990" s="48">
        <f t="shared" si="15"/>
        <v>989</v>
      </c>
      <c r="B990" s="263">
        <v>45972</v>
      </c>
      <c r="C990" s="48" t="s">
        <v>3412</v>
      </c>
      <c r="D990" s="48" t="s">
        <v>3412</v>
      </c>
      <c r="F990" s="262" t="s">
        <v>3765</v>
      </c>
      <c r="G990" s="48">
        <v>7208586482</v>
      </c>
      <c r="H990" s="48" t="s">
        <v>3766</v>
      </c>
      <c r="J990" s="261" t="s">
        <v>3754</v>
      </c>
      <c r="L990" s="262" t="s">
        <v>2977</v>
      </c>
      <c r="M990" s="262" t="s">
        <v>3767</v>
      </c>
      <c r="N990" s="262" t="s">
        <v>2498</v>
      </c>
      <c r="P990" s="262" t="s">
        <v>2491</v>
      </c>
      <c r="Q990" s="262" t="s">
        <v>63</v>
      </c>
      <c r="R990" s="264" t="s">
        <v>63</v>
      </c>
      <c r="S990" s="262" t="s">
        <v>3768</v>
      </c>
    </row>
    <row r="991" spans="1:19">
      <c r="A991" s="48">
        <f t="shared" si="15"/>
        <v>990</v>
      </c>
      <c r="B991" s="263">
        <v>45972</v>
      </c>
      <c r="C991" s="48" t="s">
        <v>3412</v>
      </c>
      <c r="D991" s="48" t="s">
        <v>3412</v>
      </c>
      <c r="F991" s="262" t="s">
        <v>3769</v>
      </c>
      <c r="G991" s="48">
        <v>9762110533</v>
      </c>
      <c r="H991" s="48" t="s">
        <v>3770</v>
      </c>
      <c r="J991" s="261" t="s">
        <v>3754</v>
      </c>
      <c r="L991" s="262" t="s">
        <v>3022</v>
      </c>
      <c r="M991" s="262" t="s">
        <v>3771</v>
      </c>
      <c r="N991" s="262" t="s">
        <v>3772</v>
      </c>
      <c r="P991" s="262" t="s">
        <v>3773</v>
      </c>
      <c r="Q991" s="262" t="s">
        <v>63</v>
      </c>
      <c r="R991" s="264" t="s">
        <v>63</v>
      </c>
      <c r="S991" s="262" t="s">
        <v>2744</v>
      </c>
    </row>
    <row r="992" spans="1:19">
      <c r="A992" s="48">
        <f t="shared" si="15"/>
        <v>991</v>
      </c>
      <c r="B992" s="263">
        <v>45972</v>
      </c>
      <c r="C992" s="48" t="s">
        <v>3339</v>
      </c>
      <c r="D992" s="48" t="s">
        <v>3339</v>
      </c>
      <c r="F992" s="262" t="s">
        <v>3774</v>
      </c>
      <c r="G992" s="48">
        <v>7678002764</v>
      </c>
      <c r="H992" s="48" t="s">
        <v>3775</v>
      </c>
      <c r="J992" s="261" t="s">
        <v>3754</v>
      </c>
      <c r="L992" s="262" t="s">
        <v>2911</v>
      </c>
      <c r="M992" s="262" t="s">
        <v>3776</v>
      </c>
      <c r="N992" s="262" t="s">
        <v>3777</v>
      </c>
      <c r="P992" s="262" t="s">
        <v>2987</v>
      </c>
      <c r="Q992" s="262" t="s">
        <v>63</v>
      </c>
      <c r="R992" s="264" t="s">
        <v>63</v>
      </c>
      <c r="S992" s="262" t="s">
        <v>3778</v>
      </c>
    </row>
    <row r="993" spans="1:19">
      <c r="A993" s="48">
        <f t="shared" si="15"/>
        <v>992</v>
      </c>
      <c r="B993" s="263">
        <v>45972</v>
      </c>
      <c r="C993" s="48" t="s">
        <v>3339</v>
      </c>
      <c r="D993" s="48" t="s">
        <v>3339</v>
      </c>
      <c r="F993" s="262" t="s">
        <v>3779</v>
      </c>
      <c r="G993" s="48">
        <v>9689436639</v>
      </c>
      <c r="H993" s="48" t="s">
        <v>3780</v>
      </c>
      <c r="J993" s="261" t="s">
        <v>3754</v>
      </c>
      <c r="L993" s="262" t="s">
        <v>3781</v>
      </c>
      <c r="M993" s="262" t="s">
        <v>3782</v>
      </c>
      <c r="N993" s="262" t="s">
        <v>2498</v>
      </c>
      <c r="P993" s="262" t="s">
        <v>3004</v>
      </c>
      <c r="Q993" s="262" t="s">
        <v>63</v>
      </c>
      <c r="R993" s="264" t="s">
        <v>63</v>
      </c>
      <c r="S993" s="262" t="s">
        <v>3778</v>
      </c>
    </row>
    <row r="994" spans="1:19">
      <c r="A994" s="48">
        <f t="shared" si="15"/>
        <v>993</v>
      </c>
      <c r="B994" s="265">
        <v>45972</v>
      </c>
      <c r="C994" s="48" t="s">
        <v>209</v>
      </c>
      <c r="D994" s="48" t="s">
        <v>209</v>
      </c>
      <c r="F994" s="266" t="s">
        <v>3783</v>
      </c>
      <c r="G994" s="48">
        <v>9769148869</v>
      </c>
      <c r="H994" s="48" t="s">
        <v>3784</v>
      </c>
      <c r="J994" s="261" t="s">
        <v>3754</v>
      </c>
      <c r="L994" s="266" t="s">
        <v>3785</v>
      </c>
      <c r="M994" s="266" t="s">
        <v>3786</v>
      </c>
      <c r="N994" s="266" t="s">
        <v>3762</v>
      </c>
      <c r="P994" s="266" t="s">
        <v>2498</v>
      </c>
      <c r="Q994" s="266" t="s">
        <v>63</v>
      </c>
      <c r="R994" s="267" t="s">
        <v>63</v>
      </c>
      <c r="S994" s="266" t="s">
        <v>2744</v>
      </c>
    </row>
    <row r="995" spans="1:19">
      <c r="A995" s="48">
        <f t="shared" si="15"/>
        <v>994</v>
      </c>
      <c r="B995" s="265">
        <v>45972</v>
      </c>
      <c r="C995" s="48" t="s">
        <v>209</v>
      </c>
      <c r="D995" s="48" t="s">
        <v>209</v>
      </c>
      <c r="F995" s="266" t="s">
        <v>3787</v>
      </c>
      <c r="G995" s="48">
        <v>9075708457</v>
      </c>
      <c r="H995" s="48" t="s">
        <v>3788</v>
      </c>
      <c r="J995" s="261" t="s">
        <v>3754</v>
      </c>
      <c r="L995" s="266" t="s">
        <v>2977</v>
      </c>
      <c r="M995" s="266" t="s">
        <v>3789</v>
      </c>
      <c r="N995" s="266" t="s">
        <v>3011</v>
      </c>
      <c r="P995" s="266" t="s">
        <v>3790</v>
      </c>
      <c r="Q995" s="266" t="s">
        <v>63</v>
      </c>
      <c r="R995" s="267" t="s">
        <v>63</v>
      </c>
      <c r="S995" s="266" t="s">
        <v>3778</v>
      </c>
    </row>
    <row r="996" spans="1:19">
      <c r="A996" s="48">
        <f t="shared" si="15"/>
        <v>995</v>
      </c>
      <c r="B996" s="148">
        <v>45973</v>
      </c>
      <c r="C996" s="48" t="s">
        <v>3365</v>
      </c>
      <c r="D996" s="48" t="s">
        <v>3365</v>
      </c>
      <c r="F996" s="147" t="s">
        <v>3791</v>
      </c>
      <c r="G996" s="147">
        <v>9638649042</v>
      </c>
      <c r="H996" s="47" t="s">
        <v>3792</v>
      </c>
      <c r="L996" s="147" t="s">
        <v>3009</v>
      </c>
      <c r="M996" s="147" t="s">
        <v>1206</v>
      </c>
      <c r="N996" s="147" t="s">
        <v>3394</v>
      </c>
      <c r="P996" s="147" t="s">
        <v>3793</v>
      </c>
      <c r="Q996" s="147" t="s">
        <v>3794</v>
      </c>
      <c r="R996" s="151" t="s">
        <v>63</v>
      </c>
      <c r="S996" s="147" t="s">
        <v>3109</v>
      </c>
    </row>
    <row r="997" spans="1:19">
      <c r="A997" s="48">
        <f t="shared" si="15"/>
        <v>996</v>
      </c>
      <c r="B997" s="89">
        <v>45973</v>
      </c>
      <c r="C997" s="48" t="s">
        <v>3365</v>
      </c>
      <c r="D997" s="48" t="s">
        <v>3365</v>
      </c>
      <c r="F997" s="88" t="s">
        <v>3795</v>
      </c>
      <c r="G997" s="88">
        <v>7678457597</v>
      </c>
      <c r="H997" s="150" t="s">
        <v>3796</v>
      </c>
      <c r="L997" s="88" t="s">
        <v>3009</v>
      </c>
      <c r="M997" s="88" t="s">
        <v>3797</v>
      </c>
      <c r="N997" s="88" t="s">
        <v>2413</v>
      </c>
      <c r="P997" s="88" t="s">
        <v>2498</v>
      </c>
      <c r="Q997" s="88" t="s">
        <v>3798</v>
      </c>
      <c r="R997" s="99" t="s">
        <v>63</v>
      </c>
      <c r="S997" s="88" t="s">
        <v>3109</v>
      </c>
    </row>
    <row r="998" spans="1:19">
      <c r="A998" s="48">
        <f t="shared" si="15"/>
        <v>997</v>
      </c>
      <c r="B998" s="89">
        <v>45973</v>
      </c>
      <c r="C998" s="48" t="s">
        <v>667</v>
      </c>
      <c r="D998" s="48" t="s">
        <v>667</v>
      </c>
      <c r="F998" s="88" t="s">
        <v>3799</v>
      </c>
      <c r="G998" s="88">
        <v>9886101256</v>
      </c>
      <c r="H998" s="99" t="s">
        <v>3800</v>
      </c>
      <c r="L998" s="88" t="s">
        <v>3022</v>
      </c>
      <c r="M998" s="88" t="s">
        <v>3801</v>
      </c>
      <c r="N998" s="88" t="s">
        <v>2987</v>
      </c>
      <c r="P998" s="88" t="s">
        <v>2490</v>
      </c>
      <c r="Q998" s="88" t="s">
        <v>3429</v>
      </c>
      <c r="R998" s="99" t="s">
        <v>63</v>
      </c>
      <c r="S998" s="88" t="s">
        <v>2846</v>
      </c>
    </row>
    <row r="999" spans="1:19">
      <c r="A999" s="48">
        <f t="shared" si="15"/>
        <v>998</v>
      </c>
      <c r="B999" s="89">
        <v>45973</v>
      </c>
      <c r="C999" s="48" t="s">
        <v>293</v>
      </c>
      <c r="F999" s="88" t="s">
        <v>3802</v>
      </c>
      <c r="G999" s="88" t="s">
        <v>3803</v>
      </c>
      <c r="H999" s="99" t="s">
        <v>3804</v>
      </c>
      <c r="L999" s="88" t="s">
        <v>3009</v>
      </c>
      <c r="M999" s="88" t="s">
        <v>365</v>
      </c>
      <c r="N999" s="88" t="s">
        <v>2586</v>
      </c>
      <c r="P999" s="88" t="s">
        <v>2491</v>
      </c>
      <c r="Q999" s="88" t="s">
        <v>63</v>
      </c>
      <c r="R999" s="99" t="s">
        <v>63</v>
      </c>
      <c r="S999" s="88" t="s">
        <v>3109</v>
      </c>
    </row>
    <row r="1000" spans="1:19">
      <c r="A1000" s="48">
        <f t="shared" si="15"/>
        <v>999</v>
      </c>
      <c r="B1000" s="89">
        <v>45973</v>
      </c>
      <c r="C1000" s="48" t="s">
        <v>293</v>
      </c>
      <c r="F1000" s="88" t="s">
        <v>3805</v>
      </c>
      <c r="G1000" s="149" t="s">
        <v>3806</v>
      </c>
      <c r="H1000" s="99" t="s">
        <v>3807</v>
      </c>
      <c r="L1000" s="88" t="s">
        <v>2977</v>
      </c>
      <c r="M1000" s="88" t="s">
        <v>3808</v>
      </c>
      <c r="N1000" s="88" t="s">
        <v>3809</v>
      </c>
      <c r="P1000" s="88" t="s">
        <v>2491</v>
      </c>
      <c r="Q1000" s="88" t="s">
        <v>63</v>
      </c>
      <c r="R1000" s="99" t="s">
        <v>63</v>
      </c>
      <c r="S1000" s="88" t="s">
        <v>3109</v>
      </c>
    </row>
    <row r="4967" spans="1:1">
      <c r="A4967" s="48">
        <v>1</v>
      </c>
    </row>
  </sheetData>
  <conditionalFormatting sqref="G550:H550">
    <cfRule type="duplicateValues" dxfId="16" priority="29"/>
  </conditionalFormatting>
  <conditionalFormatting sqref="J517:J528 J553:J556 J896:J909 J959:J977 J996:J1048576 J782:J893">
    <cfRule type="duplicateValues" dxfId="15" priority="2"/>
  </conditionalFormatting>
  <hyperlinks>
    <hyperlink ref="H423" r:id="rId1" xr:uid="{A5909D03-AB3F-45F6-909D-291E5C455C8B}"/>
    <hyperlink ref="H422" r:id="rId2" xr:uid="{B84F37D2-91D8-4421-B878-757937466DFB}"/>
    <hyperlink ref="H312" r:id="rId3" xr:uid="{F19122A5-CB8E-499C-8B6E-EE0EFA626CAC}"/>
    <hyperlink ref="H313" r:id="rId4" xr:uid="{94D44466-7352-4D05-B875-C73A8935DB19}"/>
    <hyperlink ref="H314" r:id="rId5" xr:uid="{D187F156-CDC5-4DB9-8AE4-6D597FBF8C89}"/>
    <hyperlink ref="H315" r:id="rId6" xr:uid="{537A7160-E9BA-44D6-B319-2D6EE1ADAE65}"/>
    <hyperlink ref="H316" r:id="rId7" xr:uid="{37FF8600-B039-4DFF-BEB5-8F6DF14162C0}"/>
    <hyperlink ref="H317" r:id="rId8" xr:uid="{91373BF3-7DF2-4894-9E06-D5D774CDE7FB}"/>
    <hyperlink ref="H318" r:id="rId9" xr:uid="{37E95E7D-EC29-4422-B437-E62101C443F4}"/>
    <hyperlink ref="H319" r:id="rId10" xr:uid="{B986ACDC-17D5-44BA-8F5B-09E816F992FF}"/>
    <hyperlink ref="H320" r:id="rId11" xr:uid="{D4AB9763-05ED-4F6D-878B-ECB6DFF0EEE4}"/>
    <hyperlink ref="H321" r:id="rId12" xr:uid="{7F056927-7258-416C-A9C6-2C27CAA52E53}"/>
    <hyperlink ref="H111" r:id="rId13" xr:uid="{8384FF48-3D40-480E-80A2-ED13ABB8E949}"/>
    <hyperlink ref="H157" r:id="rId14" xr:uid="{71CD32DC-E51A-4C2C-8AA5-BBFEE8EF7928}"/>
    <hyperlink ref="H169" r:id="rId15" xr:uid="{8D392EEF-573B-4215-BEF9-C7CB2030F17A}"/>
    <hyperlink ref="H182" r:id="rId16" xr:uid="{940A50CF-31B2-472D-9B48-47AC9F9E8C21}"/>
    <hyperlink ref="H32" r:id="rId17" xr:uid="{DB4E2D0A-7262-4817-9603-AC4F9B735DC1}"/>
    <hyperlink ref="H46" r:id="rId18" xr:uid="{9F60F8DC-BE6A-41E4-8A66-738937F376C2}"/>
    <hyperlink ref="H41" r:id="rId19" xr:uid="{3BD8C0D7-F67B-486E-A987-D2E66118CEDE}"/>
    <hyperlink ref="H61" r:id="rId20" xr:uid="{CDF8CD3E-52CA-4F43-B026-6F1E96822723}"/>
    <hyperlink ref="H62" r:id="rId21" xr:uid="{AC444C16-1D87-4500-8507-2A9A4D066979}"/>
    <hyperlink ref="H64" r:id="rId22" xr:uid="{4E48174C-CFFC-4E23-98A5-38572E073532}"/>
    <hyperlink ref="H221" r:id="rId23" xr:uid="{313A85FA-B2FD-486A-90AD-64D085466476}"/>
    <hyperlink ref="H156" r:id="rId24" xr:uid="{9BB7BE71-A0CD-4D6B-A5FD-803B2A778964}"/>
    <hyperlink ref="H487" r:id="rId25" xr:uid="{81F0398D-1C21-4430-97CA-E308916BD2D6}"/>
    <hyperlink ref="H503" r:id="rId26" xr:uid="{D5A19139-98CB-4CE2-93B8-B9C7B9275F3B}"/>
    <hyperlink ref="H504" r:id="rId27" xr:uid="{2DD7E8B0-6FEE-4746-9AE0-91D1CFB9FA7F}"/>
    <hyperlink ref="H505" r:id="rId28" xr:uid="{04DB7162-4611-4069-A16F-04E98123F893}"/>
    <hyperlink ref="H507" r:id="rId29" xr:uid="{B12BDDBA-5542-4F20-BD8B-9548B920AE25}"/>
    <hyperlink ref="H511" r:id="rId30" xr:uid="{EC3555C7-96C4-492D-8BA8-38A6FE9CEB1A}"/>
    <hyperlink ref="H520" r:id="rId31" xr:uid="{57B08417-06F6-4DEF-ADFE-DF14696195A9}"/>
    <hyperlink ref="H526" r:id="rId32" xr:uid="{6BF87289-FF6B-4135-AF73-9BAF39F97C56}"/>
    <hyperlink ref="H523" r:id="rId33" xr:uid="{CB1A1111-1C33-443D-AB92-B94679DF8931}"/>
    <hyperlink ref="H529" r:id="rId34" xr:uid="{E373FA15-28FA-4C1E-827C-4E7C3AA05F4D}"/>
    <hyperlink ref="H531" r:id="rId35" xr:uid="{C3CE68C9-47EF-4645-94A0-E6D6F56BFCC7}"/>
    <hyperlink ref="H532" r:id="rId36" xr:uid="{17A34E09-8346-4ACA-9083-EF12A020FB00}"/>
    <hyperlink ref="H533" r:id="rId37" xr:uid="{F4367E74-3BEE-4E41-9F6F-2E9D6BD734C1}"/>
    <hyperlink ref="H534" r:id="rId38" xr:uid="{F808C465-C950-4C86-802C-1E5DEFFE9036}"/>
    <hyperlink ref="H535" r:id="rId39" xr:uid="{96376584-E28D-475E-A676-689FD22CABC9}"/>
    <hyperlink ref="H536" r:id="rId40" xr:uid="{C2122BFA-B55E-4149-986A-1967A037A502}"/>
    <hyperlink ref="H538" r:id="rId41" xr:uid="{F44B33EF-9D3D-40D1-A999-D088D304F403}"/>
    <hyperlink ref="H544" r:id="rId42" xr:uid="{AC228656-A8BA-4B9A-B242-AC00705931EA}"/>
    <hyperlink ref="H550" r:id="rId43" xr:uid="{D7B4F552-65E0-447A-863D-A9C85D4018FF}"/>
    <hyperlink ref="H551" r:id="rId44" tooltip="mailto:akshaywajge56@gmail.com" display="mailto:akshaywajge56@gmail.com" xr:uid="{8C1FF69B-3347-4F90-B7D8-EABDA21491FA}"/>
    <hyperlink ref="H560" r:id="rId45" xr:uid="{C367E904-637B-4A98-8C38-CF4ABC57870C}"/>
    <hyperlink ref="H569" r:id="rId46" xr:uid="{9EF50BEB-774B-4EB5-B533-D2FF71E546BA}"/>
    <hyperlink ref="H570" r:id="rId47" xr:uid="{4842FD43-F4B8-4BF8-8FF4-A96015881141}"/>
    <hyperlink ref="H576" r:id="rId48" xr:uid="{985F0AD8-BB8E-4DD6-B407-42361B9D1C3B}"/>
    <hyperlink ref="H577" r:id="rId49" xr:uid="{7F3A40D2-D4FF-4116-AE19-924CE9C0B4B2}"/>
    <hyperlink ref="H578" r:id="rId50" xr:uid="{88C7A4A5-5F80-4582-B6EE-C1910B4ADED6}"/>
    <hyperlink ref="H579" r:id="rId51" xr:uid="{223C601C-3303-48AD-9D7E-44456990D978}"/>
    <hyperlink ref="H580" r:id="rId52" xr:uid="{06A6A987-3D73-4EE4-962C-2ED450D48A07}"/>
    <hyperlink ref="H581" r:id="rId53" xr:uid="{7859627A-E9B7-4491-B66A-0FEBB6D2AA1B}"/>
    <hyperlink ref="H582" r:id="rId54" xr:uid="{3F2F0FCA-ADC6-498F-A432-98FF1B3C73BA}"/>
    <hyperlink ref="H583" r:id="rId55" xr:uid="{47D7AA5C-7CF1-481F-B7EA-B045B4D5D691}"/>
    <hyperlink ref="H596" r:id="rId56" xr:uid="{7C29217B-EEE0-44FD-9653-A5B0F4075326}"/>
    <hyperlink ref="H605" r:id="rId57" xr:uid="{67191FC0-5241-41C7-B020-5F8C51F379D4}"/>
    <hyperlink ref="H606" r:id="rId58" xr:uid="{6746324A-8F66-463A-A497-440B1EA5FEF9}"/>
    <hyperlink ref="H607" r:id="rId59" xr:uid="{EA1F8FEF-BD52-4549-91D0-DD4EBF09D7AA}"/>
    <hyperlink ref="H615" r:id="rId60" xr:uid="{50F7953F-B2BB-4935-97DD-D4F62A58968C}"/>
    <hyperlink ref="H616" r:id="rId61" xr:uid="{BC2BD3C5-EA1E-409F-9E71-031F03A9A634}"/>
    <hyperlink ref="H617" r:id="rId62" xr:uid="{C12BA77D-B359-42CC-A8E2-B6831DE970AC}"/>
    <hyperlink ref="H618" r:id="rId63" xr:uid="{32F6C542-6111-44F0-8F9F-A6EAFB0B2C87}"/>
    <hyperlink ref="H619" r:id="rId64" xr:uid="{D99D962F-F0CA-429F-A113-A433CF3E4A57}"/>
    <hyperlink ref="H620" r:id="rId65" xr:uid="{5811187B-CA99-4528-B93F-1DE942775780}"/>
    <hyperlink ref="H621" r:id="rId66" xr:uid="{F12C7F4A-14A9-4F2C-B56C-A7E0A044712C}"/>
    <hyperlink ref="H622" r:id="rId67" xr:uid="{C742AC73-1974-42D7-B2C5-013D5ABF9A56}"/>
    <hyperlink ref="H623" r:id="rId68" xr:uid="{59FB2021-7592-4B90-9037-E29D2AAF739A}"/>
    <hyperlink ref="H624" r:id="rId69" xr:uid="{66740586-428D-4DAF-A90D-9740BF577E7D}"/>
    <hyperlink ref="H625" r:id="rId70" xr:uid="{93958847-546A-4FD9-BAFE-093620C6DB78}"/>
    <hyperlink ref="H626" r:id="rId71" xr:uid="{B4E477B4-8F84-4F25-A8C9-8467617C6615}"/>
    <hyperlink ref="H627" r:id="rId72" xr:uid="{21990F16-2A29-4384-89C7-32F9E3117E51}"/>
    <hyperlink ref="H628" r:id="rId73" xr:uid="{275443DF-6BAA-4F15-9B48-A59914008091}"/>
    <hyperlink ref="H629" r:id="rId74" xr:uid="{B06A0CAB-D22C-4D6A-BAFB-4AF8FB479306}"/>
    <hyperlink ref="H630" r:id="rId75" xr:uid="{59377FBB-00E2-4E28-93BE-09EAD9676DB1}"/>
    <hyperlink ref="H631" r:id="rId76" xr:uid="{948CAFD9-0A81-45D3-AAAD-5E4CC6455B65}"/>
    <hyperlink ref="H633" r:id="rId77" xr:uid="{571BE4E1-DDB9-455C-B6ED-6C05951C2037}"/>
    <hyperlink ref="H634" r:id="rId78" xr:uid="{968B5677-3350-4855-82FC-1CEBCD232C9E}"/>
    <hyperlink ref="H636" r:id="rId79" xr:uid="{216E083F-1E91-4DD7-9C95-02E29DD5CDDE}"/>
    <hyperlink ref="H639" r:id="rId80" xr:uid="{BB641866-6205-4157-AA3B-18641DDD5FD6}"/>
    <hyperlink ref="H654" r:id="rId81" xr:uid="{1AE32A7C-538C-482D-8A98-4EBCF75ED4AD}"/>
    <hyperlink ref="H656" r:id="rId82" xr:uid="{676D0E5D-A930-4A5E-8D9B-205852C2C4B1}"/>
    <hyperlink ref="H657" r:id="rId83" xr:uid="{EEAB81EE-B252-421E-86AE-84AEFC48C825}"/>
    <hyperlink ref="H660" r:id="rId84" xr:uid="{2D81FEDF-EEF6-4FCF-8BEC-48150674DE5E}"/>
    <hyperlink ref="H661" r:id="rId85" xr:uid="{8AFDB5AA-B248-485F-B826-B0505E86E519}"/>
    <hyperlink ref="H669" r:id="rId86" xr:uid="{462F4508-6393-4647-BFCD-71322DA7938B}"/>
    <hyperlink ref="H670" r:id="rId87" xr:uid="{23F31F45-8FF8-404B-AA8E-0D7F33B721BF}"/>
    <hyperlink ref="H677" r:id="rId88" xr:uid="{83836FB9-2F9E-44A9-8852-3907263ADDEF}"/>
    <hyperlink ref="H681" r:id="rId89" xr:uid="{877058B3-A695-4219-A105-CE4140B3D5BC}"/>
    <hyperlink ref="H935" r:id="rId90" xr:uid="{F7A062E9-7CC2-4BA1-8A7A-7F38DEC0BA4D}"/>
    <hyperlink ref="H936" r:id="rId91" xr:uid="{6333E3AB-8443-46B1-85F6-C50FFD9A470D}"/>
    <hyperlink ref="H937" r:id="rId92" xr:uid="{7E27EDD7-5114-4D07-9322-872344C21E8F}"/>
    <hyperlink ref="H938" r:id="rId93" xr:uid="{D6BC1DCF-7489-47D9-93F2-8F8E2F6770C9}"/>
    <hyperlink ref="H939" r:id="rId94" xr:uid="{BAB05880-D7F9-444B-B225-A27341B3A4CE}"/>
    <hyperlink ref="H952" r:id="rId95" xr:uid="{C3F0218E-98BE-43B2-AB78-3AC78A9147BC}"/>
    <hyperlink ref="H953" r:id="rId96" xr:uid="{804C9D68-B6DD-428A-B40E-1F2424BA748A}"/>
    <hyperlink ref="H955" r:id="rId97" xr:uid="{5237B234-6DF3-4B3F-9EE2-22BE90D523DF}"/>
    <hyperlink ref="H957" r:id="rId98" xr:uid="{43E12AFD-9E28-4ABF-96DA-DA4DB945E823}"/>
    <hyperlink ref="H958" r:id="rId99" xr:uid="{1F49502D-38D8-4003-9EBC-DC7457434A82}"/>
    <hyperlink ref="H996" r:id="rId100" xr:uid="{627BE3BE-0292-4495-9A34-5A0D11DE8562}"/>
    <hyperlink ref="H997" r:id="rId101" xr:uid="{4F508DB6-8BD0-4E36-8B00-D0AF2EB55F9B}"/>
  </hyperlinks>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InputMessage="1" showErrorMessage="1" xr:uid="{70FA4731-86F4-42F6-BD0C-05767AC86E84}">
          <x14:formula1>
            <xm:f>'Drop downs'!$I$26:$I$33</xm:f>
          </x14:formula1>
          <xm:sqref>C190:C228 C541:C550 C531:C539 C110 C381:C392 J572:J575 C230:C290 C2:C103 C117:C188 C105:C108 C292:C379 C476:C485 C394:C471 C489:C496 C112:C115 C560:C575 C1012:C4967</xm:sqref>
        </x14:dataValidation>
        <x14:dataValidation type="list" allowBlank="1" showInputMessage="1" showErrorMessage="1" xr:uid="{E2EFC598-F737-4576-8836-283136E534BC}">
          <x14:formula1>
            <xm:f>'Drop downs'!$E$26:$E$59</xm:f>
          </x14:formula1>
          <xm:sqref>C104 D489 D517:D526 D531:D550 C393 D491:D502 D292:D485 D513:D514 C529:D529 F572:F575 D2:D290 D553:D575 C714:C740 D715:D740 C780 C903:D903 C896:D901 D934 D939 D951 D999:D4967</xm:sqref>
        </x14:dataValidation>
        <x14:dataValidation type="list" allowBlank="1" showInputMessage="1" showErrorMessage="1" xr:uid="{83095756-0696-4B51-A8C4-D87207B80563}">
          <x14:formula1>
            <xm:f>'Drop downs'!$K$3:$K$13</xm:f>
          </x14:formula1>
          <xm:sqref>Z458 Z465:Z475 Z2:Z415</xm:sqref>
        </x14:dataValidation>
        <x14:dataValidation type="list" allowBlank="1" showInputMessage="1" showErrorMessage="1" xr:uid="{E8B7BDCE-CFBA-47CF-BE46-F99FEED69804}">
          <x14:formula1>
            <xm:f>'Drop downs'!$A$38:$A$39</xm:f>
          </x14:formula1>
          <xm:sqref>I517:I526 M572:M575 I553:I559 I2:I485 I576:I4967</xm:sqref>
        </x14:dataValidation>
        <x14:dataValidation type="list" allowBlank="1" showInputMessage="1" showErrorMessage="1" xr:uid="{66D3A76A-C3C6-4A59-BC75-E13965BCE906}">
          <x14:formula1>
            <xm:f>'Drop downs'!$G$3:$G$13</xm:f>
          </x14:formula1>
          <xm:sqref>C229 C189 C540</xm:sqref>
        </x14:dataValidation>
        <x14:dataValidation type="list" allowBlank="1" showInputMessage="1" showErrorMessage="1" xr:uid="{E6A934AE-7B49-424B-B1D0-AED9869BC43B}">
          <x14:formula1>
            <xm:f>'Drop downs'!$D$14:$D$15</xm:f>
          </x14:formula1>
          <xm:sqref>I550</xm:sqref>
        </x14:dataValidation>
        <x14:dataValidation type="list" allowBlank="1" showInputMessage="1" showErrorMessage="1" xr:uid="{0E7EEC65-9096-4519-9761-9485545A672B}">
          <x14:formula1>
            <xm:f>'Drop downs'!$E$3:$E$8</xm:f>
          </x14:formula1>
          <xm:sqref>X2:X561 X572:X575 X910:X4994</xm:sqref>
        </x14:dataValidation>
        <x14:dataValidation type="list" allowBlank="1" showInputMessage="1" showErrorMessage="1" xr:uid="{E8E274F9-77C7-43BB-B7B5-7F9780002551}">
          <x14:formula1>
            <xm:f>'Drop downs'!$A$26:$A$30</xm:f>
          </x14:formula1>
          <xm:sqref>X562:X569 W570:X571 W2:W569 X576:X909 W572:W4990</xm:sqref>
        </x14:dataValidation>
        <x14:dataValidation type="list" allowBlank="1" showInputMessage="1" showErrorMessage="1" xr:uid="{CFFFD404-786C-41A6-B81C-ACF144788B25}">
          <x14:formula1>
            <xm:f>'Drop downs'!$K$3:$K$33</xm:f>
          </x14:formula1>
          <xm:sqref>Z459:Z464 Z416:Z457 Z476:Z4967</xm:sqref>
        </x14:dataValidation>
        <x14:dataValidation type="list" allowBlank="1" showInputMessage="1" showErrorMessage="1" xr:uid="{B07F7C2C-F8E0-4032-9691-A6519DBDFC32}">
          <x14:formula1>
            <xm:f>'Drop downs'!$A$34:$A$35</xm:f>
          </x14:formula1>
          <xm:sqref>Y2:Y4967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F400F-04F7-42D4-9322-9C6238758749}">
  <dimension ref="A1:K59"/>
  <sheetViews>
    <sheetView showGridLines="0" topLeftCell="B2" workbookViewId="0">
      <selection activeCell="K3" sqref="K3"/>
    </sheetView>
  </sheetViews>
  <sheetFormatPr defaultRowHeight="14.5"/>
  <cols>
    <col min="1" max="1" width="22.54296875" bestFit="1" customWidth="1"/>
    <col min="2" max="2" width="15.1796875" bestFit="1" customWidth="1"/>
    <col min="4" max="4" width="22.54296875" bestFit="1" customWidth="1"/>
    <col min="5" max="5" width="17.453125" bestFit="1" customWidth="1"/>
    <col min="7" max="7" width="15.7265625" bestFit="1" customWidth="1"/>
    <col min="9" max="9" width="26.1796875" bestFit="1" customWidth="1"/>
    <col min="11" max="11" width="22.26953125" bestFit="1" customWidth="1"/>
  </cols>
  <sheetData>
    <row r="1" spans="1:11">
      <c r="A1" s="6" t="s">
        <v>4529</v>
      </c>
      <c r="B1" s="2"/>
      <c r="C1" s="2"/>
      <c r="D1" s="2"/>
      <c r="E1" s="2"/>
    </row>
    <row r="2" spans="1:11" ht="39">
      <c r="A2" s="13" t="s">
        <v>9</v>
      </c>
      <c r="B2" s="13" t="s">
        <v>10</v>
      </c>
      <c r="C2" s="2"/>
      <c r="D2" s="15" t="s">
        <v>29</v>
      </c>
      <c r="E2" s="15" t="s">
        <v>30</v>
      </c>
      <c r="G2" s="16" t="s">
        <v>4530</v>
      </c>
      <c r="K2" s="15" t="s">
        <v>32</v>
      </c>
    </row>
    <row r="3" spans="1:11">
      <c r="A3" s="3" t="s">
        <v>51</v>
      </c>
      <c r="B3" s="3" t="s">
        <v>51</v>
      </c>
      <c r="C3" s="2"/>
      <c r="D3" s="4" t="s">
        <v>2679</v>
      </c>
      <c r="E3" s="4" t="s">
        <v>2679</v>
      </c>
      <c r="G3" s="4" t="s">
        <v>51</v>
      </c>
      <c r="K3" s="4" t="s">
        <v>66</v>
      </c>
    </row>
    <row r="4" spans="1:11">
      <c r="A4" s="3" t="s">
        <v>840</v>
      </c>
      <c r="B4" s="3" t="s">
        <v>841</v>
      </c>
      <c r="C4" s="2"/>
      <c r="D4" s="4" t="s">
        <v>93</v>
      </c>
      <c r="E4" s="4" t="s">
        <v>93</v>
      </c>
      <c r="G4" s="4" t="s">
        <v>840</v>
      </c>
      <c r="K4" s="4" t="s">
        <v>76</v>
      </c>
    </row>
    <row r="5" spans="1:11">
      <c r="A5" s="271" t="s">
        <v>2510</v>
      </c>
      <c r="B5" s="3" t="s">
        <v>2511</v>
      </c>
      <c r="C5" s="2"/>
      <c r="D5" s="4" t="s">
        <v>218</v>
      </c>
      <c r="E5" s="4" t="s">
        <v>218</v>
      </c>
      <c r="G5" s="4" t="s">
        <v>2510</v>
      </c>
      <c r="K5" s="4" t="s">
        <v>567</v>
      </c>
    </row>
    <row r="6" spans="1:11">
      <c r="A6" s="272"/>
      <c r="B6" s="3" t="s">
        <v>4531</v>
      </c>
      <c r="C6" s="2"/>
      <c r="D6" s="4" t="s">
        <v>65</v>
      </c>
      <c r="E6" s="4" t="s">
        <v>65</v>
      </c>
      <c r="G6" s="4" t="s">
        <v>208</v>
      </c>
      <c r="H6" s="2"/>
      <c r="J6" s="2"/>
      <c r="K6" s="4" t="s">
        <v>118</v>
      </c>
    </row>
    <row r="7" spans="1:11">
      <c r="A7" s="272"/>
      <c r="B7" s="3" t="s">
        <v>4447</v>
      </c>
      <c r="C7" s="2"/>
      <c r="D7" s="4" t="s">
        <v>2408</v>
      </c>
      <c r="E7" s="4" t="s">
        <v>351</v>
      </c>
      <c r="G7" s="4" t="s">
        <v>0</v>
      </c>
      <c r="K7" s="4" t="s">
        <v>147</v>
      </c>
    </row>
    <row r="8" spans="1:11">
      <c r="A8" s="272"/>
      <c r="B8" s="3" t="s">
        <v>4426</v>
      </c>
      <c r="C8" s="2"/>
      <c r="D8" s="2"/>
      <c r="E8" s="4" t="s">
        <v>2408</v>
      </c>
      <c r="G8" s="4" t="s">
        <v>4532</v>
      </c>
      <c r="K8" s="4" t="s">
        <v>4533</v>
      </c>
    </row>
    <row r="9" spans="1:11">
      <c r="A9" s="272"/>
      <c r="B9" s="3" t="s">
        <v>4517</v>
      </c>
      <c r="C9" s="2"/>
      <c r="D9" s="15" t="s">
        <v>4534</v>
      </c>
      <c r="E9" s="2"/>
      <c r="G9" s="4" t="s">
        <v>2</v>
      </c>
      <c r="K9" s="4" t="s">
        <v>166</v>
      </c>
    </row>
    <row r="10" spans="1:11">
      <c r="A10" s="273"/>
      <c r="B10" s="3" t="s">
        <v>4535</v>
      </c>
      <c r="C10" s="2"/>
      <c r="D10" s="4" t="s">
        <v>135</v>
      </c>
      <c r="E10" s="2"/>
      <c r="G10" s="4" t="s">
        <v>3857</v>
      </c>
      <c r="K10" s="4" t="s">
        <v>3918</v>
      </c>
    </row>
    <row r="11" spans="1:11">
      <c r="A11" s="271" t="s">
        <v>208</v>
      </c>
      <c r="B11" s="3" t="s">
        <v>4511</v>
      </c>
      <c r="C11" s="2"/>
      <c r="D11" s="4" t="s">
        <v>351</v>
      </c>
      <c r="E11" s="2"/>
      <c r="G11" s="4" t="s">
        <v>3847</v>
      </c>
      <c r="K11" s="4" t="s">
        <v>4536</v>
      </c>
    </row>
    <row r="12" spans="1:11">
      <c r="A12" s="272"/>
      <c r="B12" s="3" t="s">
        <v>1056</v>
      </c>
      <c r="C12" s="2"/>
      <c r="D12" s="2"/>
      <c r="E12" s="2"/>
      <c r="G12" s="4" t="s">
        <v>4271</v>
      </c>
      <c r="K12" s="4" t="s">
        <v>4537</v>
      </c>
    </row>
    <row r="13" spans="1:11">
      <c r="A13" s="272"/>
      <c r="B13" s="3" t="s">
        <v>256</v>
      </c>
      <c r="C13" s="2"/>
      <c r="D13" s="15" t="s">
        <v>15</v>
      </c>
      <c r="E13" s="2"/>
      <c r="G13" s="4" t="s">
        <v>1044</v>
      </c>
      <c r="K13" s="4" t="s">
        <v>4538</v>
      </c>
    </row>
    <row r="14" spans="1:11">
      <c r="A14" s="272"/>
      <c r="B14" s="3" t="s">
        <v>1475</v>
      </c>
      <c r="C14" s="2"/>
      <c r="D14" s="4" t="s">
        <v>101</v>
      </c>
      <c r="E14" s="2"/>
      <c r="K14" s="4" t="s">
        <v>3956</v>
      </c>
    </row>
    <row r="15" spans="1:11">
      <c r="A15" s="272"/>
      <c r="B15" s="3" t="s">
        <v>624</v>
      </c>
      <c r="C15" s="2"/>
      <c r="D15" s="4" t="s">
        <v>55</v>
      </c>
      <c r="E15" s="2"/>
      <c r="K15" s="4" t="s">
        <v>3928</v>
      </c>
    </row>
    <row r="16" spans="1:11">
      <c r="A16" s="273"/>
      <c r="B16" s="3" t="s">
        <v>4539</v>
      </c>
      <c r="C16" s="2"/>
      <c r="D16" s="2"/>
      <c r="E16" s="2"/>
      <c r="K16" s="4" t="s">
        <v>3933</v>
      </c>
    </row>
    <row r="17" spans="1:11">
      <c r="A17" s="26" t="s">
        <v>4540</v>
      </c>
      <c r="B17" s="3" t="s">
        <v>4511</v>
      </c>
      <c r="C17" s="2"/>
      <c r="D17" s="2"/>
      <c r="E17" s="2"/>
      <c r="K17" s="4" t="s">
        <v>4388</v>
      </c>
    </row>
    <row r="18" spans="1:11">
      <c r="A18" s="3" t="s">
        <v>3857</v>
      </c>
      <c r="B18" s="3" t="s">
        <v>3857</v>
      </c>
      <c r="C18" s="2"/>
      <c r="D18" s="15" t="s">
        <v>3814</v>
      </c>
      <c r="E18" s="2"/>
      <c r="K18" s="4" t="s">
        <v>4333</v>
      </c>
    </row>
    <row r="19" spans="1:11">
      <c r="A19" s="3" t="s">
        <v>3847</v>
      </c>
      <c r="B19" s="3" t="s">
        <v>1920</v>
      </c>
      <c r="C19" s="2"/>
      <c r="D19" s="4" t="s">
        <v>1</v>
      </c>
      <c r="E19" s="2"/>
      <c r="K19" s="4" t="s">
        <v>185</v>
      </c>
    </row>
    <row r="20" spans="1:11">
      <c r="A20" s="3" t="s">
        <v>4271</v>
      </c>
      <c r="B20" s="3" t="s">
        <v>4254</v>
      </c>
      <c r="C20" s="2"/>
      <c r="D20" s="4" t="s">
        <v>3</v>
      </c>
      <c r="E20" s="2"/>
      <c r="K20" s="4" t="s">
        <v>4021</v>
      </c>
    </row>
    <row r="21" spans="1:11">
      <c r="A21" s="271" t="s">
        <v>1044</v>
      </c>
      <c r="B21" s="3" t="s">
        <v>4541</v>
      </c>
      <c r="C21" s="2"/>
      <c r="D21" s="2"/>
      <c r="E21" s="2"/>
      <c r="K21" s="4" t="s">
        <v>2409</v>
      </c>
    </row>
    <row r="22" spans="1:11">
      <c r="A22" s="273"/>
      <c r="B22" s="3" t="s">
        <v>320</v>
      </c>
      <c r="C22" s="2"/>
      <c r="D22" s="2"/>
      <c r="E22" s="2"/>
      <c r="K22" s="4" t="s">
        <v>4002</v>
      </c>
    </row>
    <row r="23" spans="1:11">
      <c r="A23" s="2"/>
      <c r="B23" s="2" t="s">
        <v>4285</v>
      </c>
      <c r="C23" s="2"/>
      <c r="D23" s="2"/>
      <c r="E23" s="2"/>
      <c r="K23" s="4" t="s">
        <v>4014</v>
      </c>
    </row>
    <row r="24" spans="1:11">
      <c r="A24" s="6" t="s">
        <v>4542</v>
      </c>
      <c r="B24" s="2"/>
      <c r="C24" s="2"/>
      <c r="D24" s="2"/>
      <c r="E24" s="2"/>
      <c r="F24" s="270" t="s">
        <v>4543</v>
      </c>
      <c r="G24" s="270"/>
      <c r="H24" s="270" t="s">
        <v>3842</v>
      </c>
      <c r="I24" s="270"/>
      <c r="K24" s="4" t="s">
        <v>2356</v>
      </c>
    </row>
    <row r="25" spans="1:11">
      <c r="A25" s="15" t="s">
        <v>29</v>
      </c>
      <c r="B25" s="15" t="s">
        <v>30</v>
      </c>
      <c r="C25" s="2"/>
      <c r="D25" s="13" t="s">
        <v>9</v>
      </c>
      <c r="E25" s="14" t="s">
        <v>10</v>
      </c>
      <c r="F25" s="15" t="s">
        <v>4544</v>
      </c>
      <c r="G25" s="15" t="s">
        <v>4545</v>
      </c>
      <c r="H25" s="15" t="s">
        <v>4544</v>
      </c>
      <c r="I25" s="15" t="s">
        <v>4545</v>
      </c>
      <c r="K25" s="4" t="s">
        <v>4025</v>
      </c>
    </row>
    <row r="26" spans="1:11">
      <c r="A26" s="2" t="s">
        <v>2679</v>
      </c>
      <c r="B26" s="8" t="s">
        <v>2679</v>
      </c>
      <c r="C26" s="2"/>
      <c r="D26" s="3" t="s">
        <v>51</v>
      </c>
      <c r="E26" s="9" t="s">
        <v>51</v>
      </c>
      <c r="F26" s="11">
        <v>1</v>
      </c>
      <c r="G26" s="12">
        <v>1</v>
      </c>
      <c r="H26" s="11">
        <v>1</v>
      </c>
      <c r="I26" s="12">
        <v>1</v>
      </c>
      <c r="K26" s="4" t="s">
        <v>4035</v>
      </c>
    </row>
    <row r="27" spans="1:11">
      <c r="A27" s="7" t="s">
        <v>93</v>
      </c>
      <c r="B27" s="4" t="s">
        <v>93</v>
      </c>
      <c r="C27" s="2"/>
      <c r="D27" s="3" t="s">
        <v>840</v>
      </c>
      <c r="E27" s="9" t="s">
        <v>841</v>
      </c>
      <c r="F27" s="11">
        <v>1</v>
      </c>
      <c r="G27" s="12">
        <v>1</v>
      </c>
      <c r="H27" s="11">
        <v>1</v>
      </c>
      <c r="I27" s="12">
        <v>1</v>
      </c>
      <c r="K27" s="4" t="s">
        <v>147</v>
      </c>
    </row>
    <row r="28" spans="1:11">
      <c r="A28" s="7" t="s">
        <v>218</v>
      </c>
      <c r="B28" s="4" t="s">
        <v>218</v>
      </c>
      <c r="C28" s="2"/>
      <c r="D28" s="271" t="s">
        <v>2510</v>
      </c>
      <c r="E28" s="9" t="s">
        <v>2511</v>
      </c>
      <c r="F28" s="11">
        <v>1</v>
      </c>
      <c r="G28" s="12">
        <v>1</v>
      </c>
      <c r="H28" s="11">
        <v>1</v>
      </c>
      <c r="I28" s="12">
        <v>1</v>
      </c>
      <c r="K28" s="4" t="s">
        <v>3914</v>
      </c>
    </row>
    <row r="29" spans="1:11">
      <c r="A29" s="7" t="s">
        <v>65</v>
      </c>
      <c r="B29" s="4" t="s">
        <v>65</v>
      </c>
      <c r="C29" s="2"/>
      <c r="D29" s="272"/>
      <c r="E29" s="9" t="s">
        <v>4531</v>
      </c>
      <c r="F29" s="11">
        <v>1</v>
      </c>
      <c r="G29" s="12">
        <v>1</v>
      </c>
      <c r="H29" s="11">
        <v>1</v>
      </c>
      <c r="I29" s="12">
        <v>1</v>
      </c>
      <c r="K29" s="4" t="s">
        <v>3969</v>
      </c>
    </row>
    <row r="30" spans="1:11">
      <c r="A30" s="7" t="s">
        <v>2408</v>
      </c>
      <c r="B30" s="4" t="s">
        <v>1528</v>
      </c>
      <c r="C30" s="2"/>
      <c r="D30" s="272"/>
      <c r="E30" s="9" t="s">
        <v>4447</v>
      </c>
      <c r="F30" s="11">
        <v>1</v>
      </c>
      <c r="G30" s="12">
        <v>1</v>
      </c>
      <c r="H30" s="11">
        <v>1</v>
      </c>
      <c r="I30" s="12">
        <v>1</v>
      </c>
      <c r="K30" s="4" t="s">
        <v>4006</v>
      </c>
    </row>
    <row r="31" spans="1:11">
      <c r="A31" s="2"/>
      <c r="B31" s="4" t="s">
        <v>2408</v>
      </c>
      <c r="C31" s="2"/>
      <c r="D31" s="272"/>
      <c r="E31" s="9" t="s">
        <v>4426</v>
      </c>
      <c r="F31" s="11">
        <v>1</v>
      </c>
      <c r="G31" s="12">
        <v>1</v>
      </c>
      <c r="H31" s="11">
        <v>1</v>
      </c>
      <c r="I31" s="12">
        <v>1</v>
      </c>
      <c r="K31" s="4" t="s">
        <v>4010</v>
      </c>
    </row>
    <row r="32" spans="1:11">
      <c r="A32" s="2"/>
      <c r="B32" s="2"/>
      <c r="C32" s="2"/>
      <c r="D32" s="272"/>
      <c r="E32" s="9" t="s">
        <v>4517</v>
      </c>
      <c r="F32" s="11">
        <v>1</v>
      </c>
      <c r="G32" s="12">
        <v>1</v>
      </c>
      <c r="H32" s="11">
        <v>1</v>
      </c>
      <c r="I32" s="12">
        <v>1</v>
      </c>
      <c r="K32" s="4" t="s">
        <v>2658</v>
      </c>
    </row>
    <row r="33" spans="1:11">
      <c r="A33" s="15" t="s">
        <v>4534</v>
      </c>
      <c r="B33" s="2"/>
      <c r="C33" s="2"/>
      <c r="D33" s="272"/>
      <c r="E33" s="9" t="s">
        <v>4535</v>
      </c>
      <c r="F33" s="11">
        <v>1</v>
      </c>
      <c r="G33" s="12">
        <v>1</v>
      </c>
      <c r="H33" s="11">
        <v>1</v>
      </c>
      <c r="I33" s="12">
        <v>1</v>
      </c>
      <c r="K33" s="4" t="s">
        <v>4113</v>
      </c>
    </row>
    <row r="34" spans="1:11">
      <c r="A34" s="4" t="s">
        <v>135</v>
      </c>
      <c r="B34" s="2"/>
      <c r="C34" s="2"/>
      <c r="D34" s="269" t="s">
        <v>208</v>
      </c>
      <c r="E34" s="10" t="s">
        <v>1056</v>
      </c>
      <c r="F34" s="11"/>
      <c r="G34" s="12">
        <v>1</v>
      </c>
      <c r="H34" s="11"/>
      <c r="I34" s="12">
        <v>1</v>
      </c>
    </row>
    <row r="35" spans="1:11">
      <c r="A35" s="4" t="s">
        <v>4313</v>
      </c>
      <c r="B35" s="2"/>
      <c r="C35" s="2"/>
      <c r="D35" s="269"/>
      <c r="E35" s="2" t="s">
        <v>667</v>
      </c>
      <c r="F35" s="11">
        <v>1</v>
      </c>
      <c r="G35" s="12">
        <v>1</v>
      </c>
      <c r="H35" s="11"/>
      <c r="I35" s="12">
        <v>1</v>
      </c>
    </row>
    <row r="36" spans="1:11">
      <c r="A36" s="4" t="s">
        <v>351</v>
      </c>
      <c r="B36" s="2"/>
      <c r="C36" s="2"/>
      <c r="D36" s="269"/>
      <c r="E36" s="10" t="s">
        <v>256</v>
      </c>
      <c r="F36" s="11">
        <v>1</v>
      </c>
      <c r="G36" s="12">
        <v>1</v>
      </c>
      <c r="H36" s="11"/>
      <c r="I36" s="12">
        <v>1</v>
      </c>
    </row>
    <row r="37" spans="1:11">
      <c r="A37" s="15" t="s">
        <v>15</v>
      </c>
      <c r="B37" s="2"/>
      <c r="C37" s="2"/>
      <c r="D37" s="269"/>
      <c r="E37" s="10" t="s">
        <v>1475</v>
      </c>
      <c r="F37" s="11">
        <v>1</v>
      </c>
      <c r="G37" s="12">
        <v>1</v>
      </c>
      <c r="H37" s="11"/>
      <c r="I37" s="12">
        <v>1</v>
      </c>
    </row>
    <row r="38" spans="1:11">
      <c r="A38" s="4" t="s">
        <v>101</v>
      </c>
      <c r="B38" s="2"/>
      <c r="C38" s="2"/>
      <c r="D38" s="269"/>
      <c r="E38" s="10" t="s">
        <v>624</v>
      </c>
      <c r="F38" s="11">
        <v>1</v>
      </c>
      <c r="G38" s="12">
        <v>1</v>
      </c>
      <c r="H38" s="11"/>
      <c r="I38" s="12">
        <v>1</v>
      </c>
    </row>
    <row r="39" spans="1:11">
      <c r="A39" s="4" t="s">
        <v>55</v>
      </c>
      <c r="B39" s="2"/>
      <c r="C39" s="2"/>
      <c r="D39" s="269"/>
      <c r="E39" s="10" t="s">
        <v>4539</v>
      </c>
      <c r="F39" s="11">
        <v>1</v>
      </c>
      <c r="G39" s="12">
        <v>1</v>
      </c>
      <c r="H39" s="11"/>
      <c r="I39" s="12">
        <v>1</v>
      </c>
    </row>
    <row r="40" spans="1:11">
      <c r="A40" s="2"/>
      <c r="B40" s="2"/>
      <c r="C40" s="2"/>
      <c r="D40" s="269"/>
      <c r="E40" s="10" t="s">
        <v>209</v>
      </c>
      <c r="F40" s="11">
        <v>1</v>
      </c>
      <c r="G40" s="12">
        <v>1</v>
      </c>
      <c r="H40" s="11"/>
      <c r="I40" s="12">
        <v>1</v>
      </c>
    </row>
    <row r="41" spans="1:11">
      <c r="A41" s="15" t="s">
        <v>3814</v>
      </c>
      <c r="B41" s="2"/>
      <c r="C41" s="2"/>
      <c r="D41" s="269"/>
      <c r="E41" s="10" t="s">
        <v>293</v>
      </c>
      <c r="F41" s="11">
        <v>1</v>
      </c>
      <c r="G41" s="12">
        <v>1</v>
      </c>
      <c r="H41" s="11"/>
      <c r="I41" s="12">
        <v>1</v>
      </c>
    </row>
    <row r="42" spans="1:11">
      <c r="A42" s="4" t="s">
        <v>1</v>
      </c>
      <c r="B42" s="2"/>
      <c r="C42" s="2"/>
      <c r="D42" s="269"/>
      <c r="E42" s="10" t="s">
        <v>231</v>
      </c>
      <c r="F42" s="11">
        <v>1</v>
      </c>
      <c r="G42" s="12">
        <v>1</v>
      </c>
      <c r="H42" s="11"/>
      <c r="I42" s="12">
        <v>1</v>
      </c>
    </row>
    <row r="43" spans="1:11">
      <c r="A43" s="4" t="s">
        <v>3</v>
      </c>
      <c r="B43" s="2"/>
      <c r="C43" s="2"/>
      <c r="D43" s="269"/>
      <c r="E43" s="10" t="s">
        <v>486</v>
      </c>
      <c r="F43" s="11">
        <v>1</v>
      </c>
      <c r="G43" s="12">
        <v>1</v>
      </c>
      <c r="H43" s="11"/>
      <c r="I43" s="12">
        <v>1</v>
      </c>
    </row>
    <row r="44" spans="1:11">
      <c r="A44" s="2"/>
      <c r="B44" s="2"/>
      <c r="C44" s="2"/>
      <c r="D44" s="269"/>
      <c r="E44" s="10" t="s">
        <v>4546</v>
      </c>
      <c r="F44" s="11">
        <v>1</v>
      </c>
      <c r="G44" s="12">
        <v>1</v>
      </c>
      <c r="H44" s="11"/>
      <c r="I44" s="12">
        <v>1</v>
      </c>
    </row>
    <row r="45" spans="1:11">
      <c r="A45" s="2"/>
      <c r="B45" s="2"/>
      <c r="C45" s="2"/>
      <c r="D45" s="269"/>
      <c r="E45" s="10" t="s">
        <v>1725</v>
      </c>
      <c r="F45" s="11">
        <v>1</v>
      </c>
      <c r="G45" s="12">
        <v>1</v>
      </c>
      <c r="H45" s="11"/>
      <c r="I45" s="12">
        <v>1</v>
      </c>
    </row>
    <row r="46" spans="1:11">
      <c r="A46" s="2"/>
      <c r="B46" s="2"/>
      <c r="C46" s="2"/>
      <c r="D46" s="269"/>
      <c r="E46" s="10" t="s">
        <v>4547</v>
      </c>
      <c r="F46" s="11">
        <v>1</v>
      </c>
      <c r="G46" s="12">
        <v>1</v>
      </c>
      <c r="H46" s="11"/>
      <c r="I46" s="12">
        <v>1</v>
      </c>
    </row>
    <row r="47" spans="1:11">
      <c r="A47" s="2"/>
      <c r="B47" s="2"/>
      <c r="C47" s="2"/>
      <c r="D47" s="269"/>
      <c r="E47" s="10" t="s">
        <v>4548</v>
      </c>
      <c r="F47" s="11">
        <v>1</v>
      </c>
      <c r="G47" s="12">
        <v>1</v>
      </c>
      <c r="H47" s="11"/>
      <c r="I47" s="12">
        <v>1</v>
      </c>
    </row>
    <row r="48" spans="1:11">
      <c r="A48" s="2"/>
      <c r="B48" s="2"/>
      <c r="C48" s="2"/>
      <c r="D48" s="269"/>
      <c r="E48" s="10" t="s">
        <v>4549</v>
      </c>
      <c r="F48" s="11">
        <v>1</v>
      </c>
      <c r="G48" s="12">
        <v>1</v>
      </c>
      <c r="H48" s="11"/>
      <c r="I48" s="12">
        <v>1</v>
      </c>
    </row>
    <row r="49" spans="4:9">
      <c r="D49" s="269"/>
      <c r="E49" s="10" t="s">
        <v>4550</v>
      </c>
      <c r="F49" s="11">
        <v>1</v>
      </c>
      <c r="G49" s="12">
        <v>1</v>
      </c>
      <c r="H49" s="11"/>
      <c r="I49" s="12">
        <v>1</v>
      </c>
    </row>
    <row r="50" spans="4:9">
      <c r="D50" s="269"/>
      <c r="E50" s="10" t="s">
        <v>954</v>
      </c>
      <c r="F50" s="11">
        <v>1</v>
      </c>
      <c r="G50" s="12">
        <v>1</v>
      </c>
      <c r="H50" s="11"/>
      <c r="I50" s="12">
        <v>1</v>
      </c>
    </row>
    <row r="51" spans="4:9">
      <c r="D51" s="269"/>
      <c r="E51" s="10" t="s">
        <v>4551</v>
      </c>
      <c r="F51" s="11">
        <v>1</v>
      </c>
      <c r="G51" s="12">
        <v>1</v>
      </c>
      <c r="H51" s="11"/>
      <c r="I51" s="12">
        <v>1</v>
      </c>
    </row>
    <row r="52" spans="4:9">
      <c r="D52" s="269"/>
      <c r="E52" s="10" t="s">
        <v>4552</v>
      </c>
      <c r="F52" s="11">
        <v>1</v>
      </c>
      <c r="G52" s="12">
        <v>1</v>
      </c>
      <c r="H52" s="11"/>
      <c r="I52" s="12">
        <v>1</v>
      </c>
    </row>
    <row r="53" spans="4:9">
      <c r="D53" s="269"/>
      <c r="E53" s="10" t="s">
        <v>4553</v>
      </c>
      <c r="F53" s="11">
        <v>1</v>
      </c>
      <c r="G53" s="12">
        <v>1</v>
      </c>
      <c r="H53" s="11"/>
      <c r="I53" s="12">
        <v>1</v>
      </c>
    </row>
    <row r="54" spans="4:9">
      <c r="D54" s="269"/>
      <c r="E54" s="10" t="s">
        <v>4554</v>
      </c>
      <c r="F54" s="11">
        <v>1</v>
      </c>
      <c r="G54" s="12">
        <v>1</v>
      </c>
      <c r="H54" s="12"/>
      <c r="I54" s="12">
        <v>1</v>
      </c>
    </row>
    <row r="55" spans="4:9">
      <c r="D55" s="5" t="s">
        <v>3857</v>
      </c>
      <c r="E55" s="9" t="s">
        <v>367</v>
      </c>
      <c r="F55" s="12"/>
      <c r="G55" s="12"/>
      <c r="H55" s="12"/>
      <c r="I55" s="12"/>
    </row>
    <row r="56" spans="4:9">
      <c r="D56" s="3" t="s">
        <v>3847</v>
      </c>
      <c r="E56" s="9" t="s">
        <v>1920</v>
      </c>
      <c r="F56" s="12"/>
      <c r="G56" s="12"/>
      <c r="H56" s="12"/>
      <c r="I56" s="12"/>
    </row>
    <row r="57" spans="4:9">
      <c r="D57" s="17" t="s">
        <v>4271</v>
      </c>
      <c r="E57" s="9" t="s">
        <v>4254</v>
      </c>
      <c r="F57" s="12"/>
      <c r="G57" s="12"/>
      <c r="H57" s="12"/>
      <c r="I57" s="12"/>
    </row>
    <row r="58" spans="4:9">
      <c r="D58" s="269" t="s">
        <v>1044</v>
      </c>
      <c r="E58" s="10" t="s">
        <v>4541</v>
      </c>
      <c r="F58" s="12">
        <v>1</v>
      </c>
      <c r="G58" s="12">
        <v>1</v>
      </c>
      <c r="H58" s="12">
        <v>1</v>
      </c>
      <c r="I58" s="12">
        <v>1</v>
      </c>
    </row>
    <row r="59" spans="4:9">
      <c r="D59" s="269"/>
      <c r="E59" s="10" t="s">
        <v>320</v>
      </c>
      <c r="F59" s="12">
        <v>1</v>
      </c>
      <c r="G59" s="12">
        <v>1</v>
      </c>
      <c r="H59" s="12">
        <v>1</v>
      </c>
      <c r="I59" s="12">
        <v>1</v>
      </c>
    </row>
  </sheetData>
  <mergeCells count="8">
    <mergeCell ref="D34:D54"/>
    <mergeCell ref="D58:D59"/>
    <mergeCell ref="F24:G24"/>
    <mergeCell ref="H24:I24"/>
    <mergeCell ref="A5:A10"/>
    <mergeCell ref="A11:A16"/>
    <mergeCell ref="A21:A22"/>
    <mergeCell ref="D28:D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Positions Tracker</vt:lpstr>
      <vt:lpstr>Candidate Tracker</vt:lpstr>
      <vt:lpstr>Drop 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Chanchal 1</dc:creator>
  <cp:keywords/>
  <dc:description/>
  <cp:lastModifiedBy>Baljeet Singh</cp:lastModifiedBy>
  <cp:revision/>
  <dcterms:created xsi:type="dcterms:W3CDTF">2025-02-27T04:12:02Z</dcterms:created>
  <dcterms:modified xsi:type="dcterms:W3CDTF">2026-01-07T05:49:42Z</dcterms:modified>
  <cp:category/>
  <cp:contentStatus/>
</cp:coreProperties>
</file>