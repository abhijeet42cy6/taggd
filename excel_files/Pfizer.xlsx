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584F38C2-D6B3-44C1-B7B0-46B473A4194B}" xr6:coauthVersionLast="47" xr6:coauthVersionMax="47" xr10:uidLastSave="{00000000-0000-0000-0000-000000000000}"/>
  <bookViews>
    <workbookView xWindow="-110" yWindow="-110" windowWidth="19420" windowHeight="11500" activeTab="1" xr2:uid="{19A12EC7-830E-4355-BAFF-ADCC33729551}"/>
  </bookViews>
  <sheets>
    <sheet name="Position Tracker 2025" sheetId="1" r:id="rId1"/>
    <sheet name="Contract" sheetId="3" r:id="rId2"/>
    <sheet name="Position Tracker" sheetId="2" state="hidden" r:id="rId3"/>
  </sheets>
  <definedNames>
    <definedName name="_xlnm._FilterDatabase" localSheetId="0" hidden="1">'Position Tracker 2025'!$A$1:$AD$51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" l="1"/>
  <c r="Y43" i="1"/>
  <c r="T43" i="1"/>
  <c r="Y42" i="1"/>
  <c r="T42" i="1"/>
  <c r="T41" i="1"/>
  <c r="T40" i="1"/>
  <c r="Y39" i="1"/>
  <c r="T39" i="1"/>
  <c r="T38" i="1"/>
  <c r="T37" i="1"/>
  <c r="T36" i="1"/>
  <c r="T35" i="1"/>
  <c r="T34" i="1"/>
  <c r="T32" i="1"/>
  <c r="T31" i="1"/>
  <c r="T30" i="1"/>
  <c r="T29" i="1"/>
  <c r="T28" i="1"/>
  <c r="T27" i="1"/>
  <c r="T26" i="1"/>
  <c r="T25" i="1"/>
  <c r="Y24" i="1"/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<sst xmlns="http://schemas.openxmlformats.org/spreadsheetml/2006/main" count="3772" uniqueCount="596">
  <si>
    <t>Req ID</t>
  </si>
  <si>
    <t>Category</t>
  </si>
  <si>
    <t>Req Shared date</t>
  </si>
  <si>
    <t>Req Created Date</t>
  </si>
  <si>
    <t>BU</t>
  </si>
  <si>
    <t>Title</t>
  </si>
  <si>
    <t>HM</t>
  </si>
  <si>
    <t>Offered date</t>
  </si>
  <si>
    <t>DOJ</t>
  </si>
  <si>
    <t>Emp ID</t>
  </si>
  <si>
    <t>Candidate</t>
  </si>
  <si>
    <t>Org</t>
  </si>
  <si>
    <t>Exp</t>
  </si>
  <si>
    <t>Gender</t>
  </si>
  <si>
    <t>Current CTC</t>
  </si>
  <si>
    <t>Current AGC</t>
  </si>
  <si>
    <t>Current CR</t>
  </si>
  <si>
    <t>% hike</t>
  </si>
  <si>
    <t>Offered CTC</t>
  </si>
  <si>
    <t>Offered AGC</t>
  </si>
  <si>
    <t>CR</t>
  </si>
  <si>
    <t>Source</t>
  </si>
  <si>
    <t>Revenue</t>
  </si>
  <si>
    <t>Status</t>
  </si>
  <si>
    <t>Recruiter</t>
  </si>
  <si>
    <t>Expansion</t>
  </si>
  <si>
    <t>CDS</t>
  </si>
  <si>
    <t xml:space="preserve">Junior Data manager </t>
  </si>
  <si>
    <t>Amol Shirbande</t>
  </si>
  <si>
    <t>Souradip Adhikari</t>
  </si>
  <si>
    <t>NA</t>
  </si>
  <si>
    <t>Fresher</t>
  </si>
  <si>
    <t>M</t>
  </si>
  <si>
    <t> </t>
  </si>
  <si>
    <t>IR</t>
  </si>
  <si>
    <t>Joined</t>
  </si>
  <si>
    <t>Jerrin</t>
  </si>
  <si>
    <t>Koushik</t>
  </si>
  <si>
    <t>Vibitha S</t>
  </si>
  <si>
    <t>F</t>
  </si>
  <si>
    <t>Replacement</t>
  </si>
  <si>
    <t>Jaison/Amrita</t>
  </si>
  <si>
    <t>Reshma Suresh</t>
  </si>
  <si>
    <t>Jaison/unnikrishnan</t>
  </si>
  <si>
    <t>Kaynaz Hussain</t>
  </si>
  <si>
    <t>Senior Data Manager</t>
  </si>
  <si>
    <t>Anisha Rastogi</t>
  </si>
  <si>
    <t>Novartis</t>
  </si>
  <si>
    <t>RPO</t>
  </si>
  <si>
    <t>Shivani Shukla</t>
  </si>
  <si>
    <t>SDSA</t>
  </si>
  <si>
    <t>Statistical Data Scientist</t>
  </si>
  <si>
    <t>Gauravbir Dogra</t>
  </si>
  <si>
    <t>M ARAVIND</t>
  </si>
  <si>
    <t>Technohoste</t>
  </si>
  <si>
    <t xml:space="preserve">Senior Associate, Reporting Analyst </t>
  </si>
  <si>
    <t>Sreekanth Dandothkar</t>
  </si>
  <si>
    <t>Hareswaran Veluswamy</t>
  </si>
  <si>
    <t>Fortrea</t>
  </si>
  <si>
    <t>Statistical Data Sciences Lead -IC</t>
  </si>
  <si>
    <t>Nikhil Upadhyay</t>
  </si>
  <si>
    <t>Siddharth Gilani</t>
  </si>
  <si>
    <t>Pharm-Olam</t>
  </si>
  <si>
    <t>Asset Lead</t>
  </si>
  <si>
    <t>Deepak</t>
  </si>
  <si>
    <t>Asha Navale</t>
  </si>
  <si>
    <t xml:space="preserve">ICON </t>
  </si>
  <si>
    <t>4855047 </t>
  </si>
  <si>
    <t>Senior Statistical Data Scientist</t>
  </si>
  <si>
    <t>Alex Jegadeep Raja</t>
  </si>
  <si>
    <t>Achudha.N</t>
  </si>
  <si>
    <t>Softeon</t>
  </si>
  <si>
    <t>Vignesh Anand</t>
  </si>
  <si>
    <t>Jeba Kumar</t>
  </si>
  <si>
    <t>Sai Pooja</t>
  </si>
  <si>
    <t>TCS</t>
  </si>
  <si>
    <t>Venkateswarlu Layam</t>
  </si>
  <si>
    <t>Pravallika</t>
  </si>
  <si>
    <t>Sanjeevani</t>
  </si>
  <si>
    <t>Sathiyaraj Varatharaj</t>
  </si>
  <si>
    <t>Komal Narawde</t>
  </si>
  <si>
    <t>IQVIA</t>
  </si>
  <si>
    <t>Associate Data Manager</t>
  </si>
  <si>
    <t>Raghupathi</t>
  </si>
  <si>
    <t>Data Manager</t>
  </si>
  <si>
    <t>Amruta</t>
  </si>
  <si>
    <t>Laxmi V N</t>
  </si>
  <si>
    <t xml:space="preserve">Parexel </t>
  </si>
  <si>
    <t>4856054 </t>
  </si>
  <si>
    <t>Baskaran Dharmalingam</t>
  </si>
  <si>
    <t>SHIVANI ASHWINI KUMAR</t>
  </si>
  <si>
    <t>KMK</t>
  </si>
  <si>
    <t>J.Subha Sri</t>
  </si>
  <si>
    <t>Aurobindo</t>
  </si>
  <si>
    <t>Anu Johnson</t>
  </si>
  <si>
    <t>Unnikrishnan</t>
  </si>
  <si>
    <t> Varsha Santhosh</t>
  </si>
  <si>
    <t> Sanchari Dutta</t>
  </si>
  <si>
    <t>Kiran Sabarish</t>
  </si>
  <si>
    <t>Quartesian</t>
  </si>
  <si>
    <t>Jr. Database Analyst</t>
  </si>
  <si>
    <t>Priyadharsini</t>
  </si>
  <si>
    <t> Poornima</t>
  </si>
  <si>
    <t>4855166 </t>
  </si>
  <si>
    <t>Priya Iyer</t>
  </si>
  <si>
    <t>Aishwarya LR</t>
  </si>
  <si>
    <t>Caterpillar</t>
  </si>
  <si>
    <t>Kaushik Dinanath Save</t>
  </si>
  <si>
    <t>Statistical Data Sciences Lead -PM</t>
  </si>
  <si>
    <t xml:space="preserve">Krupali Ladani </t>
  </si>
  <si>
    <t>Krishna Yadav</t>
  </si>
  <si>
    <t>Khyati Jaiswal</t>
  </si>
  <si>
    <t>Shilpakala Vasudevan</t>
  </si>
  <si>
    <t>Ephicacay</t>
  </si>
  <si>
    <t>Principal Statistical Data Scientist</t>
  </si>
  <si>
    <t>AKASH CHOUDHARY</t>
  </si>
  <si>
    <t>Shakeer Saheb</t>
  </si>
  <si>
    <t>Amar Ashok maske</t>
  </si>
  <si>
    <t xml:space="preserve">Priyanka </t>
  </si>
  <si>
    <t>Nischitha B M</t>
  </si>
  <si>
    <t>Business Operations</t>
  </si>
  <si>
    <t>Agatha</t>
  </si>
  <si>
    <t>Vishnu Mohan</t>
  </si>
  <si>
    <t xml:space="preserve">Accenture </t>
  </si>
  <si>
    <t>Periasamy Karuppannan</t>
  </si>
  <si>
    <t>Ramesh Morampudi</t>
  </si>
  <si>
    <t>Sr.Database analyst</t>
  </si>
  <si>
    <t>Saadiq Baasha</t>
  </si>
  <si>
    <t>Keerthana Mahalakshmi</t>
  </si>
  <si>
    <t>Preeti Ghatge</t>
  </si>
  <si>
    <t>Devender Reddy Thode</t>
  </si>
  <si>
    <t>Sanofi</t>
  </si>
  <si>
    <t>Accenture</t>
  </si>
  <si>
    <t>Urmimala Chakraborty</t>
  </si>
  <si>
    <t>Koushik/jaison</t>
  </si>
  <si>
    <t xml:space="preserve">Anupriya Goha </t>
  </si>
  <si>
    <t>CHANDAN KUMAR PASUPULETI</t>
  </si>
  <si>
    <t>Priyanka Bangar</t>
  </si>
  <si>
    <t>Darshana Sawant</t>
  </si>
  <si>
    <t>Senior Associate, Central testing analyst</t>
  </si>
  <si>
    <t>Ramkumar  Gandhiram</t>
  </si>
  <si>
    <t>Nivedha senthinathan</t>
  </si>
  <si>
    <t xml:space="preserve">NA </t>
  </si>
  <si>
    <t>Ankita Nitin Mandlik</t>
  </si>
  <si>
    <t>Vijayalakshmi</t>
  </si>
  <si>
    <t>Priyanka S</t>
  </si>
  <si>
    <t>Anji Reddy</t>
  </si>
  <si>
    <t>Jeevan Scientific</t>
  </si>
  <si>
    <t>Aniket Datta</t>
  </si>
  <si>
    <t xml:space="preserve">Senior Clinical Data Scientist </t>
  </si>
  <si>
    <t>Sanjay chandrakant  Bhagat</t>
  </si>
  <si>
    <t>Sreelakshmi</t>
  </si>
  <si>
    <t>VIJAYARAGHAVA KARPURAPU</t>
  </si>
  <si>
    <t>Cytel</t>
  </si>
  <si>
    <t>Allen V. Thundiyil</t>
  </si>
  <si>
    <t>Sumptuous Data Sciences Pvt. Ltd</t>
  </si>
  <si>
    <t>Vikram Venugopal</t>
  </si>
  <si>
    <t>Labcorp</t>
  </si>
  <si>
    <t>Statistical programming</t>
  </si>
  <si>
    <t xml:space="preserve">Kavita Rattan </t>
  </si>
  <si>
    <t>Ankita Attarde</t>
  </si>
  <si>
    <t>Tiger Analytics</t>
  </si>
  <si>
    <t xml:space="preserve">Central Monitor </t>
  </si>
  <si>
    <t>Shweta Bhavsar</t>
  </si>
  <si>
    <t>Vikram v kuvelakar</t>
  </si>
  <si>
    <t>Mohammed Sadiq Zakariah</t>
  </si>
  <si>
    <t xml:space="preserve">Junior Lab Data Specialist </t>
  </si>
  <si>
    <t xml:space="preserve">Prathamesh </t>
  </si>
  <si>
    <t xml:space="preserve">Jerrin Reji Mathew </t>
  </si>
  <si>
    <t>Nilesh Eknath Chikne</t>
  </si>
  <si>
    <t xml:space="preserve">Shruti Bhatia </t>
  </si>
  <si>
    <t xml:space="preserve">Cognizant </t>
  </si>
  <si>
    <t xml:space="preserve">Rupali Save </t>
  </si>
  <si>
    <t>NEETHU BABU</t>
  </si>
  <si>
    <t>Clinipace</t>
  </si>
  <si>
    <t>Nisha Iyer</t>
  </si>
  <si>
    <t>Pallavi Guda</t>
  </si>
  <si>
    <t>Sukalpo Saha</t>
  </si>
  <si>
    <t>GSK</t>
  </si>
  <si>
    <t>Aishwarya Pawar</t>
  </si>
  <si>
    <t>Sr. Statistical Data Sciences Lead(PM)</t>
  </si>
  <si>
    <t>Shrikrishna Chandra Shroff</t>
  </si>
  <si>
    <t>Quanticate</t>
  </si>
  <si>
    <t>Sathiya Karthick</t>
  </si>
  <si>
    <t>Amaris Clinical</t>
  </si>
  <si>
    <t>Issac Arasavalli</t>
  </si>
  <si>
    <t xml:space="preserve">Sukesh Ballullaya </t>
  </si>
  <si>
    <t>RashmiNiza A</t>
  </si>
  <si>
    <t>Prajakta chivate</t>
  </si>
  <si>
    <t>Reshma Grace Roy</t>
  </si>
  <si>
    <t xml:space="preserve">TCS </t>
  </si>
  <si>
    <t>Tejaswini Puppala</t>
  </si>
  <si>
    <t>4875785 </t>
  </si>
  <si>
    <t>Associate Statistical Programmer</t>
  </si>
  <si>
    <t>Sangeetha L.</t>
  </si>
  <si>
    <t>G7 Synergon Private Limited</t>
  </si>
  <si>
    <t>Saranya Ramachandran</t>
  </si>
  <si>
    <t>PPD</t>
  </si>
  <si>
    <t>Sheetal H. Chauhan</t>
  </si>
  <si>
    <t>4864470 </t>
  </si>
  <si>
    <t xml:space="preserve">Manager - Clinical Data Scientist </t>
  </si>
  <si>
    <t xml:space="preserve">Sripu Gopinath </t>
  </si>
  <si>
    <t>Sudharshan Avhad</t>
  </si>
  <si>
    <t>Binitha S</t>
  </si>
  <si>
    <t xml:space="preserve">Matadan Mishra </t>
  </si>
  <si>
    <t>Priti</t>
  </si>
  <si>
    <t>Ranjitha P LL</t>
  </si>
  <si>
    <t xml:space="preserve">Tejashree Despande </t>
  </si>
  <si>
    <t>Alex</t>
  </si>
  <si>
    <t>Monicka Narendrababu</t>
  </si>
  <si>
    <t>Latent View Analytics</t>
  </si>
  <si>
    <t>Shama</t>
  </si>
  <si>
    <t>Roja P</t>
  </si>
  <si>
    <t xml:space="preserve">Junior Data Manager </t>
  </si>
  <si>
    <t xml:space="preserve">Sagaya Mythili </t>
  </si>
  <si>
    <t>Basilson Mathew</t>
  </si>
  <si>
    <t xml:space="preserve">Kapil Ramakrishna Patil </t>
  </si>
  <si>
    <t xml:space="preserve">Deepak </t>
  </si>
  <si>
    <t xml:space="preserve">Tamil selvi </t>
  </si>
  <si>
    <t>Arya Ramchandran</t>
  </si>
  <si>
    <t xml:space="preserve">Persis J Engineer </t>
  </si>
  <si>
    <t>Syneos</t>
  </si>
  <si>
    <t>GB</t>
  </si>
  <si>
    <t>Sindhuri Polepalli</t>
  </si>
  <si>
    <t>CFA Technologies</t>
  </si>
  <si>
    <t>Preeti</t>
  </si>
  <si>
    <t>Subbarao.s</t>
  </si>
  <si>
    <t>Cognizant Pvt Ltd</t>
  </si>
  <si>
    <t>Tejaswini</t>
  </si>
  <si>
    <t>Aleem Khan</t>
  </si>
  <si>
    <t>Princeps Technologies inc.</t>
  </si>
  <si>
    <t xml:space="preserve">Bonny K John </t>
  </si>
  <si>
    <t>Business Suppot</t>
  </si>
  <si>
    <t>Josline Miriyam</t>
  </si>
  <si>
    <t xml:space="preserve">Nisha </t>
  </si>
  <si>
    <t>Aparna Ravi</t>
  </si>
  <si>
    <t>Zifo</t>
  </si>
  <si>
    <t>Purnachand Boni</t>
  </si>
  <si>
    <t>ICON plc</t>
  </si>
  <si>
    <t>Venkateswarlu</t>
  </si>
  <si>
    <t>PIPALA PREM KUMAR</t>
  </si>
  <si>
    <t>Shroff, Shrikrishna Chandra</t>
  </si>
  <si>
    <t>Jacob Mathew</t>
  </si>
  <si>
    <t>Novo Nordisk</t>
  </si>
  <si>
    <t>Durga Srinivas</t>
  </si>
  <si>
    <t>Bhavana Sruthi</t>
  </si>
  <si>
    <t>Saama Technologies |</t>
  </si>
  <si>
    <t>Kaarthikeyan Sakthivel</t>
  </si>
  <si>
    <t>Shrikrishna</t>
  </si>
  <si>
    <t>Ankur Vilas Parte</t>
  </si>
  <si>
    <t>Phastar CRO Private Limited</t>
  </si>
  <si>
    <t xml:space="preserve">Jaison </t>
  </si>
  <si>
    <t>Diotima Koley</t>
  </si>
  <si>
    <t xml:space="preserve">Zifo </t>
  </si>
  <si>
    <t>4883145 </t>
  </si>
  <si>
    <t>Minnu Varghese</t>
  </si>
  <si>
    <t>Ashwini Gawade</t>
  </si>
  <si>
    <t>Hemant Mahale</t>
  </si>
  <si>
    <t>Adlin Emily John JV</t>
  </si>
  <si>
    <t>Nisha</t>
  </si>
  <si>
    <t xml:space="preserve">Sumeet Shubedar </t>
  </si>
  <si>
    <t>Shridhar Bhagat</t>
  </si>
  <si>
    <t>VINAY K SHANBHAG</t>
  </si>
  <si>
    <t>Eli Lily</t>
  </si>
  <si>
    <t>4887354 </t>
  </si>
  <si>
    <t>Suresh Kumar</t>
  </si>
  <si>
    <t>Medreich Limited</t>
  </si>
  <si>
    <t>Chakrapani</t>
  </si>
  <si>
    <t xml:space="preserve">Archana Tanwar </t>
  </si>
  <si>
    <t xml:space="preserve">Syneos </t>
  </si>
  <si>
    <t>Lokesh Nirmal Raja. A</t>
  </si>
  <si>
    <t>Azidus Laboratories Ltd</t>
  </si>
  <si>
    <t>Vandana</t>
  </si>
  <si>
    <t>Geetha Kanchula</t>
  </si>
  <si>
    <t>NAVITAS LIFE SCIENCES </t>
  </si>
  <si>
    <t xml:space="preserve">Balaji Prabhu Raja </t>
  </si>
  <si>
    <t>Muthamma PB</t>
  </si>
  <si>
    <t>Bhaskar Subramaniam</t>
  </si>
  <si>
    <t>Joseph Jeyath</t>
  </si>
  <si>
    <t>Maulesh Panchal</t>
  </si>
  <si>
    <t>Prathima</t>
  </si>
  <si>
    <t>Supriya Desai</t>
  </si>
  <si>
    <t>Jyothi Behara</t>
  </si>
  <si>
    <t>SUMIT SINGH</t>
  </si>
  <si>
    <t>Stalwart IT Solutions</t>
  </si>
  <si>
    <t>Petala Prasana Lakshmi</t>
  </si>
  <si>
    <t>Bioclinca</t>
  </si>
  <si>
    <t>Satheesh Kanakatala</t>
  </si>
  <si>
    <t>Varun kumar</t>
  </si>
  <si>
    <t>Agati Clinical Informatics</t>
  </si>
  <si>
    <t>Ajay Kushwaha</t>
  </si>
  <si>
    <t>Natarajan Vijaikumar</t>
  </si>
  <si>
    <t>Reena</t>
  </si>
  <si>
    <t xml:space="preserve">Adhul P PRadeep </t>
  </si>
  <si>
    <t>DEBKRISHNA MANNA</t>
  </si>
  <si>
    <t>Veranex</t>
  </si>
  <si>
    <t>Shaikh Gouse pasha</t>
  </si>
  <si>
    <t>Sandhya Shivaji Gaikwad</t>
  </si>
  <si>
    <t>Sandeep  Kumar Karshakuntla</t>
  </si>
  <si>
    <t>Harshad Gurav</t>
  </si>
  <si>
    <t>Sayad Gayaz Ahamad</t>
  </si>
  <si>
    <t>Shubham Vaikunthe</t>
  </si>
  <si>
    <t>Senyos</t>
  </si>
  <si>
    <t>VENKATESU BURRU</t>
  </si>
  <si>
    <t xml:space="preserve">Nikhil </t>
  </si>
  <si>
    <t>Aravind Reddy Kallem</t>
  </si>
  <si>
    <t>Geninvo Technologies</t>
  </si>
  <si>
    <t>Robins K C</t>
  </si>
  <si>
    <t>Vaidehi Kate</t>
  </si>
  <si>
    <t xml:space="preserve">PPD (TFS) </t>
  </si>
  <si>
    <t>Aakash Srinivasan</t>
  </si>
  <si>
    <t>Associate, Junior Database Analyst</t>
  </si>
  <si>
    <t xml:space="preserve">Raveena </t>
  </si>
  <si>
    <t xml:space="preserve">Ganpatlal Suthar </t>
  </si>
  <si>
    <t xml:space="preserve">Junior Central Testing Analyst </t>
  </si>
  <si>
    <t xml:space="preserve">Agatha </t>
  </si>
  <si>
    <t>Rushikesh Rajendra Malokar</t>
  </si>
  <si>
    <t xml:space="preserve">Vrindha Vashishtha </t>
  </si>
  <si>
    <t xml:space="preserve">Irene Therese </t>
  </si>
  <si>
    <t>Athira Sarasakshan</t>
  </si>
  <si>
    <t>Mohammed Rehaan</t>
  </si>
  <si>
    <t xml:space="preserve">Junior Reporting Analyst </t>
  </si>
  <si>
    <t xml:space="preserve">Rohit Kumar U </t>
  </si>
  <si>
    <t>Kavya Sivakumar</t>
  </si>
  <si>
    <t>Sukanya S</t>
  </si>
  <si>
    <t>Symbiance</t>
  </si>
  <si>
    <t>Associate, Associate Central Testing Analyst</t>
  </si>
  <si>
    <t xml:space="preserve">Manjubashini T </t>
  </si>
  <si>
    <t>SV Specialty Health Care</t>
  </si>
  <si>
    <t>Nischitha A</t>
  </si>
  <si>
    <t>4900270 </t>
  </si>
  <si>
    <t>Roshini R.</t>
  </si>
  <si>
    <t>Usha Babuji</t>
  </si>
  <si>
    <t>Sutrix Solutions</t>
  </si>
  <si>
    <t>Sangeetha Ramesh</t>
  </si>
  <si>
    <t>SMO Connect Clinical Research Private Limited</t>
  </si>
  <si>
    <t>KAMINI SINGH</t>
  </si>
  <si>
    <t>DATRI BLOOD STEM CELL DONORS REGISTRY</t>
  </si>
  <si>
    <t>Swathipriya</t>
  </si>
  <si>
    <t>4903804 </t>
  </si>
  <si>
    <t>Kesavarthni</t>
  </si>
  <si>
    <t>JANAARTHANAN G</t>
  </si>
  <si>
    <t>Narasimha</t>
  </si>
  <si>
    <t xml:space="preserve">Reena </t>
  </si>
  <si>
    <t xml:space="preserve">Kailas Desai </t>
  </si>
  <si>
    <t>HARI KRISHNAN M</t>
  </si>
  <si>
    <t>Sangamithrai</t>
  </si>
  <si>
    <t>Rakesh G</t>
  </si>
  <si>
    <t xml:space="preserve">  Zifo</t>
  </si>
  <si>
    <t>GOKUL.E.N</t>
  </si>
  <si>
    <t xml:space="preserve">Manager, Central Testing Analyst </t>
  </si>
  <si>
    <t xml:space="preserve">Kumar S </t>
  </si>
  <si>
    <t>4902109 </t>
  </si>
  <si>
    <t xml:space="preserve">Manager, Senior Reporting Analyst </t>
  </si>
  <si>
    <t xml:space="preserve">Yogeshwaran </t>
  </si>
  <si>
    <t xml:space="preserve">Genpact </t>
  </si>
  <si>
    <t xml:space="preserve">Senior Associate, Senior Central Testing Analyst </t>
  </si>
  <si>
    <t xml:space="preserve">Sreeniwas Sreekanthan </t>
  </si>
  <si>
    <t>Infosys</t>
  </si>
  <si>
    <t>P. Sujatha</t>
  </si>
  <si>
    <t>Fortea ( Lapcorp )</t>
  </si>
  <si>
    <t>Swaathi M.D.</t>
  </si>
  <si>
    <t xml:space="preserve">Vidhi Parmar </t>
  </si>
  <si>
    <t>Ravi Kumar C</t>
  </si>
  <si>
    <t>Bhuvaneswari Baskaran</t>
  </si>
  <si>
    <t>Manager, Reporting Analyst</t>
  </si>
  <si>
    <t>Venkatraman Venkateswaran</t>
  </si>
  <si>
    <t>Standard Chartered</t>
  </si>
  <si>
    <t>Venkatesrlu</t>
  </si>
  <si>
    <t>Durga Sai</t>
  </si>
  <si>
    <t>4905535 </t>
  </si>
  <si>
    <t>Athira J.S</t>
  </si>
  <si>
    <t>Venkateswarly Lyam</t>
  </si>
  <si>
    <t>Rushendra Babu</t>
  </si>
  <si>
    <t>P. THANUSHRI</t>
  </si>
  <si>
    <t>Nivetha Raja</t>
  </si>
  <si>
    <t>Pooja Singh</t>
  </si>
  <si>
    <t>Manager, Senior Central Testing Analysis</t>
  </si>
  <si>
    <t>Pradeep</t>
  </si>
  <si>
    <t>Senior Associate, Central  Testing analyst</t>
  </si>
  <si>
    <t>VIGNESH DEVARAJ </t>
  </si>
  <si>
    <t>Icon</t>
  </si>
  <si>
    <t>Sangeetha M.</t>
  </si>
  <si>
    <t>Junior Lab Data Specialist</t>
  </si>
  <si>
    <t>Prathamesh</t>
  </si>
  <si>
    <t>Anagha Jayaprakash</t>
  </si>
  <si>
    <t>Senior Data Scientist</t>
  </si>
  <si>
    <t>Kavita</t>
  </si>
  <si>
    <t>Akhil H.A</t>
  </si>
  <si>
    <t>Cellworks Life</t>
  </si>
  <si>
    <t>DineshKumar Mohan</t>
  </si>
  <si>
    <t>Abhishek Gupta</t>
  </si>
  <si>
    <t>Nandhithasri</t>
  </si>
  <si>
    <t>Monika Umashankar</t>
  </si>
  <si>
    <t>Sugavanam S (Suga)</t>
  </si>
  <si>
    <t>Dileep Kumar</t>
  </si>
  <si>
    <t>Sudeepto Roy</t>
  </si>
  <si>
    <t>Senior Associate, Senior Database Analyst</t>
  </si>
  <si>
    <t>Sarath</t>
  </si>
  <si>
    <t>Prasad Parbat</t>
  </si>
  <si>
    <t>SHAIMA SANTHILAL SARMA</t>
  </si>
  <si>
    <t>Senior Associate, Data Manager, Clinical Data Sciences</t>
  </si>
  <si>
    <t>Sripu</t>
  </si>
  <si>
    <t>Kavitha Gopal</t>
  </si>
  <si>
    <t>Karl Marx</t>
  </si>
  <si>
    <t>Lakshmi Narayanan</t>
  </si>
  <si>
    <t>Karthik P</t>
  </si>
  <si>
    <t>Suvarna Gosavi</t>
  </si>
  <si>
    <t>Jaison Jose</t>
  </si>
  <si>
    <t>Samsudeen M.J</t>
  </si>
  <si>
    <t>Pfizer</t>
  </si>
  <si>
    <t xml:space="preserve">Internal </t>
  </si>
  <si>
    <t>Shrinidhi Shetty</t>
  </si>
  <si>
    <t>Central Monitor</t>
  </si>
  <si>
    <t>Kavita Rattan</t>
  </si>
  <si>
    <t>Gungang malick</t>
  </si>
  <si>
    <t xml:space="preserve">Associate Data Manager </t>
  </si>
  <si>
    <t>Suseela M.S</t>
  </si>
  <si>
    <t xml:space="preserve">Alina Susan Mathew </t>
  </si>
  <si>
    <t>Appasamy Associates Pvt Ltd Biopharma</t>
  </si>
  <si>
    <t>Kanchana</t>
  </si>
  <si>
    <t xml:space="preserve">Ganesh E </t>
  </si>
  <si>
    <t>Principal Statistical Programmer</t>
  </si>
  <si>
    <t>Samy</t>
  </si>
  <si>
    <t>PALLABINI DASH</t>
  </si>
  <si>
    <t>Parexel international</t>
  </si>
  <si>
    <t>SRUTILEKHA DAS</t>
  </si>
  <si>
    <t>Data Manager </t>
  </si>
  <si>
    <t>Divya Ashokk</t>
  </si>
  <si>
    <t>4913144 </t>
  </si>
  <si>
    <t>Manager,  Project Manager, Clinical Database Management</t>
  </si>
  <si>
    <t>Mahender Sivaraman</t>
  </si>
  <si>
    <t>Optum Insights</t>
  </si>
  <si>
    <t> Senior Associate, Data Manager, Clinical Data Sciences</t>
  </si>
  <si>
    <t>Nishant Yadav</t>
  </si>
  <si>
    <t>Kavitha M.</t>
  </si>
  <si>
    <t xml:space="preserve">Shilpa </t>
  </si>
  <si>
    <t>PRIYADARSHINI P</t>
  </si>
  <si>
    <t>SILAMBARASAN JAYACHANDIRAN</t>
  </si>
  <si>
    <t>Alex A</t>
  </si>
  <si>
    <t>Murari Uthayakumar</t>
  </si>
  <si>
    <t xml:space="preserve"> George Institute</t>
  </si>
  <si>
    <t>Gitaranjan</t>
  </si>
  <si>
    <t xml:space="preserve">Harini Vaidyanath </t>
  </si>
  <si>
    <t xml:space="preserve">Doodleblue </t>
  </si>
  <si>
    <t>Nikhil  / Alex</t>
  </si>
  <si>
    <t xml:space="preserve"> RENJITH T KORAH</t>
  </si>
  <si>
    <t>Anannya PS</t>
  </si>
  <si>
    <t>Ramisha Gayathri R</t>
  </si>
  <si>
    <t>Associate Data Manager </t>
  </si>
  <si>
    <t>Pooja Chinnikrishnan</t>
  </si>
  <si>
    <t xml:space="preserve"> K.R. Saranya</t>
  </si>
  <si>
    <t xml:space="preserve"> Hewlett Packard Enterprise</t>
  </si>
  <si>
    <t>KAARTHIKEYAN V</t>
  </si>
  <si>
    <t>New</t>
  </si>
  <si>
    <t>Deepak Nema</t>
  </si>
  <si>
    <t>Rujuta Ambevkar</t>
  </si>
  <si>
    <t>VIKRAM S</t>
  </si>
  <si>
    <t xml:space="preserve">Vaics consulting </t>
  </si>
  <si>
    <t xml:space="preserve">Senior Statistical Data Scientist </t>
  </si>
  <si>
    <t>SANTHOSHKUMAR S</t>
  </si>
  <si>
    <t xml:space="preserve">Asset Lead </t>
  </si>
  <si>
    <t xml:space="preserve">Rashmi Evangeline Grace </t>
  </si>
  <si>
    <t xml:space="preserve">Amresh Kshingar </t>
  </si>
  <si>
    <t>Leela Krishna M</t>
  </si>
  <si>
    <t>Sr Data Manager</t>
  </si>
  <si>
    <t> 3081436</t>
  </si>
  <si>
    <t>PRARTHANA BANGERA</t>
  </si>
  <si>
    <t> Innovaderm Research Inc</t>
  </si>
  <si>
    <t>Radhika Patel</t>
  </si>
  <si>
    <t>CBCC Global Reasearch</t>
  </si>
  <si>
    <t>Nikhil</t>
  </si>
  <si>
    <t>Gunasekaran</t>
  </si>
  <si>
    <t>Shri/Nikhil</t>
  </si>
  <si>
    <t xml:space="preserve">Puli Ranjith Kumar </t>
  </si>
  <si>
    <t>Quanticate India Private Ltd</t>
  </si>
  <si>
    <t xml:space="preserve">Data Manager </t>
  </si>
  <si>
    <t> 3081285</t>
  </si>
  <si>
    <t>Arshia Bhat</t>
  </si>
  <si>
    <t>Ass Data Manager</t>
  </si>
  <si>
    <t> 3081506</t>
  </si>
  <si>
    <t>Soumallya Mondal</t>
  </si>
  <si>
    <t>Manikandan Rudrappa</t>
  </si>
  <si>
    <t>Capgemini Technology Services</t>
  </si>
  <si>
    <t>Neha Daphle</t>
  </si>
  <si>
    <t>CF</t>
  </si>
  <si>
    <t>Manager, Senior Reporting Analyst</t>
  </si>
  <si>
    <t>Sreekanth</t>
  </si>
  <si>
    <t xml:space="preserve">Sridharan VR </t>
  </si>
  <si>
    <t xml:space="preserve">Astrazeneca </t>
  </si>
  <si>
    <t>Shri</t>
  </si>
  <si>
    <t>Aniket Shinde</t>
  </si>
  <si>
    <t>Bayer</t>
  </si>
  <si>
    <t>Kalai</t>
  </si>
  <si>
    <t>Shilpa</t>
  </si>
  <si>
    <t>Venkata Kishore Tadiboyina</t>
  </si>
  <si>
    <t>Precision for medicine (Algorics)</t>
  </si>
  <si>
    <t>Periasamy</t>
  </si>
  <si>
    <t>Anria Joy</t>
  </si>
  <si>
    <t xml:space="preserve">AI/ML </t>
  </si>
  <si>
    <t xml:space="preserve">Manager - Data Scientist </t>
  </si>
  <si>
    <t xml:space="preserve">Gaurav Jain </t>
  </si>
  <si>
    <t xml:space="preserve">Rasmita Ardu </t>
  </si>
  <si>
    <t>Baker Hughs</t>
  </si>
  <si>
    <t>Venkat</t>
  </si>
  <si>
    <t>N ABHILASH</t>
  </si>
  <si>
    <t>Saama Technologies</t>
  </si>
  <si>
    <t xml:space="preserve">CDS </t>
  </si>
  <si>
    <t xml:space="preserve">Manager, central testing Analyst </t>
  </si>
  <si>
    <t xml:space="preserve">Unni </t>
  </si>
  <si>
    <t xml:space="preserve">Ranjani S </t>
  </si>
  <si>
    <t xml:space="preserve">Icon </t>
  </si>
  <si>
    <t>Biostats</t>
  </si>
  <si>
    <t>Principal Biostatistician</t>
  </si>
  <si>
    <t>Abhishek</t>
  </si>
  <si>
    <t>Divya Kuttenchalil Andrews</t>
  </si>
  <si>
    <t>-</t>
  </si>
  <si>
    <t>Jeba</t>
  </si>
  <si>
    <t>Ponnisaranya Rajaram</t>
  </si>
  <si>
    <t>KPIT Technologies</t>
  </si>
  <si>
    <t>Vikram</t>
  </si>
  <si>
    <t>Ajay Pawar</t>
  </si>
  <si>
    <t>Cognizant</t>
  </si>
  <si>
    <t>Total CVs Added</t>
  </si>
  <si>
    <t>Shortlisted for 1st Round</t>
  </si>
  <si>
    <t>Final Round selection</t>
  </si>
  <si>
    <t xml:space="preserve">MCCS </t>
  </si>
  <si>
    <t>Associate Manager, MCCS</t>
  </si>
  <si>
    <t xml:space="preserve">Sonia </t>
  </si>
  <si>
    <t xml:space="preserve">Priyanka Wagh </t>
  </si>
  <si>
    <t xml:space="preserve">IR </t>
  </si>
  <si>
    <t>Yet to Join</t>
  </si>
  <si>
    <t xml:space="preserve">Kripa </t>
  </si>
  <si>
    <t xml:space="preserve">Bhavna Kalyanaraman </t>
  </si>
  <si>
    <t>University Of Massachusetts</t>
  </si>
  <si>
    <t xml:space="preserve">RPO </t>
  </si>
  <si>
    <t>Karthik</t>
  </si>
  <si>
    <t>Dhanushiya Veldurai</t>
  </si>
  <si>
    <t xml:space="preserve">Preeti </t>
  </si>
  <si>
    <t xml:space="preserve">Priyadarshini Sankar </t>
  </si>
  <si>
    <t>Arathi Rathnam R</t>
  </si>
  <si>
    <t xml:space="preserve">Cytel </t>
  </si>
  <si>
    <t xml:space="preserve">Heera R </t>
  </si>
  <si>
    <t xml:space="preserve">Symbiance </t>
  </si>
  <si>
    <t>Anisha</t>
  </si>
  <si>
    <t>Anjali Rajendran</t>
  </si>
  <si>
    <t>Caidya</t>
  </si>
  <si>
    <t>Statstical Data Scientist Lead</t>
  </si>
  <si>
    <t>Pallavi Yashvant Pawar</t>
  </si>
  <si>
    <t xml:space="preserve">IQVIA </t>
  </si>
  <si>
    <t>Venkata Praveen Kumar Palisetty</t>
  </si>
  <si>
    <t>Manager, Clinical Data Scientist, CDIS</t>
  </si>
  <si>
    <t>Jothish Barat</t>
  </si>
  <si>
    <t xml:space="preserve"> 21,27,624</t>
  </si>
  <si>
    <t>Manager, MCCS</t>
  </si>
  <si>
    <t>Sakshi Kohli</t>
  </si>
  <si>
    <t>Prescient Healthcare Group</t>
  </si>
  <si>
    <t>Kiran Ganesh</t>
  </si>
  <si>
    <t>Vivek Madan Somvanshi</t>
  </si>
  <si>
    <t>Rajamanohar Dasari</t>
  </si>
  <si>
    <t>Shraddha Chatterjee</t>
  </si>
  <si>
    <t xml:space="preserve">Senior Manager, MCCS </t>
  </si>
  <si>
    <t xml:space="preserve">Avinash </t>
  </si>
  <si>
    <t>Haritha Nekkanti</t>
  </si>
  <si>
    <t xml:space="preserve">Priya Singh </t>
  </si>
  <si>
    <t>Cactus</t>
  </si>
  <si>
    <t>11,00,000</t>
  </si>
  <si>
    <t>Saurabh Trikha</t>
  </si>
  <si>
    <t>4200000 </t>
  </si>
  <si>
    <t>Rahul Nikkam</t>
  </si>
  <si>
    <t>Sanofi  </t>
  </si>
  <si>
    <t xml:space="preserve">Manager, MCCS </t>
  </si>
  <si>
    <t xml:space="preserve">Mamta Rai </t>
  </si>
  <si>
    <t xml:space="preserve">Swarnima </t>
  </si>
  <si>
    <t>Remedium  Consultancy</t>
  </si>
  <si>
    <t>Akash Sahebrao Kusmude</t>
  </si>
  <si>
    <t>Sneha</t>
  </si>
  <si>
    <t>Entity</t>
  </si>
  <si>
    <t>PHIPL</t>
  </si>
  <si>
    <t>PPIL</t>
  </si>
  <si>
    <t>Position Status</t>
  </si>
  <si>
    <t>Filled</t>
  </si>
  <si>
    <t>Open</t>
  </si>
  <si>
    <t>Interview in Progress</t>
  </si>
  <si>
    <t xml:space="preserve">Senior Associate, Central Testing </t>
  </si>
  <si>
    <t>Biostatistics</t>
  </si>
  <si>
    <t xml:space="preserve">Abhishek </t>
  </si>
  <si>
    <t>Band</t>
  </si>
  <si>
    <t>Trainee Territory Executive</t>
  </si>
  <si>
    <t>Territory Executive</t>
  </si>
  <si>
    <t>Senior Territory Executive</t>
  </si>
  <si>
    <t>First Line Managers</t>
  </si>
  <si>
    <t>J60 Commercial</t>
  </si>
  <si>
    <t>J70 Commercial</t>
  </si>
  <si>
    <t>Closing Fee</t>
  </si>
  <si>
    <t>Other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</si>
</sst>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4A4A4A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666666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10"/>
      <color rgb="FF010C1F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494949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3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5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13" fillId="0" borderId="2" xfId="1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top" wrapText="1"/>
    </xf>
    <xf numFmtId="15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/>
    </xf>
    <xf numFmtId="15" fontId="12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15" fontId="12" fillId="6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13" fillId="0" borderId="1" xfId="0" applyFont="1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E43E-757D-42F5-98A9-90C006D21015}">
  <dimension ref="A1:AD51"/>
  <sheetViews>
    <sheetView topLeftCell="T1" workbookViewId="0">
      <selection activeCell="AB4" sqref="AB4"/>
    </sheetView>
  </sheetViews>
  <sheetFormatPr defaultRowHeight="15" customHeight="1" x14ac:dyDescent="0.3"/>
  <cols>
    <col min="1" max="1" width="10.26953125" style="61" bestFit="1" customWidth="1"/>
    <col min="2" max="2" width="12.08984375" style="61" bestFit="1" customWidth="1"/>
    <col min="3" max="3" width="17.90625" style="61" bestFit="1" customWidth="1"/>
    <col min="4" max="4" width="18.7265625" style="61" bestFit="1" customWidth="1"/>
    <col min="5" max="5" width="9.6328125" style="61" bestFit="1" customWidth="1"/>
    <col min="6" max="6" width="9.90625" style="61" bestFit="1" customWidth="1"/>
    <col min="7" max="7" width="42.7265625" style="61" bestFit="1" customWidth="1"/>
    <col min="8" max="8" width="12" style="61" bestFit="1" customWidth="1"/>
    <col min="9" max="9" width="16.6328125" style="61" bestFit="1" customWidth="1"/>
    <col min="10" max="10" width="14.81640625" style="61" bestFit="1" customWidth="1"/>
    <col min="11" max="11" width="8.81640625" style="61" bestFit="1" customWidth="1"/>
    <col min="12" max="12" width="10.7265625" style="61" bestFit="1" customWidth="1"/>
    <col min="13" max="13" width="26.1796875" style="61" bestFit="1" customWidth="1"/>
    <col min="14" max="14" width="24.6328125" style="61" bestFit="1" customWidth="1"/>
    <col min="15" max="15" width="8.08984375" style="61" bestFit="1" customWidth="1"/>
    <col min="16" max="16" width="11" style="61" bestFit="1" customWidth="1"/>
    <col min="17" max="17" width="14.81640625" style="61" bestFit="1" customWidth="1"/>
    <col min="18" max="18" width="15" style="61" bestFit="1" customWidth="1"/>
    <col min="19" max="19" width="13.81640625" style="61" bestFit="1" customWidth="1"/>
    <col min="20" max="20" width="10.36328125" style="61" bestFit="1" customWidth="1"/>
    <col min="21" max="21" width="14.6328125" style="61" bestFit="1" customWidth="1"/>
    <col min="22" max="22" width="14.81640625" style="61" bestFit="1" customWidth="1"/>
    <col min="23" max="23" width="7.54296875" style="61" bestFit="1" customWidth="1"/>
    <col min="24" max="24" width="10.7265625" style="61" bestFit="1" customWidth="1"/>
    <col min="25" max="25" width="11.90625" style="61" bestFit="1" customWidth="1"/>
    <col min="26" max="26" width="16.7265625" style="61" bestFit="1" customWidth="1"/>
    <col min="27" max="27" width="12.36328125" style="61" bestFit="1" customWidth="1"/>
    <col min="28" max="28" width="15.453125" style="61" bestFit="1" customWidth="1"/>
    <col min="29" max="29" width="21.90625" style="61" bestFit="1" customWidth="1"/>
    <col min="30" max="30" width="19.54296875" style="61" bestFit="1" customWidth="1"/>
    <col min="31" max="16384" width="8.7265625" style="61"/>
  </cols>
  <sheetData>
    <row r="1" spans="1:30" ht="15" customHeight="1" x14ac:dyDescent="0.3">
      <c r="A1" s="50" t="s">
        <v>0</v>
      </c>
      <c r="B1" s="50" t="s">
        <v>1</v>
      </c>
      <c r="C1" s="50" t="s">
        <v>2</v>
      </c>
      <c r="D1" s="50" t="s">
        <v>3</v>
      </c>
      <c r="E1" s="50" t="s">
        <v>577</v>
      </c>
      <c r="F1" s="50" t="s">
        <v>4</v>
      </c>
      <c r="G1" s="50" t="s">
        <v>5</v>
      </c>
      <c r="H1" s="50" t="s">
        <v>6</v>
      </c>
      <c r="I1" s="50" t="s">
        <v>580</v>
      </c>
      <c r="J1" s="50" t="s">
        <v>7</v>
      </c>
      <c r="K1" s="50" t="s">
        <v>8</v>
      </c>
      <c r="L1" s="50" t="s">
        <v>9</v>
      </c>
      <c r="M1" s="50" t="s">
        <v>10</v>
      </c>
      <c r="N1" s="50" t="s">
        <v>11</v>
      </c>
      <c r="O1" s="50" t="s">
        <v>12</v>
      </c>
      <c r="P1" s="50" t="s">
        <v>13</v>
      </c>
      <c r="Q1" s="50" t="s">
        <v>14</v>
      </c>
      <c r="R1" s="50" t="s">
        <v>15</v>
      </c>
      <c r="S1" s="50" t="s">
        <v>16</v>
      </c>
      <c r="T1" s="50" t="s">
        <v>17</v>
      </c>
      <c r="U1" s="50" t="s">
        <v>18</v>
      </c>
      <c r="V1" s="50" t="s">
        <v>19</v>
      </c>
      <c r="W1" s="50" t="s">
        <v>20</v>
      </c>
      <c r="X1" s="50" t="s">
        <v>21</v>
      </c>
      <c r="Y1" s="50" t="s">
        <v>22</v>
      </c>
      <c r="Z1" s="50" t="s">
        <v>23</v>
      </c>
      <c r="AA1" s="50" t="s">
        <v>24</v>
      </c>
      <c r="AB1" s="51" t="s">
        <v>523</v>
      </c>
      <c r="AC1" s="51" t="s">
        <v>524</v>
      </c>
      <c r="AD1" s="51" t="s">
        <v>525</v>
      </c>
    </row>
    <row r="2" spans="1:30" ht="15" customHeight="1" x14ac:dyDescent="0.3">
      <c r="A2" s="44">
        <v>4918440</v>
      </c>
      <c r="B2" s="44" t="s">
        <v>40</v>
      </c>
      <c r="C2" s="52">
        <v>45530</v>
      </c>
      <c r="D2" s="52">
        <v>45520</v>
      </c>
      <c r="E2" s="52" t="s">
        <v>578</v>
      </c>
      <c r="F2" s="44" t="s">
        <v>26</v>
      </c>
      <c r="G2" s="44" t="s">
        <v>461</v>
      </c>
      <c r="H2" s="44" t="s">
        <v>408</v>
      </c>
      <c r="I2" s="44" t="s">
        <v>581</v>
      </c>
      <c r="J2" s="52">
        <v>45552</v>
      </c>
      <c r="K2" s="52">
        <v>45659</v>
      </c>
      <c r="L2" s="44">
        <v>3079794</v>
      </c>
      <c r="M2" s="44" t="s">
        <v>462</v>
      </c>
      <c r="N2" s="44" t="s">
        <v>81</v>
      </c>
      <c r="O2" s="44">
        <v>19</v>
      </c>
      <c r="P2" s="44" t="s">
        <v>39</v>
      </c>
      <c r="Q2" s="44">
        <v>3600000</v>
      </c>
      <c r="R2" s="44" t="s">
        <v>33</v>
      </c>
      <c r="S2" s="44" t="s">
        <v>33</v>
      </c>
      <c r="T2" s="45">
        <f t="shared" ref="T2:T7" si="0">(U2-Q2)/Q2*100</f>
        <v>31.867555555555555</v>
      </c>
      <c r="U2" s="44">
        <v>4747232</v>
      </c>
      <c r="V2" s="44" t="s">
        <v>33</v>
      </c>
      <c r="W2" s="44" t="s">
        <v>33</v>
      </c>
      <c r="X2" s="53" t="s">
        <v>34</v>
      </c>
      <c r="Y2" s="44">
        <v>8000</v>
      </c>
      <c r="Z2" s="44" t="s">
        <v>35</v>
      </c>
      <c r="AA2" s="42" t="s">
        <v>118</v>
      </c>
      <c r="AB2" s="54">
        <v>35</v>
      </c>
      <c r="AC2" s="54">
        <v>26</v>
      </c>
      <c r="AD2" s="54">
        <v>1</v>
      </c>
    </row>
    <row r="3" spans="1:30" ht="15" customHeight="1" x14ac:dyDescent="0.3">
      <c r="A3" s="32">
        <v>4919247</v>
      </c>
      <c r="B3" s="32" t="s">
        <v>40</v>
      </c>
      <c r="C3" s="55">
        <v>45534</v>
      </c>
      <c r="D3" s="55">
        <v>45520</v>
      </c>
      <c r="E3" s="55" t="s">
        <v>578</v>
      </c>
      <c r="F3" s="32" t="s">
        <v>26</v>
      </c>
      <c r="G3" s="32" t="s">
        <v>461</v>
      </c>
      <c r="H3" s="32" t="s">
        <v>408</v>
      </c>
      <c r="I3" s="32" t="s">
        <v>581</v>
      </c>
      <c r="J3" s="33">
        <v>45594</v>
      </c>
      <c r="K3" s="55">
        <v>45659</v>
      </c>
      <c r="L3" s="32">
        <v>3080284</v>
      </c>
      <c r="M3" s="32" t="s">
        <v>463</v>
      </c>
      <c r="N3" s="32" t="s">
        <v>171</v>
      </c>
      <c r="O3" s="32">
        <v>17</v>
      </c>
      <c r="P3" s="32" t="s">
        <v>32</v>
      </c>
      <c r="Q3" s="32">
        <v>2500000</v>
      </c>
      <c r="R3" s="32" t="s">
        <v>33</v>
      </c>
      <c r="S3" s="32" t="s">
        <v>33</v>
      </c>
      <c r="T3" s="34">
        <f t="shared" si="0"/>
        <v>95.692880000000002</v>
      </c>
      <c r="U3" s="32">
        <v>4892322</v>
      </c>
      <c r="V3" s="32" t="s">
        <v>33</v>
      </c>
      <c r="W3" s="32" t="s">
        <v>33</v>
      </c>
      <c r="X3" s="35" t="s">
        <v>48</v>
      </c>
      <c r="Y3" s="32">
        <v>360000</v>
      </c>
      <c r="Z3" s="32" t="s">
        <v>35</v>
      </c>
      <c r="AA3" s="36" t="s">
        <v>118</v>
      </c>
      <c r="AB3" s="56">
        <v>16</v>
      </c>
      <c r="AC3" s="56">
        <v>10</v>
      </c>
      <c r="AD3" s="56">
        <v>1</v>
      </c>
    </row>
    <row r="4" spans="1:30" ht="15" customHeight="1" x14ac:dyDescent="0.3">
      <c r="A4" s="32">
        <v>4919780</v>
      </c>
      <c r="B4" s="32" t="s">
        <v>25</v>
      </c>
      <c r="C4" s="33">
        <v>45488</v>
      </c>
      <c r="D4" s="33">
        <v>45488</v>
      </c>
      <c r="E4" s="55" t="s">
        <v>578</v>
      </c>
      <c r="F4" s="32" t="s">
        <v>50</v>
      </c>
      <c r="G4" s="32" t="s">
        <v>59</v>
      </c>
      <c r="H4" s="32" t="s">
        <v>239</v>
      </c>
      <c r="I4" s="32" t="s">
        <v>581</v>
      </c>
      <c r="J4" s="33">
        <v>45629</v>
      </c>
      <c r="K4" s="33">
        <v>45687</v>
      </c>
      <c r="L4" s="32">
        <v>3080668</v>
      </c>
      <c r="M4" s="41" t="s">
        <v>464</v>
      </c>
      <c r="N4" s="32" t="s">
        <v>381</v>
      </c>
      <c r="O4" s="32">
        <v>8</v>
      </c>
      <c r="P4" s="32" t="s">
        <v>32</v>
      </c>
      <c r="Q4" s="32">
        <v>2100000</v>
      </c>
      <c r="R4" s="32" t="s">
        <v>33</v>
      </c>
      <c r="S4" s="32" t="s">
        <v>33</v>
      </c>
      <c r="T4" s="34">
        <f t="shared" si="0"/>
        <v>42.857142857142854</v>
      </c>
      <c r="U4" s="32">
        <v>3000000</v>
      </c>
      <c r="V4" s="32">
        <v>2551791</v>
      </c>
      <c r="W4" s="32" t="s">
        <v>33</v>
      </c>
      <c r="X4" s="35" t="s">
        <v>34</v>
      </c>
      <c r="Y4" s="32">
        <v>8000</v>
      </c>
      <c r="Z4" s="32" t="s">
        <v>35</v>
      </c>
      <c r="AA4" s="36" t="s">
        <v>118</v>
      </c>
      <c r="AB4" s="56">
        <v>20</v>
      </c>
      <c r="AC4" s="56">
        <v>15</v>
      </c>
      <c r="AD4" s="56">
        <v>1</v>
      </c>
    </row>
    <row r="5" spans="1:30" ht="15" customHeight="1" x14ac:dyDescent="0.3">
      <c r="A5" s="32">
        <v>4927067</v>
      </c>
      <c r="B5" s="32" t="s">
        <v>33</v>
      </c>
      <c r="C5" s="33">
        <v>45643</v>
      </c>
      <c r="D5" s="33">
        <v>45643</v>
      </c>
      <c r="E5" s="55" t="s">
        <v>578</v>
      </c>
      <c r="F5" s="32" t="s">
        <v>26</v>
      </c>
      <c r="G5" s="32" t="s">
        <v>465</v>
      </c>
      <c r="H5" s="32" t="s">
        <v>64</v>
      </c>
      <c r="I5" s="32" t="s">
        <v>581</v>
      </c>
      <c r="J5" s="33">
        <v>45686</v>
      </c>
      <c r="K5" s="33">
        <v>45706</v>
      </c>
      <c r="L5" s="32" t="s">
        <v>466</v>
      </c>
      <c r="M5" s="32" t="s">
        <v>467</v>
      </c>
      <c r="N5" s="32" t="s">
        <v>468</v>
      </c>
      <c r="O5" s="32">
        <v>17</v>
      </c>
      <c r="P5" s="32" t="s">
        <v>39</v>
      </c>
      <c r="Q5" s="32">
        <v>1900000</v>
      </c>
      <c r="R5" s="32" t="s">
        <v>33</v>
      </c>
      <c r="S5" s="32" t="s">
        <v>33</v>
      </c>
      <c r="T5" s="34">
        <f t="shared" si="0"/>
        <v>14.66578947368421</v>
      </c>
      <c r="U5" s="32">
        <v>2178650</v>
      </c>
      <c r="V5" s="32">
        <v>1878800</v>
      </c>
      <c r="W5" s="32">
        <v>1.22</v>
      </c>
      <c r="X5" s="35" t="s">
        <v>34</v>
      </c>
      <c r="Y5" s="32">
        <v>8000</v>
      </c>
      <c r="Z5" s="32" t="s">
        <v>35</v>
      </c>
      <c r="AA5" s="36" t="s">
        <v>118</v>
      </c>
      <c r="AB5" s="56">
        <v>5</v>
      </c>
      <c r="AC5" s="56">
        <v>3</v>
      </c>
      <c r="AD5" s="56">
        <v>1</v>
      </c>
    </row>
    <row r="6" spans="1:30" ht="15" customHeight="1" x14ac:dyDescent="0.3">
      <c r="A6" s="32">
        <v>4926806</v>
      </c>
      <c r="B6" s="32" t="s">
        <v>25</v>
      </c>
      <c r="C6" s="33">
        <v>45122</v>
      </c>
      <c r="D6" s="33">
        <v>45122</v>
      </c>
      <c r="E6" s="55" t="s">
        <v>578</v>
      </c>
      <c r="F6" s="32" t="s">
        <v>50</v>
      </c>
      <c r="G6" s="32" t="s">
        <v>51</v>
      </c>
      <c r="H6" s="32" t="s">
        <v>225</v>
      </c>
      <c r="I6" s="32" t="s">
        <v>581</v>
      </c>
      <c r="J6" s="57">
        <v>45648</v>
      </c>
      <c r="K6" s="33">
        <v>45733</v>
      </c>
      <c r="L6" s="32">
        <v>3081041</v>
      </c>
      <c r="M6" s="35" t="s">
        <v>469</v>
      </c>
      <c r="N6" s="32" t="s">
        <v>470</v>
      </c>
      <c r="O6" s="32">
        <v>3.5</v>
      </c>
      <c r="P6" s="32" t="s">
        <v>39</v>
      </c>
      <c r="Q6" s="32">
        <v>800000</v>
      </c>
      <c r="R6" s="32" t="s">
        <v>33</v>
      </c>
      <c r="S6" s="32" t="s">
        <v>33</v>
      </c>
      <c r="T6" s="34">
        <f t="shared" si="0"/>
        <v>26.635124999999999</v>
      </c>
      <c r="U6" s="32">
        <v>1013081</v>
      </c>
      <c r="V6" s="32">
        <v>900000</v>
      </c>
      <c r="W6" s="34">
        <v>1.2</v>
      </c>
      <c r="X6" s="35" t="s">
        <v>48</v>
      </c>
      <c r="Y6" s="32">
        <v>26250</v>
      </c>
      <c r="Z6" s="32" t="s">
        <v>35</v>
      </c>
      <c r="AA6" s="36" t="s">
        <v>118</v>
      </c>
      <c r="AB6" s="56">
        <v>5</v>
      </c>
      <c r="AC6" s="56">
        <v>3</v>
      </c>
      <c r="AD6" s="56">
        <v>1</v>
      </c>
    </row>
    <row r="7" spans="1:30" ht="15" customHeight="1" x14ac:dyDescent="0.3">
      <c r="A7" s="32">
        <v>4916258</v>
      </c>
      <c r="B7" s="32" t="s">
        <v>25</v>
      </c>
      <c r="C7" s="33">
        <v>45122</v>
      </c>
      <c r="D7" s="33">
        <v>45122</v>
      </c>
      <c r="E7" s="55" t="s">
        <v>578</v>
      </c>
      <c r="F7" s="32" t="s">
        <v>50</v>
      </c>
      <c r="G7" s="32" t="s">
        <v>68</v>
      </c>
      <c r="H7" s="32" t="s">
        <v>471</v>
      </c>
      <c r="I7" s="32" t="s">
        <v>581</v>
      </c>
      <c r="J7" s="57">
        <v>45629</v>
      </c>
      <c r="K7" s="33">
        <v>45740</v>
      </c>
      <c r="L7" s="32">
        <v>3080955</v>
      </c>
      <c r="M7" s="35" t="s">
        <v>472</v>
      </c>
      <c r="N7" s="32" t="s">
        <v>325</v>
      </c>
      <c r="O7" s="32">
        <v>4.1100000000000003</v>
      </c>
      <c r="P7" s="32" t="s">
        <v>32</v>
      </c>
      <c r="Q7" s="32">
        <v>1090000</v>
      </c>
      <c r="R7" s="32" t="s">
        <v>33</v>
      </c>
      <c r="S7" s="32" t="s">
        <v>33</v>
      </c>
      <c r="T7" s="34">
        <f t="shared" si="0"/>
        <v>46.788990825688074</v>
      </c>
      <c r="U7" s="32">
        <v>1600000</v>
      </c>
      <c r="V7" s="32">
        <v>1360957</v>
      </c>
      <c r="W7" s="32">
        <v>0.88</v>
      </c>
      <c r="X7" s="35" t="s">
        <v>34</v>
      </c>
      <c r="Y7" s="32">
        <v>8000</v>
      </c>
      <c r="Z7" s="32" t="s">
        <v>35</v>
      </c>
      <c r="AA7" s="36" t="s">
        <v>118</v>
      </c>
      <c r="AB7" s="56">
        <v>14</v>
      </c>
      <c r="AC7" s="56">
        <v>12</v>
      </c>
      <c r="AD7" s="56">
        <v>1</v>
      </c>
    </row>
    <row r="8" spans="1:30" ht="15" customHeight="1" x14ac:dyDescent="0.3">
      <c r="A8" s="36">
        <v>4932501</v>
      </c>
      <c r="B8" s="32" t="s">
        <v>25</v>
      </c>
      <c r="C8" s="37">
        <v>45688</v>
      </c>
      <c r="D8" s="37">
        <v>45720</v>
      </c>
      <c r="E8" s="55" t="s">
        <v>578</v>
      </c>
      <c r="F8" s="36" t="s">
        <v>50</v>
      </c>
      <c r="G8" s="32" t="s">
        <v>51</v>
      </c>
      <c r="H8" s="36" t="s">
        <v>473</v>
      </c>
      <c r="I8" s="32" t="s">
        <v>581</v>
      </c>
      <c r="J8" s="37">
        <v>45723</v>
      </c>
      <c r="K8" s="37">
        <v>45740</v>
      </c>
      <c r="L8" s="36">
        <v>7158357</v>
      </c>
      <c r="M8" s="58" t="s">
        <v>474</v>
      </c>
      <c r="N8" s="32" t="s">
        <v>475</v>
      </c>
      <c r="O8" s="36">
        <v>3.5</v>
      </c>
      <c r="P8" s="36" t="s">
        <v>32</v>
      </c>
      <c r="Q8" s="36">
        <v>336000</v>
      </c>
      <c r="R8" s="36"/>
      <c r="S8" s="36"/>
      <c r="T8" s="38">
        <f t="shared" ref="T8:T17" si="1">(U8-Q8)/Q8*100</f>
        <v>108.33333333333333</v>
      </c>
      <c r="U8" s="36">
        <v>700000</v>
      </c>
      <c r="V8" s="36">
        <v>621868</v>
      </c>
      <c r="W8" s="36">
        <v>0.83</v>
      </c>
      <c r="X8" s="35" t="s">
        <v>48</v>
      </c>
      <c r="Y8" s="36">
        <v>26250</v>
      </c>
      <c r="Z8" s="32" t="s">
        <v>35</v>
      </c>
      <c r="AA8" s="36" t="s">
        <v>118</v>
      </c>
      <c r="AB8" s="56">
        <v>18</v>
      </c>
      <c r="AC8" s="56">
        <v>12</v>
      </c>
      <c r="AD8" s="56">
        <v>1</v>
      </c>
    </row>
    <row r="9" spans="1:30" ht="15" customHeight="1" x14ac:dyDescent="0.3">
      <c r="A9" s="32">
        <v>4927059</v>
      </c>
      <c r="B9" s="32" t="s">
        <v>33</v>
      </c>
      <c r="C9" s="33">
        <v>45643</v>
      </c>
      <c r="D9" s="33">
        <v>45643</v>
      </c>
      <c r="E9" s="55" t="s">
        <v>578</v>
      </c>
      <c r="F9" s="32" t="s">
        <v>26</v>
      </c>
      <c r="G9" s="32" t="s">
        <v>476</v>
      </c>
      <c r="H9" s="32" t="s">
        <v>64</v>
      </c>
      <c r="I9" s="32" t="s">
        <v>581</v>
      </c>
      <c r="J9" s="33">
        <v>45671</v>
      </c>
      <c r="K9" s="33">
        <v>45765</v>
      </c>
      <c r="L9" s="32" t="s">
        <v>477</v>
      </c>
      <c r="M9" s="32" t="s">
        <v>478</v>
      </c>
      <c r="N9" s="32" t="s">
        <v>81</v>
      </c>
      <c r="O9" s="32">
        <v>3.9</v>
      </c>
      <c r="P9" s="32" t="s">
        <v>39</v>
      </c>
      <c r="Q9" s="32">
        <v>820000</v>
      </c>
      <c r="R9" s="32" t="s">
        <v>33</v>
      </c>
      <c r="S9" s="32" t="s">
        <v>33</v>
      </c>
      <c r="T9" s="34">
        <f t="shared" si="1"/>
        <v>28.141219512195121</v>
      </c>
      <c r="U9" s="32">
        <v>1050758</v>
      </c>
      <c r="V9" s="32">
        <v>893773</v>
      </c>
      <c r="W9" s="32">
        <v>0.98</v>
      </c>
      <c r="X9" s="35" t="s">
        <v>34</v>
      </c>
      <c r="Y9" s="32">
        <v>8000</v>
      </c>
      <c r="Z9" s="32" t="s">
        <v>35</v>
      </c>
      <c r="AA9" s="36" t="s">
        <v>118</v>
      </c>
      <c r="AB9" s="56">
        <v>29</v>
      </c>
      <c r="AC9" s="56">
        <v>20</v>
      </c>
      <c r="AD9" s="56">
        <v>1</v>
      </c>
    </row>
    <row r="10" spans="1:30" ht="15" customHeight="1" x14ac:dyDescent="0.3">
      <c r="A10" s="32">
        <v>4924629</v>
      </c>
      <c r="B10" s="32" t="s">
        <v>33</v>
      </c>
      <c r="C10" s="33">
        <v>45643</v>
      </c>
      <c r="D10" s="33">
        <v>45643</v>
      </c>
      <c r="E10" s="55" t="s">
        <v>578</v>
      </c>
      <c r="F10" s="32" t="s">
        <v>26</v>
      </c>
      <c r="G10" s="32" t="s">
        <v>479</v>
      </c>
      <c r="H10" s="32" t="s">
        <v>64</v>
      </c>
      <c r="I10" s="32" t="s">
        <v>581</v>
      </c>
      <c r="J10" s="33">
        <v>45691</v>
      </c>
      <c r="K10" s="33">
        <v>45784</v>
      </c>
      <c r="L10" s="32" t="s">
        <v>480</v>
      </c>
      <c r="M10" s="32" t="s">
        <v>481</v>
      </c>
      <c r="N10" s="32" t="s">
        <v>81</v>
      </c>
      <c r="O10" s="32">
        <v>2.6</v>
      </c>
      <c r="P10" s="32" t="s">
        <v>32</v>
      </c>
      <c r="Q10" s="32">
        <v>476950</v>
      </c>
      <c r="R10" s="32" t="s">
        <v>33</v>
      </c>
      <c r="S10" s="32" t="s">
        <v>33</v>
      </c>
      <c r="T10" s="34">
        <f t="shared" si="1"/>
        <v>40.475940874305479</v>
      </c>
      <c r="U10" s="32">
        <v>670000</v>
      </c>
      <c r="V10" s="32">
        <v>581549</v>
      </c>
      <c r="W10" s="32">
        <v>1.01</v>
      </c>
      <c r="X10" s="35" t="s">
        <v>34</v>
      </c>
      <c r="Y10" s="32">
        <v>8000</v>
      </c>
      <c r="Z10" s="32" t="s">
        <v>35</v>
      </c>
      <c r="AA10" s="36" t="s">
        <v>118</v>
      </c>
      <c r="AB10" s="56">
        <v>25</v>
      </c>
      <c r="AC10" s="56">
        <v>20</v>
      </c>
      <c r="AD10" s="56">
        <v>1</v>
      </c>
    </row>
    <row r="11" spans="1:30" ht="15" customHeight="1" x14ac:dyDescent="0.3">
      <c r="A11" s="36">
        <v>4931794</v>
      </c>
      <c r="B11" s="32" t="s">
        <v>25</v>
      </c>
      <c r="C11" s="37">
        <v>45688</v>
      </c>
      <c r="D11" s="37">
        <v>45712</v>
      </c>
      <c r="E11" s="55" t="s">
        <v>578</v>
      </c>
      <c r="F11" s="36" t="s">
        <v>50</v>
      </c>
      <c r="G11" s="32" t="s">
        <v>114</v>
      </c>
      <c r="H11" s="36" t="s">
        <v>473</v>
      </c>
      <c r="I11" s="32" t="s">
        <v>581</v>
      </c>
      <c r="J11" s="37">
        <v>45714</v>
      </c>
      <c r="K11" s="37">
        <v>45810</v>
      </c>
      <c r="L11" s="36">
        <v>3081966</v>
      </c>
      <c r="M11" s="36" t="s">
        <v>482</v>
      </c>
      <c r="N11" s="36" t="s">
        <v>483</v>
      </c>
      <c r="O11" s="36">
        <v>10</v>
      </c>
      <c r="P11" s="36" t="s">
        <v>32</v>
      </c>
      <c r="Q11" s="36">
        <v>1500000</v>
      </c>
      <c r="R11" s="36"/>
      <c r="S11" s="36"/>
      <c r="T11" s="34">
        <f t="shared" si="1"/>
        <v>46.666666666666664</v>
      </c>
      <c r="U11" s="36">
        <v>2200000</v>
      </c>
      <c r="V11" s="36">
        <v>1871314</v>
      </c>
      <c r="W11" s="36">
        <v>1.04</v>
      </c>
      <c r="X11" s="35" t="s">
        <v>34</v>
      </c>
      <c r="Y11" s="32">
        <v>8000</v>
      </c>
      <c r="Z11" s="32" t="s">
        <v>35</v>
      </c>
      <c r="AA11" s="36" t="s">
        <v>118</v>
      </c>
      <c r="AB11" s="56">
        <v>19</v>
      </c>
      <c r="AC11" s="56">
        <v>15</v>
      </c>
      <c r="AD11" s="56">
        <v>1</v>
      </c>
    </row>
    <row r="12" spans="1:30" ht="15" customHeight="1" x14ac:dyDescent="0.3">
      <c r="A12" s="36">
        <v>4933133</v>
      </c>
      <c r="B12" s="32" t="s">
        <v>25</v>
      </c>
      <c r="C12" s="37">
        <v>45688</v>
      </c>
      <c r="D12" s="37">
        <v>45726</v>
      </c>
      <c r="E12" s="55" t="s">
        <v>578</v>
      </c>
      <c r="F12" s="36" t="s">
        <v>50</v>
      </c>
      <c r="G12" s="32" t="s">
        <v>68</v>
      </c>
      <c r="H12" s="36" t="s">
        <v>471</v>
      </c>
      <c r="I12" s="32" t="s">
        <v>581</v>
      </c>
      <c r="J12" s="37">
        <v>45735</v>
      </c>
      <c r="K12" s="37">
        <v>45831</v>
      </c>
      <c r="L12" s="36">
        <v>3081962</v>
      </c>
      <c r="M12" s="58" t="s">
        <v>484</v>
      </c>
      <c r="N12" s="36" t="s">
        <v>75</v>
      </c>
      <c r="O12" s="36">
        <v>5.0999999999999996</v>
      </c>
      <c r="P12" s="36" t="s">
        <v>39</v>
      </c>
      <c r="Q12" s="36">
        <v>930000</v>
      </c>
      <c r="R12" s="36"/>
      <c r="S12" s="36"/>
      <c r="T12" s="34">
        <f t="shared" si="1"/>
        <v>66.666666666666657</v>
      </c>
      <c r="U12" s="36">
        <v>1550000</v>
      </c>
      <c r="V12" s="36">
        <v>1318425</v>
      </c>
      <c r="W12" s="36">
        <v>0.86</v>
      </c>
      <c r="X12" s="35" t="s">
        <v>48</v>
      </c>
      <c r="Y12" s="36">
        <v>52500</v>
      </c>
      <c r="Z12" s="32" t="s">
        <v>35</v>
      </c>
      <c r="AA12" s="36" t="s">
        <v>118</v>
      </c>
      <c r="AB12" s="56">
        <v>36</v>
      </c>
      <c r="AC12" s="56">
        <v>30</v>
      </c>
      <c r="AD12" s="56">
        <v>1</v>
      </c>
    </row>
    <row r="13" spans="1:30" ht="15" customHeight="1" x14ac:dyDescent="0.3">
      <c r="A13" s="32">
        <v>4935484</v>
      </c>
      <c r="B13" s="36" t="s">
        <v>485</v>
      </c>
      <c r="C13" s="37">
        <v>45790</v>
      </c>
      <c r="D13" s="37">
        <v>45790</v>
      </c>
      <c r="E13" s="55" t="s">
        <v>578</v>
      </c>
      <c r="F13" s="32" t="s">
        <v>26</v>
      </c>
      <c r="G13" s="32" t="s">
        <v>486</v>
      </c>
      <c r="H13" s="32" t="s">
        <v>487</v>
      </c>
      <c r="I13" s="32" t="s">
        <v>581</v>
      </c>
      <c r="J13" s="37">
        <v>45799</v>
      </c>
      <c r="K13" s="33">
        <v>45824</v>
      </c>
      <c r="L13" s="36">
        <v>3024106</v>
      </c>
      <c r="M13" s="36" t="s">
        <v>488</v>
      </c>
      <c r="N13" s="36" t="s">
        <v>489</v>
      </c>
      <c r="O13" s="36"/>
      <c r="P13" s="36" t="s">
        <v>32</v>
      </c>
      <c r="Q13" s="36">
        <v>4188039</v>
      </c>
      <c r="R13" s="36">
        <v>3562335</v>
      </c>
      <c r="S13" s="36"/>
      <c r="T13" s="34">
        <f t="shared" si="1"/>
        <v>5.6891304020807834</v>
      </c>
      <c r="U13" s="36">
        <v>4426302</v>
      </c>
      <c r="V13" s="36">
        <v>3765000</v>
      </c>
      <c r="W13" s="36">
        <v>1.27</v>
      </c>
      <c r="X13" s="35" t="s">
        <v>34</v>
      </c>
      <c r="Y13" s="32">
        <v>8000</v>
      </c>
      <c r="Z13" s="32" t="s">
        <v>35</v>
      </c>
      <c r="AA13" s="36" t="s">
        <v>118</v>
      </c>
      <c r="AB13" s="56">
        <v>1</v>
      </c>
      <c r="AC13" s="56">
        <v>1</v>
      </c>
      <c r="AD13" s="56">
        <v>1</v>
      </c>
    </row>
    <row r="14" spans="1:30" ht="15" customHeight="1" x14ac:dyDescent="0.3">
      <c r="A14" s="36">
        <v>4937848</v>
      </c>
      <c r="B14" s="32" t="s">
        <v>25</v>
      </c>
      <c r="C14" s="37">
        <v>45793</v>
      </c>
      <c r="D14" s="37">
        <v>45838</v>
      </c>
      <c r="E14" s="55" t="s">
        <v>578</v>
      </c>
      <c r="F14" s="36" t="s">
        <v>50</v>
      </c>
      <c r="G14" s="36" t="s">
        <v>114</v>
      </c>
      <c r="H14" s="36" t="s">
        <v>490</v>
      </c>
      <c r="I14" s="32" t="s">
        <v>581</v>
      </c>
      <c r="J14" s="37">
        <v>45845</v>
      </c>
      <c r="K14" s="37">
        <v>45870</v>
      </c>
      <c r="L14" s="36">
        <v>3083499</v>
      </c>
      <c r="M14" s="59" t="s">
        <v>491</v>
      </c>
      <c r="N14" s="36" t="s">
        <v>492</v>
      </c>
      <c r="O14" s="36">
        <v>7</v>
      </c>
      <c r="P14" s="36" t="s">
        <v>32</v>
      </c>
      <c r="Q14" s="36">
        <v>1700000</v>
      </c>
      <c r="R14" s="36"/>
      <c r="S14" s="36"/>
      <c r="T14" s="34">
        <f t="shared" si="1"/>
        <v>40.662470588235294</v>
      </c>
      <c r="U14" s="36">
        <v>2391262</v>
      </c>
      <c r="V14" s="36">
        <v>2034000</v>
      </c>
      <c r="W14" s="36">
        <v>1.1299999999999999</v>
      </c>
      <c r="X14" s="35" t="s">
        <v>48</v>
      </c>
      <c r="Y14" s="36">
        <v>94500</v>
      </c>
      <c r="Z14" s="32" t="s">
        <v>35</v>
      </c>
      <c r="AA14" s="36" t="s">
        <v>493</v>
      </c>
      <c r="AB14" s="56">
        <v>15</v>
      </c>
      <c r="AC14" s="56">
        <v>15</v>
      </c>
      <c r="AD14" s="56">
        <v>1</v>
      </c>
    </row>
    <row r="15" spans="1:30" ht="15" customHeight="1" x14ac:dyDescent="0.3">
      <c r="A15" s="36">
        <v>4936974</v>
      </c>
      <c r="B15" s="32" t="s">
        <v>25</v>
      </c>
      <c r="C15" s="37">
        <v>45793</v>
      </c>
      <c r="D15" s="37">
        <v>45818</v>
      </c>
      <c r="E15" s="55" t="s">
        <v>578</v>
      </c>
      <c r="F15" s="36" t="s">
        <v>50</v>
      </c>
      <c r="G15" s="32" t="s">
        <v>68</v>
      </c>
      <c r="H15" s="36" t="s">
        <v>494</v>
      </c>
      <c r="I15" s="32" t="s">
        <v>581</v>
      </c>
      <c r="J15" s="37">
        <v>45865</v>
      </c>
      <c r="K15" s="37">
        <v>45877</v>
      </c>
      <c r="L15" s="36">
        <v>3083769</v>
      </c>
      <c r="M15" s="36" t="s">
        <v>495</v>
      </c>
      <c r="N15" s="60" t="s">
        <v>496</v>
      </c>
      <c r="O15" s="36">
        <v>9</v>
      </c>
      <c r="P15" s="36" t="s">
        <v>32</v>
      </c>
      <c r="Q15" s="36">
        <v>1700000</v>
      </c>
      <c r="R15" s="36"/>
      <c r="S15" s="36"/>
      <c r="T15" s="34">
        <f t="shared" si="1"/>
        <v>31.764705882352938</v>
      </c>
      <c r="U15" s="36">
        <v>2240000</v>
      </c>
      <c r="V15" s="36">
        <v>1909600</v>
      </c>
      <c r="W15" s="36">
        <v>1.24</v>
      </c>
      <c r="X15" s="35" t="s">
        <v>48</v>
      </c>
      <c r="Y15" s="36">
        <v>94500</v>
      </c>
      <c r="Z15" s="32" t="s">
        <v>35</v>
      </c>
      <c r="AA15" s="36" t="s">
        <v>493</v>
      </c>
      <c r="AB15" s="56">
        <v>15</v>
      </c>
      <c r="AC15" s="56">
        <v>15</v>
      </c>
      <c r="AD15" s="56">
        <v>1</v>
      </c>
    </row>
    <row r="16" spans="1:30" ht="15" customHeight="1" x14ac:dyDescent="0.3">
      <c r="A16" s="32">
        <v>4936559</v>
      </c>
      <c r="B16" s="32" t="s">
        <v>25</v>
      </c>
      <c r="C16" s="37">
        <v>45793</v>
      </c>
      <c r="D16" s="37">
        <v>45811</v>
      </c>
      <c r="E16" s="55" t="s">
        <v>578</v>
      </c>
      <c r="F16" s="36" t="s">
        <v>50</v>
      </c>
      <c r="G16" s="32" t="s">
        <v>68</v>
      </c>
      <c r="H16" s="36" t="s">
        <v>497</v>
      </c>
      <c r="I16" s="32" t="s">
        <v>581</v>
      </c>
      <c r="J16" s="37">
        <v>45817</v>
      </c>
      <c r="K16" s="37">
        <v>45882</v>
      </c>
      <c r="L16" s="36">
        <v>3083062</v>
      </c>
      <c r="M16" s="36" t="s">
        <v>498</v>
      </c>
      <c r="N16" s="36" t="s">
        <v>236</v>
      </c>
      <c r="O16" s="36">
        <v>3.6</v>
      </c>
      <c r="P16" s="36" t="s">
        <v>39</v>
      </c>
      <c r="Q16" s="36">
        <v>1100000</v>
      </c>
      <c r="R16" s="36"/>
      <c r="S16" s="36"/>
      <c r="T16" s="34">
        <f t="shared" si="1"/>
        <v>48.090909090909086</v>
      </c>
      <c r="U16" s="36">
        <v>1629000</v>
      </c>
      <c r="V16" s="36">
        <v>1385622</v>
      </c>
      <c r="W16" s="36">
        <v>0.9</v>
      </c>
      <c r="X16" s="35" t="s">
        <v>48</v>
      </c>
      <c r="Y16" s="36">
        <v>61250</v>
      </c>
      <c r="Z16" s="32" t="s">
        <v>35</v>
      </c>
      <c r="AA16" s="36" t="s">
        <v>493</v>
      </c>
      <c r="AB16" s="56">
        <v>10</v>
      </c>
      <c r="AC16" s="56">
        <v>10</v>
      </c>
      <c r="AD16" s="56">
        <v>1</v>
      </c>
    </row>
    <row r="17" spans="1:30" ht="15" customHeight="1" x14ac:dyDescent="0.3">
      <c r="A17" s="32">
        <v>4935709</v>
      </c>
      <c r="B17" s="36" t="s">
        <v>40</v>
      </c>
      <c r="C17" s="37">
        <v>45795</v>
      </c>
      <c r="D17" s="37">
        <v>45795</v>
      </c>
      <c r="E17" s="55" t="s">
        <v>578</v>
      </c>
      <c r="F17" s="36" t="s">
        <v>499</v>
      </c>
      <c r="G17" s="32" t="s">
        <v>500</v>
      </c>
      <c r="H17" s="36" t="s">
        <v>501</v>
      </c>
      <c r="I17" s="32" t="s">
        <v>581</v>
      </c>
      <c r="J17" s="37">
        <v>45891</v>
      </c>
      <c r="K17" s="37">
        <v>45901</v>
      </c>
      <c r="L17" s="39">
        <v>3084183</v>
      </c>
      <c r="M17" s="36" t="s">
        <v>502</v>
      </c>
      <c r="N17" s="36" t="s">
        <v>503</v>
      </c>
      <c r="O17" s="36">
        <v>5</v>
      </c>
      <c r="P17" s="36" t="s">
        <v>39</v>
      </c>
      <c r="Q17" s="36">
        <v>2233712</v>
      </c>
      <c r="R17" s="36">
        <v>1867968</v>
      </c>
      <c r="S17" s="36"/>
      <c r="T17" s="34">
        <f t="shared" si="1"/>
        <v>36.448118647345765</v>
      </c>
      <c r="U17" s="36">
        <v>3047858</v>
      </c>
      <c r="V17" s="36">
        <v>2592500</v>
      </c>
      <c r="W17" s="36">
        <v>0.85</v>
      </c>
      <c r="X17" s="35" t="s">
        <v>34</v>
      </c>
      <c r="Y17" s="36">
        <v>8000</v>
      </c>
      <c r="Z17" s="32" t="s">
        <v>35</v>
      </c>
      <c r="AA17" s="36" t="s">
        <v>118</v>
      </c>
      <c r="AB17" s="56">
        <v>15</v>
      </c>
      <c r="AC17" s="56">
        <v>13</v>
      </c>
      <c r="AD17" s="56">
        <v>1</v>
      </c>
    </row>
    <row r="18" spans="1:30" ht="15" customHeight="1" x14ac:dyDescent="0.3">
      <c r="A18" s="36">
        <v>4936897</v>
      </c>
      <c r="B18" s="32" t="s">
        <v>25</v>
      </c>
      <c r="C18" s="37">
        <v>45793</v>
      </c>
      <c r="D18" s="37">
        <v>45817</v>
      </c>
      <c r="E18" s="55" t="s">
        <v>578</v>
      </c>
      <c r="F18" s="36" t="s">
        <v>50</v>
      </c>
      <c r="G18" s="32" t="s">
        <v>68</v>
      </c>
      <c r="H18" s="36" t="s">
        <v>504</v>
      </c>
      <c r="I18" s="32" t="s">
        <v>581</v>
      </c>
      <c r="J18" s="37">
        <v>45832</v>
      </c>
      <c r="K18" s="37">
        <v>45922</v>
      </c>
      <c r="L18" s="36">
        <v>3083299</v>
      </c>
      <c r="M18" s="59" t="s">
        <v>505</v>
      </c>
      <c r="N18" s="59" t="s">
        <v>506</v>
      </c>
      <c r="O18" s="59">
        <v>6</v>
      </c>
      <c r="P18" s="36" t="s">
        <v>32</v>
      </c>
      <c r="Q18" s="36">
        <v>1050000</v>
      </c>
      <c r="R18" s="36"/>
      <c r="S18" s="36"/>
      <c r="T18" s="34">
        <f>(U18-Q18)/Q18*100</f>
        <v>48.571428571428569</v>
      </c>
      <c r="U18" s="36">
        <v>1560000</v>
      </c>
      <c r="V18" s="36">
        <v>1326932</v>
      </c>
      <c r="W18" s="36">
        <v>0.9</v>
      </c>
      <c r="X18" s="36" t="s">
        <v>48</v>
      </c>
      <c r="Y18" s="36">
        <v>61250</v>
      </c>
      <c r="Z18" s="32" t="s">
        <v>35</v>
      </c>
      <c r="AA18" s="36" t="s">
        <v>493</v>
      </c>
      <c r="AB18" s="56">
        <v>10</v>
      </c>
      <c r="AC18" s="56">
        <v>10</v>
      </c>
      <c r="AD18" s="56">
        <v>1</v>
      </c>
    </row>
    <row r="19" spans="1:30" ht="15" customHeight="1" x14ac:dyDescent="0.3">
      <c r="A19" s="36">
        <v>4937913</v>
      </c>
      <c r="B19" s="36" t="s">
        <v>40</v>
      </c>
      <c r="C19" s="37">
        <v>45839</v>
      </c>
      <c r="D19" s="37">
        <v>45839</v>
      </c>
      <c r="E19" s="55" t="s">
        <v>578</v>
      </c>
      <c r="F19" s="32" t="s">
        <v>26</v>
      </c>
      <c r="G19" s="36" t="s">
        <v>508</v>
      </c>
      <c r="H19" s="36" t="s">
        <v>509</v>
      </c>
      <c r="I19" s="32" t="s">
        <v>581</v>
      </c>
      <c r="J19" s="37">
        <v>45883</v>
      </c>
      <c r="K19" s="37">
        <v>45957</v>
      </c>
      <c r="L19" s="36">
        <v>3084138</v>
      </c>
      <c r="M19" s="36" t="s">
        <v>510</v>
      </c>
      <c r="N19" s="36" t="s">
        <v>511</v>
      </c>
      <c r="O19" s="36">
        <v>15</v>
      </c>
      <c r="P19" s="36" t="s">
        <v>39</v>
      </c>
      <c r="Q19" s="36">
        <v>3409817</v>
      </c>
      <c r="R19" s="36">
        <v>3625473</v>
      </c>
      <c r="S19" s="36">
        <v>4262269</v>
      </c>
      <c r="T19" s="34">
        <f>(U19-Q19)/Q19*100</f>
        <v>24.999934014054126</v>
      </c>
      <c r="U19" s="36">
        <v>4262269</v>
      </c>
      <c r="V19" s="40">
        <v>3625473.7</v>
      </c>
      <c r="W19" s="36">
        <v>1.19</v>
      </c>
      <c r="X19" s="36" t="s">
        <v>48</v>
      </c>
      <c r="Y19" s="40">
        <v>362547.37</v>
      </c>
      <c r="Z19" s="32" t="s">
        <v>35</v>
      </c>
      <c r="AA19" s="36" t="s">
        <v>493</v>
      </c>
      <c r="AB19" s="56">
        <v>20</v>
      </c>
      <c r="AC19" s="56">
        <v>16</v>
      </c>
      <c r="AD19" s="56">
        <v>1</v>
      </c>
    </row>
    <row r="20" spans="1:30" ht="15" customHeight="1" x14ac:dyDescent="0.3">
      <c r="A20" s="36">
        <v>4940048</v>
      </c>
      <c r="B20" s="36"/>
      <c r="C20" s="37">
        <v>45887</v>
      </c>
      <c r="D20" s="37">
        <v>45887</v>
      </c>
      <c r="E20" s="55" t="s">
        <v>578</v>
      </c>
      <c r="F20" s="36" t="s">
        <v>512</v>
      </c>
      <c r="G20" s="36" t="s">
        <v>513</v>
      </c>
      <c r="H20" s="36" t="s">
        <v>514</v>
      </c>
      <c r="I20" s="32" t="s">
        <v>581</v>
      </c>
      <c r="J20" s="37">
        <v>45926</v>
      </c>
      <c r="K20" s="37">
        <v>45954</v>
      </c>
      <c r="L20" s="36">
        <v>3084678</v>
      </c>
      <c r="M20" s="36" t="s">
        <v>515</v>
      </c>
      <c r="N20" s="36" t="s">
        <v>516</v>
      </c>
      <c r="O20" s="36"/>
      <c r="P20" s="36" t="s">
        <v>39</v>
      </c>
      <c r="Q20" s="36" t="s">
        <v>516</v>
      </c>
      <c r="R20" s="36"/>
      <c r="S20" s="36"/>
      <c r="T20" s="34" t="e">
        <f>(U20-Q20)/Q20*100</f>
        <v>#VALUE!</v>
      </c>
      <c r="U20" s="36">
        <v>2116161</v>
      </c>
      <c r="V20" s="36">
        <v>1800000</v>
      </c>
      <c r="W20" s="38">
        <v>0.9</v>
      </c>
      <c r="X20" s="36" t="s">
        <v>34</v>
      </c>
      <c r="Y20" s="36">
        <v>8000</v>
      </c>
      <c r="Z20" s="32" t="s">
        <v>35</v>
      </c>
      <c r="AA20" s="36" t="s">
        <v>118</v>
      </c>
      <c r="AB20" s="56">
        <v>6</v>
      </c>
      <c r="AC20" s="56">
        <v>6</v>
      </c>
      <c r="AD20" s="56">
        <v>1</v>
      </c>
    </row>
    <row r="21" spans="1:30" ht="15" customHeight="1" x14ac:dyDescent="0.3">
      <c r="A21" s="36">
        <v>4943813</v>
      </c>
      <c r="B21" s="32" t="s">
        <v>25</v>
      </c>
      <c r="C21" s="37">
        <v>45937</v>
      </c>
      <c r="D21" s="37">
        <v>45937</v>
      </c>
      <c r="E21" s="55" t="s">
        <v>578</v>
      </c>
      <c r="F21" s="36" t="s">
        <v>50</v>
      </c>
      <c r="G21" s="32" t="s">
        <v>68</v>
      </c>
      <c r="H21" s="36" t="s">
        <v>517</v>
      </c>
      <c r="I21" s="32" t="s">
        <v>581</v>
      </c>
      <c r="J21" s="37">
        <v>45945</v>
      </c>
      <c r="K21" s="37">
        <v>45992</v>
      </c>
      <c r="L21" s="36">
        <v>3084839</v>
      </c>
      <c r="M21" s="36" t="s">
        <v>518</v>
      </c>
      <c r="N21" s="36" t="s">
        <v>519</v>
      </c>
      <c r="O21" s="36">
        <v>4</v>
      </c>
      <c r="P21" s="36" t="s">
        <v>39</v>
      </c>
      <c r="Q21" s="36">
        <v>795000</v>
      </c>
      <c r="R21" s="36"/>
      <c r="S21" s="36"/>
      <c r="T21" s="34">
        <f t="shared" ref="T21" si="2">(U21-Q21)/Q21*100</f>
        <v>70.801132075471699</v>
      </c>
      <c r="U21" s="36">
        <v>1357869</v>
      </c>
      <c r="V21" s="36">
        <v>1155000</v>
      </c>
      <c r="W21" s="36">
        <v>0.75</v>
      </c>
      <c r="X21" s="36" t="s">
        <v>34</v>
      </c>
      <c r="Y21" s="36">
        <v>8000</v>
      </c>
      <c r="Z21" s="32" t="s">
        <v>35</v>
      </c>
      <c r="AA21" s="36" t="s">
        <v>493</v>
      </c>
      <c r="AB21" s="56">
        <v>5</v>
      </c>
      <c r="AC21" s="56">
        <v>5</v>
      </c>
      <c r="AD21" s="56">
        <v>1</v>
      </c>
    </row>
    <row r="22" spans="1:30" ht="15" customHeight="1" x14ac:dyDescent="0.3">
      <c r="A22" s="36">
        <v>4943814</v>
      </c>
      <c r="B22" s="32" t="s">
        <v>25</v>
      </c>
      <c r="C22" s="37">
        <v>45937</v>
      </c>
      <c r="D22" s="37">
        <v>45937</v>
      </c>
      <c r="E22" s="55" t="s">
        <v>578</v>
      </c>
      <c r="F22" s="36" t="s">
        <v>50</v>
      </c>
      <c r="G22" s="32" t="s">
        <v>68</v>
      </c>
      <c r="H22" s="36" t="s">
        <v>520</v>
      </c>
      <c r="I22" s="32" t="s">
        <v>581</v>
      </c>
      <c r="J22" s="37">
        <v>45988</v>
      </c>
      <c r="K22" s="37">
        <v>46006</v>
      </c>
      <c r="L22" s="36">
        <v>3085569</v>
      </c>
      <c r="M22" s="36" t="s">
        <v>521</v>
      </c>
      <c r="N22" s="36" t="s">
        <v>522</v>
      </c>
      <c r="O22" s="36">
        <v>6</v>
      </c>
      <c r="P22" s="36" t="s">
        <v>32</v>
      </c>
      <c r="Q22" s="36">
        <v>1000000</v>
      </c>
      <c r="R22" s="36"/>
      <c r="S22" s="36"/>
      <c r="T22" s="34">
        <f>(U22-Q22)/Q22*100</f>
        <v>35.786900000000003</v>
      </c>
      <c r="U22" s="36">
        <v>1357869</v>
      </c>
      <c r="V22" s="36">
        <v>1155000</v>
      </c>
      <c r="W22" s="36">
        <v>0.75</v>
      </c>
      <c r="X22" s="36" t="s">
        <v>48</v>
      </c>
      <c r="Y22" s="36">
        <v>52500</v>
      </c>
      <c r="Z22" s="32" t="s">
        <v>35</v>
      </c>
      <c r="AA22" s="36" t="s">
        <v>493</v>
      </c>
      <c r="AB22" s="56">
        <v>6</v>
      </c>
      <c r="AC22" s="56">
        <v>6</v>
      </c>
      <c r="AD22" s="56">
        <v>1</v>
      </c>
    </row>
    <row r="23" spans="1:30" ht="15" customHeight="1" x14ac:dyDescent="0.3">
      <c r="A23" s="36">
        <v>4945687</v>
      </c>
      <c r="B23" s="36" t="s">
        <v>25</v>
      </c>
      <c r="C23" s="37">
        <v>45925</v>
      </c>
      <c r="D23" s="37">
        <v>45973</v>
      </c>
      <c r="E23" s="55" t="s">
        <v>579</v>
      </c>
      <c r="F23" s="36" t="s">
        <v>526</v>
      </c>
      <c r="G23" s="32" t="s">
        <v>527</v>
      </c>
      <c r="H23" s="32" t="s">
        <v>528</v>
      </c>
      <c r="I23" s="32" t="s">
        <v>582</v>
      </c>
      <c r="J23" s="37">
        <v>46000</v>
      </c>
      <c r="K23" s="37">
        <v>46015</v>
      </c>
      <c r="L23" s="36">
        <v>3085851</v>
      </c>
      <c r="M23" s="36" t="s">
        <v>529</v>
      </c>
      <c r="N23" s="36" t="s">
        <v>31</v>
      </c>
      <c r="O23" s="36">
        <v>0</v>
      </c>
      <c r="P23" s="36" t="s">
        <v>39</v>
      </c>
      <c r="Q23" s="36" t="s">
        <v>30</v>
      </c>
      <c r="R23" s="36" t="s">
        <v>30</v>
      </c>
      <c r="S23" s="36" t="s">
        <v>30</v>
      </c>
      <c r="T23" s="34" t="s">
        <v>30</v>
      </c>
      <c r="U23" s="36">
        <v>1699232</v>
      </c>
      <c r="V23" s="36">
        <v>1425000</v>
      </c>
      <c r="W23" s="36">
        <v>0.9</v>
      </c>
      <c r="X23" s="36" t="s">
        <v>530</v>
      </c>
      <c r="Y23" s="36">
        <v>9000</v>
      </c>
      <c r="Z23" s="32" t="s">
        <v>531</v>
      </c>
      <c r="AA23" s="36" t="s">
        <v>118</v>
      </c>
      <c r="AB23" s="56">
        <v>10</v>
      </c>
      <c r="AC23" s="56">
        <v>10</v>
      </c>
      <c r="AD23" s="56">
        <v>1</v>
      </c>
    </row>
    <row r="24" spans="1:30" ht="15" customHeight="1" x14ac:dyDescent="0.3">
      <c r="A24" s="36">
        <v>4946121</v>
      </c>
      <c r="B24" s="36" t="s">
        <v>25</v>
      </c>
      <c r="C24" s="37">
        <v>45925</v>
      </c>
      <c r="D24" s="37">
        <v>45979</v>
      </c>
      <c r="E24" s="55" t="s">
        <v>579</v>
      </c>
      <c r="F24" s="36" t="s">
        <v>526</v>
      </c>
      <c r="G24" s="32" t="s">
        <v>527</v>
      </c>
      <c r="H24" s="32" t="s">
        <v>532</v>
      </c>
      <c r="I24" s="32" t="s">
        <v>582</v>
      </c>
      <c r="J24" s="37">
        <v>46000</v>
      </c>
      <c r="K24" s="37">
        <v>46015</v>
      </c>
      <c r="L24" s="36">
        <v>3085850</v>
      </c>
      <c r="M24" s="36" t="s">
        <v>533</v>
      </c>
      <c r="N24" s="36" t="s">
        <v>534</v>
      </c>
      <c r="O24" s="36">
        <v>5</v>
      </c>
      <c r="P24" s="36" t="s">
        <v>39</v>
      </c>
      <c r="Q24" s="36" t="s">
        <v>30</v>
      </c>
      <c r="R24" s="36" t="s">
        <v>30</v>
      </c>
      <c r="S24" s="36" t="s">
        <v>30</v>
      </c>
      <c r="T24" s="34" t="s">
        <v>30</v>
      </c>
      <c r="U24" s="36">
        <v>1699232</v>
      </c>
      <c r="V24" s="36">
        <v>1425000</v>
      </c>
      <c r="W24" s="36">
        <v>0.9</v>
      </c>
      <c r="X24" s="36" t="s">
        <v>535</v>
      </c>
      <c r="Y24" s="36">
        <f>V24*5.5%</f>
        <v>78375</v>
      </c>
      <c r="Z24" s="32" t="s">
        <v>531</v>
      </c>
      <c r="AA24" s="36" t="s">
        <v>118</v>
      </c>
      <c r="AB24" s="56">
        <v>8</v>
      </c>
      <c r="AC24" s="56">
        <v>8</v>
      </c>
      <c r="AD24" s="56">
        <v>1</v>
      </c>
    </row>
    <row r="25" spans="1:30" ht="15" customHeight="1" x14ac:dyDescent="0.3">
      <c r="A25" s="42">
        <v>4943180</v>
      </c>
      <c r="B25" s="44" t="s">
        <v>25</v>
      </c>
      <c r="C25" s="43">
        <v>45925</v>
      </c>
      <c r="D25" s="43">
        <v>45925</v>
      </c>
      <c r="E25" s="52" t="s">
        <v>578</v>
      </c>
      <c r="F25" s="42" t="s">
        <v>50</v>
      </c>
      <c r="G25" s="44" t="s">
        <v>68</v>
      </c>
      <c r="H25" s="42" t="s">
        <v>536</v>
      </c>
      <c r="I25" s="44" t="s">
        <v>582</v>
      </c>
      <c r="J25" s="43">
        <v>45933</v>
      </c>
      <c r="K25" s="43">
        <v>46020</v>
      </c>
      <c r="L25" s="42">
        <v>3084763</v>
      </c>
      <c r="M25" s="42" t="s">
        <v>537</v>
      </c>
      <c r="N25" s="42" t="s">
        <v>253</v>
      </c>
      <c r="O25" s="42">
        <v>3</v>
      </c>
      <c r="P25" s="42" t="s">
        <v>39</v>
      </c>
      <c r="Q25" s="42">
        <v>1000000</v>
      </c>
      <c r="R25" s="42"/>
      <c r="S25" s="42"/>
      <c r="T25" s="45">
        <f t="shared" ref="T25:T32" si="3">(U25-Q25)/Q25*100</f>
        <v>44.839500000000001</v>
      </c>
      <c r="U25" s="42">
        <v>1448395</v>
      </c>
      <c r="V25" s="42">
        <v>1232000</v>
      </c>
      <c r="W25" s="46">
        <v>0.8</v>
      </c>
      <c r="X25" s="42" t="s">
        <v>34</v>
      </c>
      <c r="Y25" s="42">
        <v>8000</v>
      </c>
      <c r="Z25" s="44" t="s">
        <v>531</v>
      </c>
      <c r="AA25" s="42" t="s">
        <v>118</v>
      </c>
      <c r="AB25" s="54">
        <v>12</v>
      </c>
      <c r="AC25" s="54">
        <v>12</v>
      </c>
      <c r="AD25" s="54">
        <v>1</v>
      </c>
    </row>
    <row r="26" spans="1:30" ht="15" customHeight="1" x14ac:dyDescent="0.3">
      <c r="A26" s="36">
        <v>4942858</v>
      </c>
      <c r="B26" s="32" t="s">
        <v>25</v>
      </c>
      <c r="C26" s="37">
        <v>45918</v>
      </c>
      <c r="D26" s="37">
        <v>45918</v>
      </c>
      <c r="E26" s="55" t="s">
        <v>578</v>
      </c>
      <c r="F26" s="36" t="s">
        <v>50</v>
      </c>
      <c r="G26" s="32" t="s">
        <v>68</v>
      </c>
      <c r="H26" s="36" t="s">
        <v>538</v>
      </c>
      <c r="I26" s="32" t="s">
        <v>582</v>
      </c>
      <c r="J26" s="37">
        <v>45920</v>
      </c>
      <c r="K26" s="37">
        <v>46020</v>
      </c>
      <c r="L26" s="36">
        <v>3084629</v>
      </c>
      <c r="M26" s="36" t="s">
        <v>539</v>
      </c>
      <c r="N26" s="36" t="s">
        <v>253</v>
      </c>
      <c r="O26" s="36">
        <v>4.3</v>
      </c>
      <c r="P26" s="36" t="s">
        <v>39</v>
      </c>
      <c r="Q26" s="36">
        <v>1200000</v>
      </c>
      <c r="R26" s="36"/>
      <c r="S26" s="36"/>
      <c r="T26" s="34">
        <f t="shared" si="3"/>
        <v>41.666666666666671</v>
      </c>
      <c r="U26" s="36">
        <v>1700000</v>
      </c>
      <c r="V26" s="36">
        <v>1446015</v>
      </c>
      <c r="W26" s="36">
        <v>0.94</v>
      </c>
      <c r="X26" s="36" t="s">
        <v>48</v>
      </c>
      <c r="Y26" s="36">
        <v>61250</v>
      </c>
      <c r="Z26" s="32" t="s">
        <v>531</v>
      </c>
      <c r="AA26" s="36" t="s">
        <v>118</v>
      </c>
      <c r="AB26" s="56">
        <v>7</v>
      </c>
      <c r="AC26" s="56">
        <v>7</v>
      </c>
      <c r="AD26" s="56">
        <v>1</v>
      </c>
    </row>
    <row r="27" spans="1:30" ht="15" customHeight="1" x14ac:dyDescent="0.3">
      <c r="A27" s="36">
        <v>4945478</v>
      </c>
      <c r="B27" s="32" t="s">
        <v>25</v>
      </c>
      <c r="C27" s="37">
        <v>45971</v>
      </c>
      <c r="D27" s="37">
        <v>45971</v>
      </c>
      <c r="E27" s="55" t="s">
        <v>578</v>
      </c>
      <c r="F27" s="36" t="s">
        <v>50</v>
      </c>
      <c r="G27" s="32" t="s">
        <v>68</v>
      </c>
      <c r="H27" s="36" t="s">
        <v>222</v>
      </c>
      <c r="I27" s="32" t="s">
        <v>582</v>
      </c>
      <c r="J27" s="37">
        <v>45973</v>
      </c>
      <c r="K27" s="37">
        <v>46020</v>
      </c>
      <c r="L27" s="36">
        <v>3085363</v>
      </c>
      <c r="M27" s="36" t="s">
        <v>540</v>
      </c>
      <c r="N27" s="36" t="s">
        <v>541</v>
      </c>
      <c r="O27" s="36">
        <v>4.4000000000000004</v>
      </c>
      <c r="P27" s="36" t="s">
        <v>39</v>
      </c>
      <c r="Q27" s="36">
        <v>1220000</v>
      </c>
      <c r="R27" s="36"/>
      <c r="S27" s="36"/>
      <c r="T27" s="34">
        <f t="shared" si="3"/>
        <v>40.98090163934426</v>
      </c>
      <c r="U27" s="36">
        <v>1719967</v>
      </c>
      <c r="V27" s="36">
        <v>1463000</v>
      </c>
      <c r="W27" s="36">
        <v>0.95</v>
      </c>
      <c r="X27" s="36" t="s">
        <v>48</v>
      </c>
      <c r="Y27" s="36">
        <v>61250</v>
      </c>
      <c r="Z27" s="32" t="s">
        <v>531</v>
      </c>
      <c r="AA27" s="36" t="s">
        <v>493</v>
      </c>
      <c r="AB27" s="56">
        <v>9</v>
      </c>
      <c r="AC27" s="56">
        <v>9</v>
      </c>
      <c r="AD27" s="56">
        <v>1</v>
      </c>
    </row>
    <row r="28" spans="1:30" ht="15" customHeight="1" x14ac:dyDescent="0.3">
      <c r="A28" s="36">
        <v>4943164</v>
      </c>
      <c r="B28" s="32" t="s">
        <v>25</v>
      </c>
      <c r="C28" s="37">
        <v>45917</v>
      </c>
      <c r="D28" s="37">
        <v>45925</v>
      </c>
      <c r="E28" s="55" t="s">
        <v>578</v>
      </c>
      <c r="F28" s="36" t="s">
        <v>50</v>
      </c>
      <c r="G28" s="32" t="s">
        <v>68</v>
      </c>
      <c r="H28" s="36" t="s">
        <v>517</v>
      </c>
      <c r="I28" s="32" t="s">
        <v>582</v>
      </c>
      <c r="J28" s="37">
        <v>45933</v>
      </c>
      <c r="K28" s="37">
        <v>46028</v>
      </c>
      <c r="L28" s="36">
        <v>3084661</v>
      </c>
      <c r="M28" s="47" t="s">
        <v>542</v>
      </c>
      <c r="N28" s="36" t="s">
        <v>543</v>
      </c>
      <c r="O28" s="36">
        <v>3.6</v>
      </c>
      <c r="P28" s="36" t="s">
        <v>39</v>
      </c>
      <c r="Q28" s="36">
        <v>900000</v>
      </c>
      <c r="R28" s="36"/>
      <c r="S28" s="36"/>
      <c r="T28" s="34">
        <f t="shared" si="3"/>
        <v>61.111111111111114</v>
      </c>
      <c r="U28" s="36">
        <v>1450000</v>
      </c>
      <c r="V28" s="36">
        <v>1233366</v>
      </c>
      <c r="W28" s="38">
        <v>0.8</v>
      </c>
      <c r="X28" s="36" t="s">
        <v>48</v>
      </c>
      <c r="Y28" s="36">
        <v>52500</v>
      </c>
      <c r="Z28" s="32" t="s">
        <v>531</v>
      </c>
      <c r="AA28" s="36" t="s">
        <v>118</v>
      </c>
      <c r="AB28" s="56">
        <v>5</v>
      </c>
      <c r="AC28" s="56">
        <v>5</v>
      </c>
      <c r="AD28" s="56">
        <v>1</v>
      </c>
    </row>
    <row r="29" spans="1:30" ht="15" customHeight="1" x14ac:dyDescent="0.3">
      <c r="A29" s="36">
        <v>4943780</v>
      </c>
      <c r="B29" s="36" t="s">
        <v>40</v>
      </c>
      <c r="C29" s="37">
        <v>45937</v>
      </c>
      <c r="D29" s="37">
        <v>45937</v>
      </c>
      <c r="E29" s="55" t="s">
        <v>578</v>
      </c>
      <c r="F29" s="32" t="s">
        <v>26</v>
      </c>
      <c r="G29" s="36" t="s">
        <v>401</v>
      </c>
      <c r="H29" s="36" t="s">
        <v>544</v>
      </c>
      <c r="I29" s="32" t="s">
        <v>582</v>
      </c>
      <c r="J29" s="37">
        <v>45960</v>
      </c>
      <c r="K29" s="37">
        <v>46034</v>
      </c>
      <c r="L29" s="36">
        <v>3085314</v>
      </c>
      <c r="M29" s="36" t="s">
        <v>545</v>
      </c>
      <c r="N29" s="36" t="s">
        <v>546</v>
      </c>
      <c r="O29" s="36">
        <v>3</v>
      </c>
      <c r="P29" s="36" t="s">
        <v>39</v>
      </c>
      <c r="Q29" s="36">
        <v>900000</v>
      </c>
      <c r="R29" s="36"/>
      <c r="S29" s="36"/>
      <c r="T29" s="34">
        <f t="shared" si="3"/>
        <v>43.69</v>
      </c>
      <c r="U29" s="36">
        <v>1293210</v>
      </c>
      <c r="V29" s="36">
        <v>1100000</v>
      </c>
      <c r="W29" s="36">
        <v>1.21</v>
      </c>
      <c r="X29" s="36" t="s">
        <v>48</v>
      </c>
      <c r="Y29" s="36">
        <v>52500</v>
      </c>
      <c r="Z29" s="32" t="s">
        <v>531</v>
      </c>
      <c r="AA29" s="62"/>
      <c r="AB29" s="56">
        <v>6</v>
      </c>
      <c r="AC29" s="56">
        <v>6</v>
      </c>
      <c r="AD29" s="56">
        <v>1</v>
      </c>
    </row>
    <row r="30" spans="1:30" ht="15" customHeight="1" x14ac:dyDescent="0.3">
      <c r="A30" s="36">
        <v>4944673</v>
      </c>
      <c r="B30" s="32" t="s">
        <v>25</v>
      </c>
      <c r="C30" s="37">
        <v>45917</v>
      </c>
      <c r="D30" s="37">
        <v>45958</v>
      </c>
      <c r="E30" s="55" t="s">
        <v>578</v>
      </c>
      <c r="F30" s="36" t="s">
        <v>50</v>
      </c>
      <c r="G30" s="36" t="s">
        <v>547</v>
      </c>
      <c r="H30" s="36" t="s">
        <v>222</v>
      </c>
      <c r="I30" s="32" t="s">
        <v>582</v>
      </c>
      <c r="J30" s="37">
        <v>45967</v>
      </c>
      <c r="K30" s="37">
        <v>46030</v>
      </c>
      <c r="L30" s="36">
        <v>3085395</v>
      </c>
      <c r="M30" s="47" t="s">
        <v>548</v>
      </c>
      <c r="N30" s="36" t="s">
        <v>549</v>
      </c>
      <c r="O30" s="36">
        <v>9</v>
      </c>
      <c r="P30" s="36" t="s">
        <v>39</v>
      </c>
      <c r="Q30" s="36">
        <v>2450000</v>
      </c>
      <c r="R30" s="36"/>
      <c r="S30" s="36"/>
      <c r="T30" s="34">
        <f t="shared" si="3"/>
        <v>38.775510204081634</v>
      </c>
      <c r="U30" s="36">
        <v>3400000</v>
      </c>
      <c r="V30" s="36">
        <v>2892030</v>
      </c>
      <c r="W30" s="36">
        <v>0.95</v>
      </c>
      <c r="X30" s="36" t="s">
        <v>34</v>
      </c>
      <c r="Y30" s="36">
        <v>8000</v>
      </c>
      <c r="Z30" s="32" t="s">
        <v>531</v>
      </c>
      <c r="AA30" s="36" t="s">
        <v>493</v>
      </c>
      <c r="AB30" s="56">
        <v>7</v>
      </c>
      <c r="AC30" s="56">
        <v>7</v>
      </c>
      <c r="AD30" s="56">
        <v>1</v>
      </c>
    </row>
    <row r="31" spans="1:30" ht="15" customHeight="1" x14ac:dyDescent="0.3">
      <c r="A31" s="36">
        <v>4944265</v>
      </c>
      <c r="B31" s="32" t="s">
        <v>25</v>
      </c>
      <c r="C31" s="37">
        <v>45917</v>
      </c>
      <c r="D31" s="37">
        <v>45946</v>
      </c>
      <c r="E31" s="55" t="s">
        <v>578</v>
      </c>
      <c r="F31" s="36" t="s">
        <v>50</v>
      </c>
      <c r="G31" s="36" t="s">
        <v>114</v>
      </c>
      <c r="H31" s="36" t="s">
        <v>423</v>
      </c>
      <c r="I31" s="32" t="s">
        <v>582</v>
      </c>
      <c r="J31" s="37">
        <v>45951</v>
      </c>
      <c r="K31" s="37">
        <v>46043</v>
      </c>
      <c r="L31" s="36">
        <v>3084899</v>
      </c>
      <c r="M31" s="36" t="s">
        <v>550</v>
      </c>
      <c r="N31" s="36" t="s">
        <v>47</v>
      </c>
      <c r="O31" s="36">
        <v>5</v>
      </c>
      <c r="P31" s="36" t="s">
        <v>32</v>
      </c>
      <c r="Q31" s="36">
        <v>1400000</v>
      </c>
      <c r="R31" s="36"/>
      <c r="S31" s="36"/>
      <c r="T31" s="34">
        <f t="shared" si="3"/>
        <v>42.857142857142854</v>
      </c>
      <c r="U31" s="36">
        <v>2000000</v>
      </c>
      <c r="V31" s="36">
        <v>1701192</v>
      </c>
      <c r="W31" s="36">
        <v>0.95</v>
      </c>
      <c r="X31" s="36" t="s">
        <v>48</v>
      </c>
      <c r="Y31" s="36">
        <v>94500</v>
      </c>
      <c r="Z31" s="32" t="s">
        <v>531</v>
      </c>
      <c r="AA31" s="36" t="s">
        <v>493</v>
      </c>
      <c r="AB31" s="56">
        <v>5</v>
      </c>
      <c r="AC31" s="56">
        <v>5</v>
      </c>
      <c r="AD31" s="56">
        <v>1</v>
      </c>
    </row>
    <row r="32" spans="1:30" ht="15" customHeight="1" x14ac:dyDescent="0.3">
      <c r="A32" s="36">
        <v>4941343</v>
      </c>
      <c r="B32" s="36" t="s">
        <v>40</v>
      </c>
      <c r="C32" s="37">
        <v>45878</v>
      </c>
      <c r="D32" s="37">
        <v>45878</v>
      </c>
      <c r="E32" s="55" t="s">
        <v>578</v>
      </c>
      <c r="F32" s="32" t="s">
        <v>26</v>
      </c>
      <c r="G32" s="36" t="s">
        <v>551</v>
      </c>
      <c r="H32" s="36" t="s">
        <v>402</v>
      </c>
      <c r="I32" s="32" t="s">
        <v>582</v>
      </c>
      <c r="J32" s="37">
        <v>45945</v>
      </c>
      <c r="K32" s="37">
        <v>46050</v>
      </c>
      <c r="L32" s="36">
        <v>1883769</v>
      </c>
      <c r="M32" s="36" t="s">
        <v>552</v>
      </c>
      <c r="N32" s="36" t="s">
        <v>269</v>
      </c>
      <c r="O32" s="36">
        <v>14</v>
      </c>
      <c r="P32" s="36" t="s">
        <v>32</v>
      </c>
      <c r="Q32" s="36">
        <v>2270692</v>
      </c>
      <c r="R32" s="39" t="s">
        <v>553</v>
      </c>
      <c r="S32" s="36">
        <v>0.95</v>
      </c>
      <c r="T32" s="34">
        <f t="shared" si="3"/>
        <v>37.696349835204423</v>
      </c>
      <c r="U32" s="36">
        <v>3126660</v>
      </c>
      <c r="V32" s="36">
        <v>2659536</v>
      </c>
      <c r="W32" s="36">
        <v>1.18</v>
      </c>
      <c r="X32" s="36" t="s">
        <v>34</v>
      </c>
      <c r="Y32" s="36">
        <v>8000</v>
      </c>
      <c r="Z32" s="32" t="s">
        <v>531</v>
      </c>
      <c r="AA32" s="62"/>
      <c r="AB32" s="56">
        <v>6</v>
      </c>
      <c r="AC32" s="56">
        <v>6</v>
      </c>
      <c r="AD32" s="56">
        <v>1</v>
      </c>
    </row>
    <row r="33" spans="1:30" ht="15" customHeight="1" x14ac:dyDescent="0.3">
      <c r="A33" s="36">
        <v>4946113</v>
      </c>
      <c r="B33" s="36" t="s">
        <v>25</v>
      </c>
      <c r="C33" s="37">
        <v>45925</v>
      </c>
      <c r="D33" s="37">
        <v>45979</v>
      </c>
      <c r="E33" s="55" t="s">
        <v>579</v>
      </c>
      <c r="F33" s="36" t="s">
        <v>526</v>
      </c>
      <c r="G33" s="32" t="s">
        <v>554</v>
      </c>
      <c r="H33" s="32" t="s">
        <v>532</v>
      </c>
      <c r="I33" s="32" t="s">
        <v>582</v>
      </c>
      <c r="J33" s="37">
        <v>46000</v>
      </c>
      <c r="K33" s="37">
        <v>46069</v>
      </c>
      <c r="L33" s="36">
        <v>3085896</v>
      </c>
      <c r="M33" s="36" t="s">
        <v>555</v>
      </c>
      <c r="N33" s="36" t="s">
        <v>556</v>
      </c>
      <c r="O33" s="36">
        <v>5.5</v>
      </c>
      <c r="P33" s="36" t="s">
        <v>39</v>
      </c>
      <c r="Q33" s="36">
        <v>2180000</v>
      </c>
      <c r="R33" s="36">
        <v>1933992</v>
      </c>
      <c r="S33" s="36">
        <v>0.81</v>
      </c>
      <c r="T33" s="48">
        <v>0.38</v>
      </c>
      <c r="U33" s="36">
        <v>3039200</v>
      </c>
      <c r="V33" s="36">
        <v>2318841</v>
      </c>
      <c r="W33" s="36">
        <v>0.97</v>
      </c>
      <c r="X33" s="36" t="s">
        <v>530</v>
      </c>
      <c r="Y33" s="36">
        <v>9000</v>
      </c>
      <c r="Z33" s="32" t="s">
        <v>531</v>
      </c>
      <c r="AA33" s="36" t="s">
        <v>118</v>
      </c>
      <c r="AB33" s="56">
        <v>8</v>
      </c>
      <c r="AC33" s="56">
        <v>8</v>
      </c>
      <c r="AD33" s="56">
        <v>1</v>
      </c>
    </row>
    <row r="34" spans="1:30" ht="15" customHeight="1" x14ac:dyDescent="0.3">
      <c r="A34" s="42">
        <v>4945037</v>
      </c>
      <c r="B34" s="44" t="s">
        <v>25</v>
      </c>
      <c r="C34" s="37">
        <v>45917</v>
      </c>
      <c r="D34" s="43">
        <v>45965</v>
      </c>
      <c r="E34" s="52" t="s">
        <v>578</v>
      </c>
      <c r="F34" s="42" t="s">
        <v>50</v>
      </c>
      <c r="G34" s="44" t="s">
        <v>68</v>
      </c>
      <c r="H34" s="42" t="s">
        <v>536</v>
      </c>
      <c r="I34" s="44" t="s">
        <v>582</v>
      </c>
      <c r="J34" s="43">
        <v>45973</v>
      </c>
      <c r="K34" s="43">
        <v>46034</v>
      </c>
      <c r="L34" s="42">
        <v>3085361</v>
      </c>
      <c r="M34" s="42" t="s">
        <v>557</v>
      </c>
      <c r="N34" s="42" t="s">
        <v>381</v>
      </c>
      <c r="O34" s="42">
        <v>4</v>
      </c>
      <c r="P34" s="42" t="s">
        <v>32</v>
      </c>
      <c r="Q34" s="42">
        <v>885000</v>
      </c>
      <c r="R34" s="42"/>
      <c r="S34" s="42"/>
      <c r="T34" s="45">
        <f>(U34-Q34)/Q34*100</f>
        <v>53.053220338983053</v>
      </c>
      <c r="U34" s="42">
        <v>1354521</v>
      </c>
      <c r="V34" s="42">
        <v>1152153</v>
      </c>
      <c r="W34" s="42">
        <v>0.75</v>
      </c>
      <c r="X34" s="42" t="s">
        <v>48</v>
      </c>
      <c r="Y34" s="42">
        <v>52500</v>
      </c>
      <c r="Z34" s="44" t="s">
        <v>531</v>
      </c>
      <c r="AA34" s="42" t="s">
        <v>493</v>
      </c>
      <c r="AB34" s="54">
        <v>10</v>
      </c>
      <c r="AC34" s="54">
        <v>10</v>
      </c>
      <c r="AD34" s="54">
        <v>1</v>
      </c>
    </row>
    <row r="35" spans="1:30" ht="15" customHeight="1" x14ac:dyDescent="0.3">
      <c r="A35" s="36">
        <v>4945416</v>
      </c>
      <c r="B35" s="32" t="s">
        <v>25</v>
      </c>
      <c r="C35" s="37">
        <v>45917</v>
      </c>
      <c r="D35" s="37">
        <v>45968</v>
      </c>
      <c r="E35" s="55" t="s">
        <v>578</v>
      </c>
      <c r="F35" s="36" t="s">
        <v>50</v>
      </c>
      <c r="G35" s="32" t="s">
        <v>68</v>
      </c>
      <c r="H35" s="36" t="s">
        <v>504</v>
      </c>
      <c r="I35" s="32" t="s">
        <v>582</v>
      </c>
      <c r="J35" s="36"/>
      <c r="K35" s="37">
        <v>46076</v>
      </c>
      <c r="L35" s="36">
        <v>3085513</v>
      </c>
      <c r="M35" s="36" t="s">
        <v>558</v>
      </c>
      <c r="N35" s="36" t="s">
        <v>132</v>
      </c>
      <c r="O35" s="36">
        <v>3.9</v>
      </c>
      <c r="P35" s="36" t="s">
        <v>32</v>
      </c>
      <c r="Q35" s="36">
        <v>600000</v>
      </c>
      <c r="R35" s="36"/>
      <c r="S35" s="36"/>
      <c r="T35" s="34">
        <f>(U35-Q35)/Q35*100</f>
        <v>126.3115</v>
      </c>
      <c r="U35" s="36">
        <v>1357869</v>
      </c>
      <c r="V35" s="36">
        <v>1155000</v>
      </c>
      <c r="W35" s="36">
        <v>0.75</v>
      </c>
      <c r="X35" s="36" t="s">
        <v>48</v>
      </c>
      <c r="Y35" s="36">
        <v>52500</v>
      </c>
      <c r="Z35" s="32" t="s">
        <v>531</v>
      </c>
      <c r="AA35" s="36" t="s">
        <v>493</v>
      </c>
      <c r="AB35" s="56">
        <v>9</v>
      </c>
      <c r="AC35" s="56">
        <v>9</v>
      </c>
      <c r="AD35" s="56">
        <v>1</v>
      </c>
    </row>
    <row r="36" spans="1:30" ht="15" customHeight="1" x14ac:dyDescent="0.3">
      <c r="A36" s="36">
        <v>4946540</v>
      </c>
      <c r="B36" s="32" t="s">
        <v>25</v>
      </c>
      <c r="C36" s="37">
        <v>45917</v>
      </c>
      <c r="D36" s="37">
        <v>45987</v>
      </c>
      <c r="E36" s="55" t="s">
        <v>578</v>
      </c>
      <c r="F36" s="36" t="s">
        <v>50</v>
      </c>
      <c r="G36" s="32" t="s">
        <v>51</v>
      </c>
      <c r="H36" s="36" t="s">
        <v>517</v>
      </c>
      <c r="I36" s="32" t="s">
        <v>582</v>
      </c>
      <c r="J36" s="37">
        <v>45988</v>
      </c>
      <c r="K36" s="37">
        <v>46083</v>
      </c>
      <c r="L36" s="36">
        <v>3085681</v>
      </c>
      <c r="M36" s="36" t="s">
        <v>559</v>
      </c>
      <c r="N36" s="36" t="s">
        <v>75</v>
      </c>
      <c r="O36" s="36">
        <v>3.5</v>
      </c>
      <c r="P36" s="36" t="s">
        <v>32</v>
      </c>
      <c r="Q36" s="36">
        <v>467892</v>
      </c>
      <c r="R36" s="36"/>
      <c r="S36" s="36"/>
      <c r="T36" s="34">
        <f>(U36-Q36)/Q36*100</f>
        <v>98.47657151650381</v>
      </c>
      <c r="U36" s="36">
        <v>928656</v>
      </c>
      <c r="V36" s="36">
        <v>825000</v>
      </c>
      <c r="W36" s="38">
        <v>1.1000000000000001</v>
      </c>
      <c r="X36" s="36" t="s">
        <v>48</v>
      </c>
      <c r="Y36" s="36">
        <v>52500</v>
      </c>
      <c r="Z36" s="32" t="s">
        <v>531</v>
      </c>
      <c r="AA36" s="36" t="s">
        <v>493</v>
      </c>
      <c r="AB36" s="56">
        <v>8</v>
      </c>
      <c r="AC36" s="56">
        <v>8</v>
      </c>
      <c r="AD36" s="56">
        <v>1</v>
      </c>
    </row>
    <row r="37" spans="1:30" ht="15" customHeight="1" x14ac:dyDescent="0.3">
      <c r="A37" s="36">
        <v>4945686</v>
      </c>
      <c r="B37" s="36" t="s">
        <v>25</v>
      </c>
      <c r="C37" s="37">
        <v>45925</v>
      </c>
      <c r="D37" s="37">
        <v>45973</v>
      </c>
      <c r="E37" s="55" t="s">
        <v>579</v>
      </c>
      <c r="F37" s="36" t="s">
        <v>526</v>
      </c>
      <c r="G37" s="32" t="s">
        <v>527</v>
      </c>
      <c r="H37" s="32" t="s">
        <v>528</v>
      </c>
      <c r="I37" s="32" t="s">
        <v>582</v>
      </c>
      <c r="J37" s="37">
        <v>46000</v>
      </c>
      <c r="K37" s="37">
        <v>46090</v>
      </c>
      <c r="L37" s="36">
        <v>3085899</v>
      </c>
      <c r="M37" s="36" t="s">
        <v>560</v>
      </c>
      <c r="N37" s="36" t="s">
        <v>47</v>
      </c>
      <c r="O37" s="36">
        <v>3.2</v>
      </c>
      <c r="P37" s="36" t="s">
        <v>39</v>
      </c>
      <c r="Q37" s="36">
        <v>1390000</v>
      </c>
      <c r="R37" s="36">
        <v>1181052</v>
      </c>
      <c r="S37" s="36">
        <v>0.75</v>
      </c>
      <c r="T37" s="34">
        <f>(U37-Q37)/Q37*100</f>
        <v>39.449928057553954</v>
      </c>
      <c r="U37" s="36">
        <v>1938354</v>
      </c>
      <c r="V37" s="36">
        <v>1521167</v>
      </c>
      <c r="W37" s="36">
        <v>0.97</v>
      </c>
      <c r="X37" s="36" t="s">
        <v>530</v>
      </c>
      <c r="Y37" s="36">
        <v>9000</v>
      </c>
      <c r="Z37" s="32" t="s">
        <v>531</v>
      </c>
      <c r="AA37" s="36" t="s">
        <v>118</v>
      </c>
      <c r="AB37" s="56">
        <v>9</v>
      </c>
      <c r="AC37" s="56">
        <v>9</v>
      </c>
      <c r="AD37" s="56">
        <v>1</v>
      </c>
    </row>
    <row r="38" spans="1:30" ht="15" customHeight="1" x14ac:dyDescent="0.3">
      <c r="A38" s="36">
        <v>4945556</v>
      </c>
      <c r="B38" s="36" t="s">
        <v>25</v>
      </c>
      <c r="C38" s="37">
        <v>45925</v>
      </c>
      <c r="D38" s="37">
        <v>45972</v>
      </c>
      <c r="E38" s="55" t="s">
        <v>579</v>
      </c>
      <c r="F38" s="36" t="s">
        <v>526</v>
      </c>
      <c r="G38" s="32" t="s">
        <v>561</v>
      </c>
      <c r="H38" s="32" t="s">
        <v>562</v>
      </c>
      <c r="I38" s="32" t="s">
        <v>582</v>
      </c>
      <c r="J38" s="37">
        <v>41247</v>
      </c>
      <c r="K38" s="37">
        <v>46090</v>
      </c>
      <c r="L38" s="36"/>
      <c r="M38" s="36" t="s">
        <v>563</v>
      </c>
      <c r="N38" s="36" t="s">
        <v>47</v>
      </c>
      <c r="O38" s="36">
        <v>13</v>
      </c>
      <c r="P38" s="36" t="s">
        <v>39</v>
      </c>
      <c r="Q38" s="36">
        <v>3700000</v>
      </c>
      <c r="R38" s="36"/>
      <c r="S38" s="36"/>
      <c r="T38" s="34">
        <f>(U38-Q38)/Q38*100</f>
        <v>27.60197297297297</v>
      </c>
      <c r="U38" s="49">
        <v>4721273</v>
      </c>
      <c r="V38" s="36">
        <v>3800004</v>
      </c>
      <c r="W38" s="36"/>
      <c r="X38" s="36" t="s">
        <v>530</v>
      </c>
      <c r="Y38" s="36">
        <v>9000</v>
      </c>
      <c r="Z38" s="32" t="s">
        <v>531</v>
      </c>
      <c r="AA38" s="36" t="s">
        <v>118</v>
      </c>
      <c r="AB38" s="56">
        <v>10</v>
      </c>
      <c r="AC38" s="56">
        <v>10</v>
      </c>
      <c r="AD38" s="56">
        <v>1</v>
      </c>
    </row>
    <row r="39" spans="1:30" ht="15" customHeight="1" x14ac:dyDescent="0.3">
      <c r="A39" s="36">
        <v>4945501</v>
      </c>
      <c r="B39" s="36" t="s">
        <v>25</v>
      </c>
      <c r="C39" s="37">
        <v>45925</v>
      </c>
      <c r="D39" s="37">
        <v>45971</v>
      </c>
      <c r="E39" s="55" t="s">
        <v>579</v>
      </c>
      <c r="F39" s="36" t="s">
        <v>526</v>
      </c>
      <c r="G39" s="32" t="s">
        <v>527</v>
      </c>
      <c r="H39" s="32" t="s">
        <v>528</v>
      </c>
      <c r="I39" s="32" t="s">
        <v>582</v>
      </c>
      <c r="J39" s="37">
        <v>46000</v>
      </c>
      <c r="K39" s="37">
        <v>46090</v>
      </c>
      <c r="L39" s="36">
        <v>3085902</v>
      </c>
      <c r="M39" s="36" t="s">
        <v>564</v>
      </c>
      <c r="N39" s="36" t="s">
        <v>565</v>
      </c>
      <c r="O39" s="36">
        <v>5</v>
      </c>
      <c r="P39" s="36" t="s">
        <v>39</v>
      </c>
      <c r="Q39" s="36" t="s">
        <v>566</v>
      </c>
      <c r="R39" s="36">
        <v>921600</v>
      </c>
      <c r="S39" s="36">
        <v>0.59</v>
      </c>
      <c r="T39" s="34">
        <f t="shared" ref="T39:T44" si="4">(U39-Q39)/Q39*100</f>
        <v>54.475636363636362</v>
      </c>
      <c r="U39" s="49">
        <v>1699232</v>
      </c>
      <c r="V39" s="36">
        <v>1425000</v>
      </c>
      <c r="W39" s="38">
        <v>0.9</v>
      </c>
      <c r="X39" s="36" t="s">
        <v>535</v>
      </c>
      <c r="Y39" s="36">
        <f>V39*5.5%</f>
        <v>78375</v>
      </c>
      <c r="Z39" s="32" t="s">
        <v>531</v>
      </c>
      <c r="AA39" s="36" t="s">
        <v>576</v>
      </c>
      <c r="AB39" s="56">
        <v>9</v>
      </c>
      <c r="AC39" s="56">
        <v>9</v>
      </c>
      <c r="AD39" s="56">
        <v>1</v>
      </c>
    </row>
    <row r="40" spans="1:30" ht="15" customHeight="1" x14ac:dyDescent="0.3">
      <c r="A40" s="36">
        <v>4947705</v>
      </c>
      <c r="B40" s="36" t="s">
        <v>25</v>
      </c>
      <c r="C40" s="37">
        <v>45925</v>
      </c>
      <c r="D40" s="37">
        <v>45988</v>
      </c>
      <c r="E40" s="55" t="s">
        <v>579</v>
      </c>
      <c r="F40" s="36" t="s">
        <v>526</v>
      </c>
      <c r="G40" s="32" t="s">
        <v>561</v>
      </c>
      <c r="H40" s="32" t="s">
        <v>532</v>
      </c>
      <c r="I40" s="32" t="s">
        <v>582</v>
      </c>
      <c r="J40" s="37">
        <v>45993</v>
      </c>
      <c r="K40" s="37">
        <v>46090</v>
      </c>
      <c r="L40" s="36"/>
      <c r="M40" s="36" t="s">
        <v>567</v>
      </c>
      <c r="N40" s="36" t="s">
        <v>81</v>
      </c>
      <c r="O40" s="36">
        <v>12</v>
      </c>
      <c r="P40" s="36" t="s">
        <v>32</v>
      </c>
      <c r="Q40" s="36" t="s">
        <v>568</v>
      </c>
      <c r="R40" s="36">
        <v>3508224</v>
      </c>
      <c r="S40" s="36">
        <v>0.79</v>
      </c>
      <c r="T40" s="34" t="e">
        <f t="shared" si="4"/>
        <v>#VALUE!</v>
      </c>
      <c r="U40" s="36">
        <v>5284977</v>
      </c>
      <c r="V40" s="36">
        <v>4253712</v>
      </c>
      <c r="W40" s="36"/>
      <c r="X40" s="36" t="s">
        <v>530</v>
      </c>
      <c r="Y40" s="36">
        <v>9000</v>
      </c>
      <c r="Z40" s="32" t="s">
        <v>531</v>
      </c>
      <c r="AA40" s="36" t="s">
        <v>576</v>
      </c>
      <c r="AB40" s="56">
        <v>8</v>
      </c>
      <c r="AC40" s="56">
        <v>8</v>
      </c>
      <c r="AD40" s="56">
        <v>1</v>
      </c>
    </row>
    <row r="41" spans="1:30" ht="15" customHeight="1" x14ac:dyDescent="0.3">
      <c r="A41" s="36">
        <v>4945685</v>
      </c>
      <c r="B41" s="36" t="s">
        <v>40</v>
      </c>
      <c r="C41" s="37">
        <v>45925</v>
      </c>
      <c r="D41" s="37">
        <v>45973</v>
      </c>
      <c r="E41" s="55" t="s">
        <v>579</v>
      </c>
      <c r="F41" s="36" t="s">
        <v>526</v>
      </c>
      <c r="G41" s="32" t="s">
        <v>554</v>
      </c>
      <c r="H41" s="32" t="s">
        <v>528</v>
      </c>
      <c r="I41" s="32" t="s">
        <v>582</v>
      </c>
      <c r="J41" s="37">
        <v>46000</v>
      </c>
      <c r="K41" s="37">
        <v>46099</v>
      </c>
      <c r="L41" s="36">
        <v>3085900</v>
      </c>
      <c r="M41" s="36" t="s">
        <v>569</v>
      </c>
      <c r="N41" s="36" t="s">
        <v>570</v>
      </c>
      <c r="O41" s="36">
        <v>10</v>
      </c>
      <c r="P41" s="36" t="s">
        <v>32</v>
      </c>
      <c r="Q41" s="36">
        <v>2100000</v>
      </c>
      <c r="R41" s="36">
        <v>1929084</v>
      </c>
      <c r="S41" s="36">
        <v>0.8</v>
      </c>
      <c r="T41" s="34">
        <f t="shared" si="4"/>
        <v>61.420142857142856</v>
      </c>
      <c r="U41" s="36">
        <v>3389823</v>
      </c>
      <c r="V41" s="36">
        <v>2795813</v>
      </c>
      <c r="W41" s="36">
        <v>1.1599999999999999</v>
      </c>
      <c r="X41" s="36" t="s">
        <v>530</v>
      </c>
      <c r="Y41" s="36">
        <v>9000</v>
      </c>
      <c r="Z41" s="32" t="s">
        <v>531</v>
      </c>
      <c r="AA41" s="36" t="s">
        <v>576</v>
      </c>
      <c r="AB41" s="56">
        <v>10</v>
      </c>
      <c r="AC41" s="56">
        <v>10</v>
      </c>
      <c r="AD41" s="56">
        <v>1</v>
      </c>
    </row>
    <row r="42" spans="1:30" ht="15" customHeight="1" x14ac:dyDescent="0.3">
      <c r="A42" s="36">
        <v>4947700</v>
      </c>
      <c r="B42" s="36" t="s">
        <v>25</v>
      </c>
      <c r="C42" s="37">
        <v>45925</v>
      </c>
      <c r="D42" s="37">
        <v>45987</v>
      </c>
      <c r="E42" s="55" t="s">
        <v>579</v>
      </c>
      <c r="F42" s="36" t="s">
        <v>526</v>
      </c>
      <c r="G42" s="32" t="s">
        <v>571</v>
      </c>
      <c r="H42" s="32" t="s">
        <v>532</v>
      </c>
      <c r="I42" s="32" t="s">
        <v>582</v>
      </c>
      <c r="J42" s="36"/>
      <c r="K42" s="37">
        <v>46118</v>
      </c>
      <c r="L42" s="36"/>
      <c r="M42" s="36" t="s">
        <v>572</v>
      </c>
      <c r="N42" s="36" t="s">
        <v>243</v>
      </c>
      <c r="O42" s="36">
        <v>9</v>
      </c>
      <c r="P42" s="36" t="s">
        <v>39</v>
      </c>
      <c r="Q42" s="36">
        <v>2200000</v>
      </c>
      <c r="R42" s="36">
        <v>1181052</v>
      </c>
      <c r="S42" s="36">
        <v>0.75</v>
      </c>
      <c r="T42" s="34">
        <f t="shared" si="4"/>
        <v>49.584318181818183</v>
      </c>
      <c r="U42" s="36">
        <v>3290855</v>
      </c>
      <c r="V42" s="36">
        <v>2655628</v>
      </c>
      <c r="W42" s="36">
        <v>1.1100000000000001</v>
      </c>
      <c r="X42" s="36" t="s">
        <v>535</v>
      </c>
      <c r="Y42" s="40">
        <f>V42*5.5%</f>
        <v>146059.54</v>
      </c>
      <c r="Z42" s="32" t="s">
        <v>531</v>
      </c>
      <c r="AA42" s="36" t="s">
        <v>576</v>
      </c>
      <c r="AB42" s="56">
        <v>8</v>
      </c>
      <c r="AC42" s="56">
        <v>8</v>
      </c>
      <c r="AD42" s="56">
        <v>1</v>
      </c>
    </row>
    <row r="43" spans="1:30" ht="15" customHeight="1" x14ac:dyDescent="0.3">
      <c r="A43" s="36">
        <v>4945688</v>
      </c>
      <c r="B43" s="36" t="s">
        <v>25</v>
      </c>
      <c r="C43" s="37">
        <v>45925</v>
      </c>
      <c r="D43" s="37">
        <v>45973</v>
      </c>
      <c r="E43" s="55" t="s">
        <v>579</v>
      </c>
      <c r="F43" s="36" t="s">
        <v>526</v>
      </c>
      <c r="G43" s="32" t="s">
        <v>527</v>
      </c>
      <c r="H43" s="32" t="s">
        <v>528</v>
      </c>
      <c r="I43" s="32" t="s">
        <v>582</v>
      </c>
      <c r="J43" s="37">
        <v>46000</v>
      </c>
      <c r="K43" s="37">
        <v>46034</v>
      </c>
      <c r="L43" s="36">
        <v>3085859</v>
      </c>
      <c r="M43" s="36" t="s">
        <v>573</v>
      </c>
      <c r="N43" s="36" t="s">
        <v>574</v>
      </c>
      <c r="O43" s="36">
        <v>2.1</v>
      </c>
      <c r="P43" s="36" t="s">
        <v>39</v>
      </c>
      <c r="Q43" s="36">
        <v>360000</v>
      </c>
      <c r="R43" s="36">
        <v>360000</v>
      </c>
      <c r="S43" s="36">
        <v>0.23</v>
      </c>
      <c r="T43" s="34">
        <f t="shared" si="4"/>
        <v>317.35555555555555</v>
      </c>
      <c r="U43" s="36">
        <v>1502480</v>
      </c>
      <c r="V43" s="36">
        <v>1260000</v>
      </c>
      <c r="W43" s="38">
        <v>0.8</v>
      </c>
      <c r="X43" s="36" t="s">
        <v>535</v>
      </c>
      <c r="Y43" s="36">
        <f>V43*5.5%</f>
        <v>69300</v>
      </c>
      <c r="Z43" s="32" t="s">
        <v>531</v>
      </c>
      <c r="AA43" s="36" t="s">
        <v>576</v>
      </c>
      <c r="AB43" s="56">
        <v>12</v>
      </c>
      <c r="AC43" s="56">
        <v>12</v>
      </c>
      <c r="AD43" s="56">
        <v>1</v>
      </c>
    </row>
    <row r="44" spans="1:30" ht="15" customHeight="1" x14ac:dyDescent="0.3">
      <c r="A44" s="42">
        <v>4944109</v>
      </c>
      <c r="B44" s="44" t="s">
        <v>25</v>
      </c>
      <c r="C44" s="37">
        <v>45917</v>
      </c>
      <c r="D44" s="43">
        <v>45944</v>
      </c>
      <c r="E44" s="52" t="s">
        <v>578</v>
      </c>
      <c r="F44" s="42" t="s">
        <v>50</v>
      </c>
      <c r="G44" s="44" t="s">
        <v>68</v>
      </c>
      <c r="H44" s="42" t="s">
        <v>517</v>
      </c>
      <c r="I44" s="44" t="s">
        <v>582</v>
      </c>
      <c r="J44" s="43">
        <v>46003</v>
      </c>
      <c r="K44" s="43">
        <v>46097</v>
      </c>
      <c r="L44" s="42">
        <v>3085941</v>
      </c>
      <c r="M44" s="44" t="s">
        <v>575</v>
      </c>
      <c r="N44" s="42"/>
      <c r="O44" s="42"/>
      <c r="P44" s="42"/>
      <c r="Q44" s="42">
        <v>680000</v>
      </c>
      <c r="R44" s="42">
        <v>638000</v>
      </c>
      <c r="S44" s="42">
        <v>0.41</v>
      </c>
      <c r="T44" s="45">
        <f t="shared" si="4"/>
        <v>74.264705882352942</v>
      </c>
      <c r="U44" s="42">
        <v>1185000</v>
      </c>
      <c r="V44" s="42">
        <v>1008000</v>
      </c>
      <c r="W44" s="42">
        <v>0.65</v>
      </c>
      <c r="X44" s="42" t="s">
        <v>535</v>
      </c>
      <c r="Y44" s="42">
        <v>52500</v>
      </c>
      <c r="Z44" s="44" t="s">
        <v>531</v>
      </c>
      <c r="AA44" s="42" t="s">
        <v>493</v>
      </c>
      <c r="AB44" s="54">
        <v>7</v>
      </c>
      <c r="AC44" s="54">
        <v>7</v>
      </c>
      <c r="AD44" s="54">
        <v>1</v>
      </c>
    </row>
    <row r="45" spans="1:30" ht="15" customHeight="1" x14ac:dyDescent="0.3">
      <c r="A45" s="36">
        <v>4947701</v>
      </c>
      <c r="B45" s="36" t="s">
        <v>25</v>
      </c>
      <c r="C45" s="37">
        <v>45925</v>
      </c>
      <c r="D45" s="37">
        <v>45987</v>
      </c>
      <c r="E45" s="55" t="s">
        <v>579</v>
      </c>
      <c r="F45" s="36" t="s">
        <v>526</v>
      </c>
      <c r="G45" s="32" t="s">
        <v>527</v>
      </c>
      <c r="H45" s="32" t="s">
        <v>532</v>
      </c>
      <c r="I45" s="32" t="s">
        <v>582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32" t="s">
        <v>583</v>
      </c>
      <c r="AA45" s="36" t="s">
        <v>118</v>
      </c>
      <c r="AB45" s="56">
        <v>10</v>
      </c>
      <c r="AC45" s="56">
        <v>10</v>
      </c>
      <c r="AD45" s="62"/>
    </row>
    <row r="46" spans="1:30" ht="15" customHeight="1" x14ac:dyDescent="0.3">
      <c r="A46" s="36">
        <v>4945488</v>
      </c>
      <c r="B46" s="36" t="s">
        <v>25</v>
      </c>
      <c r="C46" s="37">
        <v>45925</v>
      </c>
      <c r="D46" s="37">
        <v>45971</v>
      </c>
      <c r="E46" s="55" t="s">
        <v>579</v>
      </c>
      <c r="F46" s="36" t="s">
        <v>526</v>
      </c>
      <c r="G46" s="32" t="s">
        <v>527</v>
      </c>
      <c r="H46" s="32" t="s">
        <v>562</v>
      </c>
      <c r="I46" s="32" t="s">
        <v>582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32" t="s">
        <v>583</v>
      </c>
      <c r="AA46" s="36" t="s">
        <v>118</v>
      </c>
      <c r="AB46" s="56">
        <v>9</v>
      </c>
      <c r="AC46" s="56">
        <v>9</v>
      </c>
      <c r="AD46" s="62"/>
    </row>
    <row r="47" spans="1:30" ht="15" customHeight="1" x14ac:dyDescent="0.3">
      <c r="A47" s="62"/>
      <c r="B47" s="36" t="s">
        <v>25</v>
      </c>
      <c r="C47" s="37">
        <v>45925</v>
      </c>
      <c r="D47" s="37">
        <v>45971</v>
      </c>
      <c r="E47" s="55" t="s">
        <v>579</v>
      </c>
      <c r="F47" s="36" t="s">
        <v>526</v>
      </c>
      <c r="G47" s="32" t="s">
        <v>527</v>
      </c>
      <c r="H47" s="32" t="s">
        <v>532</v>
      </c>
      <c r="I47" s="32" t="s">
        <v>582</v>
      </c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32" t="s">
        <v>583</v>
      </c>
      <c r="AA47" s="36" t="s">
        <v>118</v>
      </c>
      <c r="AB47" s="56">
        <v>7</v>
      </c>
      <c r="AC47" s="56">
        <v>7</v>
      </c>
      <c r="AD47" s="62"/>
    </row>
    <row r="48" spans="1:30" ht="15" customHeight="1" x14ac:dyDescent="0.3">
      <c r="A48" s="36">
        <v>4945778</v>
      </c>
      <c r="B48" s="36" t="s">
        <v>25</v>
      </c>
      <c r="C48" s="37">
        <v>45917</v>
      </c>
      <c r="D48" s="37">
        <v>45974</v>
      </c>
      <c r="E48" s="55" t="s">
        <v>578</v>
      </c>
      <c r="F48" s="36" t="s">
        <v>50</v>
      </c>
      <c r="G48" s="32" t="s">
        <v>68</v>
      </c>
      <c r="H48" s="32" t="s">
        <v>504</v>
      </c>
      <c r="I48" s="32" t="s">
        <v>582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32" t="s">
        <v>583</v>
      </c>
      <c r="AA48" s="36" t="s">
        <v>493</v>
      </c>
      <c r="AB48" s="56">
        <v>6</v>
      </c>
      <c r="AC48" s="56">
        <v>6</v>
      </c>
      <c r="AD48" s="62"/>
    </row>
    <row r="49" spans="1:30" ht="15" customHeight="1" x14ac:dyDescent="0.3">
      <c r="A49" s="62"/>
      <c r="B49" s="36" t="s">
        <v>25</v>
      </c>
      <c r="C49" s="37">
        <v>45917</v>
      </c>
      <c r="D49" s="62"/>
      <c r="E49" s="55" t="s">
        <v>578</v>
      </c>
      <c r="F49" s="36" t="s">
        <v>50</v>
      </c>
      <c r="G49" s="32" t="s">
        <v>68</v>
      </c>
      <c r="H49" s="32" t="s">
        <v>536</v>
      </c>
      <c r="I49" s="32" t="s">
        <v>582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32" t="s">
        <v>583</v>
      </c>
      <c r="AA49" s="36" t="s">
        <v>493</v>
      </c>
      <c r="AB49" s="56">
        <v>5</v>
      </c>
      <c r="AC49" s="56">
        <v>5</v>
      </c>
      <c r="AD49" s="62"/>
    </row>
    <row r="50" spans="1:30" ht="15" customHeight="1" x14ac:dyDescent="0.3">
      <c r="A50" s="36">
        <v>4943977</v>
      </c>
      <c r="B50" s="36" t="s">
        <v>40</v>
      </c>
      <c r="C50" s="37">
        <v>45943</v>
      </c>
      <c r="D50" s="37">
        <v>45943</v>
      </c>
      <c r="E50" s="55" t="s">
        <v>578</v>
      </c>
      <c r="F50" s="32" t="s">
        <v>507</v>
      </c>
      <c r="G50" s="32" t="s">
        <v>584</v>
      </c>
      <c r="H50" s="32" t="s">
        <v>315</v>
      </c>
      <c r="I50" s="32" t="s">
        <v>582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32" t="s">
        <v>583</v>
      </c>
      <c r="AA50" s="36" t="s">
        <v>118</v>
      </c>
      <c r="AB50" s="56">
        <v>15</v>
      </c>
      <c r="AC50" s="56">
        <v>15</v>
      </c>
      <c r="AD50" s="62"/>
    </row>
    <row r="51" spans="1:30" ht="15" customHeight="1" x14ac:dyDescent="0.3">
      <c r="A51" s="36">
        <v>4948609</v>
      </c>
      <c r="B51" s="36" t="s">
        <v>40</v>
      </c>
      <c r="C51" s="37">
        <v>46008</v>
      </c>
      <c r="D51" s="37">
        <v>46008</v>
      </c>
      <c r="E51" s="55" t="s">
        <v>578</v>
      </c>
      <c r="F51" s="32" t="s">
        <v>585</v>
      </c>
      <c r="G51" s="36" t="s">
        <v>513</v>
      </c>
      <c r="H51" s="36" t="s">
        <v>586</v>
      </c>
      <c r="I51" s="32" t="s">
        <v>582</v>
      </c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32" t="s">
        <v>583</v>
      </c>
      <c r="AA51" s="36" t="s">
        <v>576</v>
      </c>
      <c r="AB51" s="56">
        <v>2</v>
      </c>
      <c r="AC51" s="56">
        <v>2</v>
      </c>
      <c r="AD51" s="62"/>
    </row>
  </sheetData>
  <conditionalFormatting sqref="M8">
    <cfRule type="duplicateValues" dxfId="3" priority="6"/>
  </conditionalFormatting>
  <conditionalFormatting sqref="M12">
    <cfRule type="duplicateValues" dxfId="2" priority="5"/>
  </conditionalFormatting>
  <conditionalFormatting sqref="M14">
    <cfRule type="duplicateValues" dxfId="1" priority="3"/>
  </conditionalFormatting>
  <conditionalFormatting sqref="M15:M17">
    <cfRule type="duplicateValues" priority="1"/>
    <cfRule type="duplicateValues" priority="2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48BD-583D-4053-B0AF-67E086F30AD2}">
  <dimension ref="A1:C7"/>
  <sheetViews>
    <sheetView tabSelected="1" workbookViewId="0"/>
  </sheetViews>
  <sheetFormatPr defaultRowHeight="14.5" x14ac:dyDescent="0.35"/>
  <cols>
    <col min="1" max="1" width="22.26953125" bestFit="1" customWidth="1"/>
  </cols>
  <sheetData>
    <row r="1" spans="1:3" x14ac:dyDescent="0.35">
      <c r="A1" t="s">
        <v>587</v>
      </c>
      <c r="B1" t="s">
        <v>594</v>
      </c>
      <c r="C1" t="s">
        <v>595</v>
      </c>
    </row>
    <row r="2" spans="1:3" x14ac:dyDescent="0.35">
      <c r="A2" t="s">
        <v>588</v>
      </c>
      <c r="B2">
        <v>23500</v>
      </c>
      <c r="C2">
        <v>9000</v>
      </c>
    </row>
    <row r="3" spans="1:3" x14ac:dyDescent="0.35">
      <c r="A3" t="s">
        <v>589</v>
      </c>
      <c r="B3">
        <v>27000</v>
      </c>
      <c r="C3">
        <v>9000</v>
      </c>
    </row>
    <row r="4" spans="1:3" x14ac:dyDescent="0.35">
      <c r="A4" t="s">
        <v>590</v>
      </c>
      <c r="B4">
        <v>35500</v>
      </c>
      <c r="C4">
        <v>9000</v>
      </c>
    </row>
    <row r="5" spans="1:3" x14ac:dyDescent="0.35">
      <c r="A5" t="s">
        <v>591</v>
      </c>
      <c r="B5">
        <v>50000</v>
      </c>
      <c r="C5">
        <v>9000</v>
      </c>
    </row>
    <row r="6" spans="1:3" x14ac:dyDescent="0.35">
      <c r="A6" t="s">
        <v>592</v>
      </c>
      <c r="B6">
        <v>75000</v>
      </c>
      <c r="C6">
        <v>9000</v>
      </c>
    </row>
    <row r="7" spans="1:3" x14ac:dyDescent="0.35">
      <c r="A7" t="s">
        <v>593</v>
      </c>
      <c r="B7">
        <v>135000</v>
      </c>
      <c r="C7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06F3-9D1C-4B38-839F-ECD7AB720167}">
  <dimension ref="A1:Y224"/>
  <sheetViews>
    <sheetView topLeftCell="A88" workbookViewId="0">
      <selection activeCell="G1" sqref="A1:XFD1048576"/>
    </sheetView>
  </sheetViews>
  <sheetFormatPr defaultRowHeight="15" customHeight="1" x14ac:dyDescent="0.35"/>
  <cols>
    <col min="1" max="1" width="7.54296875" bestFit="1" customWidth="1"/>
    <col min="2" max="2" width="10.6328125" bestFit="1" customWidth="1"/>
    <col min="3" max="3" width="13.36328125" bestFit="1" customWidth="1"/>
    <col min="4" max="4" width="14.1796875" bestFit="1" customWidth="1"/>
    <col min="5" max="5" width="4.81640625" bestFit="1" customWidth="1"/>
    <col min="6" max="6" width="44.54296875" bestFit="1" customWidth="1"/>
    <col min="7" max="7" width="20.81640625" bestFit="1" customWidth="1"/>
    <col min="8" max="8" width="10.26953125" bestFit="1" customWidth="1"/>
    <col min="9" max="9" width="8.54296875" bestFit="1" customWidth="1"/>
    <col min="10" max="10" width="7.1796875" bestFit="1" customWidth="1"/>
    <col min="11" max="11" width="25.90625" bestFit="1" customWidth="1"/>
    <col min="12" max="12" width="35.6328125" bestFit="1" customWidth="1"/>
    <col min="13" max="13" width="6.36328125" bestFit="1" customWidth="1"/>
    <col min="14" max="14" width="6.453125" bestFit="1" customWidth="1"/>
    <col min="15" max="15" width="10.26953125" bestFit="1" customWidth="1"/>
    <col min="16" max="16" width="10.453125" bestFit="1" customWidth="1"/>
    <col min="17" max="17" width="9.26953125" bestFit="1" customWidth="1"/>
    <col min="18" max="18" width="7.1796875" bestFit="1" customWidth="1"/>
    <col min="19" max="19" width="10.08984375" bestFit="1" customWidth="1"/>
    <col min="20" max="20" width="10.26953125" bestFit="1" customWidth="1"/>
    <col min="21" max="21" width="4.453125" bestFit="1" customWidth="1"/>
    <col min="22" max="22" width="6.81640625" bestFit="1" customWidth="1"/>
    <col min="23" max="23" width="9.90625" bestFit="1" customWidth="1"/>
    <col min="24" max="24" width="5.90625" bestFit="1" customWidth="1"/>
    <col min="25" max="25" width="11.90625" bestFit="1" customWidth="1"/>
  </cols>
  <sheetData>
    <row r="1" spans="1:25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customHeight="1" x14ac:dyDescent="0.35">
      <c r="A2" s="2">
        <v>4843224</v>
      </c>
      <c r="B2" s="2" t="s">
        <v>25</v>
      </c>
      <c r="C2" s="3">
        <v>44642</v>
      </c>
      <c r="D2" s="3">
        <v>44642</v>
      </c>
      <c r="E2" s="2" t="s">
        <v>26</v>
      </c>
      <c r="F2" s="2" t="s">
        <v>27</v>
      </c>
      <c r="G2" s="2" t="s">
        <v>28</v>
      </c>
      <c r="H2" s="3">
        <v>44655</v>
      </c>
      <c r="I2" s="3">
        <v>44673</v>
      </c>
      <c r="J2" s="4">
        <v>3054321</v>
      </c>
      <c r="K2" s="2" t="s">
        <v>29</v>
      </c>
      <c r="L2" s="2" t="s">
        <v>30</v>
      </c>
      <c r="M2" s="2" t="s">
        <v>31</v>
      </c>
      <c r="N2" s="2" t="s">
        <v>32</v>
      </c>
      <c r="O2" s="5">
        <v>250000</v>
      </c>
      <c r="P2" s="2" t="s">
        <v>33</v>
      </c>
      <c r="Q2" s="2" t="s">
        <v>33</v>
      </c>
      <c r="R2" s="6">
        <f t="shared" ref="R2:R65" si="0">(S2-O2)/O2*100</f>
        <v>40.520000000000003</v>
      </c>
      <c r="S2" s="2">
        <v>351300</v>
      </c>
      <c r="T2" s="7" t="s">
        <v>33</v>
      </c>
      <c r="U2" s="2">
        <v>0.75</v>
      </c>
      <c r="V2" s="8" t="s">
        <v>34</v>
      </c>
      <c r="W2" s="2">
        <v>8000</v>
      </c>
      <c r="X2" s="9" t="s">
        <v>35</v>
      </c>
      <c r="Y2" s="10" t="s">
        <v>36</v>
      </c>
    </row>
    <row r="3" spans="1:25" ht="15" customHeight="1" x14ac:dyDescent="0.35">
      <c r="A3" s="2">
        <v>4833229</v>
      </c>
      <c r="B3" s="2" t="s">
        <v>25</v>
      </c>
      <c r="C3" s="3">
        <v>44640</v>
      </c>
      <c r="D3" s="3">
        <v>44420</v>
      </c>
      <c r="E3" s="2" t="s">
        <v>26</v>
      </c>
      <c r="F3" s="2" t="s">
        <v>27</v>
      </c>
      <c r="G3" s="2" t="s">
        <v>37</v>
      </c>
      <c r="H3" s="3">
        <v>44650</v>
      </c>
      <c r="I3" s="3">
        <v>44673</v>
      </c>
      <c r="J3" s="4">
        <v>3054212</v>
      </c>
      <c r="K3" s="2" t="s">
        <v>38</v>
      </c>
      <c r="L3" s="2" t="s">
        <v>30</v>
      </c>
      <c r="M3" s="2" t="s">
        <v>31</v>
      </c>
      <c r="N3" s="2" t="s">
        <v>39</v>
      </c>
      <c r="O3" s="5" t="e">
        <v>#N/A</v>
      </c>
      <c r="P3" s="2" t="s">
        <v>33</v>
      </c>
      <c r="Q3" s="2" t="s">
        <v>33</v>
      </c>
      <c r="R3" s="6" t="e">
        <f t="shared" si="0"/>
        <v>#N/A</v>
      </c>
      <c r="S3" s="2">
        <v>351300</v>
      </c>
      <c r="T3" s="7" t="s">
        <v>33</v>
      </c>
      <c r="U3" s="2">
        <v>0.75</v>
      </c>
      <c r="V3" s="8" t="s">
        <v>34</v>
      </c>
      <c r="W3" s="2">
        <v>8000</v>
      </c>
      <c r="X3" s="9" t="s">
        <v>35</v>
      </c>
      <c r="Y3" s="10" t="s">
        <v>36</v>
      </c>
    </row>
    <row r="4" spans="1:25" ht="15" customHeight="1" x14ac:dyDescent="0.35">
      <c r="A4" s="2">
        <v>4824191</v>
      </c>
      <c r="B4" s="2" t="s">
        <v>40</v>
      </c>
      <c r="C4" s="3">
        <v>44640</v>
      </c>
      <c r="D4" s="3">
        <v>44446</v>
      </c>
      <c r="E4" s="2" t="s">
        <v>26</v>
      </c>
      <c r="F4" s="2" t="s">
        <v>27</v>
      </c>
      <c r="G4" s="2" t="s">
        <v>41</v>
      </c>
      <c r="H4" s="3">
        <v>44662</v>
      </c>
      <c r="I4" s="3">
        <v>44683</v>
      </c>
      <c r="J4" s="4">
        <v>3054596</v>
      </c>
      <c r="K4" s="2" t="s">
        <v>42</v>
      </c>
      <c r="L4" s="2" t="s">
        <v>30</v>
      </c>
      <c r="M4" s="2" t="s">
        <v>31</v>
      </c>
      <c r="N4" s="2" t="s">
        <v>39</v>
      </c>
      <c r="O4" s="5" t="e">
        <v>#N/A</v>
      </c>
      <c r="P4" s="2" t="s">
        <v>33</v>
      </c>
      <c r="Q4" s="2" t="s">
        <v>33</v>
      </c>
      <c r="R4" s="6" t="e">
        <f t="shared" si="0"/>
        <v>#N/A</v>
      </c>
      <c r="S4" s="2">
        <v>351300</v>
      </c>
      <c r="T4" s="7" t="s">
        <v>33</v>
      </c>
      <c r="U4" s="2">
        <v>0.75</v>
      </c>
      <c r="V4" s="8" t="s">
        <v>34</v>
      </c>
      <c r="W4" s="2">
        <v>8000</v>
      </c>
      <c r="X4" s="9" t="s">
        <v>35</v>
      </c>
      <c r="Y4" s="10" t="s">
        <v>36</v>
      </c>
    </row>
    <row r="5" spans="1:25" ht="15" customHeight="1" x14ac:dyDescent="0.35">
      <c r="A5" s="2">
        <v>4845941</v>
      </c>
      <c r="B5" s="2" t="s">
        <v>25</v>
      </c>
      <c r="C5" s="3">
        <v>44659</v>
      </c>
      <c r="D5" s="3">
        <v>44659</v>
      </c>
      <c r="E5" s="2" t="s">
        <v>26</v>
      </c>
      <c r="F5" s="2" t="s">
        <v>27</v>
      </c>
      <c r="G5" s="2" t="s">
        <v>43</v>
      </c>
      <c r="H5" s="3">
        <v>44672</v>
      </c>
      <c r="I5" s="3">
        <v>44718</v>
      </c>
      <c r="J5" s="4">
        <v>3054993</v>
      </c>
      <c r="K5" s="2" t="s">
        <v>44</v>
      </c>
      <c r="L5" s="2" t="s">
        <v>30</v>
      </c>
      <c r="M5" s="2" t="s">
        <v>31</v>
      </c>
      <c r="N5" s="2" t="s">
        <v>39</v>
      </c>
      <c r="O5" s="5" t="e">
        <v>#N/A</v>
      </c>
      <c r="P5" s="2" t="s">
        <v>33</v>
      </c>
      <c r="Q5" s="2" t="s">
        <v>33</v>
      </c>
      <c r="R5" s="6" t="e">
        <f t="shared" si="0"/>
        <v>#N/A</v>
      </c>
      <c r="S5" s="2">
        <v>351300</v>
      </c>
      <c r="T5" s="7" t="s">
        <v>33</v>
      </c>
      <c r="U5" s="2">
        <v>0.75</v>
      </c>
      <c r="V5" s="8" t="s">
        <v>34</v>
      </c>
      <c r="W5" s="2">
        <v>8000</v>
      </c>
      <c r="X5" s="9" t="s">
        <v>35</v>
      </c>
      <c r="Y5" s="10" t="s">
        <v>36</v>
      </c>
    </row>
    <row r="6" spans="1:25" ht="15" customHeight="1" x14ac:dyDescent="0.35">
      <c r="A6" s="2">
        <v>4843200</v>
      </c>
      <c r="B6" s="2" t="s">
        <v>40</v>
      </c>
      <c r="C6" s="3">
        <v>44641</v>
      </c>
      <c r="D6" s="3">
        <v>44641</v>
      </c>
      <c r="E6" s="2" t="s">
        <v>26</v>
      </c>
      <c r="F6" s="2" t="s">
        <v>45</v>
      </c>
      <c r="G6" s="2" t="s">
        <v>37</v>
      </c>
      <c r="H6" s="3">
        <v>44708</v>
      </c>
      <c r="I6" s="3">
        <v>44719</v>
      </c>
      <c r="J6" s="4">
        <v>3056529</v>
      </c>
      <c r="K6" s="2" t="s">
        <v>46</v>
      </c>
      <c r="L6" s="2" t="s">
        <v>47</v>
      </c>
      <c r="M6" s="2">
        <v>11</v>
      </c>
      <c r="N6" s="2" t="s">
        <v>39</v>
      </c>
      <c r="O6" s="2">
        <v>1324957</v>
      </c>
      <c r="P6" s="2" t="s">
        <v>33</v>
      </c>
      <c r="Q6" s="2" t="s">
        <v>33</v>
      </c>
      <c r="R6" s="6">
        <f t="shared" si="0"/>
        <v>24.474001797794191</v>
      </c>
      <c r="S6" s="2">
        <v>1649227</v>
      </c>
      <c r="T6" s="2" t="s">
        <v>33</v>
      </c>
      <c r="U6" s="2">
        <v>1.18</v>
      </c>
      <c r="V6" s="8" t="s">
        <v>48</v>
      </c>
      <c r="W6" s="2">
        <v>61250</v>
      </c>
      <c r="X6" s="9" t="s">
        <v>35</v>
      </c>
      <c r="Y6" s="10" t="s">
        <v>36</v>
      </c>
    </row>
    <row r="7" spans="1:25" ht="15" customHeight="1" x14ac:dyDescent="0.35">
      <c r="A7" s="2">
        <v>4843225</v>
      </c>
      <c r="B7" s="2" t="s">
        <v>25</v>
      </c>
      <c r="C7" s="3">
        <v>44642</v>
      </c>
      <c r="D7" s="3">
        <v>44642</v>
      </c>
      <c r="E7" s="2" t="s">
        <v>26</v>
      </c>
      <c r="F7" s="2" t="s">
        <v>27</v>
      </c>
      <c r="G7" s="2" t="s">
        <v>28</v>
      </c>
      <c r="H7" s="11">
        <v>44706</v>
      </c>
      <c r="I7" s="3">
        <v>44725</v>
      </c>
      <c r="J7" s="4">
        <v>3056334</v>
      </c>
      <c r="K7" s="2" t="s">
        <v>49</v>
      </c>
      <c r="L7" s="2" t="s">
        <v>30</v>
      </c>
      <c r="M7" s="2" t="s">
        <v>31</v>
      </c>
      <c r="N7" s="2" t="s">
        <v>39</v>
      </c>
      <c r="O7" s="5" t="e">
        <v>#N/A</v>
      </c>
      <c r="P7" s="2" t="s">
        <v>33</v>
      </c>
      <c r="Q7" s="2" t="s">
        <v>33</v>
      </c>
      <c r="R7" s="6" t="e">
        <f t="shared" si="0"/>
        <v>#N/A</v>
      </c>
      <c r="S7" s="2">
        <v>351300</v>
      </c>
      <c r="T7" s="2" t="s">
        <v>33</v>
      </c>
      <c r="U7" s="2">
        <v>0.75</v>
      </c>
      <c r="V7" s="8" t="s">
        <v>34</v>
      </c>
      <c r="W7" s="2">
        <v>8000</v>
      </c>
      <c r="X7" s="9" t="s">
        <v>35</v>
      </c>
      <c r="Y7" s="10" t="s">
        <v>36</v>
      </c>
    </row>
    <row r="8" spans="1:25" ht="15" customHeight="1" x14ac:dyDescent="0.35">
      <c r="A8" s="2">
        <v>4847042</v>
      </c>
      <c r="B8" s="2" t="s">
        <v>33</v>
      </c>
      <c r="C8" s="3">
        <v>44621</v>
      </c>
      <c r="D8" s="3">
        <v>44672</v>
      </c>
      <c r="E8" s="2" t="s">
        <v>50</v>
      </c>
      <c r="F8" s="2" t="s">
        <v>51</v>
      </c>
      <c r="G8" s="2" t="s">
        <v>52</v>
      </c>
      <c r="H8" s="3">
        <v>44704</v>
      </c>
      <c r="I8" s="3">
        <v>44732</v>
      </c>
      <c r="J8" s="2">
        <v>3001216</v>
      </c>
      <c r="K8" s="5" t="s">
        <v>53</v>
      </c>
      <c r="L8" s="2" t="s">
        <v>54</v>
      </c>
      <c r="M8" s="2">
        <v>2</v>
      </c>
      <c r="N8" s="2" t="s">
        <v>32</v>
      </c>
      <c r="O8" s="5">
        <v>380000</v>
      </c>
      <c r="P8" s="5" t="s">
        <v>33</v>
      </c>
      <c r="Q8" s="2" t="s">
        <v>33</v>
      </c>
      <c r="R8" s="6">
        <f t="shared" si="0"/>
        <v>77.631578947368425</v>
      </c>
      <c r="S8" s="2">
        <v>675000</v>
      </c>
      <c r="T8" s="2" t="s">
        <v>33</v>
      </c>
      <c r="U8" s="2" t="s">
        <v>33</v>
      </c>
      <c r="V8" s="8" t="s">
        <v>48</v>
      </c>
      <c r="W8" s="2">
        <v>26250</v>
      </c>
      <c r="X8" s="9" t="s">
        <v>35</v>
      </c>
      <c r="Y8" s="10" t="s">
        <v>36</v>
      </c>
    </row>
    <row r="9" spans="1:25" ht="15" customHeight="1" x14ac:dyDescent="0.35">
      <c r="A9" s="2">
        <v>4842149</v>
      </c>
      <c r="B9" s="2" t="s">
        <v>25</v>
      </c>
      <c r="C9" s="3">
        <v>44629</v>
      </c>
      <c r="D9" s="3">
        <v>44629</v>
      </c>
      <c r="E9" s="2" t="s">
        <v>26</v>
      </c>
      <c r="F9" s="2" t="s">
        <v>55</v>
      </c>
      <c r="G9" s="2" t="s">
        <v>56</v>
      </c>
      <c r="H9" s="3">
        <v>44671</v>
      </c>
      <c r="I9" s="3">
        <v>44739</v>
      </c>
      <c r="J9" s="4">
        <v>3055022</v>
      </c>
      <c r="K9" s="2" t="s">
        <v>57</v>
      </c>
      <c r="L9" s="2" t="s">
        <v>58</v>
      </c>
      <c r="M9" s="2">
        <v>9</v>
      </c>
      <c r="N9" s="2" t="s">
        <v>32</v>
      </c>
      <c r="O9" s="2">
        <v>1589916</v>
      </c>
      <c r="P9" s="2" t="s">
        <v>33</v>
      </c>
      <c r="Q9" s="2" t="s">
        <v>33</v>
      </c>
      <c r="R9" s="6">
        <f t="shared" si="0"/>
        <v>23.27695299625892</v>
      </c>
      <c r="S9" s="2">
        <v>1960000</v>
      </c>
      <c r="T9" s="2" t="s">
        <v>33</v>
      </c>
      <c r="U9" s="2">
        <v>1.2</v>
      </c>
      <c r="V9" s="8" t="s">
        <v>34</v>
      </c>
      <c r="W9" s="2">
        <v>8000</v>
      </c>
      <c r="X9" s="9" t="s">
        <v>35</v>
      </c>
      <c r="Y9" s="10" t="s">
        <v>36</v>
      </c>
    </row>
    <row r="10" spans="1:25" ht="15" customHeight="1" x14ac:dyDescent="0.35">
      <c r="A10" s="2">
        <v>4858089</v>
      </c>
      <c r="B10" s="2" t="s">
        <v>33</v>
      </c>
      <c r="C10" s="3">
        <v>44691</v>
      </c>
      <c r="D10" s="3">
        <v>44734</v>
      </c>
      <c r="E10" s="2" t="s">
        <v>50</v>
      </c>
      <c r="F10" s="2" t="s">
        <v>59</v>
      </c>
      <c r="G10" s="2" t="s">
        <v>60</v>
      </c>
      <c r="H10" s="3">
        <v>44739</v>
      </c>
      <c r="I10" s="3">
        <v>44760</v>
      </c>
      <c r="J10" s="2">
        <v>3058008</v>
      </c>
      <c r="K10" s="2" t="s">
        <v>61</v>
      </c>
      <c r="L10" s="2" t="s">
        <v>62</v>
      </c>
      <c r="M10" s="2">
        <v>13</v>
      </c>
      <c r="N10" s="2" t="s">
        <v>32</v>
      </c>
      <c r="O10" s="5">
        <v>2000000</v>
      </c>
      <c r="P10" s="5" t="s">
        <v>33</v>
      </c>
      <c r="Q10" s="2" t="s">
        <v>33</v>
      </c>
      <c r="R10" s="6">
        <f t="shared" si="0"/>
        <v>55.000000000000007</v>
      </c>
      <c r="S10" s="2">
        <v>3100000</v>
      </c>
      <c r="T10" s="2" t="s">
        <v>33</v>
      </c>
      <c r="U10" s="2" t="s">
        <v>33</v>
      </c>
      <c r="V10" s="8" t="s">
        <v>34</v>
      </c>
      <c r="W10" s="2">
        <v>8000</v>
      </c>
      <c r="X10" s="9" t="s">
        <v>35</v>
      </c>
      <c r="Y10" s="10" t="s">
        <v>36</v>
      </c>
    </row>
    <row r="11" spans="1:25" ht="15" customHeight="1" x14ac:dyDescent="0.35">
      <c r="A11" s="2">
        <v>4852865</v>
      </c>
      <c r="B11" s="2" t="s">
        <v>25</v>
      </c>
      <c r="C11" s="3">
        <v>44679</v>
      </c>
      <c r="D11" s="3">
        <v>44679</v>
      </c>
      <c r="E11" s="2" t="s">
        <v>26</v>
      </c>
      <c r="F11" s="2" t="s">
        <v>63</v>
      </c>
      <c r="G11" s="2" t="s">
        <v>64</v>
      </c>
      <c r="H11" s="3">
        <v>44694</v>
      </c>
      <c r="I11" s="3">
        <v>44760</v>
      </c>
      <c r="J11" s="4">
        <v>1921222</v>
      </c>
      <c r="K11" s="2" t="s">
        <v>65</v>
      </c>
      <c r="L11" s="2" t="s">
        <v>66</v>
      </c>
      <c r="M11" s="2">
        <v>15</v>
      </c>
      <c r="N11" s="2" t="s">
        <v>39</v>
      </c>
      <c r="O11" s="2">
        <v>3510017</v>
      </c>
      <c r="P11" s="2" t="s">
        <v>33</v>
      </c>
      <c r="Q11" s="2" t="s">
        <v>33</v>
      </c>
      <c r="R11" s="6">
        <f t="shared" si="0"/>
        <v>30.000025640901455</v>
      </c>
      <c r="S11" s="2">
        <v>4563023</v>
      </c>
      <c r="T11" s="2" t="s">
        <v>33</v>
      </c>
      <c r="U11" s="2">
        <v>0.84</v>
      </c>
      <c r="V11" s="8" t="s">
        <v>34</v>
      </c>
      <c r="W11" s="2">
        <v>8000</v>
      </c>
      <c r="X11" s="9" t="s">
        <v>35</v>
      </c>
      <c r="Y11" s="10" t="s">
        <v>36</v>
      </c>
    </row>
    <row r="12" spans="1:25" ht="15" customHeight="1" x14ac:dyDescent="0.35">
      <c r="A12" s="2" t="s">
        <v>67</v>
      </c>
      <c r="B12" s="2" t="s">
        <v>33</v>
      </c>
      <c r="C12" s="3">
        <v>44621</v>
      </c>
      <c r="D12" s="3">
        <v>44699</v>
      </c>
      <c r="E12" s="2" t="s">
        <v>50</v>
      </c>
      <c r="F12" s="2" t="s">
        <v>68</v>
      </c>
      <c r="G12" s="2" t="s">
        <v>69</v>
      </c>
      <c r="H12" s="3">
        <v>44704</v>
      </c>
      <c r="I12" s="3">
        <v>44767</v>
      </c>
      <c r="J12" s="2" t="s">
        <v>33</v>
      </c>
      <c r="K12" s="5" t="s">
        <v>70</v>
      </c>
      <c r="L12" s="2" t="s">
        <v>71</v>
      </c>
      <c r="M12" s="2">
        <v>7</v>
      </c>
      <c r="N12" s="2" t="s">
        <v>32</v>
      </c>
      <c r="O12" s="5">
        <v>570000</v>
      </c>
      <c r="P12" s="5" t="s">
        <v>33</v>
      </c>
      <c r="Q12" s="2" t="s">
        <v>33</v>
      </c>
      <c r="R12" s="6">
        <f t="shared" si="0"/>
        <v>114.03508771929825</v>
      </c>
      <c r="S12" s="2">
        <v>1220000</v>
      </c>
      <c r="T12" s="2" t="s">
        <v>33</v>
      </c>
      <c r="U12" s="2" t="s">
        <v>33</v>
      </c>
      <c r="V12" s="8" t="s">
        <v>34</v>
      </c>
      <c r="W12" s="2">
        <v>52500</v>
      </c>
      <c r="X12" s="9" t="s">
        <v>35</v>
      </c>
      <c r="Y12" s="10" t="s">
        <v>36</v>
      </c>
    </row>
    <row r="13" spans="1:25" ht="15" customHeight="1" x14ac:dyDescent="0.35">
      <c r="A13" s="2">
        <v>4824244</v>
      </c>
      <c r="B13" s="2" t="s">
        <v>25</v>
      </c>
      <c r="C13" s="3">
        <v>44640</v>
      </c>
      <c r="D13" s="3">
        <v>44447</v>
      </c>
      <c r="E13" s="2" t="s">
        <v>26</v>
      </c>
      <c r="F13" s="2" t="s">
        <v>45</v>
      </c>
      <c r="G13" s="2" t="s">
        <v>37</v>
      </c>
      <c r="H13" s="3">
        <v>44697</v>
      </c>
      <c r="I13" s="3">
        <v>44767</v>
      </c>
      <c r="J13" s="4">
        <v>1934241</v>
      </c>
      <c r="K13" s="2" t="s">
        <v>72</v>
      </c>
      <c r="L13" s="2" t="s">
        <v>66</v>
      </c>
      <c r="M13" s="2">
        <v>8</v>
      </c>
      <c r="N13" s="2" t="s">
        <v>32</v>
      </c>
      <c r="O13" s="2">
        <v>880000</v>
      </c>
      <c r="P13" s="2" t="s">
        <v>33</v>
      </c>
      <c r="Q13" s="2" t="s">
        <v>33</v>
      </c>
      <c r="R13" s="6">
        <f t="shared" si="0"/>
        <v>36.363636363636367</v>
      </c>
      <c r="S13" s="2">
        <v>1200000</v>
      </c>
      <c r="T13" s="2" t="s">
        <v>33</v>
      </c>
      <c r="U13" s="2">
        <v>0.81</v>
      </c>
      <c r="V13" s="8" t="s">
        <v>48</v>
      </c>
      <c r="W13" s="2">
        <v>52500</v>
      </c>
      <c r="X13" s="9" t="s">
        <v>35</v>
      </c>
      <c r="Y13" s="10" t="s">
        <v>36</v>
      </c>
    </row>
    <row r="14" spans="1:25" ht="15" customHeight="1" x14ac:dyDescent="0.35">
      <c r="A14" s="2">
        <v>4846955</v>
      </c>
      <c r="B14" s="2" t="s">
        <v>33</v>
      </c>
      <c r="C14" s="3">
        <v>44621</v>
      </c>
      <c r="D14" s="3">
        <v>44671</v>
      </c>
      <c r="E14" s="2" t="s">
        <v>50</v>
      </c>
      <c r="F14" s="2" t="s">
        <v>51</v>
      </c>
      <c r="G14" s="2" t="s">
        <v>73</v>
      </c>
      <c r="H14" s="2" t="s">
        <v>33</v>
      </c>
      <c r="I14" s="3">
        <v>44769</v>
      </c>
      <c r="J14" s="2">
        <v>3056306</v>
      </c>
      <c r="K14" s="2" t="s">
        <v>74</v>
      </c>
      <c r="L14" s="2" t="s">
        <v>75</v>
      </c>
      <c r="M14" s="2">
        <v>1.6</v>
      </c>
      <c r="N14" s="2" t="s">
        <v>39</v>
      </c>
      <c r="O14" s="5">
        <v>680000</v>
      </c>
      <c r="P14" s="5" t="s">
        <v>33</v>
      </c>
      <c r="Q14" s="2" t="s">
        <v>33</v>
      </c>
      <c r="R14" s="6">
        <f t="shared" si="0"/>
        <v>21.323529411764707</v>
      </c>
      <c r="S14" s="2">
        <v>825000</v>
      </c>
      <c r="T14" s="2" t="s">
        <v>33</v>
      </c>
      <c r="U14" s="2" t="s">
        <v>33</v>
      </c>
      <c r="V14" s="8" t="s">
        <v>34</v>
      </c>
      <c r="W14" s="2">
        <v>8000</v>
      </c>
      <c r="X14" s="9" t="s">
        <v>35</v>
      </c>
      <c r="Y14" s="10" t="s">
        <v>36</v>
      </c>
    </row>
    <row r="15" spans="1:25" ht="15" customHeight="1" x14ac:dyDescent="0.35">
      <c r="A15" s="2">
        <v>4856105</v>
      </c>
      <c r="B15" s="2" t="s">
        <v>33</v>
      </c>
      <c r="C15" s="3">
        <v>44691</v>
      </c>
      <c r="D15" s="3">
        <v>44711</v>
      </c>
      <c r="E15" s="2" t="s">
        <v>50</v>
      </c>
      <c r="F15" s="2" t="s">
        <v>51</v>
      </c>
      <c r="G15" s="2" t="s">
        <v>76</v>
      </c>
      <c r="H15" s="3">
        <v>44738</v>
      </c>
      <c r="I15" s="3">
        <v>44774</v>
      </c>
      <c r="J15" s="2">
        <v>3070248</v>
      </c>
      <c r="K15" s="2" t="s">
        <v>77</v>
      </c>
      <c r="L15" s="2" t="s">
        <v>78</v>
      </c>
      <c r="M15" s="2">
        <v>2.2000000000000002</v>
      </c>
      <c r="N15" s="2" t="s">
        <v>39</v>
      </c>
      <c r="O15" s="5">
        <v>240000</v>
      </c>
      <c r="P15" s="5" t="s">
        <v>33</v>
      </c>
      <c r="Q15" s="2" t="s">
        <v>33</v>
      </c>
      <c r="R15" s="6">
        <f t="shared" si="0"/>
        <v>114.96958333333333</v>
      </c>
      <c r="S15" s="2">
        <v>515927</v>
      </c>
      <c r="T15" s="2" t="s">
        <v>33</v>
      </c>
      <c r="U15" s="2" t="s">
        <v>33</v>
      </c>
      <c r="V15" s="8" t="s">
        <v>48</v>
      </c>
      <c r="W15" s="2">
        <v>26250</v>
      </c>
      <c r="X15" s="9" t="s">
        <v>35</v>
      </c>
      <c r="Y15" s="10" t="s">
        <v>36</v>
      </c>
    </row>
    <row r="16" spans="1:25" ht="15" customHeight="1" x14ac:dyDescent="0.35">
      <c r="A16" s="2">
        <v>4840996</v>
      </c>
      <c r="B16" s="2" t="s">
        <v>40</v>
      </c>
      <c r="C16" s="3">
        <v>44617</v>
      </c>
      <c r="D16" s="3">
        <v>44617</v>
      </c>
      <c r="E16" s="2" t="s">
        <v>26</v>
      </c>
      <c r="F16" s="2" t="s">
        <v>45</v>
      </c>
      <c r="G16" s="2" t="s">
        <v>79</v>
      </c>
      <c r="H16" s="3">
        <v>44698</v>
      </c>
      <c r="I16" s="3">
        <v>44774</v>
      </c>
      <c r="J16" s="4">
        <v>3056328</v>
      </c>
      <c r="K16" s="2" t="s">
        <v>80</v>
      </c>
      <c r="L16" s="2" t="s">
        <v>81</v>
      </c>
      <c r="M16" s="2">
        <v>10</v>
      </c>
      <c r="N16" s="2" t="s">
        <v>39</v>
      </c>
      <c r="O16" s="2">
        <v>1171371</v>
      </c>
      <c r="P16" s="2" t="s">
        <v>33</v>
      </c>
      <c r="Q16" s="2" t="s">
        <v>33</v>
      </c>
      <c r="R16" s="6">
        <f t="shared" si="0"/>
        <v>29.999803648886648</v>
      </c>
      <c r="S16" s="2">
        <v>1522780</v>
      </c>
      <c r="T16" s="2" t="s">
        <v>33</v>
      </c>
      <c r="U16" s="2">
        <v>1.0900000000000001</v>
      </c>
      <c r="V16" s="8" t="s">
        <v>34</v>
      </c>
      <c r="W16" s="2">
        <v>8000</v>
      </c>
      <c r="X16" s="9" t="s">
        <v>35</v>
      </c>
      <c r="Y16" s="10" t="s">
        <v>36</v>
      </c>
    </row>
    <row r="17" spans="1:25" ht="15" customHeight="1" x14ac:dyDescent="0.35">
      <c r="A17" s="2">
        <v>4858200</v>
      </c>
      <c r="B17" s="2" t="s">
        <v>25</v>
      </c>
      <c r="C17" s="3">
        <v>44735</v>
      </c>
      <c r="D17" s="3">
        <v>44735</v>
      </c>
      <c r="E17" s="2" t="s">
        <v>26</v>
      </c>
      <c r="F17" s="2" t="s">
        <v>82</v>
      </c>
      <c r="G17" s="2" t="s">
        <v>43</v>
      </c>
      <c r="H17" s="3">
        <v>44757</v>
      </c>
      <c r="I17" s="3">
        <v>44781</v>
      </c>
      <c r="J17" s="2">
        <v>3058374</v>
      </c>
      <c r="K17" s="2" t="s">
        <v>83</v>
      </c>
      <c r="L17" s="2" t="s">
        <v>66</v>
      </c>
      <c r="M17" s="2">
        <v>2.4</v>
      </c>
      <c r="N17" s="2" t="s">
        <v>32</v>
      </c>
      <c r="O17" s="2">
        <v>498600</v>
      </c>
      <c r="P17" s="7" t="s">
        <v>33</v>
      </c>
      <c r="Q17" s="7" t="s">
        <v>33</v>
      </c>
      <c r="R17" s="6">
        <f t="shared" si="0"/>
        <v>30.615924588848774</v>
      </c>
      <c r="S17" s="2">
        <v>651251</v>
      </c>
      <c r="T17" s="7" t="s">
        <v>33</v>
      </c>
      <c r="U17" s="2">
        <v>1.22</v>
      </c>
      <c r="V17" s="8" t="s">
        <v>48</v>
      </c>
      <c r="W17" s="2">
        <v>26250</v>
      </c>
      <c r="X17" s="9" t="s">
        <v>35</v>
      </c>
      <c r="Y17" s="10" t="s">
        <v>36</v>
      </c>
    </row>
    <row r="18" spans="1:25" ht="15" customHeight="1" x14ac:dyDescent="0.35">
      <c r="A18" s="2">
        <v>4852972</v>
      </c>
      <c r="B18" s="2" t="s">
        <v>40</v>
      </c>
      <c r="C18" s="3">
        <v>44682</v>
      </c>
      <c r="D18" s="3">
        <v>44682</v>
      </c>
      <c r="E18" s="2" t="s">
        <v>26</v>
      </c>
      <c r="F18" s="2" t="s">
        <v>84</v>
      </c>
      <c r="G18" s="2" t="s">
        <v>85</v>
      </c>
      <c r="H18" s="3">
        <v>44722</v>
      </c>
      <c r="I18" s="3">
        <v>44783</v>
      </c>
      <c r="J18" s="2">
        <v>7065184</v>
      </c>
      <c r="K18" s="2" t="s">
        <v>86</v>
      </c>
      <c r="L18" s="2" t="s">
        <v>87</v>
      </c>
      <c r="M18" s="2">
        <v>4</v>
      </c>
      <c r="N18" s="2" t="s">
        <v>39</v>
      </c>
      <c r="O18" s="2">
        <v>650004</v>
      </c>
      <c r="P18" s="2" t="s">
        <v>33</v>
      </c>
      <c r="Q18" s="2" t="s">
        <v>33</v>
      </c>
      <c r="R18" s="6">
        <f t="shared" si="0"/>
        <v>35.000092307124262</v>
      </c>
      <c r="S18" s="2">
        <v>877506</v>
      </c>
      <c r="T18" s="2" t="s">
        <v>33</v>
      </c>
      <c r="U18" s="2">
        <v>1.01</v>
      </c>
      <c r="V18" s="8" t="s">
        <v>34</v>
      </c>
      <c r="W18" s="2">
        <v>8000</v>
      </c>
      <c r="X18" s="9" t="s">
        <v>35</v>
      </c>
      <c r="Y18" s="10" t="s">
        <v>36</v>
      </c>
    </row>
    <row r="19" spans="1:25" ht="15" customHeight="1" x14ac:dyDescent="0.35">
      <c r="A19" s="2" t="s">
        <v>88</v>
      </c>
      <c r="B19" s="2" t="s">
        <v>33</v>
      </c>
      <c r="C19" s="3">
        <v>44621</v>
      </c>
      <c r="D19" s="3">
        <v>44711</v>
      </c>
      <c r="E19" s="2" t="s">
        <v>50</v>
      </c>
      <c r="F19" s="2" t="s">
        <v>51</v>
      </c>
      <c r="G19" s="2" t="s">
        <v>89</v>
      </c>
      <c r="H19" s="3">
        <v>44598</v>
      </c>
      <c r="I19" s="3">
        <v>44784</v>
      </c>
      <c r="J19" s="2">
        <v>3057036</v>
      </c>
      <c r="K19" s="2" t="s">
        <v>90</v>
      </c>
      <c r="L19" s="2" t="s">
        <v>91</v>
      </c>
      <c r="M19" s="2">
        <v>3</v>
      </c>
      <c r="N19" s="2" t="s">
        <v>39</v>
      </c>
      <c r="O19" s="5">
        <v>610000</v>
      </c>
      <c r="P19" s="5" t="s">
        <v>33</v>
      </c>
      <c r="Q19" s="2" t="s">
        <v>33</v>
      </c>
      <c r="R19" s="6">
        <f t="shared" si="0"/>
        <v>25.820327868852459</v>
      </c>
      <c r="S19" s="2">
        <v>767504</v>
      </c>
      <c r="T19" s="2" t="s">
        <v>33</v>
      </c>
      <c r="U19" s="2" t="s">
        <v>33</v>
      </c>
      <c r="V19" s="8" t="s">
        <v>34</v>
      </c>
      <c r="W19" s="2">
        <v>8000</v>
      </c>
      <c r="X19" s="9" t="s">
        <v>35</v>
      </c>
      <c r="Y19" s="10" t="s">
        <v>36</v>
      </c>
    </row>
    <row r="20" spans="1:25" ht="15" customHeight="1" x14ac:dyDescent="0.35">
      <c r="A20" s="2">
        <v>4855046</v>
      </c>
      <c r="B20" s="2" t="s">
        <v>33</v>
      </c>
      <c r="C20" s="3">
        <v>44736</v>
      </c>
      <c r="D20" s="3">
        <v>44699</v>
      </c>
      <c r="E20" s="2" t="s">
        <v>50</v>
      </c>
      <c r="F20" s="2" t="s">
        <v>51</v>
      </c>
      <c r="G20" s="2" t="s">
        <v>76</v>
      </c>
      <c r="H20" s="3">
        <v>44902</v>
      </c>
      <c r="I20" s="3">
        <v>44789</v>
      </c>
      <c r="J20" s="2">
        <v>3058417</v>
      </c>
      <c r="K20" s="5" t="s">
        <v>92</v>
      </c>
      <c r="L20" s="2" t="s">
        <v>93</v>
      </c>
      <c r="M20" s="2">
        <v>3.5</v>
      </c>
      <c r="N20" s="2" t="s">
        <v>39</v>
      </c>
      <c r="O20" s="5">
        <v>370000</v>
      </c>
      <c r="P20" s="5" t="s">
        <v>33</v>
      </c>
      <c r="Q20" s="2" t="s">
        <v>33</v>
      </c>
      <c r="R20" s="6">
        <f t="shared" si="0"/>
        <v>62.162162162162161</v>
      </c>
      <c r="S20" s="2">
        <v>600000</v>
      </c>
      <c r="T20" s="2" t="s">
        <v>33</v>
      </c>
      <c r="U20" s="2" t="s">
        <v>33</v>
      </c>
      <c r="V20" s="8" t="s">
        <v>48</v>
      </c>
      <c r="W20" s="2">
        <v>26250</v>
      </c>
      <c r="X20" s="9" t="s">
        <v>35</v>
      </c>
      <c r="Y20" s="10" t="s">
        <v>36</v>
      </c>
    </row>
    <row r="21" spans="1:25" ht="15" customHeight="1" x14ac:dyDescent="0.35">
      <c r="A21" s="2">
        <v>4857051</v>
      </c>
      <c r="B21" s="2" t="s">
        <v>40</v>
      </c>
      <c r="C21" s="3">
        <v>44721</v>
      </c>
      <c r="D21" s="3">
        <v>44721</v>
      </c>
      <c r="E21" s="2" t="s">
        <v>26</v>
      </c>
      <c r="F21" s="2" t="s">
        <v>45</v>
      </c>
      <c r="G21" s="2" t="s">
        <v>43</v>
      </c>
      <c r="H21" s="3">
        <v>44741</v>
      </c>
      <c r="I21" s="3">
        <v>44805</v>
      </c>
      <c r="J21" s="2">
        <v>3058190</v>
      </c>
      <c r="K21" s="2" t="s">
        <v>94</v>
      </c>
      <c r="L21" s="2" t="s">
        <v>58</v>
      </c>
      <c r="M21" s="2">
        <v>6.9</v>
      </c>
      <c r="N21" s="2" t="s">
        <v>39</v>
      </c>
      <c r="O21" s="2">
        <v>881000</v>
      </c>
      <c r="P21" s="2" t="s">
        <v>33</v>
      </c>
      <c r="Q21" s="2" t="s">
        <v>33</v>
      </c>
      <c r="R21" s="6">
        <f t="shared" si="0"/>
        <v>41.884222474460842</v>
      </c>
      <c r="S21" s="2">
        <v>1250000</v>
      </c>
      <c r="T21" s="2" t="s">
        <v>33</v>
      </c>
      <c r="U21" s="2">
        <v>0.9</v>
      </c>
      <c r="V21" s="8" t="s">
        <v>48</v>
      </c>
      <c r="W21" s="2">
        <v>52500</v>
      </c>
      <c r="X21" s="9" t="s">
        <v>35</v>
      </c>
      <c r="Y21" s="10" t="s">
        <v>36</v>
      </c>
    </row>
    <row r="22" spans="1:25" ht="15" customHeight="1" x14ac:dyDescent="0.35">
      <c r="A22" s="2">
        <v>4860537</v>
      </c>
      <c r="B22" s="2" t="s">
        <v>25</v>
      </c>
      <c r="C22" s="3">
        <v>44757</v>
      </c>
      <c r="D22" s="3">
        <v>44757</v>
      </c>
      <c r="E22" s="2" t="s">
        <v>26</v>
      </c>
      <c r="F22" s="2" t="s">
        <v>27</v>
      </c>
      <c r="G22" s="2" t="s">
        <v>95</v>
      </c>
      <c r="H22" s="3">
        <v>44797</v>
      </c>
      <c r="I22" s="3">
        <v>44805</v>
      </c>
      <c r="J22" s="2">
        <v>3053510</v>
      </c>
      <c r="K22" s="2" t="s">
        <v>96</v>
      </c>
      <c r="L22" s="2" t="s">
        <v>30</v>
      </c>
      <c r="M22" s="2" t="s">
        <v>31</v>
      </c>
      <c r="N22" s="2" t="s">
        <v>39</v>
      </c>
      <c r="O22" s="5" t="e">
        <v>#N/A</v>
      </c>
      <c r="P22" s="2" t="s">
        <v>33</v>
      </c>
      <c r="Q22" s="2" t="s">
        <v>33</v>
      </c>
      <c r="R22" s="6" t="e">
        <f t="shared" si="0"/>
        <v>#N/A</v>
      </c>
      <c r="S22" s="2">
        <v>351300</v>
      </c>
      <c r="T22" s="7" t="s">
        <v>33</v>
      </c>
      <c r="U22" s="2">
        <v>0.75</v>
      </c>
      <c r="V22" s="8" t="s">
        <v>34</v>
      </c>
      <c r="W22" s="2">
        <v>8000</v>
      </c>
      <c r="X22" s="9" t="s">
        <v>35</v>
      </c>
      <c r="Y22" s="10" t="s">
        <v>36</v>
      </c>
    </row>
    <row r="23" spans="1:25" ht="15" customHeight="1" x14ac:dyDescent="0.35">
      <c r="A23" s="2">
        <v>4860494</v>
      </c>
      <c r="B23" s="2" t="s">
        <v>25</v>
      </c>
      <c r="C23" s="3">
        <v>44757</v>
      </c>
      <c r="D23" s="3">
        <v>44757</v>
      </c>
      <c r="E23" s="2" t="s">
        <v>26</v>
      </c>
      <c r="F23" s="2" t="s">
        <v>27</v>
      </c>
      <c r="G23" s="2" t="s">
        <v>95</v>
      </c>
      <c r="H23" s="3">
        <v>44782</v>
      </c>
      <c r="I23" s="3">
        <v>44805</v>
      </c>
      <c r="J23" s="2">
        <v>3059041</v>
      </c>
      <c r="K23" s="2" t="s">
        <v>97</v>
      </c>
      <c r="L23" s="2" t="s">
        <v>30</v>
      </c>
      <c r="M23" s="2" t="s">
        <v>31</v>
      </c>
      <c r="N23" s="2" t="s">
        <v>39</v>
      </c>
      <c r="O23" s="5" t="e">
        <v>#N/A</v>
      </c>
      <c r="P23" s="2" t="s">
        <v>33</v>
      </c>
      <c r="Q23" s="2" t="s">
        <v>33</v>
      </c>
      <c r="R23" s="6" t="e">
        <f t="shared" si="0"/>
        <v>#N/A</v>
      </c>
      <c r="S23" s="2">
        <v>351300</v>
      </c>
      <c r="T23" s="7" t="s">
        <v>33</v>
      </c>
      <c r="U23" s="2">
        <v>0.75</v>
      </c>
      <c r="V23" s="8" t="s">
        <v>34</v>
      </c>
      <c r="W23" s="2">
        <v>8000</v>
      </c>
      <c r="X23" s="9" t="s">
        <v>35</v>
      </c>
      <c r="Y23" s="10" t="s">
        <v>36</v>
      </c>
    </row>
    <row r="24" spans="1:25" ht="15" customHeight="1" x14ac:dyDescent="0.35">
      <c r="A24" s="2">
        <v>4852973</v>
      </c>
      <c r="B24" s="2" t="s">
        <v>40</v>
      </c>
      <c r="C24" s="3">
        <v>44682</v>
      </c>
      <c r="D24" s="3">
        <v>44682</v>
      </c>
      <c r="E24" s="2" t="s">
        <v>26</v>
      </c>
      <c r="F24" s="2" t="s">
        <v>45</v>
      </c>
      <c r="G24" s="2" t="s">
        <v>95</v>
      </c>
      <c r="H24" s="3">
        <v>44697</v>
      </c>
      <c r="I24" s="3">
        <v>44806</v>
      </c>
      <c r="J24" s="2">
        <v>2061030</v>
      </c>
      <c r="K24" s="2" t="s">
        <v>98</v>
      </c>
      <c r="L24" s="2" t="s">
        <v>99</v>
      </c>
      <c r="M24" s="2">
        <v>6</v>
      </c>
      <c r="N24" s="2" t="s">
        <v>32</v>
      </c>
      <c r="O24" s="2">
        <v>1101216</v>
      </c>
      <c r="P24" s="2" t="s">
        <v>33</v>
      </c>
      <c r="Q24" s="2" t="s">
        <v>33</v>
      </c>
      <c r="R24" s="6">
        <f t="shared" si="0"/>
        <v>36.213059018394212</v>
      </c>
      <c r="S24" s="2">
        <v>1500000</v>
      </c>
      <c r="T24" s="2" t="s">
        <v>33</v>
      </c>
      <c r="U24" s="2">
        <v>1.07</v>
      </c>
      <c r="V24" s="8" t="s">
        <v>48</v>
      </c>
      <c r="W24" s="2">
        <v>52500</v>
      </c>
      <c r="X24" s="9" t="s">
        <v>35</v>
      </c>
      <c r="Y24" s="10" t="s">
        <v>36</v>
      </c>
    </row>
    <row r="25" spans="1:25" ht="15" customHeight="1" x14ac:dyDescent="0.35">
      <c r="A25" s="2">
        <v>4838638</v>
      </c>
      <c r="B25" s="2" t="s">
        <v>40</v>
      </c>
      <c r="C25" s="3">
        <v>44594</v>
      </c>
      <c r="D25" s="3">
        <v>44594</v>
      </c>
      <c r="E25" s="2" t="s">
        <v>26</v>
      </c>
      <c r="F25" s="2" t="s">
        <v>100</v>
      </c>
      <c r="G25" s="2" t="s">
        <v>101</v>
      </c>
      <c r="H25" s="3">
        <v>44791</v>
      </c>
      <c r="I25" s="3">
        <v>44806</v>
      </c>
      <c r="J25" s="2">
        <v>3059252</v>
      </c>
      <c r="K25" s="2" t="s">
        <v>102</v>
      </c>
      <c r="L25" s="2" t="s">
        <v>30</v>
      </c>
      <c r="M25" s="2" t="s">
        <v>31</v>
      </c>
      <c r="N25" s="2" t="s">
        <v>39</v>
      </c>
      <c r="O25" s="5" t="e">
        <v>#N/A</v>
      </c>
      <c r="P25" s="2" t="s">
        <v>33</v>
      </c>
      <c r="Q25" s="2" t="s">
        <v>33</v>
      </c>
      <c r="R25" s="6" t="e">
        <f t="shared" si="0"/>
        <v>#N/A</v>
      </c>
      <c r="S25" s="2">
        <v>351300</v>
      </c>
      <c r="T25" s="2" t="s">
        <v>33</v>
      </c>
      <c r="U25" s="2">
        <v>0.75</v>
      </c>
      <c r="V25" s="8" t="s">
        <v>34</v>
      </c>
      <c r="W25" s="2">
        <v>8000</v>
      </c>
      <c r="X25" s="9" t="s">
        <v>35</v>
      </c>
      <c r="Y25" s="10" t="s">
        <v>36</v>
      </c>
    </row>
    <row r="26" spans="1:25" ht="15" customHeight="1" x14ac:dyDescent="0.35">
      <c r="A26" s="2" t="s">
        <v>103</v>
      </c>
      <c r="B26" s="2" t="s">
        <v>33</v>
      </c>
      <c r="C26" s="3">
        <v>44691</v>
      </c>
      <c r="D26" s="3">
        <v>44690</v>
      </c>
      <c r="E26" s="2" t="s">
        <v>50</v>
      </c>
      <c r="F26" s="2" t="s">
        <v>59</v>
      </c>
      <c r="G26" s="2" t="s">
        <v>104</v>
      </c>
      <c r="H26" s="3">
        <v>44767</v>
      </c>
      <c r="I26" s="3">
        <v>44809</v>
      </c>
      <c r="J26" s="2">
        <v>3058554</v>
      </c>
      <c r="K26" s="2" t="s">
        <v>105</v>
      </c>
      <c r="L26" s="2" t="s">
        <v>106</v>
      </c>
      <c r="M26" s="2">
        <v>6</v>
      </c>
      <c r="N26" s="2" t="s">
        <v>39</v>
      </c>
      <c r="O26" s="5">
        <v>900000</v>
      </c>
      <c r="P26" s="5" t="s">
        <v>33</v>
      </c>
      <c r="Q26" s="2" t="s">
        <v>33</v>
      </c>
      <c r="R26" s="6">
        <f t="shared" si="0"/>
        <v>59.444444444444443</v>
      </c>
      <c r="S26" s="2">
        <v>1435000</v>
      </c>
      <c r="T26" s="2" t="s">
        <v>33</v>
      </c>
      <c r="U26" s="2" t="s">
        <v>33</v>
      </c>
      <c r="V26" s="8" t="s">
        <v>34</v>
      </c>
      <c r="W26" s="2">
        <v>8000</v>
      </c>
      <c r="X26" s="9" t="s">
        <v>35</v>
      </c>
      <c r="Y26" s="10" t="s">
        <v>36</v>
      </c>
    </row>
    <row r="27" spans="1:25" ht="15" customHeight="1" x14ac:dyDescent="0.35">
      <c r="A27" s="2">
        <v>4856248</v>
      </c>
      <c r="B27" s="2" t="s">
        <v>33</v>
      </c>
      <c r="C27" s="3">
        <v>44691</v>
      </c>
      <c r="D27" s="3">
        <v>44713</v>
      </c>
      <c r="E27" s="2" t="s">
        <v>50</v>
      </c>
      <c r="F27" s="2" t="s">
        <v>59</v>
      </c>
      <c r="G27" s="2" t="s">
        <v>73</v>
      </c>
      <c r="H27" s="3">
        <v>44748</v>
      </c>
      <c r="I27" s="3">
        <v>44809</v>
      </c>
      <c r="J27" s="2">
        <v>3057799</v>
      </c>
      <c r="K27" s="2" t="s">
        <v>107</v>
      </c>
      <c r="L27" s="2" t="s">
        <v>75</v>
      </c>
      <c r="M27" s="2">
        <v>12.3</v>
      </c>
      <c r="N27" s="2" t="s">
        <v>32</v>
      </c>
      <c r="O27" s="5">
        <v>2150000</v>
      </c>
      <c r="P27" s="5" t="s">
        <v>33</v>
      </c>
      <c r="Q27" s="2" t="s">
        <v>33</v>
      </c>
      <c r="R27" s="6">
        <f t="shared" si="0"/>
        <v>37.209302325581397</v>
      </c>
      <c r="S27" s="2">
        <v>2950000</v>
      </c>
      <c r="T27" s="2" t="s">
        <v>33</v>
      </c>
      <c r="U27" s="2" t="s">
        <v>33</v>
      </c>
      <c r="V27" s="8" t="s">
        <v>34</v>
      </c>
      <c r="W27" s="2">
        <v>8000</v>
      </c>
      <c r="X27" s="9" t="s">
        <v>35</v>
      </c>
      <c r="Y27" s="10" t="s">
        <v>36</v>
      </c>
    </row>
    <row r="28" spans="1:25" ht="15" customHeight="1" x14ac:dyDescent="0.35">
      <c r="A28" s="2">
        <v>4858575</v>
      </c>
      <c r="B28" s="2" t="s">
        <v>33</v>
      </c>
      <c r="C28" s="3">
        <v>44691</v>
      </c>
      <c r="D28" s="3">
        <v>44740</v>
      </c>
      <c r="E28" s="2" t="s">
        <v>50</v>
      </c>
      <c r="F28" s="2" t="s">
        <v>108</v>
      </c>
      <c r="G28" s="2" t="s">
        <v>89</v>
      </c>
      <c r="H28" s="3">
        <v>44742</v>
      </c>
      <c r="I28" s="3">
        <v>44816</v>
      </c>
      <c r="J28" s="2" t="s">
        <v>33</v>
      </c>
      <c r="K28" s="2" t="s">
        <v>109</v>
      </c>
      <c r="L28" s="12" t="s">
        <v>99</v>
      </c>
      <c r="M28" s="2">
        <v>10</v>
      </c>
      <c r="N28" s="2" t="s">
        <v>39</v>
      </c>
      <c r="O28" s="5">
        <v>2500000</v>
      </c>
      <c r="P28" s="5" t="s">
        <v>33</v>
      </c>
      <c r="Q28" s="2" t="s">
        <v>33</v>
      </c>
      <c r="R28" s="6">
        <f t="shared" si="0"/>
        <v>36</v>
      </c>
      <c r="S28" s="2">
        <v>3400000</v>
      </c>
      <c r="T28" s="2" t="s">
        <v>33</v>
      </c>
      <c r="U28" s="2" t="s">
        <v>33</v>
      </c>
      <c r="V28" s="8" t="s">
        <v>34</v>
      </c>
      <c r="W28" s="2">
        <v>8000</v>
      </c>
      <c r="X28" s="9" t="s">
        <v>35</v>
      </c>
      <c r="Y28" s="10" t="s">
        <v>36</v>
      </c>
    </row>
    <row r="29" spans="1:25" ht="15" customHeight="1" x14ac:dyDescent="0.35">
      <c r="A29" s="2">
        <v>4855838</v>
      </c>
      <c r="B29" s="2" t="s">
        <v>33</v>
      </c>
      <c r="C29" s="3">
        <v>44621</v>
      </c>
      <c r="D29" s="3">
        <v>44707</v>
      </c>
      <c r="E29" s="2" t="s">
        <v>50</v>
      </c>
      <c r="F29" s="2" t="s">
        <v>51</v>
      </c>
      <c r="G29" s="2" t="s">
        <v>60</v>
      </c>
      <c r="H29" s="3">
        <v>44567</v>
      </c>
      <c r="I29" s="3">
        <v>44816</v>
      </c>
      <c r="J29" s="2">
        <v>3057100</v>
      </c>
      <c r="K29" s="2" t="s">
        <v>110</v>
      </c>
      <c r="L29" s="2" t="s">
        <v>75</v>
      </c>
      <c r="M29" s="2">
        <v>4.5999999999999996</v>
      </c>
      <c r="N29" s="2" t="s">
        <v>32</v>
      </c>
      <c r="O29" s="5">
        <v>500000</v>
      </c>
      <c r="P29" s="5" t="s">
        <v>33</v>
      </c>
      <c r="Q29" s="2" t="s">
        <v>33</v>
      </c>
      <c r="R29" s="6">
        <f t="shared" si="0"/>
        <v>28.999999999999996</v>
      </c>
      <c r="S29" s="2">
        <v>645000</v>
      </c>
      <c r="T29" s="2" t="s">
        <v>33</v>
      </c>
      <c r="U29" s="2" t="s">
        <v>33</v>
      </c>
      <c r="V29" s="8" t="s">
        <v>48</v>
      </c>
      <c r="W29" s="2">
        <v>26250</v>
      </c>
      <c r="X29" s="9" t="s">
        <v>35</v>
      </c>
      <c r="Y29" s="10" t="s">
        <v>36</v>
      </c>
    </row>
    <row r="30" spans="1:25" ht="15" customHeight="1" x14ac:dyDescent="0.35">
      <c r="A30" s="2">
        <v>4842434</v>
      </c>
      <c r="B30" s="2" t="s">
        <v>25</v>
      </c>
      <c r="C30" s="3">
        <v>44634</v>
      </c>
      <c r="D30" s="3">
        <v>44634</v>
      </c>
      <c r="E30" s="2" t="s">
        <v>26</v>
      </c>
      <c r="F30" s="2" t="s">
        <v>84</v>
      </c>
      <c r="G30" s="2" t="s">
        <v>37</v>
      </c>
      <c r="H30" s="3">
        <v>44704</v>
      </c>
      <c r="I30" s="3">
        <v>44816</v>
      </c>
      <c r="J30" s="2">
        <v>3056301</v>
      </c>
      <c r="K30" s="2" t="s">
        <v>111</v>
      </c>
      <c r="L30" s="2" t="s">
        <v>81</v>
      </c>
      <c r="M30" s="2">
        <v>5</v>
      </c>
      <c r="N30" s="2" t="s">
        <v>39</v>
      </c>
      <c r="O30" s="2">
        <v>833820</v>
      </c>
      <c r="P30" s="2" t="s">
        <v>33</v>
      </c>
      <c r="Q30" s="2" t="s">
        <v>33</v>
      </c>
      <c r="R30" s="6">
        <f t="shared" si="0"/>
        <v>24.738672615192726</v>
      </c>
      <c r="S30" s="2">
        <v>1040096</v>
      </c>
      <c r="T30" s="2" t="s">
        <v>33</v>
      </c>
      <c r="U30" s="2">
        <v>1.19</v>
      </c>
      <c r="V30" s="8" t="s">
        <v>48</v>
      </c>
      <c r="W30" s="2">
        <v>52500</v>
      </c>
      <c r="X30" s="9" t="s">
        <v>35</v>
      </c>
      <c r="Y30" s="10" t="s">
        <v>36</v>
      </c>
    </row>
    <row r="31" spans="1:25" ht="15" customHeight="1" x14ac:dyDescent="0.35">
      <c r="A31" s="2" t="s">
        <v>103</v>
      </c>
      <c r="B31" s="2" t="s">
        <v>33</v>
      </c>
      <c r="C31" s="3">
        <v>44691</v>
      </c>
      <c r="D31" s="3">
        <v>44700</v>
      </c>
      <c r="E31" s="2" t="s">
        <v>50</v>
      </c>
      <c r="F31" s="2" t="s">
        <v>59</v>
      </c>
      <c r="G31" s="2" t="s">
        <v>104</v>
      </c>
      <c r="H31" s="3">
        <v>44904</v>
      </c>
      <c r="I31" s="3">
        <v>44823</v>
      </c>
      <c r="J31" s="2">
        <v>7005108</v>
      </c>
      <c r="K31" s="2" t="s">
        <v>112</v>
      </c>
      <c r="L31" s="2" t="s">
        <v>113</v>
      </c>
      <c r="M31" s="2" t="s">
        <v>33</v>
      </c>
      <c r="N31" s="2" t="s">
        <v>39</v>
      </c>
      <c r="O31" s="5" t="e">
        <v>#N/A</v>
      </c>
      <c r="P31" s="5" t="s">
        <v>33</v>
      </c>
      <c r="Q31" s="2" t="s">
        <v>33</v>
      </c>
      <c r="R31" s="6" t="e">
        <f t="shared" si="0"/>
        <v>#N/A</v>
      </c>
      <c r="S31" s="2">
        <v>4850000</v>
      </c>
      <c r="T31" s="2" t="s">
        <v>33</v>
      </c>
      <c r="U31" s="2" t="s">
        <v>33</v>
      </c>
      <c r="V31" s="8" t="s">
        <v>34</v>
      </c>
      <c r="W31" s="2">
        <v>8000</v>
      </c>
      <c r="X31" s="9" t="s">
        <v>35</v>
      </c>
      <c r="Y31" s="10" t="s">
        <v>36</v>
      </c>
    </row>
    <row r="32" spans="1:25" ht="15" customHeight="1" x14ac:dyDescent="0.35">
      <c r="A32" s="2">
        <v>4856255</v>
      </c>
      <c r="B32" s="2" t="s">
        <v>33</v>
      </c>
      <c r="C32" s="3">
        <v>44621</v>
      </c>
      <c r="D32" s="3">
        <v>44713</v>
      </c>
      <c r="E32" s="2" t="s">
        <v>50</v>
      </c>
      <c r="F32" s="2" t="s">
        <v>114</v>
      </c>
      <c r="G32" s="2" t="s">
        <v>52</v>
      </c>
      <c r="H32" s="3">
        <v>44733</v>
      </c>
      <c r="I32" s="3">
        <v>44823</v>
      </c>
      <c r="J32" s="2">
        <v>3057849</v>
      </c>
      <c r="K32" s="2" t="s">
        <v>115</v>
      </c>
      <c r="L32" s="2" t="s">
        <v>75</v>
      </c>
      <c r="M32" s="2">
        <v>10</v>
      </c>
      <c r="N32" s="2" t="s">
        <v>32</v>
      </c>
      <c r="O32" s="5">
        <v>1050000</v>
      </c>
      <c r="P32" s="5" t="s">
        <v>33</v>
      </c>
      <c r="Q32" s="2" t="s">
        <v>33</v>
      </c>
      <c r="R32" s="6">
        <f t="shared" si="0"/>
        <v>52.380952380952387</v>
      </c>
      <c r="S32" s="2">
        <v>1600000</v>
      </c>
      <c r="T32" s="2" t="s">
        <v>33</v>
      </c>
      <c r="U32" s="2" t="s">
        <v>33</v>
      </c>
      <c r="V32" s="8" t="s">
        <v>34</v>
      </c>
      <c r="W32" s="2">
        <v>8000</v>
      </c>
      <c r="X32" s="9" t="s">
        <v>35</v>
      </c>
      <c r="Y32" s="10" t="s">
        <v>36</v>
      </c>
    </row>
    <row r="33" spans="1:25" ht="15" customHeight="1" x14ac:dyDescent="0.35">
      <c r="A33" s="2">
        <v>4862141</v>
      </c>
      <c r="B33" s="2" t="s">
        <v>40</v>
      </c>
      <c r="C33" s="3">
        <v>44778</v>
      </c>
      <c r="D33" s="3">
        <v>44778</v>
      </c>
      <c r="E33" s="2" t="s">
        <v>26</v>
      </c>
      <c r="F33" s="2" t="s">
        <v>27</v>
      </c>
      <c r="G33" s="2" t="s">
        <v>116</v>
      </c>
      <c r="H33" s="3">
        <v>44810</v>
      </c>
      <c r="I33" s="3">
        <v>44824</v>
      </c>
      <c r="J33" s="2">
        <v>3059770</v>
      </c>
      <c r="K33" s="2" t="s">
        <v>117</v>
      </c>
      <c r="L33" s="2" t="s">
        <v>30</v>
      </c>
      <c r="M33" s="2" t="s">
        <v>31</v>
      </c>
      <c r="N33" s="2" t="s">
        <v>32</v>
      </c>
      <c r="O33" s="5" t="e">
        <v>#N/A</v>
      </c>
      <c r="P33" s="2" t="s">
        <v>33</v>
      </c>
      <c r="Q33" s="2" t="s">
        <v>33</v>
      </c>
      <c r="R33" s="6" t="e">
        <f t="shared" si="0"/>
        <v>#N/A</v>
      </c>
      <c r="S33" s="2">
        <v>351300</v>
      </c>
      <c r="T33" s="2" t="s">
        <v>33</v>
      </c>
      <c r="U33" s="2">
        <v>0.75</v>
      </c>
      <c r="V33" s="8" t="s">
        <v>48</v>
      </c>
      <c r="W33" s="2">
        <v>14000</v>
      </c>
      <c r="X33" s="9" t="s">
        <v>35</v>
      </c>
      <c r="Y33" s="10" t="s">
        <v>118</v>
      </c>
    </row>
    <row r="34" spans="1:25" ht="15" customHeight="1" x14ac:dyDescent="0.35">
      <c r="A34" s="2">
        <v>4862142</v>
      </c>
      <c r="B34" s="2" t="s">
        <v>40</v>
      </c>
      <c r="C34" s="3">
        <v>44778</v>
      </c>
      <c r="D34" s="3">
        <v>44778</v>
      </c>
      <c r="E34" s="2" t="s">
        <v>26</v>
      </c>
      <c r="F34" s="2" t="s">
        <v>27</v>
      </c>
      <c r="G34" s="2" t="s">
        <v>116</v>
      </c>
      <c r="H34" s="3">
        <v>44810</v>
      </c>
      <c r="I34" s="3">
        <v>44824</v>
      </c>
      <c r="J34" s="2">
        <v>3059691</v>
      </c>
      <c r="K34" s="2" t="s">
        <v>119</v>
      </c>
      <c r="L34" s="2" t="s">
        <v>30</v>
      </c>
      <c r="M34" s="2" t="s">
        <v>31</v>
      </c>
      <c r="N34" s="2" t="s">
        <v>39</v>
      </c>
      <c r="O34" s="5" t="e">
        <v>#N/A</v>
      </c>
      <c r="P34" s="2" t="s">
        <v>33</v>
      </c>
      <c r="Q34" s="2" t="s">
        <v>33</v>
      </c>
      <c r="R34" s="6" t="e">
        <f t="shared" si="0"/>
        <v>#N/A</v>
      </c>
      <c r="S34" s="2">
        <v>351300</v>
      </c>
      <c r="T34" s="2" t="s">
        <v>33</v>
      </c>
      <c r="U34" s="2">
        <v>0.75</v>
      </c>
      <c r="V34" s="8" t="s">
        <v>48</v>
      </c>
      <c r="W34" s="2">
        <v>14000</v>
      </c>
      <c r="X34" s="9" t="s">
        <v>35</v>
      </c>
      <c r="Y34" s="10" t="s">
        <v>118</v>
      </c>
    </row>
    <row r="35" spans="1:25" ht="15" customHeight="1" x14ac:dyDescent="0.35">
      <c r="A35" s="2">
        <v>4853712</v>
      </c>
      <c r="B35" s="2" t="s">
        <v>25</v>
      </c>
      <c r="C35" s="3">
        <v>44706</v>
      </c>
      <c r="D35" s="3">
        <v>44706</v>
      </c>
      <c r="E35" s="2" t="s">
        <v>26</v>
      </c>
      <c r="F35" s="2" t="s">
        <v>120</v>
      </c>
      <c r="G35" s="2" t="s">
        <v>121</v>
      </c>
      <c r="H35" s="3">
        <v>44722</v>
      </c>
      <c r="I35" s="3">
        <v>44830</v>
      </c>
      <c r="J35" s="2">
        <v>3057961</v>
      </c>
      <c r="K35" s="2" t="s">
        <v>122</v>
      </c>
      <c r="L35" s="2" t="s">
        <v>123</v>
      </c>
      <c r="M35" s="2">
        <v>13</v>
      </c>
      <c r="N35" s="2" t="s">
        <v>32</v>
      </c>
      <c r="O35" s="2">
        <v>1985324</v>
      </c>
      <c r="P35" s="2" t="s">
        <v>33</v>
      </c>
      <c r="Q35" s="2" t="s">
        <v>33</v>
      </c>
      <c r="R35" s="6">
        <f t="shared" si="0"/>
        <v>29.999889186853128</v>
      </c>
      <c r="S35" s="2">
        <v>2580919</v>
      </c>
      <c r="T35" s="2" t="s">
        <v>33</v>
      </c>
      <c r="U35" s="2">
        <v>1.1499999999999999</v>
      </c>
      <c r="V35" s="8" t="s">
        <v>48</v>
      </c>
      <c r="W35" s="2">
        <v>94500</v>
      </c>
      <c r="X35" s="9" t="s">
        <v>35</v>
      </c>
      <c r="Y35" s="10" t="s">
        <v>118</v>
      </c>
    </row>
    <row r="36" spans="1:25" ht="15" customHeight="1" x14ac:dyDescent="0.35">
      <c r="A36" s="2">
        <v>4856162</v>
      </c>
      <c r="B36" s="2" t="s">
        <v>33</v>
      </c>
      <c r="C36" s="3">
        <v>44621</v>
      </c>
      <c r="D36" s="3">
        <v>44712</v>
      </c>
      <c r="E36" s="2" t="s">
        <v>50</v>
      </c>
      <c r="F36" s="2" t="s">
        <v>68</v>
      </c>
      <c r="G36" s="2" t="s">
        <v>124</v>
      </c>
      <c r="H36" s="3">
        <v>44735</v>
      </c>
      <c r="I36" s="3">
        <v>44833</v>
      </c>
      <c r="J36" s="2">
        <v>7153678</v>
      </c>
      <c r="K36" s="2" t="s">
        <v>125</v>
      </c>
      <c r="L36" s="2" t="s">
        <v>75</v>
      </c>
      <c r="M36" s="2">
        <v>3</v>
      </c>
      <c r="N36" s="2" t="s">
        <v>32</v>
      </c>
      <c r="O36" s="5">
        <v>450000</v>
      </c>
      <c r="P36" s="5" t="s">
        <v>33</v>
      </c>
      <c r="Q36" s="2" t="s">
        <v>33</v>
      </c>
      <c r="R36" s="6">
        <f t="shared" si="0"/>
        <v>131.11111111111111</v>
      </c>
      <c r="S36" s="2">
        <v>1040000</v>
      </c>
      <c r="T36" s="2" t="s">
        <v>33</v>
      </c>
      <c r="U36" s="2" t="s">
        <v>33</v>
      </c>
      <c r="V36" s="8" t="s">
        <v>34</v>
      </c>
      <c r="W36" s="2">
        <v>8000</v>
      </c>
      <c r="X36" s="9" t="s">
        <v>35</v>
      </c>
      <c r="Y36" s="10" t="s">
        <v>36</v>
      </c>
    </row>
    <row r="37" spans="1:25" ht="15" customHeight="1" x14ac:dyDescent="0.35">
      <c r="A37" s="2">
        <v>4843615</v>
      </c>
      <c r="B37" s="2" t="s">
        <v>40</v>
      </c>
      <c r="C37" s="3">
        <v>44644</v>
      </c>
      <c r="D37" s="3">
        <v>44644</v>
      </c>
      <c r="E37" s="2" t="s">
        <v>26</v>
      </c>
      <c r="F37" s="2" t="s">
        <v>126</v>
      </c>
      <c r="G37" s="2" t="s">
        <v>101</v>
      </c>
      <c r="H37" s="3">
        <v>44741</v>
      </c>
      <c r="I37" s="3">
        <v>44833</v>
      </c>
      <c r="J37" s="2">
        <v>3058614</v>
      </c>
      <c r="K37" s="2" t="s">
        <v>127</v>
      </c>
      <c r="L37" s="2" t="s">
        <v>123</v>
      </c>
      <c r="M37" s="2">
        <v>11.1</v>
      </c>
      <c r="N37" s="2" t="s">
        <v>32</v>
      </c>
      <c r="O37" s="2" t="s">
        <v>33</v>
      </c>
      <c r="P37" s="2" t="s">
        <v>33</v>
      </c>
      <c r="Q37" s="2" t="s">
        <v>33</v>
      </c>
      <c r="R37" s="6" t="e">
        <f t="shared" si="0"/>
        <v>#VALUE!</v>
      </c>
      <c r="S37" s="2" t="s">
        <v>33</v>
      </c>
      <c r="T37" s="2" t="s">
        <v>33</v>
      </c>
      <c r="U37" s="2" t="s">
        <v>33</v>
      </c>
      <c r="V37" s="8" t="s">
        <v>34</v>
      </c>
      <c r="W37" s="2">
        <v>8000</v>
      </c>
      <c r="X37" s="9" t="s">
        <v>35</v>
      </c>
      <c r="Y37" s="10" t="s">
        <v>118</v>
      </c>
    </row>
    <row r="38" spans="1:25" ht="15" customHeight="1" x14ac:dyDescent="0.35">
      <c r="A38" s="2">
        <v>4842849</v>
      </c>
      <c r="B38" s="2" t="s">
        <v>33</v>
      </c>
      <c r="C38" s="3">
        <v>44621</v>
      </c>
      <c r="D38" s="3">
        <v>44637</v>
      </c>
      <c r="E38" s="2" t="s">
        <v>50</v>
      </c>
      <c r="F38" s="2" t="s">
        <v>59</v>
      </c>
      <c r="G38" s="2" t="s">
        <v>73</v>
      </c>
      <c r="H38" s="3">
        <v>44679</v>
      </c>
      <c r="I38" s="3">
        <v>44834</v>
      </c>
      <c r="J38" s="2">
        <v>3055713</v>
      </c>
      <c r="K38" s="5" t="s">
        <v>128</v>
      </c>
      <c r="L38" s="2" t="s">
        <v>81</v>
      </c>
      <c r="M38" s="2">
        <v>7.8</v>
      </c>
      <c r="N38" s="2" t="s">
        <v>39</v>
      </c>
      <c r="O38" s="5">
        <v>1650000</v>
      </c>
      <c r="P38" s="5" t="s">
        <v>33</v>
      </c>
      <c r="Q38" s="2" t="s">
        <v>33</v>
      </c>
      <c r="R38" s="6">
        <f t="shared" si="0"/>
        <v>40.705515151515151</v>
      </c>
      <c r="S38" s="2">
        <v>2321641</v>
      </c>
      <c r="T38" s="2" t="s">
        <v>33</v>
      </c>
      <c r="U38" s="2" t="s">
        <v>33</v>
      </c>
      <c r="V38" s="8" t="s">
        <v>34</v>
      </c>
      <c r="W38" s="2">
        <v>94500</v>
      </c>
      <c r="X38" s="9" t="s">
        <v>35</v>
      </c>
      <c r="Y38" s="10" t="s">
        <v>36</v>
      </c>
    </row>
    <row r="39" spans="1:25" ht="15" customHeight="1" x14ac:dyDescent="0.35">
      <c r="A39" s="2">
        <v>4856254</v>
      </c>
      <c r="B39" s="2" t="s">
        <v>33</v>
      </c>
      <c r="C39" s="3">
        <v>44621</v>
      </c>
      <c r="D39" s="3">
        <v>44713</v>
      </c>
      <c r="E39" s="2" t="s">
        <v>50</v>
      </c>
      <c r="F39" s="2" t="s">
        <v>114</v>
      </c>
      <c r="G39" s="2" t="s">
        <v>129</v>
      </c>
      <c r="H39" s="3">
        <v>44734</v>
      </c>
      <c r="I39" s="3">
        <v>44834</v>
      </c>
      <c r="J39" s="2">
        <v>3014420</v>
      </c>
      <c r="K39" s="2" t="s">
        <v>130</v>
      </c>
      <c r="L39" s="2" t="s">
        <v>131</v>
      </c>
      <c r="M39" s="2">
        <v>8.5</v>
      </c>
      <c r="N39" s="2" t="s">
        <v>32</v>
      </c>
      <c r="O39" s="5">
        <v>1912000</v>
      </c>
      <c r="P39" s="5" t="s">
        <v>33</v>
      </c>
      <c r="Q39" s="2" t="s">
        <v>33</v>
      </c>
      <c r="R39" s="6">
        <f t="shared" si="0"/>
        <v>1.9874476987447698</v>
      </c>
      <c r="S39" s="2">
        <v>1950000</v>
      </c>
      <c r="T39" s="2" t="s">
        <v>33</v>
      </c>
      <c r="U39" s="2" t="s">
        <v>33</v>
      </c>
      <c r="V39" s="8" t="s">
        <v>34</v>
      </c>
      <c r="W39" s="2">
        <v>8000</v>
      </c>
      <c r="X39" s="9" t="s">
        <v>35</v>
      </c>
      <c r="Y39" s="10" t="s">
        <v>36</v>
      </c>
    </row>
    <row r="40" spans="1:25" ht="15" customHeight="1" x14ac:dyDescent="0.35">
      <c r="A40" s="2">
        <v>4853624</v>
      </c>
      <c r="B40" s="2" t="s">
        <v>33</v>
      </c>
      <c r="C40" s="3">
        <v>44691</v>
      </c>
      <c r="D40" s="3">
        <v>44690</v>
      </c>
      <c r="E40" s="2" t="s">
        <v>50</v>
      </c>
      <c r="F40" s="2" t="s">
        <v>108</v>
      </c>
      <c r="G40" s="2" t="s">
        <v>104</v>
      </c>
      <c r="H40" s="3">
        <v>44740</v>
      </c>
      <c r="I40" s="3">
        <v>44837</v>
      </c>
      <c r="J40" s="2">
        <v>3058248</v>
      </c>
      <c r="K40" s="2" t="s">
        <v>129</v>
      </c>
      <c r="L40" s="2" t="s">
        <v>132</v>
      </c>
      <c r="M40" s="2">
        <v>16</v>
      </c>
      <c r="N40" s="2" t="s">
        <v>39</v>
      </c>
      <c r="O40" s="5">
        <v>3000000</v>
      </c>
      <c r="P40" s="5" t="s">
        <v>33</v>
      </c>
      <c r="Q40" s="2" t="s">
        <v>33</v>
      </c>
      <c r="R40" s="6">
        <f t="shared" si="0"/>
        <v>43.333333333333336</v>
      </c>
      <c r="S40" s="2">
        <v>4300000</v>
      </c>
      <c r="T40" s="2" t="s">
        <v>33</v>
      </c>
      <c r="U40" s="2" t="s">
        <v>33</v>
      </c>
      <c r="V40" s="8" t="s">
        <v>34</v>
      </c>
      <c r="W40" s="2">
        <v>8000</v>
      </c>
      <c r="X40" s="9" t="s">
        <v>35</v>
      </c>
      <c r="Y40" s="10" t="s">
        <v>36</v>
      </c>
    </row>
    <row r="41" spans="1:25" ht="15" customHeight="1" x14ac:dyDescent="0.35">
      <c r="A41" s="2">
        <v>4840075</v>
      </c>
      <c r="B41" s="2" t="s">
        <v>25</v>
      </c>
      <c r="C41" s="3">
        <v>44608</v>
      </c>
      <c r="D41" s="3">
        <v>44608</v>
      </c>
      <c r="E41" s="2" t="s">
        <v>26</v>
      </c>
      <c r="F41" s="2" t="s">
        <v>27</v>
      </c>
      <c r="G41" s="2" t="s">
        <v>64</v>
      </c>
      <c r="H41" s="3">
        <v>44823</v>
      </c>
      <c r="I41" s="3">
        <v>44837</v>
      </c>
      <c r="J41" s="2">
        <v>3060018</v>
      </c>
      <c r="K41" s="2" t="s">
        <v>133</v>
      </c>
      <c r="L41" s="2" t="s">
        <v>30</v>
      </c>
      <c r="M41" s="2" t="s">
        <v>31</v>
      </c>
      <c r="N41" s="5" t="s">
        <v>39</v>
      </c>
      <c r="O41" s="5" t="e">
        <v>#N/A</v>
      </c>
      <c r="P41" s="2" t="s">
        <v>33</v>
      </c>
      <c r="Q41" s="2" t="s">
        <v>33</v>
      </c>
      <c r="R41" s="6" t="e">
        <f t="shared" si="0"/>
        <v>#N/A</v>
      </c>
      <c r="S41" s="2">
        <v>351300</v>
      </c>
      <c r="T41" s="2" t="s">
        <v>33</v>
      </c>
      <c r="U41" s="2">
        <v>0.75</v>
      </c>
      <c r="V41" s="8" t="s">
        <v>34</v>
      </c>
      <c r="W41" s="2">
        <v>8000</v>
      </c>
      <c r="X41" s="9" t="s">
        <v>35</v>
      </c>
      <c r="Y41" s="10" t="s">
        <v>118</v>
      </c>
    </row>
    <row r="42" spans="1:25" ht="15" customHeight="1" x14ac:dyDescent="0.35">
      <c r="A42" s="2">
        <v>4833230</v>
      </c>
      <c r="B42" s="2" t="s">
        <v>25</v>
      </c>
      <c r="C42" s="3">
        <v>44630</v>
      </c>
      <c r="D42" s="3">
        <v>44538</v>
      </c>
      <c r="E42" s="2" t="s">
        <v>26</v>
      </c>
      <c r="F42" s="2" t="s">
        <v>27</v>
      </c>
      <c r="G42" s="2" t="s">
        <v>134</v>
      </c>
      <c r="H42" s="3">
        <v>44810</v>
      </c>
      <c r="I42" s="3">
        <v>44844</v>
      </c>
      <c r="J42" s="2">
        <v>3059688</v>
      </c>
      <c r="K42" s="2" t="s">
        <v>135</v>
      </c>
      <c r="L42" s="2" t="s">
        <v>30</v>
      </c>
      <c r="M42" s="2" t="s">
        <v>31</v>
      </c>
      <c r="N42" s="5" t="s">
        <v>39</v>
      </c>
      <c r="O42" s="5" t="e">
        <v>#N/A</v>
      </c>
      <c r="P42" s="2" t="s">
        <v>33</v>
      </c>
      <c r="Q42" s="2" t="s">
        <v>33</v>
      </c>
      <c r="R42" s="6" t="e">
        <f t="shared" si="0"/>
        <v>#N/A</v>
      </c>
      <c r="S42" s="2">
        <v>351300</v>
      </c>
      <c r="T42" s="2" t="s">
        <v>33</v>
      </c>
      <c r="U42" s="2">
        <v>0.75</v>
      </c>
      <c r="V42" s="8" t="s">
        <v>34</v>
      </c>
      <c r="W42" s="2">
        <v>8000</v>
      </c>
      <c r="X42" s="9" t="s">
        <v>35</v>
      </c>
      <c r="Y42" s="10" t="s">
        <v>118</v>
      </c>
    </row>
    <row r="43" spans="1:25" ht="15" customHeight="1" x14ac:dyDescent="0.35">
      <c r="A43" s="2">
        <v>4858080</v>
      </c>
      <c r="B43" s="2" t="s">
        <v>33</v>
      </c>
      <c r="C43" s="3">
        <v>44691</v>
      </c>
      <c r="D43" s="3">
        <v>44734</v>
      </c>
      <c r="E43" s="2" t="s">
        <v>50</v>
      </c>
      <c r="F43" s="2" t="s">
        <v>51</v>
      </c>
      <c r="G43" s="2" t="s">
        <v>76</v>
      </c>
      <c r="H43" s="3">
        <v>44749</v>
      </c>
      <c r="I43" s="3">
        <v>44851</v>
      </c>
      <c r="J43" s="2">
        <v>3058245</v>
      </c>
      <c r="K43" s="5" t="s">
        <v>136</v>
      </c>
      <c r="L43" s="12" t="s">
        <v>99</v>
      </c>
      <c r="M43" s="2">
        <v>1.2</v>
      </c>
      <c r="N43" s="2" t="s">
        <v>32</v>
      </c>
      <c r="O43" s="5">
        <v>360000</v>
      </c>
      <c r="P43" s="5" t="s">
        <v>33</v>
      </c>
      <c r="Q43" s="2" t="s">
        <v>33</v>
      </c>
      <c r="R43" s="6">
        <f t="shared" si="0"/>
        <v>72.222222222222214</v>
      </c>
      <c r="S43" s="2">
        <v>620000</v>
      </c>
      <c r="T43" s="2" t="s">
        <v>33</v>
      </c>
      <c r="U43" s="2" t="s">
        <v>33</v>
      </c>
      <c r="V43" s="8" t="s">
        <v>48</v>
      </c>
      <c r="W43" s="2">
        <v>26250</v>
      </c>
      <c r="X43" s="9" t="s">
        <v>35</v>
      </c>
      <c r="Y43" s="10" t="s">
        <v>36</v>
      </c>
    </row>
    <row r="44" spans="1:25" ht="15" customHeight="1" x14ac:dyDescent="0.35">
      <c r="A44" s="2">
        <v>4856151</v>
      </c>
      <c r="B44" s="2" t="s">
        <v>33</v>
      </c>
      <c r="C44" s="3">
        <v>44621</v>
      </c>
      <c r="D44" s="3">
        <v>44712</v>
      </c>
      <c r="E44" s="2" t="s">
        <v>50</v>
      </c>
      <c r="F44" s="2" t="s">
        <v>51</v>
      </c>
      <c r="G44" s="2" t="s">
        <v>76</v>
      </c>
      <c r="H44" s="3">
        <v>44658</v>
      </c>
      <c r="I44" s="3">
        <v>44851</v>
      </c>
      <c r="J44" s="2">
        <v>3058358</v>
      </c>
      <c r="K44" s="2" t="s">
        <v>137</v>
      </c>
      <c r="L44" s="2" t="s">
        <v>75</v>
      </c>
      <c r="M44" s="2">
        <v>3</v>
      </c>
      <c r="N44" s="2" t="s">
        <v>39</v>
      </c>
      <c r="O44" s="5" t="e">
        <v>#N/A</v>
      </c>
      <c r="P44" s="5" t="s">
        <v>33</v>
      </c>
      <c r="Q44" s="2" t="s">
        <v>33</v>
      </c>
      <c r="R44" s="6" t="e">
        <f t="shared" si="0"/>
        <v>#N/A</v>
      </c>
      <c r="S44" s="2">
        <v>650000</v>
      </c>
      <c r="T44" s="2" t="s">
        <v>33</v>
      </c>
      <c r="U44" s="2" t="s">
        <v>33</v>
      </c>
      <c r="V44" s="8" t="s">
        <v>48</v>
      </c>
      <c r="W44" s="2">
        <v>26250</v>
      </c>
      <c r="X44" s="9" t="s">
        <v>35</v>
      </c>
      <c r="Y44" s="10" t="s">
        <v>36</v>
      </c>
    </row>
    <row r="45" spans="1:25" ht="15" customHeight="1" x14ac:dyDescent="0.35">
      <c r="A45" s="2">
        <v>4858079</v>
      </c>
      <c r="B45" s="2" t="s">
        <v>33</v>
      </c>
      <c r="C45" s="3">
        <v>44691</v>
      </c>
      <c r="D45" s="3">
        <v>44734</v>
      </c>
      <c r="E45" s="2" t="s">
        <v>50</v>
      </c>
      <c r="F45" s="2" t="s">
        <v>51</v>
      </c>
      <c r="G45" s="2" t="s">
        <v>76</v>
      </c>
      <c r="H45" s="3">
        <v>44749</v>
      </c>
      <c r="I45" s="3">
        <v>44851</v>
      </c>
      <c r="J45" s="2">
        <v>3059020</v>
      </c>
      <c r="K45" s="2" t="s">
        <v>138</v>
      </c>
      <c r="L45" s="2" t="s">
        <v>75</v>
      </c>
      <c r="M45" s="2">
        <v>2.5</v>
      </c>
      <c r="N45" s="2" t="s">
        <v>39</v>
      </c>
      <c r="O45" s="5">
        <v>390000</v>
      </c>
      <c r="P45" s="5" t="s">
        <v>33</v>
      </c>
      <c r="Q45" s="2" t="s">
        <v>33</v>
      </c>
      <c r="R45" s="6">
        <f t="shared" si="0"/>
        <v>79.487179487179489</v>
      </c>
      <c r="S45" s="2">
        <v>700000</v>
      </c>
      <c r="T45" s="2" t="s">
        <v>33</v>
      </c>
      <c r="U45" s="2" t="s">
        <v>33</v>
      </c>
      <c r="V45" s="8" t="s">
        <v>48</v>
      </c>
      <c r="W45" s="2">
        <v>26250</v>
      </c>
      <c r="X45" s="9" t="s">
        <v>35</v>
      </c>
      <c r="Y45" s="10" t="s">
        <v>36</v>
      </c>
    </row>
    <row r="46" spans="1:25" ht="15" customHeight="1" x14ac:dyDescent="0.35">
      <c r="A46" s="2">
        <v>4865889</v>
      </c>
      <c r="B46" s="2" t="s">
        <v>25</v>
      </c>
      <c r="C46" s="3">
        <v>44830</v>
      </c>
      <c r="D46" s="3">
        <v>44830</v>
      </c>
      <c r="E46" s="2" t="s">
        <v>26</v>
      </c>
      <c r="F46" s="2" t="s">
        <v>139</v>
      </c>
      <c r="G46" s="2" t="s">
        <v>121</v>
      </c>
      <c r="H46" s="3">
        <v>44846</v>
      </c>
      <c r="I46" s="3">
        <v>44851</v>
      </c>
      <c r="J46" s="2">
        <v>3060600</v>
      </c>
      <c r="K46" s="2" t="s">
        <v>140</v>
      </c>
      <c r="L46" s="2" t="s">
        <v>123</v>
      </c>
      <c r="M46" s="2">
        <v>12</v>
      </c>
      <c r="N46" s="2" t="s">
        <v>32</v>
      </c>
      <c r="O46" s="2">
        <v>910000</v>
      </c>
      <c r="P46" s="2" t="s">
        <v>33</v>
      </c>
      <c r="Q46" s="2" t="s">
        <v>33</v>
      </c>
      <c r="R46" s="6">
        <f t="shared" si="0"/>
        <v>19.548791208791208</v>
      </c>
      <c r="S46" s="2">
        <v>1087894</v>
      </c>
      <c r="T46" s="2" t="s">
        <v>33</v>
      </c>
      <c r="U46" s="2" t="s">
        <v>33</v>
      </c>
      <c r="V46" s="8" t="s">
        <v>34</v>
      </c>
      <c r="W46" s="2">
        <v>8000</v>
      </c>
      <c r="X46" s="9" t="s">
        <v>35</v>
      </c>
      <c r="Y46" s="10" t="s">
        <v>118</v>
      </c>
    </row>
    <row r="47" spans="1:25" ht="15" customHeight="1" x14ac:dyDescent="0.35">
      <c r="A47" s="2">
        <v>4866327</v>
      </c>
      <c r="B47" s="2" t="s">
        <v>25</v>
      </c>
      <c r="C47" s="3">
        <v>44834</v>
      </c>
      <c r="D47" s="3">
        <v>44834</v>
      </c>
      <c r="E47" s="2" t="s">
        <v>26</v>
      </c>
      <c r="F47" s="2" t="s">
        <v>100</v>
      </c>
      <c r="G47" s="2" t="s">
        <v>101</v>
      </c>
      <c r="H47" s="3">
        <v>44844</v>
      </c>
      <c r="I47" s="3">
        <v>44851</v>
      </c>
      <c r="J47" s="2">
        <v>3060599</v>
      </c>
      <c r="K47" s="2" t="s">
        <v>141</v>
      </c>
      <c r="L47" s="2" t="s">
        <v>142</v>
      </c>
      <c r="M47" s="2" t="s">
        <v>31</v>
      </c>
      <c r="N47" s="2" t="s">
        <v>39</v>
      </c>
      <c r="O47" s="5" t="e">
        <v>#N/A</v>
      </c>
      <c r="P47" s="2" t="s">
        <v>33</v>
      </c>
      <c r="Q47" s="2" t="s">
        <v>33</v>
      </c>
      <c r="R47" s="6" t="e">
        <f t="shared" si="0"/>
        <v>#N/A</v>
      </c>
      <c r="S47" s="2">
        <v>351300</v>
      </c>
      <c r="T47" s="2" t="s">
        <v>33</v>
      </c>
      <c r="U47" s="2">
        <v>0.75</v>
      </c>
      <c r="V47" s="8" t="s">
        <v>34</v>
      </c>
      <c r="W47" s="2">
        <v>8000</v>
      </c>
      <c r="X47" s="9" t="s">
        <v>35</v>
      </c>
      <c r="Y47" s="10" t="s">
        <v>118</v>
      </c>
    </row>
    <row r="48" spans="1:25" ht="15" customHeight="1" x14ac:dyDescent="0.35">
      <c r="A48" s="2">
        <v>4860538</v>
      </c>
      <c r="B48" s="2" t="s">
        <v>25</v>
      </c>
      <c r="C48" s="3">
        <v>44757</v>
      </c>
      <c r="D48" s="3">
        <v>44757</v>
      </c>
      <c r="E48" s="2" t="s">
        <v>26</v>
      </c>
      <c r="F48" s="2" t="s">
        <v>27</v>
      </c>
      <c r="G48" s="2" t="s">
        <v>95</v>
      </c>
      <c r="H48" s="3">
        <v>44845</v>
      </c>
      <c r="I48" s="3">
        <v>44851</v>
      </c>
      <c r="J48" s="2">
        <v>3060598</v>
      </c>
      <c r="K48" s="2" t="s">
        <v>143</v>
      </c>
      <c r="L48" s="2" t="s">
        <v>142</v>
      </c>
      <c r="M48" s="2" t="s">
        <v>31</v>
      </c>
      <c r="N48" s="2" t="s">
        <v>39</v>
      </c>
      <c r="O48" s="5" t="e">
        <v>#N/A</v>
      </c>
      <c r="P48" s="2" t="s">
        <v>33</v>
      </c>
      <c r="Q48" s="2" t="s">
        <v>33</v>
      </c>
      <c r="R48" s="6" t="e">
        <f t="shared" si="0"/>
        <v>#N/A</v>
      </c>
      <c r="S48" s="2">
        <v>351300</v>
      </c>
      <c r="T48" s="2" t="s">
        <v>33</v>
      </c>
      <c r="U48" s="2">
        <v>0.75</v>
      </c>
      <c r="V48" s="8" t="s">
        <v>34</v>
      </c>
      <c r="W48" s="2">
        <v>8000</v>
      </c>
      <c r="X48" s="9" t="s">
        <v>35</v>
      </c>
      <c r="Y48" s="10" t="s">
        <v>144</v>
      </c>
    </row>
    <row r="49" spans="1:25" ht="15" customHeight="1" x14ac:dyDescent="0.35">
      <c r="A49" s="2">
        <v>4843614</v>
      </c>
      <c r="B49" s="2" t="s">
        <v>25</v>
      </c>
      <c r="C49" s="3">
        <v>44644</v>
      </c>
      <c r="D49" s="3">
        <v>44644</v>
      </c>
      <c r="E49" s="2" t="s">
        <v>26</v>
      </c>
      <c r="F49" s="2" t="s">
        <v>100</v>
      </c>
      <c r="G49" s="2" t="s">
        <v>101</v>
      </c>
      <c r="H49" s="3">
        <v>44841</v>
      </c>
      <c r="I49" s="3">
        <v>44851</v>
      </c>
      <c r="J49" s="2">
        <v>3060516</v>
      </c>
      <c r="K49" s="2" t="s">
        <v>145</v>
      </c>
      <c r="L49" s="2" t="s">
        <v>142</v>
      </c>
      <c r="M49" s="2" t="s">
        <v>31</v>
      </c>
      <c r="N49" s="2" t="s">
        <v>39</v>
      </c>
      <c r="O49" s="5" t="e">
        <v>#N/A</v>
      </c>
      <c r="P49" s="2" t="s">
        <v>33</v>
      </c>
      <c r="Q49" s="2" t="s">
        <v>33</v>
      </c>
      <c r="R49" s="6" t="e">
        <f t="shared" si="0"/>
        <v>#N/A</v>
      </c>
      <c r="S49" s="2">
        <v>351300</v>
      </c>
      <c r="T49" s="2" t="s">
        <v>33</v>
      </c>
      <c r="U49" s="2">
        <v>0.75</v>
      </c>
      <c r="V49" s="8" t="s">
        <v>34</v>
      </c>
      <c r="W49" s="2">
        <v>8000</v>
      </c>
      <c r="X49" s="9" t="s">
        <v>35</v>
      </c>
      <c r="Y49" s="10" t="s">
        <v>118</v>
      </c>
    </row>
    <row r="50" spans="1:25" ht="15" customHeight="1" x14ac:dyDescent="0.35">
      <c r="A50" s="2">
        <v>4858087</v>
      </c>
      <c r="B50" s="2" t="s">
        <v>33</v>
      </c>
      <c r="C50" s="3">
        <v>44691</v>
      </c>
      <c r="D50" s="3">
        <v>44734</v>
      </c>
      <c r="E50" s="2" t="s">
        <v>50</v>
      </c>
      <c r="F50" s="2" t="s">
        <v>51</v>
      </c>
      <c r="G50" s="2" t="s">
        <v>89</v>
      </c>
      <c r="H50" s="3">
        <v>44749</v>
      </c>
      <c r="I50" s="3">
        <v>44853</v>
      </c>
      <c r="J50" s="2">
        <v>3058750</v>
      </c>
      <c r="K50" s="2" t="s">
        <v>146</v>
      </c>
      <c r="L50" s="2" t="s">
        <v>147</v>
      </c>
      <c r="M50" s="2">
        <v>5</v>
      </c>
      <c r="N50" s="2" t="s">
        <v>32</v>
      </c>
      <c r="O50" s="5">
        <v>500000</v>
      </c>
      <c r="P50" s="5" t="s">
        <v>33</v>
      </c>
      <c r="Q50" s="2" t="s">
        <v>33</v>
      </c>
      <c r="R50" s="6">
        <f t="shared" si="0"/>
        <v>55.600400000000008</v>
      </c>
      <c r="S50" s="2">
        <v>778002</v>
      </c>
      <c r="T50" s="2" t="s">
        <v>33</v>
      </c>
      <c r="U50" s="2" t="s">
        <v>33</v>
      </c>
      <c r="V50" s="8" t="s">
        <v>34</v>
      </c>
      <c r="W50" s="2">
        <v>8000</v>
      </c>
      <c r="X50" s="9" t="s">
        <v>35</v>
      </c>
      <c r="Y50" s="10" t="s">
        <v>36</v>
      </c>
    </row>
    <row r="51" spans="1:25" ht="15" customHeight="1" x14ac:dyDescent="0.35">
      <c r="A51" s="2">
        <v>4858082</v>
      </c>
      <c r="B51" s="2" t="s">
        <v>33</v>
      </c>
      <c r="C51" s="3">
        <v>44736</v>
      </c>
      <c r="D51" s="3">
        <v>44734</v>
      </c>
      <c r="E51" s="2" t="s">
        <v>50</v>
      </c>
      <c r="F51" s="2" t="s">
        <v>51</v>
      </c>
      <c r="G51" s="2" t="s">
        <v>124</v>
      </c>
      <c r="H51" s="3">
        <v>44719</v>
      </c>
      <c r="I51" s="3">
        <v>44853</v>
      </c>
      <c r="J51" s="2">
        <v>3058612</v>
      </c>
      <c r="K51" s="2" t="s">
        <v>148</v>
      </c>
      <c r="L51" s="2" t="s">
        <v>75</v>
      </c>
      <c r="M51" s="2">
        <v>1.5</v>
      </c>
      <c r="N51" s="2" t="s">
        <v>32</v>
      </c>
      <c r="O51" s="5">
        <v>390000</v>
      </c>
      <c r="P51" s="5" t="s">
        <v>33</v>
      </c>
      <c r="Q51" s="2" t="s">
        <v>33</v>
      </c>
      <c r="R51" s="6">
        <f t="shared" si="0"/>
        <v>79.487179487179489</v>
      </c>
      <c r="S51" s="2">
        <v>700000</v>
      </c>
      <c r="T51" s="2" t="s">
        <v>33</v>
      </c>
      <c r="U51" s="2" t="s">
        <v>33</v>
      </c>
      <c r="V51" s="8" t="s">
        <v>48</v>
      </c>
      <c r="W51" s="2">
        <v>26250</v>
      </c>
      <c r="X51" s="9" t="s">
        <v>35</v>
      </c>
      <c r="Y51" s="10" t="s">
        <v>36</v>
      </c>
    </row>
    <row r="52" spans="1:25" ht="15" customHeight="1" x14ac:dyDescent="0.35">
      <c r="A52" s="2">
        <v>4852867</v>
      </c>
      <c r="B52" s="2" t="s">
        <v>25</v>
      </c>
      <c r="C52" s="3">
        <v>44679</v>
      </c>
      <c r="D52" s="3">
        <v>44679</v>
      </c>
      <c r="E52" s="2" t="s">
        <v>26</v>
      </c>
      <c r="F52" s="2" t="s">
        <v>149</v>
      </c>
      <c r="G52" s="2" t="s">
        <v>64</v>
      </c>
      <c r="H52" s="3">
        <v>44756</v>
      </c>
      <c r="I52" s="3">
        <v>44861</v>
      </c>
      <c r="J52" s="13">
        <v>3058551</v>
      </c>
      <c r="K52" s="2" t="s">
        <v>150</v>
      </c>
      <c r="L52" s="2" t="s">
        <v>75</v>
      </c>
      <c r="M52" s="2">
        <v>9</v>
      </c>
      <c r="N52" s="2" t="s">
        <v>32</v>
      </c>
      <c r="O52" s="2" t="s">
        <v>33</v>
      </c>
      <c r="P52" s="2" t="s">
        <v>33</v>
      </c>
      <c r="Q52" s="2" t="s">
        <v>33</v>
      </c>
      <c r="R52" s="6" t="e">
        <f t="shared" si="0"/>
        <v>#VALUE!</v>
      </c>
      <c r="S52" s="2" t="s">
        <v>33</v>
      </c>
      <c r="T52" s="2" t="s">
        <v>33</v>
      </c>
      <c r="U52" s="2" t="s">
        <v>33</v>
      </c>
      <c r="V52" s="8" t="s">
        <v>34</v>
      </c>
      <c r="W52" s="2">
        <v>8000</v>
      </c>
      <c r="X52" s="9" t="s">
        <v>35</v>
      </c>
      <c r="Y52" s="10" t="s">
        <v>118</v>
      </c>
    </row>
    <row r="53" spans="1:25" ht="15" customHeight="1" x14ac:dyDescent="0.35">
      <c r="A53" s="2">
        <v>4860540</v>
      </c>
      <c r="B53" s="2" t="s">
        <v>25</v>
      </c>
      <c r="C53" s="3">
        <v>44757</v>
      </c>
      <c r="D53" s="3">
        <v>44757</v>
      </c>
      <c r="E53" s="2" t="s">
        <v>26</v>
      </c>
      <c r="F53" s="2" t="s">
        <v>84</v>
      </c>
      <c r="G53" s="2" t="s">
        <v>116</v>
      </c>
      <c r="H53" s="3">
        <v>44850</v>
      </c>
      <c r="I53" s="3">
        <v>44861</v>
      </c>
      <c r="J53" s="4">
        <v>3060710</v>
      </c>
      <c r="K53" s="2" t="s">
        <v>151</v>
      </c>
      <c r="L53" s="2" t="s">
        <v>66</v>
      </c>
      <c r="M53" s="2">
        <v>3.6</v>
      </c>
      <c r="N53" s="2" t="s">
        <v>39</v>
      </c>
      <c r="O53" s="2">
        <v>666180</v>
      </c>
      <c r="P53" s="2" t="s">
        <v>33</v>
      </c>
      <c r="Q53" s="2" t="s">
        <v>33</v>
      </c>
      <c r="R53" s="6">
        <f t="shared" si="0"/>
        <v>32.000210153411992</v>
      </c>
      <c r="S53" s="2">
        <v>879359</v>
      </c>
      <c r="T53" s="2" t="s">
        <v>33</v>
      </c>
      <c r="U53" s="2">
        <v>1.01</v>
      </c>
      <c r="V53" s="8" t="s">
        <v>34</v>
      </c>
      <c r="W53" s="2">
        <v>8000</v>
      </c>
      <c r="X53" s="9" t="s">
        <v>35</v>
      </c>
      <c r="Y53" s="10" t="s">
        <v>118</v>
      </c>
    </row>
    <row r="54" spans="1:25" ht="15" customHeight="1" x14ac:dyDescent="0.35">
      <c r="A54" s="2">
        <v>4863285</v>
      </c>
      <c r="B54" s="2" t="s">
        <v>33</v>
      </c>
      <c r="C54" s="3">
        <v>44691</v>
      </c>
      <c r="D54" s="3">
        <v>44796</v>
      </c>
      <c r="E54" s="2" t="s">
        <v>50</v>
      </c>
      <c r="F54" s="2" t="s">
        <v>114</v>
      </c>
      <c r="G54" s="2" t="s">
        <v>76</v>
      </c>
      <c r="H54" s="3">
        <v>44721</v>
      </c>
      <c r="I54" s="3">
        <v>44872</v>
      </c>
      <c r="J54" s="2">
        <v>2076068</v>
      </c>
      <c r="K54" s="2" t="s">
        <v>152</v>
      </c>
      <c r="L54" s="2" t="s">
        <v>153</v>
      </c>
      <c r="M54" s="2">
        <v>11.5</v>
      </c>
      <c r="N54" s="2" t="s">
        <v>32</v>
      </c>
      <c r="O54" s="5">
        <v>1500000</v>
      </c>
      <c r="P54" s="5" t="s">
        <v>33</v>
      </c>
      <c r="Q54" s="2" t="s">
        <v>33</v>
      </c>
      <c r="R54" s="6">
        <f t="shared" si="0"/>
        <v>40</v>
      </c>
      <c r="S54" s="2">
        <v>2100000</v>
      </c>
      <c r="T54" s="2" t="s">
        <v>33</v>
      </c>
      <c r="U54" s="2" t="s">
        <v>33</v>
      </c>
      <c r="V54" s="8" t="s">
        <v>34</v>
      </c>
      <c r="W54" s="2">
        <v>8000</v>
      </c>
      <c r="X54" s="9" t="s">
        <v>35</v>
      </c>
      <c r="Y54" s="10" t="s">
        <v>36</v>
      </c>
    </row>
    <row r="55" spans="1:25" ht="15" customHeight="1" x14ac:dyDescent="0.35">
      <c r="A55" s="2">
        <v>4868700</v>
      </c>
      <c r="B55" s="2" t="s">
        <v>33</v>
      </c>
      <c r="C55" s="3">
        <v>44621</v>
      </c>
      <c r="D55" s="3">
        <v>44845</v>
      </c>
      <c r="E55" s="2" t="s">
        <v>50</v>
      </c>
      <c r="F55" s="2" t="s">
        <v>68</v>
      </c>
      <c r="G55" s="2" t="s">
        <v>124</v>
      </c>
      <c r="H55" s="3">
        <v>44848</v>
      </c>
      <c r="I55" s="3">
        <v>44872</v>
      </c>
      <c r="J55" s="2" t="s">
        <v>33</v>
      </c>
      <c r="K55" s="5" t="s">
        <v>154</v>
      </c>
      <c r="L55" s="2" t="s">
        <v>155</v>
      </c>
      <c r="M55" s="2">
        <v>4</v>
      </c>
      <c r="N55" s="2" t="s">
        <v>32</v>
      </c>
      <c r="O55" s="5">
        <v>800000</v>
      </c>
      <c r="P55" s="5" t="s">
        <v>33</v>
      </c>
      <c r="Q55" s="2" t="s">
        <v>33</v>
      </c>
      <c r="R55" s="6">
        <f t="shared" si="0"/>
        <v>62.5</v>
      </c>
      <c r="S55" s="2">
        <v>1300000</v>
      </c>
      <c r="T55" s="2" t="s">
        <v>33</v>
      </c>
      <c r="U55" s="2" t="s">
        <v>33</v>
      </c>
      <c r="V55" s="8" t="s">
        <v>34</v>
      </c>
      <c r="W55" s="2">
        <v>52500</v>
      </c>
      <c r="X55" s="9" t="s">
        <v>35</v>
      </c>
      <c r="Y55" s="10" t="s">
        <v>36</v>
      </c>
    </row>
    <row r="56" spans="1:25" ht="15" customHeight="1" x14ac:dyDescent="0.35">
      <c r="A56" s="2">
        <v>4865426</v>
      </c>
      <c r="B56" s="2" t="s">
        <v>33</v>
      </c>
      <c r="C56" s="3">
        <v>44691</v>
      </c>
      <c r="D56" s="3">
        <v>44700</v>
      </c>
      <c r="E56" s="2" t="s">
        <v>50</v>
      </c>
      <c r="F56" s="2" t="s">
        <v>59</v>
      </c>
      <c r="G56" s="2" t="s">
        <v>104</v>
      </c>
      <c r="H56" s="3">
        <v>44833</v>
      </c>
      <c r="I56" s="3">
        <v>44887</v>
      </c>
      <c r="J56" s="2">
        <v>1612560</v>
      </c>
      <c r="K56" s="2" t="s">
        <v>156</v>
      </c>
      <c r="L56" s="2" t="s">
        <v>157</v>
      </c>
      <c r="M56" s="2">
        <v>15</v>
      </c>
      <c r="N56" s="2" t="s">
        <v>32</v>
      </c>
      <c r="O56" s="5">
        <v>3730000</v>
      </c>
      <c r="P56" s="5" t="s">
        <v>33</v>
      </c>
      <c r="Q56" s="2" t="s">
        <v>33</v>
      </c>
      <c r="R56" s="6">
        <f t="shared" si="0"/>
        <v>30.02680965147453</v>
      </c>
      <c r="S56" s="2">
        <v>4850000</v>
      </c>
      <c r="T56" s="2" t="s">
        <v>33</v>
      </c>
      <c r="U56" s="2" t="s">
        <v>33</v>
      </c>
      <c r="V56" s="8" t="s">
        <v>34</v>
      </c>
      <c r="W56" s="2">
        <v>8000</v>
      </c>
      <c r="X56" s="9" t="s">
        <v>35</v>
      </c>
      <c r="Y56" s="10" t="s">
        <v>36</v>
      </c>
    </row>
    <row r="57" spans="1:25" ht="15" customHeight="1" x14ac:dyDescent="0.35">
      <c r="A57" s="2">
        <v>4855157</v>
      </c>
      <c r="B57" s="2" t="s">
        <v>25</v>
      </c>
      <c r="C57" s="3">
        <v>44699</v>
      </c>
      <c r="D57" s="3">
        <v>44699</v>
      </c>
      <c r="E57" s="2" t="s">
        <v>26</v>
      </c>
      <c r="F57" s="2" t="s">
        <v>158</v>
      </c>
      <c r="G57" s="2" t="s">
        <v>159</v>
      </c>
      <c r="H57" s="3">
        <v>44872</v>
      </c>
      <c r="I57" s="3">
        <v>44893</v>
      </c>
      <c r="J57" s="4">
        <v>3061381</v>
      </c>
      <c r="K57" s="2" t="s">
        <v>160</v>
      </c>
      <c r="L57" s="2" t="s">
        <v>161</v>
      </c>
      <c r="M57" s="2">
        <v>4</v>
      </c>
      <c r="N57" s="2" t="s">
        <v>39</v>
      </c>
      <c r="O57" s="2">
        <v>1000000</v>
      </c>
      <c r="P57" s="2" t="s">
        <v>33</v>
      </c>
      <c r="Q57" s="2" t="s">
        <v>33</v>
      </c>
      <c r="R57" s="6">
        <f t="shared" si="0"/>
        <v>35.005900000000004</v>
      </c>
      <c r="S57" s="2">
        <v>1350059</v>
      </c>
      <c r="T57" s="2" t="s">
        <v>33</v>
      </c>
      <c r="U57" s="2">
        <v>0.83</v>
      </c>
      <c r="V57" s="8" t="s">
        <v>34</v>
      </c>
      <c r="W57" s="2">
        <v>8000</v>
      </c>
      <c r="X57" s="9" t="s">
        <v>35</v>
      </c>
      <c r="Y57" s="10" t="s">
        <v>118</v>
      </c>
    </row>
    <row r="58" spans="1:25" ht="15" customHeight="1" x14ac:dyDescent="0.35">
      <c r="A58" s="2">
        <v>4835114</v>
      </c>
      <c r="B58" s="2" t="s">
        <v>25</v>
      </c>
      <c r="C58" s="3">
        <v>44640</v>
      </c>
      <c r="D58" s="3">
        <v>44571</v>
      </c>
      <c r="E58" s="2" t="s">
        <v>26</v>
      </c>
      <c r="F58" s="2" t="s">
        <v>162</v>
      </c>
      <c r="G58" s="2" t="s">
        <v>159</v>
      </c>
      <c r="H58" s="3">
        <v>44876</v>
      </c>
      <c r="I58" s="3">
        <v>44893</v>
      </c>
      <c r="J58" s="4">
        <v>3061565</v>
      </c>
      <c r="K58" s="2" t="s">
        <v>163</v>
      </c>
      <c r="L58" s="2" t="s">
        <v>142</v>
      </c>
      <c r="M58" s="2" t="s">
        <v>31</v>
      </c>
      <c r="N58" s="2" t="s">
        <v>39</v>
      </c>
      <c r="O58" s="5" t="e">
        <v>#N/A</v>
      </c>
      <c r="P58" s="2" t="s">
        <v>33</v>
      </c>
      <c r="Q58" s="2" t="s">
        <v>33</v>
      </c>
      <c r="R58" s="6" t="e">
        <f t="shared" si="0"/>
        <v>#N/A</v>
      </c>
      <c r="S58" s="2">
        <v>351300</v>
      </c>
      <c r="T58" s="2" t="s">
        <v>33</v>
      </c>
      <c r="U58" s="2">
        <v>0.75</v>
      </c>
      <c r="V58" s="8" t="s">
        <v>34</v>
      </c>
      <c r="W58" s="2">
        <v>8000</v>
      </c>
      <c r="X58" s="9" t="s">
        <v>35</v>
      </c>
      <c r="Y58" s="10" t="s">
        <v>118</v>
      </c>
    </row>
    <row r="59" spans="1:25" ht="15" customHeight="1" x14ac:dyDescent="0.35">
      <c r="A59" s="2">
        <v>4860539</v>
      </c>
      <c r="B59" s="2" t="s">
        <v>25</v>
      </c>
      <c r="C59" s="3">
        <v>44757</v>
      </c>
      <c r="D59" s="3">
        <v>44757</v>
      </c>
      <c r="E59" s="2" t="s">
        <v>26</v>
      </c>
      <c r="F59" s="2" t="s">
        <v>84</v>
      </c>
      <c r="G59" s="2" t="s">
        <v>116</v>
      </c>
      <c r="H59" s="3">
        <v>44803</v>
      </c>
      <c r="I59" s="3">
        <v>44896</v>
      </c>
      <c r="J59" s="4">
        <v>3060536</v>
      </c>
      <c r="K59" s="2" t="s">
        <v>164</v>
      </c>
      <c r="L59" s="2" t="s">
        <v>81</v>
      </c>
      <c r="M59" s="2">
        <v>5.0999999999999996</v>
      </c>
      <c r="N59" s="5" t="s">
        <v>32</v>
      </c>
      <c r="O59" s="2">
        <v>650000</v>
      </c>
      <c r="P59" s="2" t="s">
        <v>33</v>
      </c>
      <c r="Q59" s="2" t="s">
        <v>33</v>
      </c>
      <c r="R59" s="6">
        <f t="shared" si="0"/>
        <v>49.334615384615383</v>
      </c>
      <c r="S59" s="2">
        <v>970675</v>
      </c>
      <c r="T59" s="2" t="s">
        <v>33</v>
      </c>
      <c r="U59" s="2">
        <v>1.1499999999999999</v>
      </c>
      <c r="V59" s="8" t="s">
        <v>48</v>
      </c>
      <c r="W59" s="2">
        <v>26250</v>
      </c>
      <c r="X59" s="9" t="s">
        <v>35</v>
      </c>
      <c r="Y59" s="10" t="s">
        <v>118</v>
      </c>
    </row>
    <row r="60" spans="1:25" ht="15" customHeight="1" x14ac:dyDescent="0.35">
      <c r="A60" s="2">
        <v>4862143</v>
      </c>
      <c r="B60" s="2" t="s">
        <v>25</v>
      </c>
      <c r="C60" s="3">
        <v>44778</v>
      </c>
      <c r="D60" s="3">
        <v>44778</v>
      </c>
      <c r="E60" s="2" t="s">
        <v>26</v>
      </c>
      <c r="F60" s="2" t="s">
        <v>84</v>
      </c>
      <c r="G60" s="2" t="s">
        <v>116</v>
      </c>
      <c r="H60" s="3">
        <v>44877</v>
      </c>
      <c r="I60" s="3">
        <v>44897</v>
      </c>
      <c r="J60" s="4">
        <v>3059869</v>
      </c>
      <c r="K60" s="2" t="s">
        <v>165</v>
      </c>
      <c r="L60" s="2" t="s">
        <v>58</v>
      </c>
      <c r="M60" s="2">
        <v>3.3</v>
      </c>
      <c r="N60" s="2" t="s">
        <v>32</v>
      </c>
      <c r="O60" s="2">
        <v>528768</v>
      </c>
      <c r="P60" s="2" t="s">
        <v>33</v>
      </c>
      <c r="Q60" s="2" t="s">
        <v>33</v>
      </c>
      <c r="R60" s="6">
        <f t="shared" si="0"/>
        <v>43.030402747518757</v>
      </c>
      <c r="S60" s="2">
        <v>756299</v>
      </c>
      <c r="T60" s="2" t="s">
        <v>33</v>
      </c>
      <c r="U60" s="2">
        <v>0.87</v>
      </c>
      <c r="V60" s="8" t="s">
        <v>34</v>
      </c>
      <c r="W60" s="2">
        <v>8000</v>
      </c>
      <c r="X60" s="9" t="s">
        <v>35</v>
      </c>
      <c r="Y60" s="10" t="s">
        <v>118</v>
      </c>
    </row>
    <row r="61" spans="1:25" ht="15" customHeight="1" x14ac:dyDescent="0.35">
      <c r="A61" s="14">
        <v>4872451</v>
      </c>
      <c r="B61" s="2" t="s">
        <v>25</v>
      </c>
      <c r="C61" s="3">
        <v>44887</v>
      </c>
      <c r="D61" s="3">
        <v>44887</v>
      </c>
      <c r="E61" s="2" t="s">
        <v>26</v>
      </c>
      <c r="F61" s="2" t="s">
        <v>166</v>
      </c>
      <c r="G61" s="2" t="s">
        <v>167</v>
      </c>
      <c r="H61" s="3">
        <v>44890</v>
      </c>
      <c r="I61" s="3">
        <v>44907</v>
      </c>
      <c r="J61" s="2">
        <v>3062239</v>
      </c>
      <c r="K61" s="2" t="s">
        <v>168</v>
      </c>
      <c r="L61" s="2" t="s">
        <v>142</v>
      </c>
      <c r="M61" s="2" t="s">
        <v>31</v>
      </c>
      <c r="N61" s="2" t="s">
        <v>32</v>
      </c>
      <c r="O61" s="5" t="e">
        <v>#N/A</v>
      </c>
      <c r="P61" s="2" t="s">
        <v>33</v>
      </c>
      <c r="Q61" s="2" t="s">
        <v>33</v>
      </c>
      <c r="R61" s="6" t="e">
        <f t="shared" si="0"/>
        <v>#N/A</v>
      </c>
      <c r="S61" s="2">
        <v>351300</v>
      </c>
      <c r="T61" s="2" t="s">
        <v>33</v>
      </c>
      <c r="U61" s="2">
        <v>0.75</v>
      </c>
      <c r="V61" s="8" t="s">
        <v>48</v>
      </c>
      <c r="W61" s="2">
        <v>14000</v>
      </c>
      <c r="X61" s="9" t="s">
        <v>35</v>
      </c>
      <c r="Y61" s="10" t="s">
        <v>118</v>
      </c>
    </row>
    <row r="62" spans="1:25" ht="15" customHeight="1" x14ac:dyDescent="0.35">
      <c r="A62" s="2">
        <v>4863728</v>
      </c>
      <c r="B62" s="2" t="s">
        <v>25</v>
      </c>
      <c r="C62" s="3">
        <v>44802</v>
      </c>
      <c r="D62" s="3">
        <v>44802</v>
      </c>
      <c r="E62" s="2" t="s">
        <v>26</v>
      </c>
      <c r="F62" s="2" t="s">
        <v>45</v>
      </c>
      <c r="G62" s="2" t="s">
        <v>116</v>
      </c>
      <c r="H62" s="3">
        <v>44841</v>
      </c>
      <c r="I62" s="3">
        <v>44907</v>
      </c>
      <c r="J62" s="4">
        <v>3060786</v>
      </c>
      <c r="K62" s="2" t="s">
        <v>169</v>
      </c>
      <c r="L62" s="2" t="s">
        <v>58</v>
      </c>
      <c r="M62" s="2">
        <v>12</v>
      </c>
      <c r="N62" s="2" t="s">
        <v>32</v>
      </c>
      <c r="O62" s="2">
        <v>1253851</v>
      </c>
      <c r="P62" s="2" t="s">
        <v>33</v>
      </c>
      <c r="Q62" s="2" t="s">
        <v>33</v>
      </c>
      <c r="R62" s="6">
        <f t="shared" si="0"/>
        <v>30.000055828005085</v>
      </c>
      <c r="S62" s="2">
        <v>1630007</v>
      </c>
      <c r="T62" s="2" t="s">
        <v>33</v>
      </c>
      <c r="U62" s="2">
        <v>1.17</v>
      </c>
      <c r="V62" s="8" t="s">
        <v>34</v>
      </c>
      <c r="W62" s="2">
        <v>8000</v>
      </c>
      <c r="X62" s="9" t="s">
        <v>35</v>
      </c>
      <c r="Y62" s="10" t="s">
        <v>118</v>
      </c>
    </row>
    <row r="63" spans="1:25" ht="15" customHeight="1" x14ac:dyDescent="0.35">
      <c r="A63" s="2">
        <v>4842466</v>
      </c>
      <c r="B63" s="2" t="s">
        <v>25</v>
      </c>
      <c r="C63" s="3">
        <v>44825</v>
      </c>
      <c r="D63" s="3">
        <v>44825</v>
      </c>
      <c r="E63" s="2" t="s">
        <v>26</v>
      </c>
      <c r="F63" s="2" t="s">
        <v>82</v>
      </c>
      <c r="G63" s="2" t="s">
        <v>37</v>
      </c>
      <c r="H63" s="3">
        <v>44862</v>
      </c>
      <c r="I63" s="3">
        <v>44914</v>
      </c>
      <c r="J63" s="4">
        <v>3061405</v>
      </c>
      <c r="K63" s="2" t="s">
        <v>170</v>
      </c>
      <c r="L63" s="2" t="s">
        <v>171</v>
      </c>
      <c r="M63" s="2">
        <v>3</v>
      </c>
      <c r="N63" s="2" t="s">
        <v>39</v>
      </c>
      <c r="O63" s="2">
        <v>361608</v>
      </c>
      <c r="P63" s="2" t="s">
        <v>33</v>
      </c>
      <c r="Q63" s="2" t="s">
        <v>33</v>
      </c>
      <c r="R63" s="6">
        <f t="shared" si="0"/>
        <v>32.999269927656464</v>
      </c>
      <c r="S63" s="2">
        <v>480936</v>
      </c>
      <c r="T63" s="2" t="s">
        <v>33</v>
      </c>
      <c r="U63" s="2">
        <v>0.9</v>
      </c>
      <c r="V63" s="8" t="s">
        <v>34</v>
      </c>
      <c r="W63" s="2">
        <v>8000</v>
      </c>
      <c r="X63" s="9" t="s">
        <v>35</v>
      </c>
      <c r="Y63" s="10" t="s">
        <v>118</v>
      </c>
    </row>
    <row r="64" spans="1:25" ht="15" customHeight="1" x14ac:dyDescent="0.35">
      <c r="A64" s="2">
        <v>4863729</v>
      </c>
      <c r="B64" s="2" t="s">
        <v>25</v>
      </c>
      <c r="C64" s="3">
        <v>44802</v>
      </c>
      <c r="D64" s="3">
        <v>44802</v>
      </c>
      <c r="E64" s="2" t="s">
        <v>26</v>
      </c>
      <c r="F64" s="2" t="s">
        <v>45</v>
      </c>
      <c r="G64" s="2" t="s">
        <v>116</v>
      </c>
      <c r="H64" s="3">
        <v>44823</v>
      </c>
      <c r="I64" s="3">
        <v>44917</v>
      </c>
      <c r="J64" s="4">
        <v>3060065</v>
      </c>
      <c r="K64" s="2" t="s">
        <v>172</v>
      </c>
      <c r="L64" s="2" t="s">
        <v>75</v>
      </c>
      <c r="M64" s="2">
        <v>6</v>
      </c>
      <c r="N64" s="2" t="s">
        <v>39</v>
      </c>
      <c r="O64" s="2">
        <v>1074144</v>
      </c>
      <c r="P64" s="2" t="s">
        <v>33</v>
      </c>
      <c r="Q64" s="2" t="s">
        <v>33</v>
      </c>
      <c r="R64" s="6">
        <f t="shared" si="0"/>
        <v>45.231924211278937</v>
      </c>
      <c r="S64" s="2">
        <v>1560000</v>
      </c>
      <c r="T64" s="2" t="s">
        <v>33</v>
      </c>
      <c r="U64" s="2">
        <v>1.1200000000000001</v>
      </c>
      <c r="V64" s="8" t="s">
        <v>48</v>
      </c>
      <c r="W64" s="2">
        <v>61250</v>
      </c>
      <c r="X64" s="9" t="s">
        <v>35</v>
      </c>
      <c r="Y64" s="10" t="s">
        <v>118</v>
      </c>
    </row>
    <row r="65" spans="1:25" ht="15" customHeight="1" x14ac:dyDescent="0.35">
      <c r="A65" s="2">
        <v>4858088</v>
      </c>
      <c r="B65" s="2" t="s">
        <v>33</v>
      </c>
      <c r="C65" s="3">
        <v>44691</v>
      </c>
      <c r="D65" s="3">
        <v>44734</v>
      </c>
      <c r="E65" s="2" t="s">
        <v>50</v>
      </c>
      <c r="F65" s="2" t="s">
        <v>114</v>
      </c>
      <c r="G65" s="2" t="s">
        <v>89</v>
      </c>
      <c r="H65" s="3">
        <v>44859</v>
      </c>
      <c r="I65" s="3">
        <v>44923</v>
      </c>
      <c r="J65" s="2">
        <v>3061019</v>
      </c>
      <c r="K65" s="2" t="s">
        <v>173</v>
      </c>
      <c r="L65" s="2" t="s">
        <v>174</v>
      </c>
      <c r="M65" s="2">
        <v>5.5</v>
      </c>
      <c r="N65" s="2" t="s">
        <v>39</v>
      </c>
      <c r="O65" s="5">
        <v>1600000</v>
      </c>
      <c r="P65" s="5" t="s">
        <v>33</v>
      </c>
      <c r="Q65" s="2" t="s">
        <v>33</v>
      </c>
      <c r="R65" s="6">
        <f t="shared" si="0"/>
        <v>31.25</v>
      </c>
      <c r="S65" s="2">
        <v>2100000</v>
      </c>
      <c r="T65" s="2" t="s">
        <v>33</v>
      </c>
      <c r="U65" s="2" t="s">
        <v>33</v>
      </c>
      <c r="V65" s="8" t="s">
        <v>34</v>
      </c>
      <c r="W65" s="2">
        <v>8000</v>
      </c>
      <c r="X65" s="9" t="s">
        <v>35</v>
      </c>
      <c r="Y65" s="10" t="s">
        <v>36</v>
      </c>
    </row>
    <row r="66" spans="1:25" ht="15" customHeight="1" x14ac:dyDescent="0.35">
      <c r="A66" s="2">
        <v>4858094</v>
      </c>
      <c r="B66" s="2" t="s">
        <v>33</v>
      </c>
      <c r="C66" s="3">
        <v>44691</v>
      </c>
      <c r="D66" s="3">
        <v>44736</v>
      </c>
      <c r="E66" s="2" t="s">
        <v>50</v>
      </c>
      <c r="F66" s="2" t="s">
        <v>114</v>
      </c>
      <c r="G66" s="2" t="s">
        <v>175</v>
      </c>
      <c r="H66" s="3">
        <v>44862</v>
      </c>
      <c r="I66" s="3">
        <v>44928</v>
      </c>
      <c r="J66" s="2">
        <v>3061104</v>
      </c>
      <c r="K66" s="2" t="s">
        <v>176</v>
      </c>
      <c r="L66" s="2" t="s">
        <v>81</v>
      </c>
      <c r="M66" s="2">
        <v>5.2</v>
      </c>
      <c r="N66" s="2" t="s">
        <v>39</v>
      </c>
      <c r="O66" s="5">
        <v>2000000</v>
      </c>
      <c r="P66" s="5" t="s">
        <v>33</v>
      </c>
      <c r="Q66" s="2" t="s">
        <v>33</v>
      </c>
      <c r="R66" s="6">
        <f t="shared" ref="R66:R129" si="1">(S66-O66)/O66*100</f>
        <v>7.1</v>
      </c>
      <c r="S66" s="2">
        <v>2142000</v>
      </c>
      <c r="T66" s="2" t="s">
        <v>33</v>
      </c>
      <c r="U66" s="2" t="s">
        <v>33</v>
      </c>
      <c r="V66" s="8" t="s">
        <v>48</v>
      </c>
      <c r="W66" s="2">
        <v>94500</v>
      </c>
      <c r="X66" s="9" t="s">
        <v>35</v>
      </c>
      <c r="Y66" s="10" t="s">
        <v>36</v>
      </c>
    </row>
    <row r="67" spans="1:25" ht="15" customHeight="1" x14ac:dyDescent="0.35">
      <c r="A67" s="2">
        <v>4862465</v>
      </c>
      <c r="B67" s="2" t="s">
        <v>33</v>
      </c>
      <c r="C67" s="3">
        <v>44691</v>
      </c>
      <c r="D67" s="3">
        <v>44785</v>
      </c>
      <c r="E67" s="2" t="s">
        <v>50</v>
      </c>
      <c r="F67" s="2" t="s">
        <v>114</v>
      </c>
      <c r="G67" s="2" t="s">
        <v>52</v>
      </c>
      <c r="H67" s="3">
        <v>44854</v>
      </c>
      <c r="I67" s="3">
        <v>44935</v>
      </c>
      <c r="J67" s="2">
        <v>3060875</v>
      </c>
      <c r="K67" s="2" t="s">
        <v>177</v>
      </c>
      <c r="L67" s="2" t="s">
        <v>178</v>
      </c>
      <c r="M67" s="2">
        <v>5.3</v>
      </c>
      <c r="N67" s="2" t="s">
        <v>32</v>
      </c>
      <c r="O67" s="5">
        <v>1170000</v>
      </c>
      <c r="P67" s="5" t="s">
        <v>33</v>
      </c>
      <c r="Q67" s="2" t="s">
        <v>33</v>
      </c>
      <c r="R67" s="6">
        <f t="shared" si="1"/>
        <v>62.393162393162392</v>
      </c>
      <c r="S67" s="2">
        <v>1900000</v>
      </c>
      <c r="T67" s="2" t="s">
        <v>33</v>
      </c>
      <c r="U67" s="2" t="s">
        <v>33</v>
      </c>
      <c r="V67" s="8" t="s">
        <v>34</v>
      </c>
      <c r="W67" s="2">
        <v>8000</v>
      </c>
      <c r="X67" s="9" t="s">
        <v>35</v>
      </c>
      <c r="Y67" s="10" t="s">
        <v>36</v>
      </c>
    </row>
    <row r="68" spans="1:25" ht="15" customHeight="1" x14ac:dyDescent="0.35">
      <c r="A68" s="2">
        <v>4863732</v>
      </c>
      <c r="B68" s="2" t="s">
        <v>25</v>
      </c>
      <c r="C68" s="3">
        <v>44803</v>
      </c>
      <c r="D68" s="3">
        <v>44803</v>
      </c>
      <c r="E68" s="2" t="s">
        <v>26</v>
      </c>
      <c r="F68" s="2" t="s">
        <v>84</v>
      </c>
      <c r="G68" s="2" t="s">
        <v>116</v>
      </c>
      <c r="H68" s="3">
        <v>44911</v>
      </c>
      <c r="I68" s="3">
        <v>44937</v>
      </c>
      <c r="J68" s="4">
        <v>3063208</v>
      </c>
      <c r="K68" s="2" t="s">
        <v>179</v>
      </c>
      <c r="L68" s="2" t="s">
        <v>171</v>
      </c>
      <c r="M68" s="2">
        <v>4.5</v>
      </c>
      <c r="N68" s="2" t="s">
        <v>39</v>
      </c>
      <c r="O68" s="2">
        <v>690000</v>
      </c>
      <c r="P68" s="2" t="s">
        <v>33</v>
      </c>
      <c r="Q68" s="2" t="s">
        <v>33</v>
      </c>
      <c r="R68" s="6">
        <f t="shared" si="1"/>
        <v>44.927536231884055</v>
      </c>
      <c r="S68" s="2">
        <v>1000000</v>
      </c>
      <c r="T68" s="2" t="s">
        <v>33</v>
      </c>
      <c r="U68" s="2">
        <v>1.1000000000000001</v>
      </c>
      <c r="V68" s="8" t="s">
        <v>48</v>
      </c>
      <c r="W68" s="2">
        <v>26250</v>
      </c>
      <c r="X68" s="9" t="s">
        <v>35</v>
      </c>
      <c r="Y68" s="10" t="s">
        <v>118</v>
      </c>
    </row>
    <row r="69" spans="1:25" ht="15" customHeight="1" x14ac:dyDescent="0.35">
      <c r="A69" s="2">
        <v>4870610</v>
      </c>
      <c r="B69" s="2" t="s">
        <v>33</v>
      </c>
      <c r="C69" s="3">
        <v>44691</v>
      </c>
      <c r="D69" s="3">
        <v>44868</v>
      </c>
      <c r="E69" s="2" t="s">
        <v>50</v>
      </c>
      <c r="F69" s="2" t="s">
        <v>180</v>
      </c>
      <c r="G69" s="2" t="s">
        <v>104</v>
      </c>
      <c r="H69" s="3">
        <v>44834</v>
      </c>
      <c r="I69" s="3">
        <v>44949</v>
      </c>
      <c r="J69" s="2">
        <v>7074386</v>
      </c>
      <c r="K69" s="2" t="s">
        <v>181</v>
      </c>
      <c r="L69" s="2" t="s">
        <v>182</v>
      </c>
      <c r="M69" s="2">
        <v>15</v>
      </c>
      <c r="N69" s="2" t="s">
        <v>32</v>
      </c>
      <c r="O69" s="5">
        <v>950000</v>
      </c>
      <c r="P69" s="5" t="s">
        <v>33</v>
      </c>
      <c r="Q69" s="2" t="s">
        <v>33</v>
      </c>
      <c r="R69" s="6">
        <f t="shared" si="1"/>
        <v>412.63157894736844</v>
      </c>
      <c r="S69" s="2">
        <v>4870000</v>
      </c>
      <c r="T69" s="2" t="s">
        <v>33</v>
      </c>
      <c r="U69" s="2" t="s">
        <v>33</v>
      </c>
      <c r="V69" s="8" t="s">
        <v>34</v>
      </c>
      <c r="W69" s="2">
        <v>8000</v>
      </c>
      <c r="X69" s="9" t="s">
        <v>35</v>
      </c>
      <c r="Y69" s="10" t="s">
        <v>36</v>
      </c>
    </row>
    <row r="70" spans="1:25" ht="15" customHeight="1" x14ac:dyDescent="0.35">
      <c r="A70" s="2">
        <v>4874430</v>
      </c>
      <c r="B70" s="2" t="s">
        <v>33</v>
      </c>
      <c r="C70" s="3">
        <v>44621</v>
      </c>
      <c r="D70" s="3">
        <v>44910</v>
      </c>
      <c r="E70" s="2" t="s">
        <v>50</v>
      </c>
      <c r="F70" s="2" t="s">
        <v>68</v>
      </c>
      <c r="G70" s="2" t="s">
        <v>175</v>
      </c>
      <c r="H70" s="3">
        <v>44921</v>
      </c>
      <c r="I70" s="3">
        <v>44958</v>
      </c>
      <c r="J70" s="2">
        <v>3063835</v>
      </c>
      <c r="K70" s="5" t="s">
        <v>183</v>
      </c>
      <c r="L70" s="2" t="s">
        <v>184</v>
      </c>
      <c r="M70" s="2">
        <v>8</v>
      </c>
      <c r="N70" s="2" t="s">
        <v>32</v>
      </c>
      <c r="O70" s="5">
        <v>550000</v>
      </c>
      <c r="P70" s="5" t="s">
        <v>33</v>
      </c>
      <c r="Q70" s="2" t="s">
        <v>33</v>
      </c>
      <c r="R70" s="6">
        <f t="shared" si="1"/>
        <v>131.27272727272728</v>
      </c>
      <c r="S70" s="2">
        <v>1272000</v>
      </c>
      <c r="T70" s="2" t="s">
        <v>33</v>
      </c>
      <c r="U70" s="2" t="s">
        <v>33</v>
      </c>
      <c r="V70" s="8" t="s">
        <v>34</v>
      </c>
      <c r="W70" s="2">
        <v>8000</v>
      </c>
      <c r="X70" s="9" t="s">
        <v>35</v>
      </c>
      <c r="Y70" s="10" t="s">
        <v>36</v>
      </c>
    </row>
    <row r="71" spans="1:25" ht="15" customHeight="1" x14ac:dyDescent="0.35">
      <c r="A71" s="2">
        <v>4874801</v>
      </c>
      <c r="B71" s="2" t="s">
        <v>40</v>
      </c>
      <c r="C71" s="3">
        <v>44918</v>
      </c>
      <c r="D71" s="3">
        <v>44918</v>
      </c>
      <c r="E71" s="2" t="s">
        <v>26</v>
      </c>
      <c r="F71" s="2" t="s">
        <v>27</v>
      </c>
      <c r="G71" s="2" t="s">
        <v>185</v>
      </c>
      <c r="H71" s="11">
        <v>44956</v>
      </c>
      <c r="I71" s="3">
        <v>44973</v>
      </c>
      <c r="J71" s="2">
        <v>3064242</v>
      </c>
      <c r="K71" s="2" t="s">
        <v>186</v>
      </c>
      <c r="L71" s="2" t="s">
        <v>142</v>
      </c>
      <c r="M71" s="2" t="s">
        <v>31</v>
      </c>
      <c r="N71" s="2" t="s">
        <v>32</v>
      </c>
      <c r="O71" s="5" t="e">
        <v>#N/A</v>
      </c>
      <c r="P71" s="2" t="s">
        <v>33</v>
      </c>
      <c r="Q71" s="2" t="s">
        <v>33</v>
      </c>
      <c r="R71" s="6" t="e">
        <f t="shared" si="1"/>
        <v>#N/A</v>
      </c>
      <c r="S71" s="2">
        <v>392925</v>
      </c>
      <c r="T71" s="2" t="s">
        <v>33</v>
      </c>
      <c r="U71" s="2">
        <v>0.75</v>
      </c>
      <c r="V71" s="8" t="s">
        <v>48</v>
      </c>
      <c r="W71" s="2">
        <v>8000</v>
      </c>
      <c r="X71" s="9" t="s">
        <v>35</v>
      </c>
      <c r="Y71" s="10" t="s">
        <v>118</v>
      </c>
    </row>
    <row r="72" spans="1:25" ht="15" customHeight="1" x14ac:dyDescent="0.35">
      <c r="A72" s="2">
        <v>4876514</v>
      </c>
      <c r="B72" s="2" t="s">
        <v>40</v>
      </c>
      <c r="C72" s="3">
        <v>44946</v>
      </c>
      <c r="D72" s="3">
        <v>44946</v>
      </c>
      <c r="E72" s="2" t="s">
        <v>26</v>
      </c>
      <c r="F72" s="2" t="s">
        <v>166</v>
      </c>
      <c r="G72" s="2" t="s">
        <v>167</v>
      </c>
      <c r="H72" s="11">
        <v>44956</v>
      </c>
      <c r="I72" s="3">
        <v>44973</v>
      </c>
      <c r="J72" s="4">
        <v>3064244</v>
      </c>
      <c r="K72" s="2" t="s">
        <v>187</v>
      </c>
      <c r="L72" s="2" t="s">
        <v>142</v>
      </c>
      <c r="M72" s="2" t="s">
        <v>31</v>
      </c>
      <c r="N72" s="2" t="s">
        <v>39</v>
      </c>
      <c r="O72" s="5" t="e">
        <v>#N/A</v>
      </c>
      <c r="P72" s="2" t="s">
        <v>33</v>
      </c>
      <c r="Q72" s="2" t="s">
        <v>33</v>
      </c>
      <c r="R72" s="6" t="e">
        <f t="shared" si="1"/>
        <v>#N/A</v>
      </c>
      <c r="S72" s="2">
        <v>392925</v>
      </c>
      <c r="T72" s="2" t="s">
        <v>33</v>
      </c>
      <c r="U72" s="2">
        <v>0.75</v>
      </c>
      <c r="V72" s="8" t="s">
        <v>48</v>
      </c>
      <c r="W72" s="2">
        <v>14000</v>
      </c>
      <c r="X72" s="9" t="s">
        <v>35</v>
      </c>
      <c r="Y72" s="10" t="s">
        <v>118</v>
      </c>
    </row>
    <row r="73" spans="1:25" ht="15" customHeight="1" x14ac:dyDescent="0.35">
      <c r="A73" s="2">
        <v>4863731</v>
      </c>
      <c r="B73" s="2" t="s">
        <v>25</v>
      </c>
      <c r="C73" s="3">
        <v>44802</v>
      </c>
      <c r="D73" s="3">
        <v>44802</v>
      </c>
      <c r="E73" s="2" t="s">
        <v>26</v>
      </c>
      <c r="F73" s="2" t="s">
        <v>84</v>
      </c>
      <c r="G73" s="2" t="s">
        <v>188</v>
      </c>
      <c r="H73" s="11">
        <v>44880</v>
      </c>
      <c r="I73" s="3">
        <v>44986</v>
      </c>
      <c r="J73" s="4">
        <v>3062221</v>
      </c>
      <c r="K73" s="2" t="s">
        <v>189</v>
      </c>
      <c r="L73" s="2" t="s">
        <v>190</v>
      </c>
      <c r="M73" s="2">
        <v>6</v>
      </c>
      <c r="N73" s="2" t="s">
        <v>39</v>
      </c>
      <c r="O73" s="2">
        <v>400000</v>
      </c>
      <c r="P73" s="2" t="s">
        <v>33</v>
      </c>
      <c r="Q73" s="2" t="s">
        <v>33</v>
      </c>
      <c r="R73" s="6">
        <f t="shared" si="1"/>
        <v>70.835999999999999</v>
      </c>
      <c r="S73" s="2">
        <v>683344</v>
      </c>
      <c r="T73" s="2" t="s">
        <v>33</v>
      </c>
      <c r="U73" s="2">
        <v>0.75</v>
      </c>
      <c r="V73" s="8" t="s">
        <v>48</v>
      </c>
      <c r="W73" s="2">
        <v>26250</v>
      </c>
      <c r="X73" s="9" t="s">
        <v>35</v>
      </c>
      <c r="Y73" s="10" t="s">
        <v>118</v>
      </c>
    </row>
    <row r="74" spans="1:25" ht="15" customHeight="1" x14ac:dyDescent="0.35">
      <c r="A74" s="2">
        <v>4862004</v>
      </c>
      <c r="B74" s="2" t="s">
        <v>25</v>
      </c>
      <c r="C74" s="3">
        <v>44776</v>
      </c>
      <c r="D74" s="3">
        <v>44776</v>
      </c>
      <c r="E74" s="2" t="s">
        <v>26</v>
      </c>
      <c r="F74" s="2" t="s">
        <v>82</v>
      </c>
      <c r="G74" s="2" t="s">
        <v>28</v>
      </c>
      <c r="H74" s="11">
        <v>44880</v>
      </c>
      <c r="I74" s="3">
        <v>44986</v>
      </c>
      <c r="J74" s="4">
        <v>3063683</v>
      </c>
      <c r="K74" s="2" t="s">
        <v>191</v>
      </c>
      <c r="L74" s="2" t="s">
        <v>171</v>
      </c>
      <c r="M74" s="2">
        <v>1.9</v>
      </c>
      <c r="N74" s="2" t="s">
        <v>39</v>
      </c>
      <c r="O74" s="2">
        <v>324000</v>
      </c>
      <c r="P74" s="2" t="s">
        <v>33</v>
      </c>
      <c r="Q74" s="2" t="s">
        <v>33</v>
      </c>
      <c r="R74" s="6">
        <f t="shared" si="1"/>
        <v>55.101851851851848</v>
      </c>
      <c r="S74" s="2">
        <v>502530</v>
      </c>
      <c r="T74" s="2" t="s">
        <v>33</v>
      </c>
      <c r="U74" s="2">
        <v>0.92</v>
      </c>
      <c r="V74" s="8" t="s">
        <v>34</v>
      </c>
      <c r="W74" s="2">
        <v>8000</v>
      </c>
      <c r="X74" s="9" t="s">
        <v>35</v>
      </c>
      <c r="Y74" s="10" t="s">
        <v>118</v>
      </c>
    </row>
    <row r="75" spans="1:25" ht="15" customHeight="1" x14ac:dyDescent="0.35">
      <c r="A75" s="2" t="s">
        <v>192</v>
      </c>
      <c r="B75" s="2" t="s">
        <v>33</v>
      </c>
      <c r="C75" s="3">
        <v>44928</v>
      </c>
      <c r="D75" s="3">
        <v>44937</v>
      </c>
      <c r="E75" s="2" t="s">
        <v>50</v>
      </c>
      <c r="F75" s="2" t="s">
        <v>193</v>
      </c>
      <c r="G75" s="2" t="s">
        <v>52</v>
      </c>
      <c r="H75" s="3">
        <v>44939</v>
      </c>
      <c r="I75" s="3">
        <v>44991</v>
      </c>
      <c r="J75" s="2">
        <v>3063711</v>
      </c>
      <c r="K75" s="2" t="s">
        <v>194</v>
      </c>
      <c r="L75" s="2" t="s">
        <v>195</v>
      </c>
      <c r="M75" s="2">
        <v>1.2</v>
      </c>
      <c r="N75" s="2" t="s">
        <v>39</v>
      </c>
      <c r="O75" s="5">
        <v>216000</v>
      </c>
      <c r="P75" s="5" t="s">
        <v>33</v>
      </c>
      <c r="Q75" s="2" t="s">
        <v>33</v>
      </c>
      <c r="R75" s="6">
        <f t="shared" si="1"/>
        <v>123.56481481481481</v>
      </c>
      <c r="S75" s="2">
        <v>482900</v>
      </c>
      <c r="T75" s="2" t="s">
        <v>33</v>
      </c>
      <c r="U75" s="2" t="s">
        <v>33</v>
      </c>
      <c r="V75" s="8" t="s">
        <v>34</v>
      </c>
      <c r="W75" s="2">
        <v>8000</v>
      </c>
      <c r="X75" s="9" t="s">
        <v>35</v>
      </c>
      <c r="Y75" s="10" t="s">
        <v>36</v>
      </c>
    </row>
    <row r="76" spans="1:25" ht="15" customHeight="1" x14ac:dyDescent="0.35">
      <c r="A76" s="2">
        <v>4856249</v>
      </c>
      <c r="B76" s="2" t="s">
        <v>33</v>
      </c>
      <c r="C76" s="3">
        <v>44691</v>
      </c>
      <c r="D76" s="3">
        <v>44691</v>
      </c>
      <c r="E76" s="2" t="s">
        <v>50</v>
      </c>
      <c r="F76" s="2" t="s">
        <v>59</v>
      </c>
      <c r="G76" s="2" t="s">
        <v>73</v>
      </c>
      <c r="H76" s="3">
        <v>44974</v>
      </c>
      <c r="I76" s="3">
        <v>44998</v>
      </c>
      <c r="J76" s="2">
        <v>1885819</v>
      </c>
      <c r="K76" s="2" t="s">
        <v>196</v>
      </c>
      <c r="L76" s="2" t="s">
        <v>197</v>
      </c>
      <c r="M76" s="2">
        <v>10</v>
      </c>
      <c r="N76" s="2" t="s">
        <v>39</v>
      </c>
      <c r="O76" s="5">
        <v>2000000</v>
      </c>
      <c r="P76" s="5" t="s">
        <v>33</v>
      </c>
      <c r="Q76" s="2" t="s">
        <v>33</v>
      </c>
      <c r="R76" s="6">
        <f t="shared" si="1"/>
        <v>50</v>
      </c>
      <c r="S76" s="2">
        <v>3000000</v>
      </c>
      <c r="T76" s="2" t="s">
        <v>33</v>
      </c>
      <c r="U76" s="2" t="s">
        <v>33</v>
      </c>
      <c r="V76" s="8" t="s">
        <v>34</v>
      </c>
      <c r="W76" s="2">
        <v>8000</v>
      </c>
      <c r="X76" s="9" t="s">
        <v>35</v>
      </c>
      <c r="Y76" s="10" t="s">
        <v>36</v>
      </c>
    </row>
    <row r="77" spans="1:25" ht="15" customHeight="1" x14ac:dyDescent="0.35">
      <c r="A77" s="2">
        <v>4871198</v>
      </c>
      <c r="B77" s="2" t="s">
        <v>25</v>
      </c>
      <c r="C77" s="3">
        <v>44876</v>
      </c>
      <c r="D77" s="3">
        <v>44876</v>
      </c>
      <c r="E77" s="2" t="s">
        <v>26</v>
      </c>
      <c r="F77" s="2" t="s">
        <v>45</v>
      </c>
      <c r="G77" s="2" t="s">
        <v>28</v>
      </c>
      <c r="H77" s="11">
        <v>44890</v>
      </c>
      <c r="I77" s="3">
        <v>45000</v>
      </c>
      <c r="J77" s="4">
        <v>3062456</v>
      </c>
      <c r="K77" s="2" t="s">
        <v>198</v>
      </c>
      <c r="L77" s="2" t="s">
        <v>75</v>
      </c>
      <c r="M77" s="2">
        <v>15</v>
      </c>
      <c r="N77" s="2" t="s">
        <v>39</v>
      </c>
      <c r="O77" s="2">
        <v>1265000</v>
      </c>
      <c r="P77" s="2" t="s">
        <v>33</v>
      </c>
      <c r="Q77" s="2" t="s">
        <v>33</v>
      </c>
      <c r="R77" s="6">
        <f t="shared" si="1"/>
        <v>37.422371541501974</v>
      </c>
      <c r="S77" s="2">
        <v>1738393</v>
      </c>
      <c r="T77" s="2" t="s">
        <v>33</v>
      </c>
      <c r="U77" s="2">
        <v>1.19</v>
      </c>
      <c r="V77" s="8" t="s">
        <v>48</v>
      </c>
      <c r="W77" s="2">
        <v>50250</v>
      </c>
      <c r="X77" s="9" t="s">
        <v>35</v>
      </c>
      <c r="Y77" s="10" t="s">
        <v>118</v>
      </c>
    </row>
    <row r="78" spans="1:25" ht="15" customHeight="1" x14ac:dyDescent="0.35">
      <c r="A78" s="2" t="s">
        <v>199</v>
      </c>
      <c r="B78" s="2" t="s">
        <v>40</v>
      </c>
      <c r="C78" s="3">
        <v>44815</v>
      </c>
      <c r="D78" s="3">
        <v>44815</v>
      </c>
      <c r="E78" s="2" t="s">
        <v>26</v>
      </c>
      <c r="F78" s="2" t="s">
        <v>200</v>
      </c>
      <c r="G78" s="2" t="s">
        <v>201</v>
      </c>
      <c r="H78" s="11">
        <v>44930</v>
      </c>
      <c r="I78" s="3">
        <v>45005</v>
      </c>
      <c r="J78" s="2">
        <v>3064013</v>
      </c>
      <c r="K78" s="2" t="s">
        <v>202</v>
      </c>
      <c r="L78" s="2" t="s">
        <v>66</v>
      </c>
      <c r="M78" s="2">
        <v>13</v>
      </c>
      <c r="N78" s="2" t="s">
        <v>32</v>
      </c>
      <c r="O78" s="2">
        <v>1750000</v>
      </c>
      <c r="P78" s="2" t="s">
        <v>33</v>
      </c>
      <c r="Q78" s="2" t="s">
        <v>33</v>
      </c>
      <c r="R78" s="6">
        <f t="shared" si="1"/>
        <v>37.914285714285718</v>
      </c>
      <c r="S78" s="2">
        <v>2413500</v>
      </c>
      <c r="T78" s="2" t="s">
        <v>33</v>
      </c>
      <c r="U78" s="2">
        <v>1.03</v>
      </c>
      <c r="V78" s="8" t="s">
        <v>34</v>
      </c>
      <c r="W78" s="2">
        <v>8000</v>
      </c>
      <c r="X78" s="9" t="s">
        <v>35</v>
      </c>
      <c r="Y78" s="10" t="s">
        <v>118</v>
      </c>
    </row>
    <row r="79" spans="1:25" ht="15" customHeight="1" x14ac:dyDescent="0.35">
      <c r="A79" s="2">
        <v>4858095</v>
      </c>
      <c r="B79" s="2" t="s">
        <v>33</v>
      </c>
      <c r="C79" s="3">
        <v>44691</v>
      </c>
      <c r="D79" s="3">
        <v>44734</v>
      </c>
      <c r="E79" s="2" t="s">
        <v>50</v>
      </c>
      <c r="F79" s="2" t="s">
        <v>59</v>
      </c>
      <c r="G79" s="2" t="s">
        <v>175</v>
      </c>
      <c r="H79" s="3">
        <v>45141</v>
      </c>
      <c r="I79" s="3">
        <v>45019</v>
      </c>
      <c r="J79" s="2">
        <v>1924466</v>
      </c>
      <c r="K79" s="5" t="s">
        <v>203</v>
      </c>
      <c r="L79" s="2" t="s">
        <v>174</v>
      </c>
      <c r="M79" s="2">
        <v>10</v>
      </c>
      <c r="N79" s="2" t="s">
        <v>39</v>
      </c>
      <c r="O79" s="5">
        <v>2700000</v>
      </c>
      <c r="P79" s="5" t="s">
        <v>33</v>
      </c>
      <c r="Q79" s="2" t="s">
        <v>33</v>
      </c>
      <c r="R79" s="6">
        <f t="shared" si="1"/>
        <v>26.316481481481478</v>
      </c>
      <c r="S79" s="2">
        <v>3410545</v>
      </c>
      <c r="T79" s="2" t="s">
        <v>33</v>
      </c>
      <c r="U79" s="2" t="s">
        <v>33</v>
      </c>
      <c r="V79" s="8" t="s">
        <v>34</v>
      </c>
      <c r="W79" s="2">
        <v>8000</v>
      </c>
      <c r="X79" s="9" t="s">
        <v>35</v>
      </c>
      <c r="Y79" s="10" t="s">
        <v>36</v>
      </c>
    </row>
    <row r="80" spans="1:25" ht="15" customHeight="1" x14ac:dyDescent="0.35">
      <c r="A80" s="2">
        <v>4871159</v>
      </c>
      <c r="B80" s="2" t="s">
        <v>40</v>
      </c>
      <c r="C80" s="3">
        <v>44874</v>
      </c>
      <c r="D80" s="3">
        <v>44874</v>
      </c>
      <c r="E80" s="2" t="s">
        <v>26</v>
      </c>
      <c r="F80" s="2" t="s">
        <v>200</v>
      </c>
      <c r="G80" s="2" t="s">
        <v>64</v>
      </c>
      <c r="H80" s="3">
        <v>44938</v>
      </c>
      <c r="I80" s="3">
        <v>45033</v>
      </c>
      <c r="J80" s="4">
        <v>3063798</v>
      </c>
      <c r="K80" s="2" t="s">
        <v>204</v>
      </c>
      <c r="L80" s="2" t="s">
        <v>190</v>
      </c>
      <c r="M80" s="2">
        <v>11</v>
      </c>
      <c r="N80" s="2" t="s">
        <v>32</v>
      </c>
      <c r="O80" s="2">
        <v>1600000</v>
      </c>
      <c r="P80" s="2" t="s">
        <v>33</v>
      </c>
      <c r="Q80" s="2" t="s">
        <v>33</v>
      </c>
      <c r="R80" s="6">
        <f t="shared" si="1"/>
        <v>33.092187499999994</v>
      </c>
      <c r="S80" s="2">
        <v>2129475</v>
      </c>
      <c r="T80" s="2" t="s">
        <v>33</v>
      </c>
      <c r="U80" s="2">
        <v>0.69</v>
      </c>
      <c r="V80" s="8" t="s">
        <v>48</v>
      </c>
      <c r="W80" s="2">
        <v>94500</v>
      </c>
      <c r="X80" s="9" t="s">
        <v>35</v>
      </c>
      <c r="Y80" s="10" t="s">
        <v>118</v>
      </c>
    </row>
    <row r="81" spans="1:25" ht="15" customHeight="1" x14ac:dyDescent="0.35">
      <c r="A81" s="2">
        <v>4873106</v>
      </c>
      <c r="B81" s="2" t="s">
        <v>40</v>
      </c>
      <c r="C81" s="3">
        <v>44894</v>
      </c>
      <c r="D81" s="3">
        <v>44894</v>
      </c>
      <c r="E81" s="2" t="s">
        <v>26</v>
      </c>
      <c r="F81" s="2" t="s">
        <v>82</v>
      </c>
      <c r="G81" s="2" t="s">
        <v>205</v>
      </c>
      <c r="H81" s="3">
        <v>45014</v>
      </c>
      <c r="I81" s="3">
        <v>45033</v>
      </c>
      <c r="J81" s="2">
        <v>3065796</v>
      </c>
      <c r="K81" s="2" t="s">
        <v>206</v>
      </c>
      <c r="L81" s="2" t="s">
        <v>171</v>
      </c>
      <c r="M81" s="2">
        <v>1.5</v>
      </c>
      <c r="N81" s="2" t="s">
        <v>39</v>
      </c>
      <c r="O81" s="2">
        <v>294000</v>
      </c>
      <c r="P81" s="2" t="s">
        <v>33</v>
      </c>
      <c r="Q81" s="2" t="s">
        <v>33</v>
      </c>
      <c r="R81" s="6">
        <f t="shared" si="1"/>
        <v>53.19625850340136</v>
      </c>
      <c r="S81" s="2">
        <v>450397</v>
      </c>
      <c r="T81" s="2" t="s">
        <v>33</v>
      </c>
      <c r="U81" s="2">
        <v>0.75</v>
      </c>
      <c r="V81" s="8" t="s">
        <v>48</v>
      </c>
      <c r="W81" s="2">
        <v>14000</v>
      </c>
      <c r="X81" s="9" t="s">
        <v>35</v>
      </c>
      <c r="Y81" s="10" t="s">
        <v>118</v>
      </c>
    </row>
    <row r="82" spans="1:25" ht="15" customHeight="1" x14ac:dyDescent="0.35">
      <c r="A82" s="2">
        <v>4871199</v>
      </c>
      <c r="B82" s="2" t="s">
        <v>25</v>
      </c>
      <c r="C82" s="3">
        <v>44874</v>
      </c>
      <c r="D82" s="3">
        <v>44874</v>
      </c>
      <c r="E82" s="2" t="s">
        <v>26</v>
      </c>
      <c r="F82" s="2" t="s">
        <v>45</v>
      </c>
      <c r="G82" s="2" t="s">
        <v>28</v>
      </c>
      <c r="H82" s="3">
        <v>44944</v>
      </c>
      <c r="I82" s="3">
        <v>45036</v>
      </c>
      <c r="J82" s="2">
        <v>3064188</v>
      </c>
      <c r="K82" s="2" t="s">
        <v>207</v>
      </c>
      <c r="L82" s="2" t="s">
        <v>171</v>
      </c>
      <c r="M82" s="2">
        <v>12</v>
      </c>
      <c r="N82" s="2" t="s">
        <v>39</v>
      </c>
      <c r="O82" s="2">
        <v>1300000</v>
      </c>
      <c r="P82" s="2" t="s">
        <v>33</v>
      </c>
      <c r="Q82" s="2" t="s">
        <v>33</v>
      </c>
      <c r="R82" s="6">
        <f t="shared" si="1"/>
        <v>36.158615384615381</v>
      </c>
      <c r="S82" s="2">
        <v>1770062</v>
      </c>
      <c r="T82" s="2" t="s">
        <v>33</v>
      </c>
      <c r="U82" s="2">
        <v>1.1599999999999999</v>
      </c>
      <c r="V82" s="8" t="s">
        <v>48</v>
      </c>
      <c r="W82" s="2">
        <v>61250</v>
      </c>
      <c r="X82" s="9" t="s">
        <v>35</v>
      </c>
      <c r="Y82" s="10" t="s">
        <v>118</v>
      </c>
    </row>
    <row r="83" spans="1:25" ht="15" customHeight="1" x14ac:dyDescent="0.35">
      <c r="A83" s="2">
        <v>4879653</v>
      </c>
      <c r="B83" s="2" t="s">
        <v>33</v>
      </c>
      <c r="C83" s="3">
        <v>44991</v>
      </c>
      <c r="D83" s="3">
        <v>44991</v>
      </c>
      <c r="E83" s="2" t="s">
        <v>50</v>
      </c>
      <c r="F83" s="2" t="s">
        <v>193</v>
      </c>
      <c r="G83" s="2" t="s">
        <v>208</v>
      </c>
      <c r="H83" s="3">
        <v>45002</v>
      </c>
      <c r="I83" s="3">
        <v>45044</v>
      </c>
      <c r="J83" s="2">
        <v>3044312</v>
      </c>
      <c r="K83" s="2" t="s">
        <v>209</v>
      </c>
      <c r="L83" s="2" t="s">
        <v>210</v>
      </c>
      <c r="M83" s="2">
        <v>0.6</v>
      </c>
      <c r="N83" s="2" t="s">
        <v>39</v>
      </c>
      <c r="O83" s="5">
        <v>650000</v>
      </c>
      <c r="P83" s="5" t="s">
        <v>33</v>
      </c>
      <c r="Q83" s="2" t="s">
        <v>33</v>
      </c>
      <c r="R83" s="6">
        <f t="shared" si="1"/>
        <v>-1.4080000000000001</v>
      </c>
      <c r="S83" s="2">
        <v>640848</v>
      </c>
      <c r="T83" s="2" t="s">
        <v>33</v>
      </c>
      <c r="U83" s="2" t="s">
        <v>33</v>
      </c>
      <c r="V83" s="8" t="s">
        <v>34</v>
      </c>
      <c r="W83" s="2">
        <v>8000</v>
      </c>
      <c r="X83" s="9" t="s">
        <v>35</v>
      </c>
      <c r="Y83" s="10" t="s">
        <v>211</v>
      </c>
    </row>
    <row r="84" spans="1:25" ht="15" customHeight="1" x14ac:dyDescent="0.35">
      <c r="A84" s="2">
        <v>4872971</v>
      </c>
      <c r="B84" s="2" t="s">
        <v>40</v>
      </c>
      <c r="C84" s="3">
        <v>44893</v>
      </c>
      <c r="D84" s="3">
        <v>44893</v>
      </c>
      <c r="E84" s="2" t="s">
        <v>26</v>
      </c>
      <c r="F84" s="2" t="s">
        <v>84</v>
      </c>
      <c r="G84" s="2" t="s">
        <v>116</v>
      </c>
      <c r="H84" s="3">
        <v>44946</v>
      </c>
      <c r="I84" s="3">
        <v>45048</v>
      </c>
      <c r="J84" s="2">
        <v>3064121</v>
      </c>
      <c r="K84" s="2" t="s">
        <v>212</v>
      </c>
      <c r="L84" s="2" t="s">
        <v>81</v>
      </c>
      <c r="M84" s="2">
        <v>3.6</v>
      </c>
      <c r="N84" s="2" t="s">
        <v>39</v>
      </c>
      <c r="O84" s="2">
        <v>800000</v>
      </c>
      <c r="P84" s="2" t="s">
        <v>33</v>
      </c>
      <c r="Q84" s="2" t="s">
        <v>33</v>
      </c>
      <c r="R84" s="6">
        <f t="shared" si="1"/>
        <v>34.049250000000001</v>
      </c>
      <c r="S84" s="2">
        <v>1072394</v>
      </c>
      <c r="T84" s="2" t="s">
        <v>33</v>
      </c>
      <c r="U84" s="2">
        <v>1.1000000000000001</v>
      </c>
      <c r="V84" s="8" t="s">
        <v>48</v>
      </c>
      <c r="W84" s="2">
        <v>52500</v>
      </c>
      <c r="X84" s="9" t="s">
        <v>35</v>
      </c>
      <c r="Y84" s="10" t="s">
        <v>118</v>
      </c>
    </row>
    <row r="85" spans="1:25" ht="15" customHeight="1" x14ac:dyDescent="0.35">
      <c r="A85" s="2">
        <v>4877472</v>
      </c>
      <c r="B85" s="2" t="s">
        <v>40</v>
      </c>
      <c r="C85" s="3">
        <v>44960</v>
      </c>
      <c r="D85" s="3">
        <v>44960</v>
      </c>
      <c r="E85" s="2" t="s">
        <v>26</v>
      </c>
      <c r="F85" s="2" t="s">
        <v>213</v>
      </c>
      <c r="G85" s="2" t="s">
        <v>214</v>
      </c>
      <c r="H85" s="3">
        <v>45037</v>
      </c>
      <c r="I85" s="3">
        <v>45054</v>
      </c>
      <c r="J85" s="2">
        <v>3066439</v>
      </c>
      <c r="K85" s="2" t="s">
        <v>215</v>
      </c>
      <c r="L85" s="2" t="s">
        <v>142</v>
      </c>
      <c r="M85" s="2" t="s">
        <v>31</v>
      </c>
      <c r="N85" s="2" t="s">
        <v>32</v>
      </c>
      <c r="O85" s="5" t="e">
        <v>#N/A</v>
      </c>
      <c r="P85" s="2" t="s">
        <v>33</v>
      </c>
      <c r="Q85" s="2" t="s">
        <v>33</v>
      </c>
      <c r="R85" s="6" t="e">
        <f t="shared" si="1"/>
        <v>#N/A</v>
      </c>
      <c r="S85" s="2">
        <v>392925</v>
      </c>
      <c r="T85" s="2" t="s">
        <v>33</v>
      </c>
      <c r="U85" s="2">
        <v>0.75</v>
      </c>
      <c r="V85" s="8" t="s">
        <v>48</v>
      </c>
      <c r="W85" s="2">
        <v>14000</v>
      </c>
      <c r="X85" s="9" t="s">
        <v>35</v>
      </c>
      <c r="Y85" s="10" t="s">
        <v>118</v>
      </c>
    </row>
    <row r="86" spans="1:25" ht="15" customHeight="1" x14ac:dyDescent="0.35">
      <c r="A86" s="2">
        <v>4863722</v>
      </c>
      <c r="B86" s="2" t="s">
        <v>25</v>
      </c>
      <c r="C86" s="3">
        <v>44803</v>
      </c>
      <c r="D86" s="3">
        <v>44803</v>
      </c>
      <c r="E86" s="2" t="s">
        <v>26</v>
      </c>
      <c r="F86" s="2" t="s">
        <v>45</v>
      </c>
      <c r="G86" s="2" t="s">
        <v>116</v>
      </c>
      <c r="H86" s="3">
        <v>44966</v>
      </c>
      <c r="I86" s="3">
        <v>45061</v>
      </c>
      <c r="J86" s="4">
        <v>1922109</v>
      </c>
      <c r="K86" s="2" t="s">
        <v>216</v>
      </c>
      <c r="L86" s="2" t="s">
        <v>47</v>
      </c>
      <c r="M86" s="2">
        <v>9.5</v>
      </c>
      <c r="N86" s="2" t="s">
        <v>32</v>
      </c>
      <c r="O86" s="2">
        <v>1375000</v>
      </c>
      <c r="P86" s="2" t="s">
        <v>33</v>
      </c>
      <c r="Q86" s="2" t="s">
        <v>33</v>
      </c>
      <c r="R86" s="6">
        <f t="shared" si="1"/>
        <v>33.938690909090909</v>
      </c>
      <c r="S86" s="2">
        <v>1841657</v>
      </c>
      <c r="T86" s="2" t="s">
        <v>33</v>
      </c>
      <c r="U86" s="2">
        <v>1.2</v>
      </c>
      <c r="V86" s="8" t="s">
        <v>34</v>
      </c>
      <c r="W86" s="2">
        <v>8000</v>
      </c>
      <c r="X86" s="9" t="s">
        <v>35</v>
      </c>
      <c r="Y86" s="10" t="s">
        <v>118</v>
      </c>
    </row>
    <row r="87" spans="1:25" ht="15" customHeight="1" x14ac:dyDescent="0.35">
      <c r="A87" s="2">
        <v>4879278</v>
      </c>
      <c r="B87" s="2" t="s">
        <v>40</v>
      </c>
      <c r="C87" s="3">
        <v>44985</v>
      </c>
      <c r="D87" s="3">
        <v>44985</v>
      </c>
      <c r="E87" s="2" t="s">
        <v>26</v>
      </c>
      <c r="F87" s="2" t="s">
        <v>84</v>
      </c>
      <c r="G87" s="2" t="s">
        <v>217</v>
      </c>
      <c r="H87" s="3">
        <v>45002</v>
      </c>
      <c r="I87" s="3">
        <v>45103</v>
      </c>
      <c r="J87" s="2">
        <v>3065429</v>
      </c>
      <c r="K87" s="2" t="s">
        <v>218</v>
      </c>
      <c r="L87" s="2" t="s">
        <v>123</v>
      </c>
      <c r="M87" s="2">
        <v>4</v>
      </c>
      <c r="N87" s="2" t="s">
        <v>39</v>
      </c>
      <c r="O87" s="2">
        <v>570000</v>
      </c>
      <c r="P87" s="2" t="s">
        <v>33</v>
      </c>
      <c r="Q87" s="2" t="s">
        <v>33</v>
      </c>
      <c r="R87" s="6">
        <f t="shared" si="1"/>
        <v>41.214912280701753</v>
      </c>
      <c r="S87" s="2">
        <v>804925</v>
      </c>
      <c r="T87" s="2" t="s">
        <v>33</v>
      </c>
      <c r="U87" s="2">
        <v>0.83</v>
      </c>
      <c r="V87" s="8" t="s">
        <v>34</v>
      </c>
      <c r="W87" s="2">
        <v>8000</v>
      </c>
      <c r="X87" s="9" t="s">
        <v>35</v>
      </c>
      <c r="Y87" s="10" t="s">
        <v>118</v>
      </c>
    </row>
    <row r="88" spans="1:25" ht="15" customHeight="1" x14ac:dyDescent="0.35">
      <c r="A88" s="2">
        <v>4881875</v>
      </c>
      <c r="B88" s="2" t="s">
        <v>40</v>
      </c>
      <c r="C88" s="3">
        <v>45016</v>
      </c>
      <c r="D88" s="3">
        <v>45016</v>
      </c>
      <c r="E88" s="2" t="s">
        <v>26</v>
      </c>
      <c r="F88" s="2" t="s">
        <v>213</v>
      </c>
      <c r="G88" s="2" t="s">
        <v>214</v>
      </c>
      <c r="H88" s="3">
        <v>45036</v>
      </c>
      <c r="I88" s="3">
        <v>45103</v>
      </c>
      <c r="J88" s="2">
        <v>3066480</v>
      </c>
      <c r="K88" s="2" t="s">
        <v>219</v>
      </c>
      <c r="L88" s="2" t="s">
        <v>142</v>
      </c>
      <c r="M88" s="2" t="s">
        <v>31</v>
      </c>
      <c r="N88" s="2" t="s">
        <v>39</v>
      </c>
      <c r="O88" s="5" t="e">
        <v>#N/A</v>
      </c>
      <c r="P88" s="2" t="s">
        <v>33</v>
      </c>
      <c r="Q88" s="2" t="s">
        <v>33</v>
      </c>
      <c r="R88" s="6" t="e">
        <f t="shared" si="1"/>
        <v>#N/A</v>
      </c>
      <c r="S88" s="2">
        <v>392925</v>
      </c>
      <c r="T88" s="2" t="s">
        <v>33</v>
      </c>
      <c r="U88" s="2">
        <v>0.75</v>
      </c>
      <c r="V88" s="8" t="s">
        <v>34</v>
      </c>
      <c r="W88" s="2">
        <v>8000</v>
      </c>
      <c r="X88" s="9" t="s">
        <v>35</v>
      </c>
      <c r="Y88" s="10" t="s">
        <v>118</v>
      </c>
    </row>
    <row r="89" spans="1:25" ht="15" customHeight="1" x14ac:dyDescent="0.35">
      <c r="A89" s="2">
        <v>4879531</v>
      </c>
      <c r="B89" s="2" t="s">
        <v>25</v>
      </c>
      <c r="C89" s="3">
        <v>44988</v>
      </c>
      <c r="D89" s="3">
        <v>44988</v>
      </c>
      <c r="E89" s="2" t="s">
        <v>26</v>
      </c>
      <c r="F89" s="2" t="s">
        <v>200</v>
      </c>
      <c r="G89" s="2" t="s">
        <v>28</v>
      </c>
      <c r="H89" s="3">
        <v>45002</v>
      </c>
      <c r="I89" s="3">
        <v>45105</v>
      </c>
      <c r="J89" s="2">
        <v>3065840</v>
      </c>
      <c r="K89" s="2" t="s">
        <v>220</v>
      </c>
      <c r="L89" s="2" t="s">
        <v>221</v>
      </c>
      <c r="M89" s="2">
        <v>10</v>
      </c>
      <c r="N89" s="2" t="s">
        <v>39</v>
      </c>
      <c r="O89" s="2">
        <v>1800000</v>
      </c>
      <c r="P89" s="2" t="s">
        <v>33</v>
      </c>
      <c r="Q89" s="2" t="s">
        <v>33</v>
      </c>
      <c r="R89" s="6">
        <f t="shared" si="1"/>
        <v>40.672555555555554</v>
      </c>
      <c r="S89" s="2">
        <v>2532106</v>
      </c>
      <c r="T89" s="2" t="s">
        <v>33</v>
      </c>
      <c r="U89" s="2">
        <v>1.08</v>
      </c>
      <c r="V89" s="8" t="s">
        <v>48</v>
      </c>
      <c r="W89" s="2">
        <v>94500</v>
      </c>
      <c r="X89" s="9" t="s">
        <v>35</v>
      </c>
      <c r="Y89" s="10" t="s">
        <v>118</v>
      </c>
    </row>
    <row r="90" spans="1:25" ht="15" customHeight="1" x14ac:dyDescent="0.35">
      <c r="A90" s="2">
        <v>4883732</v>
      </c>
      <c r="B90" s="2" t="s">
        <v>33</v>
      </c>
      <c r="C90" s="3">
        <v>45041</v>
      </c>
      <c r="D90" s="3">
        <v>45041</v>
      </c>
      <c r="E90" s="2" t="s">
        <v>50</v>
      </c>
      <c r="F90" s="2" t="s">
        <v>68</v>
      </c>
      <c r="G90" s="2" t="s">
        <v>222</v>
      </c>
      <c r="H90" s="3">
        <v>44962</v>
      </c>
      <c r="I90" s="3">
        <v>45110</v>
      </c>
      <c r="J90" s="2">
        <v>3066691</v>
      </c>
      <c r="K90" s="2" t="s">
        <v>223</v>
      </c>
      <c r="L90" s="2" t="s">
        <v>224</v>
      </c>
      <c r="M90" s="2">
        <v>13</v>
      </c>
      <c r="N90" s="2" t="s">
        <v>39</v>
      </c>
      <c r="O90" s="5">
        <v>520000</v>
      </c>
      <c r="P90" s="5" t="s">
        <v>33</v>
      </c>
      <c r="Q90" s="2" t="s">
        <v>33</v>
      </c>
      <c r="R90" s="6">
        <f t="shared" si="1"/>
        <v>116.34615384615385</v>
      </c>
      <c r="S90" s="2">
        <v>1125000</v>
      </c>
      <c r="T90" s="2" t="s">
        <v>33</v>
      </c>
      <c r="U90" s="2" t="s">
        <v>33</v>
      </c>
      <c r="V90" s="8" t="s">
        <v>34</v>
      </c>
      <c r="W90" s="2">
        <v>8000</v>
      </c>
      <c r="X90" s="9" t="s">
        <v>35</v>
      </c>
      <c r="Y90" s="10" t="s">
        <v>211</v>
      </c>
    </row>
    <row r="91" spans="1:25" ht="15" customHeight="1" x14ac:dyDescent="0.35">
      <c r="A91" s="2">
        <v>4887440</v>
      </c>
      <c r="B91" s="2" t="s">
        <v>33</v>
      </c>
      <c r="C91" s="3">
        <v>45090</v>
      </c>
      <c r="D91" s="3">
        <v>45090</v>
      </c>
      <c r="E91" s="2" t="s">
        <v>50</v>
      </c>
      <c r="F91" s="2" t="s">
        <v>59</v>
      </c>
      <c r="G91" s="2" t="s">
        <v>225</v>
      </c>
      <c r="H91" s="3">
        <v>45097</v>
      </c>
      <c r="I91" s="3">
        <v>45110</v>
      </c>
      <c r="J91" s="2">
        <v>3068201</v>
      </c>
      <c r="K91" s="5" t="s">
        <v>226</v>
      </c>
      <c r="L91" s="2" t="s">
        <v>227</v>
      </c>
      <c r="M91" s="2">
        <v>10</v>
      </c>
      <c r="N91" s="2" t="s">
        <v>32</v>
      </c>
      <c r="O91" s="5">
        <v>3000000</v>
      </c>
      <c r="P91" s="5" t="s">
        <v>33</v>
      </c>
      <c r="Q91" s="2" t="s">
        <v>33</v>
      </c>
      <c r="R91" s="6">
        <f t="shared" si="1"/>
        <v>34.841666666666669</v>
      </c>
      <c r="S91" s="2">
        <v>4045250</v>
      </c>
      <c r="T91" s="2" t="s">
        <v>33</v>
      </c>
      <c r="U91" s="2" t="s">
        <v>33</v>
      </c>
      <c r="V91" s="8" t="s">
        <v>48</v>
      </c>
      <c r="W91" s="2">
        <v>344880</v>
      </c>
      <c r="X91" s="9" t="s">
        <v>35</v>
      </c>
      <c r="Y91" s="10" t="s">
        <v>228</v>
      </c>
    </row>
    <row r="92" spans="1:25" ht="15" customHeight="1" x14ac:dyDescent="0.35">
      <c r="A92" s="2">
        <v>4887354</v>
      </c>
      <c r="B92" s="2" t="s">
        <v>33</v>
      </c>
      <c r="C92" s="3">
        <v>45100</v>
      </c>
      <c r="D92" s="3">
        <v>45090</v>
      </c>
      <c r="E92" s="2" t="s">
        <v>50</v>
      </c>
      <c r="F92" s="2" t="s">
        <v>68</v>
      </c>
      <c r="G92" s="2" t="s">
        <v>124</v>
      </c>
      <c r="H92" s="3">
        <v>45094</v>
      </c>
      <c r="I92" s="3">
        <v>45110</v>
      </c>
      <c r="J92" s="2">
        <v>7068118</v>
      </c>
      <c r="K92" s="2" t="s">
        <v>229</v>
      </c>
      <c r="L92" s="2" t="s">
        <v>230</v>
      </c>
      <c r="M92" s="2">
        <v>5</v>
      </c>
      <c r="N92" s="2" t="s">
        <v>32</v>
      </c>
      <c r="O92" s="5">
        <v>1400000</v>
      </c>
      <c r="P92" s="5" t="s">
        <v>33</v>
      </c>
      <c r="Q92" s="2" t="s">
        <v>33</v>
      </c>
      <c r="R92" s="6">
        <f t="shared" si="1"/>
        <v>0</v>
      </c>
      <c r="S92" s="2">
        <v>1400000</v>
      </c>
      <c r="T92" s="2" t="s">
        <v>33</v>
      </c>
      <c r="U92" s="2" t="s">
        <v>33</v>
      </c>
      <c r="V92" s="8" t="s">
        <v>34</v>
      </c>
      <c r="W92" s="2">
        <v>8000</v>
      </c>
      <c r="X92" s="9" t="s">
        <v>35</v>
      </c>
      <c r="Y92" s="10" t="s">
        <v>228</v>
      </c>
    </row>
    <row r="93" spans="1:25" ht="15" customHeight="1" x14ac:dyDescent="0.35">
      <c r="A93" s="2">
        <v>4878833</v>
      </c>
      <c r="B93" s="2" t="s">
        <v>40</v>
      </c>
      <c r="C93" s="3">
        <v>44979</v>
      </c>
      <c r="D93" s="3">
        <v>44979</v>
      </c>
      <c r="E93" s="2" t="s">
        <v>26</v>
      </c>
      <c r="F93" s="2" t="s">
        <v>84</v>
      </c>
      <c r="G93" s="2" t="s">
        <v>201</v>
      </c>
      <c r="H93" s="3">
        <v>45016</v>
      </c>
      <c r="I93" s="3">
        <v>45110</v>
      </c>
      <c r="J93" s="2">
        <v>3066010</v>
      </c>
      <c r="K93" s="2" t="s">
        <v>231</v>
      </c>
      <c r="L93" s="2" t="s">
        <v>81</v>
      </c>
      <c r="M93" s="2">
        <v>5</v>
      </c>
      <c r="N93" s="2" t="s">
        <v>32</v>
      </c>
      <c r="O93" s="2">
        <v>750000</v>
      </c>
      <c r="P93" s="2" t="s">
        <v>33</v>
      </c>
      <c r="Q93" s="2" t="s">
        <v>33</v>
      </c>
      <c r="R93" s="6">
        <f t="shared" si="1"/>
        <v>52.084933333333339</v>
      </c>
      <c r="S93" s="2">
        <v>1140637</v>
      </c>
      <c r="T93" s="2" t="s">
        <v>33</v>
      </c>
      <c r="U93" s="2">
        <v>1.17</v>
      </c>
      <c r="V93" s="8" t="s">
        <v>48</v>
      </c>
      <c r="W93" s="2">
        <v>52500</v>
      </c>
      <c r="X93" s="9" t="s">
        <v>35</v>
      </c>
      <c r="Y93" s="10" t="s">
        <v>118</v>
      </c>
    </row>
    <row r="94" spans="1:25" ht="15" customHeight="1" x14ac:dyDescent="0.35">
      <c r="A94" s="2">
        <v>4881463</v>
      </c>
      <c r="B94" s="2" t="s">
        <v>33</v>
      </c>
      <c r="C94" s="3">
        <v>44986</v>
      </c>
      <c r="D94" s="3">
        <v>45012</v>
      </c>
      <c r="E94" s="2" t="s">
        <v>50</v>
      </c>
      <c r="F94" s="2" t="s">
        <v>232</v>
      </c>
      <c r="G94" s="2" t="s">
        <v>104</v>
      </c>
      <c r="H94" s="3">
        <v>45068</v>
      </c>
      <c r="I94" s="3">
        <v>45114</v>
      </c>
      <c r="J94" s="2">
        <v>3067161</v>
      </c>
      <c r="K94" s="2" t="s">
        <v>233</v>
      </c>
      <c r="L94" s="2" t="s">
        <v>33</v>
      </c>
      <c r="M94" s="2" t="s">
        <v>31</v>
      </c>
      <c r="N94" s="2" t="s">
        <v>39</v>
      </c>
      <c r="O94" s="5" t="e">
        <v>#N/A</v>
      </c>
      <c r="P94" s="5" t="s">
        <v>33</v>
      </c>
      <c r="Q94" s="2" t="s">
        <v>33</v>
      </c>
      <c r="R94" s="6" t="e">
        <f t="shared" si="1"/>
        <v>#N/A</v>
      </c>
      <c r="S94" s="2">
        <v>750000</v>
      </c>
      <c r="T94" s="2" t="s">
        <v>33</v>
      </c>
      <c r="U94" s="2" t="s">
        <v>33</v>
      </c>
      <c r="V94" s="8" t="s">
        <v>48</v>
      </c>
      <c r="W94" s="2">
        <v>26250</v>
      </c>
      <c r="X94" s="9" t="s">
        <v>35</v>
      </c>
      <c r="Y94" s="10" t="s">
        <v>228</v>
      </c>
    </row>
    <row r="95" spans="1:25" ht="15" customHeight="1" x14ac:dyDescent="0.35">
      <c r="A95" s="2">
        <v>4885728</v>
      </c>
      <c r="B95" s="2" t="s">
        <v>33</v>
      </c>
      <c r="C95" s="3">
        <v>45100</v>
      </c>
      <c r="D95" s="3">
        <v>45068</v>
      </c>
      <c r="E95" s="2" t="s">
        <v>50</v>
      </c>
      <c r="F95" s="2" t="s">
        <v>51</v>
      </c>
      <c r="G95" s="2" t="s">
        <v>234</v>
      </c>
      <c r="H95" s="3">
        <v>45076</v>
      </c>
      <c r="I95" s="3">
        <v>45117</v>
      </c>
      <c r="J95" s="2">
        <v>3067460</v>
      </c>
      <c r="K95" s="2" t="s">
        <v>235</v>
      </c>
      <c r="L95" s="7" t="s">
        <v>236</v>
      </c>
      <c r="M95" s="2" t="s">
        <v>33</v>
      </c>
      <c r="N95" s="2" t="s">
        <v>39</v>
      </c>
      <c r="O95" s="5" t="e">
        <v>#N/A</v>
      </c>
      <c r="P95" s="5" t="s">
        <v>33</v>
      </c>
      <c r="Q95" s="2" t="s">
        <v>33</v>
      </c>
      <c r="R95" s="6" t="e">
        <f t="shared" si="1"/>
        <v>#N/A</v>
      </c>
      <c r="S95" s="2">
        <v>852879</v>
      </c>
      <c r="T95" s="2" t="s">
        <v>33</v>
      </c>
      <c r="U95" s="2" t="s">
        <v>33</v>
      </c>
      <c r="V95" s="8" t="s">
        <v>34</v>
      </c>
      <c r="W95" s="2">
        <v>8000</v>
      </c>
      <c r="X95" s="9" t="s">
        <v>35</v>
      </c>
      <c r="Y95" s="10" t="s">
        <v>211</v>
      </c>
    </row>
    <row r="96" spans="1:25" ht="15" customHeight="1" x14ac:dyDescent="0.35">
      <c r="A96" s="2">
        <v>4887640</v>
      </c>
      <c r="B96" s="2" t="s">
        <v>33</v>
      </c>
      <c r="C96" s="3">
        <v>45092</v>
      </c>
      <c r="D96" s="3">
        <v>45092</v>
      </c>
      <c r="E96" s="2" t="s">
        <v>50</v>
      </c>
      <c r="F96" s="2" t="s">
        <v>68</v>
      </c>
      <c r="G96" s="2" t="s">
        <v>222</v>
      </c>
      <c r="H96" s="3">
        <v>45104</v>
      </c>
      <c r="I96" s="3">
        <v>45119</v>
      </c>
      <c r="J96" s="2">
        <v>3068723</v>
      </c>
      <c r="K96" s="2" t="s">
        <v>237</v>
      </c>
      <c r="L96" s="15" t="s">
        <v>238</v>
      </c>
      <c r="M96" s="2">
        <v>8</v>
      </c>
      <c r="N96" s="2" t="s">
        <v>32</v>
      </c>
      <c r="O96" s="5">
        <v>1050000</v>
      </c>
      <c r="P96" s="5" t="s">
        <v>33</v>
      </c>
      <c r="Q96" s="2" t="s">
        <v>33</v>
      </c>
      <c r="R96" s="6">
        <f t="shared" si="1"/>
        <v>36.666666666666664</v>
      </c>
      <c r="S96" s="2">
        <v>1435000</v>
      </c>
      <c r="T96" s="2" t="s">
        <v>33</v>
      </c>
      <c r="U96" s="2" t="s">
        <v>33</v>
      </c>
      <c r="V96" s="8" t="s">
        <v>34</v>
      </c>
      <c r="W96" s="2">
        <v>8000</v>
      </c>
      <c r="X96" s="9" t="s">
        <v>35</v>
      </c>
      <c r="Y96" s="10" t="s">
        <v>228</v>
      </c>
    </row>
    <row r="97" spans="1:25" ht="15" customHeight="1" x14ac:dyDescent="0.35">
      <c r="A97" s="2">
        <v>4884249</v>
      </c>
      <c r="B97" s="2" t="s">
        <v>33</v>
      </c>
      <c r="C97" s="3">
        <v>45047</v>
      </c>
      <c r="D97" s="3">
        <v>45047</v>
      </c>
      <c r="E97" s="2" t="s">
        <v>50</v>
      </c>
      <c r="F97" s="2" t="s">
        <v>51</v>
      </c>
      <c r="G97" s="2" t="s">
        <v>239</v>
      </c>
      <c r="H97" s="3">
        <v>45051</v>
      </c>
      <c r="I97" s="3">
        <v>45124</v>
      </c>
      <c r="J97" s="2">
        <v>3067048</v>
      </c>
      <c r="K97" s="5" t="s">
        <v>240</v>
      </c>
      <c r="L97" s="2" t="s">
        <v>157</v>
      </c>
      <c r="M97" s="2">
        <v>1.2</v>
      </c>
      <c r="N97" s="2" t="s">
        <v>32</v>
      </c>
      <c r="O97" s="5">
        <v>465000</v>
      </c>
      <c r="P97" s="5" t="s">
        <v>33</v>
      </c>
      <c r="Q97" s="2" t="s">
        <v>33</v>
      </c>
      <c r="R97" s="6">
        <f t="shared" si="1"/>
        <v>72.050107526881717</v>
      </c>
      <c r="S97" s="2">
        <v>800033</v>
      </c>
      <c r="T97" s="2" t="s">
        <v>33</v>
      </c>
      <c r="U97" s="2" t="s">
        <v>33</v>
      </c>
      <c r="V97" s="8" t="s">
        <v>34</v>
      </c>
      <c r="W97" s="2">
        <v>8000</v>
      </c>
      <c r="X97" s="9" t="s">
        <v>35</v>
      </c>
      <c r="Y97" s="10" t="s">
        <v>228</v>
      </c>
    </row>
    <row r="98" spans="1:25" ht="15" customHeight="1" x14ac:dyDescent="0.35">
      <c r="A98" s="2">
        <v>4883143</v>
      </c>
      <c r="B98" s="2" t="s">
        <v>33</v>
      </c>
      <c r="C98" s="3">
        <v>45033</v>
      </c>
      <c r="D98" s="3">
        <v>45033</v>
      </c>
      <c r="E98" s="2" t="s">
        <v>50</v>
      </c>
      <c r="F98" s="2" t="s">
        <v>114</v>
      </c>
      <c r="G98" s="2" t="s">
        <v>241</v>
      </c>
      <c r="H98" s="3">
        <v>44990</v>
      </c>
      <c r="I98" s="3">
        <v>45131</v>
      </c>
      <c r="J98" s="2">
        <v>3066764</v>
      </c>
      <c r="K98" s="2" t="s">
        <v>242</v>
      </c>
      <c r="L98" s="2" t="s">
        <v>243</v>
      </c>
      <c r="M98" s="2">
        <v>12</v>
      </c>
      <c r="N98" s="2" t="s">
        <v>32</v>
      </c>
      <c r="O98" s="5">
        <v>1900000</v>
      </c>
      <c r="P98" s="5" t="s">
        <v>33</v>
      </c>
      <c r="Q98" s="2" t="s">
        <v>33</v>
      </c>
      <c r="R98" s="6">
        <f t="shared" si="1"/>
        <v>33.959473684210529</v>
      </c>
      <c r="S98" s="2">
        <v>2545230</v>
      </c>
      <c r="T98" s="2" t="s">
        <v>33</v>
      </c>
      <c r="U98" s="2" t="s">
        <v>33</v>
      </c>
      <c r="V98" s="8" t="s">
        <v>48</v>
      </c>
      <c r="W98" s="2">
        <v>94500</v>
      </c>
      <c r="X98" s="9" t="s">
        <v>35</v>
      </c>
      <c r="Y98" s="10" t="s">
        <v>211</v>
      </c>
    </row>
    <row r="99" spans="1:25" ht="15" customHeight="1" x14ac:dyDescent="0.35">
      <c r="A99" s="2">
        <v>4883250</v>
      </c>
      <c r="B99" s="2" t="s">
        <v>33</v>
      </c>
      <c r="C99" s="3">
        <v>45034</v>
      </c>
      <c r="D99" s="3">
        <v>45034</v>
      </c>
      <c r="E99" s="2" t="s">
        <v>50</v>
      </c>
      <c r="F99" s="2" t="s">
        <v>68</v>
      </c>
      <c r="G99" s="2" t="s">
        <v>239</v>
      </c>
      <c r="H99" s="3">
        <v>45037</v>
      </c>
      <c r="I99" s="3">
        <v>45133</v>
      </c>
      <c r="J99" s="2">
        <v>4883250</v>
      </c>
      <c r="K99" s="2" t="s">
        <v>244</v>
      </c>
      <c r="L99" s="2" t="s">
        <v>47</v>
      </c>
      <c r="M99" s="2">
        <v>4.5</v>
      </c>
      <c r="N99" s="2" t="s">
        <v>39</v>
      </c>
      <c r="O99" s="5">
        <v>930000</v>
      </c>
      <c r="P99" s="5" t="s">
        <v>33</v>
      </c>
      <c r="Q99" s="2" t="s">
        <v>33</v>
      </c>
      <c r="R99" s="6">
        <f t="shared" si="1"/>
        <v>62.591397849462361</v>
      </c>
      <c r="S99" s="2">
        <v>1512100</v>
      </c>
      <c r="T99" s="2" t="s">
        <v>33</v>
      </c>
      <c r="U99" s="2" t="s">
        <v>33</v>
      </c>
      <c r="V99" s="8" t="s">
        <v>48</v>
      </c>
      <c r="W99" s="2">
        <v>61250</v>
      </c>
      <c r="X99" s="9" t="s">
        <v>35</v>
      </c>
      <c r="Y99" s="10" t="s">
        <v>211</v>
      </c>
    </row>
    <row r="100" spans="1:25" ht="15" customHeight="1" x14ac:dyDescent="0.35">
      <c r="A100" s="2">
        <v>4888937</v>
      </c>
      <c r="B100" s="2" t="s">
        <v>33</v>
      </c>
      <c r="C100" s="3">
        <v>45100</v>
      </c>
      <c r="D100" s="3">
        <v>45107</v>
      </c>
      <c r="E100" s="2" t="s">
        <v>50</v>
      </c>
      <c r="F100" s="2" t="s">
        <v>51</v>
      </c>
      <c r="G100" s="2" t="s">
        <v>222</v>
      </c>
      <c r="H100" s="3">
        <v>45121</v>
      </c>
      <c r="I100" s="3">
        <v>45138</v>
      </c>
      <c r="J100" s="2">
        <v>3069043</v>
      </c>
      <c r="K100" s="5" t="s">
        <v>245</v>
      </c>
      <c r="L100" s="2" t="s">
        <v>246</v>
      </c>
      <c r="M100" s="2">
        <v>2.2000000000000002</v>
      </c>
      <c r="N100" s="2" t="s">
        <v>39</v>
      </c>
      <c r="O100" s="5">
        <v>520000</v>
      </c>
      <c r="P100" s="5" t="s">
        <v>33</v>
      </c>
      <c r="Q100" s="2" t="s">
        <v>33</v>
      </c>
      <c r="R100" s="6">
        <f t="shared" si="1"/>
        <v>15.384615384615385</v>
      </c>
      <c r="S100" s="2">
        <v>600000</v>
      </c>
      <c r="T100" s="2" t="s">
        <v>33</v>
      </c>
      <c r="U100" s="2" t="s">
        <v>33</v>
      </c>
      <c r="V100" s="8" t="s">
        <v>34</v>
      </c>
      <c r="W100" s="2">
        <v>8000</v>
      </c>
      <c r="X100" s="9" t="s">
        <v>35</v>
      </c>
      <c r="Y100" s="10" t="s">
        <v>228</v>
      </c>
    </row>
    <row r="101" spans="1:25" ht="15" customHeight="1" x14ac:dyDescent="0.35">
      <c r="A101" s="2">
        <v>4881752</v>
      </c>
      <c r="B101" s="2" t="s">
        <v>25</v>
      </c>
      <c r="C101" s="3">
        <v>45014</v>
      </c>
      <c r="D101" s="3">
        <v>45014</v>
      </c>
      <c r="E101" s="2" t="s">
        <v>26</v>
      </c>
      <c r="F101" s="2" t="s">
        <v>200</v>
      </c>
      <c r="G101" s="2" t="s">
        <v>28</v>
      </c>
      <c r="H101" s="3">
        <v>45064</v>
      </c>
      <c r="I101" s="3">
        <v>45139</v>
      </c>
      <c r="J101" s="2">
        <v>1892921</v>
      </c>
      <c r="K101" s="2" t="s">
        <v>247</v>
      </c>
      <c r="L101" s="2" t="s">
        <v>81</v>
      </c>
      <c r="M101" s="2">
        <v>15</v>
      </c>
      <c r="N101" s="2" t="s">
        <v>32</v>
      </c>
      <c r="O101" s="2">
        <v>2100000</v>
      </c>
      <c r="P101" s="2" t="s">
        <v>33</v>
      </c>
      <c r="Q101" s="2" t="s">
        <v>33</v>
      </c>
      <c r="R101" s="6">
        <f t="shared" si="1"/>
        <v>34.12380952380952</v>
      </c>
      <c r="S101" s="2">
        <v>2816600</v>
      </c>
      <c r="T101" s="2" t="s">
        <v>33</v>
      </c>
      <c r="U101" s="2">
        <v>1.2</v>
      </c>
      <c r="V101" s="8" t="s">
        <v>48</v>
      </c>
      <c r="W101" s="2">
        <v>94500</v>
      </c>
      <c r="X101" s="9" t="s">
        <v>35</v>
      </c>
      <c r="Y101" s="10" t="s">
        <v>118</v>
      </c>
    </row>
    <row r="102" spans="1:25" ht="15" customHeight="1" x14ac:dyDescent="0.35">
      <c r="A102" s="2">
        <v>4888925</v>
      </c>
      <c r="B102" s="2" t="s">
        <v>33</v>
      </c>
      <c r="C102" s="3">
        <v>45100</v>
      </c>
      <c r="D102" s="3">
        <v>45121</v>
      </c>
      <c r="E102" s="2" t="s">
        <v>50</v>
      </c>
      <c r="F102" s="2" t="s">
        <v>59</v>
      </c>
      <c r="G102" s="2" t="s">
        <v>248</v>
      </c>
      <c r="H102" s="3">
        <v>45125</v>
      </c>
      <c r="I102" s="3">
        <v>45145</v>
      </c>
      <c r="J102" s="2">
        <v>3069197</v>
      </c>
      <c r="K102" s="5" t="s">
        <v>249</v>
      </c>
      <c r="L102" s="2" t="s">
        <v>250</v>
      </c>
      <c r="M102" s="2">
        <v>9</v>
      </c>
      <c r="N102" s="2" t="s">
        <v>32</v>
      </c>
      <c r="O102" s="5">
        <v>2601000</v>
      </c>
      <c r="P102" s="5" t="s">
        <v>33</v>
      </c>
      <c r="Q102" s="2" t="s">
        <v>33</v>
      </c>
      <c r="R102" s="6">
        <f t="shared" si="1"/>
        <v>34.563629373317958</v>
      </c>
      <c r="S102" s="2">
        <v>3500000</v>
      </c>
      <c r="T102" s="2" t="s">
        <v>33</v>
      </c>
      <c r="U102" s="2" t="s">
        <v>33</v>
      </c>
      <c r="V102" s="8" t="s">
        <v>34</v>
      </c>
      <c r="W102" s="2">
        <v>8000</v>
      </c>
      <c r="X102" s="9" t="s">
        <v>35</v>
      </c>
      <c r="Y102" s="10" t="s">
        <v>228</v>
      </c>
    </row>
    <row r="103" spans="1:25" ht="15" customHeight="1" x14ac:dyDescent="0.35">
      <c r="A103" s="2">
        <v>4881869</v>
      </c>
      <c r="B103" s="2" t="s">
        <v>25</v>
      </c>
      <c r="C103" s="3">
        <v>45016</v>
      </c>
      <c r="D103" s="3">
        <v>45016</v>
      </c>
      <c r="E103" s="2" t="s">
        <v>26</v>
      </c>
      <c r="F103" s="2" t="s">
        <v>84</v>
      </c>
      <c r="G103" s="2" t="s">
        <v>251</v>
      </c>
      <c r="H103" s="3">
        <v>45050</v>
      </c>
      <c r="I103" s="3">
        <v>45145</v>
      </c>
      <c r="J103" s="2">
        <v>3066716</v>
      </c>
      <c r="K103" s="2" t="s">
        <v>252</v>
      </c>
      <c r="L103" s="2" t="s">
        <v>253</v>
      </c>
      <c r="M103" s="2">
        <v>3</v>
      </c>
      <c r="N103" s="2" t="s">
        <v>39</v>
      </c>
      <c r="O103" s="2">
        <v>750000</v>
      </c>
      <c r="P103" s="2" t="s">
        <v>33</v>
      </c>
      <c r="Q103" s="2" t="s">
        <v>33</v>
      </c>
      <c r="R103" s="6">
        <f t="shared" si="1"/>
        <v>33.333333333333329</v>
      </c>
      <c r="S103" s="2">
        <v>1000000</v>
      </c>
      <c r="T103" s="2" t="s">
        <v>33</v>
      </c>
      <c r="U103" s="2">
        <v>1.03</v>
      </c>
      <c r="V103" s="8" t="s">
        <v>48</v>
      </c>
      <c r="W103" s="2">
        <v>26250</v>
      </c>
      <c r="X103" s="9" t="s">
        <v>35</v>
      </c>
      <c r="Y103" s="10" t="s">
        <v>118</v>
      </c>
    </row>
    <row r="104" spans="1:25" ht="15" customHeight="1" x14ac:dyDescent="0.35">
      <c r="A104" s="2" t="s">
        <v>254</v>
      </c>
      <c r="B104" s="2" t="s">
        <v>33</v>
      </c>
      <c r="C104" s="3">
        <v>45033</v>
      </c>
      <c r="D104" s="3">
        <v>45033</v>
      </c>
      <c r="E104" s="2" t="s">
        <v>50</v>
      </c>
      <c r="F104" s="2" t="s">
        <v>68</v>
      </c>
      <c r="G104" s="2" t="s">
        <v>248</v>
      </c>
      <c r="H104" s="3">
        <v>44990</v>
      </c>
      <c r="I104" s="3">
        <v>45146</v>
      </c>
      <c r="J104" s="2">
        <v>3066763</v>
      </c>
      <c r="K104" s="2" t="s">
        <v>255</v>
      </c>
      <c r="L104" s="2" t="s">
        <v>81</v>
      </c>
      <c r="M104" s="2" t="s">
        <v>33</v>
      </c>
      <c r="N104" s="2" t="s">
        <v>39</v>
      </c>
      <c r="O104" s="5">
        <v>900000</v>
      </c>
      <c r="P104" s="5" t="s">
        <v>33</v>
      </c>
      <c r="Q104" s="2" t="s">
        <v>33</v>
      </c>
      <c r="R104" s="6">
        <f t="shared" si="1"/>
        <v>-84.423111111111112</v>
      </c>
      <c r="S104" s="2">
        <v>140192</v>
      </c>
      <c r="T104" s="2" t="s">
        <v>33</v>
      </c>
      <c r="U104" s="2" t="s">
        <v>33</v>
      </c>
      <c r="V104" s="8" t="s">
        <v>48</v>
      </c>
      <c r="W104" s="2">
        <v>52500</v>
      </c>
      <c r="X104" s="9" t="s">
        <v>35</v>
      </c>
      <c r="Y104" s="10" t="s">
        <v>211</v>
      </c>
    </row>
    <row r="105" spans="1:25" ht="15" customHeight="1" x14ac:dyDescent="0.35">
      <c r="A105" s="2">
        <v>4863284</v>
      </c>
      <c r="B105" s="2" t="s">
        <v>33</v>
      </c>
      <c r="C105" s="3">
        <v>44691</v>
      </c>
      <c r="D105" s="3">
        <v>44796</v>
      </c>
      <c r="E105" s="2" t="s">
        <v>50</v>
      </c>
      <c r="F105" s="2" t="s">
        <v>114</v>
      </c>
      <c r="G105" s="2" t="s">
        <v>239</v>
      </c>
      <c r="H105" s="3">
        <v>45044</v>
      </c>
      <c r="I105" s="3">
        <v>45146</v>
      </c>
      <c r="J105" s="2">
        <v>3066650</v>
      </c>
      <c r="K105" s="2" t="s">
        <v>256</v>
      </c>
      <c r="L105" s="2" t="s">
        <v>75</v>
      </c>
      <c r="M105" s="2">
        <v>14.5</v>
      </c>
      <c r="N105" s="2" t="s">
        <v>39</v>
      </c>
      <c r="O105" s="5">
        <v>1200000</v>
      </c>
      <c r="P105" s="5" t="s">
        <v>33</v>
      </c>
      <c r="Q105" s="2" t="s">
        <v>33</v>
      </c>
      <c r="R105" s="6">
        <f t="shared" si="1"/>
        <v>53.813416666666669</v>
      </c>
      <c r="S105" s="2">
        <v>1845761</v>
      </c>
      <c r="T105" s="2" t="s">
        <v>33</v>
      </c>
      <c r="U105" s="2" t="s">
        <v>33</v>
      </c>
      <c r="V105" s="8" t="s">
        <v>48</v>
      </c>
      <c r="W105" s="2">
        <v>61250</v>
      </c>
      <c r="X105" s="9" t="s">
        <v>35</v>
      </c>
      <c r="Y105" s="10" t="s">
        <v>211</v>
      </c>
    </row>
    <row r="106" spans="1:25" ht="15" customHeight="1" x14ac:dyDescent="0.35">
      <c r="A106" s="2">
        <v>4890231</v>
      </c>
      <c r="B106" s="2" t="s">
        <v>33</v>
      </c>
      <c r="C106" s="3">
        <v>45100</v>
      </c>
      <c r="D106" s="3">
        <v>45126</v>
      </c>
      <c r="E106" s="2" t="s">
        <v>50</v>
      </c>
      <c r="F106" s="2" t="s">
        <v>51</v>
      </c>
      <c r="G106" s="2" t="s">
        <v>225</v>
      </c>
      <c r="H106" s="3">
        <v>44993</v>
      </c>
      <c r="I106" s="3">
        <v>45152</v>
      </c>
      <c r="J106" s="2">
        <v>3069412</v>
      </c>
      <c r="K106" s="2" t="s">
        <v>257</v>
      </c>
      <c r="L106" s="2" t="s">
        <v>75</v>
      </c>
      <c r="M106" s="2">
        <v>4</v>
      </c>
      <c r="N106" s="2" t="s">
        <v>32</v>
      </c>
      <c r="O106" s="5">
        <v>504000</v>
      </c>
      <c r="P106" s="5" t="s">
        <v>33</v>
      </c>
      <c r="Q106" s="2" t="s">
        <v>33</v>
      </c>
      <c r="R106" s="6">
        <f t="shared" si="1"/>
        <v>91.468253968253961</v>
      </c>
      <c r="S106" s="2">
        <v>965000</v>
      </c>
      <c r="T106" s="2" t="s">
        <v>33</v>
      </c>
      <c r="U106" s="2" t="s">
        <v>33</v>
      </c>
      <c r="V106" s="8" t="s">
        <v>48</v>
      </c>
      <c r="W106" s="2">
        <v>52500</v>
      </c>
      <c r="X106" s="9" t="s">
        <v>35</v>
      </c>
      <c r="Y106" s="10" t="s">
        <v>228</v>
      </c>
    </row>
    <row r="107" spans="1:25" ht="15" customHeight="1" x14ac:dyDescent="0.35">
      <c r="A107" s="2">
        <v>4888909</v>
      </c>
      <c r="B107" s="2" t="s">
        <v>25</v>
      </c>
      <c r="C107" s="3">
        <v>45106</v>
      </c>
      <c r="D107" s="3">
        <v>45106</v>
      </c>
      <c r="E107" s="2" t="s">
        <v>26</v>
      </c>
      <c r="F107" s="2" t="s">
        <v>45</v>
      </c>
      <c r="G107" s="2" t="s">
        <v>28</v>
      </c>
      <c r="H107" s="3">
        <v>45131</v>
      </c>
      <c r="I107" s="3">
        <v>45152</v>
      </c>
      <c r="J107" s="2">
        <v>3069190</v>
      </c>
      <c r="K107" s="2" t="s">
        <v>258</v>
      </c>
      <c r="L107" s="2" t="s">
        <v>66</v>
      </c>
      <c r="M107" s="2">
        <v>9</v>
      </c>
      <c r="N107" s="2" t="s">
        <v>39</v>
      </c>
      <c r="O107" s="2">
        <v>1258000</v>
      </c>
      <c r="P107" s="2" t="s">
        <v>33</v>
      </c>
      <c r="Q107" s="2" t="s">
        <v>33</v>
      </c>
      <c r="R107" s="6">
        <f t="shared" si="1"/>
        <v>32.360492845786965</v>
      </c>
      <c r="S107" s="2">
        <v>1665095</v>
      </c>
      <c r="T107" s="2" t="s">
        <v>33</v>
      </c>
      <c r="U107" s="2">
        <v>1.19</v>
      </c>
      <c r="V107" s="8" t="s">
        <v>48</v>
      </c>
      <c r="W107" s="2">
        <v>61250</v>
      </c>
      <c r="X107" s="9" t="s">
        <v>35</v>
      </c>
      <c r="Y107" s="10" t="s">
        <v>118</v>
      </c>
    </row>
    <row r="108" spans="1:25" ht="15" customHeight="1" x14ac:dyDescent="0.35">
      <c r="A108" s="2">
        <v>4884053</v>
      </c>
      <c r="B108" s="2" t="s">
        <v>33</v>
      </c>
      <c r="C108" s="3">
        <v>45044</v>
      </c>
      <c r="D108" s="3">
        <v>45044</v>
      </c>
      <c r="E108" s="2" t="s">
        <v>50</v>
      </c>
      <c r="F108" s="2" t="s">
        <v>59</v>
      </c>
      <c r="G108" s="2" t="s">
        <v>259</v>
      </c>
      <c r="H108" s="3">
        <v>45072</v>
      </c>
      <c r="I108" s="3">
        <v>45154</v>
      </c>
      <c r="J108" s="2">
        <v>1903918</v>
      </c>
      <c r="K108" s="5" t="s">
        <v>260</v>
      </c>
      <c r="L108" s="2" t="s">
        <v>157</v>
      </c>
      <c r="M108" s="2">
        <v>10</v>
      </c>
      <c r="N108" s="2" t="s">
        <v>32</v>
      </c>
      <c r="O108" s="5">
        <v>3000000</v>
      </c>
      <c r="P108" s="5" t="s">
        <v>33</v>
      </c>
      <c r="Q108" s="2" t="s">
        <v>33</v>
      </c>
      <c r="R108" s="6">
        <f t="shared" si="1"/>
        <v>37.630000000000003</v>
      </c>
      <c r="S108" s="2">
        <v>4128900</v>
      </c>
      <c r="T108" s="2" t="s">
        <v>33</v>
      </c>
      <c r="U108" s="2" t="s">
        <v>33</v>
      </c>
      <c r="V108" s="8" t="s">
        <v>34</v>
      </c>
      <c r="W108" s="2">
        <v>8000</v>
      </c>
      <c r="X108" s="9" t="s">
        <v>35</v>
      </c>
      <c r="Y108" s="10" t="s">
        <v>228</v>
      </c>
    </row>
    <row r="109" spans="1:25" ht="15" customHeight="1" x14ac:dyDescent="0.35">
      <c r="A109" s="2">
        <v>4883030</v>
      </c>
      <c r="B109" s="2" t="s">
        <v>33</v>
      </c>
      <c r="C109" s="3">
        <v>45030</v>
      </c>
      <c r="D109" s="3">
        <v>45030</v>
      </c>
      <c r="E109" s="2" t="s">
        <v>50</v>
      </c>
      <c r="F109" s="2" t="s">
        <v>59</v>
      </c>
      <c r="G109" s="2" t="s">
        <v>225</v>
      </c>
      <c r="H109" s="3">
        <v>45069</v>
      </c>
      <c r="I109" s="3">
        <v>45159</v>
      </c>
      <c r="J109" s="2">
        <v>3067269</v>
      </c>
      <c r="K109" s="2" t="s">
        <v>261</v>
      </c>
      <c r="L109" s="2" t="s">
        <v>250</v>
      </c>
      <c r="M109" s="2">
        <v>8</v>
      </c>
      <c r="N109" s="2" t="s">
        <v>32</v>
      </c>
      <c r="O109" s="5">
        <v>2080000</v>
      </c>
      <c r="P109" s="5" t="s">
        <v>33</v>
      </c>
      <c r="Q109" s="2" t="s">
        <v>33</v>
      </c>
      <c r="R109" s="6">
        <f t="shared" si="1"/>
        <v>37.064326923076926</v>
      </c>
      <c r="S109" s="2">
        <v>2850938</v>
      </c>
      <c r="T109" s="2" t="s">
        <v>33</v>
      </c>
      <c r="U109" s="2" t="s">
        <v>33</v>
      </c>
      <c r="V109" s="8" t="s">
        <v>48</v>
      </c>
      <c r="W109" s="2">
        <v>94500</v>
      </c>
      <c r="X109" s="9" t="s">
        <v>35</v>
      </c>
      <c r="Y109" s="10" t="s">
        <v>211</v>
      </c>
    </row>
    <row r="110" spans="1:25" ht="15" customHeight="1" x14ac:dyDescent="0.35">
      <c r="A110" s="2">
        <v>4885715</v>
      </c>
      <c r="B110" s="2" t="s">
        <v>33</v>
      </c>
      <c r="C110" s="3">
        <v>45068</v>
      </c>
      <c r="D110" s="3">
        <v>45068</v>
      </c>
      <c r="E110" s="2" t="s">
        <v>50</v>
      </c>
      <c r="F110" s="2" t="s">
        <v>68</v>
      </c>
      <c r="G110" s="2" t="s">
        <v>124</v>
      </c>
      <c r="H110" s="3">
        <v>45091</v>
      </c>
      <c r="I110" s="3">
        <v>45159</v>
      </c>
      <c r="J110" s="2">
        <v>3067967</v>
      </c>
      <c r="K110" s="5" t="s">
        <v>262</v>
      </c>
      <c r="L110" s="2" t="s">
        <v>263</v>
      </c>
      <c r="M110" s="2">
        <v>2.4</v>
      </c>
      <c r="N110" s="2" t="s">
        <v>32</v>
      </c>
      <c r="O110" s="5">
        <v>1200000</v>
      </c>
      <c r="P110" s="5" t="s">
        <v>33</v>
      </c>
      <c r="Q110" s="2" t="s">
        <v>33</v>
      </c>
      <c r="R110" s="6">
        <f t="shared" si="1"/>
        <v>48.66225</v>
      </c>
      <c r="S110" s="2">
        <v>1783947</v>
      </c>
      <c r="T110" s="2" t="s">
        <v>33</v>
      </c>
      <c r="U110" s="2" t="s">
        <v>33</v>
      </c>
      <c r="V110" s="8" t="s">
        <v>34</v>
      </c>
      <c r="W110" s="2">
        <v>8000</v>
      </c>
      <c r="X110" s="9" t="s">
        <v>35</v>
      </c>
      <c r="Y110" s="10" t="s">
        <v>228</v>
      </c>
    </row>
    <row r="111" spans="1:25" ht="15" customHeight="1" x14ac:dyDescent="0.35">
      <c r="A111" s="2" t="s">
        <v>264</v>
      </c>
      <c r="B111" s="2" t="s">
        <v>33</v>
      </c>
      <c r="C111" s="3">
        <v>45100</v>
      </c>
      <c r="D111" s="3">
        <v>45089</v>
      </c>
      <c r="E111" s="2" t="s">
        <v>50</v>
      </c>
      <c r="F111" s="2" t="s">
        <v>68</v>
      </c>
      <c r="G111" s="2" t="s">
        <v>124</v>
      </c>
      <c r="H111" s="3">
        <v>45099</v>
      </c>
      <c r="I111" s="3">
        <v>45161</v>
      </c>
      <c r="J111" s="2">
        <v>3068435</v>
      </c>
      <c r="K111" s="2" t="s">
        <v>265</v>
      </c>
      <c r="L111" s="2" t="s">
        <v>266</v>
      </c>
      <c r="M111" s="2">
        <v>5</v>
      </c>
      <c r="N111" s="2" t="s">
        <v>32</v>
      </c>
      <c r="O111" s="5">
        <v>900000</v>
      </c>
      <c r="P111" s="5" t="s">
        <v>33</v>
      </c>
      <c r="Q111" s="2" t="s">
        <v>33</v>
      </c>
      <c r="R111" s="6">
        <f t="shared" si="1"/>
        <v>41.111111111111107</v>
      </c>
      <c r="S111" s="2">
        <v>1270000</v>
      </c>
      <c r="T111" s="2" t="s">
        <v>33</v>
      </c>
      <c r="U111" s="2" t="s">
        <v>33</v>
      </c>
      <c r="V111" s="8" t="s">
        <v>34</v>
      </c>
      <c r="W111" s="2">
        <v>8000</v>
      </c>
      <c r="X111" s="9" t="s">
        <v>35</v>
      </c>
      <c r="Y111" s="10" t="s">
        <v>228</v>
      </c>
    </row>
    <row r="112" spans="1:25" ht="15" customHeight="1" x14ac:dyDescent="0.35">
      <c r="A112" s="2">
        <v>4884774</v>
      </c>
      <c r="B112" s="2" t="s">
        <v>33</v>
      </c>
      <c r="C112" s="3">
        <v>45055</v>
      </c>
      <c r="D112" s="3">
        <v>45055</v>
      </c>
      <c r="E112" s="2" t="s">
        <v>50</v>
      </c>
      <c r="F112" s="2" t="s">
        <v>114</v>
      </c>
      <c r="G112" s="2" t="s">
        <v>234</v>
      </c>
      <c r="H112" s="3">
        <v>45070</v>
      </c>
      <c r="I112" s="3">
        <v>45170</v>
      </c>
      <c r="J112" s="2">
        <v>3067267</v>
      </c>
      <c r="K112" s="2" t="s">
        <v>267</v>
      </c>
      <c r="L112" s="2" t="s">
        <v>227</v>
      </c>
      <c r="M112" s="2">
        <v>6</v>
      </c>
      <c r="N112" s="2" t="s">
        <v>32</v>
      </c>
      <c r="O112" s="5">
        <v>1200000</v>
      </c>
      <c r="P112" s="5" t="s">
        <v>33</v>
      </c>
      <c r="Q112" s="2" t="s">
        <v>33</v>
      </c>
      <c r="R112" s="6">
        <f t="shared" si="1"/>
        <v>41.666666666666671</v>
      </c>
      <c r="S112" s="2">
        <v>1700000</v>
      </c>
      <c r="T112" s="2" t="s">
        <v>33</v>
      </c>
      <c r="U112" s="2" t="s">
        <v>33</v>
      </c>
      <c r="V112" s="8" t="s">
        <v>48</v>
      </c>
      <c r="W112" s="2">
        <v>61250</v>
      </c>
      <c r="X112" s="9" t="s">
        <v>35</v>
      </c>
      <c r="Y112" s="10" t="s">
        <v>211</v>
      </c>
    </row>
    <row r="113" spans="1:25" ht="15" customHeight="1" x14ac:dyDescent="0.35">
      <c r="A113" s="2">
        <v>4883993</v>
      </c>
      <c r="B113" s="2" t="s">
        <v>40</v>
      </c>
      <c r="C113" s="3">
        <v>45043</v>
      </c>
      <c r="D113" s="3">
        <v>45043</v>
      </c>
      <c r="E113" s="2" t="s">
        <v>26</v>
      </c>
      <c r="F113" s="2" t="s">
        <v>162</v>
      </c>
      <c r="G113" s="2" t="s">
        <v>159</v>
      </c>
      <c r="H113" s="3">
        <v>45124</v>
      </c>
      <c r="I113" s="3">
        <v>45170</v>
      </c>
      <c r="J113" s="2">
        <v>3068991</v>
      </c>
      <c r="K113" s="2" t="s">
        <v>268</v>
      </c>
      <c r="L113" s="2" t="s">
        <v>269</v>
      </c>
      <c r="M113" s="2">
        <v>5</v>
      </c>
      <c r="N113" s="2" t="s">
        <v>39</v>
      </c>
      <c r="O113" s="2">
        <v>440000</v>
      </c>
      <c r="P113" s="2" t="s">
        <v>33</v>
      </c>
      <c r="Q113" s="2" t="s">
        <v>33</v>
      </c>
      <c r="R113" s="6">
        <f t="shared" si="1"/>
        <v>66.176590909090905</v>
      </c>
      <c r="S113" s="2">
        <v>731177</v>
      </c>
      <c r="T113" s="2" t="s">
        <v>33</v>
      </c>
      <c r="U113" s="2">
        <v>0.75</v>
      </c>
      <c r="V113" s="8" t="s">
        <v>34</v>
      </c>
      <c r="W113" s="2">
        <v>8000</v>
      </c>
      <c r="X113" s="9" t="s">
        <v>35</v>
      </c>
      <c r="Y113" s="10" t="s">
        <v>118</v>
      </c>
    </row>
    <row r="114" spans="1:25" ht="15" customHeight="1" x14ac:dyDescent="0.35">
      <c r="A114" s="2">
        <v>4890056</v>
      </c>
      <c r="B114" s="2" t="s">
        <v>33</v>
      </c>
      <c r="C114" s="3">
        <v>45100</v>
      </c>
      <c r="D114" s="3">
        <v>45125</v>
      </c>
      <c r="E114" s="2" t="s">
        <v>50</v>
      </c>
      <c r="F114" s="2" t="s">
        <v>51</v>
      </c>
      <c r="G114" s="2" t="s">
        <v>124</v>
      </c>
      <c r="H114" s="3">
        <v>44965</v>
      </c>
      <c r="I114" s="3">
        <v>45173</v>
      </c>
      <c r="J114" s="2">
        <v>3069197</v>
      </c>
      <c r="K114" s="5" t="s">
        <v>270</v>
      </c>
      <c r="L114" s="2" t="s">
        <v>271</v>
      </c>
      <c r="M114" s="2">
        <v>2.5</v>
      </c>
      <c r="N114" s="2" t="s">
        <v>32</v>
      </c>
      <c r="O114" s="5">
        <v>204000</v>
      </c>
      <c r="P114" s="5" t="s">
        <v>33</v>
      </c>
      <c r="Q114" s="2" t="s">
        <v>33</v>
      </c>
      <c r="R114" s="6">
        <f t="shared" si="1"/>
        <v>213.72549019607843</v>
      </c>
      <c r="S114" s="2">
        <v>640000</v>
      </c>
      <c r="T114" s="2" t="s">
        <v>33</v>
      </c>
      <c r="U114" s="2" t="s">
        <v>33</v>
      </c>
      <c r="V114" s="8" t="s">
        <v>48</v>
      </c>
      <c r="W114" s="2">
        <v>26250</v>
      </c>
      <c r="X114" s="9" t="s">
        <v>35</v>
      </c>
      <c r="Y114" s="10" t="s">
        <v>228</v>
      </c>
    </row>
    <row r="115" spans="1:25" ht="15" customHeight="1" x14ac:dyDescent="0.35">
      <c r="A115" s="2">
        <v>4875454</v>
      </c>
      <c r="B115" s="2" t="s">
        <v>40</v>
      </c>
      <c r="C115" s="3">
        <v>44932</v>
      </c>
      <c r="D115" s="3">
        <v>44932</v>
      </c>
      <c r="E115" s="2" t="s">
        <v>26</v>
      </c>
      <c r="F115" s="2" t="s">
        <v>162</v>
      </c>
      <c r="G115" s="2" t="s">
        <v>159</v>
      </c>
      <c r="H115" s="3">
        <v>45071</v>
      </c>
      <c r="I115" s="3">
        <v>45173</v>
      </c>
      <c r="J115" s="2">
        <v>3067321</v>
      </c>
      <c r="K115" s="2" t="s">
        <v>272</v>
      </c>
      <c r="L115" s="2" t="s">
        <v>47</v>
      </c>
      <c r="M115" s="2">
        <v>3</v>
      </c>
      <c r="N115" s="2" t="s">
        <v>39</v>
      </c>
      <c r="O115" s="2">
        <v>950000</v>
      </c>
      <c r="P115" s="2" t="s">
        <v>33</v>
      </c>
      <c r="Q115" s="2" t="s">
        <v>33</v>
      </c>
      <c r="R115" s="6">
        <f t="shared" si="1"/>
        <v>36.84210526315789</v>
      </c>
      <c r="S115" s="2">
        <v>1300000</v>
      </c>
      <c r="T115" s="2" t="s">
        <v>33</v>
      </c>
      <c r="U115" s="2">
        <v>0.85</v>
      </c>
      <c r="V115" s="8" t="s">
        <v>34</v>
      </c>
      <c r="W115" s="2">
        <v>8000</v>
      </c>
      <c r="X115" s="9" t="s">
        <v>35</v>
      </c>
      <c r="Y115" s="10" t="s">
        <v>118</v>
      </c>
    </row>
    <row r="116" spans="1:25" ht="15" customHeight="1" x14ac:dyDescent="0.35">
      <c r="A116" s="2">
        <v>4884439</v>
      </c>
      <c r="B116" s="2" t="s">
        <v>33</v>
      </c>
      <c r="C116" s="3">
        <v>45050</v>
      </c>
      <c r="D116" s="3">
        <v>45050</v>
      </c>
      <c r="E116" s="2" t="s">
        <v>50</v>
      </c>
      <c r="F116" s="2" t="s">
        <v>68</v>
      </c>
      <c r="G116" s="2" t="s">
        <v>248</v>
      </c>
      <c r="H116" s="3">
        <v>45075</v>
      </c>
      <c r="I116" s="3">
        <v>45180</v>
      </c>
      <c r="J116" s="2">
        <v>3067745</v>
      </c>
      <c r="K116" s="2" t="s">
        <v>273</v>
      </c>
      <c r="L116" s="2" t="s">
        <v>274</v>
      </c>
      <c r="M116" s="2">
        <v>3.5</v>
      </c>
      <c r="N116" s="2" t="s">
        <v>39</v>
      </c>
      <c r="O116" s="5">
        <v>650000</v>
      </c>
      <c r="P116" s="5" t="s">
        <v>33</v>
      </c>
      <c r="Q116" s="2" t="s">
        <v>33</v>
      </c>
      <c r="R116" s="6">
        <f t="shared" si="1"/>
        <v>68.911999999999992</v>
      </c>
      <c r="S116" s="2">
        <v>1097928</v>
      </c>
      <c r="T116" s="2" t="s">
        <v>33</v>
      </c>
      <c r="U116" s="2" t="s">
        <v>33</v>
      </c>
      <c r="V116" s="8" t="s">
        <v>48</v>
      </c>
      <c r="W116" s="2">
        <v>52500</v>
      </c>
      <c r="X116" s="9" t="s">
        <v>35</v>
      </c>
      <c r="Y116" s="10" t="s">
        <v>211</v>
      </c>
    </row>
    <row r="117" spans="1:25" ht="15" customHeight="1" x14ac:dyDescent="0.35">
      <c r="A117" s="2">
        <v>4884612</v>
      </c>
      <c r="B117" s="2" t="s">
        <v>40</v>
      </c>
      <c r="C117" s="3">
        <v>45053</v>
      </c>
      <c r="D117" s="3">
        <v>45053</v>
      </c>
      <c r="E117" s="2" t="s">
        <v>26</v>
      </c>
      <c r="F117" s="2" t="s">
        <v>82</v>
      </c>
      <c r="G117" s="2" t="s">
        <v>275</v>
      </c>
      <c r="H117" s="3">
        <v>45077</v>
      </c>
      <c r="I117" s="3">
        <v>45181</v>
      </c>
      <c r="J117" s="2">
        <v>3067381</v>
      </c>
      <c r="K117" s="2" t="s">
        <v>276</v>
      </c>
      <c r="L117" s="2" t="s">
        <v>123</v>
      </c>
      <c r="M117" s="2">
        <v>1.8</v>
      </c>
      <c r="N117" s="2" t="s">
        <v>39</v>
      </c>
      <c r="O117" s="2">
        <v>393000</v>
      </c>
      <c r="P117" s="2" t="s">
        <v>33</v>
      </c>
      <c r="Q117" s="2" t="s">
        <v>33</v>
      </c>
      <c r="R117" s="6">
        <f t="shared" si="1"/>
        <v>52.671755725190842</v>
      </c>
      <c r="S117" s="2">
        <v>600000</v>
      </c>
      <c r="T117" s="2" t="s">
        <v>33</v>
      </c>
      <c r="U117" s="2">
        <v>1</v>
      </c>
      <c r="V117" s="8" t="s">
        <v>48</v>
      </c>
      <c r="W117" s="2">
        <v>26250</v>
      </c>
      <c r="X117" s="9" t="s">
        <v>35</v>
      </c>
      <c r="Y117" s="10" t="s">
        <v>118</v>
      </c>
    </row>
    <row r="118" spans="1:25" ht="15" customHeight="1" x14ac:dyDescent="0.35">
      <c r="A118" s="2">
        <v>4892821</v>
      </c>
      <c r="B118" s="2" t="s">
        <v>33</v>
      </c>
      <c r="C118" s="3">
        <v>45100</v>
      </c>
      <c r="D118" s="3">
        <v>45161</v>
      </c>
      <c r="E118" s="2" t="s">
        <v>50</v>
      </c>
      <c r="F118" s="2" t="s">
        <v>51</v>
      </c>
      <c r="G118" s="2" t="s">
        <v>277</v>
      </c>
      <c r="H118" s="3">
        <v>45025</v>
      </c>
      <c r="I118" s="3">
        <v>45184</v>
      </c>
      <c r="J118" s="2">
        <v>3070181</v>
      </c>
      <c r="K118" s="2" t="s">
        <v>278</v>
      </c>
      <c r="L118" s="12" t="s">
        <v>99</v>
      </c>
      <c r="M118" s="2">
        <v>1.7</v>
      </c>
      <c r="N118" s="2" t="s">
        <v>32</v>
      </c>
      <c r="O118" s="5">
        <v>415000</v>
      </c>
      <c r="P118" s="5" t="s">
        <v>33</v>
      </c>
      <c r="Q118" s="2" t="s">
        <v>33</v>
      </c>
      <c r="R118" s="6">
        <f t="shared" si="1"/>
        <v>122.50120481927711</v>
      </c>
      <c r="S118" s="2">
        <v>923380</v>
      </c>
      <c r="T118" s="2" t="s">
        <v>33</v>
      </c>
      <c r="U118" s="2" t="s">
        <v>33</v>
      </c>
      <c r="V118" s="8" t="s">
        <v>48</v>
      </c>
      <c r="W118" s="2">
        <v>26250</v>
      </c>
      <c r="X118" s="9" t="s">
        <v>35</v>
      </c>
      <c r="Y118" s="10" t="s">
        <v>228</v>
      </c>
    </row>
    <row r="119" spans="1:25" ht="15" customHeight="1" x14ac:dyDescent="0.35">
      <c r="A119" s="2">
        <v>4887358</v>
      </c>
      <c r="B119" s="2" t="s">
        <v>33</v>
      </c>
      <c r="C119" s="3">
        <v>45089</v>
      </c>
      <c r="D119" s="3">
        <v>45089</v>
      </c>
      <c r="E119" s="2" t="s">
        <v>50</v>
      </c>
      <c r="F119" s="2" t="s">
        <v>68</v>
      </c>
      <c r="G119" s="2" t="s">
        <v>234</v>
      </c>
      <c r="H119" s="3">
        <v>45092</v>
      </c>
      <c r="I119" s="3">
        <v>45187</v>
      </c>
      <c r="J119" s="2">
        <v>3068000</v>
      </c>
      <c r="K119" s="2" t="s">
        <v>279</v>
      </c>
      <c r="L119" s="2" t="s">
        <v>75</v>
      </c>
      <c r="M119" s="2">
        <v>8</v>
      </c>
      <c r="N119" s="2" t="s">
        <v>32</v>
      </c>
      <c r="O119" s="5">
        <v>917000</v>
      </c>
      <c r="P119" s="5" t="s">
        <v>33</v>
      </c>
      <c r="Q119" s="2" t="s">
        <v>33</v>
      </c>
      <c r="R119" s="6">
        <f t="shared" si="1"/>
        <v>38.450926935659766</v>
      </c>
      <c r="S119" s="2">
        <v>1269595</v>
      </c>
      <c r="T119" s="2" t="s">
        <v>33</v>
      </c>
      <c r="U119" s="2" t="s">
        <v>33</v>
      </c>
      <c r="V119" s="8" t="s">
        <v>34</v>
      </c>
      <c r="W119" s="2">
        <v>8000</v>
      </c>
      <c r="X119" s="9" t="s">
        <v>35</v>
      </c>
      <c r="Y119" s="10" t="s">
        <v>211</v>
      </c>
    </row>
    <row r="120" spans="1:25" ht="15" customHeight="1" x14ac:dyDescent="0.35">
      <c r="A120" s="2">
        <v>4887355</v>
      </c>
      <c r="B120" s="2" t="s">
        <v>33</v>
      </c>
      <c r="C120" s="3">
        <v>45100</v>
      </c>
      <c r="D120" s="3">
        <v>45089</v>
      </c>
      <c r="E120" s="2" t="s">
        <v>50</v>
      </c>
      <c r="F120" s="2" t="s">
        <v>51</v>
      </c>
      <c r="G120" s="2" t="s">
        <v>124</v>
      </c>
      <c r="H120" s="3">
        <v>45091</v>
      </c>
      <c r="I120" s="3">
        <v>45194</v>
      </c>
      <c r="J120" s="2">
        <v>3067964</v>
      </c>
      <c r="K120" s="2" t="s">
        <v>280</v>
      </c>
      <c r="L120" s="2" t="s">
        <v>81</v>
      </c>
      <c r="M120" s="2">
        <v>1.9</v>
      </c>
      <c r="N120" s="2" t="s">
        <v>39</v>
      </c>
      <c r="O120" s="5">
        <v>450000</v>
      </c>
      <c r="P120" s="5" t="s">
        <v>33</v>
      </c>
      <c r="Q120" s="2" t="s">
        <v>33</v>
      </c>
      <c r="R120" s="6">
        <f t="shared" si="1"/>
        <v>62.51422222222223</v>
      </c>
      <c r="S120" s="2">
        <v>731314</v>
      </c>
      <c r="T120" s="2" t="s">
        <v>33</v>
      </c>
      <c r="U120" s="2" t="s">
        <v>33</v>
      </c>
      <c r="V120" s="8" t="s">
        <v>34</v>
      </c>
      <c r="W120" s="2">
        <v>8000</v>
      </c>
      <c r="X120" s="9" t="s">
        <v>35</v>
      </c>
      <c r="Y120" s="10" t="s">
        <v>228</v>
      </c>
    </row>
    <row r="121" spans="1:25" ht="15" customHeight="1" x14ac:dyDescent="0.35">
      <c r="A121" s="2">
        <v>4888938</v>
      </c>
      <c r="B121" s="2" t="s">
        <v>33</v>
      </c>
      <c r="C121" s="3">
        <v>45100</v>
      </c>
      <c r="D121" s="3">
        <v>45107</v>
      </c>
      <c r="E121" s="2" t="s">
        <v>50</v>
      </c>
      <c r="F121" s="2" t="s">
        <v>68</v>
      </c>
      <c r="G121" s="2" t="s">
        <v>239</v>
      </c>
      <c r="H121" s="3">
        <v>45023</v>
      </c>
      <c r="I121" s="3">
        <v>45196</v>
      </c>
      <c r="J121" s="2">
        <v>3069412</v>
      </c>
      <c r="K121" s="2" t="s">
        <v>281</v>
      </c>
      <c r="L121" s="2" t="s">
        <v>75</v>
      </c>
      <c r="M121" s="2">
        <v>10</v>
      </c>
      <c r="N121" s="2" t="s">
        <v>39</v>
      </c>
      <c r="O121" s="5">
        <v>1075000</v>
      </c>
      <c r="P121" s="5" t="s">
        <v>33</v>
      </c>
      <c r="Q121" s="2" t="s">
        <v>33</v>
      </c>
      <c r="R121" s="6">
        <f t="shared" si="1"/>
        <v>36.930232558139537</v>
      </c>
      <c r="S121" s="2">
        <v>1472000</v>
      </c>
      <c r="T121" s="2" t="s">
        <v>33</v>
      </c>
      <c r="U121" s="2" t="s">
        <v>33</v>
      </c>
      <c r="V121" s="8" t="s">
        <v>34</v>
      </c>
      <c r="W121" s="2">
        <v>8000</v>
      </c>
      <c r="X121" s="9" t="s">
        <v>35</v>
      </c>
      <c r="Y121" s="10" t="s">
        <v>228</v>
      </c>
    </row>
    <row r="122" spans="1:25" ht="15" customHeight="1" x14ac:dyDescent="0.35">
      <c r="A122" s="2">
        <v>4889202</v>
      </c>
      <c r="B122" s="2" t="s">
        <v>33</v>
      </c>
      <c r="C122" s="3">
        <v>45100</v>
      </c>
      <c r="D122" s="3">
        <v>45112</v>
      </c>
      <c r="E122" s="2" t="s">
        <v>50</v>
      </c>
      <c r="F122" s="2" t="s">
        <v>59</v>
      </c>
      <c r="G122" s="2" t="s">
        <v>124</v>
      </c>
      <c r="H122" s="3">
        <v>44965</v>
      </c>
      <c r="I122" s="3">
        <v>45202</v>
      </c>
      <c r="J122" s="2">
        <v>3069476</v>
      </c>
      <c r="K122" s="2" t="s">
        <v>282</v>
      </c>
      <c r="L122" s="2" t="s">
        <v>157</v>
      </c>
      <c r="M122" s="2">
        <v>11</v>
      </c>
      <c r="N122" s="2" t="s">
        <v>39</v>
      </c>
      <c r="O122" s="5">
        <v>2126000</v>
      </c>
      <c r="P122" s="5" t="s">
        <v>33</v>
      </c>
      <c r="Q122" s="2" t="s">
        <v>33</v>
      </c>
      <c r="R122" s="6">
        <f t="shared" si="1"/>
        <v>36.829727187206018</v>
      </c>
      <c r="S122" s="2">
        <v>2909000</v>
      </c>
      <c r="T122" s="2" t="s">
        <v>33</v>
      </c>
      <c r="U122" s="2" t="s">
        <v>33</v>
      </c>
      <c r="V122" s="8" t="s">
        <v>48</v>
      </c>
      <c r="W122" s="2">
        <v>94500</v>
      </c>
      <c r="X122" s="9" t="s">
        <v>35</v>
      </c>
      <c r="Y122" s="10" t="s">
        <v>228</v>
      </c>
    </row>
    <row r="123" spans="1:25" ht="15" customHeight="1" x14ac:dyDescent="0.35">
      <c r="A123" s="2">
        <v>4891635</v>
      </c>
      <c r="B123" s="2" t="s">
        <v>33</v>
      </c>
      <c r="C123" s="3">
        <v>45100</v>
      </c>
      <c r="D123" s="3">
        <v>45147</v>
      </c>
      <c r="E123" s="2" t="s">
        <v>50</v>
      </c>
      <c r="F123" s="2" t="s">
        <v>68</v>
      </c>
      <c r="G123" s="2" t="s">
        <v>225</v>
      </c>
      <c r="H123" s="3">
        <v>45152</v>
      </c>
      <c r="I123" s="3">
        <v>45205</v>
      </c>
      <c r="J123" s="2">
        <v>3069705</v>
      </c>
      <c r="K123" s="2" t="s">
        <v>283</v>
      </c>
      <c r="L123" s="2" t="s">
        <v>284</v>
      </c>
      <c r="M123" s="2">
        <v>13</v>
      </c>
      <c r="N123" s="2" t="s">
        <v>32</v>
      </c>
      <c r="O123" s="5">
        <v>850000</v>
      </c>
      <c r="P123" s="5" t="s">
        <v>33</v>
      </c>
      <c r="Q123" s="2" t="s">
        <v>33</v>
      </c>
      <c r="R123" s="6">
        <f t="shared" si="1"/>
        <v>35.058823529411768</v>
      </c>
      <c r="S123" s="2">
        <v>1148000</v>
      </c>
      <c r="T123" s="2" t="s">
        <v>33</v>
      </c>
      <c r="U123" s="2" t="s">
        <v>33</v>
      </c>
      <c r="V123" s="8" t="s">
        <v>48</v>
      </c>
      <c r="W123" s="2">
        <v>52500</v>
      </c>
      <c r="X123" s="9" t="s">
        <v>35</v>
      </c>
      <c r="Y123" s="10" t="s">
        <v>228</v>
      </c>
    </row>
    <row r="124" spans="1:25" ht="15" customHeight="1" x14ac:dyDescent="0.35">
      <c r="A124" s="2">
        <v>4892688</v>
      </c>
      <c r="B124" s="2" t="s">
        <v>33</v>
      </c>
      <c r="C124" s="3">
        <v>45100</v>
      </c>
      <c r="D124" s="3">
        <v>45160</v>
      </c>
      <c r="E124" s="2" t="s">
        <v>50</v>
      </c>
      <c r="F124" s="2" t="s">
        <v>68</v>
      </c>
      <c r="G124" s="2" t="s">
        <v>225</v>
      </c>
      <c r="H124" s="3">
        <v>45168</v>
      </c>
      <c r="I124" s="3">
        <v>45208</v>
      </c>
      <c r="J124" s="2">
        <v>3070144</v>
      </c>
      <c r="K124" s="2" t="s">
        <v>285</v>
      </c>
      <c r="L124" s="2" t="s">
        <v>286</v>
      </c>
      <c r="M124" s="2">
        <v>4.4000000000000004</v>
      </c>
      <c r="N124" s="2" t="s">
        <v>39</v>
      </c>
      <c r="O124" s="5">
        <v>718000</v>
      </c>
      <c r="P124" s="5" t="s">
        <v>33</v>
      </c>
      <c r="Q124" s="2" t="s">
        <v>33</v>
      </c>
      <c r="R124" s="6">
        <f t="shared" si="1"/>
        <v>67.130919220055702</v>
      </c>
      <c r="S124" s="2">
        <v>1200000</v>
      </c>
      <c r="T124" s="2" t="s">
        <v>33</v>
      </c>
      <c r="U124" s="2" t="s">
        <v>33</v>
      </c>
      <c r="V124" s="8" t="s">
        <v>48</v>
      </c>
      <c r="W124" s="2">
        <v>52500</v>
      </c>
      <c r="X124" s="9" t="s">
        <v>35</v>
      </c>
      <c r="Y124" s="10" t="s">
        <v>228</v>
      </c>
    </row>
    <row r="125" spans="1:25" ht="15" customHeight="1" x14ac:dyDescent="0.35">
      <c r="A125" s="2">
        <v>4894006</v>
      </c>
      <c r="B125" s="2" t="s">
        <v>33</v>
      </c>
      <c r="C125" s="3">
        <v>45100</v>
      </c>
      <c r="D125" s="3">
        <v>45182</v>
      </c>
      <c r="E125" s="2" t="s">
        <v>50</v>
      </c>
      <c r="F125" s="2" t="s">
        <v>68</v>
      </c>
      <c r="G125" s="2" t="s">
        <v>248</v>
      </c>
      <c r="H125" s="3">
        <v>45191</v>
      </c>
      <c r="I125" s="3">
        <v>45208</v>
      </c>
      <c r="J125" s="2">
        <v>3070608</v>
      </c>
      <c r="K125" s="2" t="s">
        <v>287</v>
      </c>
      <c r="L125" s="2" t="s">
        <v>178</v>
      </c>
      <c r="M125" s="2">
        <v>3.9</v>
      </c>
      <c r="N125" s="2" t="s">
        <v>32</v>
      </c>
      <c r="O125" s="5">
        <v>1000000</v>
      </c>
      <c r="P125" s="5" t="s">
        <v>33</v>
      </c>
      <c r="Q125" s="2" t="s">
        <v>33</v>
      </c>
      <c r="R125" s="6">
        <f t="shared" si="1"/>
        <v>40</v>
      </c>
      <c r="S125" s="2">
        <v>1400000</v>
      </c>
      <c r="T125" s="2" t="s">
        <v>33</v>
      </c>
      <c r="U125" s="2" t="s">
        <v>33</v>
      </c>
      <c r="V125" s="8" t="s">
        <v>48</v>
      </c>
      <c r="W125" s="2">
        <v>52500</v>
      </c>
      <c r="X125" s="9" t="s">
        <v>35</v>
      </c>
      <c r="Y125" s="10" t="s">
        <v>228</v>
      </c>
    </row>
    <row r="126" spans="1:25" ht="15" customHeight="1" x14ac:dyDescent="0.35">
      <c r="A126" s="2">
        <v>4877676</v>
      </c>
      <c r="B126" s="2" t="s">
        <v>33</v>
      </c>
      <c r="C126" s="3">
        <v>45100</v>
      </c>
      <c r="D126" s="3">
        <v>44964</v>
      </c>
      <c r="E126" s="2" t="s">
        <v>50</v>
      </c>
      <c r="F126" s="2" t="s">
        <v>51</v>
      </c>
      <c r="G126" s="2" t="s">
        <v>234</v>
      </c>
      <c r="H126" s="3">
        <v>45104</v>
      </c>
      <c r="I126" s="3">
        <v>45210</v>
      </c>
      <c r="J126" s="2">
        <v>3074718</v>
      </c>
      <c r="K126" s="2" t="s">
        <v>288</v>
      </c>
      <c r="L126" s="2" t="s">
        <v>289</v>
      </c>
      <c r="M126" s="2">
        <v>6</v>
      </c>
      <c r="N126" s="2" t="s">
        <v>32</v>
      </c>
      <c r="O126" s="5">
        <v>420000</v>
      </c>
      <c r="P126" s="5" t="s">
        <v>33</v>
      </c>
      <c r="Q126" s="2" t="s">
        <v>33</v>
      </c>
      <c r="R126" s="6">
        <f t="shared" si="1"/>
        <v>50</v>
      </c>
      <c r="S126" s="2">
        <v>630000</v>
      </c>
      <c r="T126" s="2" t="s">
        <v>33</v>
      </c>
      <c r="U126" s="2" t="s">
        <v>33</v>
      </c>
      <c r="V126" s="8" t="s">
        <v>48</v>
      </c>
      <c r="W126" s="2">
        <v>26250</v>
      </c>
      <c r="X126" s="9" t="s">
        <v>35</v>
      </c>
      <c r="Y126" s="10" t="s">
        <v>228</v>
      </c>
    </row>
    <row r="127" spans="1:25" ht="15" customHeight="1" x14ac:dyDescent="0.35">
      <c r="A127" s="2">
        <v>4888934</v>
      </c>
      <c r="B127" s="2" t="s">
        <v>33</v>
      </c>
      <c r="C127" s="3">
        <v>45100</v>
      </c>
      <c r="D127" s="3">
        <v>45107</v>
      </c>
      <c r="E127" s="2" t="s">
        <v>50</v>
      </c>
      <c r="F127" s="2" t="s">
        <v>114</v>
      </c>
      <c r="G127" s="2" t="s">
        <v>222</v>
      </c>
      <c r="H127" s="3">
        <v>45024</v>
      </c>
      <c r="I127" s="3">
        <v>45218</v>
      </c>
      <c r="J127" s="2">
        <v>3069564</v>
      </c>
      <c r="K127" s="2" t="s">
        <v>290</v>
      </c>
      <c r="L127" s="2" t="s">
        <v>227</v>
      </c>
      <c r="M127" s="2">
        <v>7</v>
      </c>
      <c r="N127" s="2" t="s">
        <v>32</v>
      </c>
      <c r="O127" s="5">
        <v>1080588</v>
      </c>
      <c r="P127" s="5" t="s">
        <v>33</v>
      </c>
      <c r="Q127" s="2" t="s">
        <v>33</v>
      </c>
      <c r="R127" s="6">
        <f t="shared" si="1"/>
        <v>49.640751146597964</v>
      </c>
      <c r="S127" s="2">
        <v>1617000</v>
      </c>
      <c r="T127" s="2" t="s">
        <v>33</v>
      </c>
      <c r="U127" s="2" t="s">
        <v>33</v>
      </c>
      <c r="V127" s="8" t="s">
        <v>48</v>
      </c>
      <c r="W127" s="2">
        <v>61250</v>
      </c>
      <c r="X127" s="9" t="s">
        <v>35</v>
      </c>
      <c r="Y127" s="10" t="s">
        <v>228</v>
      </c>
    </row>
    <row r="128" spans="1:25" ht="15" customHeight="1" x14ac:dyDescent="0.35">
      <c r="A128" s="2">
        <v>4891250</v>
      </c>
      <c r="B128" s="2" t="s">
        <v>33</v>
      </c>
      <c r="C128" s="3">
        <v>45100</v>
      </c>
      <c r="D128" s="3">
        <v>45141</v>
      </c>
      <c r="E128" s="2" t="s">
        <v>50</v>
      </c>
      <c r="F128" s="2" t="s">
        <v>59</v>
      </c>
      <c r="G128" s="2" t="s">
        <v>73</v>
      </c>
      <c r="H128" s="3">
        <v>45155</v>
      </c>
      <c r="I128" s="3">
        <v>45223</v>
      </c>
      <c r="J128" s="2">
        <v>3069876</v>
      </c>
      <c r="K128" s="5" t="s">
        <v>291</v>
      </c>
      <c r="L128" s="2" t="s">
        <v>106</v>
      </c>
      <c r="M128" s="2">
        <v>6</v>
      </c>
      <c r="N128" s="2" t="s">
        <v>32</v>
      </c>
      <c r="O128" s="5">
        <v>2250000</v>
      </c>
      <c r="P128" s="5" t="s">
        <v>33</v>
      </c>
      <c r="Q128" s="2" t="s">
        <v>33</v>
      </c>
      <c r="R128" s="6">
        <f t="shared" si="1"/>
        <v>33.333333333333329</v>
      </c>
      <c r="S128" s="2">
        <v>3000000</v>
      </c>
      <c r="T128" s="2" t="s">
        <v>33</v>
      </c>
      <c r="U128" s="2" t="s">
        <v>33</v>
      </c>
      <c r="V128" s="8" t="s">
        <v>34</v>
      </c>
      <c r="W128" s="2">
        <v>8000</v>
      </c>
      <c r="X128" s="9" t="s">
        <v>35</v>
      </c>
      <c r="Y128" s="10" t="s">
        <v>228</v>
      </c>
    </row>
    <row r="129" spans="1:25" ht="15" customHeight="1" x14ac:dyDescent="0.35">
      <c r="A129" s="2">
        <v>4886900</v>
      </c>
      <c r="B129" s="2" t="s">
        <v>40</v>
      </c>
      <c r="C129" s="3">
        <v>45084</v>
      </c>
      <c r="D129" s="3">
        <v>45084</v>
      </c>
      <c r="E129" s="2" t="s">
        <v>26</v>
      </c>
      <c r="F129" s="2" t="s">
        <v>84</v>
      </c>
      <c r="G129" s="2" t="s">
        <v>292</v>
      </c>
      <c r="H129" s="3">
        <v>45196</v>
      </c>
      <c r="I129" s="3">
        <v>45225</v>
      </c>
      <c r="J129" s="2">
        <v>3070732</v>
      </c>
      <c r="K129" s="2" t="s">
        <v>293</v>
      </c>
      <c r="L129" s="2" t="s">
        <v>81</v>
      </c>
      <c r="M129" s="2">
        <v>5.7</v>
      </c>
      <c r="N129" s="2" t="s">
        <v>32</v>
      </c>
      <c r="O129" s="2">
        <v>900000</v>
      </c>
      <c r="P129" s="2" t="s">
        <v>33</v>
      </c>
      <c r="Q129" s="2" t="s">
        <v>33</v>
      </c>
      <c r="R129" s="6">
        <f t="shared" si="1"/>
        <v>30</v>
      </c>
      <c r="S129" s="2">
        <v>1170000</v>
      </c>
      <c r="T129" s="2" t="s">
        <v>33</v>
      </c>
      <c r="U129" s="2">
        <v>1.2</v>
      </c>
      <c r="V129" s="8" t="s">
        <v>34</v>
      </c>
      <c r="W129" s="2">
        <v>8000</v>
      </c>
      <c r="X129" s="9" t="s">
        <v>35</v>
      </c>
      <c r="Y129" s="10" t="s">
        <v>118</v>
      </c>
    </row>
    <row r="130" spans="1:25" ht="15" customHeight="1" x14ac:dyDescent="0.35">
      <c r="A130" s="2">
        <v>4889201</v>
      </c>
      <c r="B130" s="2" t="s">
        <v>33</v>
      </c>
      <c r="C130" s="3">
        <v>45100</v>
      </c>
      <c r="D130" s="3">
        <v>45112</v>
      </c>
      <c r="E130" s="2" t="s">
        <v>50</v>
      </c>
      <c r="F130" s="2" t="s">
        <v>51</v>
      </c>
      <c r="G130" s="2" t="s">
        <v>124</v>
      </c>
      <c r="H130" s="3">
        <v>45126</v>
      </c>
      <c r="I130" s="3">
        <v>45231</v>
      </c>
      <c r="J130" s="2">
        <v>3069220</v>
      </c>
      <c r="K130" s="2" t="s">
        <v>294</v>
      </c>
      <c r="L130" s="2" t="s">
        <v>295</v>
      </c>
      <c r="M130" s="2">
        <v>2</v>
      </c>
      <c r="N130" s="2" t="s">
        <v>32</v>
      </c>
      <c r="O130" s="5">
        <v>470000</v>
      </c>
      <c r="P130" s="5" t="s">
        <v>33</v>
      </c>
      <c r="Q130" s="2" t="s">
        <v>33</v>
      </c>
      <c r="R130" s="6">
        <f t="shared" ref="R130:R193" si="2">(S130-O130)/O130*100</f>
        <v>91.48957446808511</v>
      </c>
      <c r="S130" s="2">
        <v>900001</v>
      </c>
      <c r="T130" s="2" t="s">
        <v>33</v>
      </c>
      <c r="U130" s="2" t="s">
        <v>33</v>
      </c>
      <c r="V130" s="8" t="s">
        <v>34</v>
      </c>
      <c r="W130" s="2">
        <v>8000</v>
      </c>
      <c r="X130" s="9" t="s">
        <v>35</v>
      </c>
      <c r="Y130" s="10" t="s">
        <v>228</v>
      </c>
    </row>
    <row r="131" spans="1:25" ht="15" customHeight="1" x14ac:dyDescent="0.35">
      <c r="A131" s="2">
        <v>4890054</v>
      </c>
      <c r="B131" s="2" t="s">
        <v>33</v>
      </c>
      <c r="C131" s="3">
        <v>45100</v>
      </c>
      <c r="D131" s="3">
        <v>45125</v>
      </c>
      <c r="E131" s="2" t="s">
        <v>50</v>
      </c>
      <c r="F131" s="2" t="s">
        <v>68</v>
      </c>
      <c r="G131" s="2" t="s">
        <v>124</v>
      </c>
      <c r="H131" s="3">
        <v>45152</v>
      </c>
      <c r="I131" s="3">
        <v>45232</v>
      </c>
      <c r="J131" s="2">
        <v>3069706</v>
      </c>
      <c r="K131" s="16" t="s">
        <v>296</v>
      </c>
      <c r="L131" s="2" t="s">
        <v>81</v>
      </c>
      <c r="M131" s="2">
        <v>10</v>
      </c>
      <c r="N131" s="2" t="s">
        <v>32</v>
      </c>
      <c r="O131" s="5">
        <v>1006000</v>
      </c>
      <c r="P131" s="5" t="s">
        <v>33</v>
      </c>
      <c r="Q131" s="2" t="s">
        <v>33</v>
      </c>
      <c r="R131" s="6">
        <f t="shared" si="2"/>
        <v>77.037773359840955</v>
      </c>
      <c r="S131" s="2">
        <v>1781000</v>
      </c>
      <c r="T131" s="2" t="s">
        <v>33</v>
      </c>
      <c r="U131" s="2" t="s">
        <v>33</v>
      </c>
      <c r="V131" s="8" t="s">
        <v>48</v>
      </c>
      <c r="W131" s="2">
        <v>61250</v>
      </c>
      <c r="X131" s="9" t="s">
        <v>35</v>
      </c>
      <c r="Y131" s="10" t="s">
        <v>228</v>
      </c>
    </row>
    <row r="132" spans="1:25" ht="15" customHeight="1" x14ac:dyDescent="0.35">
      <c r="A132" s="2">
        <v>4884776</v>
      </c>
      <c r="B132" s="2" t="s">
        <v>33</v>
      </c>
      <c r="C132" s="3">
        <v>45100</v>
      </c>
      <c r="D132" s="3">
        <v>45055</v>
      </c>
      <c r="E132" s="2" t="s">
        <v>50</v>
      </c>
      <c r="F132" s="2" t="s">
        <v>51</v>
      </c>
      <c r="G132" s="2" t="s">
        <v>234</v>
      </c>
      <c r="H132" s="3">
        <v>45024</v>
      </c>
      <c r="I132" s="3">
        <v>45238</v>
      </c>
      <c r="J132" s="2">
        <v>3069107</v>
      </c>
      <c r="K132" s="5" t="s">
        <v>297</v>
      </c>
      <c r="L132" s="2" t="s">
        <v>75</v>
      </c>
      <c r="M132" s="2">
        <v>3.5</v>
      </c>
      <c r="N132" s="2" t="s">
        <v>39</v>
      </c>
      <c r="O132" s="5">
        <v>450000</v>
      </c>
      <c r="P132" s="5" t="s">
        <v>33</v>
      </c>
      <c r="Q132" s="2" t="s">
        <v>33</v>
      </c>
      <c r="R132" s="6">
        <f t="shared" si="2"/>
        <v>64.444444444444443</v>
      </c>
      <c r="S132" s="2">
        <v>740000</v>
      </c>
      <c r="T132" s="2" t="s">
        <v>33</v>
      </c>
      <c r="U132" s="2" t="s">
        <v>33</v>
      </c>
      <c r="V132" s="8" t="s">
        <v>48</v>
      </c>
      <c r="W132" s="2">
        <v>26250</v>
      </c>
      <c r="X132" s="9" t="s">
        <v>35</v>
      </c>
      <c r="Y132" s="10" t="s">
        <v>228</v>
      </c>
    </row>
    <row r="133" spans="1:25" ht="15" customHeight="1" x14ac:dyDescent="0.35">
      <c r="A133" s="2">
        <v>4887436</v>
      </c>
      <c r="B133" s="2" t="s">
        <v>33</v>
      </c>
      <c r="C133" s="3">
        <v>45100</v>
      </c>
      <c r="D133" s="3">
        <v>45089</v>
      </c>
      <c r="E133" s="2" t="s">
        <v>50</v>
      </c>
      <c r="F133" s="2" t="s">
        <v>68</v>
      </c>
      <c r="G133" s="2" t="s">
        <v>239</v>
      </c>
      <c r="H133" s="3">
        <v>45103</v>
      </c>
      <c r="I133" s="3">
        <v>45245</v>
      </c>
      <c r="J133" s="2">
        <v>3069189</v>
      </c>
      <c r="K133" s="2" t="s">
        <v>298</v>
      </c>
      <c r="L133" s="2" t="s">
        <v>81</v>
      </c>
      <c r="M133" s="2">
        <v>8.5</v>
      </c>
      <c r="N133" s="2" t="s">
        <v>32</v>
      </c>
      <c r="O133" s="5">
        <v>720000</v>
      </c>
      <c r="P133" s="5" t="s">
        <v>33</v>
      </c>
      <c r="Q133" s="2" t="s">
        <v>33</v>
      </c>
      <c r="R133" s="6">
        <f t="shared" si="2"/>
        <v>-78.75</v>
      </c>
      <c r="S133" s="2">
        <v>153000</v>
      </c>
      <c r="T133" s="2" t="s">
        <v>33</v>
      </c>
      <c r="U133" s="2" t="s">
        <v>33</v>
      </c>
      <c r="V133" s="8" t="s">
        <v>48</v>
      </c>
      <c r="W133" s="2">
        <v>61250</v>
      </c>
      <c r="X133" s="9" t="s">
        <v>35</v>
      </c>
      <c r="Y133" s="10" t="s">
        <v>228</v>
      </c>
    </row>
    <row r="134" spans="1:25" ht="15" customHeight="1" x14ac:dyDescent="0.35">
      <c r="A134" s="2">
        <v>4890148</v>
      </c>
      <c r="B134" s="2" t="s">
        <v>33</v>
      </c>
      <c r="C134" s="3">
        <v>45100</v>
      </c>
      <c r="D134" s="3">
        <v>45126</v>
      </c>
      <c r="E134" s="2" t="s">
        <v>50</v>
      </c>
      <c r="F134" s="2" t="s">
        <v>114</v>
      </c>
      <c r="G134" s="2" t="s">
        <v>234</v>
      </c>
      <c r="H134" s="3">
        <v>44965</v>
      </c>
      <c r="I134" s="3">
        <v>45250</v>
      </c>
      <c r="J134" s="2">
        <v>3069197</v>
      </c>
      <c r="K134" s="2" t="s">
        <v>299</v>
      </c>
      <c r="L134" s="2" t="s">
        <v>227</v>
      </c>
      <c r="M134" s="2">
        <v>12</v>
      </c>
      <c r="N134" s="2" t="s">
        <v>32</v>
      </c>
      <c r="O134" s="5">
        <v>1900000</v>
      </c>
      <c r="P134" s="5" t="s">
        <v>33</v>
      </c>
      <c r="Q134" s="2" t="s">
        <v>33</v>
      </c>
      <c r="R134" s="6">
        <f t="shared" si="2"/>
        <v>27.529263157894736</v>
      </c>
      <c r="S134" s="2">
        <v>2423056</v>
      </c>
      <c r="T134" s="2" t="s">
        <v>33</v>
      </c>
      <c r="U134" s="2" t="s">
        <v>33</v>
      </c>
      <c r="V134" s="8" t="s">
        <v>34</v>
      </c>
      <c r="W134" s="2">
        <v>8000</v>
      </c>
      <c r="X134" s="9" t="s">
        <v>35</v>
      </c>
      <c r="Y134" s="10" t="s">
        <v>228</v>
      </c>
    </row>
    <row r="135" spans="1:25" ht="15" customHeight="1" x14ac:dyDescent="0.35">
      <c r="A135" s="2">
        <v>4893218</v>
      </c>
      <c r="B135" s="2" t="s">
        <v>33</v>
      </c>
      <c r="C135" s="3">
        <v>45100</v>
      </c>
      <c r="D135" s="3">
        <v>45169</v>
      </c>
      <c r="E135" s="2" t="s">
        <v>50</v>
      </c>
      <c r="F135" s="2" t="s">
        <v>51</v>
      </c>
      <c r="G135" s="2" t="s">
        <v>277</v>
      </c>
      <c r="H135" s="3">
        <v>45025</v>
      </c>
      <c r="I135" s="3">
        <v>45257</v>
      </c>
      <c r="J135" s="2">
        <v>3070402</v>
      </c>
      <c r="K135" s="2" t="s">
        <v>300</v>
      </c>
      <c r="L135" s="12" t="s">
        <v>99</v>
      </c>
      <c r="M135" s="2">
        <v>2.2000000000000002</v>
      </c>
      <c r="N135" s="2" t="s">
        <v>32</v>
      </c>
      <c r="O135" s="5">
        <v>420000</v>
      </c>
      <c r="P135" s="5" t="s">
        <v>33</v>
      </c>
      <c r="Q135" s="2" t="s">
        <v>33</v>
      </c>
      <c r="R135" s="6">
        <f t="shared" si="2"/>
        <v>114.28595238095238</v>
      </c>
      <c r="S135" s="2">
        <v>900001</v>
      </c>
      <c r="T135" s="2" t="s">
        <v>33</v>
      </c>
      <c r="U135" s="2" t="s">
        <v>33</v>
      </c>
      <c r="V135" s="8" t="s">
        <v>48</v>
      </c>
      <c r="W135" s="2">
        <v>26250</v>
      </c>
      <c r="X135" s="9" t="s">
        <v>35</v>
      </c>
      <c r="Y135" s="10" t="s">
        <v>228</v>
      </c>
    </row>
    <row r="136" spans="1:25" ht="15" customHeight="1" x14ac:dyDescent="0.35">
      <c r="A136" s="2">
        <v>4892820</v>
      </c>
      <c r="B136" s="2" t="s">
        <v>33</v>
      </c>
      <c r="C136" s="3">
        <v>45100</v>
      </c>
      <c r="D136" s="3">
        <v>45198</v>
      </c>
      <c r="E136" s="2" t="s">
        <v>50</v>
      </c>
      <c r="F136" s="2" t="s">
        <v>114</v>
      </c>
      <c r="G136" s="2" t="s">
        <v>239</v>
      </c>
      <c r="H136" s="3">
        <v>45260</v>
      </c>
      <c r="I136" s="3">
        <v>45271</v>
      </c>
      <c r="J136" s="2">
        <v>3075274</v>
      </c>
      <c r="K136" s="5" t="s">
        <v>301</v>
      </c>
      <c r="L136" s="2" t="s">
        <v>302</v>
      </c>
      <c r="M136" s="2">
        <v>4.5</v>
      </c>
      <c r="N136" s="2" t="s">
        <v>32</v>
      </c>
      <c r="O136" s="5">
        <v>1450000</v>
      </c>
      <c r="P136" s="5" t="s">
        <v>33</v>
      </c>
      <c r="Q136" s="2" t="s">
        <v>33</v>
      </c>
      <c r="R136" s="6">
        <f t="shared" si="2"/>
        <v>52.428482758620689</v>
      </c>
      <c r="S136" s="2">
        <v>2210213</v>
      </c>
      <c r="T136" s="2" t="s">
        <v>33</v>
      </c>
      <c r="U136" s="2" t="s">
        <v>33</v>
      </c>
      <c r="V136" s="8" t="s">
        <v>34</v>
      </c>
      <c r="W136" s="2">
        <v>8000</v>
      </c>
      <c r="X136" s="9" t="s">
        <v>35</v>
      </c>
      <c r="Y136" s="10" t="s">
        <v>228</v>
      </c>
    </row>
    <row r="137" spans="1:25" ht="15" customHeight="1" x14ac:dyDescent="0.35">
      <c r="A137" s="2">
        <v>4895324</v>
      </c>
      <c r="B137" s="2" t="s">
        <v>33</v>
      </c>
      <c r="C137" s="3">
        <v>45100</v>
      </c>
      <c r="D137" s="3">
        <v>45210</v>
      </c>
      <c r="E137" s="2" t="s">
        <v>50</v>
      </c>
      <c r="F137" s="2" t="s">
        <v>59</v>
      </c>
      <c r="G137" s="2" t="s">
        <v>222</v>
      </c>
      <c r="H137" s="3">
        <v>45217</v>
      </c>
      <c r="I137" s="3">
        <v>45273</v>
      </c>
      <c r="J137" s="2">
        <v>1970048</v>
      </c>
      <c r="K137" s="2" t="s">
        <v>303</v>
      </c>
      <c r="L137" s="2" t="s">
        <v>81</v>
      </c>
      <c r="M137" s="2">
        <v>9</v>
      </c>
      <c r="N137" s="2" t="s">
        <v>32</v>
      </c>
      <c r="O137" s="5">
        <v>2300000</v>
      </c>
      <c r="P137" s="5" t="s">
        <v>33</v>
      </c>
      <c r="Q137" s="2" t="s">
        <v>33</v>
      </c>
      <c r="R137" s="6">
        <f t="shared" si="2"/>
        <v>44.782608695652179</v>
      </c>
      <c r="S137" s="2">
        <v>3330000</v>
      </c>
      <c r="T137" s="2" t="s">
        <v>33</v>
      </c>
      <c r="U137" s="2" t="s">
        <v>33</v>
      </c>
      <c r="V137" s="8" t="s">
        <v>34</v>
      </c>
      <c r="W137" s="2">
        <v>8000</v>
      </c>
      <c r="X137" s="9" t="s">
        <v>35</v>
      </c>
      <c r="Y137" s="10" t="s">
        <v>228</v>
      </c>
    </row>
    <row r="138" spans="1:25" ht="15" customHeight="1" x14ac:dyDescent="0.35">
      <c r="A138" s="2">
        <v>4894243</v>
      </c>
      <c r="B138" s="2" t="s">
        <v>33</v>
      </c>
      <c r="C138" s="3">
        <v>45100</v>
      </c>
      <c r="D138" s="3">
        <v>45187</v>
      </c>
      <c r="E138" s="2" t="s">
        <v>50</v>
      </c>
      <c r="F138" s="2" t="s">
        <v>68</v>
      </c>
      <c r="G138" s="2" t="s">
        <v>304</v>
      </c>
      <c r="H138" s="3">
        <v>45219</v>
      </c>
      <c r="I138" s="3">
        <v>45274</v>
      </c>
      <c r="J138" s="2">
        <v>3074765</v>
      </c>
      <c r="K138" s="2" t="s">
        <v>305</v>
      </c>
      <c r="L138" s="2" t="s">
        <v>306</v>
      </c>
      <c r="M138" s="2">
        <v>7</v>
      </c>
      <c r="N138" s="2" t="s">
        <v>32</v>
      </c>
      <c r="O138" s="5">
        <v>1500000</v>
      </c>
      <c r="P138" s="5" t="s">
        <v>33</v>
      </c>
      <c r="Q138" s="2" t="s">
        <v>33</v>
      </c>
      <c r="R138" s="6">
        <f t="shared" si="2"/>
        <v>20</v>
      </c>
      <c r="S138" s="2">
        <v>1800000</v>
      </c>
      <c r="T138" s="2" t="s">
        <v>33</v>
      </c>
      <c r="U138" s="2" t="s">
        <v>33</v>
      </c>
      <c r="V138" s="8" t="s">
        <v>34</v>
      </c>
      <c r="W138" s="2">
        <v>8000</v>
      </c>
      <c r="X138" s="9" t="s">
        <v>35</v>
      </c>
      <c r="Y138" s="10" t="s">
        <v>228</v>
      </c>
    </row>
    <row r="139" spans="1:25" ht="15" customHeight="1" x14ac:dyDescent="0.35">
      <c r="A139" s="2">
        <v>4895200</v>
      </c>
      <c r="B139" s="2" t="s">
        <v>33</v>
      </c>
      <c r="C139" s="3">
        <v>45100</v>
      </c>
      <c r="D139" s="3">
        <v>45208</v>
      </c>
      <c r="E139" s="2" t="s">
        <v>50</v>
      </c>
      <c r="F139" s="2" t="s">
        <v>114</v>
      </c>
      <c r="G139" s="2" t="s">
        <v>277</v>
      </c>
      <c r="H139" s="3">
        <v>45226</v>
      </c>
      <c r="I139" s="3">
        <v>45280</v>
      </c>
      <c r="J139" s="2">
        <v>3074718</v>
      </c>
      <c r="K139" s="5" t="s">
        <v>307</v>
      </c>
      <c r="L139" s="15" t="s">
        <v>238</v>
      </c>
      <c r="M139" s="2">
        <v>8</v>
      </c>
      <c r="N139" s="2" t="s">
        <v>32</v>
      </c>
      <c r="O139" s="5">
        <v>1550000</v>
      </c>
      <c r="P139" s="5" t="s">
        <v>33</v>
      </c>
      <c r="Q139" s="2" t="s">
        <v>33</v>
      </c>
      <c r="R139" s="6">
        <f t="shared" si="2"/>
        <v>20.977548387096775</v>
      </c>
      <c r="S139" s="2">
        <v>1875152</v>
      </c>
      <c r="T139" s="2" t="s">
        <v>33</v>
      </c>
      <c r="U139" s="2" t="s">
        <v>33</v>
      </c>
      <c r="V139" s="8" t="s">
        <v>48</v>
      </c>
      <c r="W139" s="2">
        <v>61250</v>
      </c>
      <c r="X139" s="9" t="s">
        <v>35</v>
      </c>
      <c r="Y139" s="10" t="s">
        <v>228</v>
      </c>
    </row>
    <row r="140" spans="1:25" ht="15" customHeight="1" x14ac:dyDescent="0.35">
      <c r="A140" s="2">
        <v>4894166</v>
      </c>
      <c r="B140" s="2" t="s">
        <v>33</v>
      </c>
      <c r="C140" s="3">
        <v>45100</v>
      </c>
      <c r="D140" s="3">
        <v>45184</v>
      </c>
      <c r="E140" s="2" t="s">
        <v>50</v>
      </c>
      <c r="F140" s="2" t="s">
        <v>114</v>
      </c>
      <c r="G140" s="2" t="s">
        <v>124</v>
      </c>
      <c r="H140" s="3">
        <v>45217</v>
      </c>
      <c r="I140" s="3">
        <v>45281</v>
      </c>
      <c r="J140" s="2">
        <v>3075452</v>
      </c>
      <c r="K140" s="5" t="s">
        <v>308</v>
      </c>
      <c r="L140" s="2" t="s">
        <v>309</v>
      </c>
      <c r="M140" s="2">
        <v>11</v>
      </c>
      <c r="N140" s="2" t="s">
        <v>39</v>
      </c>
      <c r="O140" s="5">
        <v>1586000</v>
      </c>
      <c r="P140" s="5" t="s">
        <v>33</v>
      </c>
      <c r="Q140" s="2" t="s">
        <v>33</v>
      </c>
      <c r="R140" s="6">
        <f t="shared" si="2"/>
        <v>42.663871374527112</v>
      </c>
      <c r="S140" s="2">
        <v>2262649</v>
      </c>
      <c r="T140" s="2" t="s">
        <v>33</v>
      </c>
      <c r="U140" s="2" t="s">
        <v>33</v>
      </c>
      <c r="V140" s="8" t="s">
        <v>34</v>
      </c>
      <c r="W140" s="2">
        <v>8000</v>
      </c>
      <c r="X140" s="9" t="s">
        <v>35</v>
      </c>
      <c r="Y140" s="10" t="s">
        <v>228</v>
      </c>
    </row>
    <row r="141" spans="1:25" ht="15" customHeight="1" x14ac:dyDescent="0.35">
      <c r="A141" s="2">
        <v>4894080</v>
      </c>
      <c r="B141" s="2" t="s">
        <v>33</v>
      </c>
      <c r="C141" s="3">
        <v>45100</v>
      </c>
      <c r="D141" s="3">
        <v>45183</v>
      </c>
      <c r="E141" s="2" t="s">
        <v>50</v>
      </c>
      <c r="F141" s="2" t="s">
        <v>51</v>
      </c>
      <c r="G141" s="2" t="s">
        <v>225</v>
      </c>
      <c r="H141" s="3">
        <v>45187</v>
      </c>
      <c r="I141" s="3">
        <v>45282</v>
      </c>
      <c r="J141" s="2">
        <v>3070181</v>
      </c>
      <c r="K141" s="2" t="s">
        <v>310</v>
      </c>
      <c r="L141" s="2" t="s">
        <v>289</v>
      </c>
      <c r="M141" s="2">
        <v>2</v>
      </c>
      <c r="N141" s="2" t="s">
        <v>32</v>
      </c>
      <c r="O141" s="5">
        <v>4350000</v>
      </c>
      <c r="P141" s="5" t="s">
        <v>33</v>
      </c>
      <c r="Q141" s="2" t="s">
        <v>33</v>
      </c>
      <c r="R141" s="6">
        <f t="shared" si="2"/>
        <v>-82.169241379310336</v>
      </c>
      <c r="S141" s="2">
        <v>775638</v>
      </c>
      <c r="T141" s="2" t="s">
        <v>33</v>
      </c>
      <c r="U141" s="2" t="s">
        <v>33</v>
      </c>
      <c r="V141" s="8" t="s">
        <v>48</v>
      </c>
      <c r="W141" s="2">
        <v>26250</v>
      </c>
      <c r="X141" s="9" t="s">
        <v>35</v>
      </c>
      <c r="Y141" s="10" t="s">
        <v>228</v>
      </c>
    </row>
    <row r="142" spans="1:25" ht="15" customHeight="1" x14ac:dyDescent="0.35">
      <c r="A142" s="2">
        <v>4902353</v>
      </c>
      <c r="B142" s="2" t="s">
        <v>25</v>
      </c>
      <c r="C142" s="3">
        <v>45273</v>
      </c>
      <c r="D142" s="3">
        <v>45273</v>
      </c>
      <c r="E142" s="2" t="s">
        <v>26</v>
      </c>
      <c r="F142" s="2" t="s">
        <v>311</v>
      </c>
      <c r="G142" s="2" t="s">
        <v>101</v>
      </c>
      <c r="H142" s="3">
        <v>45275</v>
      </c>
      <c r="I142" s="3">
        <v>45294</v>
      </c>
      <c r="J142" s="2">
        <v>3075502</v>
      </c>
      <c r="K142" s="2" t="s">
        <v>312</v>
      </c>
      <c r="L142" s="2" t="s">
        <v>171</v>
      </c>
      <c r="M142" s="2">
        <v>1.1000000000000001</v>
      </c>
      <c r="N142" s="2" t="s">
        <v>39</v>
      </c>
      <c r="O142" s="2">
        <v>380000</v>
      </c>
      <c r="P142" s="2" t="s">
        <v>33</v>
      </c>
      <c r="Q142" s="2" t="s">
        <v>33</v>
      </c>
      <c r="R142" s="6">
        <f t="shared" si="2"/>
        <v>3.4013157894736841</v>
      </c>
      <c r="S142" s="2">
        <v>392925</v>
      </c>
      <c r="T142" s="2" t="s">
        <v>33</v>
      </c>
      <c r="U142" s="2">
        <v>0.75</v>
      </c>
      <c r="V142" s="8" t="s">
        <v>34</v>
      </c>
      <c r="W142" s="2">
        <v>8000</v>
      </c>
      <c r="X142" s="9" t="s">
        <v>35</v>
      </c>
      <c r="Y142" s="10" t="s">
        <v>36</v>
      </c>
    </row>
    <row r="143" spans="1:25" ht="15" customHeight="1" x14ac:dyDescent="0.35">
      <c r="A143" s="2" t="s">
        <v>33</v>
      </c>
      <c r="B143" s="2" t="s">
        <v>33</v>
      </c>
      <c r="C143" s="3">
        <v>45302</v>
      </c>
      <c r="D143" s="3">
        <v>45419</v>
      </c>
      <c r="E143" s="2" t="s">
        <v>50</v>
      </c>
      <c r="F143" s="2" t="s">
        <v>59</v>
      </c>
      <c r="G143" s="2" t="s">
        <v>33</v>
      </c>
      <c r="H143" s="3">
        <v>45421</v>
      </c>
      <c r="I143" s="3">
        <v>45299</v>
      </c>
      <c r="J143" s="2" t="s">
        <v>33</v>
      </c>
      <c r="K143" s="5" t="s">
        <v>313</v>
      </c>
      <c r="L143" s="2" t="s">
        <v>274</v>
      </c>
      <c r="M143" s="2">
        <v>13</v>
      </c>
      <c r="N143" s="2" t="s">
        <v>32</v>
      </c>
      <c r="O143" s="5">
        <v>2800000</v>
      </c>
      <c r="P143" s="5" t="s">
        <v>33</v>
      </c>
      <c r="Q143" s="2" t="s">
        <v>33</v>
      </c>
      <c r="R143" s="6" t="e">
        <f t="shared" si="2"/>
        <v>#VALUE!</v>
      </c>
      <c r="S143" s="2" t="s">
        <v>33</v>
      </c>
      <c r="T143" s="2" t="s">
        <v>33</v>
      </c>
      <c r="U143" s="2" t="s">
        <v>33</v>
      </c>
      <c r="V143" s="8" t="s">
        <v>34</v>
      </c>
      <c r="W143" s="2">
        <v>8000</v>
      </c>
      <c r="X143" s="9" t="s">
        <v>35</v>
      </c>
      <c r="Y143" s="10" t="s">
        <v>228</v>
      </c>
    </row>
    <row r="144" spans="1:25" ht="15" customHeight="1" x14ac:dyDescent="0.35">
      <c r="A144" s="17">
        <v>4900235</v>
      </c>
      <c r="B144" s="2" t="s">
        <v>25</v>
      </c>
      <c r="C144" s="3">
        <v>45236</v>
      </c>
      <c r="D144" s="3">
        <v>45236</v>
      </c>
      <c r="E144" s="2" t="s">
        <v>26</v>
      </c>
      <c r="F144" s="2" t="s">
        <v>314</v>
      </c>
      <c r="G144" s="2" t="s">
        <v>315</v>
      </c>
      <c r="H144" s="3">
        <v>45271</v>
      </c>
      <c r="I144" s="3">
        <v>45299</v>
      </c>
      <c r="J144" s="2">
        <v>3075386</v>
      </c>
      <c r="K144" s="2" t="s">
        <v>316</v>
      </c>
      <c r="L144" s="2" t="s">
        <v>30</v>
      </c>
      <c r="M144" s="2" t="s">
        <v>31</v>
      </c>
      <c r="N144" s="2" t="s">
        <v>32</v>
      </c>
      <c r="O144" s="5" t="e">
        <v>#N/A</v>
      </c>
      <c r="P144" s="2" t="s">
        <v>33</v>
      </c>
      <c r="Q144" s="2" t="s">
        <v>33</v>
      </c>
      <c r="R144" s="6" t="e">
        <f t="shared" si="2"/>
        <v>#N/A</v>
      </c>
      <c r="S144" s="2">
        <v>392925</v>
      </c>
      <c r="T144" s="2" t="s">
        <v>33</v>
      </c>
      <c r="U144" s="2">
        <v>0.75</v>
      </c>
      <c r="V144" s="8" t="s">
        <v>34</v>
      </c>
      <c r="W144" s="2">
        <v>8000</v>
      </c>
      <c r="X144" s="9" t="s">
        <v>35</v>
      </c>
      <c r="Y144" s="10" t="s">
        <v>118</v>
      </c>
    </row>
    <row r="145" spans="1:25" ht="15" customHeight="1" x14ac:dyDescent="0.35">
      <c r="A145" s="17">
        <v>4900235</v>
      </c>
      <c r="B145" s="2" t="s">
        <v>25</v>
      </c>
      <c r="C145" s="3">
        <v>45236</v>
      </c>
      <c r="D145" s="3">
        <v>45236</v>
      </c>
      <c r="E145" s="2" t="s">
        <v>26</v>
      </c>
      <c r="F145" s="2" t="s">
        <v>314</v>
      </c>
      <c r="G145" s="2" t="s">
        <v>315</v>
      </c>
      <c r="H145" s="3">
        <v>45274</v>
      </c>
      <c r="I145" s="3">
        <v>45299</v>
      </c>
      <c r="J145" s="2">
        <v>3075449</v>
      </c>
      <c r="K145" s="2" t="s">
        <v>317</v>
      </c>
      <c r="L145" s="2" t="s">
        <v>30</v>
      </c>
      <c r="M145" s="2" t="s">
        <v>31</v>
      </c>
      <c r="N145" s="2" t="s">
        <v>39</v>
      </c>
      <c r="O145" s="5" t="e">
        <v>#N/A</v>
      </c>
      <c r="P145" s="2" t="s">
        <v>33</v>
      </c>
      <c r="Q145" s="2" t="s">
        <v>33</v>
      </c>
      <c r="R145" s="6" t="e">
        <f t="shared" si="2"/>
        <v>#N/A</v>
      </c>
      <c r="S145" s="2">
        <v>392925</v>
      </c>
      <c r="T145" s="2" t="s">
        <v>33</v>
      </c>
      <c r="U145" s="2">
        <v>0.75</v>
      </c>
      <c r="V145" s="8" t="s">
        <v>34</v>
      </c>
      <c r="W145" s="2">
        <v>8000</v>
      </c>
      <c r="X145" s="9" t="s">
        <v>35</v>
      </c>
      <c r="Y145" s="10" t="s">
        <v>36</v>
      </c>
    </row>
    <row r="146" spans="1:25" ht="15" customHeight="1" x14ac:dyDescent="0.35">
      <c r="A146" s="17">
        <v>4900235</v>
      </c>
      <c r="B146" s="2" t="s">
        <v>25</v>
      </c>
      <c r="C146" s="3">
        <v>45236</v>
      </c>
      <c r="D146" s="3">
        <v>45236</v>
      </c>
      <c r="E146" s="2" t="s">
        <v>26</v>
      </c>
      <c r="F146" s="2" t="s">
        <v>314</v>
      </c>
      <c r="G146" s="2" t="s">
        <v>315</v>
      </c>
      <c r="H146" s="3">
        <v>45273</v>
      </c>
      <c r="I146" s="3">
        <v>45299</v>
      </c>
      <c r="J146" s="2">
        <v>3075406</v>
      </c>
      <c r="K146" s="2" t="s">
        <v>318</v>
      </c>
      <c r="L146" s="2" t="s">
        <v>30</v>
      </c>
      <c r="M146" s="2" t="s">
        <v>31</v>
      </c>
      <c r="N146" s="2" t="s">
        <v>39</v>
      </c>
      <c r="O146" s="5" t="e">
        <v>#N/A</v>
      </c>
      <c r="P146" s="2" t="s">
        <v>33</v>
      </c>
      <c r="Q146" s="2" t="s">
        <v>33</v>
      </c>
      <c r="R146" s="6" t="e">
        <f t="shared" si="2"/>
        <v>#N/A</v>
      </c>
      <c r="S146" s="2">
        <v>392925</v>
      </c>
      <c r="T146" s="2" t="s">
        <v>33</v>
      </c>
      <c r="U146" s="2">
        <v>0.75</v>
      </c>
      <c r="V146" s="8" t="s">
        <v>34</v>
      </c>
      <c r="W146" s="2">
        <v>8000</v>
      </c>
      <c r="X146" s="9" t="s">
        <v>35</v>
      </c>
      <c r="Y146" s="10" t="s">
        <v>36</v>
      </c>
    </row>
    <row r="147" spans="1:25" ht="15" customHeight="1" x14ac:dyDescent="0.35">
      <c r="A147" s="17">
        <v>4900235</v>
      </c>
      <c r="B147" s="2" t="s">
        <v>25</v>
      </c>
      <c r="C147" s="3">
        <v>45236</v>
      </c>
      <c r="D147" s="3">
        <v>45236</v>
      </c>
      <c r="E147" s="2" t="s">
        <v>26</v>
      </c>
      <c r="F147" s="2" t="s">
        <v>314</v>
      </c>
      <c r="G147" s="2" t="s">
        <v>315</v>
      </c>
      <c r="H147" s="3">
        <v>45273</v>
      </c>
      <c r="I147" s="3">
        <v>45299</v>
      </c>
      <c r="J147" s="2">
        <v>3075450</v>
      </c>
      <c r="K147" s="2" t="s">
        <v>319</v>
      </c>
      <c r="L147" s="2" t="s">
        <v>30</v>
      </c>
      <c r="M147" s="2" t="s">
        <v>31</v>
      </c>
      <c r="N147" s="2" t="s">
        <v>39</v>
      </c>
      <c r="O147" s="5" t="e">
        <v>#N/A</v>
      </c>
      <c r="P147" s="2" t="s">
        <v>33</v>
      </c>
      <c r="Q147" s="2" t="s">
        <v>33</v>
      </c>
      <c r="R147" s="6" t="e">
        <f t="shared" si="2"/>
        <v>#N/A</v>
      </c>
      <c r="S147" s="2">
        <v>392925</v>
      </c>
      <c r="T147" s="2" t="s">
        <v>33</v>
      </c>
      <c r="U147" s="2">
        <v>0.75</v>
      </c>
      <c r="V147" s="8" t="s">
        <v>34</v>
      </c>
      <c r="W147" s="2">
        <v>8000</v>
      </c>
      <c r="X147" s="9" t="s">
        <v>35</v>
      </c>
      <c r="Y147" s="10" t="s">
        <v>118</v>
      </c>
    </row>
    <row r="148" spans="1:25" ht="15" customHeight="1" x14ac:dyDescent="0.35">
      <c r="A148" s="17">
        <v>4900235</v>
      </c>
      <c r="B148" s="2" t="s">
        <v>25</v>
      </c>
      <c r="C148" s="3">
        <v>45236</v>
      </c>
      <c r="D148" s="3">
        <v>45236</v>
      </c>
      <c r="E148" s="2" t="s">
        <v>26</v>
      </c>
      <c r="F148" s="2" t="s">
        <v>314</v>
      </c>
      <c r="G148" s="2" t="s">
        <v>315</v>
      </c>
      <c r="H148" s="3">
        <v>45273</v>
      </c>
      <c r="I148" s="3">
        <v>45299</v>
      </c>
      <c r="J148" s="2">
        <v>3075405</v>
      </c>
      <c r="K148" s="2" t="s">
        <v>320</v>
      </c>
      <c r="L148" s="2" t="s">
        <v>30</v>
      </c>
      <c r="M148" s="2" t="s">
        <v>31</v>
      </c>
      <c r="N148" s="2" t="s">
        <v>32</v>
      </c>
      <c r="O148" s="5" t="e">
        <v>#N/A</v>
      </c>
      <c r="P148" s="2" t="s">
        <v>33</v>
      </c>
      <c r="Q148" s="2" t="s">
        <v>33</v>
      </c>
      <c r="R148" s="6" t="e">
        <f t="shared" si="2"/>
        <v>#N/A</v>
      </c>
      <c r="S148" s="2">
        <v>392925</v>
      </c>
      <c r="T148" s="2" t="s">
        <v>33</v>
      </c>
      <c r="U148" s="2">
        <v>0.75</v>
      </c>
      <c r="V148" s="8" t="s">
        <v>34</v>
      </c>
      <c r="W148" s="2">
        <v>8000</v>
      </c>
      <c r="X148" s="9" t="s">
        <v>35</v>
      </c>
      <c r="Y148" s="10" t="s">
        <v>118</v>
      </c>
    </row>
    <row r="149" spans="1:25" ht="15" customHeight="1" x14ac:dyDescent="0.35">
      <c r="A149" s="2">
        <v>4900390</v>
      </c>
      <c r="B149" s="2" t="s">
        <v>25</v>
      </c>
      <c r="C149" s="3">
        <v>45238</v>
      </c>
      <c r="D149" s="3">
        <v>45238</v>
      </c>
      <c r="E149" s="2" t="s">
        <v>26</v>
      </c>
      <c r="F149" s="2" t="s">
        <v>321</v>
      </c>
      <c r="G149" s="2" t="s">
        <v>315</v>
      </c>
      <c r="H149" s="3">
        <v>45275</v>
      </c>
      <c r="I149" s="3">
        <v>45299</v>
      </c>
      <c r="J149" s="2">
        <v>3075507</v>
      </c>
      <c r="K149" s="2" t="s">
        <v>322</v>
      </c>
      <c r="L149" s="2" t="s">
        <v>30</v>
      </c>
      <c r="M149" s="2" t="s">
        <v>31</v>
      </c>
      <c r="N149" s="2" t="s">
        <v>32</v>
      </c>
      <c r="O149" s="5" t="e">
        <v>#N/A</v>
      </c>
      <c r="P149" s="2" t="s">
        <v>33</v>
      </c>
      <c r="Q149" s="2" t="s">
        <v>33</v>
      </c>
      <c r="R149" s="6" t="e">
        <f t="shared" si="2"/>
        <v>#N/A</v>
      </c>
      <c r="S149" s="2">
        <v>392925</v>
      </c>
      <c r="T149" s="2" t="s">
        <v>33</v>
      </c>
      <c r="U149" s="2">
        <v>0.75</v>
      </c>
      <c r="V149" s="8" t="s">
        <v>34</v>
      </c>
      <c r="W149" s="2">
        <v>8000</v>
      </c>
      <c r="X149" s="9" t="s">
        <v>35</v>
      </c>
      <c r="Y149" s="10" t="s">
        <v>36</v>
      </c>
    </row>
    <row r="150" spans="1:25" ht="15" customHeight="1" x14ac:dyDescent="0.35">
      <c r="A150" s="2">
        <v>4901064</v>
      </c>
      <c r="B150" s="2" t="s">
        <v>25</v>
      </c>
      <c r="C150" s="3">
        <v>45251</v>
      </c>
      <c r="D150" s="3">
        <v>45251</v>
      </c>
      <c r="E150" s="2" t="s">
        <v>26</v>
      </c>
      <c r="F150" s="2" t="s">
        <v>321</v>
      </c>
      <c r="G150" s="2" t="s">
        <v>56</v>
      </c>
      <c r="H150" s="3">
        <v>45275</v>
      </c>
      <c r="I150" s="3">
        <v>45299</v>
      </c>
      <c r="J150" s="2">
        <v>3075531</v>
      </c>
      <c r="K150" s="2" t="s">
        <v>323</v>
      </c>
      <c r="L150" s="2" t="s">
        <v>30</v>
      </c>
      <c r="M150" s="2" t="s">
        <v>31</v>
      </c>
      <c r="N150" s="2" t="s">
        <v>39</v>
      </c>
      <c r="O150" s="5" t="e">
        <v>#N/A</v>
      </c>
      <c r="P150" s="2" t="s">
        <v>33</v>
      </c>
      <c r="Q150" s="2" t="s">
        <v>33</v>
      </c>
      <c r="R150" s="6" t="e">
        <f t="shared" si="2"/>
        <v>#N/A</v>
      </c>
      <c r="S150" s="2">
        <v>392925</v>
      </c>
      <c r="T150" s="2" t="s">
        <v>33</v>
      </c>
      <c r="U150" s="2">
        <v>0.75</v>
      </c>
      <c r="V150" s="8" t="s">
        <v>34</v>
      </c>
      <c r="W150" s="2">
        <v>8000</v>
      </c>
      <c r="X150" s="9" t="s">
        <v>35</v>
      </c>
      <c r="Y150" s="10" t="s">
        <v>118</v>
      </c>
    </row>
    <row r="151" spans="1:25" ht="15" customHeight="1" x14ac:dyDescent="0.35">
      <c r="A151" s="2">
        <v>4884062</v>
      </c>
      <c r="B151" s="2" t="s">
        <v>33</v>
      </c>
      <c r="C151" s="3">
        <v>45100</v>
      </c>
      <c r="D151" s="3">
        <v>45162</v>
      </c>
      <c r="E151" s="2" t="s">
        <v>50</v>
      </c>
      <c r="F151" s="2" t="s">
        <v>59</v>
      </c>
      <c r="G151" s="2" t="s">
        <v>234</v>
      </c>
      <c r="H151" s="3">
        <v>45087</v>
      </c>
      <c r="I151" s="3">
        <v>45300</v>
      </c>
      <c r="J151" s="2">
        <v>1939689</v>
      </c>
      <c r="K151" s="2" t="s">
        <v>324</v>
      </c>
      <c r="L151" s="2" t="s">
        <v>325</v>
      </c>
      <c r="M151" s="2">
        <v>9</v>
      </c>
      <c r="N151" s="2" t="s">
        <v>39</v>
      </c>
      <c r="O151" s="5">
        <v>2800000</v>
      </c>
      <c r="P151" s="5" t="s">
        <v>33</v>
      </c>
      <c r="Q151" s="2" t="s">
        <v>33</v>
      </c>
      <c r="R151" s="6">
        <f t="shared" si="2"/>
        <v>38.571428571428577</v>
      </c>
      <c r="S151" s="2">
        <v>3880000</v>
      </c>
      <c r="T151" s="2" t="s">
        <v>33</v>
      </c>
      <c r="U151" s="2" t="s">
        <v>33</v>
      </c>
      <c r="V151" s="8" t="s">
        <v>48</v>
      </c>
      <c r="W151" s="2">
        <v>330031.72899999999</v>
      </c>
      <c r="X151" s="9" t="s">
        <v>35</v>
      </c>
      <c r="Y151" s="10" t="s">
        <v>228</v>
      </c>
    </row>
    <row r="152" spans="1:25" ht="15" customHeight="1" x14ac:dyDescent="0.35">
      <c r="A152" s="2">
        <v>4902914</v>
      </c>
      <c r="B152" s="2" t="s">
        <v>25</v>
      </c>
      <c r="C152" s="3">
        <v>45280</v>
      </c>
      <c r="D152" s="3">
        <v>45280</v>
      </c>
      <c r="E152" s="2" t="s">
        <v>26</v>
      </c>
      <c r="F152" s="2" t="s">
        <v>326</v>
      </c>
      <c r="G152" s="2" t="s">
        <v>315</v>
      </c>
      <c r="H152" s="3">
        <v>45295</v>
      </c>
      <c r="I152" s="3">
        <v>45303</v>
      </c>
      <c r="J152" s="2">
        <v>3075722</v>
      </c>
      <c r="K152" s="2" t="s">
        <v>327</v>
      </c>
      <c r="L152" s="2" t="s">
        <v>328</v>
      </c>
      <c r="M152" s="2">
        <v>8</v>
      </c>
      <c r="N152" s="2" t="s">
        <v>39</v>
      </c>
      <c r="O152" s="2">
        <v>480000</v>
      </c>
      <c r="P152" s="2" t="s">
        <v>33</v>
      </c>
      <c r="Q152" s="2" t="s">
        <v>33</v>
      </c>
      <c r="R152" s="6">
        <f t="shared" si="2"/>
        <v>-18.140625</v>
      </c>
      <c r="S152" s="2">
        <v>392925</v>
      </c>
      <c r="T152" s="2" t="s">
        <v>33</v>
      </c>
      <c r="U152" s="2">
        <v>0.75</v>
      </c>
      <c r="V152" s="8" t="s">
        <v>34</v>
      </c>
      <c r="W152" s="2">
        <v>8000</v>
      </c>
      <c r="X152" s="9" t="s">
        <v>35</v>
      </c>
      <c r="Y152" s="10" t="s">
        <v>36</v>
      </c>
    </row>
    <row r="153" spans="1:25" ht="15" customHeight="1" x14ac:dyDescent="0.35">
      <c r="A153" s="2">
        <v>4902644</v>
      </c>
      <c r="B153" s="2" t="s">
        <v>25</v>
      </c>
      <c r="C153" s="3">
        <v>45277</v>
      </c>
      <c r="D153" s="3">
        <v>45277</v>
      </c>
      <c r="E153" s="2" t="s">
        <v>26</v>
      </c>
      <c r="F153" s="2" t="s">
        <v>311</v>
      </c>
      <c r="G153" s="2" t="s">
        <v>101</v>
      </c>
      <c r="H153" s="3">
        <v>45293</v>
      </c>
      <c r="I153" s="3">
        <v>45303</v>
      </c>
      <c r="J153" s="2">
        <v>3075720</v>
      </c>
      <c r="K153" s="2" t="s">
        <v>329</v>
      </c>
      <c r="L153" s="2" t="s">
        <v>30</v>
      </c>
      <c r="M153" s="2" t="s">
        <v>31</v>
      </c>
      <c r="N153" s="2" t="s">
        <v>39</v>
      </c>
      <c r="O153" s="5" t="e">
        <v>#N/A</v>
      </c>
      <c r="P153" s="2" t="s">
        <v>33</v>
      </c>
      <c r="Q153" s="2" t="s">
        <v>33</v>
      </c>
      <c r="R153" s="6" t="e">
        <f t="shared" si="2"/>
        <v>#N/A</v>
      </c>
      <c r="S153" s="2">
        <v>392925</v>
      </c>
      <c r="T153" s="2" t="s">
        <v>33</v>
      </c>
      <c r="U153" s="2">
        <v>0.75</v>
      </c>
      <c r="V153" s="8" t="s">
        <v>34</v>
      </c>
      <c r="W153" s="2">
        <v>8000</v>
      </c>
      <c r="X153" s="9" t="s">
        <v>35</v>
      </c>
      <c r="Y153" s="10" t="s">
        <v>118</v>
      </c>
    </row>
    <row r="154" spans="1:25" ht="15" customHeight="1" x14ac:dyDescent="0.35">
      <c r="A154" s="2" t="s">
        <v>330</v>
      </c>
      <c r="B154" s="2" t="s">
        <v>25</v>
      </c>
      <c r="C154" s="3">
        <v>45237</v>
      </c>
      <c r="D154" s="3">
        <v>45237</v>
      </c>
      <c r="E154" s="2" t="s">
        <v>26</v>
      </c>
      <c r="F154" s="2" t="s">
        <v>311</v>
      </c>
      <c r="G154" s="2" t="s">
        <v>101</v>
      </c>
      <c r="H154" s="3">
        <v>45295</v>
      </c>
      <c r="I154" s="3">
        <v>45303</v>
      </c>
      <c r="J154" s="2">
        <v>3075724</v>
      </c>
      <c r="K154" s="2" t="s">
        <v>331</v>
      </c>
      <c r="L154" s="2" t="s">
        <v>30</v>
      </c>
      <c r="M154" s="2" t="s">
        <v>31</v>
      </c>
      <c r="N154" s="2" t="s">
        <v>39</v>
      </c>
      <c r="O154" s="5" t="e">
        <v>#N/A</v>
      </c>
      <c r="P154" s="2" t="s">
        <v>33</v>
      </c>
      <c r="Q154" s="2" t="s">
        <v>33</v>
      </c>
      <c r="R154" s="6" t="e">
        <f t="shared" si="2"/>
        <v>#N/A</v>
      </c>
      <c r="S154" s="2">
        <v>392925</v>
      </c>
      <c r="T154" s="2" t="s">
        <v>33</v>
      </c>
      <c r="U154" s="2">
        <v>0.75</v>
      </c>
      <c r="V154" s="8" t="s">
        <v>34</v>
      </c>
      <c r="W154" s="2">
        <v>8000</v>
      </c>
      <c r="X154" s="9" t="s">
        <v>35</v>
      </c>
      <c r="Y154" s="10" t="s">
        <v>36</v>
      </c>
    </row>
    <row r="155" spans="1:25" ht="15" customHeight="1" x14ac:dyDescent="0.35">
      <c r="A155" s="2">
        <v>4902913</v>
      </c>
      <c r="B155" s="2" t="s">
        <v>25</v>
      </c>
      <c r="C155" s="3">
        <v>45280</v>
      </c>
      <c r="D155" s="3">
        <v>45280</v>
      </c>
      <c r="E155" s="2" t="s">
        <v>26</v>
      </c>
      <c r="F155" s="2" t="s">
        <v>326</v>
      </c>
      <c r="G155" s="2" t="s">
        <v>315</v>
      </c>
      <c r="H155" s="3">
        <v>45300</v>
      </c>
      <c r="I155" s="3">
        <v>45308</v>
      </c>
      <c r="J155" s="2">
        <v>3075809</v>
      </c>
      <c r="K155" s="2" t="s">
        <v>332</v>
      </c>
      <c r="L155" s="2" t="s">
        <v>333</v>
      </c>
      <c r="M155" s="2">
        <v>2</v>
      </c>
      <c r="N155" s="2" t="s">
        <v>39</v>
      </c>
      <c r="O155" s="2">
        <v>300000</v>
      </c>
      <c r="P155" s="2" t="s">
        <v>33</v>
      </c>
      <c r="Q155" s="2" t="s">
        <v>33</v>
      </c>
      <c r="R155" s="6">
        <f t="shared" si="2"/>
        <v>39.102333333333334</v>
      </c>
      <c r="S155" s="2">
        <v>417307</v>
      </c>
      <c r="T155" s="2" t="s">
        <v>33</v>
      </c>
      <c r="U155" s="2">
        <v>0.75</v>
      </c>
      <c r="V155" s="8" t="s">
        <v>34</v>
      </c>
      <c r="W155" s="2">
        <v>8000</v>
      </c>
      <c r="X155" s="9" t="s">
        <v>35</v>
      </c>
      <c r="Y155" s="10" t="s">
        <v>118</v>
      </c>
    </row>
    <row r="156" spans="1:25" ht="15" customHeight="1" x14ac:dyDescent="0.35">
      <c r="A156" s="2" t="s">
        <v>330</v>
      </c>
      <c r="B156" s="2" t="s">
        <v>25</v>
      </c>
      <c r="C156" s="3">
        <v>45237</v>
      </c>
      <c r="D156" s="3">
        <v>45237</v>
      </c>
      <c r="E156" s="2" t="s">
        <v>26</v>
      </c>
      <c r="F156" s="2" t="s">
        <v>311</v>
      </c>
      <c r="G156" s="2" t="s">
        <v>101</v>
      </c>
      <c r="H156" s="3">
        <v>45301</v>
      </c>
      <c r="I156" s="3">
        <v>45310</v>
      </c>
      <c r="J156" s="2">
        <v>3075811</v>
      </c>
      <c r="K156" s="2" t="s">
        <v>334</v>
      </c>
      <c r="L156" s="2" t="s">
        <v>335</v>
      </c>
      <c r="M156" s="2">
        <v>1.4</v>
      </c>
      <c r="N156" s="2" t="s">
        <v>39</v>
      </c>
      <c r="O156" s="2">
        <v>240000</v>
      </c>
      <c r="P156" s="2" t="s">
        <v>33</v>
      </c>
      <c r="Q156" s="2" t="s">
        <v>33</v>
      </c>
      <c r="R156" s="6">
        <f t="shared" si="2"/>
        <v>73.095416666666665</v>
      </c>
      <c r="S156" s="2">
        <v>415429</v>
      </c>
      <c r="T156" s="2" t="s">
        <v>33</v>
      </c>
      <c r="U156" s="2">
        <v>0.75</v>
      </c>
      <c r="V156" s="8" t="s">
        <v>34</v>
      </c>
      <c r="W156" s="2">
        <v>8000</v>
      </c>
      <c r="X156" s="9" t="s">
        <v>35</v>
      </c>
      <c r="Y156" s="10" t="s">
        <v>36</v>
      </c>
    </row>
    <row r="157" spans="1:25" ht="15" customHeight="1" x14ac:dyDescent="0.35">
      <c r="A157" s="2">
        <v>4903613</v>
      </c>
      <c r="B157" s="2" t="s">
        <v>25</v>
      </c>
      <c r="C157" s="3">
        <v>45294</v>
      </c>
      <c r="D157" s="3">
        <v>45294</v>
      </c>
      <c r="E157" s="2" t="s">
        <v>26</v>
      </c>
      <c r="F157" s="2" t="s">
        <v>314</v>
      </c>
      <c r="G157" s="2" t="s">
        <v>315</v>
      </c>
      <c r="H157" s="3">
        <v>45306</v>
      </c>
      <c r="I157" s="3">
        <v>45310</v>
      </c>
      <c r="J157" s="2">
        <v>3075876</v>
      </c>
      <c r="K157" s="2" t="s">
        <v>336</v>
      </c>
      <c r="L157" s="2" t="s">
        <v>337</v>
      </c>
      <c r="M157" s="2">
        <v>5</v>
      </c>
      <c r="N157" s="2" t="s">
        <v>39</v>
      </c>
      <c r="O157" s="2">
        <v>400000</v>
      </c>
      <c r="P157" s="2" t="s">
        <v>33</v>
      </c>
      <c r="Q157" s="2" t="s">
        <v>33</v>
      </c>
      <c r="R157" s="6">
        <f t="shared" si="2"/>
        <v>4.25</v>
      </c>
      <c r="S157" s="2">
        <v>417000</v>
      </c>
      <c r="T157" s="2" t="s">
        <v>33</v>
      </c>
      <c r="U157" s="2">
        <v>0.75</v>
      </c>
      <c r="V157" s="8" t="s">
        <v>34</v>
      </c>
      <c r="W157" s="2">
        <v>8000</v>
      </c>
      <c r="X157" s="9" t="s">
        <v>35</v>
      </c>
      <c r="Y157" s="10" t="s">
        <v>36</v>
      </c>
    </row>
    <row r="158" spans="1:25" ht="15" customHeight="1" x14ac:dyDescent="0.35">
      <c r="A158" s="2">
        <v>4886901</v>
      </c>
      <c r="B158" s="2" t="s">
        <v>33</v>
      </c>
      <c r="C158" s="3">
        <v>45100</v>
      </c>
      <c r="D158" s="3">
        <v>45084</v>
      </c>
      <c r="E158" s="2" t="s">
        <v>50</v>
      </c>
      <c r="F158" s="2" t="s">
        <v>68</v>
      </c>
      <c r="G158" s="2" t="s">
        <v>259</v>
      </c>
      <c r="H158" s="3">
        <v>45250</v>
      </c>
      <c r="I158" s="3">
        <v>45320</v>
      </c>
      <c r="J158" s="2">
        <v>3075109</v>
      </c>
      <c r="K158" s="5" t="s">
        <v>338</v>
      </c>
      <c r="L158" s="2" t="s">
        <v>295</v>
      </c>
      <c r="M158" s="2">
        <v>3.1</v>
      </c>
      <c r="N158" s="2" t="s">
        <v>39</v>
      </c>
      <c r="O158" s="5">
        <v>8220000</v>
      </c>
      <c r="P158" s="5" t="s">
        <v>33</v>
      </c>
      <c r="Q158" s="2" t="s">
        <v>33</v>
      </c>
      <c r="R158" s="6">
        <f t="shared" si="2"/>
        <v>-82.968369829683695</v>
      </c>
      <c r="S158" s="2">
        <v>1400000</v>
      </c>
      <c r="T158" s="2" t="s">
        <v>33</v>
      </c>
      <c r="U158" s="2" t="s">
        <v>33</v>
      </c>
      <c r="V158" s="8" t="s">
        <v>48</v>
      </c>
      <c r="W158" s="2">
        <v>52500</v>
      </c>
      <c r="X158" s="9" t="s">
        <v>35</v>
      </c>
      <c r="Y158" s="10" t="s">
        <v>228</v>
      </c>
    </row>
    <row r="159" spans="1:25" ht="15" customHeight="1" x14ac:dyDescent="0.35">
      <c r="A159" s="2" t="s">
        <v>339</v>
      </c>
      <c r="B159" s="2" t="s">
        <v>25</v>
      </c>
      <c r="C159" s="3">
        <v>45297</v>
      </c>
      <c r="D159" s="3">
        <v>45297</v>
      </c>
      <c r="E159" s="2" t="s">
        <v>26</v>
      </c>
      <c r="F159" s="2" t="s">
        <v>314</v>
      </c>
      <c r="G159" s="2" t="s">
        <v>315</v>
      </c>
      <c r="H159" s="3">
        <v>45306</v>
      </c>
      <c r="I159" s="3">
        <v>45320</v>
      </c>
      <c r="J159" s="2">
        <v>3075911</v>
      </c>
      <c r="K159" s="2" t="s">
        <v>340</v>
      </c>
      <c r="L159" s="2" t="s">
        <v>30</v>
      </c>
      <c r="M159" s="2" t="s">
        <v>31</v>
      </c>
      <c r="N159" s="2" t="s">
        <v>39</v>
      </c>
      <c r="O159" s="5" t="e">
        <v>#N/A</v>
      </c>
      <c r="P159" s="2" t="s">
        <v>33</v>
      </c>
      <c r="Q159" s="2" t="s">
        <v>33</v>
      </c>
      <c r="R159" s="6" t="e">
        <f t="shared" si="2"/>
        <v>#N/A</v>
      </c>
      <c r="S159" s="2">
        <v>417000</v>
      </c>
      <c r="T159" s="2" t="s">
        <v>33</v>
      </c>
      <c r="U159" s="2">
        <v>0.75</v>
      </c>
      <c r="V159" s="8" t="s">
        <v>34</v>
      </c>
      <c r="W159" s="2">
        <v>8000</v>
      </c>
      <c r="X159" s="9" t="s">
        <v>35</v>
      </c>
      <c r="Y159" s="10" t="s">
        <v>36</v>
      </c>
    </row>
    <row r="160" spans="1:25" ht="15" customHeight="1" x14ac:dyDescent="0.35">
      <c r="A160" s="2">
        <v>4903614</v>
      </c>
      <c r="B160" s="2" t="s">
        <v>25</v>
      </c>
      <c r="C160" s="3">
        <v>45294</v>
      </c>
      <c r="D160" s="3">
        <v>45294</v>
      </c>
      <c r="E160" s="2" t="s">
        <v>26</v>
      </c>
      <c r="F160" s="2" t="s">
        <v>321</v>
      </c>
      <c r="G160" s="2" t="s">
        <v>56</v>
      </c>
      <c r="H160" s="3">
        <v>45306</v>
      </c>
      <c r="I160" s="3">
        <v>45320</v>
      </c>
      <c r="J160" s="2">
        <v>3075930</v>
      </c>
      <c r="K160" s="2" t="s">
        <v>341</v>
      </c>
      <c r="L160" s="2" t="s">
        <v>30</v>
      </c>
      <c r="M160" s="2" t="s">
        <v>31</v>
      </c>
      <c r="N160" s="2" t="s">
        <v>32</v>
      </c>
      <c r="O160" s="5" t="e">
        <v>#N/A</v>
      </c>
      <c r="P160" s="2" t="s">
        <v>33</v>
      </c>
      <c r="Q160" s="2" t="s">
        <v>33</v>
      </c>
      <c r="R160" s="6" t="e">
        <f t="shared" si="2"/>
        <v>#N/A</v>
      </c>
      <c r="S160" s="2">
        <v>417000</v>
      </c>
      <c r="T160" s="2" t="s">
        <v>33</v>
      </c>
      <c r="U160" s="2">
        <v>0.75</v>
      </c>
      <c r="V160" s="8" t="s">
        <v>34</v>
      </c>
      <c r="W160" s="2">
        <v>8000</v>
      </c>
      <c r="X160" s="9" t="s">
        <v>35</v>
      </c>
      <c r="Y160" s="10" t="s">
        <v>36</v>
      </c>
    </row>
    <row r="161" spans="1:25" ht="15" customHeight="1" x14ac:dyDescent="0.35">
      <c r="A161" s="5">
        <v>4904231</v>
      </c>
      <c r="B161" s="2" t="s">
        <v>33</v>
      </c>
      <c r="C161" s="3">
        <v>45100</v>
      </c>
      <c r="D161" s="3">
        <v>45302</v>
      </c>
      <c r="E161" s="2" t="s">
        <v>50</v>
      </c>
      <c r="F161" s="2" t="s">
        <v>68</v>
      </c>
      <c r="G161" s="2" t="s">
        <v>124</v>
      </c>
      <c r="H161" s="3">
        <v>45307</v>
      </c>
      <c r="I161" s="3">
        <v>45321</v>
      </c>
      <c r="J161" s="2">
        <v>3075959</v>
      </c>
      <c r="K161" s="2" t="s">
        <v>342</v>
      </c>
      <c r="L161" s="2" t="s">
        <v>153</v>
      </c>
      <c r="M161" s="2">
        <v>4.5</v>
      </c>
      <c r="N161" s="2" t="s">
        <v>32</v>
      </c>
      <c r="O161" s="5">
        <v>720000</v>
      </c>
      <c r="P161" s="5" t="s">
        <v>33</v>
      </c>
      <c r="Q161" s="2" t="s">
        <v>33</v>
      </c>
      <c r="R161" s="6">
        <f t="shared" si="2"/>
        <v>136.11111111111111</v>
      </c>
      <c r="S161" s="2">
        <v>1700000</v>
      </c>
      <c r="T161" s="2" t="s">
        <v>33</v>
      </c>
      <c r="U161" s="2" t="s">
        <v>33</v>
      </c>
      <c r="V161" s="8" t="s">
        <v>48</v>
      </c>
      <c r="W161" s="2">
        <v>61250</v>
      </c>
      <c r="X161" s="9" t="s">
        <v>35</v>
      </c>
      <c r="Y161" s="10" t="s">
        <v>228</v>
      </c>
    </row>
    <row r="162" spans="1:25" ht="15" customHeight="1" x14ac:dyDescent="0.35">
      <c r="A162" s="2">
        <v>4894176</v>
      </c>
      <c r="B162" s="2" t="s">
        <v>25</v>
      </c>
      <c r="C162" s="3">
        <v>45184</v>
      </c>
      <c r="D162" s="3">
        <v>45184</v>
      </c>
      <c r="E162" s="2" t="s">
        <v>26</v>
      </c>
      <c r="F162" s="2" t="s">
        <v>82</v>
      </c>
      <c r="G162" s="2" t="s">
        <v>343</v>
      </c>
      <c r="H162" s="3">
        <v>45215</v>
      </c>
      <c r="I162" s="3">
        <v>45323</v>
      </c>
      <c r="J162" s="2">
        <v>3074607</v>
      </c>
      <c r="K162" s="2" t="s">
        <v>344</v>
      </c>
      <c r="L162" s="2" t="s">
        <v>81</v>
      </c>
      <c r="M162" s="2">
        <v>4</v>
      </c>
      <c r="N162" s="2" t="s">
        <v>32</v>
      </c>
      <c r="O162" s="2">
        <v>500000</v>
      </c>
      <c r="P162" s="2" t="s">
        <v>33</v>
      </c>
      <c r="Q162" s="2" t="s">
        <v>33</v>
      </c>
      <c r="R162" s="6">
        <f t="shared" si="2"/>
        <v>40</v>
      </c>
      <c r="S162" s="2">
        <v>700000</v>
      </c>
      <c r="T162" s="2" t="s">
        <v>33</v>
      </c>
      <c r="U162" s="2">
        <v>1.17</v>
      </c>
      <c r="V162" s="8" t="s">
        <v>34</v>
      </c>
      <c r="W162" s="2">
        <v>8000</v>
      </c>
      <c r="X162" s="9" t="s">
        <v>35</v>
      </c>
      <c r="Y162" s="10" t="s">
        <v>36</v>
      </c>
    </row>
    <row r="163" spans="1:25" ht="15" customHeight="1" x14ac:dyDescent="0.35">
      <c r="A163" s="2">
        <v>4903805</v>
      </c>
      <c r="B163" s="2" t="s">
        <v>25</v>
      </c>
      <c r="C163" s="3">
        <v>45297</v>
      </c>
      <c r="D163" s="3">
        <v>45297</v>
      </c>
      <c r="E163" s="2" t="s">
        <v>26</v>
      </c>
      <c r="F163" s="2" t="s">
        <v>314</v>
      </c>
      <c r="G163" s="2" t="s">
        <v>315</v>
      </c>
      <c r="H163" s="3">
        <v>45316</v>
      </c>
      <c r="I163" s="3">
        <v>45327</v>
      </c>
      <c r="J163" s="2">
        <v>3076047</v>
      </c>
      <c r="K163" s="2" t="s">
        <v>345</v>
      </c>
      <c r="L163" s="2" t="s">
        <v>30</v>
      </c>
      <c r="M163" s="2" t="s">
        <v>31</v>
      </c>
      <c r="N163" s="2" t="s">
        <v>32</v>
      </c>
      <c r="O163" s="5" t="e">
        <v>#N/A</v>
      </c>
      <c r="P163" s="2" t="s">
        <v>33</v>
      </c>
      <c r="Q163" s="2" t="s">
        <v>33</v>
      </c>
      <c r="R163" s="6" t="e">
        <f t="shared" si="2"/>
        <v>#N/A</v>
      </c>
      <c r="S163" s="2">
        <v>417000</v>
      </c>
      <c r="T163" s="2" t="s">
        <v>33</v>
      </c>
      <c r="U163" s="2">
        <v>0.75</v>
      </c>
      <c r="V163" s="8" t="s">
        <v>48</v>
      </c>
      <c r="W163" s="2">
        <v>14000</v>
      </c>
      <c r="X163" s="9" t="s">
        <v>35</v>
      </c>
      <c r="Y163" s="10" t="s">
        <v>36</v>
      </c>
    </row>
    <row r="164" spans="1:25" ht="15" customHeight="1" x14ac:dyDescent="0.35">
      <c r="A164" s="2">
        <v>4905445</v>
      </c>
      <c r="B164" s="2" t="s">
        <v>25</v>
      </c>
      <c r="C164" s="3">
        <v>45319</v>
      </c>
      <c r="D164" s="3">
        <v>45319</v>
      </c>
      <c r="E164" s="2" t="s">
        <v>26</v>
      </c>
      <c r="F164" s="2" t="s">
        <v>314</v>
      </c>
      <c r="G164" s="2" t="s">
        <v>315</v>
      </c>
      <c r="H164" s="3">
        <v>45322</v>
      </c>
      <c r="I164" s="3">
        <v>45334</v>
      </c>
      <c r="J164" s="2">
        <v>3076185</v>
      </c>
      <c r="K164" s="2" t="s">
        <v>346</v>
      </c>
      <c r="L164" s="2" t="s">
        <v>30</v>
      </c>
      <c r="M164" s="2" t="s">
        <v>31</v>
      </c>
      <c r="N164" s="2" t="s">
        <v>39</v>
      </c>
      <c r="O164" s="5" t="e">
        <v>#N/A</v>
      </c>
      <c r="P164" s="2" t="s">
        <v>33</v>
      </c>
      <c r="Q164" s="2" t="s">
        <v>33</v>
      </c>
      <c r="R164" s="6" t="e">
        <f t="shared" si="2"/>
        <v>#N/A</v>
      </c>
      <c r="S164" s="2">
        <v>417037</v>
      </c>
      <c r="T164" s="2" t="s">
        <v>33</v>
      </c>
      <c r="U164" s="2">
        <v>0.75</v>
      </c>
      <c r="V164" s="8" t="s">
        <v>34</v>
      </c>
      <c r="W164" s="2">
        <v>8000</v>
      </c>
      <c r="X164" s="9" t="s">
        <v>35</v>
      </c>
      <c r="Y164" s="10" t="s">
        <v>36</v>
      </c>
    </row>
    <row r="165" spans="1:25" ht="15" customHeight="1" x14ac:dyDescent="0.35">
      <c r="A165" s="2">
        <v>4900937</v>
      </c>
      <c r="B165" s="2" t="s">
        <v>33</v>
      </c>
      <c r="C165" s="3">
        <v>45100</v>
      </c>
      <c r="D165" s="3">
        <v>45247</v>
      </c>
      <c r="E165" s="2" t="s">
        <v>50</v>
      </c>
      <c r="F165" s="2" t="s">
        <v>68</v>
      </c>
      <c r="G165" s="2" t="s">
        <v>259</v>
      </c>
      <c r="H165" s="3">
        <v>45258</v>
      </c>
      <c r="I165" s="3">
        <v>45345</v>
      </c>
      <c r="J165" s="2">
        <v>3075191</v>
      </c>
      <c r="K165" s="2" t="s">
        <v>347</v>
      </c>
      <c r="L165" s="2" t="s">
        <v>348</v>
      </c>
      <c r="M165" s="2">
        <v>3.4</v>
      </c>
      <c r="N165" s="2" t="s">
        <v>32</v>
      </c>
      <c r="O165" s="5">
        <v>1002000</v>
      </c>
      <c r="P165" s="5" t="s">
        <v>33</v>
      </c>
      <c r="Q165" s="2" t="s">
        <v>33</v>
      </c>
      <c r="R165" s="6">
        <f t="shared" si="2"/>
        <v>49.700598802395206</v>
      </c>
      <c r="S165" s="2">
        <v>1500000</v>
      </c>
      <c r="T165" s="2" t="s">
        <v>33</v>
      </c>
      <c r="U165" s="2" t="s">
        <v>33</v>
      </c>
      <c r="V165" s="8" t="s">
        <v>48</v>
      </c>
      <c r="W165" s="2">
        <v>52500</v>
      </c>
      <c r="X165" s="9" t="s">
        <v>35</v>
      </c>
      <c r="Y165" s="10" t="s">
        <v>228</v>
      </c>
    </row>
    <row r="166" spans="1:25" ht="15" customHeight="1" x14ac:dyDescent="0.35">
      <c r="A166" s="5">
        <v>4894071</v>
      </c>
      <c r="B166" s="2" t="s">
        <v>33</v>
      </c>
      <c r="C166" s="3">
        <v>45100</v>
      </c>
      <c r="D166" s="3">
        <v>45190</v>
      </c>
      <c r="E166" s="2" t="s">
        <v>50</v>
      </c>
      <c r="F166" s="2" t="s">
        <v>114</v>
      </c>
      <c r="G166" s="5" t="s">
        <v>124</v>
      </c>
      <c r="H166" s="3">
        <v>45323</v>
      </c>
      <c r="I166" s="3">
        <v>45362</v>
      </c>
      <c r="J166" s="2" t="s">
        <v>33</v>
      </c>
      <c r="K166" s="5" t="s">
        <v>349</v>
      </c>
      <c r="L166" s="15" t="s">
        <v>238</v>
      </c>
      <c r="M166" s="2">
        <v>9.5</v>
      </c>
      <c r="N166" s="2" t="s">
        <v>32</v>
      </c>
      <c r="O166" s="5">
        <v>1826000</v>
      </c>
      <c r="P166" s="5" t="s">
        <v>33</v>
      </c>
      <c r="Q166" s="2" t="s">
        <v>33</v>
      </c>
      <c r="R166" s="6">
        <f t="shared" si="2"/>
        <v>33.042332968236579</v>
      </c>
      <c r="S166" s="2">
        <v>2429353</v>
      </c>
      <c r="T166" s="2" t="s">
        <v>33</v>
      </c>
      <c r="U166" s="2" t="s">
        <v>33</v>
      </c>
      <c r="V166" s="8" t="s">
        <v>48</v>
      </c>
      <c r="W166" s="2">
        <v>94500</v>
      </c>
      <c r="X166" s="9" t="s">
        <v>35</v>
      </c>
      <c r="Y166" s="10" t="s">
        <v>228</v>
      </c>
    </row>
    <row r="167" spans="1:25" ht="15" customHeight="1" x14ac:dyDescent="0.35">
      <c r="A167" s="2">
        <v>4902108</v>
      </c>
      <c r="B167" s="2" t="s">
        <v>25</v>
      </c>
      <c r="C167" s="3">
        <v>45270</v>
      </c>
      <c r="D167" s="3">
        <v>45270</v>
      </c>
      <c r="E167" s="2" t="s">
        <v>26</v>
      </c>
      <c r="F167" s="2" t="s">
        <v>350</v>
      </c>
      <c r="G167" s="2" t="s">
        <v>315</v>
      </c>
      <c r="H167" s="3">
        <v>45275</v>
      </c>
      <c r="I167" s="3">
        <v>45362</v>
      </c>
      <c r="J167" s="2">
        <v>3075484</v>
      </c>
      <c r="K167" s="2" t="s">
        <v>351</v>
      </c>
      <c r="L167" s="2" t="s">
        <v>269</v>
      </c>
      <c r="M167" s="2">
        <v>8</v>
      </c>
      <c r="N167" s="2" t="s">
        <v>32</v>
      </c>
      <c r="O167" s="2">
        <v>1800000</v>
      </c>
      <c r="P167" s="2" t="s">
        <v>33</v>
      </c>
      <c r="Q167" s="2" t="s">
        <v>33</v>
      </c>
      <c r="R167" s="6">
        <f t="shared" si="2"/>
        <v>26.408944444444444</v>
      </c>
      <c r="S167" s="2">
        <v>2275361</v>
      </c>
      <c r="T167" s="2" t="s">
        <v>33</v>
      </c>
      <c r="U167" s="2">
        <v>1.21</v>
      </c>
      <c r="V167" s="8" t="s">
        <v>34</v>
      </c>
      <c r="W167" s="2">
        <v>8000</v>
      </c>
      <c r="X167" s="9" t="s">
        <v>35</v>
      </c>
      <c r="Y167" s="10" t="s">
        <v>36</v>
      </c>
    </row>
    <row r="168" spans="1:25" ht="15" customHeight="1" x14ac:dyDescent="0.35">
      <c r="A168" s="2" t="s">
        <v>352</v>
      </c>
      <c r="B168" s="2" t="s">
        <v>25</v>
      </c>
      <c r="C168" s="3">
        <v>45270</v>
      </c>
      <c r="D168" s="3">
        <v>45270</v>
      </c>
      <c r="E168" s="2" t="s">
        <v>26</v>
      </c>
      <c r="F168" s="2" t="s">
        <v>353</v>
      </c>
      <c r="G168" s="2" t="s">
        <v>56</v>
      </c>
      <c r="H168" s="3">
        <v>45275</v>
      </c>
      <c r="I168" s="3">
        <v>45365</v>
      </c>
      <c r="J168" s="2">
        <v>3075444</v>
      </c>
      <c r="K168" s="2" t="s">
        <v>354</v>
      </c>
      <c r="L168" s="2" t="s">
        <v>355</v>
      </c>
      <c r="M168" s="2">
        <v>12</v>
      </c>
      <c r="N168" s="2" t="s">
        <v>32</v>
      </c>
      <c r="O168" s="2">
        <v>2270000</v>
      </c>
      <c r="P168" s="2" t="s">
        <v>33</v>
      </c>
      <c r="Q168" s="2" t="s">
        <v>33</v>
      </c>
      <c r="R168" s="6">
        <f t="shared" si="2"/>
        <v>27.753303964757709</v>
      </c>
      <c r="S168" s="2">
        <v>2900000</v>
      </c>
      <c r="T168" s="2" t="s">
        <v>33</v>
      </c>
      <c r="U168" s="2">
        <v>1.23</v>
      </c>
      <c r="V168" s="8" t="s">
        <v>34</v>
      </c>
      <c r="W168" s="2">
        <v>8000</v>
      </c>
      <c r="X168" s="9" t="s">
        <v>35</v>
      </c>
      <c r="Y168" s="10" t="s">
        <v>36</v>
      </c>
    </row>
    <row r="169" spans="1:25" ht="15" customHeight="1" x14ac:dyDescent="0.35">
      <c r="A169" s="2">
        <v>4902912</v>
      </c>
      <c r="B169" s="2" t="s">
        <v>25</v>
      </c>
      <c r="C169" s="3">
        <v>45280</v>
      </c>
      <c r="D169" s="3">
        <v>45280</v>
      </c>
      <c r="E169" s="2" t="s">
        <v>26</v>
      </c>
      <c r="F169" s="2" t="s">
        <v>356</v>
      </c>
      <c r="G169" s="2" t="s">
        <v>315</v>
      </c>
      <c r="H169" s="3">
        <v>45293</v>
      </c>
      <c r="I169" s="3">
        <v>45365</v>
      </c>
      <c r="J169" s="2">
        <v>2051582</v>
      </c>
      <c r="K169" s="2" t="s">
        <v>357</v>
      </c>
      <c r="L169" s="2" t="s">
        <v>358</v>
      </c>
      <c r="M169" s="2">
        <v>11</v>
      </c>
      <c r="N169" s="2" t="s">
        <v>32</v>
      </c>
      <c r="O169" s="2">
        <v>1320000</v>
      </c>
      <c r="P169" s="2" t="s">
        <v>33</v>
      </c>
      <c r="Q169" s="2" t="s">
        <v>33</v>
      </c>
      <c r="R169" s="6">
        <f t="shared" si="2"/>
        <v>29.588030303030305</v>
      </c>
      <c r="S169" s="2">
        <v>1710562</v>
      </c>
      <c r="T169" s="2" t="s">
        <v>33</v>
      </c>
      <c r="U169" s="2">
        <v>1.1200000000000001</v>
      </c>
      <c r="V169" s="8" t="s">
        <v>34</v>
      </c>
      <c r="W169" s="2">
        <v>8000</v>
      </c>
      <c r="X169" s="9" t="s">
        <v>35</v>
      </c>
      <c r="Y169" s="10" t="s">
        <v>36</v>
      </c>
    </row>
    <row r="170" spans="1:25" ht="15" customHeight="1" x14ac:dyDescent="0.35">
      <c r="A170" s="5">
        <v>4903466</v>
      </c>
      <c r="B170" s="2" t="s">
        <v>33</v>
      </c>
      <c r="C170" s="3">
        <v>45100</v>
      </c>
      <c r="D170" s="3">
        <v>45273</v>
      </c>
      <c r="E170" s="2" t="s">
        <v>50</v>
      </c>
      <c r="F170" s="2" t="s">
        <v>68</v>
      </c>
      <c r="G170" s="2" t="s">
        <v>248</v>
      </c>
      <c r="H170" s="3">
        <v>45505</v>
      </c>
      <c r="I170" s="3">
        <v>45369</v>
      </c>
      <c r="J170" s="2">
        <v>3075840</v>
      </c>
      <c r="K170" s="5" t="s">
        <v>359</v>
      </c>
      <c r="L170" s="5" t="s">
        <v>360</v>
      </c>
      <c r="M170" s="2">
        <v>11</v>
      </c>
      <c r="N170" s="2" t="s">
        <v>39</v>
      </c>
      <c r="O170" s="5">
        <v>1305000</v>
      </c>
      <c r="P170" s="5" t="s">
        <v>33</v>
      </c>
      <c r="Q170" s="2" t="s">
        <v>33</v>
      </c>
      <c r="R170" s="6">
        <f t="shared" si="2"/>
        <v>45.057471264367813</v>
      </c>
      <c r="S170" s="2">
        <v>1893000</v>
      </c>
      <c r="T170" s="2" t="s">
        <v>33</v>
      </c>
      <c r="U170" s="2" t="s">
        <v>33</v>
      </c>
      <c r="V170" s="8" t="s">
        <v>48</v>
      </c>
      <c r="W170" s="2">
        <v>61250</v>
      </c>
      <c r="X170" s="9" t="s">
        <v>35</v>
      </c>
      <c r="Y170" s="10" t="s">
        <v>228</v>
      </c>
    </row>
    <row r="171" spans="1:25" ht="15" customHeight="1" x14ac:dyDescent="0.35">
      <c r="A171" s="5">
        <v>4889697</v>
      </c>
      <c r="B171" s="2" t="s">
        <v>33</v>
      </c>
      <c r="C171" s="3">
        <v>45100</v>
      </c>
      <c r="D171" s="3">
        <v>45272</v>
      </c>
      <c r="E171" s="2" t="s">
        <v>50</v>
      </c>
      <c r="F171" s="2" t="s">
        <v>51</v>
      </c>
      <c r="G171" s="5" t="s">
        <v>124</v>
      </c>
      <c r="H171" s="3">
        <v>45274</v>
      </c>
      <c r="I171" s="3">
        <v>45371</v>
      </c>
      <c r="J171" s="2">
        <v>3075505</v>
      </c>
      <c r="K171" s="5" t="s">
        <v>361</v>
      </c>
      <c r="L171" s="2" t="s">
        <v>227</v>
      </c>
      <c r="M171" s="2">
        <v>2.2000000000000002</v>
      </c>
      <c r="N171" s="2" t="s">
        <v>39</v>
      </c>
      <c r="O171" s="5">
        <v>570000</v>
      </c>
      <c r="P171" s="5" t="s">
        <v>33</v>
      </c>
      <c r="Q171" s="2" t="s">
        <v>33</v>
      </c>
      <c r="R171" s="6">
        <f t="shared" si="2"/>
        <v>42.186666666666667</v>
      </c>
      <c r="S171" s="2">
        <v>810464</v>
      </c>
      <c r="T171" s="2" t="s">
        <v>33</v>
      </c>
      <c r="U171" s="2" t="s">
        <v>33</v>
      </c>
      <c r="V171" s="8" t="s">
        <v>34</v>
      </c>
      <c r="W171" s="2">
        <v>8000</v>
      </c>
      <c r="X171" s="9" t="s">
        <v>35</v>
      </c>
      <c r="Y171" s="10" t="s">
        <v>228</v>
      </c>
    </row>
    <row r="172" spans="1:25" ht="15" customHeight="1" x14ac:dyDescent="0.35">
      <c r="A172" s="2">
        <v>4894175</v>
      </c>
      <c r="B172" s="2" t="s">
        <v>25</v>
      </c>
      <c r="C172" s="3">
        <v>45184</v>
      </c>
      <c r="D172" s="3">
        <v>45184</v>
      </c>
      <c r="E172" s="2" t="s">
        <v>26</v>
      </c>
      <c r="F172" s="2" t="s">
        <v>82</v>
      </c>
      <c r="G172" s="2" t="s">
        <v>343</v>
      </c>
      <c r="H172" s="3">
        <v>45273</v>
      </c>
      <c r="I172" s="3">
        <v>45383</v>
      </c>
      <c r="J172" s="2">
        <v>3075414</v>
      </c>
      <c r="K172" s="2" t="s">
        <v>362</v>
      </c>
      <c r="L172" s="2" t="s">
        <v>81</v>
      </c>
      <c r="M172" s="2">
        <v>2</v>
      </c>
      <c r="N172" s="2" t="s">
        <v>39</v>
      </c>
      <c r="O172" s="2">
        <v>591000</v>
      </c>
      <c r="P172" s="2" t="s">
        <v>33</v>
      </c>
      <c r="Q172" s="2" t="s">
        <v>33</v>
      </c>
      <c r="R172" s="6">
        <f t="shared" si="2"/>
        <v>35.363790186125208</v>
      </c>
      <c r="S172" s="2">
        <v>800000</v>
      </c>
      <c r="T172" s="2" t="s">
        <v>33</v>
      </c>
      <c r="U172" s="2">
        <v>0.33</v>
      </c>
      <c r="V172" s="8" t="s">
        <v>48</v>
      </c>
      <c r="W172" s="2">
        <v>26250</v>
      </c>
      <c r="X172" s="9" t="s">
        <v>35</v>
      </c>
      <c r="Y172" s="10" t="s">
        <v>36</v>
      </c>
    </row>
    <row r="173" spans="1:25" ht="15" customHeight="1" x14ac:dyDescent="0.35">
      <c r="A173" s="2">
        <v>4903802</v>
      </c>
      <c r="B173" s="2" t="s">
        <v>25</v>
      </c>
      <c r="C173" s="3">
        <v>45297</v>
      </c>
      <c r="D173" s="3">
        <v>45297</v>
      </c>
      <c r="E173" s="2" t="s">
        <v>26</v>
      </c>
      <c r="F173" s="2" t="s">
        <v>356</v>
      </c>
      <c r="G173" s="2" t="s">
        <v>315</v>
      </c>
      <c r="H173" s="3">
        <v>45316</v>
      </c>
      <c r="I173" s="3">
        <v>45383</v>
      </c>
      <c r="J173" s="2">
        <v>3076154</v>
      </c>
      <c r="K173" s="2" t="s">
        <v>363</v>
      </c>
      <c r="L173" s="2" t="s">
        <v>58</v>
      </c>
      <c r="M173" s="2">
        <v>5.5</v>
      </c>
      <c r="N173" s="2" t="s">
        <v>32</v>
      </c>
      <c r="O173" s="2">
        <v>940000</v>
      </c>
      <c r="P173" s="2" t="s">
        <v>33</v>
      </c>
      <c r="Q173" s="2" t="s">
        <v>33</v>
      </c>
      <c r="R173" s="6">
        <f t="shared" si="2"/>
        <v>38.297872340425535</v>
      </c>
      <c r="S173" s="2">
        <v>1300000</v>
      </c>
      <c r="T173" s="2" t="s">
        <v>33</v>
      </c>
      <c r="U173" s="2">
        <v>0.79</v>
      </c>
      <c r="V173" s="8" t="s">
        <v>48</v>
      </c>
      <c r="W173" s="2">
        <v>52500</v>
      </c>
      <c r="X173" s="9" t="s">
        <v>35</v>
      </c>
      <c r="Y173" s="10" t="s">
        <v>36</v>
      </c>
    </row>
    <row r="174" spans="1:25" ht="15" customHeight="1" x14ac:dyDescent="0.35">
      <c r="A174" s="2">
        <v>4903803</v>
      </c>
      <c r="B174" s="2" t="s">
        <v>25</v>
      </c>
      <c r="C174" s="3">
        <v>45297</v>
      </c>
      <c r="D174" s="3">
        <v>45297</v>
      </c>
      <c r="E174" s="2" t="s">
        <v>26</v>
      </c>
      <c r="F174" s="2" t="s">
        <v>356</v>
      </c>
      <c r="G174" s="2" t="s">
        <v>315</v>
      </c>
      <c r="H174" s="3">
        <v>45306</v>
      </c>
      <c r="I174" s="3">
        <v>45383</v>
      </c>
      <c r="J174" s="2">
        <v>3075931</v>
      </c>
      <c r="K174" s="2" t="s">
        <v>364</v>
      </c>
      <c r="L174" s="2" t="s">
        <v>66</v>
      </c>
      <c r="M174" s="2">
        <v>7</v>
      </c>
      <c r="N174" s="2" t="s">
        <v>39</v>
      </c>
      <c r="O174" s="2">
        <v>1000000</v>
      </c>
      <c r="P174" s="2" t="s">
        <v>33</v>
      </c>
      <c r="Q174" s="2" t="s">
        <v>33</v>
      </c>
      <c r="R174" s="6">
        <f t="shared" si="2"/>
        <v>40</v>
      </c>
      <c r="S174" s="2">
        <v>1400000</v>
      </c>
      <c r="T174" s="2" t="s">
        <v>33</v>
      </c>
      <c r="U174" s="2">
        <v>0.85</v>
      </c>
      <c r="V174" s="8" t="s">
        <v>34</v>
      </c>
      <c r="W174" s="2">
        <v>8000</v>
      </c>
      <c r="X174" s="9" t="s">
        <v>35</v>
      </c>
      <c r="Y174" s="10" t="s">
        <v>36</v>
      </c>
    </row>
    <row r="175" spans="1:25" ht="15" customHeight="1" x14ac:dyDescent="0.35">
      <c r="A175" s="2">
        <v>4902529</v>
      </c>
      <c r="B175" s="2" t="s">
        <v>25</v>
      </c>
      <c r="C175" s="3">
        <v>45282</v>
      </c>
      <c r="D175" s="3">
        <v>45282</v>
      </c>
      <c r="E175" s="2" t="s">
        <v>26</v>
      </c>
      <c r="F175" s="2" t="s">
        <v>365</v>
      </c>
      <c r="G175" s="2" t="s">
        <v>56</v>
      </c>
      <c r="H175" s="3">
        <v>45295</v>
      </c>
      <c r="I175" s="3">
        <v>45386</v>
      </c>
      <c r="J175" s="2">
        <v>3075841</v>
      </c>
      <c r="K175" s="2" t="s">
        <v>366</v>
      </c>
      <c r="L175" s="2" t="s">
        <v>367</v>
      </c>
      <c r="M175" s="2">
        <v>12.6</v>
      </c>
      <c r="N175" s="2" t="s">
        <v>32</v>
      </c>
      <c r="O175" s="2">
        <v>2380000</v>
      </c>
      <c r="P175" s="2" t="s">
        <v>33</v>
      </c>
      <c r="Q175" s="2" t="s">
        <v>33</v>
      </c>
      <c r="R175" s="6">
        <f t="shared" si="2"/>
        <v>29.518529411764703</v>
      </c>
      <c r="S175" s="2">
        <v>3082541</v>
      </c>
      <c r="T175" s="2" t="s">
        <v>33</v>
      </c>
      <c r="U175" s="2">
        <v>1.25</v>
      </c>
      <c r="V175" s="8" t="s">
        <v>34</v>
      </c>
      <c r="W175" s="2">
        <v>8000</v>
      </c>
      <c r="X175" s="9" t="s">
        <v>35</v>
      </c>
      <c r="Y175" s="10" t="s">
        <v>118</v>
      </c>
    </row>
    <row r="176" spans="1:25" ht="15" customHeight="1" x14ac:dyDescent="0.35">
      <c r="A176" s="5">
        <v>4903040</v>
      </c>
      <c r="B176" s="2" t="s">
        <v>33</v>
      </c>
      <c r="C176" s="3">
        <v>45100</v>
      </c>
      <c r="D176" s="3">
        <v>45282</v>
      </c>
      <c r="E176" s="2" t="s">
        <v>50</v>
      </c>
      <c r="F176" s="2" t="s">
        <v>68</v>
      </c>
      <c r="G176" s="5" t="s">
        <v>368</v>
      </c>
      <c r="H176" s="3">
        <v>45323</v>
      </c>
      <c r="I176" s="3">
        <v>45390</v>
      </c>
      <c r="J176" s="2">
        <v>3075774</v>
      </c>
      <c r="K176" s="18" t="s">
        <v>369</v>
      </c>
      <c r="L176" s="2" t="s">
        <v>75</v>
      </c>
      <c r="M176" s="2">
        <v>5</v>
      </c>
      <c r="N176" s="2" t="s">
        <v>32</v>
      </c>
      <c r="O176" s="5">
        <v>607000</v>
      </c>
      <c r="P176" s="5" t="s">
        <v>33</v>
      </c>
      <c r="Q176" s="2" t="s">
        <v>33</v>
      </c>
      <c r="R176" s="6">
        <f t="shared" si="2"/>
        <v>89.12948929159802</v>
      </c>
      <c r="S176" s="2">
        <v>1148016</v>
      </c>
      <c r="T176" s="2" t="s">
        <v>33</v>
      </c>
      <c r="U176" s="2" t="s">
        <v>33</v>
      </c>
      <c r="V176" s="8" t="s">
        <v>48</v>
      </c>
      <c r="W176" s="2">
        <v>52500</v>
      </c>
      <c r="X176" s="9" t="s">
        <v>35</v>
      </c>
      <c r="Y176" s="10" t="s">
        <v>228</v>
      </c>
    </row>
    <row r="177" spans="1:25" ht="15" customHeight="1" x14ac:dyDescent="0.35">
      <c r="A177" s="2" t="s">
        <v>370</v>
      </c>
      <c r="B177" s="2" t="s">
        <v>25</v>
      </c>
      <c r="C177" s="3">
        <v>45320</v>
      </c>
      <c r="D177" s="3">
        <v>45320</v>
      </c>
      <c r="E177" s="2" t="s">
        <v>26</v>
      </c>
      <c r="F177" s="2" t="s">
        <v>139</v>
      </c>
      <c r="G177" s="2" t="s">
        <v>315</v>
      </c>
      <c r="H177" s="3">
        <v>45322</v>
      </c>
      <c r="I177" s="3">
        <v>45390</v>
      </c>
      <c r="J177" s="2">
        <v>3076319</v>
      </c>
      <c r="K177" s="2" t="s">
        <v>371</v>
      </c>
      <c r="L177" s="2" t="s">
        <v>58</v>
      </c>
      <c r="M177" s="2">
        <v>2.5</v>
      </c>
      <c r="N177" s="2" t="s">
        <v>39</v>
      </c>
      <c r="O177" s="2">
        <v>710000</v>
      </c>
      <c r="P177" s="2" t="s">
        <v>33</v>
      </c>
      <c r="Q177" s="2" t="s">
        <v>33</v>
      </c>
      <c r="R177" s="6">
        <f t="shared" si="2"/>
        <v>32.467042253521129</v>
      </c>
      <c r="S177" s="2">
        <v>940516</v>
      </c>
      <c r="T177" s="2" t="s">
        <v>33</v>
      </c>
      <c r="U177" s="2">
        <v>0.96</v>
      </c>
      <c r="V177" s="8" t="s">
        <v>48</v>
      </c>
      <c r="W177" s="2">
        <v>26250</v>
      </c>
      <c r="X177" s="9" t="s">
        <v>35</v>
      </c>
      <c r="Y177" s="10" t="s">
        <v>36</v>
      </c>
    </row>
    <row r="178" spans="1:25" ht="15" customHeight="1" x14ac:dyDescent="0.35">
      <c r="A178" s="5">
        <v>4907663</v>
      </c>
      <c r="B178" s="2" t="s">
        <v>33</v>
      </c>
      <c r="C178" s="3">
        <v>45302</v>
      </c>
      <c r="D178" s="3">
        <v>45355</v>
      </c>
      <c r="E178" s="2" t="s">
        <v>50</v>
      </c>
      <c r="F178" s="2" t="s">
        <v>114</v>
      </c>
      <c r="G178" s="2" t="s">
        <v>372</v>
      </c>
      <c r="H178" s="3">
        <v>45629</v>
      </c>
      <c r="I178" s="3">
        <v>45394</v>
      </c>
      <c r="J178" s="2">
        <v>7137043</v>
      </c>
      <c r="K178" s="18" t="s">
        <v>373</v>
      </c>
      <c r="L178" s="2" t="s">
        <v>113</v>
      </c>
      <c r="M178" s="2">
        <v>8.5</v>
      </c>
      <c r="N178" s="2" t="s">
        <v>32</v>
      </c>
      <c r="O178" s="5">
        <v>2150000</v>
      </c>
      <c r="P178" s="5" t="s">
        <v>33</v>
      </c>
      <c r="Q178" s="2" t="s">
        <v>33</v>
      </c>
      <c r="R178" s="6">
        <f t="shared" si="2"/>
        <v>17.701116279069769</v>
      </c>
      <c r="S178" s="2">
        <v>2530574</v>
      </c>
      <c r="T178" s="2" t="s">
        <v>33</v>
      </c>
      <c r="U178" s="2" t="s">
        <v>33</v>
      </c>
      <c r="V178" s="8" t="s">
        <v>48</v>
      </c>
      <c r="W178" s="2">
        <v>94500</v>
      </c>
      <c r="X178" s="9" t="s">
        <v>35</v>
      </c>
      <c r="Y178" s="10" t="s">
        <v>228</v>
      </c>
    </row>
    <row r="179" spans="1:25" ht="15" customHeight="1" x14ac:dyDescent="0.35">
      <c r="A179" s="2">
        <v>4900236</v>
      </c>
      <c r="B179" s="2" t="s">
        <v>25</v>
      </c>
      <c r="C179" s="3">
        <v>45236</v>
      </c>
      <c r="D179" s="3">
        <v>45236</v>
      </c>
      <c r="E179" s="2" t="s">
        <v>26</v>
      </c>
      <c r="F179" s="2" t="s">
        <v>139</v>
      </c>
      <c r="G179" s="2" t="s">
        <v>315</v>
      </c>
      <c r="H179" s="3">
        <v>45306</v>
      </c>
      <c r="I179" s="3">
        <v>45399</v>
      </c>
      <c r="J179" s="2">
        <v>3075974</v>
      </c>
      <c r="K179" s="2" t="s">
        <v>374</v>
      </c>
      <c r="L179" s="2" t="s">
        <v>171</v>
      </c>
      <c r="M179" s="2">
        <v>2.4</v>
      </c>
      <c r="N179" s="2" t="s">
        <v>39</v>
      </c>
      <c r="O179" s="2">
        <v>670000</v>
      </c>
      <c r="P179" s="2" t="s">
        <v>33</v>
      </c>
      <c r="Q179" s="2" t="s">
        <v>33</v>
      </c>
      <c r="R179" s="6">
        <f t="shared" si="2"/>
        <v>21.685074626865671</v>
      </c>
      <c r="S179" s="2">
        <v>815290</v>
      </c>
      <c r="T179" s="2" t="s">
        <v>33</v>
      </c>
      <c r="U179" s="2">
        <v>0.88</v>
      </c>
      <c r="V179" s="8" t="s">
        <v>48</v>
      </c>
      <c r="W179" s="2">
        <v>26250</v>
      </c>
      <c r="X179" s="9" t="s">
        <v>35</v>
      </c>
      <c r="Y179" s="10" t="s">
        <v>36</v>
      </c>
    </row>
    <row r="180" spans="1:25" ht="15" customHeight="1" x14ac:dyDescent="0.35">
      <c r="A180" s="5">
        <v>4909510</v>
      </c>
      <c r="B180" s="2" t="s">
        <v>33</v>
      </c>
      <c r="C180" s="3">
        <v>45302</v>
      </c>
      <c r="D180" s="3">
        <v>45385</v>
      </c>
      <c r="E180" s="2" t="s">
        <v>50</v>
      </c>
      <c r="F180" s="2" t="s">
        <v>68</v>
      </c>
      <c r="G180" s="2" t="s">
        <v>225</v>
      </c>
      <c r="H180" s="3">
        <v>45539</v>
      </c>
      <c r="I180" s="3">
        <v>45404</v>
      </c>
      <c r="J180" s="2">
        <v>3015341</v>
      </c>
      <c r="K180" s="5" t="s">
        <v>375</v>
      </c>
      <c r="L180" s="2" t="s">
        <v>295</v>
      </c>
      <c r="M180" s="2">
        <v>10</v>
      </c>
      <c r="N180" s="2" t="s">
        <v>39</v>
      </c>
      <c r="O180" s="5">
        <v>1800000</v>
      </c>
      <c r="P180" s="5" t="s">
        <v>33</v>
      </c>
      <c r="Q180" s="2" t="s">
        <v>33</v>
      </c>
      <c r="R180" s="6">
        <f t="shared" si="2"/>
        <v>9.7268888888888885</v>
      </c>
      <c r="S180" s="2">
        <v>1975084</v>
      </c>
      <c r="T180" s="2" t="s">
        <v>33</v>
      </c>
      <c r="U180" s="2" t="s">
        <v>33</v>
      </c>
      <c r="V180" s="8" t="s">
        <v>34</v>
      </c>
      <c r="W180" s="2">
        <v>8000</v>
      </c>
      <c r="X180" s="9" t="s">
        <v>35</v>
      </c>
      <c r="Y180" s="10" t="s">
        <v>228</v>
      </c>
    </row>
    <row r="181" spans="1:25" ht="15" customHeight="1" x14ac:dyDescent="0.35">
      <c r="A181" s="2">
        <v>4906504</v>
      </c>
      <c r="B181" s="2" t="s">
        <v>25</v>
      </c>
      <c r="C181" s="3">
        <v>45336</v>
      </c>
      <c r="D181" s="3">
        <v>45336</v>
      </c>
      <c r="E181" s="2" t="s">
        <v>26</v>
      </c>
      <c r="F181" s="2" t="s">
        <v>55</v>
      </c>
      <c r="G181" s="2" t="s">
        <v>56</v>
      </c>
      <c r="H181" s="3">
        <v>45337</v>
      </c>
      <c r="I181" s="3">
        <v>45404</v>
      </c>
      <c r="J181" s="2">
        <v>3076428</v>
      </c>
      <c r="K181" s="2" t="s">
        <v>376</v>
      </c>
      <c r="L181" s="2" t="s">
        <v>58</v>
      </c>
      <c r="M181" s="2">
        <v>6</v>
      </c>
      <c r="N181" s="2" t="s">
        <v>39</v>
      </c>
      <c r="O181" s="2">
        <v>850000</v>
      </c>
      <c r="P181" s="2" t="s">
        <v>33</v>
      </c>
      <c r="Q181" s="2" t="s">
        <v>33</v>
      </c>
      <c r="R181" s="6">
        <f t="shared" si="2"/>
        <v>35.294117647058826</v>
      </c>
      <c r="S181" s="2">
        <v>1150000</v>
      </c>
      <c r="T181" s="2" t="s">
        <v>33</v>
      </c>
      <c r="U181" s="2">
        <v>1.18</v>
      </c>
      <c r="V181" s="8" t="s">
        <v>34</v>
      </c>
      <c r="W181" s="2">
        <v>8000</v>
      </c>
      <c r="X181" s="9" t="s">
        <v>35</v>
      </c>
      <c r="Y181" s="10" t="s">
        <v>36</v>
      </c>
    </row>
    <row r="182" spans="1:25" ht="15" customHeight="1" x14ac:dyDescent="0.35">
      <c r="A182" s="2">
        <v>4905447</v>
      </c>
      <c r="B182" s="2" t="s">
        <v>25</v>
      </c>
      <c r="C182" s="3">
        <v>45319</v>
      </c>
      <c r="D182" s="3">
        <v>45319</v>
      </c>
      <c r="E182" s="2" t="s">
        <v>26</v>
      </c>
      <c r="F182" s="2" t="s">
        <v>377</v>
      </c>
      <c r="G182" s="2" t="s">
        <v>315</v>
      </c>
      <c r="H182" s="3">
        <v>45322</v>
      </c>
      <c r="I182" s="3">
        <v>45418</v>
      </c>
      <c r="J182" s="2">
        <v>7158760</v>
      </c>
      <c r="K182" s="2" t="s">
        <v>378</v>
      </c>
      <c r="L182" s="2" t="s">
        <v>132</v>
      </c>
      <c r="M182" s="2">
        <v>17</v>
      </c>
      <c r="N182" s="2" t="s">
        <v>32</v>
      </c>
      <c r="O182" s="2">
        <v>2900000</v>
      </c>
      <c r="P182" s="2" t="s">
        <v>33</v>
      </c>
      <c r="Q182" s="2" t="s">
        <v>33</v>
      </c>
      <c r="R182" s="6">
        <f t="shared" si="2"/>
        <v>38.109896551724134</v>
      </c>
      <c r="S182" s="2">
        <v>4005187</v>
      </c>
      <c r="T182" s="2" t="s">
        <v>33</v>
      </c>
      <c r="U182" s="2">
        <v>1.2</v>
      </c>
      <c r="V182" s="8" t="s">
        <v>34</v>
      </c>
      <c r="W182" s="2">
        <v>8000</v>
      </c>
      <c r="X182" s="9" t="s">
        <v>35</v>
      </c>
      <c r="Y182" s="10" t="s">
        <v>36</v>
      </c>
    </row>
    <row r="183" spans="1:25" ht="15" customHeight="1" x14ac:dyDescent="0.35">
      <c r="A183" s="2">
        <v>4906503</v>
      </c>
      <c r="B183" s="2" t="s">
        <v>25</v>
      </c>
      <c r="C183" s="3">
        <v>45336</v>
      </c>
      <c r="D183" s="3">
        <v>45336</v>
      </c>
      <c r="E183" s="2" t="s">
        <v>26</v>
      </c>
      <c r="F183" s="2" t="s">
        <v>379</v>
      </c>
      <c r="G183" s="2" t="s">
        <v>315</v>
      </c>
      <c r="H183" s="3">
        <v>45343</v>
      </c>
      <c r="I183" s="3">
        <v>45418</v>
      </c>
      <c r="J183" s="2">
        <v>3076583</v>
      </c>
      <c r="K183" s="2" t="s">
        <v>380</v>
      </c>
      <c r="L183" s="2" t="s">
        <v>381</v>
      </c>
      <c r="M183" s="2">
        <v>4.8</v>
      </c>
      <c r="N183" s="2" t="s">
        <v>32</v>
      </c>
      <c r="O183" s="2">
        <v>750000</v>
      </c>
      <c r="P183" s="2" t="s">
        <v>33</v>
      </c>
      <c r="Q183" s="2" t="s">
        <v>33</v>
      </c>
      <c r="R183" s="6">
        <f t="shared" si="2"/>
        <v>40.058533333333337</v>
      </c>
      <c r="S183" s="2">
        <v>1050439</v>
      </c>
      <c r="T183" s="2" t="s">
        <v>33</v>
      </c>
      <c r="U183" s="2">
        <v>1.08</v>
      </c>
      <c r="V183" s="8" t="s">
        <v>48</v>
      </c>
      <c r="W183" s="2">
        <v>52500</v>
      </c>
      <c r="X183" s="9" t="s">
        <v>35</v>
      </c>
      <c r="Y183" s="10" t="s">
        <v>36</v>
      </c>
    </row>
    <row r="184" spans="1:25" ht="15" customHeight="1" x14ac:dyDescent="0.35">
      <c r="A184" s="2">
        <v>4905446</v>
      </c>
      <c r="B184" s="2" t="s">
        <v>25</v>
      </c>
      <c r="C184" s="3">
        <v>45297</v>
      </c>
      <c r="D184" s="3">
        <v>45297</v>
      </c>
      <c r="E184" s="2" t="s">
        <v>26</v>
      </c>
      <c r="F184" s="2" t="s">
        <v>139</v>
      </c>
      <c r="G184" s="2" t="s">
        <v>315</v>
      </c>
      <c r="H184" s="3">
        <v>45322</v>
      </c>
      <c r="I184" s="3">
        <v>45418</v>
      </c>
      <c r="J184" s="2">
        <v>3076190</v>
      </c>
      <c r="K184" s="2" t="s">
        <v>382</v>
      </c>
      <c r="L184" s="2" t="s">
        <v>171</v>
      </c>
      <c r="M184" s="2">
        <v>2.5</v>
      </c>
      <c r="N184" s="2" t="s">
        <v>39</v>
      </c>
      <c r="O184" s="2">
        <v>550000</v>
      </c>
      <c r="P184" s="2" t="s">
        <v>33</v>
      </c>
      <c r="Q184" s="2" t="s">
        <v>33</v>
      </c>
      <c r="R184" s="6">
        <f t="shared" si="2"/>
        <v>58.284363636363636</v>
      </c>
      <c r="S184" s="2">
        <v>870564</v>
      </c>
      <c r="T184" s="2" t="s">
        <v>33</v>
      </c>
      <c r="U184" s="2">
        <v>0.89</v>
      </c>
      <c r="V184" s="8" t="s">
        <v>48</v>
      </c>
      <c r="W184" s="2">
        <v>26250</v>
      </c>
      <c r="X184" s="9" t="s">
        <v>35</v>
      </c>
      <c r="Y184" s="10" t="s">
        <v>36</v>
      </c>
    </row>
    <row r="185" spans="1:25" ht="15" customHeight="1" x14ac:dyDescent="0.35">
      <c r="A185" s="2">
        <v>4910134</v>
      </c>
      <c r="B185" s="2" t="s">
        <v>25</v>
      </c>
      <c r="C185" s="3">
        <v>45394</v>
      </c>
      <c r="D185" s="3">
        <v>45394</v>
      </c>
      <c r="E185" s="2" t="s">
        <v>26</v>
      </c>
      <c r="F185" s="2" t="s">
        <v>383</v>
      </c>
      <c r="G185" s="2" t="s">
        <v>384</v>
      </c>
      <c r="H185" s="3">
        <v>45397</v>
      </c>
      <c r="I185" s="3">
        <v>45421</v>
      </c>
      <c r="J185" s="2">
        <v>3077610</v>
      </c>
      <c r="K185" s="2" t="s">
        <v>385</v>
      </c>
      <c r="L185" s="2" t="s">
        <v>30</v>
      </c>
      <c r="M185" s="2" t="s">
        <v>31</v>
      </c>
      <c r="N185" s="2" t="s">
        <v>39</v>
      </c>
      <c r="O185" s="5" t="e">
        <v>#N/A</v>
      </c>
      <c r="P185" s="2" t="s">
        <v>33</v>
      </c>
      <c r="Q185" s="2" t="s">
        <v>33</v>
      </c>
      <c r="R185" s="6" t="e">
        <f t="shared" si="2"/>
        <v>#N/A</v>
      </c>
      <c r="S185" s="2">
        <v>417000</v>
      </c>
      <c r="T185" s="2" t="s">
        <v>33</v>
      </c>
      <c r="U185" s="2">
        <v>0.75</v>
      </c>
      <c r="V185" s="8" t="s">
        <v>48</v>
      </c>
      <c r="W185" s="2">
        <v>14000</v>
      </c>
      <c r="X185" s="9" t="s">
        <v>35</v>
      </c>
      <c r="Y185" s="10" t="s">
        <v>36</v>
      </c>
    </row>
    <row r="186" spans="1:25" ht="15" customHeight="1" x14ac:dyDescent="0.35">
      <c r="A186" s="2">
        <v>4907847</v>
      </c>
      <c r="B186" s="2" t="s">
        <v>25</v>
      </c>
      <c r="C186" s="3">
        <v>45358</v>
      </c>
      <c r="D186" s="3">
        <v>45358</v>
      </c>
      <c r="E186" s="2" t="s">
        <v>26</v>
      </c>
      <c r="F186" s="2" t="s">
        <v>386</v>
      </c>
      <c r="G186" s="2" t="s">
        <v>387</v>
      </c>
      <c r="H186" s="11">
        <v>45378</v>
      </c>
      <c r="I186" s="11">
        <v>45428</v>
      </c>
      <c r="J186" s="2">
        <v>3077118</v>
      </c>
      <c r="K186" s="2" t="s">
        <v>388</v>
      </c>
      <c r="L186" s="2" t="s">
        <v>389</v>
      </c>
      <c r="M186" s="2">
        <v>4</v>
      </c>
      <c r="N186" s="2" t="s">
        <v>32</v>
      </c>
      <c r="O186" s="2">
        <v>800000</v>
      </c>
      <c r="P186" s="2" t="s">
        <v>33</v>
      </c>
      <c r="Q186" s="2" t="s">
        <v>33</v>
      </c>
      <c r="R186" s="6">
        <f t="shared" si="2"/>
        <v>50.041500000000006</v>
      </c>
      <c r="S186" s="2">
        <v>1200332</v>
      </c>
      <c r="T186" s="2" t="s">
        <v>33</v>
      </c>
      <c r="U186" s="8">
        <v>0.9</v>
      </c>
      <c r="V186" s="8" t="s">
        <v>48</v>
      </c>
      <c r="W186" s="2">
        <v>52500</v>
      </c>
      <c r="X186" s="9" t="s">
        <v>35</v>
      </c>
      <c r="Y186" s="10" t="s">
        <v>36</v>
      </c>
    </row>
    <row r="187" spans="1:25" ht="15" customHeight="1" x14ac:dyDescent="0.35">
      <c r="A187" s="5">
        <v>4905566</v>
      </c>
      <c r="B187" s="2" t="s">
        <v>33</v>
      </c>
      <c r="C187" s="3">
        <v>45100</v>
      </c>
      <c r="D187" s="3">
        <v>45320</v>
      </c>
      <c r="E187" s="2" t="s">
        <v>50</v>
      </c>
      <c r="F187" s="2" t="s">
        <v>68</v>
      </c>
      <c r="G187" s="2" t="s">
        <v>259</v>
      </c>
      <c r="H187" s="3">
        <v>45628</v>
      </c>
      <c r="I187" s="3">
        <v>45432</v>
      </c>
      <c r="J187" s="2">
        <v>3076448</v>
      </c>
      <c r="K187" s="19" t="s">
        <v>390</v>
      </c>
      <c r="L187" s="2" t="s">
        <v>81</v>
      </c>
      <c r="M187" s="2">
        <v>3.5</v>
      </c>
      <c r="N187" s="2" t="s">
        <v>32</v>
      </c>
      <c r="O187" s="5">
        <v>1200000</v>
      </c>
      <c r="P187" s="5" t="s">
        <v>33</v>
      </c>
      <c r="Q187" s="2" t="s">
        <v>33</v>
      </c>
      <c r="R187" s="6">
        <f t="shared" si="2"/>
        <v>43.449916666666667</v>
      </c>
      <c r="S187" s="2">
        <v>1721399</v>
      </c>
      <c r="T187" s="2" t="s">
        <v>33</v>
      </c>
      <c r="U187" s="2" t="s">
        <v>33</v>
      </c>
      <c r="V187" s="8" t="s">
        <v>34</v>
      </c>
      <c r="W187" s="2">
        <v>8000</v>
      </c>
      <c r="X187" s="9" t="s">
        <v>35</v>
      </c>
      <c r="Y187" s="10" t="s">
        <v>228</v>
      </c>
    </row>
    <row r="188" spans="1:25" ht="15" customHeight="1" x14ac:dyDescent="0.35">
      <c r="A188" s="5">
        <v>4906991</v>
      </c>
      <c r="B188" s="2" t="s">
        <v>33</v>
      </c>
      <c r="C188" s="3">
        <v>45302</v>
      </c>
      <c r="D188" s="3">
        <v>45344</v>
      </c>
      <c r="E188" s="2" t="s">
        <v>50</v>
      </c>
      <c r="F188" s="2" t="s">
        <v>59</v>
      </c>
      <c r="G188" s="2" t="s">
        <v>73</v>
      </c>
      <c r="H188" s="3">
        <v>45348</v>
      </c>
      <c r="I188" s="3">
        <v>45439</v>
      </c>
      <c r="J188" s="2">
        <v>1958436</v>
      </c>
      <c r="K188" s="2" t="s">
        <v>391</v>
      </c>
      <c r="L188" s="2" t="s">
        <v>113</v>
      </c>
      <c r="M188" s="2">
        <v>11</v>
      </c>
      <c r="N188" s="2" t="s">
        <v>32</v>
      </c>
      <c r="O188" s="5">
        <v>2600000</v>
      </c>
      <c r="P188" s="5" t="s">
        <v>33</v>
      </c>
      <c r="Q188" s="2" t="s">
        <v>33</v>
      </c>
      <c r="R188" s="6">
        <f t="shared" si="2"/>
        <v>28.869230769230768</v>
      </c>
      <c r="S188" s="2">
        <v>3350600</v>
      </c>
      <c r="T188" s="2" t="s">
        <v>33</v>
      </c>
      <c r="U188" s="2" t="s">
        <v>33</v>
      </c>
      <c r="V188" s="8" t="s">
        <v>34</v>
      </c>
      <c r="W188" s="2">
        <v>8000</v>
      </c>
      <c r="X188" s="9" t="s">
        <v>35</v>
      </c>
      <c r="Y188" s="10" t="s">
        <v>228</v>
      </c>
    </row>
    <row r="189" spans="1:25" ht="15" customHeight="1" x14ac:dyDescent="0.35">
      <c r="A189" s="2">
        <v>4906676</v>
      </c>
      <c r="B189" s="2" t="s">
        <v>25</v>
      </c>
      <c r="C189" s="3">
        <v>45338</v>
      </c>
      <c r="D189" s="3">
        <v>45338</v>
      </c>
      <c r="E189" s="2" t="s">
        <v>26</v>
      </c>
      <c r="F189" s="2" t="s">
        <v>379</v>
      </c>
      <c r="G189" s="2" t="s">
        <v>315</v>
      </c>
      <c r="H189" s="11">
        <v>45342</v>
      </c>
      <c r="I189" s="11">
        <v>45441</v>
      </c>
      <c r="J189" s="2">
        <v>3076538</v>
      </c>
      <c r="K189" s="2" t="s">
        <v>392</v>
      </c>
      <c r="L189" s="2" t="s">
        <v>132</v>
      </c>
      <c r="M189" s="2">
        <v>3</v>
      </c>
      <c r="N189" s="2" t="s">
        <v>39</v>
      </c>
      <c r="O189" s="2">
        <v>380000</v>
      </c>
      <c r="P189" s="2" t="s">
        <v>33</v>
      </c>
      <c r="Q189" s="2" t="s">
        <v>33</v>
      </c>
      <c r="R189" s="6">
        <f t="shared" si="2"/>
        <v>93.702631578947376</v>
      </c>
      <c r="S189" s="2">
        <v>736070</v>
      </c>
      <c r="T189" s="2" t="s">
        <v>33</v>
      </c>
      <c r="U189" s="2">
        <v>0.75</v>
      </c>
      <c r="V189" s="8" t="s">
        <v>48</v>
      </c>
      <c r="W189" s="2">
        <v>26250</v>
      </c>
      <c r="X189" s="9" t="s">
        <v>35</v>
      </c>
      <c r="Y189" s="10" t="s">
        <v>36</v>
      </c>
    </row>
    <row r="190" spans="1:25" ht="15" customHeight="1" x14ac:dyDescent="0.35">
      <c r="A190" s="2">
        <v>4906646</v>
      </c>
      <c r="B190" s="2" t="s">
        <v>25</v>
      </c>
      <c r="C190" s="3">
        <v>45338</v>
      </c>
      <c r="D190" s="3">
        <v>45338</v>
      </c>
      <c r="E190" s="2" t="s">
        <v>26</v>
      </c>
      <c r="F190" s="2" t="s">
        <v>379</v>
      </c>
      <c r="G190" s="2" t="s">
        <v>315</v>
      </c>
      <c r="H190" s="11">
        <v>45342</v>
      </c>
      <c r="I190" s="11">
        <v>45441</v>
      </c>
      <c r="J190" s="2">
        <v>3076525</v>
      </c>
      <c r="K190" s="2" t="s">
        <v>393</v>
      </c>
      <c r="L190" s="2" t="s">
        <v>132</v>
      </c>
      <c r="M190" s="2">
        <v>3</v>
      </c>
      <c r="N190" s="2" t="s">
        <v>39</v>
      </c>
      <c r="O190" s="2">
        <v>400000</v>
      </c>
      <c r="P190" s="2" t="s">
        <v>33</v>
      </c>
      <c r="Q190" s="2" t="s">
        <v>33</v>
      </c>
      <c r="R190" s="6">
        <f t="shared" si="2"/>
        <v>84.017499999999998</v>
      </c>
      <c r="S190" s="2">
        <v>736070</v>
      </c>
      <c r="T190" s="2" t="s">
        <v>33</v>
      </c>
      <c r="U190" s="2">
        <v>0.75</v>
      </c>
      <c r="V190" s="8" t="s">
        <v>34</v>
      </c>
      <c r="W190" s="2">
        <v>8000</v>
      </c>
      <c r="X190" s="9" t="s">
        <v>35</v>
      </c>
      <c r="Y190" s="10" t="s">
        <v>36</v>
      </c>
    </row>
    <row r="191" spans="1:25" ht="15" customHeight="1" x14ac:dyDescent="0.35">
      <c r="A191" s="2">
        <v>4906813</v>
      </c>
      <c r="B191" s="2" t="s">
        <v>25</v>
      </c>
      <c r="C191" s="3">
        <v>45342</v>
      </c>
      <c r="D191" s="3">
        <v>45342</v>
      </c>
      <c r="E191" s="2" t="s">
        <v>26</v>
      </c>
      <c r="F191" s="2" t="s">
        <v>350</v>
      </c>
      <c r="G191" s="2" t="s">
        <v>315</v>
      </c>
      <c r="H191" s="11">
        <v>45352</v>
      </c>
      <c r="I191" s="11">
        <v>45453</v>
      </c>
      <c r="J191" s="2">
        <v>3076678</v>
      </c>
      <c r="K191" s="2" t="s">
        <v>394</v>
      </c>
      <c r="L191" s="2" t="s">
        <v>81</v>
      </c>
      <c r="M191" s="2">
        <v>9</v>
      </c>
      <c r="N191" s="2" t="s">
        <v>32</v>
      </c>
      <c r="O191" s="2">
        <v>1758000</v>
      </c>
      <c r="P191" s="2" t="s">
        <v>33</v>
      </c>
      <c r="Q191" s="2" t="s">
        <v>33</v>
      </c>
      <c r="R191" s="6">
        <f t="shared" si="2"/>
        <v>37.760466439135385</v>
      </c>
      <c r="S191" s="2">
        <v>2421829</v>
      </c>
      <c r="T191" s="2" t="s">
        <v>33</v>
      </c>
      <c r="U191" s="2">
        <v>0.98</v>
      </c>
      <c r="V191" s="8" t="s">
        <v>34</v>
      </c>
      <c r="W191" s="2">
        <v>8000</v>
      </c>
      <c r="X191" s="9" t="s">
        <v>35</v>
      </c>
      <c r="Y191" s="10" t="s">
        <v>36</v>
      </c>
    </row>
    <row r="192" spans="1:25" ht="15" customHeight="1" x14ac:dyDescent="0.35">
      <c r="A192" s="2">
        <v>4908149</v>
      </c>
      <c r="B192" s="2" t="s">
        <v>33</v>
      </c>
      <c r="C192" s="3">
        <v>45302</v>
      </c>
      <c r="D192" s="3">
        <v>45364</v>
      </c>
      <c r="E192" s="2" t="s">
        <v>50</v>
      </c>
      <c r="F192" s="2" t="s">
        <v>114</v>
      </c>
      <c r="G192" s="2" t="s">
        <v>277</v>
      </c>
      <c r="H192" s="3">
        <v>45369</v>
      </c>
      <c r="I192" s="3">
        <v>45462</v>
      </c>
      <c r="J192" s="2">
        <v>1989453</v>
      </c>
      <c r="K192" s="2" t="s">
        <v>395</v>
      </c>
      <c r="L192" s="2" t="s">
        <v>325</v>
      </c>
      <c r="M192" s="2">
        <v>8</v>
      </c>
      <c r="N192" s="2" t="s">
        <v>32</v>
      </c>
      <c r="O192" s="5">
        <v>1800000</v>
      </c>
      <c r="P192" s="5" t="s">
        <v>33</v>
      </c>
      <c r="Q192" s="2" t="s">
        <v>33</v>
      </c>
      <c r="R192" s="6">
        <f t="shared" si="2"/>
        <v>34.937944444444447</v>
      </c>
      <c r="S192" s="2">
        <v>2428883</v>
      </c>
      <c r="T192" s="2" t="s">
        <v>33</v>
      </c>
      <c r="U192" s="2" t="s">
        <v>33</v>
      </c>
      <c r="V192" s="8" t="s">
        <v>48</v>
      </c>
      <c r="W192" s="2">
        <v>94500</v>
      </c>
      <c r="X192" s="9" t="s">
        <v>35</v>
      </c>
      <c r="Y192" s="10" t="s">
        <v>228</v>
      </c>
    </row>
    <row r="193" spans="1:25" ht="15" customHeight="1" x14ac:dyDescent="0.35">
      <c r="A193" s="5">
        <v>4912341</v>
      </c>
      <c r="B193" s="2" t="s">
        <v>33</v>
      </c>
      <c r="C193" s="3">
        <v>45302</v>
      </c>
      <c r="D193" s="3">
        <v>45427</v>
      </c>
      <c r="E193" s="2" t="s">
        <v>50</v>
      </c>
      <c r="F193" s="2" t="s">
        <v>114</v>
      </c>
      <c r="G193" s="2" t="s">
        <v>248</v>
      </c>
      <c r="H193" s="3">
        <v>45439</v>
      </c>
      <c r="I193" s="3">
        <v>45474</v>
      </c>
      <c r="J193" s="2">
        <v>3077989</v>
      </c>
      <c r="K193" s="2" t="s">
        <v>396</v>
      </c>
      <c r="L193" s="2" t="s">
        <v>295</v>
      </c>
      <c r="M193" s="2">
        <v>6.5</v>
      </c>
      <c r="N193" s="2" t="s">
        <v>32</v>
      </c>
      <c r="O193" s="5">
        <v>1540000</v>
      </c>
      <c r="P193" s="5" t="s">
        <v>33</v>
      </c>
      <c r="Q193" s="2" t="s">
        <v>33</v>
      </c>
      <c r="R193" s="6">
        <f t="shared" si="2"/>
        <v>42.857142857142854</v>
      </c>
      <c r="S193" s="2">
        <v>2200000</v>
      </c>
      <c r="T193" s="2" t="s">
        <v>33</v>
      </c>
      <c r="U193" s="2" t="s">
        <v>33</v>
      </c>
      <c r="V193" s="8" t="s">
        <v>34</v>
      </c>
      <c r="W193" s="2">
        <v>8000</v>
      </c>
      <c r="X193" s="9" t="s">
        <v>35</v>
      </c>
      <c r="Y193" s="10" t="s">
        <v>228</v>
      </c>
    </row>
    <row r="194" spans="1:25" ht="15" customHeight="1" x14ac:dyDescent="0.35">
      <c r="A194" s="2">
        <v>4909346</v>
      </c>
      <c r="B194" s="2" t="s">
        <v>25</v>
      </c>
      <c r="C194" s="3">
        <v>45379</v>
      </c>
      <c r="D194" s="3">
        <v>45379</v>
      </c>
      <c r="E194" s="2" t="s">
        <v>26</v>
      </c>
      <c r="F194" s="2" t="s">
        <v>397</v>
      </c>
      <c r="G194" s="2" t="s">
        <v>398</v>
      </c>
      <c r="H194" s="11">
        <v>45450</v>
      </c>
      <c r="I194" s="11">
        <v>45488</v>
      </c>
      <c r="J194" s="2">
        <v>3078277</v>
      </c>
      <c r="K194" s="2" t="s">
        <v>399</v>
      </c>
      <c r="L194" s="2" t="s">
        <v>132</v>
      </c>
      <c r="M194" s="2">
        <v>8</v>
      </c>
      <c r="N194" s="2" t="s">
        <v>32</v>
      </c>
      <c r="O194" s="2">
        <v>1500000</v>
      </c>
      <c r="P194" s="2" t="s">
        <v>33</v>
      </c>
      <c r="Q194" s="2" t="s">
        <v>33</v>
      </c>
      <c r="R194" s="6">
        <f t="shared" ref="R194:R257" si="3">(S194-O194)/O194*100</f>
        <v>30.193199999999997</v>
      </c>
      <c r="S194" s="2">
        <v>1952898</v>
      </c>
      <c r="T194" s="2" t="s">
        <v>33</v>
      </c>
      <c r="U194" s="8">
        <v>1.19</v>
      </c>
      <c r="V194" s="8" t="s">
        <v>48</v>
      </c>
      <c r="W194" s="2">
        <v>61250</v>
      </c>
      <c r="X194" s="9" t="s">
        <v>35</v>
      </c>
      <c r="Y194" s="10" t="s">
        <v>36</v>
      </c>
    </row>
    <row r="195" spans="1:25" ht="15" customHeight="1" x14ac:dyDescent="0.35">
      <c r="A195" s="2">
        <v>4913722</v>
      </c>
      <c r="B195" s="2" t="s">
        <v>25</v>
      </c>
      <c r="C195" s="3">
        <v>45457</v>
      </c>
      <c r="D195" s="3">
        <v>45457</v>
      </c>
      <c r="E195" s="2" t="s">
        <v>26</v>
      </c>
      <c r="F195" s="2" t="s">
        <v>82</v>
      </c>
      <c r="G195" s="2" t="s">
        <v>251</v>
      </c>
      <c r="H195" s="11">
        <v>45485</v>
      </c>
      <c r="I195" s="11">
        <v>45502</v>
      </c>
      <c r="J195" s="2">
        <v>3078882</v>
      </c>
      <c r="K195" s="2" t="s">
        <v>400</v>
      </c>
      <c r="L195" s="2" t="s">
        <v>81</v>
      </c>
      <c r="M195" s="2">
        <v>4.5</v>
      </c>
      <c r="N195" s="2" t="s">
        <v>39</v>
      </c>
      <c r="O195" s="2">
        <v>459000</v>
      </c>
      <c r="P195" s="2" t="s">
        <v>33</v>
      </c>
      <c r="Q195" s="2" t="s">
        <v>33</v>
      </c>
      <c r="R195" s="6">
        <f t="shared" si="3"/>
        <v>51.434858387799565</v>
      </c>
      <c r="S195" s="2">
        <v>695086</v>
      </c>
      <c r="T195" s="2" t="s">
        <v>33</v>
      </c>
      <c r="U195" s="8">
        <v>1.07</v>
      </c>
      <c r="V195" s="8" t="s">
        <v>48</v>
      </c>
      <c r="W195" s="2">
        <v>26250</v>
      </c>
      <c r="X195" s="9" t="s">
        <v>35</v>
      </c>
      <c r="Y195" s="10" t="s">
        <v>36</v>
      </c>
    </row>
    <row r="196" spans="1:25" ht="15" customHeight="1" x14ac:dyDescent="0.35">
      <c r="A196" s="2">
        <v>4911930</v>
      </c>
      <c r="B196" s="2" t="s">
        <v>25</v>
      </c>
      <c r="C196" s="3">
        <v>45425</v>
      </c>
      <c r="D196" s="3">
        <v>45425</v>
      </c>
      <c r="E196" s="2" t="s">
        <v>26</v>
      </c>
      <c r="F196" s="2" t="s">
        <v>401</v>
      </c>
      <c r="G196" s="2" t="s">
        <v>402</v>
      </c>
      <c r="H196" s="11">
        <v>45462</v>
      </c>
      <c r="I196" s="11">
        <v>45523</v>
      </c>
      <c r="J196" s="2">
        <v>3078444</v>
      </c>
      <c r="K196" s="2" t="s">
        <v>403</v>
      </c>
      <c r="L196" s="2" t="s">
        <v>197</v>
      </c>
      <c r="M196" s="2">
        <v>3.5</v>
      </c>
      <c r="N196" s="2" t="s">
        <v>39</v>
      </c>
      <c r="O196" s="2">
        <v>750000</v>
      </c>
      <c r="P196" s="2" t="s">
        <v>33</v>
      </c>
      <c r="Q196" s="2" t="s">
        <v>33</v>
      </c>
      <c r="R196" s="6">
        <f t="shared" si="3"/>
        <v>37.471866666666664</v>
      </c>
      <c r="S196" s="2">
        <v>1031039</v>
      </c>
      <c r="T196" s="2" t="s">
        <v>33</v>
      </c>
      <c r="U196" s="8">
        <v>1.06</v>
      </c>
      <c r="V196" s="8" t="s">
        <v>34</v>
      </c>
      <c r="W196" s="2">
        <v>8000</v>
      </c>
      <c r="X196" s="9" t="s">
        <v>35</v>
      </c>
      <c r="Y196" s="10" t="s">
        <v>118</v>
      </c>
    </row>
    <row r="197" spans="1:25" ht="15" customHeight="1" x14ac:dyDescent="0.35">
      <c r="A197" s="2">
        <v>4909347</v>
      </c>
      <c r="B197" s="2" t="s">
        <v>25</v>
      </c>
      <c r="C197" s="3">
        <v>45379</v>
      </c>
      <c r="D197" s="3">
        <v>45379</v>
      </c>
      <c r="E197" s="2" t="s">
        <v>26</v>
      </c>
      <c r="F197" s="2" t="s">
        <v>397</v>
      </c>
      <c r="G197" s="2" t="s">
        <v>404</v>
      </c>
      <c r="H197" s="11">
        <v>45428</v>
      </c>
      <c r="I197" s="11">
        <v>45523</v>
      </c>
      <c r="J197" s="2">
        <v>1952220</v>
      </c>
      <c r="K197" s="2" t="s">
        <v>405</v>
      </c>
      <c r="L197" s="2" t="s">
        <v>221</v>
      </c>
      <c r="M197" s="2">
        <v>10</v>
      </c>
      <c r="N197" s="2" t="s">
        <v>32</v>
      </c>
      <c r="O197" s="2">
        <v>1300000</v>
      </c>
      <c r="P197" s="2" t="s">
        <v>33</v>
      </c>
      <c r="Q197" s="2" t="s">
        <v>33</v>
      </c>
      <c r="R197" s="6">
        <f t="shared" si="3"/>
        <v>40.390153846153851</v>
      </c>
      <c r="S197" s="2">
        <v>1825072</v>
      </c>
      <c r="T197" s="2" t="s">
        <v>33</v>
      </c>
      <c r="U197" s="8">
        <v>1.1100000000000001</v>
      </c>
      <c r="V197" s="8" t="s">
        <v>34</v>
      </c>
      <c r="W197" s="2">
        <v>8000</v>
      </c>
      <c r="X197" s="9" t="s">
        <v>35</v>
      </c>
      <c r="Y197" s="10" t="s">
        <v>118</v>
      </c>
    </row>
    <row r="198" spans="1:25" ht="15" customHeight="1" x14ac:dyDescent="0.35">
      <c r="A198" s="2">
        <v>4916279</v>
      </c>
      <c r="B198" s="2" t="s">
        <v>33</v>
      </c>
      <c r="C198" s="3">
        <v>45488</v>
      </c>
      <c r="D198" s="3">
        <v>45488</v>
      </c>
      <c r="E198" s="2" t="s">
        <v>50</v>
      </c>
      <c r="F198" s="2" t="s">
        <v>51</v>
      </c>
      <c r="G198" s="2" t="s">
        <v>406</v>
      </c>
      <c r="H198" s="3">
        <v>45510</v>
      </c>
      <c r="I198" s="3">
        <v>45527</v>
      </c>
      <c r="J198" s="2">
        <v>3079260</v>
      </c>
      <c r="K198" s="2" t="s">
        <v>407</v>
      </c>
      <c r="L198" s="2" t="s">
        <v>132</v>
      </c>
      <c r="M198" s="2">
        <v>3</v>
      </c>
      <c r="N198" s="2" t="s">
        <v>39</v>
      </c>
      <c r="O198" s="5">
        <v>850000</v>
      </c>
      <c r="P198" s="5" t="s">
        <v>33</v>
      </c>
      <c r="Q198" s="2" t="s">
        <v>33</v>
      </c>
      <c r="R198" s="6">
        <f t="shared" si="3"/>
        <v>20.200000000000003</v>
      </c>
      <c r="S198" s="2">
        <v>1021700</v>
      </c>
      <c r="T198" s="2" t="s">
        <v>33</v>
      </c>
      <c r="U198" s="2" t="s">
        <v>33</v>
      </c>
      <c r="V198" s="8" t="s">
        <v>48</v>
      </c>
      <c r="W198" s="2">
        <v>52500</v>
      </c>
      <c r="X198" s="9" t="s">
        <v>35</v>
      </c>
      <c r="Y198" s="10" t="s">
        <v>228</v>
      </c>
    </row>
    <row r="199" spans="1:25" ht="15" customHeight="1" x14ac:dyDescent="0.35">
      <c r="A199" s="2">
        <v>4913716</v>
      </c>
      <c r="B199" s="2" t="s">
        <v>25</v>
      </c>
      <c r="C199" s="3">
        <v>45456</v>
      </c>
      <c r="D199" s="3">
        <v>45455</v>
      </c>
      <c r="E199" s="2" t="s">
        <v>26</v>
      </c>
      <c r="F199" s="2" t="s">
        <v>82</v>
      </c>
      <c r="G199" s="2" t="s">
        <v>408</v>
      </c>
      <c r="H199" s="8" t="s">
        <v>30</v>
      </c>
      <c r="I199" s="11">
        <v>45537</v>
      </c>
      <c r="J199" s="2">
        <v>7187114</v>
      </c>
      <c r="K199" s="2" t="s">
        <v>409</v>
      </c>
      <c r="L199" s="2" t="s">
        <v>410</v>
      </c>
      <c r="M199" s="2" t="s">
        <v>30</v>
      </c>
      <c r="N199" s="2" t="s">
        <v>32</v>
      </c>
      <c r="O199" s="5" t="e">
        <v>#N/A</v>
      </c>
      <c r="P199" s="2" t="s">
        <v>33</v>
      </c>
      <c r="Q199" s="2" t="s">
        <v>33</v>
      </c>
      <c r="R199" s="6" t="e">
        <f t="shared" si="3"/>
        <v>#VALUE!</v>
      </c>
      <c r="S199" s="2" t="s">
        <v>33</v>
      </c>
      <c r="T199" s="2" t="s">
        <v>33</v>
      </c>
      <c r="U199" s="2" t="s">
        <v>33</v>
      </c>
      <c r="V199" s="2" t="s">
        <v>411</v>
      </c>
      <c r="W199" s="2" t="s">
        <v>30</v>
      </c>
      <c r="X199" s="9" t="s">
        <v>35</v>
      </c>
      <c r="Y199" s="10" t="s">
        <v>118</v>
      </c>
    </row>
    <row r="200" spans="1:25" ht="15" customHeight="1" x14ac:dyDescent="0.35">
      <c r="A200" s="2">
        <v>4913721</v>
      </c>
      <c r="B200" s="2" t="s">
        <v>25</v>
      </c>
      <c r="C200" s="3">
        <v>45457</v>
      </c>
      <c r="D200" s="3">
        <v>45457</v>
      </c>
      <c r="E200" s="2" t="s">
        <v>26</v>
      </c>
      <c r="F200" s="2" t="s">
        <v>82</v>
      </c>
      <c r="G200" s="2" t="s">
        <v>408</v>
      </c>
      <c r="H200" s="8" t="s">
        <v>30</v>
      </c>
      <c r="I200" s="11">
        <v>45551</v>
      </c>
      <c r="J200" s="2">
        <v>7203733</v>
      </c>
      <c r="K200" s="2" t="s">
        <v>412</v>
      </c>
      <c r="L200" s="2" t="s">
        <v>410</v>
      </c>
      <c r="M200" s="2" t="s">
        <v>30</v>
      </c>
      <c r="N200" s="2" t="s">
        <v>39</v>
      </c>
      <c r="O200" s="5" t="e">
        <v>#N/A</v>
      </c>
      <c r="P200" s="2" t="s">
        <v>33</v>
      </c>
      <c r="Q200" s="2" t="s">
        <v>33</v>
      </c>
      <c r="R200" s="6" t="e">
        <f t="shared" si="3"/>
        <v>#VALUE!</v>
      </c>
      <c r="S200" s="2" t="s">
        <v>33</v>
      </c>
      <c r="T200" s="2" t="s">
        <v>33</v>
      </c>
      <c r="U200" s="2" t="s">
        <v>33</v>
      </c>
      <c r="V200" s="2" t="s">
        <v>411</v>
      </c>
      <c r="W200" s="2" t="s">
        <v>30</v>
      </c>
      <c r="X200" s="9" t="s">
        <v>35</v>
      </c>
      <c r="Y200" s="10" t="s">
        <v>118</v>
      </c>
    </row>
    <row r="201" spans="1:25" ht="15" customHeight="1" x14ac:dyDescent="0.35">
      <c r="A201" s="2">
        <v>4916867</v>
      </c>
      <c r="B201" s="2" t="s">
        <v>25</v>
      </c>
      <c r="C201" s="11">
        <v>45499</v>
      </c>
      <c r="D201" s="11">
        <v>45502</v>
      </c>
      <c r="E201" s="2" t="s">
        <v>26</v>
      </c>
      <c r="F201" s="2" t="s">
        <v>413</v>
      </c>
      <c r="G201" s="2" t="s">
        <v>414</v>
      </c>
      <c r="H201" s="2" t="s">
        <v>30</v>
      </c>
      <c r="I201" s="11">
        <v>45553</v>
      </c>
      <c r="J201" s="2" t="s">
        <v>33</v>
      </c>
      <c r="K201" s="20" t="s">
        <v>415</v>
      </c>
      <c r="L201" s="2" t="s">
        <v>30</v>
      </c>
      <c r="M201" s="2" t="s">
        <v>30</v>
      </c>
      <c r="N201" s="2" t="s">
        <v>39</v>
      </c>
      <c r="O201" s="5" t="e">
        <v>#N/A</v>
      </c>
      <c r="P201" s="2" t="s">
        <v>33</v>
      </c>
      <c r="Q201" s="2" t="s">
        <v>33</v>
      </c>
      <c r="R201" s="6" t="e">
        <f t="shared" si="3"/>
        <v>#N/A</v>
      </c>
      <c r="S201" s="5" t="e">
        <v>#N/A</v>
      </c>
      <c r="T201" s="2" t="s">
        <v>33</v>
      </c>
      <c r="U201" s="2" t="s">
        <v>33</v>
      </c>
      <c r="V201" s="2" t="s">
        <v>33</v>
      </c>
      <c r="W201" s="2" t="s">
        <v>33</v>
      </c>
      <c r="X201" s="9" t="s">
        <v>35</v>
      </c>
      <c r="Y201" s="10" t="s">
        <v>118</v>
      </c>
    </row>
    <row r="202" spans="1:25" ht="15" customHeight="1" x14ac:dyDescent="0.35">
      <c r="A202" s="2">
        <v>4915493</v>
      </c>
      <c r="B202" s="2" t="s">
        <v>25</v>
      </c>
      <c r="C202" s="3">
        <v>45481</v>
      </c>
      <c r="D202" s="3">
        <v>45478</v>
      </c>
      <c r="E202" s="2" t="s">
        <v>26</v>
      </c>
      <c r="F202" s="2" t="s">
        <v>416</v>
      </c>
      <c r="G202" s="2" t="s">
        <v>402</v>
      </c>
      <c r="H202" s="11">
        <v>45489</v>
      </c>
      <c r="I202" s="11">
        <v>45558</v>
      </c>
      <c r="J202" s="2">
        <v>3078914</v>
      </c>
      <c r="K202" s="2" t="s">
        <v>417</v>
      </c>
      <c r="L202" s="2" t="s">
        <v>381</v>
      </c>
      <c r="M202" s="2">
        <v>4.75</v>
      </c>
      <c r="N202" s="2" t="s">
        <v>39</v>
      </c>
      <c r="O202" s="2">
        <v>475000</v>
      </c>
      <c r="P202" s="2" t="s">
        <v>33</v>
      </c>
      <c r="Q202" s="2" t="s">
        <v>33</v>
      </c>
      <c r="R202" s="6">
        <f t="shared" si="3"/>
        <v>35.823999999999998</v>
      </c>
      <c r="S202" s="2">
        <v>645164</v>
      </c>
      <c r="T202" s="2" t="s">
        <v>33</v>
      </c>
      <c r="U202" s="2">
        <v>1</v>
      </c>
      <c r="V202" s="8" t="s">
        <v>48</v>
      </c>
      <c r="W202" s="2">
        <v>26250</v>
      </c>
      <c r="X202" s="9" t="s">
        <v>35</v>
      </c>
      <c r="Y202" s="10" t="s">
        <v>118</v>
      </c>
    </row>
    <row r="203" spans="1:25" ht="15" customHeight="1" x14ac:dyDescent="0.35">
      <c r="A203" s="2">
        <v>4917817</v>
      </c>
      <c r="B203" s="2" t="s">
        <v>25</v>
      </c>
      <c r="C203" s="3">
        <v>45516</v>
      </c>
      <c r="D203" s="3">
        <v>45517</v>
      </c>
      <c r="E203" s="2" t="s">
        <v>26</v>
      </c>
      <c r="F203" s="2" t="s">
        <v>166</v>
      </c>
      <c r="G203" s="2" t="s">
        <v>167</v>
      </c>
      <c r="H203" s="11">
        <v>45524</v>
      </c>
      <c r="I203" s="11">
        <v>45558</v>
      </c>
      <c r="J203" s="2">
        <v>3079411</v>
      </c>
      <c r="K203" s="2" t="s">
        <v>418</v>
      </c>
      <c r="L203" s="2" t="s">
        <v>419</v>
      </c>
      <c r="M203" s="2">
        <v>2.5</v>
      </c>
      <c r="N203" s="2" t="s">
        <v>39</v>
      </c>
      <c r="O203" s="2">
        <v>250000</v>
      </c>
      <c r="P203" s="2" t="s">
        <v>33</v>
      </c>
      <c r="Q203" s="2" t="s">
        <v>33</v>
      </c>
      <c r="R203" s="6">
        <f t="shared" si="3"/>
        <v>66.171599999999998</v>
      </c>
      <c r="S203" s="2">
        <v>415429</v>
      </c>
      <c r="T203" s="2" t="s">
        <v>33</v>
      </c>
      <c r="U203" s="2">
        <v>0.75</v>
      </c>
      <c r="V203" s="8" t="s">
        <v>48</v>
      </c>
      <c r="W203" s="2">
        <v>14000</v>
      </c>
      <c r="X203" s="9" t="s">
        <v>35</v>
      </c>
      <c r="Y203" s="10" t="s">
        <v>118</v>
      </c>
    </row>
    <row r="204" spans="1:25" ht="15" customHeight="1" x14ac:dyDescent="0.35">
      <c r="A204" s="2">
        <v>4919284</v>
      </c>
      <c r="B204" s="2" t="s">
        <v>40</v>
      </c>
      <c r="C204" s="11">
        <v>45534</v>
      </c>
      <c r="D204" s="11">
        <v>45534</v>
      </c>
      <c r="E204" s="2" t="s">
        <v>26</v>
      </c>
      <c r="F204" s="2" t="s">
        <v>314</v>
      </c>
      <c r="G204" s="2" t="s">
        <v>420</v>
      </c>
      <c r="H204" s="2" t="s">
        <v>30</v>
      </c>
      <c r="I204" s="11">
        <v>45558</v>
      </c>
      <c r="J204" s="2">
        <v>3079666</v>
      </c>
      <c r="K204" s="2" t="s">
        <v>421</v>
      </c>
      <c r="L204" s="2" t="s">
        <v>30</v>
      </c>
      <c r="M204" s="2" t="s">
        <v>31</v>
      </c>
      <c r="N204" s="2" t="s">
        <v>32</v>
      </c>
      <c r="O204" s="5" t="e">
        <v>#N/A</v>
      </c>
      <c r="P204" s="2" t="s">
        <v>33</v>
      </c>
      <c r="Q204" s="2" t="s">
        <v>33</v>
      </c>
      <c r="R204" s="6" t="e">
        <f t="shared" si="3"/>
        <v>#N/A</v>
      </c>
      <c r="S204" s="2">
        <v>417037</v>
      </c>
      <c r="T204" s="2" t="s">
        <v>33</v>
      </c>
      <c r="U204" s="2" t="s">
        <v>33</v>
      </c>
      <c r="V204" s="8" t="s">
        <v>34</v>
      </c>
      <c r="W204" s="2">
        <v>8000</v>
      </c>
      <c r="X204" s="9" t="s">
        <v>35</v>
      </c>
      <c r="Y204" s="10" t="s">
        <v>118</v>
      </c>
    </row>
    <row r="205" spans="1:25" ht="15" customHeight="1" x14ac:dyDescent="0.35">
      <c r="A205" s="21">
        <v>4916096</v>
      </c>
      <c r="B205" s="2" t="s">
        <v>33</v>
      </c>
      <c r="C205" s="3">
        <v>45488</v>
      </c>
      <c r="D205" s="3">
        <v>45488</v>
      </c>
      <c r="E205" s="2" t="s">
        <v>50</v>
      </c>
      <c r="F205" s="2" t="s">
        <v>422</v>
      </c>
      <c r="G205" s="21" t="s">
        <v>423</v>
      </c>
      <c r="H205" s="22">
        <v>45574</v>
      </c>
      <c r="I205" s="22">
        <v>45560</v>
      </c>
      <c r="J205" s="23">
        <v>3079678</v>
      </c>
      <c r="K205" s="20" t="s">
        <v>424</v>
      </c>
      <c r="L205" s="8" t="s">
        <v>425</v>
      </c>
      <c r="M205" s="2">
        <v>7</v>
      </c>
      <c r="N205" s="2" t="s">
        <v>39</v>
      </c>
      <c r="O205" s="2">
        <v>1600000</v>
      </c>
      <c r="P205" s="2" t="s">
        <v>33</v>
      </c>
      <c r="Q205" s="2" t="s">
        <v>33</v>
      </c>
      <c r="R205" s="6">
        <f t="shared" si="3"/>
        <v>37.5</v>
      </c>
      <c r="S205" s="2">
        <v>2200000</v>
      </c>
      <c r="T205" s="2" t="s">
        <v>33</v>
      </c>
      <c r="U205" s="2" t="s">
        <v>33</v>
      </c>
      <c r="V205" s="8" t="s">
        <v>48</v>
      </c>
      <c r="W205" s="21">
        <v>94500</v>
      </c>
      <c r="X205" s="9" t="s">
        <v>35</v>
      </c>
      <c r="Y205" s="10" t="s">
        <v>228</v>
      </c>
    </row>
    <row r="206" spans="1:25" ht="15" customHeight="1" x14ac:dyDescent="0.35">
      <c r="A206" s="24">
        <v>4916096</v>
      </c>
      <c r="B206" s="2" t="s">
        <v>33</v>
      </c>
      <c r="C206" s="3">
        <v>45488</v>
      </c>
      <c r="D206" s="3">
        <v>45488</v>
      </c>
      <c r="E206" s="2" t="s">
        <v>50</v>
      </c>
      <c r="F206" s="2" t="s">
        <v>422</v>
      </c>
      <c r="G206" s="21" t="s">
        <v>73</v>
      </c>
      <c r="H206" s="22">
        <v>45524</v>
      </c>
      <c r="I206" s="22">
        <v>45565</v>
      </c>
      <c r="J206" s="21">
        <v>7176173</v>
      </c>
      <c r="K206" s="21" t="s">
        <v>426</v>
      </c>
      <c r="L206" s="21" t="s">
        <v>132</v>
      </c>
      <c r="M206" s="2">
        <v>7</v>
      </c>
      <c r="N206" s="2" t="s">
        <v>39</v>
      </c>
      <c r="O206" s="2">
        <v>1851948</v>
      </c>
      <c r="P206" s="2" t="s">
        <v>33</v>
      </c>
      <c r="Q206" s="2" t="s">
        <v>33</v>
      </c>
      <c r="R206" s="6">
        <f t="shared" si="3"/>
        <v>14.266761269754873</v>
      </c>
      <c r="S206" s="2">
        <v>2116161</v>
      </c>
      <c r="T206" s="2" t="s">
        <v>33</v>
      </c>
      <c r="U206" s="2" t="s">
        <v>33</v>
      </c>
      <c r="V206" s="8" t="s">
        <v>34</v>
      </c>
      <c r="W206" s="21">
        <v>8000</v>
      </c>
      <c r="X206" s="9" t="s">
        <v>35</v>
      </c>
      <c r="Y206" s="10" t="s">
        <v>228</v>
      </c>
    </row>
    <row r="207" spans="1:25" ht="15" customHeight="1" x14ac:dyDescent="0.35">
      <c r="A207" s="2">
        <v>4913811</v>
      </c>
      <c r="B207" s="2" t="s">
        <v>25</v>
      </c>
      <c r="C207" s="3">
        <v>45456</v>
      </c>
      <c r="D207" s="3">
        <v>45456</v>
      </c>
      <c r="E207" s="2" t="s">
        <v>26</v>
      </c>
      <c r="F207" s="2" t="s">
        <v>427</v>
      </c>
      <c r="G207" s="2" t="s">
        <v>408</v>
      </c>
      <c r="H207" s="11">
        <v>45483</v>
      </c>
      <c r="I207" s="11">
        <v>45565</v>
      </c>
      <c r="J207" s="2">
        <v>1898180</v>
      </c>
      <c r="K207" s="2" t="s">
        <v>428</v>
      </c>
      <c r="L207" s="2" t="s">
        <v>381</v>
      </c>
      <c r="M207" s="2">
        <v>6.2</v>
      </c>
      <c r="N207" s="2" t="s">
        <v>39</v>
      </c>
      <c r="O207" s="2">
        <v>620000</v>
      </c>
      <c r="P207" s="2" t="s">
        <v>33</v>
      </c>
      <c r="Q207" s="2" t="s">
        <v>33</v>
      </c>
      <c r="R207" s="6">
        <f t="shared" si="3"/>
        <v>37.474354838709679</v>
      </c>
      <c r="S207" s="2">
        <v>852341</v>
      </c>
      <c r="T207" s="2" t="s">
        <v>33</v>
      </c>
      <c r="U207" s="2">
        <v>0.87</v>
      </c>
      <c r="V207" s="8" t="s">
        <v>34</v>
      </c>
      <c r="W207" s="2">
        <v>8000</v>
      </c>
      <c r="X207" s="9" t="s">
        <v>35</v>
      </c>
      <c r="Y207" s="10" t="s">
        <v>118</v>
      </c>
    </row>
    <row r="208" spans="1:25" ht="15" customHeight="1" x14ac:dyDescent="0.35">
      <c r="A208" s="2" t="s">
        <v>429</v>
      </c>
      <c r="B208" s="2" t="s">
        <v>40</v>
      </c>
      <c r="C208" s="11">
        <v>45442</v>
      </c>
      <c r="D208" s="11">
        <v>45446</v>
      </c>
      <c r="E208" s="2" t="s">
        <v>26</v>
      </c>
      <c r="F208" s="2" t="s">
        <v>430</v>
      </c>
      <c r="G208" s="2" t="s">
        <v>101</v>
      </c>
      <c r="H208" s="11">
        <v>45553</v>
      </c>
      <c r="I208" s="11">
        <v>45565</v>
      </c>
      <c r="J208" s="2">
        <v>3079754</v>
      </c>
      <c r="K208" s="2" t="s">
        <v>431</v>
      </c>
      <c r="L208" s="2" t="s">
        <v>432</v>
      </c>
      <c r="M208" s="2">
        <v>13</v>
      </c>
      <c r="N208" s="2" t="s">
        <v>32</v>
      </c>
      <c r="O208" s="2">
        <v>2500000</v>
      </c>
      <c r="P208" s="2" t="s">
        <v>33</v>
      </c>
      <c r="Q208" s="2" t="s">
        <v>33</v>
      </c>
      <c r="R208" s="6">
        <f t="shared" si="3"/>
        <v>13.600000000000001</v>
      </c>
      <c r="S208" s="2">
        <v>2840000</v>
      </c>
      <c r="T208" s="2" t="s">
        <v>33</v>
      </c>
      <c r="U208" s="2" t="s">
        <v>33</v>
      </c>
      <c r="V208" s="8" t="s">
        <v>48</v>
      </c>
      <c r="W208" s="2">
        <v>94500</v>
      </c>
      <c r="X208" s="9" t="s">
        <v>35</v>
      </c>
      <c r="Y208" s="10" t="s">
        <v>118</v>
      </c>
    </row>
    <row r="209" spans="1:25" ht="15" customHeight="1" x14ac:dyDescent="0.35">
      <c r="A209" s="2">
        <v>4911929</v>
      </c>
      <c r="B209" s="2" t="s">
        <v>40</v>
      </c>
      <c r="C209" s="11">
        <v>45425</v>
      </c>
      <c r="D209" s="11">
        <v>45425</v>
      </c>
      <c r="E209" s="2" t="s">
        <v>26</v>
      </c>
      <c r="F209" s="2" t="s">
        <v>433</v>
      </c>
      <c r="G209" s="2" t="s">
        <v>402</v>
      </c>
      <c r="H209" s="3">
        <v>45477</v>
      </c>
      <c r="I209" s="11">
        <v>45572</v>
      </c>
      <c r="J209" s="2">
        <v>3078670</v>
      </c>
      <c r="K209" s="2" t="s">
        <v>434</v>
      </c>
      <c r="L209" s="2" t="s">
        <v>75</v>
      </c>
      <c r="M209" s="2">
        <v>5</v>
      </c>
      <c r="N209" s="2" t="s">
        <v>32</v>
      </c>
      <c r="O209" s="2">
        <v>600000</v>
      </c>
      <c r="P209" s="2" t="s">
        <v>33</v>
      </c>
      <c r="Q209" s="2" t="s">
        <v>33</v>
      </c>
      <c r="R209" s="6">
        <f t="shared" si="3"/>
        <v>33.435500000000005</v>
      </c>
      <c r="S209" s="2">
        <v>800613</v>
      </c>
      <c r="T209" s="2" t="s">
        <v>33</v>
      </c>
      <c r="U209" s="2" t="s">
        <v>33</v>
      </c>
      <c r="V209" s="8" t="s">
        <v>48</v>
      </c>
      <c r="W209" s="2">
        <v>26250</v>
      </c>
      <c r="X209" s="9" t="s">
        <v>35</v>
      </c>
      <c r="Y209" s="10" t="s">
        <v>118</v>
      </c>
    </row>
    <row r="210" spans="1:25" ht="15" customHeight="1" x14ac:dyDescent="0.35">
      <c r="A210" s="2">
        <v>4911629</v>
      </c>
      <c r="B210" s="2" t="s">
        <v>40</v>
      </c>
      <c r="C210" s="11">
        <v>45425</v>
      </c>
      <c r="D210" s="11">
        <v>45425</v>
      </c>
      <c r="E210" s="2" t="s">
        <v>26</v>
      </c>
      <c r="F210" s="2" t="s">
        <v>433</v>
      </c>
      <c r="G210" s="2" t="s">
        <v>402</v>
      </c>
      <c r="H210" s="3">
        <v>45485</v>
      </c>
      <c r="I210" s="11">
        <v>45579</v>
      </c>
      <c r="J210" s="2">
        <v>3078768</v>
      </c>
      <c r="K210" s="2" t="s">
        <v>435</v>
      </c>
      <c r="L210" s="2" t="s">
        <v>75</v>
      </c>
      <c r="M210" s="2">
        <v>4.0999999999999996</v>
      </c>
      <c r="N210" s="2" t="s">
        <v>39</v>
      </c>
      <c r="O210" s="2">
        <v>680000</v>
      </c>
      <c r="P210" s="2" t="s">
        <v>33</v>
      </c>
      <c r="Q210" s="2" t="s">
        <v>33</v>
      </c>
      <c r="R210" s="6">
        <f t="shared" si="3"/>
        <v>32.432647058823527</v>
      </c>
      <c r="S210" s="2">
        <v>900542</v>
      </c>
      <c r="T210" s="2" t="s">
        <v>33</v>
      </c>
      <c r="U210" s="2" t="s">
        <v>33</v>
      </c>
      <c r="V210" s="8" t="s">
        <v>48</v>
      </c>
      <c r="W210" s="2">
        <v>26250</v>
      </c>
      <c r="X210" s="9" t="s">
        <v>35</v>
      </c>
      <c r="Y210" s="10" t="s">
        <v>118</v>
      </c>
    </row>
    <row r="211" spans="1:25" ht="15" customHeight="1" x14ac:dyDescent="0.35">
      <c r="A211" s="24">
        <v>4919783</v>
      </c>
      <c r="B211" s="2" t="s">
        <v>33</v>
      </c>
      <c r="C211" s="3">
        <v>45488</v>
      </c>
      <c r="D211" s="3">
        <v>45488</v>
      </c>
      <c r="E211" s="2" t="s">
        <v>50</v>
      </c>
      <c r="F211" s="2" t="s">
        <v>114</v>
      </c>
      <c r="G211" s="21" t="s">
        <v>436</v>
      </c>
      <c r="H211" s="2" t="s">
        <v>33</v>
      </c>
      <c r="I211" s="22">
        <v>45586</v>
      </c>
      <c r="J211" s="21">
        <v>3079679</v>
      </c>
      <c r="K211" s="8" t="s">
        <v>437</v>
      </c>
      <c r="L211" s="2" t="s">
        <v>153</v>
      </c>
      <c r="M211" s="2">
        <v>6.4</v>
      </c>
      <c r="N211" s="2" t="s">
        <v>39</v>
      </c>
      <c r="O211" s="2">
        <v>2100000</v>
      </c>
      <c r="P211" s="2" t="s">
        <v>33</v>
      </c>
      <c r="Q211" s="2" t="s">
        <v>33</v>
      </c>
      <c r="R211" s="6">
        <f t="shared" si="3"/>
        <v>19.539571428571428</v>
      </c>
      <c r="S211" s="2">
        <v>2510331</v>
      </c>
      <c r="T211" s="2" t="s">
        <v>33</v>
      </c>
      <c r="U211" s="2" t="s">
        <v>33</v>
      </c>
      <c r="V211" s="8" t="s">
        <v>48</v>
      </c>
      <c r="W211" s="21">
        <v>94500</v>
      </c>
      <c r="X211" s="9" t="s">
        <v>35</v>
      </c>
      <c r="Y211" s="10" t="s">
        <v>228</v>
      </c>
    </row>
    <row r="212" spans="1:25" ht="15" customHeight="1" x14ac:dyDescent="0.35">
      <c r="A212" s="21">
        <v>4919779</v>
      </c>
      <c r="B212" s="2" t="s">
        <v>33</v>
      </c>
      <c r="C212" s="3">
        <v>45488</v>
      </c>
      <c r="D212" s="3">
        <v>45488</v>
      </c>
      <c r="E212" s="2" t="s">
        <v>50</v>
      </c>
      <c r="F212" s="2" t="s">
        <v>59</v>
      </c>
      <c r="G212" s="21" t="s">
        <v>423</v>
      </c>
      <c r="H212" s="2" t="s">
        <v>33</v>
      </c>
      <c r="I212" s="22">
        <v>45586</v>
      </c>
      <c r="J212" s="23">
        <v>3079727</v>
      </c>
      <c r="K212" s="15" t="s">
        <v>438</v>
      </c>
      <c r="L212" s="2" t="s">
        <v>325</v>
      </c>
      <c r="M212" s="2">
        <v>11</v>
      </c>
      <c r="N212" s="2" t="s">
        <v>32</v>
      </c>
      <c r="O212" s="2">
        <v>2200000</v>
      </c>
      <c r="P212" s="2" t="s">
        <v>33</v>
      </c>
      <c r="Q212" s="2" t="s">
        <v>33</v>
      </c>
      <c r="R212" s="6">
        <f t="shared" si="3"/>
        <v>45.454545454545453</v>
      </c>
      <c r="S212" s="2">
        <v>3200000</v>
      </c>
      <c r="T212" s="2" t="s">
        <v>33</v>
      </c>
      <c r="U212" s="2" t="s">
        <v>33</v>
      </c>
      <c r="V212" s="8" t="s">
        <v>48</v>
      </c>
      <c r="W212" s="21">
        <v>94500</v>
      </c>
      <c r="X212" s="9" t="s">
        <v>35</v>
      </c>
      <c r="Y212" s="10" t="s">
        <v>228</v>
      </c>
    </row>
    <row r="213" spans="1:25" ht="15" customHeight="1" x14ac:dyDescent="0.35">
      <c r="A213" s="21">
        <v>4916258</v>
      </c>
      <c r="B213" s="2" t="s">
        <v>33</v>
      </c>
      <c r="C213" s="3">
        <v>45488</v>
      </c>
      <c r="D213" s="3">
        <v>45488</v>
      </c>
      <c r="E213" s="2" t="s">
        <v>50</v>
      </c>
      <c r="F213" s="2" t="s">
        <v>68</v>
      </c>
      <c r="G213" s="21" t="s">
        <v>439</v>
      </c>
      <c r="H213" s="22">
        <v>45520</v>
      </c>
      <c r="I213" s="22">
        <v>45586</v>
      </c>
      <c r="J213" s="21">
        <v>3079347</v>
      </c>
      <c r="K213" s="25" t="s">
        <v>440</v>
      </c>
      <c r="L213" s="21" t="s">
        <v>441</v>
      </c>
      <c r="M213" s="2" t="s">
        <v>33</v>
      </c>
      <c r="N213" s="2" t="s">
        <v>32</v>
      </c>
      <c r="O213" s="2"/>
      <c r="P213" s="2" t="s">
        <v>33</v>
      </c>
      <c r="Q213" s="2" t="s">
        <v>33</v>
      </c>
      <c r="R213" s="6" t="e">
        <f t="shared" si="3"/>
        <v>#DIV/0!</v>
      </c>
      <c r="S213" s="2">
        <v>1975084</v>
      </c>
      <c r="T213" s="2" t="s">
        <v>33</v>
      </c>
      <c r="U213" s="2" t="s">
        <v>33</v>
      </c>
      <c r="V213" s="8" t="s">
        <v>48</v>
      </c>
      <c r="W213" s="21">
        <v>61250</v>
      </c>
      <c r="X213" s="9" t="s">
        <v>35</v>
      </c>
      <c r="Y213" s="10" t="s">
        <v>228</v>
      </c>
    </row>
    <row r="214" spans="1:25" ht="15" customHeight="1" x14ac:dyDescent="0.35">
      <c r="A214" s="2">
        <v>4913726</v>
      </c>
      <c r="B214" s="2" t="s">
        <v>40</v>
      </c>
      <c r="C214" s="11">
        <v>45456</v>
      </c>
      <c r="D214" s="11">
        <v>45456</v>
      </c>
      <c r="E214" s="2" t="s">
        <v>26</v>
      </c>
      <c r="F214" s="2" t="s">
        <v>427</v>
      </c>
      <c r="G214" s="2" t="s">
        <v>408</v>
      </c>
      <c r="H214" s="3">
        <v>45489</v>
      </c>
      <c r="I214" s="11">
        <v>45586</v>
      </c>
      <c r="J214" s="2">
        <v>3078917</v>
      </c>
      <c r="K214" s="2" t="s">
        <v>442</v>
      </c>
      <c r="L214" s="2" t="s">
        <v>81</v>
      </c>
      <c r="M214" s="2">
        <v>3.5</v>
      </c>
      <c r="N214" s="2" t="s">
        <v>32</v>
      </c>
      <c r="O214" s="2">
        <v>750000</v>
      </c>
      <c r="P214" s="2" t="s">
        <v>33</v>
      </c>
      <c r="Q214" s="2" t="s">
        <v>33</v>
      </c>
      <c r="R214" s="6">
        <f t="shared" si="3"/>
        <v>50.012133333333331</v>
      </c>
      <c r="S214" s="2">
        <v>1125091</v>
      </c>
      <c r="T214" s="2" t="s">
        <v>33</v>
      </c>
      <c r="U214" s="2" t="s">
        <v>33</v>
      </c>
      <c r="V214" s="8" t="s">
        <v>34</v>
      </c>
      <c r="W214" s="2">
        <v>8000</v>
      </c>
      <c r="X214" s="9" t="s">
        <v>35</v>
      </c>
      <c r="Y214" s="10" t="s">
        <v>118</v>
      </c>
    </row>
    <row r="215" spans="1:25" ht="15" customHeight="1" x14ac:dyDescent="0.35">
      <c r="A215" s="21">
        <v>4922210</v>
      </c>
      <c r="B215" s="2" t="s">
        <v>33</v>
      </c>
      <c r="C215" s="3">
        <v>45488</v>
      </c>
      <c r="D215" s="3">
        <v>45488</v>
      </c>
      <c r="E215" s="2" t="s">
        <v>50</v>
      </c>
      <c r="F215" s="2" t="s">
        <v>114</v>
      </c>
      <c r="G215" s="24" t="s">
        <v>73</v>
      </c>
      <c r="H215" s="2" t="s">
        <v>33</v>
      </c>
      <c r="I215" s="22">
        <v>45600</v>
      </c>
      <c r="J215" s="21">
        <v>3080103</v>
      </c>
      <c r="K215" s="26" t="s">
        <v>443</v>
      </c>
      <c r="L215" s="21" t="s">
        <v>444</v>
      </c>
      <c r="M215" s="2">
        <v>10.5</v>
      </c>
      <c r="N215" s="2" t="s">
        <v>39</v>
      </c>
      <c r="O215" s="2">
        <v>2000000</v>
      </c>
      <c r="P215" s="2" t="s">
        <v>33</v>
      </c>
      <c r="Q215" s="2" t="s">
        <v>33</v>
      </c>
      <c r="R215" s="6">
        <f t="shared" si="3"/>
        <v>31.156099999999999</v>
      </c>
      <c r="S215" s="2">
        <v>2623122</v>
      </c>
      <c r="T215" s="2" t="s">
        <v>33</v>
      </c>
      <c r="U215" s="2" t="s">
        <v>33</v>
      </c>
      <c r="V215" s="8" t="s">
        <v>34</v>
      </c>
      <c r="W215" s="24">
        <v>8000</v>
      </c>
      <c r="X215" s="9" t="s">
        <v>35</v>
      </c>
      <c r="Y215" s="10" t="s">
        <v>118</v>
      </c>
    </row>
    <row r="216" spans="1:25" ht="15" customHeight="1" x14ac:dyDescent="0.35">
      <c r="A216" s="21">
        <v>4916258</v>
      </c>
      <c r="B216" s="2" t="s">
        <v>33</v>
      </c>
      <c r="C216" s="3">
        <v>45488</v>
      </c>
      <c r="D216" s="3">
        <v>45488</v>
      </c>
      <c r="E216" s="2" t="s">
        <v>50</v>
      </c>
      <c r="F216" s="2" t="s">
        <v>68</v>
      </c>
      <c r="G216" s="21" t="s">
        <v>445</v>
      </c>
      <c r="H216" s="2" t="s">
        <v>33</v>
      </c>
      <c r="I216" s="22">
        <v>45600</v>
      </c>
      <c r="J216" s="23">
        <v>3079718</v>
      </c>
      <c r="K216" s="27" t="s">
        <v>446</v>
      </c>
      <c r="L216" s="15" t="s">
        <v>238</v>
      </c>
      <c r="M216" s="2">
        <v>6</v>
      </c>
      <c r="N216" s="2" t="s">
        <v>32</v>
      </c>
      <c r="O216" s="2">
        <v>1206000</v>
      </c>
      <c r="P216" s="2" t="s">
        <v>33</v>
      </c>
      <c r="Q216" s="2" t="s">
        <v>33</v>
      </c>
      <c r="R216" s="6">
        <f t="shared" si="3"/>
        <v>65.837479270315086</v>
      </c>
      <c r="S216" s="2">
        <v>2000000</v>
      </c>
      <c r="T216" s="2" t="s">
        <v>33</v>
      </c>
      <c r="U216" s="2" t="s">
        <v>33</v>
      </c>
      <c r="V216" s="8" t="s">
        <v>34</v>
      </c>
      <c r="W216" s="21">
        <v>8000</v>
      </c>
      <c r="X216" s="9" t="s">
        <v>35</v>
      </c>
      <c r="Y216" s="10" t="s">
        <v>228</v>
      </c>
    </row>
    <row r="217" spans="1:25" ht="15" customHeight="1" x14ac:dyDescent="0.35">
      <c r="A217" s="2">
        <v>4913723</v>
      </c>
      <c r="B217" s="2" t="s">
        <v>40</v>
      </c>
      <c r="C217" s="11">
        <v>45455</v>
      </c>
      <c r="D217" s="11">
        <v>45456</v>
      </c>
      <c r="E217" s="2" t="s">
        <v>26</v>
      </c>
      <c r="F217" s="2" t="s">
        <v>82</v>
      </c>
      <c r="G217" s="2" t="s">
        <v>408</v>
      </c>
      <c r="H217" s="3">
        <v>45525</v>
      </c>
      <c r="I217" s="11">
        <v>45600</v>
      </c>
      <c r="J217" s="2">
        <v>3079441</v>
      </c>
      <c r="K217" s="2" t="s">
        <v>447</v>
      </c>
      <c r="L217" s="2" t="s">
        <v>381</v>
      </c>
      <c r="M217" s="2">
        <v>2.4</v>
      </c>
      <c r="N217" s="2" t="s">
        <v>39</v>
      </c>
      <c r="O217" s="2">
        <v>490000</v>
      </c>
      <c r="P217" s="2" t="s">
        <v>33</v>
      </c>
      <c r="Q217" s="2" t="s">
        <v>33</v>
      </c>
      <c r="R217" s="6">
        <f t="shared" si="3"/>
        <v>46.103265306122445</v>
      </c>
      <c r="S217" s="2">
        <v>715906</v>
      </c>
      <c r="T217" s="2" t="s">
        <v>33</v>
      </c>
      <c r="U217" s="2" t="s">
        <v>33</v>
      </c>
      <c r="V217" s="8" t="s">
        <v>48</v>
      </c>
      <c r="W217" s="2">
        <v>26250</v>
      </c>
      <c r="X217" s="9" t="s">
        <v>35</v>
      </c>
      <c r="Y217" s="10" t="s">
        <v>118</v>
      </c>
    </row>
    <row r="218" spans="1:25" ht="15" customHeight="1" x14ac:dyDescent="0.35">
      <c r="A218" s="2">
        <v>4913715</v>
      </c>
      <c r="B218" s="2" t="s">
        <v>40</v>
      </c>
      <c r="C218" s="11">
        <v>45456</v>
      </c>
      <c r="D218" s="11">
        <v>45456</v>
      </c>
      <c r="E218" s="2" t="s">
        <v>26</v>
      </c>
      <c r="F218" s="2" t="s">
        <v>416</v>
      </c>
      <c r="G218" s="2" t="s">
        <v>408</v>
      </c>
      <c r="H218" s="11">
        <v>45531</v>
      </c>
      <c r="I218" s="11">
        <v>45600</v>
      </c>
      <c r="J218" s="2">
        <v>3079526</v>
      </c>
      <c r="K218" s="2" t="s">
        <v>448</v>
      </c>
      <c r="L218" s="2" t="s">
        <v>381</v>
      </c>
      <c r="M218" s="2">
        <v>2.7</v>
      </c>
      <c r="N218" s="2" t="s">
        <v>39</v>
      </c>
      <c r="O218" s="2">
        <v>600000</v>
      </c>
      <c r="P218" s="2" t="s">
        <v>33</v>
      </c>
      <c r="Q218" s="2" t="s">
        <v>33</v>
      </c>
      <c r="R218" s="6">
        <f t="shared" si="3"/>
        <v>37.635000000000005</v>
      </c>
      <c r="S218" s="2">
        <v>825810</v>
      </c>
      <c r="T218" s="2" t="s">
        <v>33</v>
      </c>
      <c r="U218" s="2" t="s">
        <v>33</v>
      </c>
      <c r="V218" s="8" t="s">
        <v>34</v>
      </c>
      <c r="W218" s="2">
        <v>8000</v>
      </c>
      <c r="X218" s="9" t="s">
        <v>35</v>
      </c>
      <c r="Y218" s="10" t="s">
        <v>118</v>
      </c>
    </row>
    <row r="219" spans="1:25" ht="15" customHeight="1" x14ac:dyDescent="0.35">
      <c r="A219" s="7">
        <v>4913720</v>
      </c>
      <c r="B219" s="7" t="s">
        <v>40</v>
      </c>
      <c r="C219" s="28">
        <v>45457</v>
      </c>
      <c r="D219" s="28">
        <v>45457</v>
      </c>
      <c r="E219" s="2" t="s">
        <v>26</v>
      </c>
      <c r="F219" s="7" t="s">
        <v>449</v>
      </c>
      <c r="G219" s="7" t="s">
        <v>408</v>
      </c>
      <c r="H219" s="29">
        <v>45502</v>
      </c>
      <c r="I219" s="28">
        <v>45600</v>
      </c>
      <c r="J219" s="30">
        <v>3079033</v>
      </c>
      <c r="K219" s="2" t="s">
        <v>450</v>
      </c>
      <c r="L219" s="7" t="s">
        <v>75</v>
      </c>
      <c r="M219" s="7">
        <v>3.2</v>
      </c>
      <c r="N219" s="7" t="s">
        <v>39</v>
      </c>
      <c r="O219" s="7">
        <v>330000</v>
      </c>
      <c r="P219" s="2" t="s">
        <v>33</v>
      </c>
      <c r="Q219" s="2" t="s">
        <v>33</v>
      </c>
      <c r="R219" s="6">
        <f t="shared" si="3"/>
        <v>47.357272727272729</v>
      </c>
      <c r="S219" s="2">
        <v>486279</v>
      </c>
      <c r="T219" s="2" t="s">
        <v>33</v>
      </c>
      <c r="U219" s="2" t="s">
        <v>33</v>
      </c>
      <c r="V219" s="8" t="s">
        <v>34</v>
      </c>
      <c r="W219" s="2">
        <v>8000</v>
      </c>
      <c r="X219" s="9" t="s">
        <v>35</v>
      </c>
      <c r="Y219" s="10" t="s">
        <v>118</v>
      </c>
    </row>
    <row r="220" spans="1:25" ht="15" customHeight="1" x14ac:dyDescent="0.35">
      <c r="A220" s="21">
        <v>4916961</v>
      </c>
      <c r="B220" s="2" t="s">
        <v>33</v>
      </c>
      <c r="C220" s="3">
        <v>45488</v>
      </c>
      <c r="D220" s="3">
        <v>45488</v>
      </c>
      <c r="E220" s="2" t="s">
        <v>50</v>
      </c>
      <c r="F220" s="2" t="s">
        <v>59</v>
      </c>
      <c r="G220" s="21" t="s">
        <v>73</v>
      </c>
      <c r="H220" s="2" t="s">
        <v>33</v>
      </c>
      <c r="I220" s="22">
        <v>45610</v>
      </c>
      <c r="J220" s="21">
        <v>3079746</v>
      </c>
      <c r="K220" s="27" t="s">
        <v>451</v>
      </c>
      <c r="L220" s="15" t="s">
        <v>452</v>
      </c>
      <c r="M220" s="2">
        <v>15.2</v>
      </c>
      <c r="N220" s="2" t="s">
        <v>39</v>
      </c>
      <c r="O220" s="2">
        <v>2500000</v>
      </c>
      <c r="P220" s="2" t="s">
        <v>33</v>
      </c>
      <c r="Q220" s="2" t="s">
        <v>33</v>
      </c>
      <c r="R220" s="6">
        <f t="shared" si="3"/>
        <v>28.000000000000004</v>
      </c>
      <c r="S220" s="2">
        <v>3200000</v>
      </c>
      <c r="T220" s="2" t="s">
        <v>33</v>
      </c>
      <c r="U220" s="2" t="s">
        <v>33</v>
      </c>
      <c r="V220" s="8" t="s">
        <v>34</v>
      </c>
      <c r="W220" s="21">
        <v>8000</v>
      </c>
      <c r="X220" s="9" t="s">
        <v>35</v>
      </c>
      <c r="Y220" s="10" t="s">
        <v>118</v>
      </c>
    </row>
    <row r="221" spans="1:25" ht="15" customHeight="1" x14ac:dyDescent="0.35">
      <c r="A221" s="21">
        <v>4916255</v>
      </c>
      <c r="B221" s="2" t="s">
        <v>33</v>
      </c>
      <c r="C221" s="3">
        <v>45488</v>
      </c>
      <c r="D221" s="3">
        <v>45488</v>
      </c>
      <c r="E221" s="2" t="s">
        <v>50</v>
      </c>
      <c r="F221" s="2" t="s">
        <v>59</v>
      </c>
      <c r="G221" s="21" t="s">
        <v>304</v>
      </c>
      <c r="H221" s="22">
        <v>45546</v>
      </c>
      <c r="I221" s="22">
        <v>45617</v>
      </c>
      <c r="J221" s="21">
        <v>3079676</v>
      </c>
      <c r="K221" s="27" t="s">
        <v>453</v>
      </c>
      <c r="L221" s="2" t="s">
        <v>325</v>
      </c>
      <c r="M221" s="2">
        <v>10.7</v>
      </c>
      <c r="N221" s="2" t="s">
        <v>32</v>
      </c>
      <c r="O221" s="2">
        <v>2675000</v>
      </c>
      <c r="P221" s="2" t="s">
        <v>33</v>
      </c>
      <c r="Q221" s="2" t="s">
        <v>33</v>
      </c>
      <c r="R221" s="6">
        <f t="shared" si="3"/>
        <v>44.161196261682242</v>
      </c>
      <c r="S221" s="2">
        <v>3856312</v>
      </c>
      <c r="T221" s="2" t="s">
        <v>33</v>
      </c>
      <c r="U221" s="2" t="s">
        <v>33</v>
      </c>
      <c r="V221" s="8" t="s">
        <v>48</v>
      </c>
      <c r="W221" s="21">
        <v>328016</v>
      </c>
      <c r="X221" s="9" t="s">
        <v>35</v>
      </c>
      <c r="Y221" s="10" t="s">
        <v>228</v>
      </c>
    </row>
    <row r="222" spans="1:25" ht="15" customHeight="1" x14ac:dyDescent="0.35">
      <c r="A222" s="2">
        <v>4916914</v>
      </c>
      <c r="B222" s="2" t="s">
        <v>454</v>
      </c>
      <c r="C222" s="11">
        <v>45499</v>
      </c>
      <c r="D222" s="11">
        <v>45502</v>
      </c>
      <c r="E222" s="2" t="s">
        <v>26</v>
      </c>
      <c r="F222" s="2" t="s">
        <v>45</v>
      </c>
      <c r="G222" s="2" t="s">
        <v>455</v>
      </c>
      <c r="H222" s="11">
        <v>45531</v>
      </c>
      <c r="I222" s="11">
        <v>45630</v>
      </c>
      <c r="J222" s="2">
        <v>3079524</v>
      </c>
      <c r="K222" s="2" t="s">
        <v>456</v>
      </c>
      <c r="L222" s="2" t="s">
        <v>123</v>
      </c>
      <c r="M222" s="2">
        <v>11</v>
      </c>
      <c r="N222" s="2" t="s">
        <v>39</v>
      </c>
      <c r="O222" s="2">
        <v>1600000</v>
      </c>
      <c r="P222" s="2" t="s">
        <v>33</v>
      </c>
      <c r="Q222" s="2" t="s">
        <v>33</v>
      </c>
      <c r="R222" s="6">
        <f t="shared" si="3"/>
        <v>25</v>
      </c>
      <c r="S222" s="2">
        <v>2000000</v>
      </c>
      <c r="T222" s="2" t="s">
        <v>33</v>
      </c>
      <c r="U222" s="2" t="s">
        <v>33</v>
      </c>
      <c r="V222" s="8" t="s">
        <v>34</v>
      </c>
      <c r="W222" s="2">
        <v>8000</v>
      </c>
      <c r="X222" s="9" t="s">
        <v>35</v>
      </c>
      <c r="Y222" s="10" t="s">
        <v>118</v>
      </c>
    </row>
    <row r="223" spans="1:25" ht="15" customHeight="1" x14ac:dyDescent="0.35">
      <c r="A223" s="21">
        <v>4916258</v>
      </c>
      <c r="B223" s="2" t="s">
        <v>33</v>
      </c>
      <c r="C223" s="3">
        <v>45488</v>
      </c>
      <c r="D223" s="3">
        <v>45488</v>
      </c>
      <c r="E223" s="2" t="s">
        <v>50</v>
      </c>
      <c r="F223" s="2" t="s">
        <v>68</v>
      </c>
      <c r="G223" s="21" t="s">
        <v>439</v>
      </c>
      <c r="H223" s="2" t="s">
        <v>33</v>
      </c>
      <c r="I223" s="22">
        <v>45639</v>
      </c>
      <c r="J223" s="23">
        <v>3031530</v>
      </c>
      <c r="K223" s="21" t="s">
        <v>457</v>
      </c>
      <c r="L223" s="21" t="s">
        <v>458</v>
      </c>
      <c r="M223" s="2">
        <v>4.7</v>
      </c>
      <c r="N223" s="2" t="s">
        <v>32</v>
      </c>
      <c r="O223" s="2">
        <v>1825000</v>
      </c>
      <c r="P223" s="2" t="s">
        <v>33</v>
      </c>
      <c r="Q223" s="2" t="s">
        <v>33</v>
      </c>
      <c r="R223" s="6">
        <f t="shared" si="3"/>
        <v>-17.80821917808219</v>
      </c>
      <c r="S223" s="2">
        <v>1500000</v>
      </c>
      <c r="T223" s="2" t="s">
        <v>33</v>
      </c>
      <c r="U223" s="2" t="s">
        <v>33</v>
      </c>
      <c r="V223" s="8" t="s">
        <v>34</v>
      </c>
      <c r="W223" s="21">
        <v>8000</v>
      </c>
      <c r="X223" s="9" t="s">
        <v>35</v>
      </c>
      <c r="Y223" s="10" t="s">
        <v>118</v>
      </c>
    </row>
    <row r="224" spans="1:25" ht="15" customHeight="1" x14ac:dyDescent="0.35">
      <c r="A224" s="21">
        <v>4916257</v>
      </c>
      <c r="B224" s="2" t="s">
        <v>33</v>
      </c>
      <c r="C224" s="3">
        <v>45488</v>
      </c>
      <c r="D224" s="3">
        <v>45488</v>
      </c>
      <c r="E224" s="2" t="s">
        <v>50</v>
      </c>
      <c r="F224" s="2" t="s">
        <v>459</v>
      </c>
      <c r="G224" s="24" t="s">
        <v>225</v>
      </c>
      <c r="H224" s="31">
        <v>45568</v>
      </c>
      <c r="I224" s="22">
        <v>45656</v>
      </c>
      <c r="J224" s="21">
        <v>3080011</v>
      </c>
      <c r="K224" s="27" t="s">
        <v>460</v>
      </c>
      <c r="L224" s="2" t="s">
        <v>325</v>
      </c>
      <c r="M224" s="2">
        <v>3.6</v>
      </c>
      <c r="N224" s="2" t="s">
        <v>32</v>
      </c>
      <c r="O224" s="2">
        <v>740000</v>
      </c>
      <c r="P224" s="2" t="s">
        <v>33</v>
      </c>
      <c r="Q224" s="2" t="s">
        <v>33</v>
      </c>
      <c r="R224" s="6">
        <f t="shared" si="3"/>
        <v>90.645405405405413</v>
      </c>
      <c r="S224" s="2">
        <v>1410776</v>
      </c>
      <c r="T224" s="2" t="s">
        <v>33</v>
      </c>
      <c r="U224" s="2" t="s">
        <v>33</v>
      </c>
      <c r="V224" s="8" t="s">
        <v>34</v>
      </c>
      <c r="W224" s="24">
        <v>8000</v>
      </c>
      <c r="X224" s="9" t="s">
        <v>35</v>
      </c>
      <c r="Y224" s="1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 Tracker 2025</vt:lpstr>
      <vt:lpstr>Contract</vt:lpstr>
      <vt:lpstr>Position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TS, Kalaiyarasan</dc:creator>
  <cp:lastModifiedBy>Baljeet Singh</cp:lastModifiedBy>
  <dcterms:created xsi:type="dcterms:W3CDTF">2025-12-19T05:18:48Z</dcterms:created>
  <dcterms:modified xsi:type="dcterms:W3CDTF">2025-12-20T14:32:46Z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72598-90ab-4748-9618-88402b5e95d2_Enabled">
    <vt:lpwstr>true</vt:lpwstr>
  </property>
  <property fmtid="{D5CDD505-2E9C-101B-9397-08002B2CF9AE}" pid="3" name="MSIP_Label_68f72598-90ab-4748-9618-88402b5e95d2_SetDate">
    <vt:lpwstr>2025-12-19T05:21:03Z</vt:lpwstr>
  </property>
  <property fmtid="{D5CDD505-2E9C-101B-9397-08002B2CF9AE}" pid="4" name="MSIP_Label_68f72598-90ab-4748-9618-88402b5e95d2_Method">
    <vt:lpwstr>Privileged</vt:lpwstr>
  </property>
  <property fmtid="{D5CDD505-2E9C-101B-9397-08002B2CF9AE}" pid="5" name="MSIP_Label_68f72598-90ab-4748-9618-88402b5e95d2_Name">
    <vt:lpwstr>68f72598-90ab-4748-9618-88402b5e95d2</vt:lpwstr>
  </property>
  <property fmtid="{D5CDD505-2E9C-101B-9397-08002B2CF9AE}" pid="6" name="MSIP_Label_68f72598-90ab-4748-9618-88402b5e95d2_SiteId">
    <vt:lpwstr>7a916015-20ae-4ad1-9170-eefd915e9272</vt:lpwstr>
  </property>
  <property fmtid="{D5CDD505-2E9C-101B-9397-08002B2CF9AE}" pid="7" name="MSIP_Label_68f72598-90ab-4748-9618-88402b5e95d2_ActionId">
    <vt:lpwstr>839ede8a-0b80-47a5-aba8-5207722ae916</vt:lpwstr>
  </property>
  <property fmtid="{D5CDD505-2E9C-101B-9397-08002B2CF9AE}" pid="8" name="MSIP_Label_68f72598-90ab-4748-9618-88402b5e95d2_ContentBits">
    <vt:lpwstr>0</vt:lpwstr>
  </property>
  <property fmtid="{D5CDD505-2E9C-101B-9397-08002B2CF9AE}" pid="9" name="MSIP_Label_68f72598-90ab-4748-9618-88402b5e95d2_Tag">
    <vt:lpwstr>10, 0, 1, 1</vt:lpwstr>
  </property>
</Properties>
</file>