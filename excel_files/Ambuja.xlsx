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Upload Status/"/>
    </mc:Choice>
  </mc:AlternateContent>
  <xr:revisionPtr revIDLastSave="0" documentId="8_{E20359FD-AE3B-43DA-B8B4-D30F42F18751}" xr6:coauthVersionLast="47" xr6:coauthVersionMax="47" xr10:uidLastSave="{00000000-0000-0000-0000-000000000000}"/>
  <bookViews>
    <workbookView xWindow="-110" yWindow="-110" windowWidth="19420" windowHeight="11500" firstSheet="1" activeTab="2" xr2:uid="{75887100-E460-4F42-975A-18B05F7E25BF}"/>
  </bookViews>
  <sheets>
    <sheet name="Manage" sheetId="2" state="hidden" r:id="rId1"/>
    <sheet name="Position Tracker" sheetId="1" r:id="rId2"/>
    <sheet name="Contractual" sheetId="8" r:id="rId3"/>
  </sheets>
  <definedNames>
    <definedName name="_xlnm._FilterDatabase" localSheetId="1" hidden="1">'Position Tracker'!$P$27:$P$27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3" i="1"/>
  <c r="A17" i="1"/>
  <c r="A21" i="1"/>
  <c r="A25" i="1"/>
  <c r="A5" i="1"/>
</calcChain>
</file>

<file path=xl/sharedStrings.xml><?xml version="1.0" encoding="utf-8"?>
<sst xmlns="http://schemas.openxmlformats.org/spreadsheetml/2006/main" count="481" uniqueCount="175">
  <si>
    <t>IJP</t>
  </si>
  <si>
    <t>ORC</t>
  </si>
  <si>
    <t>WIP</t>
  </si>
  <si>
    <t>Yes</t>
  </si>
  <si>
    <t>Appointment to be scheduled</t>
  </si>
  <si>
    <t>S4</t>
  </si>
  <si>
    <t>BGV not initiated</t>
  </si>
  <si>
    <t>Replacement</t>
  </si>
  <si>
    <t>Lateral</t>
  </si>
  <si>
    <t>Manual</t>
  </si>
  <si>
    <t>Documentation</t>
  </si>
  <si>
    <t>No</t>
  </si>
  <si>
    <t>Appointment scheduled</t>
  </si>
  <si>
    <t>O1</t>
  </si>
  <si>
    <t>Stopped</t>
  </si>
  <si>
    <t>New</t>
  </si>
  <si>
    <t>Touchless</t>
  </si>
  <si>
    <t>NFA raised</t>
  </si>
  <si>
    <t>-</t>
  </si>
  <si>
    <t>Reports Pending</t>
  </si>
  <si>
    <t>O2</t>
  </si>
  <si>
    <t>BGV initiated</t>
  </si>
  <si>
    <t>IEM</t>
  </si>
  <si>
    <t>Medical</t>
  </si>
  <si>
    <t>Reports Recevied</t>
  </si>
  <si>
    <t>O3</t>
  </si>
  <si>
    <t>BGV Report Pending</t>
  </si>
  <si>
    <t>YTJ</t>
  </si>
  <si>
    <t>Doctor Approval Pending</t>
  </si>
  <si>
    <t>O4</t>
  </si>
  <si>
    <t>Green</t>
  </si>
  <si>
    <t>Joined</t>
  </si>
  <si>
    <t>Refer Back</t>
  </si>
  <si>
    <t>O5</t>
  </si>
  <si>
    <t>Amber</t>
  </si>
  <si>
    <t>Cancelled</t>
  </si>
  <si>
    <t>Fit to Join</t>
  </si>
  <si>
    <t>E1</t>
  </si>
  <si>
    <t>Red</t>
  </si>
  <si>
    <t>IEM transfer</t>
  </si>
  <si>
    <t>Medical Approval Pending</t>
  </si>
  <si>
    <t>E2</t>
  </si>
  <si>
    <t>IJP transfer</t>
  </si>
  <si>
    <t>E3</t>
  </si>
  <si>
    <t>Asked to Hold the Process</t>
  </si>
  <si>
    <t>E4</t>
  </si>
  <si>
    <t>Challanges with PC</t>
  </si>
  <si>
    <t>GM</t>
  </si>
  <si>
    <t>Backup</t>
  </si>
  <si>
    <t>AVP</t>
  </si>
  <si>
    <t>BGV in process</t>
  </si>
  <si>
    <t>VP</t>
  </si>
  <si>
    <t>SP</t>
  </si>
  <si>
    <t>Sr. No.</t>
  </si>
  <si>
    <t>Recruiter</t>
  </si>
  <si>
    <t>BU</t>
  </si>
  <si>
    <t>Position Name</t>
  </si>
  <si>
    <t>Location</t>
  </si>
  <si>
    <t>Grade</t>
  </si>
  <si>
    <t>Cluster</t>
  </si>
  <si>
    <t>Challenges with PC</t>
  </si>
  <si>
    <t>Position Code</t>
  </si>
  <si>
    <t>Req ID</t>
  </si>
  <si>
    <t>Date of req received</t>
  </si>
  <si>
    <t>Date of received accurate PC</t>
  </si>
  <si>
    <t>Hiring Mode</t>
  </si>
  <si>
    <t>Manual / ORC</t>
  </si>
  <si>
    <t>Status</t>
  </si>
  <si>
    <t>Selection Date</t>
  </si>
  <si>
    <t>Date of NFA raised</t>
  </si>
  <si>
    <t>Candidate Name</t>
  </si>
  <si>
    <t>Mobile number</t>
  </si>
  <si>
    <t>Email ID</t>
  </si>
  <si>
    <t>DOJ</t>
  </si>
  <si>
    <t>Mridula</t>
  </si>
  <si>
    <t>Manufacturing</t>
  </si>
  <si>
    <t>North</t>
  </si>
  <si>
    <t>NA</t>
  </si>
  <si>
    <t>East</t>
  </si>
  <si>
    <t>West</t>
  </si>
  <si>
    <t>Maratha</t>
  </si>
  <si>
    <t>Mines</t>
  </si>
  <si>
    <t>Safety</t>
  </si>
  <si>
    <t>Security</t>
  </si>
  <si>
    <t>BGV-ID</t>
  </si>
  <si>
    <t xml:space="preserve">BU Lead </t>
  </si>
  <si>
    <t>Requirment Type</t>
  </si>
  <si>
    <t>New/Replcement</t>
  </si>
  <si>
    <t>Previous Incumbent details received (Y/N)</t>
  </si>
  <si>
    <t>CTC Offerred</t>
  </si>
  <si>
    <t>Fixed CTC</t>
  </si>
  <si>
    <t>Variable CTC</t>
  </si>
  <si>
    <t>Recruiter Comment</t>
  </si>
  <si>
    <t>Remarks</t>
  </si>
  <si>
    <t>Date of medical initiated</t>
  </si>
  <si>
    <t>Medical report received date</t>
  </si>
  <si>
    <t>Medical Status</t>
  </si>
  <si>
    <t>Medical Fit to join Date</t>
  </si>
  <si>
    <t>Medical SPOC Comment</t>
  </si>
  <si>
    <t>Date of BGV initiated</t>
  </si>
  <si>
    <t>BGV TAT</t>
  </si>
  <si>
    <t>BGV report received date</t>
  </si>
  <si>
    <t>BGV Status</t>
  </si>
  <si>
    <t>BGV SPOC Comment</t>
  </si>
  <si>
    <t>Ronak</t>
  </si>
  <si>
    <t>Plant Security Head</t>
  </si>
  <si>
    <t>Central</t>
  </si>
  <si>
    <t>Offer released</t>
  </si>
  <si>
    <t>Gare Palma</t>
  </si>
  <si>
    <t>Chanchal</t>
  </si>
  <si>
    <t>Assistant Mines Manager</t>
  </si>
  <si>
    <t>Ambujanagar</t>
  </si>
  <si>
    <t>Ropar</t>
  </si>
  <si>
    <t>Chanda</t>
  </si>
  <si>
    <t xml:space="preserve">O3 </t>
  </si>
  <si>
    <t>Darlaghat</t>
  </si>
  <si>
    <t>Jamul</t>
  </si>
  <si>
    <t>Kymore</t>
  </si>
  <si>
    <t xml:space="preserve">Chanchal </t>
  </si>
  <si>
    <t>PSC HEAD</t>
  </si>
  <si>
    <t>Position code awaited</t>
  </si>
  <si>
    <t>Geologist</t>
  </si>
  <si>
    <t>Head Mines</t>
  </si>
  <si>
    <t>Mines Manager</t>
  </si>
  <si>
    <t>Assistant Mines Manager-AsstMgr-Cements</t>
  </si>
  <si>
    <t xml:space="preserve">Bijay Kumar Kuanar
</t>
  </si>
  <si>
    <t>bijaykumarkuanar99@gmail.com</t>
  </si>
  <si>
    <t>VT Officer (GVTC Jamul)</t>
  </si>
  <si>
    <t xml:space="preserve">Limisha </t>
  </si>
  <si>
    <t xml:space="preserve">Ronak </t>
  </si>
  <si>
    <t xml:space="preserve">Plant Security Head </t>
  </si>
  <si>
    <t>Rabariyawas</t>
  </si>
  <si>
    <t>Major Virendra Singh Rathore</t>
  </si>
  <si>
    <t>Virendra81186@gmail.com</t>
  </si>
  <si>
    <t>BGV in Progress</t>
  </si>
  <si>
    <t>Limisha</t>
  </si>
  <si>
    <t>Req Approval pending</t>
  </si>
  <si>
    <t>Medicals/BGV in process</t>
  </si>
  <si>
    <t>Damodar</t>
  </si>
  <si>
    <t>Karan Kapoor</t>
  </si>
  <si>
    <t>karankapoor115engr@gmail.com</t>
  </si>
  <si>
    <t>Out of Scope</t>
  </si>
  <si>
    <t xml:space="preserve">Joined </t>
  </si>
  <si>
    <t>Position code inactive</t>
  </si>
  <si>
    <t>INCHARGE ENVIRONMENT</t>
  </si>
  <si>
    <t>Incharge Land and Liasioning</t>
  </si>
  <si>
    <t>Team Member Safety</t>
  </si>
  <si>
    <t>Rabriyawas</t>
  </si>
  <si>
    <t xml:space="preserve">Ashish Pandey </t>
  </si>
  <si>
    <t>ashish.pandey@wondercement.com</t>
  </si>
  <si>
    <t>Medical/BGV in process</t>
  </si>
  <si>
    <t>Appointment Scheduled</t>
  </si>
  <si>
    <t>3 Checks Pending</t>
  </si>
  <si>
    <t xml:space="preserve">Support Safety </t>
  </si>
  <si>
    <t xml:space="preserve">North </t>
  </si>
  <si>
    <t xml:space="preserve">Nikhil Tiwari </t>
  </si>
  <si>
    <t>nikhil232tiwary@gmail.com</t>
  </si>
  <si>
    <t>Shipping</t>
  </si>
  <si>
    <t>Technical Superintendent- shipping</t>
  </si>
  <si>
    <t>Andheri</t>
  </si>
  <si>
    <t>Bhagyashree Ogale</t>
  </si>
  <si>
    <t>bhagyashreeogale18@gmail.com</t>
  </si>
  <si>
    <t>Srinath Barkam</t>
  </si>
  <si>
    <t>srinathbarkam57@gmail.com</t>
  </si>
  <si>
    <t>Banoth Santosh,</t>
  </si>
  <si>
    <t>santhubanoth109@gmail.com</t>
  </si>
  <si>
    <t>VTO</t>
  </si>
  <si>
    <t>ANIRUDDHSINH R. RAOL</t>
  </si>
  <si>
    <t>aniruddh.raol90@gmail.com</t>
  </si>
  <si>
    <t>CTC Range</t>
  </si>
  <si>
    <t>0-2500000</t>
  </si>
  <si>
    <t>2510000-5000000</t>
  </si>
  <si>
    <t>5010000-7000000</t>
  </si>
  <si>
    <t>Taggd Closing Fee</t>
  </si>
  <si>
    <t>Monthly Management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</si>
</sst>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&quot;-&quot;"/>
    <numFmt numFmtId="165" formatCode="[$-409]d\-mmm\-yy;@"/>
  </numFmts>
  <fonts count="9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0" fontId="4" fillId="0" borderId="0"/>
    <xf numFmtId="0" fontId="3" fillId="0" borderId="0" applyNumberFormat="0" applyFill="0" applyBorder="0" applyAlignment="0" applyProtection="0"/>
    <xf numFmtId="0" fontId="8" fillId="0" borderId="0"/>
  </cellStyleXfs>
  <cellXfs count="28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6" fillId="2" borderId="6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4">
    <cellStyle name="Hyperlink 2" xfId="2" xr:uid="{992515D8-19F5-4E43-A7B7-161A8652A725}"/>
    <cellStyle name="Normal" xfId="0" builtinId="0"/>
    <cellStyle name="Normal 2" xfId="3" xr:uid="{01CD9548-8FA3-49CE-A1B8-3AF4EE171C3E}"/>
    <cellStyle name="Normal 2 2 3 2 2 3 2" xfId="1" xr:uid="{16B645F8-54E9-48E8-9CA2-9D1DC9F9A642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[$-409]d\-m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165" formatCode="[$-409]d\-mmm\-yy;@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514B348-7BCA-48A2-BBD6-5E9FF667D521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4BA40-FF2A-4BE0-8955-C779D5B8F3E3}" name="Table1" displayName="Table1" ref="A1:AO25" headerRowDxfId="94" dataDxfId="92" headerRowBorderDxfId="93" tableBorderDxfId="91">
  <tableColumns count="41">
    <tableColumn id="1" xr3:uid="{DFB12F14-13E9-4552-8387-F57122CA677A}" name="Sr. No." totalsRowLabel="Total" dataDxfId="90" totalsRowDxfId="89"/>
    <tableColumn id="2" xr3:uid="{7A408A2D-D7AF-41E5-A24F-D1EAB0FE80FC}" name="Recruiter" dataDxfId="88" totalsRowDxfId="87"/>
    <tableColumn id="40" xr3:uid="{CC917ED0-676A-43A8-8EDC-0E2AC073A79A}" name="BU Lead " dataDxfId="86" totalsRowDxfId="85"/>
    <tableColumn id="5" xr3:uid="{08CC0630-2E6A-4A8F-AE20-6CE2332F52D0}" name="BU" dataDxfId="84" totalsRowDxfId="83"/>
    <tableColumn id="3" xr3:uid="{E9B537AE-5B29-4E11-B028-D5C69CD830C3}" name="Requirment Type" dataDxfId="82" totalsRowDxfId="81"/>
    <tableColumn id="4" xr3:uid="{56E725A8-63E3-4EFC-A78C-528192C66FD8}" name="Date of req received" dataDxfId="80" totalsRowDxfId="79"/>
    <tableColumn id="6" xr3:uid="{A6458382-6B28-4F5C-A1B0-3F6EF2581E69}" name="Position Name" dataDxfId="78" totalsRowDxfId="77"/>
    <tableColumn id="9" xr3:uid="{5FDEC880-97FD-4F10-8377-968C41121A19}" name="Cluster" dataDxfId="76" totalsRowDxfId="75"/>
    <tableColumn id="7" xr3:uid="{DDF751C7-DCDF-4EF7-93DA-341B1735E95D}" name="Location" dataDxfId="74" totalsRowDxfId="73"/>
    <tableColumn id="8" xr3:uid="{9F2091E7-FD7B-46A7-A7C7-506EF6E38E59}" name="Grade" dataDxfId="72" totalsRowDxfId="71"/>
    <tableColumn id="38" xr3:uid="{830EFF8F-E2ED-4D5F-91B6-32895A75DAAA}" name="New/Replcement" dataDxfId="70" totalsRowDxfId="69"/>
    <tableColumn id="39" xr3:uid="{37BE1B0E-569D-4AC9-870F-4D2EB5607B8F}" name="Previous Incumbent details received (Y/N)" dataDxfId="68" totalsRowDxfId="67"/>
    <tableColumn id="10" xr3:uid="{3DD3C098-1E69-491A-B8EC-083AB7011652}" name="Position Code" dataDxfId="66" totalsRowDxfId="65"/>
    <tableColumn id="11" xr3:uid="{25186122-FC2C-4232-9EE9-B6C5CD0EAACC}" name="Challenges with PC" dataDxfId="64" totalsRowDxfId="63"/>
    <tableColumn id="12" xr3:uid="{CAD7D3C3-DC27-43C8-BD52-ED67F1AFF044}" name="Date of received accurate PC" dataDxfId="62" totalsRowDxfId="61"/>
    <tableColumn id="13" xr3:uid="{7DDAB7A9-A131-465D-9440-3C3D207ED243}" name="Req ID" dataDxfId="60" totalsRowDxfId="59"/>
    <tableColumn id="14" xr3:uid="{D349A760-201A-48F0-B0D8-7736AC64D04D}" name="Hiring Mode" dataDxfId="58" totalsRowDxfId="57"/>
    <tableColumn id="15" xr3:uid="{2DEB85A5-4BB2-4484-A1DF-C68FAD621AD7}" name="Manual / ORC" dataDxfId="56" totalsRowDxfId="55"/>
    <tableColumn id="16" xr3:uid="{7DF589D7-5BD7-46A6-B9F0-0CFE8B131C8C}" name="Status" dataDxfId="54" totalsRowDxfId="53"/>
    <tableColumn id="17" xr3:uid="{A10A78D8-2270-4FC8-98E0-484E52E26C1B}" name="Selection Date" dataDxfId="52" totalsRowDxfId="51"/>
    <tableColumn id="18" xr3:uid="{7F664EE0-42D7-461C-8A2E-5DC6953D5259}" name="CTC Offerred" dataDxfId="50" totalsRowDxfId="49"/>
    <tableColumn id="19" xr3:uid="{16D7FA67-4590-4793-86FD-159B806CCC5C}" name="Fixed CTC" dataDxfId="48" totalsRowDxfId="47"/>
    <tableColumn id="20" xr3:uid="{303C6FBB-DA47-4FC6-B7C9-872657A2A404}" name="Variable CTC" dataDxfId="46" totalsRowDxfId="45"/>
    <tableColumn id="21" xr3:uid="{AC13CAA7-9DB8-4A95-8C08-68E90821FBC6}" name="Date of NFA raised" dataDxfId="44" totalsRowDxfId="43"/>
    <tableColumn id="22" xr3:uid="{216E9F81-EE6B-4F70-BCF6-25655A73D090}" name="Candidate Name" dataDxfId="42" totalsRowDxfId="41"/>
    <tableColumn id="23" xr3:uid="{F2728032-3D99-4DE5-B170-3E044203B7D0}" name="Mobile number" dataDxfId="40" totalsRowDxfId="39"/>
    <tableColumn id="24" xr3:uid="{F3354729-4C96-4505-8D8A-65A3ED079297}" name="Email ID" dataDxfId="38" totalsRowDxfId="37"/>
    <tableColumn id="25" xr3:uid="{59B7E9E1-5188-474D-A480-608C2084A19A}" name="DOJ" dataDxfId="36" totalsRowDxfId="35"/>
    <tableColumn id="26" xr3:uid="{0FA1FC0B-00F4-46B4-BDC5-0EA2944A03F6}" name="Recruiter Comment" dataDxfId="34" totalsRowDxfId="33"/>
    <tableColumn id="27" xr3:uid="{39C09BCB-7DAF-4CE8-B7CF-4E298E8D1A26}" name="Remarks" dataDxfId="32" totalsRowDxfId="31"/>
    <tableColumn id="28" xr3:uid="{47E3C062-59CC-45EF-B02C-FFC94F95411E}" name="Date of medical initiated" dataDxfId="30" totalsRowDxfId="29"/>
    <tableColumn id="29" xr3:uid="{40B27C3B-A966-4849-8F8C-A5E75A11F374}" name="Medical report received date" dataDxfId="28" totalsRowDxfId="27"/>
    <tableColumn id="30" xr3:uid="{271F56D9-1154-44ED-BBC8-8CF262B806C9}" name="Medical Status" dataDxfId="26" totalsRowDxfId="25"/>
    <tableColumn id="42" xr3:uid="{DA02B605-AE33-48C6-B451-08D2E050EB9E}" name="Medical Fit to join Date" dataDxfId="24" totalsRowDxfId="23"/>
    <tableColumn id="31" xr3:uid="{90A64C9A-02C1-4F25-B343-6CB6CEC572C9}" name="Medical SPOC Comment" dataDxfId="22" totalsRowDxfId="21"/>
    <tableColumn id="32" xr3:uid="{70190670-5221-450B-880C-86C8D98B854D}" name="Date of BGV initiated" dataDxfId="20" totalsRowDxfId="19"/>
    <tableColumn id="37" xr3:uid="{A6F52BA8-4353-43DA-9C03-3D389487E27C}" name="BGV TAT" dataDxfId="18" totalsRowDxfId="17"/>
    <tableColumn id="33" xr3:uid="{ABA235B4-4DDF-41DA-A9BD-58B9F5FAC197}" name="BGV report received date" dataDxfId="16" totalsRowDxfId="15"/>
    <tableColumn id="34" xr3:uid="{B8427CDB-B488-4436-A1A8-EB466942F8D0}" name="BGV-ID" dataDxfId="14" totalsRowDxfId="13"/>
    <tableColumn id="35" xr3:uid="{DB7FB09D-7037-418B-83D5-ABC629AA455D}" name="BGV Status" dataDxfId="12" totalsRowDxfId="11"/>
    <tableColumn id="36" xr3:uid="{3D6FC2E8-AC1F-45CB-A69E-7DD0C0AF88C9}" name="BGV SPOC Comment" totalsRowFunction="count" dataDxfId="10" totalsRowDxfId="9"/>
  </tableColumns>
  <tableStyleInfo name="TableStyleLight9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microsoft.com/office/2019/04/relationships/namedSheetView" Target="../namedSheetViews/namedSheetView1.xml"/><Relationship Id="rId3" Type="http://schemas.openxmlformats.org/officeDocument/2006/relationships/hyperlink" Target="mailto:santhubanoth109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srinathbarkam57@gmail.com" TargetMode="External"/><Relationship Id="rId1" Type="http://schemas.openxmlformats.org/officeDocument/2006/relationships/hyperlink" Target="mailto:bhagyashreeogale18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arankapoor115engr@gmail.com" TargetMode="External"/><Relationship Id="rId4" Type="http://schemas.openxmlformats.org/officeDocument/2006/relationships/hyperlink" Target="mailto:bijaykumarkuanar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A3BC-6776-4F78-BBCA-03A74BD9DE55}">
  <dimension ref="A1:H14"/>
  <sheetViews>
    <sheetView showGridLines="0" workbookViewId="0">
      <selection activeCell="E9" sqref="E9"/>
    </sheetView>
  </sheetViews>
  <sheetFormatPr defaultRowHeight="14.5" x14ac:dyDescent="0.35"/>
  <cols>
    <col min="1" max="1" width="10" bestFit="1" customWidth="1"/>
    <col min="2" max="2" width="7.7265625" bestFit="1" customWidth="1"/>
    <col min="3" max="3" width="17" customWidth="1"/>
    <col min="4" max="4" width="5" customWidth="1"/>
    <col min="5" max="5" width="24.26953125" bestFit="1" customWidth="1"/>
    <col min="6" max="6" width="4.453125" bestFit="1" customWidth="1"/>
    <col min="7" max="7" width="18.54296875" bestFit="1" customWidth="1"/>
  </cols>
  <sheetData>
    <row r="1" spans="1:8" x14ac:dyDescent="0.35">
      <c r="A1" t="s">
        <v>0</v>
      </c>
      <c r="B1" t="s">
        <v>1</v>
      </c>
      <c r="C1" s="1" t="s">
        <v>2</v>
      </c>
      <c r="D1" s="4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 t="s">
        <v>10</v>
      </c>
      <c r="D2" s="4" t="s">
        <v>11</v>
      </c>
      <c r="E2" s="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C3" s="1" t="s">
        <v>17</v>
      </c>
      <c r="D3" s="4" t="s">
        <v>18</v>
      </c>
      <c r="E3" s="2" t="s">
        <v>19</v>
      </c>
      <c r="F3" t="s">
        <v>20</v>
      </c>
      <c r="G3" t="s">
        <v>21</v>
      </c>
    </row>
    <row r="4" spans="1:8" x14ac:dyDescent="0.35">
      <c r="A4" t="s">
        <v>22</v>
      </c>
      <c r="C4" s="1" t="s">
        <v>23</v>
      </c>
      <c r="E4" s="2" t="s">
        <v>24</v>
      </c>
      <c r="F4" t="s">
        <v>25</v>
      </c>
      <c r="G4" t="s">
        <v>26</v>
      </c>
    </row>
    <row r="5" spans="1:8" x14ac:dyDescent="0.35">
      <c r="C5" s="1" t="s">
        <v>27</v>
      </c>
      <c r="E5" s="2" t="s">
        <v>28</v>
      </c>
      <c r="F5" t="s">
        <v>29</v>
      </c>
      <c r="G5" t="s">
        <v>30</v>
      </c>
    </row>
    <row r="6" spans="1:8" x14ac:dyDescent="0.35">
      <c r="C6" s="1" t="s">
        <v>31</v>
      </c>
      <c r="E6" s="2" t="s">
        <v>32</v>
      </c>
      <c r="F6" t="s">
        <v>33</v>
      </c>
      <c r="G6" t="s">
        <v>34</v>
      </c>
    </row>
    <row r="7" spans="1:8" x14ac:dyDescent="0.35">
      <c r="C7" s="1" t="s">
        <v>35</v>
      </c>
      <c r="E7" s="2" t="s">
        <v>36</v>
      </c>
      <c r="F7" t="s">
        <v>37</v>
      </c>
      <c r="G7" t="s">
        <v>38</v>
      </c>
    </row>
    <row r="8" spans="1:8" x14ac:dyDescent="0.35">
      <c r="C8" s="1" t="s">
        <v>39</v>
      </c>
      <c r="E8" s="3" t="s">
        <v>40</v>
      </c>
      <c r="F8" t="s">
        <v>41</v>
      </c>
    </row>
    <row r="9" spans="1:8" x14ac:dyDescent="0.35">
      <c r="C9" s="1" t="s">
        <v>42</v>
      </c>
      <c r="F9" t="s">
        <v>43</v>
      </c>
    </row>
    <row r="10" spans="1:8" x14ac:dyDescent="0.35">
      <c r="C10" s="1" t="s">
        <v>44</v>
      </c>
      <c r="F10" t="s">
        <v>45</v>
      </c>
    </row>
    <row r="11" spans="1:8" x14ac:dyDescent="0.35">
      <c r="C11" s="1" t="s">
        <v>46</v>
      </c>
      <c r="F11" t="s">
        <v>47</v>
      </c>
    </row>
    <row r="12" spans="1:8" x14ac:dyDescent="0.35">
      <c r="C12" s="1" t="s">
        <v>48</v>
      </c>
      <c r="F12" t="s">
        <v>49</v>
      </c>
    </row>
    <row r="13" spans="1:8" x14ac:dyDescent="0.35">
      <c r="C13" s="5" t="s">
        <v>50</v>
      </c>
      <c r="F13" t="s">
        <v>51</v>
      </c>
    </row>
    <row r="14" spans="1:8" x14ac:dyDescent="0.35">
      <c r="F14" t="s">
        <v>52</v>
      </c>
    </row>
  </sheetData>
  <dataValidations disablePrompts="1" count="2">
    <dataValidation type="list" allowBlank="1" showInputMessage="1" showErrorMessage="1" sqref="C10" xr:uid="{EBD55F3F-9FE2-4304-81D4-C710761EB2A8}">
      <formula1>$C$1:$C$9</formula1>
    </dataValidation>
    <dataValidation type="list" allowBlank="1" showInputMessage="1" showErrorMessage="1" sqref="C11" xr:uid="{AE59BA26-E951-4999-A4E0-B4CA1284543D}">
      <formula1>$C$1:$C$10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DF32-C563-4E2B-863A-7C293FAD4101}">
  <sheetPr>
    <tabColor rgb="FF00B050"/>
  </sheetPr>
  <dimension ref="A1:AO31"/>
  <sheetViews>
    <sheetView showGridLines="0" zoomScale="97" zoomScaleNormal="100" workbookViewId="0">
      <selection activeCell="F1" sqref="F1"/>
    </sheetView>
  </sheetViews>
  <sheetFormatPr defaultColWidth="9.1796875" defaultRowHeight="12" x14ac:dyDescent="0.3"/>
  <cols>
    <col min="1" max="1" width="8.7265625" style="13" bestFit="1" customWidth="1"/>
    <col min="2" max="2" width="12.54296875" style="6" bestFit="1" customWidth="1"/>
    <col min="3" max="3" width="11.54296875" style="6" bestFit="1" customWidth="1"/>
    <col min="4" max="4" width="10.54296875" style="6" bestFit="1" customWidth="1"/>
    <col min="5" max="5" width="17.81640625" style="6" bestFit="1" customWidth="1"/>
    <col min="6" max="6" width="20.26953125" style="6" bestFit="1" customWidth="1"/>
    <col min="7" max="7" width="44" style="6" bestFit="1" customWidth="1"/>
    <col min="8" max="8" width="11.1796875" style="6" bestFit="1" customWidth="1"/>
    <col min="9" max="9" width="26.54296875" style="6" bestFit="1" customWidth="1"/>
    <col min="10" max="10" width="10.1796875" style="6" bestFit="1" customWidth="1"/>
    <col min="11" max="11" width="18.54296875" style="6" bestFit="1" customWidth="1"/>
    <col min="12" max="12" width="27.54296875" style="6" customWidth="1"/>
    <col min="13" max="13" width="22.81640625" style="7" customWidth="1"/>
    <col min="14" max="14" width="20" style="6" bestFit="1" customWidth="1"/>
    <col min="15" max="15" width="27.26953125" style="6" bestFit="1" customWidth="1"/>
    <col min="16" max="16" width="14.1796875" style="7" bestFit="1" customWidth="1"/>
    <col min="17" max="17" width="14.453125" style="6" customWidth="1"/>
    <col min="18" max="18" width="15.54296875" style="6" customWidth="1"/>
    <col min="19" max="19" width="19.453125" style="6" bestFit="1" customWidth="1"/>
    <col min="20" max="20" width="16.26953125" style="6" bestFit="1" customWidth="1"/>
    <col min="21" max="21" width="19.7265625" style="7" bestFit="1" customWidth="1"/>
    <col min="22" max="22" width="13" style="10" bestFit="1" customWidth="1"/>
    <col min="23" max="23" width="15.1796875" style="10" bestFit="1" customWidth="1"/>
    <col min="24" max="24" width="19.453125" style="6" bestFit="1" customWidth="1"/>
    <col min="25" max="25" width="29.453125" style="6" bestFit="1" customWidth="1"/>
    <col min="26" max="26" width="20.1796875" style="7" bestFit="1" customWidth="1"/>
    <col min="27" max="27" width="49" style="6" bestFit="1" customWidth="1"/>
    <col min="28" max="28" width="14.26953125" style="6" bestFit="1" customWidth="1"/>
    <col min="29" max="29" width="21.26953125" style="6" customWidth="1"/>
    <col min="30" max="30" width="39.26953125" style="6" customWidth="1"/>
    <col min="31" max="31" width="23.81640625" style="16" bestFit="1" customWidth="1"/>
    <col min="32" max="32" width="26.54296875" style="16" bestFit="1" customWidth="1"/>
    <col min="33" max="33" width="16.453125" style="6" bestFit="1" customWidth="1"/>
    <col min="34" max="34" width="16.453125" style="16" customWidth="1"/>
    <col min="35" max="35" width="24" style="6" bestFit="1" customWidth="1"/>
    <col min="36" max="36" width="21" style="6" bestFit="1" customWidth="1"/>
    <col min="37" max="37" width="11.7265625" style="6" bestFit="1" customWidth="1"/>
    <col min="38" max="38" width="24" style="6" bestFit="1" customWidth="1"/>
    <col min="39" max="39" width="11.1796875" style="6" bestFit="1" customWidth="1"/>
    <col min="40" max="40" width="15.26953125" style="6" bestFit="1" customWidth="1"/>
    <col min="41" max="41" width="21.26953125" style="11" bestFit="1" customWidth="1"/>
    <col min="42" max="42" width="6.81640625" style="6" bestFit="1" customWidth="1"/>
    <col min="43" max="43" width="34.81640625" style="6" bestFit="1" customWidth="1"/>
    <col min="44" max="16384" width="9.1796875" style="6"/>
  </cols>
  <sheetData>
    <row r="1" spans="1:41" ht="14.5" x14ac:dyDescent="0.3">
      <c r="A1" s="4" t="s">
        <v>53</v>
      </c>
      <c r="B1" s="12" t="s">
        <v>54</v>
      </c>
      <c r="C1" s="12" t="s">
        <v>85</v>
      </c>
      <c r="D1" s="12" t="s">
        <v>55</v>
      </c>
      <c r="E1" s="12" t="s">
        <v>86</v>
      </c>
      <c r="F1" s="12" t="s">
        <v>63</v>
      </c>
      <c r="G1" s="12" t="s">
        <v>56</v>
      </c>
      <c r="H1" s="12" t="s">
        <v>59</v>
      </c>
      <c r="I1" s="12" t="s">
        <v>57</v>
      </c>
      <c r="J1" s="12" t="s">
        <v>58</v>
      </c>
      <c r="K1" s="12" t="s">
        <v>87</v>
      </c>
      <c r="L1" s="12" t="s">
        <v>88</v>
      </c>
      <c r="M1" s="12" t="s">
        <v>61</v>
      </c>
      <c r="N1" s="12" t="s">
        <v>60</v>
      </c>
      <c r="O1" s="12" t="s">
        <v>64</v>
      </c>
      <c r="P1" s="12" t="s">
        <v>62</v>
      </c>
      <c r="Q1" s="12" t="s">
        <v>65</v>
      </c>
      <c r="R1" s="12" t="s">
        <v>66</v>
      </c>
      <c r="S1" s="17" t="s">
        <v>67</v>
      </c>
      <c r="T1" s="12" t="s">
        <v>68</v>
      </c>
      <c r="U1" s="12" t="s">
        <v>89</v>
      </c>
      <c r="V1" s="12" t="s">
        <v>90</v>
      </c>
      <c r="W1" s="12" t="s">
        <v>91</v>
      </c>
      <c r="X1" s="12" t="s">
        <v>69</v>
      </c>
      <c r="Y1" s="12" t="s">
        <v>70</v>
      </c>
      <c r="Z1" s="12" t="s">
        <v>71</v>
      </c>
      <c r="AA1" s="12" t="s">
        <v>72</v>
      </c>
      <c r="AB1" s="12" t="s">
        <v>73</v>
      </c>
      <c r="AC1" s="12" t="s">
        <v>92</v>
      </c>
      <c r="AD1" s="12" t="s">
        <v>93</v>
      </c>
      <c r="AE1" s="15" t="s">
        <v>94</v>
      </c>
      <c r="AF1" s="15" t="s">
        <v>95</v>
      </c>
      <c r="AG1" s="12" t="s">
        <v>96</v>
      </c>
      <c r="AH1" s="15" t="s">
        <v>97</v>
      </c>
      <c r="AI1" s="12" t="s">
        <v>98</v>
      </c>
      <c r="AJ1" s="12" t="s">
        <v>99</v>
      </c>
      <c r="AK1" s="12" t="s">
        <v>100</v>
      </c>
      <c r="AL1" s="12" t="s">
        <v>101</v>
      </c>
      <c r="AM1" s="12" t="s">
        <v>84</v>
      </c>
      <c r="AN1" s="12" t="s">
        <v>102</v>
      </c>
      <c r="AO1" s="12" t="s">
        <v>103</v>
      </c>
    </row>
    <row r="2" spans="1:41" ht="15.75" customHeight="1" x14ac:dyDescent="0.3">
      <c r="A2" s="14">
        <v>1</v>
      </c>
      <c r="B2" s="6" t="s">
        <v>118</v>
      </c>
      <c r="C2" s="6" t="s">
        <v>74</v>
      </c>
      <c r="D2" s="6" t="s">
        <v>75</v>
      </c>
      <c r="E2" s="6" t="s">
        <v>75</v>
      </c>
      <c r="F2" s="6">
        <v>46150</v>
      </c>
      <c r="G2" s="6" t="s">
        <v>119</v>
      </c>
      <c r="I2" s="6" t="s">
        <v>115</v>
      </c>
      <c r="J2" s="6" t="s">
        <v>29</v>
      </c>
      <c r="K2" s="6" t="s">
        <v>7</v>
      </c>
      <c r="L2" s="6" t="s">
        <v>11</v>
      </c>
      <c r="M2" s="7">
        <v>25006106</v>
      </c>
      <c r="N2" s="6" t="s">
        <v>11</v>
      </c>
      <c r="O2" s="6">
        <v>46150</v>
      </c>
      <c r="Q2" s="6" t="s">
        <v>0</v>
      </c>
      <c r="R2" s="6" t="s">
        <v>1</v>
      </c>
      <c r="S2" s="6" t="s">
        <v>2</v>
      </c>
      <c r="V2" s="7"/>
      <c r="W2" s="7"/>
      <c r="AF2" s="6"/>
      <c r="AH2" s="6"/>
      <c r="AM2" s="7"/>
      <c r="AO2" s="6"/>
    </row>
    <row r="3" spans="1:41" ht="12" customHeight="1" x14ac:dyDescent="0.3">
      <c r="A3" s="14">
        <v>2</v>
      </c>
      <c r="B3" s="6" t="s">
        <v>118</v>
      </c>
      <c r="C3" s="6" t="s">
        <v>118</v>
      </c>
      <c r="D3" s="6" t="s">
        <v>81</v>
      </c>
      <c r="F3" s="6">
        <v>46136</v>
      </c>
      <c r="G3" s="6" t="s">
        <v>124</v>
      </c>
      <c r="H3" s="6" t="s">
        <v>78</v>
      </c>
      <c r="I3" s="6" t="s">
        <v>116</v>
      </c>
      <c r="J3" s="6" t="s">
        <v>25</v>
      </c>
      <c r="K3" s="6" t="s">
        <v>7</v>
      </c>
      <c r="L3" s="6" t="s">
        <v>11</v>
      </c>
      <c r="M3" s="7">
        <v>70042479</v>
      </c>
      <c r="N3" s="6" t="s">
        <v>11</v>
      </c>
      <c r="O3" s="6">
        <v>46139</v>
      </c>
      <c r="P3" s="7">
        <v>50671</v>
      </c>
      <c r="Q3" s="6" t="s">
        <v>8</v>
      </c>
      <c r="R3" s="6" t="s">
        <v>1</v>
      </c>
      <c r="S3" s="6" t="s">
        <v>2</v>
      </c>
      <c r="V3" s="7"/>
      <c r="W3" s="7"/>
      <c r="AF3" s="6"/>
      <c r="AH3" s="6"/>
      <c r="AM3" s="7" t="s">
        <v>18</v>
      </c>
      <c r="AO3" s="6"/>
    </row>
    <row r="4" spans="1:41" ht="12" customHeight="1" x14ac:dyDescent="0.3">
      <c r="A4" s="14">
        <v>3</v>
      </c>
      <c r="B4" s="6" t="s">
        <v>118</v>
      </c>
      <c r="C4" s="6" t="s">
        <v>118</v>
      </c>
      <c r="D4" s="6" t="s">
        <v>81</v>
      </c>
      <c r="F4" s="6">
        <v>46136</v>
      </c>
      <c r="G4" s="6" t="s">
        <v>121</v>
      </c>
      <c r="H4" s="6" t="s">
        <v>78</v>
      </c>
      <c r="I4" s="6" t="s">
        <v>116</v>
      </c>
      <c r="J4" s="6" t="s">
        <v>29</v>
      </c>
      <c r="K4" s="6" t="s">
        <v>7</v>
      </c>
      <c r="L4" s="6" t="s">
        <v>11</v>
      </c>
      <c r="M4" s="7">
        <v>60075063</v>
      </c>
      <c r="N4" s="6" t="s">
        <v>11</v>
      </c>
      <c r="O4" s="6">
        <v>46139</v>
      </c>
      <c r="P4" s="7">
        <v>50668</v>
      </c>
      <c r="Q4" s="6" t="s">
        <v>8</v>
      </c>
      <c r="R4" s="6" t="s">
        <v>1</v>
      </c>
      <c r="S4" s="6" t="s">
        <v>10</v>
      </c>
      <c r="T4" s="6">
        <v>46171</v>
      </c>
      <c r="V4" s="7"/>
      <c r="W4" s="7"/>
      <c r="Y4" s="6" t="s">
        <v>125</v>
      </c>
      <c r="Z4" s="7">
        <v>8114938283</v>
      </c>
      <c r="AA4" s="6" t="s">
        <v>126</v>
      </c>
      <c r="AF4" s="6"/>
      <c r="AH4" s="6"/>
      <c r="AM4" s="7" t="s">
        <v>18</v>
      </c>
      <c r="AO4" s="6"/>
    </row>
    <row r="5" spans="1:41" ht="12" customHeight="1" x14ac:dyDescent="0.3">
      <c r="A5" s="14">
        <f t="shared" ref="A4:A5" si="0">A4+1</f>
        <v>4</v>
      </c>
      <c r="B5" s="6" t="s">
        <v>118</v>
      </c>
      <c r="C5" s="6" t="s">
        <v>118</v>
      </c>
      <c r="D5" s="6" t="s">
        <v>81</v>
      </c>
      <c r="F5" s="6">
        <v>46136</v>
      </c>
      <c r="G5" s="6" t="s">
        <v>127</v>
      </c>
      <c r="H5" s="6" t="s">
        <v>78</v>
      </c>
      <c r="I5" s="6" t="s">
        <v>116</v>
      </c>
      <c r="J5" s="6" t="s">
        <v>33</v>
      </c>
      <c r="K5" s="6" t="s">
        <v>7</v>
      </c>
      <c r="L5" s="6" t="s">
        <v>11</v>
      </c>
      <c r="M5" s="7">
        <v>70042682</v>
      </c>
      <c r="N5" s="6" t="s">
        <v>11</v>
      </c>
      <c r="O5" s="6">
        <v>46139</v>
      </c>
      <c r="P5" s="7">
        <v>50670</v>
      </c>
      <c r="Q5" s="6" t="s">
        <v>8</v>
      </c>
      <c r="R5" s="6" t="s">
        <v>1</v>
      </c>
      <c r="S5" s="6" t="s">
        <v>2</v>
      </c>
      <c r="V5" s="7"/>
      <c r="W5" s="7"/>
      <c r="AF5" s="6"/>
      <c r="AH5" s="6"/>
      <c r="AM5" s="7" t="s">
        <v>18</v>
      </c>
      <c r="AO5" s="6"/>
    </row>
    <row r="6" spans="1:41" x14ac:dyDescent="0.3">
      <c r="A6" s="14">
        <v>4</v>
      </c>
      <c r="B6" s="6" t="s">
        <v>128</v>
      </c>
      <c r="C6" s="6" t="s">
        <v>129</v>
      </c>
      <c r="D6" s="6" t="s">
        <v>83</v>
      </c>
      <c r="F6" s="6">
        <v>46128</v>
      </c>
      <c r="G6" s="6" t="s">
        <v>130</v>
      </c>
      <c r="H6" s="6" t="s">
        <v>106</v>
      </c>
      <c r="I6" s="6" t="s">
        <v>131</v>
      </c>
      <c r="J6" s="6" t="s">
        <v>41</v>
      </c>
      <c r="K6" s="6" t="s">
        <v>7</v>
      </c>
      <c r="L6" s="6" t="s">
        <v>3</v>
      </c>
      <c r="M6" s="7">
        <v>70040834</v>
      </c>
      <c r="N6" s="6" t="s">
        <v>11</v>
      </c>
      <c r="O6" s="6">
        <v>46128</v>
      </c>
      <c r="P6" s="7">
        <v>41124</v>
      </c>
      <c r="Q6" s="6" t="s">
        <v>8</v>
      </c>
      <c r="R6" s="6" t="s">
        <v>1</v>
      </c>
      <c r="S6" s="6" t="s">
        <v>31</v>
      </c>
      <c r="T6" s="6">
        <v>46128</v>
      </c>
      <c r="U6" s="7">
        <v>3000000</v>
      </c>
      <c r="V6" s="7">
        <v>3000000</v>
      </c>
      <c r="W6" s="7">
        <v>0</v>
      </c>
      <c r="X6" s="6">
        <v>46129</v>
      </c>
      <c r="Y6" s="6" t="s">
        <v>132</v>
      </c>
      <c r="Z6" s="7">
        <v>9160274743</v>
      </c>
      <c r="AA6" s="6" t="s">
        <v>133</v>
      </c>
      <c r="AB6" s="6">
        <v>46154</v>
      </c>
      <c r="AD6" s="6" t="s">
        <v>134</v>
      </c>
      <c r="AE6" s="16">
        <v>46130</v>
      </c>
      <c r="AF6" s="6">
        <v>46138</v>
      </c>
      <c r="AG6" s="6" t="s">
        <v>36</v>
      </c>
      <c r="AH6" s="6">
        <v>46139</v>
      </c>
      <c r="AI6" s="6" t="s">
        <v>18</v>
      </c>
      <c r="AL6" s="6" t="s">
        <v>18</v>
      </c>
      <c r="AM6" s="7">
        <v>16612923</v>
      </c>
      <c r="AO6" s="6" t="s">
        <v>18</v>
      </c>
    </row>
    <row r="7" spans="1:41" x14ac:dyDescent="0.3">
      <c r="A7" s="14">
        <v>5</v>
      </c>
      <c r="B7" s="6" t="s">
        <v>135</v>
      </c>
      <c r="C7" s="6" t="s">
        <v>104</v>
      </c>
      <c r="D7" s="6" t="s">
        <v>83</v>
      </c>
      <c r="F7" s="6">
        <v>46119</v>
      </c>
      <c r="G7" s="6" t="s">
        <v>105</v>
      </c>
      <c r="H7" s="6" t="s">
        <v>78</v>
      </c>
      <c r="I7" s="6" t="s">
        <v>138</v>
      </c>
      <c r="J7" s="6" t="s">
        <v>41</v>
      </c>
      <c r="K7" s="6" t="s">
        <v>15</v>
      </c>
      <c r="L7" s="6" t="s">
        <v>77</v>
      </c>
      <c r="M7" s="7">
        <v>25006379</v>
      </c>
      <c r="N7" s="6" t="s">
        <v>11</v>
      </c>
      <c r="O7" s="6">
        <v>46100</v>
      </c>
      <c r="Q7" s="6" t="s">
        <v>8</v>
      </c>
      <c r="R7" s="6" t="s">
        <v>1</v>
      </c>
      <c r="S7" s="6" t="s">
        <v>35</v>
      </c>
      <c r="V7" s="7"/>
      <c r="W7" s="7"/>
      <c r="AD7" s="6" t="s">
        <v>136</v>
      </c>
      <c r="AF7" s="6"/>
      <c r="AH7" s="6"/>
      <c r="AM7" s="7" t="s">
        <v>18</v>
      </c>
      <c r="AO7" s="6"/>
    </row>
    <row r="8" spans="1:41" x14ac:dyDescent="0.3">
      <c r="A8" s="14">
        <v>6</v>
      </c>
      <c r="B8" s="6" t="s">
        <v>135</v>
      </c>
      <c r="C8" s="6" t="s">
        <v>104</v>
      </c>
      <c r="D8" s="6" t="s">
        <v>83</v>
      </c>
      <c r="F8" s="6">
        <v>46120</v>
      </c>
      <c r="G8" s="6" t="s">
        <v>105</v>
      </c>
      <c r="H8" s="6" t="s">
        <v>76</v>
      </c>
      <c r="I8" s="6" t="s">
        <v>115</v>
      </c>
      <c r="J8" s="6" t="s">
        <v>43</v>
      </c>
      <c r="K8" s="6" t="s">
        <v>7</v>
      </c>
      <c r="L8" s="6" t="s">
        <v>11</v>
      </c>
      <c r="M8" s="7">
        <v>60073694</v>
      </c>
      <c r="N8" s="6" t="s">
        <v>11</v>
      </c>
      <c r="O8" s="6">
        <v>46161</v>
      </c>
      <c r="P8" s="7">
        <v>51357</v>
      </c>
      <c r="Q8" s="6" t="s">
        <v>8</v>
      </c>
      <c r="R8" s="6" t="s">
        <v>1</v>
      </c>
      <c r="S8" s="6" t="s">
        <v>17</v>
      </c>
      <c r="T8" s="6">
        <v>46171</v>
      </c>
      <c r="U8" s="7">
        <v>3120000</v>
      </c>
      <c r="V8" s="7">
        <v>3120000</v>
      </c>
      <c r="W8" s="7">
        <v>0</v>
      </c>
      <c r="X8" s="6">
        <v>46171</v>
      </c>
      <c r="Y8" s="6" t="s">
        <v>139</v>
      </c>
      <c r="Z8" s="7">
        <v>9459655567</v>
      </c>
      <c r="AA8" s="6" t="s">
        <v>140</v>
      </c>
      <c r="AD8" s="6" t="s">
        <v>137</v>
      </c>
      <c r="AE8" s="16">
        <v>46172</v>
      </c>
      <c r="AF8" s="6" t="s">
        <v>18</v>
      </c>
      <c r="AH8" s="6"/>
      <c r="AI8" s="6" t="s">
        <v>18</v>
      </c>
      <c r="AJ8" s="6" t="s">
        <v>18</v>
      </c>
      <c r="AK8" s="6" t="s">
        <v>18</v>
      </c>
      <c r="AM8" s="7" t="s">
        <v>18</v>
      </c>
      <c r="AN8" s="6" t="e">
        <v>#N/A</v>
      </c>
      <c r="AO8" s="6" t="s">
        <v>141</v>
      </c>
    </row>
    <row r="9" spans="1:41" ht="12" customHeight="1" x14ac:dyDescent="0.3">
      <c r="A9" s="14">
        <f t="shared" ref="A9:A25" si="1">A8+1</f>
        <v>7</v>
      </c>
      <c r="B9" s="6" t="s">
        <v>109</v>
      </c>
      <c r="C9" s="6" t="s">
        <v>109</v>
      </c>
      <c r="D9" s="6" t="s">
        <v>81</v>
      </c>
      <c r="F9" s="6">
        <v>46165</v>
      </c>
      <c r="G9" s="6" t="s">
        <v>144</v>
      </c>
      <c r="H9" s="6" t="s">
        <v>106</v>
      </c>
      <c r="I9" s="6" t="s">
        <v>108</v>
      </c>
      <c r="J9" s="6" t="s">
        <v>20</v>
      </c>
      <c r="K9" s="6" t="s">
        <v>7</v>
      </c>
      <c r="L9" s="6" t="s">
        <v>11</v>
      </c>
      <c r="M9" s="7">
        <v>70042537</v>
      </c>
      <c r="N9" s="6" t="s">
        <v>3</v>
      </c>
      <c r="P9" s="7">
        <v>42792</v>
      </c>
      <c r="Q9" s="6" t="s">
        <v>8</v>
      </c>
      <c r="R9" s="6" t="s">
        <v>1</v>
      </c>
      <c r="S9" s="6" t="s">
        <v>35</v>
      </c>
      <c r="V9" s="7"/>
      <c r="W9" s="7"/>
      <c r="Z9" s="7" t="s">
        <v>18</v>
      </c>
      <c r="AA9" s="6" t="s">
        <v>18</v>
      </c>
      <c r="AF9" s="6"/>
      <c r="AH9" s="6"/>
      <c r="AI9" s="6" t="s">
        <v>18</v>
      </c>
      <c r="AK9" s="6" t="s">
        <v>18</v>
      </c>
      <c r="AL9" s="6" t="s">
        <v>18</v>
      </c>
      <c r="AM9" s="7" t="s">
        <v>18</v>
      </c>
      <c r="AO9" s="6" t="s">
        <v>18</v>
      </c>
    </row>
    <row r="10" spans="1:41" ht="12" customHeight="1" x14ac:dyDescent="0.3">
      <c r="A10" s="14">
        <v>7</v>
      </c>
      <c r="B10" s="6" t="s">
        <v>109</v>
      </c>
      <c r="C10" s="6" t="s">
        <v>109</v>
      </c>
      <c r="D10" s="6" t="s">
        <v>81</v>
      </c>
      <c r="F10" s="6">
        <v>46165</v>
      </c>
      <c r="G10" s="6" t="s">
        <v>145</v>
      </c>
      <c r="H10" s="6" t="s">
        <v>106</v>
      </c>
      <c r="I10" s="6" t="s">
        <v>108</v>
      </c>
      <c r="J10" s="6" t="s">
        <v>25</v>
      </c>
      <c r="K10" s="6" t="s">
        <v>7</v>
      </c>
      <c r="L10" s="6" t="s">
        <v>11</v>
      </c>
      <c r="M10" s="7">
        <v>25006636</v>
      </c>
      <c r="N10" s="6" t="s">
        <v>3</v>
      </c>
      <c r="P10" s="7">
        <v>42955</v>
      </c>
      <c r="Q10" s="6" t="s">
        <v>8</v>
      </c>
      <c r="R10" s="6" t="s">
        <v>1</v>
      </c>
      <c r="S10" s="6" t="s">
        <v>35</v>
      </c>
      <c r="V10" s="7"/>
      <c r="W10" s="7"/>
      <c r="Z10" s="7" t="s">
        <v>18</v>
      </c>
      <c r="AA10" s="6" t="s">
        <v>18</v>
      </c>
      <c r="AF10" s="6"/>
      <c r="AH10" s="6"/>
      <c r="AI10" s="6" t="s">
        <v>18</v>
      </c>
      <c r="AK10" s="6" t="s">
        <v>18</v>
      </c>
      <c r="AL10" s="6" t="s">
        <v>18</v>
      </c>
      <c r="AM10" s="7" t="s">
        <v>18</v>
      </c>
      <c r="AO10" s="6" t="s">
        <v>18</v>
      </c>
    </row>
    <row r="11" spans="1:41" ht="12" customHeight="1" x14ac:dyDescent="0.3">
      <c r="A11" s="14">
        <v>8</v>
      </c>
      <c r="B11" s="6" t="s">
        <v>128</v>
      </c>
      <c r="C11" s="6" t="s">
        <v>104</v>
      </c>
      <c r="D11" s="6" t="s">
        <v>82</v>
      </c>
      <c r="F11" s="6">
        <v>46130</v>
      </c>
      <c r="G11" s="6" t="s">
        <v>146</v>
      </c>
      <c r="H11" s="6" t="s">
        <v>106</v>
      </c>
      <c r="I11" s="6" t="s">
        <v>147</v>
      </c>
      <c r="J11" s="6" t="s">
        <v>25</v>
      </c>
      <c r="K11" s="6" t="s">
        <v>7</v>
      </c>
      <c r="L11" s="6" t="s">
        <v>11</v>
      </c>
      <c r="M11" s="7">
        <v>60067280</v>
      </c>
      <c r="N11" s="6" t="s">
        <v>11</v>
      </c>
      <c r="O11" s="6">
        <v>46130</v>
      </c>
      <c r="P11" s="7">
        <v>50095</v>
      </c>
      <c r="Q11" s="6" t="s">
        <v>8</v>
      </c>
      <c r="R11" s="6" t="s">
        <v>1</v>
      </c>
      <c r="S11" s="6" t="s">
        <v>17</v>
      </c>
      <c r="T11" s="6">
        <v>46162</v>
      </c>
      <c r="U11" s="7">
        <v>800000</v>
      </c>
      <c r="V11" s="7">
        <v>800000</v>
      </c>
      <c r="W11" s="7">
        <v>0</v>
      </c>
      <c r="X11" s="6">
        <v>46170</v>
      </c>
      <c r="Y11" s="6" t="s">
        <v>148</v>
      </c>
      <c r="Z11" s="7">
        <v>8306664236</v>
      </c>
      <c r="AA11" s="6" t="s">
        <v>149</v>
      </c>
      <c r="AD11" s="6" t="s">
        <v>150</v>
      </c>
      <c r="AE11" s="16">
        <v>46162</v>
      </c>
      <c r="AF11" s="6"/>
      <c r="AG11" s="6" t="s">
        <v>151</v>
      </c>
      <c r="AH11" s="6"/>
      <c r="AJ11" s="6">
        <v>46170</v>
      </c>
      <c r="AM11" s="7">
        <v>17032896</v>
      </c>
      <c r="AN11" s="6" t="s">
        <v>30</v>
      </c>
      <c r="AO11" s="6" t="s">
        <v>152</v>
      </c>
    </row>
    <row r="12" spans="1:41" ht="12" customHeight="1" x14ac:dyDescent="0.3">
      <c r="A12" s="14">
        <v>9</v>
      </c>
      <c r="B12" s="6" t="s">
        <v>128</v>
      </c>
      <c r="C12" s="6" t="s">
        <v>129</v>
      </c>
      <c r="D12" s="6" t="s">
        <v>82</v>
      </c>
      <c r="F12" s="6">
        <v>46126</v>
      </c>
      <c r="G12" s="6" t="s">
        <v>153</v>
      </c>
      <c r="H12" s="6" t="s">
        <v>154</v>
      </c>
      <c r="I12" s="6" t="s">
        <v>112</v>
      </c>
      <c r="J12" s="6" t="s">
        <v>29</v>
      </c>
      <c r="K12" s="6" t="s">
        <v>7</v>
      </c>
      <c r="L12" s="6" t="s">
        <v>3</v>
      </c>
      <c r="M12" s="7">
        <v>70042503</v>
      </c>
      <c r="N12" s="6" t="s">
        <v>11</v>
      </c>
      <c r="O12" s="6">
        <v>46126</v>
      </c>
      <c r="P12" s="7">
        <v>50103</v>
      </c>
      <c r="Q12" s="6" t="s">
        <v>8</v>
      </c>
      <c r="R12" s="6" t="s">
        <v>1</v>
      </c>
      <c r="S12" s="6" t="s">
        <v>17</v>
      </c>
      <c r="T12" s="6">
        <v>46163</v>
      </c>
      <c r="U12" s="7">
        <v>875995</v>
      </c>
      <c r="V12" s="7">
        <v>875995</v>
      </c>
      <c r="W12" s="7">
        <v>0</v>
      </c>
      <c r="X12" s="6">
        <v>46170</v>
      </c>
      <c r="Y12" s="6" t="s">
        <v>155</v>
      </c>
      <c r="Z12" s="7">
        <v>7079923780</v>
      </c>
      <c r="AA12" s="6" t="s">
        <v>156</v>
      </c>
      <c r="AD12" s="6" t="s">
        <v>150</v>
      </c>
      <c r="AE12" s="16">
        <v>46169</v>
      </c>
      <c r="AF12" s="6"/>
      <c r="AG12" s="6" t="s">
        <v>151</v>
      </c>
      <c r="AH12" s="6"/>
      <c r="AJ12" s="6">
        <v>46164</v>
      </c>
      <c r="AM12" s="7">
        <v>17031957</v>
      </c>
      <c r="AN12" s="6" t="s">
        <v>30</v>
      </c>
      <c r="AO12" s="6" t="s">
        <v>152</v>
      </c>
    </row>
    <row r="13" spans="1:41" ht="12" customHeight="1" x14ac:dyDescent="0.3">
      <c r="A13" s="14">
        <f t="shared" si="1"/>
        <v>10</v>
      </c>
      <c r="B13" s="6" t="s">
        <v>104</v>
      </c>
      <c r="C13" s="6" t="s">
        <v>104</v>
      </c>
      <c r="D13" s="6" t="s">
        <v>82</v>
      </c>
      <c r="F13" s="6">
        <v>46168</v>
      </c>
      <c r="G13" s="6" t="s">
        <v>146</v>
      </c>
      <c r="H13" s="6" t="s">
        <v>79</v>
      </c>
      <c r="I13" s="6" t="s">
        <v>113</v>
      </c>
      <c r="J13" s="6" t="s">
        <v>29</v>
      </c>
      <c r="K13" s="6" t="s">
        <v>7</v>
      </c>
      <c r="L13" s="6" t="s">
        <v>11</v>
      </c>
      <c r="M13" s="7">
        <v>60067797</v>
      </c>
      <c r="N13" s="6" t="s">
        <v>3</v>
      </c>
      <c r="Q13" s="6" t="s">
        <v>8</v>
      </c>
      <c r="S13" s="6" t="s">
        <v>46</v>
      </c>
      <c r="V13" s="7"/>
      <c r="W13" s="7"/>
      <c r="AD13" s="6" t="s">
        <v>143</v>
      </c>
      <c r="AF13" s="6"/>
      <c r="AH13" s="6"/>
      <c r="AM13" s="7" t="s">
        <v>18</v>
      </c>
      <c r="AO13" s="6"/>
    </row>
    <row r="14" spans="1:41" ht="12" customHeight="1" x14ac:dyDescent="0.3">
      <c r="A14" s="14">
        <v>10</v>
      </c>
      <c r="B14" s="6" t="s">
        <v>74</v>
      </c>
      <c r="C14" s="6" t="s">
        <v>74</v>
      </c>
      <c r="D14" s="6" t="s">
        <v>157</v>
      </c>
      <c r="F14" s="6">
        <v>46115</v>
      </c>
      <c r="G14" s="6" t="s">
        <v>158</v>
      </c>
      <c r="H14" s="6" t="s">
        <v>79</v>
      </c>
      <c r="I14" s="6" t="s">
        <v>159</v>
      </c>
      <c r="J14" s="6" t="s">
        <v>43</v>
      </c>
      <c r="K14" s="6" t="s">
        <v>15</v>
      </c>
      <c r="L14" s="6" t="s">
        <v>77</v>
      </c>
      <c r="M14" s="7">
        <v>60109913</v>
      </c>
      <c r="N14" s="6" t="s">
        <v>11</v>
      </c>
      <c r="P14" s="7">
        <v>49212</v>
      </c>
      <c r="Q14" s="6" t="s">
        <v>8</v>
      </c>
      <c r="R14" s="6" t="s">
        <v>1</v>
      </c>
      <c r="S14" s="6" t="s">
        <v>31</v>
      </c>
      <c r="T14" s="6">
        <v>46115</v>
      </c>
      <c r="U14" s="7">
        <v>4200000</v>
      </c>
      <c r="V14" s="7">
        <v>3990000</v>
      </c>
      <c r="W14" s="7">
        <v>210000</v>
      </c>
      <c r="X14" s="6">
        <v>46116</v>
      </c>
      <c r="Y14" s="6" t="s">
        <v>160</v>
      </c>
      <c r="Z14" s="7">
        <v>9923925821</v>
      </c>
      <c r="AA14" s="6" t="s">
        <v>161</v>
      </c>
      <c r="AB14" s="6">
        <v>46157</v>
      </c>
      <c r="AC14" s="6" t="s">
        <v>31</v>
      </c>
      <c r="AD14" s="6" t="s">
        <v>107</v>
      </c>
      <c r="AF14" s="6"/>
      <c r="AH14" s="6"/>
      <c r="AM14" s="7">
        <v>16441370</v>
      </c>
      <c r="AO14" s="6"/>
    </row>
    <row r="15" spans="1:41" x14ac:dyDescent="0.3">
      <c r="A15" s="14">
        <v>11</v>
      </c>
      <c r="B15" s="6" t="s">
        <v>109</v>
      </c>
      <c r="C15" s="6" t="s">
        <v>109</v>
      </c>
      <c r="D15" s="6" t="s">
        <v>81</v>
      </c>
      <c r="F15" s="6">
        <v>46164</v>
      </c>
      <c r="G15" s="6" t="s">
        <v>110</v>
      </c>
      <c r="H15" s="6" t="s">
        <v>79</v>
      </c>
      <c r="I15" s="6" t="s">
        <v>111</v>
      </c>
      <c r="J15" s="6" t="s">
        <v>25</v>
      </c>
      <c r="K15" s="6" t="s">
        <v>15</v>
      </c>
      <c r="L15" s="6" t="s">
        <v>77</v>
      </c>
      <c r="M15" s="7" t="s">
        <v>120</v>
      </c>
      <c r="N15" s="6" t="s">
        <v>3</v>
      </c>
      <c r="Q15" s="6" t="s">
        <v>8</v>
      </c>
      <c r="R15" s="6" t="s">
        <v>1</v>
      </c>
      <c r="S15" s="6" t="s">
        <v>35</v>
      </c>
      <c r="V15" s="7"/>
      <c r="W15" s="7"/>
      <c r="AF15" s="6"/>
      <c r="AH15" s="6"/>
      <c r="AM15" s="7"/>
      <c r="AO15" s="6"/>
    </row>
    <row r="16" spans="1:41" x14ac:dyDescent="0.3">
      <c r="A16" s="14">
        <v>12</v>
      </c>
      <c r="B16" s="6" t="s">
        <v>109</v>
      </c>
      <c r="C16" s="6" t="s">
        <v>109</v>
      </c>
      <c r="D16" s="6" t="s">
        <v>81</v>
      </c>
      <c r="F16" s="6">
        <v>46164</v>
      </c>
      <c r="G16" s="6" t="s">
        <v>123</v>
      </c>
      <c r="H16" s="6" t="s">
        <v>79</v>
      </c>
      <c r="I16" s="6" t="s">
        <v>111</v>
      </c>
      <c r="J16" s="6" t="s">
        <v>33</v>
      </c>
      <c r="K16" s="6" t="s">
        <v>15</v>
      </c>
      <c r="L16" s="6" t="s">
        <v>77</v>
      </c>
      <c r="M16" s="7" t="s">
        <v>120</v>
      </c>
      <c r="N16" s="6" t="s">
        <v>3</v>
      </c>
      <c r="Q16" s="6" t="s">
        <v>8</v>
      </c>
      <c r="R16" s="6" t="s">
        <v>1</v>
      </c>
      <c r="S16" s="6" t="s">
        <v>35</v>
      </c>
      <c r="V16" s="7"/>
      <c r="W16" s="7"/>
      <c r="AF16" s="6"/>
      <c r="AH16" s="6"/>
      <c r="AM16" s="7"/>
      <c r="AO16" s="6"/>
    </row>
    <row r="17" spans="1:41" x14ac:dyDescent="0.3">
      <c r="A17" s="14">
        <f t="shared" si="1"/>
        <v>13</v>
      </c>
      <c r="B17" s="6" t="s">
        <v>109</v>
      </c>
      <c r="C17" s="6" t="s">
        <v>109</v>
      </c>
      <c r="D17" s="6" t="s">
        <v>81</v>
      </c>
      <c r="F17" s="6">
        <v>46164</v>
      </c>
      <c r="G17" s="6" t="s">
        <v>110</v>
      </c>
      <c r="H17" s="6" t="s">
        <v>76</v>
      </c>
      <c r="I17" s="6" t="s">
        <v>115</v>
      </c>
      <c r="J17" s="6" t="s">
        <v>25</v>
      </c>
      <c r="K17" s="6" t="s">
        <v>15</v>
      </c>
      <c r="L17" s="6" t="s">
        <v>77</v>
      </c>
      <c r="M17" s="7" t="s">
        <v>120</v>
      </c>
      <c r="N17" s="6" t="s">
        <v>3</v>
      </c>
      <c r="Q17" s="6" t="s">
        <v>8</v>
      </c>
      <c r="R17" s="6" t="s">
        <v>1</v>
      </c>
      <c r="S17" s="6" t="s">
        <v>35</v>
      </c>
      <c r="V17" s="7"/>
      <c r="W17" s="7"/>
      <c r="AF17" s="6"/>
      <c r="AH17" s="6"/>
      <c r="AM17" s="7"/>
      <c r="AO17" s="6"/>
    </row>
    <row r="18" spans="1:41" x14ac:dyDescent="0.3">
      <c r="A18" s="14">
        <v>13</v>
      </c>
      <c r="B18" s="6" t="s">
        <v>109</v>
      </c>
      <c r="C18" s="6" t="s">
        <v>109</v>
      </c>
      <c r="D18" s="6" t="s">
        <v>81</v>
      </c>
      <c r="F18" s="6">
        <v>46164</v>
      </c>
      <c r="G18" s="6" t="s">
        <v>110</v>
      </c>
      <c r="H18" s="6" t="s">
        <v>79</v>
      </c>
      <c r="I18" s="6" t="s">
        <v>113</v>
      </c>
      <c r="J18" s="6" t="s">
        <v>114</v>
      </c>
      <c r="K18" s="6" t="s">
        <v>7</v>
      </c>
      <c r="L18" s="6" t="s">
        <v>11</v>
      </c>
      <c r="M18" s="7">
        <v>70042551</v>
      </c>
      <c r="N18" s="6" t="s">
        <v>3</v>
      </c>
      <c r="O18" s="6" t="s">
        <v>77</v>
      </c>
      <c r="P18" s="7">
        <v>52022</v>
      </c>
      <c r="Q18" s="6" t="s">
        <v>8</v>
      </c>
      <c r="R18" s="6" t="s">
        <v>1</v>
      </c>
      <c r="S18" s="6" t="s">
        <v>10</v>
      </c>
      <c r="T18" s="6">
        <v>46163</v>
      </c>
      <c r="V18" s="7"/>
      <c r="W18" s="7"/>
      <c r="Y18" s="6" t="s">
        <v>162</v>
      </c>
      <c r="Z18" s="7">
        <v>7993949714</v>
      </c>
      <c r="AA18" s="6" t="s">
        <v>163</v>
      </c>
      <c r="AF18" s="6"/>
      <c r="AH18" s="6"/>
      <c r="AM18" s="7"/>
      <c r="AO18" s="6"/>
    </row>
    <row r="19" spans="1:41" x14ac:dyDescent="0.3">
      <c r="A19" s="14">
        <v>14</v>
      </c>
      <c r="B19" s="6" t="s">
        <v>109</v>
      </c>
      <c r="C19" s="6" t="s">
        <v>109</v>
      </c>
      <c r="D19" s="6" t="s">
        <v>81</v>
      </c>
      <c r="F19" s="6">
        <v>46164</v>
      </c>
      <c r="G19" s="6" t="s">
        <v>110</v>
      </c>
      <c r="H19" s="6" t="s">
        <v>79</v>
      </c>
      <c r="I19" s="6" t="s">
        <v>113</v>
      </c>
      <c r="J19" s="6" t="s">
        <v>114</v>
      </c>
      <c r="K19" s="6" t="s">
        <v>7</v>
      </c>
      <c r="L19" s="6" t="s">
        <v>11</v>
      </c>
      <c r="M19" s="7">
        <v>70042684</v>
      </c>
      <c r="N19" s="6" t="s">
        <v>3</v>
      </c>
      <c r="O19" s="6" t="s">
        <v>77</v>
      </c>
      <c r="P19" s="7">
        <v>52025</v>
      </c>
      <c r="Q19" s="6" t="s">
        <v>8</v>
      </c>
      <c r="R19" s="6" t="s">
        <v>1</v>
      </c>
      <c r="S19" s="6" t="s">
        <v>10</v>
      </c>
      <c r="T19" s="6">
        <v>46163</v>
      </c>
      <c r="V19" s="7"/>
      <c r="W19" s="7"/>
      <c r="Y19" s="6" t="s">
        <v>164</v>
      </c>
      <c r="Z19" s="7">
        <v>8143866930</v>
      </c>
      <c r="AA19" s="6" t="s">
        <v>165</v>
      </c>
      <c r="AF19" s="6"/>
      <c r="AH19" s="6"/>
      <c r="AM19" s="7"/>
      <c r="AO19" s="6"/>
    </row>
    <row r="20" spans="1:41" x14ac:dyDescent="0.3">
      <c r="A20" s="14">
        <v>15</v>
      </c>
      <c r="B20" s="6" t="s">
        <v>109</v>
      </c>
      <c r="C20" s="6" t="s">
        <v>109</v>
      </c>
      <c r="D20" s="6" t="s">
        <v>81</v>
      </c>
      <c r="F20" s="6">
        <v>46164</v>
      </c>
      <c r="G20" s="6" t="s">
        <v>121</v>
      </c>
      <c r="H20" s="6" t="s">
        <v>106</v>
      </c>
      <c r="I20" s="6" t="s">
        <v>117</v>
      </c>
      <c r="J20" s="6" t="s">
        <v>33</v>
      </c>
      <c r="K20" s="6" t="s">
        <v>15</v>
      </c>
      <c r="L20" s="6" t="s">
        <v>77</v>
      </c>
      <c r="M20" s="7">
        <v>60096908</v>
      </c>
      <c r="N20" s="6" t="s">
        <v>11</v>
      </c>
      <c r="Q20" s="6" t="s">
        <v>8</v>
      </c>
      <c r="R20" s="6" t="s">
        <v>1</v>
      </c>
      <c r="S20" s="6" t="s">
        <v>2</v>
      </c>
      <c r="V20" s="7"/>
      <c r="W20" s="7"/>
      <c r="AF20" s="6"/>
      <c r="AH20" s="6"/>
      <c r="AM20" s="7"/>
      <c r="AO20" s="6"/>
    </row>
    <row r="21" spans="1:41" x14ac:dyDescent="0.3">
      <c r="A21" s="14">
        <f t="shared" si="1"/>
        <v>16</v>
      </c>
      <c r="B21" s="6" t="s">
        <v>109</v>
      </c>
      <c r="C21" s="6" t="s">
        <v>109</v>
      </c>
      <c r="D21" s="6" t="s">
        <v>81</v>
      </c>
      <c r="F21" s="6">
        <v>46164</v>
      </c>
      <c r="G21" s="6" t="s">
        <v>123</v>
      </c>
      <c r="H21" s="6" t="s">
        <v>106</v>
      </c>
      <c r="I21" s="6" t="s">
        <v>117</v>
      </c>
      <c r="J21" s="6" t="s">
        <v>37</v>
      </c>
      <c r="K21" s="6" t="s">
        <v>15</v>
      </c>
      <c r="L21" s="6" t="s">
        <v>77</v>
      </c>
      <c r="M21" s="7" t="s">
        <v>120</v>
      </c>
      <c r="N21" s="6" t="s">
        <v>3</v>
      </c>
      <c r="Q21" s="6" t="s">
        <v>8</v>
      </c>
      <c r="R21" s="6" t="s">
        <v>1</v>
      </c>
      <c r="S21" s="6" t="s">
        <v>35</v>
      </c>
      <c r="V21" s="7"/>
      <c r="W21" s="7"/>
      <c r="AF21" s="6"/>
      <c r="AH21" s="6"/>
      <c r="AM21" s="7"/>
      <c r="AO21" s="6"/>
    </row>
    <row r="22" spans="1:41" x14ac:dyDescent="0.3">
      <c r="A22" s="14">
        <v>16</v>
      </c>
      <c r="B22" s="6" t="s">
        <v>109</v>
      </c>
      <c r="C22" s="6" t="s">
        <v>109</v>
      </c>
      <c r="D22" s="6" t="s">
        <v>81</v>
      </c>
      <c r="F22" s="6">
        <v>46164</v>
      </c>
      <c r="G22" s="6" t="s">
        <v>166</v>
      </c>
      <c r="H22" s="6" t="s">
        <v>79</v>
      </c>
      <c r="I22" s="6" t="s">
        <v>80</v>
      </c>
      <c r="J22" s="6" t="s">
        <v>33</v>
      </c>
      <c r="K22" s="6" t="s">
        <v>15</v>
      </c>
      <c r="L22" s="6" t="s">
        <v>77</v>
      </c>
      <c r="M22" s="7">
        <v>60099521</v>
      </c>
      <c r="N22" s="6" t="s">
        <v>11</v>
      </c>
      <c r="Q22" s="6" t="s">
        <v>8</v>
      </c>
      <c r="R22" s="6" t="s">
        <v>1</v>
      </c>
      <c r="S22" s="6" t="s">
        <v>2</v>
      </c>
      <c r="V22" s="7"/>
      <c r="W22" s="7"/>
      <c r="AF22" s="6"/>
      <c r="AH22" s="6"/>
      <c r="AM22" s="7"/>
      <c r="AO22" s="6"/>
    </row>
    <row r="23" spans="1:41" x14ac:dyDescent="0.3">
      <c r="A23" s="14">
        <v>17</v>
      </c>
      <c r="B23" s="6" t="s">
        <v>109</v>
      </c>
      <c r="C23" s="6" t="s">
        <v>109</v>
      </c>
      <c r="D23" s="6" t="s">
        <v>81</v>
      </c>
      <c r="F23" s="6">
        <v>46164</v>
      </c>
      <c r="G23" s="6" t="s">
        <v>123</v>
      </c>
      <c r="H23" s="6" t="s">
        <v>79</v>
      </c>
      <c r="I23" s="6" t="s">
        <v>80</v>
      </c>
      <c r="J23" s="6" t="s">
        <v>37</v>
      </c>
      <c r="K23" s="6" t="s">
        <v>15</v>
      </c>
      <c r="L23" s="6" t="s">
        <v>77</v>
      </c>
      <c r="M23" s="7" t="s">
        <v>120</v>
      </c>
      <c r="N23" s="6" t="s">
        <v>3</v>
      </c>
      <c r="Q23" s="6" t="s">
        <v>8</v>
      </c>
      <c r="R23" s="6" t="s">
        <v>1</v>
      </c>
      <c r="S23" s="6" t="s">
        <v>35</v>
      </c>
      <c r="V23" s="7"/>
      <c r="W23" s="7"/>
      <c r="AF23" s="6"/>
      <c r="AH23" s="6"/>
      <c r="AM23" s="7"/>
      <c r="AO23" s="6"/>
    </row>
    <row r="24" spans="1:41" x14ac:dyDescent="0.3">
      <c r="A24" s="14">
        <v>18</v>
      </c>
      <c r="B24" s="6" t="s">
        <v>109</v>
      </c>
      <c r="C24" s="6" t="s">
        <v>109</v>
      </c>
      <c r="D24" s="6" t="s">
        <v>81</v>
      </c>
      <c r="F24" s="6">
        <v>46164</v>
      </c>
      <c r="G24" s="6" t="s">
        <v>121</v>
      </c>
      <c r="H24" s="6" t="s">
        <v>76</v>
      </c>
      <c r="I24" s="6" t="s">
        <v>131</v>
      </c>
      <c r="J24" s="6" t="s">
        <v>33</v>
      </c>
      <c r="K24" s="6" t="s">
        <v>15</v>
      </c>
      <c r="L24" s="6" t="s">
        <v>77</v>
      </c>
      <c r="M24" s="7" t="s">
        <v>120</v>
      </c>
      <c r="N24" s="6" t="s">
        <v>3</v>
      </c>
      <c r="Q24" s="6" t="s">
        <v>8</v>
      </c>
      <c r="R24" s="6" t="s">
        <v>1</v>
      </c>
      <c r="S24" s="6" t="s">
        <v>35</v>
      </c>
      <c r="V24" s="7"/>
      <c r="W24" s="7"/>
      <c r="AC24" s="6" t="s">
        <v>142</v>
      </c>
      <c r="AF24" s="6"/>
      <c r="AH24" s="6"/>
      <c r="AM24" s="7"/>
      <c r="AO24" s="6"/>
    </row>
    <row r="25" spans="1:41" x14ac:dyDescent="0.3">
      <c r="A25" s="14">
        <f t="shared" si="1"/>
        <v>19</v>
      </c>
      <c r="B25" s="6" t="s">
        <v>109</v>
      </c>
      <c r="C25" s="6" t="s">
        <v>109</v>
      </c>
      <c r="D25" s="8" t="s">
        <v>81</v>
      </c>
      <c r="E25" s="20"/>
      <c r="F25" s="8">
        <v>46170</v>
      </c>
      <c r="G25" s="8" t="s">
        <v>122</v>
      </c>
      <c r="H25" s="8"/>
      <c r="I25" s="19" t="s">
        <v>115</v>
      </c>
      <c r="J25" s="8" t="s">
        <v>43</v>
      </c>
      <c r="K25" s="6" t="s">
        <v>7</v>
      </c>
      <c r="L25" s="19" t="s">
        <v>11</v>
      </c>
      <c r="M25" s="24">
        <v>25005559</v>
      </c>
      <c r="N25" s="19" t="s">
        <v>11</v>
      </c>
      <c r="O25" s="8" t="s">
        <v>77</v>
      </c>
      <c r="P25" s="9">
        <v>22074</v>
      </c>
      <c r="Q25" s="6" t="s">
        <v>8</v>
      </c>
      <c r="R25" s="6" t="s">
        <v>1</v>
      </c>
      <c r="S25" s="6" t="s">
        <v>10</v>
      </c>
      <c r="T25" s="8">
        <v>46167</v>
      </c>
      <c r="V25" s="21"/>
      <c r="W25" s="21"/>
      <c r="X25" s="19"/>
      <c r="Y25" s="6" t="s">
        <v>167</v>
      </c>
      <c r="Z25" s="7">
        <v>7984167831</v>
      </c>
      <c r="AA25" s="6" t="s">
        <v>168</v>
      </c>
      <c r="AB25" s="8"/>
      <c r="AC25" s="8"/>
      <c r="AD25" s="20"/>
      <c r="AE25" s="22"/>
      <c r="AF25" s="19"/>
      <c r="AG25" s="8"/>
      <c r="AH25" s="6"/>
      <c r="AI25" s="8"/>
      <c r="AJ25" s="8"/>
      <c r="AK25" s="8"/>
      <c r="AL25" s="8"/>
      <c r="AM25" s="9"/>
      <c r="AN25" s="8"/>
      <c r="AO25" s="23"/>
    </row>
    <row r="31" spans="1:41" x14ac:dyDescent="0.3">
      <c r="X31" s="10"/>
    </row>
  </sheetData>
  <conditionalFormatting sqref="N2:N25">
    <cfRule type="cellIs" dxfId="8" priority="3" operator="equal">
      <formula>"Yes"</formula>
    </cfRule>
    <cfRule type="cellIs" dxfId="7" priority="4" operator="equal">
      <formula>"No"</formula>
    </cfRule>
  </conditionalFormatting>
  <conditionalFormatting sqref="AA25">
    <cfRule type="duplicateValues" dxfId="6" priority="1"/>
  </conditionalFormatting>
  <conditionalFormatting sqref="AG2:AG25">
    <cfRule type="cellIs" dxfId="5" priority="97" operator="equal">
      <formula>"Fit to join"</formula>
    </cfRule>
    <cfRule type="cellIs" dxfId="4" priority="98" operator="equal">
      <formula>"Refer back"</formula>
    </cfRule>
  </conditionalFormatting>
  <conditionalFormatting sqref="AN2:AN25">
    <cfRule type="cellIs" dxfId="3" priority="94" operator="equal">
      <formula>"Amber"</formula>
    </cfRule>
    <cfRule type="cellIs" dxfId="2" priority="95" operator="equal">
      <formula>"Green"</formula>
    </cfRule>
    <cfRule type="cellIs" dxfId="1" priority="96" operator="equal">
      <formula>"Red"</formula>
    </cfRule>
  </conditionalFormatting>
  <conditionalFormatting sqref="Y1:Y25">
    <cfRule type="duplicateValues" dxfId="0" priority="807"/>
  </conditionalFormatting>
  <dataValidations count="5">
    <dataValidation type="date" operator="greaterThan" allowBlank="1" showInputMessage="1" showErrorMessage="1" sqref="AJ11:AJ12 AE11:AF13 AE2:AF8" xr:uid="{466978DC-2871-4B53-B4A8-911BCB17A0BE}">
      <formula1>46023</formula1>
    </dataValidation>
    <dataValidation type="list" allowBlank="1" showInputMessage="1" showErrorMessage="1" sqref="L20:L24 L15:L17 K18:K19 K25:K1048576 L1:L13" xr:uid="{96D0C240-E317-4147-9E3D-7742F4962DB8}">
      <formula1>"Yes,No,NA"</formula1>
    </dataValidation>
    <dataValidation allowBlank="1" showInputMessage="1" showErrorMessage="1" sqref="D1 E15:E1048576 T15:T1048576 T1:T13 F1:F13" xr:uid="{313F0BB2-2998-4066-8EDC-F96A8820EB09}"/>
    <dataValidation type="list" allowBlank="1" showInputMessage="1" showErrorMessage="1" sqref="D15:D16 D20:D24 D2:D13" xr:uid="{97AE68EC-C711-4C41-8367-E4169F900114}">
      <formula1>"Sales, MFG, TCD, RMC, Land, Legal, Medical, Security, Safety, Logistics, Mines, Projects, TCD-Projects"</formula1>
    </dataValidation>
    <dataValidation type="date" allowBlank="1" showInputMessage="1" showErrorMessage="1" sqref="O2:O13" xr:uid="{E30898A4-958B-4599-9A5D-49ADC5C56DFB}">
      <formula1>45658</formula1>
      <formula2>46752</formula2>
    </dataValidation>
  </dataValidations>
  <hyperlinks>
    <hyperlink ref="AA14" r:id="rId1" xr:uid="{63AB3C32-A98E-4645-B25B-29B6DF27E8C5}"/>
    <hyperlink ref="AA18" r:id="rId2" xr:uid="{8D6F2CDB-124D-47B0-9F12-BDCE306CF0AF}"/>
    <hyperlink ref="AA19" r:id="rId3" xr:uid="{F5B7C8C4-3541-4627-AAF0-2C0B62D1EEAC}"/>
    <hyperlink ref="AA4" r:id="rId4" xr:uid="{D4072FEC-4336-4017-B0ED-5F37FC1BADD7}"/>
    <hyperlink ref="AA8" r:id="rId5" xr:uid="{50E58695-973D-43BB-8FE9-C688942E10A2}"/>
  </hyperlinks>
  <pageMargins left="0.7" right="0.7" top="0.75" bottom="0.75" header="0.3" footer="0.3"/>
  <pageSetup paperSize="9" orientation="portrait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EA5EA7B-2FF5-4F1B-B581-C8109C208921}">
          <x14:formula1>
            <xm:f>Manage!$D$1:$D$3</xm:f>
          </x14:formula1>
          <xm:sqref>M18:M20 M22 M25:M1048576 N2:N13</xm:sqref>
        </x14:dataValidation>
        <x14:dataValidation type="list" allowBlank="1" showInputMessage="1" showErrorMessage="1" xr:uid="{6D29C862-A6C4-4CAC-A71F-8CD2E1CBED5D}">
          <x14:formula1>
            <xm:f>Manage!$C$1:$C$11</xm:f>
          </x14:formula1>
          <xm:sqref>U26:U1048576</xm:sqref>
        </x14:dataValidation>
        <x14:dataValidation type="list" allowBlank="1" showInputMessage="1" showErrorMessage="1" xr:uid="{00D8F4BC-51DC-4A4E-ABDE-752C4B52AAF4}">
          <x14:formula1>
            <xm:f>Manage!$A$1:$A$4</xm:f>
          </x14:formula1>
          <xm:sqref>Q15:Q1048576 Q2:Q10</xm:sqref>
        </x14:dataValidation>
        <x14:dataValidation type="list" allowBlank="1" showInputMessage="1" showErrorMessage="1" xr:uid="{F04D23F5-0752-41C6-A81F-23D10399E7E3}">
          <x14:formula1>
            <xm:f>Manage!$B$1:$B$2</xm:f>
          </x14:formula1>
          <xm:sqref>R15:R1048576 R2:R10</xm:sqref>
        </x14:dataValidation>
        <x14:dataValidation type="list" allowBlank="1" showInputMessage="1" showErrorMessage="1" xr:uid="{8FE3D5C3-A16E-4405-A4A7-5842D1007844}">
          <x14:formula1>
            <xm:f>Manage!$H$1:$H$2</xm:f>
          </x14:formula1>
          <xm:sqref>K15:K17 K20:K24 K2:K13</xm:sqref>
        </x14:dataValidation>
        <x14:dataValidation type="list" allowBlank="1" showInputMessage="1" showErrorMessage="1" xr:uid="{B62990AF-BC2D-4A83-A810-474B5867E27E}">
          <x14:formula1>
            <xm:f>Manage!$G$1:$G$7</xm:f>
          </x14:formula1>
          <xm:sqref>AN11:AN12 AN2:AN8</xm:sqref>
        </x14:dataValidation>
        <x14:dataValidation type="list" allowBlank="1" showInputMessage="1" showErrorMessage="1" xr:uid="{0719ED1C-83E1-40A1-959A-D384871C9536}">
          <x14:formula1>
            <xm:f>Manage!$C$1:$C$13</xm:f>
          </x14:formula1>
          <xm:sqref>S2:S14</xm:sqref>
        </x14:dataValidation>
        <x14:dataValidation type="list" allowBlank="1" showInputMessage="1" showErrorMessage="1" xr:uid="{70CF18DB-96FC-43EC-954C-924EB87765A0}">
          <x14:formula1>
            <xm:f>Manage!$E$1:$E$8</xm:f>
          </x14:formula1>
          <xm:sqref>AG2:AG8</xm:sqref>
        </x14:dataValidation>
        <x14:dataValidation type="list" allowBlank="1" showInputMessage="1" showErrorMessage="1" xr:uid="{50A69CB6-5C18-4F8F-A6A3-F7DF6FC87ABE}">
          <x14:formula1>
            <xm:f>Manage!$F$1:$F$14</xm:f>
          </x14:formula1>
          <xm:sqref>J2:J10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FE8C-E74D-4B63-891B-00800CFF2A8B}">
  <dimension ref="A1:B7"/>
  <sheetViews>
    <sheetView tabSelected="1" workbookViewId="0"/>
  </sheetViews>
  <sheetFormatPr defaultRowHeight="14.5" x14ac:dyDescent="0.35"/>
  <cols>
    <col min="1" max="1" width="21.7265625" bestFit="1" customWidth="1"/>
    <col min="2" max="2" width="15.36328125" bestFit="1" customWidth="1"/>
  </cols>
  <sheetData>
    <row r="1" spans="1:2" x14ac:dyDescent="0.35">
      <c r="A1" s="18" t="s">
        <v>169</v>
      </c>
      <c r="B1" s="18" t="s">
        <v>173</v>
      </c>
    </row>
    <row r="2" spans="1:2" x14ac:dyDescent="0.35">
      <c r="A2" s="18" t="s">
        <v>170</v>
      </c>
      <c r="B2" s="25">
        <v>4.4999999999999998E-2</v>
      </c>
    </row>
    <row r="3" spans="1:2" x14ac:dyDescent="0.35">
      <c r="A3" s="18" t="s">
        <v>171</v>
      </c>
      <c r="B3" s="26">
        <v>0.06</v>
      </c>
    </row>
    <row r="4" spans="1:2" x14ac:dyDescent="0.35">
      <c r="A4" s="18" t="s">
        <v>172</v>
      </c>
      <c r="B4" s="26">
        <v>0.06</v>
      </c>
    </row>
    <row r="7" spans="1:2" x14ac:dyDescent="0.35">
      <c r="A7" s="27" t="s">
        <v>174</v>
      </c>
      <c r="B7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Manage</vt:lpstr>
      <vt:lpstr>Position Tracker</vt:lpstr>
      <vt:lpstr>Contractual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Durgesh Baraiya</dc:creator>
  <cp:keywords/>
  <dc:description/>
  <cp:lastModifiedBy>Baljeet Singh</cp:lastModifiedBy>
  <cp:revision/>
  <dcterms:created xsi:type="dcterms:W3CDTF">2026-02-02T10:07:30Z</dcterms:created>
  <dcterms:modified xsi:type="dcterms:W3CDTF">2026-06-03T11:36:30Z</dcterms:modified>
  <cp:category/>
  <cp:contentStatus/>
</cp:coreProperties>
</file>